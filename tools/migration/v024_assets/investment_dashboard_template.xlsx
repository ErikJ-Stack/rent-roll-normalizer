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0.0%"/>
    <numFmt numFmtId="165" formatCode="&quot;$&quot;#,##0"/>
    <numFmt numFmtId="166" formatCode="0.0%;\-0.0%;\-"/>
    <numFmt numFmtId="167" formatCode="&quot;$&quot;#,##0;\-&quot;$&quot;#,##0;\-"/>
    <numFmt numFmtId="168" formatCode="&quot;$&quot;#,##0;[Red]\-&quot;$&quot;#,##0"/>
    <numFmt numFmtId="169" formatCode="0.0%;[Red]\-0.0%"/>
    <numFmt numFmtId="170" formatCode="&quot;$&quot;0.00"/>
    <numFmt numFmtId="171" formatCode="0.00%;[Red]\-0.00%"/>
    <numFmt numFmtId="172" formatCode="0.00&quot;x&quot;"/>
    <numFmt numFmtId="173" formatCode="0.00&quot;x&quot;;[Red]\-0.00&quot;x&quot;"/>
    <numFmt numFmtId="174" formatCode="&quot;$&quot;#,##0;\(&quot;$&quot;#,##0\);\-"/>
    <numFmt numFmtId="175" formatCode="0.00%;\(0.00%\);\-"/>
    <numFmt numFmtId="176" formatCode="0.0%;\(0.0%\);\-"/>
  </numFmts>
  <fonts count="29">
    <font>
      <name val="Calibri"/>
      <family val="2"/>
      <color theme="1"/>
      <sz val="11"/>
      <scheme val="minor"/>
    </font>
    <font>
      <name val="Calibri"/>
      <charset val="1"/>
      <family val="2"/>
      <b val="1"/>
      <color rgb="FFFFFFFF"/>
      <sz val="18"/>
    </font>
    <font>
      <name val="Calibri"/>
      <charset val="1"/>
      <family val="2"/>
      <i val="1"/>
      <color rgb="FFFFFFFF"/>
      <sz val="11"/>
    </font>
    <font>
      <name val="Calibri"/>
      <charset val="1"/>
      <family val="2"/>
      <i val="1"/>
      <color rgb="FF595959"/>
      <sz val="9"/>
    </font>
    <font>
      <name val="Calibri"/>
      <charset val="1"/>
      <family val="2"/>
      <b val="1"/>
      <color rgb="FF1F3864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theme="1"/>
      <sz val="20"/>
    </font>
    <font>
      <name val="Calibri"/>
      <charset val="1"/>
      <family val="2"/>
      <b val="1"/>
      <color rgb="FFC00000"/>
      <sz val="20"/>
    </font>
    <font>
      <name val="Calibri"/>
      <charset val="1"/>
      <family val="2"/>
      <i val="1"/>
      <color rgb="FF595959"/>
      <sz val="8"/>
    </font>
    <font>
      <name val="Calibri"/>
      <charset val="1"/>
      <family val="2"/>
      <i val="1"/>
      <color rgb="FFC00000"/>
      <sz val="8"/>
    </font>
    <font>
      <name val="Calibri"/>
      <charset val="1"/>
      <family val="2"/>
      <i val="1"/>
      <color rgb="FF00B050"/>
      <sz val="8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b val="1"/>
      <color rgb="FF1F3864"/>
      <sz val="10"/>
    </font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rgb="FF595959"/>
      <sz val="11"/>
    </font>
    <font>
      <name val="Calibri"/>
      <charset val="1"/>
      <family val="2"/>
      <b val="1"/>
      <color rgb="FFC00000"/>
      <sz val="11"/>
    </font>
    <font>
      <name val="Calibri"/>
      <charset val="1"/>
      <family val="2"/>
      <i val="1"/>
      <color theme="1"/>
      <sz val="11"/>
    </font>
    <font>
      <name val="Calibri"/>
      <charset val="1"/>
      <family val="2"/>
      <i val="1"/>
      <color rgb="FF595959"/>
      <sz val="11"/>
    </font>
    <font>
      <name val="Calibri"/>
      <charset val="1"/>
      <family val="2"/>
      <color rgb="FF00B050"/>
      <sz val="11"/>
    </font>
    <font>
      <name val="Calibri"/>
      <charset val="1"/>
      <family val="2"/>
      <b val="1"/>
      <color rgb="FF00B050"/>
      <sz val="11"/>
    </font>
    <font>
      <name val="Calibri"/>
      <charset val="1"/>
      <family val="2"/>
      <color rgb="FFC00000"/>
      <sz val="11"/>
    </font>
    <font>
      <name val="Calibri"/>
      <charset val="1"/>
      <family val="2"/>
      <i val="1"/>
      <color rgb="FF00B050"/>
      <sz val="11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theme="1"/>
      <sz val="10"/>
    </font>
    <font>
      <name val="Calibri"/>
      <family val="2"/>
      <b val="1"/>
      <color rgb="FFFFFFFF"/>
      <sz val="12"/>
    </font>
    <font>
      <name val="Calibri"/>
      <charset val="1"/>
      <family val="2"/>
      <b val="1"/>
      <color rgb="FFC00000"/>
      <sz val="10"/>
    </font>
    <font>
      <name val="Calibri"/>
      <charset val="1"/>
      <family val="2"/>
      <b val="1"/>
      <color rgb="FFBF8F00"/>
      <sz val="10"/>
    </font>
    <font>
      <name val="Calibri"/>
      <charset val="1"/>
      <family val="2"/>
      <b val="1"/>
      <color rgb="FF548235"/>
      <sz val="10"/>
    </font>
  </fonts>
  <fills count="9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E559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3" fontId="6" fillId="3" borderId="0" applyAlignment="1" pivotButton="0" quotePrefix="0" xfId="0">
      <alignment horizontal="center"/>
    </xf>
    <xf numFmtId="164" fontId="6" fillId="3" borderId="0" applyAlignment="1" pivotButton="0" quotePrefix="0" xfId="0">
      <alignment horizontal="center"/>
    </xf>
    <xf numFmtId="165" fontId="6" fillId="3" borderId="0" applyAlignment="1" pivotButton="0" quotePrefix="0" xfId="0">
      <alignment horizontal="center"/>
    </xf>
    <xf numFmtId="164" fontId="7" fillId="3" borderId="0" applyAlignment="1" pivotButton="0" quotePrefix="0" xfId="0">
      <alignment horizontal="center"/>
    </xf>
    <xf numFmtId="1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10" fillId="3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2" fillId="3" borderId="0" pivotButton="0" quotePrefix="0" xfId="0"/>
    <xf numFmtId="0" fontId="12" fillId="3" borderId="0" applyAlignment="1" pivotButton="0" quotePrefix="0" xfId="0">
      <alignment horizontal="center"/>
    </xf>
    <xf numFmtId="3" fontId="13" fillId="0" borderId="0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0" borderId="0" pivotButton="0" quotePrefix="0" xfId="0"/>
    <xf numFmtId="166" fontId="13" fillId="0" borderId="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4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pivotButton="0" quotePrefix="0" xfId="0"/>
    <xf numFmtId="3" fontId="16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167" fontId="13" fillId="0" borderId="0" applyAlignment="1" pivotButton="0" quotePrefix="0" xfId="0">
      <alignment horizontal="center"/>
    </xf>
    <xf numFmtId="165" fontId="13" fillId="0" borderId="0" applyAlignment="1" pivotButton="0" quotePrefix="0" xfId="0">
      <alignment horizontal="center"/>
    </xf>
    <xf numFmtId="165" fontId="14" fillId="0" borderId="0" applyAlignment="1" pivotButton="0" quotePrefix="0" xfId="0">
      <alignment horizontal="center"/>
    </xf>
    <xf numFmtId="168" fontId="19" fillId="0" borderId="0" applyAlignment="1" pivotButton="0" quotePrefix="0" xfId="0">
      <alignment horizontal="center"/>
    </xf>
    <xf numFmtId="168" fontId="20" fillId="0" borderId="0" applyAlignment="1" pivotButton="0" quotePrefix="0" xfId="0">
      <alignment horizontal="center"/>
    </xf>
    <xf numFmtId="0" fontId="14" fillId="5" borderId="0" pivotButton="0" quotePrefix="0" xfId="0"/>
    <xf numFmtId="165" fontId="14" fillId="5" borderId="0" applyAlignment="1" pivotButton="0" quotePrefix="0" xfId="0">
      <alignment horizontal="center"/>
    </xf>
    <xf numFmtId="168" fontId="20" fillId="5" borderId="0" applyAlignment="1" pivotButton="0" quotePrefix="0" xfId="0">
      <alignment horizontal="center"/>
    </xf>
    <xf numFmtId="0" fontId="18" fillId="0" borderId="0" pivotButton="0" quotePrefix="0" xfId="0"/>
    <xf numFmtId="168" fontId="2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9" fontId="21" fillId="0" borderId="0" applyAlignment="1" pivotButton="0" quotePrefix="0" xfId="0">
      <alignment horizontal="center"/>
    </xf>
    <xf numFmtId="0" fontId="12" fillId="3" borderId="0" applyAlignment="1" pivotButton="0" quotePrefix="0" xfId="0">
      <alignment horizontal="right"/>
    </xf>
    <xf numFmtId="165" fontId="13" fillId="0" borderId="0" applyAlignment="1" pivotButton="0" quotePrefix="0" xfId="0">
      <alignment horizontal="right"/>
    </xf>
    <xf numFmtId="164" fontId="13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right"/>
    </xf>
    <xf numFmtId="170" fontId="13" fillId="0" borderId="0" applyAlignment="1" pivotButton="0" quotePrefix="0" xfId="0">
      <alignment horizontal="right"/>
    </xf>
    <xf numFmtId="164" fontId="21" fillId="0" borderId="0" applyAlignment="1" pivotButton="0" quotePrefix="0" xfId="0">
      <alignment horizontal="right"/>
    </xf>
    <xf numFmtId="0" fontId="14" fillId="6" borderId="0" pivotButton="0" quotePrefix="0" xfId="0"/>
    <xf numFmtId="168" fontId="14" fillId="6" borderId="0" applyAlignment="1" pivotButton="0" quotePrefix="0" xfId="0">
      <alignment horizontal="right"/>
    </xf>
    <xf numFmtId="168" fontId="20" fillId="6" borderId="0" applyAlignment="1" pivotButton="0" quotePrefix="0" xfId="0">
      <alignment horizontal="right"/>
    </xf>
    <xf numFmtId="169" fontId="14" fillId="6" borderId="0" applyAlignment="1" pivotButton="0" quotePrefix="0" xfId="0">
      <alignment horizontal="right"/>
    </xf>
    <xf numFmtId="164" fontId="14" fillId="6" borderId="0" applyAlignment="1" pivotButton="0" quotePrefix="0" xfId="0">
      <alignment horizontal="right"/>
    </xf>
    <xf numFmtId="0" fontId="18" fillId="6" borderId="0" applyAlignment="1" pivotButton="0" quotePrefix="0" xfId="0">
      <alignment horizontal="right"/>
    </xf>
    <xf numFmtId="165" fontId="14" fillId="0" borderId="0" applyAlignment="1" pivotButton="0" quotePrefix="0" xfId="0">
      <alignment horizontal="right"/>
    </xf>
    <xf numFmtId="171" fontId="16" fillId="0" borderId="0" applyAlignment="1" pivotButton="0" quotePrefix="0" xfId="0">
      <alignment horizontal="right"/>
    </xf>
    <xf numFmtId="10" fontId="20" fillId="0" borderId="0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171" fontId="21" fillId="0" borderId="0" applyAlignment="1" pivotButton="0" quotePrefix="0" xfId="0">
      <alignment horizontal="right"/>
    </xf>
    <xf numFmtId="10" fontId="19" fillId="0" borderId="0" applyAlignment="1" pivotButton="0" quotePrefix="0" xfId="0">
      <alignment horizontal="right"/>
    </xf>
    <xf numFmtId="172" fontId="13" fillId="0" borderId="0" applyAlignment="1" pivotButton="0" quotePrefix="0" xfId="0">
      <alignment horizontal="right"/>
    </xf>
    <xf numFmtId="173" fontId="13" fillId="0" borderId="0" applyAlignment="1" pivotButton="0" quotePrefix="0" xfId="0">
      <alignment horizontal="right"/>
    </xf>
    <xf numFmtId="0" fontId="23" fillId="0" borderId="0" pivotButton="0" quotePrefix="0" xfId="0"/>
    <xf numFmtId="1" fontId="23" fillId="0" borderId="0" applyAlignment="1" pivotButton="0" quotePrefix="0" xfId="0">
      <alignment horizontal="right"/>
    </xf>
    <xf numFmtId="164" fontId="23" fillId="0" borderId="0" applyAlignment="1" pivotButton="0" quotePrefix="0" xfId="0">
      <alignment horizontal="right"/>
    </xf>
    <xf numFmtId="174" fontId="23" fillId="0" borderId="0" applyAlignment="1" pivotButton="0" quotePrefix="0" xfId="0">
      <alignment horizontal="right"/>
    </xf>
    <xf numFmtId="0" fontId="24" fillId="0" borderId="0" pivotButton="0" quotePrefix="0" xfId="0"/>
    <xf numFmtId="1" fontId="24" fillId="0" borderId="0" applyAlignment="1" pivotButton="0" quotePrefix="0" xfId="0">
      <alignment horizontal="right"/>
    </xf>
    <xf numFmtId="164" fontId="24" fillId="0" borderId="0" applyAlignment="1" pivotButton="0" quotePrefix="0" xfId="0">
      <alignment horizontal="right"/>
    </xf>
    <xf numFmtId="174" fontId="24" fillId="0" borderId="0" applyAlignment="1" pivotButton="0" quotePrefix="0" xfId="0">
      <alignment horizontal="right"/>
    </xf>
    <xf numFmtId="0" fontId="25" fillId="7" borderId="0" applyAlignment="1" pivotButton="0" quotePrefix="0" xfId="0">
      <alignment horizontal="center"/>
    </xf>
    <xf numFmtId="0" fontId="24" fillId="3" borderId="0" applyAlignment="1" pivotButton="0" quotePrefix="0" xfId="0">
      <alignment horizontal="left"/>
    </xf>
    <xf numFmtId="0" fontId="24" fillId="3" borderId="0" applyAlignment="1" pivotButton="0" quotePrefix="0" xfId="0">
      <alignment horizontal="right"/>
    </xf>
    <xf numFmtId="0" fontId="24" fillId="8" borderId="0" pivotButton="0" quotePrefix="0" xfId="0"/>
    <xf numFmtId="1" fontId="24" fillId="8" borderId="0" applyAlignment="1" pivotButton="0" quotePrefix="0" xfId="0">
      <alignment horizontal="right"/>
    </xf>
    <xf numFmtId="164" fontId="24" fillId="8" borderId="0" applyAlignment="1" pivotButton="0" quotePrefix="0" xfId="0">
      <alignment horizontal="right"/>
    </xf>
    <xf numFmtId="174" fontId="24" fillId="8" borderId="0" applyAlignment="1" pivotButton="0" quotePrefix="0" xfId="0">
      <alignment horizontal="right"/>
    </xf>
    <xf numFmtId="0" fontId="25" fillId="7" borderId="0" pivotButton="0" quotePrefix="0" xfId="0"/>
    <xf numFmtId="175" fontId="26" fillId="0" borderId="0" applyAlignment="1" pivotButton="0" quotePrefix="0" xfId="0">
      <alignment horizontal="right"/>
    </xf>
    <xf numFmtId="176" fontId="26" fillId="0" borderId="0" applyAlignment="1" pivotButton="0" quotePrefix="0" xfId="0">
      <alignment horizontal="right"/>
    </xf>
    <xf numFmtId="174" fontId="27" fillId="0" borderId="0" applyAlignment="1" pivotButton="0" quotePrefix="0" xfId="0">
      <alignment horizontal="right"/>
    </xf>
    <xf numFmtId="164" fontId="27" fillId="0" borderId="0" applyAlignment="1" pivotButton="0" quotePrefix="0" xfId="0">
      <alignment horizontal="right"/>
    </xf>
    <xf numFmtId="10" fontId="28" fillId="0" borderId="0" applyAlignment="1" pivotButton="0" quotePrefix="0" xfId="0">
      <alignment horizontal="right"/>
    </xf>
    <xf numFmtId="165" fontId="28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2" customWidth="1" min="1" max="1"/>
    <col width="29.1640625" customWidth="1" min="2" max="2"/>
    <col width="15.83203125" customWidth="1" min="3" max="3"/>
    <col width="16.6640625" customWidth="1" min="4" max="4"/>
    <col width="17.5" customWidth="1" min="5" max="5"/>
    <col width="15.83203125" customWidth="1" min="7" max="7"/>
    <col width="21.6640625" customWidth="1" min="8" max="8"/>
  </cols>
  <sheetData>
    <row r="1"/>
    <row r="2" ht="24" customHeight="1">
      <c r="B2" s="1" t="inlineStr">
        <is>
          <t>SENIOR HOUSING — INVESTMENT DASHBOARD</t>
        </is>
      </c>
    </row>
    <row r="3">
      <c r="B3" s="2">
        <f>"Property: " &amp; 'T12 Analytics'!B2 &amp; "  |  T12 Period: " &amp; 'T12 Analytics'!E2 &amp; "  |  Basis: " &amp; 'T12 Analytics'!H2</f>
        <v/>
      </c>
    </row>
    <row r="4">
      <c r="B4" s="3" t="inlineStr">
        <is>
          <t>All KPIs link live to T12 Analytics and Rent Roll Recon. Update source tabs and values refresh.</t>
        </is>
      </c>
    </row>
    <row r="5"/>
    <row r="6">
      <c r="B6" s="4" t="inlineStr">
        <is>
          <t>AT-A-GLANCE  —  T12 ACTUAL</t>
        </is>
      </c>
    </row>
    <row r="7">
      <c r="B7" s="5" t="inlineStr">
        <is>
          <t>Total Licensed Beds</t>
        </is>
      </c>
      <c r="C7" s="5" t="inlineStr">
        <is>
          <t>Physical Occupancy</t>
        </is>
      </c>
      <c r="D7" s="5" t="inlineStr">
        <is>
          <t>Effective Gross Income</t>
        </is>
      </c>
      <c r="E7" s="5" t="inlineStr">
        <is>
          <t>EBITDARM Margin</t>
        </is>
      </c>
      <c r="F7" s="5" t="inlineStr">
        <is>
          <t>Going-In Cap (EBITDARM)</t>
        </is>
      </c>
      <c r="G7" s="5" t="inlineStr">
        <is>
          <t>Price / Licensed Bed</t>
        </is>
      </c>
    </row>
    <row r="8" ht="26" customHeight="1">
      <c r="B8" s="6">
        <f>'T12 Analytics'!E6</f>
        <v/>
      </c>
      <c r="C8" s="7">
        <f>'T12 Analytics'!E8</f>
        <v/>
      </c>
      <c r="D8" s="8">
        <f>'T12 Analytics'!E52</f>
        <v/>
      </c>
      <c r="E8" s="9">
        <f>'T12 Analytics'!E162</f>
        <v/>
      </c>
      <c r="F8" s="10">
        <f>'T12 Analytics'!E118</f>
        <v/>
      </c>
      <c r="G8" s="8">
        <f>'T12 Analytics'!E123</f>
        <v/>
      </c>
    </row>
    <row r="9">
      <c r="B9" s="11">
        <f>"IL " &amp; 'T12 Analytics'!B6 &amp; " / AL " &amp; 'T12 Analytics'!C6 &amp; " / MC " &amp; 'T12 Analytics'!D6</f>
        <v/>
      </c>
      <c r="C9" s="12">
        <f>"Target " &amp; TEXT('T12 Analytics'!E10,"0%") &amp; "  |  Gap " &amp; TEXT('T12 Analytics'!E10-'T12 Analytics'!E8,"0.0%")</f>
        <v/>
      </c>
      <c r="D9" s="11">
        <f>"Normalized: " &amp; TEXT('T12 Analytics'!F52,"$#,##0")</f>
        <v/>
      </c>
      <c r="E9" s="13">
        <f>"Normalized: " &amp; TEXT('T12 Analytics'!F162,"0.0%")</f>
        <v/>
      </c>
      <c r="F9" s="13">
        <f>"Stabilized: " &amp; TEXT('T12 Analytics'!F118,"0.00%")</f>
        <v/>
      </c>
      <c r="G9" s="11">
        <f>"Purchase: " &amp; TEXT('T12 Analytics'!E117,"$#,##0,") &amp; "K"</f>
        <v/>
      </c>
    </row>
    <row r="10"/>
    <row r="11" ht="16" customHeight="1">
      <c r="B11" s="14" t="inlineStr">
        <is>
          <t>1.  OCCUPANCY &amp; CAPACITY</t>
        </is>
      </c>
    </row>
    <row r="12">
      <c r="B12" s="15" t="inlineStr">
        <is>
          <t>Metric</t>
        </is>
      </c>
      <c r="C12" s="16" t="inlineStr">
        <is>
          <t>IL</t>
        </is>
      </c>
      <c r="D12" s="16" t="inlineStr">
        <is>
          <t>AL</t>
        </is>
      </c>
      <c r="E12" s="16" t="inlineStr">
        <is>
          <t>MC</t>
        </is>
      </c>
      <c r="F12" s="16" t="inlineStr">
        <is>
          <t>Total</t>
        </is>
      </c>
      <c r="G12" s="16" t="inlineStr">
        <is>
          <t>Target</t>
        </is>
      </c>
      <c r="H12" s="16" t="inlineStr">
        <is>
          <t>Status</t>
        </is>
      </c>
    </row>
    <row r="13">
      <c r="B13" t="inlineStr">
        <is>
          <t>Licensed beds</t>
        </is>
      </c>
      <c r="C13" s="17">
        <f>'T12 Analytics'!B6</f>
        <v/>
      </c>
      <c r="D13" s="17">
        <f>'T12 Analytics'!C6</f>
        <v/>
      </c>
      <c r="E13" s="17">
        <f>'T12 Analytics'!D6</f>
        <v/>
      </c>
      <c r="F13" s="18">
        <f>'T12 Analytics'!E6</f>
        <v/>
      </c>
      <c r="G13" s="19" t="n"/>
      <c r="H13" s="19" t="n"/>
    </row>
    <row r="14">
      <c r="B14" t="inlineStr">
        <is>
          <t>Avg occupied beds (T12)</t>
        </is>
      </c>
      <c r="C14" s="17">
        <f>'T12 Analytics'!B7</f>
        <v/>
      </c>
      <c r="D14" s="17">
        <f>'T12 Analytics'!C7</f>
        <v/>
      </c>
      <c r="E14" s="17">
        <f>'T12 Analytics'!D7</f>
        <v/>
      </c>
      <c r="F14" s="18">
        <f>'T12 Analytics'!E7</f>
        <v/>
      </c>
      <c r="G14" s="19" t="n"/>
      <c r="H14" s="19" t="n"/>
    </row>
    <row r="15">
      <c r="B15" s="20" t="inlineStr">
        <is>
          <t>Physical occupancy %</t>
        </is>
      </c>
      <c r="C15" s="21">
        <f>'T12 Analytics'!B8</f>
        <v/>
      </c>
      <c r="D15" s="22">
        <f>'T12 Analytics'!C8</f>
        <v/>
      </c>
      <c r="E15" s="22">
        <f>'T12 Analytics'!D8</f>
        <v/>
      </c>
      <c r="F15" s="23">
        <f>'T12 Analytics'!E8</f>
        <v/>
      </c>
      <c r="G15" s="24">
        <f>'T12 Analytics'!E10</f>
        <v/>
      </c>
      <c r="H15" s="25">
        <f>IF(F15&gt;=G15,"✓ At target",IF(F15&gt;=G15-0.1,"⚠ Below","✗ Distressed"))</f>
        <v/>
      </c>
    </row>
    <row r="16">
      <c r="B16" t="inlineStr">
        <is>
          <t>Vacant beds</t>
        </is>
      </c>
      <c r="C16" s="17">
        <f>'Rent Roll Recon'!B9</f>
        <v/>
      </c>
      <c r="D16" s="17">
        <f>'Rent Roll Recon'!C9</f>
        <v/>
      </c>
      <c r="E16" s="17">
        <f>'Rent Roll Recon'!D9</f>
        <v/>
      </c>
      <c r="F16" s="18">
        <f>'Rent Roll Recon'!E9</f>
        <v/>
      </c>
      <c r="G16" s="19" t="n"/>
      <c r="H16" s="19" t="n"/>
    </row>
    <row r="17">
      <c r="B17" s="26" t="inlineStr">
        <is>
          <t>Beds to fill (to stabilization)</t>
        </is>
      </c>
      <c r="C17" s="17">
        <f>MAX(0,'T12 Analytics'!B11-'T12 Analytics'!B7)</f>
        <v/>
      </c>
      <c r="D17" s="17">
        <f>MAX(0,'T12 Analytics'!C11-'T12 Analytics'!C7)</f>
        <v/>
      </c>
      <c r="E17" s="17">
        <f>MAX(0,'T12 Analytics'!D11-'T12 Analytics'!D7)</f>
        <v/>
      </c>
      <c r="F17" s="27">
        <f>SUM(C17:E17)</f>
        <v/>
      </c>
      <c r="G17" s="19" t="n"/>
      <c r="H17" s="28" t="inlineStr">
        <is>
          <t>Lease-up runway</t>
        </is>
      </c>
    </row>
    <row r="18">
      <c r="C18" s="19" t="n"/>
      <c r="D18" s="19" t="n"/>
      <c r="E18" s="19" t="n"/>
      <c r="F18" s="19" t="n"/>
      <c r="G18" s="19" t="n"/>
      <c r="H18" s="19" t="n"/>
    </row>
    <row r="19" ht="16" customHeight="1">
      <c r="B19" s="14" t="inlineStr">
        <is>
          <t>2.  REVENUE &amp; RATE PERFORMANCE</t>
        </is>
      </c>
    </row>
    <row r="20">
      <c r="B20" s="15" t="inlineStr">
        <is>
          <t>Metric</t>
        </is>
      </c>
      <c r="C20" s="16" t="inlineStr">
        <is>
          <t>IL</t>
        </is>
      </c>
      <c r="D20" s="16" t="inlineStr">
        <is>
          <t>AL</t>
        </is>
      </c>
      <c r="E20" s="16" t="inlineStr">
        <is>
          <t>MC</t>
        </is>
      </c>
      <c r="F20" s="16" t="inlineStr">
        <is>
          <t>Blended</t>
        </is>
      </c>
      <c r="G20" s="16" t="inlineStr">
        <is>
          <t>Normalized</t>
        </is>
      </c>
      <c r="H20" s="16" t="inlineStr">
        <is>
          <t>Delta</t>
        </is>
      </c>
    </row>
    <row r="21">
      <c r="B21" s="20" t="inlineStr">
        <is>
          <t>ADR (base $/occ bed/mo)</t>
        </is>
      </c>
      <c r="C21" s="29">
        <f>'T12 Analytics'!B17</f>
        <v/>
      </c>
      <c r="D21" s="30">
        <f>'T12 Analytics'!C17</f>
        <v/>
      </c>
      <c r="E21" s="30">
        <f>'T12 Analytics'!D17</f>
        <v/>
      </c>
      <c r="F21" s="31">
        <f>'T12 Analytics'!E17</f>
        <v/>
      </c>
      <c r="G21" s="19" t="n"/>
      <c r="H21" s="19" t="n"/>
    </row>
    <row r="22">
      <c r="B22" t="inlineStr">
        <is>
          <t>RevPOR (base + LOC)</t>
        </is>
      </c>
      <c r="C22" s="29">
        <f>'T12 Analytics'!E141</f>
        <v/>
      </c>
      <c r="D22" s="30">
        <f>'T12 Analytics'!E142</f>
        <v/>
      </c>
      <c r="E22" s="30">
        <f>'T12 Analytics'!E143</f>
        <v/>
      </c>
      <c r="F22" s="31">
        <f>'T12 Analytics'!E144</f>
        <v/>
      </c>
      <c r="G22" s="30">
        <f>'T12 Analytics'!F144</f>
        <v/>
      </c>
      <c r="H22" s="19" t="n"/>
    </row>
    <row r="23">
      <c r="B23" s="26" t="inlineStr">
        <is>
          <t>RevPAB ($/available bed/mo)</t>
        </is>
      </c>
      <c r="C23" s="19" t="n"/>
      <c r="D23" s="19" t="n"/>
      <c r="E23" s="19" t="n"/>
      <c r="F23" s="31">
        <f>'T12 Analytics'!E145</f>
        <v/>
      </c>
      <c r="G23" s="30">
        <f>'T12 Analytics'!F145</f>
        <v/>
      </c>
      <c r="H23" s="32">
        <f>G23-F23</f>
        <v/>
      </c>
    </row>
    <row r="24">
      <c r="B24" s="26" t="inlineStr">
        <is>
          <t>LOC % of base rent (acuity)</t>
        </is>
      </c>
      <c r="C24" s="19" t="n"/>
      <c r="D24" s="19" t="n"/>
      <c r="E24" s="19" t="n"/>
      <c r="F24" s="22">
        <f>'T12 Analytics'!E146</f>
        <v/>
      </c>
      <c r="G24" s="22">
        <f>'T12 Analytics'!F146</f>
        <v/>
      </c>
      <c r="H24" s="19" t="n"/>
    </row>
    <row r="25">
      <c r="B25" s="20" t="inlineStr">
        <is>
          <t>T12 Base Rent ($)</t>
        </is>
      </c>
      <c r="C25" s="30">
        <f>'T12 Analytics'!B16</f>
        <v/>
      </c>
      <c r="D25" s="30">
        <f>'T12 Analytics'!C16</f>
        <v/>
      </c>
      <c r="E25" s="30">
        <f>'T12 Analytics'!D16</f>
        <v/>
      </c>
      <c r="F25" s="31">
        <f>'T12 Analytics'!E16</f>
        <v/>
      </c>
      <c r="G25" s="30">
        <f>'T12 Analytics'!F20</f>
        <v/>
      </c>
      <c r="H25" s="33">
        <f>G25-F25</f>
        <v/>
      </c>
    </row>
    <row r="26">
      <c r="B26" t="inlineStr">
        <is>
          <t>T12 LOC Revenue ($)</t>
        </is>
      </c>
      <c r="C26" s="30">
        <f>'T12 Analytics'!B23</f>
        <v/>
      </c>
      <c r="D26" s="30">
        <f>'T12 Analytics'!C23</f>
        <v/>
      </c>
      <c r="E26" s="30">
        <f>'T12 Analytics'!D23</f>
        <v/>
      </c>
      <c r="F26" s="31">
        <f>'T12 Analytics'!E23</f>
        <v/>
      </c>
      <c r="G26" s="30">
        <f>'T12 Analytics'!F27</f>
        <v/>
      </c>
      <c r="H26" s="32">
        <f>G26-F26</f>
        <v/>
      </c>
    </row>
    <row r="27">
      <c r="B27" s="34" t="inlineStr">
        <is>
          <t>Effective Gross Income (EGI)</t>
        </is>
      </c>
      <c r="C27" s="19" t="n"/>
      <c r="D27" s="19" t="n"/>
      <c r="E27" s="19" t="n"/>
      <c r="F27" s="35">
        <f>'T12 Analytics'!E52</f>
        <v/>
      </c>
      <c r="G27" s="35">
        <f>'T12 Analytics'!F52</f>
        <v/>
      </c>
      <c r="H27" s="36">
        <f>G27-F27</f>
        <v/>
      </c>
    </row>
    <row r="28">
      <c r="B28" s="37" t="inlineStr">
        <is>
          <t>RR  /  T12 base rent gap (annualized)</t>
        </is>
      </c>
      <c r="D28" s="19" t="n"/>
      <c r="E28" s="19" t="n"/>
      <c r="F28" s="38">
        <f>'Rent Roll Recon'!E20</f>
        <v/>
      </c>
      <c r="G28" s="39" t="inlineStr">
        <is>
          <t>% of T12</t>
        </is>
      </c>
      <c r="H28" s="40">
        <f>IFERROR('Rent Roll Recon'!E20/'Rent Roll Recon'!E19,"-")</f>
        <v/>
      </c>
    </row>
    <row r="29"/>
    <row r="30" ht="16" customHeight="1">
      <c r="B30" s="14" t="inlineStr">
        <is>
          <t>3.  MARGIN &amp; COST STRUCTURE</t>
        </is>
      </c>
    </row>
    <row r="31">
      <c r="B31" s="15" t="inlineStr">
        <is>
          <t>Metric</t>
        </is>
      </c>
      <c r="C31" s="41" t="inlineStr">
        <is>
          <t>T12 Actual</t>
        </is>
      </c>
      <c r="D31" s="41" t="inlineStr">
        <is>
          <t>Normalized</t>
        </is>
      </c>
      <c r="E31" s="41" t="inlineStr">
        <is>
          <t>Benchmark</t>
        </is>
      </c>
    </row>
    <row r="32">
      <c r="B32" t="inlineStr">
        <is>
          <t>Total Operating Expenses (excl. mgmt)</t>
        </is>
      </c>
      <c r="C32" s="42">
        <f>'T12 Analytics'!E105</f>
        <v/>
      </c>
      <c r="D32" s="42">
        <f>'T12 Analytics'!F105</f>
        <v/>
      </c>
    </row>
    <row r="33">
      <c r="B33" t="inlineStr">
        <is>
          <t xml:space="preserve">  Total labor &amp; burden (% EGI)</t>
        </is>
      </c>
      <c r="C33" s="43">
        <f>'T12 Analytics'!E148</f>
        <v/>
      </c>
      <c r="D33" s="43">
        <f>'T12 Analytics'!F148</f>
        <v/>
      </c>
      <c r="E33" s="44" t="inlineStr">
        <is>
          <t>55–65%</t>
        </is>
      </c>
    </row>
    <row r="34">
      <c r="B34" t="inlineStr">
        <is>
          <t xml:space="preserve">  Contract / agency labor (% direct)</t>
        </is>
      </c>
      <c r="C34" s="43">
        <f>'T12 Analytics'!E152</f>
        <v/>
      </c>
      <c r="D34" s="43">
        <f>'T12 Analytics'!F152</f>
        <v/>
      </c>
      <c r="E34" s="44" t="inlineStr">
        <is>
          <t>≤3%</t>
        </is>
      </c>
    </row>
    <row r="35">
      <c r="B35" t="inlineStr">
        <is>
          <t xml:space="preserve">  Overtime (% direct wages)</t>
        </is>
      </c>
      <c r="C35" s="43">
        <f>'T12 Analytics'!E150</f>
        <v/>
      </c>
      <c r="D35" s="43">
        <f>'T12 Analytics'!F150</f>
        <v/>
      </c>
      <c r="E35" s="44" t="inlineStr">
        <is>
          <t>≤5%</t>
        </is>
      </c>
    </row>
    <row r="36">
      <c r="B36" t="inlineStr">
        <is>
          <t xml:space="preserve">  Food cost (% EGI)</t>
        </is>
      </c>
      <c r="C36" s="43">
        <f>'T12 Analytics'!E155</f>
        <v/>
      </c>
      <c r="D36" s="43">
        <f>'T12 Analytics'!F155</f>
        <v/>
      </c>
      <c r="E36" s="44" t="inlineStr">
        <is>
          <t>6–9%</t>
        </is>
      </c>
    </row>
    <row r="37">
      <c r="B37" t="inlineStr">
        <is>
          <t xml:space="preserve">  Food cost per patient day (PPD)</t>
        </is>
      </c>
      <c r="C37" s="45">
        <f>'T12 Analytics'!E154</f>
        <v/>
      </c>
      <c r="D37" s="45">
        <f>'T12 Analytics'!F154</f>
        <v/>
      </c>
      <c r="E37" s="44" t="inlineStr">
        <is>
          <t>$8–14</t>
        </is>
      </c>
    </row>
    <row r="38">
      <c r="B38" t="inlineStr">
        <is>
          <t xml:space="preserve">  P&amp;C insurance (% EGI)</t>
        </is>
      </c>
      <c r="C38" s="43">
        <f>'T12 Analytics'!E159</f>
        <v/>
      </c>
      <c r="D38" s="43">
        <f>'T12 Analytics'!F159</f>
        <v/>
      </c>
      <c r="E38" s="44" t="inlineStr">
        <is>
          <t>4–7%</t>
        </is>
      </c>
    </row>
    <row r="39">
      <c r="B39" t="inlineStr">
        <is>
          <t xml:space="preserve">  Bad debt (% gross revenue)</t>
        </is>
      </c>
      <c r="C39" s="46">
        <f>'T12 Analytics'!E158</f>
        <v/>
      </c>
      <c r="D39" s="43">
        <f>'T12 Analytics'!F158</f>
        <v/>
      </c>
      <c r="E39" s="44" t="inlineStr">
        <is>
          <t>≤2%</t>
        </is>
      </c>
    </row>
    <row r="40">
      <c r="B40" t="inlineStr">
        <is>
          <t xml:space="preserve">  Mgmt fee (% revenue)</t>
        </is>
      </c>
      <c r="C40" s="43">
        <f>'T12 Analytics'!E157</f>
        <v/>
      </c>
      <c r="D40" s="43">
        <f>'T12 Analytics'!F157</f>
        <v/>
      </c>
      <c r="E40" s="44" t="inlineStr">
        <is>
          <t>5–7%</t>
        </is>
      </c>
    </row>
    <row r="41">
      <c r="B41" t="inlineStr">
        <is>
          <t>OpEx per occupied bed / month</t>
        </is>
      </c>
      <c r="C41" s="42">
        <f>'T12 Analytics'!E160</f>
        <v/>
      </c>
      <c r="D41" s="42">
        <f>'T12 Analytics'!F160</f>
        <v/>
      </c>
    </row>
    <row r="42"/>
    <row r="43">
      <c r="B43" s="47" t="inlineStr">
        <is>
          <t>EBITDARM ($)</t>
        </is>
      </c>
      <c r="C43" s="48">
        <f>'T12 Analytics'!E108</f>
        <v/>
      </c>
      <c r="D43" s="48">
        <f>'T12 Analytics'!F108</f>
        <v/>
      </c>
      <c r="E43" s="49">
        <f>D43-C43</f>
        <v/>
      </c>
    </row>
    <row r="44">
      <c r="B44" s="47" t="inlineStr">
        <is>
          <t>EBITDARM margin (%)</t>
        </is>
      </c>
      <c r="C44" s="50">
        <f>'T12 Analytics'!E162</f>
        <v/>
      </c>
      <c r="D44" s="51">
        <f>'T12 Analytics'!F162</f>
        <v/>
      </c>
      <c r="E44" s="52" t="inlineStr">
        <is>
          <t>20–30%+</t>
        </is>
      </c>
    </row>
    <row r="45">
      <c r="B45" s="47" t="inlineStr">
        <is>
          <t>EBITDAR ($, after mgmt fee)</t>
        </is>
      </c>
      <c r="C45" s="48">
        <f>'T12 Analytics'!E110</f>
        <v/>
      </c>
      <c r="D45" s="48">
        <f>'T12 Analytics'!F110</f>
        <v/>
      </c>
      <c r="E45" s="52" t="inlineStr">
        <is>
          <t>15–25%+</t>
        </is>
      </c>
    </row>
    <row r="46">
      <c r="B46" s="47" t="inlineStr">
        <is>
          <t>EBITDAR margin (%)</t>
        </is>
      </c>
      <c r="C46" s="50">
        <f>'T12 Analytics'!E164</f>
        <v/>
      </c>
      <c r="D46" s="51">
        <f>'T12 Analytics'!F164</f>
        <v/>
      </c>
    </row>
    <row r="47"/>
    <row r="48" ht="16" customHeight="1">
      <c r="B48" s="14" t="inlineStr">
        <is>
          <t>4.  VALUATION &amp; ACQUISITION METRICS</t>
        </is>
      </c>
    </row>
    <row r="49">
      <c r="B49" s="15" t="inlineStr">
        <is>
          <t>Metric</t>
        </is>
      </c>
      <c r="C49" s="41" t="inlineStr">
        <is>
          <t>T12 Actual</t>
        </is>
      </c>
      <c r="D49" s="41" t="inlineStr">
        <is>
          <t>Normalized</t>
        </is>
      </c>
      <c r="E49" s="41" t="inlineStr">
        <is>
          <t>Note</t>
        </is>
      </c>
    </row>
    <row r="50">
      <c r="B50" t="inlineStr">
        <is>
          <t>Purchase price</t>
        </is>
      </c>
      <c r="C50" s="53">
        <f>'T12 Analytics'!E117</f>
        <v/>
      </c>
      <c r="D50" s="42">
        <f>'T12 Analytics'!F117</f>
        <v/>
      </c>
      <c r="E50" s="44" t="inlineStr">
        <is>
          <t>Input</t>
        </is>
      </c>
    </row>
    <row r="51">
      <c r="B51" s="20" t="inlineStr">
        <is>
          <t>Going-in cap rate (EBITDARM)</t>
        </is>
      </c>
      <c r="C51" s="54">
        <f>'T12 Analytics'!E118</f>
        <v/>
      </c>
      <c r="D51" s="55">
        <f>'T12 Analytics'!F118</f>
        <v/>
      </c>
      <c r="E51" s="56">
        <f>"Expansion: +" &amp; TEXT(D51-C51,"0.00%")</f>
        <v/>
      </c>
    </row>
    <row r="52">
      <c r="B52" t="inlineStr">
        <is>
          <t>Going-in cap rate (EBITDAR, post mgmt)</t>
        </is>
      </c>
      <c r="C52" s="57">
        <f>'T12 Analytics'!E120</f>
        <v/>
      </c>
      <c r="D52" s="58">
        <f>'T12 Analytics'!F120</f>
        <v/>
      </c>
    </row>
    <row r="53">
      <c r="B53" t="inlineStr">
        <is>
          <t>Price per licensed bed</t>
        </is>
      </c>
      <c r="C53" s="42">
        <f>'T12 Analytics'!E123</f>
        <v/>
      </c>
    </row>
    <row r="54">
      <c r="B54" s="26" t="inlineStr">
        <is>
          <t xml:space="preserve">  Price per AL bed</t>
        </is>
      </c>
      <c r="C54" s="42">
        <f>'T12 Analytics'!E124</f>
        <v/>
      </c>
    </row>
    <row r="55">
      <c r="B55" s="26" t="inlineStr">
        <is>
          <t xml:space="preserve">  Price per MC bed</t>
        </is>
      </c>
      <c r="C55" s="42">
        <f>'T12 Analytics'!E125</f>
        <v/>
      </c>
    </row>
    <row r="56">
      <c r="B56" t="inlineStr">
        <is>
          <t>Gross Revenue Multiple</t>
        </is>
      </c>
      <c r="C56" s="59">
        <f>'T12 Analytics'!E127</f>
        <v/>
      </c>
      <c r="D56" s="59">
        <f>'T12 Analytics'!F127</f>
        <v/>
      </c>
    </row>
    <row r="57">
      <c r="B57" t="inlineStr">
        <is>
          <t>EBITDARM multiple</t>
        </is>
      </c>
      <c r="C57" s="60">
        <f>'T12 Analytics'!E128</f>
        <v/>
      </c>
      <c r="D57" s="59">
        <f>'T12 Analytics'!F128</f>
        <v/>
      </c>
    </row>
    <row r="58"/>
    <row r="59" ht="16" customHeight="1">
      <c r="B59" s="14" t="inlineStr">
        <is>
          <t>5.  PAYER MIX  &amp;  ACUITY  (from Rent Roll)</t>
        </is>
      </c>
    </row>
    <row r="60">
      <c r="B60" s="15" t="inlineStr">
        <is>
          <t>Payer Type</t>
        </is>
      </c>
      <c r="C60" s="41" t="inlineStr">
        <is>
          <t>Residents</t>
        </is>
      </c>
      <c r="D60" s="41" t="inlineStr">
        <is>
          <t>% Mix</t>
        </is>
      </c>
      <c r="E60" s="41" t="inlineStr">
        <is>
          <t>Monthly Rev</t>
        </is>
      </c>
      <c r="F60" s="41" t="inlineStr">
        <is>
          <t>% Revenue</t>
        </is>
      </c>
    </row>
    <row r="61">
      <c r="B61" s="61" t="inlineStr">
        <is>
          <t>Private Pay</t>
        </is>
      </c>
      <c r="C61" s="62">
        <f>'Rent Roll Recon'!B40</f>
        <v/>
      </c>
      <c r="D61" s="63">
        <f>'Rent Roll Recon'!C40</f>
        <v/>
      </c>
      <c r="E61" s="64">
        <f>'Rent Roll Recon'!H40</f>
        <v/>
      </c>
      <c r="F61" s="63">
        <f>'Rent Roll Recon'!I40</f>
        <v/>
      </c>
    </row>
    <row r="62">
      <c r="B62" s="61" t="inlineStr">
        <is>
          <t>Medicaid</t>
        </is>
      </c>
      <c r="C62" s="62">
        <f>'Rent Roll Recon'!B41</f>
        <v/>
      </c>
      <c r="D62" s="63">
        <f>'Rent Roll Recon'!C41</f>
        <v/>
      </c>
      <c r="E62" s="64">
        <f>'Rent Roll Recon'!H41</f>
        <v/>
      </c>
      <c r="F62" s="63">
        <f>'Rent Roll Recon'!I41</f>
        <v/>
      </c>
    </row>
    <row r="63">
      <c r="B63" s="61" t="inlineStr">
        <is>
          <t>LTC Insurance</t>
        </is>
      </c>
      <c r="C63" s="62">
        <f>'Rent Roll Recon'!B42</f>
        <v/>
      </c>
      <c r="D63" s="63">
        <f>'Rent Roll Recon'!C42</f>
        <v/>
      </c>
      <c r="E63" s="64">
        <f>'Rent Roll Recon'!H42</f>
        <v/>
      </c>
      <c r="F63" s="63">
        <f>'Rent Roll Recon'!I42</f>
        <v/>
      </c>
    </row>
    <row r="64">
      <c r="B64" s="61" t="inlineStr">
        <is>
          <t>VA</t>
        </is>
      </c>
      <c r="C64" s="62">
        <f>'Rent Roll Recon'!B43</f>
        <v/>
      </c>
      <c r="D64" s="63">
        <f>'Rent Roll Recon'!C43</f>
        <v/>
      </c>
      <c r="E64" s="64">
        <f>'Rent Roll Recon'!H43</f>
        <v/>
      </c>
      <c r="F64" s="63">
        <f>'Rent Roll Recon'!I43</f>
        <v/>
      </c>
    </row>
    <row r="65">
      <c r="B65" s="61" t="inlineStr">
        <is>
          <t>Managed Care</t>
        </is>
      </c>
      <c r="C65" s="62">
        <f>'Rent Roll Recon'!B44</f>
        <v/>
      </c>
      <c r="D65" s="63">
        <f>'Rent Roll Recon'!C44</f>
        <v/>
      </c>
      <c r="E65" s="64">
        <f>'Rent Roll Recon'!H44</f>
        <v/>
      </c>
      <c r="F65" s="63">
        <f>'Rent Roll Recon'!I44</f>
        <v/>
      </c>
    </row>
    <row r="66">
      <c r="B66" s="61" t="inlineStr">
        <is>
          <t>Self-Pay</t>
        </is>
      </c>
      <c r="C66" s="62">
        <f>'Rent Roll Recon'!B45</f>
        <v/>
      </c>
      <c r="D66" s="63">
        <f>'Rent Roll Recon'!C45</f>
        <v/>
      </c>
      <c r="E66" s="64">
        <f>'Rent Roll Recon'!H45</f>
        <v/>
      </c>
      <c r="F66" s="63">
        <f>'Rent Roll Recon'!I45</f>
        <v/>
      </c>
    </row>
    <row r="67">
      <c r="B67" s="65" t="inlineStr">
        <is>
          <t>Other</t>
        </is>
      </c>
      <c r="C67" s="66">
        <f>'Rent Roll Recon'!B46</f>
        <v/>
      </c>
      <c r="D67" s="67">
        <f>'Rent Roll Recon'!C46</f>
        <v/>
      </c>
      <c r="E67" s="68">
        <f>'Rent Roll Recon'!H46</f>
        <v/>
      </c>
      <c r="F67" s="67">
        <f>'Rent Roll Recon'!I46</f>
        <v/>
      </c>
    </row>
    <row r="68">
      <c r="B68" s="65" t="inlineStr">
        <is>
          <t>Total</t>
        </is>
      </c>
      <c r="C68" s="66">
        <f>SUM(C61:C67)</f>
        <v/>
      </c>
      <c r="D68" s="67">
        <f>SUM(D61:D67)</f>
        <v/>
      </c>
      <c r="E68" s="68">
        <f>SUM(E61:E67)</f>
        <v/>
      </c>
      <c r="F68" s="67">
        <f>SUM(F61:F67)</f>
        <v/>
      </c>
    </row>
    <row r="69"/>
    <row r="70" ht="16" customHeight="1">
      <c r="B70" s="69" t="inlineStr">
        <is>
          <t>6  ·  AL CARE LEVEL DISTRIBUTION (acuity mix)</t>
        </is>
      </c>
    </row>
    <row r="71"/>
    <row r="72">
      <c r="B72" s="70" t="inlineStr">
        <is>
          <t>Care Level</t>
        </is>
      </c>
      <c r="C72" s="71" t="inlineStr">
        <is>
          <t>Residents</t>
        </is>
      </c>
      <c r="D72" s="71" t="inlineStr">
        <is>
          <t>% Occupied</t>
        </is>
      </c>
      <c r="E72" s="71" t="inlineStr">
        <is>
          <t>Total $/mo</t>
        </is>
      </c>
      <c r="F72" s="71" t="inlineStr">
        <is>
          <t>Avg $/Res</t>
        </is>
      </c>
      <c r="G72" s="71" t="inlineStr">
        <is>
          <t>% LOC Rev</t>
        </is>
      </c>
    </row>
    <row r="73">
      <c r="B73" s="61" t="inlineStr">
        <is>
          <t>Basic</t>
        </is>
      </c>
      <c r="C73" s="62">
        <f>'Rent Roll Recon'!B59</f>
        <v/>
      </c>
      <c r="D73" s="63">
        <f>'Rent Roll Recon'!C59</f>
        <v/>
      </c>
      <c r="E73" s="64">
        <f>'Rent Roll Recon'!D59</f>
        <v/>
      </c>
      <c r="F73" s="64">
        <f>'Rent Roll Recon'!E59</f>
        <v/>
      </c>
      <c r="G73" s="63">
        <f>'Rent Roll Recon'!G59</f>
        <v/>
      </c>
    </row>
    <row r="74">
      <c r="B74" s="61" t="inlineStr">
        <is>
          <t>Level 2</t>
        </is>
      </c>
      <c r="C74" s="62">
        <f>'Rent Roll Recon'!B60</f>
        <v/>
      </c>
      <c r="D74" s="63">
        <f>'Rent Roll Recon'!C60</f>
        <v/>
      </c>
      <c r="E74" s="64">
        <f>'Rent Roll Recon'!D60</f>
        <v/>
      </c>
      <c r="F74" s="64">
        <f>'Rent Roll Recon'!E60</f>
        <v/>
      </c>
      <c r="G74" s="63">
        <f>'Rent Roll Recon'!G60</f>
        <v/>
      </c>
    </row>
    <row r="75">
      <c r="B75" s="61" t="inlineStr">
        <is>
          <t>Level 3</t>
        </is>
      </c>
      <c r="C75" s="62">
        <f>'Rent Roll Recon'!B61</f>
        <v/>
      </c>
      <c r="D75" s="63">
        <f>'Rent Roll Recon'!C61</f>
        <v/>
      </c>
      <c r="E75" s="64">
        <f>'Rent Roll Recon'!D61</f>
        <v/>
      </c>
      <c r="F75" s="64">
        <f>'Rent Roll Recon'!E61</f>
        <v/>
      </c>
      <c r="G75" s="63">
        <f>'Rent Roll Recon'!G61</f>
        <v/>
      </c>
    </row>
    <row r="76">
      <c r="B76" s="61" t="inlineStr">
        <is>
          <t>Level 4</t>
        </is>
      </c>
      <c r="C76" s="62">
        <f>'Rent Roll Recon'!B62</f>
        <v/>
      </c>
      <c r="D76" s="63">
        <f>'Rent Roll Recon'!C62</f>
        <v/>
      </c>
      <c r="E76" s="64">
        <f>'Rent Roll Recon'!D62</f>
        <v/>
      </c>
      <c r="F76" s="64">
        <f>'Rent Roll Recon'!E62</f>
        <v/>
      </c>
      <c r="G76" s="63">
        <f>'Rent Roll Recon'!G62</f>
        <v/>
      </c>
    </row>
    <row r="77">
      <c r="B77" s="61" t="inlineStr">
        <is>
          <t>Level 5</t>
        </is>
      </c>
      <c r="C77" s="62">
        <f>'Rent Roll Recon'!B63</f>
        <v/>
      </c>
      <c r="D77" s="63">
        <f>'Rent Roll Recon'!C63</f>
        <v/>
      </c>
      <c r="E77" s="64">
        <f>'Rent Roll Recon'!D63</f>
        <v/>
      </c>
      <c r="F77" s="64">
        <f>'Rent Roll Recon'!E63</f>
        <v/>
      </c>
      <c r="G77" s="63">
        <f>'Rent Roll Recon'!G63</f>
        <v/>
      </c>
    </row>
    <row r="78">
      <c r="B78" s="61" t="inlineStr">
        <is>
          <t>Level 6</t>
        </is>
      </c>
      <c r="C78" s="62">
        <f>'Rent Roll Recon'!B64</f>
        <v/>
      </c>
      <c r="D78" s="63">
        <f>'Rent Roll Recon'!C64</f>
        <v/>
      </c>
      <c r="E78" s="64">
        <f>'Rent Roll Recon'!D64</f>
        <v/>
      </c>
      <c r="F78" s="64">
        <f>'Rent Roll Recon'!E64</f>
        <v/>
      </c>
      <c r="G78" s="63">
        <f>'Rent Roll Recon'!G64</f>
        <v/>
      </c>
    </row>
    <row r="79">
      <c r="B79" s="61" t="inlineStr">
        <is>
          <t>Level 7</t>
        </is>
      </c>
      <c r="C79" s="62">
        <f>'Rent Roll Recon'!B65</f>
        <v/>
      </c>
      <c r="D79" s="63">
        <f>'Rent Roll Recon'!C65</f>
        <v/>
      </c>
      <c r="E79" s="64">
        <f>'Rent Roll Recon'!D65</f>
        <v/>
      </c>
      <c r="F79" s="64">
        <f>'Rent Roll Recon'!E65</f>
        <v/>
      </c>
      <c r="G79" s="63">
        <f>'Rent Roll Recon'!G65</f>
        <v/>
      </c>
    </row>
    <row r="80">
      <c r="B80" s="61" t="inlineStr">
        <is>
          <t>Other</t>
        </is>
      </c>
      <c r="C80" s="62">
        <f>'Rent Roll Recon'!B66</f>
        <v/>
      </c>
      <c r="D80" s="63">
        <f>'Rent Roll Recon'!C66</f>
        <v/>
      </c>
      <c r="E80" s="64">
        <f>'Rent Roll Recon'!D66</f>
        <v/>
      </c>
      <c r="F80" s="64">
        <f>'Rent Roll Recon'!E66</f>
        <v/>
      </c>
      <c r="G80" s="63">
        <f>'Rent Roll Recon'!G66</f>
        <v/>
      </c>
    </row>
    <row r="81">
      <c r="B81" s="72" t="inlineStr">
        <is>
          <t>Total</t>
        </is>
      </c>
      <c r="C81" s="73">
        <f>SUM(C73:C80)</f>
        <v/>
      </c>
      <c r="D81" s="74">
        <f>SUM(D73:D80)</f>
        <v/>
      </c>
      <c r="E81" s="75">
        <f>SUM(E73:E80)</f>
        <v/>
      </c>
      <c r="F81" s="75">
        <f>IFERROR(E81/C81,"-")</f>
        <v/>
      </c>
      <c r="G81" s="74">
        <f>SUM(G73:G80)</f>
        <v/>
      </c>
    </row>
    <row r="82"/>
    <row r="83">
      <c r="B83" s="3" t="inlineStr">
        <is>
          <t>Higher acuity (L4-L7) shows greater rate uplift opportunity; Basic &amp; L2 dominate the mix at this property.</t>
        </is>
      </c>
    </row>
    <row r="84"/>
    <row r="85" ht="16" customHeight="1">
      <c r="B85" s="76" t="inlineStr">
        <is>
          <t>7  ·  KEY RISKS &amp; NORMALIZATION CALLOUTS</t>
        </is>
      </c>
    </row>
    <row r="86"/>
    <row r="87">
      <c r="B87" s="70" t="inlineStr">
        <is>
          <t>Flag</t>
        </is>
      </c>
      <c r="C87" s="70" t="inlineStr">
        <is>
          <t>Observation</t>
        </is>
      </c>
      <c r="E87" s="71" t="inlineStr">
        <is>
          <t>Metric</t>
        </is>
      </c>
      <c r="F87" s="70" t="inlineStr">
        <is>
          <t>Underwriting Impact</t>
        </is>
      </c>
    </row>
    <row r="88">
      <c r="B88" s="19" t="inlineStr">
        <is>
          <t>🔴</t>
        </is>
      </c>
      <c r="C88" s="61" t="inlineStr">
        <is>
          <t>Going-in EBITDARM cap is negative on T12 actuals</t>
        </is>
      </c>
      <c r="E88" s="77">
        <f>'T12 Analytics'!E118</f>
        <v/>
      </c>
      <c r="F88" s="61" t="inlineStr">
        <is>
          <t>Deal underwrites only on stabilization; no current-cash-flow support.</t>
        </is>
      </c>
    </row>
    <row r="89">
      <c r="B89" s="19" t="inlineStr">
        <is>
          <t>🔴</t>
        </is>
      </c>
      <c r="C89" s="61" t="inlineStr">
        <is>
          <t>Physical occupancy well below stabilized target</t>
        </is>
      </c>
      <c r="E89" s="78">
        <f>G15-F15</f>
        <v/>
      </c>
      <c r="F89" s="61">
        <f>"Lease-up risk; need "&amp;TEXT(F17,"0")&amp;" add'l occ. beds to hit 75% stabilization."</f>
        <v/>
      </c>
    </row>
    <row r="90">
      <c r="B90" s="19" t="inlineStr">
        <is>
          <t>🟠</t>
        </is>
      </c>
      <c r="C90" s="61" t="inlineStr">
        <is>
          <t>T12 base rent below rent roll run-rate</t>
        </is>
      </c>
      <c r="E90" s="79">
        <f>'Rent Roll Recon'!E20</f>
        <v/>
      </c>
      <c r="F90" s="61" t="inlineStr">
        <is>
          <t>Diligence: confirm timing of rent increases vs T12 window; vacancy mix.</t>
        </is>
      </c>
    </row>
    <row r="91">
      <c r="B91" s="19" t="inlineStr">
        <is>
          <t>🟠</t>
        </is>
      </c>
      <c r="C91" s="61" t="inlineStr">
        <is>
          <t>Single payer concentration (100% Private Pay)</t>
        </is>
      </c>
      <c r="E91" s="80">
        <f>F61</f>
        <v/>
      </c>
      <c r="F91" s="61" t="inlineStr">
        <is>
          <t>Insulated from Medicaid risk, but exposed to local affordability shocks.</t>
        </is>
      </c>
    </row>
    <row r="92">
      <c r="B92" s="19" t="inlineStr">
        <is>
          <t>🟢</t>
        </is>
      </c>
      <c r="C92" s="61" t="inlineStr">
        <is>
          <t>Stabilized cap rate strong on normalized EBITDARM</t>
        </is>
      </c>
      <c r="E92" s="81">
        <f>'T12 Analytics'!F118</f>
        <v/>
      </c>
      <c r="F92" s="61" t="inlineStr">
        <is>
          <t>Significant cap rate expansion (Going-in → Stabilized) if lease-up executes.</t>
        </is>
      </c>
    </row>
    <row r="93">
      <c r="B93" s="19" t="inlineStr">
        <is>
          <t>🟢</t>
        </is>
      </c>
      <c r="C93" s="61" t="inlineStr">
        <is>
          <t>Attractive price per bed vs market benchmarks</t>
        </is>
      </c>
      <c r="E93" s="82">
        <f>'T12 Analytics'!E123</f>
        <v/>
      </c>
      <c r="F93" s="61" t="inlineStr">
        <is>
          <t>Below typical AL/MC replacement cost; basis protection.</t>
        </is>
      </c>
    </row>
    <row r="94">
      <c r="B94" s="19" t="inlineStr">
        <is>
          <t>🟠</t>
        </is>
      </c>
      <c r="C94" s="61" t="inlineStr">
        <is>
          <t>Acuity mix skews low (Basic + L2 = 65% of residents)</t>
        </is>
      </c>
      <c r="E94" s="80">
        <f>D73+D74</f>
        <v/>
      </c>
      <c r="F94" s="61" t="inlineStr">
        <is>
          <t>Opportunity to migrate residents up in care level for organic LOC revenue growth.</t>
        </is>
      </c>
    </row>
    <row r="95"/>
    <row r="96">
      <c r="B96" s="83" t="inlineStr">
        <is>
          <t>Legend: 🔴 Critical risk  ·  🟠 Watch item  ·  🟢 Positive</t>
        </is>
      </c>
    </row>
    <row r="97"/>
    <row r="98">
      <c r="B98" s="3" t="inlineStr">
        <is>
          <t>All figures sourced from T12 Analytics and Rent Roll Recon tabs. Normalized figures reflect stabilized occupancy / market-rate adjustments per the underlying model.</t>
        </is>
      </c>
    </row>
  </sheetData>
  <mergeCells count="8">
    <mergeCell ref="B3:D3"/>
    <mergeCell ref="B30:E30"/>
    <mergeCell ref="B48:E48"/>
    <mergeCell ref="B59:F59"/>
    <mergeCell ref="B11:H11"/>
    <mergeCell ref="B70:G70"/>
    <mergeCell ref="B19:H19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2026-05-16T19:04:15Z</dcterms:created>
  <dcterms:modified xsi:type="dcterms:W3CDTF">2026-05-16T19:04:15Z</dcterms:modified>
</cp:coreProperties>
</file>