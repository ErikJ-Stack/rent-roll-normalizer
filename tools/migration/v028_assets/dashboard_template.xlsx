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590" yWindow="15" windowWidth="25590" windowHeight="20970" tabRatio="570" firstSheet="1" autoFilterDateGrouping="1"/>
  </bookViews>
  <sheets>
    <sheet name="Dashboar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4">
    <numFmt numFmtId="164" formatCode="#,##0.0"/>
    <numFmt numFmtId="165" formatCode="0.0%;\(0.0%\);\-"/>
    <numFmt numFmtId="166" formatCode="\$#,##0;&quot;($&quot;#,##0\);\-"/>
    <numFmt numFmtId="167" formatCode="\$#,##0.00;&quot;($&quot;#,##0.00\);\-"/>
    <numFmt numFmtId="168" formatCode="0.00\x"/>
    <numFmt numFmtId="169" formatCode="\$#,##0.00_);[Red]&quot;($&quot;#,##0.00\)"/>
    <numFmt numFmtId="170" formatCode="\$#,##0_);[Red]&quot;($&quot;#,##0\)"/>
    <numFmt numFmtId="171" formatCode="mm/dd/yyyy"/>
    <numFmt numFmtId="172" formatCode="#,##0;\(#,##0\);\-"/>
    <numFmt numFmtId="173" formatCode="mmm\ yyyy"/>
    <numFmt numFmtId="174" formatCode="0.0%"/>
    <numFmt numFmtId="175" formatCode="\$#,##0"/>
    <numFmt numFmtId="176" formatCode="\$#,##0.00"/>
    <numFmt numFmtId="177" formatCode="\$#,##0;\(\$#,##0\);&quot;&quot;"/>
    <numFmt numFmtId="178" formatCode="0.0%;\(0.0%\);&quot;&quot;"/>
    <numFmt numFmtId="179" formatCode="\$#,##0.00;\(\$#,##0.00\);&quot;-&quot;"/>
    <numFmt numFmtId="180" formatCode="&quot;$&quot;#,##0"/>
    <numFmt numFmtId="181" formatCode="&quot;$&quot;#,##0.00"/>
    <numFmt numFmtId="182" formatCode="#,##0;\-#,##0;\-"/>
    <numFmt numFmtId="183" formatCode="&quot;$&quot;#,##0;\(&quot;$&quot;#,##0\);\-"/>
    <numFmt numFmtId="184" formatCode="\+0.0%;\-0.0%;\-"/>
    <numFmt numFmtId="185" formatCode="0.0%;\-0.0%;\-"/>
    <numFmt numFmtId="186" formatCode="0.00%;\-0.00%;\-"/>
    <numFmt numFmtId="187" formatCode="0.00&quot;x&quot;"/>
  </numFmts>
  <fonts count="80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b val="1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color rgb="FF000000"/>
      <sz val="10"/>
    </font>
    <font>
      <name val="Arial"/>
      <charset val="1"/>
      <color rgb="FF595959"/>
      <sz val="10"/>
    </font>
    <font>
      <name val="Arial"/>
      <charset val="1"/>
      <i val="1"/>
      <color rgb="FF595959"/>
      <sz val="9"/>
    </font>
    <font>
      <name val="Arial"/>
      <charset val="1"/>
      <i val="1"/>
      <color rgb="FF7F6000"/>
      <sz val="9"/>
    </font>
    <font>
      <name val="Arial"/>
      <charset val="1"/>
      <b val="1"/>
      <color rgb="FF595959"/>
      <sz val="9"/>
    </font>
    <font>
      <name val="Arial"/>
      <charset val="1"/>
      <b val="1"/>
      <color rgb="FF1F3864"/>
      <sz val="10"/>
    </font>
    <font>
      <name val="Arial"/>
      <charset val="1"/>
      <color rgb="FF7F4F00"/>
      <sz val="10"/>
    </font>
    <font>
      <name val="Arial"/>
      <charset val="1"/>
      <i val="1"/>
      <color rgb="FF7F4F00"/>
      <sz val="9"/>
    </font>
    <font>
      <name val="Arial"/>
      <charset val="1"/>
      <b val="1"/>
      <color rgb="FFFFFFFF"/>
      <sz val="11"/>
    </font>
    <font>
      <name val="Arial"/>
      <charset val="1"/>
      <b val="1"/>
      <i val="1"/>
      <color rgb="FFFFFFFF"/>
      <sz val="9"/>
    </font>
    <font>
      <name val="Arial"/>
      <charset val="1"/>
      <b val="1"/>
      <color rgb="FF1B5E20"/>
      <sz val="11"/>
    </font>
    <font>
      <name val="Arial"/>
      <charset val="1"/>
      <b val="1"/>
      <color rgb="FF444441"/>
      <sz val="11"/>
    </font>
    <font>
      <name val="Arial"/>
      <charset val="1"/>
      <i val="1"/>
      <color rgb="FF595959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FFFF"/>
      <sz val="13"/>
    </font>
    <font>
      <name val="Arial"/>
      <charset val="1"/>
      <color rgb="FF7F6000"/>
      <sz val="10"/>
    </font>
    <font>
      <name val="Arial"/>
      <charset val="1"/>
      <sz val="10"/>
    </font>
    <font>
      <name val="Arial"/>
      <charset val="1"/>
      <b val="1"/>
      <color rgb="FFFFFFFF"/>
      <sz val="12"/>
    </font>
    <font>
      <name val="Arial"/>
      <charset val="1"/>
      <color rgb="FF595959"/>
      <sz val="9"/>
    </font>
    <font>
      <name val="Arial"/>
      <charset val="1"/>
      <color rgb="FF595959"/>
      <sz val="8"/>
    </font>
    <font>
      <name val="Arial"/>
      <charset val="1"/>
      <b val="1"/>
      <color rgb="FF595959"/>
      <sz val="10"/>
    </font>
    <font>
      <name val="Arial"/>
      <charset val="1"/>
      <b val="1"/>
      <color rgb="FF7F4F00"/>
      <sz val="10"/>
    </font>
    <font>
      <name val="Arial"/>
      <charset val="1"/>
      <b val="1"/>
      <color rgb="FFFFFFFF"/>
      <sz val="8"/>
    </font>
    <font>
      <name val="Arial"/>
      <charset val="1"/>
      <i val="1"/>
      <color rgb="FF7F4F00"/>
      <sz val="8"/>
    </font>
    <font>
      <name val="Arial"/>
      <charset val="1"/>
      <color rgb="FF0000FF"/>
      <sz val="9"/>
    </font>
    <font>
      <name val="Arial"/>
      <charset val="1"/>
      <b val="1"/>
      <sz val="11"/>
    </font>
    <font>
      <name val="Arial"/>
      <charset val="1"/>
      <b val="1"/>
      <color rgb="FF0000FF"/>
      <sz val="11"/>
    </font>
    <font>
      <name val="Arial"/>
      <charset val="1"/>
      <b val="1"/>
      <color rgb="FF1B5E20"/>
      <sz val="10"/>
    </font>
    <font>
      <name val="Arial"/>
      <charset val="1"/>
      <color rgb="FF000000"/>
      <sz val="9"/>
    </font>
    <font>
      <name val="Arial"/>
      <charset val="1"/>
      <sz val="9"/>
    </font>
    <font>
      <name val="Arial"/>
      <b val="1"/>
      <color rgb="FFFFFFFF"/>
      <sz val="10"/>
    </font>
    <font>
      <name val="Arial"/>
      <b val="1"/>
      <sz val="18"/>
    </font>
    <font>
      <name val="Arial"/>
      <i val="1"/>
      <sz val="10"/>
    </font>
    <font>
      <name val="Arial"/>
      <b val="1"/>
      <sz val="14"/>
    </font>
    <font>
      <name val="Calibri"/>
      <i val="1"/>
      <sz val="9"/>
    </font>
    <font>
      <name val="Calibri"/>
      <b val="1"/>
      <sz val="11"/>
    </font>
    <font>
      <name val="Arial"/>
      <b val="1"/>
      <sz val="10"/>
    </font>
    <font>
      <name val="Arial"/>
      <sz val="10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1F1F1F"/>
      <sz val="10"/>
    </font>
    <font>
      <name val="Calibri"/>
      <color rgb="FF1F1F1F"/>
      <sz val="10"/>
    </font>
    <font>
      <name val="Calibri"/>
      <i val="1"/>
      <color rgb="FF7F7F7F"/>
      <sz val="9"/>
    </font>
    <font>
      <name val="Calibri"/>
      <b val="1"/>
      <color rgb="FFFFFFFF"/>
      <sz val="12"/>
    </font>
    <font>
      <name val="Calibri"/>
      <b val="1"/>
      <color rgb="FF1F1F1F"/>
      <sz val="11"/>
    </font>
    <font>
      <name val="Arial"/>
      <b val="1"/>
      <color rgb="FFFFFFFF"/>
      <sz val="8"/>
    </font>
    <font>
      <name val="Calibri"/>
      <i val="1"/>
      <color rgb="FF595959"/>
      <sz val="10"/>
    </font>
    <font>
      <name val="Calibri"/>
      <i val="1"/>
      <color rgb="FF595959"/>
      <sz val="9"/>
    </font>
    <font>
      <name val="Calibri"/>
      <b val="1"/>
      <color rgb="FFFFFFFF"/>
      <sz val="20"/>
    </font>
    <font>
      <name val="Calibri"/>
      <i val="1"/>
      <color rgb="FFFFFFFF"/>
      <sz val="10"/>
    </font>
    <font>
      <name val="Calibri"/>
      <b val="1"/>
      <color rgb="FFFFFFFF"/>
      <sz val="9"/>
    </font>
    <font>
      <name val="Calibri"/>
      <b val="1"/>
      <color rgb="FF1F4E79"/>
      <sz val="28"/>
    </font>
    <font>
      <name val="Calibri"/>
      <color rgb="FF595959"/>
      <sz val="9"/>
    </font>
    <font>
      <name val="Calibri"/>
      <b val="1"/>
      <color rgb="FF1F4E79"/>
      <sz val="9"/>
    </font>
    <font>
      <name val="Calibri"/>
      <color theme="1"/>
      <sz val="10"/>
    </font>
    <font>
      <name val="Calibri"/>
      <b val="1"/>
      <color theme="1"/>
      <sz val="10"/>
    </font>
    <font>
      <name val="Calibri"/>
      <color rgb="FFA6A6A6"/>
      <sz val="10"/>
    </font>
    <font>
      <name val="Calibri"/>
      <color rgb="FF595959"/>
      <sz val="10"/>
    </font>
    <font>
      <name val="Calibri"/>
      <color rgb="FFBFBFBF"/>
      <sz val="8"/>
    </font>
    <font>
      <name val="Calibri"/>
      <b val="1"/>
      <color rgb="FFFFFFFF"/>
      <sz val="13"/>
    </font>
    <font>
      <name val="Calibri"/>
      <b val="1"/>
      <color rgb="FF1F4E79"/>
      <sz val="10"/>
    </font>
    <font>
      <name val="Calibri"/>
      <b val="1"/>
      <color rgb="FFBFBFBF"/>
      <sz val="8"/>
    </font>
    <font>
      <name val="Calibri"/>
      <charset val="1"/>
      <family val="2"/>
      <b val="1"/>
      <color rgb="FFBFBFBF"/>
      <sz val="8"/>
    </font>
    <font>
      <name val="Calibri"/>
      <charset val="1"/>
      <family val="2"/>
      <color rgb="FFBFBFBF"/>
      <sz val="8"/>
    </font>
    <font>
      <name val="Calibri"/>
      <charset val="1"/>
      <family val="2"/>
      <color theme="1"/>
      <sz val="14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666666"/>
      <sz val="11"/>
    </font>
    <font>
      <name val="Calibri"/>
      <charset val="1"/>
      <family val="2"/>
      <color rgb="FF666666"/>
      <sz val="9"/>
    </font>
    <font>
      <name val="Calibri"/>
      <b val="1"/>
      <i val="1"/>
      <color rgb="FF595959"/>
      <sz val="9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666666"/>
      <sz val="11"/>
    </font>
    <font>
      <name val="Calibri"/>
      <charset val="1"/>
      <family val="2"/>
      <b val="1"/>
      <color rgb="FF1F4E79"/>
      <sz val="11"/>
    </font>
  </fonts>
  <fills count="29">
    <fill>
      <patternFill/>
    </fill>
    <fill>
      <patternFill patternType="gray125"/>
    </fill>
    <fill>
      <patternFill patternType="solid">
        <fgColor rgb="FF1F3864"/>
        <bgColor rgb="FF4A3869"/>
      </patternFill>
    </fill>
    <fill>
      <patternFill patternType="solid">
        <fgColor rgb="FFFFFFC7"/>
        <bgColor rgb="FFFFF2CC"/>
      </patternFill>
    </fill>
    <fill>
      <patternFill patternType="solid">
        <fgColor rgb="FF2F5597"/>
        <bgColor rgb="FF1F3864"/>
      </patternFill>
    </fill>
    <fill>
      <patternFill patternType="solid">
        <fgColor rgb="FFF7F7F7"/>
        <bgColor rgb="FFEEF2FF"/>
      </patternFill>
    </fill>
    <fill>
      <patternFill patternType="solid">
        <fgColor rgb="FF1F6B52"/>
        <bgColor rgb="FF1B5E20"/>
      </patternFill>
    </fill>
    <fill>
      <patternFill patternType="solid">
        <fgColor rgb="FFEDEDED"/>
        <bgColor rgb="FFEEF2FF"/>
      </patternFill>
    </fill>
    <fill>
      <patternFill patternType="solid">
        <fgColor rgb="FFD6E4F0"/>
        <bgColor rgb="FFD8D8D8"/>
      </patternFill>
    </fill>
    <fill>
      <patternFill patternType="solid">
        <fgColor rgb="FF4A3869"/>
        <bgColor rgb="FF444441"/>
      </patternFill>
    </fill>
    <fill>
      <patternFill patternType="solid">
        <fgColor rgb="FFFFF2CC"/>
        <bgColor rgb="FFFFFFC7"/>
      </patternFill>
    </fill>
    <fill>
      <patternFill patternType="solid">
        <fgColor rgb="FFE2EFDA"/>
        <bgColor rgb="FFEDEDED"/>
      </patternFill>
    </fill>
    <fill>
      <patternFill patternType="solid">
        <fgColor rgb="FFD8D8D8"/>
        <bgColor rgb="FFD6E4F0"/>
      </patternFill>
    </fill>
    <fill>
      <patternFill patternType="solid">
        <fgColor rgb="FFC8E6C9"/>
        <bgColor rgb="FFD8D8D8"/>
      </patternFill>
    </fill>
    <fill>
      <patternFill patternType="solid">
        <fgColor rgb="FFEEF2FF"/>
        <bgColor rgb="FFF7F7F7"/>
      </patternFill>
    </fill>
    <fill>
      <patternFill patternType="solid">
        <fgColor rgb="FF2F5597"/>
      </patternFill>
    </fill>
    <fill>
      <patternFill patternType="solid">
        <fgColor rgb="FF1F3864"/>
      </patternFill>
    </fill>
    <fill>
      <patternFill patternType="solid">
        <fgColor rgb="FF4A3869"/>
      </patternFill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8FAADC"/>
        <bgColor indexed="64"/>
      </patternFill>
    </fill>
  </fills>
  <borders count="4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1F4E79"/>
      </top>
      <bottom/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/>
      <right/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1F4E79"/>
      </bottom>
      <diagonal/>
    </border>
    <border>
      <left style="thin">
        <color rgb="FF1F4E79"/>
      </left>
      <right style="thin">
        <color rgb="FFE7E6E6"/>
      </right>
      <top/>
      <bottom/>
      <diagonal/>
    </border>
    <border>
      <left style="thin">
        <color rgb="FF1F4E79"/>
      </left>
      <right style="thin">
        <color rgb="FFE7E6E6"/>
      </right>
      <top style="thin">
        <color rgb="FFE7E6E6"/>
      </top>
      <bottom/>
      <diagonal/>
    </border>
    <border>
      <left style="thin">
        <color rgb="FF1F4E79"/>
      </left>
      <right style="thin">
        <color rgb="FFE7E6E6"/>
      </right>
      <top style="thin">
        <color rgb="FFE7E6E6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 style="thin">
        <color rgb="FFE7E6E6"/>
      </left>
      <right style="thin">
        <color rgb="FF1F4E79"/>
      </right>
      <top/>
      <bottom/>
      <diagonal/>
    </border>
    <border>
      <left style="thin">
        <color rgb="FFE7E6E6"/>
      </left>
      <right style="thin">
        <color rgb="FF1F4E79"/>
      </right>
      <top style="thin">
        <color rgb="FFE7E6E6"/>
      </top>
      <bottom/>
      <diagonal/>
    </border>
    <border>
      <left style="thin">
        <color rgb="FFE7E6E6"/>
      </left>
      <right style="thin">
        <color rgb="FF1F4E79"/>
      </right>
      <top style="thin">
        <color rgb="FFE7E6E6"/>
      </top>
      <bottom style="thin">
        <color rgb="FF1F4E79"/>
      </bottom>
      <diagonal/>
    </border>
    <border>
      <left/>
      <right/>
      <top style="thin">
        <color rgb="FFE7E6E6"/>
      </top>
      <bottom style="thin">
        <color rgb="FF1F4E79"/>
      </bottom>
      <diagonal/>
    </border>
    <border>
      <left style="thin">
        <color rgb="FF1F4E79"/>
      </left>
      <right/>
      <top style="thin">
        <color rgb="FFE7E6E6"/>
      </top>
      <bottom/>
      <diagonal/>
    </border>
    <border>
      <left style="thin">
        <color rgb="FF1F4E79"/>
      </left>
      <right/>
      <top style="thin">
        <color rgb="FFE7E6E6"/>
      </top>
      <bottom style="thin">
        <color rgb="FF1F4E79"/>
      </bottom>
      <diagonal/>
    </border>
    <border>
      <left/>
      <right style="thin">
        <color rgb="FF1F4E79"/>
      </right>
      <top/>
      <bottom/>
      <diagonal/>
    </border>
    <border>
      <left/>
      <right style="thin">
        <color rgb="FF1F4E79"/>
      </right>
      <top style="thin">
        <color rgb="FFE7E6E6"/>
      </top>
      <bottom/>
      <diagonal/>
    </border>
    <border>
      <left/>
      <right style="thin">
        <color rgb="FF1F4E79"/>
      </right>
      <top style="thin">
        <color rgb="FFE7E6E6"/>
      </top>
      <bottom style="thin">
        <color rgb="FF1F4E79"/>
      </bottom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</borders>
  <cellStyleXfs count="1">
    <xf numFmtId="0" fontId="0" fillId="0" borderId="0"/>
  </cellStyleXfs>
  <cellXfs count="517">
    <xf numFmtId="0" fontId="0" fillId="0" borderId="0" pivotButton="0" quotePrefix="0" xfId="0"/>
    <xf numFmtId="0" fontId="6" fillId="0" borderId="1" applyAlignment="1" pivotButton="0" quotePrefix="0" xfId="0">
      <alignment horizontal="left" vertical="center" indent="2"/>
    </xf>
    <xf numFmtId="0" fontId="12" fillId="10" borderId="1" applyAlignment="1" pivotButton="0" quotePrefix="0" xfId="0">
      <alignment horizontal="left" vertical="center" indent="2"/>
    </xf>
    <xf numFmtId="0" fontId="11" fillId="8" borderId="1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2" fillId="0" borderId="0" pivotButton="0" quotePrefix="0" xfId="0"/>
    <xf numFmtId="49" fontId="3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indent="1"/>
    </xf>
    <xf numFmtId="3" fontId="3" fillId="3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wrapText="1" indent="1"/>
    </xf>
    <xf numFmtId="164" fontId="7" fillId="5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3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 indent="2"/>
    </xf>
    <xf numFmtId="166" fontId="11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166" fontId="12" fillId="10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wrapText="1" indent="1"/>
    </xf>
    <xf numFmtId="0" fontId="12" fillId="10" borderId="1" applyAlignment="1" pivotButton="0" quotePrefix="0" xfId="0">
      <alignment vertical="center"/>
    </xf>
    <xf numFmtId="165" fontId="12" fillId="10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14" fillId="4" borderId="2" applyAlignment="1" pivotButton="0" quotePrefix="0" xfId="0">
      <alignment horizontal="left" vertical="center" indent="1"/>
    </xf>
    <xf numFmtId="0" fontId="0" fillId="0" borderId="3" pivotButton="0" quotePrefix="0" xfId="0"/>
    <xf numFmtId="166" fontId="14" fillId="4" borderId="1" applyAlignment="1" pivotButton="0" quotePrefix="0" xfId="0">
      <alignment horizontal="right" vertical="center"/>
    </xf>
    <xf numFmtId="0" fontId="0" fillId="10" borderId="1" pivotButton="0" quotePrefix="0" xfId="0"/>
    <xf numFmtId="166" fontId="7" fillId="10" borderId="1" applyAlignment="1" pivotButton="0" quotePrefix="0" xfId="0">
      <alignment horizontal="right" vertical="center"/>
    </xf>
    <xf numFmtId="0" fontId="0" fillId="8" borderId="1" pivotButton="0" quotePrefix="0" xfId="0"/>
    <xf numFmtId="0" fontId="4" fillId="9" borderId="2" applyAlignment="1" pivotButton="0" quotePrefix="0" xfId="0">
      <alignment horizontal="left" vertical="center" indent="1"/>
    </xf>
    <xf numFmtId="166" fontId="4" fillId="9" borderId="1" applyAlignment="1" pivotButton="0" quotePrefix="0" xfId="0">
      <alignment horizontal="right" vertical="center"/>
    </xf>
    <xf numFmtId="166" fontId="3" fillId="10" borderId="1" applyAlignment="1" pivotButton="0" quotePrefix="0" xfId="0">
      <alignment horizontal="right" vertical="center"/>
    </xf>
    <xf numFmtId="166" fontId="4" fillId="9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 indent="1"/>
    </xf>
    <xf numFmtId="0" fontId="0" fillId="0" borderId="4" pivotButton="0" quotePrefix="0" xfId="0"/>
    <xf numFmtId="166" fontId="16" fillId="11" borderId="1" applyAlignment="1" pivotButton="0" quotePrefix="0" xfId="0">
      <alignment horizontal="right" vertical="center"/>
    </xf>
    <xf numFmtId="0" fontId="17" fillId="12" borderId="1" applyAlignment="1" pivotButton="0" quotePrefix="0" xfId="0">
      <alignment horizontal="left" vertical="center" indent="1"/>
    </xf>
    <xf numFmtId="166" fontId="17" fillId="12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 indent="2"/>
    </xf>
    <xf numFmtId="0" fontId="16" fillId="13" borderId="1" applyAlignment="1" pivotButton="0" quotePrefix="0" xfId="0">
      <alignment horizontal="left" vertical="center" indent="1"/>
    </xf>
    <xf numFmtId="166" fontId="16" fillId="13" borderId="1" applyAlignment="1" pivotButton="0" quotePrefix="0" xfId="0">
      <alignment horizontal="right" vertical="center"/>
    </xf>
    <xf numFmtId="166" fontId="16" fillId="13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 indent="1"/>
    </xf>
    <xf numFmtId="0" fontId="19" fillId="0" borderId="1" applyAlignment="1" pivotButton="0" quotePrefix="0" xfId="0">
      <alignment horizontal="left" vertical="center" indent="2"/>
    </xf>
    <xf numFmtId="0" fontId="7" fillId="0" borderId="1" applyAlignment="1" pivotButton="0" quotePrefix="0" xfId="0">
      <alignment horizontal="left" vertical="center" indent="1"/>
    </xf>
    <xf numFmtId="165" fontId="3" fillId="3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 indent="2"/>
    </xf>
    <xf numFmtId="0" fontId="0" fillId="14" borderId="1" pivotButton="0" quotePrefix="0" xfId="0"/>
    <xf numFmtId="165" fontId="7" fillId="14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 indent="1"/>
    </xf>
    <xf numFmtId="167" fontId="7" fillId="14" borderId="1" applyAlignment="1" pivotButton="0" quotePrefix="0" xfId="0">
      <alignment horizontal="right" vertical="center"/>
    </xf>
    <xf numFmtId="166" fontId="7" fillId="1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169" fontId="0" fillId="0" borderId="0" pivotButton="0" quotePrefix="0" xfId="0"/>
    <xf numFmtId="0" fontId="22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166" fontId="26" fillId="0" borderId="1" applyAlignment="1" pivotButton="0" quotePrefix="0" xfId="0">
      <alignment horizontal="right" vertical="center"/>
    </xf>
    <xf numFmtId="0" fontId="24" fillId="10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left" vertical="center"/>
    </xf>
    <xf numFmtId="0" fontId="24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166" fontId="26" fillId="1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0" fillId="0" borderId="0" pivotButton="0" quotePrefix="0" xfId="0"/>
    <xf numFmtId="170" fontId="0" fillId="0" borderId="0" pivotButton="0" quotePrefix="0" xfId="0"/>
    <xf numFmtId="0" fontId="23" fillId="2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28" fillId="2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29" fillId="10" borderId="0" applyAlignment="1" pivotButton="0" quotePrefix="0" xfId="0">
      <alignment vertical="center"/>
    </xf>
    <xf numFmtId="0" fontId="30" fillId="3" borderId="1" applyAlignment="1" pivotButton="0" quotePrefix="0" xfId="0">
      <alignment horizontal="right" vertical="center"/>
    </xf>
    <xf numFmtId="0" fontId="30" fillId="3" borderId="1" applyAlignment="1" pivotButton="0" quotePrefix="0" xfId="0">
      <alignment horizontal="left" vertical="center"/>
    </xf>
    <xf numFmtId="167" fontId="30" fillId="3" borderId="1" applyAlignment="1" pivotButton="0" quotePrefix="0" xfId="0">
      <alignment horizontal="right" vertical="center"/>
    </xf>
    <xf numFmtId="171" fontId="30" fillId="3" borderId="1" applyAlignment="1" pivotButton="0" quotePrefix="0" xfId="0">
      <alignment horizontal="left" vertical="center"/>
    </xf>
    <xf numFmtId="167" fontId="24" fillId="5" borderId="1" applyAlignment="1" pivotButton="0" quotePrefix="0" xfId="0">
      <alignment horizontal="right" vertical="center"/>
    </xf>
    <xf numFmtId="0" fontId="31" fillId="0" borderId="1" applyAlignment="1" pivotButton="0" quotePrefix="0" xfId="0">
      <alignment horizontal="left" vertical="center" indent="1"/>
    </xf>
    <xf numFmtId="171" fontId="32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indent="1"/>
    </xf>
    <xf numFmtId="172" fontId="22" fillId="0" borderId="1" applyAlignment="1" pivotButton="0" quotePrefix="0" xfId="0">
      <alignment horizontal="right" vertical="center"/>
    </xf>
    <xf numFmtId="172" fontId="2" fillId="5" borderId="1" applyAlignment="1" pivotButton="0" quotePrefix="0" xfId="0">
      <alignment horizontal="right" vertical="center"/>
    </xf>
    <xf numFmtId="0" fontId="22" fillId="10" borderId="1" applyAlignment="1" pivotButton="0" quotePrefix="0" xfId="0">
      <alignment horizontal="left" vertical="center" indent="1"/>
    </xf>
    <xf numFmtId="172" fontId="22" fillId="10" borderId="1" applyAlignment="1" pivotButton="0" quotePrefix="0" xfId="0">
      <alignment horizontal="right" vertical="center"/>
    </xf>
    <xf numFmtId="165" fontId="22" fillId="0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indent="1"/>
    </xf>
    <xf numFmtId="166" fontId="22" fillId="0" borderId="1" applyAlignment="1" pivotButton="0" quotePrefix="0" xfId="0">
      <alignment horizontal="right" vertical="center"/>
    </xf>
    <xf numFmtId="166" fontId="2" fillId="5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 indent="1"/>
    </xf>
    <xf numFmtId="166" fontId="22" fillId="10" borderId="1" applyAlignment="1" pivotButton="0" quotePrefix="0" xfId="0">
      <alignment horizontal="right" vertical="center"/>
    </xf>
    <xf numFmtId="166" fontId="2" fillId="10" borderId="1" applyAlignment="1" pivotButton="0" quotePrefix="0" xfId="0">
      <alignment horizontal="right" vertical="center"/>
    </xf>
    <xf numFmtId="166" fontId="27" fillId="10" borderId="1" applyAlignment="1" pivotButton="0" quotePrefix="0" xfId="0">
      <alignment horizontal="right" vertical="center"/>
    </xf>
    <xf numFmtId="167" fontId="2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167" fontId="22" fillId="10" borderId="1" applyAlignment="1" pivotButton="0" quotePrefix="0" xfId="0">
      <alignment horizontal="right" vertical="center"/>
    </xf>
    <xf numFmtId="172" fontId="2" fillId="10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left" vertical="center" indent="1"/>
    </xf>
    <xf numFmtId="172" fontId="22" fillId="5" borderId="1" applyAlignment="1" pivotButton="0" quotePrefix="0" xfId="0">
      <alignment horizontal="right" vertical="center"/>
    </xf>
    <xf numFmtId="165" fontId="22" fillId="5" borderId="1" applyAlignment="1" pivotButton="0" quotePrefix="0" xfId="0">
      <alignment horizontal="right" vertical="center"/>
    </xf>
    <xf numFmtId="166" fontId="22" fillId="5" borderId="1" applyAlignment="1" pivotButton="0" quotePrefix="0" xfId="0">
      <alignment horizontal="right" vertical="center"/>
    </xf>
    <xf numFmtId="172" fontId="11" fillId="8" borderId="1" applyAlignment="1" pivotButton="0" quotePrefix="0" xfId="0">
      <alignment horizontal="right" vertical="center"/>
    </xf>
    <xf numFmtId="165" fontId="11" fillId="8" borderId="1" applyAlignment="1" pivotButton="0" quotePrefix="0" xfId="0">
      <alignment horizontal="right" vertical="center"/>
    </xf>
    <xf numFmtId="167" fontId="22" fillId="5" borderId="1" applyAlignment="1" pivotButton="0" quotePrefix="0" xfId="0">
      <alignment horizontal="right" vertical="center"/>
    </xf>
    <xf numFmtId="167" fontId="11" fillId="8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0" fontId="22" fillId="0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right" vertical="center"/>
    </xf>
    <xf numFmtId="166" fontId="2" fillId="8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vertical="center"/>
    </xf>
    <xf numFmtId="166" fontId="19" fillId="5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/>
    </xf>
    <xf numFmtId="166" fontId="18" fillId="0" borderId="1" applyAlignment="1" pivotButton="0" quotePrefix="0" xfId="0">
      <alignment horizontal="right" vertical="center"/>
    </xf>
    <xf numFmtId="166" fontId="18" fillId="5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5" applyAlignment="1" pivotButton="0" quotePrefix="0" xfId="0">
      <alignment horizontal="left" vertical="center" indent="1"/>
    </xf>
    <xf numFmtId="0" fontId="8" fillId="0" borderId="1" pivotButton="0" quotePrefix="0" xfId="0"/>
    <xf numFmtId="0" fontId="8" fillId="8" borderId="1" pivotButton="0" quotePrefix="0" xfId="0"/>
    <xf numFmtId="165" fontId="6" fillId="0" borderId="1" applyAlignment="1" pivotButton="0" quotePrefix="0" xfId="0">
      <alignment horizontal="right" vertical="center"/>
    </xf>
    <xf numFmtId="0" fontId="12" fillId="10" borderId="1" applyAlignment="1" pivotButton="0" quotePrefix="0" xfId="0">
      <alignment horizontal="left" vertical="center" indent="1"/>
    </xf>
    <xf numFmtId="0" fontId="0" fillId="0" borderId="5" pivotButton="0" quotePrefix="0" xfId="0"/>
    <xf numFmtId="166" fontId="33" fillId="11" borderId="1" applyAlignment="1" pivotButton="0" quotePrefix="0" xfId="0">
      <alignment horizontal="right" vertical="center"/>
    </xf>
    <xf numFmtId="0" fontId="8" fillId="11" borderId="1" pivotButton="0" quotePrefix="0" xfId="0"/>
    <xf numFmtId="164" fontId="7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center" vertical="center"/>
    </xf>
    <xf numFmtId="0" fontId="5" fillId="2" borderId="1" pivotButton="0" quotePrefix="0" xfId="0"/>
    <xf numFmtId="171" fontId="35" fillId="0" borderId="1" pivotButton="0" quotePrefix="0" xfId="0"/>
    <xf numFmtId="0" fontId="24" fillId="0" borderId="1" pivotButton="0" quotePrefix="0" xfId="0"/>
    <xf numFmtId="49" fontId="3" fillId="3" borderId="1" applyAlignment="1" pivotButton="0" quotePrefix="0" xfId="0">
      <alignment horizontal="left" vertical="center"/>
    </xf>
    <xf numFmtId="0" fontId="36" fillId="4" borderId="1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4" fillId="4" borderId="5" applyAlignment="1" pivotButton="0" quotePrefix="0" xfId="0">
      <alignment vertical="center"/>
    </xf>
    <xf numFmtId="0" fontId="37" fillId="0" borderId="0" pivotButton="0" quotePrefix="0" xfId="0"/>
    <xf numFmtId="0" fontId="38" fillId="0" borderId="0" pivotButton="0" quotePrefix="0" xfId="0"/>
    <xf numFmtId="0" fontId="36" fillId="15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2" fillId="0" borderId="1" applyAlignment="1" pivotButton="0" quotePrefix="0" xfId="0">
      <alignment vertical="center" indent="1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173" fontId="3" fillId="3" borderId="1" applyAlignment="1" pivotButton="0" quotePrefix="0" xfId="0">
      <alignment horizontal="right" vertical="center"/>
    </xf>
    <xf numFmtId="0" fontId="36" fillId="16" borderId="0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3" fontId="0" fillId="0" borderId="0" pivotButton="0" quotePrefix="0" xfId="0"/>
    <xf numFmtId="176" fontId="0" fillId="0" borderId="0" pivotButton="0" quotePrefix="0" xfId="0"/>
    <xf numFmtId="174" fontId="42" fillId="0" borderId="0" pivotButton="0" quotePrefix="0" xfId="0"/>
    <xf numFmtId="175" fontId="42" fillId="0" borderId="0" pivotButton="0" quotePrefix="0" xfId="0"/>
    <xf numFmtId="0" fontId="46" fillId="19" borderId="8" applyAlignment="1" pivotButton="0" quotePrefix="0" xfId="0">
      <alignment horizontal="center" vertical="center" wrapText="1"/>
    </xf>
    <xf numFmtId="0" fontId="47" fillId="20" borderId="8" applyAlignment="1" pivotButton="0" quotePrefix="0" xfId="0">
      <alignment horizontal="left" vertical="center" wrapText="1"/>
    </xf>
    <xf numFmtId="176" fontId="47" fillId="20" borderId="8" applyAlignment="1" pivotButton="0" quotePrefix="0" xfId="0">
      <alignment horizontal="left" vertical="center" wrapText="1"/>
    </xf>
    <xf numFmtId="0" fontId="47" fillId="21" borderId="8" applyAlignment="1" pivotButton="0" quotePrefix="0" xfId="0">
      <alignment horizontal="left" vertical="center" wrapText="1"/>
    </xf>
    <xf numFmtId="1" fontId="47" fillId="21" borderId="8" applyAlignment="1" pivotButton="0" quotePrefix="0" xfId="0">
      <alignment horizontal="left" vertical="center" wrapText="1"/>
    </xf>
    <xf numFmtId="174" fontId="47" fillId="21" borderId="8" applyAlignment="1" pivotButton="0" quotePrefix="0" xfId="0">
      <alignment horizontal="left" vertical="center" wrapText="1"/>
    </xf>
    <xf numFmtId="177" fontId="47" fillId="21" borderId="8" applyAlignment="1" pivotButton="0" quotePrefix="0" xfId="0">
      <alignment horizontal="left" vertical="center" wrapText="1"/>
    </xf>
    <xf numFmtId="178" fontId="47" fillId="21" borderId="8" applyAlignment="1" pivotButton="0" quotePrefix="0" xfId="0">
      <alignment horizontal="left" vertical="center" wrapText="1"/>
    </xf>
    <xf numFmtId="177" fontId="47" fillId="21" borderId="8" applyAlignment="1" pivotButton="0" quotePrefix="0" xfId="0">
      <alignment horizontal="right" vertical="center" wrapText="1"/>
    </xf>
    <xf numFmtId="174" fontId="47" fillId="21" borderId="8" applyAlignment="1" pivotButton="0" quotePrefix="0" xfId="0">
      <alignment horizontal="right" vertical="center" wrapText="1"/>
    </xf>
    <xf numFmtId="0" fontId="47" fillId="20" borderId="8" applyAlignment="1" pivotButton="0" quotePrefix="0" xfId="0">
      <alignment horizontal="center" vertical="center" wrapText="1"/>
    </xf>
    <xf numFmtId="0" fontId="0" fillId="20" borderId="8" applyAlignment="1" pivotButton="0" quotePrefix="0" xfId="0">
      <alignment horizontal="center" vertical="center" wrapText="1"/>
    </xf>
    <xf numFmtId="178" fontId="47" fillId="21" borderId="8" applyAlignment="1" pivotButton="0" quotePrefix="0" xfId="0">
      <alignment horizontal="right" vertical="center" wrapText="1"/>
    </xf>
    <xf numFmtId="179" fontId="47" fillId="0" borderId="8" applyAlignment="1" pivotButton="0" quotePrefix="0" xfId="0">
      <alignment horizontal="right" vertical="center" wrapText="1"/>
    </xf>
    <xf numFmtId="0" fontId="47" fillId="0" borderId="0" applyAlignment="1" pivotButton="0" quotePrefix="0" xfId="0">
      <alignment horizontal="left" vertical="center" wrapText="1"/>
    </xf>
    <xf numFmtId="177" fontId="47" fillId="0" borderId="0" applyAlignment="1" pivotButton="0" quotePrefix="0" xfId="0">
      <alignment horizontal="right" vertical="center" wrapText="1"/>
    </xf>
    <xf numFmtId="178" fontId="47" fillId="0" borderId="0" applyAlignment="1" pivotButton="0" quotePrefix="0" xfId="0">
      <alignment horizontal="right" vertical="center" wrapText="1"/>
    </xf>
    <xf numFmtId="0" fontId="46" fillId="19" borderId="8" applyAlignment="1" pivotButton="0" quotePrefix="0" xfId="0">
      <alignment horizontal="left" vertical="center" wrapText="1"/>
    </xf>
    <xf numFmtId="0" fontId="47" fillId="0" borderId="8" applyAlignment="1" pivotButton="0" quotePrefix="0" xfId="0">
      <alignment horizontal="left" vertical="center" wrapText="1"/>
    </xf>
    <xf numFmtId="0" fontId="47" fillId="0" borderId="0" pivotButton="0" quotePrefix="0" xfId="0"/>
    <xf numFmtId="0" fontId="46" fillId="19" borderId="0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50" fillId="20" borderId="8" applyAlignment="1" pivotButton="0" quotePrefix="0" xfId="0">
      <alignment horizontal="left" vertical="center" wrapText="1"/>
    </xf>
    <xf numFmtId="0" fontId="51" fillId="16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right" vertical="center"/>
    </xf>
    <xf numFmtId="17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76" fontId="0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56" fillId="26" borderId="14" applyAlignment="1" pivotButton="0" quotePrefix="0" xfId="0">
      <alignment horizontal="center" vertical="center"/>
    </xf>
    <xf numFmtId="0" fontId="56" fillId="26" borderId="15" applyAlignment="1" pivotButton="0" quotePrefix="0" xfId="0">
      <alignment horizontal="center" vertical="center"/>
    </xf>
    <xf numFmtId="0" fontId="60" fillId="0" borderId="0" applyAlignment="1" pivotButton="0" quotePrefix="0" xfId="0">
      <alignment vertical="center"/>
    </xf>
    <xf numFmtId="174" fontId="60" fillId="0" borderId="0" applyAlignment="1" pivotButton="0" quotePrefix="0" xfId="0">
      <alignment horizontal="right" vertical="center"/>
    </xf>
    <xf numFmtId="174" fontId="60" fillId="27" borderId="0" applyAlignment="1" pivotButton="0" quotePrefix="0" xfId="0">
      <alignment horizontal="right" vertical="center"/>
    </xf>
    <xf numFmtId="0" fontId="60" fillId="0" borderId="20" applyAlignment="1" pivotButton="0" quotePrefix="0" xfId="0">
      <alignment vertical="center"/>
    </xf>
    <xf numFmtId="0" fontId="52" fillId="27" borderId="20" applyAlignment="1" pivotButton="0" quotePrefix="0" xfId="0">
      <alignment vertical="center"/>
    </xf>
    <xf numFmtId="0" fontId="60" fillId="27" borderId="20" applyAlignment="1" pivotButton="0" quotePrefix="0" xfId="0">
      <alignment vertical="center"/>
    </xf>
    <xf numFmtId="0" fontId="60" fillId="0" borderId="21" applyAlignment="1" pivotButton="0" quotePrefix="0" xfId="0">
      <alignment vertical="center"/>
    </xf>
    <xf numFmtId="3" fontId="61" fillId="0" borderId="5" applyAlignment="1" pivotButton="0" quotePrefix="0" xfId="0">
      <alignment horizontal="right" vertical="center"/>
    </xf>
    <xf numFmtId="0" fontId="52" fillId="27" borderId="5" applyAlignment="1" pivotButton="0" quotePrefix="0" xfId="0">
      <alignment horizontal="right" vertical="center"/>
    </xf>
    <xf numFmtId="164" fontId="60" fillId="0" borderId="5" applyAlignment="1" pivotButton="0" quotePrefix="0" xfId="0">
      <alignment horizontal="right" vertical="center"/>
    </xf>
    <xf numFmtId="174" fontId="61" fillId="27" borderId="5" applyAlignment="1" pivotButton="0" quotePrefix="0" xfId="0">
      <alignment horizontal="right" vertical="center"/>
    </xf>
    <xf numFmtId="174" fontId="60" fillId="0" borderId="5" applyAlignment="1" pivotButton="0" quotePrefix="0" xfId="0">
      <alignment horizontal="right" vertical="center"/>
    </xf>
    <xf numFmtId="174" fontId="60" fillId="27" borderId="5" applyAlignment="1" pivotButton="0" quotePrefix="0" xfId="0">
      <alignment horizontal="right" vertical="center"/>
    </xf>
    <xf numFmtId="174" fontId="60" fillId="0" borderId="22" applyAlignment="1" pivotButton="0" quotePrefix="0" xfId="0">
      <alignment horizontal="right" vertical="center"/>
    </xf>
    <xf numFmtId="180" fontId="60" fillId="0" borderId="5" applyAlignment="1" pivotButton="0" quotePrefix="0" xfId="0">
      <alignment horizontal="right" vertical="center"/>
    </xf>
    <xf numFmtId="180" fontId="61" fillId="27" borderId="5" applyAlignment="1" pivotButton="0" quotePrefix="0" xfId="0">
      <alignment horizontal="right" vertical="center"/>
    </xf>
    <xf numFmtId="180" fontId="61" fillId="0" borderId="0" applyAlignment="1" pivotButton="0" quotePrefix="0" xfId="0">
      <alignment horizontal="right" vertical="center"/>
    </xf>
    <xf numFmtId="180" fontId="60" fillId="27" borderId="0" applyAlignment="1" pivotButton="0" quotePrefix="0" xfId="0">
      <alignment horizontal="right" vertical="center"/>
    </xf>
    <xf numFmtId="180" fontId="61" fillId="0" borderId="5" applyAlignment="1" pivotButton="0" quotePrefix="0" xfId="0">
      <alignment horizontal="right" vertical="center"/>
    </xf>
    <xf numFmtId="180" fontId="60" fillId="27" borderId="5" applyAlignment="1" pivotButton="0" quotePrefix="0" xfId="0">
      <alignment horizontal="right" vertical="center"/>
    </xf>
    <xf numFmtId="180" fontId="60" fillId="0" borderId="22" applyAlignment="1" pivotButton="0" quotePrefix="0" xfId="0">
      <alignment horizontal="right" vertical="center"/>
    </xf>
    <xf numFmtId="174" fontId="61" fillId="0" borderId="5" applyAlignment="1" pivotButton="0" quotePrefix="0" xfId="0">
      <alignment horizontal="right" vertical="center"/>
    </xf>
    <xf numFmtId="181" fontId="60" fillId="0" borderId="5" applyAlignment="1" pivotButton="0" quotePrefix="0" xfId="0">
      <alignment horizontal="right" vertical="center"/>
    </xf>
    <xf numFmtId="0" fontId="45" fillId="28" borderId="0" applyAlignment="1" pivotButton="0" quotePrefix="0" xfId="0">
      <alignment horizontal="right" vertical="center"/>
    </xf>
    <xf numFmtId="0" fontId="62" fillId="0" borderId="0" applyAlignment="1" pivotButton="0" quotePrefix="0" xfId="0">
      <alignment horizontal="right" vertical="center"/>
    </xf>
    <xf numFmtId="0" fontId="63" fillId="27" borderId="0" applyAlignment="1" pivotButton="0" quotePrefix="0" xfId="0">
      <alignment horizontal="right" vertical="center"/>
    </xf>
    <xf numFmtId="10" fontId="61" fillId="0" borderId="0" applyAlignment="1" pivotButton="0" quotePrefix="0" xfId="0">
      <alignment horizontal="right" vertical="center"/>
    </xf>
    <xf numFmtId="10" fontId="63" fillId="0" borderId="0" applyAlignment="1" pivotButton="0" quotePrefix="0" xfId="0">
      <alignment horizontal="right" vertical="center"/>
    </xf>
    <xf numFmtId="10" fontId="60" fillId="27" borderId="0" applyAlignment="1" pivotButton="0" quotePrefix="0" xfId="0">
      <alignment horizontal="right" vertical="center"/>
    </xf>
    <xf numFmtId="10" fontId="63" fillId="27" borderId="0" applyAlignment="1" pivotButton="0" quotePrefix="0" xfId="0">
      <alignment horizontal="right" vertical="center"/>
    </xf>
    <xf numFmtId="0" fontId="63" fillId="0" borderId="0" applyAlignment="1" pivotButton="0" quotePrefix="0" xfId="0">
      <alignment horizontal="right" vertical="center"/>
    </xf>
    <xf numFmtId="174" fontId="60" fillId="27" borderId="18" applyAlignment="1" pivotButton="0" quotePrefix="0" xfId="0">
      <alignment horizontal="right" vertical="center"/>
    </xf>
    <xf numFmtId="0" fontId="63" fillId="27" borderId="18" applyAlignment="1" pivotButton="0" quotePrefix="0" xfId="0">
      <alignment horizontal="right" vertical="center"/>
    </xf>
    <xf numFmtId="0" fontId="45" fillId="28" borderId="5" applyAlignment="1" pivotButton="0" quotePrefix="0" xfId="0">
      <alignment horizontal="center" vertical="center"/>
    </xf>
    <xf numFmtId="0" fontId="62" fillId="0" borderId="5" applyAlignment="1" pivotButton="0" quotePrefix="0" xfId="0">
      <alignment horizontal="center" vertical="center"/>
    </xf>
    <xf numFmtId="0" fontId="61" fillId="27" borderId="5" applyAlignment="1" pivotButton="0" quotePrefix="0" xfId="0">
      <alignment horizontal="center" vertical="center"/>
    </xf>
    <xf numFmtId="0" fontId="61" fillId="0" borderId="5" applyAlignment="1" pivotButton="0" quotePrefix="0" xfId="0">
      <alignment horizontal="center" vertical="center"/>
    </xf>
    <xf numFmtId="0" fontId="61" fillId="27" borderId="2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4" fillId="0" borderId="0" pivotButton="0" quotePrefix="0" xfId="0"/>
    <xf numFmtId="174" fontId="64" fillId="0" borderId="0" pivotButton="0" quotePrefix="0" xfId="0"/>
    <xf numFmtId="182" fontId="60" fillId="27" borderId="23" applyAlignment="1" pivotButton="0" quotePrefix="0" xfId="0">
      <alignment horizontal="center" vertical="center"/>
    </xf>
    <xf numFmtId="174" fontId="60" fillId="27" borderId="23" applyAlignment="1" pivotButton="0" quotePrefix="0" xfId="0">
      <alignment horizontal="center" vertical="center"/>
    </xf>
    <xf numFmtId="183" fontId="60" fillId="27" borderId="23" applyAlignment="1" pivotButton="0" quotePrefix="0" xfId="0">
      <alignment horizontal="right" vertical="center"/>
    </xf>
    <xf numFmtId="182" fontId="60" fillId="0" borderId="25" applyAlignment="1" pivotButton="0" quotePrefix="0" xfId="0">
      <alignment horizontal="center" vertical="center"/>
    </xf>
    <xf numFmtId="174" fontId="60" fillId="0" borderId="25" applyAlignment="1" pivotButton="0" quotePrefix="0" xfId="0">
      <alignment horizontal="center" vertical="center"/>
    </xf>
    <xf numFmtId="183" fontId="60" fillId="0" borderId="25" applyAlignment="1" pivotButton="0" quotePrefix="0" xfId="0">
      <alignment horizontal="right" vertical="center"/>
    </xf>
    <xf numFmtId="182" fontId="60" fillId="27" borderId="25" applyAlignment="1" pivotButton="0" quotePrefix="0" xfId="0">
      <alignment horizontal="center" vertical="center"/>
    </xf>
    <xf numFmtId="174" fontId="60" fillId="27" borderId="25" applyAlignment="1" pivotButton="0" quotePrefix="0" xfId="0">
      <alignment horizontal="center" vertical="center"/>
    </xf>
    <xf numFmtId="183" fontId="60" fillId="27" borderId="25" applyAlignment="1" pivotButton="0" quotePrefix="0" xfId="0">
      <alignment horizontal="right" vertical="center"/>
    </xf>
    <xf numFmtId="0" fontId="59" fillId="22" borderId="9" applyAlignment="1" pivotButton="0" quotePrefix="0" xfId="0">
      <alignment horizontal="center" vertical="center"/>
    </xf>
    <xf numFmtId="182" fontId="66" fillId="22" borderId="26" applyAlignment="1" pivotButton="0" quotePrefix="0" xfId="0">
      <alignment horizontal="center" vertical="center"/>
    </xf>
    <xf numFmtId="10" fontId="66" fillId="22" borderId="26" applyAlignment="1" pivotButton="0" quotePrefix="0" xfId="0">
      <alignment horizontal="center" vertical="center"/>
    </xf>
    <xf numFmtId="183" fontId="66" fillId="22" borderId="26" applyAlignment="1" pivotButton="0" quotePrefix="0" xfId="0">
      <alignment horizontal="right" vertical="center"/>
    </xf>
    <xf numFmtId="0" fontId="59" fillId="22" borderId="10" applyAlignment="1" pivotButton="0" quotePrefix="0" xfId="0">
      <alignment horizontal="center" vertical="center"/>
    </xf>
    <xf numFmtId="0" fontId="59" fillId="22" borderId="30" applyAlignment="1" pivotButton="0" quotePrefix="0" xfId="0">
      <alignment horizontal="center" vertical="center"/>
    </xf>
    <xf numFmtId="174" fontId="60" fillId="27" borderId="31" applyAlignment="1" pivotButton="0" quotePrefix="0" xfId="0">
      <alignment horizontal="center" vertical="center"/>
    </xf>
    <xf numFmtId="174" fontId="60" fillId="0" borderId="32" applyAlignment="1" pivotButton="0" quotePrefix="0" xfId="0">
      <alignment horizontal="center" vertical="center"/>
    </xf>
    <xf numFmtId="174" fontId="60" fillId="27" borderId="32" applyAlignment="1" pivotButton="0" quotePrefix="0" xfId="0">
      <alignment horizontal="center" vertical="center"/>
    </xf>
    <xf numFmtId="10" fontId="66" fillId="22" borderId="33" applyAlignment="1" pivotButton="0" quotePrefix="0" xfId="0">
      <alignment horizontal="center" vertical="center"/>
    </xf>
    <xf numFmtId="0" fontId="61" fillId="27" borderId="27" applyAlignment="1" pivotButton="0" quotePrefix="0" xfId="0">
      <alignment horizontal="left" vertical="center" indent="1"/>
    </xf>
    <xf numFmtId="0" fontId="61" fillId="0" borderId="28" applyAlignment="1" pivotButton="0" quotePrefix="0" xfId="0">
      <alignment horizontal="left" vertical="center" indent="1"/>
    </xf>
    <xf numFmtId="0" fontId="61" fillId="27" borderId="28" applyAlignment="1" pivotButton="0" quotePrefix="0" xfId="0">
      <alignment horizontal="left" vertical="center" indent="1"/>
    </xf>
    <xf numFmtId="0" fontId="66" fillId="22" borderId="29" applyAlignment="1" pivotButton="0" quotePrefix="0" xfId="0">
      <alignment horizontal="left" vertical="center" indent="1"/>
    </xf>
    <xf numFmtId="0" fontId="67" fillId="0" borderId="0" pivotButton="0" quotePrefix="0" xfId="0"/>
    <xf numFmtId="0" fontId="68" fillId="0" borderId="0" pivotButton="0" quotePrefix="0" xfId="0"/>
    <xf numFmtId="0" fontId="69" fillId="0" borderId="0" pivotButton="0" quotePrefix="0" xfId="0"/>
    <xf numFmtId="184" fontId="60" fillId="27" borderId="0" applyAlignment="1" pivotButton="0" quotePrefix="0" xfId="0">
      <alignment horizontal="center" vertical="center"/>
    </xf>
    <xf numFmtId="0" fontId="58" fillId="27" borderId="0" applyAlignment="1" pivotButton="0" quotePrefix="0" xfId="0">
      <alignment horizontal="center" vertical="center"/>
    </xf>
    <xf numFmtId="0" fontId="70" fillId="27" borderId="0" applyAlignment="1" pivotButton="0" quotePrefix="0" xfId="0">
      <alignment horizontal="center" vertical="center"/>
    </xf>
    <xf numFmtId="185" fontId="60" fillId="0" borderId="24" applyAlignment="1" pivotButton="0" quotePrefix="0" xfId="0">
      <alignment horizontal="center" vertical="center"/>
    </xf>
    <xf numFmtId="0" fontId="58" fillId="0" borderId="24" applyAlignment="1" pivotButton="0" quotePrefix="0" xfId="0">
      <alignment horizontal="center" vertical="center"/>
    </xf>
    <xf numFmtId="0" fontId="70" fillId="0" borderId="24" applyAlignment="1" pivotButton="0" quotePrefix="0" xfId="0">
      <alignment horizontal="center" vertical="center"/>
    </xf>
    <xf numFmtId="185" fontId="60" fillId="27" borderId="24" applyAlignment="1" pivotButton="0" quotePrefix="0" xfId="0">
      <alignment horizontal="center" vertical="center"/>
    </xf>
    <xf numFmtId="0" fontId="58" fillId="27" borderId="24" applyAlignment="1" pivotButton="0" quotePrefix="0" xfId="0">
      <alignment horizontal="center" vertical="center"/>
    </xf>
    <xf numFmtId="0" fontId="70" fillId="27" borderId="24" applyAlignment="1" pivotButton="0" quotePrefix="0" xfId="0">
      <alignment horizontal="center" vertical="center"/>
    </xf>
    <xf numFmtId="186" fontId="60" fillId="27" borderId="24" applyAlignment="1" pivotButton="0" quotePrefix="0" xfId="0">
      <alignment horizontal="center" vertical="center"/>
    </xf>
    <xf numFmtId="0" fontId="45" fillId="26" borderId="9" applyAlignment="1" pivotButton="0" quotePrefix="0" xfId="0">
      <alignment horizontal="center"/>
    </xf>
    <xf numFmtId="185" fontId="60" fillId="0" borderId="34" applyAlignment="1" pivotButton="0" quotePrefix="0" xfId="0">
      <alignment horizontal="center" vertical="center"/>
    </xf>
    <xf numFmtId="0" fontId="58" fillId="0" borderId="34" applyAlignment="1" pivotButton="0" quotePrefix="0" xfId="0">
      <alignment horizontal="center" vertical="center"/>
    </xf>
    <xf numFmtId="0" fontId="70" fillId="0" borderId="34" applyAlignment="1" pivotButton="0" quotePrefix="0" xfId="0">
      <alignment horizontal="center" vertical="center"/>
    </xf>
    <xf numFmtId="0" fontId="59" fillId="23" borderId="0" applyAlignment="1" pivotButton="0" quotePrefix="0" xfId="0">
      <alignment horizontal="center" vertical="center"/>
    </xf>
    <xf numFmtId="0" fontId="0" fillId="25" borderId="0" pivotButton="0" quotePrefix="0" xfId="0"/>
    <xf numFmtId="172" fontId="0" fillId="25" borderId="0" pivotButton="0" quotePrefix="0" xfId="0"/>
    <xf numFmtId="174" fontId="0" fillId="25" borderId="0" pivotButton="0" quotePrefix="0" xfId="0"/>
    <xf numFmtId="0" fontId="73" fillId="25" borderId="0" applyAlignment="1" pivotButton="0" quotePrefix="0" xfId="0">
      <alignment horizontal="right"/>
    </xf>
    <xf numFmtId="0" fontId="0" fillId="27" borderId="0" pivotButton="0" quotePrefix="0" xfId="0"/>
    <xf numFmtId="172" fontId="0" fillId="27" borderId="0" pivotButton="0" quotePrefix="0" xfId="0"/>
    <xf numFmtId="174" fontId="0" fillId="27" borderId="0" pivotButton="0" quotePrefix="0" xfId="0"/>
    <xf numFmtId="0" fontId="73" fillId="27" borderId="0" applyAlignment="1" pivotButton="0" quotePrefix="0" xfId="0">
      <alignment horizontal="right"/>
    </xf>
    <xf numFmtId="0" fontId="77" fillId="26" borderId="6" applyAlignment="1" pivotButton="0" quotePrefix="0" xfId="0">
      <alignment horizontal="left"/>
    </xf>
    <xf numFmtId="0" fontId="77" fillId="26" borderId="6" applyAlignment="1" pivotButton="0" quotePrefix="0" xfId="0">
      <alignment horizontal="right"/>
    </xf>
    <xf numFmtId="172" fontId="79" fillId="27" borderId="18" pivotButton="0" quotePrefix="0" xfId="0"/>
    <xf numFmtId="174" fontId="79" fillId="27" borderId="18" pivotButton="0" quotePrefix="0" xfId="0"/>
    <xf numFmtId="0" fontId="79" fillId="27" borderId="18" applyAlignment="1" pivotButton="0" quotePrefix="0" xfId="0">
      <alignment horizontal="right"/>
    </xf>
    <xf numFmtId="0" fontId="77" fillId="26" borderId="19" applyAlignment="1" pivotButton="0" quotePrefix="0" xfId="0">
      <alignment horizontal="left"/>
    </xf>
    <xf numFmtId="0" fontId="0" fillId="25" borderId="20" pivotButton="0" quotePrefix="0" xfId="0"/>
    <xf numFmtId="0" fontId="0" fillId="27" borderId="20" pivotButton="0" quotePrefix="0" xfId="0"/>
    <xf numFmtId="0" fontId="79" fillId="27" borderId="21" pivotButton="0" quotePrefix="0" xfId="0"/>
    <xf numFmtId="0" fontId="77" fillId="26" borderId="7" applyAlignment="1" pivotButton="0" quotePrefix="0" xfId="0">
      <alignment horizontal="right"/>
    </xf>
    <xf numFmtId="0" fontId="73" fillId="25" borderId="5" applyAlignment="1" pivotButton="0" quotePrefix="0" xfId="0">
      <alignment horizontal="right"/>
    </xf>
    <xf numFmtId="0" fontId="73" fillId="27" borderId="5" applyAlignment="1" pivotButton="0" quotePrefix="0" xfId="0">
      <alignment horizontal="right"/>
    </xf>
    <xf numFmtId="0" fontId="79" fillId="27" borderId="22" applyAlignment="1" pivotButton="0" quotePrefix="0" xfId="0">
      <alignment horizontal="right"/>
    </xf>
    <xf numFmtId="183" fontId="0" fillId="25" borderId="0" pivotButton="0" quotePrefix="0" xfId="0"/>
    <xf numFmtId="183" fontId="0" fillId="27" borderId="0" pivotButton="0" quotePrefix="0" xfId="0"/>
    <xf numFmtId="183" fontId="0" fillId="25" borderId="5" pivotButton="0" quotePrefix="0" xfId="0"/>
    <xf numFmtId="183" fontId="0" fillId="27" borderId="5" pivotButton="0" quotePrefix="0" xfId="0"/>
    <xf numFmtId="174" fontId="0" fillId="25" borderId="5" pivotButton="0" quotePrefix="0" xfId="0"/>
    <xf numFmtId="183" fontId="79" fillId="27" borderId="22" pivotButton="0" quotePrefix="0" xfId="0"/>
    <xf numFmtId="183" fontId="72" fillId="25" borderId="0" pivotButton="0" quotePrefix="0" xfId="0"/>
    <xf numFmtId="174" fontId="72" fillId="25" borderId="0" pivotButton="0" quotePrefix="0" xfId="0"/>
    <xf numFmtId="9" fontId="78" fillId="25" borderId="0" applyAlignment="1" pivotButton="0" quotePrefix="0" xfId="0">
      <alignment horizontal="right"/>
    </xf>
    <xf numFmtId="183" fontId="72" fillId="27" borderId="0" pivotButton="0" quotePrefix="0" xfId="0"/>
    <xf numFmtId="174" fontId="72" fillId="27" borderId="0" pivotButton="0" quotePrefix="0" xfId="0"/>
    <xf numFmtId="0" fontId="78" fillId="27" borderId="0" applyAlignment="1" pivotButton="0" quotePrefix="0" xfId="0">
      <alignment horizontal="right"/>
    </xf>
    <xf numFmtId="0" fontId="77" fillId="26" borderId="6" applyAlignment="1" pivotButton="0" quotePrefix="0" xfId="0">
      <alignment horizontal="center"/>
    </xf>
    <xf numFmtId="183" fontId="72" fillId="25" borderId="18" pivotButton="0" quotePrefix="0" xfId="0"/>
    <xf numFmtId="174" fontId="72" fillId="25" borderId="18" pivotButton="0" quotePrefix="0" xfId="0"/>
    <xf numFmtId="0" fontId="78" fillId="25" borderId="18" applyAlignment="1" pivotButton="0" quotePrefix="0" xfId="0">
      <alignment horizontal="right"/>
    </xf>
    <xf numFmtId="0" fontId="72" fillId="25" borderId="20" pivotButton="0" quotePrefix="0" xfId="0"/>
    <xf numFmtId="0" fontId="72" fillId="27" borderId="20" pivotButton="0" quotePrefix="0" xfId="0"/>
    <xf numFmtId="0" fontId="72" fillId="25" borderId="21" pivotButton="0" quotePrefix="0" xfId="0"/>
    <xf numFmtId="0" fontId="77" fillId="26" borderId="7" applyAlignment="1" pivotButton="0" quotePrefix="0" xfId="0">
      <alignment horizontal="center"/>
    </xf>
    <xf numFmtId="0" fontId="72" fillId="25" borderId="5" applyAlignment="1" pivotButton="0" quotePrefix="0" xfId="0">
      <alignment horizontal="center"/>
    </xf>
    <xf numFmtId="0" fontId="0" fillId="27" borderId="5" applyAlignment="1" pivotButton="0" quotePrefix="0" xfId="0">
      <alignment horizontal="center"/>
    </xf>
    <xf numFmtId="0" fontId="0" fillId="25" borderId="5" applyAlignment="1" pivotButton="0" quotePrefix="0" xfId="0">
      <alignment horizontal="center"/>
    </xf>
    <xf numFmtId="0" fontId="72" fillId="27" borderId="5" applyAlignment="1" pivotButton="0" quotePrefix="0" xfId="0">
      <alignment horizontal="center"/>
    </xf>
    <xf numFmtId="0" fontId="72" fillId="25" borderId="22" applyAlignment="1" pivotButton="0" quotePrefix="0" xfId="0">
      <alignment horizontal="center"/>
    </xf>
    <xf numFmtId="10" fontId="0" fillId="27" borderId="0" pivotButton="0" quotePrefix="0" xfId="0"/>
    <xf numFmtId="10" fontId="0" fillId="25" borderId="0" pivotButton="0" quotePrefix="0" xfId="0"/>
    <xf numFmtId="0" fontId="0" fillId="25" borderId="18" pivotButton="0" quotePrefix="0" xfId="0"/>
    <xf numFmtId="187" fontId="0" fillId="25" borderId="18" pivotButton="0" quotePrefix="0" xfId="0"/>
    <xf numFmtId="0" fontId="0" fillId="25" borderId="21" pivotButton="0" quotePrefix="0" xfId="0"/>
    <xf numFmtId="10" fontId="0" fillId="27" borderId="5" pivotButton="0" quotePrefix="0" xfId="0"/>
    <xf numFmtId="10" fontId="0" fillId="25" borderId="5" pivotButton="0" quotePrefix="0" xfId="0"/>
    <xf numFmtId="187" fontId="0" fillId="25" borderId="22" pivotButton="0" quotePrefix="0" xfId="0"/>
    <xf numFmtId="0" fontId="0" fillId="27" borderId="18" pivotButton="0" quotePrefix="0" xfId="0"/>
    <xf numFmtId="0" fontId="74" fillId="27" borderId="18" pivotButton="0" quotePrefix="0" xfId="0"/>
    <xf numFmtId="174" fontId="0" fillId="27" borderId="18" applyAlignment="1" pivotButton="0" quotePrefix="0" xfId="0">
      <alignment horizontal="right"/>
    </xf>
    <xf numFmtId="0" fontId="73" fillId="27" borderId="18" applyAlignment="1" pivotButton="0" quotePrefix="0" xfId="0">
      <alignment horizontal="right"/>
    </xf>
    <xf numFmtId="0" fontId="0" fillId="27" borderId="21" pivotButton="0" quotePrefix="0" xfId="0"/>
    <xf numFmtId="0" fontId="70" fillId="27" borderId="22" applyAlignment="1" pivotButton="0" quotePrefix="0" xfId="0">
      <alignment horizontal="center"/>
    </xf>
    <xf numFmtId="0" fontId="79" fillId="22" borderId="20" pivotButton="0" quotePrefix="0" xfId="0"/>
    <xf numFmtId="0" fontId="79" fillId="22" borderId="5" pivotButton="0" quotePrefix="0" xfId="0"/>
    <xf numFmtId="174" fontId="0" fillId="27" borderId="5" pivotButton="0" quotePrefix="0" xfId="0"/>
    <xf numFmtId="174" fontId="0" fillId="27" borderId="22" pivotButton="0" quotePrefix="0" xfId="0"/>
    <xf numFmtId="183" fontId="0" fillId="27" borderId="22" pivotButton="0" quotePrefix="0" xfId="0"/>
    <xf numFmtId="174" fontId="0" fillId="25" borderId="22" pivotButton="0" quotePrefix="0" xfId="0"/>
    <xf numFmtId="0" fontId="72" fillId="27" borderId="21" pivotButton="0" quotePrefix="0" xfId="0"/>
    <xf numFmtId="183" fontId="72" fillId="27" borderId="22" pivotButton="0" quotePrefix="0" xfId="0"/>
    <xf numFmtId="0" fontId="76" fillId="24" borderId="0" pivotButton="0" quotePrefix="0" xfId="0"/>
    <xf numFmtId="0" fontId="5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5" fillId="4" borderId="1" pivotButton="0" quotePrefix="0" xfId="0"/>
    <xf numFmtId="49" fontId="15" fillId="9" borderId="1" applyAlignment="1" pivotButton="0" quotePrefix="0" xfId="0">
      <alignment horizontal="left" vertical="center"/>
    </xf>
    <xf numFmtId="166" fontId="16" fillId="11" borderId="1" applyAlignment="1" pivotButton="0" quotePrefix="0" xfId="0">
      <alignment horizontal="left" vertical="center"/>
    </xf>
    <xf numFmtId="166" fontId="17" fillId="12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75" fillId="25" borderId="12" applyAlignment="1" pivotButton="0" quotePrefix="0" xfId="0">
      <alignment horizontal="center" vertical="center"/>
    </xf>
    <xf numFmtId="0" fontId="75" fillId="25" borderId="16" applyAlignment="1" pivotButton="0" quotePrefix="0" xfId="0">
      <alignment horizontal="center" vertical="center"/>
    </xf>
    <xf numFmtId="0" fontId="57" fillId="25" borderId="12" applyAlignment="1" pivotButton="0" quotePrefix="0" xfId="0">
      <alignment horizontal="center" vertical="center"/>
    </xf>
    <xf numFmtId="0" fontId="57" fillId="25" borderId="16" applyAlignment="1" pivotButton="0" quotePrefix="0" xfId="0">
      <alignment horizontal="center" vertical="center"/>
    </xf>
    <xf numFmtId="0" fontId="59" fillId="25" borderId="13" applyAlignment="1" pivotButton="0" quotePrefix="0" xfId="0">
      <alignment horizontal="center" vertical="center"/>
    </xf>
    <xf numFmtId="0" fontId="59" fillId="25" borderId="17" applyAlignment="1" pivotButton="0" quotePrefix="0" xfId="0">
      <alignment horizontal="center" vertical="center"/>
    </xf>
    <xf numFmtId="0" fontId="71" fillId="26" borderId="19" pivotButton="0" quotePrefix="0" xfId="0"/>
    <xf numFmtId="0" fontId="71" fillId="26" borderId="7" pivotButton="0" quotePrefix="0" xfId="0"/>
    <xf numFmtId="0" fontId="76" fillId="24" borderId="0" applyAlignment="1" pivotButton="0" quotePrefix="0" xfId="0">
      <alignment horizontal="left"/>
    </xf>
    <xf numFmtId="0" fontId="54" fillId="24" borderId="0" applyAlignment="1" pivotButton="0" quotePrefix="0" xfId="0">
      <alignment horizontal="left" vertical="center"/>
    </xf>
    <xf numFmtId="0" fontId="55" fillId="24" borderId="0" applyAlignment="1" pivotButton="0" quotePrefix="0" xfId="0">
      <alignment horizontal="left" vertical="center"/>
    </xf>
    <xf numFmtId="0" fontId="53" fillId="25" borderId="12" applyAlignment="1" pivotButton="0" quotePrefix="0" xfId="0">
      <alignment horizontal="center" vertical="center"/>
    </xf>
    <xf numFmtId="0" fontId="53" fillId="25" borderId="16" applyAlignment="1" pivotButton="0" quotePrefix="0" xfId="0">
      <alignment horizontal="center" vertical="center"/>
    </xf>
    <xf numFmtId="0" fontId="59" fillId="23" borderId="13" applyAlignment="1" pivotButton="0" quotePrefix="0" xfId="0">
      <alignment horizontal="center" vertical="center"/>
    </xf>
    <xf numFmtId="0" fontId="59" fillId="23" borderId="17" applyAlignment="1" pivotButton="0" quotePrefix="0" xfId="0">
      <alignment horizontal="center" vertical="center"/>
    </xf>
    <xf numFmtId="0" fontId="56" fillId="26" borderId="14" applyAlignment="1" pivotButton="0" quotePrefix="0" xfId="0">
      <alignment horizontal="center" vertical="center"/>
    </xf>
    <xf numFmtId="0" fontId="56" fillId="26" borderId="15" applyAlignment="1" pivotButton="0" quotePrefix="0" xfId="0">
      <alignment horizontal="center" vertical="center"/>
    </xf>
    <xf numFmtId="0" fontId="60" fillId="0" borderId="2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49" fillId="24" borderId="0" applyAlignment="1" pivotButton="0" quotePrefix="0" xfId="0">
      <alignment horizontal="left" vertical="center"/>
    </xf>
    <xf numFmtId="0" fontId="45" fillId="26" borderId="19" applyAlignment="1" pivotButton="0" quotePrefix="0" xfId="0">
      <alignment horizontal="left" vertical="center"/>
    </xf>
    <xf numFmtId="0" fontId="45" fillId="26" borderId="7" applyAlignment="1" pivotButton="0" quotePrefix="0" xfId="0">
      <alignment horizontal="left" vertical="center"/>
    </xf>
    <xf numFmtId="0" fontId="45" fillId="26" borderId="6" applyAlignment="1" pivotButton="0" quotePrefix="0" xfId="0">
      <alignment horizontal="left" vertical="center"/>
    </xf>
    <xf numFmtId="0" fontId="45" fillId="28" borderId="20" applyAlignment="1" pivotButton="0" quotePrefix="0" xfId="0">
      <alignment horizontal="left" vertical="center"/>
    </xf>
    <xf numFmtId="0" fontId="45" fillId="28" borderId="0" applyAlignment="1" pivotButton="0" quotePrefix="0" xfId="0">
      <alignment horizontal="left" vertical="center"/>
    </xf>
    <xf numFmtId="0" fontId="60" fillId="27" borderId="20" applyAlignment="1" pivotButton="0" quotePrefix="0" xfId="0">
      <alignment vertical="center"/>
    </xf>
    <xf numFmtId="0" fontId="60" fillId="27" borderId="0" applyAlignment="1" pivotButton="0" quotePrefix="0" xfId="0">
      <alignment vertical="center"/>
    </xf>
    <xf numFmtId="0" fontId="60" fillId="27" borderId="11" applyAlignment="1" pivotButton="0" quotePrefix="0" xfId="0">
      <alignment vertical="center" indent="1"/>
    </xf>
    <xf numFmtId="0" fontId="52" fillId="27" borderId="0" applyAlignment="1" pivotButton="0" quotePrefix="0" xfId="0">
      <alignment vertical="center" indent="1"/>
    </xf>
    <xf numFmtId="0" fontId="52" fillId="27" borderId="0" applyAlignment="1" pivotButton="0" quotePrefix="0" xfId="0">
      <alignment vertical="center"/>
    </xf>
    <xf numFmtId="0" fontId="52" fillId="27" borderId="37" applyAlignment="1" pivotButton="0" quotePrefix="0" xfId="0">
      <alignment vertical="center"/>
    </xf>
    <xf numFmtId="0" fontId="60" fillId="27" borderId="21" applyAlignment="1" pivotButton="0" quotePrefix="0" xfId="0">
      <alignment vertical="center"/>
    </xf>
    <xf numFmtId="0" fontId="60" fillId="27" borderId="18" applyAlignment="1" pivotButton="0" quotePrefix="0" xfId="0">
      <alignment vertical="center"/>
    </xf>
    <xf numFmtId="0" fontId="65" fillId="24" borderId="0" applyAlignment="1" pivotButton="0" quotePrefix="0" xfId="0">
      <alignment horizontal="left"/>
    </xf>
    <xf numFmtId="0" fontId="44" fillId="26" borderId="0" applyAlignment="1" pivotButton="0" quotePrefix="0" xfId="0">
      <alignment horizontal="left"/>
    </xf>
    <xf numFmtId="0" fontId="65" fillId="24" borderId="0" applyAlignment="1" pivotButton="0" quotePrefix="0" xfId="0">
      <alignment horizontal="left" indent="1"/>
    </xf>
    <xf numFmtId="0" fontId="45" fillId="26" borderId="10" applyAlignment="1" pivotButton="0" quotePrefix="0" xfId="0">
      <alignment horizontal="left" indent="1"/>
    </xf>
    <xf numFmtId="0" fontId="45" fillId="26" borderId="9" applyAlignment="1" pivotButton="0" quotePrefix="0" xfId="0">
      <alignment horizontal="left"/>
    </xf>
    <xf numFmtId="0" fontId="45" fillId="26" borderId="9" applyAlignment="1" pivotButton="0" quotePrefix="0" xfId="0">
      <alignment horizontal="left" indent="1"/>
    </xf>
    <xf numFmtId="0" fontId="45" fillId="26" borderId="30" applyAlignment="1" pivotButton="0" quotePrefix="0" xfId="0">
      <alignment horizontal="left"/>
    </xf>
    <xf numFmtId="0" fontId="60" fillId="0" borderId="35" applyAlignment="1" pivotButton="0" quotePrefix="0" xfId="0">
      <alignment vertical="center" indent="1"/>
    </xf>
    <xf numFmtId="0" fontId="60" fillId="0" borderId="24" applyAlignment="1" pivotButton="0" quotePrefix="0" xfId="0">
      <alignment vertical="center"/>
    </xf>
    <xf numFmtId="0" fontId="52" fillId="0" borderId="24" applyAlignment="1" pivotButton="0" quotePrefix="0" xfId="0">
      <alignment vertical="center" indent="1"/>
    </xf>
    <xf numFmtId="0" fontId="52" fillId="0" borderId="24" applyAlignment="1" pivotButton="0" quotePrefix="0" xfId="0">
      <alignment vertical="center"/>
    </xf>
    <xf numFmtId="0" fontId="52" fillId="0" borderId="38" applyAlignment="1" pivotButton="0" quotePrefix="0" xfId="0">
      <alignment vertical="center"/>
    </xf>
    <xf numFmtId="0" fontId="60" fillId="27" borderId="35" applyAlignment="1" pivotButton="0" quotePrefix="0" xfId="0">
      <alignment vertical="center" indent="1"/>
    </xf>
    <xf numFmtId="0" fontId="60" fillId="27" borderId="24" applyAlignment="1" pivotButton="0" quotePrefix="0" xfId="0">
      <alignment vertical="center"/>
    </xf>
    <xf numFmtId="0" fontId="52" fillId="27" borderId="24" applyAlignment="1" pivotButton="0" quotePrefix="0" xfId="0">
      <alignment vertical="center" indent="1"/>
    </xf>
    <xf numFmtId="0" fontId="52" fillId="27" borderId="24" applyAlignment="1" pivotButton="0" quotePrefix="0" xfId="0">
      <alignment vertical="center"/>
    </xf>
    <xf numFmtId="0" fontId="52" fillId="27" borderId="38" applyAlignment="1" pivotButton="0" quotePrefix="0" xfId="0">
      <alignment vertical="center"/>
    </xf>
    <xf numFmtId="0" fontId="60" fillId="0" borderId="36" applyAlignment="1" pivotButton="0" quotePrefix="0" xfId="0">
      <alignment vertical="center" indent="1"/>
    </xf>
    <xf numFmtId="0" fontId="60" fillId="0" borderId="34" applyAlignment="1" pivotButton="0" quotePrefix="0" xfId="0">
      <alignment vertical="center"/>
    </xf>
    <xf numFmtId="0" fontId="52" fillId="0" borderId="34" applyAlignment="1" pivotButton="0" quotePrefix="0" xfId="0">
      <alignment vertical="center" indent="1"/>
    </xf>
    <xf numFmtId="0" fontId="52" fillId="0" borderId="34" applyAlignment="1" pivotButton="0" quotePrefix="0" xfId="0">
      <alignment vertical="center"/>
    </xf>
    <xf numFmtId="0" fontId="52" fillId="0" borderId="39" applyAlignment="1" pivotButton="0" quotePrefix="0" xfId="0">
      <alignment vertical="center"/>
    </xf>
    <xf numFmtId="0" fontId="10" fillId="7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6" fillId="0" borderId="1" applyAlignment="1" pivotButton="0" quotePrefix="0" xfId="0">
      <alignment horizontal="left" vertical="center" indent="2"/>
    </xf>
    <xf numFmtId="0" fontId="0" fillId="0" borderId="3" pivotButton="0" quotePrefix="0" xfId="0"/>
    <xf numFmtId="0" fontId="0" fillId="0" borderId="4" pivotButton="0" quotePrefix="0" xfId="0"/>
    <xf numFmtId="0" fontId="48" fillId="21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indent="1"/>
    </xf>
    <xf numFmtId="0" fontId="12" fillId="10" borderId="1" applyAlignment="1" pivotButton="0" quotePrefix="0" xfId="0">
      <alignment horizontal="left" vertical="center" indent="2"/>
    </xf>
    <xf numFmtId="0" fontId="46" fillId="19" borderId="8" applyAlignment="1" pivotButton="0" quotePrefix="0" xfId="0">
      <alignment horizontal="center" vertical="center" wrapText="1"/>
    </xf>
    <xf numFmtId="0" fontId="45" fillId="18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4" fillId="9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left" vertical="center" indent="2"/>
    </xf>
    <xf numFmtId="0" fontId="11" fillId="0" borderId="0" applyAlignment="1" pivotButton="0" quotePrefix="0" xfId="0">
      <alignment horizontal="left" vertical="center" indent="1"/>
    </xf>
    <xf numFmtId="0" fontId="20" fillId="2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horizontal="left" vertical="center" indent="1"/>
    </xf>
    <xf numFmtId="0" fontId="48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 wrapText="1" indent="1"/>
    </xf>
    <xf numFmtId="0" fontId="44" fillId="16" borderId="0" applyAlignment="1" pivotButton="0" quotePrefix="0" xfId="0">
      <alignment horizontal="left" vertical="center" wrapText="1"/>
    </xf>
    <xf numFmtId="0" fontId="36" fillId="17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38" fillId="0" borderId="0" pivotButton="0" quotePrefix="0" xfId="0"/>
    <xf numFmtId="0" fontId="42" fillId="0" borderId="0" pivotButton="0" quotePrefix="0" xfId="0"/>
    <xf numFmtId="0" fontId="9" fillId="0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47" fillId="0" borderId="8" applyAlignment="1" pivotButton="0" quotePrefix="0" xfId="0">
      <alignment horizontal="left" vertical="center" wrapText="1"/>
    </xf>
    <xf numFmtId="0" fontId="49" fillId="16" borderId="0" applyAlignment="1" pivotButton="0" quotePrefix="0" xfId="0">
      <alignment horizontal="left" vertical="center" wrapText="1"/>
    </xf>
    <xf numFmtId="0" fontId="50" fillId="20" borderId="8" applyAlignment="1" pivotButton="0" quotePrefix="0" xfId="0">
      <alignment horizontal="left" vertical="center" wrapText="1"/>
    </xf>
    <xf numFmtId="0" fontId="56" fillId="26" borderId="43" applyAlignment="1" pivotButton="0" quotePrefix="0" xfId="0">
      <alignment horizontal="center" vertical="center"/>
    </xf>
    <xf numFmtId="0" fontId="0" fillId="0" borderId="15" pivotButton="0" quotePrefix="0" xfId="0"/>
    <xf numFmtId="0" fontId="57" fillId="25" borderId="40" applyAlignment="1" pivotButton="0" quotePrefix="0" xfId="0">
      <alignment horizontal="center" vertical="center"/>
    </xf>
    <xf numFmtId="0" fontId="0" fillId="0" borderId="16" pivotButton="0" quotePrefix="0" xfId="0"/>
    <xf numFmtId="0" fontId="53" fillId="25" borderId="40" applyAlignment="1" pivotButton="0" quotePrefix="0" xfId="0">
      <alignment horizontal="center" vertical="center"/>
    </xf>
    <xf numFmtId="0" fontId="59" fillId="23" borderId="41" applyAlignment="1" pivotButton="0" quotePrefix="0" xfId="0">
      <alignment horizontal="center" vertical="center"/>
    </xf>
    <xf numFmtId="0" fontId="0" fillId="0" borderId="17" pivotButton="0" quotePrefix="0" xfId="0"/>
    <xf numFmtId="0" fontId="75" fillId="25" borderId="40" applyAlignment="1" pivotButton="0" quotePrefix="0" xfId="0">
      <alignment horizontal="center" vertical="center"/>
    </xf>
    <xf numFmtId="0" fontId="59" fillId="25" borderId="41" applyAlignment="1" pivotButton="0" quotePrefix="0" xfId="0">
      <alignment horizontal="center" vertical="center"/>
    </xf>
    <xf numFmtId="0" fontId="45" fillId="26" borderId="42" applyAlignment="1" pivotButton="0" quotePrefix="0" xfId="0">
      <alignment horizontal="left" vertical="center"/>
    </xf>
    <xf numFmtId="0" fontId="0" fillId="0" borderId="7" pivotButton="0" quotePrefix="0" xfId="0"/>
    <xf numFmtId="164" fontId="60" fillId="0" borderId="5" applyAlignment="1" pivotButton="0" quotePrefix="0" xfId="0">
      <alignment horizontal="right" vertical="center"/>
    </xf>
    <xf numFmtId="181" fontId="60" fillId="0" borderId="5" applyAlignment="1" pivotButton="0" quotePrefix="0" xfId="0">
      <alignment horizontal="right" vertical="center"/>
    </xf>
    <xf numFmtId="0" fontId="0" fillId="0" borderId="6" pivotButton="0" quotePrefix="0" xfId="0"/>
    <xf numFmtId="182" fontId="60" fillId="27" borderId="23" applyAlignment="1" pivotButton="0" quotePrefix="0" xfId="0">
      <alignment horizontal="center" vertical="center"/>
    </xf>
    <xf numFmtId="183" fontId="60" fillId="27" borderId="23" applyAlignment="1" pivotButton="0" quotePrefix="0" xfId="0">
      <alignment horizontal="right" vertical="center"/>
    </xf>
    <xf numFmtId="182" fontId="60" fillId="0" borderId="25" applyAlignment="1" pivotButton="0" quotePrefix="0" xfId="0">
      <alignment horizontal="center" vertical="center"/>
    </xf>
    <xf numFmtId="183" fontId="60" fillId="0" borderId="25" applyAlignment="1" pivotButton="0" quotePrefix="0" xfId="0">
      <alignment horizontal="right" vertical="center"/>
    </xf>
    <xf numFmtId="182" fontId="60" fillId="27" borderId="25" applyAlignment="1" pivotButton="0" quotePrefix="0" xfId="0">
      <alignment horizontal="center" vertical="center"/>
    </xf>
    <xf numFmtId="183" fontId="60" fillId="27" borderId="25" applyAlignment="1" pivotButton="0" quotePrefix="0" xfId="0">
      <alignment horizontal="right" vertical="center"/>
    </xf>
    <xf numFmtId="182" fontId="66" fillId="22" borderId="26" applyAlignment="1" pivotButton="0" quotePrefix="0" xfId="0">
      <alignment horizontal="center" vertical="center"/>
    </xf>
    <xf numFmtId="183" fontId="66" fillId="22" borderId="26" applyAlignment="1" pivotButton="0" quotePrefix="0" xfId="0">
      <alignment horizontal="right" vertical="center"/>
    </xf>
    <xf numFmtId="0" fontId="0" fillId="0" borderId="9" pivotButton="0" quotePrefix="0" xfId="0"/>
    <xf numFmtId="0" fontId="45" fillId="26" borderId="30" applyAlignment="1" pivotButton="0" quotePrefix="0" xfId="0">
      <alignment horizontal="left" indent="1"/>
    </xf>
    <xf numFmtId="0" fontId="0" fillId="0" borderId="30" pivotButton="0" quotePrefix="0" xfId="0"/>
    <xf numFmtId="184" fontId="60" fillId="27" borderId="0" applyAlignment="1" pivotButton="0" quotePrefix="0" xfId="0">
      <alignment horizontal="center" vertical="center"/>
    </xf>
    <xf numFmtId="0" fontId="52" fillId="27" borderId="37" applyAlignment="1" pivotButton="0" quotePrefix="0" xfId="0">
      <alignment vertical="center" indent="1"/>
    </xf>
    <xf numFmtId="0" fontId="0" fillId="0" borderId="37" pivotButton="0" quotePrefix="0" xfId="0"/>
    <xf numFmtId="0" fontId="0" fillId="0" borderId="24" pivotButton="0" quotePrefix="0" xfId="0"/>
    <xf numFmtId="185" fontId="60" fillId="0" borderId="24" applyAlignment="1" pivotButton="0" quotePrefix="0" xfId="0">
      <alignment horizontal="center" vertical="center"/>
    </xf>
    <xf numFmtId="0" fontId="52" fillId="0" borderId="38" applyAlignment="1" pivotButton="0" quotePrefix="0" xfId="0">
      <alignment vertical="center" indent="1"/>
    </xf>
    <xf numFmtId="0" fontId="0" fillId="0" borderId="38" pivotButton="0" quotePrefix="0" xfId="0"/>
    <xf numFmtId="185" fontId="60" fillId="27" borderId="24" applyAlignment="1" pivotButton="0" quotePrefix="0" xfId="0">
      <alignment horizontal="center" vertical="center"/>
    </xf>
    <xf numFmtId="0" fontId="52" fillId="27" borderId="38" applyAlignment="1" pivotButton="0" quotePrefix="0" xfId="0">
      <alignment vertical="center" indent="1"/>
    </xf>
    <xf numFmtId="0" fontId="0" fillId="0" borderId="34" pivotButton="0" quotePrefix="0" xfId="0"/>
    <xf numFmtId="185" fontId="60" fillId="0" borderId="34" applyAlignment="1" pivotButton="0" quotePrefix="0" xfId="0">
      <alignment horizontal="center" vertical="center"/>
    </xf>
    <xf numFmtId="0" fontId="52" fillId="0" borderId="39" applyAlignment="1" pivotButton="0" quotePrefix="0" xfId="0">
      <alignment vertical="center" indent="1"/>
    </xf>
    <xf numFmtId="0" fontId="0" fillId="0" borderId="39" pivotButton="0" quotePrefix="0" xfId="0"/>
    <xf numFmtId="183" fontId="0" fillId="25" borderId="0" pivotButton="0" quotePrefix="0" xfId="0"/>
    <xf numFmtId="183" fontId="0" fillId="25" borderId="5" pivotButton="0" quotePrefix="0" xfId="0"/>
    <xf numFmtId="183" fontId="0" fillId="27" borderId="0" pivotButton="0" quotePrefix="0" xfId="0"/>
    <xf numFmtId="183" fontId="0" fillId="27" borderId="5" pivotButton="0" quotePrefix="0" xfId="0"/>
    <xf numFmtId="183" fontId="79" fillId="27" borderId="22" pivotButton="0" quotePrefix="0" xfId="0"/>
    <xf numFmtId="183" fontId="72" fillId="25" borderId="0" pivotButton="0" quotePrefix="0" xfId="0"/>
    <xf numFmtId="183" fontId="72" fillId="27" borderId="0" pivotButton="0" quotePrefix="0" xfId="0"/>
    <xf numFmtId="183" fontId="72" fillId="25" borderId="18" pivotButton="0" quotePrefix="0" xfId="0"/>
    <xf numFmtId="0" fontId="71" fillId="26" borderId="42" pivotButton="0" quotePrefix="0" xfId="0"/>
    <xf numFmtId="183" fontId="72" fillId="27" borderId="22" pivotButton="0" quotePrefix="0" xfId="0"/>
    <xf numFmtId="183" fontId="0" fillId="27" borderId="2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F6000"/>
      <rgbColor rgb="FF800080"/>
      <rgbColor rgb="FF1F6B52"/>
      <rgbColor rgb="FFBFBFBF"/>
      <rgbColor rgb="FF808080"/>
      <rgbColor rgb="FF9999FF"/>
      <rgbColor rgb="FF993366"/>
      <rgbColor rgb="FFFFFFC7"/>
      <rgbColor rgb="FFEEF2FF"/>
      <rgbColor rgb="FF660066"/>
      <rgbColor rgb="FFFF8080"/>
      <rgbColor rgb="FF2F5597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EB9C"/>
      <rgbColor rgb="FFC8E6C9"/>
      <rgbColor rgb="FFEDEDED"/>
      <rgbColor rgb="FFF7F7F7"/>
      <rgbColor rgb="FFFFF2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F4F00"/>
      <rgbColor rgb="FF993366"/>
      <rgbColor rgb="FF4A386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Property</v>
          </tx>
          <spPr>
            <a:solidFill>
              <a:srgbClr val="1F4E79"/>
            </a:solidFill>
            <a:ln>
              <a:noFill/>
              <a:prstDash val="solid"/>
            </a:ln>
          </spPr>
          <invertIfNegative val="0"/>
          <cat>
            <strRef>
              <f>Dashboard!$O$2:$O$5</f>
              <strCache>
                <ptCount val="4"/>
                <pt idx="0">
                  <v>Independent Living</v>
                </pt>
                <pt idx="1">
                  <v>Assisted Living</v>
                </pt>
                <pt idx="2">
                  <v>Memory Care</v>
                </pt>
                <pt idx="3">
                  <v>Blended</v>
                </pt>
              </strCache>
            </strRef>
          </cat>
          <val>
            <numRef>
              <f>Dashboard!$P$2:$P$5</f>
              <numCache>
                <formatCode>0.0%</formatCode>
                <ptCount val="4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0</v>
                </pt>
              </numCache>
            </numRef>
          </val>
        </ser>
        <ser>
          <idx val="1"/>
          <order val="1"/>
          <tx>
            <v>Market (NIC MAP)</v>
          </tx>
          <spPr>
            <a:solidFill>
              <a:srgbClr val="A6A6A6"/>
            </a:solidFill>
            <a:ln>
              <a:noFill/>
              <a:prstDash val="solid"/>
            </a:ln>
          </spPr>
          <invertIfNegative val="0"/>
          <cat>
            <strRef>
              <f>Dashboard!$O$2:$O$5</f>
              <strCache>
                <ptCount val="4"/>
                <pt idx="0">
                  <v>Independent Living</v>
                </pt>
                <pt idx="1">
                  <v>Assisted Living</v>
                </pt>
                <pt idx="2">
                  <v>Memory Care</v>
                </pt>
                <pt idx="3">
                  <v>Blended</v>
                </pt>
              </strCache>
            </strRef>
          </cat>
          <val>
            <numRef>
              <f>Dashboard!$Q$2:$Q$5</f>
              <numCache>
                <formatCode>0.0%</formatCode>
                <ptCount val="4"/>
                <pt idx="0">
                  <v>0.91</v>
                </pt>
                <pt idx="1">
                  <v>0.879</v>
                </pt>
                <pt idx="2">
                  <v>0.88</v>
                </pt>
                <pt idx="3">
                  <v>0.895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390220271"/>
        <axId val="390228911"/>
      </barChart>
      <catAx>
        <axId val="3902202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0228911"/>
        <crosses val="autoZero"/>
        <auto val="1"/>
        <lblAlgn val="ctr"/>
        <lblOffset val="100"/>
        <noMultiLvlLbl val="0"/>
      </catAx>
      <valAx>
        <axId val="3902289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9022027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doughnutChart>
        <varyColors val="1"/>
        <ser>
          <idx val="0"/>
          <order val="0"/>
          <tx>
            <strRef>
              <f>Dashboard!$P$7</f>
              <strCache>
                <ptCount val="1"/>
                <pt idx="0">
                  <v>Revenue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rgbClr val="1F4E79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rgbClr val="5B9BD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rgbClr val="A5C8E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rgbClr val="70AD47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rgbClr val="ED7D3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rgbClr val="A6A6A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9"/>
            <bubble3D val="0"/>
            <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0"/>
            <bubble3D val="0"/>
            <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1"/>
            <bubble3D val="0"/>
            <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Dashboard!$O$8:$O$14</f>
              <strCache>
                <ptCount val="7"/>
                <pt idx="0">
                  <v>Private Pay</v>
                </pt>
                <pt idx="1">
                  <v>Medicaid</v>
                </pt>
                <pt idx="2">
                  <v>LTC Insurance</v>
                </pt>
                <pt idx="3">
                  <v>VA</v>
                </pt>
                <pt idx="4">
                  <v>Managed Care</v>
                </pt>
                <pt idx="5">
                  <v>Self-Pay</v>
                </pt>
                <pt idx="6">
                  <v>Other</v>
                </pt>
              </strCache>
            </strRef>
          </cat>
          <val>
            <numRef>
              <f>Dashboard!$P$8:$P$14</f>
              <numCache>
                <formatCode>General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Occupancy by Unit Type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Dashboard!$C$89</f>
              <strCache>
                <ptCount val="1"/>
                <pt idx="0">
                  <v>Occupancy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Dashboard!$B$90:$B$93</f>
              <strCache>
                <ptCount val="4"/>
                <pt idx="0">
                  <v>Independent Living</v>
                </pt>
                <pt idx="1">
                  <v>Assisted Living</v>
                </pt>
                <pt idx="2">
                  <v>Memory Care</v>
                </pt>
                <pt idx="3">
                  <v>Blended</v>
                </pt>
              </strCache>
            </strRef>
          </cat>
          <val>
            <numRef>
              <f>Dashboard!$C$90:$C$93</f>
              <numCache>
                <formatCode>0.0%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38074128"/>
        <axId val="38078928"/>
      </barChart>
      <catAx>
        <axId val="3807412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8078928"/>
        <crosses val="autoZero"/>
        <auto val="1"/>
        <lblAlgn val="ctr"/>
        <lblOffset val="100"/>
        <noMultiLvlLbl val="0"/>
      </catAx>
      <valAx>
        <axId val="3807892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807412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EGI Trend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Dashboard!$C$96</f>
              <strCache>
                <ptCount val="1"/>
                <pt idx="0">
                  <v>EGI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Dashboard!$B$97:$B$108</f>
              <strCache>
                <ptCount val="12"/>
                <pt idx="0">
                  <v>M01</v>
                </pt>
                <pt idx="1">
                  <v>M02</v>
                </pt>
                <pt idx="2">
                  <v>M03</v>
                </pt>
                <pt idx="3">
                  <v>M04</v>
                </pt>
                <pt idx="4">
                  <v>M05</v>
                </pt>
                <pt idx="5">
                  <v>M06</v>
                </pt>
                <pt idx="6">
                  <v>M07</v>
                </pt>
                <pt idx="7">
                  <v>M08</v>
                </pt>
                <pt idx="8">
                  <v>M09</v>
                </pt>
                <pt idx="9">
                  <v>M10</v>
                </pt>
                <pt idx="10">
                  <v>M11</v>
                </pt>
                <pt idx="11">
                  <v>M12</v>
                </pt>
              </strCache>
            </strRef>
          </cat>
          <val>
            <numRef>
              <f>Dashboard!$C$97:$C$108</f>
              <numCache>
                <formatCode>"$"#,##0;\("$"#,##0\);\-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6356368"/>
        <axId val="126348208"/>
      </lineChart>
      <catAx>
        <axId val="12635636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48208"/>
        <crosses val="autoZero"/>
        <auto val="1"/>
        <lblAlgn val="ctr"/>
        <lblOffset val="100"/>
        <noMultiLvlLbl val="0"/>
      </catAx>
      <valAx>
        <axId val="12634820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;\(&quot;$&quot;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5636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Payer Mix — Revenue Share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strRef>
              <f>Dashboard!$F$89</f>
              <strCache>
                <ptCount val="1"/>
                <pt idx="0">
                  <v>Share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strRef>
              <f>Dashboard!$E$90:$E$96</f>
              <strCache>
                <ptCount val="7"/>
                <pt idx="0">
                  <v>Private Pay</v>
                </pt>
                <pt idx="1">
                  <v>Medicaid</v>
                </pt>
                <pt idx="2">
                  <v>LTC Insurance</v>
                </pt>
                <pt idx="3">
                  <v>VA</v>
                </pt>
                <pt idx="4">
                  <v>Managed Care</v>
                </pt>
                <pt idx="5">
                  <v>Self-Pay</v>
                </pt>
                <pt idx="6">
                  <v>Other</v>
                </pt>
              </strCache>
            </strRef>
          </cat>
          <val>
            <numRef>
              <f>Dashboard!$F$90:$F$96</f>
              <numCache>
                <formatCode>0.0%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Waterfall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Dashboard!$F$99</f>
              <strCache>
                <ptCount val="1"/>
                <pt idx="0">
                  <v>T12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Dashboard!$E$100:$E$105</f>
              <strCache>
                <ptCount val="6"/>
                <pt idx="0">
                  <v>EGI</v>
                </pt>
                <pt idx="1">
                  <v>Direct Labor</v>
                </pt>
                <pt idx="2">
                  <v>Payroll Burden</v>
                </pt>
                <pt idx="3">
                  <v>Non-Labor Opex</v>
                </pt>
                <pt idx="4">
                  <v>Mgmt Fee</v>
                </pt>
                <pt idx="5">
                  <v>EBITDAR</v>
                </pt>
              </strCache>
            </strRef>
          </cat>
          <val>
            <numRef>
              <f>Dashboard!$F$100:$F$105</f>
              <numCache>
                <formatCode>"$"#,##0;\("$"#,##0\);\-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6357328"/>
        <axId val="126373168"/>
      </barChart>
      <catAx>
        <axId val="126357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73168"/>
        <crosses val="autoZero"/>
        <auto val="1"/>
        <lblAlgn val="ctr"/>
        <lblOffset val="100"/>
        <noMultiLvlLbl val="0"/>
      </catAx>
      <valAx>
        <axId val="1263731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;\(&quot;$&quot;#,##0\);\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6357328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28</row>
      <rowOff>0</rowOff>
    </from>
    <to>
      <col>13</col>
      <colOff>0</colOff>
      <row>37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41</row>
      <rowOff>1</rowOff>
    </from>
    <to>
      <col>13</col>
      <colOff>0</colOff>
      <row>50</row>
      <rowOff>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272143</colOff>
      <row>100</row>
      <rowOff>54428</rowOff>
    </from>
    <to>
      <col>12</col>
      <colOff>272143</colOff>
      <row>110</row>
      <rowOff>68035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13606</colOff>
      <row>110</row>
      <rowOff>176891</rowOff>
    </from>
    <to>
      <col>7</col>
      <colOff>1319891</colOff>
      <row>124</row>
      <rowOff>136070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6</col>
      <colOff>299357</colOff>
      <row>86</row>
      <rowOff>76201</rowOff>
    </from>
    <to>
      <col>9</col>
      <colOff>236766</colOff>
      <row>99</row>
      <rowOff>95250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9</col>
      <colOff>299358</colOff>
      <row>86</row>
      <rowOff>95250</rowOff>
    </from>
    <to>
      <col>12</col>
      <colOff>285752</colOff>
      <row>99</row>
      <rowOff>95250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Q108"/>
  <sheetViews>
    <sheetView tabSelected="1" topLeftCell="A50" zoomScale="70" zoomScaleNormal="70" workbookViewId="0">
      <selection activeCell="R81" sqref="R81"/>
    </sheetView>
  </sheetViews>
  <sheetFormatPr baseColWidth="8" defaultRowHeight="15"/>
  <cols>
    <col width="1.5703125" customWidth="1" style="437" min="1" max="1"/>
    <col width="21" customWidth="1" style="437" min="2" max="3"/>
    <col width="9.42578125" bestFit="1" customWidth="1" style="437" min="4" max="4"/>
    <col width="21" customWidth="1" style="437" min="5" max="6"/>
    <col width="5.7109375" customWidth="1" style="437" min="7" max="7"/>
    <col width="21" customWidth="1" style="437" min="8" max="9"/>
    <col width="7.7109375" customWidth="1" style="437" min="10" max="10"/>
    <col width="21" customWidth="1" style="437" min="11" max="12"/>
    <col width="5.7109375" customWidth="1" style="437" min="13" max="13"/>
    <col width="1.5703125" customWidth="1" style="437" min="14" max="14"/>
  </cols>
  <sheetData>
    <row r="1" ht="12" customHeight="1" s="437">
      <c r="O1" s="262" t="inlineStr">
        <is>
          <t>Care Type</t>
        </is>
      </c>
      <c r="P1" s="262" t="inlineStr">
        <is>
          <t>Property</t>
        </is>
      </c>
      <c r="Q1" s="262" t="inlineStr">
        <is>
          <t>Market</t>
        </is>
      </c>
    </row>
    <row r="2" ht="32.1" customHeight="1" s="437">
      <c r="B2" s="390">
        <f>"UNDERWRITING DASHBOARD"&amp;IF(AND(ISTEXT(Cover!B5),Cover!B5&lt;&gt;""),"  —  "&amp;Cover!B5,"")</f>
        <v/>
      </c>
      <c r="O2" s="262" t="inlineStr">
        <is>
          <t>Independent Living</t>
        </is>
      </c>
      <c r="P2" s="263">
        <f>IFERROR(IF('T12 Analytics'!B6&gt;0,'T12 Analytics'!B11/'T12 Analytics'!B6,NA()),NA())</f>
        <v/>
      </c>
      <c r="Q2" s="263" t="n">
        <v>0.91</v>
      </c>
    </row>
    <row r="3" ht="20.1" customHeight="1" s="437">
      <c r="B3" s="391">
        <f>"Period: "&amp;IF(AND(ISTEXT('T12 Analytics'!E2),'T12 Analytics'!E2&lt;&gt;""),'T12 Analytics'!E2,"T12")&amp;"   |   Basis: "&amp;IF(AND(ISTEXT('T12 Analytics'!H2),'T12 Analytics'!H2&lt;&gt;""),'T12 Analytics'!H2,"As-Reported")&amp;"   |   Refreshed: "&amp;TEXT(TODAY(),"mmm d, yyyy")</f>
        <v/>
      </c>
      <c r="O3" s="262" t="inlineStr">
        <is>
          <t>Assisted Living</t>
        </is>
      </c>
      <c r="P3" s="263">
        <f>IFERROR(IF('T12 Analytics'!C6&gt;0,'T12 Analytics'!C11/'T12 Analytics'!C6,NA()),NA())</f>
        <v/>
      </c>
      <c r="Q3" s="263" t="n">
        <v>0.879</v>
      </c>
    </row>
    <row r="4" ht="8.1" customHeight="1" s="437" thickBot="1">
      <c r="O4" s="262" t="inlineStr">
        <is>
          <t>Memory Care</t>
        </is>
      </c>
      <c r="P4" s="263">
        <f>IFERROR(IF('T12 Analytics'!D6&gt;0,'T12 Analytics'!D11/'T12 Analytics'!D6,NA()),NA())</f>
        <v/>
      </c>
      <c r="Q4" s="263" t="n">
        <v>0.88</v>
      </c>
    </row>
    <row r="5" ht="18" customHeight="1" s="437">
      <c r="B5" s="396" t="inlineStr">
        <is>
          <t>OCCUPANCY</t>
        </is>
      </c>
      <c r="C5" s="397" t="n"/>
      <c r="D5" s="217" t="n"/>
      <c r="E5" s="396" t="inlineStr">
        <is>
          <t>EBITDARM MARGIN</t>
        </is>
      </c>
      <c r="F5" s="397" t="n"/>
      <c r="G5" s="217" t="n"/>
      <c r="H5" s="396" t="inlineStr">
        <is>
          <t>GOING-IN CAP RATE</t>
        </is>
      </c>
      <c r="I5" s="397" t="n"/>
      <c r="J5" s="217" t="n"/>
      <c r="K5" s="468" t="inlineStr">
        <is>
          <t>REVPOR</t>
        </is>
      </c>
      <c r="L5" s="469" t="n"/>
      <c r="O5" s="262" t="inlineStr">
        <is>
          <t>Blended</t>
        </is>
      </c>
      <c r="P5" s="263">
        <f>IFERROR('T12 Analytics'!F134,NA())</f>
        <v/>
      </c>
      <c r="Q5" s="263" t="n">
        <v>0.895</v>
      </c>
    </row>
    <row r="6" ht="38.25" customHeight="1" s="437">
      <c r="B6" s="470">
        <f>IFERROR(IF(ISNUMBER('T12 Analytics'!F134),TEXT('T12 Analytics'!F134,"0.0%"),"—"),"—")</f>
        <v/>
      </c>
      <c r="C6" s="471" t="n"/>
      <c r="D6" s="217" t="n"/>
      <c r="E6" s="470">
        <f>IFERROR(IF(ISNUMBER('T12 Analytics'!F162),TEXT('T12 Analytics'!F162,"0.0%"),"—"),"—")</f>
        <v/>
      </c>
      <c r="F6" s="471" t="n"/>
      <c r="G6" s="217" t="n"/>
      <c r="H6" s="470">
        <f>IFERROR(IF(ISNUMBER('T12 Analytics'!F118),TEXT('T12 Analytics'!F118,"0.00%"),"—"),"—")</f>
        <v/>
      </c>
      <c r="I6" s="471" t="n"/>
      <c r="J6" s="217" t="n"/>
      <c r="K6" s="470">
        <f>IFERROR(IF(ISNUMBER('T12 Analytics'!F143),TEXT('T12 Analytics'!F143,"$#,##0"),"—"),"—")</f>
        <v/>
      </c>
      <c r="L6" s="471" t="n"/>
    </row>
    <row r="7" ht="15.95" customHeight="1" s="437">
      <c r="B7" s="472" t="inlineStr">
        <is>
          <t>Normalized community occupancy</t>
        </is>
      </c>
      <c r="C7" s="471" t="n"/>
      <c r="D7" s="217" t="n"/>
      <c r="E7" s="472" t="inlineStr">
        <is>
          <t>Normalized (pre-mgmt fee)</t>
        </is>
      </c>
      <c r="F7" s="471" t="n"/>
      <c r="G7" s="217" t="n"/>
      <c r="H7" s="472" t="inlineStr">
        <is>
          <t>Normalized NOI / Purchase Price</t>
        </is>
      </c>
      <c r="I7" s="471" t="n"/>
      <c r="J7" s="217" t="n"/>
      <c r="K7" s="472" t="inlineStr">
        <is>
          <t>Normalized RevPOR per resident</t>
        </is>
      </c>
      <c r="L7" s="471" t="n"/>
      <c r="O7" s="287" t="inlineStr">
        <is>
          <t>Payer</t>
        </is>
      </c>
      <c r="P7" s="288" t="inlineStr">
        <is>
          <t>Revenue</t>
        </is>
      </c>
    </row>
    <row r="8" ht="21.95" customHeight="1" s="437" thickBot="1">
      <c r="B8" s="473">
        <f>IF(ISNUMBER('T12 Analytics'!F134),IF('T12 Analytics'!F134&gt;=0.9,"✓ At/above 90% stabilized hurdle",IF('T12 Analytics'!F134&gt;=0.85,"⚠ Below stabilized, lease-up risk","✗ Distressed occupancy")),"— Source not populated")</f>
        <v/>
      </c>
      <c r="C8" s="474" t="n"/>
      <c r="D8" s="217" t="n"/>
      <c r="E8" s="473">
        <f>IF(ISNUMBER('T12 Analytics'!F162),IF('T12 Analytics'!F162&gt;=0.27,"✓ In-line with REIT SHOP avg ~27%",IF('T12 Analytics'!F162&gt;=0.22,"⚠ Below institutional median","✗ Margin distressed")),"— Source not populated")</f>
        <v/>
      </c>
      <c r="F8" s="474" t="n"/>
      <c r="G8" s="217" t="n"/>
      <c r="H8" s="473">
        <f>IF(ISNUMBER('T12 Analytics'!F118),IF('T12 Analytics'!F118&gt;=0.07,"✓ Above 6.2% market avg",IF('T12 Analytics'!F118&gt;=0.055,"⚠ At market, modest yield","✗ Below market, aggressive")),"— Source not populated")</f>
        <v/>
      </c>
      <c r="I8" s="474" t="n"/>
      <c r="J8" s="217" t="n"/>
      <c r="K8" s="473">
        <f>IF(ISNUMBER('T12 Analytics'!F143),"vs blended market $5,500-$6,500","— Source not populated")</f>
        <v/>
      </c>
      <c r="L8" s="474" t="n"/>
      <c r="O8" s="262" t="inlineStr">
        <is>
          <t>Private Pay</t>
        </is>
      </c>
      <c r="P8" s="289">
        <f>IFERROR(IF(ISNUMBER(E43),E43,0),0)</f>
        <v/>
      </c>
    </row>
    <row r="9" ht="10.5" customHeight="1" s="437" thickBot="1">
      <c r="O9" s="262" t="inlineStr">
        <is>
          <t>Medicaid</t>
        </is>
      </c>
      <c r="P9" s="289">
        <f>IFERROR(IF(ISNUMBER(E44),E44,0),0)</f>
        <v/>
      </c>
    </row>
    <row r="10" ht="21.95" customHeight="1" s="437">
      <c r="B10" s="396" t="inlineStr">
        <is>
          <t>EFFECTIVE GROSS INCOME</t>
        </is>
      </c>
      <c r="C10" s="397" t="n"/>
      <c r="D10" s="217" t="n"/>
      <c r="E10" s="396" t="inlineStr">
        <is>
          <t>EBITDAR</t>
        </is>
      </c>
      <c r="F10" s="397" t="n"/>
      <c r="G10" s="217" t="n"/>
      <c r="H10" s="396" t="inlineStr">
        <is>
          <t>PRICE / BED</t>
        </is>
      </c>
      <c r="I10" s="397" t="n"/>
      <c r="J10" s="217" t="n"/>
      <c r="K10" s="304" t="n"/>
      <c r="L10" s="304" t="n"/>
      <c r="O10" s="262" t="inlineStr">
        <is>
          <t>LTC Insurance</t>
        </is>
      </c>
      <c r="P10" s="289">
        <f>IFERROR(IF(ISNUMBER(E45),E45,0),0)</f>
        <v/>
      </c>
    </row>
    <row r="11" ht="38.25" customHeight="1" s="437">
      <c r="B11" s="470">
        <f>IFERROR(IF(ISNUMBER('T12 Analytics'!F52),TEXT('T12 Analytics'!F52,"$#,##0"),"—"),"—")</f>
        <v/>
      </c>
      <c r="C11" s="471" t="n"/>
      <c r="D11" s="217" t="n"/>
      <c r="E11" s="470">
        <f>IFERROR(IF(ISNUMBER('T12 Analytics'!F163),TEXT('T12 Analytics'!F163,"$#,##0"),"—"),"—")</f>
        <v/>
      </c>
      <c r="F11" s="471" t="n"/>
      <c r="G11" s="217" t="n"/>
      <c r="H11" s="470">
        <f>IFERROR(IF(AND(ISNUMBER('T12 Analytics'!F117),ISNUMBER('T12 Analytics'!E6),'T12 Analytics'!E6&gt;0),TEXT('T12 Analytics'!F117/'T12 Analytics'!E6,"$#,##0"),"—"),"—")</f>
        <v/>
      </c>
      <c r="I11" s="471" t="n"/>
      <c r="J11" s="217" t="n"/>
      <c r="K11" s="304" t="n"/>
      <c r="L11" s="304" t="n"/>
      <c r="O11" s="262" t="inlineStr">
        <is>
          <t>VA</t>
        </is>
      </c>
      <c r="P11" s="289">
        <f>IFERROR(IF(ISNUMBER(E46),E46,0),0)</f>
        <v/>
      </c>
    </row>
    <row r="12" ht="21.95" customHeight="1" s="437">
      <c r="B12" s="475" t="inlineStr">
        <is>
          <t>Annual revenue (T12)</t>
        </is>
      </c>
      <c r="C12" s="471" t="n"/>
      <c r="D12" s="217" t="n"/>
      <c r="E12" s="475" t="inlineStr">
        <is>
          <t>After mgmt fee (lender NOI)</t>
        </is>
      </c>
      <c r="F12" s="471" t="n"/>
      <c r="G12" s="217" t="n"/>
      <c r="H12" s="475" t="inlineStr">
        <is>
          <t>Purchase price / licensed bed</t>
        </is>
      </c>
      <c r="I12" s="471" t="n"/>
      <c r="J12" s="217" t="n"/>
      <c r="K12" s="304" t="n"/>
      <c r="L12" s="304" t="n"/>
      <c r="O12" s="262" t="inlineStr">
        <is>
          <t>Managed Care</t>
        </is>
      </c>
      <c r="P12" s="289">
        <f>IFERROR(IF(ISNUMBER(E47),E47,0),0)</f>
        <v/>
      </c>
    </row>
    <row r="13" ht="21.95" customHeight="1" s="437" thickBot="1">
      <c r="B13" s="476">
        <f>IF(ISNUMBER('T12 Analytics'!F52),"✓ EGI captured","— Source not populated")</f>
        <v/>
      </c>
      <c r="C13" s="474" t="n"/>
      <c r="D13" s="217" t="n"/>
      <c r="E13" s="476">
        <f>IFERROR(IF(ISNUMBER('T12 Analytics'!F164),"Margin: "&amp;TEXT('T12 Analytics'!F164,"0.0%"),"— Margin n/a"),"—")</f>
        <v/>
      </c>
      <c r="F13" s="474" t="n"/>
      <c r="G13" s="217" t="n"/>
      <c r="H13" s="476">
        <f>IFERROR(IF(AND(ISNUMBER('T12 Analytics'!F117),ISNUMBER('T12 Analytics'!E6),'T12 Analytics'!E6&gt;0),"on "&amp;TEXT('T12 Analytics'!E6,"#,##0")&amp;" licensed beds","— Source not populated"),"—")</f>
        <v/>
      </c>
      <c r="I13" s="474" t="n"/>
      <c r="J13" s="217" t="n"/>
      <c r="K13" s="304" t="n"/>
      <c r="L13" s="304" t="n"/>
      <c r="O13" s="262" t="inlineStr">
        <is>
          <t>Self-Pay</t>
        </is>
      </c>
      <c r="P13" s="289">
        <f>IFERROR(IF(ISNUMBER(E48),E48,0),0)</f>
        <v/>
      </c>
    </row>
    <row r="14" ht="9.949999999999999" customHeight="1" s="437">
      <c r="O14" s="262" t="inlineStr">
        <is>
          <t>Other</t>
        </is>
      </c>
      <c r="P14" s="289">
        <f>IFERROR(IF(ISNUMBER(E49),E49,0),0)</f>
        <v/>
      </c>
    </row>
    <row r="15" ht="21.95" customHeight="1" s="437">
      <c r="B15" s="400" t="inlineStr">
        <is>
          <t xml:space="preserve">  OPERATING PERFORMANCE</t>
        </is>
      </c>
      <c r="O15" s="262" t="n"/>
      <c r="P15" s="289" t="n"/>
    </row>
    <row r="16" ht="8.1" customHeight="1" s="437">
      <c r="O16" s="262" t="n"/>
      <c r="P16" s="289" t="n"/>
    </row>
    <row r="17" ht="21.95" customHeight="1" s="437">
      <c r="B17" s="477" t="inlineStr">
        <is>
          <t xml:space="preserve">  CAPACITY &amp; OCCUPANCY</t>
        </is>
      </c>
      <c r="C17" s="478" t="n"/>
      <c r="D17" s="217" t="n"/>
      <c r="E17" s="477" t="inlineStr">
        <is>
          <t xml:space="preserve">  REVENUE &amp; RATE</t>
        </is>
      </c>
      <c r="F17" s="478" t="n"/>
      <c r="G17" s="217" t="n"/>
      <c r="H17" s="477" t="inlineStr">
        <is>
          <t xml:space="preserve">  PROFITABILITY</t>
        </is>
      </c>
      <c r="I17" s="478" t="n"/>
      <c r="J17" s="217" t="n"/>
      <c r="K17" s="477" t="inlineStr">
        <is>
          <t xml:space="preserve">  COST STRUCTURE &amp; LABOR</t>
        </is>
      </c>
      <c r="L17" s="478" t="n"/>
      <c r="O17" s="262" t="n"/>
      <c r="P17" s="289" t="n"/>
    </row>
    <row r="18" ht="18" customHeight="1" s="437">
      <c r="B18" s="398" t="inlineStr">
        <is>
          <t>Licensed beds (total)</t>
        </is>
      </c>
      <c r="C18" s="227">
        <f>IFERROR(IF(ISNUMBER('T12 Analytics'!E6),'T12 Analytics'!E6,"—"),"—")</f>
        <v/>
      </c>
      <c r="D18" s="399" t="n"/>
      <c r="E18" s="398" t="inlineStr">
        <is>
          <t>Gross potential rent</t>
        </is>
      </c>
      <c r="F18" s="234">
        <f>IFERROR(IF(ISNUMBER('T12 Analytics'!F37),'T12 Analytics'!F37,"—"),"—")</f>
        <v/>
      </c>
      <c r="G18" s="399" t="n"/>
      <c r="H18" s="398" t="inlineStr">
        <is>
          <t>EBITDARM $</t>
        </is>
      </c>
      <c r="I18" s="238">
        <f>IFERROR(IF(ISNUMBER('T12 Analytics'!F161),'T12 Analytics'!F161,"—"),"—")</f>
        <v/>
      </c>
      <c r="J18" s="399" t="n"/>
      <c r="K18" s="398" t="inlineStr">
        <is>
          <t>Total labor % EGI</t>
        </is>
      </c>
      <c r="L18" s="241">
        <f>IFERROR(IF(ISNUMBER('T12 Analytics'!F148),'T12 Analytics'!F148,"—"),"—")</f>
        <v/>
      </c>
      <c r="O18" s="262" t="n"/>
      <c r="P18" s="289" t="n"/>
    </row>
    <row r="19" ht="18" customHeight="1" s="437">
      <c r="B19" s="224" t="inlineStr">
        <is>
          <t xml:space="preserve">  IL / AL / MC</t>
        </is>
      </c>
      <c r="C19" s="228">
        <f>IFERROR(IF(ISNUMBER('T12 Analytics'!B6),TEXT('T12 Analytics'!B6,"0")&amp;" / "&amp;TEXT('T12 Analytics'!C6,"0")&amp;" / "&amp;TEXT('T12 Analytics'!D6,"0"),"—"),"—")</f>
        <v/>
      </c>
      <c r="D19" s="399" t="n"/>
      <c r="E19" s="406" t="inlineStr">
        <is>
          <t>Effective gross income</t>
        </is>
      </c>
      <c r="F19" s="235">
        <f>IFERROR(IF(ISNUMBER('T12 Analytics'!F52),'T12 Analytics'!F52,"—"),"—")</f>
        <v/>
      </c>
      <c r="G19" s="399" t="n"/>
      <c r="H19" s="406" t="inlineStr">
        <is>
          <t>EBITDARM margin</t>
        </is>
      </c>
      <c r="I19" s="230">
        <f>IFERROR(IF(ISNUMBER('T12 Analytics'!F162),'T12 Analytics'!F162,"—"),"—")</f>
        <v/>
      </c>
      <c r="J19" s="399" t="n"/>
      <c r="K19" s="406" t="inlineStr">
        <is>
          <t>Direct labor % EGI</t>
        </is>
      </c>
      <c r="L19" s="232">
        <f>IFERROR(IF(ISNUMBER('T12 Analytics'!F149),'T12 Analytics'!F149,"—"),"—")</f>
        <v/>
      </c>
      <c r="O19" s="262" t="n"/>
      <c r="P19" s="289" t="n"/>
    </row>
    <row r="20" ht="18" customHeight="1" s="437">
      <c r="B20" s="398" t="inlineStr">
        <is>
          <t>Avg occupied beds</t>
        </is>
      </c>
      <c r="C20" s="479">
        <f>IFERROR(IF(ISNUMBER('T12 Analytics'!E11),'T12 Analytics'!E11,"—"),"—")</f>
        <v/>
      </c>
      <c r="D20" s="399" t="n"/>
      <c r="E20" s="398" t="inlineStr">
        <is>
          <t>Blended ADR / day</t>
        </is>
      </c>
      <c r="F20" s="234">
        <f>IFERROR(IF(ISNUMBER('T12 Analytics'!F140),'T12 Analytics'!F140,"—"),"—")</f>
        <v/>
      </c>
      <c r="G20" s="399" t="n"/>
      <c r="H20" s="398" t="inlineStr">
        <is>
          <t>EBITDAR $ (post mgmt fee)</t>
        </is>
      </c>
      <c r="I20" s="234">
        <f>IFERROR(IF(ISNUMBER('T12 Analytics'!F163),'T12 Analytics'!F163,"—"),"—")</f>
        <v/>
      </c>
      <c r="J20" s="399" t="n"/>
      <c r="K20" s="398" t="inlineStr">
        <is>
          <t>Overtime %</t>
        </is>
      </c>
      <c r="L20" s="231">
        <f>IFERROR(IF(ISNUMBER('T12 Analytics'!F150),'T12 Analytics'!F150,"—"),"—")</f>
        <v/>
      </c>
    </row>
    <row r="21" ht="18" customHeight="1" s="437">
      <c r="B21" s="406" t="inlineStr">
        <is>
          <t>Community occupancy %</t>
        </is>
      </c>
      <c r="C21" s="230">
        <f>IFERROR(IF(ISNUMBER('T12 Analytics'!F134),'T12 Analytics'!F134,"—"),"—")</f>
        <v/>
      </c>
      <c r="D21" s="399" t="n"/>
      <c r="E21" s="406" t="inlineStr">
        <is>
          <t>RevPOR (blended)</t>
        </is>
      </c>
      <c r="F21" s="235">
        <f>IFERROR(IF(ISNUMBER('T12 Analytics'!F143),'T12 Analytics'!F143,"—"),"—")</f>
        <v/>
      </c>
      <c r="G21" s="399" t="n"/>
      <c r="H21" s="406" t="inlineStr">
        <is>
          <t>EBITDAR margin</t>
        </is>
      </c>
      <c r="I21" s="232">
        <f>IFERROR(IF(ISNUMBER('T12 Analytics'!F164),'T12 Analytics'!F164,"—"),"—")</f>
        <v/>
      </c>
      <c r="J21" s="399" t="n"/>
      <c r="K21" s="406" t="inlineStr">
        <is>
          <t>Agency labor %</t>
        </is>
      </c>
      <c r="L21" s="230">
        <f>IFERROR(IF(ISNUMBER('T12 Analytics'!F152),'T12 Analytics'!F152,"—"),"—")</f>
        <v/>
      </c>
    </row>
    <row r="22" ht="18" customHeight="1" s="437">
      <c r="B22" s="398" t="inlineStr">
        <is>
          <t>Economic occupancy %</t>
        </is>
      </c>
      <c r="C22" s="231">
        <f>IFERROR(IF(ISNUMBER('Rent Roll Recon'!E13),'Rent Roll Recon'!E13,"—"),"—")</f>
        <v/>
      </c>
      <c r="D22" s="399" t="n"/>
      <c r="E22" s="398" t="inlineStr">
        <is>
          <t>RevPAB</t>
        </is>
      </c>
      <c r="F22" s="234">
        <f>IFERROR(IF(ISNUMBER('T12 Analytics'!F145),'T12 Analytics'!F145,"—"),"—")</f>
        <v/>
      </c>
      <c r="G22" s="399" t="n"/>
      <c r="H22" s="398" t="inlineStr">
        <is>
          <t>EGI / occupied bed</t>
        </is>
      </c>
      <c r="I22" s="234">
        <f>IFERROR(IF(ISNUMBER('T12 Analytics'!F144),'T12 Analytics'!F144,"—"),"—")</f>
        <v/>
      </c>
      <c r="J22" s="399" t="n"/>
      <c r="K22" s="398" t="inlineStr">
        <is>
          <t>Food PPD</t>
        </is>
      </c>
      <c r="L22" s="480">
        <f>IFERROR(IF(ISNUMBER('T12 Analytics'!F154),'T12 Analytics'!F154,"—"),"—")</f>
        <v/>
      </c>
    </row>
    <row r="23" ht="18" customHeight="1" s="437">
      <c r="B23" s="406" t="inlineStr">
        <is>
          <t>Loss to lease %</t>
        </is>
      </c>
      <c r="C23" s="232">
        <f>IFERROR(IF(AND(ISNUMBER('T12 Analytics'!F41),ISNUMBER('T12 Analytics'!F37),'T12 Analytics'!F37&lt;&gt;0),ABS('T12 Analytics'!F41)/'T12 Analytics'!F37,"—"),"—")</f>
        <v/>
      </c>
      <c r="D23" s="399" t="n"/>
      <c r="E23" s="406" t="inlineStr">
        <is>
          <t>Level of care %</t>
        </is>
      </c>
      <c r="F23" s="232">
        <f>IFERROR(IF(ISNUMBER('T12 Analytics'!F146),'T12 Analytics'!F146,"—"),"—")</f>
        <v/>
      </c>
      <c r="G23" s="399" t="n"/>
      <c r="H23" s="406" t="inlineStr">
        <is>
          <t>Opex / occupied bed</t>
        </is>
      </c>
      <c r="I23" s="239">
        <f>IFERROR(IF(ISNUMBER('T12 Analytics'!F160),'T12 Analytics'!F160,"—"),"—")</f>
        <v/>
      </c>
      <c r="J23" s="399" t="n"/>
      <c r="K23" s="406" t="inlineStr">
        <is>
          <t>Mgmt fee %</t>
        </is>
      </c>
      <c r="L23" s="232">
        <f>IFERROR(IF(ISNUMBER('T12 Analytics'!F157),'T12 Analytics'!F157,"—"),"—")</f>
        <v/>
      </c>
    </row>
    <row r="24" ht="18" customHeight="1" s="437">
      <c r="B24" s="226" t="inlineStr">
        <is>
          <t>Vacancy %</t>
        </is>
      </c>
      <c r="C24" s="233">
        <f>IFERROR(IF(AND(ISNUMBER('T12 Analytics'!F38),ISNUMBER('T12 Analytics'!F37),'T12 Analytics'!F37&lt;&gt;0),ABS('T12 Analytics'!F38)/'T12 Analytics'!F37,"—"),"—")</f>
        <v/>
      </c>
      <c r="D24" s="399" t="n"/>
      <c r="E24" s="226" t="inlineStr">
        <is>
          <t>Bad debt %</t>
        </is>
      </c>
      <c r="F24" s="233">
        <f>IFERROR(IF(ISNUMBER('T12 Analytics'!F158),'T12 Analytics'!F158,"—"),"—")</f>
        <v/>
      </c>
      <c r="G24" s="399" t="n"/>
      <c r="H24" s="226" t="inlineStr">
        <is>
          <t>Total opex $</t>
        </is>
      </c>
      <c r="I24" s="240">
        <f>IFERROR(IF(ISNUMBER('T12 Analytics'!F105),'T12 Analytics'!F105,"—"),"—")</f>
        <v/>
      </c>
      <c r="J24" s="399" t="n"/>
      <c r="K24" s="226" t="inlineStr">
        <is>
          <t>Insurance (P&amp;C) %</t>
        </is>
      </c>
      <c r="L24" s="233">
        <f>IFERROR(IF(ISNUMBER('T12 Analytics'!F159),'T12 Analytics'!F159,"—"),"—")</f>
        <v/>
      </c>
    </row>
    <row r="25" ht="12" customHeight="1" s="437"/>
    <row r="26" ht="21.95" customHeight="1" s="437">
      <c r="B26" s="400" t="inlineStr">
        <is>
          <t xml:space="preserve">  VALUATION &amp; MARKET BENCHMARKING</t>
        </is>
      </c>
    </row>
    <row r="27" ht="8.1" customHeight="1" s="437"/>
    <row r="28" ht="21.95" customHeight="1" s="437">
      <c r="B28" s="477" t="inlineStr">
        <is>
          <t xml:space="preserve">  DEAL ECONOMICS</t>
        </is>
      </c>
      <c r="C28" s="481" t="n"/>
      <c r="D28" s="481" t="n"/>
      <c r="E28" s="481" t="n"/>
      <c r="F28" s="478" t="n"/>
      <c r="G28" s="217" t="n"/>
      <c r="H28" s="477" t="inlineStr">
        <is>
          <t xml:space="preserve">  OCCUPANCY vs MARKET (NIC MAP Q1 2026)</t>
        </is>
      </c>
      <c r="I28" s="481" t="n"/>
      <c r="J28" s="481" t="n"/>
      <c r="K28" s="481" t="n"/>
      <c r="L28" s="481" t="n"/>
      <c r="M28" s="478" t="n"/>
    </row>
    <row r="29" ht="18" customHeight="1" s="437">
      <c r="B29" s="404" t="inlineStr">
        <is>
          <t>Metric</t>
        </is>
      </c>
      <c r="D29" s="243" t="inlineStr">
        <is>
          <t>Property</t>
        </is>
      </c>
      <c r="E29" s="243" t="inlineStr">
        <is>
          <t>Market</t>
        </is>
      </c>
      <c r="F29" s="253" t="inlineStr">
        <is>
          <t>Read</t>
        </is>
      </c>
      <c r="H29" s="259" t="n"/>
      <c r="M29" s="153" t="n"/>
    </row>
    <row r="30" ht="18" customHeight="1" s="437">
      <c r="B30" s="398" t="inlineStr">
        <is>
          <t>Purchase price</t>
        </is>
      </c>
      <c r="D30" s="236">
        <f>IFERROR(IF(ISNUMBER('T12 Analytics'!F117),'T12 Analytics'!F117,"—"),"—")</f>
        <v/>
      </c>
      <c r="E30" s="244" t="inlineStr">
        <is>
          <t>n/a</t>
        </is>
      </c>
      <c r="F30" s="254" t="inlineStr">
        <is>
          <t>—</t>
        </is>
      </c>
      <c r="H30" s="259" t="n"/>
      <c r="M30" s="153" t="n"/>
    </row>
    <row r="31" ht="18" customHeight="1" s="437">
      <c r="B31" s="406" t="inlineStr">
        <is>
          <t>Price / total bed</t>
        </is>
      </c>
      <c r="D31" s="237">
        <f>IFERROR(IF(AND(ISNUMBER('T12 Analytics'!F117),ISNUMBER('T12 Analytics'!E6),'T12 Analytics'!E6&gt;0),'T12 Analytics'!F117/'T12 Analytics'!E6,"—"),"—")</f>
        <v/>
      </c>
      <c r="E31" s="245" t="inlineStr">
        <is>
          <t>$220-280k</t>
        </is>
      </c>
      <c r="F31" s="255">
        <f>IF(ISNUMBER(D31),IF(D31&lt;=280000,"✓",IF(D31&lt;=350000,"⚠","✗")),"—")</f>
        <v/>
      </c>
      <c r="H31" s="259" t="n"/>
      <c r="M31" s="153" t="n"/>
    </row>
    <row r="32" ht="18" customHeight="1" s="437">
      <c r="B32" s="398" t="inlineStr">
        <is>
          <t>Going-in cap rate</t>
        </is>
      </c>
      <c r="D32" s="246">
        <f>IFERROR(IF(ISNUMBER('T12 Analytics'!F118),'T12 Analytics'!F118,"—"),"—")</f>
        <v/>
      </c>
      <c r="E32" s="247" t="n">
        <v>0.062</v>
      </c>
      <c r="F32" s="256">
        <f>IF(ISNUMBER(D32),IF(D32&gt;=0.07,"✓",IF(D32&gt;=0.055,"⚠","✗")),"—")</f>
        <v/>
      </c>
      <c r="H32" s="259" t="n"/>
      <c r="M32" s="153" t="n"/>
    </row>
    <row r="33" ht="18" customHeight="1" s="437">
      <c r="B33" s="406" t="inlineStr">
        <is>
          <t>EBITDAR cap rate</t>
        </is>
      </c>
      <c r="D33" s="248">
        <f>IFERROR(IF(ISNUMBER('T12 Analytics'!F120),'T12 Analytics'!F120,"—"),"—")</f>
        <v/>
      </c>
      <c r="E33" s="245" t="inlineStr">
        <is>
          <t>5.7-6.5%</t>
        </is>
      </c>
      <c r="F33" s="255">
        <f>IF(ISNUMBER(D33),IF(D33&gt;=0.065,"✓",IF(D33&gt;=0.055,"⚠","✗")),"—")</f>
        <v/>
      </c>
      <c r="H33" s="259" t="n"/>
      <c r="M33" s="153" t="n"/>
    </row>
    <row r="34" ht="18" customHeight="1" s="437">
      <c r="B34" s="398" t="inlineStr">
        <is>
          <t>EBITDARM margin</t>
        </is>
      </c>
      <c r="D34" s="221">
        <f>IFERROR(IF(ISNUMBER('T12 Analytics'!F162),'T12 Analytics'!F162,"—"),"—")</f>
        <v/>
      </c>
      <c r="E34" s="247" t="n">
        <v>0.27</v>
      </c>
      <c r="F34" s="256">
        <f>IF(ISNUMBER(D34),IF(D34&gt;=0.27,"✓",IF(D34&gt;=0.22,"⚠","✗")),"—")</f>
        <v/>
      </c>
      <c r="H34" s="259" t="n"/>
      <c r="M34" s="153" t="n"/>
    </row>
    <row r="35" ht="18" customHeight="1" s="437">
      <c r="B35" s="406" t="inlineStr">
        <is>
          <t>Community occupancy</t>
        </is>
      </c>
      <c r="D35" s="222">
        <f>IFERROR(IF(ISNUMBER('T12 Analytics'!F134),'T12 Analytics'!F134,"—"),"—")</f>
        <v/>
      </c>
      <c r="E35" s="249" t="n">
        <v>0.895</v>
      </c>
      <c r="F35" s="255">
        <f>IF(ISNUMBER(D35),IF(D35&gt;=0.9,"✓",IF(D35&gt;=0.85,"⚠","✗")),"—")</f>
        <v/>
      </c>
      <c r="H35" s="259" t="n"/>
      <c r="M35" s="153" t="n"/>
    </row>
    <row r="36" ht="18" customHeight="1" s="437">
      <c r="B36" s="398" t="inlineStr">
        <is>
          <t>Labor % EGI</t>
        </is>
      </c>
      <c r="D36" s="221">
        <f>IFERROR(IF(ISNUMBER('T12 Analytics'!F148),'T12 Analytics'!F148,"—"),"—")</f>
        <v/>
      </c>
      <c r="E36" s="250" t="inlineStr">
        <is>
          <t>43-45%</t>
        </is>
      </c>
      <c r="F36" s="256">
        <f>IF(ISNUMBER(D36),IF(D36&lt;=0.45,"✓",IF(D36&lt;=0.5,"⚠","✗")),"—")</f>
        <v/>
      </c>
      <c r="H36" s="259" t="n"/>
      <c r="M36" s="153" t="n"/>
    </row>
    <row r="37" ht="18" customHeight="1" s="437">
      <c r="B37" s="412" t="inlineStr">
        <is>
          <t>Agency labor %</t>
        </is>
      </c>
      <c r="C37" s="258" t="n"/>
      <c r="D37" s="251">
        <f>IFERROR(IF(ISNUMBER('T12 Analytics'!F152),'T12 Analytics'!F152,"—"),"—")</f>
        <v/>
      </c>
      <c r="E37" s="252" t="inlineStr">
        <is>
          <t>&lt;3%</t>
        </is>
      </c>
      <c r="F37" s="257">
        <f>IF(ISNUMBER(D37),IF(D37&lt;=0.03,"✓",IF(D37&lt;=0.06,"⚠","✗")),"—")</f>
        <v/>
      </c>
      <c r="H37" s="260" t="n"/>
      <c r="I37" s="258" t="n"/>
      <c r="J37" s="258" t="n"/>
      <c r="K37" s="258" t="n"/>
      <c r="L37" s="258" t="n"/>
      <c r="M37" s="261" t="n"/>
    </row>
    <row r="38" ht="9.949999999999999" customHeight="1" s="437"/>
    <row r="39" ht="21.95" customHeight="1" s="437">
      <c r="B39" s="414" t="inlineStr">
        <is>
          <t>PAYER MIX</t>
        </is>
      </c>
    </row>
    <row r="40" ht="6" customHeight="1" s="437"/>
    <row r="41" ht="20.1" customHeight="1" s="437">
      <c r="B41" s="415" t="inlineStr">
        <is>
          <t>Payer Mix — Revenue &amp; Census</t>
        </is>
      </c>
      <c r="H41" s="415" t="inlineStr">
        <is>
          <t>Payer Mix — Revenue Share</t>
        </is>
      </c>
    </row>
    <row r="42" ht="21.95" customHeight="1" s="437">
      <c r="B42" s="277" t="inlineStr">
        <is>
          <t>Payer Type</t>
        </is>
      </c>
      <c r="C42" s="273" t="inlineStr">
        <is>
          <t>Resident Count</t>
        </is>
      </c>
      <c r="D42" s="273" t="inlineStr">
        <is>
          <t>% of Census</t>
        </is>
      </c>
      <c r="E42" s="273" t="inlineStr">
        <is>
          <t>Revenue (T12)</t>
        </is>
      </c>
      <c r="F42" s="278" t="inlineStr">
        <is>
          <t>% of Revenue</t>
        </is>
      </c>
    </row>
    <row r="43" ht="18" customHeight="1" s="437">
      <c r="B43" s="283" t="inlineStr">
        <is>
          <t>Private Pay</t>
        </is>
      </c>
      <c r="C43" s="482">
        <f>IFERROR(IF(ISNUMBER('Rent Roll Recon'!B40),'Rent Roll Recon'!B40,"—"),"—")</f>
        <v/>
      </c>
      <c r="D43" s="265">
        <f>IFERROR(IF(ISNUMBER('Rent Roll Recon'!C40),'Rent Roll Recon'!C40,"—"),"—")</f>
        <v/>
      </c>
      <c r="E43" s="483">
        <f>IFERROR(IF(ISNUMBER('Rent Roll Recon'!H40),'Rent Roll Recon'!H40,"—"),"—")</f>
        <v/>
      </c>
      <c r="F43" s="279">
        <f>IFERROR(IF(ISNUMBER('Rent Roll Recon'!I40),'Rent Roll Recon'!I40,"—"),"—")</f>
        <v/>
      </c>
    </row>
    <row r="44" ht="18" customHeight="1" s="437">
      <c r="B44" s="284" t="inlineStr">
        <is>
          <t>Medicaid</t>
        </is>
      </c>
      <c r="C44" s="484">
        <f>IFERROR(IF(ISNUMBER('Rent Roll Recon'!B41),'Rent Roll Recon'!B41,"—"),"—")</f>
        <v/>
      </c>
      <c r="D44" s="268">
        <f>IFERROR(IF(ISNUMBER('Rent Roll Recon'!C41),'Rent Roll Recon'!C41,"—"),"—")</f>
        <v/>
      </c>
      <c r="E44" s="485">
        <f>IFERROR(IF(ISNUMBER('Rent Roll Recon'!H41),'Rent Roll Recon'!H41,"—"),"—")</f>
        <v/>
      </c>
      <c r="F44" s="280">
        <f>IFERROR(IF(ISNUMBER('Rent Roll Recon'!I41),'Rent Roll Recon'!I41,"—"),"—")</f>
        <v/>
      </c>
    </row>
    <row r="45" ht="18" customHeight="1" s="437">
      <c r="B45" s="285" t="inlineStr">
        <is>
          <t>LTC Insurance</t>
        </is>
      </c>
      <c r="C45" s="486">
        <f>IFERROR(IF(ISNUMBER('Rent Roll Recon'!B42),'Rent Roll Recon'!B42,"—"),"—")</f>
        <v/>
      </c>
      <c r="D45" s="271">
        <f>IFERROR(IF(ISNUMBER('Rent Roll Recon'!C42),'Rent Roll Recon'!C42,"—"),"—")</f>
        <v/>
      </c>
      <c r="E45" s="487">
        <f>IFERROR(IF(ISNUMBER('Rent Roll Recon'!H42),'Rent Roll Recon'!H42,"—"),"—")</f>
        <v/>
      </c>
      <c r="F45" s="281">
        <f>IFERROR(IF(ISNUMBER('Rent Roll Recon'!I42),'Rent Roll Recon'!I42,"—"),"—")</f>
        <v/>
      </c>
    </row>
    <row r="46" ht="18" customHeight="1" s="437">
      <c r="B46" s="284" t="inlineStr">
        <is>
          <t>VA</t>
        </is>
      </c>
      <c r="C46" s="484">
        <f>IFERROR(IF(ISNUMBER('Rent Roll Recon'!B43),'Rent Roll Recon'!B43,"—"),"—")</f>
        <v/>
      </c>
      <c r="D46" s="268">
        <f>IFERROR(IF(ISNUMBER('Rent Roll Recon'!C43),'Rent Roll Recon'!C43,"—"),"—")</f>
        <v/>
      </c>
      <c r="E46" s="485">
        <f>IFERROR(IF(ISNUMBER('Rent Roll Recon'!H43),'Rent Roll Recon'!H43,"—"),"—")</f>
        <v/>
      </c>
      <c r="F46" s="280">
        <f>IFERROR(IF(ISNUMBER('Rent Roll Recon'!I43),'Rent Roll Recon'!I43,"—"),"—")</f>
        <v/>
      </c>
    </row>
    <row r="47" ht="18" customHeight="1" s="437">
      <c r="B47" s="285" t="inlineStr">
        <is>
          <t>Managed Care</t>
        </is>
      </c>
      <c r="C47" s="486">
        <f>IFERROR(IF(ISNUMBER('Rent Roll Recon'!B44),'Rent Roll Recon'!B44,"—"),"—")</f>
        <v/>
      </c>
      <c r="D47" s="271">
        <f>IFERROR(IF(ISNUMBER('Rent Roll Recon'!C44),'Rent Roll Recon'!C44,"—"),"—")</f>
        <v/>
      </c>
      <c r="E47" s="487">
        <f>IFERROR(IF(ISNUMBER('Rent Roll Recon'!H44),'Rent Roll Recon'!H44,"—"),"—")</f>
        <v/>
      </c>
      <c r="F47" s="281">
        <f>IFERROR(IF(ISNUMBER('Rent Roll Recon'!I44),'Rent Roll Recon'!I44,"—"),"—")</f>
        <v/>
      </c>
    </row>
    <row r="48" ht="18" customHeight="1" s="437">
      <c r="B48" s="284" t="inlineStr">
        <is>
          <t>Self-Pay</t>
        </is>
      </c>
      <c r="C48" s="484">
        <f>IFERROR(IF(ISNUMBER('Rent Roll Recon'!B45),'Rent Roll Recon'!B45,"—"),"—")</f>
        <v/>
      </c>
      <c r="D48" s="268">
        <f>IFERROR(IF(ISNUMBER('Rent Roll Recon'!C45),'Rent Roll Recon'!C45,"—"),"—")</f>
        <v/>
      </c>
      <c r="E48" s="485">
        <f>IFERROR(IF(ISNUMBER('Rent Roll Recon'!H45),'Rent Roll Recon'!H45,"—"),"—")</f>
        <v/>
      </c>
      <c r="F48" s="280">
        <f>IFERROR(IF(ISNUMBER('Rent Roll Recon'!I45),'Rent Roll Recon'!I45,"—"),"—")</f>
        <v/>
      </c>
    </row>
    <row r="49" ht="18" customHeight="1" s="437">
      <c r="B49" s="285" t="inlineStr">
        <is>
          <t>Other</t>
        </is>
      </c>
      <c r="C49" s="486">
        <f>IFERROR(IF(ISNUMBER('Rent Roll Recon'!B46),'Rent Roll Recon'!B46,"—"),"—")</f>
        <v/>
      </c>
      <c r="D49" s="271">
        <f>IFERROR(IF(ISNUMBER('Rent Roll Recon'!C46),'Rent Roll Recon'!C46,"—"),"—")</f>
        <v/>
      </c>
      <c r="E49" s="487">
        <f>IFERROR(IF(ISNUMBER('Rent Roll Recon'!H46),'Rent Roll Recon'!H46,"—"),"—")</f>
        <v/>
      </c>
      <c r="F49" s="281">
        <f>IFERROR(IF(ISNUMBER('Rent Roll Recon'!I46),'Rent Roll Recon'!I46,"—"),"—")</f>
        <v/>
      </c>
    </row>
    <row r="50" ht="20.1" customHeight="1" s="437">
      <c r="B50" s="286" t="inlineStr">
        <is>
          <t>Total</t>
        </is>
      </c>
      <c r="C50" s="488">
        <f>SUM(C43:C49)</f>
        <v/>
      </c>
      <c r="D50" s="275" t="n">
        <v>1</v>
      </c>
      <c r="E50" s="489">
        <f>SUM(E43:E49)</f>
        <v/>
      </c>
      <c r="F50" s="282" t="n">
        <v>1</v>
      </c>
    </row>
    <row r="51"/>
    <row r="52" ht="21.95" customHeight="1" s="437">
      <c r="B52" s="416" t="inlineStr">
        <is>
          <t>RISK FLAGS &amp; UNDERWRITING CHECKS</t>
        </is>
      </c>
    </row>
    <row r="53" ht="6" customHeight="1" s="437"/>
    <row r="54" ht="20.1" customHeight="1" s="437">
      <c r="B54" s="417" t="inlineStr">
        <is>
          <t>Risk Indicator</t>
        </is>
      </c>
      <c r="C54" s="490" t="n"/>
      <c r="D54" s="490" t="n"/>
      <c r="E54" s="300" t="inlineStr">
        <is>
          <t>Property</t>
        </is>
      </c>
      <c r="F54" s="300" t="inlineStr">
        <is>
          <t>Threshold</t>
        </is>
      </c>
      <c r="G54" s="300" t="inlineStr">
        <is>
          <t>Flag</t>
        </is>
      </c>
      <c r="H54" s="491" t="inlineStr">
        <is>
          <t>Read</t>
        </is>
      </c>
      <c r="I54" s="490" t="n"/>
      <c r="J54" s="490" t="n"/>
      <c r="K54" s="490" t="n"/>
      <c r="L54" s="490" t="n"/>
      <c r="M54" s="492" t="n"/>
    </row>
    <row r="55" ht="21.95" customHeight="1" s="437">
      <c r="B55" s="408" t="inlineStr">
        <is>
          <t>Occupancy gap to market</t>
        </is>
      </c>
      <c r="E55" s="493">
        <f>IFERROR(IF(ISNUMBER('T12 Analytics'!F134),'T12 Analytics'!F134-0.895,"—"),"—")</f>
        <v/>
      </c>
      <c r="F55" s="291" t="inlineStr">
        <is>
          <t>≥ 0 ppt</t>
        </is>
      </c>
      <c r="G55" s="292">
        <f>IFERROR(IF(NOT(ISNUMBER('T12 Analytics'!F134)),"⚪",IF('T12 Analytics'!F134&gt;=0.895,"✅",IF('T12 Analytics'!F134&gt;=0.85,"⚠️","❌"))),"⚪")</f>
        <v/>
      </c>
      <c r="H55" s="494">
        <f>IFERROR(IF(NOT(ISNUMBER('T12 Analytics'!F134)),"No data",IF('T12 Analytics'!F134&gt;=0.895,"At or above NIC MAP",IF('T12 Analytics'!F134&gt;=0.85,"Below market — lease-up risk","Significantly below market"))),"")</f>
        <v/>
      </c>
      <c r="M55" s="495" t="n"/>
    </row>
    <row r="56" ht="21.95" customHeight="1" s="437">
      <c r="B56" s="421" t="inlineStr">
        <is>
          <t>Agency labor reliance</t>
        </is>
      </c>
      <c r="C56" s="496" t="n"/>
      <c r="D56" s="496" t="n"/>
      <c r="E56" s="497">
        <f>IFERROR(IF(ISNUMBER('T12 Analytics'!F152),'T12 Analytics'!F152,"—"),"—")</f>
        <v/>
      </c>
      <c r="F56" s="294" t="inlineStr">
        <is>
          <t>&lt; 3% of labor</t>
        </is>
      </c>
      <c r="G56" s="295">
        <f>IFERROR(IF(NOT(ISNUMBER('T12 Analytics'!F152)),"⚪",IF('T12 Analytics'!F152&lt;0.03,"✅",IF('T12 Analytics'!F152&lt;0.06,"⚠️","❌"))),"⚪")</f>
        <v/>
      </c>
      <c r="H56" s="498">
        <f>IFERROR(IF(NOT(ISNUMBER('T12 Analytics'!F152)),"No data",IF('T12 Analytics'!F152&lt;0.03,"Healthy in-house staffing",IF('T12 Analytics'!F152&lt;0.06,"Moderate agency reliance","Heavy agency — staffing crisis"))),"")</f>
        <v/>
      </c>
      <c r="I56" s="496" t="n"/>
      <c r="J56" s="496" t="n"/>
      <c r="K56" s="496" t="n"/>
      <c r="L56" s="496" t="n"/>
      <c r="M56" s="499" t="n"/>
    </row>
    <row r="57" ht="21.95" customHeight="1" s="437">
      <c r="B57" s="426" t="inlineStr">
        <is>
          <t>Overtime burden</t>
        </is>
      </c>
      <c r="C57" s="496" t="n"/>
      <c r="D57" s="496" t="n"/>
      <c r="E57" s="500">
        <f>IFERROR(IF(ISNUMBER('T12 Analytics'!F150),'T12 Analytics'!F150,"—"),"—")</f>
        <v/>
      </c>
      <c r="F57" s="297" t="inlineStr">
        <is>
          <t>&lt; 5% of labor</t>
        </is>
      </c>
      <c r="G57" s="298">
        <f>IFERROR(IF(NOT(ISNUMBER('T12 Analytics'!F150)),"⚪",IF('T12 Analytics'!F150&lt;0.05,"✅",IF('T12 Analytics'!F150&lt;0.08,"⚠️","❌"))),"⚪")</f>
        <v/>
      </c>
      <c r="H57" s="501">
        <f>IFERROR(IF(NOT(ISNUMBER('T12 Analytics'!F150)),"No data",IF('T12 Analytics'!F150&lt;0.05,"Schedule well-managed",IF('T12 Analytics'!F150&lt;0.08,"Elevated OT","Severe OT — understaffed"))),"")</f>
        <v/>
      </c>
      <c r="I57" s="496" t="n"/>
      <c r="J57" s="496" t="n"/>
      <c r="K57" s="496" t="n"/>
      <c r="L57" s="496" t="n"/>
      <c r="M57" s="499" t="n"/>
    </row>
    <row r="58" ht="21.95" customHeight="1" s="437">
      <c r="B58" s="421" t="inlineStr">
        <is>
          <t>Medicaid concentration</t>
        </is>
      </c>
      <c r="C58" s="496" t="n"/>
      <c r="D58" s="496" t="n"/>
      <c r="E58" s="497">
        <f>IFERROR(IF(ISNUMBER('Rent Roll Recon'!I41),'Rent Roll Recon'!I41,"—"),"—")</f>
        <v/>
      </c>
      <c r="F58" s="294" t="inlineStr">
        <is>
          <t>&lt; 20% of rev</t>
        </is>
      </c>
      <c r="G58" s="295">
        <f>IFERROR(IF(NOT(ISNUMBER('Rent Roll Recon'!I41)),"⚪",IF('Rent Roll Recon'!I41&lt;0.2,"✅",IF('Rent Roll Recon'!I41&lt;0.35,"⚠️","❌"))),"⚪")</f>
        <v/>
      </c>
      <c r="H58" s="498">
        <f>IFERROR(IF(NOT(ISNUMBER('Rent Roll Recon'!I41)),"No data",IF('Rent Roll Recon'!I41&lt;0.2,"Private-pay dominant",IF('Rent Roll Recon'!I41&lt;0.35,"Material reimbursement risk","Heavy reimbursement exposure"))),"")</f>
        <v/>
      </c>
      <c r="I58" s="496" t="n"/>
      <c r="J58" s="496" t="n"/>
      <c r="K58" s="496" t="n"/>
      <c r="L58" s="496" t="n"/>
      <c r="M58" s="499" t="n"/>
    </row>
    <row r="59" ht="21.95" customHeight="1" s="437">
      <c r="B59" s="426" t="inlineStr">
        <is>
          <t>Bad debt expense</t>
        </is>
      </c>
      <c r="C59" s="496" t="n"/>
      <c r="D59" s="496" t="n"/>
      <c r="E59" s="500">
        <f>IFERROR(IF(ISNUMBER('T12 Analytics'!F158),'T12 Analytics'!F158,"—"),"—")</f>
        <v/>
      </c>
      <c r="F59" s="297" t="inlineStr">
        <is>
          <t>&lt; 1% of rev</t>
        </is>
      </c>
      <c r="G59" s="298">
        <f>IFERROR(IF(NOT(ISNUMBER('T12 Analytics'!F158)),"⚪",IF('T12 Analytics'!F158&lt;0.01,"✅",IF('T12 Analytics'!F158&lt;0.025,"⚠️","❌"))),"⚪")</f>
        <v/>
      </c>
      <c r="H59" s="501">
        <f>IFERROR(IF(NOT(ISNUMBER('T12 Analytics'!F158)),"No data",IF('T12 Analytics'!F158&lt;0.01,"Strong collections",IF('T12 Analytics'!F158&lt;0.025,"Watch AR aging","Collections issue"))),"")</f>
        <v/>
      </c>
      <c r="I59" s="496" t="n"/>
      <c r="J59" s="496" t="n"/>
      <c r="K59" s="496" t="n"/>
      <c r="L59" s="496" t="n"/>
      <c r="M59" s="499" t="n"/>
    </row>
    <row r="60" ht="21.95" customHeight="1" s="437">
      <c r="B60" s="421" t="inlineStr">
        <is>
          <t>EBITDARM margin</t>
        </is>
      </c>
      <c r="C60" s="496" t="n"/>
      <c r="D60" s="496" t="n"/>
      <c r="E60" s="497">
        <f>IFERROR(IF(ISNUMBER('T12 Analytics'!F162),'T12 Analytics'!F162,"—"),"—")</f>
        <v/>
      </c>
      <c r="F60" s="294" t="inlineStr">
        <is>
          <t>≥ 25%</t>
        </is>
      </c>
      <c r="G60" s="295">
        <f>IFERROR(IF(NOT(ISNUMBER('T12 Analytics'!F162)),"⚪",IF('T12 Analytics'!F162&gt;=0.25,"✅",IF('T12 Analytics'!F162&gt;=0.18,"⚠️","❌"))),"⚪")</f>
        <v/>
      </c>
      <c r="H60" s="498">
        <f>IFERROR(IF(NOT(ISNUMBER('T12 Analytics'!F162)),"No data",IF('T12 Analytics'!F162&gt;=0.25,"Institutional-quality margin",IF('T12 Analytics'!F162&gt;=0.18,"Sub-institutional margin","Significant margin compression"))),"")</f>
        <v/>
      </c>
      <c r="I60" s="496" t="n"/>
      <c r="J60" s="496" t="n"/>
      <c r="K60" s="496" t="n"/>
      <c r="L60" s="496" t="n"/>
      <c r="M60" s="499" t="n"/>
    </row>
    <row r="61" ht="21.95" customHeight="1" s="437">
      <c r="B61" s="426" t="inlineStr">
        <is>
          <t>Going-in cap rate vs market</t>
        </is>
      </c>
      <c r="C61" s="496" t="n"/>
      <c r="D61" s="496" t="n"/>
      <c r="E61" s="299">
        <f>IFERROR(IF(ISNUMBER('T12 Analytics'!F118),'T12 Analytics'!F118,"—"),"—")</f>
        <v/>
      </c>
      <c r="F61" s="297" t="inlineStr">
        <is>
          <t>≥ 6.5%</t>
        </is>
      </c>
      <c r="G61" s="298">
        <f>IFERROR(IF(NOT(ISNUMBER('T12 Analytics'!F118)),"⚪",IF('T12 Analytics'!F118&gt;=0.065,"✅",IF('T12 Analytics'!F118&gt;=0.055,"⚠️","❌"))),"⚪")</f>
        <v/>
      </c>
      <c r="H61" s="501">
        <f>IFERROR(IF(NOT(ISNUMBER('T12 Analytics'!F118)),"No data",IF('T12 Analytics'!F118&gt;=0.065,"Wide of 6.2% market avg",IF('T12 Analytics'!F118&gt;=0.055,"In line with market","Tight pricing — reaching"))),"")</f>
        <v/>
      </c>
      <c r="I61" s="496" t="n"/>
      <c r="J61" s="496" t="n"/>
      <c r="K61" s="496" t="n"/>
      <c r="L61" s="496" t="n"/>
      <c r="M61" s="499" t="n"/>
    </row>
    <row r="62" ht="21.95" customHeight="1" s="437">
      <c r="B62" s="431" t="inlineStr">
        <is>
          <t>Loss to lease</t>
        </is>
      </c>
      <c r="C62" s="502" t="n"/>
      <c r="D62" s="502" t="n"/>
      <c r="E62" s="503">
        <f>IFERROR(IF(ISNUMBER('T12 Analytics'!F41),IFERROR('T12 Analytics'!F41/'T12 Analytics'!F37,0),"—"),"—")</f>
        <v/>
      </c>
      <c r="F62" s="302" t="inlineStr">
        <is>
          <t>&lt; 5% of GPR</t>
        </is>
      </c>
      <c r="G62" s="303">
        <f>IFERROR(IF(NOT(ISNUMBER('T12 Analytics'!F41)),"⚪",IF(IFERROR('T12 Analytics'!F41/'T12 Analytics'!F37,0)&lt;0.05,"✅",IF(IFERROR('T12 Analytics'!F41/'T12 Analytics'!F37,0)&lt;0.1,"⚠️","❌"))),"⚪")</f>
        <v/>
      </c>
      <c r="H62" s="504">
        <f>IFERROR(IF(NOT(ISNUMBER('T12 Analytics'!F41)),"No data",IF(IFERROR('T12 Analytics'!F41/'T12 Analytics'!F37,0)&lt;0.05,"Rate near market",IF(IFERROR('T12 Analytics'!F41/'T12 Analytics'!F37,0)&lt;0.1,"Mark-to-market upside","Material rate compression"))),"")</f>
        <v/>
      </c>
      <c r="I62" s="502" t="n"/>
      <c r="J62" s="502" t="n"/>
      <c r="K62" s="502" t="n"/>
      <c r="L62" s="502" t="n"/>
      <c r="M62" s="505" t="n"/>
    </row>
    <row r="63"/>
    <row r="64" ht="15.75" customHeight="1" s="437">
      <c r="B64" s="389" t="inlineStr">
        <is>
          <t>CAPACITY &amp; OCCUPANCY — IL / AL / MC</t>
        </is>
      </c>
      <c r="H64" s="389" t="inlineStr">
        <is>
          <t>REVENUE QUALITY — ADR, RevPOR &amp; ACUITY</t>
        </is>
      </c>
    </row>
    <row r="65">
      <c r="B65" s="305" t="n"/>
      <c r="C65" s="305" t="n"/>
      <c r="D65" s="305" t="n"/>
      <c r="E65" s="305" t="n"/>
      <c r="F65" s="305" t="n"/>
      <c r="H65" s="305" t="n"/>
      <c r="I65" s="305" t="n"/>
      <c r="J65" s="305" t="n"/>
      <c r="K65" s="305" t="n"/>
      <c r="L65" s="305" t="n"/>
    </row>
    <row r="66">
      <c r="B66" s="318" t="inlineStr">
        <is>
          <t>Care Type</t>
        </is>
      </c>
      <c r="C66" s="314" t="inlineStr">
        <is>
          <t>Licensed</t>
        </is>
      </c>
      <c r="D66" s="314" t="inlineStr">
        <is>
          <t>Occupied</t>
        </is>
      </c>
      <c r="E66" s="314" t="inlineStr">
        <is>
          <t>Occ %</t>
        </is>
      </c>
      <c r="F66" s="322" t="inlineStr">
        <is>
          <t>Target</t>
        </is>
      </c>
      <c r="H66" s="318" t="inlineStr">
        <is>
          <t>Metric</t>
        </is>
      </c>
      <c r="I66" s="314" t="inlineStr">
        <is>
          <t>IL</t>
        </is>
      </c>
      <c r="J66" s="314" t="inlineStr">
        <is>
          <t>AL</t>
        </is>
      </c>
      <c r="K66" s="314" t="inlineStr">
        <is>
          <t>MC</t>
        </is>
      </c>
      <c r="L66" s="322" t="inlineStr">
        <is>
          <t>Blended</t>
        </is>
      </c>
    </row>
    <row r="67">
      <c r="B67" s="319" t="inlineStr">
        <is>
          <t>Independent Living</t>
        </is>
      </c>
      <c r="C67" s="306">
        <f>IFERROR(IF(ISNUMBER('T12 Analytics'!B6),'T12 Analytics'!B6,"—"),"—")</f>
        <v/>
      </c>
      <c r="D67" s="306">
        <f>IFERROR(IF(ISNUMBER('T12 Analytics'!B11),'T12 Analytics'!B11,"—"),"—")</f>
        <v/>
      </c>
      <c r="E67" s="307">
        <f>IFERROR(IF(AND(ISNUMBER(C67),ISNUMBER(D67),C67&gt;0),D67/C67,"—"),"—")</f>
        <v/>
      </c>
      <c r="F67" s="323" t="inlineStr">
        <is>
          <t>90%+</t>
        </is>
      </c>
      <c r="H67" s="319" t="inlineStr">
        <is>
          <t>ADR ($/bed/mo)</t>
        </is>
      </c>
      <c r="I67" s="506">
        <f>IFERROR(IF(AND(ISNUMBER('T12 Analytics'!B16),ISNUMBER('T12 Analytics'!B11),'T12 Analytics'!B11&gt;0),'T12 Analytics'!B16/('T12 Analytics'!B11*12),"—"),"—")</f>
        <v/>
      </c>
      <c r="J67" s="506">
        <f>IFERROR(IF(AND(ISNUMBER('T12 Analytics'!C16),ISNUMBER('T12 Analytics'!C11),'T12 Analytics'!C11&gt;0),'T12 Analytics'!C16/('T12 Analytics'!C11*12),"—"),"—")</f>
        <v/>
      </c>
      <c r="K67" s="506">
        <f>IFERROR(IF(AND(ISNUMBER('T12 Analytics'!D16),ISNUMBER('T12 Analytics'!D11),'T12 Analytics'!D11&gt;0),'T12 Analytics'!D16/('T12 Analytics'!D11*12),"—"),"—")</f>
        <v/>
      </c>
      <c r="L67" s="507">
        <f>IFERROR(IF(AND(ISNUMBER('T12 Analytics'!E16),ISNUMBER('T12 Analytics'!E11),'T12 Analytics'!E11&gt;0),'T12 Analytics'!E16/('T12 Analytics'!E11*12),"—"),"—")</f>
        <v/>
      </c>
    </row>
    <row r="68">
      <c r="B68" s="320" t="inlineStr">
        <is>
          <t>Assisted Living</t>
        </is>
      </c>
      <c r="C68" s="310">
        <f>IFERROR(IF(ISNUMBER('T12 Analytics'!C6),'T12 Analytics'!C6,"—"),"—")</f>
        <v/>
      </c>
      <c r="D68" s="310">
        <f>IFERROR(IF(ISNUMBER('T12 Analytics'!C11),'T12 Analytics'!C11,"—"),"—")</f>
        <v/>
      </c>
      <c r="E68" s="311">
        <f>IFERROR(IF(AND(ISNUMBER(C68),ISNUMBER(D68),C68&gt;0),D68/C68,"—"),"—")</f>
        <v/>
      </c>
      <c r="F68" s="324" t="inlineStr">
        <is>
          <t>87–92%</t>
        </is>
      </c>
      <c r="H68" s="320" t="inlineStr">
        <is>
          <t>RevPOR (base + LOC)</t>
        </is>
      </c>
      <c r="I68" s="508">
        <f>IFERROR(IF(AND(ISNUMBER('T12 Analytics'!B16),ISNUMBER('T12 Analytics'!B11),'T12 Analytics'!B11&gt;0),('T12 Analytics'!B16+IFERROR('T12 Analytics'!B23,0))/('T12 Analytics'!B11*12),"—"),"—")</f>
        <v/>
      </c>
      <c r="J68" s="508">
        <f>IFERROR(IF(AND(ISNUMBER('T12 Analytics'!C16),ISNUMBER('T12 Analytics'!C11),'T12 Analytics'!C11&gt;0),('T12 Analytics'!C16+IFERROR('T12 Analytics'!C23,0))/('T12 Analytics'!C11*12),"—"),"—")</f>
        <v/>
      </c>
      <c r="K68" s="508">
        <f>IFERROR(IF(AND(ISNUMBER('T12 Analytics'!D16),ISNUMBER('T12 Analytics'!D11),'T12 Analytics'!D11&gt;0),('T12 Analytics'!D16+IFERROR('T12 Analytics'!D23,0))/('T12 Analytics'!D11*12),"—"),"—")</f>
        <v/>
      </c>
      <c r="L68" s="509">
        <f>IFERROR(IF(AND(ISNUMBER('T12 Analytics'!E16),ISNUMBER('T12 Analytics'!E11),'T12 Analytics'!E11&gt;0),('T12 Analytics'!E16+IFERROR('T12 Analytics'!E23,0))/('T12 Analytics'!E11*12),"—"),"—")</f>
        <v/>
      </c>
    </row>
    <row r="69">
      <c r="B69" s="319" t="inlineStr">
        <is>
          <t>Memory Care</t>
        </is>
      </c>
      <c r="C69" s="306">
        <f>IFERROR(IF(ISNUMBER('T12 Analytics'!D6),'T12 Analytics'!D6,"—"),"—")</f>
        <v/>
      </c>
      <c r="D69" s="306">
        <f>IFERROR(IF(ISNUMBER('T12 Analytics'!D11),'T12 Analytics'!D11,"—"),"—")</f>
        <v/>
      </c>
      <c r="E69" s="307">
        <f>IFERROR(IF(AND(ISNUMBER(C69),ISNUMBER(D69),C69&gt;0),D69/C69,"—"),"—")</f>
        <v/>
      </c>
      <c r="F69" s="323" t="inlineStr">
        <is>
          <t>85–90%</t>
        </is>
      </c>
      <c r="H69" s="319" t="inlineStr">
        <is>
          <t>LOC as % of base rent</t>
        </is>
      </c>
      <c r="I69" s="307">
        <f>IFERROR(IF(AND(ISNUMBER('T12 Analytics'!B23),ISNUMBER('T12 Analytics'!B16),'T12 Analytics'!B16&lt;&gt;0),'T12 Analytics'!B23/'T12 Analytics'!B16,"—"),"—")</f>
        <v/>
      </c>
      <c r="J69" s="307">
        <f>IFERROR(IF(AND(ISNUMBER('T12 Analytics'!C23),ISNUMBER('T12 Analytics'!C16),'T12 Analytics'!C16&lt;&gt;0),'T12 Analytics'!C23/'T12 Analytics'!C16,"—"),"—")</f>
        <v/>
      </c>
      <c r="K69" s="307">
        <f>IFERROR(IF(AND(ISNUMBER('T12 Analytics'!D23),ISNUMBER('T12 Analytics'!D16),'T12 Analytics'!D16&lt;&gt;0),'T12 Analytics'!D23/'T12 Analytics'!D16,"—"),"—")</f>
        <v/>
      </c>
      <c r="L69" s="330">
        <f>IFERROR(IF(AND(ISNUMBER('T12 Analytics'!E23),ISNUMBER('T12 Analytics'!E16),'T12 Analytics'!E16&lt;&gt;0),'T12 Analytics'!E23/'T12 Analytics'!E16,"—"),"—")</f>
        <v/>
      </c>
    </row>
    <row r="70">
      <c r="B70" s="321" t="inlineStr">
        <is>
          <t>Blended</t>
        </is>
      </c>
      <c r="C70" s="315">
        <f>IFERROR(IF(ISNUMBER('T12 Analytics'!E6),'T12 Analytics'!E6,"—"),"—")</f>
        <v/>
      </c>
      <c r="D70" s="315">
        <f>IFERROR(IF(ISNUMBER('T12 Analytics'!E11),'T12 Analytics'!E11,"—"),"—")</f>
        <v/>
      </c>
      <c r="E70" s="316">
        <f>IFERROR(IF(AND(ISNUMBER(C70),ISNUMBER(D70),C70&gt;0),D70/C70,"—"),"—")</f>
        <v/>
      </c>
      <c r="F70" s="325" t="inlineStr">
        <is>
          <t>—</t>
        </is>
      </c>
      <c r="H70" s="321" t="inlineStr">
        <is>
          <t>EGI / occupied bed / mo</t>
        </is>
      </c>
      <c r="I70" s="317" t="inlineStr">
        <is>
          <t>—</t>
        </is>
      </c>
      <c r="J70" s="317" t="inlineStr">
        <is>
          <t>—</t>
        </is>
      </c>
      <c r="K70" s="317" t="inlineStr">
        <is>
          <t>—</t>
        </is>
      </c>
      <c r="L70" s="510">
        <f>IFERROR(IF(AND(ISNUMBER('T12 Analytics'!F52),ISNUMBER('T12 Analytics'!E11),'T12 Analytics'!E11&gt;0),'T12 Analytics'!F52/('T12 Analytics'!E11*12),"—"),"—")</f>
        <v/>
      </c>
    </row>
    <row r="71">
      <c r="B71" s="305" t="n"/>
      <c r="C71" s="305" t="n"/>
      <c r="D71" s="305" t="n"/>
      <c r="E71" s="305" t="n"/>
      <c r="F71" s="305" t="n"/>
      <c r="G71" s="305" t="n"/>
      <c r="H71" s="305" t="n"/>
      <c r="I71" s="305" t="n"/>
      <c r="J71" s="305" t="n"/>
      <c r="K71" s="305" t="n"/>
      <c r="L71" s="305" t="n"/>
    </row>
    <row r="72" ht="15.75" customHeight="1" s="437">
      <c r="B72" s="389" t="inlineStr">
        <is>
          <t>OPERATING MARGIN — T12 vs. INSTITUTIONAL BENCHMARK</t>
        </is>
      </c>
      <c r="H72" s="389" t="inlineStr">
        <is>
          <t>VALUATION — CAP RATE &amp; PER-BED PRICING</t>
        </is>
      </c>
    </row>
    <row r="73">
      <c r="B73" s="305" t="n"/>
      <c r="C73" s="305" t="n"/>
      <c r="D73" s="305" t="n"/>
      <c r="E73" s="305" t="n"/>
      <c r="F73" s="305" t="n"/>
      <c r="H73" s="305" t="n"/>
      <c r="I73" s="305" t="n"/>
      <c r="J73" s="305" t="n"/>
      <c r="K73" s="305" t="n"/>
    </row>
    <row r="74">
      <c r="B74" s="318" t="inlineStr">
        <is>
          <t>Line item</t>
        </is>
      </c>
      <c r="C74" s="314" t="inlineStr">
        <is>
          <t>T12 $</t>
        </is>
      </c>
      <c r="D74" s="314" t="inlineStr">
        <is>
          <t>% EGI</t>
        </is>
      </c>
      <c r="E74" s="314" t="inlineStr">
        <is>
          <t>Benchmark</t>
        </is>
      </c>
      <c r="F74" s="345" t="inlineStr">
        <is>
          <t>Status</t>
        </is>
      </c>
      <c r="H74" s="318" t="inlineStr">
        <is>
          <t>Metric</t>
        </is>
      </c>
      <c r="I74" s="314" t="inlineStr">
        <is>
          <t>T12 Actual</t>
        </is>
      </c>
      <c r="J74" s="314" t="n"/>
      <c r="K74" s="322" t="inlineStr">
        <is>
          <t>Normalized</t>
        </is>
      </c>
    </row>
    <row r="75">
      <c r="B75" s="342" t="inlineStr">
        <is>
          <t>Effective Gross Income</t>
        </is>
      </c>
      <c r="C75" s="511">
        <f>IFERROR(IF(ISNUMBER('T12 Analytics'!F52),'T12 Analytics'!F52,"—"),"—")</f>
        <v/>
      </c>
      <c r="D75" s="333" t="n">
        <v>1</v>
      </c>
      <c r="E75" s="334" t="n">
        <v>1</v>
      </c>
      <c r="F75" s="346" t="n"/>
      <c r="H75" s="319" t="inlineStr">
        <is>
          <t>Purchase price (input)</t>
        </is>
      </c>
      <c r="I75" s="506">
        <f>IFERROR(IF(ISNUMBER('T12 Analytics'!F117),'T12 Analytics'!F117,"—"),"—")</f>
        <v/>
      </c>
      <c r="J75" s="305" t="n"/>
      <c r="K75" s="507">
        <f>IFERROR(IF(ISNUMBER('T12 Analytics'!F117),'T12 Analytics'!F117,"—"),"—")</f>
        <v/>
      </c>
    </row>
    <row r="76">
      <c r="B76" s="320" t="inlineStr">
        <is>
          <t>Labor &amp; burden</t>
        </is>
      </c>
      <c r="C76" s="508">
        <f>IFERROR(IF(ISNUMBER('T12 Analytics'!F76),'T12 Analytics'!F76,"—"),"—")</f>
        <v/>
      </c>
      <c r="D76" s="311">
        <f>IFERROR(IF(AND(ISNUMBER(C76),ISNUMBER($C$75),$C$75&lt;&gt;0),C76/$C$75,"—"),"—")</f>
        <v/>
      </c>
      <c r="E76" s="312" t="inlineStr">
        <is>
          <t>55–65%</t>
        </is>
      </c>
      <c r="F76" s="347">
        <f>IF(NOT(ISNUMBER(D76)),"—",IF(D76=0,"—",IF(D76&gt;0.65,"⚠ HIGH",IF(D76&lt;0.55,"✓ LOW","✓ OK"))))</f>
        <v/>
      </c>
      <c r="H76" s="320" t="inlineStr">
        <is>
          <t>Going-in cap (EBITDARM)</t>
        </is>
      </c>
      <c r="I76" s="351">
        <f>IFERROR(IF(AND(ISNUMBER('T12 Analytics'!F161),ISNUMBER('T12 Analytics'!F117),'T12 Analytics'!F117&lt;&gt;0),'T12 Analytics'!F161/'T12 Analytics'!F117,"—"),"—")</f>
        <v/>
      </c>
      <c r="J76" s="309" t="n"/>
      <c r="K76" s="356">
        <f>IFERROR(IF(AND(ISNUMBER('T12 Analytics'!F161),ISNUMBER('T12 Analytics'!F117),'T12 Analytics'!F117&lt;&gt;0),'T12 Analytics'!F161/'T12 Analytics'!F117,"—"),"—")</f>
        <v/>
      </c>
    </row>
    <row r="77">
      <c r="B77" s="319" t="inlineStr">
        <is>
          <t>Non-labor opex</t>
        </is>
      </c>
      <c r="C77" s="506">
        <f>IFERROR(IF(ISNUMBER('T12 Analytics'!F103),'T12 Analytics'!F103,"—"),"—")</f>
        <v/>
      </c>
      <c r="D77" s="307">
        <f>IFERROR(IF(AND(ISNUMBER(C77),ISNUMBER($C$75),$C$75&lt;&gt;0),C77/$C$75,"—"),"—")</f>
        <v/>
      </c>
      <c r="E77" s="308" t="inlineStr">
        <is>
          <t>25–35%</t>
        </is>
      </c>
      <c r="F77" s="348">
        <f>IF(NOT(ISNUMBER(D77)),"—",IF(D77=0,"—",IF(D77&gt;0.35,"⚠ HIGH",IF(D77&lt;0.25,"✓ LOW","✓ OK"))))</f>
        <v/>
      </c>
      <c r="H77" s="319" t="inlineStr">
        <is>
          <t>Going-in cap (EBITDAR)</t>
        </is>
      </c>
      <c r="I77" s="352">
        <f>IFERROR(IF(AND(ISNUMBER('T12 Analytics'!F163),ISNUMBER('T12 Analytics'!F117),'T12 Analytics'!F117&lt;&gt;0),'T12 Analytics'!F163/'T12 Analytics'!F117,"—"),"—")</f>
        <v/>
      </c>
      <c r="J77" s="305" t="n"/>
      <c r="K77" s="357">
        <f>IFERROR(IF(AND(ISNUMBER('T12 Analytics'!F163),ISNUMBER('T12 Analytics'!F117),'T12 Analytics'!F117&lt;&gt;0),'T12 Analytics'!F163/'T12 Analytics'!F117,"—"),"—")</f>
        <v/>
      </c>
    </row>
    <row r="78">
      <c r="B78" s="343" t="inlineStr">
        <is>
          <t>EBITDARM (NOI)</t>
        </is>
      </c>
      <c r="C78" s="512">
        <f>IFERROR(IF(ISNUMBER('T12 Analytics'!F161),'T12 Analytics'!F161,"—"),"—")</f>
        <v/>
      </c>
      <c r="D78" s="336">
        <f>IFERROR(IF(AND(ISNUMBER(C78),ISNUMBER($C$75),$C$75&lt;&gt;0),C78/$C$75,"—"),"—")</f>
        <v/>
      </c>
      <c r="E78" s="337" t="inlineStr">
        <is>
          <t>20–30%+</t>
        </is>
      </c>
      <c r="F78" s="349">
        <f>IF(NOT(ISNUMBER(D78)),"—",IF(D78=0,"—",IF(D78&lt;0.2,"⚠ LOW",IF(D78&gt;0.3,"✓ STRONG","✓ OK"))))</f>
        <v/>
      </c>
      <c r="H78" s="320" t="inlineStr">
        <is>
          <t>Price / licensed bed</t>
        </is>
      </c>
      <c r="I78" s="508">
        <f>IFERROR(IF(AND(ISNUMBER('T12 Analytics'!F117),ISNUMBER('T12 Analytics'!E6),'T12 Analytics'!E6&gt;0),'T12 Analytics'!F117/'T12 Analytics'!E6,"—"),"—")</f>
        <v/>
      </c>
      <c r="J78" s="309" t="n"/>
      <c r="K78" s="509">
        <f>IFERROR(IF(AND(ISNUMBER('T12 Analytics'!F117),ISNUMBER('T12 Analytics'!E6),'T12 Analytics'!E6&gt;0),'T12 Analytics'!F117/'T12 Analytics'!E6,"—"),"—")</f>
        <v/>
      </c>
    </row>
    <row r="79">
      <c r="B79" s="344" t="inlineStr">
        <is>
          <t>EBITDAR (after mgmt fee)</t>
        </is>
      </c>
      <c r="C79" s="513">
        <f>IFERROR(IF(ISNUMBER('T12 Analytics'!F163),'T12 Analytics'!F163,"—"),"—")</f>
        <v/>
      </c>
      <c r="D79" s="340">
        <f>IFERROR(IF(AND(ISNUMBER(C79),ISNUMBER($C$75),$C$75&lt;&gt;0),C79/$C$75,"—"),"—")</f>
        <v/>
      </c>
      <c r="E79" s="341" t="inlineStr">
        <is>
          <t>15–25%+</t>
        </is>
      </c>
      <c r="F79" s="350">
        <f>IF(NOT(ISNUMBER(D79)),"—",IF(D79=0,"—",IF(D79&lt;0.15,"⚠ LOW",IF(D79&gt;0.25,"✓ STRONG","✓ OK"))))</f>
        <v/>
      </c>
      <c r="H79" s="355" t="inlineStr">
        <is>
          <t>EBITDARM multiple</t>
        </is>
      </c>
      <c r="I79" s="354">
        <f>IFERROR(IF(AND(ISNUMBER('T12 Analytics'!F117),ISNUMBER('T12 Analytics'!F161),'T12 Analytics'!F161&lt;&gt;0),'T12 Analytics'!F117/'T12 Analytics'!F161,"—"),"—")</f>
        <v/>
      </c>
      <c r="J79" s="353" t="n"/>
      <c r="K79" s="358">
        <f>IFERROR(IF(AND(ISNUMBER('T12 Analytics'!F117),ISNUMBER('T12 Analytics'!F161),'T12 Analytics'!F161&lt;&gt;0),'T12 Analytics'!F117/'T12 Analytics'!F161,"—"),"—")</f>
        <v/>
      </c>
    </row>
    <row r="80">
      <c r="B80" s="305" t="n"/>
      <c r="C80" s="305" t="n"/>
      <c r="D80" s="305" t="n"/>
      <c r="E80" s="305" t="n"/>
      <c r="F80" s="305" t="n"/>
      <c r="G80" s="305" t="n"/>
      <c r="H80" s="305" t="n"/>
      <c r="I80" s="305" t="n"/>
      <c r="J80" s="305" t="n"/>
      <c r="K80" s="305" t="n"/>
      <c r="L80" s="305" t="n"/>
    </row>
    <row r="81" ht="15.75" customHeight="1" s="437">
      <c r="B81" s="389" t="inlineStr">
        <is>
          <t>INSTITUTIONAL RISK CHECKLIST — ADDITIONAL CHECKS</t>
        </is>
      </c>
    </row>
    <row r="82">
      <c r="B82" s="305" t="n"/>
      <c r="C82" s="305" t="n"/>
      <c r="D82" s="305" t="n"/>
      <c r="E82" s="305" t="n"/>
      <c r="F82" s="305" t="n"/>
      <c r="G82" s="305" t="n"/>
    </row>
    <row r="83">
      <c r="B83" s="318" t="inlineStr">
        <is>
          <t>Risk factor</t>
        </is>
      </c>
      <c r="C83" s="313" t="n"/>
      <c r="D83" s="313" t="n"/>
      <c r="E83" s="338" t="inlineStr">
        <is>
          <t>Reading</t>
        </is>
      </c>
      <c r="F83" s="338" t="inlineStr">
        <is>
          <t>Threshold</t>
        </is>
      </c>
      <c r="G83" s="345" t="inlineStr">
        <is>
          <t>Flag</t>
        </is>
      </c>
    </row>
    <row r="84" ht="18.75" customHeight="1" s="437">
      <c r="B84" s="363" t="inlineStr">
        <is>
          <t>RR vs T12 revenue gap</t>
        </is>
      </c>
      <c r="C84" s="360" t="inlineStr">
        <is>
          <t>Material variance between rent roll annualized revenue and T12 actual indicates restatement risk.</t>
        </is>
      </c>
      <c r="D84" s="359" t="n"/>
      <c r="E84" s="361">
        <f>IFERROR(IF(AND(ISNUMBER('Rent Roll Recon'!E18),ISNUMBER('Rent Roll Recon'!E19),'Rent Roll Recon'!E19&lt;&gt;0),'Rent Roll Recon'!E18/'Rent Roll Recon'!E19,"—"),"—")</f>
        <v/>
      </c>
      <c r="F84" s="362" t="inlineStr">
        <is>
          <t>≤ ±3%</t>
        </is>
      </c>
      <c r="G84" s="364">
        <f>IF(NOT(ISNUMBER(E84)),"⚪",IF(ABS(E84)&lt;=0.03,"✅",IF(ABS(E84)&lt;=0.05,"⚠️","❌")))</f>
        <v/>
      </c>
    </row>
    <row r="85">
      <c r="B85" s="305" t="n"/>
      <c r="C85" s="305" t="n"/>
      <c r="D85" s="305" t="n"/>
      <c r="E85" s="305" t="n"/>
      <c r="F85" s="305" t="n"/>
      <c r="G85" s="305" t="n"/>
      <c r="H85" s="305" t="n"/>
      <c r="I85" s="305" t="n"/>
      <c r="J85" s="305" t="n"/>
      <c r="K85" s="305" t="n"/>
      <c r="L85" s="305" t="n"/>
    </row>
    <row r="86" ht="15.75" customHeight="1" s="437">
      <c r="B86" s="373" t="inlineStr">
        <is>
          <t>CHARTS — OCCUPANCY, MONTHLY EGI, PAYER MIX, P&amp;L WATERFALL</t>
        </is>
      </c>
      <c r="C86" s="373" t="n"/>
      <c r="D86" s="373" t="n"/>
      <c r="E86" s="373" t="n"/>
      <c r="F86" s="373" t="n"/>
      <c r="G86" s="373" t="n"/>
      <c r="H86" s="373" t="n"/>
      <c r="I86" s="373" t="n"/>
      <c r="J86" s="373" t="n"/>
      <c r="K86" s="373" t="n"/>
      <c r="L86" s="373" t="n"/>
      <c r="M86" s="373" t="n"/>
    </row>
    <row r="87">
      <c r="B87" s="305" t="n"/>
      <c r="C87" s="305" t="n"/>
      <c r="D87" s="305" t="n"/>
      <c r="E87" s="305" t="n"/>
      <c r="F87" s="305" t="n"/>
      <c r="G87" s="305" t="n"/>
      <c r="H87" s="305" t="n"/>
      <c r="I87" s="305" t="n"/>
      <c r="J87" s="305" t="n"/>
      <c r="K87" s="305" t="n"/>
      <c r="L87" s="305" t="n"/>
      <c r="M87" s="305" t="n"/>
    </row>
    <row r="88">
      <c r="B88" s="514" t="inlineStr">
        <is>
          <t>Chart 1 — Occupancy by Unit Type</t>
        </is>
      </c>
      <c r="C88" s="478" t="n"/>
      <c r="E88" s="514" t="inlineStr">
        <is>
          <t>Chart 3 — Payer Mix (Revenue Share)</t>
        </is>
      </c>
      <c r="F88" s="478" t="n"/>
    </row>
    <row r="89">
      <c r="B89" s="365" t="inlineStr">
        <is>
          <t>Unit Type</t>
        </is>
      </c>
      <c r="C89" s="366" t="inlineStr">
        <is>
          <t>Occupancy</t>
        </is>
      </c>
      <c r="E89" s="365" t="inlineStr">
        <is>
          <t>Payer</t>
        </is>
      </c>
      <c r="F89" s="366" t="inlineStr">
        <is>
          <t>Share</t>
        </is>
      </c>
    </row>
    <row r="90">
      <c r="B90" s="319" t="inlineStr">
        <is>
          <t>Independent Living</t>
        </is>
      </c>
      <c r="C90" s="330">
        <f>IFERROR(IF(AND(ISNUMBER('T12 Analytics'!B6),ISNUMBER('T12 Analytics'!B7),'T12 Analytics'!B6&gt;0),'T12 Analytics'!B7/'T12 Analytics'!B6,0),0)</f>
        <v/>
      </c>
      <c r="E90" s="319" t="inlineStr">
        <is>
          <t>Private Pay</t>
        </is>
      </c>
      <c r="F90" s="330">
        <f>IFERROR(IF(ISNUMBER('Rent Roll Recon'!I40),'Rent Roll Recon'!I40,0),0)</f>
        <v/>
      </c>
    </row>
    <row r="91">
      <c r="B91" s="320" t="inlineStr">
        <is>
          <t>Assisted Living</t>
        </is>
      </c>
      <c r="C91" s="367">
        <f>IFERROR(IF(AND(ISNUMBER('T12 Analytics'!C6),ISNUMBER('T12 Analytics'!C7),'T12 Analytics'!C6&gt;0),'T12 Analytics'!C7/'T12 Analytics'!C6,0),0)</f>
        <v/>
      </c>
      <c r="E91" s="320" t="inlineStr">
        <is>
          <t>Medicaid</t>
        </is>
      </c>
      <c r="F91" s="367">
        <f>IFERROR(IF(ISNUMBER('Rent Roll Recon'!I41),'Rent Roll Recon'!I41,0),0)</f>
        <v/>
      </c>
    </row>
    <row r="92">
      <c r="B92" s="319" t="inlineStr">
        <is>
          <t>Memory Care</t>
        </is>
      </c>
      <c r="C92" s="330">
        <f>IFERROR(IF(AND(ISNUMBER('T12 Analytics'!D6),ISNUMBER('T12 Analytics'!D7),'T12 Analytics'!D6&gt;0),'T12 Analytics'!D7/'T12 Analytics'!D6,0),0)</f>
        <v/>
      </c>
      <c r="E92" s="319" t="inlineStr">
        <is>
          <t>LTC Insurance</t>
        </is>
      </c>
      <c r="F92" s="330">
        <f>IFERROR(IF(ISNUMBER('Rent Roll Recon'!I42),'Rent Roll Recon'!I42,0),0)</f>
        <v/>
      </c>
    </row>
    <row r="93">
      <c r="B93" s="363" t="inlineStr">
        <is>
          <t>Blended</t>
        </is>
      </c>
      <c r="C93" s="368">
        <f>IFERROR(IF(AND(ISNUMBER('T12 Analytics'!E6),ISNUMBER('T12 Analytics'!E7),'T12 Analytics'!E6&gt;0),'T12 Analytics'!E7/'T12 Analytics'!E6,0),0)</f>
        <v/>
      </c>
      <c r="E93" s="320" t="inlineStr">
        <is>
          <t>VA</t>
        </is>
      </c>
      <c r="F93" s="367">
        <f>IFERROR(IF(ISNUMBER('Rent Roll Recon'!I43),'Rent Roll Recon'!I43,0),0)</f>
        <v/>
      </c>
    </row>
    <row r="94">
      <c r="B94" s="305" t="n"/>
      <c r="C94" s="305" t="n"/>
      <c r="D94" s="305" t="n"/>
      <c r="E94" s="319" t="inlineStr">
        <is>
          <t>Managed Care</t>
        </is>
      </c>
      <c r="F94" s="330">
        <f>IFERROR(IF(ISNUMBER('Rent Roll Recon'!I44),'Rent Roll Recon'!I44,0),0)</f>
        <v/>
      </c>
    </row>
    <row r="95">
      <c r="B95" s="514" t="inlineStr">
        <is>
          <t>Chart 2 — Monthly EGI Trend</t>
        </is>
      </c>
      <c r="C95" s="478" t="n"/>
      <c r="E95" s="320" t="inlineStr">
        <is>
          <t>Self-Pay</t>
        </is>
      </c>
      <c r="F95" s="367">
        <f>IFERROR(IF(ISNUMBER('Rent Roll Recon'!I45),'Rent Roll Recon'!I45,0),0)</f>
        <v/>
      </c>
    </row>
    <row r="96">
      <c r="B96" s="365" t="inlineStr">
        <is>
          <t>Month</t>
        </is>
      </c>
      <c r="C96" s="366" t="inlineStr">
        <is>
          <t>EGI</t>
        </is>
      </c>
      <c r="E96" s="355" t="inlineStr">
        <is>
          <t>Other</t>
        </is>
      </c>
      <c r="F96" s="370">
        <f>IFERROR(IF(ISNUMBER('Rent Roll Recon'!I46),'Rent Roll Recon'!I46,0),0)</f>
        <v/>
      </c>
    </row>
    <row r="97">
      <c r="B97" s="319" t="inlineStr">
        <is>
          <t>M01</t>
        </is>
      </c>
      <c r="C97" s="507">
        <f>IFERROR('Monthly Trending'!B26,0)</f>
        <v/>
      </c>
      <c r="E97" s="305" t="n"/>
      <c r="F97" s="305" t="n"/>
    </row>
    <row r="98">
      <c r="B98" s="320" t="inlineStr">
        <is>
          <t>M02</t>
        </is>
      </c>
      <c r="C98" s="509">
        <f>IFERROR('Monthly Trending'!C26,0)</f>
        <v/>
      </c>
      <c r="E98" s="514" t="inlineStr">
        <is>
          <t>Chart 4 — P&amp;L Waterfall</t>
        </is>
      </c>
      <c r="F98" s="478" t="n"/>
    </row>
    <row r="99">
      <c r="B99" s="319" t="inlineStr">
        <is>
          <t>M03</t>
        </is>
      </c>
      <c r="C99" s="507">
        <f>IFERROR('Monthly Trending'!D26,0)</f>
        <v/>
      </c>
      <c r="E99" s="365" t="inlineStr">
        <is>
          <t>Line</t>
        </is>
      </c>
      <c r="F99" s="366" t="inlineStr">
        <is>
          <t>T12</t>
        </is>
      </c>
    </row>
    <row r="100">
      <c r="B100" s="320" t="inlineStr">
        <is>
          <t>M04</t>
        </is>
      </c>
      <c r="C100" s="509">
        <f>IFERROR('Monthly Trending'!E26,0)</f>
        <v/>
      </c>
      <c r="E100" s="319" t="inlineStr">
        <is>
          <t>EGI</t>
        </is>
      </c>
      <c r="F100" s="507">
        <f>IFERROR('T12 Analytics'!F52,0)</f>
        <v/>
      </c>
    </row>
    <row r="101">
      <c r="B101" s="319" t="inlineStr">
        <is>
          <t>M05</t>
        </is>
      </c>
      <c r="C101" s="507">
        <f>IFERROR('Monthly Trending'!F26,0)</f>
        <v/>
      </c>
      <c r="E101" s="320" t="inlineStr">
        <is>
          <t>Direct Labor</t>
        </is>
      </c>
      <c r="F101" s="509">
        <f>-IFERROR('T12 Analytics'!F65,0)</f>
        <v/>
      </c>
    </row>
    <row r="102">
      <c r="B102" s="320" t="inlineStr">
        <is>
          <t>M06</t>
        </is>
      </c>
      <c r="C102" s="509">
        <f>IFERROR('Monthly Trending'!G26,0)</f>
        <v/>
      </c>
      <c r="E102" s="319" t="inlineStr">
        <is>
          <t>Payroll Burden</t>
        </is>
      </c>
      <c r="F102" s="507">
        <f>-IFERROR('T12 Analytics'!F68+'T12 Analytics'!F69+'T12 Analytics'!F70,0)</f>
        <v/>
      </c>
    </row>
    <row r="103">
      <c r="B103" s="319" t="inlineStr">
        <is>
          <t>M07</t>
        </is>
      </c>
      <c r="C103" s="507">
        <f>IFERROR('Monthly Trending'!H26,0)</f>
        <v/>
      </c>
      <c r="E103" s="320" t="inlineStr">
        <is>
          <t>Non-Labor Opex</t>
        </is>
      </c>
      <c r="F103" s="509">
        <f>-IFERROR('T12 Analytics'!F103,0)</f>
        <v/>
      </c>
    </row>
    <row r="104">
      <c r="B104" s="320" t="inlineStr">
        <is>
          <t>M08</t>
        </is>
      </c>
      <c r="C104" s="509">
        <f>IFERROR('Monthly Trending'!I26,0)</f>
        <v/>
      </c>
      <c r="E104" s="319" t="inlineStr">
        <is>
          <t>Mgmt Fee</t>
        </is>
      </c>
      <c r="F104" s="507">
        <f>-IFERROR('T12 Analytics'!F106,0)</f>
        <v/>
      </c>
    </row>
    <row r="105">
      <c r="B105" s="319" t="inlineStr">
        <is>
          <t>M09</t>
        </is>
      </c>
      <c r="C105" s="507">
        <f>IFERROR('Monthly Trending'!J26,0)</f>
        <v/>
      </c>
      <c r="E105" s="371" t="inlineStr">
        <is>
          <t>EBITDAR</t>
        </is>
      </c>
      <c r="F105" s="515">
        <f>IFERROR('T12 Analytics'!F163,0)</f>
        <v/>
      </c>
    </row>
    <row r="106">
      <c r="B106" s="320" t="inlineStr">
        <is>
          <t>M10</t>
        </is>
      </c>
      <c r="C106" s="509">
        <f>IFERROR('Monthly Trending'!K26,0)</f>
        <v/>
      </c>
    </row>
    <row r="107">
      <c r="B107" s="319" t="inlineStr">
        <is>
          <t>M11</t>
        </is>
      </c>
      <c r="C107" s="507">
        <f>IFERROR('Monthly Trending'!L26,0)</f>
        <v/>
      </c>
    </row>
    <row r="108">
      <c r="B108" s="363" t="inlineStr">
        <is>
          <t>M12</t>
        </is>
      </c>
      <c r="C108" s="516">
        <f>IFERROR('Monthly Trending'!M26,0)</f>
        <v/>
      </c>
    </row>
  </sheetData>
  <mergeCells count="72">
    <mergeCell ref="H59:M59"/>
    <mergeCell ref="B2:M2"/>
    <mergeCell ref="E12:F12"/>
    <mergeCell ref="B60:D60"/>
    <mergeCell ref="B7:C7"/>
    <mergeCell ref="B61:D61"/>
    <mergeCell ref="H60:M60"/>
    <mergeCell ref="B57:D57"/>
    <mergeCell ref="B72:F72"/>
    <mergeCell ref="E98:F98"/>
    <mergeCell ref="K5:L5"/>
    <mergeCell ref="H61:M61"/>
    <mergeCell ref="B31:C31"/>
    <mergeCell ref="E17:F17"/>
    <mergeCell ref="E88:F88"/>
    <mergeCell ref="E8:F8"/>
    <mergeCell ref="B52:M52"/>
    <mergeCell ref="B12:C12"/>
    <mergeCell ref="H6:I6"/>
    <mergeCell ref="B11:C11"/>
    <mergeCell ref="H57:M57"/>
    <mergeCell ref="H28:M28"/>
    <mergeCell ref="H64:L64"/>
    <mergeCell ref="E13:F13"/>
    <mergeCell ref="B17:C17"/>
    <mergeCell ref="B88:C88"/>
    <mergeCell ref="B55:D55"/>
    <mergeCell ref="B8:C8"/>
    <mergeCell ref="H17:I17"/>
    <mergeCell ref="B13:C13"/>
    <mergeCell ref="H11:I11"/>
    <mergeCell ref="B15:M15"/>
    <mergeCell ref="E6:F6"/>
    <mergeCell ref="B29:C29"/>
    <mergeCell ref="H62:M62"/>
    <mergeCell ref="K8:L8"/>
    <mergeCell ref="H7:I7"/>
    <mergeCell ref="B34:C34"/>
    <mergeCell ref="B37:C37"/>
    <mergeCell ref="B28:F28"/>
    <mergeCell ref="E11:F11"/>
    <mergeCell ref="K6:L6"/>
    <mergeCell ref="B26:M26"/>
    <mergeCell ref="B62:D62"/>
    <mergeCell ref="H13:I13"/>
    <mergeCell ref="B54:D54"/>
    <mergeCell ref="K17:L17"/>
    <mergeCell ref="H54:M54"/>
    <mergeCell ref="B59:D59"/>
    <mergeCell ref="K7:L7"/>
    <mergeCell ref="B30:C30"/>
    <mergeCell ref="B81:G81"/>
    <mergeCell ref="B33:C33"/>
    <mergeCell ref="H41:M41"/>
    <mergeCell ref="B3:M3"/>
    <mergeCell ref="B6:C6"/>
    <mergeCell ref="H55:M55"/>
    <mergeCell ref="E7:F7"/>
    <mergeCell ref="B95:C95"/>
    <mergeCell ref="B64:F64"/>
    <mergeCell ref="B56:D56"/>
    <mergeCell ref="B58:D58"/>
    <mergeCell ref="B36:C36"/>
    <mergeCell ref="B32:C32"/>
    <mergeCell ref="H8:I8"/>
    <mergeCell ref="H56:M56"/>
    <mergeCell ref="H12:I12"/>
    <mergeCell ref="H72:K72"/>
    <mergeCell ref="H58:M58"/>
    <mergeCell ref="B35:C35"/>
    <mergeCell ref="B41:F41"/>
    <mergeCell ref="B39:M39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2026-04-10T19:56:33Z</dcterms:created>
  <dcterms:modified xsi:type="dcterms:W3CDTF">2026-05-19T19:26:34Z</dcterms:modified>
  <cp:lastModifiedBy>Erik J</cp:lastModifiedBy>
  <cp:revision>0</cp:revision>
</cp:coreProperties>
</file>