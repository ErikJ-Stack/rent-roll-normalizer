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rikjavellana/Library/CloudStorage/Dropbox/Erik Javellana - Deal Review/Deals under review/Ai Underwriting/Templates/"/>
    </mc:Choice>
  </mc:AlternateContent>
  <xr:revisionPtr revIDLastSave="0" documentId="13_ncr:1_{439F71F8-50AD-7545-89DA-0992660ECEFB}" xr6:coauthVersionLast="47" xr6:coauthVersionMax="47" xr10:uidLastSave="{00000000-0000-0000-0000-000000000000}"/>
  <bookViews>
    <workbookView xWindow="0" yWindow="780" windowWidth="36000" windowHeight="22600" tabRatio="780" activeTab="10" xr2:uid="{00000000-000D-0000-FFFF-FFFF00000000}"/>
  </bookViews>
  <sheets>
    <sheet name="Cover" sheetId="1" r:id="rId1"/>
    <sheet name="Dashboard" sheetId="24" r:id="rId2"/>
    <sheet name="Inputs" sheetId="2" r:id="rId3"/>
    <sheet name="Prop Info" sheetId="3" r:id="rId4"/>
    <sheet name="Data Refresh" sheetId="4" r:id="rId5"/>
    <sheet name="Data Checklist" sheetId="5" r:id="rId6"/>
    <sheet name="Scenarios" sheetId="6" r:id="rId7"/>
    <sheet name="Acquisition Costs" sheetId="7" r:id="rId8"/>
    <sheet name="T-12 Analysis" sheetId="8" r:id="rId9"/>
    <sheet name="Recapture &amp; Upside" sheetId="9" r:id="rId10"/>
    <sheet name="Rent Roll Analysis" sheetId="10" r:id="rId11"/>
    <sheet name="P&amp;L" sheetId="11" r:id="rId12"/>
    <sheet name="Lease-Up &amp; Capital Call" sheetId="12" r:id="rId13"/>
    <sheet name="Loans" sheetId="13" r:id="rId14"/>
    <sheet name="Rental Comps" sheetId="14" r:id="rId15"/>
    <sheet name="Capex" sheetId="15" r:id="rId16"/>
    <sheet name="Payroll" sheetId="16" r:id="rId17"/>
    <sheet name="Waterfall" sheetId="17" r:id="rId18"/>
    <sheet name="Exit Strategy" sheetId="18" r:id="rId19"/>
    <sheet name="XIRR Analysis" sheetId="19" r:id="rId20"/>
    <sheet name="Sensitivity" sheetId="20" r:id="rId21"/>
    <sheet name="LP Return Illustration" sheetId="21" r:id="rId22"/>
    <sheet name="Portfolio Rollup" sheetId="22" r:id="rId23"/>
    <sheet name="_StdCOA" sheetId="23" state="hidden" r:id="rId24"/>
  </sheets>
  <definedNames>
    <definedName name="_xlnm._FilterDatabase" localSheetId="8" hidden="1">'T-12 Analysis'!$A$105:$R$255</definedName>
    <definedName name="EGI">Scenarios!$F$50</definedName>
    <definedName name="StdBuckets">_StdCOA!$A$4:$A$56</definedName>
    <definedName name="Total_Payroll">Payroll!$F$25</definedName>
    <definedName name="Units">Scenarios!$B$8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9" i="24" l="1"/>
  <c r="N39" i="24"/>
  <c r="M39" i="24"/>
  <c r="L39" i="24"/>
  <c r="K39" i="24"/>
  <c r="O38" i="24"/>
  <c r="N38" i="24"/>
  <c r="M38" i="24"/>
  <c r="L38" i="24"/>
  <c r="K38" i="24"/>
  <c r="O37" i="24"/>
  <c r="N37" i="24"/>
  <c r="M37" i="24"/>
  <c r="L37" i="24"/>
  <c r="K37" i="24"/>
  <c r="O36" i="24"/>
  <c r="N36" i="24"/>
  <c r="M36" i="24"/>
  <c r="L36" i="24"/>
  <c r="K36" i="24"/>
  <c r="O35" i="24"/>
  <c r="N35" i="24"/>
  <c r="M35" i="24"/>
  <c r="L35" i="24"/>
  <c r="K35" i="24"/>
  <c r="J39" i="24"/>
  <c r="J38" i="24"/>
  <c r="J37" i="24"/>
  <c r="J36" i="24"/>
  <c r="J35" i="24"/>
  <c r="R38" i="24"/>
  <c r="R37" i="24"/>
  <c r="R36" i="24"/>
  <c r="R35" i="24"/>
  <c r="R34" i="24"/>
  <c r="U33" i="24"/>
  <c r="T33" i="24"/>
  <c r="S33" i="24"/>
  <c r="O43" i="24"/>
  <c r="N43" i="24"/>
  <c r="M43" i="24"/>
  <c r="L43" i="24"/>
  <c r="K43" i="24"/>
  <c r="J43" i="24"/>
  <c r="O42" i="24"/>
  <c r="N42" i="24"/>
  <c r="M42" i="24"/>
  <c r="L42" i="24"/>
  <c r="K42" i="24"/>
  <c r="J42" i="24"/>
  <c r="O41" i="24"/>
  <c r="N41" i="24"/>
  <c r="M41" i="24"/>
  <c r="L41" i="24"/>
  <c r="K41" i="24"/>
  <c r="J41" i="24"/>
  <c r="H29" i="24" a="1"/>
  <c r="H28" i="24" a="1"/>
  <c r="H27" i="24" a="1"/>
  <c r="H26" i="24" a="1"/>
  <c r="H25" i="24" a="1"/>
  <c r="O24" i="24"/>
  <c r="L24" i="24"/>
  <c r="K24" i="24"/>
  <c r="J24" i="24"/>
  <c r="H24" i="24" a="1"/>
  <c r="D44" i="24"/>
  <c r="F41" i="24"/>
  <c r="F39" i="24"/>
  <c r="D39" i="24"/>
  <c r="D35" i="24"/>
  <c r="D33" i="24"/>
  <c r="E29" i="24"/>
  <c r="E28" i="24"/>
  <c r="E27" i="24"/>
  <c r="E26" i="24"/>
  <c r="S29" i="24"/>
  <c r="S22" i="24"/>
  <c r="D29" i="24" s="1"/>
  <c r="AC16" i="24"/>
  <c r="AC17" i="24" s="1"/>
  <c r="AB16" i="24"/>
  <c r="AB17" i="24" s="1"/>
  <c r="AA16" i="24"/>
  <c r="AA17" i="24" s="1"/>
  <c r="Z16" i="24"/>
  <c r="Z17" i="24" s="1"/>
  <c r="Y16" i="24"/>
  <c r="Y17" i="24" s="1"/>
  <c r="X16" i="24"/>
  <c r="X17" i="24" s="1"/>
  <c r="W16" i="24"/>
  <c r="W17" i="24" s="1"/>
  <c r="V16" i="24"/>
  <c r="V17" i="24" s="1"/>
  <c r="U16" i="24"/>
  <c r="U17" i="24" s="1"/>
  <c r="AC14" i="24"/>
  <c r="AB14" i="24"/>
  <c r="AA14" i="24"/>
  <c r="Z14" i="24"/>
  <c r="Y14" i="24"/>
  <c r="W14" i="24"/>
  <c r="V14" i="24"/>
  <c r="U14" i="24"/>
  <c r="AC13" i="24"/>
  <c r="AC15" i="24" s="1"/>
  <c r="AB13" i="24"/>
  <c r="AB15" i="24" s="1"/>
  <c r="AA13" i="24"/>
  <c r="AA15" i="24" s="1"/>
  <c r="Z13" i="24"/>
  <c r="Z15" i="24" s="1"/>
  <c r="Y13" i="24"/>
  <c r="Y15" i="24" s="1"/>
  <c r="X13" i="24"/>
  <c r="W13" i="24"/>
  <c r="W15" i="24" s="1"/>
  <c r="V13" i="24"/>
  <c r="V15" i="24" s="1"/>
  <c r="U13" i="24"/>
  <c r="U15" i="24" s="1"/>
  <c r="T16" i="24"/>
  <c r="T14" i="24"/>
  <c r="T13" i="24"/>
  <c r="S17" i="24"/>
  <c r="S16" i="24"/>
  <c r="S15" i="24"/>
  <c r="S8" i="24" a="1"/>
  <c r="S7" i="24"/>
  <c r="S6" i="24"/>
  <c r="S5" i="24"/>
  <c r="S4" i="24"/>
  <c r="S3" i="24"/>
  <c r="M19" i="24"/>
  <c r="O18" i="24"/>
  <c r="N18" i="24"/>
  <c r="M18" i="24"/>
  <c r="L18" i="24"/>
  <c r="O17" i="24"/>
  <c r="N17" i="24"/>
  <c r="M17" i="24"/>
  <c r="L17" i="24"/>
  <c r="J17" i="24"/>
  <c r="O16" i="24"/>
  <c r="N16" i="24"/>
  <c r="M16" i="24"/>
  <c r="L16" i="24"/>
  <c r="J16" i="24"/>
  <c r="O15" i="24"/>
  <c r="N15" i="24"/>
  <c r="M15" i="24"/>
  <c r="L15" i="24"/>
  <c r="O14" i="24"/>
  <c r="N14" i="24"/>
  <c r="M14" i="24"/>
  <c r="L14" i="24"/>
  <c r="M11" i="24"/>
  <c r="O10" i="24"/>
  <c r="N10" i="24"/>
  <c r="M10" i="24"/>
  <c r="L10" i="24"/>
  <c r="O9" i="24"/>
  <c r="N9" i="24"/>
  <c r="M9" i="24"/>
  <c r="L9" i="24" s="1"/>
  <c r="O8" i="24"/>
  <c r="N8" i="24"/>
  <c r="M8" i="24"/>
  <c r="L8" i="24"/>
  <c r="O7" i="24"/>
  <c r="N7" i="24"/>
  <c r="M7" i="24"/>
  <c r="L7" i="24"/>
  <c r="D22" i="24"/>
  <c r="D21" i="24"/>
  <c r="D20" i="24"/>
  <c r="D19" i="24"/>
  <c r="D18" i="24"/>
  <c r="D17" i="24"/>
  <c r="D16" i="24"/>
  <c r="D15" i="24"/>
  <c r="D12" i="24"/>
  <c r="D11" i="24"/>
  <c r="D10" i="24"/>
  <c r="D9" i="24"/>
  <c r="D8" i="24"/>
  <c r="D7" i="24"/>
  <c r="D6" i="24"/>
  <c r="B2" i="24"/>
  <c r="B1" i="24"/>
  <c r="E97" i="22"/>
  <c r="D97" i="22"/>
  <c r="C97" i="22"/>
  <c r="B97" i="22"/>
  <c r="A97" i="22"/>
  <c r="D70" i="22"/>
  <c r="B13" i="22"/>
  <c r="B12" i="22"/>
  <c r="G12" i="22" s="1"/>
  <c r="B11" i="22"/>
  <c r="G11" i="22" s="1"/>
  <c r="B67" i="22" s="1"/>
  <c r="D67" i="22" s="1"/>
  <c r="B10" i="22"/>
  <c r="B9" i="22"/>
  <c r="B8" i="22"/>
  <c r="B68" i="22" s="1"/>
  <c r="D68" i="22" s="1"/>
  <c r="B7" i="22"/>
  <c r="B6" i="22"/>
  <c r="A1" i="22"/>
  <c r="B31" i="21"/>
  <c r="K17" i="21"/>
  <c r="K21" i="21" s="1"/>
  <c r="J17" i="21"/>
  <c r="J21" i="21" s="1"/>
  <c r="I17" i="21"/>
  <c r="H17" i="21"/>
  <c r="H21" i="21" s="1"/>
  <c r="G17" i="21"/>
  <c r="G21" i="21" s="1"/>
  <c r="F17" i="21"/>
  <c r="F21" i="21" s="1"/>
  <c r="E17" i="21"/>
  <c r="E21" i="21" s="1"/>
  <c r="D17" i="21"/>
  <c r="C17" i="21"/>
  <c r="C21" i="21" s="1"/>
  <c r="B17" i="21"/>
  <c r="B21" i="21" s="1"/>
  <c r="M11" i="21"/>
  <c r="B11" i="21"/>
  <c r="A1" i="21"/>
  <c r="A34" i="20"/>
  <c r="A33" i="20"/>
  <c r="A32" i="20"/>
  <c r="A31" i="20"/>
  <c r="A30" i="20"/>
  <c r="A29" i="20"/>
  <c r="A28" i="20"/>
  <c r="A27" i="20"/>
  <c r="I26" i="20"/>
  <c r="H26" i="20"/>
  <c r="G26" i="20"/>
  <c r="F26" i="20"/>
  <c r="E26" i="20"/>
  <c r="D26" i="20"/>
  <c r="C26" i="20"/>
  <c r="B26" i="20"/>
  <c r="A23" i="20"/>
  <c r="A22" i="20"/>
  <c r="A21" i="20"/>
  <c r="A20" i="20"/>
  <c r="A19" i="20"/>
  <c r="A18" i="20"/>
  <c r="A17" i="20"/>
  <c r="H16" i="20"/>
  <c r="G16" i="20"/>
  <c r="F16" i="20"/>
  <c r="E16" i="20"/>
  <c r="D16" i="20"/>
  <c r="C16" i="20"/>
  <c r="B16" i="20"/>
  <c r="A13" i="20"/>
  <c r="A12" i="20"/>
  <c r="A11" i="20"/>
  <c r="A10" i="20"/>
  <c r="A9" i="20"/>
  <c r="A8" i="20"/>
  <c r="A7" i="20"/>
  <c r="A6" i="20"/>
  <c r="H5" i="20"/>
  <c r="G5" i="20"/>
  <c r="F5" i="20"/>
  <c r="E5" i="20"/>
  <c r="D5" i="20"/>
  <c r="C5" i="20"/>
  <c r="B5" i="20"/>
  <c r="A1" i="20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K9" i="19"/>
  <c r="G9" i="19"/>
  <c r="H9" i="19" s="1"/>
  <c r="C9" i="19"/>
  <c r="B5" i="19"/>
  <c r="G4" i="19"/>
  <c r="A1" i="19"/>
  <c r="A47" i="18"/>
  <c r="A45" i="18"/>
  <c r="G27" i="18"/>
  <c r="A4" i="18"/>
  <c r="A1" i="18"/>
  <c r="L113" i="17"/>
  <c r="K113" i="17"/>
  <c r="J113" i="17"/>
  <c r="I113" i="17"/>
  <c r="H113" i="17"/>
  <c r="G113" i="17"/>
  <c r="F113" i="17"/>
  <c r="E113" i="17"/>
  <c r="D113" i="17"/>
  <c r="C113" i="17"/>
  <c r="B113" i="17"/>
  <c r="M87" i="17"/>
  <c r="L87" i="17"/>
  <c r="M78" i="17"/>
  <c r="L77" i="17"/>
  <c r="K77" i="17"/>
  <c r="J77" i="17"/>
  <c r="I77" i="17"/>
  <c r="H77" i="17"/>
  <c r="G77" i="17"/>
  <c r="F77" i="17"/>
  <c r="E77" i="17"/>
  <c r="D77" i="17"/>
  <c r="C77" i="17"/>
  <c r="M74" i="17"/>
  <c r="L73" i="17"/>
  <c r="K73" i="17"/>
  <c r="J73" i="17"/>
  <c r="I73" i="17"/>
  <c r="H73" i="17"/>
  <c r="G73" i="17"/>
  <c r="F73" i="17"/>
  <c r="E73" i="17"/>
  <c r="D73" i="17"/>
  <c r="C73" i="17"/>
  <c r="B7" i="17"/>
  <c r="A1" i="17"/>
  <c r="C22" i="16"/>
  <c r="F19" i="16"/>
  <c r="E19" i="16"/>
  <c r="C18" i="16"/>
  <c r="F17" i="16"/>
  <c r="E17" i="16"/>
  <c r="F16" i="16"/>
  <c r="E16" i="16"/>
  <c r="C15" i="16"/>
  <c r="C14" i="16"/>
  <c r="F14" i="16" s="1"/>
  <c r="B6" i="16"/>
  <c r="B1" i="16"/>
  <c r="A1" i="16"/>
  <c r="B65" i="15"/>
  <c r="D69" i="15" s="1"/>
  <c r="D64" i="15"/>
  <c r="D63" i="15"/>
  <c r="D62" i="15"/>
  <c r="D61" i="15"/>
  <c r="D60" i="15"/>
  <c r="D53" i="15"/>
  <c r="D52" i="15"/>
  <c r="D44" i="15"/>
  <c r="D43" i="15"/>
  <c r="D42" i="15"/>
  <c r="D41" i="15"/>
  <c r="D37" i="15"/>
  <c r="D36" i="15"/>
  <c r="D35" i="15"/>
  <c r="D34" i="15"/>
  <c r="D33" i="15"/>
  <c r="D32" i="15"/>
  <c r="D28" i="15"/>
  <c r="D27" i="15"/>
  <c r="D26" i="15"/>
  <c r="D25" i="15"/>
  <c r="D24" i="15"/>
  <c r="D23" i="15"/>
  <c r="D19" i="15"/>
  <c r="D18" i="15"/>
  <c r="D17" i="15"/>
  <c r="D16" i="15"/>
  <c r="D15" i="15"/>
  <c r="D14" i="15"/>
  <c r="D10" i="15"/>
  <c r="D9" i="15"/>
  <c r="D8" i="15"/>
  <c r="D7" i="15"/>
  <c r="D6" i="15"/>
  <c r="D5" i="15"/>
  <c r="A1" i="15"/>
  <c r="A52" i="14"/>
  <c r="A51" i="14"/>
  <c r="A50" i="14"/>
  <c r="A49" i="14"/>
  <c r="A48" i="14"/>
  <c r="A47" i="14"/>
  <c r="A46" i="14"/>
  <c r="H45" i="14" a="1"/>
  <c r="H45" i="14" s="1"/>
  <c r="A45" i="14"/>
  <c r="A44" i="14"/>
  <c r="A43" i="14"/>
  <c r="AK37" i="14"/>
  <c r="AJ37" i="14"/>
  <c r="AI37" i="14"/>
  <c r="AH37" i="14"/>
  <c r="AG37" i="14"/>
  <c r="C27" i="14"/>
  <c r="B27" i="14"/>
  <c r="I26" i="14"/>
  <c r="J26" i="14" s="1"/>
  <c r="K26" i="14" s="1"/>
  <c r="N26" i="14" s="1"/>
  <c r="I25" i="14"/>
  <c r="J25" i="14" s="1"/>
  <c r="K25" i="14" s="1"/>
  <c r="N25" i="14" s="1"/>
  <c r="AK24" i="14"/>
  <c r="AJ24" i="14"/>
  <c r="AI24" i="14"/>
  <c r="AH24" i="14"/>
  <c r="AG24" i="14"/>
  <c r="I24" i="14"/>
  <c r="J24" i="14" s="1"/>
  <c r="K24" i="14" s="1"/>
  <c r="N24" i="14" s="1"/>
  <c r="AB23" i="14"/>
  <c r="Y23" i="14"/>
  <c r="X23" i="14"/>
  <c r="W23" i="14"/>
  <c r="U23" i="14"/>
  <c r="T23" i="14"/>
  <c r="I23" i="14"/>
  <c r="J23" i="14" s="1"/>
  <c r="K23" i="14" s="1"/>
  <c r="N23" i="14" s="1"/>
  <c r="Z22" i="14"/>
  <c r="AA22" i="14" s="1"/>
  <c r="I22" i="14"/>
  <c r="J22" i="14" s="1"/>
  <c r="K22" i="14" s="1"/>
  <c r="N22" i="14" s="1"/>
  <c r="AK21" i="14"/>
  <c r="AJ21" i="14"/>
  <c r="AI21" i="14"/>
  <c r="AH21" i="14"/>
  <c r="AG21" i="14"/>
  <c r="Z21" i="14"/>
  <c r="AA21" i="14" s="1"/>
  <c r="I21" i="14"/>
  <c r="Z20" i="14"/>
  <c r="AA20" i="14" s="1"/>
  <c r="Z19" i="14"/>
  <c r="AA19" i="14" s="1"/>
  <c r="Z18" i="14"/>
  <c r="AA18" i="14" s="1"/>
  <c r="Z17" i="14"/>
  <c r="AA17" i="14" s="1"/>
  <c r="Z16" i="14"/>
  <c r="AA16" i="14" s="1"/>
  <c r="I16" i="14"/>
  <c r="J16" i="14" s="1"/>
  <c r="K16" i="14" s="1"/>
  <c r="M16" i="14" s="1"/>
  <c r="F16" i="14"/>
  <c r="E16" i="14"/>
  <c r="C16" i="14"/>
  <c r="B16" i="14"/>
  <c r="Z15" i="14"/>
  <c r="AA15" i="14" s="1"/>
  <c r="I15" i="14"/>
  <c r="J15" i="14" s="1"/>
  <c r="K15" i="14" s="1"/>
  <c r="F15" i="14"/>
  <c r="E15" i="14"/>
  <c r="C15" i="14"/>
  <c r="B15" i="14"/>
  <c r="Z14" i="14"/>
  <c r="AA14" i="14" s="1"/>
  <c r="I14" i="14"/>
  <c r="J14" i="14" s="1"/>
  <c r="K14" i="14" s="1"/>
  <c r="F14" i="14"/>
  <c r="E14" i="14"/>
  <c r="H14" i="14" s="1"/>
  <c r="C14" i="14"/>
  <c r="B14" i="14"/>
  <c r="Z13" i="14"/>
  <c r="AA13" i="14" s="1"/>
  <c r="I13" i="14"/>
  <c r="F13" i="14"/>
  <c r="E13" i="14"/>
  <c r="H13" i="14" s="1"/>
  <c r="C13" i="14"/>
  <c r="B13" i="14"/>
  <c r="Z12" i="14"/>
  <c r="AA12" i="14" s="1"/>
  <c r="I12" i="14"/>
  <c r="F12" i="14"/>
  <c r="E12" i="14"/>
  <c r="H12" i="14" s="1"/>
  <c r="C12" i="14"/>
  <c r="B12" i="14"/>
  <c r="Z11" i="14"/>
  <c r="AA11" i="14" s="1"/>
  <c r="I11" i="14"/>
  <c r="F11" i="14"/>
  <c r="E11" i="14"/>
  <c r="H11" i="14" s="1"/>
  <c r="C11" i="14"/>
  <c r="G11" i="14" s="1"/>
  <c r="B11" i="14"/>
  <c r="Z10" i="14"/>
  <c r="AA10" i="14" s="1"/>
  <c r="I10" i="14"/>
  <c r="F10" i="14"/>
  <c r="E10" i="14"/>
  <c r="G10" i="14" s="1"/>
  <c r="C10" i="14"/>
  <c r="B10" i="14"/>
  <c r="H10" i="14" s="1"/>
  <c r="Z9" i="14"/>
  <c r="I9" i="14"/>
  <c r="F9" i="14"/>
  <c r="E9" i="14"/>
  <c r="G9" i="14" s="1"/>
  <c r="C9" i="14"/>
  <c r="B9" i="14"/>
  <c r="Z8" i="14"/>
  <c r="AA8" i="14" s="1"/>
  <c r="I8" i="14"/>
  <c r="J8" i="14" s="1"/>
  <c r="K8" i="14" s="1"/>
  <c r="F8" i="14"/>
  <c r="E8" i="14"/>
  <c r="G8" i="14" s="1"/>
  <c r="C8" i="14"/>
  <c r="B8" i="14"/>
  <c r="H8" i="14" s="1"/>
  <c r="AB7" i="14"/>
  <c r="X7" i="14"/>
  <c r="W7" i="14"/>
  <c r="U7" i="14"/>
  <c r="T7" i="14"/>
  <c r="S7" i="14"/>
  <c r="R7" i="14"/>
  <c r="I7" i="14"/>
  <c r="F7" i="14"/>
  <c r="E7" i="14"/>
  <c r="C7" i="14"/>
  <c r="B7" i="14"/>
  <c r="F6" i="14"/>
  <c r="E6" i="14"/>
  <c r="AK5" i="14"/>
  <c r="AJ5" i="14"/>
  <c r="AI5" i="14"/>
  <c r="AH5" i="14"/>
  <c r="AG5" i="14"/>
  <c r="A1" i="14"/>
  <c r="B29" i="13"/>
  <c r="B20" i="13"/>
  <c r="B18" i="13"/>
  <c r="A1" i="13"/>
  <c r="C50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C30" i="12"/>
  <c r="AL27" i="12"/>
  <c r="AL34" i="12" s="1"/>
  <c r="AK27" i="12"/>
  <c r="AK34" i="12" s="1"/>
  <c r="AJ27" i="12"/>
  <c r="AJ34" i="12" s="1"/>
  <c r="AI27" i="12"/>
  <c r="AI34" i="12" s="1"/>
  <c r="AH27" i="12"/>
  <c r="AH34" i="12" s="1"/>
  <c r="AG27" i="12"/>
  <c r="AG34" i="12" s="1"/>
  <c r="AF27" i="12"/>
  <c r="AF34" i="12" s="1"/>
  <c r="AE27" i="12"/>
  <c r="AE34" i="12" s="1"/>
  <c r="AD27" i="12"/>
  <c r="AD34" i="12" s="1"/>
  <c r="AC27" i="12"/>
  <c r="AC34" i="12" s="1"/>
  <c r="AB27" i="12"/>
  <c r="AB34" i="12" s="1"/>
  <c r="AA27" i="12"/>
  <c r="AA34" i="12" s="1"/>
  <c r="Z27" i="12"/>
  <c r="Z34" i="12" s="1"/>
  <c r="Y27" i="12"/>
  <c r="Y34" i="12" s="1"/>
  <c r="X27" i="12"/>
  <c r="X34" i="12" s="1"/>
  <c r="W27" i="12"/>
  <c r="W34" i="12" s="1"/>
  <c r="V27" i="12"/>
  <c r="V34" i="12" s="1"/>
  <c r="U27" i="12"/>
  <c r="U34" i="12" s="1"/>
  <c r="T27" i="12"/>
  <c r="T34" i="12" s="1"/>
  <c r="S27" i="12"/>
  <c r="S34" i="12" s="1"/>
  <c r="R27" i="12"/>
  <c r="R34" i="12" s="1"/>
  <c r="Q27" i="12"/>
  <c r="Q34" i="12" s="1"/>
  <c r="P27" i="12"/>
  <c r="P34" i="12" s="1"/>
  <c r="O27" i="12"/>
  <c r="O34" i="12" s="1"/>
  <c r="N27" i="12"/>
  <c r="N34" i="12" s="1"/>
  <c r="M27" i="12"/>
  <c r="M34" i="12" s="1"/>
  <c r="L27" i="12"/>
  <c r="L34" i="12" s="1"/>
  <c r="K27" i="12"/>
  <c r="K34" i="12" s="1"/>
  <c r="J27" i="12"/>
  <c r="J34" i="12" s="1"/>
  <c r="I27" i="12"/>
  <c r="I34" i="12" s="1"/>
  <c r="H27" i="12"/>
  <c r="H34" i="12" s="1"/>
  <c r="G27" i="12"/>
  <c r="G34" i="12" s="1"/>
  <c r="F27" i="12"/>
  <c r="F34" i="12" s="1"/>
  <c r="E27" i="12"/>
  <c r="E34" i="12" s="1"/>
  <c r="D27" i="12"/>
  <c r="D34" i="12" s="1"/>
  <c r="C27" i="12"/>
  <c r="C34" i="12" s="1"/>
  <c r="A1" i="12"/>
  <c r="M86" i="11"/>
  <c r="L86" i="11"/>
  <c r="K86" i="11"/>
  <c r="J86" i="11"/>
  <c r="I86" i="11"/>
  <c r="H86" i="11"/>
  <c r="G86" i="11"/>
  <c r="E86" i="11"/>
  <c r="D86" i="11"/>
  <c r="C37" i="11"/>
  <c r="Q15" i="11"/>
  <c r="F15" i="11"/>
  <c r="G15" i="11" s="1"/>
  <c r="F13" i="11"/>
  <c r="G13" i="11" s="1"/>
  <c r="H13" i="11" s="1"/>
  <c r="I13" i="11" s="1"/>
  <c r="J13" i="11" s="1"/>
  <c r="K13" i="11" s="1"/>
  <c r="L13" i="11" s="1"/>
  <c r="M13" i="11" s="1"/>
  <c r="G11" i="11"/>
  <c r="H11" i="11" s="1"/>
  <c r="I11" i="11" s="1"/>
  <c r="J11" i="11" s="1"/>
  <c r="K11" i="11" s="1"/>
  <c r="L11" i="11" s="1"/>
  <c r="M11" i="11" s="1"/>
  <c r="O6" i="11"/>
  <c r="O5" i="11"/>
  <c r="A1" i="11"/>
  <c r="D1792" i="10"/>
  <c r="D1791" i="10"/>
  <c r="D1790" i="10"/>
  <c r="D1789" i="10"/>
  <c r="D1788" i="10"/>
  <c r="D1787" i="10"/>
  <c r="D1786" i="10"/>
  <c r="D1785" i="10"/>
  <c r="D1784" i="10"/>
  <c r="D1783" i="10"/>
  <c r="D1782" i="10"/>
  <c r="D1781" i="10"/>
  <c r="D1780" i="10"/>
  <c r="D1779" i="10"/>
  <c r="D1778" i="10"/>
  <c r="T263" i="10"/>
  <c r="S263" i="10"/>
  <c r="B262" i="10"/>
  <c r="B261" i="10"/>
  <c r="B260" i="10"/>
  <c r="B259" i="10"/>
  <c r="B258" i="10"/>
  <c r="B257" i="10"/>
  <c r="S256" i="10"/>
  <c r="B256" i="10"/>
  <c r="B255" i="10"/>
  <c r="B254" i="10"/>
  <c r="B253" i="10"/>
  <c r="B247" i="10"/>
  <c r="B246" i="10"/>
  <c r="B245" i="10"/>
  <c r="B244" i="10"/>
  <c r="B243" i="10"/>
  <c r="B235" i="10"/>
  <c r="B234" i="10"/>
  <c r="D234" i="10" s="1"/>
  <c r="B233" i="10"/>
  <c r="D233" i="10" s="1"/>
  <c r="B232" i="10"/>
  <c r="D232" i="10" s="1"/>
  <c r="B231" i="10"/>
  <c r="D231" i="10" s="1"/>
  <c r="B230" i="10"/>
  <c r="D230" i="10" s="1"/>
  <c r="B229" i="10"/>
  <c r="D229" i="10" s="1"/>
  <c r="B228" i="10"/>
  <c r="D228" i="10" s="1"/>
  <c r="B227" i="10"/>
  <c r="B226" i="10"/>
  <c r="D226" i="10" s="1"/>
  <c r="B225" i="10"/>
  <c r="D225" i="10" s="1"/>
  <c r="B224" i="10"/>
  <c r="E218" i="10"/>
  <c r="D218" i="10"/>
  <c r="B218" i="10"/>
  <c r="C218" i="10" s="1"/>
  <c r="E217" i="10"/>
  <c r="D217" i="10"/>
  <c r="B217" i="10"/>
  <c r="C217" i="10" s="1"/>
  <c r="E216" i="10"/>
  <c r="D216" i="10"/>
  <c r="B216" i="10"/>
  <c r="E211" i="10"/>
  <c r="D211" i="10"/>
  <c r="C211" i="10"/>
  <c r="B211" i="10"/>
  <c r="E210" i="10"/>
  <c r="G210" i="10" s="1"/>
  <c r="C210" i="10"/>
  <c r="B210" i="10"/>
  <c r="D210" i="10" s="1"/>
  <c r="E209" i="10"/>
  <c r="G209" i="10" s="1"/>
  <c r="C209" i="10"/>
  <c r="B209" i="10"/>
  <c r="D209" i="10" s="1"/>
  <c r="F209" i="10" s="1"/>
  <c r="E208" i="10"/>
  <c r="G208" i="10" s="1"/>
  <c r="C208" i="10"/>
  <c r="B208" i="10"/>
  <c r="D208" i="10" s="1"/>
  <c r="F208" i="10" s="1"/>
  <c r="B197" i="10"/>
  <c r="D196" i="10"/>
  <c r="C196" i="10"/>
  <c r="B201" i="10" s="1"/>
  <c r="D195" i="10"/>
  <c r="C195" i="10"/>
  <c r="C194" i="10"/>
  <c r="D189" i="10"/>
  <c r="C189" i="10"/>
  <c r="E189" i="10" s="1"/>
  <c r="B189" i="10"/>
  <c r="C188" i="10"/>
  <c r="B188" i="10"/>
  <c r="C187" i="10"/>
  <c r="B187" i="10"/>
  <c r="C186" i="10"/>
  <c r="B186" i="10"/>
  <c r="H180" i="10"/>
  <c r="G180" i="10"/>
  <c r="F180" i="10"/>
  <c r="D180" i="10"/>
  <c r="C180" i="10"/>
  <c r="B180" i="10"/>
  <c r="H179" i="10"/>
  <c r="G179" i="10"/>
  <c r="F179" i="10"/>
  <c r="D179" i="10"/>
  <c r="C179" i="10"/>
  <c r="B179" i="10"/>
  <c r="H178" i="10"/>
  <c r="G178" i="10"/>
  <c r="F178" i="10"/>
  <c r="D178" i="10"/>
  <c r="C178" i="10"/>
  <c r="B178" i="10"/>
  <c r="H177" i="10"/>
  <c r="G177" i="10"/>
  <c r="F177" i="10"/>
  <c r="D177" i="10"/>
  <c r="E177" i="10" s="1"/>
  <c r="I177" i="10" s="1"/>
  <c r="C177" i="10"/>
  <c r="B177" i="10"/>
  <c r="H176" i="10"/>
  <c r="G176" i="10"/>
  <c r="F176" i="10"/>
  <c r="D176" i="10"/>
  <c r="C176" i="10"/>
  <c r="B176" i="10"/>
  <c r="H175" i="10"/>
  <c r="G175" i="10"/>
  <c r="F175" i="10"/>
  <c r="D175" i="10"/>
  <c r="C175" i="10"/>
  <c r="B175" i="10"/>
  <c r="H174" i="10"/>
  <c r="G174" i="10"/>
  <c r="F174" i="10"/>
  <c r="D174" i="10"/>
  <c r="E174" i="10" s="1"/>
  <c r="I174" i="10" s="1"/>
  <c r="C174" i="10"/>
  <c r="B174" i="10"/>
  <c r="H173" i="10"/>
  <c r="G173" i="10"/>
  <c r="F173" i="10"/>
  <c r="D173" i="10"/>
  <c r="E173" i="10" s="1"/>
  <c r="I173" i="10" s="1"/>
  <c r="C173" i="10"/>
  <c r="B173" i="10"/>
  <c r="H172" i="10"/>
  <c r="G172" i="10"/>
  <c r="F172" i="10"/>
  <c r="D172" i="10"/>
  <c r="E172" i="10" s="1"/>
  <c r="I172" i="10" s="1"/>
  <c r="C172" i="10"/>
  <c r="B172" i="10"/>
  <c r="H171" i="10"/>
  <c r="G171" i="10"/>
  <c r="F171" i="10"/>
  <c r="D171" i="10"/>
  <c r="C171" i="10"/>
  <c r="B171" i="10"/>
  <c r="H170" i="10"/>
  <c r="G170" i="10"/>
  <c r="F170" i="10"/>
  <c r="D170" i="10"/>
  <c r="E170" i="10" s="1"/>
  <c r="I170" i="10" s="1"/>
  <c r="C170" i="10"/>
  <c r="B170" i="10"/>
  <c r="H169" i="10"/>
  <c r="G169" i="10"/>
  <c r="F169" i="10"/>
  <c r="D169" i="10"/>
  <c r="C169" i="10"/>
  <c r="B169" i="10"/>
  <c r="E169" i="10" s="1"/>
  <c r="I169" i="10" s="1"/>
  <c r="H168" i="10"/>
  <c r="G168" i="10"/>
  <c r="F168" i="10"/>
  <c r="D168" i="10"/>
  <c r="E168" i="10" s="1"/>
  <c r="I168" i="10" s="1"/>
  <c r="C168" i="10"/>
  <c r="B168" i="10"/>
  <c r="H167" i="10"/>
  <c r="G167" i="10"/>
  <c r="F167" i="10"/>
  <c r="D167" i="10"/>
  <c r="C167" i="10"/>
  <c r="B167" i="10"/>
  <c r="H166" i="10"/>
  <c r="G166" i="10"/>
  <c r="F166" i="10"/>
  <c r="D166" i="10"/>
  <c r="E166" i="10" s="1"/>
  <c r="I166" i="10" s="1"/>
  <c r="C166" i="10"/>
  <c r="B166" i="10"/>
  <c r="H165" i="10"/>
  <c r="G165" i="10"/>
  <c r="F165" i="10"/>
  <c r="D165" i="10"/>
  <c r="E165" i="10" s="1"/>
  <c r="I165" i="10" s="1"/>
  <c r="C165" i="10"/>
  <c r="B165" i="10"/>
  <c r="H164" i="10"/>
  <c r="G164" i="10"/>
  <c r="F164" i="10"/>
  <c r="D164" i="10"/>
  <c r="C164" i="10"/>
  <c r="B164" i="10"/>
  <c r="H163" i="10"/>
  <c r="G163" i="10"/>
  <c r="F163" i="10"/>
  <c r="D163" i="10"/>
  <c r="E163" i="10" s="1"/>
  <c r="I163" i="10" s="1"/>
  <c r="C163" i="10"/>
  <c r="B163" i="10"/>
  <c r="B157" i="10"/>
  <c r="C157" i="10" s="1"/>
  <c r="B156" i="10"/>
  <c r="B152" i="10"/>
  <c r="B151" i="10"/>
  <c r="C145" i="10"/>
  <c r="D145" i="10" s="1"/>
  <c r="F145" i="10" s="1"/>
  <c r="B145" i="10"/>
  <c r="C144" i="10"/>
  <c r="D144" i="10" s="1"/>
  <c r="B144" i="10"/>
  <c r="C143" i="10"/>
  <c r="D143" i="10" s="1"/>
  <c r="E143" i="10" s="1"/>
  <c r="B143" i="10"/>
  <c r="C142" i="10"/>
  <c r="D142" i="10" s="1"/>
  <c r="B142" i="10"/>
  <c r="D130" i="10"/>
  <c r="F130" i="10" s="1"/>
  <c r="D129" i="10"/>
  <c r="E129" i="10" s="1"/>
  <c r="B129" i="10"/>
  <c r="C129" i="10" s="1"/>
  <c r="B128" i="10"/>
  <c r="C128" i="10" s="1"/>
  <c r="D127" i="10"/>
  <c r="E127" i="10" s="1"/>
  <c r="B127" i="10"/>
  <c r="C127" i="10" s="1"/>
  <c r="J122" i="10"/>
  <c r="B122" i="10"/>
  <c r="J121" i="10"/>
  <c r="H121" i="10"/>
  <c r="I121" i="10" s="1"/>
  <c r="L121" i="10" s="1"/>
  <c r="B121" i="10"/>
  <c r="C121" i="10" s="1"/>
  <c r="J120" i="10"/>
  <c r="H120" i="10"/>
  <c r="I120" i="10" s="1"/>
  <c r="B120" i="10"/>
  <c r="D120" i="10" s="1"/>
  <c r="J119" i="10"/>
  <c r="H119" i="10"/>
  <c r="B119" i="10"/>
  <c r="E119" i="10" s="1"/>
  <c r="D113" i="10"/>
  <c r="B113" i="10"/>
  <c r="I21" i="5" s="1"/>
  <c r="I109" i="10"/>
  <c r="I108" i="10"/>
  <c r="G108" i="10"/>
  <c r="E108" i="10"/>
  <c r="C108" i="10"/>
  <c r="B108" i="10"/>
  <c r="I107" i="10"/>
  <c r="H107" i="10"/>
  <c r="E107" i="10"/>
  <c r="D107" i="10"/>
  <c r="C107" i="10"/>
  <c r="B107" i="10"/>
  <c r="I106" i="10"/>
  <c r="D106" i="10" s="1"/>
  <c r="G106" i="10"/>
  <c r="B106" i="10"/>
  <c r="I105" i="10"/>
  <c r="I104" i="10"/>
  <c r="I103" i="10"/>
  <c r="I102" i="10"/>
  <c r="G102" i="10"/>
  <c r="F102" i="10"/>
  <c r="C102" i="10"/>
  <c r="I101" i="10"/>
  <c r="I100" i="10"/>
  <c r="D100" i="10" s="1"/>
  <c r="C94" i="10"/>
  <c r="I20" i="5" s="1"/>
  <c r="C93" i="10"/>
  <c r="D93" i="10" s="1"/>
  <c r="B93" i="10"/>
  <c r="C92" i="10"/>
  <c r="D92" i="10" s="1"/>
  <c r="B92" i="10"/>
  <c r="C91" i="10"/>
  <c r="B91" i="10"/>
  <c r="C90" i="10"/>
  <c r="B90" i="10"/>
  <c r="B86" i="10"/>
  <c r="B85" i="10"/>
  <c r="B84" i="10"/>
  <c r="C84" i="10" s="1"/>
  <c r="B83" i="10"/>
  <c r="B82" i="10"/>
  <c r="B76" i="10"/>
  <c r="C76" i="10" s="1"/>
  <c r="B75" i="10"/>
  <c r="C75" i="10" s="1"/>
  <c r="B74" i="10"/>
  <c r="C74" i="10" s="1"/>
  <c r="B73" i="10"/>
  <c r="C73" i="10" s="1"/>
  <c r="B72" i="10"/>
  <c r="C72" i="10" s="1"/>
  <c r="B71" i="10"/>
  <c r="C71" i="10" s="1"/>
  <c r="B63" i="10"/>
  <c r="C63" i="10" s="1"/>
  <c r="E62" i="10"/>
  <c r="D62" i="10"/>
  <c r="B62" i="10"/>
  <c r="C62" i="10" s="1"/>
  <c r="A62" i="10"/>
  <c r="E61" i="10"/>
  <c r="D61" i="10"/>
  <c r="B61" i="10"/>
  <c r="C61" i="10" s="1"/>
  <c r="A61" i="10"/>
  <c r="E60" i="10"/>
  <c r="D60" i="10"/>
  <c r="B60" i="10"/>
  <c r="C60" i="10" s="1"/>
  <c r="A60" i="10"/>
  <c r="E59" i="10"/>
  <c r="D59" i="10"/>
  <c r="B59" i="10"/>
  <c r="C59" i="10" s="1"/>
  <c r="A59" i="10"/>
  <c r="E58" i="10"/>
  <c r="D58" i="10"/>
  <c r="B58" i="10"/>
  <c r="C58" i="10" s="1"/>
  <c r="A58" i="10"/>
  <c r="E57" i="10"/>
  <c r="D57" i="10"/>
  <c r="B57" i="10"/>
  <c r="C57" i="10" s="1"/>
  <c r="A57" i="10"/>
  <c r="E56" i="10"/>
  <c r="D56" i="10"/>
  <c r="B56" i="10"/>
  <c r="C56" i="10" s="1"/>
  <c r="A56" i="10"/>
  <c r="E55" i="10"/>
  <c r="D55" i="10"/>
  <c r="B55" i="10"/>
  <c r="C55" i="10" s="1"/>
  <c r="A55" i="10"/>
  <c r="E54" i="10"/>
  <c r="D54" i="10"/>
  <c r="B54" i="10"/>
  <c r="C54" i="10" s="1"/>
  <c r="A54" i="10"/>
  <c r="E53" i="10"/>
  <c r="D53" i="10"/>
  <c r="B53" i="10"/>
  <c r="C53" i="10" s="1"/>
  <c r="A53" i="10"/>
  <c r="E52" i="10"/>
  <c r="D52" i="10"/>
  <c r="B52" i="10"/>
  <c r="C52" i="10" s="1"/>
  <c r="A52" i="10"/>
  <c r="E51" i="10"/>
  <c r="D51" i="10"/>
  <c r="B51" i="10"/>
  <c r="C51" i="10" s="1"/>
  <c r="A51" i="10"/>
  <c r="E50" i="10"/>
  <c r="D50" i="10"/>
  <c r="B50" i="10"/>
  <c r="C50" i="10" s="1"/>
  <c r="A50" i="10"/>
  <c r="E49" i="10"/>
  <c r="D49" i="10"/>
  <c r="B49" i="10"/>
  <c r="C49" i="10" s="1"/>
  <c r="A49" i="10"/>
  <c r="E48" i="10"/>
  <c r="D48" i="10"/>
  <c r="B48" i="10"/>
  <c r="C48" i="10" s="1"/>
  <c r="A48" i="10"/>
  <c r="E47" i="10"/>
  <c r="D47" i="10"/>
  <c r="B47" i="10"/>
  <c r="C47" i="10" s="1"/>
  <c r="A47" i="10"/>
  <c r="E46" i="10"/>
  <c r="D46" i="10"/>
  <c r="B46" i="10"/>
  <c r="C46" i="10" s="1"/>
  <c r="A46" i="10"/>
  <c r="E45" i="10"/>
  <c r="D45" i="10"/>
  <c r="B45" i="10"/>
  <c r="C45" i="10" s="1"/>
  <c r="A45" i="10"/>
  <c r="E44" i="10"/>
  <c r="D44" i="10"/>
  <c r="B44" i="10"/>
  <c r="C44" i="10" s="1"/>
  <c r="A44" i="10"/>
  <c r="E43" i="10"/>
  <c r="D43" i="10"/>
  <c r="B43" i="10"/>
  <c r="C43" i="10" s="1"/>
  <c r="A43" i="10"/>
  <c r="E42" i="10"/>
  <c r="D42" i="10"/>
  <c r="B42" i="10"/>
  <c r="C42" i="10" s="1"/>
  <c r="A42" i="10"/>
  <c r="E41" i="10"/>
  <c r="D41" i="10"/>
  <c r="B41" i="10"/>
  <c r="C41" i="10" s="1"/>
  <c r="A41" i="10"/>
  <c r="E40" i="10"/>
  <c r="D40" i="10"/>
  <c r="B40" i="10"/>
  <c r="C40" i="10" s="1"/>
  <c r="A40" i="10"/>
  <c r="E39" i="10"/>
  <c r="D39" i="10"/>
  <c r="B39" i="10"/>
  <c r="C39" i="10" s="1"/>
  <c r="G39" i="10" s="1"/>
  <c r="A39" i="10"/>
  <c r="B34" i="10"/>
  <c r="C34" i="10" s="1"/>
  <c r="D39" i="6" s="1"/>
  <c r="B31" i="10"/>
  <c r="B30" i="10"/>
  <c r="B27" i="10"/>
  <c r="B26" i="10"/>
  <c r="B19" i="10" a="1"/>
  <c r="B19" i="10" s="1"/>
  <c r="C19" i="10" s="1"/>
  <c r="G17" i="10"/>
  <c r="E17" i="10"/>
  <c r="D17" i="10"/>
  <c r="B17" i="10"/>
  <c r="C17" i="10" s="1"/>
  <c r="G16" i="10"/>
  <c r="E16" i="10"/>
  <c r="D16" i="10"/>
  <c r="B16" i="10"/>
  <c r="C16" i="10" s="1"/>
  <c r="G15" i="10"/>
  <c r="E15" i="10"/>
  <c r="D15" i="10"/>
  <c r="B15" i="10"/>
  <c r="C15" i="10" s="1"/>
  <c r="G14" i="10"/>
  <c r="E14" i="10"/>
  <c r="D14" i="10"/>
  <c r="B14" i="10"/>
  <c r="C14" i="10" s="1"/>
  <c r="G13" i="10"/>
  <c r="E13" i="10"/>
  <c r="D13" i="10"/>
  <c r="B13" i="10"/>
  <c r="C41" i="6" s="1"/>
  <c r="D41" i="6" s="1"/>
  <c r="G11" i="10"/>
  <c r="E11" i="10"/>
  <c r="D11" i="10"/>
  <c r="F11" i="10" s="1"/>
  <c r="B11" i="10"/>
  <c r="C11" i="10" s="1"/>
  <c r="G10" i="10"/>
  <c r="E10" i="10"/>
  <c r="D10" i="10"/>
  <c r="F10" i="10" s="1"/>
  <c r="B10" i="10"/>
  <c r="C10" i="10" s="1"/>
  <c r="G9" i="10"/>
  <c r="E9" i="10"/>
  <c r="D9" i="10"/>
  <c r="B9" i="10"/>
  <c r="C9" i="10" s="1"/>
  <c r="T5" i="10"/>
  <c r="B20" i="8" s="1"/>
  <c r="B21" i="8" s="1"/>
  <c r="Q5" i="10"/>
  <c r="N5" i="10"/>
  <c r="I5" i="10"/>
  <c r="I19" i="5" s="1"/>
  <c r="G5" i="10"/>
  <c r="D5" i="10"/>
  <c r="A1" i="10"/>
  <c r="C89" i="9"/>
  <c r="M83" i="9"/>
  <c r="L83" i="9"/>
  <c r="C83" i="9"/>
  <c r="M82" i="9"/>
  <c r="L82" i="9"/>
  <c r="M80" i="9"/>
  <c r="L80" i="9"/>
  <c r="C80" i="9"/>
  <c r="M79" i="9"/>
  <c r="L79" i="9"/>
  <c r="C75" i="9"/>
  <c r="K73" i="9"/>
  <c r="M73" i="9" s="1"/>
  <c r="J73" i="9"/>
  <c r="L73" i="9" s="1"/>
  <c r="H73" i="9"/>
  <c r="G73" i="9"/>
  <c r="D73" i="9"/>
  <c r="C73" i="9"/>
  <c r="K72" i="9"/>
  <c r="M72" i="9" s="1"/>
  <c r="J72" i="9"/>
  <c r="L72" i="9" s="1"/>
  <c r="H72" i="9"/>
  <c r="G72" i="9"/>
  <c r="D72" i="9"/>
  <c r="C72" i="9"/>
  <c r="K71" i="9"/>
  <c r="M71" i="9" s="1"/>
  <c r="J71" i="9"/>
  <c r="L71" i="9" s="1"/>
  <c r="H71" i="9"/>
  <c r="G71" i="9"/>
  <c r="D71" i="9"/>
  <c r="C71" i="9"/>
  <c r="K70" i="9"/>
  <c r="M70" i="9" s="1"/>
  <c r="M75" i="9" s="1"/>
  <c r="J70" i="9"/>
  <c r="H70" i="9"/>
  <c r="G70" i="9"/>
  <c r="D70" i="9"/>
  <c r="C70" i="9"/>
  <c r="C62" i="9"/>
  <c r="K62" i="9" s="1"/>
  <c r="J61" i="9"/>
  <c r="L61" i="9" s="1"/>
  <c r="C61" i="9"/>
  <c r="C59" i="9"/>
  <c r="C58" i="9"/>
  <c r="C51" i="9"/>
  <c r="C49" i="9"/>
  <c r="C48" i="9"/>
  <c r="H48" i="9" s="1"/>
  <c r="C47" i="9"/>
  <c r="C46" i="9"/>
  <c r="C45" i="9"/>
  <c r="C44" i="9"/>
  <c r="C43" i="9"/>
  <c r="C42" i="9"/>
  <c r="C41" i="9"/>
  <c r="K39" i="9"/>
  <c r="J39" i="9"/>
  <c r="C39" i="9"/>
  <c r="C38" i="9"/>
  <c r="C37" i="9"/>
  <c r="C36" i="9"/>
  <c r="C28" i="9"/>
  <c r="D28" i="9" s="1"/>
  <c r="C27" i="9"/>
  <c r="D27" i="9" s="1"/>
  <c r="K19" i="9"/>
  <c r="J19" i="9"/>
  <c r="H19" i="9"/>
  <c r="D19" i="9"/>
  <c r="C19" i="9"/>
  <c r="J18" i="9"/>
  <c r="D18" i="9"/>
  <c r="C18" i="9"/>
  <c r="J17" i="9"/>
  <c r="D17" i="9"/>
  <c r="L17" i="9" s="1"/>
  <c r="J16" i="9"/>
  <c r="D16" i="9"/>
  <c r="J15" i="9"/>
  <c r="D15" i="9"/>
  <c r="J14" i="9"/>
  <c r="D14" i="9"/>
  <c r="C14" i="9"/>
  <c r="J13" i="9"/>
  <c r="D13" i="9"/>
  <c r="L13" i="9" s="1"/>
  <c r="C7" i="9"/>
  <c r="C6" i="9"/>
  <c r="F5" i="9"/>
  <c r="C5" i="9"/>
  <c r="B1" i="9"/>
  <c r="A1" i="9"/>
  <c r="G262" i="8"/>
  <c r="C262" i="8"/>
  <c r="D262" i="8" s="1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O185" i="8"/>
  <c r="Q185" i="8" s="1"/>
  <c r="O184" i="8"/>
  <c r="Q184" i="8" s="1"/>
  <c r="O183" i="8"/>
  <c r="Q183" i="8" s="1"/>
  <c r="O182" i="8"/>
  <c r="Q182" i="8" s="1"/>
  <c r="O181" i="8"/>
  <c r="Q181" i="8" s="1"/>
  <c r="O180" i="8"/>
  <c r="Q180" i="8" s="1"/>
  <c r="O179" i="8"/>
  <c r="Q179" i="8" s="1"/>
  <c r="O178" i="8"/>
  <c r="Q178" i="8" s="1"/>
  <c r="O177" i="8"/>
  <c r="Q177" i="8" s="1"/>
  <c r="O176" i="8"/>
  <c r="Q176" i="8" s="1"/>
  <c r="O175" i="8"/>
  <c r="O174" i="8"/>
  <c r="Q174" i="8" s="1"/>
  <c r="O173" i="8"/>
  <c r="Q173" i="8" s="1"/>
  <c r="O172" i="8"/>
  <c r="Q172" i="8" s="1"/>
  <c r="O171" i="8"/>
  <c r="Q171" i="8" s="1"/>
  <c r="O170" i="8"/>
  <c r="O169" i="8"/>
  <c r="Q169" i="8" s="1"/>
  <c r="O168" i="8"/>
  <c r="Q168" i="8" s="1"/>
  <c r="O167" i="8"/>
  <c r="Q167" i="8" s="1"/>
  <c r="O166" i="8"/>
  <c r="Q166" i="8" s="1"/>
  <c r="O165" i="8"/>
  <c r="Q165" i="8" s="1"/>
  <c r="O164" i="8"/>
  <c r="Q164" i="8" s="1"/>
  <c r="O163" i="8"/>
  <c r="Q163" i="8" s="1"/>
  <c r="O162" i="8"/>
  <c r="Q162" i="8" s="1"/>
  <c r="O161" i="8"/>
  <c r="Q161" i="8" s="1"/>
  <c r="O160" i="8"/>
  <c r="Q160" i="8" s="1"/>
  <c r="O159" i="8"/>
  <c r="Q159" i="8" s="1"/>
  <c r="O158" i="8"/>
  <c r="Q158" i="8" s="1"/>
  <c r="O157" i="8"/>
  <c r="Q157" i="8" s="1"/>
  <c r="O156" i="8"/>
  <c r="Q156" i="8" s="1"/>
  <c r="O155" i="8"/>
  <c r="Q155" i="8" s="1"/>
  <c r="O154" i="8"/>
  <c r="Q154" i="8" s="1"/>
  <c r="O153" i="8"/>
  <c r="Q153" i="8" s="1"/>
  <c r="O152" i="8"/>
  <c r="Q152" i="8" s="1"/>
  <c r="O151" i="8"/>
  <c r="Q151" i="8" s="1"/>
  <c r="O150" i="8"/>
  <c r="Q150" i="8" s="1"/>
  <c r="O149" i="8"/>
  <c r="Q149" i="8" s="1"/>
  <c r="O148" i="8"/>
  <c r="Q148" i="8" s="1"/>
  <c r="O147" i="8"/>
  <c r="Q147" i="8" s="1"/>
  <c r="O146" i="8"/>
  <c r="Q146" i="8" s="1"/>
  <c r="O145" i="8"/>
  <c r="Q145" i="8" s="1"/>
  <c r="O144" i="8"/>
  <c r="N84" i="8" s="1"/>
  <c r="O143" i="8"/>
  <c r="Q143" i="8" s="1"/>
  <c r="O142" i="8"/>
  <c r="N86" i="8" s="1"/>
  <c r="O141" i="8"/>
  <c r="Q141" i="8" s="1"/>
  <c r="O140" i="8"/>
  <c r="Q140" i="8" s="1"/>
  <c r="O139" i="8"/>
  <c r="Q139" i="8" s="1"/>
  <c r="O138" i="8"/>
  <c r="Q138" i="8" s="1"/>
  <c r="O137" i="8"/>
  <c r="Q137" i="8" s="1"/>
  <c r="O136" i="8"/>
  <c r="Q136" i="8" s="1"/>
  <c r="O135" i="8"/>
  <c r="Q135" i="8" s="1"/>
  <c r="O134" i="8"/>
  <c r="Q134" i="8" s="1"/>
  <c r="O133" i="8"/>
  <c r="Q133" i="8" s="1"/>
  <c r="O132" i="8"/>
  <c r="Q132" i="8" s="1"/>
  <c r="O131" i="8"/>
  <c r="Q131" i="8" s="1"/>
  <c r="O130" i="8"/>
  <c r="Q130" i="8" s="1"/>
  <c r="O129" i="8"/>
  <c r="Q129" i="8" s="1"/>
  <c r="O128" i="8"/>
  <c r="Q128" i="8" s="1"/>
  <c r="O127" i="8"/>
  <c r="O126" i="8"/>
  <c r="Q126" i="8" s="1"/>
  <c r="O125" i="8"/>
  <c r="Q125" i="8" s="1"/>
  <c r="O124" i="8"/>
  <c r="Q124" i="8" s="1"/>
  <c r="O123" i="8"/>
  <c r="Q123" i="8" s="1"/>
  <c r="O122" i="8"/>
  <c r="O121" i="8"/>
  <c r="Q121" i="8" s="1"/>
  <c r="O120" i="8"/>
  <c r="Q120" i="8" s="1"/>
  <c r="O119" i="8"/>
  <c r="Q119" i="8" s="1"/>
  <c r="O118" i="8"/>
  <c r="Q118" i="8" s="1"/>
  <c r="O117" i="8"/>
  <c r="Q117" i="8" s="1"/>
  <c r="O116" i="8"/>
  <c r="Q116" i="8" s="1"/>
  <c r="O115" i="8"/>
  <c r="Q115" i="8" s="1"/>
  <c r="O114" i="8"/>
  <c r="Q114" i="8" s="1"/>
  <c r="O113" i="8"/>
  <c r="Q113" i="8" s="1"/>
  <c r="O112" i="8"/>
  <c r="Q112" i="8" s="1"/>
  <c r="O111" i="8"/>
  <c r="Q111" i="8" s="1"/>
  <c r="O110" i="8"/>
  <c r="O109" i="8"/>
  <c r="Q109" i="8" s="1"/>
  <c r="O108" i="8"/>
  <c r="N60" i="8" s="1"/>
  <c r="O107" i="8"/>
  <c r="Q107" i="8" s="1"/>
  <c r="O106" i="8"/>
  <c r="Q106" i="8" s="1"/>
  <c r="N99" i="8"/>
  <c r="P99" i="8" s="1"/>
  <c r="B85" i="22" s="1"/>
  <c r="G85" i="22" s="1"/>
  <c r="H85" i="22" s="1"/>
  <c r="I85" i="22" s="1"/>
  <c r="M99" i="8"/>
  <c r="L99" i="8"/>
  <c r="K99" i="8"/>
  <c r="O99" i="8" s="1"/>
  <c r="J99" i="8"/>
  <c r="I99" i="8"/>
  <c r="H99" i="8"/>
  <c r="G99" i="8"/>
  <c r="F99" i="8"/>
  <c r="E99" i="8"/>
  <c r="D99" i="8"/>
  <c r="C99" i="8"/>
  <c r="B99" i="8"/>
  <c r="N98" i="8"/>
  <c r="M98" i="8"/>
  <c r="L98" i="8"/>
  <c r="K98" i="8"/>
  <c r="O98" i="8" s="1"/>
  <c r="J98" i="8"/>
  <c r="I98" i="8"/>
  <c r="H98" i="8"/>
  <c r="G98" i="8"/>
  <c r="F98" i="8"/>
  <c r="E98" i="8"/>
  <c r="D98" i="8"/>
  <c r="C98" i="8"/>
  <c r="B98" i="8"/>
  <c r="N97" i="8"/>
  <c r="C16" i="9" s="1"/>
  <c r="M97" i="8"/>
  <c r="L97" i="8"/>
  <c r="K97" i="8"/>
  <c r="J97" i="8"/>
  <c r="I97" i="8"/>
  <c r="H97" i="8"/>
  <c r="G97" i="8"/>
  <c r="F97" i="8"/>
  <c r="E97" i="8"/>
  <c r="D97" i="8"/>
  <c r="C97" i="8"/>
  <c r="B97" i="8"/>
  <c r="N96" i="8"/>
  <c r="M96" i="8"/>
  <c r="L96" i="8"/>
  <c r="K96" i="8"/>
  <c r="D13" i="8" s="1"/>
  <c r="J96" i="8"/>
  <c r="I96" i="8"/>
  <c r="H96" i="8"/>
  <c r="G96" i="8"/>
  <c r="F96" i="8"/>
  <c r="E96" i="8"/>
  <c r="D96" i="8"/>
  <c r="C96" i="8"/>
  <c r="B96" i="8"/>
  <c r="R95" i="8"/>
  <c r="N95" i="8"/>
  <c r="M95" i="8"/>
  <c r="L95" i="8"/>
  <c r="K95" i="8"/>
  <c r="O95" i="8" s="1"/>
  <c r="J95" i="8"/>
  <c r="I95" i="8"/>
  <c r="H95" i="8"/>
  <c r="G95" i="8"/>
  <c r="F95" i="8"/>
  <c r="E95" i="8"/>
  <c r="D95" i="8"/>
  <c r="C95" i="8"/>
  <c r="B95" i="8"/>
  <c r="N94" i="8"/>
  <c r="B56" i="6" s="1"/>
  <c r="M94" i="8"/>
  <c r="L94" i="8"/>
  <c r="K94" i="8"/>
  <c r="O94" i="8" s="1"/>
  <c r="J94" i="8"/>
  <c r="I94" i="8"/>
  <c r="H94" i="8"/>
  <c r="G94" i="8"/>
  <c r="F94" i="8"/>
  <c r="E94" i="8"/>
  <c r="D94" i="8"/>
  <c r="C94" i="8"/>
  <c r="B94" i="8"/>
  <c r="N93" i="8"/>
  <c r="M93" i="8"/>
  <c r="L93" i="8"/>
  <c r="K93" i="8"/>
  <c r="O93" i="8" s="1"/>
  <c r="J93" i="8"/>
  <c r="I93" i="8"/>
  <c r="H93" i="8"/>
  <c r="G93" i="8"/>
  <c r="F93" i="8"/>
  <c r="E93" i="8"/>
  <c r="D93" i="8"/>
  <c r="C93" i="8"/>
  <c r="B93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M91" i="8"/>
  <c r="L91" i="8"/>
  <c r="K91" i="8"/>
  <c r="O91" i="8" s="1"/>
  <c r="J91" i="8"/>
  <c r="I91" i="8"/>
  <c r="H91" i="8"/>
  <c r="G91" i="8"/>
  <c r="F91" i="8"/>
  <c r="E91" i="8"/>
  <c r="D91" i="8"/>
  <c r="C91" i="8"/>
  <c r="B91" i="8"/>
  <c r="M90" i="8"/>
  <c r="L90" i="8"/>
  <c r="K90" i="8"/>
  <c r="O90" i="8" s="1"/>
  <c r="J90" i="8"/>
  <c r="I90" i="8"/>
  <c r="H90" i="8"/>
  <c r="G90" i="8"/>
  <c r="F90" i="8"/>
  <c r="E90" i="8"/>
  <c r="D90" i="8"/>
  <c r="C90" i="8"/>
  <c r="B90" i="8"/>
  <c r="M89" i="8"/>
  <c r="L89" i="8"/>
  <c r="K89" i="8"/>
  <c r="J89" i="8"/>
  <c r="I89" i="8"/>
  <c r="H89" i="8"/>
  <c r="G89" i="8"/>
  <c r="F89" i="8"/>
  <c r="E89" i="8"/>
  <c r="D89" i="8"/>
  <c r="C89" i="8"/>
  <c r="B89" i="8"/>
  <c r="N88" i="8"/>
  <c r="M88" i="8"/>
  <c r="L88" i="8"/>
  <c r="K88" i="8"/>
  <c r="O88" i="8" s="1"/>
  <c r="J88" i="8"/>
  <c r="I88" i="8"/>
  <c r="H88" i="8"/>
  <c r="G88" i="8"/>
  <c r="F88" i="8"/>
  <c r="E88" i="8"/>
  <c r="D88" i="8"/>
  <c r="C88" i="8"/>
  <c r="B88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M86" i="8"/>
  <c r="L86" i="8"/>
  <c r="K86" i="8"/>
  <c r="J86" i="8"/>
  <c r="I86" i="8"/>
  <c r="H86" i="8"/>
  <c r="G86" i="8"/>
  <c r="F86" i="8"/>
  <c r="E86" i="8"/>
  <c r="D86" i="8"/>
  <c r="C86" i="8"/>
  <c r="B86" i="8"/>
  <c r="N85" i="8"/>
  <c r="M85" i="8"/>
  <c r="L85" i="8"/>
  <c r="K85" i="8"/>
  <c r="O85" i="8" s="1"/>
  <c r="J85" i="8"/>
  <c r="I85" i="8"/>
  <c r="H85" i="8"/>
  <c r="G85" i="8"/>
  <c r="F85" i="8"/>
  <c r="E85" i="8"/>
  <c r="D85" i="8"/>
  <c r="C85" i="8"/>
  <c r="B85" i="8"/>
  <c r="M84" i="8"/>
  <c r="L84" i="8"/>
  <c r="K84" i="8"/>
  <c r="O84" i="8" s="1"/>
  <c r="J84" i="8"/>
  <c r="I84" i="8"/>
  <c r="H84" i="8"/>
  <c r="G84" i="8"/>
  <c r="F84" i="8"/>
  <c r="E84" i="8"/>
  <c r="D84" i="8"/>
  <c r="C84" i="8"/>
  <c r="B84" i="8"/>
  <c r="R83" i="8"/>
  <c r="N83" i="8"/>
  <c r="M83" i="8"/>
  <c r="L83" i="8"/>
  <c r="K83" i="8"/>
  <c r="O83" i="8" s="1"/>
  <c r="J83" i="8"/>
  <c r="I83" i="8"/>
  <c r="H83" i="8"/>
  <c r="G83" i="8"/>
  <c r="F83" i="8"/>
  <c r="E83" i="8"/>
  <c r="D83" i="8"/>
  <c r="C83" i="8"/>
  <c r="B83" i="8"/>
  <c r="M82" i="8"/>
  <c r="L82" i="8"/>
  <c r="K82" i="8"/>
  <c r="J82" i="8"/>
  <c r="I82" i="8"/>
  <c r="H82" i="8"/>
  <c r="G82" i="8"/>
  <c r="F82" i="8"/>
  <c r="F100" i="8" s="1"/>
  <c r="E82" i="8"/>
  <c r="D82" i="8"/>
  <c r="C82" i="8"/>
  <c r="B82" i="8"/>
  <c r="N78" i="8"/>
  <c r="P78" i="8" s="1"/>
  <c r="M78" i="8"/>
  <c r="L78" i="8"/>
  <c r="K78" i="8"/>
  <c r="O78" i="8" s="1"/>
  <c r="J78" i="8"/>
  <c r="I78" i="8"/>
  <c r="H78" i="8"/>
  <c r="G78" i="8"/>
  <c r="F78" i="8"/>
  <c r="E78" i="8"/>
  <c r="D78" i="8"/>
  <c r="C78" i="8"/>
  <c r="B78" i="8"/>
  <c r="R77" i="8"/>
  <c r="M77" i="8"/>
  <c r="L77" i="8"/>
  <c r="K77" i="8"/>
  <c r="J77" i="8"/>
  <c r="I77" i="8"/>
  <c r="H77" i="8"/>
  <c r="G77" i="8"/>
  <c r="F77" i="8"/>
  <c r="E77" i="8"/>
  <c r="D77" i="8"/>
  <c r="C77" i="8"/>
  <c r="B77" i="8"/>
  <c r="R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R75" i="8"/>
  <c r="N75" i="8"/>
  <c r="M75" i="8"/>
  <c r="L75" i="8"/>
  <c r="K75" i="8"/>
  <c r="O75" i="8" s="1"/>
  <c r="J75" i="8"/>
  <c r="I75" i="8"/>
  <c r="H75" i="8"/>
  <c r="G75" i="8"/>
  <c r="F75" i="8"/>
  <c r="E75" i="8"/>
  <c r="D75" i="8"/>
  <c r="C75" i="8"/>
  <c r="B75" i="8"/>
  <c r="R74" i="8"/>
  <c r="N74" i="8"/>
  <c r="P74" i="8" s="1"/>
  <c r="M74" i="8"/>
  <c r="L74" i="8"/>
  <c r="K74" i="8"/>
  <c r="J74" i="8"/>
  <c r="I74" i="8"/>
  <c r="H74" i="8"/>
  <c r="G74" i="8"/>
  <c r="F74" i="8"/>
  <c r="E74" i="8"/>
  <c r="D74" i="8"/>
  <c r="C74" i="8"/>
  <c r="B74" i="8"/>
  <c r="R73" i="8"/>
  <c r="N73" i="8"/>
  <c r="P73" i="8" s="1"/>
  <c r="M73" i="8"/>
  <c r="L73" i="8"/>
  <c r="K73" i="8"/>
  <c r="O73" i="8" s="1"/>
  <c r="J73" i="8"/>
  <c r="I73" i="8"/>
  <c r="H73" i="8"/>
  <c r="G73" i="8"/>
  <c r="F73" i="8"/>
  <c r="E73" i="8"/>
  <c r="D73" i="8"/>
  <c r="C73" i="8"/>
  <c r="B73" i="8"/>
  <c r="R72" i="8"/>
  <c r="N72" i="8"/>
  <c r="C35" i="9" s="1"/>
  <c r="M72" i="8"/>
  <c r="L72" i="8"/>
  <c r="K72" i="8"/>
  <c r="J72" i="8"/>
  <c r="I72" i="8"/>
  <c r="H72" i="8"/>
  <c r="G72" i="8"/>
  <c r="F72" i="8"/>
  <c r="E72" i="8"/>
  <c r="D72" i="8"/>
  <c r="C72" i="8"/>
  <c r="B72" i="8"/>
  <c r="R71" i="8"/>
  <c r="M71" i="8"/>
  <c r="L71" i="8"/>
  <c r="K71" i="8"/>
  <c r="O71" i="8" s="1"/>
  <c r="J71" i="8"/>
  <c r="I71" i="8"/>
  <c r="H71" i="8"/>
  <c r="G71" i="8"/>
  <c r="F71" i="8"/>
  <c r="E71" i="8"/>
  <c r="D71" i="8"/>
  <c r="C71" i="8"/>
  <c r="B71" i="8"/>
  <c r="R70" i="8"/>
  <c r="N70" i="8"/>
  <c r="P70" i="8" s="1"/>
  <c r="M70" i="8"/>
  <c r="L70" i="8"/>
  <c r="K70" i="8"/>
  <c r="J70" i="8"/>
  <c r="I70" i="8"/>
  <c r="H70" i="8"/>
  <c r="G70" i="8"/>
  <c r="F70" i="8"/>
  <c r="E70" i="8"/>
  <c r="D70" i="8"/>
  <c r="C70" i="8"/>
  <c r="B70" i="8"/>
  <c r="R69" i="8"/>
  <c r="N69" i="8"/>
  <c r="P69" i="8" s="1"/>
  <c r="M69" i="8"/>
  <c r="L69" i="8"/>
  <c r="K69" i="8"/>
  <c r="J69" i="8"/>
  <c r="I69" i="8"/>
  <c r="H69" i="8"/>
  <c r="G69" i="8"/>
  <c r="F69" i="8"/>
  <c r="E69" i="8"/>
  <c r="D69" i="8"/>
  <c r="C69" i="8"/>
  <c r="B69" i="8"/>
  <c r="R68" i="8"/>
  <c r="N68" i="8"/>
  <c r="M68" i="8"/>
  <c r="L68" i="8"/>
  <c r="K68" i="8"/>
  <c r="O68" i="8" s="1"/>
  <c r="J68" i="8"/>
  <c r="J79" i="8" s="1"/>
  <c r="I68" i="8"/>
  <c r="H68" i="8"/>
  <c r="G68" i="8"/>
  <c r="F68" i="8"/>
  <c r="F79" i="8" s="1"/>
  <c r="E68" i="8"/>
  <c r="D68" i="8"/>
  <c r="C68" i="8"/>
  <c r="C79" i="8" s="1"/>
  <c r="B68" i="8"/>
  <c r="R66" i="8"/>
  <c r="N66" i="8"/>
  <c r="M66" i="8"/>
  <c r="L66" i="8"/>
  <c r="K66" i="8"/>
  <c r="O66" i="8" s="1"/>
  <c r="J66" i="8"/>
  <c r="I66" i="8"/>
  <c r="H66" i="8"/>
  <c r="G66" i="8"/>
  <c r="F66" i="8"/>
  <c r="E66" i="8"/>
  <c r="D66" i="8"/>
  <c r="C66" i="8"/>
  <c r="B66" i="8"/>
  <c r="R65" i="8"/>
  <c r="N65" i="8"/>
  <c r="M65" i="8"/>
  <c r="L65" i="8"/>
  <c r="K65" i="8"/>
  <c r="O65" i="8" s="1"/>
  <c r="J65" i="8"/>
  <c r="I65" i="8"/>
  <c r="H65" i="8"/>
  <c r="C12" i="8" s="1"/>
  <c r="G65" i="8"/>
  <c r="F65" i="8"/>
  <c r="E65" i="8"/>
  <c r="D65" i="8"/>
  <c r="C65" i="8"/>
  <c r="B65" i="8"/>
  <c r="R64" i="8"/>
  <c r="N64" i="8"/>
  <c r="P64" i="8" s="1"/>
  <c r="M64" i="8"/>
  <c r="L64" i="8"/>
  <c r="K64" i="8"/>
  <c r="J64" i="8"/>
  <c r="I64" i="8"/>
  <c r="H64" i="8"/>
  <c r="G64" i="8"/>
  <c r="F64" i="8"/>
  <c r="E64" i="8"/>
  <c r="D64" i="8"/>
  <c r="C64" i="8"/>
  <c r="B64" i="8"/>
  <c r="R63" i="8"/>
  <c r="M63" i="8"/>
  <c r="L63" i="8"/>
  <c r="K63" i="8"/>
  <c r="O63" i="8" s="1"/>
  <c r="J63" i="8"/>
  <c r="I63" i="8"/>
  <c r="H63" i="8"/>
  <c r="G63" i="8"/>
  <c r="F63" i="8"/>
  <c r="E63" i="8"/>
  <c r="D63" i="8"/>
  <c r="C63" i="8"/>
  <c r="B63" i="8"/>
  <c r="R62" i="8"/>
  <c r="P62" i="8"/>
  <c r="M62" i="8"/>
  <c r="L62" i="8"/>
  <c r="K62" i="8"/>
  <c r="O62" i="8" s="1"/>
  <c r="J62" i="8"/>
  <c r="I62" i="8"/>
  <c r="H62" i="8"/>
  <c r="G62" i="8"/>
  <c r="F62" i="8"/>
  <c r="E62" i="8"/>
  <c r="D62" i="8"/>
  <c r="C62" i="8"/>
  <c r="B62" i="8"/>
  <c r="R61" i="8"/>
  <c r="M61" i="8"/>
  <c r="L61" i="8"/>
  <c r="K61" i="8"/>
  <c r="J61" i="8"/>
  <c r="I61" i="8"/>
  <c r="H61" i="8"/>
  <c r="G61" i="8"/>
  <c r="F61" i="8"/>
  <c r="E61" i="8"/>
  <c r="D61" i="8"/>
  <c r="C61" i="8"/>
  <c r="B61" i="8"/>
  <c r="R60" i="8"/>
  <c r="M60" i="8"/>
  <c r="L60" i="8"/>
  <c r="K60" i="8"/>
  <c r="O60" i="8" s="1"/>
  <c r="J60" i="8"/>
  <c r="I60" i="8"/>
  <c r="H60" i="8"/>
  <c r="G60" i="8"/>
  <c r="F60" i="8"/>
  <c r="E60" i="8"/>
  <c r="D60" i="8"/>
  <c r="C60" i="8"/>
  <c r="B60" i="8"/>
  <c r="R59" i="8"/>
  <c r="N59" i="8"/>
  <c r="P59" i="8" s="1"/>
  <c r="M59" i="8"/>
  <c r="L59" i="8"/>
  <c r="K59" i="8"/>
  <c r="O59" i="8" s="1"/>
  <c r="J59" i="8"/>
  <c r="I59" i="8"/>
  <c r="H59" i="8"/>
  <c r="G59" i="8"/>
  <c r="F59" i="8"/>
  <c r="E59" i="8"/>
  <c r="D59" i="8"/>
  <c r="C59" i="8"/>
  <c r="B59" i="8"/>
  <c r="R58" i="8"/>
  <c r="M58" i="8"/>
  <c r="L58" i="8"/>
  <c r="K58" i="8"/>
  <c r="J58" i="8"/>
  <c r="I58" i="8"/>
  <c r="I67" i="8" s="1"/>
  <c r="H58" i="8"/>
  <c r="G58" i="8"/>
  <c r="G67" i="8" s="1"/>
  <c r="F58" i="8"/>
  <c r="E58" i="8"/>
  <c r="D58" i="8"/>
  <c r="D67" i="8" s="1"/>
  <c r="C58" i="8"/>
  <c r="B58" i="8"/>
  <c r="B49" i="8"/>
  <c r="B52" i="8" s="1"/>
  <c r="B43" i="8"/>
  <c r="B46" i="8" s="1"/>
  <c r="B36" i="8"/>
  <c r="B19" i="8"/>
  <c r="B13" i="8"/>
  <c r="H5" i="8"/>
  <c r="I5" i="8" s="1"/>
  <c r="A1" i="8"/>
  <c r="D35" i="7"/>
  <c r="D34" i="7"/>
  <c r="D26" i="7"/>
  <c r="B21" i="7"/>
  <c r="D4" i="7"/>
  <c r="A1" i="7"/>
  <c r="I4" i="5"/>
  <c r="J4" i="5" s="1"/>
  <c r="G4" i="5"/>
  <c r="F4" i="5"/>
  <c r="A1" i="5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A1" i="4"/>
  <c r="A1" i="3"/>
  <c r="B494" i="2"/>
  <c r="B493" i="2"/>
  <c r="B492" i="2"/>
  <c r="B491" i="2"/>
  <c r="B490" i="2"/>
  <c r="B489" i="2"/>
  <c r="B488" i="2"/>
  <c r="B487" i="2"/>
  <c r="B486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1" i="2"/>
  <c r="B270" i="2"/>
  <c r="B269" i="2"/>
  <c r="B268" i="2"/>
  <c r="B267" i="2"/>
  <c r="B266" i="2"/>
  <c r="B265" i="2"/>
  <c r="B264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6" i="2"/>
  <c r="B175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D23" i="2"/>
  <c r="B23" i="2"/>
  <c r="D22" i="2"/>
  <c r="B22" i="2"/>
  <c r="D21" i="2"/>
  <c r="B21" i="2"/>
  <c r="D20" i="2"/>
  <c r="B20" i="2"/>
  <c r="B19" i="2"/>
  <c r="B18" i="2"/>
  <c r="B17" i="2"/>
  <c r="B16" i="2"/>
  <c r="B15" i="2"/>
  <c r="B14" i="2"/>
  <c r="B13" i="2"/>
  <c r="A1" i="2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B11" i="1"/>
  <c r="B10" i="1"/>
  <c r="B9" i="1"/>
  <c r="B7" i="1"/>
  <c r="B6" i="1"/>
  <c r="B5" i="1"/>
  <c r="A1" i="1"/>
  <c r="F140" i="6"/>
  <c r="F139" i="6"/>
  <c r="F138" i="6"/>
  <c r="F137" i="6"/>
  <c r="F136" i="6"/>
  <c r="F135" i="6"/>
  <c r="F134" i="6"/>
  <c r="F120" i="6"/>
  <c r="C120" i="6"/>
  <c r="D120" i="6" s="1"/>
  <c r="E120" i="6" s="1"/>
  <c r="E114" i="6"/>
  <c r="D114" i="6"/>
  <c r="C114" i="6"/>
  <c r="B114" i="6"/>
  <c r="F114" i="6" s="1"/>
  <c r="E113" i="6"/>
  <c r="D113" i="6"/>
  <c r="C113" i="6"/>
  <c r="B113" i="6"/>
  <c r="F113" i="6" s="1"/>
  <c r="E111" i="6"/>
  <c r="D111" i="6"/>
  <c r="C111" i="6"/>
  <c r="B111" i="6"/>
  <c r="F111" i="6" s="1"/>
  <c r="E110" i="6"/>
  <c r="D110" i="6"/>
  <c r="C110" i="6"/>
  <c r="B110" i="6"/>
  <c r="F110" i="6" s="1"/>
  <c r="F107" i="6"/>
  <c r="D9" i="13" s="1"/>
  <c r="D107" i="6"/>
  <c r="E107" i="6" s="1"/>
  <c r="F106" i="6"/>
  <c r="D8" i="13" s="1"/>
  <c r="F105" i="6"/>
  <c r="D7" i="13" s="1"/>
  <c r="F104" i="6"/>
  <c r="D5" i="13" s="1"/>
  <c r="F103" i="6"/>
  <c r="F102" i="6"/>
  <c r="F100" i="6"/>
  <c r="C9" i="13" s="1"/>
  <c r="D100" i="6"/>
  <c r="E100" i="6" s="1"/>
  <c r="F99" i="6"/>
  <c r="C8" i="13" s="1"/>
  <c r="F98" i="6"/>
  <c r="F97" i="6"/>
  <c r="F96" i="6"/>
  <c r="D29" i="1" s="1"/>
  <c r="F95" i="6"/>
  <c r="B29" i="1" s="1"/>
  <c r="F93" i="6"/>
  <c r="B9" i="13" s="1"/>
  <c r="D93" i="6"/>
  <c r="E93" i="6" s="1"/>
  <c r="F92" i="6"/>
  <c r="B8" i="13" s="1"/>
  <c r="C92" i="6"/>
  <c r="D92" i="6" s="1"/>
  <c r="E92" i="6" s="1"/>
  <c r="F91" i="6"/>
  <c r="C91" i="6"/>
  <c r="D91" i="6" s="1"/>
  <c r="E91" i="6" s="1"/>
  <c r="F90" i="6"/>
  <c r="C90" i="6"/>
  <c r="D90" i="6" s="1"/>
  <c r="E90" i="6" s="1"/>
  <c r="F89" i="6"/>
  <c r="C89" i="6"/>
  <c r="D89" i="6" s="1"/>
  <c r="E89" i="6" s="1"/>
  <c r="B88" i="6"/>
  <c r="F83" i="6"/>
  <c r="B6" i="17" s="1"/>
  <c r="C83" i="6"/>
  <c r="D83" i="6" s="1"/>
  <c r="E83" i="6" s="1"/>
  <c r="F82" i="6"/>
  <c r="C82" i="6"/>
  <c r="D82" i="6" s="1"/>
  <c r="E82" i="6" s="1"/>
  <c r="B81" i="6"/>
  <c r="F81" i="6" s="1"/>
  <c r="F79" i="6"/>
  <c r="C79" i="6"/>
  <c r="D79" i="6" s="1"/>
  <c r="E79" i="6" s="1"/>
  <c r="F69" i="6"/>
  <c r="G139" i="6" s="1"/>
  <c r="H139" i="6" s="1"/>
  <c r="C69" i="6"/>
  <c r="D69" i="6" s="1"/>
  <c r="E69" i="6" s="1"/>
  <c r="B68" i="6"/>
  <c r="C36" i="11" s="1"/>
  <c r="B62" i="6"/>
  <c r="D47" i="6"/>
  <c r="E47" i="6" s="1"/>
  <c r="D43" i="6"/>
  <c r="C37" i="6"/>
  <c r="B37" i="6"/>
  <c r="F37" i="6" s="1"/>
  <c r="F36" i="6"/>
  <c r="F35" i="6"/>
  <c r="F32" i="6"/>
  <c r="C32" i="6"/>
  <c r="D32" i="6" s="1"/>
  <c r="E32" i="6" s="1"/>
  <c r="C29" i="6"/>
  <c r="C30" i="6" s="1"/>
  <c r="B29" i="6"/>
  <c r="B30" i="6" s="1"/>
  <c r="F30" i="6" s="1"/>
  <c r="C33" i="1" s="1"/>
  <c r="F28" i="6"/>
  <c r="C31" i="1" s="1"/>
  <c r="D28" i="6"/>
  <c r="E28" i="6" s="1"/>
  <c r="E22" i="6"/>
  <c r="D22" i="6"/>
  <c r="C22" i="6"/>
  <c r="B22" i="6"/>
  <c r="F22" i="6" s="1"/>
  <c r="E21" i="6"/>
  <c r="D21" i="6"/>
  <c r="C21" i="6"/>
  <c r="B21" i="6"/>
  <c r="F21" i="6" s="1"/>
  <c r="B16" i="6"/>
  <c r="F15" i="6"/>
  <c r="B8" i="7" s="1"/>
  <c r="C15" i="6"/>
  <c r="D15" i="6" s="1"/>
  <c r="E15" i="6" s="1"/>
  <c r="B11" i="6"/>
  <c r="F11" i="6" s="1"/>
  <c r="F10" i="6"/>
  <c r="B22" i="1" s="1"/>
  <c r="C10" i="6"/>
  <c r="G8" i="6"/>
  <c r="B8" i="6"/>
  <c r="F7" i="6"/>
  <c r="C7" i="6"/>
  <c r="F6" i="6"/>
  <c r="C6" i="6"/>
  <c r="D6" i="6" s="1"/>
  <c r="E6" i="6" s="1"/>
  <c r="A1" i="6"/>
  <c r="AL1772" i="10"/>
  <c r="AL1771" i="10"/>
  <c r="AL1770" i="10"/>
  <c r="AL1769" i="10"/>
  <c r="AL1768" i="10"/>
  <c r="AL1767" i="10"/>
  <c r="AL1766" i="10"/>
  <c r="AL1765" i="10"/>
  <c r="AL1764" i="10"/>
  <c r="AL1763" i="10"/>
  <c r="AL1762" i="10"/>
  <c r="AL1761" i="10"/>
  <c r="AL1760" i="10"/>
  <c r="AL1759" i="10"/>
  <c r="AL1758" i="10"/>
  <c r="AL1757" i="10"/>
  <c r="AL1756" i="10"/>
  <c r="AL1755" i="10"/>
  <c r="AL1754" i="10"/>
  <c r="AL1753" i="10"/>
  <c r="AL1752" i="10"/>
  <c r="AL1751" i="10"/>
  <c r="AL1750" i="10"/>
  <c r="AL1749" i="10"/>
  <c r="AL1748" i="10"/>
  <c r="AL1747" i="10"/>
  <c r="AL1746" i="10"/>
  <c r="AL1745" i="10"/>
  <c r="AL1744" i="10"/>
  <c r="AL1743" i="10"/>
  <c r="AL1742" i="10"/>
  <c r="AL1741" i="10"/>
  <c r="AL1740" i="10"/>
  <c r="AL1739" i="10"/>
  <c r="AL1738" i="10"/>
  <c r="AL1737" i="10"/>
  <c r="AL1736" i="10"/>
  <c r="AL1735" i="10"/>
  <c r="AL1734" i="10"/>
  <c r="AL1733" i="10"/>
  <c r="AL1732" i="10"/>
  <c r="AL1731" i="10"/>
  <c r="AL1730" i="10"/>
  <c r="AL1729" i="10"/>
  <c r="AL1728" i="10"/>
  <c r="AL1727" i="10"/>
  <c r="AL1726" i="10"/>
  <c r="AL1725" i="10"/>
  <c r="AL1724" i="10"/>
  <c r="AL1723" i="10"/>
  <c r="AL1722" i="10"/>
  <c r="AL1721" i="10"/>
  <c r="AL1720" i="10"/>
  <c r="AL1719" i="10"/>
  <c r="AL1718" i="10"/>
  <c r="AL1717" i="10"/>
  <c r="AL1716" i="10"/>
  <c r="AL1715" i="10"/>
  <c r="AL1714" i="10"/>
  <c r="AL1713" i="10"/>
  <c r="AL1712" i="10"/>
  <c r="AL1711" i="10"/>
  <c r="AL1710" i="10"/>
  <c r="AL1709" i="10"/>
  <c r="AL1708" i="10"/>
  <c r="AL1707" i="10"/>
  <c r="AL1706" i="10"/>
  <c r="AL1705" i="10"/>
  <c r="AL1704" i="10"/>
  <c r="AL1703" i="10"/>
  <c r="AL1702" i="10"/>
  <c r="AL1701" i="10"/>
  <c r="AL1700" i="10"/>
  <c r="AL1699" i="10"/>
  <c r="AL1698" i="10"/>
  <c r="AL1697" i="10"/>
  <c r="AL1696" i="10"/>
  <c r="AL1695" i="10"/>
  <c r="AL1694" i="10"/>
  <c r="AL1693" i="10"/>
  <c r="AL1692" i="10"/>
  <c r="AL1691" i="10"/>
  <c r="AL1690" i="10"/>
  <c r="AL1689" i="10"/>
  <c r="AL1688" i="10"/>
  <c r="AL1687" i="10"/>
  <c r="AL1686" i="10"/>
  <c r="AL1685" i="10"/>
  <c r="AL1684" i="10"/>
  <c r="AL1683" i="10"/>
  <c r="AL1682" i="10"/>
  <c r="AL1681" i="10"/>
  <c r="AL1680" i="10"/>
  <c r="AL1679" i="10"/>
  <c r="AL1678" i="10"/>
  <c r="AL1677" i="10"/>
  <c r="AL1676" i="10"/>
  <c r="AL1675" i="10"/>
  <c r="AL1674" i="10"/>
  <c r="AL1673" i="10"/>
  <c r="AL1672" i="10"/>
  <c r="AL1671" i="10"/>
  <c r="AL1670" i="10"/>
  <c r="AL1669" i="10"/>
  <c r="AL1668" i="10"/>
  <c r="AL1667" i="10"/>
  <c r="AL1666" i="10"/>
  <c r="AL1665" i="10"/>
  <c r="AL1664" i="10"/>
  <c r="AL1663" i="10"/>
  <c r="AL1662" i="10"/>
  <c r="AL1661" i="10"/>
  <c r="AL1660" i="10"/>
  <c r="AL1659" i="10"/>
  <c r="AL1658" i="10"/>
  <c r="AL1657" i="10"/>
  <c r="AL1656" i="10"/>
  <c r="AL1655" i="10"/>
  <c r="AL1654" i="10"/>
  <c r="AL1653" i="10"/>
  <c r="AL1652" i="10"/>
  <c r="AL1651" i="10"/>
  <c r="AL1650" i="10"/>
  <c r="AL1649" i="10"/>
  <c r="AL1648" i="10"/>
  <c r="AL1647" i="10"/>
  <c r="AL1646" i="10"/>
  <c r="AL1645" i="10"/>
  <c r="AL1644" i="10"/>
  <c r="AL1643" i="10"/>
  <c r="AL1642" i="10"/>
  <c r="AL1641" i="10"/>
  <c r="AL1640" i="10"/>
  <c r="AL1639" i="10"/>
  <c r="AL1638" i="10"/>
  <c r="AL1637" i="10"/>
  <c r="AL1636" i="10"/>
  <c r="AL1635" i="10"/>
  <c r="AL1634" i="10"/>
  <c r="AL1633" i="10"/>
  <c r="AL1632" i="10"/>
  <c r="AL1631" i="10"/>
  <c r="AL1630" i="10"/>
  <c r="AL1629" i="10"/>
  <c r="AL1628" i="10"/>
  <c r="AL1627" i="10"/>
  <c r="AL1626" i="10"/>
  <c r="AL1625" i="10"/>
  <c r="AL1624" i="10"/>
  <c r="AL1623" i="10"/>
  <c r="AL1622" i="10"/>
  <c r="AL1621" i="10"/>
  <c r="AL1620" i="10"/>
  <c r="AL1619" i="10"/>
  <c r="AL1618" i="10"/>
  <c r="AL1617" i="10"/>
  <c r="AL1616" i="10"/>
  <c r="AL1615" i="10"/>
  <c r="AL1614" i="10"/>
  <c r="AL1613" i="10"/>
  <c r="AL1612" i="10"/>
  <c r="AL1611" i="10"/>
  <c r="AL1610" i="10"/>
  <c r="AL1609" i="10"/>
  <c r="AL1608" i="10"/>
  <c r="AL1607" i="10"/>
  <c r="AL1606" i="10"/>
  <c r="AL1605" i="10"/>
  <c r="AL1604" i="10"/>
  <c r="AL1603" i="10"/>
  <c r="AL1602" i="10"/>
  <c r="AL1601" i="10"/>
  <c r="AL1600" i="10"/>
  <c r="AL1599" i="10"/>
  <c r="AL1598" i="10"/>
  <c r="AL1597" i="10"/>
  <c r="AL1596" i="10"/>
  <c r="AL1595" i="10"/>
  <c r="AL1594" i="10"/>
  <c r="AL1593" i="10"/>
  <c r="AL1592" i="10"/>
  <c r="AL1591" i="10"/>
  <c r="AL1590" i="10"/>
  <c r="AL1589" i="10"/>
  <c r="AL1588" i="10"/>
  <c r="AL1587" i="10"/>
  <c r="AL1586" i="10"/>
  <c r="AL1585" i="10"/>
  <c r="AL1584" i="10"/>
  <c r="AL1583" i="10"/>
  <c r="AL1582" i="10"/>
  <c r="AL1581" i="10"/>
  <c r="AL1580" i="10"/>
  <c r="AL1579" i="10"/>
  <c r="AL1578" i="10"/>
  <c r="AL1577" i="10"/>
  <c r="AL1576" i="10"/>
  <c r="AL1575" i="10"/>
  <c r="AL1574" i="10"/>
  <c r="AL1573" i="10"/>
  <c r="AL1572" i="10"/>
  <c r="AL1571" i="10"/>
  <c r="AL1570" i="10"/>
  <c r="AL1569" i="10"/>
  <c r="AL1568" i="10"/>
  <c r="AL1567" i="10"/>
  <c r="AL1566" i="10"/>
  <c r="AL1565" i="10"/>
  <c r="AL1564" i="10"/>
  <c r="AL1563" i="10"/>
  <c r="AL1562" i="10"/>
  <c r="AL1561" i="10"/>
  <c r="AL1560" i="10"/>
  <c r="AL1559" i="10"/>
  <c r="AL1558" i="10"/>
  <c r="AL1557" i="10"/>
  <c r="AL1556" i="10"/>
  <c r="AL1555" i="10"/>
  <c r="AL1554" i="10"/>
  <c r="AL1553" i="10"/>
  <c r="AL1552" i="10"/>
  <c r="AL1551" i="10"/>
  <c r="AL1550" i="10"/>
  <c r="AL1549" i="10"/>
  <c r="AL1548" i="10"/>
  <c r="AL1547" i="10"/>
  <c r="AL1546" i="10"/>
  <c r="AL1545" i="10"/>
  <c r="AL1544" i="10"/>
  <c r="AL1543" i="10"/>
  <c r="AL1542" i="10"/>
  <c r="AL1541" i="10"/>
  <c r="AL1540" i="10"/>
  <c r="AL1539" i="10"/>
  <c r="AL1538" i="10"/>
  <c r="AL1537" i="10"/>
  <c r="AL1536" i="10"/>
  <c r="AL1535" i="10"/>
  <c r="AL1534" i="10"/>
  <c r="AL1533" i="10"/>
  <c r="AL1532" i="10"/>
  <c r="AL1531" i="10"/>
  <c r="AL1530" i="10"/>
  <c r="AL1529" i="10"/>
  <c r="AL1528" i="10"/>
  <c r="AL1527" i="10"/>
  <c r="AL1526" i="10"/>
  <c r="AL1525" i="10"/>
  <c r="AL1524" i="10"/>
  <c r="AL1523" i="10"/>
  <c r="AL1522" i="10"/>
  <c r="AL1521" i="10"/>
  <c r="AL1520" i="10"/>
  <c r="AL1519" i="10"/>
  <c r="AL1518" i="10"/>
  <c r="AL1517" i="10"/>
  <c r="AL1516" i="10"/>
  <c r="AL1515" i="10"/>
  <c r="AL1514" i="10"/>
  <c r="AL1513" i="10"/>
  <c r="AL1512" i="10"/>
  <c r="AL1511" i="10"/>
  <c r="AL1510" i="10"/>
  <c r="AL1509" i="10"/>
  <c r="AL1508" i="10"/>
  <c r="AL1507" i="10"/>
  <c r="AL1506" i="10"/>
  <c r="AL1505" i="10"/>
  <c r="AL1504" i="10"/>
  <c r="AL1503" i="10"/>
  <c r="AL1502" i="10"/>
  <c r="AL1501" i="10"/>
  <c r="AL1500" i="10"/>
  <c r="AL1499" i="10"/>
  <c r="AL1498" i="10"/>
  <c r="AL1497" i="10"/>
  <c r="AL1496" i="10"/>
  <c r="AL1495" i="10"/>
  <c r="AL1494" i="10"/>
  <c r="AL1493" i="10"/>
  <c r="AL1492" i="10"/>
  <c r="AL1491" i="10"/>
  <c r="AL1490" i="10"/>
  <c r="AL1489" i="10"/>
  <c r="AL1488" i="10"/>
  <c r="AL1487" i="10"/>
  <c r="AL1486" i="10"/>
  <c r="AL1485" i="10"/>
  <c r="AL1484" i="10"/>
  <c r="AL1483" i="10"/>
  <c r="AL1482" i="10"/>
  <c r="AL1481" i="10"/>
  <c r="AL1480" i="10"/>
  <c r="AL1479" i="10"/>
  <c r="AL1478" i="10"/>
  <c r="AL1477" i="10"/>
  <c r="AL1476" i="10"/>
  <c r="AL1475" i="10"/>
  <c r="AL1474" i="10"/>
  <c r="AL1473" i="10"/>
  <c r="AL1472" i="10"/>
  <c r="AL1471" i="10"/>
  <c r="AL1470" i="10"/>
  <c r="AL1469" i="10"/>
  <c r="AL1468" i="10"/>
  <c r="AL1467" i="10"/>
  <c r="AL1466" i="10"/>
  <c r="AL1465" i="10"/>
  <c r="AL1464" i="10"/>
  <c r="AL1463" i="10"/>
  <c r="AL1462" i="10"/>
  <c r="AL1461" i="10"/>
  <c r="AL1460" i="10"/>
  <c r="AL1459" i="10"/>
  <c r="AL1458" i="10"/>
  <c r="AL1457" i="10"/>
  <c r="AL1456" i="10"/>
  <c r="AL1455" i="10"/>
  <c r="AL1454" i="10"/>
  <c r="AL1453" i="10"/>
  <c r="AL1452" i="10"/>
  <c r="AL1451" i="10"/>
  <c r="AL1450" i="10"/>
  <c r="AL1449" i="10"/>
  <c r="AL1448" i="10"/>
  <c r="AL1447" i="10"/>
  <c r="AL1446" i="10"/>
  <c r="AL1445" i="10"/>
  <c r="AL1444" i="10"/>
  <c r="AL1443" i="10"/>
  <c r="AL1442" i="10"/>
  <c r="AL1441" i="10"/>
  <c r="AL1440" i="10"/>
  <c r="AL1439" i="10"/>
  <c r="AL1438" i="10"/>
  <c r="AL1437" i="10"/>
  <c r="AL1436" i="10"/>
  <c r="AL1435" i="10"/>
  <c r="AL1434" i="10"/>
  <c r="AL1433" i="10"/>
  <c r="AL1432" i="10"/>
  <c r="AL1431" i="10"/>
  <c r="AL1430" i="10"/>
  <c r="AL1429" i="10"/>
  <c r="AL1428" i="10"/>
  <c r="AL1427" i="10"/>
  <c r="AL1426" i="10"/>
  <c r="AL1425" i="10"/>
  <c r="AL1424" i="10"/>
  <c r="AL1423" i="10"/>
  <c r="AL1422" i="10"/>
  <c r="AL1421" i="10"/>
  <c r="AL1420" i="10"/>
  <c r="AL1419" i="10"/>
  <c r="AL1418" i="10"/>
  <c r="AL1417" i="10"/>
  <c r="AL1416" i="10"/>
  <c r="AL1415" i="10"/>
  <c r="AL1414" i="10"/>
  <c r="AL1413" i="10"/>
  <c r="AL1412" i="10"/>
  <c r="AL1411" i="10"/>
  <c r="AL1410" i="10"/>
  <c r="AL1409" i="10"/>
  <c r="AL1408" i="10"/>
  <c r="AL1407" i="10"/>
  <c r="AL1406" i="10"/>
  <c r="AL1405" i="10"/>
  <c r="AL1404" i="10"/>
  <c r="AL1403" i="10"/>
  <c r="AL1402" i="10"/>
  <c r="AL1401" i="10"/>
  <c r="AL1400" i="10"/>
  <c r="AL1399" i="10"/>
  <c r="AL1398" i="10"/>
  <c r="AL1397" i="10"/>
  <c r="AL1396" i="10"/>
  <c r="AL1395" i="10"/>
  <c r="AL1394" i="10"/>
  <c r="AL1393" i="10"/>
  <c r="AL1392" i="10"/>
  <c r="AL1391" i="10"/>
  <c r="AL1390" i="10"/>
  <c r="AL1389" i="10"/>
  <c r="AL1388" i="10"/>
  <c r="AL1387" i="10"/>
  <c r="AL1386" i="10"/>
  <c r="AL1385" i="10"/>
  <c r="AL1384" i="10"/>
  <c r="AL1383" i="10"/>
  <c r="AL1382" i="10"/>
  <c r="AL1381" i="10"/>
  <c r="AL1380" i="10"/>
  <c r="AL1379" i="10"/>
  <c r="AL1378" i="10"/>
  <c r="AL1377" i="10"/>
  <c r="AL1376" i="10"/>
  <c r="AL1375" i="10"/>
  <c r="AL1374" i="10"/>
  <c r="AL1373" i="10"/>
  <c r="AL1372" i="10"/>
  <c r="AL1371" i="10"/>
  <c r="AL1370" i="10"/>
  <c r="AL1369" i="10"/>
  <c r="AL1368" i="10"/>
  <c r="AL1367" i="10"/>
  <c r="AL1366" i="10"/>
  <c r="AL1365" i="10"/>
  <c r="AL1364" i="10"/>
  <c r="AL1363" i="10"/>
  <c r="AL1362" i="10"/>
  <c r="AL1361" i="10"/>
  <c r="AL1360" i="10"/>
  <c r="AL1359" i="10"/>
  <c r="AL1358" i="10"/>
  <c r="AL1357" i="10"/>
  <c r="AL1356" i="10"/>
  <c r="AL1355" i="10"/>
  <c r="AL1354" i="10"/>
  <c r="AL1353" i="10"/>
  <c r="AL1352" i="10"/>
  <c r="AL1351" i="10"/>
  <c r="AL1350" i="10"/>
  <c r="AL1349" i="10"/>
  <c r="AL1348" i="10"/>
  <c r="AL1347" i="10"/>
  <c r="AL1346" i="10"/>
  <c r="AL1345" i="10"/>
  <c r="AL1344" i="10"/>
  <c r="AL1343" i="10"/>
  <c r="AL1342" i="10"/>
  <c r="AL1341" i="10"/>
  <c r="AL1340" i="10"/>
  <c r="AL1339" i="10"/>
  <c r="AL1338" i="10"/>
  <c r="AL1337" i="10"/>
  <c r="AL1336" i="10"/>
  <c r="AL1335" i="10"/>
  <c r="AL1334" i="10"/>
  <c r="AL1333" i="10"/>
  <c r="AL1332" i="10"/>
  <c r="AL1331" i="10"/>
  <c r="AL1330" i="10"/>
  <c r="AL1329" i="10"/>
  <c r="AL1328" i="10"/>
  <c r="AL1327" i="10"/>
  <c r="AL1326" i="10"/>
  <c r="AL1325" i="10"/>
  <c r="AL1324" i="10"/>
  <c r="AL1323" i="10"/>
  <c r="AL1322" i="10"/>
  <c r="AL1321" i="10"/>
  <c r="AL1320" i="10"/>
  <c r="AL1319" i="10"/>
  <c r="AL1318" i="10"/>
  <c r="AL1317" i="10"/>
  <c r="AL1316" i="10"/>
  <c r="AL1315" i="10"/>
  <c r="AL1314" i="10"/>
  <c r="AL1313" i="10"/>
  <c r="AL1312" i="10"/>
  <c r="AL1311" i="10"/>
  <c r="AL1310" i="10"/>
  <c r="AL1309" i="10"/>
  <c r="AL1308" i="10"/>
  <c r="AL1307" i="10"/>
  <c r="AL1306" i="10"/>
  <c r="AL1305" i="10"/>
  <c r="AL1304" i="10"/>
  <c r="AL1303" i="10"/>
  <c r="AL1302" i="10"/>
  <c r="AL1301" i="10"/>
  <c r="AL1300" i="10"/>
  <c r="AL1299" i="10"/>
  <c r="AL1298" i="10"/>
  <c r="AL1297" i="10"/>
  <c r="AL1296" i="10"/>
  <c r="AL1295" i="10"/>
  <c r="AL1294" i="10"/>
  <c r="AL1293" i="10"/>
  <c r="AL1292" i="10"/>
  <c r="AL1291" i="10"/>
  <c r="AL1290" i="10"/>
  <c r="AL1289" i="10"/>
  <c r="AL1288" i="10"/>
  <c r="AL1287" i="10"/>
  <c r="AL1286" i="10"/>
  <c r="AL1285" i="10"/>
  <c r="AL1284" i="10"/>
  <c r="AL1283" i="10"/>
  <c r="AL1282" i="10"/>
  <c r="AL1281" i="10"/>
  <c r="AL1280" i="10"/>
  <c r="AL1279" i="10"/>
  <c r="AL1278" i="10"/>
  <c r="AL1277" i="10"/>
  <c r="AL1276" i="10"/>
  <c r="AL1275" i="10"/>
  <c r="AL1274" i="10"/>
  <c r="AL1273" i="10"/>
  <c r="AL1272" i="10"/>
  <c r="AL1271" i="10"/>
  <c r="AL1270" i="10"/>
  <c r="AL1269" i="10"/>
  <c r="AL1268" i="10"/>
  <c r="AL1267" i="10"/>
  <c r="AL1266" i="10"/>
  <c r="AL1265" i="10"/>
  <c r="AL1264" i="10"/>
  <c r="AL1263" i="10"/>
  <c r="AL1262" i="10"/>
  <c r="AL1261" i="10"/>
  <c r="AL1260" i="10"/>
  <c r="AL1259" i="10"/>
  <c r="AL1258" i="10"/>
  <c r="AL1257" i="10"/>
  <c r="AL1256" i="10"/>
  <c r="AL1255" i="10"/>
  <c r="AL1254" i="10"/>
  <c r="AL1253" i="10"/>
  <c r="AL1252" i="10"/>
  <c r="AL1251" i="10"/>
  <c r="AL1250" i="10"/>
  <c r="AL1249" i="10"/>
  <c r="AL1248" i="10"/>
  <c r="AL1247" i="10"/>
  <c r="AL1246" i="10"/>
  <c r="AL1245" i="10"/>
  <c r="AL1244" i="10"/>
  <c r="AL1243" i="10"/>
  <c r="AL1242" i="10"/>
  <c r="AL1241" i="10"/>
  <c r="AL1240" i="10"/>
  <c r="AL1239" i="10"/>
  <c r="AL1238" i="10"/>
  <c r="AL1237" i="10"/>
  <c r="AL1236" i="10"/>
  <c r="AL1235" i="10"/>
  <c r="AL1234" i="10"/>
  <c r="AL1233" i="10"/>
  <c r="AL1232" i="10"/>
  <c r="AL1231" i="10"/>
  <c r="AL1230" i="10"/>
  <c r="AL1229" i="10"/>
  <c r="AL1228" i="10"/>
  <c r="AL1227" i="10"/>
  <c r="AL1226" i="10"/>
  <c r="AL1225" i="10"/>
  <c r="AL1224" i="10"/>
  <c r="AL1223" i="10"/>
  <c r="AL1222" i="10"/>
  <c r="AL1221" i="10"/>
  <c r="AL1220" i="10"/>
  <c r="AL1219" i="10"/>
  <c r="AL1218" i="10"/>
  <c r="AL1217" i="10"/>
  <c r="AL1216" i="10"/>
  <c r="AL1215" i="10"/>
  <c r="AL1214" i="10"/>
  <c r="AL1213" i="10"/>
  <c r="AL1212" i="10"/>
  <c r="AL1211" i="10"/>
  <c r="AL1210" i="10"/>
  <c r="AL1209" i="10"/>
  <c r="AL1208" i="10"/>
  <c r="AL1207" i="10"/>
  <c r="AL1206" i="10"/>
  <c r="AL1205" i="10"/>
  <c r="AL1204" i="10"/>
  <c r="AL1203" i="10"/>
  <c r="AL1202" i="10"/>
  <c r="AL1201" i="10"/>
  <c r="AL1200" i="10"/>
  <c r="AL1199" i="10"/>
  <c r="AL1198" i="10"/>
  <c r="AL1197" i="10"/>
  <c r="AL1196" i="10"/>
  <c r="AL1195" i="10"/>
  <c r="AL1194" i="10"/>
  <c r="AL1193" i="10"/>
  <c r="AL1192" i="10"/>
  <c r="AL1191" i="10"/>
  <c r="AL1190" i="10"/>
  <c r="AL1189" i="10"/>
  <c r="AL1188" i="10"/>
  <c r="AL1187" i="10"/>
  <c r="AL1186" i="10"/>
  <c r="AL1185" i="10"/>
  <c r="AL1184" i="10"/>
  <c r="AL1183" i="10"/>
  <c r="AL1182" i="10"/>
  <c r="AL1181" i="10"/>
  <c r="AL1180" i="10"/>
  <c r="AL1179" i="10"/>
  <c r="AL1178" i="10"/>
  <c r="AL1177" i="10"/>
  <c r="AL1176" i="10"/>
  <c r="AL1175" i="10"/>
  <c r="AL1174" i="10"/>
  <c r="AL1173" i="10"/>
  <c r="AL1172" i="10"/>
  <c r="AL1171" i="10"/>
  <c r="AL1170" i="10"/>
  <c r="AL1169" i="10"/>
  <c r="AL1168" i="10"/>
  <c r="AL1167" i="10"/>
  <c r="AL1166" i="10"/>
  <c r="AL1165" i="10"/>
  <c r="AL1164" i="10"/>
  <c r="AL1163" i="10"/>
  <c r="AL1162" i="10"/>
  <c r="AL1161" i="10"/>
  <c r="AL1160" i="10"/>
  <c r="AL1159" i="10"/>
  <c r="AL1158" i="10"/>
  <c r="AL1157" i="10"/>
  <c r="AL1156" i="10"/>
  <c r="AL1155" i="10"/>
  <c r="AL1154" i="10"/>
  <c r="AL1153" i="10"/>
  <c r="AL1152" i="10"/>
  <c r="AL1151" i="10"/>
  <c r="AL1150" i="10"/>
  <c r="AL1149" i="10"/>
  <c r="AL1148" i="10"/>
  <c r="AL1147" i="10"/>
  <c r="AL1146" i="10"/>
  <c r="AL1145" i="10"/>
  <c r="AL1144" i="10"/>
  <c r="AL1143" i="10"/>
  <c r="AL1142" i="10"/>
  <c r="AL1141" i="10"/>
  <c r="AL1140" i="10"/>
  <c r="AL1139" i="10"/>
  <c r="AL1138" i="10"/>
  <c r="AL1137" i="10"/>
  <c r="AL1136" i="10"/>
  <c r="AL1135" i="10"/>
  <c r="AL1134" i="10"/>
  <c r="AL1133" i="10"/>
  <c r="AL1132" i="10"/>
  <c r="AL1131" i="10"/>
  <c r="AL1130" i="10"/>
  <c r="AL1129" i="10"/>
  <c r="AL1128" i="10"/>
  <c r="AL1127" i="10"/>
  <c r="AL1126" i="10"/>
  <c r="AL1125" i="10"/>
  <c r="AL1124" i="10"/>
  <c r="AL1123" i="10"/>
  <c r="AL1122" i="10"/>
  <c r="AL1121" i="10"/>
  <c r="AL1120" i="10"/>
  <c r="AL1119" i="10"/>
  <c r="AL1118" i="10"/>
  <c r="AL1117" i="10"/>
  <c r="AL1116" i="10"/>
  <c r="AL1115" i="10"/>
  <c r="AL1114" i="10"/>
  <c r="AL1113" i="10"/>
  <c r="AL1112" i="10"/>
  <c r="AL1111" i="10"/>
  <c r="AL1110" i="10"/>
  <c r="AL1109" i="10"/>
  <c r="AL1108" i="10"/>
  <c r="AL1107" i="10"/>
  <c r="AL1106" i="10"/>
  <c r="AL1105" i="10"/>
  <c r="AL1104" i="10"/>
  <c r="AL1103" i="10"/>
  <c r="AL1102" i="10"/>
  <c r="AL1101" i="10"/>
  <c r="AL1100" i="10"/>
  <c r="AL1099" i="10"/>
  <c r="AL1098" i="10"/>
  <c r="AL1097" i="10"/>
  <c r="AL1096" i="10"/>
  <c r="AL1095" i="10"/>
  <c r="AL1094" i="10"/>
  <c r="AL1093" i="10"/>
  <c r="AL1092" i="10"/>
  <c r="AL1091" i="10"/>
  <c r="AL1090" i="10"/>
  <c r="AL1089" i="10"/>
  <c r="AL1088" i="10"/>
  <c r="AL1087" i="10"/>
  <c r="AL1086" i="10"/>
  <c r="AL1085" i="10"/>
  <c r="AL1084" i="10"/>
  <c r="AL1083" i="10"/>
  <c r="AL1082" i="10"/>
  <c r="AL1081" i="10"/>
  <c r="AL1080" i="10"/>
  <c r="AL1079" i="10"/>
  <c r="AL1078" i="10"/>
  <c r="AL1077" i="10"/>
  <c r="AL1076" i="10"/>
  <c r="AL1075" i="10"/>
  <c r="AL1074" i="10"/>
  <c r="AL1073" i="10"/>
  <c r="AL1072" i="10"/>
  <c r="AL1071" i="10"/>
  <c r="AL1070" i="10"/>
  <c r="AL1069" i="10"/>
  <c r="AL1068" i="10"/>
  <c r="AL1067" i="10"/>
  <c r="AL1066" i="10"/>
  <c r="AL1065" i="10"/>
  <c r="AL1064" i="10"/>
  <c r="AL1063" i="10"/>
  <c r="AL1062" i="10"/>
  <c r="AL1061" i="10"/>
  <c r="AL1060" i="10"/>
  <c r="AL1059" i="10"/>
  <c r="AL1058" i="10"/>
  <c r="AL1057" i="10"/>
  <c r="AL1056" i="10"/>
  <c r="AL1055" i="10"/>
  <c r="AL1054" i="10"/>
  <c r="AL1053" i="10"/>
  <c r="AL1052" i="10"/>
  <c r="AL1051" i="10"/>
  <c r="AL1050" i="10"/>
  <c r="AL1049" i="10"/>
  <c r="AL1048" i="10"/>
  <c r="AL1047" i="10"/>
  <c r="AL1046" i="10"/>
  <c r="AL1045" i="10"/>
  <c r="AL1044" i="10"/>
  <c r="AL1043" i="10"/>
  <c r="AL1042" i="10"/>
  <c r="AL1041" i="10"/>
  <c r="AL1040" i="10"/>
  <c r="AL1039" i="10"/>
  <c r="AL1038" i="10"/>
  <c r="AL1037" i="10"/>
  <c r="AL1036" i="10"/>
  <c r="AL1035" i="10"/>
  <c r="AL1034" i="10"/>
  <c r="AL1033" i="10"/>
  <c r="AL1032" i="10"/>
  <c r="AL1031" i="10"/>
  <c r="AL1030" i="10"/>
  <c r="AL1029" i="10"/>
  <c r="AL1028" i="10"/>
  <c r="AL1027" i="10"/>
  <c r="AL1026" i="10"/>
  <c r="AL1025" i="10"/>
  <c r="AL1024" i="10"/>
  <c r="AL1023" i="10"/>
  <c r="AL1022" i="10"/>
  <c r="AL1021" i="10"/>
  <c r="AL1020" i="10"/>
  <c r="AL1019" i="10"/>
  <c r="AL1018" i="10"/>
  <c r="AL1017" i="10"/>
  <c r="AL1016" i="10"/>
  <c r="AL1015" i="10"/>
  <c r="AL1014" i="10"/>
  <c r="AL1013" i="10"/>
  <c r="AL1012" i="10"/>
  <c r="AL1011" i="10"/>
  <c r="AL1010" i="10"/>
  <c r="AL1009" i="10"/>
  <c r="AL1008" i="10"/>
  <c r="AL1007" i="10"/>
  <c r="AL1006" i="10"/>
  <c r="AL1005" i="10"/>
  <c r="AL1004" i="10"/>
  <c r="AL1003" i="10"/>
  <c r="AL1002" i="10"/>
  <c r="AL1001" i="10"/>
  <c r="AL1000" i="10"/>
  <c r="AL999" i="10"/>
  <c r="AL998" i="10"/>
  <c r="AL997" i="10"/>
  <c r="AL996" i="10"/>
  <c r="AL995" i="10"/>
  <c r="AL994" i="10"/>
  <c r="AL993" i="10"/>
  <c r="AL992" i="10"/>
  <c r="AL991" i="10"/>
  <c r="AL990" i="10"/>
  <c r="AL989" i="10"/>
  <c r="AL988" i="10"/>
  <c r="AL987" i="10"/>
  <c r="AL986" i="10"/>
  <c r="AL985" i="10"/>
  <c r="AL984" i="10"/>
  <c r="AL983" i="10"/>
  <c r="AL982" i="10"/>
  <c r="AL981" i="10"/>
  <c r="AL980" i="10"/>
  <c r="AL979" i="10"/>
  <c r="AL978" i="10"/>
  <c r="AL977" i="10"/>
  <c r="AL976" i="10"/>
  <c r="AL975" i="10"/>
  <c r="AL974" i="10"/>
  <c r="AL973" i="10"/>
  <c r="AL972" i="10"/>
  <c r="AL971" i="10"/>
  <c r="AL970" i="10"/>
  <c r="AL969" i="10"/>
  <c r="AL968" i="10"/>
  <c r="AL967" i="10"/>
  <c r="AL966" i="10"/>
  <c r="AL965" i="10"/>
  <c r="AL964" i="10"/>
  <c r="AL963" i="10"/>
  <c r="AL962" i="10"/>
  <c r="AL961" i="10"/>
  <c r="AL960" i="10"/>
  <c r="AL959" i="10"/>
  <c r="AL958" i="10"/>
  <c r="AL957" i="10"/>
  <c r="AL956" i="10"/>
  <c r="AL955" i="10"/>
  <c r="AL954" i="10"/>
  <c r="AL953" i="10"/>
  <c r="AL952" i="10"/>
  <c r="AL951" i="10"/>
  <c r="AL950" i="10"/>
  <c r="AL949" i="10"/>
  <c r="AL948" i="10"/>
  <c r="AL947" i="10"/>
  <c r="AL946" i="10"/>
  <c r="AL945" i="10"/>
  <c r="AL944" i="10"/>
  <c r="AL943" i="10"/>
  <c r="AL942" i="10"/>
  <c r="AL941" i="10"/>
  <c r="AL940" i="10"/>
  <c r="AL939" i="10"/>
  <c r="AL938" i="10"/>
  <c r="AL937" i="10"/>
  <c r="AL936" i="10"/>
  <c r="AL935" i="10"/>
  <c r="AL934" i="10"/>
  <c r="AL933" i="10"/>
  <c r="AL932" i="10"/>
  <c r="AL931" i="10"/>
  <c r="AL930" i="10"/>
  <c r="AL929" i="10"/>
  <c r="AL928" i="10"/>
  <c r="AL927" i="10"/>
  <c r="AL926" i="10"/>
  <c r="AL925" i="10"/>
  <c r="AL924" i="10"/>
  <c r="AL923" i="10"/>
  <c r="AL922" i="10"/>
  <c r="AL921" i="10"/>
  <c r="AL920" i="10"/>
  <c r="AL919" i="10"/>
  <c r="AL918" i="10"/>
  <c r="AL917" i="10"/>
  <c r="AL916" i="10"/>
  <c r="AL915" i="10"/>
  <c r="AL914" i="10"/>
  <c r="AL913" i="10"/>
  <c r="AL912" i="10"/>
  <c r="AL911" i="10"/>
  <c r="AL910" i="10"/>
  <c r="AL909" i="10"/>
  <c r="AL908" i="10"/>
  <c r="AL907" i="10"/>
  <c r="AL906" i="10"/>
  <c r="AL905" i="10"/>
  <c r="AL904" i="10"/>
  <c r="AL903" i="10"/>
  <c r="AL902" i="10"/>
  <c r="AL901" i="10"/>
  <c r="AL900" i="10"/>
  <c r="AL899" i="10"/>
  <c r="AL898" i="10"/>
  <c r="AL897" i="10"/>
  <c r="AL896" i="10"/>
  <c r="AL895" i="10"/>
  <c r="AL894" i="10"/>
  <c r="AL893" i="10"/>
  <c r="AL892" i="10"/>
  <c r="AL891" i="10"/>
  <c r="AL890" i="10"/>
  <c r="AL889" i="10"/>
  <c r="AL888" i="10"/>
  <c r="AL887" i="10"/>
  <c r="AL886" i="10"/>
  <c r="AL885" i="10"/>
  <c r="AL884" i="10"/>
  <c r="AL883" i="10"/>
  <c r="AL882" i="10"/>
  <c r="AL881" i="10"/>
  <c r="AL880" i="10"/>
  <c r="AL879" i="10"/>
  <c r="AL878" i="10"/>
  <c r="AL877" i="10"/>
  <c r="AL876" i="10"/>
  <c r="AL875" i="10"/>
  <c r="AL874" i="10"/>
  <c r="AL873" i="10"/>
  <c r="AL872" i="10"/>
  <c r="AL871" i="10"/>
  <c r="AL870" i="10"/>
  <c r="AL869" i="10"/>
  <c r="AL868" i="10"/>
  <c r="AL867" i="10"/>
  <c r="AL866" i="10"/>
  <c r="AL865" i="10"/>
  <c r="AL864" i="10"/>
  <c r="AL863" i="10"/>
  <c r="AL862" i="10"/>
  <c r="AL861" i="10"/>
  <c r="AL860" i="10"/>
  <c r="AL859" i="10"/>
  <c r="AL858" i="10"/>
  <c r="AL857" i="10"/>
  <c r="AL856" i="10"/>
  <c r="AL855" i="10"/>
  <c r="AL854" i="10"/>
  <c r="AL853" i="10"/>
  <c r="AL852" i="10"/>
  <c r="AL851" i="10"/>
  <c r="AL850" i="10"/>
  <c r="AL849" i="10"/>
  <c r="AL848" i="10"/>
  <c r="AL847" i="10"/>
  <c r="AL846" i="10"/>
  <c r="AL845" i="10"/>
  <c r="AL844" i="10"/>
  <c r="AL843" i="10"/>
  <c r="AL842" i="10"/>
  <c r="AL841" i="10"/>
  <c r="AL840" i="10"/>
  <c r="AL839" i="10"/>
  <c r="AL838" i="10"/>
  <c r="AL837" i="10"/>
  <c r="AL836" i="10"/>
  <c r="AL835" i="10"/>
  <c r="AL834" i="10"/>
  <c r="AL833" i="10"/>
  <c r="AL832" i="10"/>
  <c r="AL831" i="10"/>
  <c r="AL830" i="10"/>
  <c r="AL829" i="10"/>
  <c r="AL828" i="10"/>
  <c r="AL827" i="10"/>
  <c r="AL826" i="10"/>
  <c r="AL825" i="10"/>
  <c r="AL824" i="10"/>
  <c r="AL823" i="10"/>
  <c r="AL822" i="10"/>
  <c r="AL821" i="10"/>
  <c r="AL820" i="10"/>
  <c r="AL819" i="10"/>
  <c r="AL818" i="10"/>
  <c r="AL817" i="10"/>
  <c r="AL816" i="10"/>
  <c r="AL815" i="10"/>
  <c r="AL814" i="10"/>
  <c r="AL813" i="10"/>
  <c r="AL812" i="10"/>
  <c r="AL811" i="10"/>
  <c r="AL810" i="10"/>
  <c r="AL809" i="10"/>
  <c r="AL808" i="10"/>
  <c r="AL807" i="10"/>
  <c r="AL806" i="10"/>
  <c r="AL805" i="10"/>
  <c r="AL804" i="10"/>
  <c r="AL803" i="10"/>
  <c r="AL802" i="10"/>
  <c r="AL801" i="10"/>
  <c r="AL800" i="10"/>
  <c r="AL799" i="10"/>
  <c r="AL798" i="10"/>
  <c r="AL797" i="10"/>
  <c r="AL796" i="10"/>
  <c r="AL795" i="10"/>
  <c r="AL794" i="10"/>
  <c r="AL793" i="10"/>
  <c r="AL792" i="10"/>
  <c r="AL791" i="10"/>
  <c r="AL790" i="10"/>
  <c r="AL789" i="10"/>
  <c r="AL788" i="10"/>
  <c r="AL787" i="10"/>
  <c r="AL786" i="10"/>
  <c r="AL785" i="10"/>
  <c r="AL784" i="10"/>
  <c r="AL783" i="10"/>
  <c r="AL782" i="10"/>
  <c r="AL781" i="10"/>
  <c r="AL780" i="10"/>
  <c r="AL779" i="10"/>
  <c r="AL778" i="10"/>
  <c r="AL777" i="10"/>
  <c r="AL776" i="10"/>
  <c r="AL775" i="10"/>
  <c r="AL774" i="10"/>
  <c r="AL773" i="10"/>
  <c r="AL772" i="10"/>
  <c r="AL771" i="10"/>
  <c r="AL770" i="10"/>
  <c r="AL769" i="10"/>
  <c r="AL768" i="10"/>
  <c r="AL767" i="10"/>
  <c r="AL766" i="10"/>
  <c r="AL765" i="10"/>
  <c r="AL764" i="10"/>
  <c r="AL763" i="10"/>
  <c r="AL762" i="10"/>
  <c r="AL761" i="10"/>
  <c r="AL760" i="10"/>
  <c r="AL759" i="10"/>
  <c r="AL758" i="10"/>
  <c r="AL757" i="10"/>
  <c r="AL756" i="10"/>
  <c r="AL755" i="10"/>
  <c r="AL754" i="10"/>
  <c r="AL753" i="10"/>
  <c r="AL752" i="10"/>
  <c r="AL751" i="10"/>
  <c r="AL750" i="10"/>
  <c r="AL749" i="10"/>
  <c r="AL748" i="10"/>
  <c r="AL747" i="10"/>
  <c r="AL746" i="10"/>
  <c r="AL745" i="10"/>
  <c r="AL744" i="10"/>
  <c r="AL743" i="10"/>
  <c r="AL742" i="10"/>
  <c r="AL741" i="10"/>
  <c r="AL740" i="10"/>
  <c r="AL739" i="10"/>
  <c r="AL738" i="10"/>
  <c r="AL737" i="10"/>
  <c r="AL736" i="10"/>
  <c r="AL735" i="10"/>
  <c r="AL734" i="10"/>
  <c r="AL733" i="10"/>
  <c r="AL732" i="10"/>
  <c r="AL731" i="10"/>
  <c r="AL730" i="10"/>
  <c r="AL729" i="10"/>
  <c r="AL728" i="10"/>
  <c r="AL727" i="10"/>
  <c r="AL726" i="10"/>
  <c r="AL725" i="10"/>
  <c r="AL724" i="10"/>
  <c r="AL723" i="10"/>
  <c r="AL722" i="10"/>
  <c r="AL721" i="10"/>
  <c r="AL720" i="10"/>
  <c r="AL719" i="10"/>
  <c r="AL718" i="10"/>
  <c r="AL717" i="10"/>
  <c r="AL716" i="10"/>
  <c r="AL715" i="10"/>
  <c r="AL714" i="10"/>
  <c r="AL713" i="10"/>
  <c r="AL712" i="10"/>
  <c r="AL711" i="10"/>
  <c r="AL710" i="10"/>
  <c r="AL709" i="10"/>
  <c r="AL708" i="10"/>
  <c r="AL707" i="10"/>
  <c r="AL706" i="10"/>
  <c r="AL705" i="10"/>
  <c r="AL704" i="10"/>
  <c r="AL703" i="10"/>
  <c r="AL702" i="10"/>
  <c r="AL701" i="10"/>
  <c r="AL700" i="10"/>
  <c r="AL699" i="10"/>
  <c r="AL698" i="10"/>
  <c r="AL697" i="10"/>
  <c r="AL696" i="10"/>
  <c r="AL695" i="10"/>
  <c r="AL694" i="10"/>
  <c r="AL693" i="10"/>
  <c r="AL692" i="10"/>
  <c r="AL691" i="10"/>
  <c r="AL690" i="10"/>
  <c r="AL689" i="10"/>
  <c r="AL688" i="10"/>
  <c r="AL687" i="10"/>
  <c r="AL686" i="10"/>
  <c r="AL685" i="10"/>
  <c r="AL684" i="10"/>
  <c r="AL683" i="10"/>
  <c r="AL682" i="10"/>
  <c r="AL681" i="10"/>
  <c r="AL680" i="10"/>
  <c r="AL679" i="10"/>
  <c r="AL678" i="10"/>
  <c r="AL677" i="10"/>
  <c r="AL676" i="10"/>
  <c r="AL675" i="10"/>
  <c r="AL674" i="10"/>
  <c r="AL673" i="10"/>
  <c r="AL672" i="10"/>
  <c r="AL671" i="10"/>
  <c r="AL670" i="10"/>
  <c r="AL669" i="10"/>
  <c r="AL668" i="10"/>
  <c r="AL667" i="10"/>
  <c r="AL666" i="10"/>
  <c r="AL665" i="10"/>
  <c r="AL664" i="10"/>
  <c r="AL663" i="10"/>
  <c r="AL662" i="10"/>
  <c r="AL661" i="10"/>
  <c r="AL660" i="10"/>
  <c r="AL659" i="10"/>
  <c r="AL658" i="10"/>
  <c r="AL657" i="10"/>
  <c r="AL656" i="10"/>
  <c r="AL655" i="10"/>
  <c r="AL654" i="10"/>
  <c r="AL653" i="10"/>
  <c r="AL652" i="10"/>
  <c r="AL651" i="10"/>
  <c r="AL650" i="10"/>
  <c r="AL649" i="10"/>
  <c r="AL648" i="10"/>
  <c r="AL647" i="10"/>
  <c r="AL646" i="10"/>
  <c r="AL645" i="10"/>
  <c r="AL644" i="10"/>
  <c r="AL643" i="10"/>
  <c r="AL642" i="10"/>
  <c r="AL641" i="10"/>
  <c r="AL640" i="10"/>
  <c r="AL639" i="10"/>
  <c r="AL638" i="10"/>
  <c r="AL637" i="10"/>
  <c r="AL636" i="10"/>
  <c r="AL635" i="10"/>
  <c r="AL634" i="10"/>
  <c r="AL633" i="10"/>
  <c r="AL632" i="10"/>
  <c r="AL631" i="10"/>
  <c r="AL630" i="10"/>
  <c r="AL629" i="10"/>
  <c r="AL628" i="10"/>
  <c r="AL627" i="10"/>
  <c r="AL626" i="10"/>
  <c r="AL625" i="10"/>
  <c r="AL624" i="10"/>
  <c r="AL623" i="10"/>
  <c r="AL622" i="10"/>
  <c r="AL621" i="10"/>
  <c r="AL620" i="10"/>
  <c r="AL619" i="10"/>
  <c r="AL618" i="10"/>
  <c r="AL617" i="10"/>
  <c r="AL616" i="10"/>
  <c r="AL615" i="10"/>
  <c r="AL614" i="10"/>
  <c r="AL613" i="10"/>
  <c r="AL612" i="10"/>
  <c r="AL611" i="10"/>
  <c r="AL610" i="10"/>
  <c r="AL609" i="10"/>
  <c r="AL608" i="10"/>
  <c r="AL607" i="10"/>
  <c r="AL606" i="10"/>
  <c r="AL605" i="10"/>
  <c r="AL604" i="10"/>
  <c r="AL603" i="10"/>
  <c r="AL602" i="10"/>
  <c r="AL601" i="10"/>
  <c r="AL600" i="10"/>
  <c r="AL599" i="10"/>
  <c r="AL598" i="10"/>
  <c r="AL597" i="10"/>
  <c r="AL596" i="10"/>
  <c r="AL595" i="10"/>
  <c r="AL594" i="10"/>
  <c r="AL593" i="10"/>
  <c r="AL592" i="10"/>
  <c r="AL591" i="10"/>
  <c r="AL590" i="10"/>
  <c r="AL589" i="10"/>
  <c r="AL588" i="10"/>
  <c r="AL587" i="10"/>
  <c r="AL586" i="10"/>
  <c r="AL585" i="10"/>
  <c r="AL584" i="10"/>
  <c r="AL583" i="10"/>
  <c r="AL582" i="10"/>
  <c r="AL581" i="10"/>
  <c r="AL580" i="10"/>
  <c r="AL579" i="10"/>
  <c r="AL578" i="10"/>
  <c r="AL577" i="10"/>
  <c r="AL576" i="10"/>
  <c r="AL575" i="10"/>
  <c r="AL574" i="10"/>
  <c r="AL573" i="10"/>
  <c r="AL572" i="10"/>
  <c r="AL571" i="10"/>
  <c r="AL570" i="10"/>
  <c r="AL569" i="10"/>
  <c r="AL568" i="10"/>
  <c r="AL567" i="10"/>
  <c r="AL566" i="10"/>
  <c r="AL565" i="10"/>
  <c r="AL564" i="10"/>
  <c r="AL563" i="10"/>
  <c r="AL562" i="10"/>
  <c r="AL561" i="10"/>
  <c r="AL560" i="10"/>
  <c r="AL559" i="10"/>
  <c r="AL558" i="10"/>
  <c r="AL557" i="10"/>
  <c r="AL556" i="10"/>
  <c r="AL555" i="10"/>
  <c r="AL554" i="10"/>
  <c r="AL553" i="10"/>
  <c r="AL552" i="10"/>
  <c r="AL551" i="10"/>
  <c r="AL550" i="10"/>
  <c r="AL549" i="10"/>
  <c r="AL548" i="10"/>
  <c r="AL547" i="10"/>
  <c r="AL546" i="10"/>
  <c r="AL545" i="10"/>
  <c r="AL544" i="10"/>
  <c r="AL543" i="10"/>
  <c r="AL542" i="10"/>
  <c r="AL541" i="10"/>
  <c r="AL540" i="10"/>
  <c r="AL539" i="10"/>
  <c r="AL538" i="10"/>
  <c r="AL537" i="10"/>
  <c r="AL536" i="10"/>
  <c r="AL535" i="10"/>
  <c r="AL534" i="10"/>
  <c r="AL533" i="10"/>
  <c r="AL532" i="10"/>
  <c r="AL531" i="10"/>
  <c r="AL530" i="10"/>
  <c r="AL529" i="10"/>
  <c r="AL528" i="10"/>
  <c r="AL527" i="10"/>
  <c r="AL526" i="10"/>
  <c r="AL525" i="10"/>
  <c r="AL524" i="10"/>
  <c r="AL523" i="10"/>
  <c r="AL522" i="10"/>
  <c r="AL521" i="10"/>
  <c r="AL520" i="10"/>
  <c r="AL519" i="10"/>
  <c r="AL518" i="10"/>
  <c r="AL517" i="10"/>
  <c r="AL516" i="10"/>
  <c r="AL515" i="10"/>
  <c r="AL514" i="10"/>
  <c r="AL513" i="10"/>
  <c r="AL512" i="10"/>
  <c r="AL511" i="10"/>
  <c r="AL510" i="10"/>
  <c r="AL509" i="10"/>
  <c r="AL508" i="10"/>
  <c r="AL507" i="10"/>
  <c r="AL506" i="10"/>
  <c r="AL505" i="10"/>
  <c r="AL504" i="10"/>
  <c r="AL503" i="10"/>
  <c r="AL502" i="10"/>
  <c r="AL501" i="10"/>
  <c r="AL500" i="10"/>
  <c r="AL499" i="10"/>
  <c r="AL498" i="10"/>
  <c r="AL497" i="10"/>
  <c r="AL496" i="10"/>
  <c r="AL495" i="10"/>
  <c r="AL494" i="10"/>
  <c r="AL493" i="10"/>
  <c r="AL492" i="10"/>
  <c r="AL491" i="10"/>
  <c r="AL490" i="10"/>
  <c r="AL489" i="10"/>
  <c r="AL488" i="10"/>
  <c r="AL487" i="10"/>
  <c r="AL486" i="10"/>
  <c r="AL485" i="10"/>
  <c r="AL484" i="10"/>
  <c r="AL483" i="10"/>
  <c r="AL482" i="10"/>
  <c r="AL481" i="10"/>
  <c r="AL480" i="10"/>
  <c r="AL479" i="10"/>
  <c r="AL478" i="10"/>
  <c r="AL477" i="10"/>
  <c r="AL476" i="10"/>
  <c r="AL475" i="10"/>
  <c r="AL474" i="10"/>
  <c r="AL473" i="10"/>
  <c r="AL472" i="10"/>
  <c r="AL471" i="10"/>
  <c r="AL470" i="10"/>
  <c r="AL469" i="10"/>
  <c r="AL468" i="10"/>
  <c r="AL467" i="10"/>
  <c r="AL466" i="10"/>
  <c r="AL465" i="10"/>
  <c r="AL464" i="10"/>
  <c r="AL463" i="10"/>
  <c r="AL462" i="10"/>
  <c r="AL461" i="10"/>
  <c r="AL460" i="10"/>
  <c r="AL459" i="10"/>
  <c r="AL458" i="10"/>
  <c r="AL457" i="10"/>
  <c r="AL456" i="10"/>
  <c r="AL455" i="10"/>
  <c r="AL454" i="10"/>
  <c r="AL453" i="10"/>
  <c r="AL452" i="10"/>
  <c r="AL451" i="10"/>
  <c r="AL450" i="10"/>
  <c r="AL449" i="10"/>
  <c r="AL448" i="10"/>
  <c r="AL447" i="10"/>
  <c r="AL446" i="10"/>
  <c r="AL445" i="10"/>
  <c r="AL444" i="10"/>
  <c r="AL443" i="10"/>
  <c r="AL442" i="10"/>
  <c r="AL441" i="10"/>
  <c r="AL440" i="10"/>
  <c r="AL439" i="10"/>
  <c r="AL438" i="10"/>
  <c r="AL437" i="10"/>
  <c r="AL436" i="10"/>
  <c r="AL435" i="10"/>
  <c r="AL434" i="10"/>
  <c r="AL433" i="10"/>
  <c r="AL432" i="10"/>
  <c r="AL431" i="10"/>
  <c r="AL430" i="10"/>
  <c r="AL429" i="10"/>
  <c r="AL428" i="10"/>
  <c r="AL427" i="10"/>
  <c r="AL426" i="10"/>
  <c r="AL425" i="10"/>
  <c r="AL424" i="10"/>
  <c r="AL423" i="10"/>
  <c r="AL422" i="10"/>
  <c r="AL421" i="10"/>
  <c r="AL420" i="10"/>
  <c r="AL419" i="10"/>
  <c r="AL418" i="10"/>
  <c r="AL417" i="10"/>
  <c r="AL416" i="10"/>
  <c r="AL415" i="10"/>
  <c r="AL414" i="10"/>
  <c r="AL413" i="10"/>
  <c r="AL412" i="10"/>
  <c r="AL411" i="10"/>
  <c r="AL410" i="10"/>
  <c r="AL409" i="10"/>
  <c r="AL408" i="10"/>
  <c r="AL407" i="10"/>
  <c r="AL406" i="10"/>
  <c r="AL405" i="10"/>
  <c r="AL404" i="10"/>
  <c r="AL403" i="10"/>
  <c r="AL402" i="10"/>
  <c r="AL401" i="10"/>
  <c r="AL400" i="10"/>
  <c r="AL399" i="10"/>
  <c r="AL398" i="10"/>
  <c r="AL397" i="10"/>
  <c r="AL396" i="10"/>
  <c r="AL395" i="10"/>
  <c r="AL394" i="10"/>
  <c r="AL393" i="10"/>
  <c r="AL392" i="10"/>
  <c r="AL391" i="10"/>
  <c r="AL390" i="10"/>
  <c r="AL389" i="10"/>
  <c r="AL388" i="10"/>
  <c r="AL387" i="10"/>
  <c r="AL386" i="10"/>
  <c r="AL385" i="10"/>
  <c r="AL384" i="10"/>
  <c r="AL383" i="10"/>
  <c r="AL382" i="10"/>
  <c r="AL381" i="10"/>
  <c r="AL380" i="10"/>
  <c r="AL379" i="10"/>
  <c r="AL378" i="10"/>
  <c r="AL377" i="10"/>
  <c r="AL376" i="10"/>
  <c r="AL375" i="10"/>
  <c r="AL374" i="10"/>
  <c r="AL373" i="10"/>
  <c r="AL372" i="10"/>
  <c r="AL371" i="10"/>
  <c r="AL370" i="10"/>
  <c r="AL369" i="10"/>
  <c r="AL368" i="10"/>
  <c r="AL367" i="10"/>
  <c r="AL366" i="10"/>
  <c r="AL365" i="10"/>
  <c r="AL364" i="10"/>
  <c r="AL363" i="10"/>
  <c r="AL362" i="10"/>
  <c r="AL361" i="10"/>
  <c r="AL360" i="10"/>
  <c r="AL359" i="10"/>
  <c r="AL358" i="10"/>
  <c r="AL357" i="10"/>
  <c r="AL356" i="10"/>
  <c r="AL355" i="10"/>
  <c r="AL354" i="10"/>
  <c r="AL353" i="10"/>
  <c r="AL352" i="10"/>
  <c r="AL351" i="10"/>
  <c r="AL350" i="10"/>
  <c r="AL349" i="10"/>
  <c r="AL348" i="10"/>
  <c r="AL347" i="10"/>
  <c r="AL346" i="10"/>
  <c r="AL345" i="10"/>
  <c r="AL344" i="10"/>
  <c r="AL343" i="10"/>
  <c r="AL342" i="10"/>
  <c r="AL341" i="10"/>
  <c r="AL340" i="10"/>
  <c r="AL339" i="10"/>
  <c r="AL338" i="10"/>
  <c r="AL337" i="10"/>
  <c r="AL336" i="10"/>
  <c r="AL335" i="10"/>
  <c r="AL334" i="10"/>
  <c r="AL333" i="10"/>
  <c r="AL332" i="10"/>
  <c r="AL331" i="10"/>
  <c r="AL330" i="10"/>
  <c r="AL329" i="10"/>
  <c r="AL328" i="10"/>
  <c r="AL327" i="10"/>
  <c r="AL326" i="10"/>
  <c r="AL325" i="10"/>
  <c r="AL324" i="10"/>
  <c r="AL323" i="10"/>
  <c r="AL322" i="10"/>
  <c r="AL321" i="10"/>
  <c r="AL320" i="10"/>
  <c r="AL319" i="10"/>
  <c r="AL318" i="10"/>
  <c r="AL317" i="10"/>
  <c r="AL316" i="10"/>
  <c r="AL315" i="10"/>
  <c r="AL314" i="10"/>
  <c r="AL313" i="10"/>
  <c r="AL312" i="10"/>
  <c r="AL311" i="10"/>
  <c r="AL310" i="10"/>
  <c r="AL309" i="10"/>
  <c r="AL308" i="10"/>
  <c r="AL307" i="10"/>
  <c r="AL306" i="10"/>
  <c r="AL305" i="10"/>
  <c r="AL304" i="10"/>
  <c r="AL303" i="10"/>
  <c r="AL302" i="10"/>
  <c r="AL301" i="10"/>
  <c r="AL300" i="10"/>
  <c r="AL299" i="10"/>
  <c r="AL298" i="10"/>
  <c r="AL297" i="10"/>
  <c r="AL296" i="10"/>
  <c r="AL295" i="10"/>
  <c r="AL294" i="10"/>
  <c r="AL293" i="10"/>
  <c r="AL292" i="10"/>
  <c r="AL291" i="10"/>
  <c r="AL290" i="10"/>
  <c r="AL289" i="10"/>
  <c r="AL288" i="10"/>
  <c r="AL287" i="10"/>
  <c r="AL286" i="10"/>
  <c r="AL285" i="10"/>
  <c r="AL284" i="10"/>
  <c r="AL283" i="10"/>
  <c r="AL282" i="10"/>
  <c r="AL281" i="10"/>
  <c r="AL280" i="10"/>
  <c r="AL279" i="10"/>
  <c r="AL278" i="10"/>
  <c r="AL277" i="10"/>
  <c r="AL276" i="10"/>
  <c r="AL275" i="10"/>
  <c r="AL274" i="10"/>
  <c r="AL273" i="10"/>
  <c r="AD256" i="10"/>
  <c r="AC256" i="10"/>
  <c r="AB256" i="10"/>
  <c r="AA256" i="10"/>
  <c r="Z256" i="10"/>
  <c r="Y256" i="10"/>
  <c r="AD255" i="10"/>
  <c r="AC255" i="10"/>
  <c r="AB255" i="10"/>
  <c r="AA255" i="10"/>
  <c r="Z255" i="10"/>
  <c r="Y255" i="10"/>
  <c r="AD254" i="10"/>
  <c r="AC254" i="10"/>
  <c r="AB254" i="10"/>
  <c r="AA254" i="10"/>
  <c r="Z254" i="10"/>
  <c r="Y254" i="10"/>
  <c r="AD253" i="10"/>
  <c r="AC253" i="10"/>
  <c r="AB253" i="10"/>
  <c r="AA253" i="10"/>
  <c r="Z253" i="10"/>
  <c r="Y253" i="10"/>
  <c r="AG248" i="10"/>
  <c r="AG247" i="10"/>
  <c r="A210" i="10"/>
  <c r="A209" i="10"/>
  <c r="A208" i="10"/>
  <c r="A136" i="10"/>
  <c r="A135" i="10"/>
  <c r="A134" i="10"/>
  <c r="G121" i="10"/>
  <c r="G120" i="10"/>
  <c r="G119" i="10"/>
  <c r="M24" i="24" l="1"/>
  <c r="V38" i="24"/>
  <c r="C55" i="24"/>
  <c r="C54" i="24"/>
  <c r="V37" i="24"/>
  <c r="C53" i="24"/>
  <c r="V36" i="24"/>
  <c r="C52" i="24"/>
  <c r="V35" i="24"/>
  <c r="C51" i="24"/>
  <c r="V34" i="24"/>
  <c r="F50" i="24"/>
  <c r="Y33" i="24"/>
  <c r="U38" i="24"/>
  <c r="U37" i="24"/>
  <c r="U36" i="24"/>
  <c r="X33" i="24"/>
  <c r="T37" i="24"/>
  <c r="T38" i="24"/>
  <c r="E50" i="24"/>
  <c r="S36" i="24"/>
  <c r="S34" i="24"/>
  <c r="S37" i="24"/>
  <c r="S38" i="24"/>
  <c r="D50" i="24"/>
  <c r="W33" i="24"/>
  <c r="T36" i="24"/>
  <c r="T35" i="24"/>
  <c r="T17" i="24"/>
  <c r="T34" i="24"/>
  <c r="U35" i="24"/>
  <c r="S35" i="24"/>
  <c r="U34" i="24"/>
  <c r="S25" i="24"/>
  <c r="E30" i="24" s="1"/>
  <c r="S23" i="24"/>
  <c r="D30" i="24" s="1"/>
  <c r="T15" i="24"/>
  <c r="F40" i="24"/>
  <c r="F42" i="24"/>
  <c r="S9" i="24"/>
  <c r="X14" i="24" s="1"/>
  <c r="X15" i="24" s="1"/>
  <c r="N19" i="24"/>
  <c r="L19" i="24"/>
  <c r="O19" i="24"/>
  <c r="L11" i="24"/>
  <c r="N11" i="24"/>
  <c r="O11" i="24"/>
  <c r="O29" i="24"/>
  <c r="L29" i="24"/>
  <c r="K29" i="24"/>
  <c r="J29" i="24"/>
  <c r="O28" i="24"/>
  <c r="L28" i="24"/>
  <c r="K28" i="24"/>
  <c r="J28" i="24"/>
  <c r="O27" i="24"/>
  <c r="L27" i="24"/>
  <c r="K27" i="24"/>
  <c r="J27" i="24"/>
  <c r="O26" i="24"/>
  <c r="L26" i="24"/>
  <c r="K26" i="24"/>
  <c r="J26" i="24"/>
  <c r="O25" i="24"/>
  <c r="L25" i="24"/>
  <c r="K25" i="24"/>
  <c r="J25" i="24"/>
  <c r="F41" i="10"/>
  <c r="F60" i="10"/>
  <c r="F50" i="10"/>
  <c r="F39" i="10"/>
  <c r="F44" i="10"/>
  <c r="F62" i="10"/>
  <c r="G13" i="22"/>
  <c r="D45" i="15"/>
  <c r="D29" i="15"/>
  <c r="D20" i="15"/>
  <c r="G14" i="14"/>
  <c r="J13" i="14"/>
  <c r="K13" i="14" s="1"/>
  <c r="C33" i="14"/>
  <c r="J12" i="14"/>
  <c r="K12" i="14" s="1"/>
  <c r="G12" i="14"/>
  <c r="J11" i="14"/>
  <c r="K11" i="14" s="1"/>
  <c r="J10" i="14"/>
  <c r="K10" i="14" s="1"/>
  <c r="F218" i="10"/>
  <c r="G218" i="10" s="1"/>
  <c r="F217" i="10"/>
  <c r="G217" i="10" s="1"/>
  <c r="B181" i="10"/>
  <c r="F61" i="10"/>
  <c r="C237" i="10"/>
  <c r="D219" i="10"/>
  <c r="E167" i="10"/>
  <c r="I167" i="10" s="1"/>
  <c r="H122" i="10"/>
  <c r="F56" i="10"/>
  <c r="F43" i="10"/>
  <c r="F40" i="10"/>
  <c r="H16" i="9"/>
  <c r="K16" i="9" s="1"/>
  <c r="E13" i="8"/>
  <c r="C13" i="8"/>
  <c r="B100" i="8"/>
  <c r="O92" i="8"/>
  <c r="O89" i="8"/>
  <c r="C14" i="8"/>
  <c r="D16" i="8"/>
  <c r="O86" i="8"/>
  <c r="J100" i="8"/>
  <c r="E100" i="8"/>
  <c r="L100" i="8"/>
  <c r="K100" i="8"/>
  <c r="I100" i="8"/>
  <c r="H100" i="8"/>
  <c r="G100" i="8"/>
  <c r="O76" i="8"/>
  <c r="O74" i="8"/>
  <c r="O72" i="8"/>
  <c r="O70" i="8"/>
  <c r="D12" i="8"/>
  <c r="O64" i="8"/>
  <c r="H67" i="8"/>
  <c r="F67" i="8"/>
  <c r="F80" i="8" s="1"/>
  <c r="F101" i="8" s="1"/>
  <c r="E67" i="8"/>
  <c r="L67" i="8"/>
  <c r="B67" i="8"/>
  <c r="M67" i="8"/>
  <c r="J67" i="8"/>
  <c r="J80" i="8" s="1"/>
  <c r="C67" i="8"/>
  <c r="C80" i="8" s="1"/>
  <c r="H4" i="5"/>
  <c r="H14" i="9"/>
  <c r="K14" i="9" s="1"/>
  <c r="M14" i="9" s="1"/>
  <c r="C88" i="6"/>
  <c r="H18" i="9"/>
  <c r="K18" i="9" s="1"/>
  <c r="M18" i="9" s="1"/>
  <c r="J20" i="9"/>
  <c r="J79" i="9" s="1"/>
  <c r="D1793" i="10"/>
  <c r="B202" i="10"/>
  <c r="E180" i="10"/>
  <c r="I180" i="10" s="1"/>
  <c r="E179" i="10"/>
  <c r="I179" i="10" s="1"/>
  <c r="E178" i="10"/>
  <c r="I178" i="10" s="1"/>
  <c r="E171" i="10"/>
  <c r="I171" i="10" s="1"/>
  <c r="F51" i="10"/>
  <c r="E18" i="10"/>
  <c r="E21" i="10" s="1"/>
  <c r="B22" i="10" s="1"/>
  <c r="K5" i="10"/>
  <c r="F216" i="10"/>
  <c r="E176" i="10"/>
  <c r="I176" i="10" s="1"/>
  <c r="E175" i="10"/>
  <c r="I175" i="10" s="1"/>
  <c r="E90" i="10"/>
  <c r="F55" i="10"/>
  <c r="D18" i="10"/>
  <c r="F22" i="16"/>
  <c r="E22" i="16"/>
  <c r="E18" i="16"/>
  <c r="F18" i="16"/>
  <c r="G18" i="16" s="1"/>
  <c r="F15" i="16"/>
  <c r="G15" i="16" s="1"/>
  <c r="E15" i="16"/>
  <c r="G52" i="14" a="1"/>
  <c r="G52" i="14" s="1"/>
  <c r="F52" i="14"/>
  <c r="I51" i="14"/>
  <c r="K51" i="14" a="1"/>
  <c r="K51" i="14" s="1"/>
  <c r="J51" i="14" a="1"/>
  <c r="J51" i="14" s="1"/>
  <c r="H51" i="14" a="1"/>
  <c r="H51" i="14" s="1"/>
  <c r="F51" i="14"/>
  <c r="E51" i="14" a="1"/>
  <c r="E51" i="14" s="1"/>
  <c r="D51" i="14" a="1"/>
  <c r="D51" i="14" s="1"/>
  <c r="B51" i="14"/>
  <c r="I50" i="14"/>
  <c r="K50" i="14" a="1"/>
  <c r="K50" i="14" s="1"/>
  <c r="J50" i="14" a="1"/>
  <c r="J50" i="14" s="1"/>
  <c r="H50" i="14" a="1"/>
  <c r="H50" i="14" s="1"/>
  <c r="G50" i="14" a="1"/>
  <c r="G50" i="14" s="1"/>
  <c r="F50" i="14"/>
  <c r="E50" i="14" a="1"/>
  <c r="E50" i="14" s="1"/>
  <c r="D50" i="14" a="1"/>
  <c r="D50" i="14" s="1"/>
  <c r="C50" i="14"/>
  <c r="B50" i="14"/>
  <c r="K49" i="14" a="1"/>
  <c r="K49" i="14" s="1"/>
  <c r="J49" i="14" a="1"/>
  <c r="J49" i="14" s="1"/>
  <c r="I49" i="14"/>
  <c r="H49" i="14" a="1"/>
  <c r="H49" i="14" s="1"/>
  <c r="G49" i="14" a="1"/>
  <c r="G49" i="14" s="1"/>
  <c r="F49" i="14"/>
  <c r="E49" i="14" a="1"/>
  <c r="E49" i="14" s="1"/>
  <c r="D49" i="14" a="1"/>
  <c r="D49" i="14" s="1"/>
  <c r="C49" i="14"/>
  <c r="B49" i="14"/>
  <c r="K48" i="14" a="1"/>
  <c r="K48" i="14" s="1"/>
  <c r="G48" i="14" a="1"/>
  <c r="G48" i="14" s="1"/>
  <c r="D48" i="14" a="1"/>
  <c r="D48" i="14" s="1"/>
  <c r="C47" i="14"/>
  <c r="E47" i="14" a="1"/>
  <c r="E47" i="14" s="1"/>
  <c r="J47" i="14" a="1"/>
  <c r="J47" i="14" s="1"/>
  <c r="I47" i="14"/>
  <c r="H47" i="14" a="1"/>
  <c r="H47" i="14" s="1"/>
  <c r="G47" i="14" a="1"/>
  <c r="G47" i="14" s="1"/>
  <c r="F47" i="14"/>
  <c r="K47" i="14" a="1"/>
  <c r="K47" i="14" s="1"/>
  <c r="D47" i="14" a="1"/>
  <c r="D47" i="14" s="1"/>
  <c r="B47" i="14"/>
  <c r="J46" i="14" a="1"/>
  <c r="J46" i="14" s="1"/>
  <c r="K46" i="14" a="1"/>
  <c r="K46" i="14" s="1"/>
  <c r="I46" i="14"/>
  <c r="H46" i="14" a="1"/>
  <c r="H46" i="14" s="1"/>
  <c r="F46" i="14"/>
  <c r="E46" i="14" a="1"/>
  <c r="E46" i="14" s="1"/>
  <c r="D46" i="14" a="1"/>
  <c r="D46" i="14" s="1"/>
  <c r="C46" i="14"/>
  <c r="I45" i="14"/>
  <c r="F45" i="14"/>
  <c r="B44" i="14"/>
  <c r="J44" i="14" a="1"/>
  <c r="J44" i="14" s="1"/>
  <c r="I44" i="14"/>
  <c r="H44" i="14" a="1"/>
  <c r="H44" i="14" s="1"/>
  <c r="G44" i="14" a="1"/>
  <c r="G44" i="14" s="1"/>
  <c r="F44" i="14"/>
  <c r="E44" i="14" a="1"/>
  <c r="E44" i="14" s="1"/>
  <c r="D44" i="14" a="1"/>
  <c r="D44" i="14" s="1"/>
  <c r="C44" i="14"/>
  <c r="K44" i="14" a="1"/>
  <c r="K44" i="14" s="1"/>
  <c r="F43" i="14"/>
  <c r="I43" i="14"/>
  <c r="H15" i="14"/>
  <c r="G15" i="14"/>
  <c r="Z7" i="14"/>
  <c r="X24" i="14"/>
  <c r="C17" i="14"/>
  <c r="D7" i="14"/>
  <c r="C33" i="13"/>
  <c r="L33" i="13"/>
  <c r="K33" i="13"/>
  <c r="J33" i="13"/>
  <c r="I33" i="13"/>
  <c r="I36" i="13" s="1"/>
  <c r="H33" i="13"/>
  <c r="H36" i="13" s="1"/>
  <c r="G33" i="13"/>
  <c r="F33" i="13"/>
  <c r="E33" i="13"/>
  <c r="D33" i="13"/>
  <c r="K60" i="13"/>
  <c r="J60" i="13"/>
  <c r="D30" i="12"/>
  <c r="D50" i="12"/>
  <c r="K262" i="10"/>
  <c r="AC262" i="10"/>
  <c r="H262" i="10"/>
  <c r="AA262" i="10"/>
  <c r="AD262" i="10"/>
  <c r="AB262" i="10"/>
  <c r="Y262" i="10"/>
  <c r="Z262" i="10"/>
  <c r="C262" i="10"/>
  <c r="E262" i="10"/>
  <c r="F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J262" i="10"/>
  <c r="I262" i="10"/>
  <c r="G262" i="10"/>
  <c r="Y261" i="10"/>
  <c r="Z261" i="10"/>
  <c r="C261" i="10"/>
  <c r="J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I261" i="10"/>
  <c r="E261" i="10"/>
  <c r="AD261" i="10"/>
  <c r="H261" i="10"/>
  <c r="G261" i="10"/>
  <c r="F261" i="10"/>
  <c r="AC261" i="10"/>
  <c r="AB261" i="10"/>
  <c r="AA261" i="10"/>
  <c r="D261" i="10"/>
  <c r="U260" i="10"/>
  <c r="AB260" i="10"/>
  <c r="W260" i="10"/>
  <c r="V260" i="10"/>
  <c r="J260" i="10"/>
  <c r="Y260" i="10"/>
  <c r="Z260" i="10"/>
  <c r="AA260" i="10"/>
  <c r="I260" i="10"/>
  <c r="H260" i="10"/>
  <c r="D260" i="10"/>
  <c r="AD260" i="10"/>
  <c r="AC260" i="10"/>
  <c r="P259" i="10"/>
  <c r="Q259" i="10"/>
  <c r="C259" i="10"/>
  <c r="AA259" i="10"/>
  <c r="Z259" i="10"/>
  <c r="AD259" i="10"/>
  <c r="Y259" i="10"/>
  <c r="O259" i="10"/>
  <c r="N259" i="10"/>
  <c r="AC259" i="10"/>
  <c r="M259" i="10"/>
  <c r="L259" i="10"/>
  <c r="I259" i="10"/>
  <c r="G259" i="10"/>
  <c r="V259" i="10"/>
  <c r="S259" i="10"/>
  <c r="U259" i="10"/>
  <c r="R259" i="10"/>
  <c r="D259" i="10"/>
  <c r="AB259" i="10"/>
  <c r="G258" i="10"/>
  <c r="C258" i="10"/>
  <c r="Y258" i="10"/>
  <c r="Z258" i="10"/>
  <c r="AA258" i="10"/>
  <c r="AB258" i="10"/>
  <c r="AC258" i="10"/>
  <c r="AD258" i="10"/>
  <c r="X257" i="10"/>
  <c r="Z257" i="10"/>
  <c r="V257" i="10"/>
  <c r="AA257" i="10"/>
  <c r="N257" i="10"/>
  <c r="AB257" i="10"/>
  <c r="M257" i="10"/>
  <c r="L257" i="10"/>
  <c r="K257" i="10"/>
  <c r="G257" i="10"/>
  <c r="E257" i="10"/>
  <c r="AC257" i="10"/>
  <c r="AD257" i="10"/>
  <c r="Y257" i="10"/>
  <c r="Y263" i="10" s="1"/>
  <c r="U256" i="10"/>
  <c r="P256" i="10"/>
  <c r="O256" i="10"/>
  <c r="L255" i="10"/>
  <c r="J255" i="10"/>
  <c r="D136" i="10" s="1"/>
  <c r="I255" i="10"/>
  <c r="E136" i="10" s="1"/>
  <c r="H255" i="10"/>
  <c r="G255" i="10"/>
  <c r="F255" i="10"/>
  <c r="C136" i="10" s="1"/>
  <c r="E255" i="10"/>
  <c r="K255" i="10"/>
  <c r="F136" i="10" s="1"/>
  <c r="D255" i="10"/>
  <c r="C255" i="10"/>
  <c r="B136" i="10" s="1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X254" i="10"/>
  <c r="E254" i="10"/>
  <c r="R254" i="10"/>
  <c r="Q254" i="10"/>
  <c r="P254" i="10"/>
  <c r="O254" i="10"/>
  <c r="N254" i="10"/>
  <c r="M254" i="10"/>
  <c r="K254" i="10"/>
  <c r="I254" i="10"/>
  <c r="E135" i="10" s="1"/>
  <c r="F254" i="10"/>
  <c r="C135" i="10" s="1"/>
  <c r="S253" i="10"/>
  <c r="X253" i="10"/>
  <c r="W253" i="10"/>
  <c r="U253" i="10"/>
  <c r="T253" i="10"/>
  <c r="G253" i="10"/>
  <c r="D235" i="10"/>
  <c r="C235" i="10"/>
  <c r="C227" i="10"/>
  <c r="D227" i="10"/>
  <c r="D224" i="10"/>
  <c r="C224" i="10"/>
  <c r="C197" i="10"/>
  <c r="B200" i="10"/>
  <c r="B153" i="10"/>
  <c r="C152" i="10"/>
  <c r="B154" i="10"/>
  <c r="C151" i="10"/>
  <c r="F142" i="10"/>
  <c r="E142" i="10"/>
  <c r="G113" i="10"/>
  <c r="I23" i="5"/>
  <c r="H108" i="10"/>
  <c r="L108" i="10"/>
  <c r="G107" i="10"/>
  <c r="L107" i="10"/>
  <c r="J107" i="10"/>
  <c r="K107" i="10" s="1"/>
  <c r="B105" i="10"/>
  <c r="D105" i="10"/>
  <c r="E105" i="10"/>
  <c r="H105" i="10"/>
  <c r="L105" i="10"/>
  <c r="J105" i="10"/>
  <c r="K105" i="10" s="1"/>
  <c r="J104" i="10"/>
  <c r="F104" i="10"/>
  <c r="C104" i="10"/>
  <c r="D104" i="10"/>
  <c r="E104" i="10"/>
  <c r="L104" i="10"/>
  <c r="K104" i="10"/>
  <c r="L103" i="10"/>
  <c r="B103" i="10"/>
  <c r="H103" i="10"/>
  <c r="E103" i="10"/>
  <c r="D103" i="10"/>
  <c r="C103" i="10"/>
  <c r="J103" i="10"/>
  <c r="K103" i="10"/>
  <c r="E102" i="10"/>
  <c r="J102" i="10"/>
  <c r="B101" i="10"/>
  <c r="D101" i="10"/>
  <c r="E101" i="10"/>
  <c r="L101" i="10"/>
  <c r="J101" i="10"/>
  <c r="K101" i="10" s="1"/>
  <c r="F101" i="10"/>
  <c r="G101" i="10"/>
  <c r="H101" i="10"/>
  <c r="C101" i="10"/>
  <c r="D91" i="10"/>
  <c r="E91" i="10"/>
  <c r="C82" i="10"/>
  <c r="E82" i="10"/>
  <c r="F9" i="10"/>
  <c r="F21" i="10"/>
  <c r="L70" i="9"/>
  <c r="J75" i="9"/>
  <c r="J83" i="9" s="1"/>
  <c r="E1792" i="10"/>
  <c r="H61" i="9"/>
  <c r="D61" i="9"/>
  <c r="G61" i="9" s="1"/>
  <c r="K61" i="9"/>
  <c r="M61" i="9" s="1"/>
  <c r="J59" i="9"/>
  <c r="H59" i="9"/>
  <c r="D59" i="9"/>
  <c r="G59" i="9" s="1"/>
  <c r="L59" i="9"/>
  <c r="K59" i="9"/>
  <c r="M59" i="9" s="1"/>
  <c r="E1779" i="10"/>
  <c r="K58" i="9"/>
  <c r="M58" i="9" s="1"/>
  <c r="J51" i="9"/>
  <c r="L51" i="9"/>
  <c r="H51" i="9"/>
  <c r="D51" i="9"/>
  <c r="G51" i="9" s="1"/>
  <c r="K51" i="9"/>
  <c r="M51" i="9" s="1"/>
  <c r="E1791" i="10"/>
  <c r="F1791" i="10" s="1"/>
  <c r="J49" i="9"/>
  <c r="K49" i="9"/>
  <c r="D49" i="9"/>
  <c r="G49" i="9" s="1"/>
  <c r="H47" i="9"/>
  <c r="K47" i="9"/>
  <c r="M47" i="9" s="1"/>
  <c r="J47" i="9"/>
  <c r="L47" i="9" s="1"/>
  <c r="D47" i="9"/>
  <c r="G47" i="9" s="1"/>
  <c r="H44" i="9"/>
  <c r="D44" i="9"/>
  <c r="G44" i="9" s="1"/>
  <c r="K44" i="9"/>
  <c r="H43" i="9"/>
  <c r="K43" i="9"/>
  <c r="M43" i="9" s="1"/>
  <c r="J43" i="9"/>
  <c r="L43" i="9" s="1"/>
  <c r="D43" i="9"/>
  <c r="G43" i="9" s="1"/>
  <c r="E1780" i="10"/>
  <c r="F1780" i="10" s="1"/>
  <c r="D39" i="9"/>
  <c r="G39" i="9" s="1"/>
  <c r="M39" i="9"/>
  <c r="L39" i="9"/>
  <c r="E18" i="9"/>
  <c r="L18" i="9"/>
  <c r="E14" i="9"/>
  <c r="L14" i="9"/>
  <c r="F8" i="9"/>
  <c r="C8" i="9"/>
  <c r="N62" i="8"/>
  <c r="Q110" i="8"/>
  <c r="P93" i="8"/>
  <c r="B60" i="6"/>
  <c r="F60" i="6" s="1"/>
  <c r="B58" i="6"/>
  <c r="P92" i="8"/>
  <c r="B65" i="6"/>
  <c r="P83" i="8"/>
  <c r="O58" i="8"/>
  <c r="B35" i="10" s="1"/>
  <c r="C35" i="10" s="1"/>
  <c r="K67" i="8"/>
  <c r="C7" i="13"/>
  <c r="E29" i="1"/>
  <c r="C5" i="13"/>
  <c r="F29" i="1"/>
  <c r="B7" i="13"/>
  <c r="E28" i="1"/>
  <c r="B5" i="13"/>
  <c r="F28" i="1"/>
  <c r="B109" i="6"/>
  <c r="F109" i="6" s="1"/>
  <c r="B112" i="6"/>
  <c r="F112" i="6" s="1"/>
  <c r="E20" i="1"/>
  <c r="B45" i="1"/>
  <c r="C30" i="11"/>
  <c r="F62" i="6"/>
  <c r="B8" i="17"/>
  <c r="B31" i="1"/>
  <c r="E29" i="6"/>
  <c r="E30" i="6" s="1"/>
  <c r="E37" i="6"/>
  <c r="B125" i="6"/>
  <c r="F125" i="6" s="1"/>
  <c r="F16" i="6"/>
  <c r="G6" i="6"/>
  <c r="F8" i="6"/>
  <c r="B8" i="1" s="1"/>
  <c r="C16" i="1"/>
  <c r="G9" i="6"/>
  <c r="B15" i="1"/>
  <c r="C81" i="6"/>
  <c r="D7" i="6"/>
  <c r="C1828" i="10"/>
  <c r="B1841" i="10"/>
  <c r="C1842" i="10"/>
  <c r="B1842" i="10"/>
  <c r="D1841" i="10"/>
  <c r="C1840" i="10"/>
  <c r="B1840" i="10"/>
  <c r="D1839" i="10"/>
  <c r="C1839" i="10"/>
  <c r="B1839" i="10"/>
  <c r="B1828" i="10"/>
  <c r="D1838" i="10"/>
  <c r="D1827" i="10"/>
  <c r="B1843" i="10"/>
  <c r="C1843" i="10"/>
  <c r="D1843" i="10"/>
  <c r="B1844" i="10"/>
  <c r="C1844" i="10"/>
  <c r="D1844" i="10"/>
  <c r="B1845" i="10"/>
  <c r="C1845" i="10"/>
  <c r="D1845" i="10"/>
  <c r="B1846" i="10"/>
  <c r="C1846" i="10"/>
  <c r="D1846" i="10"/>
  <c r="B1847" i="10"/>
  <c r="C1847" i="10"/>
  <c r="D1847" i="10"/>
  <c r="B1848" i="10"/>
  <c r="C1848" i="10"/>
  <c r="D1848" i="10"/>
  <c r="B1849" i="10"/>
  <c r="C1849" i="10"/>
  <c r="D1849" i="10"/>
  <c r="B1850" i="10"/>
  <c r="C1850" i="10"/>
  <c r="D1850" i="10"/>
  <c r="C1838" i="10"/>
  <c r="B1838" i="10"/>
  <c r="D1837" i="10"/>
  <c r="C1837" i="10"/>
  <c r="B1837" i="10"/>
  <c r="D1836" i="10"/>
  <c r="C1836" i="10"/>
  <c r="B1836" i="10"/>
  <c r="D1835" i="10"/>
  <c r="C1835" i="10"/>
  <c r="B1835" i="10"/>
  <c r="D1834" i="10"/>
  <c r="C1834" i="10"/>
  <c r="B1834" i="10"/>
  <c r="D1833" i="10"/>
  <c r="C1833" i="10"/>
  <c r="B1833" i="10"/>
  <c r="D1832" i="10"/>
  <c r="C1832" i="10"/>
  <c r="B1832" i="10"/>
  <c r="D1831" i="10"/>
  <c r="C1831" i="10"/>
  <c r="B1831" i="10"/>
  <c r="D1830" i="10"/>
  <c r="C1830" i="10"/>
  <c r="B1830" i="10"/>
  <c r="D1829" i="10"/>
  <c r="C1829" i="10"/>
  <c r="B1829" i="10"/>
  <c r="D1828" i="10"/>
  <c r="B1801" i="10"/>
  <c r="C1801" i="10"/>
  <c r="D1801" i="10"/>
  <c r="B1802" i="10"/>
  <c r="C1802" i="10"/>
  <c r="D1802" i="10"/>
  <c r="B1803" i="10"/>
  <c r="C1803" i="10"/>
  <c r="D1842" i="10"/>
  <c r="B1804" i="10"/>
  <c r="C1804" i="10"/>
  <c r="D1804" i="10"/>
  <c r="B1805" i="10"/>
  <c r="C1805" i="10"/>
  <c r="D1805" i="10"/>
  <c r="B1806" i="10"/>
  <c r="C1806" i="10"/>
  <c r="D1806" i="10"/>
  <c r="B1807" i="10"/>
  <c r="C1807" i="10"/>
  <c r="D1807" i="10"/>
  <c r="B1808" i="10"/>
  <c r="C1808" i="10"/>
  <c r="D1808" i="10"/>
  <c r="B1809" i="10"/>
  <c r="C1809" i="10"/>
  <c r="D1809" i="10"/>
  <c r="B1810" i="10"/>
  <c r="C1810" i="10"/>
  <c r="D1810" i="10"/>
  <c r="B1811" i="10"/>
  <c r="C1811" i="10"/>
  <c r="D1811" i="10"/>
  <c r="B1812" i="10"/>
  <c r="C1812" i="10"/>
  <c r="D1812" i="10"/>
  <c r="B1813" i="10"/>
  <c r="C1813" i="10"/>
  <c r="D1813" i="10"/>
  <c r="B1814" i="10"/>
  <c r="C1814" i="10"/>
  <c r="D1814" i="10"/>
  <c r="B1815" i="10"/>
  <c r="C1815" i="10"/>
  <c r="D1815" i="10"/>
  <c r="B1816" i="10"/>
  <c r="C1816" i="10"/>
  <c r="D1816" i="10"/>
  <c r="B1817" i="10"/>
  <c r="C1817" i="10"/>
  <c r="D1817" i="10"/>
  <c r="B1818" i="10"/>
  <c r="C1818" i="10"/>
  <c r="D1818" i="10"/>
  <c r="B1819" i="10"/>
  <c r="C1819" i="10"/>
  <c r="D1819" i="10"/>
  <c r="B1820" i="10"/>
  <c r="C1820" i="10"/>
  <c r="D1820" i="10"/>
  <c r="B1821" i="10"/>
  <c r="C1821" i="10"/>
  <c r="D1821" i="10"/>
  <c r="B1822" i="10"/>
  <c r="C1822" i="10"/>
  <c r="D1822" i="10"/>
  <c r="B1823" i="10"/>
  <c r="C1823" i="10"/>
  <c r="D1823" i="10"/>
  <c r="B1824" i="10"/>
  <c r="C1824" i="10"/>
  <c r="D1824" i="10"/>
  <c r="B1825" i="10"/>
  <c r="C1825" i="10"/>
  <c r="D1825" i="10"/>
  <c r="B1826" i="10"/>
  <c r="C1826" i="10"/>
  <c r="D1826" i="10"/>
  <c r="B1827" i="10"/>
  <c r="C1827" i="10"/>
  <c r="D1840" i="10"/>
  <c r="C1841" i="10"/>
  <c r="D1803" i="10"/>
  <c r="F52" i="10"/>
  <c r="G40" i="10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F46" i="10"/>
  <c r="C119" i="10"/>
  <c r="F53" i="10"/>
  <c r="D119" i="10"/>
  <c r="F54" i="10"/>
  <c r="F48" i="10"/>
  <c r="F42" i="10"/>
  <c r="E121" i="10"/>
  <c r="E145" i="10"/>
  <c r="F57" i="10"/>
  <c r="D82" i="10"/>
  <c r="F58" i="10"/>
  <c r="C26" i="11"/>
  <c r="C58" i="6"/>
  <c r="D58" i="6" s="1"/>
  <c r="E58" i="6" s="1"/>
  <c r="F58" i="6"/>
  <c r="K27" i="9"/>
  <c r="M27" i="9" s="1"/>
  <c r="J27" i="9"/>
  <c r="L27" i="9" s="1"/>
  <c r="H27" i="9"/>
  <c r="K28" i="9"/>
  <c r="M28" i="9" s="1"/>
  <c r="H28" i="9"/>
  <c r="J28" i="9"/>
  <c r="L28" i="9" s="1"/>
  <c r="J101" i="8"/>
  <c r="C112" i="6"/>
  <c r="C115" i="6" s="1"/>
  <c r="C76" i="6" s="1"/>
  <c r="C116" i="6"/>
  <c r="C109" i="6"/>
  <c r="C117" i="6"/>
  <c r="C20" i="6"/>
  <c r="C23" i="6" s="1"/>
  <c r="D79" i="8"/>
  <c r="D80" i="8" s="1"/>
  <c r="B63" i="6"/>
  <c r="K37" i="9"/>
  <c r="M37" i="9" s="1"/>
  <c r="J37" i="9"/>
  <c r="L37" i="9" s="1"/>
  <c r="H37" i="9"/>
  <c r="D37" i="9"/>
  <c r="G37" i="9" s="1"/>
  <c r="E79" i="8"/>
  <c r="E80" i="8" s="1"/>
  <c r="E101" i="8" s="1"/>
  <c r="B55" i="6"/>
  <c r="P84" i="8"/>
  <c r="Q144" i="8"/>
  <c r="O67" i="8"/>
  <c r="B41" i="6"/>
  <c r="E41" i="6"/>
  <c r="D51" i="6"/>
  <c r="M100" i="8"/>
  <c r="D38" i="9"/>
  <c r="G38" i="9" s="1"/>
  <c r="K38" i="9"/>
  <c r="M38" i="9" s="1"/>
  <c r="J38" i="9"/>
  <c r="L38" i="9" s="1"/>
  <c r="H38" i="9"/>
  <c r="L75" i="9"/>
  <c r="B40" i="22"/>
  <c r="B6" i="13"/>
  <c r="D28" i="1"/>
  <c r="N61" i="8"/>
  <c r="C16" i="8"/>
  <c r="N71" i="8"/>
  <c r="Q122" i="8"/>
  <c r="D21" i="10"/>
  <c r="C16" i="6"/>
  <c r="C125" i="6" s="1"/>
  <c r="D29" i="6"/>
  <c r="D30" i="6" s="1"/>
  <c r="D37" i="6"/>
  <c r="M19" i="9"/>
  <c r="L19" i="9"/>
  <c r="C40" i="9"/>
  <c r="B32" i="8"/>
  <c r="P65" i="8"/>
  <c r="B12" i="8"/>
  <c r="F12" i="8" s="1"/>
  <c r="C51" i="6"/>
  <c r="D36" i="8"/>
  <c r="N63" i="8"/>
  <c r="D16" i="6"/>
  <c r="D125" i="6" s="1"/>
  <c r="D20" i="9"/>
  <c r="K48" i="9"/>
  <c r="M48" i="9" s="1"/>
  <c r="J48" i="9"/>
  <c r="L48" i="9" s="1"/>
  <c r="I79" i="8"/>
  <c r="I80" i="8" s="1"/>
  <c r="I101" i="8" s="1"/>
  <c r="O87" i="8"/>
  <c r="Q142" i="8"/>
  <c r="D48" i="9"/>
  <c r="G48" i="9" s="1"/>
  <c r="E92" i="10"/>
  <c r="B203" i="10"/>
  <c r="B28" i="10"/>
  <c r="C27" i="10"/>
  <c r="F49" i="10"/>
  <c r="H136" i="10"/>
  <c r="G136" i="10"/>
  <c r="E93" i="10"/>
  <c r="P98" i="8"/>
  <c r="R98" i="8" s="1"/>
  <c r="F13" i="8"/>
  <c r="Q108" i="8"/>
  <c r="Q127" i="8"/>
  <c r="N77" i="8"/>
  <c r="E39" i="6"/>
  <c r="E40" i="6" s="1"/>
  <c r="D40" i="6"/>
  <c r="D44" i="6" s="1"/>
  <c r="J100" i="10"/>
  <c r="H100" i="10"/>
  <c r="G100" i="10"/>
  <c r="B100" i="10"/>
  <c r="L100" i="10"/>
  <c r="F100" i="10"/>
  <c r="E100" i="10"/>
  <c r="C100" i="10"/>
  <c r="I110" i="10"/>
  <c r="I111" i="10" s="1"/>
  <c r="E43" i="6"/>
  <c r="E7" i="6"/>
  <c r="D81" i="6"/>
  <c r="P72" i="8"/>
  <c r="K79" i="8"/>
  <c r="C50" i="9"/>
  <c r="C17" i="9"/>
  <c r="C60" i="9"/>
  <c r="P68" i="8"/>
  <c r="P60" i="8"/>
  <c r="B20" i="6"/>
  <c r="C24" i="11"/>
  <c r="F56" i="6"/>
  <c r="C56" i="6"/>
  <c r="D56" i="6" s="1"/>
  <c r="E56" i="6" s="1"/>
  <c r="B67" i="6"/>
  <c r="C13" i="9"/>
  <c r="B79" i="8"/>
  <c r="B80" i="8" s="1"/>
  <c r="B101" i="8" s="1"/>
  <c r="O96" i="8"/>
  <c r="D14" i="8"/>
  <c r="P85" i="8"/>
  <c r="R85" i="8" s="1"/>
  <c r="P94" i="8"/>
  <c r="P96" i="8"/>
  <c r="K41" i="9"/>
  <c r="M41" i="9" s="1"/>
  <c r="J41" i="9"/>
  <c r="L41" i="9" s="1"/>
  <c r="H41" i="9"/>
  <c r="D41" i="9"/>
  <c r="G41" i="9" s="1"/>
  <c r="F144" i="10"/>
  <c r="E144" i="10"/>
  <c r="F29" i="6"/>
  <c r="E1786" i="10"/>
  <c r="F1786" i="10" s="1"/>
  <c r="D42" i="9"/>
  <c r="G42" i="9" s="1"/>
  <c r="K42" i="9"/>
  <c r="M42" i="9" s="1"/>
  <c r="J42" i="9"/>
  <c r="L42" i="9" s="1"/>
  <c r="H42" i="9"/>
  <c r="E1782" i="10"/>
  <c r="F1782" i="10" s="1"/>
  <c r="H35" i="9"/>
  <c r="C68" i="6"/>
  <c r="D68" i="6" s="1"/>
  <c r="E68" i="6" s="1"/>
  <c r="E48" i="6"/>
  <c r="G79" i="8"/>
  <c r="G80" i="8" s="1"/>
  <c r="G101" i="8" s="1"/>
  <c r="F45" i="10"/>
  <c r="P87" i="8"/>
  <c r="B16" i="8"/>
  <c r="F16" i="8" s="1"/>
  <c r="B66" i="6"/>
  <c r="B115" i="6"/>
  <c r="E16" i="9"/>
  <c r="M16" i="9"/>
  <c r="L16" i="9"/>
  <c r="P76" i="8"/>
  <c r="F68" i="6"/>
  <c r="B43" i="22"/>
  <c r="G43" i="22" s="1"/>
  <c r="D4" i="13"/>
  <c r="H79" i="8"/>
  <c r="H80" i="8" s="1"/>
  <c r="N90" i="8"/>
  <c r="Q170" i="8"/>
  <c r="D10" i="6"/>
  <c r="D88" i="6" s="1"/>
  <c r="B44" i="22"/>
  <c r="D6" i="13"/>
  <c r="D14" i="6"/>
  <c r="D124" i="6" s="1"/>
  <c r="C14" i="6"/>
  <c r="C124" i="6" s="1"/>
  <c r="D7" i="7"/>
  <c r="B14" i="6"/>
  <c r="O77" i="8"/>
  <c r="O258" i="8"/>
  <c r="D35" i="9"/>
  <c r="G35" i="9" s="1"/>
  <c r="N58" i="8"/>
  <c r="J35" i="9"/>
  <c r="E1789" i="10"/>
  <c r="F1789" i="10" s="1"/>
  <c r="M44" i="9"/>
  <c r="J44" i="9"/>
  <c r="L44" i="9" s="1"/>
  <c r="C100" i="8"/>
  <c r="C101" i="8" s="1"/>
  <c r="O259" i="8"/>
  <c r="K35" i="9"/>
  <c r="C11" i="6"/>
  <c r="M79" i="8"/>
  <c r="M80" i="8" s="1"/>
  <c r="M101" i="8" s="1"/>
  <c r="P75" i="8"/>
  <c r="C63" i="9"/>
  <c r="D100" i="8"/>
  <c r="L35" i="9"/>
  <c r="B11" i="17"/>
  <c r="D32" i="1"/>
  <c r="G6" i="18"/>
  <c r="B46" i="1"/>
  <c r="E21" i="1"/>
  <c r="B30" i="1"/>
  <c r="O97" i="8"/>
  <c r="M35" i="9"/>
  <c r="K75" i="9"/>
  <c r="K83" i="9" s="1"/>
  <c r="D83" i="10"/>
  <c r="E83" i="10"/>
  <c r="C83" i="10"/>
  <c r="B84" i="17"/>
  <c r="M84" i="17"/>
  <c r="D8" i="7"/>
  <c r="C13" i="10"/>
  <c r="C33" i="11"/>
  <c r="F65" i="6"/>
  <c r="C65" i="6"/>
  <c r="D65" i="6" s="1"/>
  <c r="E65" i="6" s="1"/>
  <c r="L15" i="9"/>
  <c r="L20" i="9" s="1"/>
  <c r="L79" i="8"/>
  <c r="L80" i="8" s="1"/>
  <c r="L101" i="8" s="1"/>
  <c r="E1783" i="10"/>
  <c r="F1783" i="10" s="1"/>
  <c r="J36" i="9"/>
  <c r="L36" i="9" s="1"/>
  <c r="D30" i="1"/>
  <c r="P86" i="8"/>
  <c r="D36" i="9"/>
  <c r="G36" i="9" s="1"/>
  <c r="B31" i="8"/>
  <c r="N91" i="8"/>
  <c r="Q175" i="8"/>
  <c r="E1788" i="10"/>
  <c r="F1788" i="10" s="1"/>
  <c r="K45" i="9"/>
  <c r="M45" i="9" s="1"/>
  <c r="J45" i="9"/>
  <c r="L45" i="9" s="1"/>
  <c r="H45" i="9"/>
  <c r="D45" i="9"/>
  <c r="G45" i="9" s="1"/>
  <c r="E30" i="1"/>
  <c r="F30" i="1"/>
  <c r="C15" i="9"/>
  <c r="H15" i="9" s="1"/>
  <c r="K15" i="9" s="1"/>
  <c r="M15" i="9" s="1"/>
  <c r="P95" i="8"/>
  <c r="H36" i="9"/>
  <c r="E1790" i="10"/>
  <c r="F1790" i="10" s="1"/>
  <c r="D46" i="9"/>
  <c r="G46" i="9" s="1"/>
  <c r="K46" i="9"/>
  <c r="M46" i="9" s="1"/>
  <c r="J46" i="9"/>
  <c r="L46" i="9" s="1"/>
  <c r="H46" i="9"/>
  <c r="B117" i="6"/>
  <c r="B116" i="6"/>
  <c r="F116" i="6" s="1"/>
  <c r="O69" i="8"/>
  <c r="N82" i="8"/>
  <c r="G18" i="10"/>
  <c r="G21" i="10" s="1"/>
  <c r="F88" i="6"/>
  <c r="K36" i="9"/>
  <c r="M36" i="9" s="1"/>
  <c r="E14" i="6"/>
  <c r="E124" i="6" s="1"/>
  <c r="B34" i="8"/>
  <c r="O61" i="8"/>
  <c r="C15" i="8"/>
  <c r="O82" i="8"/>
  <c r="D15" i="8"/>
  <c r="B83" i="22"/>
  <c r="G83" i="22" s="1"/>
  <c r="H83" i="22" s="1"/>
  <c r="I83" i="22" s="1"/>
  <c r="R93" i="8"/>
  <c r="H134" i="10"/>
  <c r="G134" i="10"/>
  <c r="B32" i="10"/>
  <c r="C26" i="10"/>
  <c r="B14" i="8"/>
  <c r="P88" i="8"/>
  <c r="B12" i="17"/>
  <c r="B24" i="18"/>
  <c r="F20" i="18"/>
  <c r="F19" i="18"/>
  <c r="B25" i="18"/>
  <c r="E86" i="10"/>
  <c r="D86" i="10"/>
  <c r="J109" i="10"/>
  <c r="K109" i="10" s="1"/>
  <c r="G109" i="10"/>
  <c r="E109" i="10"/>
  <c r="D109" i="10"/>
  <c r="L13" i="14"/>
  <c r="N13" i="14"/>
  <c r="M13" i="14"/>
  <c r="G7" i="6"/>
  <c r="B65" i="10"/>
  <c r="C65" i="10" s="1"/>
  <c r="D65" i="10" s="1"/>
  <c r="C86" i="10"/>
  <c r="G105" i="10"/>
  <c r="L109" i="10"/>
  <c r="F97" i="22"/>
  <c r="B17" i="22"/>
  <c r="G17" i="22" s="1"/>
  <c r="B14" i="22"/>
  <c r="G14" i="22" s="1"/>
  <c r="F76" i="11"/>
  <c r="J68" i="11"/>
  <c r="L64" i="11"/>
  <c r="D62" i="11"/>
  <c r="O56" i="11"/>
  <c r="K54" i="11"/>
  <c r="F50" i="11"/>
  <c r="F44" i="11"/>
  <c r="M38" i="11"/>
  <c r="K36" i="11"/>
  <c r="I34" i="11"/>
  <c r="D32" i="11"/>
  <c r="I75" i="11"/>
  <c r="M66" i="11"/>
  <c r="D64" i="11"/>
  <c r="J60" i="11"/>
  <c r="G56" i="11"/>
  <c r="Q53" i="11"/>
  <c r="L49" i="11"/>
  <c r="L85" i="11" s="1"/>
  <c r="I46" i="11"/>
  <c r="H43" i="11"/>
  <c r="E38" i="11"/>
  <c r="M33" i="11"/>
  <c r="K31" i="11"/>
  <c r="I76" i="11"/>
  <c r="K68" i="11"/>
  <c r="J64" i="11"/>
  <c r="Q60" i="11"/>
  <c r="I56" i="11"/>
  <c r="P53" i="11"/>
  <c r="I49" i="11"/>
  <c r="I85" i="11" s="1"/>
  <c r="D46" i="11"/>
  <c r="K37" i="11"/>
  <c r="G35" i="11"/>
  <c r="H76" i="11"/>
  <c r="I68" i="11"/>
  <c r="I64" i="11"/>
  <c r="M60" i="11"/>
  <c r="H56" i="11"/>
  <c r="O53" i="11"/>
  <c r="H49" i="11"/>
  <c r="H85" i="11" s="1"/>
  <c r="J37" i="11"/>
  <c r="F35" i="11"/>
  <c r="G76" i="11"/>
  <c r="H68" i="11"/>
  <c r="H64" i="11"/>
  <c r="L60" i="11"/>
  <c r="F56" i="11"/>
  <c r="N53" i="11"/>
  <c r="G49" i="11"/>
  <c r="G85" i="11" s="1"/>
  <c r="M45" i="11"/>
  <c r="M40" i="11"/>
  <c r="I37" i="11"/>
  <c r="E35" i="11"/>
  <c r="M32" i="11"/>
  <c r="E76" i="11"/>
  <c r="G68" i="11"/>
  <c r="G64" i="11"/>
  <c r="K60" i="11"/>
  <c r="E56" i="11"/>
  <c r="M53" i="11"/>
  <c r="F49" i="11"/>
  <c r="F85" i="11" s="1"/>
  <c r="L45" i="11"/>
  <c r="L40" i="11"/>
  <c r="H37" i="11"/>
  <c r="D35" i="11"/>
  <c r="L32" i="11"/>
  <c r="D76" i="11"/>
  <c r="F68" i="11"/>
  <c r="F64" i="11"/>
  <c r="I60" i="11"/>
  <c r="D56" i="11"/>
  <c r="L53" i="11"/>
  <c r="E49" i="11"/>
  <c r="E85" i="11" s="1"/>
  <c r="K45" i="11"/>
  <c r="K40" i="11"/>
  <c r="G37" i="11"/>
  <c r="K32" i="11"/>
  <c r="P75" i="11"/>
  <c r="E68" i="11"/>
  <c r="E64" i="11"/>
  <c r="H60" i="11"/>
  <c r="Q55" i="11"/>
  <c r="K53" i="11"/>
  <c r="D49" i="11"/>
  <c r="J45" i="11"/>
  <c r="J40" i="11"/>
  <c r="F37" i="11"/>
  <c r="J32" i="11"/>
  <c r="M75" i="11"/>
  <c r="D68" i="11"/>
  <c r="E18" i="1" s="1"/>
  <c r="G60" i="11"/>
  <c r="P55" i="11"/>
  <c r="J53" i="11"/>
  <c r="I45" i="11"/>
  <c r="I40" i="11"/>
  <c r="E37" i="11"/>
  <c r="I32" i="11"/>
  <c r="L75" i="11"/>
  <c r="Q66" i="11"/>
  <c r="Q63" i="11"/>
  <c r="F60" i="11"/>
  <c r="O55" i="11"/>
  <c r="I53" i="11"/>
  <c r="P48" i="11"/>
  <c r="H45" i="11"/>
  <c r="H40" i="11"/>
  <c r="D37" i="11"/>
  <c r="H32" i="11"/>
  <c r="K75" i="11"/>
  <c r="L66" i="11"/>
  <c r="M63" i="11"/>
  <c r="E60" i="11"/>
  <c r="N55" i="11"/>
  <c r="H53" i="11"/>
  <c r="G45" i="11"/>
  <c r="G40" i="11"/>
  <c r="G32" i="11"/>
  <c r="J75" i="11"/>
  <c r="K66" i="11"/>
  <c r="L63" i="11"/>
  <c r="D60" i="11"/>
  <c r="B58" i="22" s="1"/>
  <c r="M55" i="11"/>
  <c r="G53" i="11"/>
  <c r="F45" i="11"/>
  <c r="F40" i="11"/>
  <c r="M34" i="11"/>
  <c r="F32" i="11"/>
  <c r="H75" i="11"/>
  <c r="J66" i="11"/>
  <c r="K63" i="11"/>
  <c r="L55" i="11"/>
  <c r="F53" i="11"/>
  <c r="M48" i="11"/>
  <c r="E45" i="11"/>
  <c r="E40" i="11"/>
  <c r="L34" i="11"/>
  <c r="E32" i="11"/>
  <c r="G75" i="11"/>
  <c r="I66" i="11"/>
  <c r="J63" i="11"/>
  <c r="Q57" i="11"/>
  <c r="K55" i="11"/>
  <c r="E53" i="11"/>
  <c r="L48" i="11"/>
  <c r="D45" i="11"/>
  <c r="D40" i="11"/>
  <c r="K34" i="11"/>
  <c r="H80" i="11"/>
  <c r="F75" i="11"/>
  <c r="H66" i="11"/>
  <c r="I63" i="11"/>
  <c r="P57" i="11"/>
  <c r="J55" i="11"/>
  <c r="D53" i="11"/>
  <c r="K48" i="11"/>
  <c r="M44" i="11"/>
  <c r="J34" i="11"/>
  <c r="F80" i="11"/>
  <c r="E75" i="11"/>
  <c r="G66" i="11"/>
  <c r="H63" i="11"/>
  <c r="O57" i="11"/>
  <c r="I55" i="11"/>
  <c r="P50" i="11"/>
  <c r="J48" i="11"/>
  <c r="L44" i="11"/>
  <c r="M36" i="11"/>
  <c r="H34" i="11"/>
  <c r="D80" i="11"/>
  <c r="D75" i="11"/>
  <c r="F66" i="11"/>
  <c r="G63" i="11"/>
  <c r="N57" i="11"/>
  <c r="H55" i="11"/>
  <c r="O50" i="11"/>
  <c r="I48" i="11"/>
  <c r="K44" i="11"/>
  <c r="L36" i="11"/>
  <c r="G34" i="11"/>
  <c r="H79" i="11"/>
  <c r="Q71" i="11"/>
  <c r="E66" i="11"/>
  <c r="F63" i="11"/>
  <c r="M57" i="11"/>
  <c r="G55" i="11"/>
  <c r="N50" i="11"/>
  <c r="H48" i="11"/>
  <c r="J44" i="11"/>
  <c r="J36" i="11"/>
  <c r="F34" i="11"/>
  <c r="F79" i="11"/>
  <c r="D71" i="11"/>
  <c r="D66" i="11"/>
  <c r="E63" i="11"/>
  <c r="L57" i="11"/>
  <c r="F55" i="11"/>
  <c r="M50" i="11"/>
  <c r="G48" i="11"/>
  <c r="I44" i="11"/>
  <c r="I36" i="11"/>
  <c r="E34" i="11"/>
  <c r="M31" i="11"/>
  <c r="D79" i="11"/>
  <c r="M70" i="11"/>
  <c r="D63" i="11"/>
  <c r="K57" i="11"/>
  <c r="E55" i="11"/>
  <c r="L50" i="11"/>
  <c r="F48" i="11"/>
  <c r="H44" i="11"/>
  <c r="L38" i="11"/>
  <c r="H36" i="11"/>
  <c r="D34" i="11"/>
  <c r="L31" i="11"/>
  <c r="M77" i="11"/>
  <c r="L70" i="11"/>
  <c r="M65" i="11"/>
  <c r="J57" i="11"/>
  <c r="D55" i="11"/>
  <c r="K50" i="11"/>
  <c r="E48" i="11"/>
  <c r="G44" i="11"/>
  <c r="K38" i="11"/>
  <c r="G36" i="11"/>
  <c r="J31" i="11"/>
  <c r="L77" i="11"/>
  <c r="K70" i="11"/>
  <c r="L65" i="11"/>
  <c r="Q62" i="11"/>
  <c r="I57" i="11"/>
  <c r="Q54" i="11"/>
  <c r="J50" i="11"/>
  <c r="D48" i="11"/>
  <c r="E44" i="11"/>
  <c r="J38" i="11"/>
  <c r="F36" i="11"/>
  <c r="I31" i="11"/>
  <c r="K77" i="11"/>
  <c r="J70" i="11"/>
  <c r="K65" i="11"/>
  <c r="M62" i="11"/>
  <c r="H57" i="11"/>
  <c r="P54" i="11"/>
  <c r="I50" i="11"/>
  <c r="D44" i="11"/>
  <c r="I38" i="11"/>
  <c r="E36" i="11"/>
  <c r="L33" i="11"/>
  <c r="H31" i="11"/>
  <c r="J77" i="11"/>
  <c r="I70" i="11"/>
  <c r="J65" i="11"/>
  <c r="L62" i="11"/>
  <c r="G57" i="11"/>
  <c r="O54" i="11"/>
  <c r="H50" i="11"/>
  <c r="P46" i="11"/>
  <c r="M43" i="11"/>
  <c r="H38" i="11"/>
  <c r="D36" i="11"/>
  <c r="K33" i="11"/>
  <c r="G31" i="11"/>
  <c r="I77" i="11"/>
  <c r="H70" i="11"/>
  <c r="I65" i="11"/>
  <c r="K62" i="11"/>
  <c r="F57" i="11"/>
  <c r="N54" i="11"/>
  <c r="G50" i="11"/>
  <c r="O46" i="11"/>
  <c r="L43" i="11"/>
  <c r="G38" i="11"/>
  <c r="J33" i="11"/>
  <c r="F31" i="11"/>
  <c r="H77" i="11"/>
  <c r="G70" i="11"/>
  <c r="H65" i="11"/>
  <c r="J62" i="11"/>
  <c r="E57" i="11"/>
  <c r="M54" i="11"/>
  <c r="E50" i="11"/>
  <c r="N46" i="11"/>
  <c r="K43" i="11"/>
  <c r="F38" i="11"/>
  <c r="I33" i="11"/>
  <c r="E31" i="11"/>
  <c r="G77" i="11"/>
  <c r="F70" i="11"/>
  <c r="G65" i="11"/>
  <c r="I62" i="11"/>
  <c r="D57" i="11"/>
  <c r="L54" i="11"/>
  <c r="D50" i="11"/>
  <c r="M46" i="11"/>
  <c r="J43" i="11"/>
  <c r="D38" i="11"/>
  <c r="H33" i="11"/>
  <c r="D31" i="11"/>
  <c r="F77" i="11"/>
  <c r="E70" i="11"/>
  <c r="F65" i="11"/>
  <c r="H62" i="11"/>
  <c r="Q56" i="11"/>
  <c r="J54" i="11"/>
  <c r="L46" i="11"/>
  <c r="I43" i="11"/>
  <c r="G33" i="11"/>
  <c r="E77" i="11"/>
  <c r="D70" i="11"/>
  <c r="E65" i="11"/>
  <c r="G62" i="11"/>
  <c r="P56" i="11"/>
  <c r="I54" i="11"/>
  <c r="K46" i="11"/>
  <c r="G43" i="11"/>
  <c r="M35" i="11"/>
  <c r="F33" i="11"/>
  <c r="D77" i="11"/>
  <c r="Q69" i="11"/>
  <c r="D65" i="11"/>
  <c r="F62" i="11"/>
  <c r="N56" i="11"/>
  <c r="H54" i="11"/>
  <c r="O49" i="11"/>
  <c r="J46" i="11"/>
  <c r="F43" i="11"/>
  <c r="L35" i="11"/>
  <c r="E33" i="11"/>
  <c r="M76" i="11"/>
  <c r="D69" i="11"/>
  <c r="E62" i="11"/>
  <c r="M56" i="11"/>
  <c r="G54" i="11"/>
  <c r="N49" i="11"/>
  <c r="H46" i="11"/>
  <c r="E43" i="11"/>
  <c r="K35" i="11"/>
  <c r="D33" i="11"/>
  <c r="L76" i="11"/>
  <c r="Q68" i="11"/>
  <c r="Q64" i="11"/>
  <c r="L56" i="11"/>
  <c r="F54" i="11"/>
  <c r="M49" i="11"/>
  <c r="M85" i="11" s="1"/>
  <c r="G46" i="11"/>
  <c r="D43" i="11"/>
  <c r="J35" i="11"/>
  <c r="K76" i="11"/>
  <c r="M68" i="11"/>
  <c r="M64" i="11"/>
  <c r="Q61" i="11"/>
  <c r="K56" i="11"/>
  <c r="E54" i="11"/>
  <c r="K49" i="11"/>
  <c r="K85" i="11" s="1"/>
  <c r="F46" i="11"/>
  <c r="M37" i="11"/>
  <c r="I35" i="11"/>
  <c r="J76" i="11"/>
  <c r="L68" i="11"/>
  <c r="K64" i="11"/>
  <c r="D61" i="11"/>
  <c r="J56" i="11"/>
  <c r="D54" i="11"/>
  <c r="J49" i="11"/>
  <c r="J85" i="11" s="1"/>
  <c r="E46" i="11"/>
  <c r="L37" i="11"/>
  <c r="H35" i="11"/>
  <c r="M62" i="9"/>
  <c r="P97" i="8"/>
  <c r="C8" i="6"/>
  <c r="B61" i="6"/>
  <c r="B102" i="10"/>
  <c r="B41" i="22"/>
  <c r="G41" i="22" s="1"/>
  <c r="C4" i="13"/>
  <c r="B18" i="10"/>
  <c r="C18" i="10" s="1"/>
  <c r="D90" i="10"/>
  <c r="D102" i="10"/>
  <c r="C106" i="10"/>
  <c r="B42" i="22"/>
  <c r="C6" i="13"/>
  <c r="R99" i="8"/>
  <c r="E130" i="10"/>
  <c r="N10" i="14"/>
  <c r="M10" i="14"/>
  <c r="L10" i="14"/>
  <c r="E1796" i="10"/>
  <c r="B9" i="6"/>
  <c r="F9" i="6" s="1"/>
  <c r="E62" i="17"/>
  <c r="B61" i="17"/>
  <c r="P97" i="22"/>
  <c r="G5" i="18" a="1"/>
  <c r="G5" i="18" s="1"/>
  <c r="E4" i="18"/>
  <c r="B5" i="17"/>
  <c r="P66" i="8"/>
  <c r="L106" i="10"/>
  <c r="H106" i="10"/>
  <c r="F106" i="10"/>
  <c r="E106" i="10"/>
  <c r="D23" i="7"/>
  <c r="H39" i="9"/>
  <c r="L102" i="10"/>
  <c r="H102" i="10"/>
  <c r="J106" i="10"/>
  <c r="K106" i="10" s="1"/>
  <c r="F210" i="10"/>
  <c r="F59" i="10"/>
  <c r="K102" i="10"/>
  <c r="I119" i="10"/>
  <c r="C181" i="10"/>
  <c r="B219" i="10"/>
  <c r="C219" i="10" s="1"/>
  <c r="C216" i="10"/>
  <c r="C120" i="10"/>
  <c r="E120" i="10"/>
  <c r="F181" i="10"/>
  <c r="F219" i="10"/>
  <c r="G216" i="10"/>
  <c r="D94" i="10"/>
  <c r="G181" i="10"/>
  <c r="F189" i="10"/>
  <c r="L120" i="10"/>
  <c r="K120" i="10"/>
  <c r="H181" i="10"/>
  <c r="N15" i="14"/>
  <c r="M15" i="14"/>
  <c r="L15" i="14"/>
  <c r="F1792" i="10"/>
  <c r="D108" i="10"/>
  <c r="D121" i="10"/>
  <c r="D181" i="10"/>
  <c r="E181" i="10" s="1"/>
  <c r="E164" i="10"/>
  <c r="I164" i="10" s="1"/>
  <c r="E219" i="10"/>
  <c r="N89" i="8"/>
  <c r="H49" i="9"/>
  <c r="J108" i="10"/>
  <c r="K108" i="10" s="1"/>
  <c r="F108" i="10"/>
  <c r="K121" i="10"/>
  <c r="E122" i="10"/>
  <c r="D122" i="10"/>
  <c r="C122" i="10"/>
  <c r="D58" i="9"/>
  <c r="G58" i="9" s="1"/>
  <c r="D84" i="10"/>
  <c r="D62" i="9"/>
  <c r="G62" i="9" s="1"/>
  <c r="M49" i="9"/>
  <c r="H58" i="9"/>
  <c r="H62" i="9"/>
  <c r="E84" i="10"/>
  <c r="C105" i="10"/>
  <c r="B109" i="10"/>
  <c r="F143" i="10"/>
  <c r="H15" i="11"/>
  <c r="I15" i="11" s="1"/>
  <c r="J15" i="11" s="1"/>
  <c r="K15" i="11" s="1"/>
  <c r="L15" i="11" s="1"/>
  <c r="M15" i="11" s="1"/>
  <c r="N15" i="11"/>
  <c r="L49" i="9"/>
  <c r="J58" i="9"/>
  <c r="L58" i="9" s="1"/>
  <c r="J62" i="9"/>
  <c r="L62" i="9" s="1"/>
  <c r="C109" i="10"/>
  <c r="D85" i="10"/>
  <c r="C85" i="10"/>
  <c r="F109" i="10"/>
  <c r="D33" i="14"/>
  <c r="F47" i="10"/>
  <c r="E85" i="10"/>
  <c r="F105" i="10"/>
  <c r="H109" i="10"/>
  <c r="V253" i="10"/>
  <c r="Q256" i="10"/>
  <c r="D258" i="10"/>
  <c r="X260" i="10"/>
  <c r="J64" i="13"/>
  <c r="AA7" i="14"/>
  <c r="D16" i="14"/>
  <c r="C20" i="16"/>
  <c r="C23" i="16"/>
  <c r="G17" i="16"/>
  <c r="C225" i="10"/>
  <c r="B236" i="10"/>
  <c r="R256" i="10"/>
  <c r="E258" i="10"/>
  <c r="G16" i="14"/>
  <c r="G14" i="16"/>
  <c r="C236" i="10"/>
  <c r="F258" i="10"/>
  <c r="B237" i="10"/>
  <c r="T256" i="10"/>
  <c r="H258" i="10"/>
  <c r="C28" i="12"/>
  <c r="G37" i="13"/>
  <c r="H34" i="13" s="1"/>
  <c r="H16" i="14"/>
  <c r="J48" i="14" a="1"/>
  <c r="J48" i="14" s="1"/>
  <c r="I48" i="14"/>
  <c r="F48" i="14"/>
  <c r="C48" i="14"/>
  <c r="C226" i="10"/>
  <c r="C254" i="10"/>
  <c r="B135" i="10" s="1"/>
  <c r="V256" i="10"/>
  <c r="I258" i="10"/>
  <c r="H37" i="13"/>
  <c r="I34" i="13" s="1"/>
  <c r="D8" i="14"/>
  <c r="B48" i="14"/>
  <c r="I21" i="21"/>
  <c r="D194" i="10"/>
  <c r="B238" i="10"/>
  <c r="C238" i="10" s="1"/>
  <c r="D254" i="10"/>
  <c r="W256" i="10"/>
  <c r="J258" i="10"/>
  <c r="T259" i="10"/>
  <c r="O15" i="11"/>
  <c r="P15" i="11" s="1"/>
  <c r="I37" i="13"/>
  <c r="J34" i="13" s="1"/>
  <c r="D11" i="14"/>
  <c r="N16" i="14"/>
  <c r="L16" i="14"/>
  <c r="X256" i="10"/>
  <c r="K258" i="10"/>
  <c r="G16" i="16"/>
  <c r="L258" i="10"/>
  <c r="J61" i="13"/>
  <c r="E43" i="14" a="1"/>
  <c r="E43" i="14" s="1"/>
  <c r="D43" i="14" a="1"/>
  <c r="D43" i="14" s="1"/>
  <c r="B43" i="14"/>
  <c r="K43" i="14" a="1"/>
  <c r="K43" i="14" s="1"/>
  <c r="H43" i="14" a="1"/>
  <c r="H43" i="14" s="1"/>
  <c r="G254" i="10"/>
  <c r="C257" i="10"/>
  <c r="M258" i="10"/>
  <c r="W259" i="10"/>
  <c r="F1779" i="10"/>
  <c r="K61" i="13"/>
  <c r="C43" i="14"/>
  <c r="E48" i="14" a="1"/>
  <c r="E48" i="14" s="1"/>
  <c r="H254" i="10"/>
  <c r="D257" i="10"/>
  <c r="N258" i="10"/>
  <c r="X259" i="10"/>
  <c r="D14" i="14"/>
  <c r="F103" i="10"/>
  <c r="C228" i="10"/>
  <c r="O258" i="10"/>
  <c r="M8" i="14"/>
  <c r="L8" i="14"/>
  <c r="N8" i="14"/>
  <c r="C28" i="14"/>
  <c r="D17" i="14"/>
  <c r="D12" i="14"/>
  <c r="I17" i="14"/>
  <c r="G103" i="10"/>
  <c r="J254" i="10"/>
  <c r="D135" i="10" s="1"/>
  <c r="F135" i="10" s="1"/>
  <c r="F257" i="10"/>
  <c r="P258" i="10"/>
  <c r="C260" i="10"/>
  <c r="L11" i="14"/>
  <c r="G43" i="14" a="1"/>
  <c r="G43" i="14" s="1"/>
  <c r="G53" i="14" s="1" a="1"/>
  <c r="G53" i="14" s="1"/>
  <c r="H48" i="14" a="1"/>
  <c r="H48" i="14" s="1"/>
  <c r="Q258" i="10"/>
  <c r="C229" i="10"/>
  <c r="C253" i="10"/>
  <c r="L254" i="10"/>
  <c r="H257" i="10"/>
  <c r="R258" i="10"/>
  <c r="E260" i="10"/>
  <c r="D253" i="10"/>
  <c r="I257" i="10"/>
  <c r="S258" i="10"/>
  <c r="F260" i="10"/>
  <c r="L14" i="14"/>
  <c r="M14" i="14"/>
  <c r="C21" i="16"/>
  <c r="E253" i="10"/>
  <c r="J257" i="10"/>
  <c r="T258" i="10"/>
  <c r="G260" i="10"/>
  <c r="D9" i="14"/>
  <c r="N14" i="14"/>
  <c r="J43" i="14" a="1"/>
  <c r="J43" i="14" s="1"/>
  <c r="I52" i="14"/>
  <c r="H52" i="14" a="1"/>
  <c r="H52" i="14" s="1"/>
  <c r="E52" i="14" a="1"/>
  <c r="E52" i="14" s="1"/>
  <c r="C52" i="14"/>
  <c r="K52" i="14" a="1"/>
  <c r="K52" i="14" s="1"/>
  <c r="J52" i="14" a="1"/>
  <c r="J52" i="14" s="1"/>
  <c r="D52" i="14" a="1"/>
  <c r="D52" i="14" s="1"/>
  <c r="B52" i="14"/>
  <c r="C230" i="10"/>
  <c r="F253" i="10"/>
  <c r="U258" i="10"/>
  <c r="H9" i="14"/>
  <c r="B104" i="10"/>
  <c r="V258" i="10"/>
  <c r="F35" i="13"/>
  <c r="K62" i="13"/>
  <c r="G22" i="16"/>
  <c r="H253" i="10"/>
  <c r="C256" i="10"/>
  <c r="W258" i="10"/>
  <c r="J21" i="14"/>
  <c r="I27" i="14"/>
  <c r="C231" i="10"/>
  <c r="I253" i="10"/>
  <c r="E134" i="10" s="1"/>
  <c r="F134" i="10" s="1"/>
  <c r="D256" i="10"/>
  <c r="X258" i="10"/>
  <c r="K260" i="10"/>
  <c r="H35" i="13"/>
  <c r="E28" i="14"/>
  <c r="E17" i="14"/>
  <c r="J9" i="14"/>
  <c r="K9" i="14" s="1"/>
  <c r="D15" i="14"/>
  <c r="J253" i="10"/>
  <c r="D134" i="10" s="1"/>
  <c r="S254" i="10"/>
  <c r="E256" i="10"/>
  <c r="O257" i="10"/>
  <c r="L260" i="10"/>
  <c r="I35" i="13"/>
  <c r="F28" i="14"/>
  <c r="F17" i="14"/>
  <c r="K253" i="10"/>
  <c r="T254" i="10"/>
  <c r="F256" i="10"/>
  <c r="P257" i="10"/>
  <c r="M260" i="10"/>
  <c r="L60" i="13"/>
  <c r="D60" i="13"/>
  <c r="G7" i="14"/>
  <c r="G104" i="10"/>
  <c r="F107" i="10"/>
  <c r="C232" i="10"/>
  <c r="L253" i="10"/>
  <c r="U254" i="10"/>
  <c r="G256" i="10"/>
  <c r="G263" i="10" s="1"/>
  <c r="Q257" i="10"/>
  <c r="N260" i="10"/>
  <c r="H7" i="14"/>
  <c r="AA9" i="14"/>
  <c r="AA23" i="14" s="1"/>
  <c r="Z23" i="14"/>
  <c r="Z24" i="14" s="1"/>
  <c r="H104" i="10"/>
  <c r="M253" i="10"/>
  <c r="V254" i="10"/>
  <c r="H256" i="10"/>
  <c r="R257" i="10"/>
  <c r="E259" i="10"/>
  <c r="O260" i="10"/>
  <c r="B23" i="13"/>
  <c r="B26" i="13" s="1"/>
  <c r="J7" i="14"/>
  <c r="D11" i="15"/>
  <c r="D66" i="15"/>
  <c r="D67" i="15" s="1"/>
  <c r="N253" i="10"/>
  <c r="W254" i="10"/>
  <c r="I256" i="10"/>
  <c r="S257" i="10"/>
  <c r="F259" i="10"/>
  <c r="P260" i="10"/>
  <c r="B24" i="13"/>
  <c r="M12" i="14"/>
  <c r="C233" i="10"/>
  <c r="O253" i="10"/>
  <c r="J256" i="10"/>
  <c r="T257" i="10"/>
  <c r="Q260" i="10"/>
  <c r="B25" i="13"/>
  <c r="C60" i="13"/>
  <c r="P253" i="10"/>
  <c r="K256" i="10"/>
  <c r="U257" i="10"/>
  <c r="H259" i="10"/>
  <c r="R260" i="10"/>
  <c r="D262" i="10"/>
  <c r="E60" i="13"/>
  <c r="Q253" i="10"/>
  <c r="L256" i="10"/>
  <c r="S260" i="10"/>
  <c r="F60" i="13"/>
  <c r="C234" i="10"/>
  <c r="R253" i="10"/>
  <c r="M256" i="10"/>
  <c r="W257" i="10"/>
  <c r="J259" i="10"/>
  <c r="T260" i="10"/>
  <c r="G60" i="13"/>
  <c r="N256" i="10"/>
  <c r="K259" i="10"/>
  <c r="H60" i="13"/>
  <c r="B27" i="12"/>
  <c r="I60" i="13"/>
  <c r="W24" i="14"/>
  <c r="G13" i="14"/>
  <c r="G19" i="16"/>
  <c r="M17" i="21"/>
  <c r="D65" i="15"/>
  <c r="D21" i="21"/>
  <c r="D38" i="15"/>
  <c r="E45" i="14" a="1"/>
  <c r="E45" i="14" s="1"/>
  <c r="D45" i="14" a="1"/>
  <c r="D45" i="14" s="1"/>
  <c r="C45" i="14"/>
  <c r="B45" i="14"/>
  <c r="K45" i="14" a="1"/>
  <c r="K45" i="14" s="1"/>
  <c r="J45" i="14" a="1"/>
  <c r="J45" i="14" s="1"/>
  <c r="G45" i="14" a="1"/>
  <c r="G45" i="14" s="1"/>
  <c r="C51" i="14"/>
  <c r="G51" i="14" a="1"/>
  <c r="G51" i="14" s="1"/>
  <c r="E14" i="16"/>
  <c r="B46" i="14"/>
  <c r="G46" i="14" a="1"/>
  <c r="G46" i="14" s="1"/>
  <c r="Y34" i="24" l="1"/>
  <c r="F51" i="24" s="1"/>
  <c r="Y35" i="24"/>
  <c r="F52" i="24" s="1"/>
  <c r="Y36" i="24"/>
  <c r="F53" i="24" s="1"/>
  <c r="Y37" i="24"/>
  <c r="F54" i="24" s="1"/>
  <c r="Y38" i="24"/>
  <c r="F55" i="24" s="1"/>
  <c r="X34" i="24"/>
  <c r="E51" i="24" s="1"/>
  <c r="X35" i="24"/>
  <c r="E52" i="24" s="1"/>
  <c r="X36" i="24"/>
  <c r="E53" i="24" s="1"/>
  <c r="X37" i="24"/>
  <c r="E54" i="24" s="1"/>
  <c r="X38" i="24"/>
  <c r="E55" i="24" s="1"/>
  <c r="W34" i="24"/>
  <c r="D51" i="24" s="1"/>
  <c r="W35" i="24"/>
  <c r="D52" i="24" s="1"/>
  <c r="W36" i="24"/>
  <c r="D53" i="24" s="1"/>
  <c r="W37" i="24"/>
  <c r="D54" i="24" s="1"/>
  <c r="W38" i="24"/>
  <c r="D55" i="24" s="1"/>
  <c r="S27" i="24"/>
  <c r="S20" i="24"/>
  <c r="D27" i="24" s="1"/>
  <c r="D43" i="24"/>
  <c r="F43" i="24"/>
  <c r="F44" i="24"/>
  <c r="F45" i="24"/>
  <c r="S19" i="24"/>
  <c r="D26" i="24" s="1"/>
  <c r="S21" i="24"/>
  <c r="D28" i="24" s="1"/>
  <c r="J30" i="24"/>
  <c r="I30" i="24"/>
  <c r="N30" i="24"/>
  <c r="M29" i="24"/>
  <c r="M28" i="24"/>
  <c r="M27" i="24"/>
  <c r="M26" i="24"/>
  <c r="M25" i="24"/>
  <c r="F84" i="10"/>
  <c r="F82" i="10"/>
  <c r="F86" i="10"/>
  <c r="M11" i="14"/>
  <c r="N11" i="14"/>
  <c r="L36" i="13"/>
  <c r="L37" i="13"/>
  <c r="L35" i="13"/>
  <c r="L38" i="13" s="1"/>
  <c r="K36" i="13"/>
  <c r="K37" i="13"/>
  <c r="L34" i="13" s="1"/>
  <c r="K35" i="13"/>
  <c r="K38" i="13" s="1"/>
  <c r="J35" i="13"/>
  <c r="J36" i="13"/>
  <c r="J37" i="13"/>
  <c r="K34" i="13" s="1"/>
  <c r="G35" i="13"/>
  <c r="G36" i="13"/>
  <c r="K64" i="13"/>
  <c r="K63" i="13"/>
  <c r="K65" i="13" s="1"/>
  <c r="J62" i="13"/>
  <c r="J63" i="13"/>
  <c r="E50" i="12"/>
  <c r="E30" i="12"/>
  <c r="C60" i="6"/>
  <c r="D60" i="6" s="1"/>
  <c r="E60" i="6" s="1"/>
  <c r="C28" i="11"/>
  <c r="R92" i="8"/>
  <c r="B81" i="22"/>
  <c r="G81" i="22" s="1"/>
  <c r="H81" i="22" s="1"/>
  <c r="I81" i="22" s="1"/>
  <c r="E43" i="1"/>
  <c r="E38" i="1"/>
  <c r="Z263" i="10"/>
  <c r="B155" i="10"/>
  <c r="N79" i="8"/>
  <c r="G9" i="18"/>
  <c r="J53" i="14" a="1"/>
  <c r="J53" i="14" s="1"/>
  <c r="W263" i="10"/>
  <c r="N12" i="14"/>
  <c r="L12" i="14"/>
  <c r="B17" i="14"/>
  <c r="D13" i="14"/>
  <c r="D10" i="14"/>
  <c r="F37" i="13"/>
  <c r="G34" i="13" s="1"/>
  <c r="F36" i="13"/>
  <c r="C10" i="8"/>
  <c r="D10" i="8"/>
  <c r="O100" i="8"/>
  <c r="D27" i="14"/>
  <c r="F33" i="14"/>
  <c r="B137" i="10"/>
  <c r="B134" i="10"/>
  <c r="C137" i="10"/>
  <c r="C134" i="10"/>
  <c r="G12" i="8"/>
  <c r="H12" i="8"/>
  <c r="D117" i="6"/>
  <c r="D116" i="6"/>
  <c r="D109" i="6"/>
  <c r="D20" i="6"/>
  <c r="D23" i="6" s="1"/>
  <c r="D112" i="6"/>
  <c r="D115" i="6" s="1"/>
  <c r="D76" i="6" s="1"/>
  <c r="H101" i="8"/>
  <c r="P79" i="8"/>
  <c r="B49" i="6"/>
  <c r="H16" i="8"/>
  <c r="G16" i="8"/>
  <c r="AA24" i="14"/>
  <c r="D63" i="13"/>
  <c r="D61" i="13"/>
  <c r="D64" i="13"/>
  <c r="D62" i="13"/>
  <c r="D65" i="13" s="1"/>
  <c r="F38" i="13"/>
  <c r="F263" i="10"/>
  <c r="D48" i="15"/>
  <c r="D49" i="15" s="1"/>
  <c r="D51" i="15" s="1"/>
  <c r="H53" i="14"/>
  <c r="O35" i="11"/>
  <c r="P35" i="11" s="1"/>
  <c r="N35" i="11"/>
  <c r="F85" i="10"/>
  <c r="R263" i="10"/>
  <c r="K53" i="14"/>
  <c r="G42" i="22"/>
  <c r="L81" i="9"/>
  <c r="L84" i="9" s="1"/>
  <c r="J110" i="10"/>
  <c r="E51" i="6"/>
  <c r="E42" i="6"/>
  <c r="I38" i="13"/>
  <c r="C53" i="14"/>
  <c r="B53" i="14"/>
  <c r="B86" i="22"/>
  <c r="G86" i="22" s="1"/>
  <c r="H86" i="22" s="1"/>
  <c r="I86" i="22" s="1"/>
  <c r="R88" i="8"/>
  <c r="C39" i="6"/>
  <c r="N67" i="8"/>
  <c r="P58" i="8"/>
  <c r="B22" i="8"/>
  <c r="C20" i="9"/>
  <c r="E1781" i="10" s="1"/>
  <c r="F1781" i="10" s="1"/>
  <c r="H13" i="9"/>
  <c r="E13" i="9"/>
  <c r="C11" i="11"/>
  <c r="D11" i="11" s="1"/>
  <c r="F41" i="6"/>
  <c r="F7" i="9"/>
  <c r="B51" i="6"/>
  <c r="F51" i="6" s="1"/>
  <c r="F62" i="13"/>
  <c r="F64" i="13"/>
  <c r="F63" i="13"/>
  <c r="F61" i="13"/>
  <c r="J28" i="14"/>
  <c r="K7" i="14"/>
  <c r="J17" i="14"/>
  <c r="D53" i="14" a="1"/>
  <c r="D53" i="14" s="1"/>
  <c r="E62" i="21"/>
  <c r="B27" i="21"/>
  <c r="H20" i="21"/>
  <c r="I14" i="21"/>
  <c r="G85" i="17"/>
  <c r="L76" i="17"/>
  <c r="L78" i="17" s="1"/>
  <c r="D60" i="17"/>
  <c r="C28" i="17"/>
  <c r="C62" i="21"/>
  <c r="F20" i="21"/>
  <c r="G14" i="21"/>
  <c r="E85" i="17"/>
  <c r="J76" i="17"/>
  <c r="J78" i="17" s="1"/>
  <c r="B62" i="21"/>
  <c r="E20" i="21"/>
  <c r="F14" i="21"/>
  <c r="D85" i="17"/>
  <c r="I76" i="17"/>
  <c r="I78" i="17" s="1"/>
  <c r="L72" i="17"/>
  <c r="L74" i="17" s="1"/>
  <c r="L59" i="17"/>
  <c r="K27" i="17"/>
  <c r="D20" i="21"/>
  <c r="E14" i="21"/>
  <c r="C85" i="17"/>
  <c r="H76" i="17"/>
  <c r="H78" i="17" s="1"/>
  <c r="K72" i="17"/>
  <c r="K59" i="17"/>
  <c r="J27" i="17"/>
  <c r="A23" i="21"/>
  <c r="C20" i="21"/>
  <c r="D14" i="21"/>
  <c r="G5" i="19"/>
  <c r="B85" i="17"/>
  <c r="G76" i="17"/>
  <c r="G78" i="17" s="1"/>
  <c r="J72" i="17"/>
  <c r="J74" i="17" s="1"/>
  <c r="J59" i="17"/>
  <c r="I27" i="17"/>
  <c r="K22" i="21"/>
  <c r="L20" i="21" s="1"/>
  <c r="B14" i="21"/>
  <c r="E76" i="17"/>
  <c r="E78" i="17" s="1"/>
  <c r="H72" i="17"/>
  <c r="H74" i="17" s="1"/>
  <c r="H59" i="17"/>
  <c r="G27" i="17"/>
  <c r="J22" i="21"/>
  <c r="I22" i="21"/>
  <c r="K13" i="21"/>
  <c r="C76" i="17"/>
  <c r="C78" i="17" s="1"/>
  <c r="F72" i="17"/>
  <c r="F74" i="17" s="1"/>
  <c r="F59" i="17"/>
  <c r="J39" i="17"/>
  <c r="E27" i="17"/>
  <c r="J28" i="21"/>
  <c r="F22" i="21"/>
  <c r="H13" i="21"/>
  <c r="L104" i="17"/>
  <c r="C72" i="17"/>
  <c r="C74" i="17" s="1"/>
  <c r="C59" i="17"/>
  <c r="G39" i="17"/>
  <c r="B27" i="17"/>
  <c r="B53" i="21"/>
  <c r="I28" i="21"/>
  <c r="E22" i="21"/>
  <c r="G13" i="21"/>
  <c r="L61" i="17"/>
  <c r="F39" i="17"/>
  <c r="H28" i="21"/>
  <c r="D22" i="21"/>
  <c r="F13" i="21"/>
  <c r="J63" i="21"/>
  <c r="I63" i="21"/>
  <c r="B57" i="21"/>
  <c r="E28" i="21"/>
  <c r="C13" i="21"/>
  <c r="I67" i="17"/>
  <c r="H61" i="17"/>
  <c r="B39" i="17"/>
  <c r="H26" i="17"/>
  <c r="F63" i="21"/>
  <c r="B52" i="21"/>
  <c r="B28" i="21"/>
  <c r="J15" i="21"/>
  <c r="D42" i="19" s="1"/>
  <c r="F67" i="17"/>
  <c r="E61" i="17"/>
  <c r="I41" i="17"/>
  <c r="E26" i="17"/>
  <c r="E63" i="21"/>
  <c r="I15" i="21"/>
  <c r="D38" i="19" s="1"/>
  <c r="K9" i="21"/>
  <c r="E67" i="17"/>
  <c r="D61" i="17"/>
  <c r="H41" i="17"/>
  <c r="D26" i="17"/>
  <c r="D63" i="21"/>
  <c r="H15" i="21"/>
  <c r="D34" i="19" s="1"/>
  <c r="J9" i="21"/>
  <c r="D67" i="17"/>
  <c r="C61" i="17"/>
  <c r="G41" i="17"/>
  <c r="B31" i="17"/>
  <c r="B32" i="17" s="1"/>
  <c r="C26" i="17"/>
  <c r="C63" i="21"/>
  <c r="K27" i="21"/>
  <c r="G15" i="21"/>
  <c r="D30" i="19" s="1"/>
  <c r="I9" i="21"/>
  <c r="L103" i="17"/>
  <c r="C67" i="17"/>
  <c r="F41" i="17"/>
  <c r="B26" i="17"/>
  <c r="B63" i="21"/>
  <c r="B56" i="21"/>
  <c r="J27" i="21"/>
  <c r="F15" i="21"/>
  <c r="D26" i="19" s="1"/>
  <c r="H9" i="21"/>
  <c r="L60" i="17"/>
  <c r="E41" i="17"/>
  <c r="K28" i="17"/>
  <c r="I27" i="21"/>
  <c r="E15" i="21"/>
  <c r="D22" i="19" s="1"/>
  <c r="G9" i="21"/>
  <c r="H62" i="21"/>
  <c r="E27" i="21"/>
  <c r="K20" i="21"/>
  <c r="C9" i="21"/>
  <c r="J85" i="17"/>
  <c r="G60" i="17"/>
  <c r="F28" i="17"/>
  <c r="G62" i="21"/>
  <c r="D27" i="21"/>
  <c r="J20" i="21"/>
  <c r="K14" i="21"/>
  <c r="B9" i="21"/>
  <c r="I85" i="17"/>
  <c r="F60" i="17"/>
  <c r="E28" i="17"/>
  <c r="G22" i="21"/>
  <c r="D13" i="21"/>
  <c r="I60" i="17"/>
  <c r="D27" i="17"/>
  <c r="C22" i="21"/>
  <c r="B13" i="21"/>
  <c r="H60" i="17"/>
  <c r="C27" i="17"/>
  <c r="B22" i="21"/>
  <c r="E60" i="17"/>
  <c r="K26" i="17"/>
  <c r="B55" i="21"/>
  <c r="C60" i="17"/>
  <c r="J26" i="17"/>
  <c r="F9" i="21"/>
  <c r="I59" i="17"/>
  <c r="I26" i="17"/>
  <c r="B54" i="21"/>
  <c r="E9" i="21"/>
  <c r="D9" i="21"/>
  <c r="E59" i="17"/>
  <c r="F26" i="17"/>
  <c r="I72" i="17"/>
  <c r="I74" i="17" s="1"/>
  <c r="D59" i="17"/>
  <c r="K41" i="17"/>
  <c r="I20" i="21"/>
  <c r="G72" i="17"/>
  <c r="G74" i="17" s="1"/>
  <c r="J41" i="17"/>
  <c r="G20" i="21"/>
  <c r="B20" i="21"/>
  <c r="D72" i="17"/>
  <c r="D74" i="17" s="1"/>
  <c r="C41" i="17"/>
  <c r="L67" i="17"/>
  <c r="B41" i="17"/>
  <c r="K67" i="17"/>
  <c r="B51" i="21"/>
  <c r="H67" i="17"/>
  <c r="K39" i="17"/>
  <c r="K63" i="21"/>
  <c r="H63" i="21"/>
  <c r="H39" i="17"/>
  <c r="G63" i="21"/>
  <c r="K62" i="21"/>
  <c r="K28" i="21"/>
  <c r="F76" i="17"/>
  <c r="F78" i="17" s="1"/>
  <c r="D39" i="17"/>
  <c r="J62" i="21"/>
  <c r="G28" i="21"/>
  <c r="I62" i="21"/>
  <c r="F28" i="21"/>
  <c r="K15" i="21"/>
  <c r="D46" i="19" s="1"/>
  <c r="F62" i="21"/>
  <c r="D28" i="21"/>
  <c r="D15" i="21"/>
  <c r="D18" i="19" s="1"/>
  <c r="D62" i="21"/>
  <c r="H27" i="21"/>
  <c r="B15" i="21"/>
  <c r="D10" i="19" s="1"/>
  <c r="B58" i="21"/>
  <c r="G27" i="21"/>
  <c r="J14" i="21"/>
  <c r="J61" i="17"/>
  <c r="H28" i="17"/>
  <c r="F27" i="21"/>
  <c r="H14" i="21"/>
  <c r="C27" i="21"/>
  <c r="C14" i="21"/>
  <c r="J13" i="21"/>
  <c r="K85" i="17"/>
  <c r="F61" i="17"/>
  <c r="B28" i="17"/>
  <c r="I13" i="21"/>
  <c r="H22" i="21"/>
  <c r="E13" i="21"/>
  <c r="G28" i="17"/>
  <c r="D28" i="17"/>
  <c r="C15" i="21"/>
  <c r="D14" i="19" s="1"/>
  <c r="H27" i="17"/>
  <c r="F27" i="17"/>
  <c r="G26" i="17"/>
  <c r="E72" i="17"/>
  <c r="E74" i="17" s="1"/>
  <c r="H85" i="17"/>
  <c r="J67" i="17"/>
  <c r="F85" i="17"/>
  <c r="G67" i="17"/>
  <c r="K61" i="17"/>
  <c r="C28" i="21"/>
  <c r="I61" i="17"/>
  <c r="G61" i="17"/>
  <c r="K60" i="17"/>
  <c r="J60" i="17"/>
  <c r="D41" i="17"/>
  <c r="K76" i="17"/>
  <c r="G59" i="17"/>
  <c r="D76" i="17"/>
  <c r="D78" i="17" s="1"/>
  <c r="I39" i="17"/>
  <c r="E39" i="17"/>
  <c r="C39" i="17"/>
  <c r="J28" i="17"/>
  <c r="I28" i="17"/>
  <c r="C35" i="11"/>
  <c r="F67" i="6"/>
  <c r="C67" i="6"/>
  <c r="D67" i="6" s="1"/>
  <c r="E67" i="6" s="1"/>
  <c r="D48" i="6"/>
  <c r="D32" i="8"/>
  <c r="C32" i="8"/>
  <c r="F83" i="10"/>
  <c r="P77" i="8"/>
  <c r="C52" i="9"/>
  <c r="E1784" i="10"/>
  <c r="F1784" i="10" s="1"/>
  <c r="J40" i="9"/>
  <c r="D40" i="9"/>
  <c r="G40" i="9" s="1"/>
  <c r="L40" i="9"/>
  <c r="K40" i="9"/>
  <c r="M40" i="9" s="1"/>
  <c r="H40" i="9"/>
  <c r="B78" i="22"/>
  <c r="G78" i="22" s="1"/>
  <c r="H78" i="22" s="1"/>
  <c r="I78" i="22" s="1"/>
  <c r="R84" i="8"/>
  <c r="Q263" i="10"/>
  <c r="F42" i="13"/>
  <c r="C10" i="13"/>
  <c r="L42" i="13"/>
  <c r="K42" i="13"/>
  <c r="J42" i="13"/>
  <c r="I42" i="13"/>
  <c r="H42" i="13"/>
  <c r="G42" i="13"/>
  <c r="E42" i="13"/>
  <c r="D42" i="13"/>
  <c r="C42" i="13"/>
  <c r="C13" i="13"/>
  <c r="C12" i="13"/>
  <c r="C11" i="13"/>
  <c r="C14" i="13" s="1"/>
  <c r="C32" i="10"/>
  <c r="B33" i="10"/>
  <c r="O260" i="8"/>
  <c r="E64" i="13"/>
  <c r="E63" i="13"/>
  <c r="E62" i="13"/>
  <c r="E61" i="13"/>
  <c r="C23" i="11"/>
  <c r="F55" i="6"/>
  <c r="C55" i="6"/>
  <c r="D55" i="6" s="1"/>
  <c r="E55" i="6" s="1"/>
  <c r="L97" i="22"/>
  <c r="B27" i="22"/>
  <c r="G27" i="22" s="1"/>
  <c r="C6" i="18" a="1"/>
  <c r="C6" i="18" s="1"/>
  <c r="C8" i="18" s="1"/>
  <c r="B32" i="22"/>
  <c r="G32" i="22" s="1"/>
  <c r="F153" i="6"/>
  <c r="B124" i="6"/>
  <c r="F124" i="6" s="1"/>
  <c r="F14" i="6"/>
  <c r="G14" i="6" s="1"/>
  <c r="B23" i="6"/>
  <c r="F20" i="6"/>
  <c r="H13" i="8"/>
  <c r="G13" i="8"/>
  <c r="G10" i="18"/>
  <c r="G18" i="18"/>
  <c r="L9" i="14"/>
  <c r="N9" i="14"/>
  <c r="M9" i="14"/>
  <c r="H28" i="14"/>
  <c r="H17" i="14"/>
  <c r="E53" i="14"/>
  <c r="H38" i="13"/>
  <c r="D24" i="14"/>
  <c r="D21" i="14"/>
  <c r="D26" i="14"/>
  <c r="D23" i="14"/>
  <c r="D28" i="14"/>
  <c r="I28" i="14"/>
  <c r="D22" i="14"/>
  <c r="B28" i="14"/>
  <c r="D25" i="14"/>
  <c r="C29" i="11"/>
  <c r="F61" i="6"/>
  <c r="C61" i="6"/>
  <c r="D61" i="6" s="1"/>
  <c r="E61" i="6" s="1"/>
  <c r="O34" i="11"/>
  <c r="P34" i="11" s="1"/>
  <c r="N34" i="11"/>
  <c r="E15" i="8"/>
  <c r="I122" i="10"/>
  <c r="K119" i="10"/>
  <c r="L119" i="10"/>
  <c r="C9" i="6"/>
  <c r="D8" i="6"/>
  <c r="D85" i="11"/>
  <c r="P49" i="11"/>
  <c r="G44" i="22"/>
  <c r="B84" i="22"/>
  <c r="G84" i="22" s="1"/>
  <c r="H84" i="22" s="1"/>
  <c r="I84" i="22" s="1"/>
  <c r="R97" i="8"/>
  <c r="N33" i="11"/>
  <c r="E263" i="10"/>
  <c r="F31" i="20"/>
  <c r="I34" i="20"/>
  <c r="D31" i="20"/>
  <c r="H27" i="20"/>
  <c r="H34" i="20"/>
  <c r="C31" i="20"/>
  <c r="G27" i="20"/>
  <c r="K97" i="22"/>
  <c r="G34" i="20"/>
  <c r="B31" i="20"/>
  <c r="F27" i="20"/>
  <c r="F34" i="20"/>
  <c r="E27" i="20"/>
  <c r="D34" i="20"/>
  <c r="H30" i="20"/>
  <c r="C27" i="20"/>
  <c r="C34" i="20"/>
  <c r="G30" i="20"/>
  <c r="B27" i="20"/>
  <c r="B34" i="20"/>
  <c r="F30" i="20"/>
  <c r="H33" i="20"/>
  <c r="C30" i="20"/>
  <c r="G33" i="20"/>
  <c r="B30" i="20"/>
  <c r="F33" i="20"/>
  <c r="C33" i="20"/>
  <c r="G29" i="20"/>
  <c r="I32" i="20"/>
  <c r="D29" i="20"/>
  <c r="H32" i="20"/>
  <c r="C29" i="20"/>
  <c r="G32" i="20"/>
  <c r="B29" i="20"/>
  <c r="F32" i="20"/>
  <c r="E32" i="20"/>
  <c r="I28" i="20"/>
  <c r="D32" i="20"/>
  <c r="H28" i="20"/>
  <c r="I31" i="20"/>
  <c r="D28" i="20"/>
  <c r="H31" i="20"/>
  <c r="C28" i="20"/>
  <c r="F28" i="20"/>
  <c r="E28" i="20"/>
  <c r="B28" i="20"/>
  <c r="I27" i="20"/>
  <c r="D27" i="20"/>
  <c r="E34" i="20"/>
  <c r="I33" i="20"/>
  <c r="E33" i="20"/>
  <c r="B33" i="20"/>
  <c r="C32" i="20"/>
  <c r="G31" i="20"/>
  <c r="E31" i="20"/>
  <c r="I30" i="20"/>
  <c r="E30" i="20"/>
  <c r="I29" i="20"/>
  <c r="H29" i="20"/>
  <c r="F29" i="20"/>
  <c r="E29" i="20"/>
  <c r="B26" i="22"/>
  <c r="G26" i="22" s="1"/>
  <c r="G28" i="20"/>
  <c r="O40" i="11"/>
  <c r="P40" i="11" s="1"/>
  <c r="N40" i="11"/>
  <c r="D33" i="20"/>
  <c r="B32" i="20"/>
  <c r="D30" i="20"/>
  <c r="B23" i="1"/>
  <c r="F145" i="6"/>
  <c r="B44" i="8"/>
  <c r="B45" i="8" s="1"/>
  <c r="D11" i="6"/>
  <c r="E10" i="6"/>
  <c r="B15" i="17"/>
  <c r="C32" i="1"/>
  <c r="P71" i="8"/>
  <c r="C31" i="11"/>
  <c r="F63" i="6"/>
  <c r="C34" i="8"/>
  <c r="D34" i="8"/>
  <c r="P91" i="8"/>
  <c r="B59" i="6"/>
  <c r="D42" i="21"/>
  <c r="E42" i="21" s="1"/>
  <c r="C42" i="21"/>
  <c r="D7" i="21"/>
  <c r="I5" i="19" s="1"/>
  <c r="P5" i="17"/>
  <c r="E1778" i="10"/>
  <c r="D60" i="9"/>
  <c r="G60" i="9" s="1"/>
  <c r="H60" i="9"/>
  <c r="K60" i="9"/>
  <c r="K65" i="9" s="1"/>
  <c r="K82" i="9" s="1"/>
  <c r="J60" i="9"/>
  <c r="J65" i="9" s="1"/>
  <c r="J82" i="9" s="1"/>
  <c r="B29" i="10"/>
  <c r="C26" i="9"/>
  <c r="D26" i="9" s="1"/>
  <c r="D31" i="8"/>
  <c r="C31" i="8"/>
  <c r="B57" i="6"/>
  <c r="P90" i="8"/>
  <c r="H17" i="9"/>
  <c r="K17" i="9" s="1"/>
  <c r="M17" i="9" s="1"/>
  <c r="E17" i="9"/>
  <c r="B35" i="8"/>
  <c r="P61" i="8"/>
  <c r="C32" i="12"/>
  <c r="C29" i="12"/>
  <c r="D28" i="12"/>
  <c r="I63" i="13"/>
  <c r="I62" i="13"/>
  <c r="I61" i="13"/>
  <c r="I64" i="13"/>
  <c r="F23" i="16"/>
  <c r="G23" i="16" s="1"/>
  <c r="E23" i="16"/>
  <c r="K50" i="9"/>
  <c r="M50" i="9" s="1"/>
  <c r="H50" i="9"/>
  <c r="J50" i="9"/>
  <c r="L50" i="9" s="1"/>
  <c r="D50" i="9"/>
  <c r="G50" i="9" s="1"/>
  <c r="K21" i="14"/>
  <c r="J27" i="14"/>
  <c r="E20" i="16"/>
  <c r="F20" i="16"/>
  <c r="C15" i="18"/>
  <c r="C21" i="18" s="1"/>
  <c r="B39" i="22"/>
  <c r="G39" i="22" s="1"/>
  <c r="B4" i="13"/>
  <c r="B28" i="1"/>
  <c r="B90" i="22"/>
  <c r="G90" i="22" s="1"/>
  <c r="H90" i="22" s="1"/>
  <c r="I90" i="22" s="1"/>
  <c r="R86" i="8"/>
  <c r="D11" i="13"/>
  <c r="J51" i="13"/>
  <c r="D12" i="13"/>
  <c r="D13" i="13"/>
  <c r="L51" i="13"/>
  <c r="K51" i="13"/>
  <c r="I51" i="13"/>
  <c r="H51" i="13"/>
  <c r="G51" i="13"/>
  <c r="F51" i="13"/>
  <c r="E51" i="13"/>
  <c r="D51" i="13"/>
  <c r="C51" i="13"/>
  <c r="D10" i="13"/>
  <c r="O79" i="8"/>
  <c r="K80" i="8"/>
  <c r="D101" i="8"/>
  <c r="C64" i="13"/>
  <c r="C63" i="13"/>
  <c r="C62" i="13"/>
  <c r="C65" i="13" s="1"/>
  <c r="C61" i="13"/>
  <c r="F21" i="16"/>
  <c r="G21" i="16" s="1"/>
  <c r="E21" i="16"/>
  <c r="B16" i="22"/>
  <c r="G16" i="22" s="1"/>
  <c r="B16" i="1"/>
  <c r="B21" i="12"/>
  <c r="P82" i="8"/>
  <c r="B15" i="8"/>
  <c r="F15" i="8" s="1"/>
  <c r="B64" i="6"/>
  <c r="N100" i="8"/>
  <c r="E1785" i="10"/>
  <c r="F1785" i="10" s="1"/>
  <c r="K63" i="9"/>
  <c r="M63" i="9" s="1"/>
  <c r="J63" i="9"/>
  <c r="L63" i="9" s="1"/>
  <c r="H63" i="9"/>
  <c r="D63" i="9"/>
  <c r="G63" i="9" s="1"/>
  <c r="G40" i="22"/>
  <c r="O37" i="11"/>
  <c r="P37" i="11" s="1"/>
  <c r="N37" i="11"/>
  <c r="O32" i="11"/>
  <c r="P32" i="11" s="1"/>
  <c r="N32" i="11"/>
  <c r="E81" i="6"/>
  <c r="O31" i="11"/>
  <c r="P31" i="11" s="1"/>
  <c r="N31" i="11"/>
  <c r="B28" i="22"/>
  <c r="G28" i="22" s="1"/>
  <c r="E19" i="1"/>
  <c r="B24" i="1"/>
  <c r="B47" i="1"/>
  <c r="B34" i="17"/>
  <c r="B49" i="1" s="1"/>
  <c r="D5" i="7"/>
  <c r="D6" i="7" s="1"/>
  <c r="B47" i="6"/>
  <c r="E44" i="6"/>
  <c r="B21" i="10"/>
  <c r="B50" i="8"/>
  <c r="B51" i="8" s="1"/>
  <c r="G138" i="6"/>
  <c r="H138" i="6" s="1"/>
  <c r="H64" i="13"/>
  <c r="H63" i="13"/>
  <c r="H62" i="13"/>
  <c r="H61" i="13"/>
  <c r="G17" i="14"/>
  <c r="G28" i="14" s="1"/>
  <c r="C32" i="14" s="1"/>
  <c r="C65" i="9"/>
  <c r="C82" i="9" s="1"/>
  <c r="O48" i="11"/>
  <c r="N48" i="11"/>
  <c r="F117" i="6"/>
  <c r="E16" i="6"/>
  <c r="E125" i="6" s="1"/>
  <c r="C53" i="9"/>
  <c r="E15" i="9"/>
  <c r="M81" i="9"/>
  <c r="M84" i="9" s="1"/>
  <c r="C79" i="9"/>
  <c r="D21" i="9"/>
  <c r="E20" i="9"/>
  <c r="E12" i="8"/>
  <c r="O263" i="10"/>
  <c r="B46" i="18" a="1"/>
  <c r="B46" i="18" s="1"/>
  <c r="F46" i="18" a="1"/>
  <c r="F46" i="18" s="1"/>
  <c r="D46" i="18" a="1"/>
  <c r="D46" i="18" s="1"/>
  <c r="P259" i="8"/>
  <c r="Q259" i="8" s="1"/>
  <c r="F115" i="6"/>
  <c r="B76" i="6"/>
  <c r="F76" i="6" s="1"/>
  <c r="B89" i="22"/>
  <c r="G89" i="22" s="1"/>
  <c r="H89" i="22" s="1"/>
  <c r="I89" i="22" s="1"/>
  <c r="I50" i="5"/>
  <c r="I34" i="5"/>
  <c r="R96" i="8"/>
  <c r="C24" i="6"/>
  <c r="O38" i="11"/>
  <c r="P38" i="11" s="1"/>
  <c r="N38" i="11"/>
  <c r="L63" i="13"/>
  <c r="L62" i="13"/>
  <c r="L61" i="13"/>
  <c r="L64" i="13"/>
  <c r="G64" i="13"/>
  <c r="G63" i="13"/>
  <c r="G62" i="13"/>
  <c r="G61" i="13"/>
  <c r="H135" i="10"/>
  <c r="H137" i="10" s="1"/>
  <c r="G135" i="10"/>
  <c r="B79" i="22"/>
  <c r="G79" i="22" s="1"/>
  <c r="H79" i="22" s="1"/>
  <c r="I79" i="22" s="1"/>
  <c r="R94" i="8"/>
  <c r="K100" i="10"/>
  <c r="K110" i="10" s="1"/>
  <c r="E16" i="8"/>
  <c r="O36" i="11"/>
  <c r="P36" i="11" s="1"/>
  <c r="N36" i="11"/>
  <c r="C34" i="11"/>
  <c r="C66" i="6"/>
  <c r="D66" i="6" s="1"/>
  <c r="E66" i="6" s="1"/>
  <c r="F66" i="6"/>
  <c r="B33" i="8"/>
  <c r="B45" i="6"/>
  <c r="P63" i="8"/>
  <c r="C263" i="10"/>
  <c r="B59" i="22"/>
  <c r="F14" i="8"/>
  <c r="E14" i="8"/>
  <c r="C36" i="8"/>
  <c r="D42" i="6"/>
  <c r="P89" i="8"/>
  <c r="B54" i="6"/>
  <c r="B88" i="22"/>
  <c r="G88" i="22" s="1"/>
  <c r="H88" i="22" s="1"/>
  <c r="I88" i="22" s="1"/>
  <c r="R87" i="8"/>
  <c r="S28" i="24" l="1"/>
  <c r="F35" i="24" s="1"/>
  <c r="F33" i="24"/>
  <c r="D34" i="24"/>
  <c r="F34" i="24"/>
  <c r="L30" i="24"/>
  <c r="K30" i="24"/>
  <c r="F50" i="12"/>
  <c r="F30" i="12"/>
  <c r="AC263" i="10"/>
  <c r="F65" i="13"/>
  <c r="E66" i="17"/>
  <c r="G65" i="13"/>
  <c r="J38" i="13"/>
  <c r="G38" i="13"/>
  <c r="J65" i="13"/>
  <c r="L5" i="9"/>
  <c r="E49" i="6"/>
  <c r="F53" i="14"/>
  <c r="I53" i="14"/>
  <c r="D263" i="10"/>
  <c r="J263" i="10"/>
  <c r="B55" i="22"/>
  <c r="E16" i="1"/>
  <c r="E42" i="1"/>
  <c r="G15" i="8"/>
  <c r="H15" i="8"/>
  <c r="G49" i="12"/>
  <c r="F49" i="12"/>
  <c r="E49" i="12"/>
  <c r="D49" i="12"/>
  <c r="C49" i="12"/>
  <c r="N49" i="12"/>
  <c r="M49" i="12"/>
  <c r="L49" i="12"/>
  <c r="K49" i="12"/>
  <c r="J49" i="12"/>
  <c r="I49" i="12"/>
  <c r="H49" i="12"/>
  <c r="C29" i="9"/>
  <c r="D29" i="9" s="1"/>
  <c r="C12" i="6"/>
  <c r="B12" i="6"/>
  <c r="E12" i="6"/>
  <c r="D12" i="6"/>
  <c r="D33" i="8"/>
  <c r="C33" i="8"/>
  <c r="E1795" i="10"/>
  <c r="E1797" i="10" s="1"/>
  <c r="C81" i="9"/>
  <c r="C84" i="9" s="1"/>
  <c r="B77" i="22"/>
  <c r="G77" i="22" s="1"/>
  <c r="H77" i="22" s="1"/>
  <c r="I77" i="22" s="1"/>
  <c r="R89" i="8"/>
  <c r="D14" i="13"/>
  <c r="K46" i="13"/>
  <c r="K45" i="13"/>
  <c r="K70" i="13" s="1"/>
  <c r="K44" i="13"/>
  <c r="K43" i="13"/>
  <c r="B18" i="17"/>
  <c r="B16" i="17"/>
  <c r="P10" i="17"/>
  <c r="L46" i="13"/>
  <c r="L45" i="13"/>
  <c r="L70" i="13" s="1"/>
  <c r="L44" i="13"/>
  <c r="L43" i="13"/>
  <c r="K78" i="17"/>
  <c r="H40" i="17"/>
  <c r="M63" i="21"/>
  <c r="Q11" i="11"/>
  <c r="O11" i="11"/>
  <c r="N11" i="11"/>
  <c r="F32" i="14"/>
  <c r="D32" i="14"/>
  <c r="B10" i="8"/>
  <c r="P100" i="8"/>
  <c r="D5" i="8"/>
  <c r="B80" i="22"/>
  <c r="G80" i="22" s="1"/>
  <c r="H80" i="22" s="1"/>
  <c r="I80" i="22" s="1"/>
  <c r="R90" i="8"/>
  <c r="E11" i="6"/>
  <c r="E88" i="6"/>
  <c r="M26" i="17"/>
  <c r="C32" i="11"/>
  <c r="C64" i="6"/>
  <c r="D64" i="6" s="1"/>
  <c r="E64" i="6" s="1"/>
  <c r="F64" i="6"/>
  <c r="F146" i="6"/>
  <c r="F43" i="13"/>
  <c r="F46" i="13"/>
  <c r="F45" i="13"/>
  <c r="F70" i="13" s="1"/>
  <c r="F44" i="13"/>
  <c r="H20" i="9"/>
  <c r="K13" i="9"/>
  <c r="H65" i="13"/>
  <c r="C25" i="11"/>
  <c r="C57" i="6"/>
  <c r="D57" i="6" s="1"/>
  <c r="E57" i="6" s="1"/>
  <c r="F57" i="6"/>
  <c r="E40" i="17"/>
  <c r="M39" i="17"/>
  <c r="I263" i="10"/>
  <c r="X263" i="10"/>
  <c r="U263" i="10" s="1"/>
  <c r="V263" i="10" s="1"/>
  <c r="H14" i="8"/>
  <c r="G14" i="8"/>
  <c r="E4" i="13"/>
  <c r="B13" i="13"/>
  <c r="E13" i="13" s="1"/>
  <c r="B12" i="13"/>
  <c r="E12" i="13" s="1"/>
  <c r="B11" i="13"/>
  <c r="C34" i="13"/>
  <c r="B10" i="13"/>
  <c r="E10" i="13" s="1"/>
  <c r="D21" i="7" s="1"/>
  <c r="E36" i="13"/>
  <c r="C36" i="13"/>
  <c r="C35" i="13"/>
  <c r="D36" i="13"/>
  <c r="U43" i="12"/>
  <c r="L43" i="12"/>
  <c r="AK43" i="12"/>
  <c r="D43" i="12"/>
  <c r="J43" i="12"/>
  <c r="I43" i="12"/>
  <c r="H43" i="12"/>
  <c r="G43" i="12"/>
  <c r="F43" i="12"/>
  <c r="E43" i="12"/>
  <c r="C43" i="12"/>
  <c r="AL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T43" i="12"/>
  <c r="S43" i="12"/>
  <c r="R43" i="12"/>
  <c r="Q43" i="12"/>
  <c r="P43" i="12"/>
  <c r="O43" i="12"/>
  <c r="N43" i="12"/>
  <c r="M43" i="12"/>
  <c r="K43" i="12"/>
  <c r="B61" i="22"/>
  <c r="E13" i="19"/>
  <c r="E11" i="19"/>
  <c r="G11" i="19" s="1"/>
  <c r="E10" i="19"/>
  <c r="E12" i="19"/>
  <c r="G12" i="19" s="1"/>
  <c r="C12" i="18"/>
  <c r="C23" i="18"/>
  <c r="E33" i="19"/>
  <c r="G33" i="19" s="1"/>
  <c r="E32" i="19"/>
  <c r="G32" i="19" s="1"/>
  <c r="E31" i="19"/>
  <c r="G31" i="19" s="1"/>
  <c r="E30" i="19"/>
  <c r="G30" i="19" s="1"/>
  <c r="B64" i="21"/>
  <c r="C64" i="21" s="1"/>
  <c r="D64" i="21" s="1"/>
  <c r="E64" i="21" s="1"/>
  <c r="F64" i="21" s="1"/>
  <c r="G64" i="21" s="1"/>
  <c r="H64" i="21" s="1"/>
  <c r="I64" i="21" s="1"/>
  <c r="J64" i="21" s="1"/>
  <c r="K64" i="21" s="1"/>
  <c r="M64" i="21" s="1"/>
  <c r="M62" i="21"/>
  <c r="M263" i="10"/>
  <c r="B87" i="22"/>
  <c r="G87" i="22" s="1"/>
  <c r="H87" i="22" s="1"/>
  <c r="I87" i="22" s="1"/>
  <c r="R82" i="8"/>
  <c r="B37" i="8"/>
  <c r="C37" i="8" s="1"/>
  <c r="F37" i="8" s="1"/>
  <c r="C15" i="11"/>
  <c r="F45" i="6"/>
  <c r="G135" i="6" s="1"/>
  <c r="H135" i="6" s="1"/>
  <c r="C45" i="6"/>
  <c r="P67" i="8"/>
  <c r="B23" i="8"/>
  <c r="B25" i="8" s="1"/>
  <c r="B26" i="8" s="1"/>
  <c r="B27" i="8" s="1"/>
  <c r="N80" i="8"/>
  <c r="E21" i="19"/>
  <c r="E20" i="19"/>
  <c r="G20" i="19" s="1"/>
  <c r="E19" i="19"/>
  <c r="G19" i="19" s="1"/>
  <c r="E18" i="19"/>
  <c r="G18" i="19" s="1"/>
  <c r="C40" i="6"/>
  <c r="B39" i="6"/>
  <c r="C21" i="10"/>
  <c r="B20" i="10"/>
  <c r="G20" i="16"/>
  <c r="F25" i="16"/>
  <c r="E49" i="19"/>
  <c r="E48" i="19"/>
  <c r="G48" i="19" s="1"/>
  <c r="E47" i="19"/>
  <c r="G47" i="19" s="1"/>
  <c r="E46" i="19"/>
  <c r="G46" i="19" s="1"/>
  <c r="B33" i="17"/>
  <c r="B35" i="17" s="1"/>
  <c r="B48" i="1"/>
  <c r="E22" i="1"/>
  <c r="M14" i="21"/>
  <c r="K27" i="14"/>
  <c r="N21" i="14"/>
  <c r="N27" i="14" s="1"/>
  <c r="L60" i="9"/>
  <c r="L65" i="9" s="1"/>
  <c r="C40" i="17"/>
  <c r="E65" i="13"/>
  <c r="E1787" i="10"/>
  <c r="K52" i="9"/>
  <c r="K53" i="9" s="1"/>
  <c r="K81" i="9" s="1"/>
  <c r="J52" i="9"/>
  <c r="H52" i="9"/>
  <c r="D52" i="9"/>
  <c r="G52" i="9" s="1"/>
  <c r="F40" i="17"/>
  <c r="F47" i="18"/>
  <c r="F48" i="18" s="1"/>
  <c r="D47" i="18"/>
  <c r="B47" i="18"/>
  <c r="B48" i="18" s="1"/>
  <c r="M60" i="9"/>
  <c r="M65" i="9" s="1"/>
  <c r="B66" i="22"/>
  <c r="D66" i="22" s="1"/>
  <c r="H263" i="10"/>
  <c r="D48" i="18"/>
  <c r="C18" i="11"/>
  <c r="F49" i="6"/>
  <c r="E15" i="19"/>
  <c r="G15" i="19" s="1"/>
  <c r="E14" i="19"/>
  <c r="G14" i="19" s="1"/>
  <c r="E17" i="19"/>
  <c r="E16" i="19"/>
  <c r="G16" i="19" s="1"/>
  <c r="E35" i="19"/>
  <c r="G35" i="19" s="1"/>
  <c r="E34" i="19"/>
  <c r="G34" i="19" s="1"/>
  <c r="E37" i="19"/>
  <c r="G37" i="19" s="1"/>
  <c r="E36" i="19"/>
  <c r="G36" i="19" s="1"/>
  <c r="D49" i="6"/>
  <c r="F47" i="6"/>
  <c r="O80" i="8"/>
  <c r="I9" i="5" s="1"/>
  <c r="K101" i="8"/>
  <c r="D9" i="8"/>
  <c r="F1778" i="10"/>
  <c r="D40" i="17"/>
  <c r="M85" i="17"/>
  <c r="G40" i="17"/>
  <c r="K14" i="19"/>
  <c r="K19" i="19"/>
  <c r="F33" i="19"/>
  <c r="F13" i="19"/>
  <c r="K18" i="19"/>
  <c r="K17" i="19"/>
  <c r="K11" i="19"/>
  <c r="K16" i="19"/>
  <c r="K15" i="19"/>
  <c r="K13" i="19"/>
  <c r="F37" i="19"/>
  <c r="K12" i="19"/>
  <c r="K10" i="19"/>
  <c r="F25" i="19"/>
  <c r="F29" i="19"/>
  <c r="F41" i="19"/>
  <c r="F17" i="19"/>
  <c r="F21" i="19"/>
  <c r="F45" i="19"/>
  <c r="F49" i="19"/>
  <c r="C49" i="6"/>
  <c r="C53" i="13"/>
  <c r="C52" i="13"/>
  <c r="C55" i="13"/>
  <c r="C54" i="13"/>
  <c r="E8" i="6"/>
  <c r="E9" i="6" s="1"/>
  <c r="D9" i="6"/>
  <c r="D53" i="13"/>
  <c r="D52" i="13"/>
  <c r="D55" i="13"/>
  <c r="D54" i="13"/>
  <c r="M27" i="17"/>
  <c r="C27" i="11"/>
  <c r="F59" i="6"/>
  <c r="C59" i="6"/>
  <c r="D59" i="6" s="1"/>
  <c r="E59" i="6" s="1"/>
  <c r="C9" i="8"/>
  <c r="E53" i="13"/>
  <c r="E52" i="13"/>
  <c r="E55" i="13"/>
  <c r="E54" i="13"/>
  <c r="B82" i="22"/>
  <c r="G82" i="22" s="1"/>
  <c r="H82" i="22" s="1"/>
  <c r="I82" i="22" s="1"/>
  <c r="R91" i="8"/>
  <c r="M28" i="17"/>
  <c r="B40" i="17"/>
  <c r="E25" i="19"/>
  <c r="G25" i="19" s="1"/>
  <c r="E24" i="19"/>
  <c r="G24" i="19" s="1"/>
  <c r="E23" i="19"/>
  <c r="G23" i="19" s="1"/>
  <c r="E22" i="19"/>
  <c r="G22" i="19" s="1"/>
  <c r="M7" i="14"/>
  <c r="K17" i="14"/>
  <c r="K28" i="14"/>
  <c r="N7" i="14"/>
  <c r="N17" i="14" s="1"/>
  <c r="L7" i="14"/>
  <c r="C88" i="9"/>
  <c r="C90" i="9" s="1"/>
  <c r="L6" i="9"/>
  <c r="G54" i="13"/>
  <c r="G53" i="13"/>
  <c r="G56" i="13" s="1"/>
  <c r="G71" i="13" s="1"/>
  <c r="G52" i="13"/>
  <c r="G55" i="13"/>
  <c r="I65" i="13"/>
  <c r="L122" i="10"/>
  <c r="K122" i="10"/>
  <c r="C43" i="13"/>
  <c r="C46" i="13"/>
  <c r="C45" i="13"/>
  <c r="C44" i="13"/>
  <c r="E41" i="19"/>
  <c r="E40" i="19"/>
  <c r="G40" i="19" s="1"/>
  <c r="E39" i="19"/>
  <c r="G39" i="19" s="1"/>
  <c r="E38" i="19"/>
  <c r="G38" i="19" s="1"/>
  <c r="D24" i="6"/>
  <c r="B24" i="6"/>
  <c r="F24" i="6" s="1"/>
  <c r="F23" i="6"/>
  <c r="I53" i="13"/>
  <c r="I52" i="13"/>
  <c r="I55" i="13"/>
  <c r="I54" i="13"/>
  <c r="D32" i="12"/>
  <c r="D35" i="12" s="1"/>
  <c r="D29" i="12"/>
  <c r="E28" i="12"/>
  <c r="D43" i="13"/>
  <c r="D46" i="13"/>
  <c r="D45" i="13"/>
  <c r="D44" i="13"/>
  <c r="D47" i="13" s="1"/>
  <c r="I40" i="17"/>
  <c r="K40" i="17"/>
  <c r="K74" i="17"/>
  <c r="H53" i="13"/>
  <c r="H52" i="13"/>
  <c r="H55" i="13"/>
  <c r="H54" i="13"/>
  <c r="C22" i="11"/>
  <c r="F54" i="6"/>
  <c r="B70" i="6"/>
  <c r="C54" i="6"/>
  <c r="K53" i="13"/>
  <c r="K52" i="13"/>
  <c r="K55" i="13"/>
  <c r="K54" i="13"/>
  <c r="B60" i="12"/>
  <c r="E43" i="13"/>
  <c r="E46" i="13"/>
  <c r="E45" i="13"/>
  <c r="E44" i="13"/>
  <c r="E47" i="13" s="1"/>
  <c r="J40" i="17"/>
  <c r="K26" i="9"/>
  <c r="J26" i="9"/>
  <c r="D30" i="9"/>
  <c r="H26" i="9"/>
  <c r="F53" i="13"/>
  <c r="F52" i="13"/>
  <c r="F55" i="13"/>
  <c r="F54" i="13"/>
  <c r="L52" i="13"/>
  <c r="L54" i="13"/>
  <c r="L53" i="13"/>
  <c r="L56" i="13" s="1"/>
  <c r="L71" i="13" s="1"/>
  <c r="L55" i="13"/>
  <c r="C35" i="12"/>
  <c r="G44" i="13"/>
  <c r="G46" i="13"/>
  <c r="G45" i="13"/>
  <c r="G70" i="13" s="1"/>
  <c r="G43" i="13"/>
  <c r="B48" i="22"/>
  <c r="H97" i="22"/>
  <c r="B45" i="22"/>
  <c r="G45" i="22" s="1"/>
  <c r="B19" i="1"/>
  <c r="B18" i="1"/>
  <c r="H43" i="13"/>
  <c r="H45" i="13"/>
  <c r="H70" i="13" s="1"/>
  <c r="H46" i="13"/>
  <c r="H44" i="13"/>
  <c r="N263" i="10"/>
  <c r="L65" i="13"/>
  <c r="I43" i="13"/>
  <c r="I46" i="13"/>
  <c r="I45" i="13"/>
  <c r="I70" i="13" s="1"/>
  <c r="I44" i="13"/>
  <c r="M41" i="17"/>
  <c r="M13" i="21"/>
  <c r="E28" i="19"/>
  <c r="G28" i="19" s="1"/>
  <c r="E27" i="19"/>
  <c r="G27" i="19" s="1"/>
  <c r="E29" i="19"/>
  <c r="G29" i="19" s="1"/>
  <c r="E26" i="19"/>
  <c r="G26" i="19" s="1"/>
  <c r="J53" i="13"/>
  <c r="J52" i="13"/>
  <c r="J55" i="13"/>
  <c r="J54" i="13"/>
  <c r="D35" i="8"/>
  <c r="C35" i="8"/>
  <c r="J46" i="13"/>
  <c r="J45" i="13"/>
  <c r="J70" i="13" s="1"/>
  <c r="J44" i="13"/>
  <c r="J43" i="13"/>
  <c r="E42" i="19"/>
  <c r="G42" i="19" s="1"/>
  <c r="E45" i="19"/>
  <c r="E44" i="19"/>
  <c r="G44" i="19" s="1"/>
  <c r="E43" i="19"/>
  <c r="G43" i="19" s="1"/>
  <c r="B30" i="22"/>
  <c r="G30" i="22" s="1"/>
  <c r="B7" i="16"/>
  <c r="B8" i="16" s="1"/>
  <c r="G134" i="6"/>
  <c r="H134" i="6" s="1"/>
  <c r="M30" i="24" l="1"/>
  <c r="O30" i="24"/>
  <c r="G50" i="12"/>
  <c r="G30" i="12"/>
  <c r="E56" i="13"/>
  <c r="E71" i="13" s="1"/>
  <c r="C38" i="11"/>
  <c r="F56" i="13"/>
  <c r="F71" i="13" s="1"/>
  <c r="M15" i="21"/>
  <c r="I56" i="13"/>
  <c r="I71" i="13" s="1"/>
  <c r="L263" i="10"/>
  <c r="AA263" i="10"/>
  <c r="AB263" i="10"/>
  <c r="Q100" i="8"/>
  <c r="Q67" i="8"/>
  <c r="F1787" i="10"/>
  <c r="E1793" i="10"/>
  <c r="F1793" i="10" s="1"/>
  <c r="J53" i="9"/>
  <c r="J81" i="9" s="1"/>
  <c r="L52" i="9"/>
  <c r="L53" i="9" s="1"/>
  <c r="E116" i="6"/>
  <c r="E109" i="6"/>
  <c r="E20" i="6"/>
  <c r="E23" i="6" s="1"/>
  <c r="E117" i="6"/>
  <c r="E112" i="6"/>
  <c r="E115" i="6" s="1"/>
  <c r="E76" i="6" s="1"/>
  <c r="G25" i="16"/>
  <c r="E63" i="6"/>
  <c r="D63" i="6"/>
  <c r="C63" i="6"/>
  <c r="D122" i="6"/>
  <c r="E122" i="6"/>
  <c r="F12" i="6"/>
  <c r="D9" i="7" s="1"/>
  <c r="B122" i="6"/>
  <c r="F122" i="6" s="1"/>
  <c r="C122" i="6"/>
  <c r="F10" i="8"/>
  <c r="E10" i="8"/>
  <c r="J29" i="9"/>
  <c r="H29" i="9"/>
  <c r="K29" i="9"/>
  <c r="M29" i="9" s="1"/>
  <c r="G14" i="18"/>
  <c r="G47" i="13"/>
  <c r="G69" i="13"/>
  <c r="G72" i="13" s="1"/>
  <c r="I47" i="13"/>
  <c r="I69" i="13"/>
  <c r="B40" i="6"/>
  <c r="F6" i="9"/>
  <c r="F39" i="6"/>
  <c r="C13" i="18"/>
  <c r="C16" i="18"/>
  <c r="G11" i="18"/>
  <c r="B43" i="12"/>
  <c r="C47" i="13"/>
  <c r="H55" i="19"/>
  <c r="B13" i="6"/>
  <c r="B126" i="6" s="1"/>
  <c r="F126" i="6" s="1"/>
  <c r="F70" i="6"/>
  <c r="O101" i="8"/>
  <c r="D11" i="8"/>
  <c r="H56" i="13"/>
  <c r="H71" i="13" s="1"/>
  <c r="C48" i="6"/>
  <c r="C44" i="6"/>
  <c r="B44" i="6" s="1"/>
  <c r="C42" i="6"/>
  <c r="E51" i="19"/>
  <c r="G10" i="19"/>
  <c r="D54" i="6"/>
  <c r="B21" i="17"/>
  <c r="B19" i="17"/>
  <c r="P11" i="17"/>
  <c r="G13" i="19"/>
  <c r="B49" i="12"/>
  <c r="G41" i="19"/>
  <c r="G17" i="19"/>
  <c r="G21" i="19"/>
  <c r="G61" i="22"/>
  <c r="M52" i="9"/>
  <c r="M53" i="9" s="1"/>
  <c r="G45" i="19"/>
  <c r="L26" i="9"/>
  <c r="Q93" i="8"/>
  <c r="Q73" i="8"/>
  <c r="Q69" i="8"/>
  <c r="Q83" i="8"/>
  <c r="N101" i="8"/>
  <c r="Q80" i="8"/>
  <c r="B9" i="8"/>
  <c r="B24" i="8"/>
  <c r="B5" i="8"/>
  <c r="P80" i="8"/>
  <c r="Q92" i="8"/>
  <c r="Q94" i="8"/>
  <c r="Q70" i="8"/>
  <c r="M5" i="8"/>
  <c r="I8" i="5"/>
  <c r="Q78" i="8"/>
  <c r="Q86" i="8"/>
  <c r="Q62" i="8"/>
  <c r="Q59" i="8"/>
  <c r="Q98" i="8"/>
  <c r="Q64" i="8"/>
  <c r="Q88" i="8"/>
  <c r="Q75" i="8"/>
  <c r="Q99" i="8"/>
  <c r="Q68" i="8"/>
  <c r="Q72" i="8"/>
  <c r="Q97" i="8"/>
  <c r="Q74" i="8"/>
  <c r="Q60" i="8"/>
  <c r="Q66" i="8"/>
  <c r="Q84" i="8"/>
  <c r="Q65" i="8"/>
  <c r="Q96" i="8"/>
  <c r="Q95" i="8"/>
  <c r="Q76" i="8"/>
  <c r="Q85" i="8"/>
  <c r="Q87" i="8"/>
  <c r="Q71" i="8"/>
  <c r="Q89" i="8"/>
  <c r="Q61" i="8"/>
  <c r="Q91" i="8"/>
  <c r="Q79" i="8"/>
  <c r="P258" i="8"/>
  <c r="Q258" i="8" s="1"/>
  <c r="Q77" i="8"/>
  <c r="Q63" i="8"/>
  <c r="Q58" i="8"/>
  <c r="Q90" i="8"/>
  <c r="Q82" i="8"/>
  <c r="H47" i="13"/>
  <c r="H69" i="13"/>
  <c r="K30" i="9"/>
  <c r="K80" i="9" s="1"/>
  <c r="M26" i="9"/>
  <c r="M30" i="9" s="1"/>
  <c r="G59" i="22"/>
  <c r="I36" i="12"/>
  <c r="AB36" i="12"/>
  <c r="T36" i="12"/>
  <c r="Q36" i="12"/>
  <c r="P36" i="12"/>
  <c r="O36" i="12"/>
  <c r="N36" i="12"/>
  <c r="M36" i="12"/>
  <c r="L36" i="12"/>
  <c r="K36" i="12"/>
  <c r="J36" i="12"/>
  <c r="H36" i="12"/>
  <c r="G36" i="12"/>
  <c r="F36" i="12"/>
  <c r="E36" i="12"/>
  <c r="D36" i="12"/>
  <c r="AL36" i="12"/>
  <c r="C36" i="12"/>
  <c r="AK36" i="12"/>
  <c r="AJ36" i="12"/>
  <c r="AI36" i="12"/>
  <c r="AH36" i="12"/>
  <c r="AG36" i="12"/>
  <c r="AF36" i="12"/>
  <c r="AE36" i="12"/>
  <c r="AD36" i="12"/>
  <c r="AC36" i="12"/>
  <c r="AA36" i="12"/>
  <c r="Z36" i="12"/>
  <c r="Y36" i="12"/>
  <c r="X36" i="12"/>
  <c r="W36" i="12"/>
  <c r="V36" i="12"/>
  <c r="U36" i="12"/>
  <c r="S36" i="12"/>
  <c r="R36" i="12"/>
  <c r="K20" i="9"/>
  <c r="K79" i="9" s="1"/>
  <c r="K84" i="9" s="1"/>
  <c r="L8" i="9" s="1"/>
  <c r="M13" i="9"/>
  <c r="M20" i="9" s="1"/>
  <c r="L47" i="13"/>
  <c r="L69" i="13"/>
  <c r="L72" i="13" s="1"/>
  <c r="K47" i="13"/>
  <c r="K69" i="13"/>
  <c r="K72" i="13" s="1"/>
  <c r="F47" i="13"/>
  <c r="F69" i="13"/>
  <c r="F72" i="13" s="1"/>
  <c r="D37" i="12"/>
  <c r="J47" i="13"/>
  <c r="J69" i="13"/>
  <c r="D56" i="13"/>
  <c r="D71" i="13" s="1"/>
  <c r="C46" i="6"/>
  <c r="C50" i="6" s="1"/>
  <c r="D45" i="6"/>
  <c r="D70" i="13"/>
  <c r="C38" i="13"/>
  <c r="C69" i="13"/>
  <c r="G140" i="6"/>
  <c r="H140" i="6" s="1"/>
  <c r="C11" i="8"/>
  <c r="C70" i="13"/>
  <c r="E70" i="13"/>
  <c r="N28" i="14"/>
  <c r="C34" i="14" s="1"/>
  <c r="M40" i="17"/>
  <c r="E32" i="12"/>
  <c r="E29" i="12"/>
  <c r="F28" i="12"/>
  <c r="F51" i="19"/>
  <c r="J56" i="13"/>
  <c r="J71" i="13" s="1"/>
  <c r="B93" i="17"/>
  <c r="G49" i="19"/>
  <c r="C37" i="13"/>
  <c r="D34" i="13" s="1"/>
  <c r="L43" i="17"/>
  <c r="B50" i="1"/>
  <c r="E23" i="1"/>
  <c r="G48" i="22"/>
  <c r="K56" i="13"/>
  <c r="K71" i="13" s="1"/>
  <c r="C56" i="13"/>
  <c r="C71" i="13" s="1"/>
  <c r="K263" i="10"/>
  <c r="P263" i="10" s="1"/>
  <c r="B14" i="13"/>
  <c r="E14" i="13" s="1"/>
  <c r="E11" i="13"/>
  <c r="C46" i="11" s="1"/>
  <c r="H50" i="12" l="1"/>
  <c r="H30" i="12"/>
  <c r="I72" i="13"/>
  <c r="J72" i="13"/>
  <c r="L29" i="9"/>
  <c r="L30" i="9" s="1"/>
  <c r="J30" i="9"/>
  <c r="J80" i="9" s="1"/>
  <c r="J84" i="9" s="1"/>
  <c r="L7" i="9" s="1"/>
  <c r="E9" i="8"/>
  <c r="F9" i="8"/>
  <c r="C63" i="11"/>
  <c r="C62" i="6"/>
  <c r="C70" i="6" s="1"/>
  <c r="C72" i="6" s="1"/>
  <c r="C14" i="11"/>
  <c r="B43" i="6"/>
  <c r="F44" i="6"/>
  <c r="G10" i="8"/>
  <c r="H10" i="8"/>
  <c r="D46" i="6"/>
  <c r="D50" i="6" s="1"/>
  <c r="E45" i="6"/>
  <c r="E46" i="6" s="1"/>
  <c r="E50" i="6" s="1"/>
  <c r="B36" i="12"/>
  <c r="B17" i="6"/>
  <c r="B19" i="12"/>
  <c r="B18" i="12"/>
  <c r="C13" i="6"/>
  <c r="F13" i="6"/>
  <c r="B123" i="6"/>
  <c r="F123" i="6" s="1"/>
  <c r="P12" i="17"/>
  <c r="B22" i="17"/>
  <c r="Q101" i="8"/>
  <c r="P101" i="8"/>
  <c r="B11" i="8"/>
  <c r="F11" i="8" s="1"/>
  <c r="F5" i="8"/>
  <c r="F32" i="12"/>
  <c r="F35" i="12" s="1"/>
  <c r="F37" i="12" s="1"/>
  <c r="F29" i="12"/>
  <c r="G28" i="12"/>
  <c r="G16" i="18"/>
  <c r="C35" i="14"/>
  <c r="F34" i="14"/>
  <c r="D34" i="14"/>
  <c r="C37" i="14"/>
  <c r="E54" i="6"/>
  <c r="B29" i="22"/>
  <c r="G29" i="22" s="1"/>
  <c r="F69" i="15"/>
  <c r="D70" i="15" s="1"/>
  <c r="D72" i="15" s="1"/>
  <c r="D76" i="10"/>
  <c r="D72" i="10"/>
  <c r="D75" i="10"/>
  <c r="D74" i="10"/>
  <c r="B12" i="1"/>
  <c r="D73" i="10"/>
  <c r="D71" i="10"/>
  <c r="D37" i="13"/>
  <c r="E34" i="13" s="1"/>
  <c r="D35" i="13"/>
  <c r="G51" i="19"/>
  <c r="H54" i="19"/>
  <c r="H10" i="19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C10" i="11"/>
  <c r="F40" i="6"/>
  <c r="B42" i="6"/>
  <c r="B46" i="6"/>
  <c r="B48" i="6"/>
  <c r="E24" i="6"/>
  <c r="E35" i="12"/>
  <c r="C37" i="12"/>
  <c r="H72" i="13"/>
  <c r="C72" i="13"/>
  <c r="I50" i="12" l="1"/>
  <c r="I30" i="12"/>
  <c r="H9" i="8"/>
  <c r="G9" i="8"/>
  <c r="C80" i="6"/>
  <c r="C118" i="6" s="1"/>
  <c r="C75" i="6"/>
  <c r="C77" i="6"/>
  <c r="C78" i="6"/>
  <c r="H11" i="8"/>
  <c r="G11" i="8"/>
  <c r="H58" i="19"/>
  <c r="H51" i="19"/>
  <c r="H57" i="19"/>
  <c r="E37" i="13"/>
  <c r="F34" i="13" s="1"/>
  <c r="E35" i="13"/>
  <c r="D84" i="11"/>
  <c r="D87" i="11" s="1"/>
  <c r="E84" i="11" s="1"/>
  <c r="E87" i="11" s="1"/>
  <c r="F84" i="11" s="1"/>
  <c r="D10" i="7"/>
  <c r="D11" i="7" s="1"/>
  <c r="D13" i="6"/>
  <c r="C123" i="6"/>
  <c r="C126" i="6"/>
  <c r="C17" i="6"/>
  <c r="G26" i="18"/>
  <c r="H56" i="19"/>
  <c r="D77" i="10"/>
  <c r="D69" i="13"/>
  <c r="D72" i="13" s="1"/>
  <c r="D38" i="13"/>
  <c r="AE41" i="12"/>
  <c r="T41" i="12"/>
  <c r="L41" i="12"/>
  <c r="N41" i="12"/>
  <c r="M41" i="12"/>
  <c r="K41" i="12"/>
  <c r="J41" i="12"/>
  <c r="I41" i="12"/>
  <c r="H41" i="12"/>
  <c r="G41" i="12"/>
  <c r="F41" i="12"/>
  <c r="E41" i="12"/>
  <c r="D41" i="12"/>
  <c r="D42" i="12" s="1"/>
  <c r="AL41" i="12"/>
  <c r="C41" i="12"/>
  <c r="C42" i="12" s="1"/>
  <c r="AK41" i="12"/>
  <c r="AJ41" i="12"/>
  <c r="AI41" i="12"/>
  <c r="AH41" i="12"/>
  <c r="AG41" i="12"/>
  <c r="AF41" i="12"/>
  <c r="AD41" i="12"/>
  <c r="AC41" i="12"/>
  <c r="AB41" i="12"/>
  <c r="AA41" i="12"/>
  <c r="Z41" i="12"/>
  <c r="Y41" i="12"/>
  <c r="X41" i="12"/>
  <c r="W41" i="12"/>
  <c r="V41" i="12"/>
  <c r="U41" i="12"/>
  <c r="S41" i="12"/>
  <c r="R41" i="12"/>
  <c r="Q41" i="12"/>
  <c r="P41" i="12"/>
  <c r="O41" i="12"/>
  <c r="E11" i="8"/>
  <c r="E62" i="6"/>
  <c r="E70" i="6" s="1"/>
  <c r="E72" i="6" s="1"/>
  <c r="C36" i="14"/>
  <c r="F35" i="14"/>
  <c r="D35" i="14"/>
  <c r="D62" i="6"/>
  <c r="D70" i="6" s="1"/>
  <c r="D72" i="6" s="1"/>
  <c r="D37" i="14"/>
  <c r="F37" i="14"/>
  <c r="B31" i="6"/>
  <c r="F17" i="6"/>
  <c r="B119" i="6"/>
  <c r="F119" i="6" s="1"/>
  <c r="B25" i="6"/>
  <c r="F25" i="6" s="1"/>
  <c r="E37" i="12"/>
  <c r="E42" i="12" s="1"/>
  <c r="C16" i="11"/>
  <c r="F46" i="6"/>
  <c r="B50" i="6"/>
  <c r="G32" i="12"/>
  <c r="G29" i="12"/>
  <c r="H28" i="12"/>
  <c r="B23" i="22"/>
  <c r="G23" i="22" s="1"/>
  <c r="M25" i="11"/>
  <c r="K23" i="11"/>
  <c r="I19" i="11"/>
  <c r="G17" i="11"/>
  <c r="I10" i="11"/>
  <c r="K30" i="11"/>
  <c r="H28" i="11"/>
  <c r="E26" i="11"/>
  <c r="K17" i="11"/>
  <c r="J10" i="11"/>
  <c r="J30" i="11"/>
  <c r="G28" i="11"/>
  <c r="D26" i="11"/>
  <c r="M19" i="11"/>
  <c r="J17" i="11"/>
  <c r="H10" i="11"/>
  <c r="I30" i="11"/>
  <c r="F28" i="11"/>
  <c r="L19" i="11"/>
  <c r="I17" i="11"/>
  <c r="M12" i="11"/>
  <c r="G10" i="11"/>
  <c r="H30" i="11"/>
  <c r="E28" i="11"/>
  <c r="K19" i="11"/>
  <c r="H17" i="11"/>
  <c r="L12" i="11"/>
  <c r="F10" i="11"/>
  <c r="G30" i="11"/>
  <c r="D28" i="11"/>
  <c r="M23" i="11"/>
  <c r="J19" i="11"/>
  <c r="F17" i="11"/>
  <c r="K12" i="11"/>
  <c r="E10" i="11"/>
  <c r="F30" i="11"/>
  <c r="L23" i="11"/>
  <c r="H19" i="11"/>
  <c r="E17" i="11"/>
  <c r="J12" i="11"/>
  <c r="D10" i="11"/>
  <c r="E30" i="11"/>
  <c r="J23" i="11"/>
  <c r="G19" i="11"/>
  <c r="D17" i="11"/>
  <c r="I12" i="11"/>
  <c r="D30" i="11"/>
  <c r="L25" i="11"/>
  <c r="I23" i="11"/>
  <c r="F19" i="11"/>
  <c r="M14" i="11"/>
  <c r="H12" i="11"/>
  <c r="K25" i="11"/>
  <c r="H23" i="11"/>
  <c r="E19" i="11"/>
  <c r="L14" i="11"/>
  <c r="G12" i="11"/>
  <c r="M27" i="11"/>
  <c r="J25" i="11"/>
  <c r="G23" i="11"/>
  <c r="D19" i="11"/>
  <c r="K14" i="11"/>
  <c r="F12" i="11"/>
  <c r="L27" i="11"/>
  <c r="I25" i="11"/>
  <c r="F23" i="11"/>
  <c r="J14" i="11"/>
  <c r="E12" i="11"/>
  <c r="K27" i="11"/>
  <c r="H25" i="11"/>
  <c r="E23" i="11"/>
  <c r="I14" i="11"/>
  <c r="D12" i="11"/>
  <c r="M29" i="11"/>
  <c r="J27" i="11"/>
  <c r="G25" i="11"/>
  <c r="D23" i="11"/>
  <c r="M16" i="11"/>
  <c r="H14" i="11"/>
  <c r="L29" i="11"/>
  <c r="I27" i="11"/>
  <c r="F25" i="11"/>
  <c r="L16" i="11"/>
  <c r="G14" i="11"/>
  <c r="K29" i="11"/>
  <c r="H27" i="11"/>
  <c r="E25" i="11"/>
  <c r="K16" i="11"/>
  <c r="F14" i="11"/>
  <c r="J29" i="11"/>
  <c r="G27" i="11"/>
  <c r="D25" i="11"/>
  <c r="M18" i="11"/>
  <c r="J16" i="11"/>
  <c r="E14" i="11"/>
  <c r="I29" i="11"/>
  <c r="F27" i="11"/>
  <c r="L18" i="11"/>
  <c r="I16" i="11"/>
  <c r="D14" i="11"/>
  <c r="H29" i="11"/>
  <c r="E27" i="11"/>
  <c r="K18" i="11"/>
  <c r="H16" i="11"/>
  <c r="G29" i="11"/>
  <c r="D27" i="11"/>
  <c r="M22" i="11"/>
  <c r="J18" i="11"/>
  <c r="G16" i="11"/>
  <c r="F29" i="11"/>
  <c r="L22" i="11"/>
  <c r="I18" i="11"/>
  <c r="F16" i="11"/>
  <c r="E29" i="11"/>
  <c r="K22" i="11"/>
  <c r="H18" i="11"/>
  <c r="E16" i="11"/>
  <c r="D29" i="11"/>
  <c r="M24" i="11"/>
  <c r="J22" i="11"/>
  <c r="G18" i="11"/>
  <c r="D16" i="11"/>
  <c r="L24" i="11"/>
  <c r="I22" i="11"/>
  <c r="F18" i="11"/>
  <c r="K24" i="11"/>
  <c r="H22" i="11"/>
  <c r="E18" i="11"/>
  <c r="M26" i="11"/>
  <c r="J24" i="11"/>
  <c r="G22" i="11"/>
  <c r="D18" i="11"/>
  <c r="L26" i="11"/>
  <c r="I24" i="11"/>
  <c r="F22" i="11"/>
  <c r="K26" i="11"/>
  <c r="H24" i="11"/>
  <c r="E22" i="11"/>
  <c r="M28" i="11"/>
  <c r="J26" i="11"/>
  <c r="G24" i="11"/>
  <c r="D22" i="11"/>
  <c r="L28" i="11"/>
  <c r="I26" i="11"/>
  <c r="F24" i="11"/>
  <c r="K28" i="11"/>
  <c r="H26" i="11"/>
  <c r="E24" i="11"/>
  <c r="M10" i="11"/>
  <c r="M30" i="11"/>
  <c r="J28" i="11"/>
  <c r="G26" i="11"/>
  <c r="D24" i="11"/>
  <c r="M17" i="11"/>
  <c r="L10" i="11"/>
  <c r="L30" i="11"/>
  <c r="I28" i="11"/>
  <c r="F26" i="11"/>
  <c r="L17" i="11"/>
  <c r="K10" i="11"/>
  <c r="C156" i="10"/>
  <c r="C17" i="11"/>
  <c r="F48" i="6"/>
  <c r="C13" i="11"/>
  <c r="F43" i="6"/>
  <c r="C12" i="11"/>
  <c r="F42" i="6"/>
  <c r="C19" i="11"/>
  <c r="C40" i="11" s="1"/>
  <c r="F42" i="12"/>
  <c r="J50" i="12" l="1"/>
  <c r="J30" i="12"/>
  <c r="D80" i="6"/>
  <c r="D118" i="6" s="1"/>
  <c r="D75" i="6"/>
  <c r="D78" i="6"/>
  <c r="D77" i="6"/>
  <c r="E75" i="6"/>
  <c r="E80" i="6"/>
  <c r="E118" i="6" s="1"/>
  <c r="E78" i="6"/>
  <c r="E77" i="6"/>
  <c r="C45" i="12"/>
  <c r="C44" i="12"/>
  <c r="M97" i="22"/>
  <c r="F36" i="18" a="1"/>
  <c r="F36" i="18" s="1"/>
  <c r="J97" i="22"/>
  <c r="B25" i="22"/>
  <c r="G25" i="22" s="1"/>
  <c r="B18" i="22"/>
  <c r="G18" i="22" s="1"/>
  <c r="F42" i="18" a="1"/>
  <c r="F42" i="18" s="1"/>
  <c r="B33" i="22"/>
  <c r="G33" i="22" s="1"/>
  <c r="F41" i="18" a="1"/>
  <c r="F41" i="18" s="1"/>
  <c r="F39" i="18" a="1"/>
  <c r="F39" i="18" s="1"/>
  <c r="F40" i="18" a="1"/>
  <c r="F40" i="18" s="1"/>
  <c r="F38" i="18" a="1"/>
  <c r="F38" i="18" s="1"/>
  <c r="F37" i="18" a="1"/>
  <c r="F37" i="18" s="1"/>
  <c r="B60" i="22"/>
  <c r="G60" i="22" s="1"/>
  <c r="B31" i="22"/>
  <c r="G31" i="22" s="1"/>
  <c r="C64" i="11"/>
  <c r="C66" i="11"/>
  <c r="C48" i="11"/>
  <c r="C50" i="11"/>
  <c r="C62" i="11"/>
  <c r="F144" i="6"/>
  <c r="F147" i="6"/>
  <c r="F149" i="6" s="1"/>
  <c r="C65" i="11"/>
  <c r="O27" i="11"/>
  <c r="P27" i="11" s="1"/>
  <c r="Q27" i="11"/>
  <c r="N27" i="11"/>
  <c r="B72" i="6"/>
  <c r="F50" i="6"/>
  <c r="N12" i="11"/>
  <c r="O12" i="11"/>
  <c r="P12" i="11" s="1"/>
  <c r="Q12" i="11"/>
  <c r="C31" i="6"/>
  <c r="C119" i="6"/>
  <c r="C25" i="6"/>
  <c r="F45" i="12"/>
  <c r="F44" i="12"/>
  <c r="Q18" i="11"/>
  <c r="O18" i="11"/>
  <c r="P18" i="11" s="1"/>
  <c r="N18" i="11"/>
  <c r="Q25" i="11"/>
  <c r="O25" i="11"/>
  <c r="P25" i="11" s="1"/>
  <c r="N25" i="11"/>
  <c r="Q24" i="11"/>
  <c r="O24" i="11"/>
  <c r="P24" i="11" s="1"/>
  <c r="N24" i="11"/>
  <c r="E45" i="12"/>
  <c r="E44" i="12"/>
  <c r="E13" i="6"/>
  <c r="D123" i="6"/>
  <c r="D126" i="6"/>
  <c r="D17" i="6"/>
  <c r="Q29" i="11"/>
  <c r="O29" i="11"/>
  <c r="P29" i="11" s="1"/>
  <c r="N29" i="11"/>
  <c r="F86" i="11"/>
  <c r="F87" i="11" s="1"/>
  <c r="G84" i="11" s="1"/>
  <c r="G87" i="11" s="1"/>
  <c r="E69" i="13"/>
  <c r="E72" i="13" s="1"/>
  <c r="E38" i="13"/>
  <c r="Q10" i="11"/>
  <c r="O10" i="11"/>
  <c r="P10" i="11" s="1"/>
  <c r="N10" i="11"/>
  <c r="Q14" i="11"/>
  <c r="O14" i="11"/>
  <c r="P14" i="11" s="1"/>
  <c r="N14" i="11"/>
  <c r="Q28" i="11"/>
  <c r="O28" i="11"/>
  <c r="P28" i="11" s="1"/>
  <c r="N28" i="11"/>
  <c r="H29" i="12"/>
  <c r="H32" i="12"/>
  <c r="H35" i="12" s="1"/>
  <c r="H37" i="12" s="1"/>
  <c r="H42" i="12" s="1"/>
  <c r="I28" i="12"/>
  <c r="B24" i="22"/>
  <c r="G24" i="22" s="1"/>
  <c r="N19" i="11"/>
  <c r="Q19" i="11"/>
  <c r="O19" i="11"/>
  <c r="P19" i="11" s="1"/>
  <c r="Q34" i="11"/>
  <c r="Q37" i="11"/>
  <c r="Q32" i="11"/>
  <c r="Q36" i="11"/>
  <c r="Q46" i="11"/>
  <c r="Q31" i="11"/>
  <c r="Q40" i="11"/>
  <c r="Q38" i="11"/>
  <c r="Q35" i="11"/>
  <c r="Q48" i="11"/>
  <c r="Q30" i="11"/>
  <c r="O30" i="11"/>
  <c r="P30" i="11" s="1"/>
  <c r="N30" i="11"/>
  <c r="Q23" i="11"/>
  <c r="O23" i="11"/>
  <c r="P23" i="11" s="1"/>
  <c r="N23" i="11"/>
  <c r="Q17" i="11"/>
  <c r="O17" i="11"/>
  <c r="P17" i="11" s="1"/>
  <c r="N17" i="11"/>
  <c r="Q26" i="11"/>
  <c r="O26" i="11"/>
  <c r="P26" i="11" s="1"/>
  <c r="N26" i="11"/>
  <c r="G35" i="12"/>
  <c r="Q16" i="11"/>
  <c r="O16" i="11"/>
  <c r="P16" i="11" s="1"/>
  <c r="N16" i="11"/>
  <c r="G97" i="22"/>
  <c r="B15" i="22"/>
  <c r="G15" i="22" s="1"/>
  <c r="B17" i="1"/>
  <c r="F152" i="6"/>
  <c r="F151" i="6"/>
  <c r="C29" i="1"/>
  <c r="C30" i="1"/>
  <c r="B34" i="22"/>
  <c r="G34" i="22" s="1"/>
  <c r="C28" i="1"/>
  <c r="F148" i="6"/>
  <c r="F150" i="6" s="1"/>
  <c r="B47" i="22"/>
  <c r="B20" i="1"/>
  <c r="B41" i="12"/>
  <c r="Q22" i="11"/>
  <c r="O22" i="11"/>
  <c r="P22" i="11" s="1"/>
  <c r="N22" i="11"/>
  <c r="D13" i="11"/>
  <c r="G136" i="6"/>
  <c r="H136" i="6" s="1"/>
  <c r="B22" i="20"/>
  <c r="B18" i="20"/>
  <c r="H21" i="20"/>
  <c r="H17" i="20"/>
  <c r="G21" i="20"/>
  <c r="G17" i="20"/>
  <c r="F21" i="20"/>
  <c r="F17" i="20"/>
  <c r="E21" i="20"/>
  <c r="E17" i="20"/>
  <c r="C21" i="20"/>
  <c r="C17" i="20"/>
  <c r="B21" i="20"/>
  <c r="B17" i="20"/>
  <c r="F20" i="20"/>
  <c r="E20" i="20"/>
  <c r="D20" i="20"/>
  <c r="F23" i="20"/>
  <c r="F19" i="20"/>
  <c r="E23" i="20"/>
  <c r="E19" i="20"/>
  <c r="D23" i="20"/>
  <c r="D19" i="20"/>
  <c r="C23" i="20"/>
  <c r="C19" i="20"/>
  <c r="B23" i="20"/>
  <c r="B19" i="20"/>
  <c r="E22" i="20"/>
  <c r="E18" i="20"/>
  <c r="D22" i="20"/>
  <c r="D18" i="20"/>
  <c r="H18" i="20"/>
  <c r="G18" i="20"/>
  <c r="F18" i="20"/>
  <c r="C18" i="20"/>
  <c r="D17" i="20"/>
  <c r="H23" i="20"/>
  <c r="G23" i="20"/>
  <c r="H22" i="20"/>
  <c r="G22" i="20"/>
  <c r="F22" i="20"/>
  <c r="C22" i="20"/>
  <c r="D21" i="20"/>
  <c r="H20" i="20"/>
  <c r="G20" i="20"/>
  <c r="B20" i="20"/>
  <c r="H19" i="20"/>
  <c r="G19" i="20"/>
  <c r="C20" i="20"/>
  <c r="B33" i="6"/>
  <c r="F33" i="6" s="1"/>
  <c r="F31" i="6"/>
  <c r="B34" i="6"/>
  <c r="F34" i="6" s="1"/>
  <c r="D45" i="12"/>
  <c r="D44" i="12"/>
  <c r="K50" i="12" l="1"/>
  <c r="K30" i="12"/>
  <c r="H84" i="11"/>
  <c r="H87" i="11" s="1"/>
  <c r="I84" i="11" s="1"/>
  <c r="I87" i="11" s="1"/>
  <c r="J84" i="11" s="1"/>
  <c r="J87" i="11" s="1"/>
  <c r="K84" i="11" s="1"/>
  <c r="K87" i="11" s="1"/>
  <c r="L84" i="11" s="1"/>
  <c r="L87" i="11" s="1"/>
  <c r="M84" i="11" s="1"/>
  <c r="M87" i="11" s="1"/>
  <c r="P87" i="11" s="1"/>
  <c r="G8" i="18"/>
  <c r="G12" i="18" s="1"/>
  <c r="D31" i="6"/>
  <c r="D119" i="6"/>
  <c r="D25" i="6"/>
  <c r="E123" i="6"/>
  <c r="E126" i="6"/>
  <c r="E17" i="6"/>
  <c r="E54" i="12"/>
  <c r="E51" i="12"/>
  <c r="E52" i="12" s="1"/>
  <c r="B14" i="17"/>
  <c r="B10" i="17"/>
  <c r="B33" i="1"/>
  <c r="F155" i="6"/>
  <c r="F154" i="6"/>
  <c r="D54" i="12"/>
  <c r="D51" i="12"/>
  <c r="D52" i="12" s="1"/>
  <c r="H44" i="12"/>
  <c r="H45" i="12"/>
  <c r="G37" i="12"/>
  <c r="F54" i="12"/>
  <c r="F51" i="12"/>
  <c r="F52" i="12" s="1"/>
  <c r="B69" i="22"/>
  <c r="G47" i="22"/>
  <c r="G13" i="18"/>
  <c r="B9" i="17"/>
  <c r="C17" i="18"/>
  <c r="C18" i="18" s="1"/>
  <c r="B32" i="1"/>
  <c r="C54" i="12"/>
  <c r="C51" i="12"/>
  <c r="I32" i="12"/>
  <c r="I35" i="12" s="1"/>
  <c r="I37" i="12" s="1"/>
  <c r="I42" i="12" s="1"/>
  <c r="J28" i="12"/>
  <c r="I29" i="12"/>
  <c r="Q13" i="11"/>
  <c r="O13" i="11"/>
  <c r="N13" i="11"/>
  <c r="I97" i="22"/>
  <c r="B46" i="22"/>
  <c r="B22" i="12"/>
  <c r="B23" i="12" s="1"/>
  <c r="C60" i="11"/>
  <c r="B21" i="1"/>
  <c r="B34" i="1"/>
  <c r="C34" i="1"/>
  <c r="E6" i="20"/>
  <c r="G12" i="20"/>
  <c r="B12" i="20"/>
  <c r="H13" i="20"/>
  <c r="C10" i="20"/>
  <c r="G10" i="20"/>
  <c r="G11" i="20"/>
  <c r="E13" i="20"/>
  <c r="G9" i="20"/>
  <c r="C9" i="20"/>
  <c r="D12" i="20"/>
  <c r="H8" i="20"/>
  <c r="E11" i="20"/>
  <c r="F8" i="20"/>
  <c r="E8" i="20"/>
  <c r="C12" i="20"/>
  <c r="F7" i="20"/>
  <c r="B10" i="20"/>
  <c r="D11" i="20"/>
  <c r="H7" i="20"/>
  <c r="H9" i="20"/>
  <c r="D7" i="20"/>
  <c r="C7" i="20"/>
  <c r="E10" i="20"/>
  <c r="H10" i="20"/>
  <c r="D9" i="20"/>
  <c r="D13" i="20"/>
  <c r="D6" i="20"/>
  <c r="D10" i="20"/>
  <c r="B13" i="20"/>
  <c r="C11" i="20"/>
  <c r="E12" i="20"/>
  <c r="C13" i="20"/>
  <c r="G8" i="20"/>
  <c r="B6" i="20"/>
  <c r="H11" i="20"/>
  <c r="F6" i="20"/>
  <c r="B7" i="20"/>
  <c r="C6" i="20"/>
  <c r="C8" i="20"/>
  <c r="G7" i="20"/>
  <c r="H12" i="20"/>
  <c r="G6" i="20"/>
  <c r="B8" i="20"/>
  <c r="F13" i="20"/>
  <c r="B11" i="20"/>
  <c r="E7" i="20"/>
  <c r="F10" i="20"/>
  <c r="G13" i="20"/>
  <c r="H6" i="20"/>
  <c r="F9" i="20"/>
  <c r="B9" i="20"/>
  <c r="F11" i="20"/>
  <c r="D8" i="20"/>
  <c r="E9" i="20"/>
  <c r="F12" i="20"/>
  <c r="C33" i="6"/>
  <c r="C34" i="6"/>
  <c r="G62" i="6"/>
  <c r="G69" i="6"/>
  <c r="G137" i="6"/>
  <c r="G56" i="6"/>
  <c r="G58" i="6"/>
  <c r="G60" i="6"/>
  <c r="G68" i="6"/>
  <c r="G66" i="6"/>
  <c r="G61" i="6"/>
  <c r="G67" i="6"/>
  <c r="G55" i="6"/>
  <c r="G63" i="6"/>
  <c r="G57" i="6"/>
  <c r="G64" i="6"/>
  <c r="F26" i="16"/>
  <c r="G59" i="6"/>
  <c r="G54" i="6"/>
  <c r="G70" i="6"/>
  <c r="B80" i="6"/>
  <c r="B75" i="6"/>
  <c r="F75" i="6" s="1"/>
  <c r="F72" i="6"/>
  <c r="G72" i="6" s="1"/>
  <c r="B78" i="6"/>
  <c r="F78" i="6" s="1"/>
  <c r="B77" i="6"/>
  <c r="F77" i="6" s="1"/>
  <c r="L50" i="12" l="1"/>
  <c r="L30" i="12"/>
  <c r="G42" i="12"/>
  <c r="F80" i="6"/>
  <c r="B118" i="6"/>
  <c r="F118" i="6" s="1"/>
  <c r="B7" i="21"/>
  <c r="C48" i="17"/>
  <c r="B62" i="17"/>
  <c r="B72" i="17"/>
  <c r="B74" i="17" s="1"/>
  <c r="B59" i="17"/>
  <c r="B66" i="17" s="1"/>
  <c r="B104" i="17"/>
  <c r="L48" i="17"/>
  <c r="B67" i="17"/>
  <c r="K48" i="17"/>
  <c r="F48" i="17"/>
  <c r="E48" i="17"/>
  <c r="B103" i="17"/>
  <c r="J48" i="17"/>
  <c r="I48" i="17"/>
  <c r="G48" i="17"/>
  <c r="B48" i="17"/>
  <c r="H48" i="17"/>
  <c r="D48" i="17"/>
  <c r="D62" i="17"/>
  <c r="B76" i="17"/>
  <c r="B78" i="17" s="1"/>
  <c r="B38" i="1"/>
  <c r="D38" i="1"/>
  <c r="D50" i="17"/>
  <c r="K50" i="17"/>
  <c r="I50" i="17"/>
  <c r="H50" i="17"/>
  <c r="G50" i="17"/>
  <c r="F50" i="17"/>
  <c r="B50" i="17"/>
  <c r="J50" i="17"/>
  <c r="E50" i="17"/>
  <c r="C50" i="17"/>
  <c r="D56" i="21"/>
  <c r="D55" i="21"/>
  <c r="D53" i="21"/>
  <c r="C54" i="21"/>
  <c r="D51" i="21"/>
  <c r="C58" i="21"/>
  <c r="C57" i="21"/>
  <c r="D57" i="21"/>
  <c r="C52" i="21"/>
  <c r="C51" i="21"/>
  <c r="C53" i="21"/>
  <c r="C56" i="21"/>
  <c r="D52" i="21"/>
  <c r="D58" i="21"/>
  <c r="D54" i="21"/>
  <c r="C55" i="21"/>
  <c r="E57" i="21"/>
  <c r="E52" i="21"/>
  <c r="F56" i="21"/>
  <c r="E56" i="21"/>
  <c r="G51" i="21"/>
  <c r="G56" i="21"/>
  <c r="G58" i="21"/>
  <c r="E58" i="21"/>
  <c r="F51" i="21"/>
  <c r="E51" i="21"/>
  <c r="G55" i="21"/>
  <c r="F55" i="21"/>
  <c r="E55" i="21"/>
  <c r="G54" i="21"/>
  <c r="E53" i="21"/>
  <c r="F52" i="21"/>
  <c r="G52" i="21"/>
  <c r="F58" i="21"/>
  <c r="F57" i="21"/>
  <c r="F54" i="21"/>
  <c r="E54" i="21"/>
  <c r="G53" i="21"/>
  <c r="F53" i="21"/>
  <c r="G57" i="21"/>
  <c r="C19" i="18"/>
  <c r="C20" i="18"/>
  <c r="G46" i="22"/>
  <c r="G58" i="22"/>
  <c r="G55" i="22"/>
  <c r="B60" i="17"/>
  <c r="C66" i="17" s="1"/>
  <c r="C42" i="1" s="1"/>
  <c r="K49" i="17"/>
  <c r="J49" i="17"/>
  <c r="F49" i="17"/>
  <c r="C49" i="17"/>
  <c r="B49" i="17"/>
  <c r="I49" i="17"/>
  <c r="H49" i="17"/>
  <c r="G49" i="17"/>
  <c r="D49" i="17"/>
  <c r="D66" i="17"/>
  <c r="P21" i="17" s="1"/>
  <c r="E49" i="17"/>
  <c r="C62" i="17"/>
  <c r="C38" i="1"/>
  <c r="H54" i="12"/>
  <c r="H51" i="12"/>
  <c r="H52" i="12" s="1"/>
  <c r="J32" i="12"/>
  <c r="K28" i="12"/>
  <c r="J29" i="12"/>
  <c r="I44" i="12"/>
  <c r="I45" i="12"/>
  <c r="K42" i="17"/>
  <c r="I42" i="17"/>
  <c r="F42" i="17"/>
  <c r="E42" i="17"/>
  <c r="J42" i="17"/>
  <c r="H42" i="17"/>
  <c r="G42" i="17"/>
  <c r="D42" i="17"/>
  <c r="B42" i="17"/>
  <c r="L49" i="17"/>
  <c r="L53" i="17" s="1"/>
  <c r="C42" i="17"/>
  <c r="E31" i="6"/>
  <c r="E119" i="6"/>
  <c r="E25" i="6"/>
  <c r="C52" i="12"/>
  <c r="D33" i="6"/>
  <c r="D34" i="6"/>
  <c r="G15" i="18"/>
  <c r="M50" i="12" l="1"/>
  <c r="M30" i="12"/>
  <c r="L21" i="21"/>
  <c r="L22" i="21" s="1"/>
  <c r="M24" i="21"/>
  <c r="L24" i="21"/>
  <c r="M49" i="17"/>
  <c r="G53" i="17"/>
  <c r="G101" i="17"/>
  <c r="G43" i="17"/>
  <c r="G102" i="17" s="1"/>
  <c r="C53" i="17"/>
  <c r="C101" i="17"/>
  <c r="C43" i="17"/>
  <c r="C102" i="17" s="1"/>
  <c r="B53" i="17"/>
  <c r="M42" i="17"/>
  <c r="B43" i="17"/>
  <c r="B101" i="17"/>
  <c r="M48" i="17"/>
  <c r="D53" i="17"/>
  <c r="D43" i="17"/>
  <c r="D102" i="17" s="1"/>
  <c r="D101" i="17"/>
  <c r="H53" i="17"/>
  <c r="H43" i="17"/>
  <c r="H102" i="17" s="1"/>
  <c r="H101" i="17"/>
  <c r="C24" i="18"/>
  <c r="C26" i="18" s="1"/>
  <c r="C27" i="18" s="1"/>
  <c r="C25" i="18"/>
  <c r="C22" i="18"/>
  <c r="J53" i="17"/>
  <c r="J101" i="17"/>
  <c r="J43" i="17"/>
  <c r="J102" i="17" s="1"/>
  <c r="I53" i="17"/>
  <c r="I101" i="17"/>
  <c r="I43" i="17"/>
  <c r="I102" i="17" s="1"/>
  <c r="K53" i="17"/>
  <c r="K101" i="17"/>
  <c r="K43" i="17"/>
  <c r="K102" i="17" s="1"/>
  <c r="F53" i="17"/>
  <c r="F101" i="17"/>
  <c r="F43" i="17"/>
  <c r="F102" i="17" s="1"/>
  <c r="E33" i="6"/>
  <c r="E34" i="6"/>
  <c r="E53" i="17"/>
  <c r="E43" i="17"/>
  <c r="E102" i="17" s="1"/>
  <c r="E101" i="17"/>
  <c r="L101" i="17"/>
  <c r="N77" i="17"/>
  <c r="N73" i="17"/>
  <c r="N76" i="17"/>
  <c r="N72" i="17"/>
  <c r="L50" i="17"/>
  <c r="N97" i="22"/>
  <c r="B36" i="21"/>
  <c r="E44" i="21" s="1"/>
  <c r="B54" i="22"/>
  <c r="G54" i="22" s="1"/>
  <c r="B42" i="1"/>
  <c r="E15" i="1"/>
  <c r="L28" i="12"/>
  <c r="K32" i="12"/>
  <c r="K35" i="12" s="1"/>
  <c r="K37" i="12" s="1"/>
  <c r="K42" i="12" s="1"/>
  <c r="K29" i="12"/>
  <c r="M50" i="17"/>
  <c r="J35" i="12"/>
  <c r="G19" i="18"/>
  <c r="G20" i="18"/>
  <c r="G17" i="18"/>
  <c r="I54" i="12"/>
  <c r="I51" i="12"/>
  <c r="I52" i="12" s="1"/>
  <c r="C53" i="12"/>
  <c r="B53" i="22"/>
  <c r="G53" i="22" s="1"/>
  <c r="P22" i="17"/>
  <c r="D42" i="1"/>
  <c r="G45" i="12"/>
  <c r="G44" i="12"/>
  <c r="N50" i="12" l="1"/>
  <c r="N30" i="12"/>
  <c r="I115" i="17"/>
  <c r="I116" i="17"/>
  <c r="K45" i="12"/>
  <c r="K44" i="12"/>
  <c r="J37" i="12"/>
  <c r="J116" i="17"/>
  <c r="J115" i="17"/>
  <c r="L32" i="12"/>
  <c r="L35" i="12" s="1"/>
  <c r="L37" i="12" s="1"/>
  <c r="L42" i="12" s="1"/>
  <c r="L29" i="12"/>
  <c r="M28" i="12"/>
  <c r="L88" i="17"/>
  <c r="M88" i="17"/>
  <c r="B95" i="17" s="1"/>
  <c r="G54" i="12"/>
  <c r="G51" i="12"/>
  <c r="B102" i="17"/>
  <c r="M43" i="17"/>
  <c r="C116" i="17"/>
  <c r="C115" i="17"/>
  <c r="L102" i="17"/>
  <c r="D115" i="17"/>
  <c r="D116" i="17"/>
  <c r="E116" i="17"/>
  <c r="E115" i="17"/>
  <c r="D53" i="12"/>
  <c r="E53" i="12" s="1"/>
  <c r="F53" i="12" s="1"/>
  <c r="H116" i="17"/>
  <c r="H115" i="17"/>
  <c r="M53" i="17"/>
  <c r="F116" i="17"/>
  <c r="F115" i="17"/>
  <c r="G116" i="17"/>
  <c r="G115" i="17"/>
  <c r="K116" i="17"/>
  <c r="K115" i="17"/>
  <c r="G24" i="18"/>
  <c r="G21" i="18"/>
  <c r="G25" i="18" s="1"/>
  <c r="O50" i="12" l="1"/>
  <c r="O30" i="12"/>
  <c r="L115" i="17"/>
  <c r="L116" i="17"/>
  <c r="C63" i="17"/>
  <c r="C40" i="1"/>
  <c r="C43" i="1"/>
  <c r="C39" i="1"/>
  <c r="B116" i="17"/>
  <c r="B115" i="17"/>
  <c r="B105" i="17"/>
  <c r="G52" i="12"/>
  <c r="M29" i="12"/>
  <c r="M32" i="12"/>
  <c r="M35" i="12" s="1"/>
  <c r="M37" i="12" s="1"/>
  <c r="M42" i="12" s="1"/>
  <c r="N28" i="12"/>
  <c r="L45" i="12"/>
  <c r="L44" i="12"/>
  <c r="G53" i="12"/>
  <c r="H53" i="12" s="1"/>
  <c r="I53" i="12" s="1"/>
  <c r="J42" i="12"/>
  <c r="K54" i="12"/>
  <c r="K51" i="12"/>
  <c r="K52" i="12" s="1"/>
  <c r="L105" i="17"/>
  <c r="L106" i="17" s="1"/>
  <c r="P50" i="12" l="1"/>
  <c r="P30" i="12"/>
  <c r="L54" i="12"/>
  <c r="L51" i="12"/>
  <c r="L52" i="12" s="1"/>
  <c r="N32" i="12"/>
  <c r="N35" i="12" s="1"/>
  <c r="N37" i="12" s="1"/>
  <c r="O28" i="12"/>
  <c r="N29" i="12"/>
  <c r="B64" i="12" s="1"/>
  <c r="M45" i="12"/>
  <c r="M44" i="12"/>
  <c r="J45" i="12"/>
  <c r="J44" i="12"/>
  <c r="B107" i="17"/>
  <c r="B106" i="17"/>
  <c r="B109" i="17" s="1"/>
  <c r="C64" i="17"/>
  <c r="C41" i="1" s="1"/>
  <c r="C65" i="17"/>
  <c r="L109" i="17"/>
  <c r="L108" i="17"/>
  <c r="L107" i="17"/>
  <c r="L117" i="17" s="1"/>
  <c r="Q50" i="12" l="1"/>
  <c r="Q30" i="12"/>
  <c r="B114" i="17"/>
  <c r="B45" i="17"/>
  <c r="B110" i="17"/>
  <c r="B46" i="17" s="1"/>
  <c r="L114" i="17"/>
  <c r="L45" i="17"/>
  <c r="L110" i="17"/>
  <c r="L46" i="17" s="1"/>
  <c r="C103" i="17"/>
  <c r="J54" i="12"/>
  <c r="J51" i="12"/>
  <c r="M54" i="12"/>
  <c r="M51" i="12"/>
  <c r="M52" i="12" s="1"/>
  <c r="B108" i="17"/>
  <c r="C104" i="17" s="1"/>
  <c r="P28" i="12"/>
  <c r="O32" i="12"/>
  <c r="O35" i="12" s="1"/>
  <c r="O37" i="12" s="1"/>
  <c r="O42" i="12" s="1"/>
  <c r="O29" i="12"/>
  <c r="N42" i="12"/>
  <c r="R50" i="12" l="1"/>
  <c r="R30" i="12"/>
  <c r="N45" i="12"/>
  <c r="N44" i="12"/>
  <c r="B67" i="12"/>
  <c r="O45" i="12"/>
  <c r="O44" i="12"/>
  <c r="P32" i="12"/>
  <c r="P35" i="12" s="1"/>
  <c r="P37" i="12" s="1"/>
  <c r="P42" i="12" s="1"/>
  <c r="P29" i="12"/>
  <c r="Q28" i="12"/>
  <c r="J52" i="12"/>
  <c r="B117" i="17"/>
  <c r="C105" i="17"/>
  <c r="C107" i="17" s="1"/>
  <c r="L86" i="17"/>
  <c r="L89" i="17" s="1"/>
  <c r="L55" i="17"/>
  <c r="L52" i="17"/>
  <c r="L54" i="17" s="1"/>
  <c r="L25" i="21"/>
  <c r="L27" i="21" s="1"/>
  <c r="L28" i="21" s="1"/>
  <c r="M25" i="21"/>
  <c r="M27" i="21" s="1"/>
  <c r="B86" i="17"/>
  <c r="B55" i="17"/>
  <c r="B52" i="17"/>
  <c r="S30" i="12" l="1"/>
  <c r="S50" i="12"/>
  <c r="D103" i="17"/>
  <c r="B35" i="21"/>
  <c r="B33" i="21"/>
  <c r="B32" i="21"/>
  <c r="D45" i="21"/>
  <c r="C45" i="21"/>
  <c r="E45" i="21"/>
  <c r="B34" i="21"/>
  <c r="J53" i="12"/>
  <c r="B89" i="17"/>
  <c r="C106" i="17"/>
  <c r="C109" i="17" s="1"/>
  <c r="Q32" i="12"/>
  <c r="Q35" i="12" s="1"/>
  <c r="Q37" i="12" s="1"/>
  <c r="Q42" i="12" s="1"/>
  <c r="Q29" i="12"/>
  <c r="R28" i="12"/>
  <c r="P44" i="12"/>
  <c r="P45" i="12"/>
  <c r="O54" i="12"/>
  <c r="O51" i="12"/>
  <c r="O52" i="12" s="1"/>
  <c r="N54" i="12"/>
  <c r="N51" i="12"/>
  <c r="B54" i="17"/>
  <c r="T50" i="12" l="1"/>
  <c r="T30" i="12"/>
  <c r="C45" i="17"/>
  <c r="C114" i="17"/>
  <c r="C110" i="17"/>
  <c r="C46" i="17" s="1"/>
  <c r="Q45" i="12"/>
  <c r="Q44" i="12"/>
  <c r="E43" i="21"/>
  <c r="H52" i="21"/>
  <c r="H51" i="21"/>
  <c r="H57" i="21"/>
  <c r="H53" i="21"/>
  <c r="H55" i="21"/>
  <c r="H56" i="21"/>
  <c r="H54" i="21"/>
  <c r="H58" i="21"/>
  <c r="P54" i="12"/>
  <c r="P51" i="12"/>
  <c r="P52" i="12" s="1"/>
  <c r="C108" i="17"/>
  <c r="R32" i="12"/>
  <c r="R35" i="12" s="1"/>
  <c r="R37" i="12" s="1"/>
  <c r="R42" i="12" s="1"/>
  <c r="R29" i="12"/>
  <c r="S28" i="12"/>
  <c r="K53" i="12"/>
  <c r="L53" i="12" s="1"/>
  <c r="M53" i="12" s="1"/>
  <c r="N53" i="12" s="1"/>
  <c r="O53" i="12" s="1"/>
  <c r="P53" i="12" s="1"/>
  <c r="D105" i="17"/>
  <c r="N52" i="12"/>
  <c r="U50" i="12" l="1"/>
  <c r="U30" i="12"/>
  <c r="S32" i="12"/>
  <c r="S35" i="12" s="1"/>
  <c r="S37" i="12" s="1"/>
  <c r="S42" i="12" s="1"/>
  <c r="S29" i="12"/>
  <c r="T28" i="12"/>
  <c r="R45" i="12"/>
  <c r="R44" i="12"/>
  <c r="D104" i="17"/>
  <c r="D106" i="17" s="1"/>
  <c r="D109" i="17" s="1"/>
  <c r="C117" i="17"/>
  <c r="Q54" i="12"/>
  <c r="Q51" i="12"/>
  <c r="Q52" i="12" s="1"/>
  <c r="Q53" i="12" s="1"/>
  <c r="C55" i="17"/>
  <c r="C86" i="17"/>
  <c r="C52" i="17"/>
  <c r="D107" i="17"/>
  <c r="V30" i="12" l="1"/>
  <c r="V50" i="12"/>
  <c r="D45" i="17"/>
  <c r="D114" i="17"/>
  <c r="D110" i="17"/>
  <c r="D46" i="17" s="1"/>
  <c r="E103" i="17"/>
  <c r="C54" i="17"/>
  <c r="C89" i="17"/>
  <c r="R51" i="12"/>
  <c r="R52" i="12" s="1"/>
  <c r="R53" i="12" s="1"/>
  <c r="R54" i="12"/>
  <c r="T32" i="12"/>
  <c r="T35" i="12" s="1"/>
  <c r="T37" i="12" s="1"/>
  <c r="T42" i="12" s="1"/>
  <c r="T29" i="12"/>
  <c r="U28" i="12"/>
  <c r="D108" i="17"/>
  <c r="E104" i="17" s="1"/>
  <c r="S45" i="12"/>
  <c r="S44" i="12"/>
  <c r="W50" i="12" l="1"/>
  <c r="W30" i="12"/>
  <c r="S54" i="12"/>
  <c r="S51" i="12"/>
  <c r="S52" i="12" s="1"/>
  <c r="S53" i="12" s="1"/>
  <c r="U29" i="12"/>
  <c r="U32" i="12"/>
  <c r="U35" i="12" s="1"/>
  <c r="U37" i="12" s="1"/>
  <c r="U42" i="12" s="1"/>
  <c r="V28" i="12"/>
  <c r="T45" i="12"/>
  <c r="T44" i="12"/>
  <c r="D117" i="17"/>
  <c r="E105" i="17"/>
  <c r="E107" i="17" s="1"/>
  <c r="D55" i="17"/>
  <c r="D86" i="17"/>
  <c r="D52" i="17"/>
  <c r="X30" i="12" l="1"/>
  <c r="X50" i="12"/>
  <c r="F103" i="17"/>
  <c r="D54" i="17"/>
  <c r="D89" i="17"/>
  <c r="E106" i="17"/>
  <c r="T54" i="12"/>
  <c r="T51" i="12"/>
  <c r="T52" i="12" s="1"/>
  <c r="T53" i="12" s="1"/>
  <c r="V32" i="12"/>
  <c r="V35" i="12" s="1"/>
  <c r="V37" i="12" s="1"/>
  <c r="V42" i="12" s="1"/>
  <c r="W28" i="12"/>
  <c r="V29" i="12"/>
  <c r="U45" i="12"/>
  <c r="U44" i="12"/>
  <c r="Y50" i="12" l="1"/>
  <c r="Y30" i="12"/>
  <c r="E109" i="17"/>
  <c r="E108" i="17"/>
  <c r="E45" i="17"/>
  <c r="E114" i="17"/>
  <c r="E110" i="17"/>
  <c r="E46" i="17" s="1"/>
  <c r="X28" i="12"/>
  <c r="W32" i="12"/>
  <c r="W35" i="12" s="1"/>
  <c r="W37" i="12" s="1"/>
  <c r="W42" i="12" s="1"/>
  <c r="W29" i="12"/>
  <c r="U54" i="12"/>
  <c r="U51" i="12"/>
  <c r="U52" i="12" s="1"/>
  <c r="U53" i="12" s="1"/>
  <c r="V45" i="12"/>
  <c r="V44" i="12"/>
  <c r="F105" i="17"/>
  <c r="Z50" i="12" l="1"/>
  <c r="Z30" i="12"/>
  <c r="F104" i="17"/>
  <c r="E117" i="17"/>
  <c r="F106" i="17"/>
  <c r="F109" i="17" s="1"/>
  <c r="X32" i="12"/>
  <c r="X35" i="12" s="1"/>
  <c r="X37" i="12" s="1"/>
  <c r="X42" i="12" s="1"/>
  <c r="X29" i="12"/>
  <c r="Y28" i="12"/>
  <c r="E55" i="17"/>
  <c r="E86" i="17"/>
  <c r="E52" i="17"/>
  <c r="F107" i="17"/>
  <c r="V54" i="12"/>
  <c r="V51" i="12"/>
  <c r="V52" i="12" s="1"/>
  <c r="V53" i="12" s="1"/>
  <c r="W45" i="12"/>
  <c r="W44" i="12"/>
  <c r="AA50" i="12" l="1"/>
  <c r="AA30" i="12"/>
  <c r="F45" i="17"/>
  <c r="F114" i="17"/>
  <c r="F110" i="17"/>
  <c r="F46" i="17" s="1"/>
  <c r="W54" i="12"/>
  <c r="W51" i="12"/>
  <c r="W52" i="12" s="1"/>
  <c r="W53" i="12" s="1"/>
  <c r="E54" i="17"/>
  <c r="Y32" i="12"/>
  <c r="Y35" i="12" s="1"/>
  <c r="Y37" i="12" s="1"/>
  <c r="Y42" i="12" s="1"/>
  <c r="Y29" i="12"/>
  <c r="Z28" i="12"/>
  <c r="X45" i="12"/>
  <c r="X44" i="12"/>
  <c r="F108" i="17"/>
  <c r="G104" i="17" s="1"/>
  <c r="G103" i="17"/>
  <c r="F117" i="17"/>
  <c r="E89" i="17"/>
  <c r="AB50" i="12" l="1"/>
  <c r="AB30" i="12"/>
  <c r="Z29" i="12"/>
  <c r="B65" i="12" s="1"/>
  <c r="AA28" i="12"/>
  <c r="Z32" i="12"/>
  <c r="Z35" i="12" s="1"/>
  <c r="Z37" i="12" s="1"/>
  <c r="Z42" i="12" s="1"/>
  <c r="G105" i="17"/>
  <c r="Y45" i="12"/>
  <c r="Y44" i="12"/>
  <c r="X54" i="12"/>
  <c r="X51" i="12"/>
  <c r="X52" i="12" s="1"/>
  <c r="X53" i="12" s="1"/>
  <c r="F55" i="17"/>
  <c r="F86" i="17"/>
  <c r="F52" i="17"/>
  <c r="AC50" i="12" l="1"/>
  <c r="AC30" i="12"/>
  <c r="Z45" i="12"/>
  <c r="Z44" i="12"/>
  <c r="B68" i="12"/>
  <c r="F89" i="17"/>
  <c r="G106" i="17"/>
  <c r="G108" i="17" s="1"/>
  <c r="H104" i="17" s="1"/>
  <c r="AA32" i="12"/>
  <c r="AA35" i="12" s="1"/>
  <c r="AA37" i="12" s="1"/>
  <c r="AA42" i="12" s="1"/>
  <c r="AA29" i="12"/>
  <c r="AB28" i="12"/>
  <c r="F54" i="17"/>
  <c r="Y54" i="12"/>
  <c r="Y51" i="12"/>
  <c r="Y52" i="12" s="1"/>
  <c r="Y53" i="12" s="1"/>
  <c r="G107" i="17"/>
  <c r="AD30" i="12" l="1"/>
  <c r="AD50" i="12"/>
  <c r="AA45" i="12"/>
  <c r="AA44" i="12"/>
  <c r="H103" i="17"/>
  <c r="G117" i="17"/>
  <c r="G109" i="17"/>
  <c r="Z51" i="12"/>
  <c r="Z52" i="12" s="1"/>
  <c r="Z53" i="12" s="1"/>
  <c r="Z54" i="12"/>
  <c r="AB29" i="12"/>
  <c r="AC28" i="12"/>
  <c r="AB32" i="12"/>
  <c r="AB35" i="12" s="1"/>
  <c r="AB37" i="12" s="1"/>
  <c r="AB42" i="12" s="1"/>
  <c r="AE50" i="12" l="1"/>
  <c r="AE30" i="12"/>
  <c r="AB45" i="12"/>
  <c r="AB44" i="12"/>
  <c r="AC29" i="12"/>
  <c r="AD28" i="12"/>
  <c r="AC32" i="12"/>
  <c r="AC35" i="12" s="1"/>
  <c r="AC37" i="12" s="1"/>
  <c r="AC42" i="12" s="1"/>
  <c r="G45" i="17"/>
  <c r="G52" i="17" s="1"/>
  <c r="G54" i="17" s="1"/>
  <c r="G114" i="17"/>
  <c r="G110" i="17"/>
  <c r="G46" i="17" s="1"/>
  <c r="H105" i="17"/>
  <c r="AA54" i="12"/>
  <c r="AA51" i="12"/>
  <c r="AA52" i="12" s="1"/>
  <c r="AA53" i="12" s="1"/>
  <c r="AF30" i="12" l="1"/>
  <c r="AF50" i="12"/>
  <c r="H106" i="17"/>
  <c r="H109" i="17" s="1"/>
  <c r="H108" i="17"/>
  <c r="I104" i="17" s="1"/>
  <c r="G55" i="17"/>
  <c r="G86" i="17"/>
  <c r="G89" i="17" s="1"/>
  <c r="H107" i="17"/>
  <c r="AD29" i="12"/>
  <c r="AE28" i="12"/>
  <c r="AD32" i="12"/>
  <c r="AD35" i="12" s="1"/>
  <c r="AD37" i="12" s="1"/>
  <c r="AD42" i="12" s="1"/>
  <c r="AB54" i="12"/>
  <c r="AB51" i="12"/>
  <c r="AB52" i="12" s="1"/>
  <c r="AB53" i="12" s="1"/>
  <c r="AC45" i="12"/>
  <c r="AC44" i="12"/>
  <c r="AG30" i="12" l="1"/>
  <c r="AG50" i="12"/>
  <c r="H114" i="17"/>
  <c r="H45" i="17"/>
  <c r="H52" i="17" s="1"/>
  <c r="H54" i="17" s="1"/>
  <c r="H110" i="17"/>
  <c r="H46" i="17" s="1"/>
  <c r="AD45" i="12"/>
  <c r="AD44" i="12"/>
  <c r="I103" i="17"/>
  <c r="H117" i="17"/>
  <c r="AC51" i="12"/>
  <c r="AC52" i="12" s="1"/>
  <c r="AC53" i="12" s="1"/>
  <c r="AC54" i="12"/>
  <c r="AE29" i="12"/>
  <c r="AF28" i="12"/>
  <c r="AE32" i="12"/>
  <c r="AE35" i="12" s="1"/>
  <c r="AE37" i="12" s="1"/>
  <c r="AE42" i="12" s="1"/>
  <c r="AH30" i="12" l="1"/>
  <c r="AH50" i="12"/>
  <c r="AE45" i="12"/>
  <c r="AE44" i="12"/>
  <c r="AF29" i="12"/>
  <c r="AG28" i="12"/>
  <c r="AF32" i="12"/>
  <c r="AF35" i="12" s="1"/>
  <c r="AF37" i="12" s="1"/>
  <c r="AF42" i="12" s="1"/>
  <c r="I105" i="17"/>
  <c r="AD54" i="12"/>
  <c r="AD51" i="12"/>
  <c r="AD52" i="12" s="1"/>
  <c r="AD53" i="12" s="1"/>
  <c r="H86" i="17"/>
  <c r="H89" i="17" s="1"/>
  <c r="H55" i="17"/>
  <c r="AI30" i="12" l="1"/>
  <c r="AI50" i="12"/>
  <c r="I106" i="17"/>
  <c r="I109" i="17" s="1"/>
  <c r="I108" i="17"/>
  <c r="J104" i="17" s="1"/>
  <c r="I107" i="17"/>
  <c r="AF45" i="12"/>
  <c r="AF44" i="12"/>
  <c r="AG32" i="12"/>
  <c r="AG35" i="12" s="1"/>
  <c r="AG37" i="12" s="1"/>
  <c r="AG42" i="12" s="1"/>
  <c r="AG29" i="12"/>
  <c r="AH28" i="12"/>
  <c r="AE54" i="12"/>
  <c r="AE51" i="12"/>
  <c r="AE52" i="12" s="1"/>
  <c r="AE53" i="12" s="1"/>
  <c r="AJ50" i="12" l="1"/>
  <c r="AJ30" i="12"/>
  <c r="I114" i="17"/>
  <c r="I45" i="17"/>
  <c r="I52" i="17" s="1"/>
  <c r="I54" i="17" s="1"/>
  <c r="I110" i="17"/>
  <c r="I46" i="17" s="1"/>
  <c r="AH32" i="12"/>
  <c r="AH35" i="12" s="1"/>
  <c r="AH37" i="12" s="1"/>
  <c r="AH42" i="12" s="1"/>
  <c r="AH29" i="12"/>
  <c r="AI28" i="12"/>
  <c r="AG44" i="12"/>
  <c r="AG45" i="12"/>
  <c r="AF51" i="12"/>
  <c r="AF52" i="12" s="1"/>
  <c r="AF53" i="12" s="1"/>
  <c r="AF54" i="12"/>
  <c r="J103" i="17"/>
  <c r="I117" i="17"/>
  <c r="AK30" i="12" l="1"/>
  <c r="AK50" i="12"/>
  <c r="J105" i="17"/>
  <c r="AG51" i="12"/>
  <c r="AG52" i="12" s="1"/>
  <c r="AG53" i="12" s="1"/>
  <c r="AG54" i="12"/>
  <c r="AI32" i="12"/>
  <c r="AI35" i="12" s="1"/>
  <c r="AI37" i="12" s="1"/>
  <c r="AI42" i="12" s="1"/>
  <c r="AI29" i="12"/>
  <c r="AJ28" i="12"/>
  <c r="AH45" i="12"/>
  <c r="AH44" i="12"/>
  <c r="I55" i="17"/>
  <c r="I86" i="17"/>
  <c r="I89" i="17" s="1"/>
  <c r="AL30" i="12" l="1"/>
  <c r="AL50" i="12"/>
  <c r="B50" i="12" s="1"/>
  <c r="B61" i="12"/>
  <c r="AH51" i="12"/>
  <c r="AH52" i="12" s="1"/>
  <c r="AH53" i="12" s="1"/>
  <c r="AH54" i="12"/>
  <c r="AJ32" i="12"/>
  <c r="AJ35" i="12" s="1"/>
  <c r="AJ37" i="12" s="1"/>
  <c r="AJ42" i="12" s="1"/>
  <c r="AJ29" i="12"/>
  <c r="AK28" i="12"/>
  <c r="AI45" i="12"/>
  <c r="AI44" i="12"/>
  <c r="J106" i="17"/>
  <c r="J109" i="17" s="1"/>
  <c r="J108" i="17"/>
  <c r="K104" i="17" s="1"/>
  <c r="J107" i="17"/>
  <c r="AI51" i="12" l="1"/>
  <c r="AI52" i="12" s="1"/>
  <c r="AI53" i="12" s="1"/>
  <c r="AI54" i="12"/>
  <c r="K103" i="17"/>
  <c r="J117" i="17"/>
  <c r="J45" i="17"/>
  <c r="J52" i="17" s="1"/>
  <c r="J54" i="17" s="1"/>
  <c r="J114" i="17"/>
  <c r="J110" i="17"/>
  <c r="J46" i="17" s="1"/>
  <c r="AK32" i="12"/>
  <c r="AK35" i="12" s="1"/>
  <c r="AK37" i="12" s="1"/>
  <c r="AK42" i="12" s="1"/>
  <c r="AK29" i="12"/>
  <c r="AL28" i="12"/>
  <c r="AJ45" i="12"/>
  <c r="AJ44" i="12"/>
  <c r="AK45" i="12" l="1"/>
  <c r="AK44" i="12"/>
  <c r="K105" i="17"/>
  <c r="AJ51" i="12"/>
  <c r="AJ52" i="12" s="1"/>
  <c r="AJ54" i="12"/>
  <c r="J55" i="17"/>
  <c r="J86" i="17"/>
  <c r="J89" i="17" s="1"/>
  <c r="AL32" i="12"/>
  <c r="AL29" i="12"/>
  <c r="B66" i="12" s="1"/>
  <c r="AJ53" i="12"/>
  <c r="AL35" i="12" l="1"/>
  <c r="B32" i="12"/>
  <c r="K106" i="17"/>
  <c r="K109" i="17" s="1"/>
  <c r="K108" i="17"/>
  <c r="K107" i="17"/>
  <c r="AK54" i="12"/>
  <c r="AK51" i="12"/>
  <c r="AK52" i="12" s="1"/>
  <c r="AK53" i="12" s="1"/>
  <c r="K114" i="17" l="1"/>
  <c r="K45" i="17"/>
  <c r="K110" i="17"/>
  <c r="K46" i="17" s="1"/>
  <c r="K117" i="17"/>
  <c r="AL37" i="12"/>
  <c r="B35" i="12"/>
  <c r="AL42" i="12" l="1"/>
  <c r="B37" i="12"/>
  <c r="K86" i="17"/>
  <c r="K55" i="17"/>
  <c r="M55" i="17" s="1"/>
  <c r="M46" i="17"/>
  <c r="P25" i="17" s="1"/>
  <c r="K52" i="17"/>
  <c r="M45" i="17"/>
  <c r="AL45" i="12" l="1"/>
  <c r="AL44" i="12"/>
  <c r="B42" i="12"/>
  <c r="B69" i="12"/>
  <c r="B70" i="12" s="1"/>
  <c r="E63" i="17"/>
  <c r="P24" i="17"/>
  <c r="E39" i="1"/>
  <c r="E40" i="1"/>
  <c r="K89" i="17"/>
  <c r="M86" i="17"/>
  <c r="K54" i="17"/>
  <c r="M54" i="17" s="1"/>
  <c r="M52" i="17"/>
  <c r="E65" i="17" l="1"/>
  <c r="E64" i="17"/>
  <c r="E41" i="1" s="1"/>
  <c r="AL54" i="12"/>
  <c r="AL51" i="12"/>
  <c r="B59" i="12"/>
  <c r="B44" i="12"/>
  <c r="B63" i="17"/>
  <c r="B39" i="1"/>
  <c r="B43" i="1"/>
  <c r="B40" i="1"/>
  <c r="P23" i="17"/>
  <c r="D63" i="17"/>
  <c r="D40" i="1"/>
  <c r="E24" i="1"/>
  <c r="D39" i="1"/>
  <c r="D43" i="1"/>
  <c r="B94" i="17"/>
  <c r="M89" i="17"/>
  <c r="C94" i="17" l="1"/>
  <c r="B96" i="17"/>
  <c r="C93" i="17"/>
  <c r="C95" i="17"/>
  <c r="B65" i="17"/>
  <c r="B64" i="17"/>
  <c r="D64" i="17"/>
  <c r="D65" i="17"/>
  <c r="B62" i="12"/>
  <c r="B51" i="12"/>
  <c r="AL52" i="12"/>
  <c r="B63" i="12"/>
  <c r="B54" i="12"/>
  <c r="O97" i="22" l="1"/>
  <c r="B57" i="22"/>
  <c r="G57" i="22" s="1"/>
  <c r="E17" i="1"/>
  <c r="B41" i="1"/>
  <c r="B52" i="12"/>
  <c r="AL53" i="12"/>
  <c r="B57" i="12" s="1"/>
  <c r="B58" i="12" s="1"/>
  <c r="B56" i="22"/>
  <c r="G56" i="22" s="1"/>
  <c r="D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S2" authorId="0" shapeId="0" xr:uid="{3E29ECFD-B472-BA42-B8CC-79C87885777C}">
      <text>
        <r>
          <rPr>
            <b/>
            <sz val="10"/>
            <color rgb="FF000000"/>
            <rFont val="Tahoma"/>
            <family val="2"/>
          </rPr>
          <t>Erik Javellana:</t>
        </r>
        <r>
          <rPr>
            <sz val="10"/>
            <color rgb="FF000000"/>
            <rFont val="Tahoma"/>
            <family val="2"/>
          </rPr>
          <t xml:space="preserve">
Blue input — unlevered discount rate for NPV reversion</t>
        </r>
      </text>
    </comment>
    <comment ref="D13" authorId="0" shapeId="0" xr:uid="{8ABE50D4-2F3D-B445-BDCD-70CD09E9D6FE}">
      <text>
        <r>
          <rPr>
            <b/>
            <sz val="10"/>
            <color rgb="FF000000"/>
            <rFont val="Tahoma"/>
            <family val="2"/>
          </rPr>
          <t>Erik Javellana:</t>
        </r>
        <r>
          <rPr>
            <sz val="10"/>
            <color rgb="FF000000"/>
            <rFont val="Tahoma"/>
            <family val="2"/>
          </rPr>
          <t xml:space="preserve">
Blue input — enter acquisition/close date</t>
        </r>
      </text>
    </comment>
    <comment ref="H35" authorId="0" shapeId="0" xr:uid="{2E7D1048-4F25-FF45-B980-5ED080389A4B}">
      <text>
        <r>
          <rPr>
            <b/>
            <sz val="10"/>
            <color rgb="FF000000"/>
            <rFont val="Tahoma"/>
            <family val="2"/>
          </rPr>
          <t>Growth rates now show each line's realized year-over-year change from its own P&amp;L dollar row: Current &amp; Post-Reno Rent → GPR (P&amp;L row 10, single blended rent line); Utility &amp; Other Income → Other Income (row 18, incl. recapture ramp); General OpEx → Total Expenses less RE Taxes (row 38 − row 28); Real Estate Taxes → row 28. Yr.1 is vs T-12 actual (P&amp;L col C); Yr.2+ chain off the prior year. Cells stay blank until an active scenario populates P&amp;L dollars.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9" authorId="0" shapeId="0" xr:uid="{00000000-0006-0000-0500-000001000000}">
      <text>
        <r>
          <rPr>
            <sz val="10"/>
            <rFont val="Arial"/>
            <family val="2"/>
          </rPr>
          <t xml:space="preserve">T-12 Actual: GPR (T-12!N58) </t>
        </r>
        <r>
          <rPr>
            <sz val="11"/>
            <color rgb="FF000000"/>
            <rFont val="Calibri"/>
            <family val="2"/>
            <charset val="1"/>
          </rPr>
          <t>÷ 12 mo ÷ 143 units = monthly scheduled rent/unit. This reflects what the operator was contractually charging, not the marketing brochure rent.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  <author>Unknown Author</author>
  </authors>
  <commentList>
    <comment ref="A18" authorId="0" shapeId="0" xr:uid="{00000000-0006-0000-0900-000001000000}">
      <text>
        <r>
          <rPr>
            <sz val="10"/>
            <rFont val="Arial"/>
            <family val="2"/>
          </rPr>
          <t>Erik Javellana:
Catch-all: any unit whose Status label doesn't match the buckets above. Count = total units in RR minus all mapped buckets. Should be 0 — if positive, a status label in column E isn't recognized by the taxonomy and needs a bucket.</t>
        </r>
      </text>
    </comment>
    <comment ref="A19" authorId="0" shapeId="0" xr:uid="{00000000-0006-0000-0900-000002000000}">
      <text>
        <r>
          <rPr>
            <sz val="10"/>
            <rFont val="Arial"/>
            <family val="2"/>
          </rPr>
          <t>Erik Javellana:
Memo line — NOT added to TOTAL. Notice Given is a flag on occupied units (already counted in rows 9-11), so it is shown separately to avoid double-counting.</t>
        </r>
      </text>
    </comment>
    <comment ref="B19" authorId="0" shapeId="0" xr:uid="{00000000-0006-0000-0900-000003000000}">
      <text>
        <r>
          <rPr>
            <sz val="10"/>
            <rFont val="Arial"/>
            <family val="2"/>
          </rPr>
          <t>Erik Javellana:
Occupied units on notice. Counts an occupied unit if its Status text contains "NTV" OR it has an Expected Move-Out date in column K. Memo only — not added to TOTAL (already counted in rows 9-11).</t>
        </r>
      </text>
    </comment>
    <comment ref="F21" authorId="1" shapeId="0" xr:uid="{00000000-0006-0000-0900-000004000000}">
      <text>
        <r>
          <rPr>
            <sz val="10"/>
            <rFont val="Arial"/>
            <family val="2"/>
          </rPr>
          <t>F17 = Avg Scheduled Rent per OCCUPIED unit per month.
Formula: SUM(D9:D11) / SUM(B9:B11)
= Total scheduled charges on occupied units ÷ Total occupied unit count
Compare to Scenarios!C38 (smart-source market rent) to see Loss to Lease per unit.
If F17 &gt; C38: tenants paying above market (no rent-push upside from in-place leases).
If F17 &lt; C38: tenants paying below market (upside exists from renewals).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A1" authorId="0" shapeId="0" xr:uid="{00000000-0006-0000-1000-000001000000}">
      <text>
        <r>
          <rPr>
            <sz val="10"/>
            <rFont val="Arial"/>
            <family val="2"/>
          </rPr>
          <t>Erik Javellana:
Audit findings — see notes on B11, B12, B23, B89, C46, C53, C59, C64, C66, L48, L52, L53, L55, M52, M53, M55, N72, N76. Reserve-release formulas (B28, B48:B50, etc.) reference Scenarios!F149:F151 — those rows exist at C149:C151, not column F.</t>
        </r>
      </text>
    </comment>
    <comment ref="B12" authorId="0" shapeId="0" xr:uid="{00000000-0006-0000-1000-000002000000}">
      <text>
        <r>
          <rPr>
            <sz val="10"/>
            <rFont val="Arial"/>
            <family val="2"/>
          </rPr>
          <t>Linked to Scenarios!F36 (Class B pref rate, active scenario).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G7" authorId="0" shapeId="0" xr:uid="{00000000-0006-0000-1100-000005000000}">
      <text>
        <r>
          <rPr>
            <sz val="10"/>
            <rFont val="Arial"/>
            <family val="2"/>
          </rPr>
          <t>Erik Javellana:
Manual input: insurance/tax/lender escrows recovered at sale. Template references 'Acquisition Costs'!D35:D36 which may not map here — set to 0 or enter actual escrow balance.</t>
        </r>
      </text>
    </comment>
    <comment ref="G8" authorId="0" shapeId="0" xr:uid="{00000000-0006-0000-1100-000006000000}">
      <text>
        <r>
          <rPr>
            <sz val="10"/>
            <rFont val="Arial"/>
            <family val="2"/>
          </rPr>
          <t>Erik Javellana:
Manual input: operating reserves remaining at exit year. Destination P&amp;L does not carry a reserve-stock row — enter the balance you expect to recover.</t>
        </r>
      </text>
    </comment>
    <comment ref="G11" authorId="0" shapeId="0" xr:uid="{00000000-0006-0000-1100-000007000000}">
      <text>
        <r>
          <rPr>
            <sz val="10"/>
            <rFont val="Arial"/>
            <family val="2"/>
          </rPr>
          <t>Erik Javellana:
If refi year is set, this rolls the new refi loan forward from refi year to sale year. Otherwise uses Scenarios!F115 (orig loan balance at sale).</t>
        </r>
      </text>
    </comment>
    <comment ref="G14" authorId="0" shapeId="0" xr:uid="{00000000-0006-0000-1100-000008000000}">
      <text>
        <r>
          <rPr>
            <sz val="10"/>
            <rFont val="Arial"/>
            <family val="2"/>
          </rPr>
          <t>Erik Javellana:
Template formula: MAX((Waterfall!M39+M41)-(Waterfall!M40+M42),0). Destination Waterfall layout may differ — verify M40/M42 hold cumulative pref paid before refining.</t>
        </r>
      </text>
    </comment>
    <comment ref="G16" authorId="0" shapeId="0" xr:uid="{00000000-0006-0000-1100-000009000000}">
      <text>
        <r>
          <rPr>
            <sz val="10"/>
            <rFont val="Arial"/>
            <family val="2"/>
          </rPr>
          <t>Erik Javellana:
Principal Reduction = initial loan (sum of 3 tranches) less outstanding balance at sale (G11 already negative).</t>
        </r>
      </text>
    </comment>
    <comment ref="C21" authorId="0" shapeId="0" xr:uid="{00000000-0006-0000-1100-000003000000}">
      <text>
        <r>
          <rPr>
            <sz val="10"/>
            <rFont val="Arial"/>
            <family val="2"/>
          </rPr>
          <t>Erik Javellana:
Principal Reduction = Initial Loan Balance (sum of 3 tranches) less Repay Outstanding Loan Balance (C15 is negative, so adding it gives reduction).</t>
        </r>
      </text>
    </comment>
    <comment ref="G26" authorId="0" shapeId="0" xr:uid="{00000000-0006-0000-1100-00000A000000}">
      <text>
        <r>
          <rPr>
            <sz val="10"/>
            <rFont val="Arial"/>
            <family val="2"/>
          </rPr>
          <t>Erik Javellana:
Broken reference: this workbook has no 'XIRR Analysis' tab. Returns #REF until that sheet is built. Replace formula with this workbook's IRR calc if available.</t>
        </r>
      </text>
    </comment>
    <comment ref="G27" authorId="0" shapeId="0" xr:uid="{00000000-0006-0000-1100-00000B000000}">
      <text>
        <r>
          <rPr>
            <sz val="10"/>
            <rFont val="Arial"/>
            <family val="2"/>
          </rPr>
          <t>Erik Javellana:
Reference to 'LP Return Illustration'!B30. Verify that cell holds the average Class A LP cash-on-cash; if not, repoint to the correct cell.</t>
        </r>
      </text>
    </comment>
    <comment ref="F36" authorId="0" shapeId="0" xr:uid="{00000000-0006-0000-1100-000004000000}">
      <text>
        <r>
          <rPr>
            <sz val="10"/>
            <rFont val="Arial"/>
            <family val="2"/>
          </rPr>
          <t>Erik Javellana:
Sizes loan per program: Loan = NOI / MinDY. Annual DS = PMT(rate/12, amort*12, Loan)*12. Qualifies if NOI/DS &gt;= MinDSCR. Returns earliest qualifying year Y1-Y10.</t>
        </r>
      </text>
    </comment>
    <comment ref="A45" authorId="0" shapeId="0" xr:uid="{00000000-0006-0000-1100-000001000000}">
      <text>
        <r>
          <rPr>
            <sz val="10"/>
            <rFont val="Arial"/>
            <family val="2"/>
          </rPr>
          <t>Erik Javellana:
Year driven by Refi Year input at C5 (defaults to Y3 if blank).</t>
        </r>
      </text>
    </comment>
    <comment ref="B47" authorId="0" shapeId="0" xr:uid="{00000000-0006-0000-1100-000002000000}">
      <text>
        <r>
          <rPr>
            <sz val="10"/>
            <rFont val="Arial"/>
            <family val="2"/>
          </rPr>
          <t>Erik Javellana:
Pulls outstanding loan balance at refi year from the Refi block (C15 is negative repayment, so negated here as a positive payoff).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<sst xmlns="http://schemas.openxmlformats.org/spreadsheetml/2006/main" count="4485" uniqueCount="2498">
  <si>
    <t>Confidential — For Authorized Recipients Only</t>
  </si>
  <si>
    <t>PROPERTY INFORMATION</t>
  </si>
  <si>
    <t>Property Name</t>
  </si>
  <si>
    <t>Location</t>
  </si>
  <si>
    <t>Year Built</t>
  </si>
  <si>
    <t>Total Units</t>
  </si>
  <si>
    <t>Gross Sq Ft</t>
  </si>
  <si>
    <t>Asset Class (A/B/C)</t>
  </si>
  <si>
    <t>Active Scenario</t>
  </si>
  <si>
    <t>Avg Monthly Rent / Unit</t>
  </si>
  <si>
    <t>KEY DEAL METRICS</t>
  </si>
  <si>
    <t>Metric</t>
  </si>
  <si>
    <t>Value</t>
  </si>
  <si>
    <t>/ Beds</t>
  </si>
  <si>
    <t>Returns Metric</t>
  </si>
  <si>
    <t>Purchase Price</t>
  </si>
  <si>
    <t>LP IRR</t>
  </si>
  <si>
    <t>Price Per Unit</t>
  </si>
  <si>
    <t>GP IRR</t>
  </si>
  <si>
    <t>Total Acquisition Cost</t>
  </si>
  <si>
    <t>LP Equity Multiple</t>
  </si>
  <si>
    <t>Loan Amount (Total)</t>
  </si>
  <si>
    <t>Y1 Cash-on-Cash</t>
  </si>
  <si>
    <t>LTV</t>
  </si>
  <si>
    <t>Year 5 NOI</t>
  </si>
  <si>
    <t>LTC</t>
  </si>
  <si>
    <t>Exit Year</t>
  </si>
  <si>
    <t>Equity Required</t>
  </si>
  <si>
    <t>Exit Cap Rate</t>
  </si>
  <si>
    <t>Down Payment %</t>
  </si>
  <si>
    <t>Gross Sale Price</t>
  </si>
  <si>
    <t>Entry Cap Rate</t>
  </si>
  <si>
    <t>Net to Equity (Exit)</t>
  </si>
  <si>
    <t>Stabilized Cap Rate (Y5)</t>
  </si>
  <si>
    <t>Avg Annual Return (LP)</t>
  </si>
  <si>
    <t>CAPITAL STACK</t>
  </si>
  <si>
    <t>Tranche</t>
  </si>
  <si>
    <t>Amount</t>
  </si>
  <si>
    <t>%</t>
  </si>
  <si>
    <t>Rate</t>
  </si>
  <si>
    <t>Term (yrs)</t>
  </si>
  <si>
    <t>Amort (yrs)</t>
  </si>
  <si>
    <t>Senior Loan (1st)</t>
  </si>
  <si>
    <t>2nd Loan</t>
  </si>
  <si>
    <t>Supplemental</t>
  </si>
  <si>
    <t>GP Equity</t>
  </si>
  <si>
    <t>—</t>
  </si>
  <si>
    <t>Class A LP Equity</t>
  </si>
  <si>
    <t>Class B LP Equity</t>
  </si>
  <si>
    <t>TOTAL</t>
  </si>
  <si>
    <t>INVESTOR RETURNS SUMMARY</t>
  </si>
  <si>
    <t>Class A LP</t>
  </si>
  <si>
    <t>Class B LP</t>
  </si>
  <si>
    <t>LP Combined</t>
  </si>
  <si>
    <t>GP</t>
  </si>
  <si>
    <t>Notes</t>
  </si>
  <si>
    <t>Total Equity Invested</t>
  </si>
  <si>
    <t>Capital contributed by each party</t>
  </si>
  <si>
    <t>Total Distributions</t>
  </si>
  <si>
    <t>Operating CF + exit proceeds</t>
  </si>
  <si>
    <t>Net Profit</t>
  </si>
  <si>
    <t>Equity Multiple (EM)</t>
  </si>
  <si>
    <t>Total value returned / capital in</t>
  </si>
  <si>
    <t>IRR</t>
  </si>
  <si>
    <t>Includes exit proceeds</t>
  </si>
  <si>
    <t>Avg Annual Return  (simple, incl. exit)</t>
  </si>
  <si>
    <t>Simple: (total distributions − equity) ÷ equity ÷ hold yrs. Not compounded.</t>
  </si>
  <si>
    <t>EXIT &amp; DEAL METRICS</t>
  </si>
  <si>
    <t>Hold Period (yrs)</t>
  </si>
  <si>
    <t>Exit Year NOI</t>
  </si>
  <si>
    <t>Y5 NOI</t>
  </si>
  <si>
    <t>NOI ÷ exit cap</t>
  </si>
  <si>
    <t>Less: Loan Payoff</t>
  </si>
  <si>
    <t>Amortized balance</t>
  </si>
  <si>
    <t>Net Sale Proceeds</t>
  </si>
  <si>
    <t>After selling costs &amp; loan</t>
  </si>
  <si>
    <t>Version:</t>
  </si>
  <si>
    <t>v16</t>
  </si>
  <si>
    <t>Last Updated:</t>
  </si>
  <si>
    <t>2026-06-12 — 3-tier IRR-hurdle waterfall engine; reserve tracker; pref shortfall tracking</t>
  </si>
  <si>
    <t>NAVIGATION &amp; LEGEND</t>
  </si>
  <si>
    <t>TAB NAVIGATION</t>
  </si>
  <si>
    <t>Color Legend:</t>
  </si>
  <si>
    <t>Blue</t>
  </si>
  <si>
    <t>Hardcoded input — type here</t>
  </si>
  <si>
    <t>Black</t>
  </si>
  <si>
    <t>Same-sheet formula — do not edit</t>
  </si>
  <si>
    <t>Green</t>
  </si>
  <si>
    <t>Cross-sheet link — do not edit</t>
  </si>
  <si>
    <t>Red</t>
  </si>
  <si>
    <t>External file link — do not edit</t>
  </si>
  <si>
    <t>COLOR LEGEND</t>
  </si>
  <si>
    <t>Total input cells:</t>
  </si>
  <si>
    <t>across</t>
  </si>
  <si>
    <t>tabs</t>
  </si>
  <si>
    <t>Tab</t>
  </si>
  <si>
    <t>Cell</t>
  </si>
  <si>
    <t>Label</t>
  </si>
  <si>
    <t>Current Value</t>
  </si>
  <si>
    <t>SCENARIOS</t>
  </si>
  <si>
    <t>66 inputs</t>
  </si>
  <si>
    <t>Scenarios</t>
  </si>
  <si>
    <t>Acquisition Fee (%)</t>
  </si>
  <si>
    <t>GP Ownership %</t>
  </si>
  <si>
    <t>GP Equity ($)</t>
  </si>
  <si>
    <t>Class A Preferred Return %</t>
  </si>
  <si>
    <t>Class B Preferred Return % (T-12 Actuals)</t>
  </si>
  <si>
    <t>Class B Preferred Return % (My Version)</t>
  </si>
  <si>
    <t>Class B Preferred Return % (Projected)</t>
  </si>
  <si>
    <t>Class B Preferred Return % (Offer)</t>
  </si>
  <si>
    <t>Covered/garage: 1–3% of GPR</t>
  </si>
  <si>
    <t>Market Cap Rate</t>
  </si>
  <si>
    <t>As-Is Appraised Value</t>
  </si>
  <si>
    <t>Origination Fee % — 1st</t>
  </si>
  <si>
    <t>Loan Amount — 2nd ($)</t>
  </si>
  <si>
    <t>Interest Rate — 2nd (%)</t>
  </si>
  <si>
    <t>Amortization (years) — 2nd</t>
  </si>
  <si>
    <t>Loan Term (years) — 2nd</t>
  </si>
  <si>
    <t>Interest-Only Period (months) — 2nd</t>
  </si>
  <si>
    <t>Origination Fee % — 2nd</t>
  </si>
  <si>
    <t>Loan Amount — Supplemental ($)</t>
  </si>
  <si>
    <t>Interest Rate — Supplemental (%)</t>
  </si>
  <si>
    <t>Amortization (years) — Supplemental</t>
  </si>
  <si>
    <t>Loan Term (years) — Supplemental</t>
  </si>
  <si>
    <t>Interest-Only Period (months) — Supplemental</t>
  </si>
  <si>
    <t>Origination Fee % — Supplemental</t>
  </si>
  <si>
    <t>Vacancy %</t>
  </si>
  <si>
    <t>Bad Debt / Concessions %</t>
  </si>
  <si>
    <t>Loss to Lease %</t>
  </si>
  <si>
    <t>Mgmt Fee %</t>
  </si>
  <si>
    <t>Insurance / Unit / Yr</t>
  </si>
  <si>
    <t>CapEx Reserve / Unit / Yr</t>
  </si>
  <si>
    <t>R&amp;M / Unit / Yr</t>
  </si>
  <si>
    <t>Op Reserve Release Year</t>
  </si>
  <si>
    <t>Op Reserve Release Amount ($)</t>
  </si>
  <si>
    <t>DATA CHECKLIST</t>
  </si>
  <si>
    <t>74 inputs</t>
  </si>
  <si>
    <t>Data Checklist</t>
  </si>
  <si>
    <t>⚠ Trailing 12 (T-12) — current month-end</t>
  </si>
  <si>
    <t>⚠ Trailing 3 (T-3) — current month-end</t>
  </si>
  <si>
    <t>Year-to-Date Income Statement (current FY)</t>
  </si>
  <si>
    <t>Prior Year (Y-1) Annual Income Statement</t>
  </si>
  <si>
    <t>Prior Year (Y-2) Annual Income Statement</t>
  </si>
  <si>
    <t>Budget vs Actual — current FY</t>
  </si>
  <si>
    <t>General Ledger (current FY)</t>
  </si>
  <si>
    <t>Bank Statements (last 3 months)</t>
  </si>
  <si>
    <t>Tax Returns (last 2 years)</t>
  </si>
  <si>
    <t>⚠ Current Rent Roll (with all status detail)</t>
  </si>
  <si>
    <t>⚠ Detailed AR Aging (0-30, 31-60, 61-90, 90+)</t>
  </si>
  <si>
    <t>⚠ Eviction Status Report</t>
  </si>
  <si>
    <t>Lease Files / Tenant Files (sample)</t>
  </si>
  <si>
    <t>⚠ Bankruptcy / Litigation Disclosures</t>
  </si>
  <si>
    <t>Concession Log (last 12 months)</t>
  </si>
  <si>
    <t>Move-In/Move-Out Report (last 12 months)</t>
  </si>
  <si>
    <t>Pre-Paid Rent / Security Deposits Schedule</t>
  </si>
  <si>
    <t>Delinquency History (24 months)</t>
  </si>
  <si>
    <t>⚠ Property Tax Bills (last 2 years)</t>
  </si>
  <si>
    <t>⚠ Property Tax Reassessment Estimate</t>
  </si>
  <si>
    <t>⚠ Insurance Policy &amp; Premium Detail</t>
  </si>
  <si>
    <t>⚠ Insurance Loss Runs (5 years)</t>
  </si>
  <si>
    <t>⚠ Utility Bills (Water/Electric/Gas — 12 months)</t>
  </si>
  <si>
    <t>Trash / Recycling Contract</t>
  </si>
  <si>
    <t>Pest Control Contract</t>
  </si>
  <si>
    <t>Landscaping Contract</t>
  </si>
  <si>
    <t>Property Management Agreement</t>
  </si>
  <si>
    <t>Service Contracts — All</t>
  </si>
  <si>
    <t>Vendor Invoices (sample, last 6 months)</t>
  </si>
  <si>
    <t>⚠ Payroll Register (current employees)</t>
  </si>
  <si>
    <t>Employee Benefits Schedule</t>
  </si>
  <si>
    <t>⚠ CapEx History (last 5 years)</t>
  </si>
  <si>
    <t>⚠ Pending CapEx / Open POs</t>
  </si>
  <si>
    <t>⚠ Property Condition Report (PCR/PCA)</t>
  </si>
  <si>
    <t>⚠ Roof Inspection / Warranty</t>
  </si>
  <si>
    <t>HVAC Age &amp; Condition Inventory</t>
  </si>
  <si>
    <t>⚠ Plumbing Inspection</t>
  </si>
  <si>
    <t>Electrical / Panel Inspection</t>
  </si>
  <si>
    <t>⚠ Make-Ready Backlog Detail (per unit)</t>
  </si>
  <si>
    <t>⚠ ALTA Survey (current)</t>
  </si>
  <si>
    <t>⚠ Phase I Environmental (ESA)</t>
  </si>
  <si>
    <t>Phase II ESA (if recommended)</t>
  </si>
  <si>
    <t>Asbestos / Lead Inspection</t>
  </si>
  <si>
    <t>Mold / Moisture Inspection</t>
  </si>
  <si>
    <t>Termite / WDO Report</t>
  </si>
  <si>
    <t>⚠ Floodplain Determination</t>
  </si>
  <si>
    <t>⚠ Zoning Verification</t>
  </si>
  <si>
    <t>Site Plans / As-Builts</t>
  </si>
  <si>
    <t>Building Permits / C of O</t>
  </si>
  <si>
    <t>⚠ Title Commitment / Preliminary Report</t>
  </si>
  <si>
    <t>⚠ Recorded Deed (most recent)</t>
  </si>
  <si>
    <t>⚠ Easements / Restrictive Covenants</t>
  </si>
  <si>
    <t>⚠ Liens / UCC Search</t>
  </si>
  <si>
    <t>⚠ Pending Litigation</t>
  </si>
  <si>
    <t>⚠ Code Violations / Citations</t>
  </si>
  <si>
    <t>Operating Agreement / LLC Docs</t>
  </si>
  <si>
    <t>Comparable Sales (last 24 months)</t>
  </si>
  <si>
    <t>Rental Comp Survey (current)</t>
  </si>
  <si>
    <t>CoStar / RealPage Submarket Report</t>
  </si>
  <si>
    <t>Demographic Report (3-mile/5-mile)</t>
  </si>
  <si>
    <t>New Supply Pipeline (under construction)</t>
  </si>
  <si>
    <t>Employment / Major Employers</t>
  </si>
  <si>
    <t>School District Ratings</t>
  </si>
  <si>
    <t>Existing Loan Documents (if assumable)</t>
  </si>
  <si>
    <t>Loan Payoff Statement</t>
  </si>
  <si>
    <t>Prepayment Penalty / Defeasance Calc</t>
  </si>
  <si>
    <t>⚠ Term Sheet — New Loan</t>
  </si>
  <si>
    <t>Lender Quotes (multiple)</t>
  </si>
  <si>
    <t>Appraisal (most recent)</t>
  </si>
  <si>
    <t>⚠ Letter of Intent (LOI)</t>
  </si>
  <si>
    <t>⚠ Purchase &amp; Sale Agreement (PSA)</t>
  </si>
  <si>
    <t>⚠ Seller Disclosure Statement</t>
  </si>
  <si>
    <t>Operating Agreement Amendments</t>
  </si>
  <si>
    <t>Closing Statement (HUD/CD)</t>
  </si>
  <si>
    <t>ACQUISITION COSTS</t>
  </si>
  <si>
    <t>16 inputs</t>
  </si>
  <si>
    <t>Acquisition Costs</t>
  </si>
  <si>
    <t>Phase I ESA — flat fee</t>
  </si>
  <si>
    <t>Commercial appraisal — flat fee</t>
  </si>
  <si>
    <t>PCA / structural — flat fee</t>
  </si>
  <si>
    <t>Lender counsel — flat fee</t>
  </si>
  <si>
    <t>Lender doc prep — flat fee</t>
  </si>
  <si>
    <t>Title Policy</t>
  </si>
  <si>
    <t>ALTA survey — flat fee</t>
  </si>
  <si>
    <t>Recording fees — flat fee</t>
  </si>
  <si>
    <t>Transfer Taxes</t>
  </si>
  <si>
    <t>Title processing — flat fee</t>
  </si>
  <si>
    <t>Title search — flat fee</t>
  </si>
  <si>
    <t>Buyer's counsel — flat fee</t>
  </si>
  <si>
    <t>Sponsor legal — LLC formation, PPM, operating agreement</t>
  </si>
  <si>
    <t>Buyer property walks &amp; unit inspections — flat estimate</t>
  </si>
  <si>
    <t>Sponsor travel &amp; DD logistics — flat estimate</t>
  </si>
  <si>
    <t>Miscellaneous</t>
  </si>
  <si>
    <t>LOANS</t>
  </si>
  <si>
    <t>2 inputs</t>
  </si>
  <si>
    <t>Loans</t>
  </si>
  <si>
    <t>Loan Term (yrs)</t>
  </si>
  <si>
    <t>Interest-Only Months</t>
  </si>
  <si>
    <t>P&amp;L</t>
  </si>
  <si>
    <t>31 inputs</t>
  </si>
  <si>
    <t xml:space="preserve">   Loss to Lease %</t>
  </si>
  <si>
    <t xml:space="preserve">   Bad Debt / Concessions %</t>
  </si>
  <si>
    <t xml:space="preserve">  Less: Concessions/Bad Debt</t>
  </si>
  <si>
    <t>Op Reserve Drawdown (from reserve pool)</t>
  </si>
  <si>
    <t>WATERFALL</t>
  </si>
  <si>
    <t>36 inputs</t>
  </si>
  <si>
    <t>Waterfall</t>
  </si>
  <si>
    <t>Selling Costs at Exit</t>
  </si>
  <si>
    <t xml:space="preserve">  [IRR Helper] Class A LP Cash Flows</t>
  </si>
  <si>
    <t xml:space="preserve">  [IRR Helper] Class B LP Cash Flows</t>
  </si>
  <si>
    <t xml:space="preserve">  [IRR Helper] GP Cash Flows</t>
  </si>
  <si>
    <t xml:space="preserve">  [IRR Helper] Combined LP Cash Flows</t>
  </si>
  <si>
    <t>Acquisition Fee  (one-time at close)</t>
  </si>
  <si>
    <t>Asset Management Fee  (annual)</t>
  </si>
  <si>
    <t>Disposition Fee  (at exit)</t>
  </si>
  <si>
    <t>GP Co-invest Return  (at exit)</t>
  </si>
  <si>
    <t>CAPEX</t>
  </si>
  <si>
    <t>12 inputs</t>
  </si>
  <si>
    <t>Capex</t>
  </si>
  <si>
    <t>Light Turn</t>
  </si>
  <si>
    <t>Standard Turn</t>
  </si>
  <si>
    <t>Medium Rehab</t>
  </si>
  <si>
    <t>Heavy Rehab</t>
  </si>
  <si>
    <t>Down-to-Studs</t>
  </si>
  <si>
    <t>Contingency</t>
  </si>
  <si>
    <t>Capacity (units/mo)</t>
  </si>
  <si>
    <t>STAFFING MATRIX</t>
  </si>
  <si>
    <t>8 inputs</t>
  </si>
  <si>
    <t>Staffing Matrix</t>
  </si>
  <si>
    <t>Benefits Load %  (FICA + health + 401k)</t>
  </si>
  <si>
    <t>Overtime / Contingency Load %</t>
  </si>
  <si>
    <t>Leasing</t>
  </si>
  <si>
    <t>Maint</t>
  </si>
  <si>
    <t>H/K</t>
  </si>
  <si>
    <t>Admin</t>
  </si>
  <si>
    <t>EXIT STRATEGY</t>
  </si>
  <si>
    <t>35 inputs</t>
  </si>
  <si>
    <t>Exit Strategy</t>
  </si>
  <si>
    <t>Refi Year (or NA)</t>
  </si>
  <si>
    <t>Cap Rate at Refi</t>
  </si>
  <si>
    <t>Refi LTV</t>
  </si>
  <si>
    <t>Interest Rate (Refi)</t>
  </si>
  <si>
    <t>Amortization (years)</t>
  </si>
  <si>
    <t>Refi Costs (%)</t>
  </si>
  <si>
    <t>Prepayment Penalty ($)</t>
  </si>
  <si>
    <t>Fannie SBL ($1-9MM)</t>
  </si>
  <si>
    <t>Freddie SBL ($1-7.5MM)</t>
  </si>
  <si>
    <t>Fannie Standard</t>
  </si>
  <si>
    <t>Freddie Standard</t>
  </si>
  <si>
    <t>Life Co (Class B+)</t>
  </si>
  <si>
    <t>CMBS</t>
  </si>
  <si>
    <t>Bridge (refi-the-bridge)</t>
  </si>
  <si>
    <t>SENSITIVITY</t>
  </si>
  <si>
    <t>Sensitivity</t>
  </si>
  <si>
    <t>Cap Start →</t>
  </si>
  <si>
    <t>Step →</t>
  </si>
  <si>
    <t>Occ Start →</t>
  </si>
  <si>
    <t>Occ Step →</t>
  </si>
  <si>
    <t>Exp Gr Start →</t>
  </si>
  <si>
    <t>Rate Gr Start →</t>
  </si>
  <si>
    <t>NOI Mult Start →</t>
  </si>
  <si>
    <t>PP Mult Start →</t>
  </si>
  <si>
    <t>RECAPTURE &amp; UPSIDE</t>
  </si>
  <si>
    <t>98 inputs</t>
  </si>
  <si>
    <t>Recapture &amp; Upside</t>
  </si>
  <si>
    <t>Water / Sewer</t>
  </si>
  <si>
    <t>Electric (common areas)</t>
  </si>
  <si>
    <t>Gas (common)</t>
  </si>
  <si>
    <t>Trash</t>
  </si>
  <si>
    <t>Internet / Cable (bulk)</t>
  </si>
  <si>
    <t>Pest Control</t>
  </si>
  <si>
    <t>Other Utility Reimb</t>
  </si>
  <si>
    <t>Loss to Lease (Mkt − Sched, occupied)</t>
  </si>
  <si>
    <t>Vacancy Loss (vacant × market rent)</t>
  </si>
  <si>
    <t>Bad Debt Risk (legal-flagged)</t>
  </si>
  <si>
    <t>Renovated Upside (post-capex)</t>
  </si>
  <si>
    <t>Pet Rent (monthly)</t>
  </si>
  <si>
    <t>Reserved Parking</t>
  </si>
  <si>
    <t>Covered Parking</t>
  </si>
  <si>
    <t>EV Parking (charger)</t>
  </si>
  <si>
    <t>Late Fee (enforcement)</t>
  </si>
  <si>
    <t>Amenity Package — base</t>
  </si>
  <si>
    <t>Amenity Premium (dog park/tech)</t>
  </si>
  <si>
    <t>Renters Insurance Mandate</t>
  </si>
  <si>
    <t>RUBS Implementation</t>
  </si>
  <si>
    <t>Package Service / Lockers</t>
  </si>
  <si>
    <t>Storage / Common Bins</t>
  </si>
  <si>
    <t>Lease Lock Fee</t>
  </si>
  <si>
    <t>Utilities Service Fee</t>
  </si>
  <si>
    <t>Damage Waiver</t>
  </si>
  <si>
    <t>Trash Removal (valet)</t>
  </si>
  <si>
    <t>Cable Revenue (bulk)</t>
  </si>
  <si>
    <t>Convenience Fees (online pay)</t>
  </si>
  <si>
    <t>Other (laundry / vending)</t>
  </si>
  <si>
    <t>Y1 Ramp %:</t>
  </si>
  <si>
    <t>Application Fee</t>
  </si>
  <si>
    <t>Pet Fee (one-time deposit)</t>
  </si>
  <si>
    <t>MTM Fee (month-to-month)</t>
  </si>
  <si>
    <t>Lease Break Fee</t>
  </si>
  <si>
    <t>Utility Setup Fee</t>
  </si>
  <si>
    <t>Admin / Lease Renewal Fee</t>
  </si>
  <si>
    <t>Smart Home Tech (locks/thermo)</t>
  </si>
  <si>
    <t>Furnished Unit Premium</t>
  </si>
  <si>
    <t>Short-Term / Corp Housing Premium</t>
  </si>
  <si>
    <t>Co-Working Lounge Access</t>
  </si>
  <si>
    <t>RENT ROLL ANALYSIS</t>
  </si>
  <si>
    <t>45 inputs</t>
  </si>
  <si>
    <t>Rent Roll Analysis</t>
  </si>
  <si>
    <t>Vacant Unrented Ready</t>
  </si>
  <si>
    <t>Vacant Unrented Not Ready</t>
  </si>
  <si>
    <t>Down / Off-line</t>
  </si>
  <si>
    <t>Notice Given</t>
  </si>
  <si>
    <t>Model / Employee / Other</t>
  </si>
  <si>
    <t>Rank</t>
  </si>
  <si>
    <t>Actual = Scheduled (clean)</t>
  </si>
  <si>
    <t>Resident — Rent</t>
  </si>
  <si>
    <t>Resident — Other (utility/MTM/water/trash)</t>
  </si>
  <si>
    <t>Subsidy — HCV / Tenant-Based</t>
  </si>
  <si>
    <t>#</t>
  </si>
  <si>
    <t>RENTAL COMPS</t>
  </si>
  <si>
    <t>Rental Comps</t>
  </si>
  <si>
    <t>(see unit mix)</t>
  </si>
  <si>
    <t>Concession (wks free)</t>
  </si>
  <si>
    <t xml:space="preserve">  TOTAL / AVERAGE</t>
  </si>
  <si>
    <t>LP RETURN ILLUSTRATION</t>
  </si>
  <si>
    <t>9 inputs</t>
  </si>
  <si>
    <t>LP Return Illustration</t>
  </si>
  <si>
    <t>Investment Amount</t>
  </si>
  <si>
    <t xml:space="preserve">  Blue = manual input. Use the AI Market Research tool (separate app) to auto-populate market fields.</t>
  </si>
  <si>
    <t xml:space="preserve">  PROPERTY DETAILS</t>
  </si>
  <si>
    <t>Location / Address</t>
  </si>
  <si>
    <t># Units</t>
  </si>
  <si>
    <t># Buildings</t>
  </si>
  <si>
    <t>Height (stories)</t>
  </si>
  <si>
    <t>Lot Size (acres)</t>
  </si>
  <si>
    <t>Parking Spaces</t>
  </si>
  <si>
    <t>Building Class (A/B/C)</t>
  </si>
  <si>
    <t>Amenity Tier (Standard / Mid / Luxury)</t>
  </si>
  <si>
    <t>Total Rentable SF</t>
  </si>
  <si>
    <t>Studio Units</t>
  </si>
  <si>
    <t>1BR Units</t>
  </si>
  <si>
    <t>2BR Units</t>
  </si>
  <si>
    <t xml:space="preserve">  MARKET DATA  —  4-source averaged market research</t>
  </si>
  <si>
    <t>City / Market</t>
  </si>
  <si>
    <t>MSA Name</t>
  </si>
  <si>
    <t>MSA Population</t>
  </si>
  <si>
    <t>City Population</t>
  </si>
  <si>
    <t>Population Growth Rate</t>
  </si>
  <si>
    <t>Renter-Age Population (25–44)</t>
  </si>
  <si>
    <t>Renter-Age Population Growth Rate</t>
  </si>
  <si>
    <t>Avg Household Income</t>
  </si>
  <si>
    <t>Median Income</t>
  </si>
  <si>
    <t>School District Rating (1-10)</t>
  </si>
  <si>
    <t xml:space="preserve">  COMPETITIVE MARKET  —  Multifamily fundamentals (4-source averaged)</t>
  </si>
  <si>
    <t>3BR Units</t>
  </si>
  <si>
    <t>Blended Avg Monthly Rent</t>
  </si>
  <si>
    <t>Avg Unit SF</t>
  </si>
  <si>
    <t>Market Vacancy Rate</t>
  </si>
  <si>
    <t>Market Rent Growth (Annual)</t>
  </si>
  <si>
    <t>New Supply — Units Under Construction</t>
  </si>
  <si>
    <t>Renter Household % of Population</t>
  </si>
  <si>
    <t xml:space="preserve">  UTILITIES</t>
  </si>
  <si>
    <t>Electric Meter</t>
  </si>
  <si>
    <t>Water Meter</t>
  </si>
  <si>
    <t>Gas</t>
  </si>
  <si>
    <t xml:space="preserve">  OTHER NOTES</t>
  </si>
  <si>
    <t>Other Property Information</t>
  </si>
  <si>
    <t>Other Market Information</t>
  </si>
  <si>
    <t>Survey / Zoning Notes</t>
  </si>
  <si>
    <t>Value-Add Thesis</t>
  </si>
  <si>
    <t xml:space="preserve">  Pulls Census, FRED, and BLS data on demand. Refresh updates these cells in Prop Info automatically.</t>
  </si>
  <si>
    <t>A.  HOW THIS WORKS</t>
  </si>
  <si>
    <t>1. Get free API keys (5 min, one-time):</t>
  </si>
  <si>
    <t xml:space="preserve">       • Census Bureau:  https://api.census.gov/data/key_signup.html</t>
  </si>
  <si>
    <t xml:space="preserve">       • FRED (St. Louis Fed):  https://fred.stlouisfed.org/docs/api/api_key.html</t>
  </si>
  <si>
    <t xml:space="preserve">       • BLS (optional):  https://data.bls.gov/registrationEngine/</t>
  </si>
  <si>
    <t>2. Open Excel → Data tab → Get Data → From Other Sources → Blank Query → Advanced Editor</t>
  </si>
  <si>
    <t>3. Paste the M code from sections B, C, or D below into the editor. Replace YOUR_KEY_HERE with your key.</t>
  </si>
  <si>
    <t>4. Name the query (e.g. "Census_Demographics"), click Close &amp; Load → Load To → Existing Worksheet → "_API_Output" tab.</t>
  </si>
  <si>
    <t>5. To refresh: Data tab → Refresh All. Prop Info cells will recalculate from latest API data.</t>
  </si>
  <si>
    <t>6. To schedule auto-refresh: Data → Connections → Properties → "Refresh every X min" or "Refresh on file open".</t>
  </si>
  <si>
    <t>B.  CENSUS ACS 1-YEAR API  —  covers 7 of 17 Prop Info cells</t>
  </si>
  <si>
    <t xml:space="preserve">  Atlanta MSA (CBSA #12060). Returns population, age cohorts, income, household tenure in one call.</t>
  </si>
  <si>
    <t>Prop Info Cell</t>
  </si>
  <si>
    <t>Census ACS Variable</t>
  </si>
  <si>
    <t>Last Refreshed</t>
  </si>
  <si>
    <t>B22</t>
  </si>
  <si>
    <t>B01003_001E</t>
  </si>
  <si>
    <t>(set after refresh)</t>
  </si>
  <si>
    <t>Total pop, single variable</t>
  </si>
  <si>
    <t>B23</t>
  </si>
  <si>
    <t>B01003_001E (place geo)</t>
  </si>
  <si>
    <t>Separate query — geography=place:04000</t>
  </si>
  <si>
    <t>B25</t>
  </si>
  <si>
    <t>Renter-Age Pop (25–44)</t>
  </si>
  <si>
    <t>B01001_011E..014E + _035E..038E</t>
  </si>
  <si>
    <t>Sum 8 male+female age cohorts</t>
  </si>
  <si>
    <t>B27</t>
  </si>
  <si>
    <t>B19025_001E / B11001_001E</t>
  </si>
  <si>
    <t>Aggregate income / household count</t>
  </si>
  <si>
    <t>B28</t>
  </si>
  <si>
    <t>B19013_001E</t>
  </si>
  <si>
    <t>Direct variable</t>
  </si>
  <si>
    <t>B37</t>
  </si>
  <si>
    <t>Renter Household %</t>
  </si>
  <si>
    <t>B25003_003E / B25003_001E</t>
  </si>
  <si>
    <t>Renter-occupied / total occupied</t>
  </si>
  <si>
    <t>B24</t>
  </si>
  <si>
    <t>(B01003_001E[year] - B01003_001E[year-1]) / prev</t>
  </si>
  <si>
    <t>Two queries: current year + prior year</t>
  </si>
  <si>
    <t xml:space="preserve">  M code  →  paste into Power Query Advanced Editor:</t>
  </si>
  <si>
    <t>let
    // ===== USER CONFIGURATION =====
    ApiKey      = "YOUR_CENSUS_API_KEY",  // Free at https://api.census.gov/data/key_signup.html
    Year        = "2024",                  // Latest ACS 1-year
    CbsaCode    = "12060",                  // Atlanta-Sandy Springs-Roswell MSA
    // ===== VARIABLES TO FETCH =====
    // B01003_001E = Total population
    // B01001_011E..014E = Male age 25-44 cohorts (4 brackets)
    // B01001_035E..038E = Female age 25-44 cohorts (4 brackets)
    // B19013_001E = Median household income
    // B19025_001E = Aggregate household income (for mean calc)
    // B11001_001E = Total households
    // B25003_001E = Total occupied housing units
    // B25003_003E = Renter-occupied housing units
    Vars = "NAME,B01003_001E,B01001_011E,B01001_012E,B01001_013E,B01001_014E,B01001_035E,B01001_036E,B01001_037E,B01001_038E,B19013_001E,B19025_001E,B11001_001E,B25003_001E,B25003_003E",
    Url = "https://api.census.gov/data/" &amp; Year &amp; "/acs/acs1?get=" &amp; Vars
          &amp; "&amp;for=metropolitan%20statistical%20area/micropolitan%20statistical%20area:" &amp; CbsaCode
          &amp; "&amp;key=" &amp; ApiKey,
    Source  = Json.Document(Web.Contents(Url)),
    Headers = List.Transform(Source{0}, Text.From),
    Data    = List.Transform(List.Skip(Source, 1), each List.Transform(_, Text.From)),
    Raw     = #table(Headers, Data),
    // Convert numeric columns
    NumCols = List.RemoveItems(Headers, {"NAME"}),
    Typed   = Table.TransformColumnTypes(Raw, List.Transform(NumCols, each {_, type number})),
    // ===== DERIVED METRICS =====
    Pop          = Record.Field(Typed{0}, "B01003_001E"),
    RenterAge    = Record.Field(Typed{0}, "B01001_011E") + Record.Field(Typed{0}, "B01001_012E")
                 + Record.Field(Typed{0}, "B01001_013E") + Record.Field(Typed{0}, "B01001_014E")
                 + Record.Field(Typed{0}, "B01001_035E") + Record.Field(Typed{0}, "B01001_036E")
                 + Record.Field(Typed{0}, "B01001_037E") + Record.Field(Typed{0}, "B01001_038E"),
    MedInc       = Record.Field(Typed{0}, "B19013_001E"),
    AggInc       = Record.Field(Typed{0}, "B19025_001E"),
    Households   = Record.Field(Typed{0}, "B11001_001E"),
    AvgInc       = if Households &gt; 0 then AggInc / Households else null,
    OccUnits     = Record.Field(Typed{0}, "B25003_001E"),
    RenterUnits  = Record.Field(Typed{0}, "B25003_003E"),
    RenterPct    = if OccUnits &gt; 0 then RenterUnits / OccUnits else null,
    // ===== OUTPUT TABLE =====
    Output = #table(
        {"Metric", "Value", "Source", "Refreshed"},
        {
            {"MSA Population",                Pop,        "Census ACS B01003_001E",   DateTime.LocalNow()},
            {"Renter-Age Population (25-44)", RenterAge,  "Census ACS B01001 sum",    DateTime.LocalNow()},
            {"Median Household Income",       MedInc,     "Census ACS B19013_001E",   DateTime.LocalNow()},
            {"Avg Household Income",          AvgInc,     "Census ACS B19025/B11001", DateTime.LocalNow()},
            {"Renter Household %",            RenterPct,  "Census ACS B25003_003/_001E", DateTime.LocalNow()}
        }
    )
in
    Output</t>
  </si>
  <si>
    <t>C.  FRED API  —  population growth + economic proxies</t>
  </si>
  <si>
    <t xml:space="preserve">  Use this for time-series data: population growth rate, building permits (supply proxy), employment.</t>
  </si>
  <si>
    <t>FRED Series ID</t>
  </si>
  <si>
    <t>ATLPOP</t>
  </si>
  <si>
    <t>Annual MSA population — derive YoY %</t>
  </si>
  <si>
    <t>B36</t>
  </si>
  <si>
    <t>Housing Starts (proxy)</t>
  </si>
  <si>
    <t>ATLA013BPPRIVSA</t>
  </si>
  <si>
    <t>Building permits — proxy for new supply</t>
  </si>
  <si>
    <t>Atlanta unemployment</t>
  </si>
  <si>
    <t>ATLA013URN</t>
  </si>
  <si>
    <t>Indicates renter income strength</t>
  </si>
  <si>
    <t>Per capita income</t>
  </si>
  <si>
    <t>PCPI13013</t>
  </si>
  <si>
    <t>Atlanta MSA per capita personal income</t>
  </si>
  <si>
    <t>let
    // ===== USER CONFIGURATION =====
    ApiKey   = "YOUR_FRED_API_KEY",  // Free at https://fred.stlouisfed.org/docs/api/api_key.html
    SeriesId = "ATLPOP",              // Atlanta MSA Resident Population (annual)
    Url = "https://api.stlouisfed.org/fred/series/observations?series_id=" &amp; SeriesId
          &amp; "&amp;api_key=" &amp; ApiKey &amp; "&amp;file_type=json&amp;sort_order=desc&amp;limit=10",
    Source       = Json.Document(Web.Contents(Url)),
    Observations = Source[observations],
    Raw          = Table.FromRecords(Observations),
    Typed        = Table.TransformColumnTypes(Raw, {{"date", type date}, {"value", type number}}),
    Sorted       = Table.Sort(Typed, {{"date", Order.Descending}}),
    // Calculate YoY growth rate
    Latest   = Sorted{0}[value],
    Prior    = Sorted{1}[value],
    Growth   = if Prior &gt; 0 then (Latest - Prior) / Prior else null,
    // Output table
    Output = #table(
        {"Metric", "Value", "Source", "AsOf", "Refreshed"},
        {
            {"Latest Population",         Latest, "FRED " &amp; SeriesId, Sorted{0}[date], DateTime.LocalNow()},
            {"Prior Year Population",     Prior,  "FRED " &amp; SeriesId, Sorted{1}[date], DateTime.LocalNow()},
            {"YoY Growth Rate",           Growth, "FRED derived",     Sorted{0}[date], DateTime.LocalNow()}
        }
    )
in
    Output</t>
  </si>
  <si>
    <t>D.  WIRE API OUTPUT INTO PROP INFO  —  formula pattern</t>
  </si>
  <si>
    <t xml:space="preserve">  After Power Query loads to a sheet (e.g. '_API_Output'), replace Prop Info column B with formulas like:</t>
  </si>
  <si>
    <t>Formula</t>
  </si>
  <si>
    <t>Pulls</t>
  </si>
  <si>
    <t>Prop Info!B22</t>
  </si>
  <si>
    <t>=INDEX(_api_output!b:b, MATCH("MSA Population", _api_output!a:a, 0))</t>
  </si>
  <si>
    <t>Pull MSA pop from Census query output</t>
  </si>
  <si>
    <t>Prop Info!B25</t>
  </si>
  <si>
    <t>=INDEX(_api_output!b:b, MATCH("Renter-Age Population (25-44)", _api_output!a:a, 0))</t>
  </si>
  <si>
    <t>Pull renter-age count</t>
  </si>
  <si>
    <t>Prop Info!B28</t>
  </si>
  <si>
    <t>=INDEX(_api_output!b:b, MATCH("Median Household Income", _api_output!a:a, 0))</t>
  </si>
  <si>
    <t>Pull median income</t>
  </si>
  <si>
    <t>Prop Info!B37</t>
  </si>
  <si>
    <t>=INDEX(_api_output!b:b, MATCH("Renter Household %", _api_output!a:a, 0))</t>
  </si>
  <si>
    <t>Pull renter %</t>
  </si>
  <si>
    <t>Prop Info!B24</t>
  </si>
  <si>
    <t>=INDEX(_api_output_fred!b:b, MATCH("YoY Growth Rate", _api_output_fred!a:a, 0))</t>
  </si>
  <si>
    <t>Pull pop growth from FRED query</t>
  </si>
  <si>
    <t>E.  MANUAL REFRESH  —  10 of 17 cells (apartment market + school data)</t>
  </si>
  <si>
    <t xml:space="preserve">  These metrics have no free API at MSA granularity. Update quarterly from the URLs below or paste from CoStar/Yardi if subscribed.</t>
  </si>
  <si>
    <t>Best free quarterly source</t>
  </si>
  <si>
    <t>Frequency</t>
  </si>
  <si>
    <t>B26</t>
  </si>
  <si>
    <t>Renter-Age Pop Growth Rate</t>
  </si>
  <si>
    <t>Derive from Census ACS YoY (script needed)</t>
  </si>
  <si>
    <t>Annual</t>
  </si>
  <si>
    <t>Could be added to Census Power Query</t>
  </si>
  <si>
    <t>B29</t>
  </si>
  <si>
    <t>School District Rating</t>
  </si>
  <si>
    <t>https://www.greatschools.org</t>
  </si>
  <si>
    <t>On address change</t>
  </si>
  <si>
    <t>Address-specific lookup</t>
  </si>
  <si>
    <t>B31</t>
  </si>
  <si>
    <t>3BR Units (clarify intent)</t>
  </si>
  <si>
    <t>Internal data</t>
  </si>
  <si>
    <t>Field intent unclear</t>
  </si>
  <si>
    <t>B32</t>
  </si>
  <si>
    <t>Yardi Matrix Atlanta MMR (free quarterly summary)</t>
  </si>
  <si>
    <t>Quarterly</t>
  </si>
  <si>
    <t>https://www.yardimatrix.com/blog/</t>
  </si>
  <si>
    <t>B33</t>
  </si>
  <si>
    <t>RentCafe Atlanta market trends</t>
  </si>
  <si>
    <t>https://www.rentcafe.com/average-rent-market-trends/us/ga/atlanta/</t>
  </si>
  <si>
    <t>B34</t>
  </si>
  <si>
    <t>Multiple: Matthews, Northmarq, Yardi quarterly reports</t>
  </si>
  <si>
    <t>Average 3-4 sources</t>
  </si>
  <si>
    <t>B35</t>
  </si>
  <si>
    <t>Yardi Matrix YoY rent change</t>
  </si>
  <si>
    <t>Same source as B32</t>
  </si>
  <si>
    <t>Units Under Construction</t>
  </si>
  <si>
    <t>Yardi Matrix or MMG/Northmarq forecast reports</t>
  </si>
  <si>
    <t>Sub for FRED if MF-specific needed</t>
  </si>
  <si>
    <t>F.  CURRENT STATUS  —  what each Prop Info cell currently shows</t>
  </si>
  <si>
    <t xml:space="preserve">  Live read of Prop Info column B values. After Power Query setup + wiring, these refresh automatically.</t>
  </si>
  <si>
    <t>Refresh Method</t>
  </si>
  <si>
    <t>API Available?</t>
  </si>
  <si>
    <t>Census ACS</t>
  </si>
  <si>
    <t>🟢 Yes</t>
  </si>
  <si>
    <t>Census ACS (place)</t>
  </si>
  <si>
    <t>FRED</t>
  </si>
  <si>
    <t>Renter-Age Growth Rate</t>
  </si>
  <si>
    <t>Census ACS (derived)</t>
  </si>
  <si>
    <t>🟡 Possible</t>
  </si>
  <si>
    <t>Manual</t>
  </si>
  <si>
    <t>🔴 No</t>
  </si>
  <si>
    <t>Manual / clarify</t>
  </si>
  <si>
    <t>Manual (paid Yardi)</t>
  </si>
  <si>
    <t>Market Rent Growth</t>
  </si>
  <si>
    <t>Manual / FRED proxy</t>
  </si>
  <si>
    <t>🟡 Proxy only</t>
  </si>
  <si>
    <t>COVERAGE SUMMARY:</t>
  </si>
  <si>
    <t xml:space="preserve">  🟢 Auto-refresh via free API: 7 cells (population, age, income, renter %)</t>
  </si>
  <si>
    <t xml:space="preserve">  🟡 Possible with extra work: 2 cells (renter age growth, supply proxy)</t>
  </si>
  <si>
    <t xml:space="preserve">  🔴 Manual quarterly refresh: 6 cells (apartment market, schools)</t>
  </si>
  <si>
    <t>Track every DD item from request through review. Status dropdown drives % complete and color flags. Cross-Check column shows reconciliation formulas where relevant.</t>
  </si>
  <si>
    <t>Total Items</t>
  </si>
  <si>
    <t>Complete</t>
  </si>
  <si>
    <t>% Complete</t>
  </si>
  <si>
    <t>Critical Open</t>
  </si>
  <si>
    <t>Status</t>
  </si>
  <si>
    <t>Item</t>
  </si>
  <si>
    <t>Date Requested</t>
  </si>
  <si>
    <t>Date Received</t>
  </si>
  <si>
    <t>Source / Counterparty</t>
  </si>
  <si>
    <t>Format</t>
  </si>
  <si>
    <t>Reviewer</t>
  </si>
  <si>
    <t>Cross-Check / Reconciliation</t>
  </si>
  <si>
    <t>A.  FINANCIAL STATEMENTS</t>
  </si>
  <si>
    <t>Not Requested</t>
  </si>
  <si>
    <t>PSI/Yardi cash basis Apr 2025-Mar 2026</t>
  </si>
  <si>
    <t>Derived from T-12 monthly columns</t>
  </si>
  <si>
    <t>YTD compared to prior year same period</t>
  </si>
  <si>
    <t>For T-12 trend comparison</t>
  </si>
  <si>
    <t>Validates 3-year trajectory</t>
  </si>
  <si>
    <t>Reveals operator forecasting accuracy</t>
  </si>
  <si>
    <t>For deep-dive on individual accounts</t>
  </si>
  <si>
    <t>For revenue verification</t>
  </si>
  <si>
    <t>Form 8825 / Schedule E</t>
  </si>
  <si>
    <t>B.  RENT ROLL &amp; ACCOUNTS RECEIVABLE</t>
  </si>
  <si>
    <t>Received</t>
  </si>
  <si>
    <t>As of 4/16/2026</t>
  </si>
  <si>
    <t>In rent roll columns Q-T</t>
  </si>
  <si>
    <t>9 active evictions, 1 bankruptcy known</t>
  </si>
  <si>
    <t>Pull random sample of 10-15 leases</t>
  </si>
  <si>
    <t>Smith N6 Ch 7 filed 3/28/26</t>
  </si>
  <si>
    <t>Reconcile to T-12 concession lines</t>
  </si>
  <si>
    <t>For turnover rate calculation</t>
  </si>
  <si>
    <t>Liability transfer at closing</t>
  </si>
  <si>
    <t>Trend analysis on collection</t>
  </si>
  <si>
    <t>C.  OPERATING EXPENSE DETAIL</t>
  </si>
  <si>
    <t>Validate accrual + millage rate</t>
  </si>
  <si>
    <t>Critical: post-sale reassessment</t>
  </si>
  <si>
    <t>Validate insurance line + coverage</t>
  </si>
  <si>
    <t>Material claims history</t>
  </si>
  <si>
    <t>Water bill $198K — investigate leak</t>
  </si>
  <si>
    <t>Termination notice required for sale</t>
  </si>
  <si>
    <t>Pool, elevator, HVAC, security, etc.</t>
  </si>
  <si>
    <t>For expense verification</t>
  </si>
  <si>
    <t>On-site staff &amp; wages</t>
  </si>
  <si>
    <t>Healthcare, 401k contribution</t>
  </si>
  <si>
    <t>D.  CAPITAL EXPENDITURES</t>
  </si>
  <si>
    <t>What's already been done?</t>
  </si>
  <si>
    <t>Near-term obligations</t>
  </si>
  <si>
    <t>3rd party engineering report</t>
  </si>
  <si>
    <t>Per unit — system age</t>
  </si>
  <si>
    <t>Critical given water bill</t>
  </si>
  <si>
    <t>77 vacant not ready — get scope per unit</t>
  </si>
  <si>
    <t>E.  PROPERTY PHYSICAL &amp; ENVIRONMENTAL</t>
  </si>
  <si>
    <t>Less than 5 years old preferred</t>
  </si>
  <si>
    <t>Most lenders require</t>
  </si>
  <si>
    <t>Only if Phase I flags</t>
  </si>
  <si>
    <t>Pre-1978 builds especially</t>
  </si>
  <si>
    <t>FEMA flood zone — drives insurance</t>
  </si>
  <si>
    <t>Confirm legal use</t>
  </si>
  <si>
    <t>F.  TITLE &amp; LEGAL</t>
  </si>
  <si>
    <t>For seller entity</t>
  </si>
  <si>
    <t>G.  MARKET INFO</t>
  </si>
  <si>
    <t>Within 1-mile / similar class</t>
  </si>
  <si>
    <t>Drives Rental Comps tab</t>
  </si>
  <si>
    <t>Within 3 miles</t>
  </si>
  <si>
    <t>H.  LOAN / DEBT</t>
  </si>
  <si>
    <t>Note, mortgage, all amendments</t>
  </si>
  <si>
    <t>Closing requirement</t>
  </si>
  <si>
    <t>For UW assumptions</t>
  </si>
  <si>
    <t>3 quotes minimum</t>
  </si>
  <si>
    <t>Validates LTV assumption</t>
  </si>
  <si>
    <t>I.  SELLER &amp; TRANSACTION</t>
  </si>
  <si>
    <t>Drives Acquisition Costs</t>
  </si>
  <si>
    <t>Active Scenario →</t>
  </si>
  <si>
    <t>1. T-12 Actuals</t>
  </si>
  <si>
    <t xml:space="preserve">  Selecting an active scenario drives P&amp;L, Cover Sheet, and Sensitivity tabs. Column B = T-12 Actuals (last 12 months, hardwired to T-12 Analysis). Yellow cells have explanatory comments — hover to see source mapping.</t>
  </si>
  <si>
    <t>Line Item</t>
  </si>
  <si>
    <t>2. My Version</t>
  </si>
  <si>
    <t>3. Projected</t>
  </si>
  <si>
    <t>4. Offer</t>
  </si>
  <si>
    <t>Active
Scenario</t>
  </si>
  <si>
    <t>$/Unit</t>
  </si>
  <si>
    <t>Benchmark</t>
  </si>
  <si>
    <t>ACQUISITION</t>
  </si>
  <si>
    <t>Asking Price</t>
  </si>
  <si>
    <t>$5–100M+ MF; Class A 250-unit typically $40–100M</t>
  </si>
  <si>
    <t>Purchase Price / Offer</t>
  </si>
  <si>
    <t>Offer 3–8% below ask; value-add plays</t>
  </si>
  <si>
    <t>Total unit count — drives GPR and all per-unit metrics</t>
  </si>
  <si>
    <t>Class A: $200–400k/door; Class B: $100–200k/door</t>
  </si>
  <si>
    <t>25–35% down; 65–75% LTV target</t>
  </si>
  <si>
    <t>Down Payment $</t>
  </si>
  <si>
    <t>Auto-calculated from down payment</t>
  </si>
  <si>
    <t>Repairs / CapEx at Close</t>
  </si>
  <si>
    <t>Get contractor bid at LOI stage</t>
  </si>
  <si>
    <t>Operating Reserves</t>
  </si>
  <si>
    <t>3–6 months operating expenses</t>
  </si>
  <si>
    <t>Est. Closing Costs</t>
  </si>
  <si>
    <t>1.5–2.5% of purchase price</t>
  </si>
  <si>
    <t>0.5–1.5% acquisition fee standard</t>
  </si>
  <si>
    <t>Acquisition Fee ($)</t>
  </si>
  <si>
    <t>Auto-calculated</t>
  </si>
  <si>
    <t>TOTAL ACQUISITION COST</t>
  </si>
  <si>
    <t>Auto-calculated total cost</t>
  </si>
  <si>
    <t>DEBT STRUCTURE</t>
  </si>
  <si>
    <t>Loan Amount (1st)</t>
  </si>
  <si>
    <t>65–75% LTV; Agency (FNMA/FHLMC) or CMBS/bridge</t>
  </si>
  <si>
    <t>Loan Amount (2nd)</t>
  </si>
  <si>
    <t>$0 if no mezz; up to 10% of stack</t>
  </si>
  <si>
    <t>Supplemental Loan</t>
  </si>
  <si>
    <t>$0 supplemental; add if SBA/seller</t>
  </si>
  <si>
    <t>Total Debt</t>
  </si>
  <si>
    <t>Auto-calculated total debt</t>
  </si>
  <si>
    <t>LTV (Loan/Purchase Price)</t>
  </si>
  <si>
    <t>Target ≤75% LTV; agency max 80%</t>
  </si>
  <si>
    <t>LTC (Loan/Total Acq. Cost)</t>
  </si>
  <si>
    <t>Target ≤85% LTC (value-add); 75–80% stabilized</t>
  </si>
  <si>
    <t>EQUITY STRUCTURE</t>
  </si>
  <si>
    <t>GP co-invest 5–20% of total equity</t>
  </si>
  <si>
    <t>Class A LP %</t>
  </si>
  <si>
    <t>Class A LP 40–70% of total equity</t>
  </si>
  <si>
    <t>Class B LP % (auto)</t>
  </si>
  <si>
    <t>Class B LP 20–40% of total equity</t>
  </si>
  <si>
    <t>Total Equity (Acq Cost − Debt)</t>
  </si>
  <si>
    <t>Enter GP co-invest $ directly — not tied to GP Ownership %</t>
  </si>
  <si>
    <t>Class A LP Equity ($)</t>
  </si>
  <si>
    <t>Total Equity − GP co-invest. GP can be $0 (all-LP deal).</t>
  </si>
  <si>
    <t>Class B LP Equity ($)</t>
  </si>
  <si>
    <t>Class A pref: 6–8% typical MF PE</t>
  </si>
  <si>
    <t>Class B Preferred Return %</t>
  </si>
  <si>
    <t>Class B pref (subordinated); 0 if no Class B equity</t>
  </si>
  <si>
    <t>GP Promote % (defaults to GP% — edit to override)</t>
  </si>
  <si>
    <t>Promote: 20–30% GP typical</t>
  </si>
  <si>
    <t>INCOME (YEAR 1 SNAPSHOT)  —  Revenue is per UNIT, not per bed</t>
  </si>
  <si>
    <t>Avg Monthly Rent / Unit  (at 100% occupancy)</t>
  </si>
  <si>
    <t>Avg rent × total units × 12 = max revenue potential</t>
  </si>
  <si>
    <t>C38 benchmark = MAX(RR Market GPR, Occupied Scheduled GPR). If residents pay above listed market rent, occupied scheduled is the truer market. T-12 credibility check and fallback both use this MAX. B38 = T-12 actuals (unchanged).</t>
  </si>
  <si>
    <t>Gross Potential Rent  (at 100% unit occupancy)</t>
  </si>
  <si>
    <t>Units × avg rent × 12 — maximum revenue at 100% occupancy</t>
  </si>
  <si>
    <t xml:space="preserve">  Unit Vacancy %  (unoccupied units ÷ total units)</t>
  </si>
  <si>
    <t>Class A target 5–8%; value-add 10–15% at acquisition</t>
  </si>
  <si>
    <t xml:space="preserve">  Vacancy ($)</t>
  </si>
  <si>
    <t xml:space="preserve">  Other Revenue Adj %  (Down/Employee Units, Prepaid Rent change)</t>
  </si>
  <si>
    <t>1–3% loss to lease typical MF</t>
  </si>
  <si>
    <t xml:space="preserve">  Other Revenue Adj ($)</t>
  </si>
  <si>
    <t xml:space="preserve">  Concessions / Bad Debt %</t>
  </si>
  <si>
    <t>0.5–2% bad debt/concessions</t>
  </si>
  <si>
    <t xml:space="preserve">  Concessions / Bad Debt ($)</t>
  </si>
  <si>
    <t xml:space="preserve">  Parking Revenue %  (of GPR; use 0 if surface/free)</t>
  </si>
  <si>
    <t>Parking Revenue ($)</t>
  </si>
  <si>
    <t>Or enter flat $ (e.g. # spaces × $100/mo × 12)</t>
  </si>
  <si>
    <t>Other Income (T-12 base + Committed Recapture — Year 1)</t>
  </si>
  <si>
    <t>EFFECTIVE GROSS INCOME</t>
  </si>
  <si>
    <t xml:space="preserve">  ↳ Occupied Units  (units × (1 − vacancy%))</t>
  </si>
  <si>
    <t>Total units × occupancy% — revenue-generating units</t>
  </si>
  <si>
    <t>EXPENSES (YEAR 1)</t>
  </si>
  <si>
    <t>2. My Versio</t>
  </si>
  <si>
    <t>Active</t>
  </si>
  <si>
    <t>$/Bed | % EGI</t>
  </si>
  <si>
    <t>Leasing &amp; Marketing</t>
  </si>
  <si>
    <t>$350–800/unit; Class A 1–2% EGI</t>
  </si>
  <si>
    <t>Grounds / Landscaping</t>
  </si>
  <si>
    <t>$300–700/unit; landscapes scale with unit count</t>
  </si>
  <si>
    <t>added landscaping and sanitation together</t>
  </si>
  <si>
    <t>Gas &amp; Electric (common areas)</t>
  </si>
  <si>
    <t>$600–1,200/unit (common area electric + gas)</t>
  </si>
  <si>
    <t>General / Admin</t>
  </si>
  <si>
    <t>$200–500/unit; scales with property size</t>
  </si>
  <si>
    <t>Insurance</t>
  </si>
  <si>
    <t>$800–1,500/unit; Class A higher, earthquake/flood add-ons</t>
  </si>
  <si>
    <t>Legal</t>
  </si>
  <si>
    <t>$150–400/unit; HOA/entity legal</t>
  </si>
  <si>
    <t>Real Estate Taxes</t>
  </si>
  <si>
    <t>$800–2,500/unit; varies by jurisdiction and assessment</t>
  </si>
  <si>
    <t>Trash Removal</t>
  </si>
  <si>
    <t>$100–250/unit; per-unit trash / valet waste</t>
  </si>
  <si>
    <t>Management Fee  (% of EGI)</t>
  </si>
  <si>
    <t>4–6% EGI typical MF; 3.5% large portfolios</t>
  </si>
  <si>
    <t>On-Site Payroll (from Staffing)</t>
  </si>
  <si>
    <t>From staffing model — scales with unit count</t>
  </si>
  <si>
    <t>Repairs &amp; Maintenance</t>
  </si>
  <si>
    <t>$400–900/unit; value-add higher in stabilization</t>
  </si>
  <si>
    <t>Contract Services</t>
  </si>
  <si>
    <t>Make-Ready / Turnover</t>
  </si>
  <si>
    <t>$300–800/unit; depends on turnover rate and finish level</t>
  </si>
  <si>
    <t>Water &amp; Sewer</t>
  </si>
  <si>
    <t>$400–1,000/unit; master-metered typical</t>
  </si>
  <si>
    <t>Amenity Maintenance (Pool/Gym/Lounge)</t>
  </si>
  <si>
    <t>$200–600/unit; Class A pool/gym/lounge maintenance</t>
  </si>
  <si>
    <t>CapEx / Replacement Reserve</t>
  </si>
  <si>
    <t>$200–400/unit; Class A use $350–500/unit</t>
  </si>
  <si>
    <t>TOTAL EXPENSES</t>
  </si>
  <si>
    <t>NET OPERATING INCOME</t>
  </si>
  <si>
    <t>DEAL SUMMARY METRICS</t>
  </si>
  <si>
    <t>Cap Rate (NOI/Purchase Price)</t>
  </si>
  <si>
    <t>Debt Service (Annual)</t>
  </si>
  <si>
    <t>DSCR target ≥1.20x; watch Y1</t>
  </si>
  <si>
    <t>Cash Flow After Debt Service</t>
  </si>
  <si>
    <t>Positive Y2+ for value-add</t>
  </si>
  <si>
    <t>Debt Coverage Ratio</t>
  </si>
  <si>
    <t>≥1.20x required; ≥1.25x agency underwriting</t>
  </si>
  <si>
    <t>4.5–6.5% MF cap rate; Class A metro lower end</t>
  </si>
  <si>
    <t>Fair Market Value (NOI/Mkt Cap)</t>
  </si>
  <si>
    <t>Lender as-is appraisal input (per scenario). Enter 0 to default to FMV (row 78). LTV row 117 uses IFERROR(this, FMV).</t>
  </si>
  <si>
    <t>Hold: 3–7 years typical value-add PE</t>
  </si>
  <si>
    <t>Exit cap: entry + 25–75 bps; buyer-driven compression in Class A</t>
  </si>
  <si>
    <t>DEBT STRUCTURE — PER-SCENARIO LOAN INPUTS  (drives Loans, Waterfall &amp; P&amp;L)</t>
  </si>
  <si>
    <t xml:space="preserve">  Blue = input per scenario. Active scenario col F feeds all downstream sheets. Use $0 for unused tranches.</t>
  </si>
  <si>
    <t xml:space="preserve">  1ST LOAN — SENIOR / PRIMARY</t>
  </si>
  <si>
    <t>Loan Amount — 1st ($)</t>
  </si>
  <si>
    <t>60–70% LTV first lien; $0 to disable</t>
  </si>
  <si>
    <t>Interest Rate — 1st (%)</t>
  </si>
  <si>
    <t>Bridge: 6–8%; Agency FNMA/FHLMC: 5–6.5%</t>
  </si>
  <si>
    <t>Amortization (years) — 1st</t>
  </si>
  <si>
    <t>25–30yr amortization standard; IO period common</t>
  </si>
  <si>
    <t>Loan Term (years) — 1st</t>
  </si>
  <si>
    <t>Match hold period</t>
  </si>
  <si>
    <t>Interest-Only Period (months) — 1st</t>
  </si>
  <si>
    <t>IO 0–24 months; 0=fully amortizing</t>
  </si>
  <si>
    <t>0.5–1.5% origination; 1–2% bridge</t>
  </si>
  <si>
    <t xml:space="preserve">  2ND LOAN — MEZZANINE / BRIDGE</t>
  </si>
  <si>
    <t>Mezz: 8–12% typical</t>
  </si>
  <si>
    <t xml:space="preserve">  SUPPLEMENTAL — SBA / SELLER CARRY</t>
  </si>
  <si>
    <t>$0 if no supplemental tranche</t>
  </si>
  <si>
    <t xml:space="preserve">  CALCULATED METRICS (auto — do not edit)</t>
  </si>
  <si>
    <t xml:space="preserve">  Monthly Payment — 1st</t>
  </si>
  <si>
    <t xml:space="preserve">  Monthly Payment — 2nd</t>
  </si>
  <si>
    <t xml:space="preserve">  Monthly Payment — Supplemental</t>
  </si>
  <si>
    <t>Annual DS — 1st</t>
  </si>
  <si>
    <t>Annual DS — 2nd</t>
  </si>
  <si>
    <t>Annual DS — Supplemental</t>
  </si>
  <si>
    <t>TOTAL ANNUAL DEBT SERVICE</t>
  </si>
  <si>
    <t>Auto-calculated total DS</t>
  </si>
  <si>
    <t>Total Loan Balance at Exit (payoff)</t>
  </si>
  <si>
    <t>CUMPRINC-based balloon payoff</t>
  </si>
  <si>
    <t>Total Debt — All Tranches</t>
  </si>
  <si>
    <t>LTV — Total Debt / As-Is Appraised Value</t>
  </si>
  <si>
    <t>Uses As-Is Appraised Value (row 79) if entered; falls back to FMV (row 78). Target ≤65–75% per lender.</t>
  </si>
  <si>
    <t>LTC — Total Debt / Total Acquisition Cost</t>
  </si>
  <si>
    <t>Target ≤80–85% LTC (value-add). LTC should exceed LTV on value-add deals — larger denominator = lower %.</t>
  </si>
  <si>
    <t>Size Senior Loan off Total Acq Cost? (LTC)</t>
  </si>
  <si>
    <t>NO</t>
  </si>
  <si>
    <t>YES = size 1st loan off Total Acquisition Cost (LTC basis, wraps soft costs). NO = size off Purchase Price (LTV basis, default).</t>
  </si>
  <si>
    <t>Wrapped into LTC:</t>
  </si>
  <si>
    <t xml:space="preserve">  Repairs / CapEx at Close</t>
  </si>
  <si>
    <t xml:space="preserve">  Operating Reserves</t>
  </si>
  <si>
    <t xml:space="preserve">  Est. Closing Costs</t>
  </si>
  <si>
    <t xml:space="preserve">  Acquisition Fee</t>
  </si>
  <si>
    <t xml:space="preserve">  Total Soft Costs</t>
  </si>
  <si>
    <t>DEAL PROFILE TOGGLE  &amp;  RETURN ENHANCEMENTS</t>
  </si>
  <si>
    <t>Deal Profile (preset reference)</t>
  </si>
  <si>
    <t>Distressed Turnaround</t>
  </si>
  <si>
    <t>Stabilized | Light Value-Add | Heavy Value-Add | Distressed Turnaround</t>
  </si>
  <si>
    <t>Recommended Inputs by Profile  →</t>
  </si>
  <si>
    <t>Stabilized</t>
  </si>
  <si>
    <t>Light V-A</t>
  </si>
  <si>
    <t>Heavy V-A</t>
  </si>
  <si>
    <t>Distressed</t>
  </si>
  <si>
    <t>Active Recommended</t>
  </si>
  <si>
    <t>Currently Modeled</t>
  </si>
  <si>
    <t>Variance</t>
  </si>
  <si>
    <t xml:space="preserve">  Recommended values ≠ what's modeled. Adjust your inputs in the scenario columns above to match the active profile, OR override deliberately.</t>
  </si>
  <si>
    <t>DEBT YIELD &amp; YIELD-ON-COST  —  Lender &amp; developer metrics</t>
  </si>
  <si>
    <t>Going-In Debt Yield  (T-12 NOI / Total Debt)</t>
  </si>
  <si>
    <t>Lender quotes off this. Bridge: ≥ 7%, Agency: ≥ 8%</t>
  </si>
  <si>
    <t>Y1 Debt Yield (Pro Forma)</t>
  </si>
  <si>
    <t>First-year stabilized</t>
  </si>
  <si>
    <t>Stabilized Debt Yield (Y3)</t>
  </si>
  <si>
    <t>After turnaround</t>
  </si>
  <si>
    <t>Going-In Yield-on-Cost (T-12 NOI / Total Cost)</t>
  </si>
  <si>
    <t>Cost basis: acquisition + closing + reserves + capex</t>
  </si>
  <si>
    <t>Stabilized Yield-on-Cost (Y3 NOI / Total Cost+CapEx)</t>
  </si>
  <si>
    <t>The development margin metric — compare to market cap</t>
  </si>
  <si>
    <t>Yield-on-Cost vs. Market Cap Spread (bps)</t>
  </si>
  <si>
    <t>&gt;200 bps spread = real value creation. &lt;100 bps = no margin.</t>
  </si>
  <si>
    <t>Yield-on-Cost vs. Exit Cap Spread (bps)</t>
  </si>
  <si>
    <t>Stabilized YoC vs. exit cap = your trade</t>
  </si>
  <si>
    <t>Total Project Cost (Acq + CapEx)</t>
  </si>
  <si>
    <t>Used in YoC calc</t>
  </si>
  <si>
    <t>Cost per Unit (incl. CapEx)</t>
  </si>
  <si>
    <t>All-in $/door</t>
  </si>
  <si>
    <t>Implied Stabilized Value (Y3 NOI / Exit Cap)</t>
  </si>
  <si>
    <t>Year 3 NOI capped at exit cap</t>
  </si>
  <si>
    <t>Stabilized Value vs. Total Cost — $ Spread</t>
  </si>
  <si>
    <t>Profit on paper at stabilization</t>
  </si>
  <si>
    <t>Stabilized Value vs. Total Cost — % Spread</t>
  </si>
  <si>
    <t>Equity multiple on paper at stab</t>
  </si>
  <si>
    <t>OPERATING RESERVE — RELEASE PARAMETERS  (GP discretion)</t>
  </si>
  <si>
    <t>Year you release remaining reserve. Defaults to Year 3 — adjust per stabilization target.</t>
  </si>
  <si>
    <t>Enter $ amount to release. Leave 0 to auto-use remaining reserve balance from P&amp;L!O45.</t>
  </si>
  <si>
    <t>Reserve Release Treatment</t>
  </si>
  <si>
    <t>Distribution</t>
  </si>
  <si>
    <t>Distribution = flows through waterfall (pref → promote). Return of Capital = returned proportional to equity contribution, before waterfall.</t>
  </si>
  <si>
    <t>USE OF CAPITAL SUMMARY</t>
  </si>
  <si>
    <t>Less: Total Loan Amount</t>
  </si>
  <si>
    <t>Down Payment Required</t>
  </si>
  <si>
    <t>Closing Costs</t>
  </si>
  <si>
    <t>Acquisition Fee</t>
  </si>
  <si>
    <t>Repair Escrow / CapEx</t>
  </si>
  <si>
    <t>TOTAL CASH AT CLOSE</t>
  </si>
  <si>
    <t>CLOSING COSTS DETAIL</t>
  </si>
  <si>
    <t>Rate/Factor</t>
  </si>
  <si>
    <t>LENDER FEES &amp; THIRD-PARTY COSTS</t>
  </si>
  <si>
    <t>Environmental (EDR)</t>
  </si>
  <si>
    <t>Appraisal</t>
  </si>
  <si>
    <t>Structural Inspection</t>
  </si>
  <si>
    <t>Lender Legal Fees</t>
  </si>
  <si>
    <t>Bank Doc Prep Fee</t>
  </si>
  <si>
    <t>Origination Fee</t>
  </si>
  <si>
    <t>Total origination fees — all tranches</t>
  </si>
  <si>
    <t>TITLE &amp; CLOSING COSTS</t>
  </si>
  <si>
    <t>0.30% of purchase price</t>
  </si>
  <si>
    <t>Survey</t>
  </si>
  <si>
    <t>Recording</t>
  </si>
  <si>
    <t>0.35% of purchase price</t>
  </si>
  <si>
    <t>Title Processing Fee</t>
  </si>
  <si>
    <t>Title Search</t>
  </si>
  <si>
    <t>Attorney Fees</t>
  </si>
  <si>
    <t>OTHER COSTS</t>
  </si>
  <si>
    <t>Legal (LLC, PPM, OA)</t>
  </si>
  <si>
    <t>Property Inspection</t>
  </si>
  <si>
    <t>Travel</t>
  </si>
  <si>
    <t>Contingency — % of Purchase Price for unknowns</t>
  </si>
  <si>
    <t>TOTAL CLOSING &amp; OTHER COSTS</t>
  </si>
  <si>
    <t>ANALYSIS on top. Standardized aggregation (Layer 3) and raw paste block (Layer 1) below — scroll down to access data.</t>
  </si>
  <si>
    <t>B.  RECONCILIATION CHECK  —  Are all raw lines mapped?</t>
  </si>
  <si>
    <t>EGI:</t>
  </si>
  <si>
    <t>OpEx:</t>
  </si>
  <si>
    <t>NOI:</t>
  </si>
  <si>
    <t>Unmapped $:</t>
  </si>
  <si>
    <t>EGI/Unit/Mo:</t>
  </si>
  <si>
    <t>C.  TREND ANALYSIS  —  T-3 vs. T-6 vs. T-12 (annualized)</t>
  </si>
  <si>
    <t>T-12 Actual</t>
  </si>
  <si>
    <t>T-6 Annlzd</t>
  </si>
  <si>
    <t>T-3 Annlzd</t>
  </si>
  <si>
    <t>T-3 vs T-12 Δ$</t>
  </si>
  <si>
    <t>T-3 vs T-12 Δ%</t>
  </si>
  <si>
    <t>Direction</t>
  </si>
  <si>
    <t>Read</t>
  </si>
  <si>
    <t>EGI</t>
  </si>
  <si>
    <t>Total OpEx</t>
  </si>
  <si>
    <t>NOI</t>
  </si>
  <si>
    <t>Bad Debt + Write-offs</t>
  </si>
  <si>
    <t>Payroll</t>
  </si>
  <si>
    <t>Make-Ready</t>
  </si>
  <si>
    <t>D.  ECONOMIC vs. PHYSICAL OCCUPANCY RECONCILIATION</t>
  </si>
  <si>
    <t>Physically Occupied Units</t>
  </si>
  <si>
    <t>Physical Occupancy %</t>
  </si>
  <si>
    <t>Gross Potential Rent (annual)</t>
  </si>
  <si>
    <t>Gross Rent Billed (Net Rent Rev)</t>
  </si>
  <si>
    <t>Total Revenue (EGI)</t>
  </si>
  <si>
    <t>Economic Occupancy % (Net Rent / GPR)</t>
  </si>
  <si>
    <t>Economic vs. Physical Gap</t>
  </si>
  <si>
    <t xml:space="preserve">  → Lost Revenue from Gap ($)</t>
  </si>
  <si>
    <t>E.  BAD DEBT &amp; WRITE-OFF LAYERED ANALYSIS</t>
  </si>
  <si>
    <t>Component</t>
  </si>
  <si>
    <t>% of GPR</t>
  </si>
  <si>
    <t>PUPM</t>
  </si>
  <si>
    <t>Vacancy Loss</t>
  </si>
  <si>
    <t>5-8% GPR</t>
  </si>
  <si>
    <t>Bad Debt / Write-offs</t>
  </si>
  <si>
    <t>1-3% GPR</t>
  </si>
  <si>
    <t>Concessions</t>
  </si>
  <si>
    <t>0.5-2% GPR</t>
  </si>
  <si>
    <t>Delinquency Change</t>
  </si>
  <si>
    <t>&lt;2% GPR</t>
  </si>
  <si>
    <t>Down Units Loss</t>
  </si>
  <si>
    <t>&lt;1% GPR</t>
  </si>
  <si>
    <t>Employee Units</t>
  </si>
  <si>
    <t>Total Rent Reductions</t>
  </si>
  <si>
    <t>F.  TAX &amp; INSURANCE ACCRUAL CHECK</t>
  </si>
  <si>
    <t>T-12 actuals are rarely the right pro forma number. Triangulate with reassessment estimate and lender quote. Status flags missing/skipped accruals.</t>
  </si>
  <si>
    <t xml:space="preserve">  T-12 Actual</t>
  </si>
  <si>
    <t xml:space="preserve">  Pro Forma Estimate</t>
  </si>
  <si>
    <t xml:space="preserve">  Variance (Actual − PF)</t>
  </si>
  <si>
    <t xml:space="preserve">  Status</t>
  </si>
  <si>
    <t xml:space="preserve">  Variance</t>
  </si>
  <si>
    <t>↓  ↓  ↓   DATA TIER BELOW — Standardized Aggregation (Layer 3) and Raw T-12 (Layer 1)   ↓  ↓  ↓</t>
  </si>
  <si>
    <t>H.  LAYER 3: STANDARDIZED AGGREGATION  —  Bucket-level detail</t>
  </si>
  <si>
    <t>Standardized Bucket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</si>
  <si>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</si>
  <si>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</si>
  <si>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</si>
  <si>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</si>
  <si>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</si>
  <si>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</si>
  <si>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</si>
  <si>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</si>
  <si>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</si>
  <si>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</si>
  <si>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</si>
  <si>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</si>
  <si>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T-12 Total</t>
  </si>
  <si>
    <t>% of EGI</t>
  </si>
  <si>
    <t>Bench Flag</t>
  </si>
  <si>
    <t>INCOME</t>
  </si>
  <si>
    <t>Gross Potential Rent</t>
  </si>
  <si>
    <t>Gain/Loss on Market Rent</t>
  </si>
  <si>
    <t>Write-offs / Bad Debt</t>
  </si>
  <si>
    <t>Prepaid Rent Change</t>
  </si>
  <si>
    <t>Net Rent Revenue</t>
  </si>
  <si>
    <t>MTM Fees</t>
  </si>
  <si>
    <t>Application Fees</t>
  </si>
  <si>
    <t>Late Fees</t>
  </si>
  <si>
    <t>Utility Reimbursement</t>
  </si>
  <si>
    <t>Pet Fees</t>
  </si>
  <si>
    <t>Parking Income</t>
  </si>
  <si>
    <t>Amenity Fees</t>
  </si>
  <si>
    <t>Admin Fees</t>
  </si>
  <si>
    <t>Insurance Pass-Thru</t>
  </si>
  <si>
    <t>Misc Other Income</t>
  </si>
  <si>
    <t>Renter's Insurance</t>
  </si>
  <si>
    <t>Total Other Income</t>
  </si>
  <si>
    <t>OPERATING EXPENSES</t>
  </si>
  <si>
    <t>Landscaping</t>
  </si>
  <si>
    <t>Pool / Amenity Maintenance</t>
  </si>
  <si>
    <t>Payroll — On-Site</t>
  </si>
  <si>
    <t>General &amp; Administrative</t>
  </si>
  <si>
    <t>Legal / Eviction</t>
  </si>
  <si>
    <t>Utilities — Electric</t>
  </si>
  <si>
    <t>Utilities — Gas</t>
  </si>
  <si>
    <t>Utilities — Water/Sewer</t>
  </si>
  <si>
    <t>Utilities — Trash</t>
  </si>
  <si>
    <t>Utilities — Internet/Cable</t>
  </si>
  <si>
    <t>Management Fee</t>
  </si>
  <si>
    <t>TOTAL OPERATING EXPENSES</t>
  </si>
  <si>
    <t>I.  LAYER 1: RAW T-12  (paste operator data here, then map column P)</t>
  </si>
  <si>
    <t>Acct #</t>
  </si>
  <si>
    <t>Account Name (raw)</t>
  </si>
  <si>
    <t>→ MAPPING</t>
  </si>
  <si>
    <t>J.  RAW TOTALS  —  Source-of-truth sums (should match Section H subtotals)</t>
  </si>
  <si>
    <t>Total Revenue (raw, income-mapped)</t>
  </si>
  <si>
    <t>Total OpEx (raw, expense-mapped)</t>
  </si>
  <si>
    <t>Unmapped lines:</t>
  </si>
  <si>
    <t>Excluded:</t>
  </si>
  <si>
    <t xml:space="preserve">  Blue = property context | Yellow = your input | Green = auto formula | Purple = projected totals</t>
  </si>
  <si>
    <t xml:space="preserve">  Income Scenario (distressed override):</t>
  </si>
  <si>
    <t>← Switch to My Version / Projected when T-12 distorted (high vacancy, below-market rents)</t>
  </si>
  <si>
    <t>PROPERTY REFERENCE</t>
  </si>
  <si>
    <t>ACTIVE SCENARIO CONTEXT</t>
  </si>
  <si>
    <t>COMMITTED UPSIDE SUMMARY</t>
  </si>
  <si>
    <t>Scenario:</t>
  </si>
  <si>
    <t>Committed Y1 $</t>
  </si>
  <si>
    <t>← Y1 feeds Scenarios Other Income</t>
  </si>
  <si>
    <t>Occupancy %</t>
  </si>
  <si>
    <t>Rent/Unit (active):</t>
  </si>
  <si>
    <t>Committed Stab $</t>
  </si>
  <si>
    <t>← Stab feeds P&amp;L Year 2 ramp</t>
  </si>
  <si>
    <t>Occupied Units</t>
  </si>
  <si>
    <t>Vacancy % (active):</t>
  </si>
  <si>
    <t>Total Possible Y1 $</t>
  </si>
  <si>
    <t>← all upside at target adoption</t>
  </si>
  <si>
    <t>← cross-check Scenarios!B40</t>
  </si>
  <si>
    <t>Units × Rent/Mo:</t>
  </si>
  <si>
    <t>Total Possible Stab $</t>
  </si>
  <si>
    <t>← all upside stabilized run-rate</t>
  </si>
  <si>
    <t>A.  RUBS RECAPTURE  —  Per-utility billing coverage vs T-12 cost</t>
  </si>
  <si>
    <t xml:space="preserve">  Coverage% = T-12 Recapture ÷ T-12 Cost. Gap = (Target coverage × Cost) − current recapture. Y1=0 (12-18 month rollout). Stab = full gap.</t>
  </si>
  <si>
    <t>Utility</t>
  </si>
  <si>
    <t>T-12 Utility Cost</t>
  </si>
  <si>
    <t>T-12 Recapture $</t>
  </si>
  <si>
    <t>Coverage % Now</t>
  </si>
  <si>
    <t>Target Coverage %</t>
  </si>
  <si>
    <t>N/A</t>
  </si>
  <si>
    <t>Annual Gap $</t>
  </si>
  <si>
    <t>Pursue?</t>
  </si>
  <si>
    <t>Y1 Upside $</t>
  </si>
  <si>
    <t>Stab Upside $</t>
  </si>
  <si>
    <t>Y1 Total Recapture $</t>
  </si>
  <si>
    <t>Stab Total Recapture $</t>
  </si>
  <si>
    <t>Operator does NOT separately track water RUBS. See Other Utility Reimb row.</t>
  </si>
  <si>
    <t>Operator bills back common-area electric (acct 4815=$6,313). Tenant pays in-unit.</t>
  </si>
  <si>
    <t>Hidden Lakes has no gas service.</t>
  </si>
  <si>
    <t>Not tracked separately. Standard $10-25/unit/mo flat fee.</t>
  </si>
  <si>
    <t>Bulk-billed $1,465; full passthrough opportunity.</t>
  </si>
  <si>
    <t>Acct 4820=$678 reimbursed. Standard $3-5/unit/mo flat fee.</t>
  </si>
  <si>
    <t>Acct 4825 ($39,241)+4855 ($206). Mostly water RUBS; operator does not break out by utility.</t>
  </si>
  <si>
    <t xml:space="preserve">  Tie-out: T-12 Recapture (D20)</t>
  </si>
  <si>
    <t>← D20 should equal T-12 Analysis!N71</t>
  </si>
  <si>
    <t>B.  LOSS-TO-LEASE RECAPTURE  —  In-place rents vs market</t>
  </si>
  <si>
    <t xml:space="preserve">  Uses current-market LTL only (conservative). Renovated/post-capex rent uplift is in row 4 (pulls from Capex tab). Scenario selector at C3 drives rows 1-2.</t>
  </si>
  <si>
    <t>Gap Value $</t>
  </si>
  <si>
    <t>Annualized $</t>
  </si>
  <si>
    <t>Y1 Capture %</t>
  </si>
  <si>
    <t>Stab Capture %</t>
  </si>
  <si>
    <t>Full Opportunity $</t>
  </si>
  <si>
    <t>Y1 Total $</t>
  </si>
  <si>
    <t>Stab Total $</t>
  </si>
  <si>
    <t>~30% Y1 via renewals; 70%+ stabilized.</t>
  </si>
  <si>
    <t>40% of vacant leased Y1; 85% stabilized.</t>
  </si>
  <si>
    <t>Eviction resolves ~50% Y1; 80%+ stabilized.</t>
  </si>
  <si>
    <t>Pulls from Capex tab rent-bump assumptions.</t>
  </si>
  <si>
    <t>C.  RECURRING FEES  —  Monthly revenue streams not fully collected</t>
  </si>
  <si>
    <t xml:space="preserve">  Monthly per-unit fees. D=current $/unit derived from T-12. E/F=your targets (yellow). G=capture % of market rate. H=realistic annual gap at target adoption. J/K=net new above T-12.</t>
  </si>
  <si>
    <t>Fee Type</t>
  </si>
  <si>
    <t>T-12 Annual $</t>
  </si>
  <si>
    <t>Current $/Unit/Mo</t>
  </si>
  <si>
    <t>Target $/Unit/Mo</t>
  </si>
  <si>
    <t>Adoption %</t>
  </si>
  <si>
    <t>Capture %</t>
  </si>
  <si>
    <t>Y</t>
  </si>
  <si>
    <t>Monthly surcharge per pet. $25-50/mo; ~30% of units have pets.</t>
  </si>
  <si>
    <t>Upgrade to reserved spot. $20-30/mo suburban garden.</t>
  </si>
  <si>
    <t>Carport/garage; $35-75/mo.</t>
  </si>
  <si>
    <t>Reserved EV spot with charging access. New revenue stream.</t>
  </si>
  <si>
    <t>T-12 shows $26,725 — improve enforcement, not rate.</t>
  </si>
  <si>
    <t>Universal monthly add for pool/gym/lounge access.</t>
  </si>
  <si>
    <t>Add-on for premium amenities post-capex.</t>
  </si>
  <si>
    <t>$14-15 wholesale; $12 charged or admin fee per policy.</t>
  </si>
  <si>
    <t>→ Quantified in Section A. $0 here to avoid double-count.</t>
  </si>
  <si>
    <t>$3-8/unit/mo Amazon Hub or smartbox.</t>
  </si>
  <si>
    <t>New revenue. Garage bays or storage rooms.</t>
  </si>
  <si>
    <t>Tenant pays monthly fee to lock renewal rate. ~40% adoption.</t>
  </si>
  <si>
    <t>Flat admin fee for billing/handling utility passthroughs.</t>
  </si>
  <si>
    <t>Alternative to security deposit; 30% adoption typical.</t>
  </si>
  <si>
    <t>$25/mo doorstep trash; 70% adoption in suburban garden.</t>
  </si>
  <si>
    <t>Bulk cable/internet upcharge; resell $30 vs $15-20 wholesale.</t>
  </si>
  <si>
    <t>Standard $2-5 per online payment — pure margin.</t>
  </si>
  <si>
    <t>Misc revenue typically embedded in rent.</t>
  </si>
  <si>
    <t>TOTAL RECURRING FEES</t>
  </si>
  <si>
    <t>D.  ONE-TIME FEES  —  Per-event fees at lease events</t>
  </si>
  <si>
    <t xml:space="preserve">  Annual revenue = Fee $ × # Events × 100% (events already count actual occurrences). D = implied effective rate from T-12. G = effective rate vs market fee. Y1 uses Y1 Ramp % (K56).</t>
  </si>
  <si>
    <t>← % of full-year capture in Y1 (default 50%)</t>
  </si>
  <si>
    <t>Effective $/Event</t>
  </si>
  <si>
    <t>Market Fee $</t>
  </si>
  <si>
    <t># Events / Yr</t>
  </si>
  <si>
    <t>T-12 shows $1,675 — undercollected. Enter expected applications/yr.</t>
  </si>
  <si>
    <t>One-time pet enrollment at move-in. ~21 events if 30% of move-ins have pets.</t>
  </si>
  <si>
    <t>Per-month MTM premium × # tenants going MTM/yr (~5-10% of base).</t>
  </si>
  <si>
    <t>Lease break events/yr (~5% of leases break early).</t>
  </si>
  <si>
    <t>One-time at move-in for utility transfer. = # move-ins/yr.</t>
  </si>
  <si>
    <t>Per renewal event/yr. T-12 shows $3,974 already collected.</t>
  </si>
  <si>
    <t xml:space="preserve">  Enter expected # events directly in column F (e.g., 60 turnovers/yr = 60 events).</t>
  </si>
  <si>
    <t>TOTAL ONE-TIME FEES</t>
  </si>
  <si>
    <t>E.  BILLABLE UPSIDE  —  Net-new services beyond standard fee schedule</t>
  </si>
  <si>
    <t xml:space="preserve">  Items that cost nothing additional but generate margin if charged. T-12=0 for all — 100% of J/K is net-new. Excludes items already in C/D to avoid double-count.</t>
  </si>
  <si>
    <t>Tech upgrade rolled at lease renewal. $25-35/unit/mo.</t>
  </si>
  <si>
    <t>5-10% of units; furniture amortized over 24 months.</t>
  </si>
  <si>
    <t>3% of units at premium nightly rate.</t>
  </si>
  <si>
    <t>Convert unused space; $15/mo per resident user.</t>
  </si>
  <si>
    <t>TOTAL BILLABLE UPSIDE</t>
  </si>
  <si>
    <t>F.  GRAND TOTAL  —  All recapture and upside categories</t>
  </si>
  <si>
    <t>Category</t>
  </si>
  <si>
    <t>T-12 Baseline $</t>
  </si>
  <si>
    <t>A. RUBS Recapture</t>
  </si>
  <si>
    <t>Sub-meter rollout 12-18 months. Y1=0.</t>
  </si>
  <si>
    <t>B. Loss-to-Lease</t>
  </si>
  <si>
    <t>Captured at lease renewals + new leases.</t>
  </si>
  <si>
    <t>C. Recurring Fees</t>
  </si>
  <si>
    <t>Pet/parking/admin fees from rollout.</t>
  </si>
  <si>
    <t>D. One-Time Fees</t>
  </si>
  <si>
    <t>Per-event fees at move-in/renewal.</t>
  </si>
  <si>
    <t>E. Billable Upside</t>
  </si>
  <si>
    <t>New service offerings.</t>
  </si>
  <si>
    <t>GRAND TOTAL</t>
  </si>
  <si>
    <t>← Y1 feeds Scenarios!C/D/E48</t>
  </si>
  <si>
    <t>← Stab feeds P&amp;L Y2 ramp</t>
  </si>
  <si>
    <t>VALUE-CREATION MULTIPLIER</t>
  </si>
  <si>
    <t xml:space="preserve">  Stabilized NOI add (Committed Stab):</t>
  </si>
  <si>
    <t xml:space="preserve">  Exit cap rate (Scenarios market):</t>
  </si>
  <si>
    <t xml:space="preserve">  Implied value creation:</t>
  </si>
  <si>
    <t>← Committed Stab NOI add ÷ cap rate = property value uplift from pursued items</t>
  </si>
  <si>
    <t>ANALYSIS on top. Raw rent roll below — 143 units pre-loaded from source 4/16/2026. AR aging columns Q-T blank (paste from separate AR aging report).</t>
  </si>
  <si>
    <t>B.  HEALTH CHECK  —  RR vs Prop Info reconciliation</t>
  </si>
  <si>
    <t>Date:</t>
  </si>
  <si>
    <t>Property:</t>
  </si>
  <si>
    <t>Units (Prop):</t>
  </si>
  <si>
    <t>Units (RR):</t>
  </si>
  <si>
    <t>Match:</t>
  </si>
  <si>
    <t>Total AR:</t>
  </si>
  <si>
    <t>Legal cases:</t>
  </si>
  <si>
    <t>Occupied:</t>
  </si>
  <si>
    <t>C.  UNIT STATUS TAXONOMY  —  Where everyone stands</t>
  </si>
  <si>
    <t>Status Bucket</t>
  </si>
  <si>
    <t>% of Total</t>
  </si>
  <si>
    <t>Sched Charges ($/mo)</t>
  </si>
  <si>
    <t>Market Rent ($/mo)</t>
  </si>
  <si>
    <t>Avg Sched / Unit</t>
  </si>
  <si>
    <t>AR Balance</t>
  </si>
  <si>
    <t>Occupied — Current (no legal)</t>
  </si>
  <si>
    <t>Occupied — Delinquent (&gt;$500, no legal)</t>
  </si>
  <si>
    <t>Occupied — Legal/Eviction (** flag)</t>
  </si>
  <si>
    <t>Vacant — Leased / Pre-Leased</t>
  </si>
  <si>
    <t>Unmatched / Other status</t>
  </si>
  <si>
    <t xml:space="preserve">  memo: Occupied units On Notice</t>
  </si>
  <si>
    <t xml:space="preserve">  check: TOTAL = Prop Info unit count</t>
  </si>
  <si>
    <t>← avg sched/occupied unit</t>
  </si>
  <si>
    <t xml:space="preserve">  Tie-out: Occ Mkt + Vac Loss = Section D GPR</t>
  </si>
  <si>
    <t>D.  GPR RECONCILIATION  —  Three views of "potential rent"</t>
  </si>
  <si>
    <t>Annual Amount</t>
  </si>
  <si>
    <t>Market GPR (all units × market rent × 12)</t>
  </si>
  <si>
    <t>Max revenue if all units leased at market rent</t>
  </si>
  <si>
    <t>Scheduled GPR (occupied × scheduled charges × 12)</t>
  </si>
  <si>
    <t>What occupied residents are contracted to pay</t>
  </si>
  <si>
    <t>Loss to Lease (Mkt − Sched on occupied)</t>
  </si>
  <si>
    <t>Negative = below-market in-place rent (recapture upside)</t>
  </si>
  <si>
    <t>Vacancy Loss (vacant × market × 12)</t>
  </si>
  <si>
    <t>Lost revenue from physical vacancy</t>
  </si>
  <si>
    <t>Bad Debt Risk (legal-flagged units × scheduled × 12)</t>
  </si>
  <si>
    <t>Annualized exposure on legally-flagged units</t>
  </si>
  <si>
    <t>Economic GPR (Mkt − LTL − Vac − Bad Debt)</t>
  </si>
  <si>
    <t>Realistic collected rent estimate</t>
  </si>
  <si>
    <t>Economic Occupancy % (Econ GPR / Mkt GPR)</t>
  </si>
  <si>
    <t>Compare to physical occupancy from Section C</t>
  </si>
  <si>
    <t>Current RR GPR — Occupied Scheduled (as-is)</t>
  </si>
  <si>
    <t>Scheduled rent on occupied units × 12 (point-in-time snapshot)</t>
  </si>
  <si>
    <t>T-3 GPR Annualized (last 3 months × 4)</t>
  </si>
  <si>
    <t>Trailing 3-month GPR × 4 — momentum vs T-12 average. Source: T-12 Analysis!O58</t>
  </si>
  <si>
    <t>E.  LEASE EXPIRATION SCHEDULE  —  Next 24 months</t>
  </si>
  <si>
    <t xml:space="preserve">  Months count from TODAY(). Blank or past lease-end on occupied = MTM/Open bucket.</t>
  </si>
  <si>
    <t>Month</t>
  </si>
  <si>
    <t># Expirations</t>
  </si>
  <si>
    <t>% of Occupied</t>
  </si>
  <si>
    <t>Sched Rent</t>
  </si>
  <si>
    <t>Market Rent</t>
  </si>
  <si>
    <t>LTL at Renewal</t>
  </si>
  <si>
    <t>Cumulative %</t>
  </si>
  <si>
    <t>MTM / Past-due / Blank</t>
  </si>
  <si>
    <t>Concentration: largest single-month expiration</t>
  </si>
  <si>
    <t>F.  DAYS VACANT TRACKER  —  How long have the empties been empty?</t>
  </si>
  <si>
    <t xml:space="preserve">  Calculated from last lease end. Blank lease end = unknown duration.</t>
  </si>
  <si>
    <t>Vacancy Bucket</t>
  </si>
  <si>
    <t>% of Vacant</t>
  </si>
  <si>
    <t>Lost Rent ($/yr)</t>
  </si>
  <si>
    <t>Implied Make-Ready Tier</t>
  </si>
  <si>
    <t>Vacant Unrented Ready (any age)</t>
  </si>
  <si>
    <t>Light turn (&lt;30 days)</t>
  </si>
  <si>
    <t>Vacant Not Ready 0-90 days</t>
  </si>
  <si>
    <t>Light/medium turn</t>
  </si>
  <si>
    <t>Vacant Not Ready 90-180 days</t>
  </si>
  <si>
    <t>Medium turn</t>
  </si>
  <si>
    <t>Vacant Not Ready 180-365 days</t>
  </si>
  <si>
    <t>Heavy turn likely</t>
  </si>
  <si>
    <t>Vacant Not Ready 365+ days</t>
  </si>
  <si>
    <t>Heavy turn / down-to-studs</t>
  </si>
  <si>
    <t>Vacant — Lease End Unknown</t>
  </si>
  <si>
    <t>Investigate</t>
  </si>
  <si>
    <t>Total Lost Annual Rent (vacant)</t>
  </si>
  <si>
    <t>G.  RESIDENT TENURE COHORT  —  How long they've been here</t>
  </si>
  <si>
    <t>Tenure</t>
  </si>
  <si>
    <t># Residents</t>
  </si>
  <si>
    <t>Avg Sched Rent</t>
  </si>
  <si>
    <t>Avg Market</t>
  </si>
  <si>
    <t>LTL/mo/unit</t>
  </si>
  <si>
    <t>0-6 months</t>
  </si>
  <si>
    <t>Recent move-ins</t>
  </si>
  <si>
    <t>6-12 months</t>
  </si>
  <si>
    <t>First renewal pending</t>
  </si>
  <si>
    <t>1-2 years</t>
  </si>
  <si>
    <t>Established</t>
  </si>
  <si>
    <t>2-3 years</t>
  </si>
  <si>
    <t>Likely below market</t>
  </si>
  <si>
    <t>3+ years</t>
  </si>
  <si>
    <t>Deep below market</t>
  </si>
  <si>
    <t>H.  DELINQUENCY  —  AR aging summary (paste from separate aging report into cols Q-T)</t>
  </si>
  <si>
    <t>Aging Bucket</t>
  </si>
  <si>
    <t>Total $</t>
  </si>
  <si>
    <t>% of Total AR</t>
  </si>
  <si>
    <t>Avg per Unit</t>
  </si>
  <si>
    <t>0-30 Days</t>
  </si>
  <si>
    <t>31-60 Days</t>
  </si>
  <si>
    <t>61-90 Days</t>
  </si>
  <si>
    <t>90+ Days</t>
  </si>
  <si>
    <t>Total AR (from balance col)</t>
  </si>
  <si>
    <t>I.  TOP-10 DELINQUENT UNITS  —  Highest balances</t>
  </si>
  <si>
    <t xml:space="preserve">  Sorted by Balance descending. ✱✱ flag in Legal column = operator marked for legal/eviction.</t>
  </si>
  <si>
    <t>Bldg</t>
  </si>
  <si>
    <t>Unit</t>
  </si>
  <si>
    <t>Resident</t>
  </si>
  <si>
    <t>Market</t>
  </si>
  <si>
    <t>Balance</t>
  </si>
  <si>
    <t>Deposit</t>
  </si>
  <si>
    <t>Net Exp</t>
  </si>
  <si>
    <t>Top 10 Total</t>
  </si>
  <si>
    <t>Top 10 as % of total AR</t>
  </si>
  <si>
    <t>Legal-Flagged Units (count)</t>
  </si>
  <si>
    <t>Legal $ Exposure</t>
  </si>
  <si>
    <t>J.  SUBJECT PROPERTY LEASING VELOCITY  —  Recent move-ins</t>
  </si>
  <si>
    <t xml:space="preserve">  Move-ins within last N days. Tells you how fast THIS property leases.</t>
  </si>
  <si>
    <t>RECENT LEASE PRICING TREND — new-lease sched rent vs in-place book avg, by type (by Lease Start).  Snapshot has no prior-lease rent, so this is new-vs-book, not a renewal trade-out.</t>
  </si>
  <si>
    <t>Window</t>
  </si>
  <si>
    <t># New Leases</t>
  </si>
  <si>
    <t>Avg Rent Achieved</t>
  </si>
  <si>
    <t>Annualized Pace</t>
  </si>
  <si>
    <t>Mo to Stabilize</t>
  </si>
  <si>
    <t>Unit Type</t>
  </si>
  <si>
    <t>Avg New Rent</t>
  </si>
  <si>
    <t>In-Place Avg</t>
  </si>
  <si>
    <t>Δ% vs Book</t>
  </si>
  <si>
    <t>Last 30 days</t>
  </si>
  <si>
    <t>Last 60 days</t>
  </si>
  <si>
    <t>Last 90 days</t>
  </si>
  <si>
    <t>Last 180 days</t>
  </si>
  <si>
    <t>TOTAL / WTD</t>
  </si>
  <si>
    <t>Lookback window (days)  ▶</t>
  </si>
  <si>
    <t>K.  CHARGE VARIANCE  —  Actual vs Scheduled (catches billing errors / undocumented concessions)</t>
  </si>
  <si>
    <t xml:space="preserve">  "Actual Charges" = what they're actually being billed. "Scheduled Charges" = what they should be billed per lease. Material gap = billing error or hidden concession.</t>
  </si>
  <si>
    <t>Variance Bucket</t>
  </si>
  <si>
    <t>% Occupied</t>
  </si>
  <si>
    <t>Total Variance ($/mo)</t>
  </si>
  <si>
    <t>Annualized</t>
  </si>
  <si>
    <t>Actual &gt; Scheduled (over-billed?)</t>
  </si>
  <si>
    <t>Actual &lt; Scheduled (under-billed / concession)</t>
  </si>
  <si>
    <t>Net Variance (Actual − Scheduled, all occupied)</t>
  </si>
  <si>
    <t>Occupied</t>
  </si>
  <si>
    <t>Avg Mkt Rent</t>
  </si>
  <si>
    <t>LTL/mo</t>
  </si>
  <si>
    <t>LTL %</t>
  </si>
  <si>
    <t>Annual Recapture</t>
  </si>
  <si>
    <t>M.  RENEWAL PIPELINE VALUE  —  LTL recapture on leases expiring next 12 months</t>
  </si>
  <si>
    <t xml:space="preserve">  Sum of (market − scheduled) for each lease expiring in this window. Assumes 100% renewal at market — discount by your renewal probability.</t>
  </si>
  <si>
    <t>LTL/mo (Mkt − Sched)</t>
  </si>
  <si>
    <t>Annual Recapture if 100% Renew</t>
  </si>
  <si>
    <t>@ 70% Renew</t>
  </si>
  <si>
    <t>@ 50% Renew</t>
  </si>
  <si>
    <t>Next 3 months</t>
  </si>
  <si>
    <t>Next 6 months</t>
  </si>
  <si>
    <t>Next 12 months</t>
  </si>
  <si>
    <t>Next 24 months</t>
  </si>
  <si>
    <t>N.  DISTRESS COHORT  —  ✱✱-flagged units (operator legal/eviction marker)</t>
  </si>
  <si>
    <t xml:space="preserve">  Operator marks legal/eviction cases with ✱✱ prefix on resident name. Flag column G is auto-derived. These are pre-eviction or in-process units.</t>
  </si>
  <si>
    <t>% Comparison</t>
  </si>
  <si>
    <t>Legal-flagged units (count)</t>
  </si>
  <si>
    <t>% of occupied</t>
  </si>
  <si>
    <t>Total AR exposure on legal cohort</t>
  </si>
  <si>
    <t>% of total AR</t>
  </si>
  <si>
    <t>Avg balance per legal unit</t>
  </si>
  <si>
    <t>Avg scheduled rent (legal cohort)</t>
  </si>
  <si>
    <t>Months of rent in arrears (avg)</t>
  </si>
  <si>
    <t>Higher = longer process</t>
  </si>
  <si>
    <t>Annualized rent exposure on legal</t>
  </si>
  <si>
    <t>Total deposits held (legal cohort)</t>
  </si>
  <si>
    <t>Deposit / Balance coverage %</t>
  </si>
  <si>
    <t>O.  BUILDING-LEVEL VACANCY CONCENTRATION  —  Catches localized issues</t>
  </si>
  <si>
    <t xml:space="preserve">  Vacancy clustered in one building often signals a localized problem (roof leak, mold, building-wide systems issue). Flag if any building shows &gt;75% vacancy.</t>
  </si>
  <si>
    <t>Vacant</t>
  </si>
  <si>
    <t>Vac %</t>
  </si>
  <si>
    <t>Down</t>
  </si>
  <si>
    <t>Legal Cases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</si>
  <si>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</si>
  <si>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</si>
  <si>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</si>
  <si>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</si>
  <si>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</si>
  <si>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</si>
  <si>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</si>
  <si>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</si>
  <si>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</si>
  <si>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</si>
  <si>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</si>
  <si>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</si>
  <si>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</si>
  <si>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</si>
  <si>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</si>
  <si>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</si>
  <si>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</si>
  <si>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</si>
  <si>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P.  DEPOSIT COVERAGE ON DELINQUENT UNITS  —  Recovery expectation if move-out</t>
  </si>
  <si>
    <t xml:space="preserve">  For occupied units with positive balance, deposit / balance ratio. &lt;100% = uncovered loss on move-out.</t>
  </si>
  <si>
    <t>Coverage Bucket</t>
  </si>
  <si>
    <t>Total Balance</t>
  </si>
  <si>
    <t>Total Deposits</t>
  </si>
  <si>
    <t>Coverage %</t>
  </si>
  <si>
    <t>Uncovered $</t>
  </si>
  <si>
    <t>Fully covered (deposit ≥ balance)</t>
  </si>
  <si>
    <t>Partially covered (0 &lt; deposit &lt; balance)</t>
  </si>
  <si>
    <t>Zero deposit + balance owed</t>
  </si>
  <si>
    <t>Total: Occupied with positive balance</t>
  </si>
  <si>
    <t>Q.  SUBSIDY &amp; CHARGE CODE MIX  —  How resilient is collections to market shocks?</t>
  </si>
  <si>
    <t xml:space="preserve">  Source footer breakdown (per Yardi Charge Code Summary). Subsidy revenue (HCV/Section 8) is more reliable than market rent — higher % = lower volatility.</t>
  </si>
  <si>
    <t>Charge Source</t>
  </si>
  <si>
    <t>Monthly $</t>
  </si>
  <si>
    <t>Annual $</t>
  </si>
  <si>
    <t>% of Sched</t>
  </si>
  <si>
    <t>Reliability</t>
  </si>
  <si>
    <t>🟡 market-sensitive</t>
  </si>
  <si>
    <t>🟢 contractual</t>
  </si>
  <si>
    <t>🟢 govt-backed</t>
  </si>
  <si>
    <t>TOTAL Scheduled Charges</t>
  </si>
  <si>
    <t>Subsidy Concentration Metrics:</t>
  </si>
  <si>
    <t xml:space="preserve">  Subsidy as % of total scheduled</t>
  </si>
  <si>
    <t>Higher = lower revenue volatility (govt-backed)</t>
  </si>
  <si>
    <t xml:space="preserve">  Annual subsidy revenue (committed)</t>
  </si>
  <si>
    <t>Floor on revenue assuming residents stay</t>
  </si>
  <si>
    <t xml:space="preserve">  Annual market-sensitive revenue</t>
  </si>
  <si>
    <t>Subject to vacancy + bad debt risk</t>
  </si>
  <si>
    <t xml:space="preserve">  Annual collected vs Sched GPR</t>
  </si>
  <si>
    <t>How much of scheduled GPR comes through these charge codes</t>
  </si>
  <si>
    <t>R.  RENT-PER-SF BY UNIT TYPE  —  Comp benchmark</t>
  </si>
  <si>
    <t xml:space="preserve">  $/SF for each floorplan vs market. Compare to Rental Comps tab to see if subject is above/below submarket pricing.</t>
  </si>
  <si>
    <t>Avg SF</t>
  </si>
  <si>
    <t>Total SF</t>
  </si>
  <si>
    <t>Mkt Rent/SF</t>
  </si>
  <si>
    <t>Sched Rent/SF</t>
  </si>
  <si>
    <t>Δ/SF</t>
  </si>
  <si>
    <t>Annual $/SF (occ)</t>
  </si>
  <si>
    <t>vs Comp</t>
  </si>
  <si>
    <t>— see Rental Comps —</t>
  </si>
  <si>
    <t>WEIGHTED AVG</t>
  </si>
  <si>
    <t>S.  BELOW / AT / ABOVE MARKET COHORT  —  Renewal pricing posture</t>
  </si>
  <si>
    <t xml:space="preserve">  Splits occupied units by Sched vs Mkt thresholds. &gt;5% Below = recapture target. ±5% = priced right. &gt;5% Above = renewal risk. Col F = Mkt − Sched (positive = below market upside; negative = tenant overpaying).</t>
  </si>
  <si>
    <t>Cohort</t>
  </si>
  <si>
    <t>Total Sched</t>
  </si>
  <si>
    <t>Total Mkt</t>
  </si>
  <si>
    <t>Mkt − Sched</t>
  </si>
  <si>
    <t>Avg LTL/unit</t>
  </si>
  <si>
    <t>&gt;5% Below market (recapture target)</t>
  </si>
  <si>
    <t>Within ±5% of market (priced right)</t>
  </si>
  <si>
    <t>&gt;5% Above market (renewal risk)</t>
  </si>
  <si>
    <t>TOTAL Occupied (Mkt &gt; 0)</t>
  </si>
  <si>
    <t>T.  MOVE-IN SEASONALITY  —  When did current residents sign on? (predicts when leases roll)</t>
  </si>
  <si>
    <t xml:space="preserve">  Distribution of CURRENT occupied residents by month-of-move-in. Helps predict expiration clusters and turn-prep timing.</t>
  </si>
  <si>
    <t>Move-In Month</t>
  </si>
  <si>
    <t>Bar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</si>
  <si>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</si>
  <si>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</si>
  <si>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</si>
  <si>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</si>
  <si>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</si>
  <si>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</si>
  <si>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</si>
  <si>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</si>
  <si>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</si>
  <si>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</si>
  <si>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</si>
  <si>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</si>
  <si>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move-in month</t>
  </si>
  <si>
    <t>Slowest move-in month</t>
  </si>
  <si>
    <t>Q2-Q3 (Apr-Sep) % — typical busy season</t>
  </si>
  <si>
    <t>U.  FUTURE RESIDENT PIPELINE  —  Signed leases not yet moved in</t>
  </si>
  <si>
    <t xml:space="preserve">  Detected as units in raw block with Lease Start date in the future. Source had none in 4/16/2026 snapshot — paste future residents into raw block to populate.</t>
  </si>
  <si>
    <t>Pipeline Metric</t>
  </si>
  <si>
    <t>Note</t>
  </si>
  <si>
    <t>Future-dated leases (Lease Start &gt; today)</t>
  </si>
  <si>
    <t>Count of pre-leases</t>
  </si>
  <si>
    <t>Future-dated leases on currently vacant units</t>
  </si>
  <si>
    <t>Vacant units already pre-leased</t>
  </si>
  <si>
    <t>Total scheduled rent committed (annualized)</t>
  </si>
  <si>
    <t>Revenue locked in pre-occupancy</t>
  </si>
  <si>
    <t>Days to soonest pre-leased move-in</t>
  </si>
  <si>
    <t>How fast revenue starts</t>
  </si>
  <si>
    <t>Avg days until pre-leased start</t>
  </si>
  <si>
    <t>Lead time on pipeline</t>
  </si>
  <si>
    <t>V.  UNIT-TYPE MATRIX (EXTENDED)  -  Vacancy / Rent /mo / $/SF / LTL / Renewals by unit type</t>
  </si>
  <si>
    <t xml:space="preserve">  Unit-type labels link to 'Rental Comps'!A7:A16 (label types once on the Rental Comps tab). Add more types by filling Rental Comps A10:A16 — they auto-flow here. Blank rows guard cleanly.</t>
  </si>
  <si>
    <t>Top %ile for max rents (whole #, 10% steps; e.g. 25 = top 25% of units):</t>
  </si>
  <si>
    <t>TYPE</t>
  </si>
  <si>
    <t>UNIT MIX</t>
  </si>
  <si>
    <t>VACANCY BY TYPE</t>
  </si>
  <si>
    <t>RENT /mo (occ scheduled vs market)</t>
  </si>
  <si>
    <t>RENT $/SF</t>
  </si>
  <si>
    <t>LOSS TO LEASE</t>
  </si>
  <si>
    <t>RENEWALS NEXT 12 MO</t>
  </si>
  <si>
    <t>ACHIEVABLE RENT (Top %ile) &amp; LTL vs achievable</t>
  </si>
  <si>
    <t>Avg Sched</t>
  </si>
  <si>
    <t>LTL /mo (Mkt-Sched)</t>
  </si>
  <si>
    <t>Sched $/SF</t>
  </si>
  <si>
    <t>Market $/SF</t>
  </si>
  <si>
    <t>Comp $/SF (ref)</t>
  </si>
  <si>
    <t>LTL Total /yr</t>
  </si>
  <si>
    <t>LTL % of Mkt</t>
  </si>
  <si>
    <t># Expiring 12mo</t>
  </si>
  <si>
    <t>Recapture /yr (100%)</t>
  </si>
  <si>
    <t>Min Sched (occ)</t>
  </si>
  <si>
    <t>Max Sched (occ)</t>
  </si>
  <si>
    <t>Top X% Avg (achievable)</t>
  </si>
  <si>
    <t>LTL vs TopX% /mo</t>
  </si>
  <si>
    <t>LTL vs TopX% /yr</t>
  </si>
  <si>
    <t>TopX% threshold (helper)</t>
  </si>
  <si>
    <t>TOTAL / AVERAGE</t>
  </si>
  <si>
    <t xml:space="preserve">  Vacancy by type = Section C taxonomy split by unit type   /   Avg Sched = scheduled charges on occupied   /   Avg Market = market rent field, all units of type   /   Recapture caps at 100% renewal — multiply by your renewal rate assumption.</t>
  </si>
  <si>
    <t>↓  ↓  ↓   DATA TIER BELOW — Raw Rent Roll (143 actual units pre-loaded)   ↓  ↓  ↓</t>
  </si>
  <si>
    <t>Source: RR-Hidden-Lakes-4-16-26.xlsx | Legal flag (col G) = TRUE if resident name starts with ** in source</t>
  </si>
  <si>
    <t>Q.  RAW RENT ROLL  —  143 units loaded from source 4/16/2026  (200-row capacity)</t>
  </si>
  <si>
    <t>Unit #</t>
  </si>
  <si>
    <t>Type</t>
  </si>
  <si>
    <t>SF</t>
  </si>
  <si>
    <t>Move-In</t>
  </si>
  <si>
    <t>Lease Start</t>
  </si>
  <si>
    <t>Lease End</t>
  </si>
  <si>
    <t>Exp Move-Out</t>
  </si>
  <si>
    <t>Mkt Rent</t>
  </si>
  <si>
    <t>Actual Chgs</t>
  </si>
  <si>
    <t>Sched Chgs</t>
  </si>
  <si>
    <t>31-60</t>
  </si>
  <si>
    <t>61-90</t>
  </si>
  <si>
    <t>90+</t>
  </si>
  <si>
    <t>Status Flag</t>
  </si>
  <si>
    <t>Valet Trash</t>
  </si>
  <si>
    <t>W.  OTHER CHARGES — TIE-OUT TO RECAPTURE STRATEGY  (RR ancillary income vs Recapture &amp; Upside tab)</t>
  </si>
  <si>
    <t>Paste per-unit monthly ancillary charges into raw cols W–AF.  RR-derived $/yr = SUM(col) × Annualize.  Recapture figure = current Recapture &amp; Upside tab value (editable).  ⚑ = confirm mapping.  Transactional buckets (MTM/App/Admin/Late) are event-based — set Annualize=1; they live in T-12, so RR often shows 0.</t>
  </si>
  <si>
    <t>Revenue Bucket</t>
  </si>
  <si>
    <t>RR col</t>
  </si>
  <si>
    <t>Annualize ×</t>
  </si>
  <si>
    <t>RR-derived $/yr</t>
  </si>
  <si>
    <t>Recapture figure</t>
  </si>
  <si>
    <t>Δ (RR − Recap)</t>
  </si>
  <si>
    <t>W</t>
  </si>
  <si>
    <t>transactional (from T-12 / ledger, not per-unit on RR)</t>
  </si>
  <si>
    <t>X</t>
  </si>
  <si>
    <t>transactional</t>
  </si>
  <si>
    <t>event-based</t>
  </si>
  <si>
    <t>Z</t>
  </si>
  <si>
    <t>⚑ confirm Recapture cell (RUBS/utility total)</t>
  </si>
  <si>
    <t>AA</t>
  </si>
  <si>
    <t>AB</t>
  </si>
  <si>
    <t>sum of Reserved+Covered+EV</t>
  </si>
  <si>
    <t>AC</t>
  </si>
  <si>
    <t>base + premium</t>
  </si>
  <si>
    <t>AD</t>
  </si>
  <si>
    <t>AE</t>
  </si>
  <si>
    <t>AF</t>
  </si>
  <si>
    <t>⚑ confirm Recapture cell</t>
  </si>
  <si>
    <t>AG</t>
  </si>
  <si>
    <t>AH</t>
  </si>
  <si>
    <t>AI</t>
  </si>
  <si>
    <t>AJ</t>
  </si>
  <si>
    <t>AK</t>
  </si>
  <si>
    <t>one-time / event-based</t>
  </si>
  <si>
    <t>Cross-check: Recapture recurring (C53) + one-time (C65) total</t>
  </si>
  <si>
    <t>RR-derived total (above)</t>
  </si>
  <si>
    <t>Δ (RR − Recapture grand total)</t>
  </si>
  <si>
    <t xml:space="preserve">  Blue = input | Black = formula | Green = cross-sheet. Escalators auto-pulled from annual averages. Override any cell and highlight yellow.</t>
  </si>
  <si>
    <t>ESCALATORS &amp; ASSUMPTIONS</t>
  </si>
  <si>
    <t>Annual Revenue Escalator</t>
  </si>
  <si>
    <t>Avg:</t>
  </si>
  <si>
    <t>Annual Expense Escalator</t>
  </si>
  <si>
    <t>Management Fee % (of EGI)</t>
  </si>
  <si>
    <t>Drives row 30 mgmt fee. Default 5%.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</si>
  <si>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</si>
  <si>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</si>
  <si>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</si>
  <si>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</si>
  <si>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</si>
  <si>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</si>
  <si>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</si>
  <si>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</si>
  <si>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</si>
  <si>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</si>
  <si>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
(Y1–Y5)</t>
  </si>
  <si>
    <t>Total
(Y1–Y10)</t>
  </si>
  <si>
    <t>Avg / Yr</t>
  </si>
  <si>
    <t>Y1 % EGI
/ Y1 Value</t>
  </si>
  <si>
    <t xml:space="preserve">   Vacancy %</t>
  </si>
  <si>
    <t xml:space="preserve">  Less: Vacancy</t>
  </si>
  <si>
    <t xml:space="preserve">  Less: Loss to Lease</t>
  </si>
  <si>
    <t>Parking / Other Revenue</t>
  </si>
  <si>
    <t>Other Income (T-12 base + Recapture ramp → Stab Y2)</t>
  </si>
  <si>
    <t>EXPENSES</t>
  </si>
  <si>
    <t>Gas &amp; Electric</t>
  </si>
  <si>
    <t>Management Fee (% EGI)</t>
  </si>
  <si>
    <t>NET OPERATING INCOME (NOI)</t>
  </si>
  <si>
    <t>DEBT SERVICE</t>
  </si>
  <si>
    <t>Principal</t>
  </si>
  <si>
    <t>Interest</t>
  </si>
  <si>
    <t>Total Debt Service</t>
  </si>
  <si>
    <t>CASH FLOW AFTER DEBT SERVICE</t>
  </si>
  <si>
    <t>Total reserve drawn (10yr) → remaining = Scenarios!F13 - O45</t>
  </si>
  <si>
    <t>Adjusted CF — Reserve Supported (≥0 during burn period)</t>
  </si>
  <si>
    <t>CFADS + reserve draw. Shows true investor CF including reserve support.</t>
  </si>
  <si>
    <t>DISTRIBUTIONS FROM CASH FLOW</t>
  </si>
  <si>
    <t>Asset Mgmt Fee (1.5% equity)</t>
  </si>
  <si>
    <t>Class A LP Preferred Return</t>
  </si>
  <si>
    <t>LP Excess CF Share (1 - GP Promote %)</t>
  </si>
  <si>
    <t>GP Excess CF Share (GP Promote %)</t>
  </si>
  <si>
    <t>KEY METRICS &amp; BREAKEVEN ANALYSIS</t>
  </si>
  <si>
    <t>Cash on Cash Return</t>
  </si>
  <si>
    <t>Average Cash on Cash (Y1–Y10)</t>
  </si>
  <si>
    <t>Breakeven Occupancy %</t>
  </si>
  <si>
    <t>NOI Margin</t>
  </si>
  <si>
    <t>Cap Rate (on Purchase Price)</t>
  </si>
  <si>
    <t>Property Value (@ 7% cap)</t>
  </si>
  <si>
    <t>LP-SPECIFIC CASH YIELD  (from Waterfall distributions ÷ LP equity)</t>
  </si>
  <si>
    <t>Class A LP Cash Yield (annual)</t>
  </si>
  <si>
    <t xml:space="preserve">  Avg Class A LP Cash Yield (hold period)</t>
  </si>
  <si>
    <t>Total LP Cash Yield  (Class A + B)</t>
  </si>
  <si>
    <t xml:space="preserve">  Avg Total LP Cash Yield (hold period)</t>
  </si>
  <si>
    <t xml:space="preserve">  Note: LP Cash Yield uses actual Waterfall distributions (after pref + promote). Deal-level CoC (R51) uses total pre-distribution CF — different denominator and numerator.</t>
  </si>
  <si>
    <t>BREAK-EVEN ANALYSIS — Rent &amp; Stress Tests</t>
  </si>
  <si>
    <t>Break-Even Monthly Rent / Unit  (NOI = DS)</t>
  </si>
  <si>
    <t>Break-Even Annual GPR ($)</t>
  </si>
  <si>
    <t>Margin of Safety  (current rent vs break-even)</t>
  </si>
  <si>
    <t>Stress Test: Y1 NOI if Vacancy +5pp</t>
  </si>
  <si>
    <t>Y1 NOI if Vacancy +10pp</t>
  </si>
  <si>
    <t>Y1 NOI if Bad Debt +3pp</t>
  </si>
  <si>
    <t>Stress: Year 1 DSCR @ +5pp Vacancy</t>
  </si>
  <si>
    <t>@ +10pp Vacancy</t>
  </si>
  <si>
    <t>@ +3pp Bad Debt</t>
  </si>
  <si>
    <t>OPERATING RESERVE TRACKER  (rolling balance — feeds Exit Strategy "Operating Reserves remaining")</t>
  </si>
  <si>
    <t>Opening Reserve Balance</t>
  </si>
  <si>
    <t>Reserve Draw (CF deficit cover)</t>
  </si>
  <si>
    <t>Reserve Release (per Scenarios C164-C166)</t>
  </si>
  <si>
    <t>Ending Reserve Balance</t>
  </si>
  <si>
    <t>Monthly operational ramp from acquisition through stabilization. Drives realistic Y1/Y2 cash flow vs. step-function pro forma. Capital call schedule shows peak equity required — critical for distressed/value-add deals.</t>
  </si>
  <si>
    <t>A.  LEASE-UP INPUTS  —  Drives monthly ramp</t>
  </si>
  <si>
    <t>Starting Occupied Units (Month 0)</t>
  </si>
  <si>
    <t>Hardcode from rent roll: physically occupied at acquisition</t>
  </si>
  <si>
    <t>Target Stabilized Occupancy %</t>
  </si>
  <si>
    <t>Typical 92-95% physical occupancy at stabilization</t>
  </si>
  <si>
    <t>Net Leases per Month (initial)</t>
  </si>
  <si>
    <t>After offsetting move-outs. Class C distressed: 3-6/mo</t>
  </si>
  <si>
    <t>Net Leases per Month (months 7-12)</t>
  </si>
  <si>
    <t>Pace usually accelerates after marketing ramp</t>
  </si>
  <si>
    <t>Net Leases per Month (months 13+)</t>
  </si>
  <si>
    <t>Slower as you approach stabilization</t>
  </si>
  <si>
    <t>Avg Rent Achieved (Month 1, $/unit/mo)</t>
  </si>
  <si>
    <t>New lease pricing — start below market to attract demand</t>
  </si>
  <si>
    <t>Avg Rent Achieved (Stabilized, $/unit/mo)</t>
  </si>
  <si>
    <t>Should match Scenarios!F38</t>
  </si>
  <si>
    <t>Months to Hit Stabilized Rent</t>
  </si>
  <si>
    <t>Linear ramp from M1 to this month</t>
  </si>
  <si>
    <t>Make-Ready Cost per Unit ($)</t>
  </si>
  <si>
    <t>Avg across all 77 vacant units. Pull from CapEx tab</t>
  </si>
  <si>
    <t>Make-Ready Pace (units/month)</t>
  </si>
  <si>
    <t>Capacity constraint — usually 4-8 units/mo</t>
  </si>
  <si>
    <t>Bad Debt % during lease-up</t>
  </si>
  <si>
    <t>Higher than stabilized — collections take time to fix</t>
  </si>
  <si>
    <t>Bad Debt % at stabilization</t>
  </si>
  <si>
    <t>Run-rate after evictions complete</t>
  </si>
  <si>
    <t>Concessions ($/new lease, one-time)</t>
  </si>
  <si>
    <t>1 month free × 0.5 (= ~half-month avg)</t>
  </si>
  <si>
    <t>OpEx — Distressed Run-Rate (annual)</t>
  </si>
  <si>
    <t>Pulls from Scenarios — distressed expense load</t>
  </si>
  <si>
    <t>OpEx — Stabilized Run-Rate (annual)</t>
  </si>
  <si>
    <t>Should reduce ~15% as water/payroll normalize</t>
  </si>
  <si>
    <t>OpEx Normalization Month</t>
  </si>
  <si>
    <t>Month at which expenses hit stabilized run-rate</t>
  </si>
  <si>
    <t>Annual Debt Service</t>
  </si>
  <si>
    <t>IO assumption from Scenarios</t>
  </si>
  <si>
    <t>Total Equity Required (from Scenarios)</t>
  </si>
  <si>
    <t>Calculated equity required</t>
  </si>
  <si>
    <t>Initial Equity Funded at Close</t>
  </si>
  <si>
    <t>Typical: 60-80% at close, rest staged</t>
  </si>
  <si>
    <t>B.  MONTHLY OCCUPANCY &amp; RENT RAMP</t>
  </si>
  <si>
    <t>Y1+Y2+Y3 Total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</si>
  <si>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</si>
  <si>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</si>
  <si>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</si>
  <si>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</si>
  <si>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</si>
  <si>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</si>
  <si>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</si>
  <si>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</si>
  <si>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</si>
  <si>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</si>
  <si>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</si>
  <si>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</si>
  <si>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</si>
  <si>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</si>
  <si>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</si>
  <si>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</si>
  <si>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</si>
  <si>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</si>
  <si>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</si>
  <si>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</si>
  <si>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</si>
  <si>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</si>
  <si>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</si>
  <si>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</si>
  <si>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</si>
  <si>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</si>
  <si>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</si>
  <si>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</si>
  <si>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</si>
  <si>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</si>
  <si>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</si>
  <si>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</si>
  <si>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</si>
  <si>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</si>
  <si>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</si>
  <si>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</si>
  <si>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Net Leases Added (per month)</t>
  </si>
  <si>
    <t>Cumulative Occupied Units</t>
  </si>
  <si>
    <t>Make-Ready Units Completed (cumul)</t>
  </si>
  <si>
    <t>Avg Rent Achieved ($/unit/mo)</t>
  </si>
  <si>
    <t>Gross Rent Billed ($/mo)</t>
  </si>
  <si>
    <t>Bad Debt % (ramping down)</t>
  </si>
  <si>
    <t>Concessions ($)</t>
  </si>
  <si>
    <t>Effective Rent Collected ($/mo)</t>
  </si>
  <si>
    <t>Other Income ($/mo)</t>
  </si>
  <si>
    <t>TOTAL MONTHLY REVENUE</t>
  </si>
  <si>
    <t>C.  MONTHLY OPERATING EXPENSES (ramping from distressed → stabilized)</t>
  </si>
  <si>
    <t>Monthly OpEx ($/mo)</t>
  </si>
  <si>
    <t>NOI ($/mo)</t>
  </si>
  <si>
    <t>Debt Service ($/mo)</t>
  </si>
  <si>
    <t>Cash Flow After DS ($/mo)</t>
  </si>
  <si>
    <t>DSCR (monthly)</t>
  </si>
  <si>
    <t>D.  CAPITAL DEPLOYMENT  —  When does money go in / come out?</t>
  </si>
  <si>
    <t>CapEx — Initial Improvements ($/mo)</t>
  </si>
  <si>
    <t>Make-Ready Spend ($/mo)</t>
  </si>
  <si>
    <t>Operating Cash Shortfall ($/mo)</t>
  </si>
  <si>
    <t>TOTAL CAPITAL DEPLOYED ($/mo)</t>
  </si>
  <si>
    <t>Cumulative Capital Deployed</t>
  </si>
  <si>
    <t>Distributable Cash ($/mo)</t>
  </si>
  <si>
    <t>E.  KEY METRICS SUMMARY</t>
  </si>
  <si>
    <t>Peak Equity Required</t>
  </si>
  <si>
    <t>Largest cumulative capital outlay — true equity check</t>
  </si>
  <si>
    <t>Month of Peak Equity</t>
  </si>
  <si>
    <t>Month when capital need maxes out</t>
  </si>
  <si>
    <t>Cash Flow Breakeven Month</t>
  </si>
  <si>
    <t>First month with positive cash flow after debt service</t>
  </si>
  <si>
    <t>Stabilization Month (95% occ)</t>
  </si>
  <si>
    <t>First month hitting target occupancy</t>
  </si>
  <si>
    <t>Total Make-Ready Capital</t>
  </si>
  <si>
    <t>Across all turn units</t>
  </si>
  <si>
    <t>Total Operating Shortfall (Y1-Y3)</t>
  </si>
  <si>
    <t>Cash burn before stabilization</t>
  </si>
  <si>
    <t>Cumulative Distributable Cash (3 yrs)</t>
  </si>
  <si>
    <t>Total positive cash flow over 36 months</t>
  </si>
  <si>
    <t>Y1 Avg Occupancy</t>
  </si>
  <si>
    <t>Month 1-12 average physical occupancy</t>
  </si>
  <si>
    <t>Y2 Avg Occupancy</t>
  </si>
  <si>
    <t>Month 13-24 average physical occupancy</t>
  </si>
  <si>
    <t>Y3 Avg Occupancy</t>
  </si>
  <si>
    <t>Month 25-36 average physical occupancy</t>
  </si>
  <si>
    <t>Y1 Total NOI</t>
  </si>
  <si>
    <t>Compare to step-function pro forma</t>
  </si>
  <si>
    <t>Y2 Total NOI</t>
  </si>
  <si>
    <t>Y3 Total NOI</t>
  </si>
  <si>
    <t>Implied Yield-on-Cost (Y3 NOI / Total Cap)</t>
  </si>
  <si>
    <t>Year 3 NOI ÷ (acq cost + make-ready spend)</t>
  </si>
  <si>
    <t xml:space="preserve">  Inputs pull from active Scenario col F. Edit loan terms in the Scenarios tab per scenario.</t>
  </si>
  <si>
    <t>1st Loan (Senior)</t>
  </si>
  <si>
    <t>Loan Amount</t>
  </si>
  <si>
    <t>Amortization (yrs)</t>
  </si>
  <si>
    <t>Interest Rate</t>
  </si>
  <si>
    <t>Origination Fee %</t>
  </si>
  <si>
    <t>Origination Fee $</t>
  </si>
  <si>
    <t>Monthly Payment</t>
  </si>
  <si>
    <t>Annual Interest (Y1)</t>
  </si>
  <si>
    <t>Annual Principal (Y1)</t>
  </si>
  <si>
    <t>REFINANCE LOAN DETAILS  —  Inputs (used by year-by-year tracker)</t>
  </si>
  <si>
    <t>Refi Loan</t>
  </si>
  <si>
    <t>Auto = Exit Strategy New Loan Amount</t>
  </si>
  <si>
    <t>YELLOW INPUT (was missing in v7)</t>
  </si>
  <si>
    <t>Auto = Exit Strategy Refi Rate</t>
  </si>
  <si>
    <t>YELLOW INPUT — typical agency 10yr</t>
  </si>
  <si>
    <t>YELLOW INPUT — 0 = no IO</t>
  </si>
  <si>
    <t>Used by P&amp;L row 45 (legacy ref)</t>
  </si>
  <si>
    <t>YEAR-BY-YEAR DEBT SERVICE TRACKER  —  Per-Tranche Amortization + Refi Transition</t>
  </si>
  <si>
    <t>Refi Year (from Exit Strategy!C5)</t>
  </si>
  <si>
    <t>Refi happens AT END of this year. Years &gt; refi_yr use new loan.</t>
  </si>
  <si>
    <t>SENIOR LOAN (Tranche 1)  —  Pre-refi debt</t>
  </si>
  <si>
    <t>Notes / Inputs</t>
  </si>
  <si>
    <t>Active this year?</t>
  </si>
  <si>
    <t>Active = Yes when year ≤ refi year</t>
  </si>
  <si>
    <t>Beginning Balance</t>
  </si>
  <si>
    <t>Prior year ending balance</t>
  </si>
  <si>
    <t>Annual Interest</t>
  </si>
  <si>
    <t>IO: bal × rate; else CUMIPMT</t>
  </si>
  <si>
    <t>Annual Principal</t>
  </si>
  <si>
    <t>Zero during IO; CUMPRINC after</t>
  </si>
  <si>
    <t>Ending Balance</t>
  </si>
  <si>
    <t>Beg Bal − Annual Principal</t>
  </si>
  <si>
    <t>Annual DS (P+I)</t>
  </si>
  <si>
    <t>Used by P&amp;L row 43+42</t>
  </si>
  <si>
    <t>2ND LOAN (Tranche 2)  —  Subordinate debt</t>
  </si>
  <si>
    <t>SUPPLEMENTAL LOAN (Tranche 3)  —  Supplemental debt</t>
  </si>
  <si>
    <t>Annual DS (Supplemental)</t>
  </si>
  <si>
    <t>REFINANCE LOAN (Takeout)  —  Active POST-refi-year</t>
  </si>
  <si>
    <t>Yes when year &gt; refi_year</t>
  </si>
  <si>
    <t>Refi loan amount (post-refi)</t>
  </si>
  <si>
    <t>IO: bal×rate; else CUMIPMT</t>
  </si>
  <si>
    <t>Annual DS (Refi)</t>
  </si>
  <si>
    <t>Refi loan annual debt service</t>
  </si>
  <si>
    <t>CONSOLIDATED ANNUAL DEBT SERVICE  →  feeds P&amp;L rows 42–45</t>
  </si>
  <si>
    <t>Total Annual Interest    (Sr + 2nd + Refi)</t>
  </si>
  <si>
    <t>→ P&amp;L row 43</t>
  </si>
  <si>
    <t>Total Annual Principal  (Sr + 2nd + Refi)</t>
  </si>
  <si>
    <t>→ P&amp;L row 42</t>
  </si>
  <si>
    <t>Total Supplemental DS</t>
  </si>
  <si>
    <t>→ P&amp;L row 44</t>
  </si>
  <si>
    <t>→ P&amp;L row 45 (tie-out)</t>
  </si>
  <si>
    <t xml:space="preserve">  C.  RENTAL COMPS  -  SUBMARKET COMP SET</t>
  </si>
  <si>
    <t xml:space="preserve">  D.  AMENITY &amp; FEE COMPARISON MATRIX</t>
  </si>
  <si>
    <t xml:space="preserve">  Reference only - nothing on this tab links to Scenarios or P&amp;L.  Cream = input  /  black = formula  /  green = cross-sheet link.  Target Rent defaults to comp-set $/SF (matched by bedroom count) x unit SF; type over to override.</t>
  </si>
  <si>
    <t xml:space="preserve">  Enter up to 15 comps (cream cells). Effective Rent, $/SF and averages auto-calculate. Label Unit Type starting with the bedroom count (e.g. "2 BR / 2 BA") so it feeds the Target Rent match in Section A.</t>
  </si>
  <si>
    <t xml:space="preserve">  Mark check where the comp offers the amenity. Comp column headers auto-link to the first 5 comps in Section C. Fees &amp; in-unit features are cream inputs.</t>
  </si>
  <si>
    <t xml:space="preserve">  A.  UNIT MIX &amp; TARGET RENT  -  drives the new Target GPR</t>
  </si>
  <si>
    <t>Rent Basis →</t>
  </si>
  <si>
    <t>Average</t>
  </si>
  <si>
    <t>Average = mean of in-place/market rents per type. Max = highest (loss-to-lease ceiling view).</t>
  </si>
  <si>
    <t xml:space="preserve">  COMP PROPERTIES</t>
  </si>
  <si>
    <t xml:space="preserve">  AMENITY COMPS</t>
  </si>
  <si>
    <t>UNIT DETAIL (from Rent Roll)</t>
  </si>
  <si>
    <t>CURRENT RENT (from Rent Roll)</t>
  </si>
  <si>
    <t>TARGET RENT (comp-derived)</t>
  </si>
  <si>
    <t>PROPERTY</t>
  </si>
  <si>
    <t>RENT &amp; OCCUPANCY</t>
  </si>
  <si>
    <t>ADJUSTMENT</t>
  </si>
  <si>
    <t>Mix %</t>
  </si>
  <si>
    <t>In-Place Total /mo</t>
  </si>
  <si>
    <t>In-Place $/SF</t>
  </si>
  <si>
    <t>Comp Avg $/SF</t>
  </si>
  <si>
    <t>Comp Avg Rent /mo</t>
  </si>
  <si>
    <t>Target Rent /mo</t>
  </si>
  <si>
    <t>Delta %</t>
  </si>
  <si>
    <t>Delta $</t>
  </si>
  <si>
    <t>Target Total /mo</t>
  </si>
  <si>
    <t>Adjustment / Comment</t>
  </si>
  <si>
    <t>Distance (mi)</t>
  </si>
  <si>
    <t>Comp Property</t>
  </si>
  <si>
    <t>Class (A/B/C)</t>
  </si>
  <si>
    <t>Vintage</t>
  </si>
  <si>
    <t># Units (Bldg)</t>
  </si>
  <si>
    <t>Asking Rent /mo</t>
  </si>
  <si>
    <t>Adj. Effective Rent /mo</t>
  </si>
  <si>
    <t>$/SF (Eff)</t>
  </si>
  <si>
    <t>Occ %</t>
  </si>
  <si>
    <t>Comp Adjustment</t>
  </si>
  <si>
    <t>Comment on Adjustment</t>
  </si>
  <si>
    <t>Business Center</t>
  </si>
  <si>
    <t>SUBJECT &gt;</t>
  </si>
  <si>
    <t>In-place blended - auto from Prop Info &amp; Rent Roll</t>
  </si>
  <si>
    <t>Car Wash Area</t>
  </si>
  <si>
    <t>Clubhouse / Lounge</t>
  </si>
  <si>
    <t>Dog Park</t>
  </si>
  <si>
    <t>EV Charging</t>
  </si>
  <si>
    <t>Fitness Center</t>
  </si>
  <si>
    <t>Gated</t>
  </si>
  <si>
    <t>Grill / Fire Pit</t>
  </si>
  <si>
    <t>Package Service</t>
  </si>
  <si>
    <t>Parking</t>
  </si>
  <si>
    <t>Playground</t>
  </si>
  <si>
    <t xml:space="preserve">  Subtotal - Existing Unit Mix</t>
  </si>
  <si>
    <t>Pool</t>
  </si>
  <si>
    <t>Storage Space</t>
  </si>
  <si>
    <t xml:space="preserve">  PLANNED / POST-RENO UNIT TYPES  -  manual input / not in current rent roll</t>
  </si>
  <si>
    <t>Spa</t>
  </si>
  <si>
    <t xml:space="preserve">  Enter reconfigured or net-new floorplans here (type label, planned SF, planned # units). Comp Avg $/SF still matches by bedroom count if the comp set covers the type.</t>
  </si>
  <si>
    <t>Outdoor Activities / Gaming</t>
  </si>
  <si>
    <t>-</t>
  </si>
  <si>
    <t xml:space="preserve">  Total Amenity Count</t>
  </si>
  <si>
    <t xml:space="preserve">  COMP SET AVERAGE</t>
  </si>
  <si>
    <t xml:space="preserve">  FEES &amp; RECURRING CHARGES COMP</t>
  </si>
  <si>
    <t xml:space="preserve">  SUBJECT vs COMP AVG</t>
  </si>
  <si>
    <t>Pet Fee - Application</t>
  </si>
  <si>
    <t xml:space="preserve">  Effective Rent = Asking x (1 - weeks free / 52).   $/SF (Eff) = Effective Rent / Avg SF.   Comp Avg $/SF by bedroom count feeds Target Rent in Section A.</t>
  </si>
  <si>
    <t xml:space="preserve">  Subtotal - Planned / Post-Reno</t>
  </si>
  <si>
    <t>Administrative Fee</t>
  </si>
  <si>
    <t xml:space="preserve">  TOTAL / AVERAGE - ALL UNIT TYPES</t>
  </si>
  <si>
    <t>Trash Removal (monthly)</t>
  </si>
  <si>
    <t xml:space="preserve">  GPR SUMMARY  -  reference only / do not link to Scenarios or P&amp;L</t>
  </si>
  <si>
    <t>Amenity Fee (monthly)</t>
  </si>
  <si>
    <t>PUPM /mo</t>
  </si>
  <si>
    <t>Damage Waiver (monthly)</t>
  </si>
  <si>
    <t xml:space="preserve">  Current GPR - In-Place Scheduled</t>
  </si>
  <si>
    <t>Sum of in-place avg rent x units (occupied scheduled charges from rent roll).</t>
  </si>
  <si>
    <t>Parking (monthly)</t>
  </si>
  <si>
    <t xml:space="preserve">  Current GPR - Market Rent</t>
  </si>
  <si>
    <t>Sum of market-rent field x units, existing unit types only.</t>
  </si>
  <si>
    <t>Storage (monthly)</t>
  </si>
  <si>
    <t xml:space="preserve">  Target GPR - Comp-Derived</t>
  </si>
  <si>
    <t>NEW GPR. Sum of Target Rent x units across all unit types (existing + planned).</t>
  </si>
  <si>
    <t>Valet Trash (monthly)</t>
  </si>
  <si>
    <t xml:space="preserve">  Loss to Lease (Target - In-Place)</t>
  </si>
  <si>
    <t>Upside from moving in-place rents to comp-derived target.</t>
  </si>
  <si>
    <t xml:space="preserve">  Loss to Lease %</t>
  </si>
  <si>
    <t>Target GPR vs In-Place GPR.</t>
  </si>
  <si>
    <t xml:space="preserve">  IN-UNIT FEATURES COMP</t>
  </si>
  <si>
    <t xml:space="preserve">  Target vs Market Gap (Target - Market)</t>
  </si>
  <si>
    <t>How comp-derived target compares to the operator's stated market rent.</t>
  </si>
  <si>
    <t>Washer/Dryer In-Unit</t>
  </si>
  <si>
    <t>Washer/Dryer Hookups</t>
  </si>
  <si>
    <t xml:space="preserve">  B.  UNIT TYPE SUMMARY FROM RENT ROLL  -  SF / quantity / avg / min / max rent</t>
  </si>
  <si>
    <t>Stainless Appliances</t>
  </si>
  <si>
    <t>UNIT DETAIL</t>
  </si>
  <si>
    <t>IN-PLACE SCHEDULED RENT (occupied)</t>
  </si>
  <si>
    <t>MARKET RENT (all units)</t>
  </si>
  <si>
    <t>Granite / Quartz Counters</t>
  </si>
  <si>
    <t>Min SF</t>
  </si>
  <si>
    <t>Max SF</t>
  </si>
  <si>
    <t>Avg</t>
  </si>
  <si>
    <t>Min</t>
  </si>
  <si>
    <t>Max</t>
  </si>
  <si>
    <t>LVP / Hardwood Flooring</t>
  </si>
  <si>
    <t>Walk-In Closets</t>
  </si>
  <si>
    <t>Patio / Balcony</t>
  </si>
  <si>
    <t>Ceiling Fans</t>
  </si>
  <si>
    <t>Smart Home / Thermostat</t>
  </si>
  <si>
    <t>Other</t>
  </si>
  <si>
    <t xml:space="preserve">  Classify each item as Value-Add (VA) or Maintenance (M). VA flows into LTC; Maintenance is operating reserve.</t>
  </si>
  <si>
    <t>Qty</t>
  </si>
  <si>
    <t>Unit Cost</t>
  </si>
  <si>
    <t>Total Cost</t>
  </si>
  <si>
    <t>VA or M?</t>
  </si>
  <si>
    <t>Funded By</t>
  </si>
  <si>
    <t xml:space="preserve">  EXTERIOR &amp; GROUNDS</t>
  </si>
  <si>
    <t>Roof Replacement</t>
  </si>
  <si>
    <t>Parking Lot / Garage Resurface</t>
  </si>
  <si>
    <t>Landscaping / Curb Appeal</t>
  </si>
  <si>
    <t>Signage &amp; Monument</t>
  </si>
  <si>
    <t>Exterior Paint / Siding</t>
  </si>
  <si>
    <t>Lighting (exterior)</t>
  </si>
  <si>
    <t xml:space="preserve">  Subtotal — EXTERIOR &amp; GROUNDS</t>
  </si>
  <si>
    <t xml:space="preserve">  COMMON AREAS</t>
  </si>
  <si>
    <t>Lobby / Leasing Office Renovation</t>
  </si>
  <si>
    <t>Mail Room / Package Room</t>
  </si>
  <si>
    <t>Coworking / Business Center</t>
  </si>
  <si>
    <t>Corridor Flooring / Paint</t>
  </si>
  <si>
    <t>Common Area Furniture (FF&amp;E)</t>
  </si>
  <si>
    <t>Elevator Modernization</t>
  </si>
  <si>
    <t xml:space="preserve">  Subtotal — COMMON AREAS</t>
  </si>
  <si>
    <t xml:space="preserve">  UNIT INTERIORS</t>
  </si>
  <si>
    <t>LVP / Hardwood Flooring (per unit)</t>
  </si>
  <si>
    <t>Unit Paint (per unit)</t>
  </si>
  <si>
    <t>Smart Thermostat (per unit)</t>
  </si>
  <si>
    <t>Stainless Appliance Package (per unit)</t>
  </si>
  <si>
    <t>In-Unit Washer/Dryer Hookup (per unit)</t>
  </si>
  <si>
    <t>Countertop Upgrade — Quartz (per unit)</t>
  </si>
  <si>
    <t xml:space="preserve">  Subtotal — UNIT INTERIORS</t>
  </si>
  <si>
    <t xml:space="preserve">  AMENITY UPGRADES</t>
  </si>
  <si>
    <t>Pool / Spa Renovation</t>
  </si>
  <si>
    <t>Fitness Center &amp; Equipment</t>
  </si>
  <si>
    <t>HVAC Units</t>
  </si>
  <si>
    <t>Clubhouse / Coworking Space</t>
  </si>
  <si>
    <t>Dog Park / Pet Wash Station</t>
  </si>
  <si>
    <t>Outdoor Lounge / Grills / Fire Pit</t>
  </si>
  <si>
    <t xml:space="preserve">  Subtotal — AMENITY UPGRADES</t>
  </si>
  <si>
    <t xml:space="preserve">  TECHNOLOGY &amp; SMART HOME</t>
  </si>
  <si>
    <t>Property Mgmt Software (Yardi / Entrata)</t>
  </si>
  <si>
    <t>Fiber / WiFi Infrastructure</t>
  </si>
  <si>
    <t>Package Lockers (Amazon Hub / Luxer)</t>
  </si>
  <si>
    <t>Smart Locks / Access Control</t>
  </si>
  <si>
    <t xml:space="preserve">  Subtotal — TECHNOLOGY &amp; SMART HOME</t>
  </si>
  <si>
    <t xml:space="preserve">  CONTINGENCY</t>
  </si>
  <si>
    <t>Contingency (10%)</t>
  </si>
  <si>
    <t xml:space="preserve">  Subtotal — CONTINGENCY</t>
  </si>
  <si>
    <t>TOTAL CAPEX BUDGET</t>
  </si>
  <si>
    <t xml:space="preserve">  Value-Add CapEx (VA)</t>
  </si>
  <si>
    <t xml:space="preserve">  Maintenance CapEx (M)</t>
  </si>
  <si>
    <t>MAKE-READY MATRIX  —  Per-unit turn cost by scope tier</t>
  </si>
  <si>
    <t xml:space="preserve">  Categorize each vacant or down unit by scope tier. Total flows up to make-ready capital required.</t>
  </si>
  <si>
    <t>Scope Tier</t>
  </si>
  <si>
    <t>Cost / Unit</t>
  </si>
  <si>
    <t>Total</t>
  </si>
  <si>
    <t>Days to Complete</t>
  </si>
  <si>
    <t>Description</t>
  </si>
  <si>
    <t>Paint touch-up + clean, quick turn</t>
  </si>
  <si>
    <t>Vacant Ready</t>
  </si>
  <si>
    <t>Paint + carpet/LVP + appliance check</t>
  </si>
  <si>
    <t>Mid range</t>
  </si>
  <si>
    <t>Full paint + flooring + appliance updates</t>
  </si>
  <si>
    <t>Down 30-90 days</t>
  </si>
  <si>
    <t>Full unit refresh + cabinets + minor systems</t>
  </si>
  <si>
    <t>Down 90+ days</t>
  </si>
  <si>
    <t>Reframe + drywall + full systems</t>
  </si>
  <si>
    <t>Severe damage</t>
  </si>
  <si>
    <t>Avg Cost/Unit</t>
  </si>
  <si>
    <t>TOTAL MAKE-READY BUDGET</t>
  </si>
  <si>
    <t>Months to complete:</t>
  </si>
  <si>
    <t>Lost rent during turn ($/unit-month)</t>
  </si>
  <si>
    <t>Total Carry Cost</t>
  </si>
  <si>
    <t>Total Lost Rent During Turn (carry)</t>
  </si>
  <si>
    <t>TOTAL CAPITAL: Initial CapEx + Make-Ready + Carry</t>
  </si>
  <si>
    <t xml:space="preserve">  Note: Scenarios!F12 (Repairs/CapEx at Close) still references Capex!D51 only. To include make-ready, manually update Scenarios!F12 to point here.</t>
  </si>
  <si>
    <t xml:space="preserve">  Blue = input | Black = formula | Green = cross-sheet.  Total Payroll (F31) feeds P&amp;L On-Site Payroll automatically.</t>
  </si>
  <si>
    <t>SECTION 1 — INPUTS &amp; RATE ASSUMPTIONS</t>
  </si>
  <si>
    <t>Total Units  (from Prop Info)</t>
  </si>
  <si>
    <t>Unit count drives leasing agent FTE scale</t>
  </si>
  <si>
    <t>Unit Occupancy %  (from Scenarios)</t>
  </si>
  <si>
    <t>Active scenario vacancy rate</t>
  </si>
  <si>
    <t>Revenue-generating units (B6 × (1−B7))</t>
  </si>
  <si>
    <t>Typical 20–25%; edit per deal</t>
  </si>
  <si>
    <t>2–5% on top of base + benefits</t>
  </si>
  <si>
    <t>SECTION 2 — POSITION TABLE  (FTE × Salary × Load = Total Comp)</t>
  </si>
  <si>
    <t>Position</t>
  </si>
  <si>
    <t>Dept</t>
  </si>
  <si>
    <t>FTE</t>
  </si>
  <si>
    <t>Annual Salary</t>
  </si>
  <si>
    <t>Benefits Load ($)</t>
  </si>
  <si>
    <t>Total Comp ($)</t>
  </si>
  <si>
    <t>Property Manager</t>
  </si>
  <si>
    <t>Split with Shadowood</t>
  </si>
  <si>
    <t>Assistant Property Manager</t>
  </si>
  <si>
    <t>Required 100+ units; $48–65k</t>
  </si>
  <si>
    <t>Leasing Manager</t>
  </si>
  <si>
    <t>Leasing Consultant</t>
  </si>
  <si>
    <t>1 per ~100 units; $38–55k; includes leasing commissions</t>
  </si>
  <si>
    <t>Maintenance Supervisor</t>
  </si>
  <si>
    <t>Maintenance Technician</t>
  </si>
  <si>
    <t>1 per ~75 units; $42–60k</t>
  </si>
  <si>
    <t>Groundskeeper / Porter</t>
  </si>
  <si>
    <t>100+ unit properties; $32–42k</t>
  </si>
  <si>
    <t>Housekeeper (common areas)</t>
  </si>
  <si>
    <t>Common-area only; $28–40k; scale to 2 for 200+ units</t>
  </si>
  <si>
    <t>Concierge / Lifestyle Director</t>
  </si>
  <si>
    <t>Class A / luxury only — set FTE to 1 if applicable; $48–65k</t>
  </si>
  <si>
    <t>Admin / Accounting Assistant</t>
  </si>
  <si>
    <t>150+ units; $40–56k</t>
  </si>
  <si>
    <t>TOTAL ANNUAL PAYROLL</t>
  </si>
  <si>
    <t>Total Payroll as % of EGI</t>
  </si>
  <si>
    <t xml:space="preserve">  Inputs at top. All distributions cascade automatically. Class A/B LP toggle in row 7. Active Scenario drives equity and NOI.</t>
  </si>
  <si>
    <t>HOW THE 3-TIER IRR-HURDLE PROMOTE WORKS   (live — updates with your inputs)</t>
  </si>
  <si>
    <t>WATERFALL INPUTS (auto-linked to active scenario — override here if needed)</t>
  </si>
  <si>
    <t>Distributable cash each period is paid in this order:</t>
  </si>
  <si>
    <t>Hold Period (years)</t>
  </si>
  <si>
    <t>From Scenarios — selectable exit year</t>
  </si>
  <si>
    <t>Applied to Y{hold} NOI</t>
  </si>
  <si>
    <t xml:space="preserve">   2.  Return of capital  (refi rows 48-50; exit col L)</t>
  </si>
  <si>
    <t>2.5% of gross sale price</t>
  </si>
  <si>
    <t xml:space="preserve">   3.  Residual promote — split LP / GP by IRR tier  (engine rows 100-110)</t>
  </si>
  <si>
    <t>Co-invest; promote governed by tiers below</t>
  </si>
  <si>
    <t>Preferred equity — priority capital return</t>
  </si>
  <si>
    <t>TIER SWITCHING  (on LP cumulative IRR — pref + capital + promote)</t>
  </si>
  <si>
    <t>Common equity — participates in promote</t>
  </si>
  <si>
    <t>Annual pref on Class A equity (linked to Scenarios!F35)</t>
  </si>
  <si>
    <t>Annual pref on Class B equity (linked to Scenarios!F36)</t>
  </si>
  <si>
    <t>Class B Treatment →</t>
  </si>
  <si>
    <t>Pref Only</t>
  </si>
  <si>
    <t>Pref Only = Class B gets pref only, no promote. Common Equity = Class B shares LP promote pro-rata by equity.</t>
  </si>
  <si>
    <t>GP Preferred Return %</t>
  </si>
  <si>
    <t>Set 0 if GP pref not negotiated</t>
  </si>
  <si>
    <t>Use Two LP Classes? (YES/NO)</t>
  </si>
  <si>
    <t>Auto: YES only when Class B equity &gt; 0</t>
  </si>
  <si>
    <t>HOW IT WORKS  (accreting-hurdle method — no iteration)</t>
  </si>
  <si>
    <t>Tier 1 LP Split %</t>
  </si>
  <si>
    <t>INPUT here — LP share above pref, below Tier 1 hurdle (default = Class A LP %)</t>
  </si>
  <si>
    <t xml:space="preserve">   Each IRR hurdle is an LP capital balance that grows at the hurdle rate and</t>
  </si>
  <si>
    <t>Tier 1 GP Split %</t>
  </si>
  <si>
    <t>Auto = 1 - LP %</t>
  </si>
  <si>
    <t xml:space="preserve">   is paid down by every LP dollar (pref + return of capital + promote).</t>
  </si>
  <si>
    <t>Tier 1 IRR Hurdle</t>
  </si>
  <si>
    <t>INPUT here — LP IRR that triggers Tier 2</t>
  </si>
  <si>
    <t xml:space="preserve">   When a balance reaches zero the LP has earned that IRR and the promote</t>
  </si>
  <si>
    <t>Tier 2 LP Split %</t>
  </si>
  <si>
    <t>INPUT here — above Tier 1 hurdle (default = Tier 1 split)</t>
  </si>
  <si>
    <t xml:space="preserve">   steps to the next tier.  Exit is folded into the hold year (B5).</t>
  </si>
  <si>
    <t>Tier 2 GP Split %</t>
  </si>
  <si>
    <t>GP promote above Tier 1</t>
  </si>
  <si>
    <t>Tier 2 IRR Hurdle</t>
  </si>
  <si>
    <t>INPUT here — LP IRR that triggers Tier 3</t>
  </si>
  <si>
    <t>LIVE RESULT</t>
  </si>
  <si>
    <t>Tier 3 LP Split %</t>
  </si>
  <si>
    <t>INPUT here — above Tier 2 hurdle (default = Tier 2 split)</t>
  </si>
  <si>
    <t>Tier 3 GP Split %</t>
  </si>
  <si>
    <t>Super-promote above Tier 2</t>
  </si>
  <si>
    <t>Refi Proceeds Treatment</t>
  </si>
  <si>
    <t>Return of Capital</t>
  </si>
  <si>
    <t>Options: "Return of Capital"  or  "Waterfall"  — controls how refi cash-out is treated</t>
  </si>
  <si>
    <t>ANNUAL CASH FLOW &amp; DISTRIBUTION WATERFALL</t>
  </si>
  <si>
    <t>Exit
Proceeds</t>
  </si>
  <si>
    <t>Total ($)</t>
  </si>
  <si>
    <t>NOI (from P&amp;L)</t>
  </si>
  <si>
    <t>Less: Debt Service (annual)</t>
  </si>
  <si>
    <t>TO USE IT</t>
  </si>
  <si>
    <t>Free Cash Flow (FCF)</t>
  </si>
  <si>
    <t xml:space="preserve">   Tier splits &amp; hurdles are inputs HERE on this tab (B15-B21) — not per-scenario.</t>
  </si>
  <si>
    <t xml:space="preserve">   With all splits equal (default) the tiers act as one — v15 behavior.</t>
  </si>
  <si>
    <t>EXIT PROCEEDS ANALYSIS</t>
  </si>
  <si>
    <t xml:space="preserve">   Enter a ladder (e.g. 80% / 70% / 50%) to engage the promote.</t>
  </si>
  <si>
    <t>Gross Sale Price (NOI ÷ Exit Cap)</t>
  </si>
  <si>
    <t xml:space="preserve">   Class B toggle (E12): "Pref Only" or "Common Equity" (shares LP promote).</t>
  </si>
  <si>
    <t>Less: Selling Costs + Disposition Fee</t>
  </si>
  <si>
    <t xml:space="preserve">   Audit: engine rows 100-110; visual rows 112-117.</t>
  </si>
  <si>
    <t>NET SALE PROCEEDS</t>
  </si>
  <si>
    <t>ANNUAL DISTRIBUTION WATERFALL</t>
  </si>
  <si>
    <t>Distribution Tier</t>
  </si>
  <si>
    <t>Exit Proceeds</t>
  </si>
  <si>
    <t xml:space="preserve">  Class A Pref Distributed</t>
  </si>
  <si>
    <t>Class B LP Preferred Return</t>
  </si>
  <si>
    <t xml:space="preserve">  Class B Pref Distributed</t>
  </si>
  <si>
    <t>FCF Remaining After Prefs</t>
  </si>
  <si>
    <t>LP Promote (FCF + exit — 3-tier engine)</t>
  </si>
  <si>
    <t>GP Promote (FCF + exit — 3-tier engine)</t>
  </si>
  <si>
    <t>Return of Capital — Class A LP</t>
  </si>
  <si>
    <t>Return of Capital — Class B LP</t>
  </si>
  <si>
    <t>Return of Capital — GP</t>
  </si>
  <si>
    <t>TOTAL CLASS A LP DISTRIBUTIONS</t>
  </si>
  <si>
    <t>TOTAL CLASS B LP DISTRIBUTIONS</t>
  </si>
  <si>
    <t>TOTAL LP DISTRIBUTIONS (A+B)</t>
  </si>
  <si>
    <t>TOTAL GP DISTRIBUTIONS</t>
  </si>
  <si>
    <t>LP (Combined)</t>
  </si>
  <si>
    <t>LP CAPITAL BALANCE TRACKER  (Unreturned Capital by Year)</t>
  </si>
  <si>
    <t>Party</t>
  </si>
  <si>
    <t>Y0 (Invested)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</si>
  <si>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</si>
  <si>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</si>
  <si>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</si>
  <si>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</si>
  <si>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</si>
  <si>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</si>
  <si>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</si>
  <si>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</si>
  <si>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</si>
  <si>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</si>
  <si>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Exit</t>
  </si>
  <si>
    <t>Class A LP — Invested Capital</t>
  </si>
  <si>
    <t xml:space="preserve">  Less: Refi — Return of Capital</t>
  </si>
  <si>
    <t xml:space="preserve">  Closing Balance</t>
  </si>
  <si>
    <t>Total LP — Invested Capital</t>
  </si>
  <si>
    <t xml:space="preserve">  Less: Refi — Return of Capital (Total LP)</t>
  </si>
  <si>
    <t xml:space="preserve">  Closing Balance (Total LP)</t>
  </si>
  <si>
    <t xml:space="preserve">  Note: When toggle = "Return of Capital", refi proceeds reduce LP capital balance and are excluded from operating FCF waterfall. When toggle = "Waterfall", refi proceeds flow through the distribution cascade as additional FCF.</t>
  </si>
  <si>
    <t>GP ECONOMICS SUMMARY  —  All Income Streams by Year</t>
  </si>
  <si>
    <t>Income Source</t>
  </si>
  <si>
    <t>TOTAL ($)</t>
  </si>
  <si>
    <t>Operating Promote  (Waterfall — annual)</t>
  </si>
  <si>
    <t>TOTAL GP ECONOMICS</t>
  </si>
  <si>
    <t>GP ECONOMICS — BREAKDOWN BY TYPE</t>
  </si>
  <si>
    <t>% of GP Economics</t>
  </si>
  <si>
    <t>Total Fees  (Acq + Mgmt + Disposition)</t>
  </si>
  <si>
    <t>One-time + annual + exit fees</t>
  </si>
  <si>
    <t>Total Promote  (operating waterfall)</t>
  </si>
  <si>
    <t>GP share of FCF above LP pref</t>
  </si>
  <si>
    <t>Co-invest Return  (capital returned at exit)</t>
  </si>
  <si>
    <t>Return of GP co-invest equity at exit</t>
  </si>
  <si>
    <t>100.0%</t>
  </si>
  <si>
    <t>All GP income streams combined</t>
  </si>
  <si>
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</si>
  <si>
    <t>-- PROMOTE TIER ENGINE (IRR hurdles; pref + ROC count toward IRR) --</t>
  </si>
  <si>
    <t xml:space="preserve">  LP non-promote cash (pref + ROC)</t>
  </si>
  <si>
    <t xml:space="preserve">  Residual to promote (after ROC)</t>
  </si>
  <si>
    <t xml:space="preserve">  Tier-1 hurdle balance — start (accretes @ B17)</t>
  </si>
  <si>
    <t xml:space="preserve">  Tier-2 hurdle balance — start (accretes @ B20)</t>
  </si>
  <si>
    <t xml:space="preserve">  P1 (tier-1 residual portion)</t>
  </si>
  <si>
    <t xml:space="preserve">  P2 (tier-2 residual portion)</t>
  </si>
  <si>
    <t xml:space="preserve">  Tier-1 hurdle balance — end</t>
  </si>
  <si>
    <t xml:space="preserve">  Tier-2 hurdle balance — end</t>
  </si>
  <si>
    <t xml:space="preserve">  LP Promote (all tiers)</t>
  </si>
  <si>
    <t xml:space="preserve">  GP Promote (all tiers)</t>
  </si>
  <si>
    <t>-- VISUAL: promote split &amp; hurdle clearance by period --</t>
  </si>
  <si>
    <t xml:space="preserve">  Period</t>
  </si>
  <si>
    <t xml:space="preserve">  LP share of period promote</t>
  </si>
  <si>
    <t xml:space="preserve">  Split bar  (| = LP, . = GP)</t>
  </si>
  <si>
    <t xml:space="preserve">  Tier reached this period</t>
  </si>
  <si>
    <t xml:space="preserve">  Hurdle cleared (cumulative)</t>
  </si>
  <si>
    <t>Net Operating Income</t>
  </si>
  <si>
    <t>Cap Rate</t>
  </si>
  <si>
    <t>Cap Rate at Re-Finance</t>
  </si>
  <si>
    <t>Insurance/Tax/Lender Escrows</t>
  </si>
  <si>
    <t>Appraised Value</t>
  </si>
  <si>
    <t>Operating Reserves remaining</t>
  </si>
  <si>
    <t>Re-Finance LTV</t>
  </si>
  <si>
    <t>Sales Price</t>
  </si>
  <si>
    <t>Sales Cost</t>
  </si>
  <si>
    <t>Term / Amortization (Years)</t>
  </si>
  <si>
    <t>Outstanding Loan Balance</t>
  </si>
  <si>
    <t>Re-Finance Loan Amount</t>
  </si>
  <si>
    <t>Total Equity</t>
  </si>
  <si>
    <t xml:space="preserve">  - Re-Finance Costs</t>
  </si>
  <si>
    <t xml:space="preserve">  - Return of Member Capital</t>
  </si>
  <si>
    <t xml:space="preserve">  - Prepayment Penalty</t>
  </si>
  <si>
    <t xml:space="preserve">  - Members Preferred Return Deficiency</t>
  </si>
  <si>
    <t xml:space="preserve">  - Repay Outstanding Loan Balance</t>
  </si>
  <si>
    <t>Net Proceeds/Profit from Sale</t>
  </si>
  <si>
    <t>Gross Proceeds from Re-Finance</t>
  </si>
  <si>
    <t xml:space="preserve">    Principal Reduction</t>
  </si>
  <si>
    <t xml:space="preserve">    Appreciation</t>
  </si>
  <si>
    <t>Capital Account Balance After Re-Fi</t>
  </si>
  <si>
    <t>Capital Transaction Fee to Mgr</t>
  </si>
  <si>
    <t xml:space="preserve">  % of Initial Investment Returned</t>
  </si>
  <si>
    <t>Net Proceeds/Profit Paid to Members</t>
  </si>
  <si>
    <t>Net Proceeds/Profit from Re-Finance</t>
  </si>
  <si>
    <t>Net Proceeds/Profit Paid to Manager</t>
  </si>
  <si>
    <t>Total Cash to Members at Sale  (Init. Cptl. + Apprec.)</t>
  </si>
  <si>
    <t>After Final Disposition</t>
  </si>
  <si>
    <t>Total Profits from Appreciation Paid to Members</t>
  </si>
  <si>
    <t>Total Cash to Members</t>
  </si>
  <si>
    <t>Total Cash to Members at Refi  (Init. Cptl. + Apprec.)</t>
  </si>
  <si>
    <t>Internal Rate of Return (IRR)  — Class A LP</t>
  </si>
  <si>
    <t>Ending Capital Account Balance</t>
  </si>
  <si>
    <t>Average Cash on Cash Return  — Class A LP</t>
  </si>
  <si>
    <t>Re-Finance IO Period</t>
  </si>
  <si>
    <t>REFINANCE TRIGGERS — When can the bridge refi out?</t>
  </si>
  <si>
    <t xml:space="preserve">  Each program has minimum NOI / DSCR / Debt Yield requirements. Shows which year you qualify for each, and at what loan size.</t>
  </si>
  <si>
    <t>Program</t>
  </si>
  <si>
    <t>Min Debt Yield</t>
  </si>
  <si>
    <t>Min DSCR</t>
  </si>
  <si>
    <t>Max LTV</t>
  </si>
  <si>
    <t>Likely Rate</t>
  </si>
  <si>
    <t>Earliest Qualifying Year</t>
  </si>
  <si>
    <t>Amort</t>
  </si>
  <si>
    <t>For loans &lt;$9MM only</t>
  </si>
  <si>
    <t>For loans &lt;$7.5MM only</t>
  </si>
  <si>
    <t>Standard agency</t>
  </si>
  <si>
    <t>Best pricing — strict criteria</t>
  </si>
  <si>
    <t>Available with stable cash flow</t>
  </si>
  <si>
    <t>If still in lease-up</t>
  </si>
  <si>
    <t xml:space="preserve">  At 8% Debt Yield</t>
  </si>
  <si>
    <t xml:space="preserve">  At 9% Debt Yield</t>
  </si>
  <si>
    <t xml:space="preserve">  At 10% Debt Yield</t>
  </si>
  <si>
    <t>Cash-Out Available</t>
  </si>
  <si>
    <t xml:space="preserve">  INPUTS</t>
  </si>
  <si>
    <t>Close / Funding Date</t>
  </si>
  <si>
    <t>← Today's date. Change to actual close date.</t>
  </si>
  <si>
    <t>LP Class</t>
  </si>
  <si>
    <t>← Change in LP Return sheet</t>
  </si>
  <si>
    <t>Hold Period</t>
  </si>
  <si>
    <t>Yrs  |  Pref Rate:</t>
  </si>
  <si>
    <t>Legend:</t>
  </si>
  <si>
    <t>Blue = editable</t>
  </si>
  <si>
    <t>Yellow = model ref (read-only)</t>
  </si>
  <si>
    <t>Quarterly Dist = Annual ÷ 4 by default. Override any cell in col E.</t>
  </si>
  <si>
    <t>Year</t>
  </si>
  <si>
    <t>Quarter</t>
  </si>
  <si>
    <t>XIRR Date</t>
  </si>
  <si>
    <t>Annual Dist
(from model)</t>
  </si>
  <si>
    <t>Quarterly Dist
(editable ↓)</t>
  </si>
  <si>
    <t>Exit / Refi
Proceeds</t>
  </si>
  <si>
    <t>Total CF
(XIRR input)</t>
  </si>
  <si>
    <t>Cumulative
Cash Received</t>
  </si>
  <si>
    <t>Annual CF (IRR helper)</t>
  </si>
  <si>
    <t>0</t>
  </si>
  <si>
    <t>Invest</t>
  </si>
  <si>
    <t>Initial member contribution</t>
  </si>
  <si>
    <t>Q1</t>
  </si>
  <si>
    <t>Distributions begin</t>
  </si>
  <si>
    <t>Q2</t>
  </si>
  <si>
    <t>Q3</t>
  </si>
  <si>
    <t>Q4</t>
  </si>
  <si>
    <t>TOTALS</t>
  </si>
  <si>
    <t xml:space="preserve">  RETURN SUMMARY</t>
  </si>
  <si>
    <t>XIRR  (quarterly distributions)</t>
  </si>
  <si>
    <t>Standard IRR  (annual, year-end)</t>
  </si>
  <si>
    <t>Difference  (XIRR − IRR)</t>
  </si>
  <si>
    <t>Equity Multiple  (XIRR basis)</t>
  </si>
  <si>
    <t>Total Cash Received</t>
  </si>
  <si>
    <t xml:space="preserve">  Green = meets investment threshold. Yellow = marginal. Red = below threshold. All cells are live formulas.</t>
  </si>
  <si>
    <t>TABLE 1 — OCCUPANCY vs EXIT CAP RATE → LP IRR (MOIC approximation)</t>
  </si>
  <si>
    <t>Occ % \ Exit Cap →</t>
  </si>
  <si>
    <t>TABLE 2 — RATE GROWTH vs EXPENSE GROWTH → NOI MARGIN (Year 5)</t>
  </si>
  <si>
    <t>Rate Gr. \ Exp Gr. →</t>
  </si>
  <si>
    <t>TABLE 3 — PURCHASE PRICE MULTIPLE vs NOI MULTIPLE → GOING-IN CAP RATE</t>
  </si>
  <si>
    <t>PP Mult \ NOI Mult →</t>
  </si>
  <si>
    <t xml:space="preserve">  Change the Investment Amount in the blue cell below. All figures scale automatically to any investment size.</t>
  </si>
  <si>
    <t>← Change this to illustrate any investor</t>
  </si>
  <si>
    <t>Class A</t>
  </si>
  <si>
    <t>← Select Class A or Class B</t>
  </si>
  <si>
    <t>Ownership of LP Pool</t>
  </si>
  <si>
    <t>Preferred Return Rate</t>
  </si>
  <si>
    <t>EXIT</t>
  </si>
  <si>
    <t xml:space="preserve">  A.  INVESTED CAPITAL</t>
  </si>
  <si>
    <t>Initial Investment</t>
  </si>
  <si>
    <t xml:space="preserve">  B.  ANNUAL CASH DISTRIBUTIONS</t>
  </si>
  <si>
    <t>Preferred Return  (8% × invested capital)</t>
  </si>
  <si>
    <t>Additional Upside  (pro-rata share above pref)</t>
  </si>
  <si>
    <t>Total Annual Distribution</t>
  </si>
  <si>
    <t xml:space="preserve">  C.  CAPITAL EVENTS</t>
  </si>
  <si>
    <t>Refinance Distribution</t>
  </si>
  <si>
    <t xml:space="preserve">  Refi proceeds are returned as Return of Capital when the toggle in Waterfall B23 = "Return of Capital". Tax-free basis return, not income.</t>
  </si>
  <si>
    <t xml:space="preserve">  D.  UNRETURNED CAPITAL BALANCE</t>
  </si>
  <si>
    <t>Opening Balance</t>
  </si>
  <si>
    <t>Less: Refi — Return of Capital</t>
  </si>
  <si>
    <t>Closing Balance</t>
  </si>
  <si>
    <t>Return of Capital  (your original investment returned)</t>
  </si>
  <si>
    <t>Exit Upside / Promote  (your share of sale profits)</t>
  </si>
  <si>
    <t xml:space="preserve">  F.  TOTAL CASH RECEIVED</t>
  </si>
  <si>
    <t>Total Cash Received  (distributions + refi + exit)</t>
  </si>
  <si>
    <t>Cumulative Cash Received</t>
  </si>
  <si>
    <t xml:space="preserve">  G.  INVESTOR SUMMARY</t>
  </si>
  <si>
    <t>Capital Invested</t>
  </si>
  <si>
    <t>Equity Multiple</t>
  </si>
  <si>
    <t>Avg Annual Return  (simple)</t>
  </si>
  <si>
    <t xml:space="preserve">  Preferred return is paid first each year before any profit sharing. Additional upside is your pro-rata share of cash flow above the pref hurdle. Refi proceeds (if applicable) reduce your capital basis and are tax-free. Exit distributions are paid from the property sale after loan payoff and selling costs.</t>
  </si>
  <si>
    <t xml:space="preserve">  H.  TARGET RETURN ANALYSIS  —  How much do I need to invest?</t>
  </si>
  <si>
    <t xml:space="preserve">  Enter your target below. The model shows the required investment amount to hit that goal, based on this deal's projected returns.</t>
  </si>
  <si>
    <t>Target</t>
  </si>
  <si>
    <t>Your Target</t>
  </si>
  <si>
    <t>Required Investment</t>
  </si>
  <si>
    <t>At $100k you get →</t>
  </si>
  <si>
    <t>vs Target</t>
  </si>
  <si>
    <t>Annual Pref Income  ($/yr)</t>
  </si>
  <si>
    <t>Target Equity Multiple</t>
  </si>
  <si>
    <t>EM scales with the deal, not investment size</t>
  </si>
  <si>
    <t>Target IRR</t>
  </si>
  <si>
    <t>IRR is deal-level — same at any investment size</t>
  </si>
  <si>
    <t>Target Total Cash Back  ($)</t>
  </si>
  <si>
    <t xml:space="preserve">  Required Investment = your target ÷ return-per-dollar at current $100k illustration. IRR and Equity Multiple are deal-level and do not change with investment size.</t>
  </si>
  <si>
    <t xml:space="preserve">  I.  SENSITIVITY ANALYSIS  —  Your Returns at Different Exit Cap Rates</t>
  </si>
  <si>
    <t xml:space="preserve">  Assumes all operating distributions unchanged. Only the exit proceeds change with the cap rate. Green = better than base case. Red = worse.</t>
  </si>
  <si>
    <t>Net to LP Pool (exit)</t>
  </si>
  <si>
    <t>Your Exit $</t>
  </si>
  <si>
    <t>Total Received</t>
  </si>
  <si>
    <t>vs Base EM</t>
  </si>
  <si>
    <t xml:space="preserve">  Base case highlighted in navy (current exit cap rate from Scenarios). Exit NOI = P&amp;L year matching hold period. Loan balance at exit from amortization schedule.</t>
  </si>
  <si>
    <t xml:space="preserve">  J.  PREFERRED RETURN TRACKING  (accrued vs paid — shortfall)</t>
  </si>
  <si>
    <t>Preferred Return Accrued  (annual target)</t>
  </si>
  <si>
    <t>Preferred Return Paid  (actual, your share)</t>
  </si>
  <si>
    <t>Cumulative Preferred Return Shortfall</t>
  </si>
  <si>
    <t xml:space="preserve">  Shortfall = pref earned but not covered by cash flow. Not accrued/compounded in the waterfall — negotiate catch-up at exit if material.</t>
  </si>
  <si>
    <t>Property 1 = this workbook (auto-populated). Properties 2-5 = paste from sister workbooks (yellow blocks). For ≥6 properties, use the Export Block at the bottom and aggregate in a master portfolio sheet.</t>
  </si>
  <si>
    <t>B.  ASSET INVENTORY</t>
  </si>
  <si>
    <t>Property 1 (this)</t>
  </si>
  <si>
    <t>Property 2</t>
  </si>
  <si>
    <t>Property 3</t>
  </si>
  <si>
    <t>Property 4</t>
  </si>
  <si>
    <t>Property 5</t>
  </si>
  <si>
    <t>Portfolio Total / Avg</t>
  </si>
  <si>
    <t>Market / MSA</t>
  </si>
  <si>
    <t>Asset Class</t>
  </si>
  <si>
    <t>Total units across portfolio</t>
  </si>
  <si>
    <t>Weighted by units</t>
  </si>
  <si>
    <t>Incl. closing, reserves, capex</t>
  </si>
  <si>
    <t>Price / Unit</t>
  </si>
  <si>
    <t>Price / SF</t>
  </si>
  <si>
    <t>Weighted by SF</t>
  </si>
  <si>
    <t>Going-In Cap Rate</t>
  </si>
  <si>
    <t>Weighted by purchase price</t>
  </si>
  <si>
    <t>C.  AGGREGATE METRICS</t>
  </si>
  <si>
    <t>Property 1</t>
  </si>
  <si>
    <t>Portfolio</t>
  </si>
  <si>
    <t>GPR (Y1)</t>
  </si>
  <si>
    <t>EGI (Y1)</t>
  </si>
  <si>
    <t>T-12 NOI (in-place)</t>
  </si>
  <si>
    <t>In-place — pre-stabilization</t>
  </si>
  <si>
    <t>Y1 NOI</t>
  </si>
  <si>
    <t>Y3 NOI (stabilized)</t>
  </si>
  <si>
    <t>Y1 Vacancy %</t>
  </si>
  <si>
    <t>Weighted by GPR</t>
  </si>
  <si>
    <t>Going-In Cap</t>
  </si>
  <si>
    <t>Y3 Stabilized Cap</t>
  </si>
  <si>
    <t>Going-In Yield-on-Cost</t>
  </si>
  <si>
    <t>Weighted by total cost</t>
  </si>
  <si>
    <t>Stabilized YoC (Y3)</t>
  </si>
  <si>
    <t>The development margin metric</t>
  </si>
  <si>
    <t>D.  COMBINED CAPITAL STACK</t>
  </si>
  <si>
    <t>Capital Source</t>
  </si>
  <si>
    <t>Wtd Avg Rate</t>
  </si>
  <si>
    <t>Senior Loan ($)</t>
  </si>
  <si>
    <t>Senior Loan Rate</t>
  </si>
  <si>
    <t>2nd / Mezz ($)</t>
  </si>
  <si>
    <t>2nd / Mezz Rate</t>
  </si>
  <si>
    <t>Supplemental ($)</t>
  </si>
  <si>
    <t>Supplemental Rate</t>
  </si>
  <si>
    <t>E.  COMBINED RETURNS</t>
  </si>
  <si>
    <t>Project IRR</t>
  </si>
  <si>
    <t>Weighted by equity</t>
  </si>
  <si>
    <t>Weighted by LP equity</t>
  </si>
  <si>
    <t>Weighted by GP equity</t>
  </si>
  <si>
    <t>Equity Multiple (Project)</t>
  </si>
  <si>
    <t>Avg DSCR (Hold Period)</t>
  </si>
  <si>
    <t>Weighted by debt</t>
  </si>
  <si>
    <t>Going-In Debt Yield</t>
  </si>
  <si>
    <t>Stabilized Debt Yield</t>
  </si>
  <si>
    <t>F.  RISK CONCENTRATION</t>
  </si>
  <si>
    <t>Risk Metric</t>
  </si>
  <si>
    <t>Threshold</t>
  </si>
  <si>
    <t>Flag</t>
  </si>
  <si>
    <t>% of Portfolio NOI from Largest Property</t>
  </si>
  <si>
    <t>&lt;40%</t>
  </si>
  <si>
    <t>Single-property NOI dependence</t>
  </si>
  <si>
    <t>% of Portfolio Units in Largest Property</t>
  </si>
  <si>
    <t>&lt;50%</t>
  </si>
  <si>
    <t>Operational concentration</t>
  </si>
  <si>
    <t># of Distinct Markets</t>
  </si>
  <si>
    <t>≥2 ideal</t>
  </si>
  <si>
    <t>Geographic diversification</t>
  </si>
  <si>
    <t>Portfolio Avg Going-In Cap</t>
  </si>
  <si>
    <t>6-9% range typical</t>
  </si>
  <si>
    <t>Blended in-place cap</t>
  </si>
  <si>
    <t>Min Single-Property DSCR</t>
  </si>
  <si>
    <t>{=MIN(IF(B59:F59&gt;0,B59:F59))}</t>
  </si>
  <si>
    <t>≥1.20</t>
  </si>
  <si>
    <t>Weakest property DSCR — covenant exposure</t>
  </si>
  <si>
    <t>Wtd Avg Loan Maturity (years)</t>
  </si>
  <si>
    <t>&gt;3 desirable</t>
  </si>
  <si>
    <t>Manually populate — refi exposure</t>
  </si>
  <si>
    <t>G.  CROSS-PROPERTY NORMALIZED PUPM  —  Per-Unit-Per-Month anomaly flagger</t>
  </si>
  <si>
    <t xml:space="preserve">  Same OpEx categories normalized to PUPM across properties. Auto-flags lines &gt;50% above portfolio average.</t>
  </si>
  <si>
    <t>Expense Line</t>
  </si>
  <si>
    <t>P1 PUPM</t>
  </si>
  <si>
    <t>P2 PUPM</t>
  </si>
  <si>
    <t>P3 PUPM</t>
  </si>
  <si>
    <t>P4 PUPM</t>
  </si>
  <si>
    <t>P5 PUPM</t>
  </si>
  <si>
    <t>Portfolio Avg</t>
  </si>
  <si>
    <t>Largest Outlier</t>
  </si>
  <si>
    <t>General &amp; Admin</t>
  </si>
  <si>
    <t>R&amp;M</t>
  </si>
  <si>
    <t>Amenity</t>
  </si>
  <si>
    <t>H.  EXPORT BLOCK  —  Copy this row into your master portfolio sheet</t>
  </si>
  <si>
    <t xml:space="preserve">  Single horizontal row with key metrics. Copy entire row + paste into master portfolio workbook.</t>
  </si>
  <si>
    <t>Total Acq Cost</t>
  </si>
  <si>
    <t>T-12 NOI</t>
  </si>
  <si>
    <t>Y3 NOI</t>
  </si>
  <si>
    <t>LP EM</t>
  </si>
  <si>
    <t>STANDARDIZED COA — Bucket Master List (helper tab; edit to add buckets)</t>
  </si>
  <si>
    <t>Subcategory</t>
  </si>
  <si>
    <t>Bench PUPM Low</t>
  </si>
  <si>
    <t>Bench PUPM High</t>
  </si>
  <si>
    <t>Definition / Maps from accounts like…</t>
  </si>
  <si>
    <t>Income</t>
  </si>
  <si>
    <t>Rent</t>
  </si>
  <si>
    <t>Market Rent on all units (4210). Sum of market rent across all units, leased or vacant.</t>
  </si>
  <si>
    <t>Rent Adj</t>
  </si>
  <si>
    <t>Adjustment to market rent (4230). Usually small.</t>
  </si>
  <si>
    <t>Rent Reduction</t>
  </si>
  <si>
    <t>Less: Vacancy (4305). Lost rent on vacant units.</t>
  </si>
  <si>
    <t>Less: Down Units (4310). Lost rent on units off-line.</t>
  </si>
  <si>
    <t>Less: Employee Units (4325). Free/discounted rent for staff.</t>
  </si>
  <si>
    <t>All concession types: move-in (4330), one-time (4331), recurring (4340), corp (4350).</t>
  </si>
  <si>
    <t>Change in Delinquency (4365). AR balance increase reduces revenue.</t>
  </si>
  <si>
    <t>Write Offs (4370). Uncollected rent written off.</t>
  </si>
  <si>
    <t>Change in Prepaid Rent (4390). Can be positive or negative.</t>
  </si>
  <si>
    <t>Other Income</t>
  </si>
  <si>
    <t>Month-to-month fees (4705).</t>
  </si>
  <si>
    <t>New tenant application fees (4730).</t>
  </si>
  <si>
    <t>Late payment fees (4750), NSF fees (4755).</t>
  </si>
  <si>
    <t>RUBS / utility billbacks (4815, 4820, 4825, 4855).</t>
  </si>
  <si>
    <t>Pet rent and fees.</t>
  </si>
  <si>
    <t>Parking, garage, storage rent.</t>
  </si>
  <si>
    <t>Amenity fees (4842), pool, gym fees.</t>
  </si>
  <si>
    <t>Admin fees (4890), risk fees (4905).</t>
  </si>
  <si>
    <t>POL Insurance (4916), FPI (4917, 4918), Building Fee (4919).</t>
  </si>
  <si>
    <t>DWP, Tenant Damages, Credit Builder, Misc (4870, 4906, 4996, 4997).</t>
  </si>
  <si>
    <t>Expense</t>
  </si>
  <si>
    <t>OpEx — R&amp;M</t>
  </si>
  <si>
    <t>Plumbing, HVAC, lights, supplies, repairs (5113-5170, 5215). Excludes contract landscape, pest.</t>
  </si>
  <si>
    <t>Landscaping contract + supplies (5154, 5157).</t>
  </si>
  <si>
    <t>Pest contract (5161).</t>
  </si>
  <si>
    <t>Pool supplies, amenity upkeep (5146).</t>
  </si>
  <si>
    <t>OpEx — Turn</t>
  </si>
  <si>
    <t>Unit turn costs: paint, clean, carpet, repairs (5601-5625).</t>
  </si>
  <si>
    <t>OpEx — Labor</t>
  </si>
  <si>
    <t>On-site staff salaries, bonuses, payroll fees (5217, 5265).</t>
  </si>
  <si>
    <t>OpEx — G&amp;A</t>
  </si>
  <si>
    <t>Admin services (5205), commissions (5220), uniforms (5260), ILS (6135).</t>
  </si>
  <si>
    <t>Office supplies, postage, telephone, software, training, banking (6201-6299).</t>
  </si>
  <si>
    <t>Eviction fees (6215), legal services, professional fees.</t>
  </si>
  <si>
    <t>OpEx — Fixed</t>
  </si>
  <si>
    <t>Property insurance, liability, umbrella.</t>
  </si>
  <si>
    <t>Property taxes paid to county/municipality.</t>
  </si>
  <si>
    <t>OpEx — Util</t>
  </si>
  <si>
    <t>Electric common area + vacant (5305, 5310).</t>
  </si>
  <si>
    <t>Natural gas service (if metered).</t>
  </si>
  <si>
    <t>Water common area (5330). Largest single line if master-metered.</t>
  </si>
  <si>
    <t>Garbage removal contract + other (5140, 5170).</t>
  </si>
  <si>
    <t>Internet access for office/common (6232).</t>
  </si>
  <si>
    <t>OpEx — Mgmt</t>
  </si>
  <si>
    <t>Property management fee (6310). Usually 3-4% EGI stabilized, 6-8% distressed.</t>
  </si>
  <si>
    <t>OpEx — Contract</t>
  </si>
  <si>
    <t>Reimbursement — Water/Sewer</t>
  </si>
  <si>
    <t>Reimbursement — Electric</t>
  </si>
  <si>
    <t>Reimbursement — Trash</t>
  </si>
  <si>
    <t>Reimbursement — Other</t>
  </si>
  <si>
    <t>Reimbursement — Pest</t>
  </si>
  <si>
    <t>Reimbursement — Gas</t>
  </si>
  <si>
    <t>Reimbursement — Internet</t>
  </si>
  <si>
    <t>(expansion slot 15)</t>
  </si>
  <si>
    <t>— UNMAPPED —</t>
  </si>
  <si>
    <t>Error</t>
  </si>
  <si>
    <t>Lines not yet mapped to a bucket. Should be empty after mapping is complete.</t>
  </si>
  <si>
    <t>— EXCLUDED (non-OpEx) —</t>
  </si>
  <si>
    <t>Excluded</t>
  </si>
  <si>
    <t>Lines explicitly excluded from analysis (e.g., one-time entries, owner-level items).</t>
  </si>
  <si>
    <t>L.  LOSS-TO-LEASE BY UNIT TYPE - Which floorplan to renovate first?   (Top 3 types shown; full data-driven per-type LTL incl all -M variants in Section V cols I-K, O-P - sort Section V by LTL to prioritize.)</t>
  </si>
  <si>
    <t>Recent-Lease Pricing Trend (chart below): N most recent leases of selected type</t>
  </si>
  <si>
    <t>Unit type:</t>
  </si>
  <si>
    <t># recent leases (N, max 50):</t>
  </si>
  <si>
    <t>Available of type:</t>
  </si>
  <si>
    <t>Avg sched rent (book):</t>
  </si>
  <si>
    <t>Recent-lease count N ▶</t>
  </si>
  <si>
    <t>RECENT-LEASE TRADE-OUT  (last N new leases by Lease Start vs in-place book avg; ties at the Nth date can add a few extra)</t>
  </si>
  <si>
    <t># Recent Leases</t>
  </si>
  <si>
    <t>Trade-out /mo vs Book</t>
  </si>
  <si>
    <t>Trade-out %</t>
  </si>
  <si>
    <t>Nth-recent date (helper)</t>
  </si>
  <si>
    <t>Recent-lease chart helper (selected type) - auto, do not edit</t>
  </si>
  <si>
    <t>Lease date</t>
  </si>
  <si>
    <t>Sched rent</t>
  </si>
  <si>
    <t>Avg sched</t>
  </si>
  <si>
    <t>$, unless noted otherwise</t>
  </si>
  <si>
    <t>Property Overview</t>
  </si>
  <si>
    <t>Address</t>
  </si>
  <si>
    <t>Submarket / MSA</t>
  </si>
  <si>
    <t>Building Class</t>
  </si>
  <si>
    <t>Amenity Tier</t>
  </si>
  <si>
    <t>Acquisition Date</t>
  </si>
  <si>
    <t>Number of Units</t>
  </si>
  <si>
    <t>Number of Buildings</t>
  </si>
  <si>
    <t xml:space="preserve">   Average RSF</t>
  </si>
  <si>
    <t>Land Area</t>
  </si>
  <si>
    <t xml:space="preserve">   Units / Acre</t>
  </si>
  <si>
    <t xml:space="preserve">   Parking Ratio (Spaces / 1K SF)</t>
  </si>
  <si>
    <t>Sources and Uses of Capital</t>
  </si>
  <si>
    <t>Sources of Capital</t>
  </si>
  <si>
    <t>Assumption</t>
  </si>
  <si>
    <t>$</t>
  </si>
  <si>
    <t>$ / RSF</t>
  </si>
  <si>
    <t>$ / Unit</t>
  </si>
  <si>
    <t xml:space="preserve">   LP Equity</t>
  </si>
  <si>
    <t xml:space="preserve">   GP Equity</t>
  </si>
  <si>
    <t>Total Sources of Capital</t>
  </si>
  <si>
    <t>Uses of Capital</t>
  </si>
  <si>
    <t>Capital Improvements</t>
  </si>
  <si>
    <t>Closing &amp; Legal</t>
  </si>
  <si>
    <t>Total Uses of Capital</t>
  </si>
  <si>
    <t>DASHBOARD CALC ENGINE  (helper — unlevered returns / NPV)</t>
  </si>
  <si>
    <t>Discount Rate (NPV)</t>
  </si>
  <si>
    <t>Sale Cost %</t>
  </si>
  <si>
    <t>Total Cost (basis)</t>
  </si>
  <si>
    <t>Forward NOI (exit+1)</t>
  </si>
  <si>
    <t>Unlev Net Sale</t>
  </si>
  <si>
    <t>Unlev NOI</t>
  </si>
  <si>
    <t>Unlev Sale</t>
  </si>
  <si>
    <t>Unlev Total CF</t>
  </si>
  <si>
    <t>Lev Op CF</t>
  </si>
  <si>
    <t>Lev Total CF</t>
  </si>
  <si>
    <t>Unlev IRR</t>
  </si>
  <si>
    <t>Unlev MOIC</t>
  </si>
  <si>
    <t>Unlev Profit</t>
  </si>
  <si>
    <t>Unlev Equity</t>
  </si>
  <si>
    <t>Unlev Avg Yield</t>
  </si>
  <si>
    <t>Lev Avg Yield</t>
  </si>
  <si>
    <t>Current Value (NPV)</t>
  </si>
  <si>
    <t>Implied Cap</t>
  </si>
  <si>
    <t>Yr 1 NOI</t>
  </si>
  <si>
    <t>Returns Summary</t>
  </si>
  <si>
    <t>Unlevered</t>
  </si>
  <si>
    <t>Levered (LP)</t>
  </si>
  <si>
    <t>MOIC</t>
  </si>
  <si>
    <t>Profit</t>
  </si>
  <si>
    <t>Equity</t>
  </si>
  <si>
    <t>Average Yield</t>
  </si>
  <si>
    <t>NPV Reversion</t>
  </si>
  <si>
    <t>Discount Rate</t>
  </si>
  <si>
    <t xml:space="preserve">   Per Unit</t>
  </si>
  <si>
    <t>Per RSF</t>
  </si>
  <si>
    <t>Yr. 1 NOI</t>
  </si>
  <si>
    <t>Imp. Cap Rate</t>
  </si>
  <si>
    <t>Exit Assumptions</t>
  </si>
  <si>
    <t>Exit Month</t>
  </si>
  <si>
    <t xml:space="preserve">      Forward NOI</t>
  </si>
  <si>
    <t>(%) Exit Cap Rate</t>
  </si>
  <si>
    <t>(=) Sale Price</t>
  </si>
  <si>
    <t xml:space="preserve">      Per Unit</t>
  </si>
  <si>
    <t>(-) Sale Cost</t>
  </si>
  <si>
    <t>(=) Net Sale Proceeds</t>
  </si>
  <si>
    <t>Unit Mix and Pro Forma Rents</t>
  </si>
  <si>
    <t>% Reno</t>
  </si>
  <si>
    <t>Units</t>
  </si>
  <si>
    <t>Avg RSF</t>
  </si>
  <si>
    <t>In-Place $/U</t>
  </si>
  <si>
    <t>$/RSF</t>
  </si>
  <si>
    <t>Rent Prem.</t>
  </si>
  <si>
    <t>Post-Reno $/U</t>
  </si>
  <si>
    <t>Total / Weighted Avg</t>
  </si>
  <si>
    <t>Pro Forma Assumptions</t>
  </si>
  <si>
    <t>Yr. 1</t>
  </si>
  <si>
    <t>Yr. 2</t>
  </si>
  <si>
    <t>Yr. 3</t>
  </si>
  <si>
    <t>Yr. 4</t>
  </si>
  <si>
    <t>Yr. 5</t>
  </si>
  <si>
    <t>Yr. 6 +</t>
  </si>
  <si>
    <t>Growth Rates</t>
  </si>
  <si>
    <t>Current Rent</t>
  </si>
  <si>
    <t>Post-Renovation Rent</t>
  </si>
  <si>
    <t>Utility &amp; Other Income</t>
  </si>
  <si>
    <t>General OpEx</t>
  </si>
  <si>
    <t>Operating Assumptions</t>
  </si>
  <si>
    <t>Vacancy Rate (% of EGI)</t>
  </si>
  <si>
    <t>Loss to Lease (% of GPR)</t>
  </si>
  <si>
    <t>Bad Debt &amp; Concessions (% of EGI)</t>
  </si>
  <si>
    <t>SENS ENGINE (Levered approx: IRR=MOIC^(1/yr)-1)</t>
  </si>
  <si>
    <t>Exit Year &amp; Cap Sensitivity on Levered IRR | MOIC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</si>
</sst>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164" formatCode="#,##0;\(#,##0\);\-"/>
    <numFmt numFmtId="165" formatCode="0.0%;\(0.0%\);\-"/>
    <numFmt numFmtId="166" formatCode="\$#,##0;&quot;($&quot;#,##0\);\-"/>
    <numFmt numFmtId="167" formatCode="0.00%;\(0.00%\);\-"/>
    <numFmt numFmtId="168" formatCode="0.00\x;\(0.00&quot;x)&quot;;\-"/>
    <numFmt numFmtId="169" formatCode="0.00\x"/>
    <numFmt numFmtId="170" formatCode="0.0%"/>
    <numFmt numFmtId="171" formatCode="0.0%;\(0.0%\)"/>
    <numFmt numFmtId="172" formatCode="0.0"/>
    <numFmt numFmtId="173" formatCode="\$#,##0"/>
    <numFmt numFmtId="174" formatCode="0.000%"/>
    <numFmt numFmtId="175" formatCode="\$#,##0.00"/>
    <numFmt numFmtId="176" formatCode="#,##0.0;\(#,##0.0\);\-"/>
    <numFmt numFmtId="177" formatCode="0.0&quot; / 10&quot;"/>
    <numFmt numFmtId="178" formatCode="#&quot; Month(s)&quot;"/>
    <numFmt numFmtId="179" formatCode="\$#,##0.00_);[Red]&quot;($&quot;#,##0.00\)"/>
    <numFmt numFmtId="180" formatCode="0;\-0;&quot;&quot;"/>
    <numFmt numFmtId="181" formatCode="\$#,##0.00;&quot;($&quot;#,##0.00\);\-"/>
    <numFmt numFmtId="182" formatCode="0.0&quot; mo&quot;"/>
    <numFmt numFmtId="183" formatCode="##.##%"/>
    <numFmt numFmtId="184" formatCode="#,##0.00;\(#,##0.00\);\-"/>
    <numFmt numFmtId="185" formatCode="mm/dd/yyyy"/>
    <numFmt numFmtId="186" formatCode="#,##0;\(#,##0\)"/>
    <numFmt numFmtId="187" formatCode="\+0.00\x;\-0.00\x;\—"/>
    <numFmt numFmtId="188" formatCode="mmm\ dd\,\ yyyy"/>
    <numFmt numFmtId="189" formatCode="#,##0&quot; Units&quot;;;\-"/>
    <numFmt numFmtId="190" formatCode="#,##0;;\-"/>
    <numFmt numFmtId="191" formatCode="#,##0&quot; SF&quot;;;\-"/>
    <numFmt numFmtId="192" formatCode="0.0&quot; AC&quot;;;\-"/>
    <numFmt numFmtId="193" formatCode="0.0;;\-"/>
    <numFmt numFmtId="194" formatCode="0.0%;;\-"/>
    <numFmt numFmtId="195" formatCode="&quot;$&quot;#,##0;\(&quot;$&quot;#,##0\);\-"/>
    <numFmt numFmtId="196" formatCode="0.00&quot;x&quot;"/>
    <numFmt numFmtId="197" formatCode="#,##0&quot; / U&quot;;;\-"/>
    <numFmt numFmtId="198" formatCode="#,##0&quot; / SF&quot;;;\-"/>
    <numFmt numFmtId="199" formatCode="0.00%;;\-"/>
    <numFmt numFmtId="200" formatCode="&quot;$&quot;#,##0;;\-"/>
    <numFmt numFmtId="201" formatCode="0.00;;\-"/>
  </numFmts>
  <fonts count="14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6100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61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1F2937"/>
      <name val="Calibri"/>
      <family val="2"/>
      <charset val="1"/>
    </font>
    <font>
      <sz val="10"/>
      <color rgb="FF1F2937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0"/>
      <color rgb="FF0563C1"/>
      <name val="Calibri"/>
      <family val="2"/>
      <charset val="1"/>
    </font>
    <font>
      <u/>
      <sz val="10"/>
      <color rgb="FF0563C1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61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i/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u/>
      <sz val="11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FF"/>
      <name val="Cambria"/>
      <family val="1"/>
      <charset val="1"/>
    </font>
    <font>
      <sz val="8"/>
      <color rgb="FF0563C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000000"/>
      <name val="Consolas"/>
      <family val="2"/>
      <charset val="1"/>
    </font>
    <font>
      <sz val="9"/>
      <color rgb="FF006100"/>
      <name val="Consolas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1"/>
      <color rgb="FF000000"/>
      <name val="Cambria"/>
      <family val="1"/>
      <charset val="1"/>
    </font>
    <font>
      <i/>
      <sz val="9"/>
      <color rgb="FF006100"/>
      <name val="Arial"/>
      <family val="2"/>
      <charset val="1"/>
    </font>
    <font>
      <sz val="10"/>
      <color rgb="FF7F6000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10"/>
      <color rgb="FF006100"/>
      <name val="Arial"/>
      <family val="2"/>
      <charset val="1"/>
    </font>
    <font>
      <sz val="11"/>
      <color rgb="FF006100"/>
      <name val="Cambria"/>
      <family val="1"/>
      <charset val="1"/>
    </font>
    <font>
      <sz val="9"/>
      <name val="Cambria"/>
      <family val="1"/>
      <charset val="1"/>
    </font>
    <font>
      <sz val="9"/>
      <color rgb="FF0000FF"/>
      <name val="Cambria"/>
      <family val="1"/>
      <charset val="1"/>
    </font>
    <font>
      <sz val="9"/>
      <color rgb="FF000000"/>
      <name val="Cambria"/>
      <family val="1"/>
      <charset val="1"/>
    </font>
    <font>
      <i/>
      <sz val="8"/>
      <color rgb="FF595959"/>
      <name val="Cambria"/>
      <family val="1"/>
      <charset val="1"/>
    </font>
    <font>
      <b/>
      <sz val="10"/>
      <color theme="0"/>
      <name val="Arial"/>
      <family val="2"/>
      <charset val="1"/>
    </font>
    <font>
      <i/>
      <sz val="9"/>
      <color theme="0"/>
      <name val="Arial"/>
      <family val="2"/>
      <charset val="1"/>
    </font>
    <font>
      <b/>
      <sz val="10"/>
      <color rgb="FF0000FF"/>
      <name val="Arial"/>
      <family val="2"/>
      <charset val="1"/>
    </font>
    <font>
      <sz val="9"/>
      <color rgb="FF808080"/>
      <name val="Arial"/>
      <family val="2"/>
      <charset val="1"/>
    </font>
    <font>
      <b/>
      <sz val="9"/>
      <color rgb="FF80808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7D6608"/>
      <name val="Cambria"/>
      <family val="1"/>
      <charset val="1"/>
    </font>
    <font>
      <sz val="10"/>
      <name val="Arial"/>
      <family val="2"/>
    </font>
    <font>
      <sz val="11"/>
      <color rgb="FF006100"/>
      <name val="Calibri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1F3864"/>
      <name val="Cambria"/>
      <family val="1"/>
      <charset val="1"/>
    </font>
    <font>
      <b/>
      <sz val="9"/>
      <name val="Cambria"/>
      <family val="1"/>
      <charset val="1"/>
    </font>
    <font>
      <sz val="9"/>
      <color rgb="FF006100"/>
      <name val="Cambria"/>
      <family val="1"/>
      <charset val="1"/>
    </font>
    <font>
      <b/>
      <sz val="9"/>
      <color rgb="FF000000"/>
      <name val="Cambria"/>
      <family val="1"/>
      <charset val="1"/>
    </font>
    <font>
      <b/>
      <sz val="9"/>
      <color rgb="FFFFFFFF"/>
      <name val="Cambria"/>
      <family val="1"/>
      <charset val="1"/>
    </font>
    <font>
      <b/>
      <sz val="9"/>
      <color rgb="FF1F3864"/>
      <name val="Cambria"/>
      <family val="1"/>
      <charset val="1"/>
    </font>
    <font>
      <i/>
      <sz val="9"/>
      <color rgb="FF6B7280"/>
      <name val="Arial"/>
      <family val="2"/>
      <charset val="1"/>
    </font>
    <font>
      <i/>
      <sz val="9"/>
      <color rgb="FF000000"/>
      <name val="Arial"/>
      <family val="2"/>
      <charset val="1"/>
    </font>
    <font>
      <sz val="10"/>
      <color rgb="FFBFBFBF"/>
      <name val="Arial"/>
      <family val="2"/>
      <charset val="1"/>
    </font>
    <font>
      <sz val="11"/>
      <color rgb="FF0000FF"/>
      <name val="Calibri"/>
      <family val="2"/>
      <charset val="1"/>
    </font>
    <font>
      <sz val="11"/>
      <color rgb="FF008000"/>
      <name val="Cambria"/>
      <family val="1"/>
      <charset val="1"/>
    </font>
    <font>
      <sz val="9"/>
      <color rgb="FF008000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6100"/>
      <name val="Arial"/>
      <family val="2"/>
      <charset val="1"/>
    </font>
    <font>
      <sz val="10"/>
      <color rgb="FF008000"/>
      <name val="Arial"/>
      <family val="2"/>
      <charset val="1"/>
    </font>
    <font>
      <sz val="11"/>
      <name val="Calibri"/>
      <family val="2"/>
      <charset val="1"/>
    </font>
    <font>
      <sz val="11"/>
      <color rgb="FF006100"/>
      <name val="Arial"/>
      <family val="2"/>
      <charset val="1"/>
    </font>
    <font>
      <sz val="10"/>
      <color rgb="FF0000FF"/>
      <name val="Calibri"/>
      <family val="2"/>
      <charset val="1"/>
    </font>
    <font>
      <sz val="10"/>
      <color rgb="FF006100"/>
      <name val="Cambria"/>
      <family val="1"/>
      <charset val="1"/>
    </font>
    <font>
      <sz val="10"/>
      <color rgb="FF000000"/>
      <name val="Cambria"/>
      <family val="1"/>
      <charset val="1"/>
    </font>
    <font>
      <i/>
      <sz val="10"/>
      <color rgb="FF595959"/>
      <name val="Cambria"/>
      <family val="1"/>
      <charset val="1"/>
    </font>
    <font>
      <sz val="10"/>
      <color rgb="FF000000"/>
      <name val="Calibri"/>
      <family val="2"/>
      <charset val="1"/>
    </font>
    <font>
      <b/>
      <sz val="10"/>
      <color rgb="FF006100"/>
      <name val="Cambria"/>
      <family val="1"/>
      <charset val="1"/>
    </font>
    <font>
      <sz val="10"/>
      <color theme="1"/>
      <name val="Calibri"/>
      <family val="2"/>
      <charset val="1"/>
    </font>
    <font>
      <sz val="10"/>
      <color rgb="FF006100"/>
      <name val="Calibri"/>
      <family val="2"/>
      <charset val="1"/>
    </font>
    <font>
      <b/>
      <sz val="10"/>
      <color rgb="FF375623"/>
      <name val="Arial"/>
      <family val="2"/>
      <charset val="1"/>
    </font>
    <font>
      <i/>
      <sz val="10"/>
      <color rgb="FF375623"/>
      <name val="Arial"/>
      <family val="2"/>
      <charset val="1"/>
    </font>
    <font>
      <b/>
      <sz val="13"/>
      <color rgb="FFFFFFFF"/>
      <name val="Arial"/>
      <family val="2"/>
      <charset val="1"/>
    </font>
    <font>
      <sz val="9"/>
      <color rgb="FF595959"/>
      <name val="Arial"/>
      <family val="2"/>
      <charset val="1"/>
    </font>
    <font>
      <b/>
      <i/>
      <sz val="10"/>
      <color rgb="FF595959"/>
      <name val="Arial"/>
      <family val="2"/>
      <charset val="1"/>
    </font>
    <font>
      <sz val="10"/>
      <color rgb="FFA6A6A6"/>
      <name val="Arial"/>
      <family val="2"/>
      <charset val="1"/>
    </font>
    <font>
      <b/>
      <sz val="10"/>
      <color rgb="FFA6A6A6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theme="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7F6000"/>
      <name val="Arial"/>
      <family val="2"/>
      <charset val="1"/>
    </font>
    <font>
      <i/>
      <sz val="10"/>
      <color rgb="FF7F6000"/>
      <name val="Arial"/>
      <family val="2"/>
      <charset val="1"/>
    </font>
    <font>
      <i/>
      <sz val="9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3"/>
      <color rgb="FF1F4E78"/>
      <name val="Calibri"/>
      <family val="2"/>
      <charset val="1"/>
    </font>
    <font>
      <b/>
      <sz val="11"/>
      <name val="Calibri"/>
      <family val="2"/>
      <charset val="1"/>
    </font>
    <font>
      <i/>
      <sz val="9"/>
      <color rgb="FF808080"/>
      <name val="Calibri"/>
      <family val="2"/>
      <charset val="1"/>
    </font>
    <font>
      <sz val="9"/>
      <name val="Calibri"/>
      <family val="2"/>
      <charset val="1"/>
    </font>
    <font>
      <sz val="10"/>
      <name val="Calibri"/>
      <family val="2"/>
      <charset val="1"/>
    </font>
    <font>
      <i/>
      <sz val="8"/>
      <color rgb="FF595959"/>
      <name val="Arial"/>
      <family val="2"/>
      <charset val="1"/>
    </font>
    <font>
      <b/>
      <sz val="12"/>
      <color rgb="FF0000FF"/>
      <name val="Arial"/>
      <family val="2"/>
      <charset val="1"/>
    </font>
    <font>
      <i/>
      <sz val="9"/>
      <color rgb="FF7F6000"/>
      <name val="Arial"/>
      <family val="2"/>
      <charset val="1"/>
    </font>
    <font>
      <b/>
      <sz val="11"/>
      <color rgb="FF0000FF"/>
      <name val="Arial"/>
      <family val="2"/>
      <charset val="1"/>
    </font>
    <font>
      <b/>
      <sz val="11"/>
      <color rgb="FF7F6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1F3864"/>
      <name val="Arial"/>
      <family val="2"/>
      <charset val="1"/>
    </font>
    <font>
      <sz val="10"/>
      <color rgb="FF375623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sz val="10"/>
      <color rgb="FFFFFFFF"/>
      <name val="Arial"/>
      <family val="2"/>
      <charset val="1"/>
    </font>
    <font>
      <b/>
      <sz val="12"/>
      <color rgb="FF006100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i/>
      <sz val="10"/>
      <color rgb="FF006100"/>
      <name val="Arial"/>
      <family val="2"/>
      <charset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9"/>
      <color rgb="FF595959"/>
      <name val="Arial"/>
      <family val="2"/>
    </font>
    <font>
      <sz val="10"/>
      <color rgb="FF595959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9"/>
      <color rgb="FF008000"/>
      <name val="Arial"/>
      <family val="2"/>
    </font>
    <font>
      <sz val="9"/>
      <color rgb="FF0000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i/>
      <sz val="8"/>
      <color rgb="FF808080"/>
      <name val="Arial"/>
      <family val="2"/>
    </font>
    <font>
      <sz val="8"/>
      <color rgb="FF808080"/>
      <name val="Calibri"/>
      <family val="2"/>
      <charset val="1"/>
    </font>
    <font>
      <b/>
      <sz val="8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8"/>
      <color rgb="FF808080"/>
      <name val="Arial"/>
      <family val="2"/>
    </font>
    <font>
      <i/>
      <sz val="9"/>
      <color rgb="FF595959"/>
      <name val="Arial"/>
      <family val="2"/>
    </font>
    <font>
      <b/>
      <sz val="8"/>
      <color rgb="FFFFFFFF"/>
      <name val="Arial"/>
      <family val="2"/>
    </font>
    <font>
      <sz val="8"/>
      <color theme="1"/>
      <name val="Calibri"/>
      <family val="2"/>
      <charset val="1"/>
    </font>
    <font>
      <b/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7F9FC"/>
      </patternFill>
    </fill>
    <fill>
      <patternFill patternType="solid">
        <fgColor rgb="FF1F7A6E"/>
        <bgColor rgb="FF2E75B6"/>
      </patternFill>
    </fill>
    <fill>
      <patternFill patternType="solid">
        <fgColor rgb="FFD6E4F0"/>
        <bgColor rgb="FFD6E4F7"/>
      </patternFill>
    </fill>
    <fill>
      <patternFill patternType="solid">
        <fgColor rgb="FFE2EFDA"/>
        <bgColor rgb="FFE8F4F1"/>
      </patternFill>
    </fill>
    <fill>
      <patternFill patternType="solid">
        <fgColor rgb="FF1F4E78"/>
        <bgColor rgb="FF2E5B8A"/>
      </patternFill>
    </fill>
    <fill>
      <patternFill patternType="solid">
        <fgColor rgb="FFFFF2CC"/>
        <bgColor rgb="FFFFF8DC"/>
      </patternFill>
    </fill>
    <fill>
      <patternFill patternType="solid">
        <fgColor rgb="FFD9E1F2"/>
        <bgColor rgb="FFD9E2F3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9E2F3"/>
      </patternFill>
    </fill>
    <fill>
      <patternFill patternType="solid">
        <fgColor rgb="FFF8F8F2"/>
        <bgColor rgb="FFF7F7F7"/>
      </patternFill>
    </fill>
    <fill>
      <patternFill patternType="solid">
        <fgColor rgb="FFFFFF99"/>
        <bgColor rgb="FFFFEB9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595959"/>
      </patternFill>
    </fill>
    <fill>
      <patternFill patternType="solid">
        <fgColor rgb="FFFFF8D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99"/>
      </patternFill>
    </fill>
    <fill>
      <patternFill patternType="solid">
        <fgColor rgb="FFFFEB9C"/>
        <bgColor rgb="FFFFFF99"/>
      </patternFill>
    </fill>
    <fill>
      <patternFill patternType="solid">
        <fgColor rgb="FFEBF3FB"/>
        <bgColor rgb="FFEAF1FA"/>
      </patternFill>
    </fill>
    <fill>
      <patternFill patternType="solid">
        <fgColor rgb="FFEDE9FE"/>
        <bgColor rgb="FFEAF1FA"/>
      </patternFill>
    </fill>
    <fill>
      <patternFill patternType="solid">
        <fgColor rgb="FF2E3F5C"/>
        <bgColor rgb="FF1F3864"/>
      </patternFill>
    </fill>
    <fill>
      <patternFill patternType="solid">
        <fgColor rgb="FFF7F7F7"/>
        <bgColor rgb="FFF8F8F2"/>
      </patternFill>
    </fill>
    <fill>
      <patternFill patternType="solid">
        <fgColor rgb="FFC6D9F0"/>
        <bgColor rgb="FFD9E1F2"/>
      </patternFill>
    </fill>
    <fill>
      <patternFill patternType="solid">
        <fgColor theme="3" tint="-0.249977111117893"/>
        <bgColor rgb="FF1F3864"/>
      </patternFill>
    </fill>
    <fill>
      <patternFill patternType="solid">
        <fgColor rgb="FF2E5B8A"/>
        <bgColor rgb="FF1F4E78"/>
      </patternFill>
    </fill>
    <fill>
      <patternFill patternType="solid">
        <fgColor rgb="FFD6E4F7"/>
        <bgColor rgb="FFD6E4F0"/>
      </patternFill>
    </fill>
    <fill>
      <patternFill patternType="solid">
        <fgColor rgb="FFC9A227"/>
        <bgColor rgb="FFA6A6A6"/>
      </patternFill>
    </fill>
    <fill>
      <patternFill patternType="solid">
        <fgColor rgb="FF7F6000"/>
        <bgColor rgb="FF7D6608"/>
      </patternFill>
    </fill>
    <fill>
      <patternFill patternType="solid">
        <fgColor rgb="FFEAF1FA"/>
        <bgColor rgb="FFEBF3FB"/>
      </patternFill>
    </fill>
    <fill>
      <patternFill patternType="solid">
        <fgColor rgb="FFE8F4F1"/>
        <bgColor rgb="FFEBF3FB"/>
      </patternFill>
    </fill>
    <fill>
      <patternFill patternType="solid">
        <fgColor rgb="FFCFE6E0"/>
        <bgColor rgb="FFD6E4F0"/>
      </patternFill>
    </fill>
    <fill>
      <patternFill patternType="solid">
        <fgColor rgb="FFD9E2F3"/>
        <bgColor rgb="FFD9E1F2"/>
      </patternFill>
    </fill>
    <fill>
      <patternFill patternType="solid">
        <fgColor rgb="FFF7F9FC"/>
        <bgColor rgb="FFF7F7F7"/>
      </patternFill>
    </fill>
    <fill>
      <patternFill patternType="solid">
        <fgColor rgb="FFDDEBF7"/>
        <bgColor rgb="FFDCE6F1"/>
      </patternFill>
    </fill>
    <fill>
      <patternFill patternType="solid">
        <fgColor rgb="FFC6EBD8"/>
        <bgColor rgb="FFC6EFCE"/>
      </patternFill>
    </fill>
    <fill>
      <patternFill patternType="solid">
        <fgColor rgb="FFEAE0F5"/>
        <bgColor rgb="FFEDE9FE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7A6E"/>
      </top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rgb="FF1F7A6E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/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1F7A6E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 style="medium">
        <color rgb="FF1F7A6E"/>
      </left>
      <right/>
      <top style="medium">
        <color rgb="FF1F7A6E"/>
      </top>
      <bottom style="medium">
        <color rgb="FF1F7A6E"/>
      </bottom>
      <diagonal/>
    </border>
    <border>
      <left/>
      <right/>
      <top style="medium">
        <color rgb="FF1F7A6E"/>
      </top>
      <bottom style="medium">
        <color rgb="FF1F7A6E"/>
      </bottom>
      <diagonal/>
    </border>
    <border>
      <left style="medium">
        <color rgb="FF1F3864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/>
      <top style="medium">
        <color rgb="FF1F3864"/>
      </top>
      <bottom style="thin">
        <color rgb="FFD9D9D9"/>
      </bottom>
      <diagonal/>
    </border>
    <border>
      <left/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/>
      <top style="thin">
        <color rgb="FFD9D9D9"/>
      </top>
      <bottom style="medium">
        <color rgb="FF1F3864"/>
      </bottom>
      <diagonal/>
    </border>
    <border>
      <left/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/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/>
      <bottom style="medium">
        <color rgb="FF0F5C52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BFBFBF"/>
      </right>
      <top style="thin">
        <color rgb="FFD9D9D9"/>
      </top>
      <bottom/>
      <diagonal/>
    </border>
    <border>
      <left style="thin">
        <color rgb="FFBFBFBF"/>
      </left>
      <right style="thin">
        <color rgb="FFD9D9D9"/>
      </right>
      <top style="thin">
        <color rgb="FF000000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4">
    <xf numFmtId="0" fontId="0" fillId="0" borderId="0" xfId="0"/>
    <xf numFmtId="0" fontId="13" fillId="0" borderId="0" xfId="0" applyFont="1" applyAlignment="1">
      <alignment horizontal="left" vertical="center" indent="1"/>
    </xf>
    <xf numFmtId="0" fontId="4" fillId="0" borderId="0" xfId="0" applyFont="1" applyAlignment="1">
      <alignment wrapText="1"/>
    </xf>
    <xf numFmtId="0" fontId="13" fillId="7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66" fontId="5" fillId="4" borderId="0" xfId="0" applyNumberFormat="1" applyFont="1" applyFill="1" applyAlignment="1">
      <alignment horizontal="right" vertical="center"/>
    </xf>
    <xf numFmtId="167" fontId="5" fillId="7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167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49" fontId="7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2"/>
    </xf>
    <xf numFmtId="0" fontId="14" fillId="7" borderId="0" xfId="0" applyFont="1" applyFill="1" applyAlignment="1">
      <alignment horizontal="left" vertical="center" indent="2"/>
    </xf>
    <xf numFmtId="169" fontId="12" fillId="7" borderId="0" xfId="0" applyNumberFormat="1" applyFont="1" applyFill="1" applyAlignment="1">
      <alignment horizontal="right" vertical="center"/>
    </xf>
    <xf numFmtId="167" fontId="12" fillId="7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 indent="2"/>
    </xf>
    <xf numFmtId="0" fontId="6" fillId="7" borderId="0" xfId="0" applyFont="1" applyFill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2"/>
    </xf>
    <xf numFmtId="166" fontId="12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left" vertical="center" indent="1"/>
    </xf>
    <xf numFmtId="0" fontId="16" fillId="0" borderId="0" xfId="0" applyFont="1"/>
    <xf numFmtId="0" fontId="17" fillId="0" borderId="0" xfId="0" applyFont="1"/>
    <xf numFmtId="0" fontId="18" fillId="9" borderId="0" xfId="0" applyFont="1" applyFill="1" applyAlignment="1">
      <alignment horizontal="left"/>
    </xf>
    <xf numFmtId="0" fontId="20" fillId="0" borderId="0" xfId="0" applyFont="1"/>
    <xf numFmtId="0" fontId="21" fillId="10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11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8" fillId="9" borderId="1" xfId="0" applyFont="1" applyFill="1" applyBorder="1" applyAlignment="1">
      <alignment horizontal="center"/>
    </xf>
    <xf numFmtId="0" fontId="20" fillId="10" borderId="0" xfId="0" applyFont="1" applyFill="1"/>
    <xf numFmtId="0" fontId="31" fillId="10" borderId="0" xfId="0" applyFont="1" applyFill="1"/>
    <xf numFmtId="0" fontId="32" fillId="0" borderId="0" xfId="0" applyFont="1"/>
    <xf numFmtId="165" fontId="23" fillId="0" borderId="0" xfId="0" applyNumberFormat="1" applyFont="1"/>
    <xf numFmtId="166" fontId="23" fillId="0" borderId="0" xfId="0" applyNumberFormat="1" applyFont="1"/>
    <xf numFmtId="3" fontId="23" fillId="0" borderId="0" xfId="0" applyNumberFormat="1" applyFont="1"/>
    <xf numFmtId="164" fontId="23" fillId="0" borderId="0" xfId="0" applyNumberFormat="1" applyFont="1"/>
    <xf numFmtId="10" fontId="23" fillId="0" borderId="0" xfId="0" applyNumberFormat="1" applyFont="1"/>
    <xf numFmtId="167" fontId="23" fillId="0" borderId="0" xfId="0" applyNumberFormat="1" applyFont="1"/>
    <xf numFmtId="170" fontId="23" fillId="0" borderId="0" xfId="0" applyNumberFormat="1" applyFont="1"/>
    <xf numFmtId="171" fontId="23" fillId="0" borderId="0" xfId="0" applyNumberFormat="1" applyFont="1"/>
    <xf numFmtId="9" fontId="23" fillId="0" borderId="0" xfId="0" applyNumberFormat="1" applyFont="1"/>
    <xf numFmtId="172" fontId="23" fillId="0" borderId="0" xfId="0" applyNumberFormat="1" applyFont="1"/>
    <xf numFmtId="173" fontId="23" fillId="0" borderId="0" xfId="0" applyNumberFormat="1" applyFont="1"/>
    <xf numFmtId="169" fontId="23" fillId="0" borderId="0" xfId="0" applyNumberFormat="1" applyFont="1"/>
    <xf numFmtId="174" fontId="23" fillId="0" borderId="0" xfId="0" applyNumberFormat="1" applyFont="1"/>
    <xf numFmtId="175" fontId="23" fillId="0" borderId="0" xfId="0" applyNumberFormat="1" applyFont="1"/>
    <xf numFmtId="176" fontId="23" fillId="0" borderId="0" xfId="0" applyNumberFormat="1" applyFont="1"/>
    <xf numFmtId="0" fontId="11" fillId="12" borderId="0" xfId="0" applyFont="1" applyFill="1" applyAlignment="1">
      <alignment horizontal="left" vertical="center" indent="1"/>
    </xf>
    <xf numFmtId="0" fontId="33" fillId="13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164" fontId="15" fillId="4" borderId="0" xfId="0" applyNumberFormat="1" applyFont="1" applyFill="1" applyAlignment="1">
      <alignment horizontal="right" vertical="center"/>
    </xf>
    <xf numFmtId="165" fontId="15" fillId="4" borderId="0" xfId="0" applyNumberFormat="1" applyFont="1" applyFill="1" applyAlignment="1">
      <alignment horizontal="right" vertical="center"/>
    </xf>
    <xf numFmtId="16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66" fontId="15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/>
    <xf numFmtId="0" fontId="36" fillId="0" borderId="0" xfId="0" applyFont="1" applyAlignment="1">
      <alignment horizontal="left" vertical="center" indent="1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77" fontId="5" fillId="0" borderId="0" xfId="0" applyNumberFormat="1" applyFont="1"/>
    <xf numFmtId="0" fontId="15" fillId="0" borderId="0" xfId="0" applyFont="1"/>
    <xf numFmtId="0" fontId="15" fillId="4" borderId="0" xfId="0" applyFont="1" applyFill="1"/>
    <xf numFmtId="164" fontId="15" fillId="0" borderId="0" xfId="0" applyNumberFormat="1" applyFont="1"/>
    <xf numFmtId="165" fontId="15" fillId="0" borderId="0" xfId="0" applyNumberFormat="1" applyFont="1"/>
    <xf numFmtId="0" fontId="11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indent="1"/>
    </xf>
    <xf numFmtId="0" fontId="3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5" fillId="15" borderId="0" xfId="0" applyFont="1" applyFill="1" applyAlignment="1">
      <alignment wrapText="1"/>
    </xf>
    <xf numFmtId="0" fontId="38" fillId="1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166" fontId="38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166" fontId="38" fillId="5" borderId="0" xfId="0" applyNumberFormat="1" applyFont="1" applyFill="1" applyAlignment="1">
      <alignment horizontal="center" vertical="center"/>
    </xf>
    <xf numFmtId="166" fontId="40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wrapText="1"/>
    </xf>
    <xf numFmtId="164" fontId="5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166" fontId="12" fillId="8" borderId="0" xfId="0" applyNumberFormat="1" applyFont="1" applyFill="1" applyAlignment="1">
      <alignment horizontal="center" vertical="center"/>
    </xf>
    <xf numFmtId="165" fontId="38" fillId="4" borderId="0" xfId="0" applyNumberFormat="1" applyFont="1" applyFill="1" applyAlignment="1">
      <alignment horizontal="center" vertical="center"/>
    </xf>
    <xf numFmtId="165" fontId="40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78" fontId="4" fillId="8" borderId="0" xfId="0" applyNumberFormat="1" applyFont="1" applyFill="1" applyAlignment="1">
      <alignment horizontal="center" vertical="center"/>
    </xf>
    <xf numFmtId="179" fontId="0" fillId="0" borderId="0" xfId="0" applyNumberFormat="1"/>
    <xf numFmtId="170" fontId="4" fillId="8" borderId="0" xfId="0" applyNumberFormat="1" applyFont="1" applyFill="1" applyAlignment="1">
      <alignment horizontal="center" vertical="center"/>
    </xf>
    <xf numFmtId="165" fontId="38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wrapText="1"/>
    </xf>
    <xf numFmtId="166" fontId="15" fillId="7" borderId="0" xfId="0" applyNumberFormat="1" applyFont="1" applyFill="1" applyAlignment="1">
      <alignment horizontal="center" vertical="center"/>
    </xf>
    <xf numFmtId="166" fontId="15" fillId="8" borderId="0" xfId="0" applyNumberFormat="1" applyFont="1" applyFill="1" applyAlignment="1">
      <alignment horizontal="center" vertical="center"/>
    </xf>
    <xf numFmtId="166" fontId="5" fillId="8" borderId="0" xfId="0" applyNumberFormat="1" applyFont="1" applyFill="1" applyAlignment="1">
      <alignment horizontal="right" vertical="center"/>
    </xf>
    <xf numFmtId="166" fontId="15" fillId="8" borderId="0" xfId="0" applyNumberFormat="1" applyFont="1" applyFill="1" applyAlignment="1">
      <alignment horizontal="right" vertical="center"/>
    </xf>
    <xf numFmtId="165" fontId="4" fillId="8" borderId="0" xfId="0" applyNumberFormat="1" applyFont="1" applyFill="1" applyAlignment="1">
      <alignment horizontal="right" vertical="center"/>
    </xf>
    <xf numFmtId="165" fontId="33" fillId="4" borderId="0" xfId="0" applyNumberFormat="1" applyFont="1" applyFill="1" applyAlignment="1">
      <alignment horizontal="center" vertical="center"/>
    </xf>
    <xf numFmtId="165" fontId="4" fillId="15" borderId="0" xfId="0" applyNumberFormat="1" applyFont="1" applyFill="1" applyAlignment="1">
      <alignment horizontal="center" vertical="center"/>
    </xf>
    <xf numFmtId="165" fontId="4" fillId="15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wrapText="1"/>
    </xf>
    <xf numFmtId="166" fontId="4" fillId="15" borderId="0" xfId="0" applyNumberFormat="1" applyFont="1" applyFill="1" applyAlignment="1">
      <alignment horizontal="center" vertical="center"/>
    </xf>
    <xf numFmtId="166" fontId="4" fillId="15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166" fontId="4" fillId="7" borderId="0" xfId="0" applyNumberFormat="1" applyFont="1" applyFill="1" applyAlignment="1">
      <alignment horizontal="center" vertical="center"/>
    </xf>
    <xf numFmtId="0" fontId="41" fillId="5" borderId="0" xfId="0" applyFont="1" applyFill="1" applyAlignment="1">
      <alignment horizontal="left" vertical="center"/>
    </xf>
    <xf numFmtId="165" fontId="33" fillId="5" borderId="0" xfId="0" applyNumberFormat="1" applyFont="1" applyFill="1" applyAlignment="1">
      <alignment horizontal="center" vertical="center"/>
    </xf>
    <xf numFmtId="0" fontId="42" fillId="15" borderId="0" xfId="0" applyFont="1" applyFill="1" applyAlignment="1">
      <alignment horizontal="left" vertical="center" wrapText="1"/>
    </xf>
    <xf numFmtId="165" fontId="43" fillId="15" borderId="0" xfId="0" applyNumberFormat="1" applyFont="1" applyFill="1" applyAlignment="1">
      <alignment horizontal="center" vertical="center"/>
    </xf>
    <xf numFmtId="0" fontId="13" fillId="15" borderId="0" xfId="0" applyFont="1" applyFill="1" applyAlignment="1">
      <alignment horizontal="left" vertical="center" indent="1"/>
    </xf>
    <xf numFmtId="166" fontId="40" fillId="18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indent="1"/>
    </xf>
    <xf numFmtId="166" fontId="5" fillId="5" borderId="0" xfId="0" applyNumberFormat="1" applyFont="1" applyFill="1" applyAlignment="1">
      <alignment horizontal="center" vertical="center"/>
    </xf>
    <xf numFmtId="0" fontId="44" fillId="7" borderId="0" xfId="0" applyFont="1" applyFill="1" applyAlignment="1">
      <alignment horizontal="left" vertical="center" indent="1"/>
    </xf>
    <xf numFmtId="165" fontId="4" fillId="18" borderId="0" xfId="0" applyNumberFormat="1" applyFont="1" applyFill="1" applyAlignment="1">
      <alignment horizontal="center" vertical="center"/>
    </xf>
    <xf numFmtId="165" fontId="45" fillId="4" borderId="0" xfId="0" applyNumberFormat="1" applyFont="1" applyFill="1" applyAlignment="1">
      <alignment horizontal="center" vertical="center"/>
    </xf>
    <xf numFmtId="166" fontId="4" fillId="18" borderId="0" xfId="0" applyNumberFormat="1" applyFont="1" applyFill="1" applyAlignment="1">
      <alignment horizontal="center" vertical="center"/>
    </xf>
    <xf numFmtId="165" fontId="5" fillId="18" borderId="0" xfId="0" applyNumberFormat="1" applyFont="1" applyFill="1" applyAlignment="1">
      <alignment horizontal="center" vertical="center"/>
    </xf>
    <xf numFmtId="166" fontId="5" fillId="18" borderId="0" xfId="0" applyNumberFormat="1" applyFont="1" applyFill="1" applyAlignment="1">
      <alignment horizontal="center" vertical="center"/>
    </xf>
    <xf numFmtId="166" fontId="45" fillId="4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wrapText="1"/>
    </xf>
    <xf numFmtId="164" fontId="5" fillId="8" borderId="0" xfId="0" applyNumberFormat="1" applyFont="1" applyFill="1" applyAlignment="1">
      <alignment horizontal="center" vertical="center"/>
    </xf>
    <xf numFmtId="164" fontId="4" fillId="15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 wrapText="1"/>
    </xf>
    <xf numFmtId="166" fontId="45" fillId="18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left"/>
    </xf>
    <xf numFmtId="166" fontId="33" fillId="18" borderId="0" xfId="0" applyNumberFormat="1" applyFont="1" applyFill="1" applyAlignment="1">
      <alignment horizontal="center" vertical="center"/>
    </xf>
    <xf numFmtId="0" fontId="15" fillId="19" borderId="0" xfId="0" applyFont="1" applyFill="1" applyAlignment="1">
      <alignment horizontal="left" vertical="center" wrapText="1"/>
    </xf>
    <xf numFmtId="166" fontId="15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165" fontId="4" fillId="19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8" borderId="0" xfId="0" applyFont="1" applyFill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right" vertical="center"/>
    </xf>
    <xf numFmtId="165" fontId="40" fillId="5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3" fontId="47" fillId="20" borderId="0" xfId="0" applyNumberFormat="1" applyFont="1" applyFill="1" applyAlignment="1">
      <alignment horizontal="center" vertical="center" wrapText="1"/>
    </xf>
    <xf numFmtId="3" fontId="48" fillId="20" borderId="0" xfId="0" applyNumberFormat="1" applyFont="1" applyFill="1" applyAlignment="1">
      <alignment horizontal="center" vertical="center" wrapText="1"/>
    </xf>
    <xf numFmtId="3" fontId="48" fillId="8" borderId="0" xfId="0" applyNumberFormat="1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64" fontId="38" fillId="5" borderId="0" xfId="0" applyNumberFormat="1" applyFont="1" applyFill="1" applyAlignment="1">
      <alignment horizontal="center" vertical="center"/>
    </xf>
    <xf numFmtId="164" fontId="33" fillId="5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4" fontId="38" fillId="4" borderId="0" xfId="0" applyNumberFormat="1" applyFont="1" applyFill="1" applyAlignment="1">
      <alignment horizontal="center" vertical="center"/>
    </xf>
    <xf numFmtId="164" fontId="33" fillId="4" borderId="0" xfId="0" applyNumberFormat="1" applyFont="1" applyFill="1" applyAlignment="1">
      <alignment horizontal="center" vertical="center"/>
    </xf>
    <xf numFmtId="0" fontId="46" fillId="4" borderId="0" xfId="0" applyFont="1" applyFill="1" applyAlignment="1">
      <alignment horizontal="left" vertical="center" wrapText="1"/>
    </xf>
    <xf numFmtId="10" fontId="47" fillId="20" borderId="0" xfId="0" applyNumberFormat="1" applyFont="1" applyFill="1" applyAlignment="1">
      <alignment horizontal="center" vertical="center" wrapText="1"/>
    </xf>
    <xf numFmtId="10" fontId="48" fillId="8" borderId="0" xfId="0" applyNumberFormat="1" applyFont="1" applyFill="1" applyAlignment="1">
      <alignment horizontal="center" vertical="center" wrapText="1"/>
    </xf>
    <xf numFmtId="166" fontId="33" fillId="4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left" vertical="center" wrapText="1"/>
    </xf>
    <xf numFmtId="166" fontId="33" fillId="5" borderId="0" xfId="0" applyNumberFormat="1" applyFont="1" applyFill="1" applyAlignment="1">
      <alignment horizontal="center" vertical="center"/>
    </xf>
    <xf numFmtId="0" fontId="11" fillId="16" borderId="0" xfId="0" applyFont="1" applyFill="1" applyAlignment="1">
      <alignment horizontal="left" vertical="center" indent="1"/>
    </xf>
    <xf numFmtId="3" fontId="4" fillId="4" borderId="0" xfId="0" applyNumberFormat="1" applyFont="1" applyFill="1" applyAlignment="1">
      <alignment horizontal="center" vertical="center"/>
    </xf>
    <xf numFmtId="0" fontId="50" fillId="2" borderId="0" xfId="0" applyFont="1" applyFill="1" applyAlignment="1">
      <alignment horizontal="left" vertical="center" wrapText="1"/>
    </xf>
    <xf numFmtId="3" fontId="50" fillId="2" borderId="0" xfId="0" applyNumberFormat="1" applyFont="1" applyFill="1" applyAlignment="1">
      <alignment horizontal="center" vertical="center"/>
    </xf>
    <xf numFmtId="166" fontId="50" fillId="2" borderId="0" xfId="0" applyNumberFormat="1" applyFont="1" applyFill="1" applyAlignment="1">
      <alignment horizontal="center" vertical="center"/>
    </xf>
    <xf numFmtId="166" fontId="50" fillId="2" borderId="0" xfId="0" applyNumberFormat="1" applyFont="1" applyFill="1" applyAlignment="1">
      <alignment horizontal="right" vertical="center"/>
    </xf>
    <xf numFmtId="0" fontId="51" fillId="2" borderId="0" xfId="0" applyFont="1" applyFill="1" applyAlignment="1">
      <alignment horizontal="left" vertical="center" indent="1"/>
    </xf>
    <xf numFmtId="166" fontId="15" fillId="15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wrapText="1"/>
    </xf>
    <xf numFmtId="170" fontId="4" fillId="4" borderId="0" xfId="0" applyNumberFormat="1" applyFont="1" applyFill="1" applyAlignment="1">
      <alignment horizontal="center" vertical="center"/>
    </xf>
    <xf numFmtId="170" fontId="4" fillId="15" borderId="0" xfId="0" applyNumberFormat="1" applyFont="1" applyFill="1" applyAlignment="1">
      <alignment horizontal="center" vertical="center"/>
    </xf>
    <xf numFmtId="0" fontId="49" fillId="4" borderId="0" xfId="0" applyFont="1" applyFill="1" applyAlignment="1">
      <alignment horizontal="left" vertical="center" wrapText="1"/>
    </xf>
    <xf numFmtId="0" fontId="49" fillId="8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170" fontId="52" fillId="20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wrapText="1"/>
    </xf>
    <xf numFmtId="0" fontId="53" fillId="4" borderId="0" xfId="0" applyFont="1" applyFill="1" applyAlignment="1">
      <alignment horizontal="left" vertical="center" wrapText="1"/>
    </xf>
    <xf numFmtId="166" fontId="53" fillId="4" borderId="0" xfId="0" applyNumberFormat="1" applyFont="1" applyFill="1" applyAlignment="1">
      <alignment horizontal="center" vertical="center"/>
    </xf>
    <xf numFmtId="166" fontId="53" fillId="8" borderId="0" xfId="0" applyNumberFormat="1" applyFont="1" applyFill="1" applyAlignment="1">
      <alignment horizontal="center" vertical="center"/>
    </xf>
    <xf numFmtId="0" fontId="54" fillId="4" borderId="0" xfId="0" applyFont="1" applyFill="1" applyAlignment="1">
      <alignment horizontal="left" vertical="center" wrapText="1"/>
    </xf>
    <xf numFmtId="166" fontId="54" fillId="4" borderId="0" xfId="0" applyNumberFormat="1" applyFont="1" applyFill="1" applyAlignment="1">
      <alignment horizontal="center" vertical="center"/>
    </xf>
    <xf numFmtId="166" fontId="54" fillId="8" borderId="0" xfId="0" applyNumberFormat="1" applyFont="1" applyFill="1" applyAlignment="1">
      <alignment horizontal="center" vertical="center"/>
    </xf>
    <xf numFmtId="0" fontId="15" fillId="0" borderId="0" xfId="0" applyFont="1" applyAlignment="1">
      <alignment wrapText="1"/>
    </xf>
    <xf numFmtId="0" fontId="38" fillId="0" borderId="0" xfId="0" applyFont="1" applyAlignment="1">
      <alignment horizontal="center"/>
    </xf>
    <xf numFmtId="0" fontId="13" fillId="0" borderId="0" xfId="0" applyFont="1"/>
    <xf numFmtId="0" fontId="15" fillId="4" borderId="0" xfId="0" applyFont="1" applyFill="1" applyAlignment="1">
      <alignment wrapText="1"/>
    </xf>
    <xf numFmtId="165" fontId="38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170" fontId="55" fillId="0" borderId="0" xfId="0" applyNumberFormat="1" applyFont="1"/>
    <xf numFmtId="166" fontId="38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/>
    <xf numFmtId="0" fontId="13" fillId="0" borderId="0" xfId="0" applyFont="1" applyAlignment="1">
      <alignment horizontal="left" vertical="center" wrapText="1"/>
    </xf>
    <xf numFmtId="170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0" fontId="47" fillId="20" borderId="0" xfId="0" applyFont="1" applyFill="1" applyAlignment="1">
      <alignment horizontal="center" vertical="center" wrapText="1"/>
    </xf>
    <xf numFmtId="0" fontId="56" fillId="20" borderId="0" xfId="0" applyFont="1" applyFill="1" applyAlignment="1">
      <alignment horizontal="center" vertical="center" wrapText="1"/>
    </xf>
    <xf numFmtId="166" fontId="4" fillId="4" borderId="0" xfId="0" applyNumberFormat="1" applyFont="1" applyFill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0" fontId="58" fillId="0" borderId="0" xfId="0" applyNumberFormat="1" applyFont="1"/>
    <xf numFmtId="0" fontId="15" fillId="8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2"/>
    </xf>
    <xf numFmtId="166" fontId="59" fillId="0" borderId="0" xfId="0" applyNumberFormat="1" applyFont="1" applyAlignment="1">
      <alignment horizontal="right"/>
    </xf>
    <xf numFmtId="0" fontId="60" fillId="5" borderId="0" xfId="0" applyFont="1" applyFill="1" applyAlignment="1">
      <alignment horizontal="left"/>
    </xf>
    <xf numFmtId="166" fontId="38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 indent="2"/>
    </xf>
    <xf numFmtId="0" fontId="60" fillId="4" borderId="0" xfId="0" applyFont="1" applyFill="1" applyAlignment="1">
      <alignment horizontal="left"/>
    </xf>
    <xf numFmtId="166" fontId="38" fillId="4" borderId="0" xfId="0" applyNumberFormat="1" applyFont="1" applyFill="1" applyAlignment="1">
      <alignment horizontal="right" vertical="center"/>
    </xf>
    <xf numFmtId="0" fontId="60" fillId="0" borderId="0" xfId="0" applyFont="1" applyAlignment="1">
      <alignment horizontal="left"/>
    </xf>
    <xf numFmtId="49" fontId="6" fillId="4" borderId="0" xfId="0" applyNumberFormat="1" applyFont="1" applyFill="1" applyAlignment="1">
      <alignment horizontal="left" vertical="center" indent="1"/>
    </xf>
    <xf numFmtId="10" fontId="38" fillId="4" borderId="0" xfId="0" applyNumberFormat="1" applyFont="1" applyFill="1" applyAlignment="1">
      <alignment horizontal="right" vertical="center"/>
    </xf>
    <xf numFmtId="0" fontId="0" fillId="4" borderId="0" xfId="0" applyFill="1"/>
    <xf numFmtId="167" fontId="38" fillId="5" borderId="0" xfId="0" applyNumberFormat="1" applyFont="1" applyFill="1" applyAlignment="1">
      <alignment horizontal="right" vertical="center"/>
    </xf>
    <xf numFmtId="0" fontId="0" fillId="5" borderId="0" xfId="0" applyFill="1"/>
    <xf numFmtId="10" fontId="59" fillId="0" borderId="0" xfId="0" applyNumberFormat="1" applyFont="1" applyAlignment="1">
      <alignment horizontal="right"/>
    </xf>
    <xf numFmtId="166" fontId="15" fillId="2" borderId="0" xfId="0" applyNumberFormat="1" applyFont="1" applyFill="1" applyAlignment="1">
      <alignment horizontal="right" vertical="center"/>
    </xf>
    <xf numFmtId="166" fontId="15" fillId="0" borderId="0" xfId="0" applyNumberFormat="1" applyFont="1"/>
    <xf numFmtId="181" fontId="12" fillId="0" borderId="0" xfId="0" applyNumberFormat="1" applyFont="1"/>
    <xf numFmtId="0" fontId="4" fillId="0" borderId="0" xfId="0" applyFont="1" applyAlignment="1">
      <alignment horizontal="center" vertical="center"/>
    </xf>
    <xf numFmtId="181" fontId="5" fillId="0" borderId="0" xfId="0" applyNumberFormat="1" applyFont="1"/>
    <xf numFmtId="0" fontId="15" fillId="0" borderId="3" xfId="0" applyFont="1" applyBorder="1"/>
    <xf numFmtId="166" fontId="15" fillId="0" borderId="3" xfId="0" applyNumberFormat="1" applyFont="1" applyBorder="1"/>
    <xf numFmtId="165" fontId="15" fillId="0" borderId="3" xfId="0" applyNumberFormat="1" applyFont="1" applyBorder="1"/>
    <xf numFmtId="0" fontId="15" fillId="0" borderId="3" xfId="0" applyFont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181" fontId="12" fillId="0" borderId="3" xfId="0" applyNumberFormat="1" applyFont="1" applyBorder="1"/>
    <xf numFmtId="0" fontId="15" fillId="21" borderId="3" xfId="0" applyFont="1" applyFill="1" applyBorder="1"/>
    <xf numFmtId="166" fontId="15" fillId="21" borderId="3" xfId="0" applyNumberFormat="1" applyFont="1" applyFill="1" applyBorder="1"/>
    <xf numFmtId="181" fontId="12" fillId="21" borderId="3" xfId="0" applyNumberFormat="1" applyFont="1" applyFill="1" applyBorder="1"/>
    <xf numFmtId="165" fontId="15" fillId="21" borderId="3" xfId="0" applyNumberFormat="1" applyFont="1" applyFill="1" applyBorder="1"/>
    <xf numFmtId="0" fontId="0" fillId="21" borderId="0" xfId="0" applyFill="1"/>
    <xf numFmtId="0" fontId="38" fillId="0" borderId="0" xfId="0" applyFont="1"/>
    <xf numFmtId="166" fontId="38" fillId="0" borderId="0" xfId="0" applyNumberFormat="1" applyFont="1"/>
    <xf numFmtId="0" fontId="0" fillId="10" borderId="0" xfId="0" applyFill="1"/>
    <xf numFmtId="166" fontId="0" fillId="10" borderId="0" xfId="0" applyNumberFormat="1" applyFill="1"/>
    <xf numFmtId="0" fontId="4" fillId="10" borderId="0" xfId="0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61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6" fillId="20" borderId="0" xfId="0" applyFont="1" applyFill="1" applyAlignment="1">
      <alignment horizontal="center" vertical="center"/>
    </xf>
    <xf numFmtId="0" fontId="62" fillId="22" borderId="0" xfId="0" applyFont="1" applyFill="1" applyAlignment="1">
      <alignment horizontal="left" vertical="center"/>
    </xf>
    <xf numFmtId="0" fontId="0" fillId="22" borderId="0" xfId="0" applyFill="1"/>
    <xf numFmtId="0" fontId="46" fillId="22" borderId="0" xfId="0" applyFont="1" applyFill="1" applyAlignment="1">
      <alignment horizontal="left" vertical="center"/>
    </xf>
    <xf numFmtId="3" fontId="63" fillId="8" borderId="0" xfId="0" applyNumberFormat="1" applyFont="1" applyFill="1" applyAlignment="1">
      <alignment horizontal="center" vertical="center"/>
    </xf>
    <xf numFmtId="0" fontId="48" fillId="8" borderId="0" xfId="0" applyFont="1" applyFill="1" applyAlignment="1">
      <alignment horizontal="center" vertical="center"/>
    </xf>
    <xf numFmtId="3" fontId="64" fillId="23" borderId="0" xfId="0" applyNumberFormat="1" applyFont="1" applyFill="1" applyAlignment="1">
      <alignment horizontal="center" vertical="center"/>
    </xf>
    <xf numFmtId="0" fontId="49" fillId="22" borderId="0" xfId="0" applyFont="1" applyFill="1" applyAlignment="1">
      <alignment horizontal="left" vertical="center"/>
    </xf>
    <xf numFmtId="170" fontId="63" fillId="8" borderId="0" xfId="0" applyNumberFormat="1" applyFont="1" applyFill="1" applyAlignment="1">
      <alignment horizontal="center" vertical="center"/>
    </xf>
    <xf numFmtId="175" fontId="63" fillId="8" borderId="0" xfId="0" applyNumberFormat="1" applyFont="1" applyFill="1" applyAlignment="1">
      <alignment horizontal="center" vertical="center"/>
    </xf>
    <xf numFmtId="3" fontId="64" fillId="8" borderId="0" xfId="0" applyNumberFormat="1" applyFont="1" applyFill="1" applyAlignment="1">
      <alignment horizontal="center" vertical="center"/>
    </xf>
    <xf numFmtId="170" fontId="48" fillId="8" borderId="0" xfId="0" applyNumberFormat="1" applyFont="1" applyFill="1" applyAlignment="1">
      <alignment horizontal="center" vertical="center"/>
    </xf>
    <xf numFmtId="0" fontId="65" fillId="24" borderId="0" xfId="0" applyFont="1" applyFill="1" applyAlignment="1">
      <alignment horizontal="left" vertical="center"/>
    </xf>
    <xf numFmtId="0" fontId="65" fillId="24" borderId="0" xfId="0" applyFont="1" applyFill="1"/>
    <xf numFmtId="0" fontId="49" fillId="25" borderId="0" xfId="0" applyFont="1" applyFill="1" applyAlignment="1">
      <alignment horizontal="left" vertical="center"/>
    </xf>
    <xf numFmtId="0" fontId="49" fillId="25" borderId="0" xfId="0" applyFont="1" applyFill="1"/>
    <xf numFmtId="0" fontId="66" fillId="11" borderId="0" xfId="0" applyFont="1" applyFill="1" applyAlignment="1">
      <alignment horizontal="center" vertical="center" wrapText="1"/>
    </xf>
    <xf numFmtId="0" fontId="66" fillId="11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3" fontId="48" fillId="8" borderId="0" xfId="0" applyNumberFormat="1" applyFont="1" applyFill="1" applyAlignment="1">
      <alignment horizontal="center" vertical="center"/>
    </xf>
    <xf numFmtId="170" fontId="47" fillId="20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20" borderId="0" xfId="0" applyFont="1" applyFill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0" fillId="26" borderId="0" xfId="0" applyFill="1"/>
    <xf numFmtId="0" fontId="62" fillId="26" borderId="0" xfId="0" applyFont="1" applyFill="1" applyAlignment="1">
      <alignment horizontal="left" vertical="center"/>
    </xf>
    <xf numFmtId="3" fontId="64" fillId="26" borderId="0" xfId="0" applyNumberFormat="1" applyFont="1" applyFill="1" applyAlignment="1">
      <alignment horizontal="center" vertical="center"/>
    </xf>
    <xf numFmtId="170" fontId="24" fillId="26" borderId="0" xfId="0" applyNumberFormat="1" applyFont="1" applyFill="1"/>
    <xf numFmtId="0" fontId="64" fillId="26" borderId="0" xfId="0" applyFont="1" applyFill="1" applyAlignment="1">
      <alignment horizontal="center" vertical="center"/>
    </xf>
    <xf numFmtId="0" fontId="63" fillId="8" borderId="0" xfId="0" applyFont="1" applyFill="1" applyAlignment="1">
      <alignment horizontal="center" vertical="center"/>
    </xf>
    <xf numFmtId="0" fontId="0" fillId="20" borderId="0" xfId="0" applyFill="1"/>
    <xf numFmtId="3" fontId="48" fillId="23" borderId="0" xfId="0" applyNumberFormat="1" applyFont="1" applyFill="1" applyAlignment="1">
      <alignment horizontal="center" vertical="center"/>
    </xf>
    <xf numFmtId="175" fontId="47" fillId="20" borderId="0" xfId="0" applyNumberFormat="1" applyFont="1" applyFill="1" applyAlignment="1">
      <alignment horizontal="center" vertical="center"/>
    </xf>
    <xf numFmtId="170" fontId="56" fillId="20" borderId="0" xfId="0" applyNumberFormat="1" applyFont="1" applyFill="1" applyAlignment="1">
      <alignment horizontal="center" vertical="center"/>
    </xf>
    <xf numFmtId="0" fontId="4" fillId="25" borderId="0" xfId="0" applyFont="1" applyFill="1" applyAlignment="1">
      <alignment horizontal="right" vertical="center"/>
    </xf>
    <xf numFmtId="165" fontId="38" fillId="20" borderId="0" xfId="0" applyNumberFormat="1" applyFont="1" applyFill="1" applyAlignment="1">
      <alignment horizontal="center" vertical="center"/>
    </xf>
    <xf numFmtId="0" fontId="13" fillId="25" borderId="0" xfId="0" applyFont="1" applyFill="1" applyAlignment="1">
      <alignment horizontal="left" vertical="center"/>
    </xf>
    <xf numFmtId="175" fontId="48" fillId="8" borderId="0" xfId="0" applyNumberFormat="1" applyFont="1" applyFill="1" applyAlignment="1">
      <alignment horizontal="center" vertical="center"/>
    </xf>
    <xf numFmtId="164" fontId="38" fillId="20" borderId="0" xfId="0" applyNumberFormat="1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2" fillId="25" borderId="0" xfId="0" applyFont="1" applyFill="1" applyAlignment="1">
      <alignment horizontal="left" vertical="center"/>
    </xf>
    <xf numFmtId="0" fontId="0" fillId="25" borderId="0" xfId="0" applyFill="1"/>
    <xf numFmtId="0" fontId="5" fillId="0" borderId="0" xfId="0" applyFont="1"/>
    <xf numFmtId="164" fontId="4" fillId="0" borderId="0" xfId="0" applyNumberFormat="1" applyFont="1"/>
    <xf numFmtId="181" fontId="4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164" fontId="15" fillId="0" borderId="3" xfId="0" applyNumberFormat="1" applyFont="1" applyBorder="1"/>
    <xf numFmtId="165" fontId="12" fillId="0" borderId="3" xfId="0" applyNumberFormat="1" applyFont="1" applyBorder="1"/>
    <xf numFmtId="166" fontId="15" fillId="0" borderId="3" xfId="0" applyNumberFormat="1" applyFont="1" applyBorder="1" applyAlignment="1">
      <alignment horizontal="right" vertical="center"/>
    </xf>
    <xf numFmtId="0" fontId="67" fillId="0" borderId="0" xfId="0" applyFont="1" applyAlignment="1">
      <alignment horizontal="left" vertical="center" indent="1"/>
    </xf>
    <xf numFmtId="0" fontId="67" fillId="0" borderId="0" xfId="0" applyFont="1"/>
    <xf numFmtId="0" fontId="68" fillId="0" borderId="0" xfId="0" applyFont="1"/>
    <xf numFmtId="9" fontId="4" fillId="0" borderId="3" xfId="0" applyNumberFormat="1" applyFont="1" applyBorder="1"/>
    <xf numFmtId="173" fontId="4" fillId="0" borderId="0" xfId="0" applyNumberFormat="1" applyFont="1"/>
    <xf numFmtId="173" fontId="5" fillId="0" borderId="0" xfId="0" applyNumberFormat="1" applyFont="1"/>
    <xf numFmtId="182" fontId="5" fillId="0" borderId="0" xfId="0" applyNumberFormat="1" applyFont="1"/>
    <xf numFmtId="164" fontId="4" fillId="5" borderId="4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169" fontId="4" fillId="0" borderId="0" xfId="0" applyNumberFormat="1" applyFont="1"/>
    <xf numFmtId="166" fontId="38" fillId="10" borderId="0" xfId="0" applyNumberFormat="1" applyFont="1" applyFill="1"/>
    <xf numFmtId="181" fontId="15" fillId="0" borderId="3" xfId="0" applyNumberFormat="1" applyFont="1" applyBorder="1"/>
    <xf numFmtId="0" fontId="13" fillId="0" borderId="0" xfId="0" applyFont="1" applyAlignment="1">
      <alignment vertical="center"/>
    </xf>
    <xf numFmtId="0" fontId="0" fillId="27" borderId="0" xfId="0" applyFill="1"/>
    <xf numFmtId="0" fontId="11" fillId="27" borderId="0" xfId="0" applyFont="1" applyFill="1" applyAlignment="1">
      <alignment horizontal="right" vertical="center"/>
    </xf>
    <xf numFmtId="0" fontId="15" fillId="15" borderId="0" xfId="0" applyFont="1" applyFill="1" applyAlignment="1">
      <alignment horizontal="center" wrapText="1"/>
    </xf>
    <xf numFmtId="0" fontId="8" fillId="12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left" vertical="center"/>
    </xf>
    <xf numFmtId="0" fontId="0" fillId="27" borderId="0" xfId="0" applyFill="1" applyAlignment="1">
      <alignment horizontal="left"/>
    </xf>
    <xf numFmtId="0" fontId="8" fillId="2" borderId="4" xfId="0" applyFont="1" applyFill="1" applyBorder="1" applyAlignment="1">
      <alignment horizontal="center" vertical="center" wrapText="1"/>
    </xf>
    <xf numFmtId="164" fontId="38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right" vertical="center"/>
    </xf>
    <xf numFmtId="166" fontId="4" fillId="5" borderId="4" xfId="0" applyNumberFormat="1" applyFont="1" applyFill="1" applyBorder="1" applyAlignment="1">
      <alignment horizontal="right" vertical="center"/>
    </xf>
    <xf numFmtId="175" fontId="4" fillId="5" borderId="4" xfId="0" applyNumberFormat="1" applyFont="1" applyFill="1" applyBorder="1" applyAlignment="1">
      <alignment horizontal="right" vertical="center"/>
    </xf>
    <xf numFmtId="175" fontId="5" fillId="5" borderId="4" xfId="0" applyNumberFormat="1" applyFont="1" applyFill="1" applyBorder="1" applyAlignment="1">
      <alignment horizontal="right" vertical="center"/>
    </xf>
    <xf numFmtId="164" fontId="38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right" vertical="center"/>
    </xf>
    <xf numFmtId="175" fontId="4" fillId="4" borderId="4" xfId="0" applyNumberFormat="1" applyFont="1" applyFill="1" applyBorder="1" applyAlignment="1">
      <alignment horizontal="right" vertical="center"/>
    </xf>
    <xf numFmtId="175" fontId="5" fillId="4" borderId="4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164" fontId="15" fillId="2" borderId="4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center" vertical="center"/>
    </xf>
    <xf numFmtId="166" fontId="15" fillId="2" borderId="4" xfId="0" applyNumberFormat="1" applyFont="1" applyFill="1" applyBorder="1" applyAlignment="1">
      <alignment horizontal="right" vertical="center"/>
    </xf>
    <xf numFmtId="175" fontId="15" fillId="2" borderId="4" xfId="0" applyNumberFormat="1" applyFont="1" applyFill="1" applyBorder="1" applyAlignment="1">
      <alignment horizontal="right" vertical="center"/>
    </xf>
    <xf numFmtId="0" fontId="38" fillId="10" borderId="0" xfId="0" applyFont="1" applyFill="1" applyAlignment="1">
      <alignment horizontal="center" vertical="center"/>
    </xf>
    <xf numFmtId="164" fontId="38" fillId="10" borderId="0" xfId="0" applyNumberFormat="1" applyFont="1" applyFill="1"/>
    <xf numFmtId="0" fontId="38" fillId="10" borderId="0" xfId="0" applyFont="1" applyFill="1"/>
    <xf numFmtId="14" fontId="38" fillId="10" borderId="0" xfId="0" applyNumberFormat="1" applyFont="1" applyFill="1" applyAlignment="1">
      <alignment horizontal="center" vertical="center"/>
    </xf>
    <xf numFmtId="165" fontId="69" fillId="13" borderId="0" xfId="0" applyNumberFormat="1" applyFont="1" applyFill="1" applyAlignment="1">
      <alignment horizontal="center" vertical="center"/>
    </xf>
    <xf numFmtId="170" fontId="52" fillId="7" borderId="0" xfId="0" applyNumberFormat="1" applyFont="1" applyFill="1" applyAlignment="1">
      <alignment horizontal="center" vertical="center"/>
    </xf>
    <xf numFmtId="170" fontId="70" fillId="7" borderId="0" xfId="0" applyNumberFormat="1" applyFont="1" applyFill="1" applyAlignment="1">
      <alignment horizontal="center" vertical="center"/>
    </xf>
    <xf numFmtId="165" fontId="38" fillId="20" borderId="0" xfId="0" applyNumberFormat="1" applyFont="1" applyFill="1" applyAlignment="1">
      <alignment horizontal="right" vertical="center"/>
    </xf>
    <xf numFmtId="0" fontId="4" fillId="5" borderId="0" xfId="0" applyFont="1" applyFill="1"/>
    <xf numFmtId="0" fontId="13" fillId="5" borderId="0" xfId="0" applyFont="1" applyFill="1" applyAlignment="1">
      <alignment horizontal="left" vertical="center"/>
    </xf>
    <xf numFmtId="166" fontId="71" fillId="4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 indent="3"/>
    </xf>
    <xf numFmtId="183" fontId="72" fillId="10" borderId="0" xfId="0" applyNumberFormat="1" applyFont="1" applyFill="1" applyAlignment="1">
      <alignment horizontal="center" vertical="center"/>
    </xf>
    <xf numFmtId="171" fontId="73" fillId="10" borderId="0" xfId="0" applyNumberFormat="1" applyFont="1" applyFill="1" applyAlignment="1">
      <alignment horizontal="center" vertical="center"/>
    </xf>
    <xf numFmtId="171" fontId="74" fillId="10" borderId="0" xfId="0" applyNumberFormat="1" applyFont="1" applyFill="1" applyAlignment="1">
      <alignment horizontal="center" vertical="center"/>
    </xf>
    <xf numFmtId="171" fontId="68" fillId="10" borderId="0" xfId="0" applyNumberFormat="1" applyFont="1" applyFill="1" applyAlignment="1">
      <alignment horizontal="center" vertical="center"/>
    </xf>
    <xf numFmtId="166" fontId="13" fillId="10" borderId="0" xfId="0" applyNumberFormat="1" applyFont="1" applyFill="1" applyAlignment="1">
      <alignment horizontal="center" vertical="center"/>
    </xf>
    <xf numFmtId="166" fontId="71" fillId="10" borderId="0" xfId="0" applyNumberFormat="1" applyFont="1" applyFill="1" applyAlignment="1">
      <alignment horizontal="center" vertical="center"/>
    </xf>
    <xf numFmtId="166" fontId="75" fillId="10" borderId="0" xfId="0" applyNumberFormat="1" applyFont="1" applyFill="1" applyAlignment="1">
      <alignment horizontal="center" vertical="center"/>
    </xf>
    <xf numFmtId="37" fontId="68" fillId="10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right" vertical="center"/>
    </xf>
    <xf numFmtId="171" fontId="68" fillId="10" borderId="0" xfId="0" applyNumberFormat="1" applyFont="1" applyFill="1" applyAlignment="1">
      <alignment horizontal="right" vertical="center"/>
    </xf>
    <xf numFmtId="171" fontId="75" fillId="10" borderId="0" xfId="0" applyNumberFormat="1" applyFont="1" applyFill="1" applyAlignment="1">
      <alignment horizontal="center" vertical="center"/>
    </xf>
    <xf numFmtId="166" fontId="76" fillId="5" borderId="0" xfId="0" applyNumberFormat="1" applyFont="1" applyFill="1" applyAlignment="1">
      <alignment horizontal="right" vertical="center"/>
    </xf>
    <xf numFmtId="166" fontId="68" fillId="10" borderId="0" xfId="0" applyNumberFormat="1" applyFont="1" applyFill="1" applyAlignment="1">
      <alignment horizontal="center" vertical="center"/>
    </xf>
    <xf numFmtId="166" fontId="71" fillId="5" borderId="0" xfId="0" applyNumberFormat="1" applyFont="1" applyFill="1" applyAlignment="1">
      <alignment horizontal="right" vertical="center"/>
    </xf>
    <xf numFmtId="165" fontId="15" fillId="7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 indent="1"/>
    </xf>
    <xf numFmtId="166" fontId="4" fillId="19" borderId="0" xfId="0" applyNumberFormat="1" applyFont="1" applyFill="1" applyAlignment="1">
      <alignment horizontal="right" vertical="center"/>
    </xf>
    <xf numFmtId="166" fontId="12" fillId="19" borderId="0" xfId="0" applyNumberFormat="1" applyFont="1" applyFill="1" applyAlignment="1">
      <alignment horizontal="right" vertical="center"/>
    </xf>
    <xf numFmtId="166" fontId="15" fillId="19" borderId="0" xfId="0" applyNumberFormat="1" applyFont="1" applyFill="1" applyAlignment="1">
      <alignment horizontal="right" vertical="center"/>
    </xf>
    <xf numFmtId="165" fontId="15" fillId="19" borderId="0" xfId="0" applyNumberFormat="1" applyFont="1" applyFill="1" applyAlignment="1">
      <alignment horizontal="right" vertical="center"/>
    </xf>
    <xf numFmtId="166" fontId="10" fillId="16" borderId="0" xfId="0" applyNumberFormat="1" applyFont="1" applyFill="1" applyAlignment="1">
      <alignment horizontal="right" vertical="center"/>
    </xf>
    <xf numFmtId="166" fontId="14" fillId="16" borderId="0" xfId="0" applyNumberFormat="1" applyFont="1" applyFill="1" applyAlignment="1">
      <alignment horizontal="right" vertical="center"/>
    </xf>
    <xf numFmtId="165" fontId="14" fillId="16" borderId="0" xfId="0" applyNumberFormat="1" applyFont="1" applyFill="1" applyAlignment="1">
      <alignment horizontal="right" vertical="center"/>
    </xf>
    <xf numFmtId="0" fontId="77" fillId="0" borderId="0" xfId="0" applyFont="1"/>
    <xf numFmtId="0" fontId="4" fillId="4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66" fontId="12" fillId="7" borderId="0" xfId="0" applyNumberFormat="1" applyFont="1" applyFill="1" applyAlignment="1">
      <alignment horizontal="right" vertical="center"/>
    </xf>
    <xf numFmtId="166" fontId="78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5" fontId="15" fillId="8" borderId="0" xfId="0" applyNumberFormat="1" applyFont="1" applyFill="1" applyAlignment="1">
      <alignment horizontal="right" vertical="center"/>
    </xf>
    <xf numFmtId="3" fontId="79" fillId="0" borderId="0" xfId="0" applyNumberFormat="1" applyFont="1"/>
    <xf numFmtId="3" fontId="80" fillId="8" borderId="0" xfId="0" applyNumberFormat="1" applyFont="1" applyFill="1" applyAlignment="1">
      <alignment horizontal="center" vertical="center" wrapText="1"/>
    </xf>
    <xf numFmtId="3" fontId="81" fillId="8" borderId="0" xfId="0" applyNumberFormat="1" applyFont="1" applyFill="1" applyAlignment="1">
      <alignment horizontal="center" vertical="center" wrapText="1"/>
    </xf>
    <xf numFmtId="0" fontId="82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3" fontId="83" fillId="0" borderId="0" xfId="0" applyNumberFormat="1" applyFont="1"/>
    <xf numFmtId="3" fontId="84" fillId="8" borderId="0" xfId="0" applyNumberFormat="1" applyFont="1" applyFill="1" applyAlignment="1">
      <alignment horizontal="center" vertical="center" wrapText="1"/>
    </xf>
    <xf numFmtId="166" fontId="38" fillId="13" borderId="0" xfId="0" applyNumberFormat="1" applyFont="1" applyFill="1" applyAlignment="1">
      <alignment horizontal="center" vertical="center"/>
    </xf>
    <xf numFmtId="0" fontId="85" fillId="0" borderId="0" xfId="0" applyFont="1"/>
    <xf numFmtId="0" fontId="86" fillId="0" borderId="0" xfId="0" applyFont="1"/>
    <xf numFmtId="170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center" vertical="center"/>
    </xf>
    <xf numFmtId="184" fontId="4" fillId="4" borderId="0" xfId="0" applyNumberFormat="1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0" fontId="15" fillId="15" borderId="0" xfId="0" applyFont="1" applyFill="1" applyAlignment="1">
      <alignment horizontal="left" vertical="center" indent="1"/>
    </xf>
    <xf numFmtId="165" fontId="12" fillId="15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0" fontId="87" fillId="8" borderId="0" xfId="0" applyFont="1" applyFill="1" applyAlignment="1">
      <alignment horizontal="left" vertical="center" indent="2"/>
    </xf>
    <xf numFmtId="167" fontId="4" fillId="4" borderId="0" xfId="0" applyNumberFormat="1" applyFont="1" applyFill="1" applyAlignment="1">
      <alignment horizontal="right" vertical="center"/>
    </xf>
    <xf numFmtId="167" fontId="12" fillId="8" borderId="0" xfId="0" applyNumberFormat="1" applyFont="1" applyFill="1" applyAlignment="1">
      <alignment horizontal="right" vertical="center"/>
    </xf>
    <xf numFmtId="0" fontId="88" fillId="8" borderId="0" xfId="0" applyFont="1" applyFill="1" applyAlignment="1">
      <alignment horizontal="left" vertical="center" indent="3"/>
    </xf>
    <xf numFmtId="167" fontId="5" fillId="8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right" vertical="center"/>
    </xf>
    <xf numFmtId="165" fontId="12" fillId="7" borderId="0" xfId="0" applyNumberFormat="1" applyFont="1" applyFill="1" applyAlignment="1">
      <alignment horizontal="right" vertical="center"/>
    </xf>
    <xf numFmtId="0" fontId="43" fillId="7" borderId="0" xfId="0" applyFont="1" applyFill="1" applyAlignment="1">
      <alignment horizontal="left" vertical="center" indent="3"/>
    </xf>
    <xf numFmtId="169" fontId="5" fillId="0" borderId="0" xfId="0" applyNumberFormat="1" applyFont="1"/>
    <xf numFmtId="166" fontId="0" fillId="0" borderId="0" xfId="0" applyNumberFormat="1"/>
    <xf numFmtId="164" fontId="38" fillId="0" borderId="0" xfId="0" applyNumberFormat="1" applyFont="1"/>
    <xf numFmtId="165" fontId="38" fillId="0" borderId="0" xfId="0" applyNumberFormat="1" applyFont="1"/>
    <xf numFmtId="164" fontId="12" fillId="0" borderId="0" xfId="0" applyNumberFormat="1" applyFont="1"/>
    <xf numFmtId="0" fontId="8" fillId="17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4" fillId="4" borderId="0" xfId="0" applyFont="1" applyFill="1"/>
    <xf numFmtId="0" fontId="13" fillId="4" borderId="0" xfId="0" applyFont="1" applyFill="1" applyAlignment="1">
      <alignment horizontal="left" vertical="center"/>
    </xf>
    <xf numFmtId="164" fontId="38" fillId="20" borderId="0" xfId="0" applyNumberFormat="1" applyFont="1" applyFill="1" applyAlignment="1">
      <alignment horizontal="right" vertical="center"/>
    </xf>
    <xf numFmtId="174" fontId="5" fillId="4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left" vertical="center"/>
    </xf>
    <xf numFmtId="166" fontId="15" fillId="7" borderId="0" xfId="0" applyNumberFormat="1" applyFont="1" applyFill="1" applyAlignment="1">
      <alignment horizontal="right" vertical="center"/>
    </xf>
    <xf numFmtId="0" fontId="11" fillId="16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166" fontId="15" fillId="16" borderId="0" xfId="0" applyNumberFormat="1" applyFont="1" applyFill="1" applyAlignment="1">
      <alignment horizontal="right" vertical="center"/>
    </xf>
    <xf numFmtId="0" fontId="89" fillId="2" borderId="0" xfId="0" applyFont="1" applyFill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7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38" fillId="10" borderId="4" xfId="0" applyFont="1" applyFill="1" applyBorder="1" applyAlignment="1">
      <alignment horizontal="center" vertical="center"/>
    </xf>
    <xf numFmtId="0" fontId="52" fillId="10" borderId="4" xfId="0" applyFont="1" applyFill="1" applyBorder="1" applyAlignment="1">
      <alignment horizontal="left" vertical="center"/>
    </xf>
    <xf numFmtId="164" fontId="5" fillId="5" borderId="4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right" vertical="center"/>
    </xf>
    <xf numFmtId="166" fontId="15" fillId="10" borderId="4" xfId="0" applyNumberFormat="1" applyFont="1" applyFill="1" applyBorder="1" applyAlignment="1">
      <alignment horizontal="right" vertical="center"/>
    </xf>
    <xf numFmtId="165" fontId="4" fillId="5" borderId="4" xfId="0" applyNumberFormat="1" applyFont="1" applyFill="1" applyBorder="1" applyAlignment="1">
      <alignment horizontal="right" vertical="center"/>
    </xf>
    <xf numFmtId="0" fontId="38" fillId="10" borderId="4" xfId="0" applyFont="1" applyFill="1" applyBorder="1" applyAlignment="1">
      <alignment horizontal="left" vertical="center"/>
    </xf>
    <xf numFmtId="0" fontId="11" fillId="28" borderId="4" xfId="0" applyFont="1" applyFill="1" applyBorder="1" applyAlignment="1">
      <alignment horizontal="left" vertical="center"/>
    </xf>
    <xf numFmtId="0" fontId="12" fillId="28" borderId="4" xfId="0" applyFont="1" applyFill="1" applyBorder="1" applyAlignment="1">
      <alignment horizontal="left" vertical="center"/>
    </xf>
    <xf numFmtId="0" fontId="12" fillId="28" borderId="4" xfId="0" applyFont="1" applyFill="1" applyBorder="1" applyAlignment="1">
      <alignment horizontal="center" vertical="center"/>
    </xf>
    <xf numFmtId="164" fontId="12" fillId="28" borderId="4" xfId="0" applyNumberFormat="1" applyFont="1" applyFill="1" applyBorder="1" applyAlignment="1">
      <alignment horizontal="right" vertical="center"/>
    </xf>
    <xf numFmtId="166" fontId="12" fillId="28" borderId="4" xfId="0" applyNumberFormat="1" applyFont="1" applyFill="1" applyBorder="1" applyAlignment="1">
      <alignment horizontal="right" vertical="center"/>
    </xf>
    <xf numFmtId="164" fontId="52" fillId="28" borderId="4" xfId="0" applyNumberFormat="1" applyFont="1" applyFill="1" applyBorder="1" applyAlignment="1">
      <alignment horizontal="right" vertical="center"/>
    </xf>
    <xf numFmtId="166" fontId="15" fillId="28" borderId="4" xfId="0" applyNumberFormat="1" applyFont="1" applyFill="1" applyBorder="1" applyAlignment="1">
      <alignment horizontal="right" vertical="center"/>
    </xf>
    <xf numFmtId="175" fontId="15" fillId="28" borderId="4" xfId="0" applyNumberFormat="1" applyFont="1" applyFill="1" applyBorder="1" applyAlignment="1">
      <alignment horizontal="right" vertical="center"/>
    </xf>
    <xf numFmtId="165" fontId="12" fillId="28" borderId="4" xfId="0" applyNumberFormat="1" applyFont="1" applyFill="1" applyBorder="1" applyAlignment="1">
      <alignment horizontal="center" vertical="center"/>
    </xf>
    <xf numFmtId="0" fontId="91" fillId="28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176" fontId="38" fillId="10" borderId="4" xfId="0" applyNumberFormat="1" applyFont="1" applyFill="1" applyBorder="1" applyAlignment="1">
      <alignment horizontal="right" vertical="center"/>
    </xf>
    <xf numFmtId="164" fontId="38" fillId="10" borderId="4" xfId="0" applyNumberFormat="1" applyFont="1" applyFill="1" applyBorder="1" applyAlignment="1">
      <alignment horizontal="right" vertical="center"/>
    </xf>
    <xf numFmtId="166" fontId="38" fillId="10" borderId="4" xfId="0" applyNumberFormat="1" applyFont="1" applyFill="1" applyBorder="1" applyAlignment="1">
      <alignment horizontal="right" vertical="center"/>
    </xf>
    <xf numFmtId="165" fontId="38" fillId="10" borderId="4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164" fontId="15" fillId="7" borderId="4" xfId="0" applyNumberFormat="1" applyFont="1" applyFill="1" applyBorder="1" applyAlignment="1">
      <alignment horizontal="center" vertical="center"/>
    </xf>
    <xf numFmtId="165" fontId="15" fillId="7" borderId="4" xfId="0" applyNumberFormat="1" applyFont="1" applyFill="1" applyBorder="1" applyAlignment="1">
      <alignment horizontal="center" vertical="center"/>
    </xf>
    <xf numFmtId="166" fontId="15" fillId="7" borderId="4" xfId="0" applyNumberFormat="1" applyFont="1" applyFill="1" applyBorder="1" applyAlignment="1">
      <alignment horizontal="right" vertical="center"/>
    </xf>
    <xf numFmtId="175" fontId="15" fillId="7" borderId="4" xfId="0" applyNumberFormat="1" applyFont="1" applyFill="1" applyBorder="1" applyAlignment="1">
      <alignment horizontal="right" vertical="center"/>
    </xf>
    <xf numFmtId="0" fontId="15" fillId="7" borderId="4" xfId="0" applyFont="1" applyFill="1" applyBorder="1" applyAlignment="1">
      <alignment vertical="center"/>
    </xf>
    <xf numFmtId="164" fontId="38" fillId="10" borderId="4" xfId="0" applyNumberFormat="1" applyFont="1" applyFill="1" applyBorder="1" applyAlignment="1">
      <alignment horizontal="center" vertical="center"/>
    </xf>
    <xf numFmtId="0" fontId="92" fillId="5" borderId="4" xfId="0" applyFont="1" applyFill="1" applyBorder="1" applyAlignment="1">
      <alignment horizontal="center" vertical="center"/>
    </xf>
    <xf numFmtId="0" fontId="92" fillId="4" borderId="4" xfId="0" applyFont="1" applyFill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right" vertical="center"/>
    </xf>
    <xf numFmtId="164" fontId="15" fillId="7" borderId="4" xfId="0" applyNumberFormat="1" applyFont="1" applyFill="1" applyBorder="1" applyAlignment="1">
      <alignment horizontal="right" vertical="center"/>
    </xf>
    <xf numFmtId="0" fontId="93" fillId="7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166" fontId="15" fillId="8" borderId="4" xfId="0" applyNumberFormat="1" applyFont="1" applyFill="1" applyBorder="1" applyAlignment="1">
      <alignment horizontal="right" vertical="center"/>
    </xf>
    <xf numFmtId="166" fontId="4" fillId="8" borderId="4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left" vertical="center"/>
    </xf>
    <xf numFmtId="164" fontId="52" fillId="2" borderId="4" xfId="0" applyNumberFormat="1" applyFont="1" applyFill="1" applyBorder="1" applyAlignment="1">
      <alignment horizontal="center" vertical="center"/>
    </xf>
    <xf numFmtId="166" fontId="52" fillId="2" borderId="4" xfId="0" applyNumberFormat="1" applyFont="1" applyFill="1" applyBorder="1" applyAlignment="1">
      <alignment horizontal="right" vertical="center"/>
    </xf>
    <xf numFmtId="164" fontId="38" fillId="4" borderId="0" xfId="0" applyNumberFormat="1" applyFont="1" applyFill="1" applyAlignment="1">
      <alignment horizontal="right" vertical="center"/>
    </xf>
    <xf numFmtId="0" fontId="38" fillId="4" borderId="0" xfId="0" applyFont="1" applyFill="1" applyAlignment="1">
      <alignment horizontal="center" vertical="center"/>
    </xf>
    <xf numFmtId="164" fontId="38" fillId="5" borderId="0" xfId="0" applyNumberFormat="1" applyFont="1" applyFill="1" applyAlignment="1">
      <alignment horizontal="right" vertical="center"/>
    </xf>
    <xf numFmtId="0" fontId="38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9" fontId="70" fillId="0" borderId="0" xfId="0" applyNumberFormat="1" applyFont="1"/>
    <xf numFmtId="182" fontId="4" fillId="0" borderId="0" xfId="0" applyNumberFormat="1" applyFont="1"/>
    <xf numFmtId="166" fontId="15" fillId="4" borderId="0" xfId="0" applyNumberFormat="1" applyFont="1" applyFill="1"/>
    <xf numFmtId="0" fontId="10" fillId="0" borderId="0" xfId="0" applyFont="1"/>
    <xf numFmtId="0" fontId="94" fillId="29" borderId="0" xfId="0" applyFont="1" applyFill="1" applyAlignment="1">
      <alignment horizontal="left" vertical="center"/>
    </xf>
    <xf numFmtId="0" fontId="94" fillId="29" borderId="0" xfId="0" applyFont="1" applyFill="1" applyAlignment="1">
      <alignment horizontal="center" vertical="center"/>
    </xf>
    <xf numFmtId="164" fontId="94" fillId="29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10" fillId="0" borderId="0" xfId="0" applyNumberFormat="1" applyFont="1"/>
    <xf numFmtId="165" fontId="5" fillId="0" borderId="0" xfId="0" applyNumberFormat="1" applyFont="1" applyAlignment="1">
      <alignment horizontal="left" vertical="center"/>
    </xf>
    <xf numFmtId="170" fontId="38" fillId="0" borderId="0" xfId="0" applyNumberFormat="1" applyFont="1" applyAlignment="1">
      <alignment horizontal="left" vertical="center"/>
    </xf>
    <xf numFmtId="170" fontId="33" fillId="0" borderId="0" xfId="0" applyNumberFormat="1" applyFont="1" applyAlignment="1">
      <alignment horizontal="left" vertical="center"/>
    </xf>
    <xf numFmtId="165" fontId="10" fillId="0" borderId="0" xfId="0" applyNumberFormat="1" applyFont="1"/>
    <xf numFmtId="0" fontId="11" fillId="28" borderId="0" xfId="0" applyFont="1" applyFill="1" applyAlignment="1">
      <alignment horizontal="left" vertical="center"/>
    </xf>
    <xf numFmtId="165" fontId="11" fillId="28" borderId="0" xfId="0" applyNumberFormat="1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73" fontId="33" fillId="0" borderId="0" xfId="0" applyNumberFormat="1" applyFont="1" applyAlignment="1">
      <alignment horizontal="right" vertical="center"/>
    </xf>
    <xf numFmtId="173" fontId="4" fillId="0" borderId="0" xfId="0" applyNumberFormat="1" applyFont="1" applyAlignment="1">
      <alignment horizontal="right" vertical="center"/>
    </xf>
    <xf numFmtId="172" fontId="38" fillId="0" borderId="0" xfId="0" applyNumberFormat="1" applyFont="1" applyAlignment="1">
      <alignment horizontal="center" vertical="center"/>
    </xf>
    <xf numFmtId="0" fontId="3" fillId="2" borderId="0" xfId="0" applyFont="1" applyFill="1"/>
    <xf numFmtId="173" fontId="95" fillId="2" borderId="0" xfId="0" applyNumberFormat="1" applyFont="1" applyFill="1" applyAlignment="1">
      <alignment horizontal="right" vertical="center"/>
    </xf>
    <xf numFmtId="0" fontId="96" fillId="0" borderId="0" xfId="0" applyFont="1"/>
    <xf numFmtId="170" fontId="5" fillId="0" borderId="0" xfId="0" applyNumberFormat="1" applyFont="1" applyAlignment="1">
      <alignment horizontal="right"/>
    </xf>
    <xf numFmtId="184" fontId="10" fillId="0" borderId="0" xfId="0" applyNumberFormat="1" applyFont="1"/>
    <xf numFmtId="181" fontId="10" fillId="0" borderId="0" xfId="0" applyNumberFormat="1" applyFont="1"/>
    <xf numFmtId="166" fontId="10" fillId="0" borderId="0" xfId="0" applyNumberFormat="1" applyFont="1"/>
    <xf numFmtId="179" fontId="10" fillId="0" borderId="0" xfId="0" applyNumberFormat="1" applyFont="1"/>
    <xf numFmtId="4" fontId="10" fillId="0" borderId="0" xfId="0" applyNumberFormat="1" applyFont="1"/>
    <xf numFmtId="165" fontId="38" fillId="4" borderId="0" xfId="0" applyNumberFormat="1" applyFont="1" applyFill="1" applyAlignment="1">
      <alignment horizontal="right" vertical="center"/>
    </xf>
    <xf numFmtId="49" fontId="5" fillId="5" borderId="0" xfId="0" applyNumberFormat="1" applyFont="1" applyFill="1" applyAlignment="1">
      <alignment horizontal="center" vertical="center"/>
    </xf>
    <xf numFmtId="165" fontId="38" fillId="5" borderId="0" xfId="0" applyNumberFormat="1" applyFont="1" applyFill="1" applyAlignment="1">
      <alignment horizontal="right" vertical="center"/>
    </xf>
    <xf numFmtId="0" fontId="97" fillId="15" borderId="0" xfId="0" applyFont="1" applyFill="1" applyAlignment="1">
      <alignment horizontal="left" vertical="center"/>
    </xf>
    <xf numFmtId="0" fontId="52" fillId="15" borderId="0" xfId="0" applyFont="1" applyFill="1" applyAlignment="1">
      <alignment horizontal="center" vertical="center"/>
    </xf>
    <xf numFmtId="0" fontId="98" fillId="15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indent="1"/>
    </xf>
    <xf numFmtId="0" fontId="0" fillId="7" borderId="0" xfId="0" applyFill="1"/>
    <xf numFmtId="166" fontId="15" fillId="6" borderId="0" xfId="0" applyNumberFormat="1" applyFont="1" applyFill="1" applyAlignment="1">
      <alignment horizontal="right" vertical="center"/>
    </xf>
    <xf numFmtId="0" fontId="11" fillId="17" borderId="0" xfId="0" applyFont="1" applyFill="1" applyAlignment="1">
      <alignment horizontal="left" vertical="center" indent="1"/>
    </xf>
    <xf numFmtId="166" fontId="15" fillId="17" borderId="0" xfId="0" applyNumberFormat="1" applyFont="1" applyFill="1" applyAlignment="1">
      <alignment horizontal="right" vertical="center"/>
    </xf>
    <xf numFmtId="166" fontId="68" fillId="4" borderId="0" xfId="0" applyNumberFormat="1" applyFont="1" applyFill="1" applyAlignment="1">
      <alignment horizontal="right" vertical="center"/>
    </xf>
    <xf numFmtId="166" fontId="99" fillId="0" borderId="0" xfId="0" applyNumberFormat="1" applyFont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167" fontId="15" fillId="4" borderId="0" xfId="0" applyNumberFormat="1" applyFont="1" applyFill="1" applyAlignment="1">
      <alignment horizontal="right" vertical="center"/>
    </xf>
    <xf numFmtId="166" fontId="68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0" fontId="88" fillId="8" borderId="0" xfId="0" applyFont="1" applyFill="1" applyAlignment="1">
      <alignment horizontal="left" vertical="center" indent="2"/>
    </xf>
    <xf numFmtId="0" fontId="42" fillId="10" borderId="0" xfId="0" applyFont="1" applyFill="1" applyAlignment="1">
      <alignment horizontal="left" vertical="center" indent="1"/>
    </xf>
    <xf numFmtId="166" fontId="5" fillId="10" borderId="0" xfId="0" applyNumberFormat="1" applyFont="1" applyFill="1" applyAlignment="1">
      <alignment horizontal="right" vertical="center"/>
    </xf>
    <xf numFmtId="166" fontId="38" fillId="10" borderId="0" xfId="0" applyNumberFormat="1" applyFont="1" applyFill="1" applyAlignment="1">
      <alignment horizontal="right" vertical="center"/>
    </xf>
    <xf numFmtId="166" fontId="12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6" fontId="4" fillId="10" borderId="0" xfId="0" applyNumberFormat="1" applyFont="1" applyFill="1" applyAlignment="1">
      <alignment horizontal="right" vertical="center"/>
    </xf>
    <xf numFmtId="0" fontId="11" fillId="30" borderId="0" xfId="0" applyFont="1" applyFill="1" applyAlignment="1">
      <alignment horizontal="left" vertical="center" indent="1"/>
    </xf>
    <xf numFmtId="166" fontId="15" fillId="30" borderId="0" xfId="0" applyNumberFormat="1" applyFont="1" applyFill="1" applyAlignment="1">
      <alignment horizontal="right" vertical="center"/>
    </xf>
    <xf numFmtId="165" fontId="4" fillId="10" borderId="0" xfId="0" applyNumberFormat="1" applyFont="1" applyFill="1" applyAlignment="1">
      <alignment horizontal="right" vertical="center"/>
    </xf>
    <xf numFmtId="0" fontId="6" fillId="10" borderId="0" xfId="0" applyFont="1" applyFill="1" applyAlignment="1">
      <alignment horizontal="left" vertical="center" indent="1"/>
    </xf>
    <xf numFmtId="165" fontId="11" fillId="30" borderId="0" xfId="0" applyNumberFormat="1" applyFont="1" applyFill="1" applyAlignment="1">
      <alignment horizontal="right" vertical="center"/>
    </xf>
    <xf numFmtId="0" fontId="0" fillId="2" borderId="6" xfId="0" applyFill="1" applyBorder="1"/>
    <xf numFmtId="0" fontId="3" fillId="2" borderId="7" xfId="0" applyFont="1" applyFill="1" applyBorder="1" applyAlignment="1">
      <alignment horizontal="left"/>
    </xf>
    <xf numFmtId="0" fontId="0" fillId="2" borderId="8" xfId="0" applyFill="1" applyBorder="1"/>
    <xf numFmtId="0" fontId="3" fillId="6" borderId="9" xfId="0" applyFont="1" applyFill="1" applyBorder="1" applyAlignment="1">
      <alignment horizontal="left"/>
    </xf>
    <xf numFmtId="0" fontId="0" fillId="6" borderId="9" xfId="0" applyFill="1" applyBorder="1"/>
    <xf numFmtId="0" fontId="100" fillId="32" borderId="10" xfId="0" applyFont="1" applyFill="1" applyBorder="1" applyAlignment="1">
      <alignment horizontal="left"/>
    </xf>
    <xf numFmtId="0" fontId="0" fillId="32" borderId="11" xfId="0" applyFill="1" applyBorder="1"/>
    <xf numFmtId="1" fontId="38" fillId="32" borderId="11" xfId="0" applyNumberFormat="1" applyFont="1" applyFill="1" applyBorder="1" applyAlignment="1">
      <alignment horizontal="right"/>
    </xf>
    <xf numFmtId="0" fontId="100" fillId="33" borderId="11" xfId="0" applyFont="1" applyFill="1" applyBorder="1" applyAlignment="1">
      <alignment horizontal="left"/>
    </xf>
    <xf numFmtId="0" fontId="0" fillId="33" borderId="11" xfId="0" applyFill="1" applyBorder="1"/>
    <xf numFmtId="166" fontId="100" fillId="33" borderId="11" xfId="0" applyNumberFormat="1" applyFont="1" applyFill="1" applyBorder="1" applyAlignment="1">
      <alignment horizontal="right"/>
    </xf>
    <xf numFmtId="0" fontId="100" fillId="0" borderId="12" xfId="0" applyFont="1" applyBorder="1" applyAlignment="1">
      <alignment horizontal="left"/>
    </xf>
    <xf numFmtId="0" fontId="0" fillId="0" borderId="13" xfId="0" applyBorder="1"/>
    <xf numFmtId="166" fontId="100" fillId="0" borderId="13" xfId="0" applyNumberFormat="1" applyFont="1" applyBorder="1" applyAlignment="1">
      <alignment horizontal="right"/>
    </xf>
    <xf numFmtId="0" fontId="100" fillId="33" borderId="13" xfId="0" applyFont="1" applyFill="1" applyBorder="1" applyAlignment="1">
      <alignment horizontal="left"/>
    </xf>
    <xf numFmtId="0" fontId="0" fillId="33" borderId="13" xfId="0" applyFill="1" applyBorder="1"/>
    <xf numFmtId="10" fontId="100" fillId="33" borderId="13" xfId="0" applyNumberFormat="1" applyFont="1" applyFill="1" applyBorder="1" applyAlignment="1">
      <alignment horizontal="right"/>
    </xf>
    <xf numFmtId="10" fontId="38" fillId="0" borderId="13" xfId="0" applyNumberFormat="1" applyFont="1" applyBorder="1" applyAlignment="1">
      <alignment horizontal="right"/>
    </xf>
    <xf numFmtId="0" fontId="100" fillId="0" borderId="13" xfId="0" applyFont="1" applyBorder="1" applyAlignment="1">
      <alignment horizontal="left"/>
    </xf>
    <xf numFmtId="166" fontId="38" fillId="0" borderId="13" xfId="0" applyNumberFormat="1" applyFont="1" applyBorder="1" applyAlignment="1">
      <alignment horizontal="right"/>
    </xf>
    <xf numFmtId="166" fontId="101" fillId="0" borderId="13" xfId="0" applyNumberFormat="1" applyFont="1" applyBorder="1" applyAlignment="1">
      <alignment horizontal="right"/>
    </xf>
    <xf numFmtId="0" fontId="100" fillId="0" borderId="14" xfId="0" applyFont="1" applyBorder="1" applyAlignment="1">
      <alignment horizontal="left"/>
    </xf>
    <xf numFmtId="0" fontId="0" fillId="0" borderId="14" xfId="0" applyBorder="1"/>
    <xf numFmtId="166" fontId="38" fillId="0" borderId="14" xfId="0" applyNumberFormat="1" applyFont="1" applyBorder="1" applyAlignment="1">
      <alignment horizontal="right"/>
    </xf>
    <xf numFmtId="0" fontId="101" fillId="34" borderId="15" xfId="0" applyFont="1" applyFill="1" applyBorder="1" applyAlignment="1">
      <alignment horizontal="left"/>
    </xf>
    <xf numFmtId="0" fontId="0" fillId="34" borderId="15" xfId="0" applyFill="1" applyBorder="1"/>
    <xf numFmtId="166" fontId="101" fillId="34" borderId="15" xfId="0" applyNumberFormat="1" applyFont="1" applyFill="1" applyBorder="1" applyAlignment="1">
      <alignment horizontal="right"/>
    </xf>
    <xf numFmtId="0" fontId="100" fillId="0" borderId="11" xfId="0" applyFont="1" applyBorder="1" applyAlignment="1">
      <alignment horizontal="left"/>
    </xf>
    <xf numFmtId="10" fontId="38" fillId="0" borderId="11" xfId="0" applyNumberFormat="1" applyFont="1" applyBorder="1" applyAlignment="1">
      <alignment horizontal="right"/>
    </xf>
    <xf numFmtId="166" fontId="100" fillId="0" borderId="11" xfId="0" applyNumberFormat="1" applyFont="1" applyBorder="1" applyAlignment="1">
      <alignment horizontal="right"/>
    </xf>
    <xf numFmtId="1" fontId="38" fillId="0" borderId="13" xfId="0" applyNumberFormat="1" applyFont="1" applyBorder="1" applyAlignment="1">
      <alignment horizontal="right"/>
    </xf>
    <xf numFmtId="166" fontId="100" fillId="0" borderId="14" xfId="0" applyNumberFormat="1" applyFont="1" applyBorder="1" applyAlignment="1">
      <alignment horizontal="right"/>
    </xf>
    <xf numFmtId="0" fontId="100" fillId="32" borderId="12" xfId="0" applyFont="1" applyFill="1" applyBorder="1" applyAlignment="1">
      <alignment horizontal="left"/>
    </xf>
    <xf numFmtId="0" fontId="0" fillId="32" borderId="13" xfId="0" applyFill="1" applyBorder="1"/>
    <xf numFmtId="166" fontId="101" fillId="32" borderId="13" xfId="0" applyNumberFormat="1" applyFont="1" applyFill="1" applyBorder="1" applyAlignment="1">
      <alignment horizontal="right"/>
    </xf>
    <xf numFmtId="0" fontId="101" fillId="33" borderId="15" xfId="0" applyFont="1" applyFill="1" applyBorder="1" applyAlignment="1">
      <alignment horizontal="left"/>
    </xf>
    <xf numFmtId="0" fontId="0" fillId="33" borderId="15" xfId="0" applyFill="1" applyBorder="1"/>
    <xf numFmtId="166" fontId="101" fillId="33" borderId="15" xfId="0" applyNumberFormat="1" applyFont="1" applyFill="1" applyBorder="1" applyAlignment="1">
      <alignment horizontal="right"/>
    </xf>
    <xf numFmtId="0" fontId="0" fillId="0" borderId="11" xfId="0" applyBorder="1"/>
    <xf numFmtId="0" fontId="100" fillId="0" borderId="16" xfId="0" applyFont="1" applyBorder="1" applyAlignment="1">
      <alignment horizontal="left"/>
    </xf>
    <xf numFmtId="0" fontId="101" fillId="35" borderId="17" xfId="0" applyFont="1" applyFill="1" applyBorder="1" applyAlignment="1">
      <alignment horizontal="left"/>
    </xf>
    <xf numFmtId="0" fontId="0" fillId="35" borderId="18" xfId="0" applyFill="1" applyBorder="1"/>
    <xf numFmtId="166" fontId="101" fillId="35" borderId="18" xfId="0" applyNumberFormat="1" applyFont="1" applyFill="1" applyBorder="1" applyAlignment="1">
      <alignment horizontal="right"/>
    </xf>
    <xf numFmtId="0" fontId="102" fillId="0" borderId="11" xfId="0" applyFont="1" applyBorder="1" applyAlignment="1">
      <alignment horizontal="left"/>
    </xf>
    <xf numFmtId="166" fontId="102" fillId="0" borderId="11" xfId="0" applyNumberFormat="1" applyFont="1" applyBorder="1" applyAlignment="1">
      <alignment horizontal="right"/>
    </xf>
    <xf numFmtId="0" fontId="100" fillId="0" borderId="10" xfId="0" applyFont="1" applyBorder="1" applyAlignment="1">
      <alignment horizontal="left"/>
    </xf>
    <xf numFmtId="0" fontId="102" fillId="0" borderId="13" xfId="0" applyFont="1" applyBorder="1" applyAlignment="1">
      <alignment horizontal="left"/>
    </xf>
    <xf numFmtId="166" fontId="102" fillId="0" borderId="13" xfId="0" applyNumberFormat="1" applyFont="1" applyBorder="1" applyAlignment="1">
      <alignment horizontal="right"/>
    </xf>
    <xf numFmtId="166" fontId="100" fillId="32" borderId="13" xfId="0" applyNumberFormat="1" applyFont="1" applyFill="1" applyBorder="1" applyAlignment="1">
      <alignment horizontal="right"/>
    </xf>
    <xf numFmtId="10" fontId="100" fillId="0" borderId="14" xfId="0" applyNumberFormat="1" applyFont="1" applyBorder="1" applyAlignment="1">
      <alignment horizontal="right"/>
    </xf>
    <xf numFmtId="10" fontId="100" fillId="0" borderId="13" xfId="0" applyNumberFormat="1" applyFont="1" applyBorder="1" applyAlignment="1">
      <alignment horizontal="right"/>
    </xf>
    <xf numFmtId="0" fontId="101" fillId="32" borderId="17" xfId="0" applyFont="1" applyFill="1" applyBorder="1" applyAlignment="1">
      <alignment horizontal="left"/>
    </xf>
    <xf numFmtId="0" fontId="0" fillId="32" borderId="18" xfId="0" applyFill="1" applyBorder="1"/>
    <xf numFmtId="166" fontId="101" fillId="32" borderId="18" xfId="0" applyNumberFormat="1" applyFont="1" applyFill="1" applyBorder="1" applyAlignment="1">
      <alignment horizontal="right"/>
    </xf>
    <xf numFmtId="0" fontId="102" fillId="0" borderId="10" xfId="0" applyFont="1" applyBorder="1" applyAlignment="1">
      <alignment horizontal="left"/>
    </xf>
    <xf numFmtId="166" fontId="11" fillId="6" borderId="15" xfId="0" applyNumberFormat="1" applyFont="1" applyFill="1" applyBorder="1" applyAlignment="1">
      <alignment horizontal="right"/>
    </xf>
    <xf numFmtId="0" fontId="102" fillId="0" borderId="12" xfId="0" applyFont="1" applyBorder="1" applyAlignment="1">
      <alignment horizontal="left"/>
    </xf>
    <xf numFmtId="0" fontId="100" fillId="0" borderId="0" xfId="0" applyFont="1" applyAlignment="1">
      <alignment horizontal="left"/>
    </xf>
    <xf numFmtId="166" fontId="100" fillId="0" borderId="0" xfId="0" applyNumberFormat="1" applyFont="1" applyAlignment="1">
      <alignment horizontal="right"/>
    </xf>
    <xf numFmtId="0" fontId="20" fillId="34" borderId="15" xfId="0" applyFont="1" applyFill="1" applyBorder="1"/>
    <xf numFmtId="0" fontId="11" fillId="2" borderId="17" xfId="0" applyFont="1" applyFill="1" applyBorder="1" applyAlignment="1">
      <alignment horizontal="left"/>
    </xf>
    <xf numFmtId="166" fontId="11" fillId="2" borderId="18" xfId="0" applyNumberFormat="1" applyFont="1" applyFill="1" applyBorder="1" applyAlignment="1">
      <alignment horizontal="right"/>
    </xf>
    <xf numFmtId="10" fontId="100" fillId="0" borderId="11" xfId="0" applyNumberFormat="1" applyFont="1" applyBorder="1" applyAlignment="1">
      <alignment horizontal="right"/>
    </xf>
    <xf numFmtId="0" fontId="101" fillId="35" borderId="10" xfId="0" applyFont="1" applyFill="1" applyBorder="1" applyAlignment="1">
      <alignment horizontal="left"/>
    </xf>
    <xf numFmtId="0" fontId="20" fillId="35" borderId="11" xfId="0" applyFont="1" applyFill="1" applyBorder="1"/>
    <xf numFmtId="166" fontId="101" fillId="35" borderId="11" xfId="0" applyNumberFormat="1" applyFont="1" applyFill="1" applyBorder="1" applyAlignment="1">
      <alignment horizontal="right"/>
    </xf>
    <xf numFmtId="10" fontId="100" fillId="0" borderId="19" xfId="0" applyNumberFormat="1" applyFont="1" applyBorder="1" applyAlignment="1">
      <alignment horizontal="right"/>
    </xf>
    <xf numFmtId="0" fontId="100" fillId="0" borderId="20" xfId="0" applyFont="1" applyBorder="1" applyAlignment="1">
      <alignment horizontal="left"/>
    </xf>
    <xf numFmtId="0" fontId="0" fillId="0" borderId="21" xfId="0" applyBorder="1"/>
    <xf numFmtId="1" fontId="38" fillId="0" borderId="21" xfId="0" applyNumberFormat="1" applyFont="1" applyBorder="1" applyAlignment="1">
      <alignment horizontal="right"/>
    </xf>
    <xf numFmtId="0" fontId="3" fillId="6" borderId="22" xfId="0" applyFont="1" applyFill="1" applyBorder="1" applyAlignment="1">
      <alignment horizontal="left" vertical="center" indent="1"/>
    </xf>
    <xf numFmtId="0" fontId="3" fillId="6" borderId="23" xfId="0" applyFont="1" applyFill="1" applyBorder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13" fillId="0" borderId="0" xfId="0" applyFont="1" applyAlignment="1">
      <alignment horizont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4" fillId="36" borderId="28" xfId="0" applyFont="1" applyFill="1" applyBorder="1"/>
    <xf numFmtId="165" fontId="38" fillId="36" borderId="29" xfId="0" applyNumberFormat="1" applyFont="1" applyFill="1" applyBorder="1"/>
    <xf numFmtId="169" fontId="38" fillId="36" borderId="30" xfId="0" applyNumberFormat="1" applyFont="1" applyFill="1" applyBorder="1"/>
    <xf numFmtId="165" fontId="38" fillId="5" borderId="0" xfId="0" applyNumberFormat="1" applyFont="1" applyFill="1"/>
    <xf numFmtId="165" fontId="38" fillId="36" borderId="31" xfId="0" applyNumberFormat="1" applyFont="1" applyFill="1" applyBorder="1"/>
    <xf numFmtId="0" fontId="5" fillId="36" borderId="29" xfId="0" applyFont="1" applyFill="1" applyBorder="1" applyAlignment="1">
      <alignment horizontal="center" vertical="center"/>
    </xf>
    <xf numFmtId="0" fontId="13" fillId="36" borderId="30" xfId="0" applyFont="1" applyFill="1" applyBorder="1" applyAlignment="1">
      <alignment horizontal="left" vertical="center" indent="1"/>
    </xf>
    <xf numFmtId="1" fontId="38" fillId="5" borderId="0" xfId="0" applyNumberFormat="1" applyFont="1" applyFill="1" applyAlignment="1">
      <alignment horizontal="center"/>
    </xf>
    <xf numFmtId="0" fontId="4" fillId="0" borderId="28" xfId="0" applyFont="1" applyBorder="1"/>
    <xf numFmtId="165" fontId="38" fillId="0" borderId="29" xfId="0" applyNumberFormat="1" applyFont="1" applyBorder="1"/>
    <xf numFmtId="169" fontId="38" fillId="0" borderId="30" xfId="0" applyNumberFormat="1" applyFont="1" applyBorder="1"/>
    <xf numFmtId="165" fontId="38" fillId="0" borderId="31" xfId="0" applyNumberFormat="1" applyFont="1" applyBorder="1"/>
    <xf numFmtId="0" fontId="5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 indent="1"/>
    </xf>
    <xf numFmtId="0" fontId="4" fillId="36" borderId="32" xfId="0" applyFont="1" applyFill="1" applyBorder="1"/>
    <xf numFmtId="165" fontId="38" fillId="36" borderId="33" xfId="0" applyNumberFormat="1" applyFont="1" applyFill="1" applyBorder="1"/>
    <xf numFmtId="169" fontId="38" fillId="36" borderId="34" xfId="0" applyNumberFormat="1" applyFont="1" applyFill="1" applyBorder="1"/>
    <xf numFmtId="165" fontId="38" fillId="36" borderId="35" xfId="0" applyNumberFormat="1" applyFont="1" applyFill="1" applyBorder="1"/>
    <xf numFmtId="0" fontId="5" fillId="36" borderId="33" xfId="0" applyFont="1" applyFill="1" applyBorder="1" applyAlignment="1">
      <alignment horizontal="center" vertical="center"/>
    </xf>
    <xf numFmtId="0" fontId="13" fillId="36" borderId="34" xfId="0" applyFont="1" applyFill="1" applyBorder="1" applyAlignment="1">
      <alignment horizontal="left" vertical="center" indent="1"/>
    </xf>
    <xf numFmtId="0" fontId="18" fillId="2" borderId="18" xfId="0" applyFont="1" applyFill="1" applyBorder="1"/>
    <xf numFmtId="0" fontId="18" fillId="5" borderId="0" xfId="0" applyFont="1" applyFill="1"/>
    <xf numFmtId="0" fontId="18" fillId="2" borderId="36" xfId="0" applyFont="1" applyFill="1" applyBorder="1"/>
    <xf numFmtId="166" fontId="5" fillId="0" borderId="13" xfId="0" applyNumberFormat="1" applyFont="1" applyBorder="1"/>
    <xf numFmtId="166" fontId="5" fillId="5" borderId="0" xfId="0" applyNumberFormat="1" applyFont="1" applyFill="1"/>
    <xf numFmtId="166" fontId="5" fillId="0" borderId="37" xfId="0" applyNumberFormat="1" applyFont="1" applyBorder="1"/>
    <xf numFmtId="166" fontId="100" fillId="0" borderId="14" xfId="0" applyNumberFormat="1" applyFont="1" applyBorder="1"/>
    <xf numFmtId="166" fontId="100" fillId="5" borderId="0" xfId="0" applyNumberFormat="1" applyFont="1" applyFill="1"/>
    <xf numFmtId="166" fontId="100" fillId="0" borderId="38" xfId="0" applyNumberFormat="1" applyFont="1" applyBorder="1"/>
    <xf numFmtId="0" fontId="101" fillId="35" borderId="5" xfId="0" applyFont="1" applyFill="1" applyBorder="1" applyAlignment="1">
      <alignment horizontal="left"/>
    </xf>
    <xf numFmtId="166" fontId="101" fillId="35" borderId="6" xfId="0" applyNumberFormat="1" applyFont="1" applyFill="1" applyBorder="1"/>
    <xf numFmtId="0" fontId="20" fillId="35" borderId="6" xfId="0" applyFont="1" applyFill="1" applyBorder="1"/>
    <xf numFmtId="166" fontId="101" fillId="35" borderId="0" xfId="0" applyNumberFormat="1" applyFont="1" applyFill="1"/>
    <xf numFmtId="166" fontId="101" fillId="35" borderId="39" xfId="0" applyNumberFormat="1" applyFont="1" applyFill="1" applyBorder="1"/>
    <xf numFmtId="0" fontId="103" fillId="0" borderId="0" xfId="0" applyFont="1"/>
    <xf numFmtId="0" fontId="104" fillId="0" borderId="0" xfId="0" applyFont="1"/>
    <xf numFmtId="185" fontId="104" fillId="37" borderId="0" xfId="0" applyNumberFormat="1" applyFont="1" applyFill="1"/>
    <xf numFmtId="0" fontId="105" fillId="0" borderId="0" xfId="0" applyFont="1"/>
    <xf numFmtId="186" fontId="0" fillId="10" borderId="0" xfId="0" applyNumberFormat="1" applyFill="1"/>
    <xf numFmtId="164" fontId="0" fillId="10" borderId="0" xfId="0" applyNumberFormat="1" applyFill="1"/>
    <xf numFmtId="10" fontId="0" fillId="10" borderId="0" xfId="0" applyNumberFormat="1" applyFill="1"/>
    <xf numFmtId="0" fontId="0" fillId="37" borderId="0" xfId="0" applyFill="1"/>
    <xf numFmtId="0" fontId="18" fillId="9" borderId="0" xfId="0" applyFont="1" applyFill="1" applyAlignment="1">
      <alignment horizontal="center" vertical="center" wrapText="1"/>
    </xf>
    <xf numFmtId="0" fontId="106" fillId="0" borderId="0" xfId="0" applyFont="1"/>
    <xf numFmtId="185" fontId="106" fillId="0" borderId="0" xfId="0" applyNumberFormat="1" applyFont="1"/>
    <xf numFmtId="186" fontId="106" fillId="0" borderId="0" xfId="0" applyNumberFormat="1" applyFont="1"/>
    <xf numFmtId="186" fontId="0" fillId="0" borderId="0" xfId="0" applyNumberFormat="1"/>
    <xf numFmtId="186" fontId="104" fillId="0" borderId="0" xfId="0" applyNumberFormat="1" applyFont="1"/>
    <xf numFmtId="0" fontId="107" fillId="0" borderId="0" xfId="0" applyFont="1"/>
    <xf numFmtId="10" fontId="104" fillId="0" borderId="0" xfId="0" applyNumberFormat="1" applyFont="1"/>
    <xf numFmtId="10" fontId="0" fillId="0" borderId="0" xfId="0" applyNumberFormat="1"/>
    <xf numFmtId="169" fontId="0" fillId="0" borderId="0" xfId="0" applyNumberFormat="1"/>
    <xf numFmtId="10" fontId="74" fillId="2" borderId="0" xfId="0" applyNumberFormat="1" applyFont="1" applyFill="1" applyAlignment="1">
      <alignment horizontal="center" vertical="center"/>
    </xf>
    <xf numFmtId="0" fontId="108" fillId="0" borderId="0" xfId="0" applyFont="1" applyAlignment="1">
      <alignment horizontal="right" vertical="center"/>
    </xf>
    <xf numFmtId="174" fontId="52" fillId="10" borderId="0" xfId="0" applyNumberFormat="1" applyFont="1" applyFill="1" applyAlignment="1">
      <alignment horizontal="center" vertical="center"/>
    </xf>
    <xf numFmtId="170" fontId="52" fillId="10" borderId="0" xfId="0" applyNumberFormat="1" applyFont="1" applyFill="1" applyAlignment="1">
      <alignment horizontal="center" vertical="center"/>
    </xf>
    <xf numFmtId="170" fontId="74" fillId="2" borderId="0" xfId="0" applyNumberFormat="1" applyFont="1" applyFill="1" applyAlignment="1">
      <alignment horizontal="center" vertical="center"/>
    </xf>
    <xf numFmtId="170" fontId="58" fillId="19" borderId="0" xfId="0" applyNumberFormat="1" applyFont="1" applyFill="1" applyAlignment="1">
      <alignment horizontal="center" vertical="center"/>
    </xf>
    <xf numFmtId="170" fontId="58" fillId="15" borderId="0" xfId="0" applyNumberFormat="1" applyFont="1" applyFill="1" applyAlignment="1">
      <alignment horizontal="center" vertical="center"/>
    </xf>
    <xf numFmtId="170" fontId="58" fillId="38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74" fillId="2" borderId="0" xfId="0" applyNumberFormat="1" applyFont="1" applyFill="1" applyAlignment="1">
      <alignment horizontal="center" vertical="center"/>
    </xf>
    <xf numFmtId="9" fontId="52" fillId="10" borderId="0" xfId="0" applyNumberFormat="1" applyFont="1" applyFill="1" applyAlignment="1">
      <alignment horizontal="center" vertical="center"/>
    </xf>
    <xf numFmtId="0" fontId="97" fillId="10" borderId="0" xfId="0" applyFont="1" applyFill="1" applyAlignment="1">
      <alignment horizontal="left" vertical="center" indent="2"/>
    </xf>
    <xf numFmtId="166" fontId="109" fillId="10" borderId="0" xfId="0" applyNumberFormat="1" applyFont="1" applyFill="1" applyAlignment="1">
      <alignment horizontal="center" vertical="center"/>
    </xf>
    <xf numFmtId="0" fontId="110" fillId="10" borderId="0" xfId="0" applyFont="1" applyFill="1" applyAlignment="1">
      <alignment vertical="center"/>
    </xf>
    <xf numFmtId="0" fontId="111" fillId="1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12" fillId="2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166" fontId="113" fillId="10" borderId="0" xfId="0" applyNumberFormat="1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left" vertical="center" indent="2"/>
    </xf>
    <xf numFmtId="0" fontId="69" fillId="7" borderId="0" xfId="0" applyFont="1" applyFill="1" applyAlignment="1">
      <alignment horizontal="center" vertical="center"/>
    </xf>
    <xf numFmtId="0" fontId="115" fillId="8" borderId="0" xfId="0" applyFont="1" applyFill="1" applyAlignment="1">
      <alignment horizontal="left" vertical="center" indent="2"/>
    </xf>
    <xf numFmtId="0" fontId="69" fillId="8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indent="2"/>
    </xf>
    <xf numFmtId="166" fontId="116" fillId="12" borderId="0" xfId="0" applyNumberFormat="1" applyFont="1" applyFill="1" applyAlignment="1">
      <alignment horizontal="right" vertical="center"/>
    </xf>
    <xf numFmtId="0" fontId="69" fillId="12" borderId="0" xfId="0" applyFont="1" applyFill="1" applyAlignment="1">
      <alignment horizontal="center" vertical="center"/>
    </xf>
    <xf numFmtId="166" fontId="113" fillId="12" borderId="0" xfId="0" applyNumberFormat="1" applyFont="1" applyFill="1" applyAlignment="1">
      <alignment horizontal="right" vertical="center"/>
    </xf>
    <xf numFmtId="0" fontId="117" fillId="39" borderId="0" xfId="0" applyFont="1" applyFill="1" applyAlignment="1">
      <alignment horizontal="left" vertical="center" indent="2"/>
    </xf>
    <xf numFmtId="166" fontId="12" fillId="39" borderId="0" xfId="0" applyNumberFormat="1" applyFont="1" applyFill="1" applyAlignment="1">
      <alignment horizontal="right" vertical="center"/>
    </xf>
    <xf numFmtId="0" fontId="69" fillId="39" borderId="0" xfId="0" applyFont="1" applyFill="1" applyAlignment="1">
      <alignment horizontal="center" vertical="center"/>
    </xf>
    <xf numFmtId="166" fontId="15" fillId="39" borderId="0" xfId="0" applyNumberFormat="1" applyFont="1" applyFill="1" applyAlignment="1">
      <alignment horizontal="right" vertical="center"/>
    </xf>
    <xf numFmtId="166" fontId="44" fillId="4" borderId="0" xfId="0" applyNumberFormat="1" applyFont="1" applyFill="1" applyAlignment="1">
      <alignment horizontal="right" vertical="center"/>
    </xf>
    <xf numFmtId="166" fontId="43" fillId="4" borderId="0" xfId="0" applyNumberFormat="1" applyFont="1" applyFill="1" applyAlignment="1">
      <alignment horizontal="right" vertical="center"/>
    </xf>
    <xf numFmtId="0" fontId="118" fillId="4" borderId="0" xfId="0" applyFont="1" applyFill="1" applyAlignment="1">
      <alignment horizontal="left" vertical="center" indent="3"/>
    </xf>
    <xf numFmtId="0" fontId="11" fillId="6" borderId="0" xfId="0" applyFont="1" applyFill="1" applyAlignment="1">
      <alignment horizontal="left" vertical="center" indent="2"/>
    </xf>
    <xf numFmtId="166" fontId="12" fillId="6" borderId="0" xfId="0" applyNumberFormat="1" applyFont="1" applyFill="1" applyAlignment="1">
      <alignment horizontal="right" vertical="center"/>
    </xf>
    <xf numFmtId="0" fontId="119" fillId="6" borderId="0" xfId="0" applyFont="1" applyFill="1" applyAlignment="1">
      <alignment horizontal="center" vertical="center"/>
    </xf>
    <xf numFmtId="0" fontId="112" fillId="30" borderId="0" xfId="0" applyFont="1" applyFill="1" applyAlignment="1">
      <alignment horizontal="left" vertical="center" indent="2"/>
    </xf>
    <xf numFmtId="0" fontId="69" fillId="10" borderId="0" xfId="0" applyFont="1" applyFill="1" applyAlignment="1">
      <alignment horizontal="center" vertical="center"/>
    </xf>
    <xf numFmtId="166" fontId="116" fillId="30" borderId="0" xfId="0" applyNumberFormat="1" applyFont="1" applyFill="1" applyAlignment="1">
      <alignment horizontal="right" vertical="center"/>
    </xf>
    <xf numFmtId="0" fontId="39" fillId="16" borderId="0" xfId="0" applyFont="1" applyFill="1" applyAlignment="1">
      <alignment horizontal="left" vertical="center" indent="2"/>
    </xf>
    <xf numFmtId="166" fontId="120" fillId="16" borderId="0" xfId="0" applyNumberFormat="1" applyFont="1" applyFill="1" applyAlignment="1">
      <alignment horizontal="right" vertical="center"/>
    </xf>
    <xf numFmtId="166" fontId="121" fillId="30" borderId="0" xfId="0" applyNumberFormat="1" applyFont="1" applyFill="1" applyAlignment="1">
      <alignment horizontal="right" vertical="center"/>
    </xf>
    <xf numFmtId="166" fontId="122" fillId="30" borderId="0" xfId="0" applyNumberFormat="1" applyFont="1" applyFill="1" applyAlignment="1">
      <alignment horizontal="right" vertical="center"/>
    </xf>
    <xf numFmtId="0" fontId="15" fillId="8" borderId="0" xfId="0" applyFont="1" applyFill="1" applyAlignment="1">
      <alignment horizontal="left" vertical="center" indent="2"/>
    </xf>
    <xf numFmtId="169" fontId="15" fillId="7" borderId="0" xfId="0" applyNumberFormat="1" applyFont="1" applyFill="1" applyAlignment="1">
      <alignment horizontal="right" vertical="center"/>
    </xf>
    <xf numFmtId="0" fontId="42" fillId="10" borderId="0" xfId="0" applyFont="1" applyFill="1" applyAlignment="1">
      <alignment horizontal="left" vertical="center" indent="2"/>
    </xf>
    <xf numFmtId="166" fontId="111" fillId="10" borderId="0" xfId="0" applyNumberFormat="1" applyFont="1" applyFill="1" applyAlignment="1">
      <alignment horizontal="center" vertical="center"/>
    </xf>
    <xf numFmtId="166" fontId="12" fillId="10" borderId="0" xfId="0" applyNumberFormat="1" applyFont="1" applyFill="1" applyAlignment="1">
      <alignment horizontal="center" vertical="center"/>
    </xf>
    <xf numFmtId="166" fontId="5" fillId="10" borderId="0" xfId="0" applyNumberFormat="1" applyFont="1" applyFill="1" applyAlignment="1">
      <alignment horizontal="center" vertical="center"/>
    </xf>
    <xf numFmtId="166" fontId="43" fillId="10" borderId="0" xfId="0" applyNumberFormat="1" applyFont="1" applyFill="1" applyAlignment="1">
      <alignment vertical="center"/>
    </xf>
    <xf numFmtId="169" fontId="111" fillId="4" borderId="0" xfId="0" applyNumberFormat="1" applyFont="1" applyFill="1" applyAlignment="1">
      <alignment horizontal="center" vertical="center"/>
    </xf>
    <xf numFmtId="0" fontId="43" fillId="4" borderId="0" xfId="0" applyFont="1" applyFill="1" applyAlignment="1">
      <alignment horizontal="left" vertical="center"/>
    </xf>
    <xf numFmtId="167" fontId="111" fillId="4" borderId="0" xfId="0" applyNumberFormat="1" applyFont="1" applyFill="1" applyAlignment="1">
      <alignment horizontal="center" vertical="center"/>
    </xf>
    <xf numFmtId="0" fontId="43" fillId="10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 indent="1"/>
    </xf>
    <xf numFmtId="165" fontId="38" fillId="8" borderId="0" xfId="0" applyNumberFormat="1" applyFont="1" applyFill="1" applyAlignment="1">
      <alignment horizontal="right" vertical="center"/>
    </xf>
    <xf numFmtId="169" fontId="12" fillId="8" borderId="0" xfId="0" applyNumberFormat="1" applyFont="1" applyFill="1" applyAlignment="1">
      <alignment horizontal="right" vertical="center"/>
    </xf>
    <xf numFmtId="187" fontId="44" fillId="8" borderId="0" xfId="0" applyNumberFormat="1" applyFont="1" applyFill="1" applyAlignment="1">
      <alignment horizontal="right" vertical="center"/>
    </xf>
    <xf numFmtId="165" fontId="52" fillId="2" borderId="0" xfId="0" applyNumberFormat="1" applyFont="1" applyFill="1" applyAlignment="1">
      <alignment horizontal="right" vertical="center"/>
    </xf>
    <xf numFmtId="169" fontId="12" fillId="2" borderId="0" xfId="0" applyNumberFormat="1" applyFont="1" applyFill="1" applyAlignment="1">
      <alignment horizontal="right" vertical="center"/>
    </xf>
    <xf numFmtId="187" fontId="123" fillId="2" borderId="0" xfId="0" applyNumberFormat="1" applyFont="1" applyFill="1" applyAlignment="1">
      <alignment horizontal="right" vertical="center"/>
    </xf>
    <xf numFmtId="165" fontId="38" fillId="19" borderId="0" xfId="0" applyNumberFormat="1" applyFont="1" applyFill="1" applyAlignment="1">
      <alignment horizontal="right" vertical="center"/>
    </xf>
    <xf numFmtId="166" fontId="5" fillId="19" borderId="0" xfId="0" applyNumberFormat="1" applyFont="1" applyFill="1" applyAlignment="1">
      <alignment horizontal="right" vertical="center"/>
    </xf>
    <xf numFmtId="169" fontId="12" fillId="19" borderId="0" xfId="0" applyNumberFormat="1" applyFont="1" applyFill="1" applyAlignment="1">
      <alignment horizontal="right" vertical="center"/>
    </xf>
    <xf numFmtId="187" fontId="44" fillId="19" borderId="0" xfId="0" applyNumberFormat="1" applyFont="1" applyFill="1" applyAlignment="1">
      <alignment horizontal="right" vertical="center"/>
    </xf>
    <xf numFmtId="181" fontId="38" fillId="10" borderId="0" xfId="0" applyNumberFormat="1" applyFont="1" applyFill="1"/>
    <xf numFmtId="181" fontId="15" fillId="0" borderId="0" xfId="0" applyNumberFormat="1" applyFont="1"/>
    <xf numFmtId="165" fontId="38" fillId="10" borderId="0" xfId="0" applyNumberFormat="1" applyFont="1" applyFill="1"/>
    <xf numFmtId="169" fontId="38" fillId="10" borderId="0" xfId="0" applyNumberFormat="1" applyFont="1" applyFill="1"/>
    <xf numFmtId="169" fontId="15" fillId="0" borderId="0" xfId="0" applyNumberFormat="1" applyFont="1"/>
    <xf numFmtId="181" fontId="38" fillId="0" borderId="0" xfId="0" applyNumberFormat="1" applyFont="1"/>
    <xf numFmtId="0" fontId="124" fillId="40" borderId="0" xfId="0" applyFont="1" applyFill="1"/>
    <xf numFmtId="0" fontId="126" fillId="40" borderId="0" xfId="0" applyFont="1" applyFill="1"/>
    <xf numFmtId="0" fontId="127" fillId="40" borderId="0" xfId="0" applyFont="1" applyFill="1"/>
    <xf numFmtId="0" fontId="128" fillId="40" borderId="0" xfId="0" applyFont="1" applyFill="1"/>
    <xf numFmtId="0" fontId="129" fillId="40" borderId="0" xfId="0" applyFont="1" applyFill="1"/>
    <xf numFmtId="0" fontId="131" fillId="40" borderId="0" xfId="0" applyFont="1" applyFill="1" applyAlignment="1">
      <alignment horizontal="right"/>
    </xf>
    <xf numFmtId="188" fontId="132" fillId="40" borderId="0" xfId="0" applyNumberFormat="1" applyFont="1" applyFill="1" applyAlignment="1">
      <alignment horizontal="right"/>
    </xf>
    <xf numFmtId="189" fontId="131" fillId="40" borderId="0" xfId="0" applyNumberFormat="1" applyFont="1" applyFill="1" applyAlignment="1">
      <alignment horizontal="right"/>
    </xf>
    <xf numFmtId="190" fontId="131" fillId="40" borderId="0" xfId="0" applyNumberFormat="1" applyFont="1" applyFill="1" applyAlignment="1">
      <alignment horizontal="right"/>
    </xf>
    <xf numFmtId="191" fontId="131" fillId="40" borderId="0" xfId="0" applyNumberFormat="1" applyFont="1" applyFill="1" applyAlignment="1">
      <alignment horizontal="right"/>
    </xf>
    <xf numFmtId="0" fontId="135" fillId="40" borderId="0" xfId="0" applyFont="1" applyFill="1"/>
    <xf numFmtId="191" fontId="136" fillId="40" borderId="0" xfId="0" applyNumberFormat="1" applyFont="1" applyFill="1" applyAlignment="1">
      <alignment horizontal="right"/>
    </xf>
    <xf numFmtId="192" fontId="131" fillId="40" borderId="0" xfId="0" applyNumberFormat="1" applyFont="1" applyFill="1" applyAlignment="1">
      <alignment horizontal="right"/>
    </xf>
    <xf numFmtId="193" fontId="136" fillId="40" borderId="0" xfId="0" applyNumberFormat="1" applyFont="1" applyFill="1" applyAlignment="1">
      <alignment horizontal="right"/>
    </xf>
    <xf numFmtId="0" fontId="137" fillId="41" borderId="0" xfId="0" applyFont="1" applyFill="1" applyAlignment="1">
      <alignment horizontal="right"/>
    </xf>
    <xf numFmtId="0" fontId="124" fillId="40" borderId="0" xfId="0" applyFont="1" applyFill="1" applyAlignment="1">
      <alignment horizontal="right"/>
    </xf>
    <xf numFmtId="195" fontId="131" fillId="40" borderId="0" xfId="0" applyNumberFormat="1" applyFont="1" applyFill="1" applyAlignment="1">
      <alignment horizontal="right"/>
    </xf>
    <xf numFmtId="0" fontId="140" fillId="0" borderId="0" xfId="0" applyFont="1"/>
    <xf numFmtId="0" fontId="141" fillId="0" borderId="0" xfId="0" applyFont="1"/>
    <xf numFmtId="170" fontId="70" fillId="0" borderId="0" xfId="0" applyNumberFormat="1" applyFont="1"/>
    <xf numFmtId="0" fontId="142" fillId="0" borderId="0" xfId="0" applyFont="1"/>
    <xf numFmtId="10" fontId="142" fillId="0" borderId="0" xfId="0" applyNumberFormat="1" applyFont="1"/>
    <xf numFmtId="170" fontId="142" fillId="0" borderId="0" xfId="0" applyNumberFormat="1" applyFont="1"/>
    <xf numFmtId="3" fontId="142" fillId="0" borderId="0" xfId="0" applyNumberFormat="1" applyFont="1"/>
    <xf numFmtId="3" fontId="0" fillId="0" borderId="0" xfId="0" applyNumberFormat="1"/>
    <xf numFmtId="0" fontId="143" fillId="41" borderId="0" xfId="0" applyFont="1" applyFill="1" applyAlignment="1">
      <alignment horizontal="right"/>
    </xf>
    <xf numFmtId="170" fontId="0" fillId="0" borderId="0" xfId="0" applyNumberFormat="1"/>
    <xf numFmtId="2" fontId="0" fillId="0" borderId="0" xfId="0" applyNumberFormat="1"/>
    <xf numFmtId="0" fontId="138" fillId="40" borderId="0" xfId="0" applyFont="1" applyFill="1" applyAlignment="1">
      <alignment horizontal="right"/>
    </xf>
    <xf numFmtId="170" fontId="131" fillId="40" borderId="0" xfId="0" applyNumberFormat="1" applyFont="1" applyFill="1" applyAlignment="1">
      <alignment horizontal="right"/>
    </xf>
    <xf numFmtId="196" fontId="131" fillId="40" borderId="0" xfId="0" applyNumberFormat="1" applyFont="1" applyFill="1" applyAlignment="1">
      <alignment horizontal="right"/>
    </xf>
    <xf numFmtId="10" fontId="132" fillId="40" borderId="0" xfId="0" applyNumberFormat="1" applyFont="1" applyFill="1" applyAlignment="1">
      <alignment horizontal="right"/>
    </xf>
    <xf numFmtId="195" fontId="124" fillId="40" borderId="0" xfId="0" applyNumberFormat="1" applyFont="1" applyFill="1" applyAlignment="1">
      <alignment horizontal="right"/>
    </xf>
    <xf numFmtId="197" fontId="135" fillId="40" borderId="0" xfId="0" applyNumberFormat="1" applyFont="1" applyFill="1" applyAlignment="1">
      <alignment horizontal="right"/>
    </xf>
    <xf numFmtId="0" fontId="144" fillId="40" borderId="0" xfId="0" applyFont="1" applyFill="1"/>
    <xf numFmtId="198" fontId="135" fillId="40" borderId="0" xfId="0" applyNumberFormat="1" applyFont="1" applyFill="1" applyAlignment="1">
      <alignment horizontal="right"/>
    </xf>
    <xf numFmtId="199" fontId="124" fillId="40" borderId="0" xfId="0" applyNumberFormat="1" applyFont="1" applyFill="1" applyAlignment="1">
      <alignment horizontal="right"/>
    </xf>
    <xf numFmtId="10" fontId="131" fillId="40" borderId="0" xfId="0" applyNumberFormat="1" applyFont="1" applyFill="1" applyAlignment="1">
      <alignment horizontal="right"/>
    </xf>
    <xf numFmtId="195" fontId="138" fillId="40" borderId="0" xfId="0" applyNumberFormat="1" applyFont="1" applyFill="1" applyAlignment="1">
      <alignment horizontal="right"/>
    </xf>
    <xf numFmtId="0" fontId="137" fillId="43" borderId="0" xfId="0" applyFont="1" applyFill="1"/>
    <xf numFmtId="0" fontId="124" fillId="43" borderId="0" xfId="0" applyFont="1" applyFill="1"/>
    <xf numFmtId="170" fontId="146" fillId="0" borderId="0" xfId="0" applyNumberFormat="1" applyFont="1"/>
    <xf numFmtId="2" fontId="146" fillId="0" borderId="0" xfId="0" applyNumberFormat="1" applyFont="1"/>
    <xf numFmtId="0" fontId="130" fillId="44" borderId="0" xfId="0" applyFont="1" applyFill="1"/>
    <xf numFmtId="0" fontId="124" fillId="44" borderId="0" xfId="0" applyFont="1" applyFill="1"/>
    <xf numFmtId="0" fontId="124" fillId="41" borderId="41" xfId="0" applyFont="1" applyFill="1" applyBorder="1"/>
    <xf numFmtId="0" fontId="124" fillId="40" borderId="44" xfId="0" applyFont="1" applyFill="1" applyBorder="1"/>
    <xf numFmtId="0" fontId="145" fillId="41" borderId="49" xfId="0" applyFont="1" applyFill="1" applyBorder="1" applyAlignment="1">
      <alignment horizontal="center"/>
    </xf>
    <xf numFmtId="0" fontId="145" fillId="41" borderId="50" xfId="0" applyFont="1" applyFill="1" applyBorder="1" applyAlignment="1">
      <alignment horizontal="center"/>
    </xf>
    <xf numFmtId="0" fontId="124" fillId="41" borderId="50" xfId="0" applyFont="1" applyFill="1" applyBorder="1"/>
    <xf numFmtId="0" fontId="124" fillId="41" borderId="51" xfId="0" applyFont="1" applyFill="1" applyBorder="1"/>
    <xf numFmtId="0" fontId="124" fillId="40" borderId="52" xfId="0" applyFont="1" applyFill="1" applyBorder="1"/>
    <xf numFmtId="0" fontId="138" fillId="40" borderId="29" xfId="0" applyFont="1" applyFill="1" applyBorder="1" applyAlignment="1">
      <alignment horizontal="center"/>
    </xf>
    <xf numFmtId="0" fontId="138" fillId="40" borderId="53" xfId="0" applyFont="1" applyFill="1" applyBorder="1" applyAlignment="1">
      <alignment horizontal="center"/>
    </xf>
    <xf numFmtId="10" fontId="138" fillId="40" borderId="52" xfId="0" applyNumberFormat="1" applyFont="1" applyFill="1" applyBorder="1" applyAlignment="1">
      <alignment horizontal="center"/>
    </xf>
    <xf numFmtId="0" fontId="125" fillId="40" borderId="29" xfId="0" applyFont="1" applyFill="1" applyBorder="1" applyAlignment="1">
      <alignment horizontal="center"/>
    </xf>
    <xf numFmtId="0" fontId="125" fillId="40" borderId="53" xfId="0" applyFont="1" applyFill="1" applyBorder="1" applyAlignment="1">
      <alignment horizontal="center"/>
    </xf>
    <xf numFmtId="0" fontId="147" fillId="45" borderId="29" xfId="0" applyFont="1" applyFill="1" applyBorder="1" applyAlignment="1">
      <alignment horizontal="center"/>
    </xf>
    <xf numFmtId="10" fontId="138" fillId="40" borderId="54" xfId="0" applyNumberFormat="1" applyFont="1" applyFill="1" applyBorder="1" applyAlignment="1">
      <alignment horizontal="center"/>
    </xf>
    <xf numFmtId="0" fontId="125" fillId="40" borderId="55" xfId="0" applyFont="1" applyFill="1" applyBorder="1" applyAlignment="1">
      <alignment horizontal="center"/>
    </xf>
    <xf numFmtId="0" fontId="125" fillId="40" borderId="56" xfId="0" applyFont="1" applyFill="1" applyBorder="1" applyAlignment="1">
      <alignment horizontal="center"/>
    </xf>
    <xf numFmtId="0" fontId="145" fillId="41" borderId="49" xfId="0" applyFont="1" applyFill="1" applyBorder="1"/>
    <xf numFmtId="0" fontId="145" fillId="41" borderId="50" xfId="0" applyFont="1" applyFill="1" applyBorder="1" applyAlignment="1">
      <alignment horizontal="right"/>
    </xf>
    <xf numFmtId="0" fontId="145" fillId="41" borderId="51" xfId="0" applyFont="1" applyFill="1" applyBorder="1" applyAlignment="1">
      <alignment horizontal="right"/>
    </xf>
    <xf numFmtId="0" fontId="131" fillId="40" borderId="52" xfId="0" applyFont="1" applyFill="1" applyBorder="1"/>
    <xf numFmtId="194" fontId="132" fillId="40" borderId="29" xfId="0" applyNumberFormat="1" applyFont="1" applyFill="1" applyBorder="1" applyAlignment="1">
      <alignment horizontal="right"/>
    </xf>
    <xf numFmtId="190" fontId="131" fillId="40" borderId="29" xfId="0" applyNumberFormat="1" applyFont="1" applyFill="1" applyBorder="1" applyAlignment="1">
      <alignment horizontal="right"/>
    </xf>
    <xf numFmtId="200" fontId="131" fillId="40" borderId="29" xfId="0" applyNumberFormat="1" applyFont="1" applyFill="1" applyBorder="1" applyAlignment="1">
      <alignment horizontal="right"/>
    </xf>
    <xf numFmtId="201" fontId="124" fillId="40" borderId="29" xfId="0" applyNumberFormat="1" applyFont="1" applyFill="1" applyBorder="1" applyAlignment="1">
      <alignment horizontal="right"/>
    </xf>
    <xf numFmtId="200" fontId="132" fillId="40" borderId="29" xfId="0" applyNumberFormat="1" applyFont="1" applyFill="1" applyBorder="1" applyAlignment="1">
      <alignment horizontal="right"/>
    </xf>
    <xf numFmtId="200" fontId="124" fillId="40" borderId="53" xfId="0" applyNumberFormat="1" applyFont="1" applyFill="1" applyBorder="1" applyAlignment="1">
      <alignment horizontal="right"/>
    </xf>
    <xf numFmtId="194" fontId="124" fillId="40" borderId="0" xfId="0" applyNumberFormat="1" applyFont="1" applyFill="1" applyAlignment="1">
      <alignment horizontal="right"/>
    </xf>
    <xf numFmtId="190" fontId="124" fillId="40" borderId="0" xfId="0" applyNumberFormat="1" applyFont="1" applyFill="1" applyAlignment="1">
      <alignment horizontal="right"/>
    </xf>
    <xf numFmtId="0" fontId="124" fillId="40" borderId="41" xfId="0" applyFont="1" applyFill="1" applyBorder="1"/>
    <xf numFmtId="0" fontId="137" fillId="41" borderId="41" xfId="0" applyFont="1" applyFill="1" applyBorder="1" applyAlignment="1">
      <alignment horizontal="center"/>
    </xf>
    <xf numFmtId="0" fontId="137" fillId="41" borderId="41" xfId="0" applyFont="1" applyFill="1" applyBorder="1" applyAlignment="1">
      <alignment horizontal="right"/>
    </xf>
    <xf numFmtId="0" fontId="137" fillId="41" borderId="43" xfId="0" applyFont="1" applyFill="1" applyBorder="1"/>
    <xf numFmtId="0" fontId="135" fillId="40" borderId="44" xfId="0" applyFont="1" applyFill="1" applyBorder="1"/>
    <xf numFmtId="0" fontId="137" fillId="41" borderId="46" xfId="0" applyFont="1" applyFill="1" applyBorder="1" applyAlignment="1">
      <alignment horizontal="right"/>
    </xf>
    <xf numFmtId="190" fontId="124" fillId="40" borderId="47" xfId="0" applyNumberFormat="1" applyFont="1" applyFill="1" applyBorder="1" applyAlignment="1">
      <alignment horizontal="right"/>
    </xf>
    <xf numFmtId="0" fontId="139" fillId="40" borderId="0" xfId="0" applyFont="1" applyFill="1"/>
    <xf numFmtId="194" fontId="131" fillId="40" borderId="0" xfId="0" applyNumberFormat="1" applyFont="1" applyFill="1" applyAlignment="1">
      <alignment horizontal="right"/>
    </xf>
    <xf numFmtId="0" fontId="138" fillId="40" borderId="41" xfId="0" applyFont="1" applyFill="1" applyBorder="1" applyAlignment="1">
      <alignment horizontal="right"/>
    </xf>
    <xf numFmtId="194" fontId="131" fillId="40" borderId="42" xfId="0" applyNumberFormat="1" applyFont="1" applyFill="1" applyBorder="1" applyAlignment="1">
      <alignment horizontal="right"/>
    </xf>
    <xf numFmtId="0" fontId="138" fillId="40" borderId="43" xfId="0" applyFont="1" applyFill="1" applyBorder="1" applyAlignment="1">
      <alignment horizontal="right"/>
    </xf>
    <xf numFmtId="0" fontId="124" fillId="43" borderId="44" xfId="0" applyFont="1" applyFill="1" applyBorder="1"/>
    <xf numFmtId="194" fontId="131" fillId="40" borderId="44" xfId="0" applyNumberFormat="1" applyFont="1" applyFill="1" applyBorder="1" applyAlignment="1">
      <alignment horizontal="right"/>
    </xf>
    <xf numFmtId="194" fontId="131" fillId="40" borderId="45" xfId="0" applyNumberFormat="1" applyFont="1" applyFill="1" applyBorder="1" applyAlignment="1">
      <alignment horizontal="right"/>
    </xf>
    <xf numFmtId="0" fontId="138" fillId="40" borderId="46" xfId="0" applyFont="1" applyFill="1" applyBorder="1" applyAlignment="1">
      <alignment horizontal="right"/>
    </xf>
    <xf numFmtId="0" fontId="124" fillId="43" borderId="47" xfId="0" applyFont="1" applyFill="1" applyBorder="1"/>
    <xf numFmtId="194" fontId="131" fillId="40" borderId="47" xfId="0" applyNumberFormat="1" applyFont="1" applyFill="1" applyBorder="1" applyAlignment="1">
      <alignment horizontal="right"/>
    </xf>
    <xf numFmtId="194" fontId="131" fillId="40" borderId="48" xfId="0" applyNumberFormat="1" applyFont="1" applyFill="1" applyBorder="1" applyAlignment="1">
      <alignment horizontal="right"/>
    </xf>
    <xf numFmtId="0" fontId="138" fillId="42" borderId="57" xfId="0" applyFont="1" applyFill="1" applyBorder="1"/>
    <xf numFmtId="0" fontId="124" fillId="40" borderId="58" xfId="0" applyFont="1" applyFill="1" applyBorder="1"/>
    <xf numFmtId="194" fontId="138" fillId="42" borderId="58" xfId="0" applyNumberFormat="1" applyFont="1" applyFill="1" applyBorder="1" applyAlignment="1">
      <alignment horizontal="right"/>
    </xf>
    <xf numFmtId="195" fontId="138" fillId="42" borderId="58" xfId="0" applyNumberFormat="1" applyFont="1" applyFill="1" applyBorder="1" applyAlignment="1">
      <alignment horizontal="right"/>
    </xf>
    <xf numFmtId="190" fontId="138" fillId="42" borderId="58" xfId="0" applyNumberFormat="1" applyFont="1" applyFill="1" applyBorder="1" applyAlignment="1">
      <alignment horizontal="right"/>
    </xf>
    <xf numFmtId="190" fontId="138" fillId="42" borderId="59" xfId="0" applyNumberFormat="1" applyFont="1" applyFill="1" applyBorder="1" applyAlignment="1">
      <alignment horizontal="right"/>
    </xf>
    <xf numFmtId="0" fontId="131" fillId="40" borderId="60" xfId="0" applyFont="1" applyFill="1" applyBorder="1"/>
    <xf numFmtId="194" fontId="132" fillId="40" borderId="61" xfId="0" applyNumberFormat="1" applyFont="1" applyFill="1" applyBorder="1" applyAlignment="1">
      <alignment horizontal="right"/>
    </xf>
    <xf numFmtId="190" fontId="131" fillId="40" borderId="61" xfId="0" applyNumberFormat="1" applyFont="1" applyFill="1" applyBorder="1" applyAlignment="1">
      <alignment horizontal="right"/>
    </xf>
    <xf numFmtId="200" fontId="131" fillId="40" borderId="61" xfId="0" applyNumberFormat="1" applyFont="1" applyFill="1" applyBorder="1" applyAlignment="1">
      <alignment horizontal="right"/>
    </xf>
    <xf numFmtId="201" fontId="124" fillId="40" borderId="61" xfId="0" applyNumberFormat="1" applyFont="1" applyFill="1" applyBorder="1" applyAlignment="1">
      <alignment horizontal="right"/>
    </xf>
    <xf numFmtId="200" fontId="132" fillId="40" borderId="61" xfId="0" applyNumberFormat="1" applyFont="1" applyFill="1" applyBorder="1" applyAlignment="1">
      <alignment horizontal="right"/>
    </xf>
    <xf numFmtId="200" fontId="124" fillId="40" borderId="62" xfId="0" applyNumberFormat="1" applyFont="1" applyFill="1" applyBorder="1" applyAlignment="1">
      <alignment horizontal="right"/>
    </xf>
    <xf numFmtId="0" fontId="138" fillId="42" borderId="63" xfId="0" applyFont="1" applyFill="1" applyBorder="1"/>
    <xf numFmtId="194" fontId="138" fillId="42" borderId="64" xfId="0" applyNumberFormat="1" applyFont="1" applyFill="1" applyBorder="1" applyAlignment="1">
      <alignment horizontal="right"/>
    </xf>
    <xf numFmtId="190" fontId="138" fillId="42" borderId="64" xfId="0" applyNumberFormat="1" applyFont="1" applyFill="1" applyBorder="1" applyAlignment="1">
      <alignment horizontal="right"/>
    </xf>
    <xf numFmtId="200" fontId="138" fillId="42" borderId="64" xfId="0" applyNumberFormat="1" applyFont="1" applyFill="1" applyBorder="1" applyAlignment="1">
      <alignment horizontal="right"/>
    </xf>
    <xf numFmtId="201" fontId="138" fillId="42" borderId="64" xfId="0" applyNumberFormat="1" applyFont="1" applyFill="1" applyBorder="1" applyAlignment="1">
      <alignment horizontal="right"/>
    </xf>
    <xf numFmtId="200" fontId="138" fillId="42" borderId="65" xfId="0" applyNumberFormat="1" applyFont="1" applyFill="1" applyBorder="1" applyAlignment="1">
      <alignment horizontal="right"/>
    </xf>
    <xf numFmtId="0" fontId="138" fillId="40" borderId="66" xfId="0" applyFont="1" applyFill="1" applyBorder="1"/>
    <xf numFmtId="0" fontId="124" fillId="40" borderId="66" xfId="0" applyFont="1" applyFill="1" applyBorder="1"/>
    <xf numFmtId="195" fontId="138" fillId="42" borderId="66" xfId="0" applyNumberFormat="1" applyFont="1" applyFill="1" applyBorder="1" applyAlignment="1">
      <alignment horizontal="right"/>
    </xf>
    <xf numFmtId="165" fontId="131" fillId="40" borderId="44" xfId="0" applyNumberFormat="1" applyFont="1" applyFill="1" applyBorder="1" applyAlignment="1">
      <alignment horizontal="right"/>
    </xf>
    <xf numFmtId="0" fontId="35" fillId="2" borderId="0" xfId="0" applyFont="1" applyFill="1" applyAlignment="1">
      <alignment horizontal="left" vertical="center" indent="1"/>
    </xf>
    <xf numFmtId="0" fontId="3" fillId="6" borderId="40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indent="1"/>
    </xf>
    <xf numFmtId="0" fontId="8" fillId="1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19" fillId="9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center"/>
    </xf>
    <xf numFmtId="0" fontId="13" fillId="4" borderId="0" xfId="0" applyFont="1" applyFill="1" applyAlignment="1">
      <alignment horizontal="left" vertical="center" indent="1"/>
    </xf>
    <xf numFmtId="0" fontId="11" fillId="12" borderId="0" xfId="0" applyFont="1" applyFill="1" applyAlignment="1">
      <alignment horizontal="left" vertical="center" indent="1"/>
    </xf>
    <xf numFmtId="0" fontId="33" fillId="1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36" fillId="14" borderId="2" xfId="0" applyFont="1" applyFill="1" applyBorder="1" applyAlignment="1">
      <alignment horizontal="left" vertical="top" wrapText="1"/>
    </xf>
    <xf numFmtId="0" fontId="37" fillId="0" borderId="0" xfId="0" applyFont="1" applyAlignment="1">
      <alignment horizontal="left" vertical="center" indent="1"/>
    </xf>
    <xf numFmtId="0" fontId="15" fillId="0" borderId="0" xfId="0" applyFont="1"/>
    <xf numFmtId="0" fontId="11" fillId="6" borderId="0" xfId="0" applyFont="1" applyFill="1" applyAlignment="1">
      <alignment horizontal="left" vertical="center" indent="1"/>
    </xf>
    <xf numFmtId="0" fontId="39" fillId="2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13" fillId="7" borderId="0" xfId="0" applyFont="1" applyFill="1" applyAlignment="1">
      <alignment horizontal="left" vertical="center" indent="1"/>
    </xf>
    <xf numFmtId="0" fontId="4" fillId="0" borderId="0" xfId="0" applyFont="1" applyAlignment="1">
      <alignment wrapText="1"/>
    </xf>
    <xf numFmtId="0" fontId="11" fillId="2" borderId="0" xfId="0" applyFont="1" applyFill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165" fontId="4" fillId="8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89" fillId="2" borderId="0" xfId="0" applyFont="1" applyFill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8" fillId="28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6" fontId="4" fillId="4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left" vertical="center"/>
    </xf>
    <xf numFmtId="0" fontId="87" fillId="8" borderId="2" xfId="0" applyFont="1" applyFill="1" applyBorder="1" applyAlignment="1">
      <alignment horizontal="left" vertical="center"/>
    </xf>
    <xf numFmtId="166" fontId="15" fillId="8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13" fillId="5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center" vertical="center" wrapText="1"/>
    </xf>
    <xf numFmtId="0" fontId="3" fillId="30" borderId="0" xfId="0" applyFont="1" applyFill="1" applyAlignment="1">
      <alignment horizontal="left" vertical="center" indent="1"/>
    </xf>
    <xf numFmtId="0" fontId="3" fillId="31" borderId="0" xfId="0" applyFont="1" applyFill="1" applyAlignment="1">
      <alignment horizontal="left" vertical="center" indent="1"/>
    </xf>
    <xf numFmtId="0" fontId="11" fillId="2" borderId="17" xfId="0" applyFont="1" applyFill="1" applyBorder="1" applyAlignment="1">
      <alignment horizontal="left"/>
    </xf>
    <xf numFmtId="0" fontId="100" fillId="0" borderId="11" xfId="0" applyFont="1" applyBorder="1" applyAlignment="1">
      <alignment horizontal="left"/>
    </xf>
    <xf numFmtId="0" fontId="100" fillId="0" borderId="19" xfId="0" applyFont="1" applyBorder="1" applyAlignment="1">
      <alignment horizontal="left"/>
    </xf>
    <xf numFmtId="0" fontId="39" fillId="2" borderId="5" xfId="0" applyFont="1" applyFill="1" applyBorder="1" applyAlignment="1">
      <alignment horizontal="center"/>
    </xf>
    <xf numFmtId="0" fontId="100" fillId="32" borderId="12" xfId="0" applyFont="1" applyFill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1" fillId="6" borderId="15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0" fontId="13" fillId="4" borderId="0" xfId="0" applyFont="1" applyFill="1" applyAlignment="1">
      <alignment horizontal="left" vertical="center" wrapText="1" indent="1"/>
    </xf>
    <xf numFmtId="0" fontId="11" fillId="17" borderId="0" xfId="0" applyFont="1" applyFill="1" applyAlignment="1">
      <alignment horizontal="left" vertical="center" indent="1"/>
    </xf>
    <xf numFmtId="0" fontId="13" fillId="39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 indent="1"/>
    </xf>
    <xf numFmtId="166" fontId="13" fillId="4" borderId="0" xfId="0" applyNumberFormat="1" applyFont="1" applyFill="1" applyAlignment="1">
      <alignment horizontal="left" vertical="center" indent="1"/>
    </xf>
    <xf numFmtId="0" fontId="39" fillId="2" borderId="0" xfId="0" applyFont="1" applyFill="1" applyAlignment="1">
      <alignment horizontal="left" vertical="center" indent="1"/>
    </xf>
    <xf numFmtId="0" fontId="0" fillId="46" borderId="0" xfId="0" applyFill="1"/>
  </cellXfs>
  <cellStyles count="1"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AF1FA"/>
      <rgbColor rgb="FF0000FF"/>
      <rgbColor rgb="FFFFFF00"/>
      <rgbColor rgb="FFEDE9FE"/>
      <rgbColor rgb="FFDCE6F1"/>
      <rgbColor rgb="FFF8F8F2"/>
      <rgbColor rgb="FF008000"/>
      <rgbColor rgb="FF2E3F5C"/>
      <rgbColor rgb="FF7D6608"/>
      <rgbColor rgb="FFEBF3FB"/>
      <rgbColor rgb="FF1F7A6E"/>
      <rgbColor rgb="FFBFBFBF"/>
      <rgbColor rgb="FF808080"/>
      <rgbColor rgb="FFD9E1F2"/>
      <rgbColor rgb="FF7030A0"/>
      <rgbColor rgb="FFFFF8DC"/>
      <rgbColor rgb="FFE8F4F1"/>
      <rgbColor rgb="FF2E5B8A"/>
      <rgbColor rgb="FFD9E2F3"/>
      <rgbColor rgb="FF0563C1"/>
      <rgbColor rgb="FFC6D9F0"/>
      <rgbColor rgb="FF1F4E78"/>
      <rgbColor rgb="FFF2F2F2"/>
      <rgbColor rgb="FFFFEB9C"/>
      <rgbColor rgb="FFE2EFDA"/>
      <rgbColor rgb="FFF7F7F7"/>
      <rgbColor rgb="FFF7F9FC"/>
      <rgbColor rgb="FF0070C0"/>
      <rgbColor rgb="FF0000FF"/>
      <rgbColor rgb="FFD6E4F7"/>
      <rgbColor rgb="FFDDEBF7"/>
      <rgbColor rgb="FFC6EFCE"/>
      <rgbColor rgb="FFFFFF99"/>
      <rgbColor rgb="FFC6EBD8"/>
      <rgbColor rgb="FFEAE0F5"/>
      <rgbColor rgb="FFD9D9D9"/>
      <rgbColor rgb="FFF8CBAD"/>
      <rgbColor rgb="FF4472C4"/>
      <rgbColor rgb="FFD6E4F0"/>
      <rgbColor rgb="FFCFE6E0"/>
      <rgbColor rgb="FFFCE4D6"/>
      <rgbColor rgb="FFC9A227"/>
      <rgbColor rgb="FFFFF2CC"/>
      <rgbColor rgb="FF6B7280"/>
      <rgbColor rgb="FFA6A6A6"/>
      <rgbColor rgb="FF17375E"/>
      <rgbColor rgb="FF2E75B6"/>
      <rgbColor rgb="FF006100"/>
      <rgbColor rgb="FF375623"/>
      <rgbColor rgb="FF7F6000"/>
      <rgbColor rgb="FF595959"/>
      <rgbColor rgb="FF1F3864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Recent-Lease Pricing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Recent leases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'Rent Roll Analysis'!$B$1801:$B$1850</c:f>
              <c:numCache>
                <c:formatCode>m/d/yy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xVal>
          <c:yVal>
            <c:numRef>
              <c:f>'Rent Roll Analysis'!$C$1801:$C$1850</c:f>
              <c:numCache>
                <c:formatCode>\$#,##0;"($"#,##0\);\-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9B-CF4C-9B40-0DBA33C43215}"/>
            </c:ext>
          </c:extLst>
        </c:ser>
        <c:ser>
          <c:idx val="1"/>
          <c:order val="1"/>
          <c:tx>
            <c:v>Avg sched (book)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'Rent Roll Analysis'!$B$1801:$B$1850</c:f>
              <c:numCache>
                <c:formatCode>m/d/yy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xVal>
          <c:yVal>
            <c:numRef>
              <c:f>'Rent Roll Analysis'!$D$1801:$D$1850</c:f>
              <c:numCache>
                <c:formatCode>\$#,##0;"($"#,##0\);\-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9B-CF4C-9B40-0DBA33C43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Lease start 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/d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Scheduled rent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;&quot;($&quot;#,##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248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D638FE-C695-9A4A-9259-9EA579C39CA9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37a9e7e7-df0d-43ed-af5e-651b4633f43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showGridLines="0" topLeftCell="A12" zoomScale="119" zoomScaleNormal="119" workbookViewId="0">
      <selection activeCell="B34" sqref="B34"/>
    </sheetView>
  </sheetViews>
  <sheetFormatPr baseColWidth="10" defaultColWidth="8.83203125" defaultRowHeight="15" x14ac:dyDescent="0.2"/>
  <cols>
    <col min="1" max="1" width="30" customWidth="1"/>
    <col min="2" max="2" width="16.6640625" customWidth="1"/>
    <col min="3" max="5" width="14" customWidth="1"/>
    <col min="6" max="6" width="30" customWidth="1"/>
  </cols>
  <sheetData>
    <row r="1" spans="1:6" ht="39.75" customHeight="1" x14ac:dyDescent="0.2">
      <c r="A1" s="940" t="str">
        <f>IF('Prop Info'!B4="","MULTIFAMILY — INVESTMENT SUMMARY","MULTIFAMILY — INVESTMENT SUMMARY"&amp;" — "&amp;'Prop Info'!B4)</f>
        <v>MULTIFAMILY — INVESTMENT SUMMARY</v>
      </c>
      <c r="B1" s="940"/>
      <c r="C1" s="940"/>
      <c r="D1" s="940"/>
      <c r="E1" s="940"/>
      <c r="F1" s="940"/>
    </row>
    <row r="2" spans="1:6" ht="19.5" customHeight="1" x14ac:dyDescent="0.2">
      <c r="A2" s="941" t="s">
        <v>0</v>
      </c>
      <c r="B2" s="941"/>
      <c r="C2" s="941"/>
      <c r="D2" s="941"/>
      <c r="E2" s="941"/>
      <c r="F2" s="941"/>
    </row>
    <row r="4" spans="1:6" ht="24" customHeight="1" x14ac:dyDescent="0.2">
      <c r="A4" s="938" t="s">
        <v>1</v>
      </c>
      <c r="B4" s="938"/>
      <c r="C4" s="938"/>
      <c r="D4" s="938"/>
      <c r="E4" s="938"/>
      <c r="F4" s="938"/>
    </row>
    <row r="5" spans="1:6" ht="18" customHeight="1" x14ac:dyDescent="0.2">
      <c r="A5" s="9" t="s">
        <v>2</v>
      </c>
      <c r="B5" s="10">
        <f>'Prop Info'!B4</f>
        <v>0</v>
      </c>
    </row>
    <row r="6" spans="1:6" ht="18" customHeight="1" x14ac:dyDescent="0.2">
      <c r="A6" s="11" t="s">
        <v>3</v>
      </c>
      <c r="B6" s="12">
        <f>'Prop Info'!B5</f>
        <v>0</v>
      </c>
    </row>
    <row r="7" spans="1:6" ht="18" customHeight="1" x14ac:dyDescent="0.2">
      <c r="A7" s="9" t="s">
        <v>4</v>
      </c>
      <c r="B7" s="10">
        <f>'Prop Info'!B9</f>
        <v>0</v>
      </c>
    </row>
    <row r="8" spans="1:6" ht="18" customHeight="1" x14ac:dyDescent="0.2">
      <c r="A8" s="13" t="s">
        <v>5</v>
      </c>
      <c r="B8" s="14">
        <f>Scenarios!F8</f>
        <v>0</v>
      </c>
      <c r="C8" s="15"/>
    </row>
    <row r="9" spans="1:6" ht="18" customHeight="1" x14ac:dyDescent="0.2">
      <c r="A9" s="9" t="s">
        <v>6</v>
      </c>
      <c r="B9" s="10">
        <f>'Prop Info'!B11</f>
        <v>0</v>
      </c>
    </row>
    <row r="10" spans="1:6" ht="18" customHeight="1" x14ac:dyDescent="0.2">
      <c r="A10" s="11" t="s">
        <v>7</v>
      </c>
      <c r="B10" s="12">
        <f>'Prop Info'!B13</f>
        <v>0</v>
      </c>
    </row>
    <row r="11" spans="1:6" ht="18" customHeight="1" x14ac:dyDescent="0.2">
      <c r="A11" s="9" t="s">
        <v>8</v>
      </c>
      <c r="B11" s="942" t="str">
        <f>Scenarios!B2</f>
        <v>1. T-12 Actuals</v>
      </c>
      <c r="C11" s="942"/>
      <c r="D11" s="942"/>
    </row>
    <row r="12" spans="1:6" ht="18" customHeight="1" x14ac:dyDescent="0.2">
      <c r="A12" s="16" t="s">
        <v>9</v>
      </c>
      <c r="B12" s="17">
        <f>Scenarios!F39</f>
        <v>0</v>
      </c>
      <c r="C12" s="18"/>
      <c r="D12" s="19"/>
      <c r="E12" s="20"/>
    </row>
    <row r="13" spans="1:6" ht="24" customHeight="1" x14ac:dyDescent="0.2">
      <c r="A13" s="934" t="s">
        <v>10</v>
      </c>
      <c r="B13" s="934"/>
      <c r="C13" s="934"/>
      <c r="D13" s="934"/>
      <c r="E13" s="934"/>
      <c r="F13" s="934"/>
    </row>
    <row r="14" spans="1:6" ht="30" customHeight="1" x14ac:dyDescent="0.2">
      <c r="A14" s="21" t="s">
        <v>11</v>
      </c>
      <c r="B14" s="21" t="s">
        <v>12</v>
      </c>
      <c r="C14" s="22" t="s">
        <v>13</v>
      </c>
      <c r="D14" s="21" t="s">
        <v>14</v>
      </c>
      <c r="E14" s="21" t="s">
        <v>12</v>
      </c>
      <c r="F14" s="21"/>
    </row>
    <row r="15" spans="1:6" ht="18" customHeight="1" x14ac:dyDescent="0.2">
      <c r="A15" s="9" t="s">
        <v>15</v>
      </c>
      <c r="B15" s="23">
        <f>Scenarios!F7</f>
        <v>0</v>
      </c>
      <c r="D15" s="9" t="s">
        <v>16</v>
      </c>
      <c r="E15" s="24">
        <f>Waterfall!B66</f>
        <v>0</v>
      </c>
    </row>
    <row r="16" spans="1:6" ht="18" customHeight="1" x14ac:dyDescent="0.2">
      <c r="A16" s="13" t="s">
        <v>17</v>
      </c>
      <c r="B16" s="25">
        <f>Scenarios!F9</f>
        <v>0</v>
      </c>
      <c r="C16" s="26">
        <f>IFERROR(Scenarios!F7/'Prop Info'!$B$6,0)</f>
        <v>0</v>
      </c>
      <c r="D16" s="11" t="s">
        <v>18</v>
      </c>
      <c r="E16" s="24">
        <f>Waterfall!E66</f>
        <v>0</v>
      </c>
    </row>
    <row r="17" spans="1:6" ht="18" customHeight="1" x14ac:dyDescent="0.2">
      <c r="A17" s="9" t="s">
        <v>19</v>
      </c>
      <c r="B17" s="23">
        <f>IFERROR(Scenarios!F17,0)</f>
        <v>0</v>
      </c>
      <c r="D17" s="9" t="s">
        <v>20</v>
      </c>
      <c r="E17" s="27">
        <f>Waterfall!B64</f>
        <v>0</v>
      </c>
    </row>
    <row r="18" spans="1:6" ht="18" customHeight="1" x14ac:dyDescent="0.2">
      <c r="A18" s="11" t="s">
        <v>21</v>
      </c>
      <c r="B18" s="25">
        <f>Scenarios!F117</f>
        <v>0</v>
      </c>
      <c r="D18" s="28" t="s">
        <v>22</v>
      </c>
      <c r="E18" s="29" t="str">
        <f>'P&amp;L'!D68</f>
        <v/>
      </c>
    </row>
    <row r="19" spans="1:6" ht="18" customHeight="1" x14ac:dyDescent="0.2">
      <c r="A19" s="9" t="s">
        <v>23</v>
      </c>
      <c r="B19" s="30">
        <f>IFERROR(Scenarios!F117/Scenarios!F7,0)</f>
        <v>0</v>
      </c>
      <c r="D19" s="9" t="s">
        <v>24</v>
      </c>
      <c r="E19" s="31" t="str">
        <f>'P&amp;L'!H40</f>
        <v/>
      </c>
    </row>
    <row r="20" spans="1:6" ht="18" customHeight="1" x14ac:dyDescent="0.2">
      <c r="A20" s="11" t="s">
        <v>25</v>
      </c>
      <c r="B20" s="32">
        <f>IFERROR(Scenarios!F117/Scenarios!F17,0)</f>
        <v>0</v>
      </c>
      <c r="D20" s="11" t="s">
        <v>26</v>
      </c>
      <c r="E20" s="33">
        <f>Scenarios!F82</f>
        <v>0</v>
      </c>
    </row>
    <row r="21" spans="1:6" ht="18" customHeight="1" x14ac:dyDescent="0.2">
      <c r="A21" s="9" t="s">
        <v>27</v>
      </c>
      <c r="B21" s="23">
        <f>Scenarios!F31</f>
        <v>0</v>
      </c>
      <c r="D21" s="9" t="s">
        <v>28</v>
      </c>
      <c r="E21" s="24">
        <f>Waterfall!B6</f>
        <v>0</v>
      </c>
    </row>
    <row r="22" spans="1:6" ht="18" customHeight="1" x14ac:dyDescent="0.2">
      <c r="A22" s="11" t="s">
        <v>29</v>
      </c>
      <c r="B22" s="32">
        <f>Scenarios!F10</f>
        <v>0.2</v>
      </c>
      <c r="D22" s="11" t="s">
        <v>30</v>
      </c>
      <c r="E22" s="31">
        <f>Waterfall!B32</f>
        <v>0</v>
      </c>
    </row>
    <row r="23" spans="1:6" ht="18" customHeight="1" x14ac:dyDescent="0.2">
      <c r="A23" s="9" t="s">
        <v>31</v>
      </c>
      <c r="B23" s="30">
        <f>IFERROR('P&amp;L'!D40/Scenarios!F7,0)</f>
        <v>0</v>
      </c>
      <c r="D23" s="9" t="s">
        <v>32</v>
      </c>
      <c r="E23" s="31">
        <f>Waterfall!B35</f>
        <v>0</v>
      </c>
    </row>
    <row r="24" spans="1:6" ht="18" customHeight="1" x14ac:dyDescent="0.2">
      <c r="A24" s="11" t="s">
        <v>33</v>
      </c>
      <c r="B24" s="32">
        <f>IFERROR('P&amp;L'!H40/Scenarios!F7,0)</f>
        <v>0</v>
      </c>
      <c r="D24" s="28" t="s">
        <v>34</v>
      </c>
      <c r="E24" s="29">
        <f>IFERROR((Waterfall!M54-(Waterfall!B9+Waterfall!B10))/(Waterfall!B9+Waterfall!B10)/Scenarios!F82,0)</f>
        <v>0</v>
      </c>
    </row>
    <row r="26" spans="1:6" ht="24" customHeight="1" x14ac:dyDescent="0.2">
      <c r="A26" s="938" t="s">
        <v>35</v>
      </c>
      <c r="B26" s="938"/>
      <c r="C26" s="938"/>
      <c r="D26" s="938"/>
      <c r="E26" s="938"/>
      <c r="F26" s="938"/>
    </row>
    <row r="27" spans="1:6" ht="30" customHeight="1" x14ac:dyDescent="0.2">
      <c r="A27" s="34" t="s">
        <v>36</v>
      </c>
      <c r="B27" s="34" t="s">
        <v>37</v>
      </c>
      <c r="C27" s="34" t="s">
        <v>38</v>
      </c>
      <c r="D27" s="34" t="s">
        <v>39</v>
      </c>
      <c r="E27" s="34" t="s">
        <v>40</v>
      </c>
      <c r="F27" s="34" t="s">
        <v>41</v>
      </c>
    </row>
    <row r="28" spans="1:6" ht="18" customHeight="1" x14ac:dyDescent="0.2">
      <c r="A28" s="9" t="s">
        <v>42</v>
      </c>
      <c r="B28" s="23">
        <f>Scenarios!F88</f>
        <v>0</v>
      </c>
      <c r="C28" s="30">
        <f>IFERROR(Scenarios!F88/Scenarios!F17,0)</f>
        <v>0</v>
      </c>
      <c r="D28" s="29">
        <f>Scenarios!F89</f>
        <v>0</v>
      </c>
      <c r="E28" s="35">
        <f>Scenarios!F91</f>
        <v>0</v>
      </c>
      <c r="F28" s="35">
        <f>Scenarios!F90</f>
        <v>0</v>
      </c>
    </row>
    <row r="29" spans="1:6" ht="18" customHeight="1" x14ac:dyDescent="0.2">
      <c r="A29" s="11" t="s">
        <v>43</v>
      </c>
      <c r="B29" s="25">
        <f>Scenarios!F95</f>
        <v>0</v>
      </c>
      <c r="C29" s="32">
        <f>IFERROR(Scenarios!F95/Scenarios!F17,0)</f>
        <v>0</v>
      </c>
      <c r="D29" s="36">
        <f>Scenarios!F96</f>
        <v>0</v>
      </c>
      <c r="E29" s="37">
        <f>Scenarios!F98</f>
        <v>0</v>
      </c>
      <c r="F29" s="37">
        <f>Scenarios!F97</f>
        <v>0</v>
      </c>
    </row>
    <row r="30" spans="1:6" ht="18" customHeight="1" x14ac:dyDescent="0.2">
      <c r="A30" s="9" t="s">
        <v>44</v>
      </c>
      <c r="B30" s="23">
        <f>Scenarios!F102</f>
        <v>0</v>
      </c>
      <c r="C30" s="30">
        <f>IFERROR(Scenarios!F102/Scenarios!F17,0)</f>
        <v>0</v>
      </c>
      <c r="D30" s="29">
        <f>Scenarios!F103</f>
        <v>0</v>
      </c>
      <c r="E30" s="35">
        <f>Scenarios!F105</f>
        <v>0</v>
      </c>
      <c r="F30" s="35">
        <f>Scenarios!F104</f>
        <v>0</v>
      </c>
    </row>
    <row r="31" spans="1:6" ht="18" customHeight="1" x14ac:dyDescent="0.2">
      <c r="A31" s="11" t="s">
        <v>45</v>
      </c>
      <c r="B31" s="25">
        <f>Scenarios!F32</f>
        <v>0</v>
      </c>
      <c r="C31" s="32">
        <f>Scenarios!F28</f>
        <v>0.3</v>
      </c>
      <c r="D31" s="38" t="s">
        <v>46</v>
      </c>
      <c r="E31" s="38" t="s">
        <v>46</v>
      </c>
      <c r="F31" s="38" t="s">
        <v>46</v>
      </c>
    </row>
    <row r="32" spans="1:6" ht="18" customHeight="1" x14ac:dyDescent="0.2">
      <c r="A32" s="9" t="s">
        <v>47</v>
      </c>
      <c r="B32" s="23">
        <f>Scenarios!F33</f>
        <v>0</v>
      </c>
      <c r="C32" s="30">
        <f>Scenarios!F29</f>
        <v>0.7</v>
      </c>
      <c r="D32" s="30">
        <f>Scenarios!F35</f>
        <v>0</v>
      </c>
      <c r="E32" s="39" t="s">
        <v>46</v>
      </c>
      <c r="F32" s="39" t="s">
        <v>46</v>
      </c>
    </row>
    <row r="33" spans="1:6" ht="18" customHeight="1" x14ac:dyDescent="0.2">
      <c r="A33" s="11" t="s">
        <v>48</v>
      </c>
      <c r="B33" s="25">
        <f>Scenarios!F34</f>
        <v>0</v>
      </c>
      <c r="C33" s="32">
        <f>Scenarios!F30</f>
        <v>0</v>
      </c>
      <c r="D33" s="40" t="s">
        <v>46</v>
      </c>
      <c r="E33" s="40" t="s">
        <v>46</v>
      </c>
      <c r="F33" s="40" t="s">
        <v>46</v>
      </c>
    </row>
    <row r="34" spans="1:6" ht="18" customHeight="1" x14ac:dyDescent="0.2">
      <c r="A34" s="41" t="s">
        <v>49</v>
      </c>
      <c r="B34" s="42">
        <f>Scenarios!F31</f>
        <v>0</v>
      </c>
      <c r="C34" s="43">
        <f>IFERROR(Scenarios!F31/Scenarios!F17,0)</f>
        <v>0</v>
      </c>
      <c r="D34" s="44" t="s">
        <v>46</v>
      </c>
      <c r="E34" s="44" t="s">
        <v>46</v>
      </c>
      <c r="F34" s="44" t="s">
        <v>46</v>
      </c>
    </row>
    <row r="36" spans="1:6" ht="21.75" customHeight="1" x14ac:dyDescent="0.2">
      <c r="A36" s="938" t="s">
        <v>50</v>
      </c>
      <c r="B36" s="938"/>
      <c r="C36" s="938"/>
      <c r="D36" s="938"/>
      <c r="E36" s="938"/>
      <c r="F36" s="938"/>
    </row>
    <row r="37" spans="1:6" ht="15.75" customHeight="1" x14ac:dyDescent="0.2">
      <c r="A37" s="45" t="s">
        <v>11</v>
      </c>
      <c r="B37" s="45" t="s">
        <v>51</v>
      </c>
      <c r="C37" s="45" t="s">
        <v>52</v>
      </c>
      <c r="D37" s="45" t="s">
        <v>53</v>
      </c>
      <c r="E37" s="45" t="s">
        <v>54</v>
      </c>
      <c r="F37" s="46" t="s">
        <v>55</v>
      </c>
    </row>
    <row r="38" spans="1:6" ht="18" customHeight="1" x14ac:dyDescent="0.2">
      <c r="A38" s="47" t="s">
        <v>56</v>
      </c>
      <c r="B38" s="23">
        <f>Waterfall!B9</f>
        <v>0</v>
      </c>
      <c r="C38" s="23">
        <f>Waterfall!B10</f>
        <v>0</v>
      </c>
      <c r="D38" s="23">
        <f>Waterfall!B9+Waterfall!B10</f>
        <v>0</v>
      </c>
      <c r="E38" s="23">
        <f>Waterfall!B8</f>
        <v>0</v>
      </c>
      <c r="F38" s="8" t="s">
        <v>57</v>
      </c>
    </row>
    <row r="39" spans="1:6" ht="18" customHeight="1" x14ac:dyDescent="0.2">
      <c r="A39" s="47" t="s">
        <v>58</v>
      </c>
      <c r="B39" s="23">
        <f>Waterfall!M52</f>
        <v>0</v>
      </c>
      <c r="C39" s="23">
        <f>Waterfall!M53</f>
        <v>0</v>
      </c>
      <c r="D39" s="23">
        <f>Waterfall!M54</f>
        <v>0</v>
      </c>
      <c r="E39" s="23">
        <f>Waterfall!M55</f>
        <v>0</v>
      </c>
      <c r="F39" s="8" t="s">
        <v>59</v>
      </c>
    </row>
    <row r="40" spans="1:6" ht="18" customHeight="1" x14ac:dyDescent="0.2">
      <c r="A40" s="47" t="s">
        <v>60</v>
      </c>
      <c r="B40" s="23">
        <f>Waterfall!M52-Waterfall!B9</f>
        <v>0</v>
      </c>
      <c r="C40" s="23">
        <f>IFERROR(Waterfall!M53-Waterfall!B10,0)</f>
        <v>0</v>
      </c>
      <c r="D40" s="23">
        <f>Waterfall!M54-(Waterfall!B9+Waterfall!B10)</f>
        <v>0</v>
      </c>
      <c r="E40" s="23">
        <f>Waterfall!M55-Waterfall!B8</f>
        <v>0</v>
      </c>
    </row>
    <row r="41" spans="1:6" ht="18" customHeight="1" x14ac:dyDescent="0.2">
      <c r="A41" s="48" t="s">
        <v>61</v>
      </c>
      <c r="B41" s="49">
        <f>IFERROR(Waterfall!B64,0)</f>
        <v>0</v>
      </c>
      <c r="C41" s="49">
        <f>IFERROR(Waterfall!C64,0)</f>
        <v>0</v>
      </c>
      <c r="D41" s="49">
        <f>IFERROR(Waterfall!D64,0)</f>
        <v>0</v>
      </c>
      <c r="E41" s="49">
        <f>IFERROR(Waterfall!E64,0)</f>
        <v>0</v>
      </c>
      <c r="F41" s="3" t="s">
        <v>62</v>
      </c>
    </row>
    <row r="42" spans="1:6" ht="18" customHeight="1" x14ac:dyDescent="0.2">
      <c r="A42" s="48" t="s">
        <v>63</v>
      </c>
      <c r="B42" s="50">
        <f>Waterfall!B66</f>
        <v>0</v>
      </c>
      <c r="C42" s="50">
        <f>Waterfall!C66</f>
        <v>0</v>
      </c>
      <c r="D42" s="50">
        <f>Waterfall!D66</f>
        <v>0</v>
      </c>
      <c r="E42" s="50">
        <f>Waterfall!E66</f>
        <v>0</v>
      </c>
      <c r="F42" s="3" t="s">
        <v>64</v>
      </c>
    </row>
    <row r="43" spans="1:6" ht="18" customHeight="1" x14ac:dyDescent="0.2">
      <c r="A43" s="51" t="s">
        <v>65</v>
      </c>
      <c r="B43" s="50">
        <f>IFERROR((Waterfall!M52-Waterfall!B9)/Waterfall!B9/Scenarios!F82,0)</f>
        <v>0</v>
      </c>
      <c r="C43" s="50">
        <f>IFERROR((Waterfall!M53-Waterfall!B10)/Waterfall!B10/Scenarios!F82,0)</f>
        <v>0</v>
      </c>
      <c r="D43" s="50">
        <f>IFERROR((Waterfall!M54-(Waterfall!B9+Waterfall!B10))/(Waterfall!B9+Waterfall!B10)/Scenarios!F82,0)</f>
        <v>0</v>
      </c>
      <c r="E43" s="50" t="str">
        <f>IFERROR(IF(Waterfall!B8=0,"N/A",(Waterfall!M55-Waterfall!B8)/Waterfall!B8/Scenarios!F82),0)</f>
        <v>N/A</v>
      </c>
      <c r="F43" s="52" t="s">
        <v>66</v>
      </c>
    </row>
    <row r="44" spans="1:6" ht="21.75" customHeight="1" x14ac:dyDescent="0.2">
      <c r="A44" s="938" t="s">
        <v>67</v>
      </c>
      <c r="B44" s="938"/>
      <c r="C44" s="938"/>
      <c r="D44" s="938"/>
      <c r="E44" s="938"/>
      <c r="F44" s="938"/>
    </row>
    <row r="45" spans="1:6" ht="18" customHeight="1" x14ac:dyDescent="0.2">
      <c r="A45" s="47" t="s">
        <v>68</v>
      </c>
      <c r="B45" s="53">
        <f>Scenarios!F82</f>
        <v>0</v>
      </c>
      <c r="C45" s="54"/>
      <c r="D45" s="54"/>
      <c r="E45" s="54"/>
    </row>
    <row r="46" spans="1:6" ht="18" customHeight="1" x14ac:dyDescent="0.2">
      <c r="A46" s="47" t="s">
        <v>28</v>
      </c>
      <c r="B46" s="30">
        <f>Waterfall!B6</f>
        <v>0</v>
      </c>
      <c r="C46" s="54"/>
      <c r="D46" s="54"/>
      <c r="E46" s="54"/>
    </row>
    <row r="47" spans="1:6" ht="18" customHeight="1" x14ac:dyDescent="0.2">
      <c r="A47" s="47" t="s">
        <v>69</v>
      </c>
      <c r="B47" s="23" t="str">
        <f>'P&amp;L'!H40</f>
        <v/>
      </c>
      <c r="C47" s="54"/>
      <c r="D47" s="54"/>
      <c r="E47" s="54"/>
      <c r="F47" s="8" t="s">
        <v>70</v>
      </c>
    </row>
    <row r="48" spans="1:6" ht="18" customHeight="1" x14ac:dyDescent="0.2">
      <c r="A48" s="47" t="s">
        <v>30</v>
      </c>
      <c r="B48" s="23">
        <f>Waterfall!B32</f>
        <v>0</v>
      </c>
      <c r="C48" s="54"/>
      <c r="D48" s="54"/>
      <c r="E48" s="54"/>
      <c r="F48" s="8" t="s">
        <v>71</v>
      </c>
    </row>
    <row r="49" spans="1:6" ht="18" customHeight="1" x14ac:dyDescent="0.2">
      <c r="A49" s="47" t="s">
        <v>72</v>
      </c>
      <c r="B49" s="23">
        <f>Waterfall!B34</f>
        <v>0</v>
      </c>
      <c r="C49" s="54"/>
      <c r="D49" s="54"/>
      <c r="E49" s="54"/>
      <c r="F49" s="8" t="s">
        <v>73</v>
      </c>
    </row>
    <row r="50" spans="1:6" ht="18" customHeight="1" x14ac:dyDescent="0.2">
      <c r="A50" s="55" t="s">
        <v>74</v>
      </c>
      <c r="B50" s="56">
        <f>Waterfall!B35</f>
        <v>0</v>
      </c>
      <c r="C50" s="57"/>
      <c r="D50" s="57"/>
      <c r="E50" s="57"/>
      <c r="F50" s="58" t="s">
        <v>75</v>
      </c>
    </row>
    <row r="52" spans="1:6" ht="15" customHeight="1" x14ac:dyDescent="0.2">
      <c r="A52" s="59" t="s">
        <v>76</v>
      </c>
      <c r="B52" s="60" t="s">
        <v>77</v>
      </c>
    </row>
    <row r="53" spans="1:6" ht="15" customHeight="1" x14ac:dyDescent="0.2">
      <c r="A53" s="59" t="s">
        <v>78</v>
      </c>
      <c r="B53" s="60" t="s">
        <v>79</v>
      </c>
    </row>
    <row r="54" spans="1:6" ht="15.75" customHeight="1" x14ac:dyDescent="0.2">
      <c r="A54" s="61" t="s">
        <v>80</v>
      </c>
      <c r="D54" s="939" t="s">
        <v>81</v>
      </c>
      <c r="E54" s="939"/>
      <c r="F54" s="939"/>
    </row>
    <row r="55" spans="1:6" ht="15" customHeight="1" x14ac:dyDescent="0.2">
      <c r="A55" s="62" t="s">
        <v>82</v>
      </c>
      <c r="D55" s="63" t="str">
        <f>HYPERLINK("#Inputs!A1","Inputs")</f>
        <v>Inputs</v>
      </c>
      <c r="E55" s="64" t="str">
        <f>HYPERLINK("#Loans!A1","Loans")</f>
        <v>Loans</v>
      </c>
    </row>
    <row r="56" spans="1:6" ht="15" customHeight="1" x14ac:dyDescent="0.2">
      <c r="A56" s="65" t="s">
        <v>83</v>
      </c>
      <c r="B56" t="s">
        <v>84</v>
      </c>
      <c r="D56" s="64" t="str">
        <f>HYPERLINK("#'Prop Info'!A1","Prop Info")</f>
        <v>Prop Info</v>
      </c>
      <c r="E56" s="64" t="str">
        <f>HYPERLINK("#'Acquisition Costs'!A1","Acquisition Costs")</f>
        <v>Acquisition Costs</v>
      </c>
    </row>
    <row r="57" spans="1:6" ht="15" customHeight="1" x14ac:dyDescent="0.2">
      <c r="A57" s="66" t="s">
        <v>85</v>
      </c>
      <c r="B57" t="s">
        <v>86</v>
      </c>
      <c r="D57" s="64" t="str">
        <f>HYPERLINK("#'Data Refresh'!A1","Data Refresh")</f>
        <v>Data Refresh</v>
      </c>
      <c r="E57" s="64" t="str">
        <f>HYPERLINK("#'Rental Comps'!A1","Rental Comps")</f>
        <v>Rental Comps</v>
      </c>
    </row>
    <row r="58" spans="1:6" ht="15" customHeight="1" x14ac:dyDescent="0.2">
      <c r="A58" s="67" t="s">
        <v>87</v>
      </c>
      <c r="B58" t="s">
        <v>88</v>
      </c>
      <c r="D58" s="64" t="str">
        <f>HYPERLINK("#'Data Checklist'!A1","Data Checklist")</f>
        <v>Data Checklist</v>
      </c>
      <c r="E58" s="64" t="str">
        <f>HYPERLINK("#Capex!A1","Capex")</f>
        <v>Capex</v>
      </c>
    </row>
    <row r="59" spans="1:6" ht="15" customHeight="1" x14ac:dyDescent="0.2">
      <c r="A59" s="68" t="s">
        <v>89</v>
      </c>
      <c r="B59" t="s">
        <v>90</v>
      </c>
      <c r="D59" s="64" t="str">
        <f>HYPERLINK("#Scenarios!A1","Scenarios")</f>
        <v>Scenarios</v>
      </c>
      <c r="E59" s="64" t="str">
        <f>HYPERLINK("#'Staffing Matrix'!A1","Staffing Matrix")</f>
        <v>Staffing Matrix</v>
      </c>
    </row>
    <row r="60" spans="1:6" ht="15" customHeight="1" x14ac:dyDescent="0.2">
      <c r="D60" s="64" t="str">
        <f>HYPERLINK("#'T-12 Analysis'!A1","T-12 Analysis")</f>
        <v>T-12 Analysis</v>
      </c>
      <c r="E60" s="64" t="str">
        <f>HYPERLINK("#Waterfall!A1","Waterfall")</f>
        <v>Waterfall</v>
      </c>
    </row>
    <row r="61" spans="1:6" ht="15" customHeight="1" x14ac:dyDescent="0.2">
      <c r="D61" s="64" t="str">
        <f>HYPERLINK("#'Recapture &amp; Upside'!A1","Recapture &amp; Upside")</f>
        <v>Recapture &amp; Upside</v>
      </c>
      <c r="E61" s="64" t="str">
        <f>HYPERLINK("#'Exit Strategy'!A1","Exit Strategy")</f>
        <v>Exit Strategy</v>
      </c>
    </row>
    <row r="62" spans="1:6" ht="15" customHeight="1" x14ac:dyDescent="0.2">
      <c r="D62" s="64" t="str">
        <f>HYPERLINK("#'Rent Roll Analysis'!A1","Rent Roll Analysis")</f>
        <v>Rent Roll Analysis</v>
      </c>
      <c r="E62" s="64" t="str">
        <f>HYPERLINK("#Sensitivity!A1","Sensitivity")</f>
        <v>Sensitivity</v>
      </c>
    </row>
    <row r="63" spans="1:6" ht="15" customHeight="1" x14ac:dyDescent="0.2">
      <c r="D63" s="64" t="str">
        <f>HYPERLINK("#'P&amp;L'!A1","P&amp;L")</f>
        <v>P&amp;L</v>
      </c>
      <c r="E63" s="64" t="str">
        <f>HYPERLINK("#'LP Return Illustration'!A1","LP Return Illustration")</f>
        <v>LP Return Illustration</v>
      </c>
    </row>
    <row r="64" spans="1:6" ht="15" customHeight="1" x14ac:dyDescent="0.2">
      <c r="D64" s="64" t="str">
        <f>HYPERLINK("#'Lease-Up &amp; Capital Call'!A1","Lease-Up &amp; Capital Call")</f>
        <v>Lease-Up &amp; Capital Call</v>
      </c>
      <c r="E64" s="64" t="str">
        <f>HYPERLINK("#'Portfolio Rollup'!A1","Portfolio Rollup")</f>
        <v>Portfolio Rollup</v>
      </c>
    </row>
  </sheetData>
  <mergeCells count="9">
    <mergeCell ref="A26:F26"/>
    <mergeCell ref="A36:F36"/>
    <mergeCell ref="A44:F44"/>
    <mergeCell ref="D54:F54"/>
    <mergeCell ref="A1:F1"/>
    <mergeCell ref="A2:F2"/>
    <mergeCell ref="A4:F4"/>
    <mergeCell ref="B11:D1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F23C-D418-B945-83BD-281E3550003E}">
  <sheetPr>
    <tabColor rgb="FF000000"/>
  </sheetPr>
  <dimension ref="A1:AE200"/>
  <sheetViews>
    <sheetView showGridLines="0" zoomScale="108" workbookViewId="0">
      <selection activeCell="L36" sqref="L36"/>
    </sheetView>
  </sheetViews>
  <sheetFormatPr baseColWidth="10" defaultRowHeight="15" outlineLevelCol="1" x14ac:dyDescent="0.2"/>
  <cols>
    <col min="1" max="1" width="1.6640625" customWidth="1"/>
    <col min="2" max="2" width="2.33203125" customWidth="1"/>
    <col min="3" max="3" width="20" customWidth="1"/>
    <col min="4" max="6" width="13" customWidth="1"/>
    <col min="7" max="7" width="2.6640625" customWidth="1"/>
    <col min="8" max="8" width="26.6640625" bestFit="1" customWidth="1"/>
    <col min="9" max="9" width="27.5" customWidth="1"/>
    <col min="10" max="10" width="16" customWidth="1"/>
    <col min="11" max="11" width="11.6640625" customWidth="1"/>
    <col min="12" max="12" width="9.6640625" customWidth="1"/>
    <col min="13" max="13" width="14.6640625" customWidth="1"/>
    <col min="14" max="14" width="10.33203125" customWidth="1"/>
    <col min="15" max="15" width="12" customWidth="1"/>
    <col min="16" max="16" width="1.6640625" customWidth="1"/>
    <col min="18" max="30" width="0" hidden="1" customWidth="1" outlineLevel="1"/>
    <col min="31" max="31" width="10.83203125" collapsed="1"/>
  </cols>
  <sheetData>
    <row r="1" spans="1:29" ht="20" x14ac:dyDescent="0.2">
      <c r="A1" s="813"/>
      <c r="B1" s="814" t="str">
        <f>IF('Prop Info'!B4=0,"Property",'Prop Info'!B4)&amp;" — Underwriting"</f>
        <v>Property — Underwriting</v>
      </c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R1" s="831" t="s">
        <v>2430</v>
      </c>
    </row>
    <row r="2" spans="1:29" x14ac:dyDescent="0.2">
      <c r="A2" s="813"/>
      <c r="B2" s="816" t="str">
        <f>IF('Prop Info'!B6=0,"",TEXT('Prop Info'!B6,"#,##0")&amp;" Units")&amp;IF('Prop Info'!B5=0,"","  ·  "&amp;'Prop Info'!B5)</f>
        <v/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R2" t="s">
        <v>2431</v>
      </c>
      <c r="S2" s="832">
        <v>0.08</v>
      </c>
    </row>
    <row r="3" spans="1:29" x14ac:dyDescent="0.2">
      <c r="A3" s="813"/>
      <c r="B3" s="817" t="s">
        <v>2404</v>
      </c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N3" s="813"/>
      <c r="O3" s="813"/>
      <c r="P3" s="813"/>
      <c r="R3" t="s">
        <v>68</v>
      </c>
      <c r="S3" s="833">
        <f>IF(Scenarios!F82=0,5,Scenarios!F82)</f>
        <v>5</v>
      </c>
    </row>
    <row r="4" spans="1:29" x14ac:dyDescent="0.2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3"/>
      <c r="P4" s="813"/>
      <c r="R4" t="s">
        <v>28</v>
      </c>
      <c r="S4" s="834">
        <f>IF(Scenarios!F83=0,0.0725,Scenarios!F83)</f>
        <v>7.2499999999999995E-2</v>
      </c>
    </row>
    <row r="5" spans="1:29" x14ac:dyDescent="0.2">
      <c r="A5" s="813"/>
      <c r="B5" s="856" t="s">
        <v>2405</v>
      </c>
      <c r="C5" s="857"/>
      <c r="D5" s="857"/>
      <c r="E5" s="857"/>
      <c r="F5" s="857"/>
      <c r="G5" s="813"/>
      <c r="H5" s="856" t="s">
        <v>2417</v>
      </c>
      <c r="I5" s="857"/>
      <c r="J5" s="857"/>
      <c r="K5" s="857"/>
      <c r="L5" s="857"/>
      <c r="M5" s="857"/>
      <c r="N5" s="857"/>
      <c r="O5" s="857"/>
      <c r="P5" s="813"/>
      <c r="R5" t="s">
        <v>2432</v>
      </c>
      <c r="S5" s="835">
        <f>IFERROR(ABS('Exit Strategy'!G10)/'Exit Strategy'!G9,0.02)</f>
        <v>0.02</v>
      </c>
    </row>
    <row r="6" spans="1:29" x14ac:dyDescent="0.2">
      <c r="A6" s="813"/>
      <c r="B6" s="813" t="s">
        <v>2</v>
      </c>
      <c r="C6" s="813"/>
      <c r="D6" s="818" t="str">
        <f>IF('Prop Info'!B4=0,"",'Prop Info'!B4)</f>
        <v/>
      </c>
      <c r="E6" s="813"/>
      <c r="F6" s="813"/>
      <c r="G6" s="813"/>
      <c r="H6" s="889" t="s">
        <v>2418</v>
      </c>
      <c r="I6" s="886"/>
      <c r="J6" s="887" t="s">
        <v>2419</v>
      </c>
      <c r="K6" s="858"/>
      <c r="L6" s="888" t="s">
        <v>38</v>
      </c>
      <c r="M6" s="888" t="s">
        <v>2420</v>
      </c>
      <c r="N6" s="888" t="s">
        <v>2421</v>
      </c>
      <c r="O6" s="891" t="s">
        <v>2422</v>
      </c>
      <c r="P6" s="813"/>
      <c r="R6" s="827" t="s">
        <v>2433</v>
      </c>
      <c r="S6" s="836">
        <f>Scenarios!F17</f>
        <v>0</v>
      </c>
    </row>
    <row r="7" spans="1:29" x14ac:dyDescent="0.2">
      <c r="A7" s="813"/>
      <c r="B7" s="813" t="s">
        <v>2406</v>
      </c>
      <c r="C7" s="813"/>
      <c r="D7" s="818" t="str">
        <f>IF('Prop Info'!B5=0,"",'Prop Info'!B5)</f>
        <v/>
      </c>
      <c r="E7" s="813"/>
      <c r="F7" s="813"/>
      <c r="G7" s="813"/>
      <c r="H7" s="859" t="s">
        <v>653</v>
      </c>
      <c r="I7" s="813"/>
      <c r="J7" s="813"/>
      <c r="K7" s="813"/>
      <c r="L7" s="884">
        <f>IFERROR(M7/$M$11,0)</f>
        <v>0</v>
      </c>
      <c r="M7" s="829">
        <f>Scenarios!F23</f>
        <v>0</v>
      </c>
      <c r="N7" s="885">
        <f>IFERROR(M7/'Prop Info'!$B$15,0)</f>
        <v>0</v>
      </c>
      <c r="O7" s="892">
        <f>IFERROR(M7/'Prop Info'!$B$6,0)</f>
        <v>0</v>
      </c>
      <c r="P7" s="813"/>
      <c r="R7" t="s">
        <v>2081</v>
      </c>
      <c r="S7" s="836">
        <f>Scenarios!F31</f>
        <v>0</v>
      </c>
    </row>
    <row r="8" spans="1:29" x14ac:dyDescent="0.2">
      <c r="A8" s="813"/>
      <c r="B8" s="813" t="s">
        <v>381</v>
      </c>
      <c r="C8" s="813"/>
      <c r="D8" s="818" t="str">
        <f>IF('Prop Info'!B20=0,"",'Prop Info'!B20)</f>
        <v/>
      </c>
      <c r="E8" s="813"/>
      <c r="F8" s="813"/>
      <c r="G8" s="813"/>
      <c r="H8" s="890" t="s">
        <v>2423</v>
      </c>
      <c r="I8" s="813"/>
      <c r="J8" s="813"/>
      <c r="K8" s="813"/>
      <c r="L8" s="884">
        <f>IFERROR(M8/$M$11,0)</f>
        <v>0</v>
      </c>
      <c r="M8" s="829">
        <f>Scenarios!F33+Scenarios!F34</f>
        <v>0</v>
      </c>
      <c r="N8" s="885">
        <f>IFERROR(M8/'Prop Info'!$B$15,0)</f>
        <v>0</v>
      </c>
      <c r="O8" s="892">
        <f>IFERROR(M8/'Prop Info'!$B$6,0)</f>
        <v>0</v>
      </c>
      <c r="P8" s="813"/>
      <c r="R8" t="s">
        <v>2434</v>
      </c>
      <c r="S8" s="837" t="str" cm="1">
        <f t="array" ref="S8">IFERROR(INDEX('P&amp;L'!$D$40:$M$40,1,$S$3+1),0)</f>
        <v/>
      </c>
    </row>
    <row r="9" spans="1:29" x14ac:dyDescent="0.2">
      <c r="A9" s="813"/>
      <c r="B9" s="813" t="s">
        <v>2407</v>
      </c>
      <c r="C9" s="813"/>
      <c r="D9" s="818" t="str">
        <f>IF('Prop Info'!B21=0,"",'Prop Info'!B21)</f>
        <v/>
      </c>
      <c r="E9" s="813"/>
      <c r="F9" s="813"/>
      <c r="G9" s="813"/>
      <c r="H9" s="890" t="s">
        <v>2424</v>
      </c>
      <c r="I9" s="813"/>
      <c r="J9" s="813"/>
      <c r="K9" s="813"/>
      <c r="L9" s="884">
        <f>IFERROR(M9/$M$11,0)</f>
        <v>0</v>
      </c>
      <c r="M9" s="829">
        <f>Scenarios!F32</f>
        <v>0</v>
      </c>
      <c r="N9" s="885">
        <f>IFERROR(M9/'Prop Info'!$B$15,0)</f>
        <v>0</v>
      </c>
      <c r="O9" s="892">
        <f>IFERROR(M9/'Prop Info'!$B$6,0)</f>
        <v>0</v>
      </c>
      <c r="P9" s="813"/>
      <c r="R9" t="s">
        <v>2435</v>
      </c>
      <c r="S9" s="837">
        <f>IFERROR($S$8/$S$4*(1-$S$5),0)</f>
        <v>0</v>
      </c>
    </row>
    <row r="10" spans="1:29" x14ac:dyDescent="0.2">
      <c r="A10" s="813"/>
      <c r="B10" s="813" t="s">
        <v>2408</v>
      </c>
      <c r="C10" s="813"/>
      <c r="D10" s="818" t="str">
        <f>IF('Prop Info'!B13=0,"",'Prop Info'!B13)</f>
        <v/>
      </c>
      <c r="E10" s="813"/>
      <c r="F10" s="813"/>
      <c r="G10" s="813"/>
      <c r="H10" s="859" t="s">
        <v>2081</v>
      </c>
      <c r="I10" s="813"/>
      <c r="J10" s="813"/>
      <c r="K10" s="813"/>
      <c r="L10" s="884">
        <f>IFERROR(M10/$M$11,0)</f>
        <v>0</v>
      </c>
      <c r="M10" s="829">
        <f>Scenarios!F31</f>
        <v>0</v>
      </c>
      <c r="N10" s="885">
        <f>IFERROR(M10/'Prop Info'!$B$15,0)</f>
        <v>0</v>
      </c>
      <c r="O10" s="892">
        <f>IFERROR(M10/'Prop Info'!$B$6,0)</f>
        <v>0</v>
      </c>
      <c r="P10" s="813"/>
    </row>
    <row r="11" spans="1:29" x14ac:dyDescent="0.2">
      <c r="A11" s="813"/>
      <c r="B11" s="813" t="s">
        <v>2409</v>
      </c>
      <c r="C11" s="813"/>
      <c r="D11" s="818" t="str">
        <f>IF('Prop Info'!B14=0,"",'Prop Info'!B14)</f>
        <v/>
      </c>
      <c r="E11" s="813"/>
      <c r="F11" s="813"/>
      <c r="G11" s="813"/>
      <c r="H11" s="905" t="s">
        <v>2425</v>
      </c>
      <c r="I11" s="906"/>
      <c r="J11" s="906"/>
      <c r="K11" s="906"/>
      <c r="L11" s="907">
        <f>IFERROR(M11/$M$11,0)</f>
        <v>0</v>
      </c>
      <c r="M11" s="908">
        <f>M7+M10</f>
        <v>0</v>
      </c>
      <c r="N11" s="909">
        <f>IFERROR(M11/'Prop Info'!$B$15,0)</f>
        <v>0</v>
      </c>
      <c r="O11" s="910">
        <f>IFERROR(M11/'Prop Info'!$B$6,0)</f>
        <v>0</v>
      </c>
      <c r="P11" s="813"/>
    </row>
    <row r="12" spans="1:29" x14ac:dyDescent="0.2">
      <c r="A12" s="813"/>
      <c r="B12" s="813" t="s">
        <v>4</v>
      </c>
      <c r="C12" s="813"/>
      <c r="D12" s="818" t="str">
        <f>IF('Prop Info'!B9=0,"",TEXT('Prop Info'!B9,"0"))</f>
        <v/>
      </c>
      <c r="E12" s="813"/>
      <c r="F12" s="813"/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R12" s="830" t="s">
        <v>2136</v>
      </c>
      <c r="S12">
        <v>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</row>
    <row r="13" spans="1:29" x14ac:dyDescent="0.2">
      <c r="A13" s="813"/>
      <c r="B13" s="813" t="s">
        <v>2410</v>
      </c>
      <c r="C13" s="813"/>
      <c r="D13" s="819"/>
      <c r="E13" s="813"/>
      <c r="F13" s="813"/>
      <c r="G13" s="813"/>
      <c r="H13" s="889" t="s">
        <v>2426</v>
      </c>
      <c r="I13" s="886"/>
      <c r="J13" s="887" t="s">
        <v>2419</v>
      </c>
      <c r="K13" s="858"/>
      <c r="L13" s="888" t="s">
        <v>38</v>
      </c>
      <c r="M13" s="888" t="s">
        <v>2420</v>
      </c>
      <c r="N13" s="888" t="s">
        <v>2421</v>
      </c>
      <c r="O13" s="891" t="s">
        <v>2422</v>
      </c>
      <c r="P13" s="813"/>
      <c r="R13" s="838" t="s">
        <v>2436</v>
      </c>
      <c r="S13">
        <v>0</v>
      </c>
      <c r="T13">
        <f>IF(AND(T$12&gt;=1,T$12&lt;=$S$3),N(INDEX('P&amp;L'!$D$40:$M$40,1,T$12)),0)</f>
        <v>0</v>
      </c>
      <c r="U13">
        <f>IF(AND(U$12&gt;=1,U$12&lt;=$S$3),N(INDEX('P&amp;L'!$D$40:$M$40,1,U$12)),0)</f>
        <v>0</v>
      </c>
      <c r="V13">
        <f>IF(AND(V$12&gt;=1,V$12&lt;=$S$3),N(INDEX('P&amp;L'!$D$40:$M$40,1,V$12)),0)</f>
        <v>0</v>
      </c>
      <c r="W13">
        <f>IF(AND(W$12&gt;=1,W$12&lt;=$S$3),N(INDEX('P&amp;L'!$D$40:$M$40,1,W$12)),0)</f>
        <v>0</v>
      </c>
      <c r="X13">
        <f>IF(AND(X$12&gt;=1,X$12&lt;=$S$3),N(INDEX('P&amp;L'!$D$40:$M$40,1,X$12)),0)</f>
        <v>0</v>
      </c>
      <c r="Y13">
        <f>IF(AND(Y$12&gt;=1,Y$12&lt;=$S$3),N(INDEX('P&amp;L'!$D$40:$M$40,1,Y$12)),0)</f>
        <v>0</v>
      </c>
      <c r="Z13">
        <f>IF(AND(Z$12&gt;=1,Z$12&lt;=$S$3),N(INDEX('P&amp;L'!$D$40:$M$40,1,Z$12)),0)</f>
        <v>0</v>
      </c>
      <c r="AA13">
        <f>IF(AND(AA$12&gt;=1,AA$12&lt;=$S$3),N(INDEX('P&amp;L'!$D$40:$M$40,1,AA$12)),0)</f>
        <v>0</v>
      </c>
      <c r="AB13">
        <f>IF(AND(AB$12&gt;=1,AB$12&lt;=$S$3),N(INDEX('P&amp;L'!$D$40:$M$40,1,AB$12)),0)</f>
        <v>0</v>
      </c>
      <c r="AC13">
        <f>IF(AND(AC$12&gt;=1,AC$12&lt;=$S$3),N(INDEX('P&amp;L'!$D$40:$M$40,1,AC$12)),0)</f>
        <v>0</v>
      </c>
    </row>
    <row r="14" spans="1:29" x14ac:dyDescent="0.2">
      <c r="A14" s="813"/>
      <c r="B14" s="813"/>
      <c r="C14" s="813"/>
      <c r="D14" s="813"/>
      <c r="E14" s="813"/>
      <c r="F14" s="813"/>
      <c r="G14" s="813"/>
      <c r="H14" s="859" t="s">
        <v>15</v>
      </c>
      <c r="I14" s="813"/>
      <c r="J14" s="813"/>
      <c r="K14" s="813"/>
      <c r="L14" s="884">
        <f t="shared" ref="L14:L19" si="0">IFERROR(M14/$M$19,0)</f>
        <v>0</v>
      </c>
      <c r="M14" s="829">
        <f>Scenarios!F7</f>
        <v>0</v>
      </c>
      <c r="N14" s="885">
        <f>IFERROR(M14/'Prop Info'!$B$15,0)</f>
        <v>0</v>
      </c>
      <c r="O14" s="892">
        <f>IFERROR(M14/'Prop Info'!$B$6,0)</f>
        <v>0</v>
      </c>
      <c r="P14" s="813"/>
      <c r="R14" s="830" t="s">
        <v>2437</v>
      </c>
      <c r="S14">
        <v>0</v>
      </c>
      <c r="T14">
        <f>IF(T$12=$S$3,$S$9,0)</f>
        <v>0</v>
      </c>
      <c r="U14">
        <f t="shared" ref="U14:AC14" si="1">IF(U$12=$S$3,$S$9,0)</f>
        <v>0</v>
      </c>
      <c r="V14">
        <f t="shared" si="1"/>
        <v>0</v>
      </c>
      <c r="W14">
        <f t="shared" si="1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</row>
    <row r="15" spans="1:29" x14ac:dyDescent="0.2">
      <c r="A15" s="813"/>
      <c r="B15" s="813" t="s">
        <v>2411</v>
      </c>
      <c r="C15" s="813"/>
      <c r="D15" s="820">
        <f>'Prop Info'!B6</f>
        <v>0</v>
      </c>
      <c r="E15" s="813"/>
      <c r="F15" s="813"/>
      <c r="G15" s="813"/>
      <c r="H15" s="859" t="s">
        <v>2427</v>
      </c>
      <c r="I15" s="813"/>
      <c r="J15" s="813"/>
      <c r="K15" s="813"/>
      <c r="L15" s="884">
        <f t="shared" si="0"/>
        <v>0</v>
      </c>
      <c r="M15" s="829">
        <f>Scenarios!F12</f>
        <v>0</v>
      </c>
      <c r="N15" s="885">
        <f>IFERROR(M15/'Prop Info'!$B$15,0)</f>
        <v>0</v>
      </c>
      <c r="O15" s="892">
        <f>IFERROR(M15/'Prop Info'!$B$6,0)</f>
        <v>0</v>
      </c>
      <c r="P15" s="813"/>
      <c r="R15" s="830" t="s">
        <v>2438</v>
      </c>
      <c r="S15">
        <f>-$S$6</f>
        <v>0</v>
      </c>
      <c r="T15">
        <f>N(T13)+N(T14)</f>
        <v>0</v>
      </c>
      <c r="U15">
        <f t="shared" ref="U15:AC15" si="2">N(U13)+N(U14)</f>
        <v>0</v>
      </c>
      <c r="V15">
        <f t="shared" si="2"/>
        <v>0</v>
      </c>
      <c r="W15">
        <f t="shared" si="2"/>
        <v>0</v>
      </c>
      <c r="X15">
        <f t="shared" si="2"/>
        <v>0</v>
      </c>
      <c r="Y15">
        <f t="shared" si="2"/>
        <v>0</v>
      </c>
      <c r="Z15">
        <f t="shared" si="2"/>
        <v>0</v>
      </c>
      <c r="AA15">
        <f t="shared" si="2"/>
        <v>0</v>
      </c>
      <c r="AB15">
        <f t="shared" si="2"/>
        <v>0</v>
      </c>
      <c r="AC15">
        <f t="shared" si="2"/>
        <v>0</v>
      </c>
    </row>
    <row r="16" spans="1:29" x14ac:dyDescent="0.2">
      <c r="A16" s="813"/>
      <c r="B16" s="813" t="s">
        <v>2412</v>
      </c>
      <c r="C16" s="813"/>
      <c r="D16" s="821">
        <f>'Prop Info'!B7</f>
        <v>0</v>
      </c>
      <c r="E16" s="813"/>
      <c r="F16" s="813"/>
      <c r="G16" s="813"/>
      <c r="H16" s="859" t="s">
        <v>2428</v>
      </c>
      <c r="I16" s="813"/>
      <c r="J16" s="893" t="str">
        <f>IF(Scenarios!F7=0,"",TEXT(M16/M14,"0.0%")&amp;" of Purchase Price")</f>
        <v/>
      </c>
      <c r="K16" s="813"/>
      <c r="L16" s="884">
        <f t="shared" si="0"/>
        <v>0</v>
      </c>
      <c r="M16" s="829">
        <f>Scenarios!F14</f>
        <v>0</v>
      </c>
      <c r="N16" s="885">
        <f>IFERROR(M16/'Prop Info'!$B$15,0)</f>
        <v>0</v>
      </c>
      <c r="O16" s="892">
        <f>IFERROR(M16/'Prop Info'!$B$6,0)</f>
        <v>0</v>
      </c>
      <c r="P16" s="813"/>
      <c r="R16" s="830" t="s">
        <v>2439</v>
      </c>
      <c r="S16">
        <f>-$S$7</f>
        <v>0</v>
      </c>
      <c r="T16">
        <f>IF(AND(T$12&gt;=1,T$12&lt;=$S$3),N(INDEX('P&amp;L'!$D$48:$M$48,1,T$12)),0)</f>
        <v>0</v>
      </c>
      <c r="U16">
        <f>IF(AND(U$12&gt;=1,U$12&lt;=$S$3),N(INDEX('P&amp;L'!$D$48:$M$48,1,U$12)),0)</f>
        <v>0</v>
      </c>
      <c r="V16">
        <f>IF(AND(V$12&gt;=1,V$12&lt;=$S$3),N(INDEX('P&amp;L'!$D$48:$M$48,1,V$12)),0)</f>
        <v>0</v>
      </c>
      <c r="W16">
        <f>IF(AND(W$12&gt;=1,W$12&lt;=$S$3),N(INDEX('P&amp;L'!$D$48:$M$48,1,W$12)),0)</f>
        <v>0</v>
      </c>
      <c r="X16">
        <f>IF(AND(X$12&gt;=1,X$12&lt;=$S$3),N(INDEX('P&amp;L'!$D$48:$M$48,1,X$12)),0)</f>
        <v>0</v>
      </c>
      <c r="Y16">
        <f>IF(AND(Y$12&gt;=1,Y$12&lt;=$S$3),N(INDEX('P&amp;L'!$D$48:$M$48,1,Y$12)),0)</f>
        <v>0</v>
      </c>
      <c r="Z16">
        <f>IF(AND(Z$12&gt;=1,Z$12&lt;=$S$3),N(INDEX('P&amp;L'!$D$48:$M$48,1,Z$12)),0)</f>
        <v>0</v>
      </c>
      <c r="AA16">
        <f>IF(AND(AA$12&gt;=1,AA$12&lt;=$S$3),N(INDEX('P&amp;L'!$D$48:$M$48,1,AA$12)),0)</f>
        <v>0</v>
      </c>
      <c r="AB16">
        <f>IF(AND(AB$12&gt;=1,AB$12&lt;=$S$3),N(INDEX('P&amp;L'!$D$48:$M$48,1,AB$12)),0)</f>
        <v>0</v>
      </c>
      <c r="AC16">
        <f>IF(AND(AC$12&gt;=1,AC$12&lt;=$S$3),N(INDEX('P&amp;L'!$D$48:$M$48,1,AC$12)),0)</f>
        <v>0</v>
      </c>
    </row>
    <row r="17" spans="1:29" x14ac:dyDescent="0.2">
      <c r="A17" s="813"/>
      <c r="B17" s="813" t="s">
        <v>376</v>
      </c>
      <c r="C17" s="813"/>
      <c r="D17" s="822">
        <f>'Prop Info'!B15</f>
        <v>0</v>
      </c>
      <c r="E17" s="813"/>
      <c r="F17" s="813"/>
      <c r="G17" s="813"/>
      <c r="H17" s="859" t="s">
        <v>839</v>
      </c>
      <c r="I17" s="813"/>
      <c r="J17" s="893" t="str">
        <f>IF(Scenarios!F7=0,"",TEXT(M17/M14,"0.0%")&amp;" of Purchase Price")</f>
        <v/>
      </c>
      <c r="K17" s="813"/>
      <c r="L17" s="884">
        <f t="shared" si="0"/>
        <v>0</v>
      </c>
      <c r="M17" s="829">
        <f>Scenarios!F16</f>
        <v>0</v>
      </c>
      <c r="N17" s="885">
        <f>IFERROR(M17/'Prop Info'!$B$15,0)</f>
        <v>0</v>
      </c>
      <c r="O17" s="892">
        <f>IFERROR(M17/'Prop Info'!$B$6,0)</f>
        <v>0</v>
      </c>
      <c r="P17" s="813"/>
      <c r="R17" s="830" t="s">
        <v>2440</v>
      </c>
      <c r="S17">
        <f>-$S$7</f>
        <v>0</v>
      </c>
      <c r="T17">
        <f>N(T16)+IF(T$12=$S$3,N(Waterfall!$B$35),0)</f>
        <v>0</v>
      </c>
      <c r="U17">
        <f>N(U16)+IF(U$12=$S$3,N(Waterfall!$B$35),0)</f>
        <v>0</v>
      </c>
      <c r="V17">
        <f>N(V16)+IF(V$12=$S$3,N(Waterfall!$B$35),0)</f>
        <v>0</v>
      </c>
      <c r="W17">
        <f>N(W16)+IF(W$12=$S$3,N(Waterfall!$B$35),0)</f>
        <v>0</v>
      </c>
      <c r="X17">
        <f>N(X16)+IF(X$12=$S$3,N(Waterfall!$B$35),0)</f>
        <v>0</v>
      </c>
      <c r="Y17">
        <f>N(Y16)+IF(Y$12=$S$3,N(Waterfall!$B$35),0)</f>
        <v>0</v>
      </c>
      <c r="Z17">
        <f>N(Z16)+IF(Z$12=$S$3,N(Waterfall!$B$35),0)</f>
        <v>0</v>
      </c>
      <c r="AA17">
        <f>N(AA16)+IF(AA$12=$S$3,N(Waterfall!$B$35),0)</f>
        <v>0</v>
      </c>
      <c r="AB17">
        <f>N(AB16)+IF(AB$12=$S$3,N(Waterfall!$B$35),0)</f>
        <v>0</v>
      </c>
      <c r="AC17">
        <f>N(AC16)+IF(AC$12=$S$3,N(Waterfall!$B$35),0)</f>
        <v>0</v>
      </c>
    </row>
    <row r="18" spans="1:29" x14ac:dyDescent="0.2">
      <c r="A18" s="813"/>
      <c r="B18" s="823" t="s">
        <v>2413</v>
      </c>
      <c r="C18" s="813"/>
      <c r="D18" s="824">
        <f>IFERROR('Prop Info'!B15/'Prop Info'!B6,0)</f>
        <v>0</v>
      </c>
      <c r="E18" s="813"/>
      <c r="F18" s="813"/>
      <c r="G18" s="813"/>
      <c r="H18" s="859" t="s">
        <v>637</v>
      </c>
      <c r="I18" s="813"/>
      <c r="J18" s="813"/>
      <c r="K18" s="813"/>
      <c r="L18" s="884">
        <f t="shared" si="0"/>
        <v>0</v>
      </c>
      <c r="M18" s="829">
        <f>Scenarios!F13</f>
        <v>0</v>
      </c>
      <c r="N18" s="885">
        <f>IFERROR(M18/'Prop Info'!$B$15,0)</f>
        <v>0</v>
      </c>
      <c r="O18" s="892">
        <f>IFERROR(M18/'Prop Info'!$B$6,0)</f>
        <v>0</v>
      </c>
      <c r="P18" s="813"/>
    </row>
    <row r="19" spans="1:29" x14ac:dyDescent="0.2">
      <c r="A19" s="813"/>
      <c r="B19" s="813" t="s">
        <v>2414</v>
      </c>
      <c r="C19" s="813"/>
      <c r="D19" s="825">
        <f>'Prop Info'!B10</f>
        <v>0</v>
      </c>
      <c r="E19" s="813"/>
      <c r="F19" s="813"/>
      <c r="G19" s="813"/>
      <c r="H19" s="905" t="s">
        <v>2429</v>
      </c>
      <c r="I19" s="906"/>
      <c r="J19" s="906"/>
      <c r="K19" s="906"/>
      <c r="L19" s="907">
        <f t="shared" si="0"/>
        <v>0</v>
      </c>
      <c r="M19" s="908">
        <f>SUM(M14:M18)</f>
        <v>0</v>
      </c>
      <c r="N19" s="909">
        <f>IFERROR(M19/'Prop Info'!$B$15,0)</f>
        <v>0</v>
      </c>
      <c r="O19" s="910">
        <f>IFERROR(M19/'Prop Info'!$B$6,0)</f>
        <v>0</v>
      </c>
      <c r="P19" s="813"/>
      <c r="R19" s="830" t="s">
        <v>2441</v>
      </c>
      <c r="S19" s="839">
        <f>IFERROR(IRR(S15:AC15),0)</f>
        <v>0</v>
      </c>
    </row>
    <row r="20" spans="1:29" x14ac:dyDescent="0.2">
      <c r="A20" s="813"/>
      <c r="B20" s="823" t="s">
        <v>2415</v>
      </c>
      <c r="C20" s="813"/>
      <c r="D20" s="826">
        <f>IFERROR('Prop Info'!B6/'Prop Info'!B10,0)</f>
        <v>0</v>
      </c>
      <c r="E20" s="813"/>
      <c r="F20" s="813"/>
      <c r="G20" s="813"/>
      <c r="H20" s="813"/>
      <c r="I20" s="813"/>
      <c r="J20" s="813"/>
      <c r="K20" s="813"/>
      <c r="L20" s="813"/>
      <c r="M20" s="813"/>
      <c r="N20" s="813"/>
      <c r="O20" s="813"/>
      <c r="P20" s="813"/>
      <c r="R20" s="830" t="s">
        <v>2442</v>
      </c>
      <c r="S20" s="840">
        <f>IFERROR(SUM(T15:AC15)/$S$6,0)</f>
        <v>0</v>
      </c>
    </row>
    <row r="21" spans="1:29" x14ac:dyDescent="0.2">
      <c r="A21" s="813"/>
      <c r="B21" s="813" t="s">
        <v>373</v>
      </c>
      <c r="C21" s="813"/>
      <c r="D21" s="821">
        <f>'Prop Info'!B12</f>
        <v>0</v>
      </c>
      <c r="E21" s="813"/>
      <c r="F21" s="813"/>
      <c r="G21" s="813"/>
      <c r="H21" s="813"/>
      <c r="I21" s="813"/>
      <c r="J21" s="813"/>
      <c r="K21" s="813"/>
      <c r="L21" s="813"/>
      <c r="M21" s="813"/>
      <c r="N21" s="813"/>
      <c r="O21" s="813"/>
      <c r="P21" s="813"/>
      <c r="R21" s="830" t="s">
        <v>2443</v>
      </c>
      <c r="S21" s="837">
        <f>SUM(S15:AC15)</f>
        <v>0</v>
      </c>
    </row>
    <row r="22" spans="1:29" x14ac:dyDescent="0.2">
      <c r="A22" s="813"/>
      <c r="B22" s="823" t="s">
        <v>2416</v>
      </c>
      <c r="C22" s="813"/>
      <c r="D22" s="826">
        <f>IFERROR('Prop Info'!B12/('Prop Info'!B15/1000),0)</f>
        <v>0</v>
      </c>
      <c r="E22" s="813"/>
      <c r="F22" s="813"/>
      <c r="G22" s="813"/>
      <c r="H22" s="856" t="s">
        <v>2471</v>
      </c>
      <c r="I22" s="857"/>
      <c r="J22" s="857"/>
      <c r="K22" s="857"/>
      <c r="L22" s="857"/>
      <c r="M22" s="857"/>
      <c r="N22" s="857"/>
      <c r="O22" s="857"/>
      <c r="P22" s="813"/>
      <c r="R22" s="830" t="s">
        <v>2444</v>
      </c>
      <c r="S22" s="837">
        <f>$S$6</f>
        <v>0</v>
      </c>
    </row>
    <row r="23" spans="1:29" x14ac:dyDescent="0.2">
      <c r="A23" s="813"/>
      <c r="B23" s="813"/>
      <c r="C23" s="813"/>
      <c r="D23" s="813"/>
      <c r="E23" s="813"/>
      <c r="F23" s="813"/>
      <c r="G23" s="813"/>
      <c r="H23" s="874" t="s">
        <v>1227</v>
      </c>
      <c r="I23" s="875" t="s">
        <v>2472</v>
      </c>
      <c r="J23" s="875" t="s">
        <v>2473</v>
      </c>
      <c r="K23" s="875" t="s">
        <v>2474</v>
      </c>
      <c r="L23" s="875" t="s">
        <v>2475</v>
      </c>
      <c r="M23" s="875" t="s">
        <v>2476</v>
      </c>
      <c r="N23" s="875" t="s">
        <v>2477</v>
      </c>
      <c r="O23" s="876" t="s">
        <v>2478</v>
      </c>
      <c r="P23" s="813"/>
      <c r="R23" s="830" t="s">
        <v>2445</v>
      </c>
      <c r="S23" s="839">
        <f>IFERROR(SUM(T13:AC13)/$S$3/$S$6,0)</f>
        <v>0</v>
      </c>
    </row>
    <row r="24" spans="1:29" x14ac:dyDescent="0.2">
      <c r="A24" s="813"/>
      <c r="B24" s="856" t="s">
        <v>2450</v>
      </c>
      <c r="C24" s="857"/>
      <c r="D24" s="857"/>
      <c r="E24" s="857"/>
      <c r="F24" s="857"/>
      <c r="G24" s="813"/>
      <c r="H24" s="877" t="str" cm="1">
        <f t="array" ref="H24">IFERROR(INDEX(_xlfn.UNIQUE(_xlfn._xlws.FILTER('Rent Roll Analysis'!$C$273:$C$1772,'Rent Roll Analysis'!$C$273:$C$1772&lt;&gt;"")),ROW()-23),"")</f>
        <v/>
      </c>
      <c r="I24" s="878"/>
      <c r="J24" s="879" t="str">
        <f>IF($H24="","",COUNTIF('Rent Roll Analysis'!$C$273:$C$1772,$H24))</f>
        <v/>
      </c>
      <c r="K24" s="879" t="str">
        <f>IF($H24="","",IFERROR(AVERAGEIF('Rent Roll Analysis'!$C$273:$C$1772,$H24,'Rent Roll Analysis'!$D$273:$D$1772),0))</f>
        <v/>
      </c>
      <c r="L24" s="880" t="str">
        <f>IF($H24="","",IFERROR(AVERAGEIF('Rent Roll Analysis'!$C$273:$C$1772,$H24,'Rent Roll Analysis'!$N$273:$N$1772),0))</f>
        <v/>
      </c>
      <c r="M24" s="881">
        <f>IFERROR(L24/K24,0)</f>
        <v>0</v>
      </c>
      <c r="N24" s="882"/>
      <c r="O24" s="883" t="str">
        <f>IF($H24="","",N(L24)+N(N24))</f>
        <v/>
      </c>
      <c r="P24" s="813"/>
    </row>
    <row r="25" spans="1:29" x14ac:dyDescent="0.2">
      <c r="A25" s="813"/>
      <c r="B25" s="813"/>
      <c r="C25" s="813"/>
      <c r="D25" s="841" t="s">
        <v>2451</v>
      </c>
      <c r="E25" s="841" t="s">
        <v>2452</v>
      </c>
      <c r="F25" s="813"/>
      <c r="G25" s="813"/>
      <c r="H25" s="877" t="str" cm="1">
        <f t="array" ref="H25">IFERROR(INDEX(_xlfn.UNIQUE(_xlfn._xlws.FILTER('Rent Roll Analysis'!$C$273:$C$1772,'Rent Roll Analysis'!$C$273:$C$1772&lt;&gt;"")),ROW()-23),"")</f>
        <v/>
      </c>
      <c r="I25" s="878"/>
      <c r="J25" s="879" t="str">
        <f>IF($H25="","",COUNTIF('Rent Roll Analysis'!$C$273:$C$1772,$H25))</f>
        <v/>
      </c>
      <c r="K25" s="879" t="str">
        <f>IF($H25="","",IFERROR(AVERAGEIF('Rent Roll Analysis'!$C$273:$C$1772,$H25,'Rent Roll Analysis'!$D$273:$D$1772),0))</f>
        <v/>
      </c>
      <c r="L25" s="880" t="str">
        <f>IF($H25="","",IFERROR(AVERAGEIF('Rent Roll Analysis'!$C$273:$C$1772,$H25,'Rent Roll Analysis'!$N$273:$N$1772),0))</f>
        <v/>
      </c>
      <c r="M25" s="881">
        <f t="shared" ref="M25:M29" si="3">IFERROR(L25/K25,0)</f>
        <v>0</v>
      </c>
      <c r="N25" s="882"/>
      <c r="O25" s="883" t="str">
        <f t="shared" ref="O25:O29" si="4">IF($H25="","",N(L25)+N(N25))</f>
        <v/>
      </c>
      <c r="P25" s="813"/>
      <c r="R25" s="830" t="s">
        <v>2446</v>
      </c>
      <c r="S25" s="839">
        <f>IFERROR(SUM(T16:AC16)/$S$3/$S$7,0)</f>
        <v>0</v>
      </c>
    </row>
    <row r="26" spans="1:29" x14ac:dyDescent="0.2">
      <c r="A26" s="813"/>
      <c r="B26" s="813" t="s">
        <v>63</v>
      </c>
      <c r="C26" s="813"/>
      <c r="D26" s="842">
        <f>S19</f>
        <v>0</v>
      </c>
      <c r="E26" s="842">
        <f>IFERROR(N(Waterfall!D66),0)</f>
        <v>0</v>
      </c>
      <c r="F26" s="813"/>
      <c r="G26" s="813"/>
      <c r="H26" s="877" t="str" cm="1">
        <f t="array" ref="H26">IFERROR(INDEX(_xlfn.UNIQUE(_xlfn._xlws.FILTER('Rent Roll Analysis'!$C$273:$C$1772,'Rent Roll Analysis'!$C$273:$C$1772&lt;&gt;"")),ROW()-23),"")</f>
        <v/>
      </c>
      <c r="I26" s="878"/>
      <c r="J26" s="879" t="str">
        <f>IF($H26="","",COUNTIF('Rent Roll Analysis'!$C$273:$C$1772,$H26))</f>
        <v/>
      </c>
      <c r="K26" s="879" t="str">
        <f>IF($H26="","",IFERROR(AVERAGEIF('Rent Roll Analysis'!$C$273:$C$1772,$H26,'Rent Roll Analysis'!$D$273:$D$1772),0))</f>
        <v/>
      </c>
      <c r="L26" s="880" t="str">
        <f>IF($H26="","",IFERROR(AVERAGEIF('Rent Roll Analysis'!$C$273:$C$1772,$H26,'Rent Roll Analysis'!$N$273:$N$1772),0))</f>
        <v/>
      </c>
      <c r="M26" s="881">
        <f t="shared" si="3"/>
        <v>0</v>
      </c>
      <c r="N26" s="882"/>
      <c r="O26" s="883" t="str">
        <f t="shared" si="4"/>
        <v/>
      </c>
      <c r="P26" s="813"/>
    </row>
    <row r="27" spans="1:29" x14ac:dyDescent="0.2">
      <c r="A27" s="813"/>
      <c r="B27" s="813" t="s">
        <v>2453</v>
      </c>
      <c r="C27" s="813"/>
      <c r="D27" s="843">
        <f>S20</f>
        <v>0</v>
      </c>
      <c r="E27" s="843">
        <f>IFERROR(N(Waterfall!D64),0)</f>
        <v>0</v>
      </c>
      <c r="F27" s="813"/>
      <c r="G27" s="813"/>
      <c r="H27" s="877" t="str" cm="1">
        <f t="array" ref="H27">IFERROR(INDEX(_xlfn.UNIQUE(_xlfn._xlws.FILTER('Rent Roll Analysis'!$C$273:$C$1772,'Rent Roll Analysis'!$C$273:$C$1772&lt;&gt;"")),ROW()-23),"")</f>
        <v/>
      </c>
      <c r="I27" s="878"/>
      <c r="J27" s="879" t="str">
        <f>IF($H27="","",COUNTIF('Rent Roll Analysis'!$C$273:$C$1772,$H27))</f>
        <v/>
      </c>
      <c r="K27" s="879" t="str">
        <f>IF($H27="","",IFERROR(AVERAGEIF('Rent Roll Analysis'!$C$273:$C$1772,$H27,'Rent Roll Analysis'!$D$273:$D$1772),0))</f>
        <v/>
      </c>
      <c r="L27" s="880" t="str">
        <f>IF($H27="","",IFERROR(AVERAGEIF('Rent Roll Analysis'!$C$273:$C$1772,$H27,'Rent Roll Analysis'!$N$273:$N$1772),0))</f>
        <v/>
      </c>
      <c r="M27" s="881">
        <f t="shared" si="3"/>
        <v>0</v>
      </c>
      <c r="N27" s="882"/>
      <c r="O27" s="883" t="str">
        <f t="shared" si="4"/>
        <v/>
      </c>
      <c r="P27" s="813"/>
      <c r="R27" s="830" t="s">
        <v>2447</v>
      </c>
      <c r="S27" s="837">
        <f>NPV($S$2,T15:AC15)</f>
        <v>0</v>
      </c>
    </row>
    <row r="28" spans="1:29" x14ac:dyDescent="0.2">
      <c r="A28" s="813"/>
      <c r="B28" s="813" t="s">
        <v>2454</v>
      </c>
      <c r="C28" s="813"/>
      <c r="D28" s="829">
        <f>S21</f>
        <v>0</v>
      </c>
      <c r="E28" s="829">
        <f>IFERROR(N(Waterfall!D65),0)</f>
        <v>0</v>
      </c>
      <c r="F28" s="813"/>
      <c r="G28" s="813"/>
      <c r="H28" s="877" t="str" cm="1">
        <f t="array" ref="H28">IFERROR(INDEX(_xlfn.UNIQUE(_xlfn._xlws.FILTER('Rent Roll Analysis'!$C$273:$C$1772,'Rent Roll Analysis'!$C$273:$C$1772&lt;&gt;"")),ROW()-23),"")</f>
        <v/>
      </c>
      <c r="I28" s="878"/>
      <c r="J28" s="879" t="str">
        <f>IF($H28="","",COUNTIF('Rent Roll Analysis'!$C$273:$C$1772,$H28))</f>
        <v/>
      </c>
      <c r="K28" s="879" t="str">
        <f>IF($H28="","",IFERROR(AVERAGEIF('Rent Roll Analysis'!$C$273:$C$1772,$H28,'Rent Roll Analysis'!$D$273:$D$1772),0))</f>
        <v/>
      </c>
      <c r="L28" s="880" t="str">
        <f>IF($H28="","",IFERROR(AVERAGEIF('Rent Roll Analysis'!$C$273:$C$1772,$H28,'Rent Roll Analysis'!$N$273:$N$1772),0))</f>
        <v/>
      </c>
      <c r="M28" s="881">
        <f t="shared" si="3"/>
        <v>0</v>
      </c>
      <c r="N28" s="882"/>
      <c r="O28" s="883" t="str">
        <f t="shared" si="4"/>
        <v/>
      </c>
      <c r="P28" s="813"/>
      <c r="R28" s="830" t="s">
        <v>2448</v>
      </c>
      <c r="S28" s="737">
        <f>IFERROR(N('P&amp;L'!$D$40)/$S$27,0)</f>
        <v>0</v>
      </c>
    </row>
    <row r="29" spans="1:29" x14ac:dyDescent="0.2">
      <c r="A29" s="813"/>
      <c r="B29" s="813" t="s">
        <v>2455</v>
      </c>
      <c r="C29" s="813"/>
      <c r="D29" s="829">
        <f>S22</f>
        <v>0</v>
      </c>
      <c r="E29" s="829">
        <f>N(Waterfall!B9)+N(Waterfall!B10)</f>
        <v>0</v>
      </c>
      <c r="F29" s="813"/>
      <c r="G29" s="813"/>
      <c r="H29" s="911" t="str" cm="1">
        <f t="array" ref="H29">IFERROR(INDEX(_xlfn.UNIQUE(_xlfn._xlws.FILTER('Rent Roll Analysis'!$C$273:$C$1772,'Rent Roll Analysis'!$C$273:$C$1772&lt;&gt;"")),ROW()-23),"")</f>
        <v/>
      </c>
      <c r="I29" s="912"/>
      <c r="J29" s="913" t="str">
        <f>IF($H29="","",COUNTIF('Rent Roll Analysis'!$C$273:$C$1772,$H29))</f>
        <v/>
      </c>
      <c r="K29" s="913" t="str">
        <f>IF($H29="","",IFERROR(AVERAGEIF('Rent Roll Analysis'!$C$273:$C$1772,$H29,'Rent Roll Analysis'!$D$273:$D$1772),0))</f>
        <v/>
      </c>
      <c r="L29" s="914" t="str">
        <f>IF($H29="","",IFERROR(AVERAGEIF('Rent Roll Analysis'!$C$273:$C$1772,$H29,'Rent Roll Analysis'!$N$273:$N$1772),0))</f>
        <v/>
      </c>
      <c r="M29" s="915">
        <f t="shared" si="3"/>
        <v>0</v>
      </c>
      <c r="N29" s="916"/>
      <c r="O29" s="917" t="str">
        <f t="shared" si="4"/>
        <v/>
      </c>
      <c r="P29" s="813"/>
      <c r="R29" s="830" t="s">
        <v>2449</v>
      </c>
      <c r="S29" s="837">
        <f>N('P&amp;L'!$D$40)</f>
        <v>0</v>
      </c>
    </row>
    <row r="30" spans="1:29" x14ac:dyDescent="0.2">
      <c r="A30" s="813"/>
      <c r="B30" s="813" t="s">
        <v>2456</v>
      </c>
      <c r="C30" s="813"/>
      <c r="D30" s="842">
        <f>S23</f>
        <v>0</v>
      </c>
      <c r="E30" s="842">
        <f>S25</f>
        <v>0</v>
      </c>
      <c r="F30" s="813"/>
      <c r="G30" s="813"/>
      <c r="H30" s="918" t="s">
        <v>2479</v>
      </c>
      <c r="I30" s="919">
        <f>IFERROR(SUMPRODUCT(I24:I29,J24:J29)/SUM(J24:J29),0)</f>
        <v>0</v>
      </c>
      <c r="J30" s="920">
        <f>SUM(J24:J29)</f>
        <v>0</v>
      </c>
      <c r="K30" s="920">
        <f>IFERROR(SUMPRODUCT(K24:K29,J24:J29)/J30,0)</f>
        <v>0</v>
      </c>
      <c r="L30" s="921">
        <f>IFERROR(SUMPRODUCT(L24:L29,J24:J29)/J30,0)</f>
        <v>0</v>
      </c>
      <c r="M30" s="922">
        <f>IFERROR(L30/K30,0)</f>
        <v>0</v>
      </c>
      <c r="N30" s="921">
        <f>IFERROR(SUMPRODUCT(N24:N29,J24:J29)/J30,0)</f>
        <v>0</v>
      </c>
      <c r="O30" s="923">
        <f>N(L30)+N(N30)</f>
        <v>0</v>
      </c>
      <c r="P30" s="813"/>
    </row>
    <row r="31" spans="1:29" x14ac:dyDescent="0.2">
      <c r="A31" s="813"/>
      <c r="B31" s="813"/>
      <c r="C31" s="813"/>
      <c r="D31" s="813"/>
      <c r="E31" s="813"/>
      <c r="F31" s="813"/>
      <c r="G31" s="813"/>
      <c r="H31" s="813"/>
      <c r="I31" s="813"/>
      <c r="J31" s="813"/>
      <c r="K31" s="813"/>
      <c r="L31" s="813"/>
      <c r="M31" s="813"/>
      <c r="N31" s="813"/>
      <c r="O31" s="813"/>
      <c r="P31" s="813"/>
      <c r="R31" s="830" t="s">
        <v>2496</v>
      </c>
    </row>
    <row r="32" spans="1:29" x14ac:dyDescent="0.2">
      <c r="A32" s="813"/>
      <c r="B32" s="856" t="s">
        <v>2457</v>
      </c>
      <c r="C32" s="857"/>
      <c r="D32" s="857"/>
      <c r="E32" s="857"/>
      <c r="F32" s="857"/>
      <c r="G32" s="813"/>
      <c r="H32" s="856" t="s">
        <v>2480</v>
      </c>
      <c r="I32" s="857"/>
      <c r="J32" s="857"/>
      <c r="K32" s="857"/>
      <c r="L32" s="857"/>
      <c r="M32" s="857"/>
      <c r="N32" s="857"/>
      <c r="O32" s="857"/>
      <c r="P32" s="813"/>
    </row>
    <row r="33" spans="1:25" x14ac:dyDescent="0.2">
      <c r="A33" s="813"/>
      <c r="B33" s="813" t="s">
        <v>2458</v>
      </c>
      <c r="C33" s="813"/>
      <c r="D33" s="844">
        <f>S2</f>
        <v>0.08</v>
      </c>
      <c r="E33" s="815" t="s">
        <v>98</v>
      </c>
      <c r="F33" s="845">
        <f>S27</f>
        <v>0</v>
      </c>
      <c r="G33" s="813"/>
      <c r="H33" s="813"/>
      <c r="I33" s="813"/>
      <c r="J33" s="897" t="s">
        <v>2481</v>
      </c>
      <c r="K33" s="895" t="s">
        <v>2482</v>
      </c>
      <c r="L33" s="895" t="s">
        <v>2483</v>
      </c>
      <c r="M33" s="895" t="s">
        <v>2484</v>
      </c>
      <c r="N33" s="895" t="s">
        <v>2485</v>
      </c>
      <c r="O33" s="901" t="s">
        <v>2486</v>
      </c>
      <c r="P33" s="813"/>
      <c r="S33">
        <f>MAX(1,$S$3-1)</f>
        <v>4</v>
      </c>
      <c r="T33">
        <f>$S$3</f>
        <v>5</v>
      </c>
      <c r="U33">
        <f>$S$3+1</f>
        <v>6</v>
      </c>
      <c r="W33">
        <f>S33</f>
        <v>4</v>
      </c>
      <c r="X33">
        <f>T33</f>
        <v>5</v>
      </c>
      <c r="Y33">
        <f>U33</f>
        <v>6</v>
      </c>
    </row>
    <row r="34" spans="1:25" x14ac:dyDescent="0.2">
      <c r="A34" s="813"/>
      <c r="B34" s="823" t="s">
        <v>2459</v>
      </c>
      <c r="C34" s="813"/>
      <c r="D34" s="846">
        <f>IFERROR(S27/'Prop Info'!$B$6,0)</f>
        <v>0</v>
      </c>
      <c r="E34" s="847" t="s">
        <v>2460</v>
      </c>
      <c r="F34" s="848">
        <f>IFERROR(S27/'Prop Info'!$B$15,0)</f>
        <v>0</v>
      </c>
      <c r="G34" s="813"/>
      <c r="H34" s="852" t="s">
        <v>2487</v>
      </c>
      <c r="I34" s="853"/>
      <c r="J34" s="898"/>
      <c r="K34" s="853"/>
      <c r="L34" s="853"/>
      <c r="M34" s="853"/>
      <c r="N34" s="853"/>
      <c r="O34" s="902"/>
      <c r="P34" s="813"/>
      <c r="R34" s="737">
        <f>$S$4-0.005</f>
        <v>6.7499999999999991E-2</v>
      </c>
      <c r="S34" s="854">
        <f>IFERROR(((N(INDEX('P&amp;L'!$D$40:$M$40,1,S$33+1))/$R34*(1-$S$5)-N(Scenarios!$F$116)+SUM(INDEX($T$16:$AC$16,1,1):INDEX($T$16:$AC$16,1,S$33)))/$S$7)^(1/S$33)-1,0)</f>
        <v>0</v>
      </c>
      <c r="T34" s="854">
        <f>IFERROR(((N(INDEX('P&amp;L'!$D$40:$M$40,1,T$33+1))/$R34*(1-$S$5)-N(Scenarios!$F$116)+SUM(INDEX($T$16:$AC$16,1,1):INDEX($T$16:$AC$16,1,T$33)))/$S$7)^(1/T$33)-1,0)</f>
        <v>0</v>
      </c>
      <c r="U34" s="854">
        <f>IFERROR(((N(INDEX('P&amp;L'!$D$40:$M$40,1,U$33+1))/$R34*(1-$S$5)-N(Scenarios!$F$116)+SUM(INDEX($T$16:$AC$16,1,1):INDEX($T$16:$AC$16,1,U$33)))/$S$7)^(1/U$33)-1,0)</f>
        <v>0</v>
      </c>
      <c r="V34" s="737">
        <f>R34</f>
        <v>6.7499999999999991E-2</v>
      </c>
      <c r="W34" s="855">
        <f>IFERROR((N(INDEX('P&amp;L'!$D$40:$M$40,1,W$33+1))/$V34*(1-$S$5)-N(Scenarios!$F$116)+SUM(INDEX($T$16:$AC$16,1,1):INDEX($T$16:$AC$16,1,W$33)))/$S$7,0)</f>
        <v>0</v>
      </c>
      <c r="X34" s="855">
        <f>IFERROR((N(INDEX('P&amp;L'!$D$40:$M$40,1,X$33+1))/$V34*(1-$S$5)-N(Scenarios!$F$116)+SUM(INDEX($T$16:$AC$16,1,1):INDEX($T$16:$AC$16,1,X$33)))/$S$7,0)</f>
        <v>0</v>
      </c>
      <c r="Y34" s="855">
        <f>IFERROR((N(INDEX('P&amp;L'!$D$40:$M$40,1,Y$33+1))/$V34*(1-$S$5)-N(Scenarios!$F$116)+SUM(INDEX($T$16:$AC$16,1,1):INDEX($T$16:$AC$16,1,Y$33)))/$S$7,0)</f>
        <v>0</v>
      </c>
    </row>
    <row r="35" spans="1:25" x14ac:dyDescent="0.2">
      <c r="A35" s="813"/>
      <c r="B35" s="813" t="s">
        <v>2461</v>
      </c>
      <c r="C35" s="813"/>
      <c r="D35" s="845">
        <f>S29</f>
        <v>0</v>
      </c>
      <c r="E35" s="815" t="s">
        <v>2462</v>
      </c>
      <c r="F35" s="849">
        <f>S28</f>
        <v>0</v>
      </c>
      <c r="G35" s="813"/>
      <c r="H35" s="813" t="s">
        <v>2488</v>
      </c>
      <c r="I35" s="813"/>
      <c r="J35" s="927">
        <f>IFERROR(N('P&amp;L'!D10)/N('P&amp;L'!C10)-1,0)</f>
        <v>0</v>
      </c>
      <c r="K35" s="927">
        <f>IFERROR(N('P&amp;L'!E10)/N('P&amp;L'!D10)-1,0)</f>
        <v>0</v>
      </c>
      <c r="L35" s="927">
        <f>IFERROR(N('P&amp;L'!F10)/N('P&amp;L'!E10)-1,0)</f>
        <v>0</v>
      </c>
      <c r="M35" s="927">
        <f>IFERROR(N('P&amp;L'!G10)/N('P&amp;L'!F10)-1,0)</f>
        <v>0</v>
      </c>
      <c r="N35" s="927">
        <f>IFERROR(N('P&amp;L'!H10)/N('P&amp;L'!G10)-1,0)</f>
        <v>0</v>
      </c>
      <c r="O35" s="927">
        <f>IFERROR(N('P&amp;L'!I10)/N('P&amp;L'!H10)-1,0)</f>
        <v>0</v>
      </c>
      <c r="P35" s="813"/>
      <c r="R35" s="737">
        <f>$S$4-0.0025</f>
        <v>6.9999999999999993E-2</v>
      </c>
      <c r="S35" s="854">
        <f>IFERROR(((N(INDEX('P&amp;L'!$D$40:$M$40,1,S$33+1))/$R35*(1-$S$5)-N(Scenarios!$F$116)+SUM(INDEX($T$16:$AC$16,1,1):INDEX($T$16:$AC$16,1,S$33)))/$S$7)^(1/S$33)-1,0)</f>
        <v>0</v>
      </c>
      <c r="T35" s="854">
        <f>IFERROR(((N(INDEX('P&amp;L'!$D$40:$M$40,1,T$33+1))/$R35*(1-$S$5)-N(Scenarios!$F$116)+SUM(INDEX($T$16:$AC$16,1,1):INDEX($T$16:$AC$16,1,T$33)))/$S$7)^(1/T$33)-1,0)</f>
        <v>0</v>
      </c>
      <c r="U35" s="854">
        <f>IFERROR(((N(INDEX('P&amp;L'!$D$40:$M$40,1,U$33+1))/$R35*(1-$S$5)-N(Scenarios!$F$116)+SUM(INDEX($T$16:$AC$16,1,1):INDEX($T$16:$AC$16,1,U$33)))/$S$7)^(1/U$33)-1,0)</f>
        <v>0</v>
      </c>
      <c r="V35" s="737">
        <f>R35</f>
        <v>6.9999999999999993E-2</v>
      </c>
      <c r="W35" s="855">
        <f>IFERROR((N(INDEX('P&amp;L'!$D$40:$M$40,1,W$33+1))/$V35*(1-$S$5)-N(Scenarios!$F$116)+SUM(INDEX($T$16:$AC$16,1,1):INDEX($T$16:$AC$16,1,W$33)))/$S$7,0)</f>
        <v>0</v>
      </c>
      <c r="X35" s="855">
        <f>IFERROR((N(INDEX('P&amp;L'!$D$40:$M$40,1,X$33+1))/$V35*(1-$S$5)-N(Scenarios!$F$116)+SUM(INDEX($T$16:$AC$16,1,1):INDEX($T$16:$AC$16,1,X$33)))/$S$7,0)</f>
        <v>0</v>
      </c>
      <c r="Y35" s="855">
        <f>IFERROR((N(INDEX('P&amp;L'!$D$40:$M$40,1,Y$33+1))/$V35*(1-$S$5)-N(Scenarios!$F$116)+SUM(INDEX($T$16:$AC$16,1,1):INDEX($T$16:$AC$16,1,Y$33)))/$S$7,0)</f>
        <v>0</v>
      </c>
    </row>
    <row r="36" spans="1:25" x14ac:dyDescent="0.2">
      <c r="A36" s="813"/>
      <c r="B36" s="813"/>
      <c r="C36" s="813"/>
      <c r="D36" s="813"/>
      <c r="E36" s="813"/>
      <c r="F36" s="813"/>
      <c r="G36" s="813"/>
      <c r="H36" s="813" t="s">
        <v>2489</v>
      </c>
      <c r="I36" s="813"/>
      <c r="J36" s="927">
        <f>IFERROR(N('P&amp;L'!D10)/N('P&amp;L'!C10)-1,0)</f>
        <v>0</v>
      </c>
      <c r="K36" s="927">
        <f>IFERROR(N('P&amp;L'!E10)/N('P&amp;L'!D10)-1,0)</f>
        <v>0</v>
      </c>
      <c r="L36" s="927">
        <f>IFERROR(N('P&amp;L'!F10)/N('P&amp;L'!E10)-1,0)</f>
        <v>0</v>
      </c>
      <c r="M36" s="927">
        <f>IFERROR(N('P&amp;L'!G10)/N('P&amp;L'!F10)-1,0)</f>
        <v>0</v>
      </c>
      <c r="N36" s="927">
        <f>IFERROR(N('P&amp;L'!H10)/N('P&amp;L'!G10)-1,0)</f>
        <v>0</v>
      </c>
      <c r="O36" s="927">
        <f>IFERROR(N('P&amp;L'!I10)/N('P&amp;L'!H10)-1,0)</f>
        <v>0</v>
      </c>
      <c r="P36" s="813"/>
      <c r="R36" s="737">
        <f>$S$4</f>
        <v>7.2499999999999995E-2</v>
      </c>
      <c r="S36" s="854">
        <f>IFERROR(((N(INDEX('P&amp;L'!$D$40:$M$40,1,S$33+1))/$R36*(1-$S$5)-N(Scenarios!$F$116)+SUM(INDEX($T$16:$AC$16,1,1):INDEX($T$16:$AC$16,1,S$33)))/$S$7)^(1/S$33)-1,0)</f>
        <v>0</v>
      </c>
      <c r="T36" s="854">
        <f>IFERROR(((N(INDEX('P&amp;L'!$D$40:$M$40,1,T$33+1))/$R36*(1-$S$5)-N(Scenarios!$F$116)+SUM(INDEX($T$16:$AC$16,1,1):INDEX($T$16:$AC$16,1,T$33)))/$S$7)^(1/T$33)-1,0)</f>
        <v>0</v>
      </c>
      <c r="U36" s="854">
        <f>IFERROR(((N(INDEX('P&amp;L'!$D$40:$M$40,1,U$33+1))/$R36*(1-$S$5)-N(Scenarios!$F$116)+SUM(INDEX($T$16:$AC$16,1,1):INDEX($T$16:$AC$16,1,U$33)))/$S$7)^(1/U$33)-1,0)</f>
        <v>0</v>
      </c>
      <c r="V36" s="737">
        <f>R36</f>
        <v>7.2499999999999995E-2</v>
      </c>
      <c r="W36" s="855">
        <f>IFERROR((N(INDEX('P&amp;L'!$D$40:$M$40,1,W$33+1))/$V36*(1-$S$5)-N(Scenarios!$F$116)+SUM(INDEX($T$16:$AC$16,1,1):INDEX($T$16:$AC$16,1,W$33)))/$S$7,0)</f>
        <v>0</v>
      </c>
      <c r="X36" s="855">
        <f>IFERROR((N(INDEX('P&amp;L'!$D$40:$M$40,1,X$33+1))/$V36*(1-$S$5)-N(Scenarios!$F$116)+SUM(INDEX($T$16:$AC$16,1,1):INDEX($T$16:$AC$16,1,X$33)))/$S$7,0)</f>
        <v>0</v>
      </c>
      <c r="Y36" s="855">
        <f>IFERROR((N(INDEX('P&amp;L'!$D$40:$M$40,1,Y$33+1))/$V36*(1-$S$5)-N(Scenarios!$F$116)+SUM(INDEX($T$16:$AC$16,1,1):INDEX($T$16:$AC$16,1,Y$33)))/$S$7,0)</f>
        <v>0</v>
      </c>
    </row>
    <row r="37" spans="1:25" x14ac:dyDescent="0.2">
      <c r="A37" s="813"/>
      <c r="B37" s="813"/>
      <c r="C37" s="813"/>
      <c r="D37" s="813"/>
      <c r="E37" s="813"/>
      <c r="F37" s="813"/>
      <c r="G37" s="813"/>
      <c r="H37" s="813" t="s">
        <v>2490</v>
      </c>
      <c r="I37" s="813"/>
      <c r="J37" s="927">
        <f>IFERROR(N('P&amp;L'!D18)/N('P&amp;L'!C18)-1,0)</f>
        <v>0</v>
      </c>
      <c r="K37" s="927">
        <f>IFERROR(N('P&amp;L'!E18)/N('P&amp;L'!D18)-1,0)</f>
        <v>0</v>
      </c>
      <c r="L37" s="927">
        <f>IFERROR(N('P&amp;L'!F18)/N('P&amp;L'!E18)-1,0)</f>
        <v>0</v>
      </c>
      <c r="M37" s="927">
        <f>IFERROR(N('P&amp;L'!G18)/N('P&amp;L'!F18)-1,0)</f>
        <v>0</v>
      </c>
      <c r="N37" s="927">
        <f>IFERROR(N('P&amp;L'!H18)/N('P&amp;L'!G18)-1,0)</f>
        <v>0</v>
      </c>
      <c r="O37" s="927">
        <f>IFERROR(N('P&amp;L'!I18)/N('P&amp;L'!H18)-1,0)</f>
        <v>0</v>
      </c>
      <c r="P37" s="813"/>
      <c r="R37" s="737">
        <f>$S$4+0.0025</f>
        <v>7.4999999999999997E-2</v>
      </c>
      <c r="S37" s="854">
        <f>IFERROR(((N(INDEX('P&amp;L'!$D$40:$M$40,1,S$33+1))/$R37*(1-$S$5)-N(Scenarios!$F$116)+SUM(INDEX($T$16:$AC$16,1,1):INDEX($T$16:$AC$16,1,S$33)))/$S$7)^(1/S$33)-1,0)</f>
        <v>0</v>
      </c>
      <c r="T37" s="854">
        <f>IFERROR(((N(INDEX('P&amp;L'!$D$40:$M$40,1,T$33+1))/$R37*(1-$S$5)-N(Scenarios!$F$116)+SUM(INDEX($T$16:$AC$16,1,1):INDEX($T$16:$AC$16,1,T$33)))/$S$7)^(1/T$33)-1,0)</f>
        <v>0</v>
      </c>
      <c r="U37" s="854">
        <f>IFERROR(((N(INDEX('P&amp;L'!$D$40:$M$40,1,U$33+1))/$R37*(1-$S$5)-N(Scenarios!$F$116)+SUM(INDEX($T$16:$AC$16,1,1):INDEX($T$16:$AC$16,1,U$33)))/$S$7)^(1/U$33)-1,0)</f>
        <v>0</v>
      </c>
      <c r="V37" s="737">
        <f>R37</f>
        <v>7.4999999999999997E-2</v>
      </c>
      <c r="W37" s="855">
        <f>IFERROR((N(INDEX('P&amp;L'!$D$40:$M$40,1,W$33+1))/$V37*(1-$S$5)-N(Scenarios!$F$116)+SUM(INDEX($T$16:$AC$16,1,1):INDEX($T$16:$AC$16,1,W$33)))/$S$7,0)</f>
        <v>0</v>
      </c>
      <c r="X37" s="855">
        <f>IFERROR((N(INDEX('P&amp;L'!$D$40:$M$40,1,X$33+1))/$V37*(1-$S$5)-N(Scenarios!$F$116)+SUM(INDEX($T$16:$AC$16,1,1):INDEX($T$16:$AC$16,1,X$33)))/$S$7,0)</f>
        <v>0</v>
      </c>
      <c r="Y37" s="855">
        <f>IFERROR((N(INDEX('P&amp;L'!$D$40:$M$40,1,Y$33+1))/$V37*(1-$S$5)-N(Scenarios!$F$116)+SUM(INDEX($T$16:$AC$16,1,1):INDEX($T$16:$AC$16,1,Y$33)))/$S$7,0)</f>
        <v>0</v>
      </c>
    </row>
    <row r="38" spans="1:25" x14ac:dyDescent="0.2">
      <c r="A38" s="813"/>
      <c r="B38" s="856" t="s">
        <v>2463</v>
      </c>
      <c r="C38" s="857"/>
      <c r="D38" s="857"/>
      <c r="E38" s="857"/>
      <c r="F38" s="857"/>
      <c r="G38" s="813"/>
      <c r="H38" s="813" t="s">
        <v>2491</v>
      </c>
      <c r="I38" s="813"/>
      <c r="J38" s="927">
        <f>IFERROR((N('P&amp;L'!D38)-N('P&amp;L'!D28))/(N('P&amp;L'!C38)-N('P&amp;L'!C28))-1,0)</f>
        <v>0</v>
      </c>
      <c r="K38" s="927">
        <f>IFERROR((N('P&amp;L'!E38)-N('P&amp;L'!E28))/(N('P&amp;L'!D38)-N('P&amp;L'!D28))-1,0)</f>
        <v>0</v>
      </c>
      <c r="L38" s="927">
        <f>IFERROR((N('P&amp;L'!F38)-N('P&amp;L'!F28))/(N('P&amp;L'!E38)-N('P&amp;L'!E28))-1,0)</f>
        <v>0</v>
      </c>
      <c r="M38" s="927">
        <f>IFERROR((N('P&amp;L'!G38)-N('P&amp;L'!G28))/(N('P&amp;L'!F38)-N('P&amp;L'!F28))-1,0)</f>
        <v>0</v>
      </c>
      <c r="N38" s="927">
        <f>IFERROR((N('P&amp;L'!H38)-N('P&amp;L'!H28))/(N('P&amp;L'!G38)-N('P&amp;L'!G28))-1,0)</f>
        <v>0</v>
      </c>
      <c r="O38" s="927">
        <f>IFERROR((N('P&amp;L'!I38)-N('P&amp;L'!I28))/(N('P&amp;L'!H38)-N('P&amp;L'!H28))-1,0)</f>
        <v>0</v>
      </c>
      <c r="P38" s="813"/>
      <c r="R38" s="737">
        <f>$S$4+0.005</f>
        <v>7.7499999999999999E-2</v>
      </c>
      <c r="S38" s="854">
        <f>IFERROR(((N(INDEX('P&amp;L'!$D$40:$M$40,1,S$33+1))/$R38*(1-$S$5)-N(Scenarios!$F$116)+SUM(INDEX($T$16:$AC$16,1,1):INDEX($T$16:$AC$16,1,S$33)))/$S$7)^(1/S$33)-1,0)</f>
        <v>0</v>
      </c>
      <c r="T38" s="854">
        <f>IFERROR(((N(INDEX('P&amp;L'!$D$40:$M$40,1,T$33+1))/$R38*(1-$S$5)-N(Scenarios!$F$116)+SUM(INDEX($T$16:$AC$16,1,1):INDEX($T$16:$AC$16,1,T$33)))/$S$7)^(1/T$33)-1,0)</f>
        <v>0</v>
      </c>
      <c r="U38" s="854">
        <f>IFERROR(((N(INDEX('P&amp;L'!$D$40:$M$40,1,U$33+1))/$R38*(1-$S$5)-N(Scenarios!$F$116)+SUM(INDEX($T$16:$AC$16,1,1):INDEX($T$16:$AC$16,1,U$33)))/$S$7)^(1/U$33)-1,0)</f>
        <v>0</v>
      </c>
      <c r="V38" s="737">
        <f>R38</f>
        <v>7.7499999999999999E-2</v>
      </c>
      <c r="W38" s="855">
        <f>IFERROR((N(INDEX('P&amp;L'!$D$40:$M$40,1,W$33+1))/$V38*(1-$S$5)-N(Scenarios!$F$116)+SUM(INDEX($T$16:$AC$16,1,1):INDEX($T$16:$AC$16,1,W$33)))/$S$7,0)</f>
        <v>0</v>
      </c>
      <c r="X38" s="855">
        <f>IFERROR((N(INDEX('P&amp;L'!$D$40:$M$40,1,X$33+1))/$V38*(1-$S$5)-N(Scenarios!$F$116)+SUM(INDEX($T$16:$AC$16,1,1):INDEX($T$16:$AC$16,1,X$33)))/$S$7,0)</f>
        <v>0</v>
      </c>
      <c r="Y38" s="855">
        <f>IFERROR((N(INDEX('P&amp;L'!$D$40:$M$40,1,Y$33+1))/$V38*(1-$S$5)-N(Scenarios!$F$116)+SUM(INDEX($T$16:$AC$16,1,1):INDEX($T$16:$AC$16,1,Y$33)))/$S$7,0)</f>
        <v>0</v>
      </c>
    </row>
    <row r="39" spans="1:25" x14ac:dyDescent="0.2">
      <c r="A39" s="813"/>
      <c r="B39" s="813" t="s">
        <v>26</v>
      </c>
      <c r="C39" s="813"/>
      <c r="D39" s="818" t="str">
        <f>"Yr. "&amp;TEXT(S3,"0")</f>
        <v>Yr. 5</v>
      </c>
      <c r="E39" s="815" t="s">
        <v>2464</v>
      </c>
      <c r="F39" s="828" t="str">
        <f>"Mo. "&amp;TEXT(S3*12,"0")</f>
        <v>Mo. 60</v>
      </c>
      <c r="G39" s="813"/>
      <c r="H39" s="813" t="s">
        <v>714</v>
      </c>
      <c r="I39" s="813"/>
      <c r="J39" s="927">
        <f>IFERROR(N('P&amp;L'!D28)/N('P&amp;L'!C28)-1,0)</f>
        <v>0</v>
      </c>
      <c r="K39" s="927">
        <f>IFERROR(N('P&amp;L'!E28)/N('P&amp;L'!D28)-1,0)</f>
        <v>0</v>
      </c>
      <c r="L39" s="927">
        <f>IFERROR(N('P&amp;L'!F28)/N('P&amp;L'!E28)-1,0)</f>
        <v>0</v>
      </c>
      <c r="M39" s="927">
        <f>IFERROR(N('P&amp;L'!G28)/N('P&amp;L'!F28)-1,0)</f>
        <v>0</v>
      </c>
      <c r="N39" s="927">
        <f>IFERROR(N('P&amp;L'!H28)/N('P&amp;L'!G28)-1,0)</f>
        <v>0</v>
      </c>
      <c r="O39" s="927">
        <f>IFERROR(N('P&amp;L'!I28)/N('P&amp;L'!H28)-1,0)</f>
        <v>0</v>
      </c>
      <c r="P39" s="813"/>
    </row>
    <row r="40" spans="1:25" x14ac:dyDescent="0.2">
      <c r="A40" s="813"/>
      <c r="B40" s="823" t="s">
        <v>2465</v>
      </c>
      <c r="C40" s="813"/>
      <c r="D40" s="813"/>
      <c r="E40" s="813"/>
      <c r="F40" s="845" t="str">
        <f>S8</f>
        <v/>
      </c>
      <c r="G40" s="813"/>
      <c r="H40" s="852" t="s">
        <v>2492</v>
      </c>
      <c r="I40" s="853"/>
      <c r="J40" s="898"/>
      <c r="K40" s="853"/>
      <c r="L40" s="853"/>
      <c r="M40" s="853"/>
      <c r="N40" s="853"/>
      <c r="O40" s="902"/>
      <c r="P40" s="813"/>
    </row>
    <row r="41" spans="1:25" x14ac:dyDescent="0.2">
      <c r="A41" s="813"/>
      <c r="B41" s="813" t="s">
        <v>2466</v>
      </c>
      <c r="C41" s="813"/>
      <c r="D41" s="813"/>
      <c r="E41" s="813"/>
      <c r="F41" s="850">
        <f>S4</f>
        <v>7.2499999999999995E-2</v>
      </c>
      <c r="G41" s="813"/>
      <c r="H41" s="813" t="s">
        <v>2493</v>
      </c>
      <c r="I41" s="813"/>
      <c r="J41" s="899">
        <f>'P&amp;L'!D11</f>
        <v>0</v>
      </c>
      <c r="K41" s="894">
        <f>'P&amp;L'!E11</f>
        <v>0.12</v>
      </c>
      <c r="L41" s="894">
        <f>'P&amp;L'!F11</f>
        <v>0.1</v>
      </c>
      <c r="M41" s="894">
        <f>'P&amp;L'!G11</f>
        <v>0.1</v>
      </c>
      <c r="N41" s="894">
        <f>'P&amp;L'!H11</f>
        <v>0.1</v>
      </c>
      <c r="O41" s="903">
        <f>'P&amp;L'!I11</f>
        <v>0.1</v>
      </c>
      <c r="P41" s="813"/>
    </row>
    <row r="42" spans="1:25" x14ac:dyDescent="0.2">
      <c r="A42" s="813"/>
      <c r="B42" s="813" t="s">
        <v>2467</v>
      </c>
      <c r="C42" s="813"/>
      <c r="D42" s="813"/>
      <c r="E42" s="813"/>
      <c r="F42" s="851">
        <f>IFERROR(S8/S4,0)</f>
        <v>0</v>
      </c>
      <c r="G42" s="813"/>
      <c r="H42" s="813" t="s">
        <v>2494</v>
      </c>
      <c r="I42" s="813"/>
      <c r="J42" s="899">
        <f>'P&amp;L'!D13</f>
        <v>0</v>
      </c>
      <c r="K42" s="894">
        <f>'P&amp;L'!E13</f>
        <v>0.01</v>
      </c>
      <c r="L42" s="894">
        <f>'P&amp;L'!F13</f>
        <v>0.01</v>
      </c>
      <c r="M42" s="894">
        <f>'P&amp;L'!G13</f>
        <v>0.01</v>
      </c>
      <c r="N42" s="894">
        <f>'P&amp;L'!H13</f>
        <v>0.01</v>
      </c>
      <c r="O42" s="903">
        <f>'P&amp;L'!I13</f>
        <v>0.01</v>
      </c>
      <c r="P42" s="813"/>
    </row>
    <row r="43" spans="1:25" x14ac:dyDescent="0.2">
      <c r="A43" s="813"/>
      <c r="B43" s="823" t="s">
        <v>2468</v>
      </c>
      <c r="C43" s="813"/>
      <c r="D43" s="846">
        <f>IFERROR(F42/'Prop Info'!$B$6,0)</f>
        <v>0</v>
      </c>
      <c r="E43" s="847" t="s">
        <v>2460</v>
      </c>
      <c r="F43" s="848">
        <f>IFERROR(F42/'Prop Info'!$B$15,0)</f>
        <v>0</v>
      </c>
      <c r="G43" s="813"/>
      <c r="H43" s="813" t="s">
        <v>2495</v>
      </c>
      <c r="I43" s="813"/>
      <c r="J43" s="900">
        <f>'P&amp;L'!D15</f>
        <v>0.1</v>
      </c>
      <c r="K43" s="896">
        <f>'P&amp;L'!E15</f>
        <v>0.03</v>
      </c>
      <c r="L43" s="896">
        <f>'P&amp;L'!F15</f>
        <v>0.03</v>
      </c>
      <c r="M43" s="896">
        <f>'P&amp;L'!G15</f>
        <v>0.03</v>
      </c>
      <c r="N43" s="896">
        <f>'P&amp;L'!H15</f>
        <v>0.03</v>
      </c>
      <c r="O43" s="904">
        <f>'P&amp;L'!I15</f>
        <v>0.03</v>
      </c>
      <c r="P43" s="813"/>
    </row>
    <row r="44" spans="1:25" x14ac:dyDescent="0.2">
      <c r="A44" s="813"/>
      <c r="B44" s="813" t="s">
        <v>2469</v>
      </c>
      <c r="C44" s="813"/>
      <c r="D44" s="842">
        <f>S5</f>
        <v>0.02</v>
      </c>
      <c r="E44" s="813"/>
      <c r="F44" s="845">
        <f>-F42*S5</f>
        <v>0</v>
      </c>
      <c r="G44" s="813"/>
      <c r="H44" s="813"/>
      <c r="I44" s="813"/>
      <c r="J44" s="813"/>
      <c r="K44" s="813"/>
      <c r="L44" s="813"/>
      <c r="M44" s="813"/>
      <c r="N44" s="813"/>
      <c r="O44" s="813"/>
      <c r="P44" s="813"/>
    </row>
    <row r="45" spans="1:25" x14ac:dyDescent="0.2">
      <c r="A45" s="813"/>
      <c r="B45" s="924" t="s">
        <v>2470</v>
      </c>
      <c r="C45" s="925"/>
      <c r="D45" s="925"/>
      <c r="E45" s="925"/>
      <c r="F45" s="926">
        <f>F42+F44</f>
        <v>0</v>
      </c>
      <c r="G45" s="813"/>
      <c r="H45" s="813"/>
      <c r="I45" s="813"/>
      <c r="J45" s="813"/>
      <c r="K45" s="813"/>
      <c r="L45" s="813"/>
      <c r="M45" s="813"/>
      <c r="N45" s="813"/>
      <c r="O45" s="813"/>
      <c r="P45" s="813"/>
    </row>
    <row r="46" spans="1:25" x14ac:dyDescent="0.2">
      <c r="A46" s="813"/>
      <c r="B46" s="813"/>
      <c r="C46" s="813"/>
      <c r="D46" s="813"/>
      <c r="E46" s="813"/>
      <c r="F46" s="813"/>
      <c r="G46" s="813"/>
      <c r="H46" s="813"/>
      <c r="I46" s="813"/>
      <c r="J46" s="813"/>
      <c r="K46" s="813"/>
      <c r="L46" s="813"/>
      <c r="M46" s="813"/>
      <c r="N46" s="813"/>
      <c r="O46" s="813"/>
      <c r="P46" s="813"/>
    </row>
    <row r="47" spans="1:25" x14ac:dyDescent="0.2">
      <c r="A47" s="813"/>
      <c r="B47" s="813"/>
      <c r="C47" s="813"/>
      <c r="D47" s="813"/>
      <c r="E47" s="813"/>
      <c r="F47" s="813"/>
      <c r="G47" s="813"/>
      <c r="H47" s="813"/>
      <c r="I47" s="813"/>
      <c r="J47" s="813"/>
      <c r="K47" s="813"/>
      <c r="L47" s="813"/>
      <c r="M47" s="813"/>
      <c r="N47" s="813"/>
      <c r="O47" s="813"/>
      <c r="P47" s="813"/>
    </row>
    <row r="48" spans="1:25" x14ac:dyDescent="0.2">
      <c r="A48" s="813"/>
      <c r="B48" s="856" t="s">
        <v>2497</v>
      </c>
      <c r="C48" s="857"/>
      <c r="D48" s="857"/>
      <c r="E48" s="857"/>
      <c r="F48" s="857"/>
      <c r="G48" s="813"/>
      <c r="H48" s="813"/>
      <c r="I48" s="813"/>
      <c r="J48" s="813"/>
      <c r="K48" s="813"/>
      <c r="L48" s="813"/>
      <c r="M48" s="813"/>
      <c r="N48" s="813"/>
      <c r="O48" s="813"/>
      <c r="P48" s="813"/>
    </row>
    <row r="49" spans="1:16" x14ac:dyDescent="0.2">
      <c r="A49" s="813"/>
      <c r="B49" s="813"/>
      <c r="C49" s="860" t="s">
        <v>28</v>
      </c>
      <c r="D49" s="861" t="s">
        <v>26</v>
      </c>
      <c r="E49" s="862"/>
      <c r="F49" s="863"/>
      <c r="G49" s="813"/>
      <c r="H49" s="813"/>
      <c r="I49" s="813"/>
      <c r="J49" s="813"/>
      <c r="K49" s="813"/>
      <c r="L49" s="813"/>
      <c r="M49" s="813"/>
      <c r="N49" s="813"/>
      <c r="O49" s="813"/>
      <c r="P49" s="813"/>
    </row>
    <row r="50" spans="1:16" x14ac:dyDescent="0.2">
      <c r="A50" s="813"/>
      <c r="B50" s="813"/>
      <c r="C50" s="864"/>
      <c r="D50" s="865" t="str">
        <f>"Yr. "&amp;TEXT(S33,"0")</f>
        <v>Yr. 4</v>
      </c>
      <c r="E50" s="865" t="str">
        <f>"Yr. "&amp;TEXT(T33,"0")</f>
        <v>Yr. 5</v>
      </c>
      <c r="F50" s="866" t="str">
        <f>"Yr. "&amp;TEXT(U33,"0")</f>
        <v>Yr. 6</v>
      </c>
      <c r="G50" s="813"/>
      <c r="H50" s="813"/>
      <c r="I50" s="813"/>
      <c r="J50" s="813"/>
      <c r="K50" s="813"/>
      <c r="L50" s="813"/>
      <c r="M50" s="813"/>
      <c r="N50" s="813"/>
      <c r="O50" s="813"/>
      <c r="P50" s="813"/>
    </row>
    <row r="51" spans="1:16" x14ac:dyDescent="0.2">
      <c r="A51" s="813"/>
      <c r="B51" s="813"/>
      <c r="C51" s="867">
        <f>R34</f>
        <v>6.7499999999999991E-2</v>
      </c>
      <c r="D51" s="868" t="str">
        <f>TEXT(S34,"0.0%")&amp;"  |  "&amp;TEXT(W34,"0.00")&amp;"x"</f>
        <v>0.0%  |  0.00x</v>
      </c>
      <c r="E51" s="868" t="str">
        <f t="shared" ref="E51:F51" si="5">TEXT(T34,"0.0%")&amp;"  |  "&amp;TEXT(X34,"0.00")&amp;"x"</f>
        <v>0.0%  |  0.00x</v>
      </c>
      <c r="F51" s="869" t="str">
        <f t="shared" si="5"/>
        <v>0.0%  |  0.00x</v>
      </c>
      <c r="G51" s="813"/>
      <c r="H51" s="813"/>
      <c r="I51" s="813"/>
      <c r="J51" s="813"/>
      <c r="K51" s="813"/>
      <c r="L51" s="813"/>
      <c r="M51" s="813"/>
      <c r="N51" s="813"/>
      <c r="O51" s="813"/>
      <c r="P51" s="813"/>
    </row>
    <row r="52" spans="1:16" x14ac:dyDescent="0.2">
      <c r="A52" s="813"/>
      <c r="B52" s="813"/>
      <c r="C52" s="867">
        <f>R35</f>
        <v>6.9999999999999993E-2</v>
      </c>
      <c r="D52" s="868" t="str">
        <f t="shared" ref="D52:F52" si="6">TEXT(S35,"0.0%")&amp;"  |  "&amp;TEXT(W35,"0.00")&amp;"x"</f>
        <v>0.0%  |  0.00x</v>
      </c>
      <c r="E52" s="868" t="str">
        <f t="shared" si="6"/>
        <v>0.0%  |  0.00x</v>
      </c>
      <c r="F52" s="869" t="str">
        <f t="shared" si="6"/>
        <v>0.0%  |  0.00x</v>
      </c>
      <c r="G52" s="813"/>
      <c r="H52" s="813"/>
      <c r="I52" s="813"/>
      <c r="J52" s="813"/>
      <c r="K52" s="813"/>
      <c r="L52" s="813"/>
      <c r="M52" s="813"/>
      <c r="N52" s="813"/>
      <c r="O52" s="813"/>
      <c r="P52" s="813"/>
    </row>
    <row r="53" spans="1:16" x14ac:dyDescent="0.2">
      <c r="A53" s="813"/>
      <c r="B53" s="813"/>
      <c r="C53" s="867">
        <f>R36</f>
        <v>7.2499999999999995E-2</v>
      </c>
      <c r="D53" s="868" t="str">
        <f t="shared" ref="D53:F53" si="7">TEXT(S36,"0.0%")&amp;"  |  "&amp;TEXT(W36,"0.00")&amp;"x"</f>
        <v>0.0%  |  0.00x</v>
      </c>
      <c r="E53" s="870" t="str">
        <f t="shared" si="7"/>
        <v>0.0%  |  0.00x</v>
      </c>
      <c r="F53" s="869" t="str">
        <f t="shared" si="7"/>
        <v>0.0%  |  0.00x</v>
      </c>
      <c r="G53" s="813"/>
      <c r="H53" s="813"/>
      <c r="I53" s="813"/>
      <c r="J53" s="813"/>
      <c r="K53" s="813"/>
      <c r="L53" s="813"/>
      <c r="M53" s="813"/>
      <c r="N53" s="813"/>
      <c r="O53" s="813"/>
      <c r="P53" s="813"/>
    </row>
    <row r="54" spans="1:16" x14ac:dyDescent="0.2">
      <c r="A54" s="813"/>
      <c r="B54" s="813"/>
      <c r="C54" s="867">
        <f>R37</f>
        <v>7.4999999999999997E-2</v>
      </c>
      <c r="D54" s="868" t="str">
        <f t="shared" ref="D54:F54" si="8">TEXT(S37,"0.0%")&amp;"  |  "&amp;TEXT(W37,"0.00")&amp;"x"</f>
        <v>0.0%  |  0.00x</v>
      </c>
      <c r="E54" s="868" t="str">
        <f t="shared" si="8"/>
        <v>0.0%  |  0.00x</v>
      </c>
      <c r="F54" s="869" t="str">
        <f t="shared" si="8"/>
        <v>0.0%  |  0.00x</v>
      </c>
      <c r="G54" s="813"/>
      <c r="H54" s="813"/>
      <c r="I54" s="813"/>
      <c r="J54" s="813"/>
      <c r="K54" s="813"/>
      <c r="L54" s="813"/>
      <c r="M54" s="813"/>
      <c r="N54" s="813"/>
      <c r="O54" s="813"/>
      <c r="P54" s="813"/>
    </row>
    <row r="55" spans="1:16" x14ac:dyDescent="0.2">
      <c r="A55" s="813"/>
      <c r="B55" s="813"/>
      <c r="C55" s="871">
        <f>R38</f>
        <v>7.7499999999999999E-2</v>
      </c>
      <c r="D55" s="872" t="str">
        <f t="shared" ref="D55:F55" si="9">TEXT(S38,"0.0%")&amp;"  |  "&amp;TEXT(W38,"0.00")&amp;"x"</f>
        <v>0.0%  |  0.00x</v>
      </c>
      <c r="E55" s="872" t="str">
        <f t="shared" si="9"/>
        <v>0.0%  |  0.00x</v>
      </c>
      <c r="F55" s="873" t="str">
        <f t="shared" si="9"/>
        <v>0.0%  |  0.00x</v>
      </c>
      <c r="G55" s="813"/>
      <c r="H55" s="813"/>
      <c r="I55" s="813"/>
      <c r="J55" s="813"/>
      <c r="K55" s="813"/>
      <c r="L55" s="813"/>
      <c r="M55" s="813"/>
      <c r="N55" s="813"/>
      <c r="O55" s="813"/>
      <c r="P55" s="813"/>
    </row>
    <row r="56" spans="1:16" x14ac:dyDescent="0.2">
      <c r="A56" s="813"/>
      <c r="B56" s="813"/>
      <c r="C56" s="813"/>
      <c r="D56" s="813"/>
      <c r="E56" s="813"/>
      <c r="F56" s="813"/>
      <c r="G56" s="813"/>
      <c r="H56" s="813"/>
      <c r="I56" s="813"/>
      <c r="J56" s="813"/>
      <c r="K56" s="813"/>
      <c r="L56" s="813"/>
      <c r="M56" s="813"/>
      <c r="N56" s="813"/>
      <c r="O56" s="813"/>
      <c r="P56" s="813"/>
    </row>
    <row r="57" spans="1:16" x14ac:dyDescent="0.2">
      <c r="A57" s="813"/>
      <c r="B57" s="813"/>
      <c r="C57" s="813"/>
      <c r="D57" s="813"/>
      <c r="E57" s="813"/>
      <c r="F57" s="813"/>
      <c r="G57" s="813"/>
      <c r="H57" s="813"/>
      <c r="I57" s="813"/>
      <c r="J57" s="813"/>
      <c r="K57" s="813"/>
      <c r="L57" s="813"/>
      <c r="M57" s="813"/>
      <c r="N57" s="813"/>
      <c r="O57" s="813"/>
      <c r="P57" s="813"/>
    </row>
    <row r="58" spans="1:16" x14ac:dyDescent="0.2">
      <c r="A58" s="813"/>
      <c r="B58" s="813"/>
      <c r="C58" s="813"/>
      <c r="D58" s="813"/>
      <c r="E58" s="813"/>
      <c r="F58" s="813"/>
      <c r="G58" s="813"/>
      <c r="H58" s="813"/>
      <c r="I58" s="813"/>
      <c r="J58" s="813"/>
      <c r="K58" s="813"/>
      <c r="L58" s="813"/>
      <c r="M58" s="813"/>
      <c r="N58" s="813"/>
      <c r="O58" s="813"/>
      <c r="P58" s="813"/>
    </row>
    <row r="59" spans="1:16" x14ac:dyDescent="0.2">
      <c r="A59" s="813"/>
      <c r="B59" s="813"/>
      <c r="C59" s="813"/>
      <c r="D59" s="813"/>
      <c r="E59" s="813"/>
      <c r="F59" s="813"/>
      <c r="G59" s="813"/>
      <c r="H59" s="813"/>
      <c r="I59" s="813"/>
      <c r="J59" s="813"/>
      <c r="K59" s="813"/>
      <c r="L59" s="813"/>
      <c r="M59" s="813"/>
      <c r="N59" s="813"/>
      <c r="O59" s="813"/>
      <c r="P59" s="813"/>
    </row>
    <row r="60" spans="1:16" x14ac:dyDescent="0.2">
      <c r="A60" s="813"/>
      <c r="B60" s="813"/>
      <c r="C60" s="813"/>
      <c r="D60" s="813"/>
      <c r="E60" s="813"/>
      <c r="F60" s="813"/>
      <c r="G60" s="813"/>
      <c r="H60" s="813"/>
      <c r="I60" s="813"/>
      <c r="J60" s="813"/>
      <c r="K60" s="813"/>
      <c r="L60" s="813"/>
      <c r="M60" s="813"/>
      <c r="N60" s="813"/>
      <c r="O60" s="813"/>
      <c r="P60" s="813"/>
    </row>
    <row r="61" spans="1:16" x14ac:dyDescent="0.2">
      <c r="A61" s="813"/>
      <c r="B61" s="813"/>
      <c r="C61" s="813"/>
      <c r="D61" s="813"/>
      <c r="E61" s="813"/>
      <c r="F61" s="813"/>
      <c r="G61" s="813"/>
      <c r="H61" s="813"/>
      <c r="I61" s="813"/>
      <c r="J61" s="813"/>
      <c r="K61" s="813"/>
      <c r="L61" s="813"/>
      <c r="M61" s="813"/>
      <c r="N61" s="813"/>
      <c r="O61" s="813"/>
      <c r="P61" s="813"/>
    </row>
    <row r="62" spans="1:16" x14ac:dyDescent="0.2">
      <c r="A62" s="813"/>
      <c r="B62" s="813"/>
      <c r="C62" s="813"/>
      <c r="D62" s="813"/>
      <c r="E62" s="813"/>
      <c r="F62" s="813"/>
      <c r="G62" s="813"/>
      <c r="H62" s="813"/>
      <c r="I62" s="813"/>
      <c r="J62" s="813"/>
      <c r="K62" s="813"/>
      <c r="L62" s="813"/>
      <c r="M62" s="813"/>
      <c r="N62" s="813"/>
      <c r="O62" s="813"/>
      <c r="P62" s="813"/>
    </row>
    <row r="63" spans="1:16" x14ac:dyDescent="0.2">
      <c r="A63" s="813"/>
      <c r="B63" s="813"/>
      <c r="C63" s="813"/>
      <c r="D63" s="813"/>
      <c r="E63" s="813"/>
      <c r="F63" s="813"/>
      <c r="G63" s="813"/>
      <c r="H63" s="813"/>
      <c r="I63" s="813"/>
      <c r="J63" s="813"/>
      <c r="K63" s="813"/>
      <c r="L63" s="813"/>
      <c r="M63" s="813"/>
      <c r="N63" s="813"/>
      <c r="O63" s="813"/>
      <c r="P63" s="813"/>
    </row>
    <row r="64" spans="1:16" x14ac:dyDescent="0.2">
      <c r="A64" s="813"/>
      <c r="B64" s="813"/>
      <c r="C64" s="813"/>
      <c r="D64" s="813"/>
      <c r="E64" s="813"/>
      <c r="F64" s="813"/>
      <c r="G64" s="813"/>
      <c r="H64" s="813"/>
      <c r="I64" s="813"/>
      <c r="J64" s="813"/>
      <c r="K64" s="813"/>
      <c r="L64" s="813"/>
      <c r="M64" s="813"/>
      <c r="N64" s="813"/>
      <c r="O64" s="813"/>
      <c r="P64" s="813"/>
    </row>
    <row r="65" spans="1:16" x14ac:dyDescent="0.2">
      <c r="A65" s="813"/>
      <c r="B65" s="813"/>
      <c r="C65" s="813"/>
      <c r="D65" s="813"/>
      <c r="E65" s="813"/>
      <c r="F65" s="813"/>
      <c r="G65" s="813"/>
      <c r="H65" s="813"/>
      <c r="I65" s="813"/>
      <c r="J65" s="813"/>
      <c r="K65" s="813"/>
      <c r="L65" s="813"/>
      <c r="M65" s="813"/>
      <c r="N65" s="813"/>
      <c r="O65" s="813"/>
      <c r="P65" s="813"/>
    </row>
    <row r="66" spans="1:16" x14ac:dyDescent="0.2">
      <c r="A66" s="813"/>
      <c r="B66" s="813"/>
      <c r="C66" s="813"/>
      <c r="D66" s="813"/>
      <c r="E66" s="813"/>
      <c r="F66" s="813"/>
      <c r="G66" s="813"/>
      <c r="H66" s="813"/>
      <c r="I66" s="813"/>
      <c r="J66" s="813"/>
      <c r="K66" s="813"/>
      <c r="L66" s="813"/>
      <c r="M66" s="813"/>
      <c r="N66" s="813"/>
      <c r="O66" s="813"/>
      <c r="P66" s="813"/>
    </row>
    <row r="67" spans="1:16" x14ac:dyDescent="0.2">
      <c r="A67" s="813"/>
      <c r="B67" s="813"/>
      <c r="C67" s="813"/>
      <c r="D67" s="813"/>
      <c r="E67" s="813"/>
      <c r="F67" s="813"/>
      <c r="G67" s="813"/>
      <c r="H67" s="813"/>
      <c r="I67" s="813"/>
      <c r="J67" s="813"/>
      <c r="K67" s="813"/>
      <c r="L67" s="813"/>
      <c r="M67" s="813"/>
      <c r="N67" s="813"/>
      <c r="O67" s="813"/>
      <c r="P67" s="813"/>
    </row>
    <row r="68" spans="1:16" x14ac:dyDescent="0.2">
      <c r="A68" s="813"/>
      <c r="B68" s="813"/>
      <c r="C68" s="813"/>
      <c r="D68" s="813"/>
      <c r="E68" s="813"/>
      <c r="F68" s="813"/>
      <c r="G68" s="813"/>
      <c r="H68" s="813"/>
      <c r="I68" s="813"/>
      <c r="J68" s="813"/>
      <c r="K68" s="813"/>
      <c r="L68" s="813"/>
      <c r="M68" s="813"/>
      <c r="N68" s="813"/>
      <c r="O68" s="813"/>
      <c r="P68" s="813"/>
    </row>
    <row r="69" spans="1:16" x14ac:dyDescent="0.2">
      <c r="A69" s="813"/>
      <c r="B69" s="813"/>
      <c r="C69" s="813"/>
      <c r="D69" s="813"/>
      <c r="E69" s="813"/>
      <c r="F69" s="813"/>
      <c r="G69" s="813"/>
      <c r="H69" s="813"/>
      <c r="I69" s="813"/>
      <c r="J69" s="813"/>
      <c r="K69" s="813"/>
      <c r="L69" s="813"/>
      <c r="M69" s="813"/>
      <c r="N69" s="813"/>
      <c r="O69" s="813"/>
      <c r="P69" s="813"/>
    </row>
    <row r="70" spans="1:16" x14ac:dyDescent="0.2">
      <c r="A70" s="813"/>
      <c r="B70" s="813"/>
      <c r="C70" s="813"/>
      <c r="D70" s="813"/>
      <c r="E70" s="813"/>
      <c r="F70" s="813"/>
      <c r="G70" s="813"/>
      <c r="H70" s="813"/>
      <c r="I70" s="813"/>
      <c r="J70" s="813"/>
      <c r="K70" s="813"/>
      <c r="L70" s="813"/>
      <c r="M70" s="813"/>
      <c r="N70" s="813"/>
      <c r="O70" s="813"/>
      <c r="P70" s="813"/>
    </row>
    <row r="71" spans="1:16" x14ac:dyDescent="0.2">
      <c r="A71" s="813"/>
      <c r="B71" s="813"/>
      <c r="C71" s="813"/>
      <c r="D71" s="813"/>
      <c r="E71" s="813"/>
      <c r="F71" s="813"/>
      <c r="G71" s="813"/>
      <c r="H71" s="813"/>
      <c r="I71" s="813"/>
      <c r="J71" s="813"/>
      <c r="K71" s="813"/>
      <c r="L71" s="813"/>
      <c r="M71" s="813"/>
      <c r="N71" s="813"/>
      <c r="O71" s="813"/>
      <c r="P71" s="813"/>
    </row>
    <row r="72" spans="1:16" x14ac:dyDescent="0.2">
      <c r="A72" s="813"/>
      <c r="B72" s="813"/>
      <c r="C72" s="813"/>
      <c r="D72" s="813"/>
      <c r="E72" s="813"/>
      <c r="F72" s="813"/>
      <c r="G72" s="813"/>
      <c r="H72" s="813"/>
      <c r="I72" s="813"/>
      <c r="J72" s="813"/>
      <c r="K72" s="813"/>
      <c r="L72" s="813"/>
      <c r="M72" s="813"/>
      <c r="N72" s="813"/>
      <c r="O72" s="813"/>
      <c r="P72" s="813"/>
    </row>
    <row r="73" spans="1:16" x14ac:dyDescent="0.2">
      <c r="A73" s="813"/>
      <c r="B73" s="813"/>
      <c r="C73" s="813"/>
      <c r="D73" s="813"/>
      <c r="E73" s="813"/>
      <c r="F73" s="813"/>
      <c r="G73" s="813"/>
      <c r="H73" s="813"/>
      <c r="I73" s="813"/>
      <c r="J73" s="813"/>
      <c r="K73" s="813"/>
      <c r="L73" s="813"/>
      <c r="M73" s="813"/>
      <c r="N73" s="813"/>
      <c r="O73" s="813"/>
      <c r="P73" s="813"/>
    </row>
    <row r="74" spans="1:16" x14ac:dyDescent="0.2">
      <c r="A74" s="813"/>
      <c r="B74" s="813"/>
      <c r="C74" s="813"/>
      <c r="D74" s="813"/>
      <c r="E74" s="813"/>
      <c r="F74" s="813"/>
      <c r="G74" s="813"/>
      <c r="H74" s="813"/>
      <c r="I74" s="813"/>
      <c r="J74" s="813"/>
      <c r="K74" s="813"/>
      <c r="L74" s="813"/>
      <c r="M74" s="813"/>
      <c r="N74" s="813"/>
      <c r="O74" s="813"/>
      <c r="P74" s="813"/>
    </row>
    <row r="75" spans="1:16" x14ac:dyDescent="0.2">
      <c r="A75" s="813"/>
      <c r="B75" s="813"/>
      <c r="C75" s="813"/>
      <c r="D75" s="813"/>
      <c r="E75" s="813"/>
      <c r="F75" s="813"/>
      <c r="G75" s="813"/>
      <c r="H75" s="813"/>
      <c r="I75" s="813"/>
      <c r="J75" s="813"/>
      <c r="K75" s="813"/>
      <c r="L75" s="813"/>
      <c r="M75" s="813"/>
      <c r="N75" s="813"/>
      <c r="O75" s="813"/>
      <c r="P75" s="813"/>
    </row>
    <row r="76" spans="1:16" x14ac:dyDescent="0.2">
      <c r="A76" s="813"/>
      <c r="B76" s="813"/>
      <c r="C76" s="813"/>
      <c r="D76" s="813"/>
      <c r="E76" s="813"/>
      <c r="F76" s="813"/>
      <c r="G76" s="813"/>
      <c r="H76" s="813"/>
      <c r="I76" s="813"/>
      <c r="J76" s="813"/>
      <c r="K76" s="813"/>
      <c r="L76" s="813"/>
      <c r="M76" s="813"/>
      <c r="N76" s="813"/>
      <c r="O76" s="813"/>
      <c r="P76" s="813"/>
    </row>
    <row r="77" spans="1:16" x14ac:dyDescent="0.2">
      <c r="A77" s="813"/>
      <c r="B77" s="813"/>
      <c r="C77" s="813"/>
      <c r="D77" s="813"/>
      <c r="E77" s="813"/>
      <c r="F77" s="813"/>
      <c r="G77" s="813"/>
      <c r="H77" s="813"/>
      <c r="I77" s="813"/>
      <c r="J77" s="813"/>
      <c r="K77" s="813"/>
      <c r="L77" s="813"/>
      <c r="M77" s="813"/>
      <c r="N77" s="813"/>
      <c r="O77" s="813"/>
      <c r="P77" s="813"/>
    </row>
    <row r="78" spans="1:16" x14ac:dyDescent="0.2">
      <c r="A78" s="813"/>
      <c r="B78" s="813"/>
      <c r="C78" s="813"/>
      <c r="D78" s="813"/>
      <c r="E78" s="813"/>
      <c r="F78" s="813"/>
      <c r="G78" s="813"/>
      <c r="H78" s="813"/>
      <c r="I78" s="813"/>
      <c r="J78" s="813"/>
      <c r="K78" s="813"/>
      <c r="L78" s="813"/>
      <c r="M78" s="813"/>
      <c r="N78" s="813"/>
      <c r="O78" s="813"/>
      <c r="P78" s="813"/>
    </row>
    <row r="79" spans="1:16" x14ac:dyDescent="0.2">
      <c r="A79" s="813"/>
      <c r="B79" s="813"/>
      <c r="C79" s="813"/>
      <c r="D79" s="813"/>
      <c r="E79" s="813"/>
      <c r="F79" s="813"/>
      <c r="G79" s="813"/>
      <c r="H79" s="813"/>
      <c r="I79" s="813"/>
      <c r="J79" s="813"/>
      <c r="K79" s="813"/>
      <c r="L79" s="813"/>
      <c r="M79" s="813"/>
      <c r="N79" s="813"/>
      <c r="O79" s="813"/>
      <c r="P79" s="813"/>
    </row>
    <row r="80" spans="1:16" x14ac:dyDescent="0.2">
      <c r="A80" s="813"/>
      <c r="B80" s="813"/>
      <c r="C80" s="813"/>
      <c r="D80" s="813"/>
      <c r="E80" s="813"/>
      <c r="F80" s="813"/>
      <c r="G80" s="813"/>
      <c r="H80" s="813"/>
      <c r="I80" s="813"/>
      <c r="J80" s="813"/>
      <c r="K80" s="813"/>
      <c r="L80" s="813"/>
      <c r="M80" s="813"/>
      <c r="N80" s="813"/>
      <c r="O80" s="813"/>
      <c r="P80" s="813"/>
    </row>
    <row r="81" spans="1:16" x14ac:dyDescent="0.2">
      <c r="A81" s="813"/>
      <c r="B81" s="813"/>
      <c r="C81" s="813"/>
      <c r="D81" s="813"/>
      <c r="E81" s="813"/>
      <c r="F81" s="813"/>
      <c r="G81" s="813"/>
      <c r="H81" s="813"/>
      <c r="I81" s="813"/>
      <c r="J81" s="813"/>
      <c r="K81" s="813"/>
      <c r="L81" s="813"/>
      <c r="M81" s="813"/>
      <c r="N81" s="813"/>
      <c r="O81" s="813"/>
      <c r="P81" s="813"/>
    </row>
    <row r="82" spans="1:16" x14ac:dyDescent="0.2">
      <c r="A82" s="813"/>
      <c r="B82" s="813"/>
      <c r="C82" s="813"/>
      <c r="D82" s="813"/>
      <c r="E82" s="813"/>
      <c r="F82" s="813"/>
      <c r="G82" s="813"/>
      <c r="H82" s="813"/>
      <c r="I82" s="813"/>
      <c r="J82" s="813"/>
      <c r="K82" s="813"/>
      <c r="L82" s="813"/>
      <c r="M82" s="813"/>
      <c r="N82" s="813"/>
      <c r="O82" s="813"/>
      <c r="P82" s="813"/>
    </row>
    <row r="83" spans="1:16" x14ac:dyDescent="0.2">
      <c r="A83" s="813"/>
      <c r="B83" s="813"/>
      <c r="C83" s="813"/>
      <c r="D83" s="813"/>
      <c r="E83" s="813"/>
      <c r="F83" s="813"/>
      <c r="G83" s="813"/>
      <c r="H83" s="813"/>
      <c r="I83" s="813"/>
      <c r="J83" s="813"/>
      <c r="K83" s="813"/>
      <c r="L83" s="813"/>
      <c r="M83" s="813"/>
      <c r="N83" s="813"/>
      <c r="O83" s="813"/>
      <c r="P83" s="813"/>
    </row>
    <row r="84" spans="1:16" x14ac:dyDescent="0.2">
      <c r="A84" s="813"/>
      <c r="B84" s="813"/>
      <c r="C84" s="813"/>
      <c r="D84" s="813"/>
      <c r="E84" s="813"/>
      <c r="F84" s="813"/>
      <c r="G84" s="813"/>
      <c r="H84" s="813"/>
      <c r="I84" s="813"/>
      <c r="J84" s="813"/>
      <c r="K84" s="813"/>
      <c r="L84" s="813"/>
      <c r="M84" s="813"/>
      <c r="N84" s="813"/>
      <c r="O84" s="813"/>
      <c r="P84" s="813"/>
    </row>
    <row r="85" spans="1:16" x14ac:dyDescent="0.2">
      <c r="A85" s="813"/>
      <c r="B85" s="813"/>
      <c r="C85" s="813"/>
      <c r="D85" s="813"/>
      <c r="E85" s="813"/>
      <c r="F85" s="813"/>
      <c r="G85" s="813"/>
      <c r="H85" s="813"/>
      <c r="I85" s="813"/>
      <c r="J85" s="813"/>
      <c r="K85" s="813"/>
      <c r="L85" s="813"/>
      <c r="M85" s="813"/>
      <c r="N85" s="813"/>
      <c r="O85" s="813"/>
      <c r="P85" s="813"/>
    </row>
    <row r="86" spans="1:16" x14ac:dyDescent="0.2">
      <c r="A86" s="813"/>
      <c r="B86" s="813"/>
      <c r="C86" s="813"/>
      <c r="D86" s="813"/>
      <c r="E86" s="813"/>
      <c r="F86" s="813"/>
      <c r="G86" s="813"/>
      <c r="H86" s="813"/>
      <c r="I86" s="813"/>
      <c r="J86" s="813"/>
      <c r="K86" s="813"/>
      <c r="L86" s="813"/>
      <c r="M86" s="813"/>
      <c r="N86" s="813"/>
      <c r="O86" s="813"/>
      <c r="P86" s="813"/>
    </row>
    <row r="87" spans="1:16" x14ac:dyDescent="0.2">
      <c r="A87" s="813"/>
      <c r="B87" s="813"/>
      <c r="C87" s="813"/>
      <c r="D87" s="813"/>
      <c r="E87" s="813"/>
      <c r="F87" s="813"/>
      <c r="G87" s="813"/>
      <c r="H87" s="813"/>
      <c r="I87" s="813"/>
      <c r="J87" s="813"/>
      <c r="K87" s="813"/>
      <c r="L87" s="813"/>
      <c r="M87" s="813"/>
      <c r="N87" s="813"/>
      <c r="O87" s="813"/>
      <c r="P87" s="813"/>
    </row>
    <row r="88" spans="1:16" x14ac:dyDescent="0.2">
      <c r="A88" s="813"/>
      <c r="B88" s="813"/>
      <c r="C88" s="813"/>
      <c r="D88" s="813"/>
      <c r="E88" s="813"/>
      <c r="F88" s="813"/>
      <c r="G88" s="813"/>
      <c r="H88" s="813"/>
      <c r="I88" s="813"/>
      <c r="J88" s="813"/>
      <c r="K88" s="813"/>
      <c r="L88" s="813"/>
      <c r="M88" s="813"/>
      <c r="N88" s="813"/>
      <c r="O88" s="813"/>
      <c r="P88" s="813"/>
    </row>
    <row r="89" spans="1:16" x14ac:dyDescent="0.2">
      <c r="A89" s="813"/>
      <c r="B89" s="813"/>
      <c r="C89" s="813"/>
      <c r="D89" s="813"/>
      <c r="E89" s="813"/>
      <c r="F89" s="813"/>
      <c r="G89" s="813"/>
      <c r="H89" s="813"/>
      <c r="I89" s="813"/>
      <c r="J89" s="813"/>
      <c r="K89" s="813"/>
      <c r="L89" s="813"/>
      <c r="M89" s="813"/>
      <c r="N89" s="813"/>
      <c r="O89" s="813"/>
      <c r="P89" s="813"/>
    </row>
    <row r="90" spans="1:16" x14ac:dyDescent="0.2">
      <c r="A90" s="813"/>
      <c r="B90" s="813"/>
      <c r="C90" s="813"/>
      <c r="D90" s="813"/>
      <c r="E90" s="813"/>
      <c r="F90" s="813"/>
      <c r="G90" s="813"/>
      <c r="H90" s="813"/>
      <c r="I90" s="813"/>
      <c r="J90" s="813"/>
      <c r="K90" s="813"/>
      <c r="L90" s="813"/>
      <c r="M90" s="813"/>
      <c r="N90" s="813"/>
      <c r="O90" s="813"/>
      <c r="P90" s="813"/>
    </row>
    <row r="91" spans="1:16" x14ac:dyDescent="0.2">
      <c r="A91" s="813"/>
      <c r="B91" s="813"/>
      <c r="C91" s="813"/>
      <c r="D91" s="813"/>
      <c r="E91" s="813"/>
      <c r="F91" s="813"/>
      <c r="G91" s="813"/>
      <c r="H91" s="813"/>
      <c r="I91" s="813"/>
      <c r="J91" s="813"/>
      <c r="K91" s="813"/>
      <c r="L91" s="813"/>
      <c r="M91" s="813"/>
      <c r="N91" s="813"/>
      <c r="O91" s="813"/>
      <c r="P91" s="813"/>
    </row>
    <row r="92" spans="1:16" x14ac:dyDescent="0.2">
      <c r="A92" s="813"/>
      <c r="B92" s="813"/>
      <c r="C92" s="813"/>
      <c r="D92" s="813"/>
      <c r="E92" s="813"/>
      <c r="F92" s="813"/>
      <c r="G92" s="813"/>
      <c r="H92" s="813"/>
      <c r="I92" s="813"/>
      <c r="J92" s="813"/>
      <c r="K92" s="813"/>
      <c r="L92" s="813"/>
      <c r="M92" s="813"/>
      <c r="N92" s="813"/>
      <c r="O92" s="813"/>
      <c r="P92" s="813"/>
    </row>
    <row r="93" spans="1:16" x14ac:dyDescent="0.2">
      <c r="A93" s="813"/>
      <c r="B93" s="813"/>
      <c r="C93" s="813"/>
      <c r="D93" s="813"/>
      <c r="E93" s="813"/>
      <c r="F93" s="813"/>
      <c r="G93" s="813"/>
      <c r="H93" s="813"/>
      <c r="I93" s="813"/>
      <c r="J93" s="813"/>
      <c r="K93" s="813"/>
      <c r="L93" s="813"/>
      <c r="M93" s="813"/>
      <c r="N93" s="813"/>
      <c r="O93" s="813"/>
      <c r="P93" s="813"/>
    </row>
    <row r="94" spans="1:16" x14ac:dyDescent="0.2">
      <c r="A94" s="813"/>
      <c r="B94" s="813"/>
      <c r="C94" s="813"/>
      <c r="D94" s="813"/>
      <c r="E94" s="813"/>
      <c r="F94" s="813"/>
      <c r="G94" s="813"/>
      <c r="H94" s="813"/>
      <c r="I94" s="813"/>
      <c r="J94" s="813"/>
      <c r="K94" s="813"/>
      <c r="L94" s="813"/>
      <c r="M94" s="813"/>
      <c r="N94" s="813"/>
      <c r="O94" s="813"/>
      <c r="P94" s="813"/>
    </row>
    <row r="95" spans="1:16" x14ac:dyDescent="0.2">
      <c r="A95" s="813"/>
      <c r="B95" s="813"/>
      <c r="C95" s="813"/>
      <c r="D95" s="813"/>
      <c r="E95" s="813"/>
      <c r="F95" s="813"/>
      <c r="G95" s="813"/>
      <c r="H95" s="813"/>
      <c r="I95" s="813"/>
      <c r="J95" s="813"/>
      <c r="K95" s="813"/>
      <c r="L95" s="813"/>
      <c r="M95" s="813"/>
      <c r="N95" s="813"/>
      <c r="O95" s="813"/>
      <c r="P95" s="813"/>
    </row>
    <row r="96" spans="1:16" x14ac:dyDescent="0.2">
      <c r="A96" s="813"/>
      <c r="B96" s="813"/>
      <c r="C96" s="813"/>
      <c r="D96" s="813"/>
      <c r="E96" s="813"/>
      <c r="F96" s="813"/>
      <c r="G96" s="813"/>
      <c r="H96" s="813"/>
      <c r="I96" s="813"/>
      <c r="J96" s="813"/>
      <c r="K96" s="813"/>
      <c r="L96" s="813"/>
      <c r="M96" s="813"/>
      <c r="N96" s="813"/>
      <c r="O96" s="813"/>
      <c r="P96" s="813"/>
    </row>
    <row r="97" spans="1:16" x14ac:dyDescent="0.2">
      <c r="A97" s="813"/>
      <c r="B97" s="813"/>
      <c r="C97" s="813"/>
      <c r="D97" s="813"/>
      <c r="E97" s="813"/>
      <c r="F97" s="813"/>
      <c r="G97" s="813"/>
      <c r="H97" s="813"/>
      <c r="I97" s="813"/>
      <c r="J97" s="813"/>
      <c r="K97" s="813"/>
      <c r="L97" s="813"/>
      <c r="M97" s="813"/>
      <c r="N97" s="813"/>
      <c r="O97" s="813"/>
      <c r="P97" s="813"/>
    </row>
    <row r="98" spans="1:16" x14ac:dyDescent="0.2">
      <c r="A98" s="813"/>
      <c r="B98" s="813"/>
      <c r="C98" s="813"/>
      <c r="D98" s="813"/>
      <c r="E98" s="813"/>
      <c r="F98" s="813"/>
      <c r="G98" s="813"/>
      <c r="H98" s="813"/>
      <c r="I98" s="813"/>
      <c r="J98" s="813"/>
      <c r="K98" s="813"/>
      <c r="L98" s="813"/>
      <c r="M98" s="813"/>
      <c r="N98" s="813"/>
      <c r="O98" s="813"/>
      <c r="P98" s="813"/>
    </row>
    <row r="99" spans="1:16" x14ac:dyDescent="0.2">
      <c r="A99" s="813"/>
      <c r="B99" s="813"/>
      <c r="C99" s="813"/>
      <c r="D99" s="813"/>
      <c r="E99" s="813"/>
      <c r="F99" s="813"/>
      <c r="G99" s="813"/>
      <c r="H99" s="813"/>
      <c r="I99" s="813"/>
      <c r="J99" s="813"/>
      <c r="K99" s="813"/>
      <c r="L99" s="813"/>
      <c r="M99" s="813"/>
      <c r="N99" s="813"/>
      <c r="O99" s="813"/>
      <c r="P99" s="813"/>
    </row>
    <row r="100" spans="1:16" x14ac:dyDescent="0.2">
      <c r="A100" s="813"/>
      <c r="B100" s="813"/>
      <c r="C100" s="813"/>
      <c r="D100" s="813"/>
      <c r="E100" s="813"/>
      <c r="F100" s="813"/>
      <c r="G100" s="813"/>
      <c r="H100" s="813"/>
      <c r="I100" s="813"/>
      <c r="J100" s="813"/>
      <c r="K100" s="813"/>
      <c r="L100" s="813"/>
      <c r="M100" s="813"/>
      <c r="N100" s="813"/>
      <c r="O100" s="813"/>
      <c r="P100" s="813"/>
    </row>
    <row r="101" spans="1:16" x14ac:dyDescent="0.2">
      <c r="A101" s="813"/>
      <c r="B101" s="813"/>
      <c r="C101" s="813"/>
      <c r="D101" s="813"/>
      <c r="E101" s="813"/>
      <c r="F101" s="813"/>
      <c r="G101" s="813"/>
      <c r="H101" s="813"/>
      <c r="I101" s="813"/>
      <c r="J101" s="813"/>
      <c r="K101" s="813"/>
      <c r="L101" s="813"/>
      <c r="M101" s="813"/>
      <c r="N101" s="813"/>
      <c r="O101" s="813"/>
      <c r="P101" s="813"/>
    </row>
    <row r="102" spans="1:16" x14ac:dyDescent="0.2">
      <c r="A102" s="813"/>
      <c r="B102" s="813"/>
      <c r="C102" s="813"/>
      <c r="D102" s="813"/>
      <c r="E102" s="813"/>
      <c r="F102" s="813"/>
      <c r="G102" s="813"/>
      <c r="H102" s="813"/>
      <c r="I102" s="813"/>
      <c r="J102" s="813"/>
      <c r="K102" s="813"/>
      <c r="L102" s="813"/>
      <c r="M102" s="813"/>
      <c r="N102" s="813"/>
      <c r="O102" s="813"/>
      <c r="P102" s="813"/>
    </row>
    <row r="103" spans="1:16" x14ac:dyDescent="0.2">
      <c r="A103" s="813"/>
      <c r="B103" s="813"/>
      <c r="C103" s="813"/>
      <c r="D103" s="813"/>
      <c r="E103" s="813"/>
      <c r="F103" s="813"/>
      <c r="G103" s="813"/>
      <c r="H103" s="813"/>
      <c r="I103" s="813"/>
      <c r="J103" s="813"/>
      <c r="K103" s="813"/>
      <c r="L103" s="813"/>
      <c r="M103" s="813"/>
      <c r="N103" s="813"/>
      <c r="O103" s="813"/>
      <c r="P103" s="813"/>
    </row>
    <row r="104" spans="1:16" x14ac:dyDescent="0.2">
      <c r="A104" s="813"/>
      <c r="B104" s="813"/>
      <c r="C104" s="813"/>
      <c r="D104" s="813"/>
      <c r="E104" s="813"/>
      <c r="F104" s="813"/>
      <c r="G104" s="813"/>
      <c r="H104" s="813"/>
      <c r="I104" s="813"/>
      <c r="J104" s="813"/>
      <c r="K104" s="813"/>
      <c r="L104" s="813"/>
      <c r="M104" s="813"/>
      <c r="N104" s="813"/>
      <c r="O104" s="813"/>
      <c r="P104" s="813"/>
    </row>
    <row r="105" spans="1:16" x14ac:dyDescent="0.2">
      <c r="A105" s="813"/>
      <c r="B105" s="813"/>
      <c r="C105" s="813"/>
      <c r="D105" s="813"/>
      <c r="E105" s="813"/>
      <c r="F105" s="813"/>
      <c r="G105" s="813"/>
      <c r="H105" s="813"/>
      <c r="I105" s="813"/>
      <c r="J105" s="813"/>
      <c r="K105" s="813"/>
      <c r="L105" s="813"/>
      <c r="M105" s="813"/>
      <c r="N105" s="813"/>
      <c r="O105" s="813"/>
      <c r="P105" s="813"/>
    </row>
    <row r="106" spans="1:16" x14ac:dyDescent="0.2">
      <c r="A106" s="813"/>
      <c r="B106" s="813"/>
      <c r="C106" s="813"/>
      <c r="D106" s="813"/>
      <c r="E106" s="813"/>
      <c r="F106" s="813"/>
      <c r="G106" s="813"/>
      <c r="H106" s="813"/>
      <c r="I106" s="813"/>
      <c r="J106" s="813"/>
      <c r="K106" s="813"/>
      <c r="L106" s="813"/>
      <c r="M106" s="813"/>
      <c r="N106" s="813"/>
      <c r="O106" s="813"/>
      <c r="P106" s="813"/>
    </row>
    <row r="107" spans="1:16" x14ac:dyDescent="0.2">
      <c r="A107" s="813"/>
      <c r="B107" s="813"/>
      <c r="C107" s="813"/>
      <c r="D107" s="813"/>
      <c r="E107" s="813"/>
      <c r="F107" s="813"/>
      <c r="G107" s="813"/>
      <c r="H107" s="813"/>
      <c r="I107" s="813"/>
      <c r="J107" s="813"/>
      <c r="K107" s="813"/>
      <c r="L107" s="813"/>
      <c r="M107" s="813"/>
      <c r="N107" s="813"/>
      <c r="O107" s="813"/>
      <c r="P107" s="813"/>
    </row>
    <row r="108" spans="1:16" x14ac:dyDescent="0.2">
      <c r="A108" s="813"/>
      <c r="B108" s="813"/>
      <c r="C108" s="813"/>
      <c r="D108" s="813"/>
      <c r="E108" s="813"/>
      <c r="F108" s="813"/>
      <c r="G108" s="813"/>
      <c r="H108" s="813"/>
      <c r="I108" s="813"/>
      <c r="J108" s="813"/>
      <c r="K108" s="813"/>
      <c r="L108" s="813"/>
      <c r="M108" s="813"/>
      <c r="N108" s="813"/>
      <c r="O108" s="813"/>
      <c r="P108" s="813"/>
    </row>
    <row r="109" spans="1:16" x14ac:dyDescent="0.2">
      <c r="A109" s="813"/>
      <c r="B109" s="813"/>
      <c r="C109" s="813"/>
      <c r="D109" s="813"/>
      <c r="E109" s="813"/>
      <c r="F109" s="813"/>
      <c r="G109" s="813"/>
      <c r="H109" s="813"/>
      <c r="I109" s="813"/>
      <c r="J109" s="813"/>
      <c r="K109" s="813"/>
      <c r="L109" s="813"/>
      <c r="M109" s="813"/>
      <c r="N109" s="813"/>
      <c r="O109" s="813"/>
      <c r="P109" s="813"/>
    </row>
    <row r="110" spans="1:16" x14ac:dyDescent="0.2">
      <c r="A110" s="813"/>
      <c r="B110" s="813"/>
      <c r="C110" s="813"/>
      <c r="D110" s="813"/>
      <c r="E110" s="813"/>
      <c r="F110" s="813"/>
      <c r="G110" s="813"/>
      <c r="H110" s="813"/>
      <c r="I110" s="813"/>
      <c r="J110" s="813"/>
      <c r="K110" s="813"/>
      <c r="L110" s="813"/>
      <c r="M110" s="813"/>
      <c r="N110" s="813"/>
      <c r="O110" s="813"/>
      <c r="P110" s="813"/>
    </row>
    <row r="111" spans="1:16" x14ac:dyDescent="0.2">
      <c r="A111" s="813"/>
      <c r="B111" s="813"/>
      <c r="C111" s="813"/>
      <c r="D111" s="813"/>
      <c r="E111" s="813"/>
      <c r="F111" s="813"/>
      <c r="G111" s="813"/>
      <c r="H111" s="813"/>
      <c r="I111" s="813"/>
      <c r="J111" s="813"/>
      <c r="K111" s="813"/>
      <c r="L111" s="813"/>
      <c r="M111" s="813"/>
      <c r="N111" s="813"/>
      <c r="O111" s="813"/>
      <c r="P111" s="813"/>
    </row>
    <row r="112" spans="1:16" x14ac:dyDescent="0.2">
      <c r="A112" s="813"/>
      <c r="B112" s="813"/>
      <c r="C112" s="813"/>
      <c r="D112" s="813"/>
      <c r="E112" s="813"/>
      <c r="F112" s="813"/>
      <c r="G112" s="813"/>
      <c r="H112" s="813"/>
      <c r="I112" s="813"/>
      <c r="J112" s="813"/>
      <c r="K112" s="813"/>
      <c r="L112" s="813"/>
      <c r="M112" s="813"/>
      <c r="N112" s="813"/>
      <c r="O112" s="813"/>
      <c r="P112" s="813"/>
    </row>
    <row r="113" spans="1:16" x14ac:dyDescent="0.2">
      <c r="A113" s="813"/>
      <c r="B113" s="813"/>
      <c r="C113" s="813"/>
      <c r="D113" s="813"/>
      <c r="E113" s="813"/>
      <c r="F113" s="813"/>
      <c r="G113" s="813"/>
      <c r="H113" s="813"/>
      <c r="I113" s="813"/>
      <c r="J113" s="813"/>
      <c r="K113" s="813"/>
      <c r="L113" s="813"/>
      <c r="M113" s="813"/>
      <c r="N113" s="813"/>
      <c r="O113" s="813"/>
      <c r="P113" s="813"/>
    </row>
    <row r="114" spans="1:16" x14ac:dyDescent="0.2">
      <c r="A114" s="813"/>
      <c r="B114" s="813"/>
      <c r="C114" s="813"/>
      <c r="D114" s="813"/>
      <c r="E114" s="813"/>
      <c r="F114" s="813"/>
      <c r="G114" s="813"/>
      <c r="H114" s="813"/>
      <c r="I114" s="813"/>
      <c r="J114" s="813"/>
      <c r="K114" s="813"/>
      <c r="L114" s="813"/>
      <c r="M114" s="813"/>
      <c r="N114" s="813"/>
      <c r="O114" s="813"/>
      <c r="P114" s="813"/>
    </row>
    <row r="115" spans="1:16" x14ac:dyDescent="0.2">
      <c r="A115" s="813"/>
      <c r="B115" s="813"/>
      <c r="C115" s="813"/>
      <c r="D115" s="813"/>
      <c r="E115" s="813"/>
      <c r="F115" s="813"/>
      <c r="G115" s="813"/>
      <c r="H115" s="813"/>
      <c r="I115" s="813"/>
      <c r="J115" s="813"/>
      <c r="K115" s="813"/>
      <c r="L115" s="813"/>
      <c r="M115" s="813"/>
      <c r="N115" s="813"/>
      <c r="O115" s="813"/>
      <c r="P115" s="813"/>
    </row>
    <row r="116" spans="1:16" x14ac:dyDescent="0.2">
      <c r="A116" s="813"/>
      <c r="B116" s="813"/>
      <c r="C116" s="813"/>
      <c r="D116" s="813"/>
      <c r="E116" s="813"/>
      <c r="F116" s="813"/>
      <c r="G116" s="813"/>
      <c r="H116" s="813"/>
      <c r="I116" s="813"/>
      <c r="J116" s="813"/>
      <c r="K116" s="813"/>
      <c r="L116" s="813"/>
      <c r="M116" s="813"/>
      <c r="N116" s="813"/>
      <c r="O116" s="813"/>
      <c r="P116" s="813"/>
    </row>
    <row r="117" spans="1:16" x14ac:dyDescent="0.2">
      <c r="A117" s="813"/>
      <c r="B117" s="813"/>
      <c r="C117" s="813"/>
      <c r="D117" s="813"/>
      <c r="E117" s="813"/>
      <c r="F117" s="813"/>
      <c r="G117" s="813"/>
      <c r="H117" s="813"/>
      <c r="I117" s="813"/>
      <c r="J117" s="813"/>
      <c r="K117" s="813"/>
      <c r="L117" s="813"/>
      <c r="M117" s="813"/>
      <c r="N117" s="813"/>
      <c r="O117" s="813"/>
      <c r="P117" s="813"/>
    </row>
    <row r="118" spans="1:16" x14ac:dyDescent="0.2">
      <c r="A118" s="813"/>
      <c r="B118" s="813"/>
      <c r="C118" s="813"/>
      <c r="D118" s="813"/>
      <c r="E118" s="813"/>
      <c r="F118" s="813"/>
      <c r="G118" s="813"/>
      <c r="H118" s="813"/>
      <c r="I118" s="813"/>
      <c r="J118" s="813"/>
      <c r="K118" s="813"/>
      <c r="L118" s="813"/>
      <c r="M118" s="813"/>
      <c r="N118" s="813"/>
      <c r="O118" s="813"/>
      <c r="P118" s="813"/>
    </row>
    <row r="119" spans="1:16" x14ac:dyDescent="0.2">
      <c r="A119" s="813"/>
      <c r="B119" s="813"/>
      <c r="C119" s="813"/>
      <c r="D119" s="813"/>
      <c r="E119" s="813"/>
      <c r="F119" s="813"/>
      <c r="G119" s="813"/>
      <c r="H119" s="813"/>
      <c r="I119" s="813"/>
      <c r="J119" s="813"/>
      <c r="K119" s="813"/>
      <c r="L119" s="813"/>
      <c r="M119" s="813"/>
      <c r="N119" s="813"/>
      <c r="O119" s="813"/>
      <c r="P119" s="813"/>
    </row>
    <row r="120" spans="1:16" x14ac:dyDescent="0.2">
      <c r="A120" s="813"/>
      <c r="B120" s="813"/>
      <c r="C120" s="813"/>
      <c r="D120" s="813"/>
      <c r="E120" s="813"/>
      <c r="F120" s="813"/>
      <c r="G120" s="813"/>
      <c r="H120" s="813"/>
      <c r="I120" s="813"/>
      <c r="J120" s="813"/>
      <c r="K120" s="813"/>
      <c r="L120" s="813"/>
      <c r="M120" s="813"/>
      <c r="N120" s="813"/>
      <c r="O120" s="813"/>
      <c r="P120" s="813"/>
    </row>
    <row r="121" spans="1:16" x14ac:dyDescent="0.2">
      <c r="A121" s="813"/>
      <c r="B121" s="813"/>
      <c r="C121" s="813"/>
      <c r="D121" s="813"/>
      <c r="E121" s="813"/>
      <c r="F121" s="813"/>
      <c r="G121" s="813"/>
      <c r="H121" s="813"/>
      <c r="I121" s="813"/>
      <c r="J121" s="813"/>
      <c r="K121" s="813"/>
      <c r="L121" s="813"/>
      <c r="M121" s="813"/>
      <c r="N121" s="813"/>
      <c r="O121" s="813"/>
      <c r="P121" s="813"/>
    </row>
    <row r="122" spans="1:16" x14ac:dyDescent="0.2">
      <c r="A122" s="813"/>
      <c r="B122" s="813"/>
      <c r="C122" s="813"/>
      <c r="D122" s="813"/>
      <c r="E122" s="813"/>
      <c r="F122" s="813"/>
      <c r="G122" s="813"/>
      <c r="H122" s="813"/>
      <c r="I122" s="813"/>
      <c r="J122" s="813"/>
      <c r="K122" s="813"/>
      <c r="L122" s="813"/>
      <c r="M122" s="813"/>
      <c r="N122" s="813"/>
      <c r="O122" s="813"/>
      <c r="P122" s="813"/>
    </row>
    <row r="123" spans="1:16" x14ac:dyDescent="0.2">
      <c r="A123" s="813"/>
      <c r="B123" s="813"/>
      <c r="C123" s="813"/>
      <c r="D123" s="813"/>
      <c r="E123" s="813"/>
      <c r="F123" s="813"/>
      <c r="G123" s="813"/>
      <c r="H123" s="813"/>
      <c r="I123" s="813"/>
      <c r="J123" s="813"/>
      <c r="K123" s="813"/>
      <c r="L123" s="813"/>
      <c r="M123" s="813"/>
      <c r="N123" s="813"/>
      <c r="O123" s="813"/>
      <c r="P123" s="813"/>
    </row>
    <row r="124" spans="1:16" x14ac:dyDescent="0.2">
      <c r="A124" s="813"/>
      <c r="B124" s="813"/>
      <c r="C124" s="813"/>
      <c r="D124" s="813"/>
      <c r="E124" s="813"/>
      <c r="F124" s="813"/>
      <c r="G124" s="813"/>
      <c r="H124" s="813"/>
      <c r="I124" s="813"/>
      <c r="J124" s="813"/>
      <c r="K124" s="813"/>
      <c r="L124" s="813"/>
      <c r="M124" s="813"/>
      <c r="N124" s="813"/>
      <c r="O124" s="813"/>
      <c r="P124" s="813"/>
    </row>
    <row r="125" spans="1:16" x14ac:dyDescent="0.2">
      <c r="A125" s="813"/>
      <c r="B125" s="813"/>
      <c r="C125" s="813"/>
      <c r="D125" s="813"/>
      <c r="E125" s="813"/>
      <c r="F125" s="813"/>
      <c r="G125" s="813"/>
      <c r="H125" s="813"/>
      <c r="I125" s="813"/>
      <c r="J125" s="813"/>
      <c r="K125" s="813"/>
      <c r="L125" s="813"/>
      <c r="M125" s="813"/>
      <c r="N125" s="813"/>
      <c r="O125" s="813"/>
      <c r="P125" s="813"/>
    </row>
    <row r="126" spans="1:16" x14ac:dyDescent="0.2">
      <c r="A126" s="813"/>
      <c r="B126" s="813"/>
      <c r="C126" s="813"/>
      <c r="D126" s="813"/>
      <c r="E126" s="813"/>
      <c r="F126" s="813"/>
      <c r="G126" s="813"/>
      <c r="H126" s="813"/>
      <c r="I126" s="813"/>
      <c r="J126" s="813"/>
      <c r="K126" s="813"/>
      <c r="L126" s="813"/>
      <c r="M126" s="813"/>
      <c r="N126" s="813"/>
      <c r="O126" s="813"/>
      <c r="P126" s="813"/>
    </row>
    <row r="127" spans="1:16" x14ac:dyDescent="0.2">
      <c r="A127" s="813"/>
      <c r="B127" s="813"/>
      <c r="C127" s="813"/>
      <c r="D127" s="813"/>
      <c r="E127" s="813"/>
      <c r="F127" s="813"/>
      <c r="G127" s="813"/>
      <c r="H127" s="813"/>
      <c r="I127" s="813"/>
      <c r="J127" s="813"/>
      <c r="K127" s="813"/>
      <c r="L127" s="813"/>
      <c r="M127" s="813"/>
      <c r="N127" s="813"/>
      <c r="O127" s="813"/>
      <c r="P127" s="813"/>
    </row>
    <row r="128" spans="1:16" x14ac:dyDescent="0.2">
      <c r="A128" s="813"/>
      <c r="B128" s="813"/>
      <c r="C128" s="813"/>
      <c r="D128" s="813"/>
      <c r="E128" s="813"/>
      <c r="F128" s="813"/>
      <c r="G128" s="813"/>
      <c r="H128" s="813"/>
      <c r="I128" s="813"/>
      <c r="J128" s="813"/>
      <c r="K128" s="813"/>
      <c r="L128" s="813"/>
      <c r="M128" s="813"/>
      <c r="N128" s="813"/>
      <c r="O128" s="813"/>
      <c r="P128" s="813"/>
    </row>
    <row r="129" spans="1:16" x14ac:dyDescent="0.2">
      <c r="A129" s="813"/>
      <c r="B129" s="813"/>
      <c r="C129" s="813"/>
      <c r="D129" s="813"/>
      <c r="E129" s="813"/>
      <c r="F129" s="813"/>
      <c r="G129" s="813"/>
      <c r="H129" s="813"/>
      <c r="I129" s="813"/>
      <c r="J129" s="813"/>
      <c r="K129" s="813"/>
      <c r="L129" s="813"/>
      <c r="M129" s="813"/>
      <c r="N129" s="813"/>
      <c r="O129" s="813"/>
      <c r="P129" s="813"/>
    </row>
    <row r="130" spans="1:16" x14ac:dyDescent="0.2">
      <c r="A130" s="813"/>
      <c r="B130" s="813"/>
      <c r="C130" s="813"/>
      <c r="D130" s="813"/>
      <c r="E130" s="813"/>
      <c r="F130" s="813"/>
      <c r="G130" s="813"/>
      <c r="H130" s="813"/>
      <c r="I130" s="813"/>
      <c r="J130" s="813"/>
      <c r="K130" s="813"/>
      <c r="L130" s="813"/>
      <c r="M130" s="813"/>
      <c r="N130" s="813"/>
      <c r="O130" s="813"/>
      <c r="P130" s="813"/>
    </row>
    <row r="131" spans="1:16" x14ac:dyDescent="0.2">
      <c r="A131" s="813"/>
      <c r="B131" s="813"/>
      <c r="C131" s="813"/>
      <c r="D131" s="813"/>
      <c r="E131" s="813"/>
      <c r="F131" s="813"/>
      <c r="G131" s="813"/>
      <c r="H131" s="813"/>
      <c r="I131" s="813"/>
      <c r="J131" s="813"/>
      <c r="K131" s="813"/>
      <c r="L131" s="813"/>
      <c r="M131" s="813"/>
      <c r="N131" s="813"/>
      <c r="O131" s="813"/>
      <c r="P131" s="813"/>
    </row>
    <row r="132" spans="1:16" x14ac:dyDescent="0.2">
      <c r="A132" s="813"/>
      <c r="B132" s="813"/>
      <c r="C132" s="813"/>
      <c r="D132" s="813"/>
      <c r="E132" s="813"/>
      <c r="F132" s="813"/>
      <c r="G132" s="813"/>
      <c r="H132" s="813"/>
      <c r="I132" s="813"/>
      <c r="J132" s="813"/>
      <c r="K132" s="813"/>
      <c r="L132" s="813"/>
      <c r="M132" s="813"/>
      <c r="N132" s="813"/>
      <c r="O132" s="813"/>
      <c r="P132" s="813"/>
    </row>
    <row r="133" spans="1:16" x14ac:dyDescent="0.2">
      <c r="A133" s="813"/>
      <c r="B133" s="813"/>
      <c r="C133" s="813"/>
      <c r="D133" s="813"/>
      <c r="E133" s="813"/>
      <c r="F133" s="813"/>
      <c r="G133" s="813"/>
      <c r="H133" s="813"/>
      <c r="I133" s="813"/>
      <c r="J133" s="813"/>
      <c r="K133" s="813"/>
      <c r="L133" s="813"/>
      <c r="M133" s="813"/>
      <c r="N133" s="813"/>
      <c r="O133" s="813"/>
      <c r="P133" s="813"/>
    </row>
    <row r="134" spans="1:16" x14ac:dyDescent="0.2">
      <c r="A134" s="813"/>
      <c r="B134" s="813"/>
      <c r="C134" s="813"/>
      <c r="D134" s="813"/>
      <c r="E134" s="813"/>
      <c r="F134" s="813"/>
      <c r="G134" s="813"/>
      <c r="H134" s="813"/>
      <c r="I134" s="813"/>
      <c r="J134" s="813"/>
      <c r="K134" s="813"/>
      <c r="L134" s="813"/>
      <c r="M134" s="813"/>
      <c r="N134" s="813"/>
      <c r="O134" s="813"/>
      <c r="P134" s="813"/>
    </row>
    <row r="135" spans="1:16" x14ac:dyDescent="0.2">
      <c r="A135" s="813"/>
      <c r="B135" s="813"/>
      <c r="C135" s="813"/>
      <c r="D135" s="813"/>
      <c r="E135" s="813"/>
      <c r="F135" s="813"/>
      <c r="G135" s="813"/>
      <c r="H135" s="813"/>
      <c r="I135" s="813"/>
      <c r="J135" s="813"/>
      <c r="K135" s="813"/>
      <c r="L135" s="813"/>
      <c r="M135" s="813"/>
      <c r="N135" s="813"/>
      <c r="O135" s="813"/>
      <c r="P135" s="813"/>
    </row>
    <row r="136" spans="1:16" x14ac:dyDescent="0.2">
      <c r="A136" s="813"/>
      <c r="B136" s="813"/>
      <c r="C136" s="813"/>
      <c r="D136" s="813"/>
      <c r="E136" s="813"/>
      <c r="F136" s="813"/>
      <c r="G136" s="813"/>
      <c r="H136" s="813"/>
      <c r="I136" s="813"/>
      <c r="J136" s="813"/>
      <c r="K136" s="813"/>
      <c r="L136" s="813"/>
      <c r="M136" s="813"/>
      <c r="N136" s="813"/>
      <c r="O136" s="813"/>
      <c r="P136" s="813"/>
    </row>
    <row r="137" spans="1:16" x14ac:dyDescent="0.2">
      <c r="A137" s="813"/>
      <c r="B137" s="813"/>
      <c r="C137" s="813"/>
      <c r="D137" s="813"/>
      <c r="E137" s="813"/>
      <c r="F137" s="813"/>
      <c r="G137" s="813"/>
      <c r="H137" s="813"/>
      <c r="I137" s="813"/>
      <c r="J137" s="813"/>
      <c r="K137" s="813"/>
      <c r="L137" s="813"/>
      <c r="M137" s="813"/>
      <c r="N137" s="813"/>
      <c r="O137" s="813"/>
      <c r="P137" s="813"/>
    </row>
    <row r="138" spans="1:16" x14ac:dyDescent="0.2">
      <c r="A138" s="813"/>
      <c r="B138" s="813"/>
      <c r="C138" s="813"/>
      <c r="D138" s="813"/>
      <c r="E138" s="813"/>
      <c r="F138" s="813"/>
      <c r="G138" s="813"/>
      <c r="H138" s="813"/>
      <c r="I138" s="813"/>
      <c r="J138" s="813"/>
      <c r="K138" s="813"/>
      <c r="L138" s="813"/>
      <c r="M138" s="813"/>
      <c r="N138" s="813"/>
      <c r="O138" s="813"/>
      <c r="P138" s="813"/>
    </row>
    <row r="139" spans="1:16" x14ac:dyDescent="0.2">
      <c r="A139" s="813"/>
      <c r="B139" s="813"/>
      <c r="C139" s="813"/>
      <c r="D139" s="813"/>
      <c r="E139" s="813"/>
      <c r="F139" s="813"/>
      <c r="G139" s="813"/>
      <c r="H139" s="813"/>
      <c r="I139" s="813"/>
      <c r="J139" s="813"/>
      <c r="K139" s="813"/>
      <c r="L139" s="813"/>
      <c r="M139" s="813"/>
      <c r="N139" s="813"/>
      <c r="O139" s="813"/>
      <c r="P139" s="813"/>
    </row>
    <row r="140" spans="1:16" x14ac:dyDescent="0.2">
      <c r="A140" s="813"/>
      <c r="B140" s="813"/>
      <c r="C140" s="813"/>
      <c r="D140" s="813"/>
      <c r="E140" s="813"/>
      <c r="F140" s="813"/>
      <c r="G140" s="813"/>
      <c r="H140" s="813"/>
      <c r="I140" s="813"/>
      <c r="J140" s="813"/>
      <c r="K140" s="813"/>
      <c r="L140" s="813"/>
      <c r="M140" s="813"/>
      <c r="N140" s="813"/>
      <c r="O140" s="813"/>
      <c r="P140" s="813"/>
    </row>
    <row r="141" spans="1:16" x14ac:dyDescent="0.2">
      <c r="A141" s="813"/>
      <c r="B141" s="813"/>
      <c r="C141" s="813"/>
      <c r="D141" s="813"/>
      <c r="E141" s="813"/>
      <c r="F141" s="813"/>
      <c r="G141" s="813"/>
      <c r="H141" s="813"/>
      <c r="I141" s="813"/>
      <c r="J141" s="813"/>
      <c r="K141" s="813"/>
      <c r="L141" s="813"/>
      <c r="M141" s="813"/>
      <c r="N141" s="813"/>
      <c r="O141" s="813"/>
      <c r="P141" s="813"/>
    </row>
    <row r="142" spans="1:16" x14ac:dyDescent="0.2">
      <c r="A142" s="813"/>
      <c r="B142" s="813"/>
      <c r="C142" s="813"/>
      <c r="D142" s="813"/>
      <c r="E142" s="813"/>
      <c r="F142" s="813"/>
      <c r="G142" s="813"/>
      <c r="H142" s="813"/>
      <c r="I142" s="813"/>
      <c r="J142" s="813"/>
      <c r="K142" s="813"/>
      <c r="L142" s="813"/>
      <c r="M142" s="813"/>
      <c r="N142" s="813"/>
      <c r="O142" s="813"/>
      <c r="P142" s="813"/>
    </row>
    <row r="143" spans="1:16" x14ac:dyDescent="0.2">
      <c r="A143" s="813"/>
      <c r="B143" s="813"/>
      <c r="C143" s="813"/>
      <c r="D143" s="813"/>
      <c r="E143" s="813"/>
      <c r="F143" s="813"/>
      <c r="G143" s="813"/>
      <c r="H143" s="813"/>
      <c r="I143" s="813"/>
      <c r="J143" s="813"/>
      <c r="K143" s="813"/>
      <c r="L143" s="813"/>
      <c r="M143" s="813"/>
      <c r="N143" s="813"/>
      <c r="O143" s="813"/>
      <c r="P143" s="813"/>
    </row>
    <row r="144" spans="1:16" x14ac:dyDescent="0.2">
      <c r="A144" s="813"/>
      <c r="B144" s="813"/>
      <c r="C144" s="813"/>
      <c r="D144" s="813"/>
      <c r="E144" s="813"/>
      <c r="F144" s="813"/>
      <c r="G144" s="813"/>
      <c r="H144" s="813"/>
      <c r="I144" s="813"/>
      <c r="J144" s="813"/>
      <c r="K144" s="813"/>
      <c r="L144" s="813"/>
      <c r="M144" s="813"/>
      <c r="N144" s="813"/>
      <c r="O144" s="813"/>
      <c r="P144" s="813"/>
    </row>
    <row r="145" spans="1:16" x14ac:dyDescent="0.2">
      <c r="A145" s="813"/>
      <c r="B145" s="813"/>
      <c r="C145" s="813"/>
      <c r="D145" s="813"/>
      <c r="E145" s="813"/>
      <c r="F145" s="813"/>
      <c r="G145" s="813"/>
      <c r="H145" s="813"/>
      <c r="I145" s="813"/>
      <c r="J145" s="813"/>
      <c r="K145" s="813"/>
      <c r="L145" s="813"/>
      <c r="M145" s="813"/>
      <c r="N145" s="813"/>
      <c r="O145" s="813"/>
      <c r="P145" s="813"/>
    </row>
    <row r="146" spans="1:16" x14ac:dyDescent="0.2">
      <c r="A146" s="813"/>
      <c r="B146" s="813"/>
      <c r="C146" s="813"/>
      <c r="D146" s="813"/>
      <c r="E146" s="813"/>
      <c r="F146" s="813"/>
      <c r="G146" s="813"/>
      <c r="H146" s="813"/>
      <c r="I146" s="813"/>
      <c r="J146" s="813"/>
      <c r="K146" s="813"/>
      <c r="L146" s="813"/>
      <c r="M146" s="813"/>
      <c r="N146" s="813"/>
      <c r="O146" s="813"/>
      <c r="P146" s="813"/>
    </row>
    <row r="147" spans="1:16" x14ac:dyDescent="0.2">
      <c r="A147" s="813"/>
      <c r="B147" s="813"/>
      <c r="C147" s="813"/>
      <c r="D147" s="813"/>
      <c r="E147" s="813"/>
      <c r="F147" s="813"/>
      <c r="G147" s="813"/>
      <c r="H147" s="813"/>
      <c r="I147" s="813"/>
      <c r="J147" s="813"/>
      <c r="K147" s="813"/>
      <c r="L147" s="813"/>
      <c r="M147" s="813"/>
      <c r="N147" s="813"/>
      <c r="O147" s="813"/>
      <c r="P147" s="813"/>
    </row>
    <row r="148" spans="1:16" x14ac:dyDescent="0.2">
      <c r="A148" s="813"/>
      <c r="B148" s="813"/>
      <c r="C148" s="813"/>
      <c r="D148" s="813"/>
      <c r="E148" s="813"/>
      <c r="F148" s="813"/>
      <c r="G148" s="813"/>
      <c r="H148" s="813"/>
      <c r="I148" s="813"/>
      <c r="J148" s="813"/>
      <c r="K148" s="813"/>
      <c r="L148" s="813"/>
      <c r="M148" s="813"/>
      <c r="N148" s="813"/>
      <c r="O148" s="813"/>
      <c r="P148" s="813"/>
    </row>
    <row r="149" spans="1:16" x14ac:dyDescent="0.2">
      <c r="A149" s="813"/>
      <c r="B149" s="813"/>
      <c r="C149" s="813"/>
      <c r="D149" s="813"/>
      <c r="E149" s="813"/>
      <c r="F149" s="813"/>
      <c r="G149" s="813"/>
      <c r="H149" s="813"/>
      <c r="I149" s="813"/>
      <c r="J149" s="813"/>
      <c r="K149" s="813"/>
      <c r="L149" s="813"/>
      <c r="M149" s="813"/>
      <c r="N149" s="813"/>
      <c r="O149" s="813"/>
      <c r="P149" s="813"/>
    </row>
    <row r="150" spans="1:16" x14ac:dyDescent="0.2">
      <c r="A150" s="813"/>
      <c r="B150" s="813"/>
      <c r="C150" s="813"/>
      <c r="D150" s="813"/>
      <c r="E150" s="813"/>
      <c r="F150" s="813"/>
      <c r="G150" s="813"/>
      <c r="H150" s="813"/>
      <c r="I150" s="813"/>
      <c r="J150" s="813"/>
      <c r="K150" s="813"/>
      <c r="L150" s="813"/>
      <c r="M150" s="813"/>
      <c r="N150" s="813"/>
      <c r="O150" s="813"/>
      <c r="P150" s="813"/>
    </row>
    <row r="151" spans="1:16" x14ac:dyDescent="0.2">
      <c r="A151" s="813"/>
      <c r="B151" s="813"/>
      <c r="C151" s="813"/>
      <c r="D151" s="813"/>
      <c r="E151" s="813"/>
      <c r="F151" s="813"/>
      <c r="G151" s="813"/>
      <c r="H151" s="813"/>
      <c r="I151" s="813"/>
      <c r="J151" s="813"/>
      <c r="K151" s="813"/>
      <c r="L151" s="813"/>
      <c r="M151" s="813"/>
      <c r="N151" s="813"/>
      <c r="O151" s="813"/>
      <c r="P151" s="813"/>
    </row>
    <row r="152" spans="1:16" x14ac:dyDescent="0.2">
      <c r="A152" s="813"/>
      <c r="B152" s="813"/>
      <c r="C152" s="813"/>
      <c r="D152" s="813"/>
      <c r="E152" s="813"/>
      <c r="F152" s="813"/>
      <c r="G152" s="813"/>
      <c r="H152" s="813"/>
      <c r="I152" s="813"/>
      <c r="J152" s="813"/>
      <c r="K152" s="813"/>
      <c r="L152" s="813"/>
      <c r="M152" s="813"/>
      <c r="N152" s="813"/>
      <c r="O152" s="813"/>
      <c r="P152" s="813"/>
    </row>
    <row r="153" spans="1:16" x14ac:dyDescent="0.2">
      <c r="A153" s="813"/>
      <c r="B153" s="813"/>
      <c r="C153" s="813"/>
      <c r="D153" s="813"/>
      <c r="E153" s="813"/>
      <c r="F153" s="813"/>
      <c r="G153" s="813"/>
      <c r="H153" s="813"/>
      <c r="I153" s="813"/>
      <c r="J153" s="813"/>
      <c r="K153" s="813"/>
      <c r="L153" s="813"/>
      <c r="M153" s="813"/>
      <c r="N153" s="813"/>
      <c r="O153" s="813"/>
      <c r="P153" s="813"/>
    </row>
    <row r="154" spans="1:16" x14ac:dyDescent="0.2">
      <c r="A154" s="813"/>
      <c r="B154" s="813"/>
      <c r="C154" s="813"/>
      <c r="D154" s="813"/>
      <c r="E154" s="813"/>
      <c r="F154" s="813"/>
      <c r="G154" s="813"/>
      <c r="H154" s="813"/>
      <c r="I154" s="813"/>
      <c r="J154" s="813"/>
      <c r="K154" s="813"/>
      <c r="L154" s="813"/>
      <c r="M154" s="813"/>
      <c r="N154" s="813"/>
      <c r="O154" s="813"/>
      <c r="P154" s="813"/>
    </row>
    <row r="155" spans="1:16" x14ac:dyDescent="0.2">
      <c r="A155" s="813"/>
      <c r="B155" s="813"/>
      <c r="C155" s="813"/>
      <c r="D155" s="813"/>
      <c r="E155" s="813"/>
      <c r="F155" s="813"/>
      <c r="G155" s="813"/>
      <c r="H155" s="813"/>
      <c r="I155" s="813"/>
      <c r="J155" s="813"/>
      <c r="K155" s="813"/>
      <c r="L155" s="813"/>
      <c r="M155" s="813"/>
      <c r="N155" s="813"/>
      <c r="O155" s="813"/>
      <c r="P155" s="813"/>
    </row>
    <row r="156" spans="1:16" x14ac:dyDescent="0.2">
      <c r="A156" s="813"/>
      <c r="B156" s="813"/>
      <c r="C156" s="813"/>
      <c r="D156" s="813"/>
      <c r="E156" s="813"/>
      <c r="F156" s="813"/>
      <c r="G156" s="813"/>
      <c r="H156" s="813"/>
      <c r="I156" s="813"/>
      <c r="J156" s="813"/>
      <c r="K156" s="813"/>
      <c r="L156" s="813"/>
      <c r="M156" s="813"/>
      <c r="N156" s="813"/>
      <c r="O156" s="813"/>
      <c r="P156" s="813"/>
    </row>
    <row r="157" spans="1:16" x14ac:dyDescent="0.2">
      <c r="A157" s="813"/>
      <c r="B157" s="813"/>
      <c r="C157" s="813"/>
      <c r="D157" s="813"/>
      <c r="E157" s="813"/>
      <c r="F157" s="813"/>
      <c r="G157" s="813"/>
      <c r="H157" s="813"/>
      <c r="I157" s="813"/>
      <c r="J157" s="813"/>
      <c r="K157" s="813"/>
      <c r="L157" s="813"/>
      <c r="M157" s="813"/>
      <c r="N157" s="813"/>
      <c r="O157" s="813"/>
      <c r="P157" s="813"/>
    </row>
    <row r="158" spans="1:16" x14ac:dyDescent="0.2">
      <c r="A158" s="813"/>
      <c r="B158" s="813"/>
      <c r="C158" s="813"/>
      <c r="D158" s="813"/>
      <c r="E158" s="813"/>
      <c r="F158" s="813"/>
      <c r="G158" s="813"/>
      <c r="H158" s="813"/>
      <c r="I158" s="813"/>
      <c r="J158" s="813"/>
      <c r="K158" s="813"/>
      <c r="L158" s="813"/>
      <c r="M158" s="813"/>
      <c r="N158" s="813"/>
      <c r="O158" s="813"/>
      <c r="P158" s="813"/>
    </row>
    <row r="159" spans="1:16" x14ac:dyDescent="0.2">
      <c r="A159" s="813"/>
      <c r="B159" s="813"/>
      <c r="C159" s="813"/>
      <c r="D159" s="813"/>
      <c r="E159" s="813"/>
      <c r="F159" s="813"/>
      <c r="G159" s="813"/>
      <c r="H159" s="813"/>
      <c r="I159" s="813"/>
      <c r="J159" s="813"/>
      <c r="K159" s="813"/>
      <c r="L159" s="813"/>
      <c r="M159" s="813"/>
      <c r="N159" s="813"/>
      <c r="O159" s="813"/>
      <c r="P159" s="813"/>
    </row>
    <row r="160" spans="1:16" x14ac:dyDescent="0.2">
      <c r="A160" s="813"/>
      <c r="B160" s="813"/>
      <c r="C160" s="813"/>
      <c r="D160" s="813"/>
      <c r="E160" s="813"/>
      <c r="F160" s="813"/>
      <c r="G160" s="813"/>
      <c r="H160" s="813"/>
      <c r="I160" s="813"/>
      <c r="J160" s="813"/>
      <c r="K160" s="813"/>
      <c r="L160" s="813"/>
      <c r="M160" s="813"/>
      <c r="N160" s="813"/>
      <c r="O160" s="813"/>
      <c r="P160" s="813"/>
    </row>
    <row r="161" spans="1:16" x14ac:dyDescent="0.2">
      <c r="A161" s="813"/>
      <c r="B161" s="813"/>
      <c r="C161" s="813"/>
      <c r="D161" s="813"/>
      <c r="E161" s="813"/>
      <c r="F161" s="813"/>
      <c r="G161" s="813"/>
      <c r="H161" s="813"/>
      <c r="I161" s="813"/>
      <c r="J161" s="813"/>
      <c r="K161" s="813"/>
      <c r="L161" s="813"/>
      <c r="M161" s="813"/>
      <c r="N161" s="813"/>
      <c r="O161" s="813"/>
      <c r="P161" s="813"/>
    </row>
    <row r="162" spans="1:16" x14ac:dyDescent="0.2">
      <c r="A162" s="813"/>
      <c r="B162" s="813"/>
      <c r="C162" s="813"/>
      <c r="D162" s="813"/>
      <c r="E162" s="813"/>
      <c r="F162" s="813"/>
      <c r="G162" s="813"/>
      <c r="H162" s="813"/>
      <c r="I162" s="813"/>
      <c r="J162" s="813"/>
      <c r="K162" s="813"/>
      <c r="L162" s="813"/>
      <c r="M162" s="813"/>
      <c r="N162" s="813"/>
      <c r="O162" s="813"/>
      <c r="P162" s="813"/>
    </row>
    <row r="163" spans="1:16" x14ac:dyDescent="0.2">
      <c r="A163" s="813"/>
      <c r="B163" s="813"/>
      <c r="C163" s="813"/>
      <c r="D163" s="813"/>
      <c r="E163" s="813"/>
      <c r="F163" s="813"/>
      <c r="G163" s="813"/>
      <c r="H163" s="813"/>
      <c r="I163" s="813"/>
      <c r="J163" s="813"/>
      <c r="K163" s="813"/>
      <c r="L163" s="813"/>
      <c r="M163" s="813"/>
      <c r="N163" s="813"/>
      <c r="O163" s="813"/>
      <c r="P163" s="813"/>
    </row>
    <row r="164" spans="1:16" x14ac:dyDescent="0.2">
      <c r="A164" s="813"/>
      <c r="B164" s="813"/>
      <c r="C164" s="813"/>
      <c r="D164" s="813"/>
      <c r="E164" s="813"/>
      <c r="F164" s="813"/>
      <c r="G164" s="813"/>
      <c r="H164" s="813"/>
      <c r="I164" s="813"/>
      <c r="J164" s="813"/>
      <c r="K164" s="813"/>
      <c r="L164" s="813"/>
      <c r="M164" s="813"/>
      <c r="N164" s="813"/>
      <c r="O164" s="813"/>
      <c r="P164" s="813"/>
    </row>
    <row r="165" spans="1:16" x14ac:dyDescent="0.2">
      <c r="A165" s="813"/>
      <c r="B165" s="813"/>
      <c r="C165" s="813"/>
      <c r="D165" s="813"/>
      <c r="E165" s="813"/>
      <c r="F165" s="813"/>
      <c r="G165" s="813"/>
      <c r="H165" s="813"/>
      <c r="I165" s="813"/>
      <c r="J165" s="813"/>
      <c r="K165" s="813"/>
      <c r="L165" s="813"/>
      <c r="M165" s="813"/>
      <c r="N165" s="813"/>
      <c r="O165" s="813"/>
      <c r="P165" s="813"/>
    </row>
    <row r="166" spans="1:16" x14ac:dyDescent="0.2">
      <c r="A166" s="813"/>
      <c r="B166" s="813"/>
      <c r="C166" s="813"/>
      <c r="D166" s="813"/>
      <c r="E166" s="813"/>
      <c r="F166" s="813"/>
      <c r="G166" s="813"/>
      <c r="H166" s="813"/>
      <c r="I166" s="813"/>
      <c r="J166" s="813"/>
      <c r="K166" s="813"/>
      <c r="L166" s="813"/>
      <c r="M166" s="813"/>
      <c r="N166" s="813"/>
      <c r="O166" s="813"/>
      <c r="P166" s="813"/>
    </row>
    <row r="167" spans="1:16" x14ac:dyDescent="0.2">
      <c r="A167" s="813"/>
      <c r="B167" s="813"/>
      <c r="C167" s="813"/>
      <c r="D167" s="813"/>
      <c r="E167" s="813"/>
      <c r="F167" s="813"/>
      <c r="G167" s="813"/>
      <c r="H167" s="813"/>
      <c r="I167" s="813"/>
      <c r="J167" s="813"/>
      <c r="K167" s="813"/>
      <c r="L167" s="813"/>
      <c r="M167" s="813"/>
      <c r="N167" s="813"/>
      <c r="O167" s="813"/>
      <c r="P167" s="813"/>
    </row>
    <row r="168" spans="1:16" x14ac:dyDescent="0.2">
      <c r="A168" s="813"/>
      <c r="B168" s="813"/>
      <c r="C168" s="813"/>
      <c r="D168" s="813"/>
      <c r="E168" s="813"/>
      <c r="F168" s="813"/>
      <c r="G168" s="813"/>
      <c r="H168" s="813"/>
      <c r="I168" s="813"/>
      <c r="J168" s="813"/>
      <c r="K168" s="813"/>
      <c r="L168" s="813"/>
      <c r="M168" s="813"/>
      <c r="N168" s="813"/>
      <c r="O168" s="813"/>
      <c r="P168" s="813"/>
    </row>
    <row r="169" spans="1:16" x14ac:dyDescent="0.2">
      <c r="A169" s="813"/>
      <c r="B169" s="813"/>
      <c r="C169" s="813"/>
      <c r="D169" s="813"/>
      <c r="E169" s="813"/>
      <c r="F169" s="813"/>
      <c r="G169" s="813"/>
      <c r="H169" s="813"/>
      <c r="I169" s="813"/>
      <c r="J169" s="813"/>
      <c r="K169" s="813"/>
      <c r="L169" s="813"/>
      <c r="M169" s="813"/>
      <c r="N169" s="813"/>
      <c r="O169" s="813"/>
      <c r="P169" s="813"/>
    </row>
    <row r="170" spans="1:16" x14ac:dyDescent="0.2">
      <c r="A170" s="813"/>
      <c r="B170" s="813"/>
      <c r="C170" s="813"/>
      <c r="D170" s="813"/>
      <c r="E170" s="813"/>
      <c r="F170" s="813"/>
      <c r="G170" s="813"/>
      <c r="H170" s="813"/>
      <c r="I170" s="813"/>
      <c r="J170" s="813"/>
      <c r="K170" s="813"/>
      <c r="L170" s="813"/>
      <c r="M170" s="813"/>
      <c r="N170" s="813"/>
      <c r="O170" s="813"/>
      <c r="P170" s="813"/>
    </row>
    <row r="171" spans="1:16" x14ac:dyDescent="0.2">
      <c r="A171" s="813"/>
      <c r="B171" s="813"/>
      <c r="C171" s="813"/>
      <c r="D171" s="813"/>
      <c r="E171" s="813"/>
      <c r="F171" s="813"/>
      <c r="G171" s="813"/>
      <c r="H171" s="813"/>
      <c r="I171" s="813"/>
      <c r="J171" s="813"/>
      <c r="K171" s="813"/>
      <c r="L171" s="813"/>
      <c r="M171" s="813"/>
      <c r="N171" s="813"/>
      <c r="O171" s="813"/>
      <c r="P171" s="813"/>
    </row>
    <row r="172" spans="1:16" x14ac:dyDescent="0.2">
      <c r="A172" s="813"/>
      <c r="B172" s="813"/>
      <c r="C172" s="813"/>
      <c r="D172" s="813"/>
      <c r="E172" s="813"/>
      <c r="F172" s="813"/>
      <c r="G172" s="813"/>
      <c r="H172" s="813"/>
      <c r="I172" s="813"/>
      <c r="J172" s="813"/>
      <c r="K172" s="813"/>
      <c r="L172" s="813"/>
      <c r="M172" s="813"/>
      <c r="N172" s="813"/>
      <c r="O172" s="813"/>
      <c r="P172" s="813"/>
    </row>
    <row r="173" spans="1:16" x14ac:dyDescent="0.2">
      <c r="A173" s="813"/>
      <c r="B173" s="813"/>
      <c r="C173" s="813"/>
      <c r="D173" s="813"/>
      <c r="E173" s="813"/>
      <c r="F173" s="813"/>
      <c r="G173" s="813"/>
      <c r="H173" s="813"/>
      <c r="I173" s="813"/>
      <c r="J173" s="813"/>
      <c r="K173" s="813"/>
      <c r="L173" s="813"/>
      <c r="M173" s="813"/>
      <c r="N173" s="813"/>
      <c r="O173" s="813"/>
      <c r="P173" s="813"/>
    </row>
    <row r="174" spans="1:16" x14ac:dyDescent="0.2">
      <c r="A174" s="813"/>
      <c r="B174" s="813"/>
      <c r="C174" s="813"/>
      <c r="D174" s="813"/>
      <c r="E174" s="813"/>
      <c r="F174" s="813"/>
      <c r="G174" s="813"/>
      <c r="H174" s="813"/>
      <c r="I174" s="813"/>
      <c r="J174" s="813"/>
      <c r="K174" s="813"/>
      <c r="L174" s="813"/>
      <c r="M174" s="813"/>
      <c r="N174" s="813"/>
      <c r="O174" s="813"/>
      <c r="P174" s="813"/>
    </row>
    <row r="175" spans="1:16" x14ac:dyDescent="0.2">
      <c r="A175" s="813"/>
      <c r="B175" s="813"/>
      <c r="C175" s="813"/>
      <c r="D175" s="813"/>
      <c r="E175" s="813"/>
      <c r="F175" s="813"/>
      <c r="G175" s="813"/>
      <c r="H175" s="813"/>
      <c r="I175" s="813"/>
      <c r="J175" s="813"/>
      <c r="K175" s="813"/>
      <c r="L175" s="813"/>
      <c r="M175" s="813"/>
      <c r="N175" s="813"/>
      <c r="O175" s="813"/>
      <c r="P175" s="813"/>
    </row>
    <row r="176" spans="1:16" x14ac:dyDescent="0.2">
      <c r="A176" s="813"/>
      <c r="B176" s="813"/>
      <c r="C176" s="813"/>
      <c r="D176" s="813"/>
      <c r="E176" s="813"/>
      <c r="F176" s="813"/>
      <c r="G176" s="813"/>
      <c r="H176" s="813"/>
      <c r="I176" s="813"/>
      <c r="J176" s="813"/>
      <c r="K176" s="813"/>
      <c r="L176" s="813"/>
      <c r="M176" s="813"/>
      <c r="N176" s="813"/>
      <c r="O176" s="813"/>
      <c r="P176" s="813"/>
    </row>
    <row r="177" spans="1:16" x14ac:dyDescent="0.2">
      <c r="A177" s="813"/>
      <c r="B177" s="813"/>
      <c r="C177" s="813"/>
      <c r="D177" s="813"/>
      <c r="E177" s="813"/>
      <c r="F177" s="813"/>
      <c r="G177" s="813"/>
      <c r="H177" s="813"/>
      <c r="I177" s="813"/>
      <c r="J177" s="813"/>
      <c r="K177" s="813"/>
      <c r="L177" s="813"/>
      <c r="M177" s="813"/>
      <c r="N177" s="813"/>
      <c r="O177" s="813"/>
      <c r="P177" s="813"/>
    </row>
    <row r="178" spans="1:16" x14ac:dyDescent="0.2">
      <c r="A178" s="813"/>
      <c r="B178" s="813"/>
      <c r="C178" s="813"/>
      <c r="D178" s="813"/>
      <c r="E178" s="813"/>
      <c r="F178" s="813"/>
      <c r="G178" s="813"/>
      <c r="H178" s="813"/>
      <c r="I178" s="813"/>
      <c r="J178" s="813"/>
      <c r="K178" s="813"/>
      <c r="L178" s="813"/>
      <c r="M178" s="813"/>
      <c r="N178" s="813"/>
      <c r="O178" s="813"/>
      <c r="P178" s="813"/>
    </row>
    <row r="179" spans="1:16" x14ac:dyDescent="0.2">
      <c r="A179" s="813"/>
      <c r="B179" s="813"/>
      <c r="C179" s="813"/>
      <c r="D179" s="813"/>
      <c r="E179" s="813"/>
      <c r="F179" s="813"/>
      <c r="G179" s="813"/>
      <c r="H179" s="813"/>
      <c r="I179" s="813"/>
      <c r="J179" s="813"/>
      <c r="K179" s="813"/>
      <c r="L179" s="813"/>
      <c r="M179" s="813"/>
      <c r="N179" s="813"/>
      <c r="O179" s="813"/>
      <c r="P179" s="813"/>
    </row>
    <row r="180" spans="1:16" x14ac:dyDescent="0.2">
      <c r="A180" s="813"/>
      <c r="B180" s="813"/>
      <c r="C180" s="813"/>
      <c r="D180" s="813"/>
      <c r="E180" s="813"/>
      <c r="F180" s="813"/>
      <c r="G180" s="813"/>
      <c r="H180" s="813"/>
      <c r="I180" s="813"/>
      <c r="J180" s="813"/>
      <c r="K180" s="813"/>
      <c r="L180" s="813"/>
      <c r="M180" s="813"/>
      <c r="N180" s="813"/>
      <c r="O180" s="813"/>
      <c r="P180" s="813"/>
    </row>
    <row r="181" spans="1:16" x14ac:dyDescent="0.2">
      <c r="A181" s="813"/>
      <c r="B181" s="813"/>
      <c r="C181" s="813"/>
      <c r="D181" s="813"/>
      <c r="E181" s="813"/>
      <c r="F181" s="813"/>
      <c r="G181" s="813"/>
      <c r="H181" s="813"/>
      <c r="I181" s="813"/>
      <c r="J181" s="813"/>
      <c r="K181" s="813"/>
      <c r="L181" s="813"/>
      <c r="M181" s="813"/>
      <c r="N181" s="813"/>
      <c r="O181" s="813"/>
      <c r="P181" s="813"/>
    </row>
    <row r="182" spans="1:16" x14ac:dyDescent="0.2">
      <c r="A182" s="813"/>
      <c r="B182" s="813"/>
      <c r="C182" s="813"/>
      <c r="D182" s="813"/>
      <c r="E182" s="813"/>
      <c r="F182" s="813"/>
      <c r="G182" s="813"/>
      <c r="H182" s="813"/>
      <c r="I182" s="813"/>
      <c r="J182" s="813"/>
      <c r="K182" s="813"/>
      <c r="L182" s="813"/>
      <c r="M182" s="813"/>
      <c r="N182" s="813"/>
      <c r="O182" s="813"/>
      <c r="P182" s="813"/>
    </row>
    <row r="183" spans="1:16" x14ac:dyDescent="0.2">
      <c r="A183" s="813"/>
      <c r="B183" s="813"/>
      <c r="C183" s="813"/>
      <c r="D183" s="813"/>
      <c r="E183" s="813"/>
      <c r="F183" s="813"/>
      <c r="G183" s="813"/>
      <c r="H183" s="813"/>
      <c r="I183" s="813"/>
      <c r="J183" s="813"/>
      <c r="K183" s="813"/>
      <c r="L183" s="813"/>
      <c r="M183" s="813"/>
      <c r="N183" s="813"/>
      <c r="O183" s="813"/>
      <c r="P183" s="813"/>
    </row>
    <row r="184" spans="1:16" x14ac:dyDescent="0.2">
      <c r="A184" s="813"/>
      <c r="B184" s="813"/>
      <c r="C184" s="813"/>
      <c r="D184" s="813"/>
      <c r="E184" s="813"/>
      <c r="F184" s="813"/>
      <c r="G184" s="813"/>
      <c r="H184" s="813"/>
      <c r="I184" s="813"/>
      <c r="J184" s="813"/>
      <c r="K184" s="813"/>
      <c r="L184" s="813"/>
      <c r="M184" s="813"/>
      <c r="N184" s="813"/>
      <c r="O184" s="813"/>
      <c r="P184" s="813"/>
    </row>
    <row r="185" spans="1:16" x14ac:dyDescent="0.2">
      <c r="A185" s="813"/>
      <c r="B185" s="813"/>
      <c r="C185" s="813"/>
      <c r="D185" s="813"/>
      <c r="E185" s="813"/>
      <c r="F185" s="813"/>
      <c r="G185" s="813"/>
      <c r="H185" s="813"/>
      <c r="I185" s="813"/>
      <c r="J185" s="813"/>
      <c r="K185" s="813"/>
      <c r="L185" s="813"/>
      <c r="M185" s="813"/>
      <c r="N185" s="813"/>
      <c r="O185" s="813"/>
      <c r="P185" s="813"/>
    </row>
    <row r="186" spans="1:16" x14ac:dyDescent="0.2">
      <c r="A186" s="813"/>
      <c r="B186" s="813"/>
      <c r="C186" s="813"/>
      <c r="D186" s="813"/>
      <c r="E186" s="813"/>
      <c r="F186" s="813"/>
      <c r="G186" s="813"/>
      <c r="H186" s="813"/>
      <c r="I186" s="813"/>
      <c r="J186" s="813"/>
      <c r="K186" s="813"/>
      <c r="L186" s="813"/>
      <c r="M186" s="813"/>
      <c r="N186" s="813"/>
      <c r="O186" s="813"/>
      <c r="P186" s="813"/>
    </row>
    <row r="187" spans="1:16" x14ac:dyDescent="0.2">
      <c r="A187" s="813"/>
      <c r="B187" s="813"/>
      <c r="C187" s="813"/>
      <c r="D187" s="813"/>
      <c r="E187" s="813"/>
      <c r="F187" s="813"/>
      <c r="G187" s="813"/>
      <c r="H187" s="813"/>
      <c r="I187" s="813"/>
      <c r="J187" s="813"/>
      <c r="K187" s="813"/>
      <c r="L187" s="813"/>
      <c r="M187" s="813"/>
      <c r="N187" s="813"/>
      <c r="O187" s="813"/>
      <c r="P187" s="813"/>
    </row>
    <row r="188" spans="1:16" x14ac:dyDescent="0.2">
      <c r="A188" s="813"/>
      <c r="B188" s="813"/>
      <c r="C188" s="813"/>
      <c r="D188" s="813"/>
      <c r="E188" s="813"/>
      <c r="F188" s="813"/>
      <c r="G188" s="813"/>
      <c r="H188" s="813"/>
      <c r="I188" s="813"/>
      <c r="J188" s="813"/>
      <c r="K188" s="813"/>
      <c r="L188" s="813"/>
      <c r="M188" s="813"/>
      <c r="N188" s="813"/>
      <c r="O188" s="813"/>
      <c r="P188" s="813"/>
    </row>
    <row r="189" spans="1:16" x14ac:dyDescent="0.2">
      <c r="A189" s="813"/>
      <c r="B189" s="813"/>
      <c r="C189" s="813"/>
      <c r="D189" s="813"/>
      <c r="E189" s="813"/>
      <c r="F189" s="813"/>
      <c r="G189" s="813"/>
      <c r="H189" s="813"/>
      <c r="I189" s="813"/>
      <c r="J189" s="813"/>
      <c r="K189" s="813"/>
      <c r="L189" s="813"/>
      <c r="M189" s="813"/>
      <c r="N189" s="813"/>
      <c r="O189" s="813"/>
      <c r="P189" s="813"/>
    </row>
    <row r="190" spans="1:16" x14ac:dyDescent="0.2">
      <c r="A190" s="813"/>
      <c r="B190" s="813"/>
      <c r="C190" s="813"/>
      <c r="D190" s="813"/>
      <c r="E190" s="813"/>
      <c r="F190" s="813"/>
      <c r="G190" s="813"/>
      <c r="H190" s="813"/>
      <c r="I190" s="813"/>
      <c r="J190" s="813"/>
      <c r="K190" s="813"/>
      <c r="L190" s="813"/>
      <c r="M190" s="813"/>
      <c r="N190" s="813"/>
      <c r="O190" s="813"/>
      <c r="P190" s="813"/>
    </row>
    <row r="191" spans="1:16" x14ac:dyDescent="0.2">
      <c r="A191" s="813"/>
      <c r="B191" s="813"/>
      <c r="C191" s="813"/>
      <c r="D191" s="813"/>
      <c r="E191" s="813"/>
      <c r="F191" s="813"/>
      <c r="G191" s="813"/>
      <c r="H191" s="813"/>
      <c r="I191" s="813"/>
      <c r="J191" s="813"/>
      <c r="K191" s="813"/>
      <c r="L191" s="813"/>
      <c r="M191" s="813"/>
      <c r="N191" s="813"/>
      <c r="O191" s="813"/>
      <c r="P191" s="813"/>
    </row>
    <row r="192" spans="1:16" x14ac:dyDescent="0.2">
      <c r="A192" s="813"/>
      <c r="B192" s="813"/>
      <c r="C192" s="813"/>
      <c r="D192" s="813"/>
      <c r="E192" s="813"/>
      <c r="F192" s="813"/>
      <c r="G192" s="813"/>
      <c r="H192" s="813"/>
      <c r="I192" s="813"/>
      <c r="J192" s="813"/>
      <c r="K192" s="813"/>
      <c r="L192" s="813"/>
      <c r="M192" s="813"/>
      <c r="N192" s="813"/>
      <c r="O192" s="813"/>
      <c r="P192" s="813"/>
    </row>
    <row r="193" spans="1:16" x14ac:dyDescent="0.2">
      <c r="A193" s="813"/>
      <c r="B193" s="813"/>
      <c r="C193" s="813"/>
      <c r="D193" s="813"/>
      <c r="E193" s="813"/>
      <c r="F193" s="813"/>
      <c r="G193" s="813"/>
      <c r="H193" s="813"/>
      <c r="I193" s="813"/>
      <c r="J193" s="813"/>
      <c r="K193" s="813"/>
      <c r="L193" s="813"/>
      <c r="M193" s="813"/>
      <c r="N193" s="813"/>
      <c r="O193" s="813"/>
      <c r="P193" s="813"/>
    </row>
    <row r="194" spans="1:16" x14ac:dyDescent="0.2">
      <c r="A194" s="813"/>
      <c r="B194" s="813"/>
      <c r="C194" s="813"/>
      <c r="D194" s="813"/>
      <c r="E194" s="813"/>
      <c r="F194" s="813"/>
      <c r="G194" s="813"/>
      <c r="H194" s="813"/>
      <c r="I194" s="813"/>
      <c r="J194" s="813"/>
      <c r="K194" s="813"/>
      <c r="L194" s="813"/>
      <c r="M194" s="813"/>
      <c r="N194" s="813"/>
      <c r="O194" s="813"/>
      <c r="P194" s="813"/>
    </row>
    <row r="195" spans="1:16" x14ac:dyDescent="0.2">
      <c r="A195" s="813"/>
      <c r="B195" s="813"/>
      <c r="C195" s="813"/>
      <c r="D195" s="813"/>
      <c r="E195" s="813"/>
      <c r="F195" s="813"/>
      <c r="G195" s="813"/>
      <c r="H195" s="813"/>
      <c r="I195" s="813"/>
      <c r="J195" s="813"/>
      <c r="K195" s="813"/>
      <c r="L195" s="813"/>
      <c r="M195" s="813"/>
      <c r="N195" s="813"/>
      <c r="O195" s="813"/>
      <c r="P195" s="813"/>
    </row>
    <row r="196" spans="1:16" x14ac:dyDescent="0.2">
      <c r="A196" s="813"/>
      <c r="B196" s="813"/>
      <c r="C196" s="813"/>
      <c r="D196" s="813"/>
      <c r="E196" s="813"/>
      <c r="F196" s="813"/>
      <c r="G196" s="813"/>
      <c r="H196" s="813"/>
      <c r="I196" s="813"/>
      <c r="J196" s="813"/>
      <c r="K196" s="813"/>
      <c r="L196" s="813"/>
      <c r="M196" s="813"/>
      <c r="N196" s="813"/>
      <c r="O196" s="813"/>
      <c r="P196" s="813"/>
    </row>
    <row r="197" spans="1:16" x14ac:dyDescent="0.2">
      <c r="A197" s="813"/>
      <c r="B197" s="813"/>
      <c r="C197" s="813"/>
      <c r="D197" s="813"/>
      <c r="E197" s="813"/>
      <c r="F197" s="813"/>
      <c r="G197" s="813"/>
      <c r="H197" s="813"/>
      <c r="I197" s="813"/>
      <c r="J197" s="813"/>
      <c r="K197" s="813"/>
      <c r="L197" s="813"/>
      <c r="M197" s="813"/>
      <c r="N197" s="813"/>
      <c r="O197" s="813"/>
      <c r="P197" s="813"/>
    </row>
    <row r="198" spans="1:16" x14ac:dyDescent="0.2">
      <c r="A198" s="813"/>
      <c r="B198" s="813"/>
      <c r="C198" s="813"/>
      <c r="D198" s="813"/>
      <c r="E198" s="813"/>
      <c r="F198" s="813"/>
      <c r="G198" s="813"/>
      <c r="H198" s="813"/>
      <c r="I198" s="813"/>
      <c r="J198" s="813"/>
      <c r="K198" s="813"/>
      <c r="L198" s="813"/>
      <c r="M198" s="813"/>
      <c r="N198" s="813"/>
      <c r="O198" s="813"/>
      <c r="P198" s="813"/>
    </row>
    <row r="199" spans="1:16" x14ac:dyDescent="0.2">
      <c r="A199" s="813"/>
      <c r="B199" s="813"/>
      <c r="C199" s="813"/>
      <c r="D199" s="813"/>
      <c r="E199" s="813"/>
      <c r="F199" s="813"/>
      <c r="G199" s="813"/>
      <c r="H199" s="813"/>
      <c r="I199" s="813"/>
      <c r="J199" s="813"/>
      <c r="K199" s="813"/>
      <c r="L199" s="813"/>
      <c r="M199" s="813"/>
      <c r="N199" s="813"/>
      <c r="O199" s="813"/>
      <c r="P199" s="813"/>
    </row>
    <row r="200" spans="1:16" x14ac:dyDescent="0.2">
      <c r="A200" s="813"/>
      <c r="B200" s="813"/>
      <c r="C200" s="813"/>
      <c r="D200" s="813"/>
      <c r="E200" s="813"/>
      <c r="F200" s="813"/>
      <c r="G200" s="813"/>
      <c r="H200" s="813"/>
      <c r="I200" s="813"/>
      <c r="J200" s="813"/>
      <c r="K200" s="813"/>
      <c r="L200" s="813"/>
      <c r="M200" s="813"/>
      <c r="N200" s="813"/>
      <c r="O200" s="813"/>
      <c r="P200" s="81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495"/>
  <sheetViews>
    <sheetView zoomScaleNormal="100" workbookViewId="0">
      <pane ySplit="11" topLeftCell="A155" activePane="bottomLeft" state="frozen"/>
      <selection pane="bottomLeft" activeCell="B325" sqref="B325"/>
    </sheetView>
  </sheetViews>
  <sheetFormatPr baseColWidth="10" defaultColWidth="8.83203125" defaultRowHeight="15" outlineLevelRow="1" x14ac:dyDescent="0.2"/>
  <cols>
    <col min="1" max="1" width="34.33203125" customWidth="1"/>
    <col min="2" max="2" width="13.33203125" customWidth="1"/>
    <col min="3" max="3" width="61" customWidth="1"/>
    <col min="4" max="4" width="22.83203125" customWidth="1"/>
    <col min="5" max="5" width="3.83203125" customWidth="1"/>
  </cols>
  <sheetData>
    <row r="1" spans="1:5" ht="27.75" customHeight="1" x14ac:dyDescent="0.25">
      <c r="A1" s="943" t="str">
        <f>IF('Prop Info'!B4="","MODEL INPUTS — NAVIGATION","MODEL INPUTS — NAVIGATION"&amp;" — "&amp;'Prop Info'!B4)</f>
        <v>MODEL INPUTS — NAVIGATION</v>
      </c>
      <c r="B1" s="943"/>
      <c r="C1" s="943"/>
      <c r="D1" s="943"/>
      <c r="E1" s="943"/>
    </row>
    <row r="3" spans="1:5" ht="15" customHeight="1" x14ac:dyDescent="0.2">
      <c r="A3" s="69" t="s">
        <v>91</v>
      </c>
    </row>
    <row r="4" spans="1:5" ht="15" customHeight="1" x14ac:dyDescent="0.2">
      <c r="A4" s="65" t="s">
        <v>83</v>
      </c>
      <c r="B4" t="s">
        <v>84</v>
      </c>
    </row>
    <row r="5" spans="1:5" ht="15" customHeight="1" x14ac:dyDescent="0.2">
      <c r="A5" s="66" t="s">
        <v>85</v>
      </c>
      <c r="B5" t="s">
        <v>86</v>
      </c>
    </row>
    <row r="6" spans="1:5" ht="15" customHeight="1" x14ac:dyDescent="0.2">
      <c r="A6" s="67" t="s">
        <v>87</v>
      </c>
      <c r="B6" t="s">
        <v>88</v>
      </c>
    </row>
    <row r="7" spans="1:5" ht="15" customHeight="1" x14ac:dyDescent="0.2">
      <c r="A7" s="68" t="s">
        <v>89</v>
      </c>
      <c r="B7" t="s">
        <v>90</v>
      </c>
    </row>
    <row r="9" spans="1:5" ht="15" customHeight="1" x14ac:dyDescent="0.2">
      <c r="A9" s="70" t="s">
        <v>92</v>
      </c>
      <c r="B9" s="71">
        <v>452</v>
      </c>
      <c r="C9" s="72" t="s">
        <v>93</v>
      </c>
      <c r="D9" s="71">
        <v>14</v>
      </c>
      <c r="E9" s="72" t="s">
        <v>94</v>
      </c>
    </row>
    <row r="11" spans="1:5" ht="15" customHeight="1" x14ac:dyDescent="0.2">
      <c r="A11" s="73" t="s">
        <v>95</v>
      </c>
      <c r="B11" s="73" t="s">
        <v>96</v>
      </c>
      <c r="C11" s="73" t="s">
        <v>97</v>
      </c>
      <c r="D11" s="73" t="s">
        <v>98</v>
      </c>
      <c r="E11" s="73"/>
    </row>
    <row r="12" spans="1:5" ht="15" customHeight="1" x14ac:dyDescent="0.2">
      <c r="A12" s="74" t="s">
        <v>99</v>
      </c>
      <c r="B12" s="75" t="s">
        <v>100</v>
      </c>
      <c r="C12" s="74"/>
      <c r="D12" s="74"/>
      <c r="E12" s="74"/>
    </row>
    <row r="13" spans="1:5" ht="15" hidden="1" customHeight="1" outlineLevel="1" x14ac:dyDescent="0.2">
      <c r="A13" t="s">
        <v>101</v>
      </c>
      <c r="B13" s="76" t="str">
        <f>HYPERLINK("#Scenarios!B10","B10")</f>
        <v>B10</v>
      </c>
      <c r="C13" t="s">
        <v>29</v>
      </c>
      <c r="D13" s="77">
        <v>0.2</v>
      </c>
    </row>
    <row r="14" spans="1:5" ht="15" hidden="1" customHeight="1" outlineLevel="1" x14ac:dyDescent="0.2">
      <c r="A14" t="s">
        <v>101</v>
      </c>
      <c r="B14" s="76" t="str">
        <f>HYPERLINK("#Scenarios!B15","B15")</f>
        <v>B15</v>
      </c>
      <c r="C14" t="s">
        <v>102</v>
      </c>
      <c r="D14" s="77">
        <v>0.03</v>
      </c>
    </row>
    <row r="15" spans="1:5" ht="15" hidden="1" customHeight="1" outlineLevel="1" x14ac:dyDescent="0.2">
      <c r="A15" t="s">
        <v>101</v>
      </c>
      <c r="B15" s="76" t="str">
        <f>HYPERLINK("#Scenarios!B28","B28")</f>
        <v>B28</v>
      </c>
      <c r="C15" t="s">
        <v>103</v>
      </c>
      <c r="D15" s="77">
        <v>0.3</v>
      </c>
    </row>
    <row r="16" spans="1:5" ht="15" hidden="1" customHeight="1" outlineLevel="1" x14ac:dyDescent="0.2">
      <c r="A16" t="s">
        <v>101</v>
      </c>
      <c r="B16" s="76" t="str">
        <f>HYPERLINK("#Scenarios!C28","C28")</f>
        <v>C28</v>
      </c>
      <c r="C16" t="s">
        <v>103</v>
      </c>
      <c r="D16" s="77">
        <v>0.3</v>
      </c>
    </row>
    <row r="17" spans="1:4" ht="15" hidden="1" customHeight="1" outlineLevel="1" x14ac:dyDescent="0.2">
      <c r="A17" t="s">
        <v>101</v>
      </c>
      <c r="B17" s="76" t="str">
        <f>HYPERLINK("#Scenarios!C32","C32")</f>
        <v>C32</v>
      </c>
      <c r="C17" t="s">
        <v>104</v>
      </c>
      <c r="D17" s="78">
        <v>0</v>
      </c>
    </row>
    <row r="18" spans="1:4" ht="15" hidden="1" customHeight="1" outlineLevel="1" x14ac:dyDescent="0.2">
      <c r="A18" t="s">
        <v>101</v>
      </c>
      <c r="B18" s="76" t="str">
        <f>HYPERLINK("#Scenarios!B35","B35")</f>
        <v>B35</v>
      </c>
      <c r="C18" t="s">
        <v>105</v>
      </c>
      <c r="D18" s="77">
        <v>0</v>
      </c>
    </row>
    <row r="19" spans="1:4" ht="15" hidden="1" customHeight="1" outlineLevel="1" x14ac:dyDescent="0.2">
      <c r="A19" t="s">
        <v>101</v>
      </c>
      <c r="B19" s="76" t="str">
        <f>HYPERLINK("#Scenarios!C35","C35")</f>
        <v>C35</v>
      </c>
      <c r="C19" t="s">
        <v>105</v>
      </c>
      <c r="D19" s="77">
        <v>0</v>
      </c>
    </row>
    <row r="20" spans="1:4" ht="15" hidden="1" customHeight="1" outlineLevel="1" x14ac:dyDescent="0.2">
      <c r="A20" t="s">
        <v>101</v>
      </c>
      <c r="B20" s="76" t="str">
        <f>HYPERLINK("#Scenarios!B36","B36")</f>
        <v>B36</v>
      </c>
      <c r="C20" t="s">
        <v>106</v>
      </c>
      <c r="D20" s="77">
        <f>Scenarios!B36</f>
        <v>0</v>
      </c>
    </row>
    <row r="21" spans="1:4" ht="15" hidden="1" customHeight="1" outlineLevel="1" x14ac:dyDescent="0.2">
      <c r="A21" t="s">
        <v>101</v>
      </c>
      <c r="B21" s="76" t="str">
        <f>HYPERLINK("#Scenarios!C36","C36")</f>
        <v>C36</v>
      </c>
      <c r="C21" t="s">
        <v>107</v>
      </c>
      <c r="D21" s="77">
        <f>Scenarios!C36</f>
        <v>0</v>
      </c>
    </row>
    <row r="22" spans="1:4" ht="15" hidden="1" customHeight="1" outlineLevel="1" x14ac:dyDescent="0.2">
      <c r="A22" t="s">
        <v>101</v>
      </c>
      <c r="B22" s="76" t="str">
        <f>HYPERLINK("#Scenarios!D36","D36")</f>
        <v>D36</v>
      </c>
      <c r="C22" t="s">
        <v>108</v>
      </c>
      <c r="D22" s="77">
        <f>Scenarios!D36</f>
        <v>0</v>
      </c>
    </row>
    <row r="23" spans="1:4" ht="15" hidden="1" customHeight="1" outlineLevel="1" x14ac:dyDescent="0.2">
      <c r="A23" t="s">
        <v>101</v>
      </c>
      <c r="B23" s="76" t="str">
        <f>HYPERLINK("#Scenarios!E36","E36")</f>
        <v>E36</v>
      </c>
      <c r="C23" t="s">
        <v>109</v>
      </c>
      <c r="D23" s="77">
        <f>Scenarios!E36</f>
        <v>0</v>
      </c>
    </row>
    <row r="24" spans="1:4" ht="15" hidden="1" customHeight="1" outlineLevel="1" x14ac:dyDescent="0.2">
      <c r="A24" t="s">
        <v>101</v>
      </c>
      <c r="B24" s="76" t="str">
        <f>HYPERLINK("#Scenarios!C46","C46")</f>
        <v>C46</v>
      </c>
      <c r="C24" t="s">
        <v>110</v>
      </c>
      <c r="D24" s="77">
        <v>0</v>
      </c>
    </row>
    <row r="25" spans="1:4" ht="15" hidden="1" customHeight="1" outlineLevel="1" x14ac:dyDescent="0.2">
      <c r="A25" t="s">
        <v>101</v>
      </c>
      <c r="B25" s="76" t="str">
        <f>HYPERLINK("#Scenarios!B77","B77")</f>
        <v>B77</v>
      </c>
      <c r="C25" t="s">
        <v>111</v>
      </c>
      <c r="D25" s="77">
        <v>0.08</v>
      </c>
    </row>
    <row r="26" spans="1:4" ht="15" hidden="1" customHeight="1" outlineLevel="1" x14ac:dyDescent="0.2">
      <c r="A26" t="s">
        <v>101</v>
      </c>
      <c r="B26" s="76" t="str">
        <f>HYPERLINK("#Scenarios!D77","D77")</f>
        <v>D77</v>
      </c>
      <c r="C26" t="s">
        <v>111</v>
      </c>
      <c r="D26" s="77">
        <v>0.08</v>
      </c>
    </row>
    <row r="27" spans="1:4" ht="15" hidden="1" customHeight="1" outlineLevel="1" x14ac:dyDescent="0.2">
      <c r="A27" t="s">
        <v>101</v>
      </c>
      <c r="B27" s="76" t="str">
        <f>HYPERLINK("#Scenarios!E77","E77")</f>
        <v>E77</v>
      </c>
      <c r="C27" t="s">
        <v>111</v>
      </c>
      <c r="D27" s="77">
        <v>0.08</v>
      </c>
    </row>
    <row r="28" spans="1:4" ht="15" hidden="1" customHeight="1" outlineLevel="1" x14ac:dyDescent="0.2">
      <c r="A28" t="s">
        <v>101</v>
      </c>
      <c r="B28" s="76" t="str">
        <f>HYPERLINK("#Scenarios!B79","B79")</f>
        <v>B79</v>
      </c>
      <c r="C28" t="s">
        <v>112</v>
      </c>
      <c r="D28" s="79">
        <v>0</v>
      </c>
    </row>
    <row r="29" spans="1:4" ht="15" hidden="1" customHeight="1" outlineLevel="1" x14ac:dyDescent="0.2">
      <c r="A29" t="s">
        <v>101</v>
      </c>
      <c r="B29" s="76" t="str">
        <f>HYPERLINK("#Scenarios!D80","D80")</f>
        <v>D80</v>
      </c>
      <c r="C29" t="s">
        <v>26</v>
      </c>
      <c r="D29" s="80">
        <v>7</v>
      </c>
    </row>
    <row r="30" spans="1:4" ht="15" hidden="1" customHeight="1" outlineLevel="1" x14ac:dyDescent="0.2">
      <c r="A30" t="s">
        <v>101</v>
      </c>
      <c r="B30" s="76" t="str">
        <f>HYPERLINK("#Scenarios!E80","E80")</f>
        <v>E80</v>
      </c>
      <c r="C30" t="s">
        <v>26</v>
      </c>
      <c r="D30" s="80">
        <v>7</v>
      </c>
    </row>
    <row r="31" spans="1:4" ht="15" hidden="1" customHeight="1" outlineLevel="1" x14ac:dyDescent="0.2">
      <c r="A31" t="s">
        <v>101</v>
      </c>
      <c r="B31" s="76" t="str">
        <f>HYPERLINK("#Scenarios!D81","D81")</f>
        <v>D81</v>
      </c>
      <c r="C31" t="s">
        <v>28</v>
      </c>
      <c r="D31" s="77">
        <v>8.5000000000000006E-2</v>
      </c>
    </row>
    <row r="32" spans="1:4" ht="15" hidden="1" customHeight="1" outlineLevel="1" x14ac:dyDescent="0.2">
      <c r="A32" t="s">
        <v>101</v>
      </c>
      <c r="B32" s="76" t="str">
        <f>HYPERLINK("#Scenarios!E81","E81")</f>
        <v>E81</v>
      </c>
      <c r="C32" t="s">
        <v>28</v>
      </c>
      <c r="D32" s="77">
        <v>8.5000000000000006E-2</v>
      </c>
    </row>
    <row r="33" spans="1:4" ht="15" hidden="1" customHeight="1" outlineLevel="1" x14ac:dyDescent="0.2">
      <c r="A33" t="s">
        <v>101</v>
      </c>
      <c r="B33" s="76" t="str">
        <f>HYPERLINK("#Scenarios!B91","B91")</f>
        <v>B91</v>
      </c>
      <c r="C33" t="s">
        <v>113</v>
      </c>
      <c r="D33" s="81">
        <v>0.01</v>
      </c>
    </row>
    <row r="34" spans="1:4" ht="15" hidden="1" customHeight="1" outlineLevel="1" x14ac:dyDescent="0.2">
      <c r="A34" t="s">
        <v>101</v>
      </c>
      <c r="B34" s="76" t="str">
        <f>HYPERLINK("#Scenarios!C91","C91")</f>
        <v>C91</v>
      </c>
      <c r="C34" t="s">
        <v>113</v>
      </c>
      <c r="D34" s="81">
        <v>0.01</v>
      </c>
    </row>
    <row r="35" spans="1:4" ht="15" hidden="1" customHeight="1" outlineLevel="1" x14ac:dyDescent="0.2">
      <c r="A35" t="s">
        <v>101</v>
      </c>
      <c r="B35" s="76" t="str">
        <f>HYPERLINK("#Scenarios!C93","C93")</f>
        <v>C93</v>
      </c>
      <c r="C35" t="s">
        <v>114</v>
      </c>
      <c r="D35" s="78">
        <v>0</v>
      </c>
    </row>
    <row r="36" spans="1:4" ht="15" hidden="1" customHeight="1" outlineLevel="1" x14ac:dyDescent="0.2">
      <c r="A36" t="s">
        <v>101</v>
      </c>
      <c r="B36" s="76" t="str">
        <f>HYPERLINK("#Scenarios!C94","C94")</f>
        <v>C94</v>
      </c>
      <c r="C36" t="s">
        <v>115</v>
      </c>
      <c r="D36" s="77">
        <v>0</v>
      </c>
    </row>
    <row r="37" spans="1:4" ht="15" hidden="1" customHeight="1" outlineLevel="1" x14ac:dyDescent="0.2">
      <c r="A37" t="s">
        <v>101</v>
      </c>
      <c r="B37" s="76" t="str">
        <f>HYPERLINK("#Scenarios!C95","C95")</f>
        <v>C95</v>
      </c>
      <c r="C37" t="s">
        <v>116</v>
      </c>
      <c r="D37" s="80">
        <v>0</v>
      </c>
    </row>
    <row r="38" spans="1:4" ht="15" hidden="1" customHeight="1" outlineLevel="1" x14ac:dyDescent="0.2">
      <c r="A38" t="s">
        <v>101</v>
      </c>
      <c r="B38" s="76" t="str">
        <f>HYPERLINK("#Scenarios!C96","C96")</f>
        <v>C96</v>
      </c>
      <c r="C38" t="s">
        <v>117</v>
      </c>
      <c r="D38" s="80">
        <v>0</v>
      </c>
    </row>
    <row r="39" spans="1:4" ht="15" hidden="1" customHeight="1" outlineLevel="1" x14ac:dyDescent="0.2">
      <c r="A39" t="s">
        <v>101</v>
      </c>
      <c r="B39" s="76" t="str">
        <f>HYPERLINK("#Scenarios!C97","C97")</f>
        <v>C97</v>
      </c>
      <c r="C39" t="s">
        <v>118</v>
      </c>
      <c r="D39" s="80">
        <v>0</v>
      </c>
    </row>
    <row r="40" spans="1:4" ht="15" hidden="1" customHeight="1" outlineLevel="1" x14ac:dyDescent="0.2">
      <c r="A40" t="s">
        <v>101</v>
      </c>
      <c r="B40" s="76" t="str">
        <f>HYPERLINK("#Scenarios!B98","B98")</f>
        <v>B98</v>
      </c>
      <c r="C40" t="s">
        <v>119</v>
      </c>
      <c r="D40" s="81">
        <v>0</v>
      </c>
    </row>
    <row r="41" spans="1:4" ht="15" hidden="1" customHeight="1" outlineLevel="1" x14ac:dyDescent="0.2">
      <c r="A41" t="s">
        <v>101</v>
      </c>
      <c r="B41" s="76" t="str">
        <f>HYPERLINK("#Scenarios!C98","C98")</f>
        <v>C98</v>
      </c>
      <c r="C41" t="s">
        <v>119</v>
      </c>
      <c r="D41" s="81">
        <v>0</v>
      </c>
    </row>
    <row r="42" spans="1:4" ht="15" hidden="1" customHeight="1" outlineLevel="1" x14ac:dyDescent="0.2">
      <c r="A42" t="s">
        <v>101</v>
      </c>
      <c r="B42" s="76" t="str">
        <f>HYPERLINK("#Scenarios!C100","C100")</f>
        <v>C100</v>
      </c>
      <c r="C42" t="s">
        <v>120</v>
      </c>
      <c r="D42" s="78">
        <v>0</v>
      </c>
    </row>
    <row r="43" spans="1:4" ht="15" hidden="1" customHeight="1" outlineLevel="1" x14ac:dyDescent="0.2">
      <c r="A43" t="s">
        <v>101</v>
      </c>
      <c r="B43" s="76" t="str">
        <f>HYPERLINK("#Scenarios!C101","C101")</f>
        <v>C101</v>
      </c>
      <c r="C43" t="s">
        <v>121</v>
      </c>
      <c r="D43" s="77">
        <v>0</v>
      </c>
    </row>
    <row r="44" spans="1:4" ht="15" hidden="1" customHeight="1" outlineLevel="1" x14ac:dyDescent="0.2">
      <c r="A44" t="s">
        <v>101</v>
      </c>
      <c r="B44" s="76" t="str">
        <f>HYPERLINK("#Scenarios!C102","C102")</f>
        <v>C102</v>
      </c>
      <c r="C44" t="s">
        <v>122</v>
      </c>
      <c r="D44" s="80">
        <v>0</v>
      </c>
    </row>
    <row r="45" spans="1:4" ht="15" hidden="1" customHeight="1" outlineLevel="1" x14ac:dyDescent="0.2">
      <c r="A45" t="s">
        <v>101</v>
      </c>
      <c r="B45" s="76" t="str">
        <f>HYPERLINK("#Scenarios!C103","C103")</f>
        <v>C103</v>
      </c>
      <c r="C45" t="s">
        <v>123</v>
      </c>
      <c r="D45" s="80">
        <v>0</v>
      </c>
    </row>
    <row r="46" spans="1:4" ht="15" hidden="1" customHeight="1" outlineLevel="1" x14ac:dyDescent="0.2">
      <c r="A46" t="s">
        <v>101</v>
      </c>
      <c r="B46" s="76" t="str">
        <f>HYPERLINK("#Scenarios!C104","C104")</f>
        <v>C104</v>
      </c>
      <c r="C46" t="s">
        <v>124</v>
      </c>
      <c r="D46" s="80">
        <v>0</v>
      </c>
    </row>
    <row r="47" spans="1:4" ht="15" hidden="1" customHeight="1" outlineLevel="1" x14ac:dyDescent="0.2">
      <c r="A47" t="s">
        <v>101</v>
      </c>
      <c r="B47" s="76" t="str">
        <f>HYPERLINK("#Scenarios!B105","B105")</f>
        <v>B105</v>
      </c>
      <c r="C47" t="s">
        <v>125</v>
      </c>
      <c r="D47" s="81">
        <v>0</v>
      </c>
    </row>
    <row r="48" spans="1:4" ht="15" hidden="1" customHeight="1" outlineLevel="1" x14ac:dyDescent="0.2">
      <c r="A48" t="s">
        <v>101</v>
      </c>
      <c r="B48" s="76" t="str">
        <f>HYPERLINK("#Scenarios!C105","C105")</f>
        <v>C105</v>
      </c>
      <c r="C48" t="s">
        <v>125</v>
      </c>
      <c r="D48" s="81">
        <v>0</v>
      </c>
    </row>
    <row r="49" spans="1:4" ht="15" hidden="1" customHeight="1" outlineLevel="1" x14ac:dyDescent="0.2">
      <c r="A49" t="s">
        <v>101</v>
      </c>
      <c r="B49" s="76" t="str">
        <f>HYPERLINK("#Scenarios!B124","B124")</f>
        <v>B124</v>
      </c>
      <c r="C49" t="s">
        <v>126</v>
      </c>
      <c r="D49" s="77">
        <v>0.05</v>
      </c>
    </row>
    <row r="50" spans="1:4" ht="15" hidden="1" customHeight="1" outlineLevel="1" x14ac:dyDescent="0.2">
      <c r="A50" t="s">
        <v>101</v>
      </c>
      <c r="B50" s="76" t="str">
        <f>HYPERLINK("#Scenarios!C124","C124")</f>
        <v>C124</v>
      </c>
      <c r="C50" t="s">
        <v>126</v>
      </c>
      <c r="D50" s="77">
        <v>0.08</v>
      </c>
    </row>
    <row r="51" spans="1:4" ht="15" hidden="1" customHeight="1" outlineLevel="1" x14ac:dyDescent="0.2">
      <c r="A51" t="s">
        <v>101</v>
      </c>
      <c r="B51" s="76" t="str">
        <f>HYPERLINK("#Scenarios!D124","D124")</f>
        <v>D124</v>
      </c>
      <c r="C51" t="s">
        <v>126</v>
      </c>
      <c r="D51" s="77">
        <v>0.12</v>
      </c>
    </row>
    <row r="52" spans="1:4" ht="15" hidden="1" customHeight="1" outlineLevel="1" x14ac:dyDescent="0.2">
      <c r="A52" t="s">
        <v>101</v>
      </c>
      <c r="B52" s="76" t="str">
        <f>HYPERLINK("#Scenarios!E124","E124")</f>
        <v>E124</v>
      </c>
      <c r="C52" t="s">
        <v>126</v>
      </c>
      <c r="D52" s="77">
        <v>0.15</v>
      </c>
    </row>
    <row r="53" spans="1:4" ht="15" hidden="1" customHeight="1" outlineLevel="1" x14ac:dyDescent="0.2">
      <c r="A53" t="s">
        <v>101</v>
      </c>
      <c r="B53" s="76" t="str">
        <f>HYPERLINK("#Scenarios!B125","B125")</f>
        <v>B125</v>
      </c>
      <c r="C53" t="s">
        <v>127</v>
      </c>
      <c r="D53" s="77">
        <v>0.02</v>
      </c>
    </row>
    <row r="54" spans="1:4" ht="15" hidden="1" customHeight="1" outlineLevel="1" x14ac:dyDescent="0.2">
      <c r="A54" t="s">
        <v>101</v>
      </c>
      <c r="B54" s="76" t="str">
        <f>HYPERLINK("#Scenarios!C125","C125")</f>
        <v>C125</v>
      </c>
      <c r="C54" t="s">
        <v>127</v>
      </c>
      <c r="D54" s="77">
        <v>0.03</v>
      </c>
    </row>
    <row r="55" spans="1:4" ht="15" hidden="1" customHeight="1" outlineLevel="1" x14ac:dyDescent="0.2">
      <c r="A55" t="s">
        <v>101</v>
      </c>
      <c r="B55" s="76" t="str">
        <f>HYPERLINK("#Scenarios!D125","D125")</f>
        <v>D125</v>
      </c>
      <c r="C55" t="s">
        <v>127</v>
      </c>
      <c r="D55" s="77">
        <v>0.05</v>
      </c>
    </row>
    <row r="56" spans="1:4" ht="15" hidden="1" customHeight="1" outlineLevel="1" x14ac:dyDescent="0.2">
      <c r="A56" t="s">
        <v>101</v>
      </c>
      <c r="B56" s="76" t="str">
        <f>HYPERLINK("#Scenarios!E125","E125")</f>
        <v>E125</v>
      </c>
      <c r="C56" t="s">
        <v>127</v>
      </c>
      <c r="D56" s="77">
        <v>0.06</v>
      </c>
    </row>
    <row r="57" spans="1:4" ht="15" hidden="1" customHeight="1" outlineLevel="1" x14ac:dyDescent="0.2">
      <c r="A57" t="s">
        <v>101</v>
      </c>
      <c r="B57" s="76" t="str">
        <f>HYPERLINK("#Scenarios!B126","B126")</f>
        <v>B126</v>
      </c>
      <c r="C57" t="s">
        <v>128</v>
      </c>
      <c r="D57" s="77">
        <v>0.03</v>
      </c>
    </row>
    <row r="58" spans="1:4" ht="15" hidden="1" customHeight="1" outlineLevel="1" x14ac:dyDescent="0.2">
      <c r="A58" t="s">
        <v>101</v>
      </c>
      <c r="B58" s="76" t="str">
        <f>HYPERLINK("#Scenarios!C126","C126")</f>
        <v>C126</v>
      </c>
      <c r="C58" t="s">
        <v>128</v>
      </c>
      <c r="D58" s="77">
        <v>0.02</v>
      </c>
    </row>
    <row r="59" spans="1:4" ht="15" hidden="1" customHeight="1" outlineLevel="1" x14ac:dyDescent="0.2">
      <c r="A59" t="s">
        <v>101</v>
      </c>
      <c r="B59" s="76" t="str">
        <f>HYPERLINK("#Scenarios!D126","D126")</f>
        <v>D126</v>
      </c>
      <c r="C59" t="s">
        <v>128</v>
      </c>
      <c r="D59" s="77">
        <v>0.01</v>
      </c>
    </row>
    <row r="60" spans="1:4" ht="15" hidden="1" customHeight="1" outlineLevel="1" x14ac:dyDescent="0.2">
      <c r="A60" t="s">
        <v>101</v>
      </c>
      <c r="B60" s="76" t="str">
        <f>HYPERLINK("#Scenarios!E126","E126")</f>
        <v>E126</v>
      </c>
      <c r="C60" t="s">
        <v>128</v>
      </c>
      <c r="D60" s="77">
        <v>0</v>
      </c>
    </row>
    <row r="61" spans="1:4" ht="15" hidden="1" customHeight="1" outlineLevel="1" x14ac:dyDescent="0.2">
      <c r="A61" t="s">
        <v>101</v>
      </c>
      <c r="B61" s="76" t="str">
        <f>HYPERLINK("#Scenarios!B127","B127")</f>
        <v>B127</v>
      </c>
      <c r="C61" t="s">
        <v>129</v>
      </c>
      <c r="D61" s="77">
        <v>0.03</v>
      </c>
    </row>
    <row r="62" spans="1:4" ht="15" hidden="1" customHeight="1" outlineLevel="1" x14ac:dyDescent="0.2">
      <c r="A62" t="s">
        <v>101</v>
      </c>
      <c r="B62" s="76" t="str">
        <f>HYPERLINK("#Scenarios!C127","C127")</f>
        <v>C127</v>
      </c>
      <c r="C62" t="s">
        <v>129</v>
      </c>
      <c r="D62" s="77">
        <v>0.04</v>
      </c>
    </row>
    <row r="63" spans="1:4" ht="15" hidden="1" customHeight="1" outlineLevel="1" x14ac:dyDescent="0.2">
      <c r="A63" t="s">
        <v>101</v>
      </c>
      <c r="B63" s="76" t="str">
        <f>HYPERLINK("#Scenarios!D127","D127")</f>
        <v>D127</v>
      </c>
      <c r="C63" t="s">
        <v>129</v>
      </c>
      <c r="D63" s="77">
        <v>0.06</v>
      </c>
    </row>
    <row r="64" spans="1:4" ht="15" hidden="1" customHeight="1" outlineLevel="1" x14ac:dyDescent="0.2">
      <c r="A64" t="s">
        <v>101</v>
      </c>
      <c r="B64" s="76" t="str">
        <f>HYPERLINK("#Scenarios!E127","E127")</f>
        <v>E127</v>
      </c>
      <c r="C64" t="s">
        <v>129</v>
      </c>
      <c r="D64" s="77">
        <v>0.08</v>
      </c>
    </row>
    <row r="65" spans="1:5" ht="15" hidden="1" customHeight="1" outlineLevel="1" x14ac:dyDescent="0.2">
      <c r="A65" t="s">
        <v>101</v>
      </c>
      <c r="B65" s="76" t="str">
        <f>HYPERLINK("#Scenarios!B128","B128")</f>
        <v>B128</v>
      </c>
      <c r="C65" t="s">
        <v>130</v>
      </c>
      <c r="D65" s="78">
        <v>600</v>
      </c>
    </row>
    <row r="66" spans="1:5" ht="15" hidden="1" customHeight="1" outlineLevel="1" x14ac:dyDescent="0.2">
      <c r="A66" t="s">
        <v>101</v>
      </c>
      <c r="B66" s="76" t="str">
        <f>HYPERLINK("#Scenarios!C128","C128")</f>
        <v>C128</v>
      </c>
      <c r="C66" t="s">
        <v>130</v>
      </c>
      <c r="D66" s="78">
        <v>650</v>
      </c>
    </row>
    <row r="67" spans="1:5" ht="15" hidden="1" customHeight="1" outlineLevel="1" x14ac:dyDescent="0.2">
      <c r="A67" t="s">
        <v>101</v>
      </c>
      <c r="B67" s="76" t="str">
        <f>HYPERLINK("#Scenarios!D128","D128")</f>
        <v>D128</v>
      </c>
      <c r="C67" t="s">
        <v>130</v>
      </c>
      <c r="D67" s="78">
        <v>700</v>
      </c>
    </row>
    <row r="68" spans="1:5" ht="15" hidden="1" customHeight="1" outlineLevel="1" x14ac:dyDescent="0.2">
      <c r="A68" t="s">
        <v>101</v>
      </c>
      <c r="B68" s="76" t="str">
        <f>HYPERLINK("#Scenarios!E128","E128")</f>
        <v>E128</v>
      </c>
      <c r="C68" t="s">
        <v>130</v>
      </c>
      <c r="D68" s="78">
        <v>750</v>
      </c>
    </row>
    <row r="69" spans="1:5" ht="15" hidden="1" customHeight="1" outlineLevel="1" x14ac:dyDescent="0.2">
      <c r="A69" t="s">
        <v>101</v>
      </c>
      <c r="B69" s="76" t="str">
        <f>HYPERLINK("#Scenarios!B129","B129")</f>
        <v>B129</v>
      </c>
      <c r="C69" t="s">
        <v>131</v>
      </c>
      <c r="D69" s="78">
        <v>250</v>
      </c>
    </row>
    <row r="70" spans="1:5" ht="15" hidden="1" customHeight="1" outlineLevel="1" x14ac:dyDescent="0.2">
      <c r="A70" t="s">
        <v>101</v>
      </c>
      <c r="B70" s="76" t="str">
        <f>HYPERLINK("#Scenarios!C129","C129")</f>
        <v>C129</v>
      </c>
      <c r="C70" t="s">
        <v>131</v>
      </c>
      <c r="D70" s="78">
        <v>350</v>
      </c>
    </row>
    <row r="71" spans="1:5" ht="15" hidden="1" customHeight="1" outlineLevel="1" x14ac:dyDescent="0.2">
      <c r="A71" t="s">
        <v>101</v>
      </c>
      <c r="B71" s="76" t="str">
        <f>HYPERLINK("#Scenarios!D129","D129")</f>
        <v>D129</v>
      </c>
      <c r="C71" t="s">
        <v>131</v>
      </c>
      <c r="D71" s="78">
        <v>450</v>
      </c>
    </row>
    <row r="72" spans="1:5" ht="15" hidden="1" customHeight="1" outlineLevel="1" x14ac:dyDescent="0.2">
      <c r="A72" t="s">
        <v>101</v>
      </c>
      <c r="B72" s="76" t="str">
        <f>HYPERLINK("#Scenarios!E129","E129")</f>
        <v>E129</v>
      </c>
      <c r="C72" t="s">
        <v>131</v>
      </c>
      <c r="D72" s="78">
        <v>500</v>
      </c>
    </row>
    <row r="73" spans="1:5" ht="15" hidden="1" customHeight="1" outlineLevel="1" x14ac:dyDescent="0.2">
      <c r="A73" t="s">
        <v>101</v>
      </c>
      <c r="B73" s="76" t="str">
        <f>HYPERLINK("#Scenarios!B130","B130")</f>
        <v>B130</v>
      </c>
      <c r="C73" t="s">
        <v>132</v>
      </c>
      <c r="D73" s="78">
        <v>550</v>
      </c>
    </row>
    <row r="74" spans="1:5" ht="15" hidden="1" customHeight="1" outlineLevel="1" x14ac:dyDescent="0.2">
      <c r="A74" t="s">
        <v>101</v>
      </c>
      <c r="B74" s="76" t="str">
        <f>HYPERLINK("#Scenarios!C130","C130")</f>
        <v>C130</v>
      </c>
      <c r="C74" t="s">
        <v>132</v>
      </c>
      <c r="D74" s="78">
        <v>700</v>
      </c>
    </row>
    <row r="75" spans="1:5" ht="15" hidden="1" customHeight="1" outlineLevel="1" x14ac:dyDescent="0.2">
      <c r="A75" t="s">
        <v>101</v>
      </c>
      <c r="B75" s="76" t="str">
        <f>HYPERLINK("#Scenarios!D130","D130")</f>
        <v>D130</v>
      </c>
      <c r="C75" t="s">
        <v>132</v>
      </c>
      <c r="D75" s="78">
        <v>900</v>
      </c>
    </row>
    <row r="76" spans="1:5" ht="15" hidden="1" customHeight="1" outlineLevel="1" x14ac:dyDescent="0.2">
      <c r="A76" t="s">
        <v>101</v>
      </c>
      <c r="B76" s="76" t="str">
        <f>HYPERLINK("#Scenarios!E130","E130")</f>
        <v>E130</v>
      </c>
      <c r="C76" t="s">
        <v>132</v>
      </c>
      <c r="D76" s="78">
        <v>1000</v>
      </c>
    </row>
    <row r="77" spans="1:5" ht="15" hidden="1" customHeight="1" outlineLevel="1" x14ac:dyDescent="0.2">
      <c r="A77" t="s">
        <v>101</v>
      </c>
      <c r="B77" s="76" t="str">
        <f>HYPERLINK("#Scenarios!C149","C149")</f>
        <v>C149</v>
      </c>
      <c r="C77" t="s">
        <v>133</v>
      </c>
      <c r="D77" s="65">
        <v>3</v>
      </c>
    </row>
    <row r="78" spans="1:5" ht="15" hidden="1" customHeight="1" outlineLevel="1" x14ac:dyDescent="0.2">
      <c r="A78" t="s">
        <v>101</v>
      </c>
      <c r="B78" s="76" t="str">
        <f>HYPERLINK("#Scenarios!C150","C150")</f>
        <v>C150</v>
      </c>
      <c r="C78" t="s">
        <v>134</v>
      </c>
      <c r="D78" s="79">
        <v>0</v>
      </c>
    </row>
    <row r="79" spans="1:5" ht="15" customHeight="1" collapsed="1" x14ac:dyDescent="0.2">
      <c r="B79" s="76"/>
    </row>
    <row r="80" spans="1:5" ht="15" customHeight="1" x14ac:dyDescent="0.2">
      <c r="A80" s="74" t="s">
        <v>135</v>
      </c>
      <c r="B80" s="75" t="s">
        <v>136</v>
      </c>
      <c r="C80" s="74"/>
      <c r="D80" s="74"/>
      <c r="E80" s="74"/>
    </row>
    <row r="81" spans="1:4" ht="15" hidden="1" customHeight="1" outlineLevel="1" x14ac:dyDescent="0.2">
      <c r="A81" t="s">
        <v>137</v>
      </c>
      <c r="B81" s="76" t="str">
        <f>HYPERLINK("#'Data Checklist'!A8","A8")</f>
        <v>A8</v>
      </c>
      <c r="C81" t="s">
        <v>138</v>
      </c>
      <c r="D81" s="65">
        <v>1</v>
      </c>
    </row>
    <row r="82" spans="1:4" ht="15" hidden="1" customHeight="1" outlineLevel="1" x14ac:dyDescent="0.2">
      <c r="A82" t="s">
        <v>137</v>
      </c>
      <c r="B82" s="76" t="str">
        <f>HYPERLINK("#'Data Checklist'!A9","A9")</f>
        <v>A9</v>
      </c>
      <c r="C82" t="s">
        <v>139</v>
      </c>
      <c r="D82" s="65">
        <v>2</v>
      </c>
    </row>
    <row r="83" spans="1:4" ht="15" hidden="1" customHeight="1" outlineLevel="1" x14ac:dyDescent="0.2">
      <c r="A83" t="s">
        <v>137</v>
      </c>
      <c r="B83" s="76" t="str">
        <f>HYPERLINK("#'Data Checklist'!A10","A10")</f>
        <v>A10</v>
      </c>
      <c r="C83" t="s">
        <v>140</v>
      </c>
      <c r="D83" s="65">
        <v>3</v>
      </c>
    </row>
    <row r="84" spans="1:4" ht="15" hidden="1" customHeight="1" outlineLevel="1" x14ac:dyDescent="0.2">
      <c r="A84" t="s">
        <v>137</v>
      </c>
      <c r="B84" s="76" t="str">
        <f>HYPERLINK("#'Data Checklist'!A11","A11")</f>
        <v>A11</v>
      </c>
      <c r="C84" t="s">
        <v>141</v>
      </c>
      <c r="D84" s="65">
        <v>4</v>
      </c>
    </row>
    <row r="85" spans="1:4" ht="15" hidden="1" customHeight="1" outlineLevel="1" x14ac:dyDescent="0.2">
      <c r="A85" t="s">
        <v>137</v>
      </c>
      <c r="B85" s="76" t="str">
        <f>HYPERLINK("#'Data Checklist'!A12","A12")</f>
        <v>A12</v>
      </c>
      <c r="C85" t="s">
        <v>142</v>
      </c>
      <c r="D85" s="65">
        <v>5</v>
      </c>
    </row>
    <row r="86" spans="1:4" ht="15" hidden="1" customHeight="1" outlineLevel="1" x14ac:dyDescent="0.2">
      <c r="A86" t="s">
        <v>137</v>
      </c>
      <c r="B86" s="76" t="str">
        <f>HYPERLINK("#'Data Checklist'!A13","A13")</f>
        <v>A13</v>
      </c>
      <c r="C86" t="s">
        <v>143</v>
      </c>
      <c r="D86" s="65">
        <v>6</v>
      </c>
    </row>
    <row r="87" spans="1:4" ht="15" hidden="1" customHeight="1" outlineLevel="1" x14ac:dyDescent="0.2">
      <c r="A87" t="s">
        <v>137</v>
      </c>
      <c r="B87" s="76" t="str">
        <f>HYPERLINK("#'Data Checklist'!A14","A14")</f>
        <v>A14</v>
      </c>
      <c r="C87" t="s">
        <v>144</v>
      </c>
      <c r="D87" s="65">
        <v>7</v>
      </c>
    </row>
    <row r="88" spans="1:4" ht="15" hidden="1" customHeight="1" outlineLevel="1" x14ac:dyDescent="0.2">
      <c r="A88" t="s">
        <v>137</v>
      </c>
      <c r="B88" s="76" t="str">
        <f>HYPERLINK("#'Data Checklist'!A15","A15")</f>
        <v>A15</v>
      </c>
      <c r="C88" t="s">
        <v>145</v>
      </c>
      <c r="D88" s="65">
        <v>8</v>
      </c>
    </row>
    <row r="89" spans="1:4" ht="15" hidden="1" customHeight="1" outlineLevel="1" x14ac:dyDescent="0.2">
      <c r="A89" t="s">
        <v>137</v>
      </c>
      <c r="B89" s="76" t="str">
        <f>HYPERLINK("#'Data Checklist'!A16","A16")</f>
        <v>A16</v>
      </c>
      <c r="C89" t="s">
        <v>146</v>
      </c>
      <c r="D89" s="65">
        <v>9</v>
      </c>
    </row>
    <row r="90" spans="1:4" ht="15" hidden="1" customHeight="1" outlineLevel="1" x14ac:dyDescent="0.2">
      <c r="A90" t="s">
        <v>137</v>
      </c>
      <c r="B90" s="76" t="str">
        <f>HYPERLINK("#'Data Checklist'!A19","A19")</f>
        <v>A19</v>
      </c>
      <c r="C90" t="s">
        <v>147</v>
      </c>
      <c r="D90" s="65">
        <v>10</v>
      </c>
    </row>
    <row r="91" spans="1:4" ht="15" hidden="1" customHeight="1" outlineLevel="1" x14ac:dyDescent="0.2">
      <c r="A91" t="s">
        <v>137</v>
      </c>
      <c r="B91" s="76" t="str">
        <f>HYPERLINK("#'Data Checklist'!A20","A20")</f>
        <v>A20</v>
      </c>
      <c r="C91" t="s">
        <v>148</v>
      </c>
      <c r="D91" s="65">
        <v>11</v>
      </c>
    </row>
    <row r="92" spans="1:4" ht="15" hidden="1" customHeight="1" outlineLevel="1" x14ac:dyDescent="0.2">
      <c r="A92" t="s">
        <v>137</v>
      </c>
      <c r="B92" s="76" t="str">
        <f>HYPERLINK("#'Data Checklist'!A21","A21")</f>
        <v>A21</v>
      </c>
      <c r="C92" t="s">
        <v>149</v>
      </c>
      <c r="D92" s="65">
        <v>12</v>
      </c>
    </row>
    <row r="93" spans="1:4" ht="15" hidden="1" customHeight="1" outlineLevel="1" x14ac:dyDescent="0.2">
      <c r="A93" t="s">
        <v>137</v>
      </c>
      <c r="B93" s="76" t="str">
        <f>HYPERLINK("#'Data Checklist'!A22","A22")</f>
        <v>A22</v>
      </c>
      <c r="C93" t="s">
        <v>150</v>
      </c>
      <c r="D93" s="65">
        <v>13</v>
      </c>
    </row>
    <row r="94" spans="1:4" ht="15" hidden="1" customHeight="1" outlineLevel="1" x14ac:dyDescent="0.2">
      <c r="A94" t="s">
        <v>137</v>
      </c>
      <c r="B94" s="76" t="str">
        <f>HYPERLINK("#'Data Checklist'!A23","A23")</f>
        <v>A23</v>
      </c>
      <c r="C94" t="s">
        <v>151</v>
      </c>
      <c r="D94" s="65">
        <v>14</v>
      </c>
    </row>
    <row r="95" spans="1:4" ht="15" hidden="1" customHeight="1" outlineLevel="1" x14ac:dyDescent="0.2">
      <c r="A95" t="s">
        <v>137</v>
      </c>
      <c r="B95" s="76" t="str">
        <f>HYPERLINK("#'Data Checklist'!A24","A24")</f>
        <v>A24</v>
      </c>
      <c r="C95" t="s">
        <v>152</v>
      </c>
      <c r="D95" s="65">
        <v>15</v>
      </c>
    </row>
    <row r="96" spans="1:4" ht="15" hidden="1" customHeight="1" outlineLevel="1" x14ac:dyDescent="0.2">
      <c r="A96" t="s">
        <v>137</v>
      </c>
      <c r="B96" s="76" t="str">
        <f>HYPERLINK("#'Data Checklist'!A25","A25")</f>
        <v>A25</v>
      </c>
      <c r="C96" t="s">
        <v>153</v>
      </c>
      <c r="D96" s="65">
        <v>16</v>
      </c>
    </row>
    <row r="97" spans="1:4" ht="15" hidden="1" customHeight="1" outlineLevel="1" x14ac:dyDescent="0.2">
      <c r="A97" t="s">
        <v>137</v>
      </c>
      <c r="B97" s="76" t="str">
        <f>HYPERLINK("#'Data Checklist'!A26","A26")</f>
        <v>A26</v>
      </c>
      <c r="C97" t="s">
        <v>154</v>
      </c>
      <c r="D97" s="65">
        <v>17</v>
      </c>
    </row>
    <row r="98" spans="1:4" ht="15" hidden="1" customHeight="1" outlineLevel="1" x14ac:dyDescent="0.2">
      <c r="A98" t="s">
        <v>137</v>
      </c>
      <c r="B98" s="76" t="str">
        <f>HYPERLINK("#'Data Checklist'!A27","A27")</f>
        <v>A27</v>
      </c>
      <c r="C98" t="s">
        <v>155</v>
      </c>
      <c r="D98" s="65">
        <v>18</v>
      </c>
    </row>
    <row r="99" spans="1:4" ht="15" hidden="1" customHeight="1" outlineLevel="1" x14ac:dyDescent="0.2">
      <c r="A99" t="s">
        <v>137</v>
      </c>
      <c r="B99" s="76" t="str">
        <f>HYPERLINK("#'Data Checklist'!A30","A30")</f>
        <v>A30</v>
      </c>
      <c r="C99" t="s">
        <v>156</v>
      </c>
      <c r="D99" s="65">
        <v>19</v>
      </c>
    </row>
    <row r="100" spans="1:4" ht="15" hidden="1" customHeight="1" outlineLevel="1" x14ac:dyDescent="0.2">
      <c r="A100" t="s">
        <v>137</v>
      </c>
      <c r="B100" s="76" t="str">
        <f>HYPERLINK("#'Data Checklist'!A31","A31")</f>
        <v>A31</v>
      </c>
      <c r="C100" t="s">
        <v>157</v>
      </c>
      <c r="D100" s="65">
        <v>20</v>
      </c>
    </row>
    <row r="101" spans="1:4" ht="15" hidden="1" customHeight="1" outlineLevel="1" x14ac:dyDescent="0.2">
      <c r="A101" t="s">
        <v>137</v>
      </c>
      <c r="B101" s="76" t="str">
        <f>HYPERLINK("#'Data Checklist'!A32","A32")</f>
        <v>A32</v>
      </c>
      <c r="C101" t="s">
        <v>158</v>
      </c>
      <c r="D101" s="65">
        <v>21</v>
      </c>
    </row>
    <row r="102" spans="1:4" ht="15" hidden="1" customHeight="1" outlineLevel="1" x14ac:dyDescent="0.2">
      <c r="A102" t="s">
        <v>137</v>
      </c>
      <c r="B102" s="76" t="str">
        <f>HYPERLINK("#'Data Checklist'!A33","A33")</f>
        <v>A33</v>
      </c>
      <c r="C102" t="s">
        <v>159</v>
      </c>
      <c r="D102" s="65">
        <v>22</v>
      </c>
    </row>
    <row r="103" spans="1:4" ht="15" hidden="1" customHeight="1" outlineLevel="1" x14ac:dyDescent="0.2">
      <c r="A103" t="s">
        <v>137</v>
      </c>
      <c r="B103" s="76" t="str">
        <f>HYPERLINK("#'Data Checklist'!A34","A34")</f>
        <v>A34</v>
      </c>
      <c r="C103" t="s">
        <v>160</v>
      </c>
      <c r="D103" s="65">
        <v>23</v>
      </c>
    </row>
    <row r="104" spans="1:4" ht="15" hidden="1" customHeight="1" outlineLevel="1" x14ac:dyDescent="0.2">
      <c r="A104" t="s">
        <v>137</v>
      </c>
      <c r="B104" s="76" t="str">
        <f>HYPERLINK("#'Data Checklist'!A35","A35")</f>
        <v>A35</v>
      </c>
      <c r="C104" t="s">
        <v>161</v>
      </c>
      <c r="D104" s="65">
        <v>24</v>
      </c>
    </row>
    <row r="105" spans="1:4" ht="15" hidden="1" customHeight="1" outlineLevel="1" x14ac:dyDescent="0.2">
      <c r="A105" t="s">
        <v>137</v>
      </c>
      <c r="B105" s="76" t="str">
        <f>HYPERLINK("#'Data Checklist'!A36","A36")</f>
        <v>A36</v>
      </c>
      <c r="C105" t="s">
        <v>162</v>
      </c>
      <c r="D105" s="65">
        <v>25</v>
      </c>
    </row>
    <row r="106" spans="1:4" ht="15" hidden="1" customHeight="1" outlineLevel="1" x14ac:dyDescent="0.2">
      <c r="A106" t="s">
        <v>137</v>
      </c>
      <c r="B106" s="76" t="str">
        <f>HYPERLINK("#'Data Checklist'!A37","A37")</f>
        <v>A37</v>
      </c>
      <c r="C106" t="s">
        <v>163</v>
      </c>
      <c r="D106" s="65">
        <v>26</v>
      </c>
    </row>
    <row r="107" spans="1:4" ht="15" hidden="1" customHeight="1" outlineLevel="1" x14ac:dyDescent="0.2">
      <c r="A107" t="s">
        <v>137</v>
      </c>
      <c r="B107" s="76" t="str">
        <f>HYPERLINK("#'Data Checklist'!A38","A38")</f>
        <v>A38</v>
      </c>
      <c r="C107" t="s">
        <v>164</v>
      </c>
      <c r="D107" s="65">
        <v>27</v>
      </c>
    </row>
    <row r="108" spans="1:4" ht="15" hidden="1" customHeight="1" outlineLevel="1" x14ac:dyDescent="0.2">
      <c r="A108" t="s">
        <v>137</v>
      </c>
      <c r="B108" s="76" t="str">
        <f>HYPERLINK("#'Data Checklist'!A39","A39")</f>
        <v>A39</v>
      </c>
      <c r="C108" t="s">
        <v>165</v>
      </c>
      <c r="D108" s="65">
        <v>28</v>
      </c>
    </row>
    <row r="109" spans="1:4" ht="15" hidden="1" customHeight="1" outlineLevel="1" x14ac:dyDescent="0.2">
      <c r="A109" t="s">
        <v>137</v>
      </c>
      <c r="B109" s="76" t="str">
        <f>HYPERLINK("#'Data Checklist'!A40","A40")</f>
        <v>A40</v>
      </c>
      <c r="C109" t="s">
        <v>166</v>
      </c>
      <c r="D109" s="65">
        <v>29</v>
      </c>
    </row>
    <row r="110" spans="1:4" ht="15" hidden="1" customHeight="1" outlineLevel="1" x14ac:dyDescent="0.2">
      <c r="A110" t="s">
        <v>137</v>
      </c>
      <c r="B110" s="76" t="str">
        <f>HYPERLINK("#'Data Checklist'!A41","A41")</f>
        <v>A41</v>
      </c>
      <c r="C110" t="s">
        <v>167</v>
      </c>
      <c r="D110" s="65">
        <v>30</v>
      </c>
    </row>
    <row r="111" spans="1:4" ht="15" hidden="1" customHeight="1" outlineLevel="1" x14ac:dyDescent="0.2">
      <c r="A111" t="s">
        <v>137</v>
      </c>
      <c r="B111" s="76" t="str">
        <f>HYPERLINK("#'Data Checklist'!A42","A42")</f>
        <v>A42</v>
      </c>
      <c r="C111" t="s">
        <v>168</v>
      </c>
      <c r="D111" s="65">
        <v>31</v>
      </c>
    </row>
    <row r="112" spans="1:4" ht="15" hidden="1" customHeight="1" outlineLevel="1" x14ac:dyDescent="0.2">
      <c r="A112" t="s">
        <v>137</v>
      </c>
      <c r="B112" s="76" t="str">
        <f>HYPERLINK("#'Data Checklist'!A45","A45")</f>
        <v>A45</v>
      </c>
      <c r="C112" t="s">
        <v>169</v>
      </c>
      <c r="D112" s="65">
        <v>32</v>
      </c>
    </row>
    <row r="113" spans="1:4" ht="15" hidden="1" customHeight="1" outlineLevel="1" x14ac:dyDescent="0.2">
      <c r="A113" t="s">
        <v>137</v>
      </c>
      <c r="B113" s="76" t="str">
        <f>HYPERLINK("#'Data Checklist'!A46","A46")</f>
        <v>A46</v>
      </c>
      <c r="C113" t="s">
        <v>170</v>
      </c>
      <c r="D113" s="65">
        <v>33</v>
      </c>
    </row>
    <row r="114" spans="1:4" ht="15" hidden="1" customHeight="1" outlineLevel="1" x14ac:dyDescent="0.2">
      <c r="A114" t="s">
        <v>137</v>
      </c>
      <c r="B114" s="76" t="str">
        <f>HYPERLINK("#'Data Checklist'!A47","A47")</f>
        <v>A47</v>
      </c>
      <c r="C114" t="s">
        <v>171</v>
      </c>
      <c r="D114" s="65">
        <v>34</v>
      </c>
    </row>
    <row r="115" spans="1:4" ht="15" hidden="1" customHeight="1" outlineLevel="1" x14ac:dyDescent="0.2">
      <c r="A115" t="s">
        <v>137</v>
      </c>
      <c r="B115" s="76" t="str">
        <f>HYPERLINK("#'Data Checklist'!A48","A48")</f>
        <v>A48</v>
      </c>
      <c r="C115" t="s">
        <v>172</v>
      </c>
      <c r="D115" s="65">
        <v>35</v>
      </c>
    </row>
    <row r="116" spans="1:4" ht="15" hidden="1" customHeight="1" outlineLevel="1" x14ac:dyDescent="0.2">
      <c r="A116" t="s">
        <v>137</v>
      </c>
      <c r="B116" s="76" t="str">
        <f>HYPERLINK("#'Data Checklist'!A49","A49")</f>
        <v>A49</v>
      </c>
      <c r="C116" t="s">
        <v>173</v>
      </c>
      <c r="D116" s="65">
        <v>36</v>
      </c>
    </row>
    <row r="117" spans="1:4" ht="15" hidden="1" customHeight="1" outlineLevel="1" x14ac:dyDescent="0.2">
      <c r="A117" t="s">
        <v>137</v>
      </c>
      <c r="B117" s="76" t="str">
        <f>HYPERLINK("#'Data Checklist'!A50","A50")</f>
        <v>A50</v>
      </c>
      <c r="C117" t="s">
        <v>174</v>
      </c>
      <c r="D117" s="65">
        <v>37</v>
      </c>
    </row>
    <row r="118" spans="1:4" ht="15" hidden="1" customHeight="1" outlineLevel="1" x14ac:dyDescent="0.2">
      <c r="A118" t="s">
        <v>137</v>
      </c>
      <c r="B118" s="76" t="str">
        <f>HYPERLINK("#'Data Checklist'!A51","A51")</f>
        <v>A51</v>
      </c>
      <c r="C118" t="s">
        <v>175</v>
      </c>
      <c r="D118" s="65">
        <v>38</v>
      </c>
    </row>
    <row r="119" spans="1:4" ht="15" hidden="1" customHeight="1" outlineLevel="1" x14ac:dyDescent="0.2">
      <c r="A119" t="s">
        <v>137</v>
      </c>
      <c r="B119" s="76" t="str">
        <f>HYPERLINK("#'Data Checklist'!A52","A52")</f>
        <v>A52</v>
      </c>
      <c r="C119" t="s">
        <v>176</v>
      </c>
      <c r="D119" s="65">
        <v>39</v>
      </c>
    </row>
    <row r="120" spans="1:4" ht="15" hidden="1" customHeight="1" outlineLevel="1" x14ac:dyDescent="0.2">
      <c r="A120" t="s">
        <v>137</v>
      </c>
      <c r="B120" s="76" t="str">
        <f>HYPERLINK("#'Data Checklist'!A55","A55")</f>
        <v>A55</v>
      </c>
      <c r="C120" t="s">
        <v>177</v>
      </c>
      <c r="D120" s="65">
        <v>40</v>
      </c>
    </row>
    <row r="121" spans="1:4" ht="15" hidden="1" customHeight="1" outlineLevel="1" x14ac:dyDescent="0.2">
      <c r="A121" t="s">
        <v>137</v>
      </c>
      <c r="B121" s="76" t="str">
        <f>HYPERLINK("#'Data Checklist'!A56","A56")</f>
        <v>A56</v>
      </c>
      <c r="C121" t="s">
        <v>178</v>
      </c>
      <c r="D121" s="65">
        <v>41</v>
      </c>
    </row>
    <row r="122" spans="1:4" ht="15" hidden="1" customHeight="1" outlineLevel="1" x14ac:dyDescent="0.2">
      <c r="A122" t="s">
        <v>137</v>
      </c>
      <c r="B122" s="76" t="str">
        <f>HYPERLINK("#'Data Checklist'!A57","A57")</f>
        <v>A57</v>
      </c>
      <c r="C122" t="s">
        <v>179</v>
      </c>
      <c r="D122" s="65">
        <v>42</v>
      </c>
    </row>
    <row r="123" spans="1:4" ht="15" hidden="1" customHeight="1" outlineLevel="1" x14ac:dyDescent="0.2">
      <c r="A123" t="s">
        <v>137</v>
      </c>
      <c r="B123" s="76" t="str">
        <f>HYPERLINK("#'Data Checklist'!A58","A58")</f>
        <v>A58</v>
      </c>
      <c r="C123" t="s">
        <v>180</v>
      </c>
      <c r="D123" s="65">
        <v>43</v>
      </c>
    </row>
    <row r="124" spans="1:4" ht="15" hidden="1" customHeight="1" outlineLevel="1" x14ac:dyDescent="0.2">
      <c r="A124" t="s">
        <v>137</v>
      </c>
      <c r="B124" s="76" t="str">
        <f>HYPERLINK("#'Data Checklist'!A59","A59")</f>
        <v>A59</v>
      </c>
      <c r="C124" t="s">
        <v>181</v>
      </c>
      <c r="D124" s="65">
        <v>44</v>
      </c>
    </row>
    <row r="125" spans="1:4" ht="15" hidden="1" customHeight="1" outlineLevel="1" x14ac:dyDescent="0.2">
      <c r="A125" t="s">
        <v>137</v>
      </c>
      <c r="B125" s="76" t="str">
        <f>HYPERLINK("#'Data Checklist'!A60","A60")</f>
        <v>A60</v>
      </c>
      <c r="C125" t="s">
        <v>182</v>
      </c>
      <c r="D125" s="65">
        <v>45</v>
      </c>
    </row>
    <row r="126" spans="1:4" ht="15" hidden="1" customHeight="1" outlineLevel="1" x14ac:dyDescent="0.2">
      <c r="A126" t="s">
        <v>137</v>
      </c>
      <c r="B126" s="76" t="str">
        <f>HYPERLINK("#'Data Checklist'!A61","A61")</f>
        <v>A61</v>
      </c>
      <c r="C126" t="s">
        <v>183</v>
      </c>
      <c r="D126" s="65">
        <v>46</v>
      </c>
    </row>
    <row r="127" spans="1:4" ht="15" hidden="1" customHeight="1" outlineLevel="1" x14ac:dyDescent="0.2">
      <c r="A127" t="s">
        <v>137</v>
      </c>
      <c r="B127" s="76" t="str">
        <f>HYPERLINK("#'Data Checklist'!A62","A62")</f>
        <v>A62</v>
      </c>
      <c r="C127" t="s">
        <v>184</v>
      </c>
      <c r="D127" s="65">
        <v>47</v>
      </c>
    </row>
    <row r="128" spans="1:4" ht="15" hidden="1" customHeight="1" outlineLevel="1" x14ac:dyDescent="0.2">
      <c r="A128" t="s">
        <v>137</v>
      </c>
      <c r="B128" s="76" t="str">
        <f>HYPERLINK("#'Data Checklist'!A63","A63")</f>
        <v>A63</v>
      </c>
      <c r="C128" t="s">
        <v>185</v>
      </c>
      <c r="D128" s="65">
        <v>48</v>
      </c>
    </row>
    <row r="129" spans="1:4" ht="15" hidden="1" customHeight="1" outlineLevel="1" x14ac:dyDescent="0.2">
      <c r="A129" t="s">
        <v>137</v>
      </c>
      <c r="B129" s="76" t="str">
        <f>HYPERLINK("#'Data Checklist'!A64","A64")</f>
        <v>A64</v>
      </c>
      <c r="C129" t="s">
        <v>186</v>
      </c>
      <c r="D129" s="65">
        <v>49</v>
      </c>
    </row>
    <row r="130" spans="1:4" ht="15" hidden="1" customHeight="1" outlineLevel="1" x14ac:dyDescent="0.2">
      <c r="A130" t="s">
        <v>137</v>
      </c>
      <c r="B130" s="76" t="str">
        <f>HYPERLINK("#'Data Checklist'!A67","A67")</f>
        <v>A67</v>
      </c>
      <c r="C130" t="s">
        <v>187</v>
      </c>
      <c r="D130" s="65">
        <v>50</v>
      </c>
    </row>
    <row r="131" spans="1:4" ht="15" hidden="1" customHeight="1" outlineLevel="1" x14ac:dyDescent="0.2">
      <c r="A131" t="s">
        <v>137</v>
      </c>
      <c r="B131" s="76" t="str">
        <f>HYPERLINK("#'Data Checklist'!A68","A68")</f>
        <v>A68</v>
      </c>
      <c r="C131" t="s">
        <v>188</v>
      </c>
      <c r="D131" s="65">
        <v>51</v>
      </c>
    </row>
    <row r="132" spans="1:4" ht="15" hidden="1" customHeight="1" outlineLevel="1" x14ac:dyDescent="0.2">
      <c r="A132" t="s">
        <v>137</v>
      </c>
      <c r="B132" s="76" t="str">
        <f>HYPERLINK("#'Data Checklist'!A69","A69")</f>
        <v>A69</v>
      </c>
      <c r="C132" t="s">
        <v>189</v>
      </c>
      <c r="D132" s="65">
        <v>52</v>
      </c>
    </row>
    <row r="133" spans="1:4" ht="15" hidden="1" customHeight="1" outlineLevel="1" x14ac:dyDescent="0.2">
      <c r="A133" t="s">
        <v>137</v>
      </c>
      <c r="B133" s="76" t="str">
        <f>HYPERLINK("#'Data Checklist'!A70","A70")</f>
        <v>A70</v>
      </c>
      <c r="C133" t="s">
        <v>190</v>
      </c>
      <c r="D133" s="65">
        <v>53</v>
      </c>
    </row>
    <row r="134" spans="1:4" ht="15" hidden="1" customHeight="1" outlineLevel="1" x14ac:dyDescent="0.2">
      <c r="A134" t="s">
        <v>137</v>
      </c>
      <c r="B134" s="76" t="str">
        <f>HYPERLINK("#'Data Checklist'!A71","A71")</f>
        <v>A71</v>
      </c>
      <c r="C134" t="s">
        <v>191</v>
      </c>
      <c r="D134" s="65">
        <v>54</v>
      </c>
    </row>
    <row r="135" spans="1:4" ht="15" hidden="1" customHeight="1" outlineLevel="1" x14ac:dyDescent="0.2">
      <c r="A135" t="s">
        <v>137</v>
      </c>
      <c r="B135" s="76" t="str">
        <f>HYPERLINK("#'Data Checklist'!A72","A72")</f>
        <v>A72</v>
      </c>
      <c r="C135" t="s">
        <v>192</v>
      </c>
      <c r="D135" s="65">
        <v>55</v>
      </c>
    </row>
    <row r="136" spans="1:4" ht="15" hidden="1" customHeight="1" outlineLevel="1" x14ac:dyDescent="0.2">
      <c r="A136" t="s">
        <v>137</v>
      </c>
      <c r="B136" s="76" t="str">
        <f>HYPERLINK("#'Data Checklist'!A73","A73")</f>
        <v>A73</v>
      </c>
      <c r="C136" t="s">
        <v>193</v>
      </c>
      <c r="D136" s="65">
        <v>56</v>
      </c>
    </row>
    <row r="137" spans="1:4" ht="15" hidden="1" customHeight="1" outlineLevel="1" x14ac:dyDescent="0.2">
      <c r="A137" t="s">
        <v>137</v>
      </c>
      <c r="B137" s="76" t="str">
        <f>HYPERLINK("#'Data Checklist'!A76","A76")</f>
        <v>A76</v>
      </c>
      <c r="C137" t="s">
        <v>194</v>
      </c>
      <c r="D137" s="65">
        <v>57</v>
      </c>
    </row>
    <row r="138" spans="1:4" ht="15" hidden="1" customHeight="1" outlineLevel="1" x14ac:dyDescent="0.2">
      <c r="A138" t="s">
        <v>137</v>
      </c>
      <c r="B138" s="76" t="str">
        <f>HYPERLINK("#'Data Checklist'!A77","A77")</f>
        <v>A77</v>
      </c>
      <c r="C138" t="s">
        <v>195</v>
      </c>
      <c r="D138" s="65">
        <v>58</v>
      </c>
    </row>
    <row r="139" spans="1:4" ht="15" hidden="1" customHeight="1" outlineLevel="1" x14ac:dyDescent="0.2">
      <c r="A139" t="s">
        <v>137</v>
      </c>
      <c r="B139" s="76" t="str">
        <f>HYPERLINK("#'Data Checklist'!A78","A78")</f>
        <v>A78</v>
      </c>
      <c r="C139" t="s">
        <v>196</v>
      </c>
      <c r="D139" s="65">
        <v>59</v>
      </c>
    </row>
    <row r="140" spans="1:4" ht="15" hidden="1" customHeight="1" outlineLevel="1" x14ac:dyDescent="0.2">
      <c r="A140" t="s">
        <v>137</v>
      </c>
      <c r="B140" s="76" t="str">
        <f>HYPERLINK("#'Data Checklist'!A79","A79")</f>
        <v>A79</v>
      </c>
      <c r="C140" t="s">
        <v>197</v>
      </c>
      <c r="D140" s="65">
        <v>60</v>
      </c>
    </row>
    <row r="141" spans="1:4" ht="15" hidden="1" customHeight="1" outlineLevel="1" x14ac:dyDescent="0.2">
      <c r="A141" t="s">
        <v>137</v>
      </c>
      <c r="B141" s="76" t="str">
        <f>HYPERLINK("#'Data Checklist'!A80","A80")</f>
        <v>A80</v>
      </c>
      <c r="C141" t="s">
        <v>198</v>
      </c>
      <c r="D141" s="65">
        <v>61</v>
      </c>
    </row>
    <row r="142" spans="1:4" ht="15" hidden="1" customHeight="1" outlineLevel="1" x14ac:dyDescent="0.2">
      <c r="A142" t="s">
        <v>137</v>
      </c>
      <c r="B142" s="76" t="str">
        <f>HYPERLINK("#'Data Checklist'!A81","A81")</f>
        <v>A81</v>
      </c>
      <c r="C142" t="s">
        <v>199</v>
      </c>
      <c r="D142" s="65">
        <v>62</v>
      </c>
    </row>
    <row r="143" spans="1:4" ht="15" hidden="1" customHeight="1" outlineLevel="1" x14ac:dyDescent="0.2">
      <c r="A143" t="s">
        <v>137</v>
      </c>
      <c r="B143" s="76" t="str">
        <f>HYPERLINK("#'Data Checklist'!A82","A82")</f>
        <v>A82</v>
      </c>
      <c r="C143" t="s">
        <v>200</v>
      </c>
      <c r="D143" s="65">
        <v>63</v>
      </c>
    </row>
    <row r="144" spans="1:4" ht="15" hidden="1" customHeight="1" outlineLevel="1" x14ac:dyDescent="0.2">
      <c r="A144" t="s">
        <v>137</v>
      </c>
      <c r="B144" s="76" t="str">
        <f>HYPERLINK("#'Data Checklist'!A85","A85")</f>
        <v>A85</v>
      </c>
      <c r="C144" t="s">
        <v>201</v>
      </c>
      <c r="D144" s="65">
        <v>64</v>
      </c>
    </row>
    <row r="145" spans="1:5" ht="15" hidden="1" customHeight="1" outlineLevel="1" x14ac:dyDescent="0.2">
      <c r="A145" t="s">
        <v>137</v>
      </c>
      <c r="B145" s="76" t="str">
        <f>HYPERLINK("#'Data Checklist'!A86","A86")</f>
        <v>A86</v>
      </c>
      <c r="C145" t="s">
        <v>202</v>
      </c>
      <c r="D145" s="65">
        <v>65</v>
      </c>
    </row>
    <row r="146" spans="1:5" ht="15" hidden="1" customHeight="1" outlineLevel="1" x14ac:dyDescent="0.2">
      <c r="A146" t="s">
        <v>137</v>
      </c>
      <c r="B146" s="76" t="str">
        <f>HYPERLINK("#'Data Checklist'!A87","A87")</f>
        <v>A87</v>
      </c>
      <c r="C146" t="s">
        <v>203</v>
      </c>
      <c r="D146" s="65">
        <v>66</v>
      </c>
    </row>
    <row r="147" spans="1:5" ht="15" hidden="1" customHeight="1" outlineLevel="1" x14ac:dyDescent="0.2">
      <c r="A147" t="s">
        <v>137</v>
      </c>
      <c r="B147" s="76" t="str">
        <f>HYPERLINK("#'Data Checklist'!A88","A88")</f>
        <v>A88</v>
      </c>
      <c r="C147" t="s">
        <v>204</v>
      </c>
      <c r="D147" s="65">
        <v>67</v>
      </c>
    </row>
    <row r="148" spans="1:5" ht="15" hidden="1" customHeight="1" outlineLevel="1" x14ac:dyDescent="0.2">
      <c r="A148" t="s">
        <v>137</v>
      </c>
      <c r="B148" s="76" t="str">
        <f>HYPERLINK("#'Data Checklist'!A89","A89")</f>
        <v>A89</v>
      </c>
      <c r="C148" t="s">
        <v>205</v>
      </c>
      <c r="D148" s="65">
        <v>68</v>
      </c>
    </row>
    <row r="149" spans="1:5" ht="15" hidden="1" customHeight="1" outlineLevel="1" x14ac:dyDescent="0.2">
      <c r="A149" t="s">
        <v>137</v>
      </c>
      <c r="B149" s="76" t="str">
        <f>HYPERLINK("#'Data Checklist'!A90","A90")</f>
        <v>A90</v>
      </c>
      <c r="C149" t="s">
        <v>206</v>
      </c>
      <c r="D149" s="65">
        <v>69</v>
      </c>
    </row>
    <row r="150" spans="1:5" ht="15" hidden="1" customHeight="1" outlineLevel="1" x14ac:dyDescent="0.2">
      <c r="A150" t="s">
        <v>137</v>
      </c>
      <c r="B150" s="76" t="str">
        <f>HYPERLINK("#'Data Checklist'!A93","A93")</f>
        <v>A93</v>
      </c>
      <c r="C150" t="s">
        <v>207</v>
      </c>
      <c r="D150" s="65">
        <v>70</v>
      </c>
    </row>
    <row r="151" spans="1:5" ht="15" hidden="1" customHeight="1" outlineLevel="1" x14ac:dyDescent="0.2">
      <c r="A151" t="s">
        <v>137</v>
      </c>
      <c r="B151" s="76" t="str">
        <f>HYPERLINK("#'Data Checklist'!A94","A94")</f>
        <v>A94</v>
      </c>
      <c r="C151" t="s">
        <v>208</v>
      </c>
      <c r="D151" s="65">
        <v>71</v>
      </c>
    </row>
    <row r="152" spans="1:5" ht="15" hidden="1" customHeight="1" outlineLevel="1" x14ac:dyDescent="0.2">
      <c r="A152" t="s">
        <v>137</v>
      </c>
      <c r="B152" s="76" t="str">
        <f>HYPERLINK("#'Data Checklist'!A95","A95")</f>
        <v>A95</v>
      </c>
      <c r="C152" t="s">
        <v>209</v>
      </c>
      <c r="D152" s="65">
        <v>72</v>
      </c>
    </row>
    <row r="153" spans="1:5" ht="15" hidden="1" customHeight="1" outlineLevel="1" x14ac:dyDescent="0.2">
      <c r="A153" t="s">
        <v>137</v>
      </c>
      <c r="B153" s="76" t="str">
        <f>HYPERLINK("#'Data Checklist'!A96","A96")</f>
        <v>A96</v>
      </c>
      <c r="C153" t="s">
        <v>210</v>
      </c>
      <c r="D153" s="65">
        <v>73</v>
      </c>
    </row>
    <row r="154" spans="1:5" ht="15" hidden="1" customHeight="1" outlineLevel="1" x14ac:dyDescent="0.2">
      <c r="A154" t="s">
        <v>137</v>
      </c>
      <c r="B154" s="76" t="str">
        <f>HYPERLINK("#'Data Checklist'!A97","A97")</f>
        <v>A97</v>
      </c>
      <c r="C154" t="s">
        <v>211</v>
      </c>
      <c r="D154" s="65">
        <v>74</v>
      </c>
    </row>
    <row r="155" spans="1:5" ht="15" customHeight="1" collapsed="1" x14ac:dyDescent="0.2">
      <c r="B155" s="76"/>
    </row>
    <row r="156" spans="1:5" ht="15" customHeight="1" x14ac:dyDescent="0.2">
      <c r="A156" s="74" t="s">
        <v>212</v>
      </c>
      <c r="B156" s="75" t="s">
        <v>213</v>
      </c>
      <c r="C156" s="74"/>
      <c r="D156" s="74"/>
      <c r="E156" s="74"/>
    </row>
    <row r="157" spans="1:5" ht="15" hidden="1" customHeight="1" outlineLevel="1" x14ac:dyDescent="0.2">
      <c r="A157" t="s">
        <v>214</v>
      </c>
      <c r="B157" s="76" t="str">
        <f>HYPERLINK("#'Acquisition Costs'!D16","D16")</f>
        <v>D16</v>
      </c>
      <c r="C157" t="s">
        <v>215</v>
      </c>
      <c r="D157" s="78">
        <v>3500</v>
      </c>
    </row>
    <row r="158" spans="1:5" ht="15" hidden="1" customHeight="1" outlineLevel="1" x14ac:dyDescent="0.2">
      <c r="A158" t="s">
        <v>214</v>
      </c>
      <c r="B158" s="76" t="str">
        <f>HYPERLINK("#'Acquisition Costs'!D17","D17")</f>
        <v>D17</v>
      </c>
      <c r="C158" t="s">
        <v>216</v>
      </c>
      <c r="D158" s="78">
        <v>6500</v>
      </c>
    </row>
    <row r="159" spans="1:5" ht="15" hidden="1" customHeight="1" outlineLevel="1" x14ac:dyDescent="0.2">
      <c r="A159" t="s">
        <v>214</v>
      </c>
      <c r="B159" s="76" t="str">
        <f>HYPERLINK("#'Acquisition Costs'!D18","D18")</f>
        <v>D18</v>
      </c>
      <c r="C159" t="s">
        <v>217</v>
      </c>
      <c r="D159" s="78">
        <v>4500</v>
      </c>
    </row>
    <row r="160" spans="1:5" ht="15" hidden="1" customHeight="1" outlineLevel="1" x14ac:dyDescent="0.2">
      <c r="A160" t="s">
        <v>214</v>
      </c>
      <c r="B160" s="76" t="str">
        <f>HYPERLINK("#'Acquisition Costs'!D19","D19")</f>
        <v>D19</v>
      </c>
      <c r="C160" t="s">
        <v>218</v>
      </c>
      <c r="D160" s="78">
        <v>15000</v>
      </c>
    </row>
    <row r="161" spans="1:5" ht="15" hidden="1" customHeight="1" outlineLevel="1" x14ac:dyDescent="0.2">
      <c r="A161" t="s">
        <v>214</v>
      </c>
      <c r="B161" s="76" t="str">
        <f>HYPERLINK("#'Acquisition Costs'!D20","D20")</f>
        <v>D20</v>
      </c>
      <c r="C161" t="s">
        <v>219</v>
      </c>
      <c r="D161" s="78">
        <v>2500</v>
      </c>
    </row>
    <row r="162" spans="1:5" ht="15" hidden="1" customHeight="1" outlineLevel="1" x14ac:dyDescent="0.2">
      <c r="A162" t="s">
        <v>214</v>
      </c>
      <c r="B162" s="76" t="str">
        <f>HYPERLINK("#'Acquisition Costs'!B23","B23")</f>
        <v>B23</v>
      </c>
      <c r="C162" t="s">
        <v>220</v>
      </c>
      <c r="D162" s="81">
        <v>3.0000000000000001E-3</v>
      </c>
    </row>
    <row r="163" spans="1:5" ht="15" hidden="1" customHeight="1" outlineLevel="1" x14ac:dyDescent="0.2">
      <c r="A163" t="s">
        <v>214</v>
      </c>
      <c r="B163" s="76" t="str">
        <f>HYPERLINK("#'Acquisition Costs'!D24","D24")</f>
        <v>D24</v>
      </c>
      <c r="C163" t="s">
        <v>221</v>
      </c>
      <c r="D163" s="78">
        <v>5000</v>
      </c>
    </row>
    <row r="164" spans="1:5" ht="15" hidden="1" customHeight="1" outlineLevel="1" x14ac:dyDescent="0.2">
      <c r="A164" t="s">
        <v>214</v>
      </c>
      <c r="B164" s="76" t="str">
        <f>HYPERLINK("#'Acquisition Costs'!D25","D25")</f>
        <v>D25</v>
      </c>
      <c r="C164" t="s">
        <v>222</v>
      </c>
      <c r="D164" s="78">
        <v>1500</v>
      </c>
    </row>
    <row r="165" spans="1:5" ht="15" hidden="1" customHeight="1" outlineLevel="1" x14ac:dyDescent="0.2">
      <c r="A165" t="s">
        <v>214</v>
      </c>
      <c r="B165" s="76" t="str">
        <f>HYPERLINK("#'Acquisition Costs'!B26","B26")</f>
        <v>B26</v>
      </c>
      <c r="C165" t="s">
        <v>223</v>
      </c>
      <c r="D165" s="82">
        <v>3.5000000000000001E-3</v>
      </c>
    </row>
    <row r="166" spans="1:5" ht="15" hidden="1" customHeight="1" outlineLevel="1" x14ac:dyDescent="0.2">
      <c r="A166" t="s">
        <v>214</v>
      </c>
      <c r="B166" s="76" t="str">
        <f>HYPERLINK("#'Acquisition Costs'!D27","D27")</f>
        <v>D27</v>
      </c>
      <c r="C166" t="s">
        <v>224</v>
      </c>
      <c r="D166" s="78">
        <v>750</v>
      </c>
    </row>
    <row r="167" spans="1:5" ht="15" hidden="1" customHeight="1" outlineLevel="1" x14ac:dyDescent="0.2">
      <c r="A167" t="s">
        <v>214</v>
      </c>
      <c r="B167" s="76" t="str">
        <f>HYPERLINK("#'Acquisition Costs'!D28","D28")</f>
        <v>D28</v>
      </c>
      <c r="C167" t="s">
        <v>225</v>
      </c>
      <c r="D167" s="78">
        <v>500</v>
      </c>
    </row>
    <row r="168" spans="1:5" ht="15" hidden="1" customHeight="1" outlineLevel="1" x14ac:dyDescent="0.2">
      <c r="A168" t="s">
        <v>214</v>
      </c>
      <c r="B168" s="76" t="str">
        <f>HYPERLINK("#'Acquisition Costs'!D29","D29")</f>
        <v>D29</v>
      </c>
      <c r="C168" t="s">
        <v>226</v>
      </c>
      <c r="D168" s="78">
        <v>12500</v>
      </c>
    </row>
    <row r="169" spans="1:5" ht="15" hidden="1" customHeight="1" outlineLevel="1" x14ac:dyDescent="0.2">
      <c r="A169" t="s">
        <v>214</v>
      </c>
      <c r="B169" s="76" t="str">
        <f>HYPERLINK("#'Acquisition Costs'!D31","D31")</f>
        <v>D31</v>
      </c>
      <c r="C169" t="s">
        <v>227</v>
      </c>
      <c r="D169" s="78">
        <v>7500</v>
      </c>
    </row>
    <row r="170" spans="1:5" ht="15" hidden="1" customHeight="1" outlineLevel="1" x14ac:dyDescent="0.2">
      <c r="A170" t="s">
        <v>214</v>
      </c>
      <c r="B170" s="76" t="str">
        <f>HYPERLINK("#'Acquisition Costs'!D32","D32")</f>
        <v>D32</v>
      </c>
      <c r="C170" t="s">
        <v>228</v>
      </c>
      <c r="D170" s="78">
        <v>3500</v>
      </c>
    </row>
    <row r="171" spans="1:5" ht="15" hidden="1" customHeight="1" outlineLevel="1" x14ac:dyDescent="0.2">
      <c r="A171" t="s">
        <v>214</v>
      </c>
      <c r="B171" s="76" t="str">
        <f>HYPERLINK("#'Acquisition Costs'!D33","D33")</f>
        <v>D33</v>
      </c>
      <c r="C171" t="s">
        <v>229</v>
      </c>
      <c r="D171" s="78">
        <v>7500</v>
      </c>
    </row>
    <row r="172" spans="1:5" ht="15" hidden="1" customHeight="1" outlineLevel="1" x14ac:dyDescent="0.2">
      <c r="A172" t="s">
        <v>214</v>
      </c>
      <c r="B172" s="76" t="str">
        <f>HYPERLINK("#'Acquisition Costs'!B34","B34")</f>
        <v>B34</v>
      </c>
      <c r="C172" t="s">
        <v>230</v>
      </c>
      <c r="D172" s="81">
        <v>5.0000000000000001E-3</v>
      </c>
    </row>
    <row r="173" spans="1:5" ht="15" customHeight="1" collapsed="1" x14ac:dyDescent="0.2">
      <c r="B173" s="76"/>
    </row>
    <row r="174" spans="1:5" ht="15" customHeight="1" x14ac:dyDescent="0.2">
      <c r="A174" s="74" t="s">
        <v>231</v>
      </c>
      <c r="B174" s="75" t="s">
        <v>232</v>
      </c>
      <c r="C174" s="74"/>
      <c r="D174" s="74"/>
      <c r="E174" s="74"/>
    </row>
    <row r="175" spans="1:5" ht="15" hidden="1" customHeight="1" outlineLevel="1" x14ac:dyDescent="0.2">
      <c r="A175" t="s">
        <v>233</v>
      </c>
      <c r="B175" s="76" t="str">
        <f>HYPERLINK("#Loans!B21","B21")</f>
        <v>B21</v>
      </c>
      <c r="C175" t="s">
        <v>234</v>
      </c>
      <c r="D175" s="80">
        <v>10</v>
      </c>
    </row>
    <row r="176" spans="1:5" ht="15" hidden="1" customHeight="1" outlineLevel="1" x14ac:dyDescent="0.2">
      <c r="A176" t="s">
        <v>233</v>
      </c>
      <c r="B176" s="76" t="str">
        <f>HYPERLINK("#Loans!B22","B22")</f>
        <v>B22</v>
      </c>
      <c r="C176" t="s">
        <v>235</v>
      </c>
      <c r="D176" s="80">
        <v>0</v>
      </c>
    </row>
    <row r="177" spans="1:5" ht="15" customHeight="1" collapsed="1" x14ac:dyDescent="0.2">
      <c r="B177" s="76"/>
    </row>
    <row r="178" spans="1:5" ht="15" customHeight="1" x14ac:dyDescent="0.2">
      <c r="A178" s="74" t="s">
        <v>236</v>
      </c>
      <c r="B178" s="75" t="s">
        <v>237</v>
      </c>
      <c r="C178" s="74"/>
      <c r="D178" s="74"/>
      <c r="E178" s="74"/>
    </row>
    <row r="179" spans="1:5" ht="15" hidden="1" customHeight="1" outlineLevel="1" x14ac:dyDescent="0.2">
      <c r="A179" t="s">
        <v>236</v>
      </c>
      <c r="B179" s="76" t="str">
        <f>HYPERLINK("#'P&amp;L'!C5","C5")</f>
        <v>C5</v>
      </c>
      <c r="C179" t="s">
        <v>46</v>
      </c>
      <c r="D179" s="83">
        <v>0</v>
      </c>
    </row>
    <row r="180" spans="1:5" ht="15" hidden="1" customHeight="1" outlineLevel="1" x14ac:dyDescent="0.2">
      <c r="A180" t="s">
        <v>236</v>
      </c>
      <c r="B180" s="76" t="str">
        <f>HYPERLINK("#'P&amp;L'!D5","D5")</f>
        <v>D5</v>
      </c>
      <c r="C180" t="s">
        <v>46</v>
      </c>
      <c r="D180" s="83">
        <v>0.02</v>
      </c>
    </row>
    <row r="181" spans="1:5" ht="15" hidden="1" customHeight="1" outlineLevel="1" x14ac:dyDescent="0.2">
      <c r="A181" t="s">
        <v>236</v>
      </c>
      <c r="B181" s="76" t="str">
        <f>HYPERLINK("#'P&amp;L'!E5","E5")</f>
        <v>E5</v>
      </c>
      <c r="C181" t="s">
        <v>46</v>
      </c>
      <c r="D181" s="83">
        <v>0.03</v>
      </c>
    </row>
    <row r="182" spans="1:5" ht="15" hidden="1" customHeight="1" outlineLevel="1" x14ac:dyDescent="0.2">
      <c r="A182" t="s">
        <v>236</v>
      </c>
      <c r="B182" s="76" t="str">
        <f>HYPERLINK("#'P&amp;L'!F5","F5")</f>
        <v>F5</v>
      </c>
      <c r="C182" t="s">
        <v>46</v>
      </c>
      <c r="D182" s="83">
        <v>0.03</v>
      </c>
    </row>
    <row r="183" spans="1:5" ht="15" hidden="1" customHeight="1" outlineLevel="1" x14ac:dyDescent="0.2">
      <c r="A183" t="s">
        <v>236</v>
      </c>
      <c r="B183" s="76" t="str">
        <f>HYPERLINK("#'P&amp;L'!G5","G5")</f>
        <v>G5</v>
      </c>
      <c r="C183" t="s">
        <v>46</v>
      </c>
      <c r="D183" s="83">
        <v>0.03</v>
      </c>
    </row>
    <row r="184" spans="1:5" ht="15" hidden="1" customHeight="1" outlineLevel="1" x14ac:dyDescent="0.2">
      <c r="A184" t="s">
        <v>236</v>
      </c>
      <c r="B184" s="76" t="str">
        <f>HYPERLINK("#'P&amp;L'!H5","H5")</f>
        <v>H5</v>
      </c>
      <c r="C184" t="s">
        <v>46</v>
      </c>
      <c r="D184" s="83">
        <v>0.03</v>
      </c>
    </row>
    <row r="185" spans="1:5" ht="15" hidden="1" customHeight="1" outlineLevel="1" x14ac:dyDescent="0.2">
      <c r="A185" t="s">
        <v>236</v>
      </c>
      <c r="B185" s="76" t="str">
        <f>HYPERLINK("#'P&amp;L'!I5","I5")</f>
        <v>I5</v>
      </c>
      <c r="C185" t="s">
        <v>46</v>
      </c>
      <c r="D185" s="83">
        <v>0.03</v>
      </c>
    </row>
    <row r="186" spans="1:5" ht="15" hidden="1" customHeight="1" outlineLevel="1" x14ac:dyDescent="0.2">
      <c r="A186" t="s">
        <v>236</v>
      </c>
      <c r="B186" s="76" t="str">
        <f>HYPERLINK("#'P&amp;L'!J5","J5")</f>
        <v>J5</v>
      </c>
      <c r="C186" t="s">
        <v>46</v>
      </c>
      <c r="D186" s="83">
        <v>0.03</v>
      </c>
    </row>
    <row r="187" spans="1:5" ht="15" hidden="1" customHeight="1" outlineLevel="1" x14ac:dyDescent="0.2">
      <c r="A187" t="s">
        <v>236</v>
      </c>
      <c r="B187" s="76" t="str">
        <f>HYPERLINK("#'P&amp;L'!K5","K5")</f>
        <v>K5</v>
      </c>
      <c r="C187" t="s">
        <v>46</v>
      </c>
      <c r="D187" s="83">
        <v>0.03</v>
      </c>
    </row>
    <row r="188" spans="1:5" ht="15" hidden="1" customHeight="1" outlineLevel="1" x14ac:dyDescent="0.2">
      <c r="A188" t="s">
        <v>236</v>
      </c>
      <c r="B188" s="76" t="str">
        <f>HYPERLINK("#'P&amp;L'!L5","L5")</f>
        <v>L5</v>
      </c>
      <c r="C188" t="s">
        <v>46</v>
      </c>
      <c r="D188" s="83">
        <v>0.03</v>
      </c>
    </row>
    <row r="189" spans="1:5" ht="15" hidden="1" customHeight="1" outlineLevel="1" x14ac:dyDescent="0.2">
      <c r="A189" t="s">
        <v>236</v>
      </c>
      <c r="B189" s="76" t="str">
        <f>HYPERLINK("#'P&amp;L'!C6","C6")</f>
        <v>C6</v>
      </c>
      <c r="C189" t="s">
        <v>46</v>
      </c>
      <c r="D189" s="83">
        <v>0.03</v>
      </c>
    </row>
    <row r="190" spans="1:5" ht="15" hidden="1" customHeight="1" outlineLevel="1" x14ac:dyDescent="0.2">
      <c r="A190" t="s">
        <v>236</v>
      </c>
      <c r="B190" s="76" t="str">
        <f>HYPERLINK("#'P&amp;L'!D6","D6")</f>
        <v>D6</v>
      </c>
      <c r="C190" t="s">
        <v>46</v>
      </c>
      <c r="D190" s="83">
        <v>0.03</v>
      </c>
    </row>
    <row r="191" spans="1:5" ht="15" hidden="1" customHeight="1" outlineLevel="1" x14ac:dyDescent="0.2">
      <c r="A191" t="s">
        <v>236</v>
      </c>
      <c r="B191" s="76" t="str">
        <f>HYPERLINK("#'P&amp;L'!E6","E6")</f>
        <v>E6</v>
      </c>
      <c r="C191" t="s">
        <v>46</v>
      </c>
      <c r="D191" s="83">
        <v>0.03</v>
      </c>
    </row>
    <row r="192" spans="1:5" ht="15" hidden="1" customHeight="1" outlineLevel="1" x14ac:dyDescent="0.2">
      <c r="A192" t="s">
        <v>236</v>
      </c>
      <c r="B192" s="76" t="str">
        <f>HYPERLINK("#'P&amp;L'!F6","F6")</f>
        <v>F6</v>
      </c>
      <c r="C192" t="s">
        <v>46</v>
      </c>
      <c r="D192" s="83">
        <v>0.03</v>
      </c>
    </row>
    <row r="193" spans="1:4" ht="15" hidden="1" customHeight="1" outlineLevel="1" x14ac:dyDescent="0.2">
      <c r="A193" t="s">
        <v>236</v>
      </c>
      <c r="B193" s="76" t="str">
        <f>HYPERLINK("#'P&amp;L'!G6","G6")</f>
        <v>G6</v>
      </c>
      <c r="C193" t="s">
        <v>46</v>
      </c>
      <c r="D193" s="83">
        <v>0.03</v>
      </c>
    </row>
    <row r="194" spans="1:4" ht="15" hidden="1" customHeight="1" outlineLevel="1" x14ac:dyDescent="0.2">
      <c r="A194" t="s">
        <v>236</v>
      </c>
      <c r="B194" s="76" t="str">
        <f>HYPERLINK("#'P&amp;L'!H6","H6")</f>
        <v>H6</v>
      </c>
      <c r="C194" t="s">
        <v>46</v>
      </c>
      <c r="D194" s="83">
        <v>0.03</v>
      </c>
    </row>
    <row r="195" spans="1:4" ht="15" hidden="1" customHeight="1" outlineLevel="1" x14ac:dyDescent="0.2">
      <c r="A195" t="s">
        <v>236</v>
      </c>
      <c r="B195" s="76" t="str">
        <f>HYPERLINK("#'P&amp;L'!I6","I6")</f>
        <v>I6</v>
      </c>
      <c r="C195" t="s">
        <v>46</v>
      </c>
      <c r="D195" s="83">
        <v>0.03</v>
      </c>
    </row>
    <row r="196" spans="1:4" ht="15" hidden="1" customHeight="1" outlineLevel="1" x14ac:dyDescent="0.2">
      <c r="A196" t="s">
        <v>236</v>
      </c>
      <c r="B196" s="76" t="str">
        <f>HYPERLINK("#'P&amp;L'!J6","J6")</f>
        <v>J6</v>
      </c>
      <c r="C196" t="s">
        <v>46</v>
      </c>
      <c r="D196" s="83">
        <v>0.03</v>
      </c>
    </row>
    <row r="197" spans="1:4" ht="15" hidden="1" customHeight="1" outlineLevel="1" x14ac:dyDescent="0.2">
      <c r="A197" t="s">
        <v>236</v>
      </c>
      <c r="B197" s="76" t="str">
        <f>HYPERLINK("#'P&amp;L'!K6","K6")</f>
        <v>K6</v>
      </c>
      <c r="C197" t="s">
        <v>46</v>
      </c>
      <c r="D197" s="83">
        <v>0.03</v>
      </c>
    </row>
    <row r="198" spans="1:4" ht="15" hidden="1" customHeight="1" outlineLevel="1" x14ac:dyDescent="0.2">
      <c r="A198" t="s">
        <v>236</v>
      </c>
      <c r="B198" s="76" t="str">
        <f>HYPERLINK("#'P&amp;L'!L6","L6")</f>
        <v>L6</v>
      </c>
      <c r="C198" t="s">
        <v>46</v>
      </c>
      <c r="D198" s="83">
        <v>0.03</v>
      </c>
    </row>
    <row r="199" spans="1:4" ht="15" hidden="1" customHeight="1" outlineLevel="1" x14ac:dyDescent="0.2">
      <c r="A199" t="s">
        <v>236</v>
      </c>
      <c r="B199" s="76" t="str">
        <f>HYPERLINK("#'P&amp;L'!C7","C7")</f>
        <v>C7</v>
      </c>
      <c r="C199" t="s">
        <v>46</v>
      </c>
      <c r="D199" s="77">
        <v>0.05</v>
      </c>
    </row>
    <row r="200" spans="1:4" ht="15" hidden="1" customHeight="1" outlineLevel="1" x14ac:dyDescent="0.2">
      <c r="A200" t="s">
        <v>236</v>
      </c>
      <c r="B200" s="76" t="str">
        <f>HYPERLINK("#'P&amp;L'!C11","C11")</f>
        <v>C11</v>
      </c>
      <c r="C200" t="s">
        <v>46</v>
      </c>
      <c r="D200" s="84">
        <v>0.25</v>
      </c>
    </row>
    <row r="201" spans="1:4" ht="15" hidden="1" customHeight="1" outlineLevel="1" x14ac:dyDescent="0.2">
      <c r="A201" t="s">
        <v>236</v>
      </c>
      <c r="B201" s="76" t="str">
        <f>HYPERLINK("#'P&amp;L'!D11","D11")</f>
        <v>D11</v>
      </c>
      <c r="C201" t="s">
        <v>46</v>
      </c>
      <c r="D201" s="84">
        <v>0.12</v>
      </c>
    </row>
    <row r="202" spans="1:4" ht="15" hidden="1" customHeight="1" outlineLevel="1" x14ac:dyDescent="0.2">
      <c r="A202" t="s">
        <v>236</v>
      </c>
      <c r="B202" s="76" t="str">
        <f>HYPERLINK("#'P&amp;L'!E11","E11")</f>
        <v>E11</v>
      </c>
      <c r="C202" t="s">
        <v>46</v>
      </c>
      <c r="D202" s="84">
        <v>0.1</v>
      </c>
    </row>
    <row r="203" spans="1:4" ht="15" hidden="1" customHeight="1" outlineLevel="1" x14ac:dyDescent="0.2">
      <c r="A203" t="s">
        <v>236</v>
      </c>
      <c r="B203" s="76" t="str">
        <f>HYPERLINK("#'P&amp;L'!B13","B13")</f>
        <v>B13</v>
      </c>
      <c r="C203" t="s">
        <v>238</v>
      </c>
      <c r="D203" s="78">
        <v>0</v>
      </c>
    </row>
    <row r="204" spans="1:4" ht="15" hidden="1" customHeight="1" outlineLevel="1" x14ac:dyDescent="0.2">
      <c r="A204" t="s">
        <v>236</v>
      </c>
      <c r="B204" s="76" t="str">
        <f>HYPERLINK("#'P&amp;L'!D13","D13")</f>
        <v>D13</v>
      </c>
      <c r="C204" t="s">
        <v>238</v>
      </c>
      <c r="D204" s="84">
        <v>0.01</v>
      </c>
    </row>
    <row r="205" spans="1:4" ht="15" hidden="1" customHeight="1" outlineLevel="1" x14ac:dyDescent="0.2">
      <c r="A205" t="s">
        <v>236</v>
      </c>
      <c r="B205" s="76" t="str">
        <f>HYPERLINK("#'P&amp;L'!B15","B15")</f>
        <v>B15</v>
      </c>
      <c r="C205" t="s">
        <v>239</v>
      </c>
      <c r="D205" s="78">
        <v>0</v>
      </c>
    </row>
    <row r="206" spans="1:4" ht="15" hidden="1" customHeight="1" outlineLevel="1" x14ac:dyDescent="0.2">
      <c r="A206" t="s">
        <v>236</v>
      </c>
      <c r="B206" s="76" t="str">
        <f>HYPERLINK("#'P&amp;L'!C15","C15")</f>
        <v>C15</v>
      </c>
      <c r="C206" t="s">
        <v>239</v>
      </c>
      <c r="D206" s="84">
        <v>0.1</v>
      </c>
    </row>
    <row r="207" spans="1:4" ht="15" hidden="1" customHeight="1" outlineLevel="1" x14ac:dyDescent="0.2">
      <c r="A207" t="s">
        <v>236</v>
      </c>
      <c r="B207" s="76" t="str">
        <f>HYPERLINK("#'P&amp;L'!D15","D15")</f>
        <v>D15</v>
      </c>
      <c r="C207" t="s">
        <v>239</v>
      </c>
      <c r="D207" s="84">
        <v>0.03</v>
      </c>
    </row>
    <row r="208" spans="1:4" ht="15" hidden="1" customHeight="1" outlineLevel="1" x14ac:dyDescent="0.2">
      <c r="A208" t="s">
        <v>236</v>
      </c>
      <c r="B208" s="76" t="str">
        <f>HYPERLINK("#'P&amp;L'!B16","B16")</f>
        <v>B16</v>
      </c>
      <c r="C208" t="s">
        <v>240</v>
      </c>
      <c r="D208" s="78">
        <v>0</v>
      </c>
    </row>
    <row r="209" spans="1:5" ht="15" hidden="1" customHeight="1" outlineLevel="1" x14ac:dyDescent="0.2">
      <c r="A209" t="s">
        <v>236</v>
      </c>
      <c r="B209" s="76" t="str">
        <f>HYPERLINK("#'P&amp;L'!B48","B48")</f>
        <v>B48</v>
      </c>
      <c r="C209" t="s">
        <v>241</v>
      </c>
      <c r="D209" s="79">
        <v>0</v>
      </c>
    </row>
    <row r="210" spans="1:5" ht="15" customHeight="1" collapsed="1" x14ac:dyDescent="0.2">
      <c r="B210" s="76"/>
    </row>
    <row r="211" spans="1:5" ht="15" customHeight="1" x14ac:dyDescent="0.2">
      <c r="A211" s="74" t="s">
        <v>242</v>
      </c>
      <c r="B211" s="75" t="s">
        <v>243</v>
      </c>
      <c r="C211" s="74"/>
      <c r="D211" s="74"/>
      <c r="E211" s="74"/>
    </row>
    <row r="212" spans="1:5" ht="15" hidden="1" customHeight="1" outlineLevel="1" x14ac:dyDescent="0.2">
      <c r="A212" t="s">
        <v>244</v>
      </c>
      <c r="B212" s="76" t="str">
        <f>HYPERLINK("#Waterfall!B7","B7")</f>
        <v>B7</v>
      </c>
      <c r="C212" t="s">
        <v>245</v>
      </c>
      <c r="D212" s="77">
        <v>0.03</v>
      </c>
    </row>
    <row r="213" spans="1:5" ht="15" hidden="1" customHeight="1" outlineLevel="1" x14ac:dyDescent="0.2">
      <c r="A213" t="s">
        <v>244</v>
      </c>
      <c r="B213" s="76" t="str">
        <f>HYPERLINK("#Waterfall!M59","M59")</f>
        <v>M59</v>
      </c>
      <c r="C213" t="s">
        <v>246</v>
      </c>
      <c r="D213" s="78">
        <v>0</v>
      </c>
    </row>
    <row r="214" spans="1:5" ht="15" hidden="1" customHeight="1" outlineLevel="1" x14ac:dyDescent="0.2">
      <c r="A214" t="s">
        <v>244</v>
      </c>
      <c r="B214" s="76" t="str">
        <f>HYPERLINK("#Waterfall!M60","M60")</f>
        <v>M60</v>
      </c>
      <c r="C214" t="s">
        <v>247</v>
      </c>
      <c r="D214" s="78">
        <v>0</v>
      </c>
    </row>
    <row r="215" spans="1:5" ht="15" hidden="1" customHeight="1" outlineLevel="1" x14ac:dyDescent="0.2">
      <c r="A215" t="s">
        <v>244</v>
      </c>
      <c r="B215" s="76" t="str">
        <f>HYPERLINK("#Waterfall!M61","M61")</f>
        <v>M61</v>
      </c>
      <c r="C215" t="s">
        <v>248</v>
      </c>
      <c r="D215" s="78">
        <v>0</v>
      </c>
    </row>
    <row r="216" spans="1:5" ht="15" hidden="1" customHeight="1" outlineLevel="1" x14ac:dyDescent="0.2">
      <c r="A216" t="s">
        <v>244</v>
      </c>
      <c r="B216" s="76" t="str">
        <f>HYPERLINK("#Waterfall!M67","M67")</f>
        <v>M67</v>
      </c>
      <c r="C216" t="s">
        <v>249</v>
      </c>
      <c r="D216" s="78">
        <v>0</v>
      </c>
    </row>
    <row r="217" spans="1:5" ht="15" hidden="1" customHeight="1" outlineLevel="1" x14ac:dyDescent="0.2">
      <c r="A217" t="s">
        <v>244</v>
      </c>
      <c r="B217" s="76" t="str">
        <f>HYPERLINK("#Waterfall!C84","C84")</f>
        <v>C84</v>
      </c>
      <c r="C217" t="s">
        <v>250</v>
      </c>
      <c r="D217" s="78">
        <v>0</v>
      </c>
    </row>
    <row r="218" spans="1:5" ht="15" hidden="1" customHeight="1" outlineLevel="1" x14ac:dyDescent="0.2">
      <c r="A218" t="s">
        <v>244</v>
      </c>
      <c r="B218" s="76" t="str">
        <f>HYPERLINK("#Waterfall!D84","D84")</f>
        <v>D84</v>
      </c>
      <c r="C218" t="s">
        <v>250</v>
      </c>
      <c r="D218" s="78">
        <v>0</v>
      </c>
    </row>
    <row r="219" spans="1:5" ht="15" hidden="1" customHeight="1" outlineLevel="1" x14ac:dyDescent="0.2">
      <c r="A219" t="s">
        <v>244</v>
      </c>
      <c r="B219" s="76" t="str">
        <f>HYPERLINK("#Waterfall!E84","E84")</f>
        <v>E84</v>
      </c>
      <c r="C219" t="s">
        <v>250</v>
      </c>
      <c r="D219" s="78">
        <v>0</v>
      </c>
    </row>
    <row r="220" spans="1:5" ht="15" hidden="1" customHeight="1" outlineLevel="1" x14ac:dyDescent="0.2">
      <c r="A220" t="s">
        <v>244</v>
      </c>
      <c r="B220" s="76" t="str">
        <f>HYPERLINK("#Waterfall!F84","F84")</f>
        <v>F84</v>
      </c>
      <c r="C220" t="s">
        <v>250</v>
      </c>
      <c r="D220" s="78">
        <v>0</v>
      </c>
    </row>
    <row r="221" spans="1:5" ht="15" hidden="1" customHeight="1" outlineLevel="1" x14ac:dyDescent="0.2">
      <c r="A221" t="s">
        <v>244</v>
      </c>
      <c r="B221" s="76" t="str">
        <f>HYPERLINK("#Waterfall!G84","G84")</f>
        <v>G84</v>
      </c>
      <c r="C221" t="s">
        <v>250</v>
      </c>
      <c r="D221" s="78">
        <v>0</v>
      </c>
    </row>
    <row r="222" spans="1:5" ht="15" hidden="1" customHeight="1" outlineLevel="1" x14ac:dyDescent="0.2">
      <c r="A222" t="s">
        <v>244</v>
      </c>
      <c r="B222" s="76" t="str">
        <f>HYPERLINK("#Waterfall!H84","H84")</f>
        <v>H84</v>
      </c>
      <c r="C222" t="s">
        <v>250</v>
      </c>
      <c r="D222" s="78">
        <v>0</v>
      </c>
    </row>
    <row r="223" spans="1:5" ht="15" hidden="1" customHeight="1" outlineLevel="1" x14ac:dyDescent="0.2">
      <c r="A223" t="s">
        <v>244</v>
      </c>
      <c r="B223" s="76" t="str">
        <f>HYPERLINK("#Waterfall!I84","I84")</f>
        <v>I84</v>
      </c>
      <c r="C223" t="s">
        <v>250</v>
      </c>
      <c r="D223" s="78">
        <v>0</v>
      </c>
    </row>
    <row r="224" spans="1:5" ht="15" hidden="1" customHeight="1" outlineLevel="1" x14ac:dyDescent="0.2">
      <c r="A224" t="s">
        <v>244</v>
      </c>
      <c r="B224" s="76" t="str">
        <f>HYPERLINK("#Waterfall!J84","J84")</f>
        <v>J84</v>
      </c>
      <c r="C224" t="s">
        <v>250</v>
      </c>
      <c r="D224" s="78">
        <v>0</v>
      </c>
    </row>
    <row r="225" spans="1:4" ht="15" hidden="1" customHeight="1" outlineLevel="1" x14ac:dyDescent="0.2">
      <c r="A225" t="s">
        <v>244</v>
      </c>
      <c r="B225" s="76" t="str">
        <f>HYPERLINK("#Waterfall!K84","K84")</f>
        <v>K84</v>
      </c>
      <c r="C225" t="s">
        <v>250</v>
      </c>
      <c r="D225" s="78">
        <v>0</v>
      </c>
    </row>
    <row r="226" spans="1:4" ht="15" hidden="1" customHeight="1" outlineLevel="1" x14ac:dyDescent="0.2">
      <c r="A226" t="s">
        <v>244</v>
      </c>
      <c r="B226" s="76" t="str">
        <f>HYPERLINK("#Waterfall!L84","L84")</f>
        <v>L84</v>
      </c>
      <c r="C226" t="s">
        <v>250</v>
      </c>
      <c r="D226" s="78">
        <v>0</v>
      </c>
    </row>
    <row r="227" spans="1:4" ht="15" hidden="1" customHeight="1" outlineLevel="1" x14ac:dyDescent="0.2">
      <c r="A227" t="s">
        <v>244</v>
      </c>
      <c r="B227" s="76" t="str">
        <f>HYPERLINK("#Waterfall!L85","L85")</f>
        <v>L85</v>
      </c>
      <c r="C227" t="s">
        <v>251</v>
      </c>
      <c r="D227" s="78">
        <v>0</v>
      </c>
    </row>
    <row r="228" spans="1:4" ht="15" hidden="1" customHeight="1" outlineLevel="1" x14ac:dyDescent="0.2">
      <c r="A228" t="s">
        <v>244</v>
      </c>
      <c r="B228" s="76" t="str">
        <f>HYPERLINK("#Waterfall!B87","B87")</f>
        <v>B87</v>
      </c>
      <c r="C228" t="s">
        <v>252</v>
      </c>
      <c r="D228" s="78">
        <v>0</v>
      </c>
    </row>
    <row r="229" spans="1:4" ht="15" hidden="1" customHeight="1" outlineLevel="1" x14ac:dyDescent="0.2">
      <c r="A229" t="s">
        <v>244</v>
      </c>
      <c r="B229" s="76" t="str">
        <f>HYPERLINK("#Waterfall!C87","C87")</f>
        <v>C87</v>
      </c>
      <c r="C229" t="s">
        <v>252</v>
      </c>
      <c r="D229" s="78">
        <v>0</v>
      </c>
    </row>
    <row r="230" spans="1:4" ht="15" hidden="1" customHeight="1" outlineLevel="1" x14ac:dyDescent="0.2">
      <c r="A230" t="s">
        <v>244</v>
      </c>
      <c r="B230" s="76" t="str">
        <f>HYPERLINK("#Waterfall!D87","D87")</f>
        <v>D87</v>
      </c>
      <c r="C230" t="s">
        <v>252</v>
      </c>
      <c r="D230" s="78">
        <v>0</v>
      </c>
    </row>
    <row r="231" spans="1:4" ht="15" hidden="1" customHeight="1" outlineLevel="1" x14ac:dyDescent="0.2">
      <c r="A231" t="s">
        <v>244</v>
      </c>
      <c r="B231" s="76" t="str">
        <f>HYPERLINK("#Waterfall!E87","E87")</f>
        <v>E87</v>
      </c>
      <c r="C231" t="s">
        <v>252</v>
      </c>
      <c r="D231" s="78">
        <v>0</v>
      </c>
    </row>
    <row r="232" spans="1:4" ht="15" hidden="1" customHeight="1" outlineLevel="1" x14ac:dyDescent="0.2">
      <c r="A232" t="s">
        <v>244</v>
      </c>
      <c r="B232" s="76" t="str">
        <f>HYPERLINK("#Waterfall!F87","F87")</f>
        <v>F87</v>
      </c>
      <c r="C232" t="s">
        <v>252</v>
      </c>
      <c r="D232" s="78">
        <v>0</v>
      </c>
    </row>
    <row r="233" spans="1:4" ht="15" hidden="1" customHeight="1" outlineLevel="1" x14ac:dyDescent="0.2">
      <c r="A233" t="s">
        <v>244</v>
      </c>
      <c r="B233" s="76" t="str">
        <f>HYPERLINK("#Waterfall!G87","G87")</f>
        <v>G87</v>
      </c>
      <c r="C233" t="s">
        <v>252</v>
      </c>
      <c r="D233" s="78">
        <v>0</v>
      </c>
    </row>
    <row r="234" spans="1:4" ht="15" hidden="1" customHeight="1" outlineLevel="1" x14ac:dyDescent="0.2">
      <c r="A234" t="s">
        <v>244</v>
      </c>
      <c r="B234" s="76" t="str">
        <f>HYPERLINK("#Waterfall!H87","H87")</f>
        <v>H87</v>
      </c>
      <c r="C234" t="s">
        <v>252</v>
      </c>
      <c r="D234" s="78">
        <v>0</v>
      </c>
    </row>
    <row r="235" spans="1:4" ht="15" hidden="1" customHeight="1" outlineLevel="1" x14ac:dyDescent="0.2">
      <c r="A235" t="s">
        <v>244</v>
      </c>
      <c r="B235" s="76" t="str">
        <f>HYPERLINK("#Waterfall!I87","I87")</f>
        <v>I87</v>
      </c>
      <c r="C235" t="s">
        <v>252</v>
      </c>
      <c r="D235" s="78">
        <v>0</v>
      </c>
    </row>
    <row r="236" spans="1:4" ht="15" hidden="1" customHeight="1" outlineLevel="1" x14ac:dyDescent="0.2">
      <c r="A236" t="s">
        <v>244</v>
      </c>
      <c r="B236" s="76" t="str">
        <f>HYPERLINK("#Waterfall!J87","J87")</f>
        <v>J87</v>
      </c>
      <c r="C236" t="s">
        <v>252</v>
      </c>
      <c r="D236" s="78">
        <v>0</v>
      </c>
    </row>
    <row r="237" spans="1:4" ht="15" hidden="1" customHeight="1" outlineLevel="1" x14ac:dyDescent="0.2">
      <c r="A237" t="s">
        <v>244</v>
      </c>
      <c r="B237" s="76" t="str">
        <f>HYPERLINK("#Waterfall!K87","K87")</f>
        <v>K87</v>
      </c>
      <c r="C237" t="s">
        <v>252</v>
      </c>
      <c r="D237" s="78">
        <v>0</v>
      </c>
    </row>
    <row r="238" spans="1:4" ht="15" hidden="1" customHeight="1" outlineLevel="1" x14ac:dyDescent="0.2">
      <c r="A238" t="s">
        <v>244</v>
      </c>
      <c r="B238" s="76" t="str">
        <f>HYPERLINK("#Waterfall!B88","B88")</f>
        <v>B88</v>
      </c>
      <c r="C238" t="s">
        <v>253</v>
      </c>
      <c r="D238" s="78">
        <v>0</v>
      </c>
    </row>
    <row r="239" spans="1:4" ht="15" hidden="1" customHeight="1" outlineLevel="1" x14ac:dyDescent="0.2">
      <c r="A239" t="s">
        <v>244</v>
      </c>
      <c r="B239" s="76" t="str">
        <f>HYPERLINK("#Waterfall!C88","C88")</f>
        <v>C88</v>
      </c>
      <c r="C239" t="s">
        <v>253</v>
      </c>
      <c r="D239" s="78">
        <v>0</v>
      </c>
    </row>
    <row r="240" spans="1:4" ht="15" hidden="1" customHeight="1" outlineLevel="1" x14ac:dyDescent="0.2">
      <c r="A240" t="s">
        <v>244</v>
      </c>
      <c r="B240" s="76" t="str">
        <f>HYPERLINK("#Waterfall!D88","D88")</f>
        <v>D88</v>
      </c>
      <c r="C240" t="s">
        <v>253</v>
      </c>
      <c r="D240" s="78">
        <v>0</v>
      </c>
    </row>
    <row r="241" spans="1:5" ht="15" hidden="1" customHeight="1" outlineLevel="1" x14ac:dyDescent="0.2">
      <c r="A241" t="s">
        <v>244</v>
      </c>
      <c r="B241" s="76" t="str">
        <f>HYPERLINK("#Waterfall!E88","E88")</f>
        <v>E88</v>
      </c>
      <c r="C241" t="s">
        <v>253</v>
      </c>
      <c r="D241" s="78">
        <v>0</v>
      </c>
    </row>
    <row r="242" spans="1:5" ht="15" hidden="1" customHeight="1" outlineLevel="1" x14ac:dyDescent="0.2">
      <c r="A242" t="s">
        <v>244</v>
      </c>
      <c r="B242" s="76" t="str">
        <f>HYPERLINK("#Waterfall!F88","F88")</f>
        <v>F88</v>
      </c>
      <c r="C242" t="s">
        <v>253</v>
      </c>
      <c r="D242" s="78">
        <v>0</v>
      </c>
    </row>
    <row r="243" spans="1:5" ht="15" hidden="1" customHeight="1" outlineLevel="1" x14ac:dyDescent="0.2">
      <c r="A243" t="s">
        <v>244</v>
      </c>
      <c r="B243" s="76" t="str">
        <f>HYPERLINK("#Waterfall!G88","G88")</f>
        <v>G88</v>
      </c>
      <c r="C243" t="s">
        <v>253</v>
      </c>
      <c r="D243" s="78">
        <v>0</v>
      </c>
    </row>
    <row r="244" spans="1:5" ht="15" hidden="1" customHeight="1" outlineLevel="1" x14ac:dyDescent="0.2">
      <c r="A244" t="s">
        <v>244</v>
      </c>
      <c r="B244" s="76" t="str">
        <f>HYPERLINK("#Waterfall!H88","H88")</f>
        <v>H88</v>
      </c>
      <c r="C244" t="s">
        <v>253</v>
      </c>
      <c r="D244" s="78">
        <v>0</v>
      </c>
    </row>
    <row r="245" spans="1:5" ht="15" hidden="1" customHeight="1" outlineLevel="1" x14ac:dyDescent="0.2">
      <c r="A245" t="s">
        <v>244</v>
      </c>
      <c r="B245" s="76" t="str">
        <f>HYPERLINK("#Waterfall!I88","I88")</f>
        <v>I88</v>
      </c>
      <c r="C245" t="s">
        <v>253</v>
      </c>
      <c r="D245" s="78">
        <v>0</v>
      </c>
    </row>
    <row r="246" spans="1:5" ht="15" hidden="1" customHeight="1" outlineLevel="1" x14ac:dyDescent="0.2">
      <c r="A246" t="s">
        <v>244</v>
      </c>
      <c r="B246" s="76" t="str">
        <f>HYPERLINK("#Waterfall!J88","J88")</f>
        <v>J88</v>
      </c>
      <c r="C246" t="s">
        <v>253</v>
      </c>
      <c r="D246" s="78">
        <v>0</v>
      </c>
    </row>
    <row r="247" spans="1:5" ht="15" hidden="1" customHeight="1" outlineLevel="1" x14ac:dyDescent="0.2">
      <c r="A247" t="s">
        <v>244</v>
      </c>
      <c r="B247" s="76" t="str">
        <f>HYPERLINK("#Waterfall!K88","K88")</f>
        <v>K88</v>
      </c>
      <c r="C247" t="s">
        <v>253</v>
      </c>
      <c r="D247" s="78">
        <v>0</v>
      </c>
    </row>
    <row r="248" spans="1:5" ht="15" customHeight="1" collapsed="1" x14ac:dyDescent="0.2">
      <c r="B248" s="76"/>
    </row>
    <row r="249" spans="1:5" ht="15" customHeight="1" x14ac:dyDescent="0.2">
      <c r="A249" s="74" t="s">
        <v>254</v>
      </c>
      <c r="B249" s="75" t="s">
        <v>255</v>
      </c>
      <c r="C249" s="74"/>
      <c r="D249" s="74"/>
      <c r="E249" s="74"/>
    </row>
    <row r="250" spans="1:5" ht="15" hidden="1" customHeight="1" outlineLevel="1" x14ac:dyDescent="0.2">
      <c r="A250" t="s">
        <v>256</v>
      </c>
      <c r="B250" s="76" t="str">
        <f>HYPERLINK("#Capex!C60","C60")</f>
        <v>C60</v>
      </c>
      <c r="C250" t="s">
        <v>257</v>
      </c>
      <c r="D250" s="78">
        <v>1500</v>
      </c>
    </row>
    <row r="251" spans="1:5" ht="15" hidden="1" customHeight="1" outlineLevel="1" x14ac:dyDescent="0.2">
      <c r="A251" t="s">
        <v>256</v>
      </c>
      <c r="B251" s="76" t="str">
        <f>HYPERLINK("#Capex!E60","E60")</f>
        <v>E60</v>
      </c>
      <c r="C251" t="s">
        <v>257</v>
      </c>
      <c r="D251" s="80">
        <v>7</v>
      </c>
    </row>
    <row r="252" spans="1:5" ht="15" hidden="1" customHeight="1" outlineLevel="1" x14ac:dyDescent="0.2">
      <c r="A252" t="s">
        <v>256</v>
      </c>
      <c r="B252" s="76" t="str">
        <f>HYPERLINK("#Capex!C61","C61")</f>
        <v>C61</v>
      </c>
      <c r="C252" t="s">
        <v>258</v>
      </c>
      <c r="D252" s="78">
        <v>3500</v>
      </c>
    </row>
    <row r="253" spans="1:5" ht="15" hidden="1" customHeight="1" outlineLevel="1" x14ac:dyDescent="0.2">
      <c r="A253" t="s">
        <v>256</v>
      </c>
      <c r="B253" s="76" t="str">
        <f>HYPERLINK("#Capex!E61","E61")</f>
        <v>E61</v>
      </c>
      <c r="C253" t="s">
        <v>258</v>
      </c>
      <c r="D253" s="80">
        <v>14</v>
      </c>
    </row>
    <row r="254" spans="1:5" ht="15" hidden="1" customHeight="1" outlineLevel="1" x14ac:dyDescent="0.2">
      <c r="A254" t="s">
        <v>256</v>
      </c>
      <c r="B254" s="76" t="str">
        <f>HYPERLINK("#Capex!C62","C62")</f>
        <v>C62</v>
      </c>
      <c r="C254" t="s">
        <v>259</v>
      </c>
      <c r="D254" s="78">
        <v>7000</v>
      </c>
    </row>
    <row r="255" spans="1:5" ht="15" hidden="1" customHeight="1" outlineLevel="1" x14ac:dyDescent="0.2">
      <c r="A255" t="s">
        <v>256</v>
      </c>
      <c r="B255" s="76" t="str">
        <f>HYPERLINK("#Capex!E62","E62")</f>
        <v>E62</v>
      </c>
      <c r="C255" t="s">
        <v>259</v>
      </c>
      <c r="D255" s="80">
        <v>30</v>
      </c>
    </row>
    <row r="256" spans="1:5" ht="15" hidden="1" customHeight="1" outlineLevel="1" x14ac:dyDescent="0.2">
      <c r="A256" t="s">
        <v>256</v>
      </c>
      <c r="B256" s="76" t="str">
        <f>HYPERLINK("#Capex!C63","C63")</f>
        <v>C63</v>
      </c>
      <c r="C256" t="s">
        <v>260</v>
      </c>
      <c r="D256" s="78">
        <v>15000</v>
      </c>
    </row>
    <row r="257" spans="1:5" ht="15" hidden="1" customHeight="1" outlineLevel="1" x14ac:dyDescent="0.2">
      <c r="A257" t="s">
        <v>256</v>
      </c>
      <c r="B257" s="76" t="str">
        <f>HYPERLINK("#Capex!E63","E63")</f>
        <v>E63</v>
      </c>
      <c r="C257" t="s">
        <v>260</v>
      </c>
      <c r="D257" s="80">
        <v>60</v>
      </c>
    </row>
    <row r="258" spans="1:5" ht="15" hidden="1" customHeight="1" outlineLevel="1" x14ac:dyDescent="0.2">
      <c r="A258" t="s">
        <v>256</v>
      </c>
      <c r="B258" s="76" t="str">
        <f>HYPERLINK("#Capex!C64","C64")</f>
        <v>C64</v>
      </c>
      <c r="C258" t="s">
        <v>261</v>
      </c>
      <c r="D258" s="78">
        <v>35000</v>
      </c>
    </row>
    <row r="259" spans="1:5" ht="15" hidden="1" customHeight="1" outlineLevel="1" x14ac:dyDescent="0.2">
      <c r="A259" t="s">
        <v>256</v>
      </c>
      <c r="B259" s="76" t="str">
        <f>HYPERLINK("#Capex!E64","E64")</f>
        <v>E64</v>
      </c>
      <c r="C259" t="s">
        <v>261</v>
      </c>
      <c r="D259" s="80">
        <v>120</v>
      </c>
    </row>
    <row r="260" spans="1:5" ht="15" hidden="1" customHeight="1" outlineLevel="1" x14ac:dyDescent="0.2">
      <c r="A260" t="s">
        <v>256</v>
      </c>
      <c r="B260" s="76" t="str">
        <f>HYPERLINK("#Capex!C66","C66")</f>
        <v>C66</v>
      </c>
      <c r="C260" t="s">
        <v>262</v>
      </c>
      <c r="D260" s="85">
        <v>0.1</v>
      </c>
    </row>
    <row r="261" spans="1:5" ht="15" hidden="1" customHeight="1" outlineLevel="1" x14ac:dyDescent="0.2">
      <c r="A261" t="s">
        <v>256</v>
      </c>
      <c r="B261" s="76" t="str">
        <f>HYPERLINK("#Capex!B69","B69")</f>
        <v>B69</v>
      </c>
      <c r="C261" t="s">
        <v>263</v>
      </c>
      <c r="D261" s="80">
        <v>8</v>
      </c>
    </row>
    <row r="262" spans="1:5" ht="15" customHeight="1" collapsed="1" x14ac:dyDescent="0.2">
      <c r="B262" s="76"/>
    </row>
    <row r="263" spans="1:5" ht="15" customHeight="1" x14ac:dyDescent="0.2">
      <c r="A263" s="74" t="s">
        <v>264</v>
      </c>
      <c r="B263" s="75" t="s">
        <v>265</v>
      </c>
      <c r="C263" s="74"/>
      <c r="D263" s="74"/>
      <c r="E263" s="74"/>
    </row>
    <row r="264" spans="1:5" ht="15" hidden="1" customHeight="1" outlineLevel="1" x14ac:dyDescent="0.2">
      <c r="A264" t="s">
        <v>266</v>
      </c>
      <c r="B264" s="76" t="str">
        <f>HYPERLINK("#'Staffing Matrix'!B9","B9")</f>
        <v>B9</v>
      </c>
      <c r="C264" t="s">
        <v>267</v>
      </c>
      <c r="D264" s="83">
        <v>0.22</v>
      </c>
    </row>
    <row r="265" spans="1:5" ht="15" hidden="1" customHeight="1" outlineLevel="1" x14ac:dyDescent="0.2">
      <c r="A265" t="s">
        <v>266</v>
      </c>
      <c r="B265" s="76" t="str">
        <f>HYPERLINK("#'Staffing Matrix'!B10","B10")</f>
        <v>B10</v>
      </c>
      <c r="C265" t="s">
        <v>268</v>
      </c>
      <c r="D265" s="83">
        <v>0.06</v>
      </c>
    </row>
    <row r="266" spans="1:5" ht="15" hidden="1" customHeight="1" outlineLevel="1" x14ac:dyDescent="0.2">
      <c r="A266" t="s">
        <v>266</v>
      </c>
      <c r="B266" s="76" t="str">
        <f>HYPERLINK("#'Staffing Matrix'!C16","C16")</f>
        <v>C16</v>
      </c>
      <c r="C266" t="s">
        <v>269</v>
      </c>
      <c r="D266" s="86">
        <v>1</v>
      </c>
    </row>
    <row r="267" spans="1:5" ht="15" hidden="1" customHeight="1" outlineLevel="1" x14ac:dyDescent="0.2">
      <c r="A267" t="s">
        <v>266</v>
      </c>
      <c r="B267" s="76" t="str">
        <f>HYPERLINK("#'Staffing Matrix'!C17","C17")</f>
        <v>C17</v>
      </c>
      <c r="C267" t="s">
        <v>269</v>
      </c>
      <c r="D267" s="86">
        <v>1</v>
      </c>
    </row>
    <row r="268" spans="1:5" ht="15" hidden="1" customHeight="1" outlineLevel="1" x14ac:dyDescent="0.2">
      <c r="A268" t="s">
        <v>266</v>
      </c>
      <c r="B268" s="76" t="str">
        <f>HYPERLINK("#'Staffing Matrix'!C19","C19")</f>
        <v>C19</v>
      </c>
      <c r="C268" t="s">
        <v>270</v>
      </c>
      <c r="D268" s="86">
        <v>1</v>
      </c>
    </row>
    <row r="269" spans="1:5" ht="15" hidden="1" customHeight="1" outlineLevel="1" x14ac:dyDescent="0.2">
      <c r="A269" t="s">
        <v>266</v>
      </c>
      <c r="B269" s="76" t="str">
        <f>HYPERLINK("#'Staffing Matrix'!D21","D21")</f>
        <v>D21</v>
      </c>
      <c r="C269" t="s">
        <v>271</v>
      </c>
      <c r="D269" s="87">
        <v>0</v>
      </c>
    </row>
    <row r="270" spans="1:5" ht="15" hidden="1" customHeight="1" outlineLevel="1" x14ac:dyDescent="0.2">
      <c r="A270" t="s">
        <v>266</v>
      </c>
      <c r="B270" s="76" t="str">
        <f>HYPERLINK("#'Staffing Matrix'!D22","D22")</f>
        <v>D22</v>
      </c>
      <c r="C270" t="s">
        <v>272</v>
      </c>
      <c r="D270" s="87">
        <v>0</v>
      </c>
    </row>
    <row r="271" spans="1:5" ht="15" hidden="1" customHeight="1" outlineLevel="1" x14ac:dyDescent="0.2">
      <c r="A271" t="s">
        <v>266</v>
      </c>
      <c r="B271" s="76" t="str">
        <f>HYPERLINK("#'Staffing Matrix'!D23","D23")</f>
        <v>D23</v>
      </c>
      <c r="C271" t="s">
        <v>272</v>
      </c>
      <c r="D271" s="87">
        <v>0</v>
      </c>
    </row>
    <row r="272" spans="1:5" ht="15" customHeight="1" collapsed="1" x14ac:dyDescent="0.2">
      <c r="B272" s="76"/>
    </row>
    <row r="273" spans="1:5" ht="15" customHeight="1" x14ac:dyDescent="0.2">
      <c r="A273" s="74" t="s">
        <v>273</v>
      </c>
      <c r="B273" s="75" t="s">
        <v>274</v>
      </c>
      <c r="C273" s="74"/>
      <c r="D273" s="74"/>
      <c r="E273" s="74"/>
    </row>
    <row r="274" spans="1:5" ht="15" hidden="1" customHeight="1" outlineLevel="1" x14ac:dyDescent="0.2">
      <c r="A274" t="s">
        <v>275</v>
      </c>
      <c r="B274" s="76" t="str">
        <f>HYPERLINK("#'Exit Strategy'!B5","B5")</f>
        <v>B5</v>
      </c>
      <c r="C274" t="s">
        <v>276</v>
      </c>
      <c r="D274" s="80">
        <v>0</v>
      </c>
    </row>
    <row r="275" spans="1:5" ht="15" hidden="1" customHeight="1" outlineLevel="1" x14ac:dyDescent="0.2">
      <c r="A275" t="s">
        <v>275</v>
      </c>
      <c r="B275" s="76" t="str">
        <f>HYPERLINK("#'Exit Strategy'!B7","B7")</f>
        <v>B7</v>
      </c>
      <c r="C275" t="s">
        <v>277</v>
      </c>
      <c r="D275" s="85">
        <v>0</v>
      </c>
    </row>
    <row r="276" spans="1:5" ht="15" hidden="1" customHeight="1" outlineLevel="1" x14ac:dyDescent="0.2">
      <c r="A276" t="s">
        <v>275</v>
      </c>
      <c r="B276" s="76" t="str">
        <f>HYPERLINK("#'Exit Strategy'!B9","B9")</f>
        <v>B9</v>
      </c>
      <c r="C276" t="s">
        <v>278</v>
      </c>
      <c r="D276" s="77">
        <v>0</v>
      </c>
    </row>
    <row r="277" spans="1:5" ht="15" hidden="1" customHeight="1" outlineLevel="1" x14ac:dyDescent="0.2">
      <c r="A277" t="s">
        <v>275</v>
      </c>
      <c r="B277" s="76" t="str">
        <f>HYPERLINK("#'Exit Strategy'!B11","B11")</f>
        <v>B11</v>
      </c>
      <c r="C277" t="s">
        <v>279</v>
      </c>
      <c r="D277" s="77">
        <v>0</v>
      </c>
    </row>
    <row r="278" spans="1:5" ht="15" hidden="1" customHeight="1" outlineLevel="1" x14ac:dyDescent="0.2">
      <c r="A278" t="s">
        <v>275</v>
      </c>
      <c r="B278" s="76" t="str">
        <f>HYPERLINK("#'Exit Strategy'!B12","B12")</f>
        <v>B12</v>
      </c>
      <c r="C278" t="s">
        <v>280</v>
      </c>
      <c r="D278" s="80">
        <v>0</v>
      </c>
    </row>
    <row r="279" spans="1:5" ht="15" hidden="1" customHeight="1" outlineLevel="1" x14ac:dyDescent="0.2">
      <c r="A279" t="s">
        <v>275</v>
      </c>
      <c r="B279" s="76" t="str">
        <f>HYPERLINK("#'Exit Strategy'!B13","B13")</f>
        <v>B13</v>
      </c>
      <c r="C279" t="s">
        <v>281</v>
      </c>
      <c r="D279" s="77">
        <v>0</v>
      </c>
    </row>
    <row r="280" spans="1:5" ht="15" hidden="1" customHeight="1" outlineLevel="1" x14ac:dyDescent="0.2">
      <c r="A280" t="s">
        <v>275</v>
      </c>
      <c r="B280" s="76" t="str">
        <f>HYPERLINK("#'Exit Strategy'!B15","B15")</f>
        <v>B15</v>
      </c>
      <c r="C280" t="s">
        <v>282</v>
      </c>
      <c r="D280" s="85">
        <v>0</v>
      </c>
    </row>
    <row r="281" spans="1:5" ht="15" hidden="1" customHeight="1" outlineLevel="1" x14ac:dyDescent="0.2">
      <c r="A281" t="s">
        <v>275</v>
      </c>
      <c r="B281" s="76" t="str">
        <f>HYPERLINK("#'Exit Strategy'!B28","B28")</f>
        <v>B28</v>
      </c>
      <c r="C281" t="s">
        <v>283</v>
      </c>
      <c r="D281" s="77">
        <v>7.4999999999999997E-2</v>
      </c>
    </row>
    <row r="282" spans="1:5" ht="15" hidden="1" customHeight="1" outlineLevel="1" x14ac:dyDescent="0.2">
      <c r="A282" t="s">
        <v>275</v>
      </c>
      <c r="B282" s="76" t="str">
        <f>HYPERLINK("#'Exit Strategy'!C28","C28")</f>
        <v>C28</v>
      </c>
      <c r="C282" t="s">
        <v>283</v>
      </c>
      <c r="D282" s="88">
        <v>1.3</v>
      </c>
    </row>
    <row r="283" spans="1:5" ht="15" hidden="1" customHeight="1" outlineLevel="1" x14ac:dyDescent="0.2">
      <c r="A283" t="s">
        <v>275</v>
      </c>
      <c r="B283" s="76" t="str">
        <f>HYPERLINK("#'Exit Strategy'!D28","D28")</f>
        <v>D28</v>
      </c>
      <c r="C283" t="s">
        <v>283</v>
      </c>
      <c r="D283" s="77">
        <v>0.8</v>
      </c>
    </row>
    <row r="284" spans="1:5" ht="15" hidden="1" customHeight="1" outlineLevel="1" x14ac:dyDescent="0.2">
      <c r="A284" t="s">
        <v>275</v>
      </c>
      <c r="B284" s="76" t="str">
        <f>HYPERLINK("#'Exit Strategy'!E28","E28")</f>
        <v>E28</v>
      </c>
      <c r="C284" t="s">
        <v>283</v>
      </c>
      <c r="D284" s="77">
        <v>0.06</v>
      </c>
    </row>
    <row r="285" spans="1:5" ht="15" hidden="1" customHeight="1" outlineLevel="1" x14ac:dyDescent="0.2">
      <c r="A285" t="s">
        <v>275</v>
      </c>
      <c r="B285" s="76" t="str">
        <f>HYPERLINK("#'Exit Strategy'!B29","B29")</f>
        <v>B29</v>
      </c>
      <c r="C285" t="s">
        <v>284</v>
      </c>
      <c r="D285" s="77">
        <v>7.4999999999999997E-2</v>
      </c>
    </row>
    <row r="286" spans="1:5" ht="15" hidden="1" customHeight="1" outlineLevel="1" x14ac:dyDescent="0.2">
      <c r="A286" t="s">
        <v>275</v>
      </c>
      <c r="B286" s="76" t="str">
        <f>HYPERLINK("#'Exit Strategy'!C29","C29")</f>
        <v>C29</v>
      </c>
      <c r="C286" t="s">
        <v>284</v>
      </c>
      <c r="D286" s="88">
        <v>1.3</v>
      </c>
    </row>
    <row r="287" spans="1:5" ht="15" hidden="1" customHeight="1" outlineLevel="1" x14ac:dyDescent="0.2">
      <c r="A287" t="s">
        <v>275</v>
      </c>
      <c r="B287" s="76" t="str">
        <f>HYPERLINK("#'Exit Strategy'!D29","D29")</f>
        <v>D29</v>
      </c>
      <c r="C287" t="s">
        <v>284</v>
      </c>
      <c r="D287" s="77">
        <v>0.8</v>
      </c>
    </row>
    <row r="288" spans="1:5" ht="15" hidden="1" customHeight="1" outlineLevel="1" x14ac:dyDescent="0.2">
      <c r="A288" t="s">
        <v>275</v>
      </c>
      <c r="B288" s="76" t="str">
        <f>HYPERLINK("#'Exit Strategy'!E29","E29")</f>
        <v>E29</v>
      </c>
      <c r="C288" t="s">
        <v>284</v>
      </c>
      <c r="D288" s="77">
        <v>0.06</v>
      </c>
    </row>
    <row r="289" spans="1:4" ht="15" hidden="1" customHeight="1" outlineLevel="1" x14ac:dyDescent="0.2">
      <c r="A289" t="s">
        <v>275</v>
      </c>
      <c r="B289" s="76" t="str">
        <f>HYPERLINK("#'Exit Strategy'!B30","B30")</f>
        <v>B30</v>
      </c>
      <c r="C289" t="s">
        <v>285</v>
      </c>
      <c r="D289" s="77">
        <v>0.08</v>
      </c>
    </row>
    <row r="290" spans="1:4" ht="15" hidden="1" customHeight="1" outlineLevel="1" x14ac:dyDescent="0.2">
      <c r="A290" t="s">
        <v>275</v>
      </c>
      <c r="B290" s="76" t="str">
        <f>HYPERLINK("#'Exit Strategy'!C30","C30")</f>
        <v>C30</v>
      </c>
      <c r="C290" t="s">
        <v>285</v>
      </c>
      <c r="D290" s="88">
        <v>1.25</v>
      </c>
    </row>
    <row r="291" spans="1:4" ht="15" hidden="1" customHeight="1" outlineLevel="1" x14ac:dyDescent="0.2">
      <c r="A291" t="s">
        <v>275</v>
      </c>
      <c r="B291" s="76" t="str">
        <f>HYPERLINK("#'Exit Strategy'!D30","D30")</f>
        <v>D30</v>
      </c>
      <c r="C291" t="s">
        <v>285</v>
      </c>
      <c r="D291" s="77">
        <v>0.75</v>
      </c>
    </row>
    <row r="292" spans="1:4" ht="15" hidden="1" customHeight="1" outlineLevel="1" x14ac:dyDescent="0.2">
      <c r="A292" t="s">
        <v>275</v>
      </c>
      <c r="B292" s="76" t="str">
        <f>HYPERLINK("#'Exit Strategy'!E30","E30")</f>
        <v>E30</v>
      </c>
      <c r="C292" t="s">
        <v>285</v>
      </c>
      <c r="D292" s="77">
        <v>5.8000000000000003E-2</v>
      </c>
    </row>
    <row r="293" spans="1:4" ht="15" hidden="1" customHeight="1" outlineLevel="1" x14ac:dyDescent="0.2">
      <c r="A293" t="s">
        <v>275</v>
      </c>
      <c r="B293" s="76" t="str">
        <f>HYPERLINK("#'Exit Strategy'!B31","B31")</f>
        <v>B31</v>
      </c>
      <c r="C293" t="s">
        <v>286</v>
      </c>
      <c r="D293" s="77">
        <v>0.08</v>
      </c>
    </row>
    <row r="294" spans="1:4" ht="15" hidden="1" customHeight="1" outlineLevel="1" x14ac:dyDescent="0.2">
      <c r="A294" t="s">
        <v>275</v>
      </c>
      <c r="B294" s="76" t="str">
        <f>HYPERLINK("#'Exit Strategy'!C31","C31")</f>
        <v>C31</v>
      </c>
      <c r="C294" t="s">
        <v>286</v>
      </c>
      <c r="D294" s="88">
        <v>1.25</v>
      </c>
    </row>
    <row r="295" spans="1:4" ht="15" hidden="1" customHeight="1" outlineLevel="1" x14ac:dyDescent="0.2">
      <c r="A295" t="s">
        <v>275</v>
      </c>
      <c r="B295" s="76" t="str">
        <f>HYPERLINK("#'Exit Strategy'!D31","D31")</f>
        <v>D31</v>
      </c>
      <c r="C295" t="s">
        <v>286</v>
      </c>
      <c r="D295" s="77">
        <v>0.75</v>
      </c>
    </row>
    <row r="296" spans="1:4" ht="15" hidden="1" customHeight="1" outlineLevel="1" x14ac:dyDescent="0.2">
      <c r="A296" t="s">
        <v>275</v>
      </c>
      <c r="B296" s="76" t="str">
        <f>HYPERLINK("#'Exit Strategy'!E31","E31")</f>
        <v>E31</v>
      </c>
      <c r="C296" t="s">
        <v>286</v>
      </c>
      <c r="D296" s="77">
        <v>5.8000000000000003E-2</v>
      </c>
    </row>
    <row r="297" spans="1:4" ht="15" hidden="1" customHeight="1" outlineLevel="1" x14ac:dyDescent="0.2">
      <c r="A297" t="s">
        <v>275</v>
      </c>
      <c r="B297" s="76" t="str">
        <f>HYPERLINK("#'Exit Strategy'!B32","B32")</f>
        <v>B32</v>
      </c>
      <c r="C297" t="s">
        <v>287</v>
      </c>
      <c r="D297" s="77">
        <v>8.5000000000000006E-2</v>
      </c>
    </row>
    <row r="298" spans="1:4" ht="15" hidden="1" customHeight="1" outlineLevel="1" x14ac:dyDescent="0.2">
      <c r="A298" t="s">
        <v>275</v>
      </c>
      <c r="B298" s="76" t="str">
        <f>HYPERLINK("#'Exit Strategy'!C32","C32")</f>
        <v>C32</v>
      </c>
      <c r="C298" t="s">
        <v>287</v>
      </c>
      <c r="D298" s="88">
        <v>1.3</v>
      </c>
    </row>
    <row r="299" spans="1:4" ht="15" hidden="1" customHeight="1" outlineLevel="1" x14ac:dyDescent="0.2">
      <c r="A299" t="s">
        <v>275</v>
      </c>
      <c r="B299" s="76" t="str">
        <f>HYPERLINK("#'Exit Strategy'!D32","D32")</f>
        <v>D32</v>
      </c>
      <c r="C299" t="s">
        <v>287</v>
      </c>
      <c r="D299" s="77">
        <v>0.65</v>
      </c>
    </row>
    <row r="300" spans="1:4" ht="15" hidden="1" customHeight="1" outlineLevel="1" x14ac:dyDescent="0.2">
      <c r="A300" t="s">
        <v>275</v>
      </c>
      <c r="B300" s="76" t="str">
        <f>HYPERLINK("#'Exit Strategy'!E32","E32")</f>
        <v>E32</v>
      </c>
      <c r="C300" t="s">
        <v>287</v>
      </c>
      <c r="D300" s="77">
        <v>5.5E-2</v>
      </c>
    </row>
    <row r="301" spans="1:4" ht="15" hidden="1" customHeight="1" outlineLevel="1" x14ac:dyDescent="0.2">
      <c r="A301" t="s">
        <v>275</v>
      </c>
      <c r="B301" s="76" t="str">
        <f>HYPERLINK("#'Exit Strategy'!B33","B33")</f>
        <v>B33</v>
      </c>
      <c r="C301" t="s">
        <v>288</v>
      </c>
      <c r="D301" s="77">
        <v>0.09</v>
      </c>
    </row>
    <row r="302" spans="1:4" ht="15" hidden="1" customHeight="1" outlineLevel="1" x14ac:dyDescent="0.2">
      <c r="A302" t="s">
        <v>275</v>
      </c>
      <c r="B302" s="76" t="str">
        <f>HYPERLINK("#'Exit Strategy'!C33","C33")</f>
        <v>C33</v>
      </c>
      <c r="C302" t="s">
        <v>288</v>
      </c>
      <c r="D302" s="88">
        <v>1.25</v>
      </c>
    </row>
    <row r="303" spans="1:4" ht="15" hidden="1" customHeight="1" outlineLevel="1" x14ac:dyDescent="0.2">
      <c r="A303" t="s">
        <v>275</v>
      </c>
      <c r="B303" s="76" t="str">
        <f>HYPERLINK("#'Exit Strategy'!D33","D33")</f>
        <v>D33</v>
      </c>
      <c r="C303" t="s">
        <v>288</v>
      </c>
      <c r="D303" s="77">
        <v>0.75</v>
      </c>
    </row>
    <row r="304" spans="1:4" ht="15" hidden="1" customHeight="1" outlineLevel="1" x14ac:dyDescent="0.2">
      <c r="A304" t="s">
        <v>275</v>
      </c>
      <c r="B304" s="76" t="str">
        <f>HYPERLINK("#'Exit Strategy'!E33","E33")</f>
        <v>E33</v>
      </c>
      <c r="C304" t="s">
        <v>288</v>
      </c>
      <c r="D304" s="77">
        <v>6.5000000000000002E-2</v>
      </c>
    </row>
    <row r="305" spans="1:5" ht="15" hidden="1" customHeight="1" outlineLevel="1" x14ac:dyDescent="0.2">
      <c r="A305" t="s">
        <v>275</v>
      </c>
      <c r="B305" s="76" t="str">
        <f>HYPERLINK("#'Exit Strategy'!B34","B34")</f>
        <v>B34</v>
      </c>
      <c r="C305" t="s">
        <v>289</v>
      </c>
      <c r="D305" s="77">
        <v>7.0000000000000007E-2</v>
      </c>
    </row>
    <row r="306" spans="1:5" ht="15" hidden="1" customHeight="1" outlineLevel="1" x14ac:dyDescent="0.2">
      <c r="A306" t="s">
        <v>275</v>
      </c>
      <c r="B306" s="76" t="str">
        <f>HYPERLINK("#'Exit Strategy'!C34","C34")</f>
        <v>C34</v>
      </c>
      <c r="C306" t="s">
        <v>289</v>
      </c>
      <c r="D306" s="88">
        <v>1.1000000000000001</v>
      </c>
    </row>
    <row r="307" spans="1:5" ht="15" hidden="1" customHeight="1" outlineLevel="1" x14ac:dyDescent="0.2">
      <c r="A307" t="s">
        <v>275</v>
      </c>
      <c r="B307" s="76" t="str">
        <f>HYPERLINK("#'Exit Strategy'!D34","D34")</f>
        <v>D34</v>
      </c>
      <c r="C307" t="s">
        <v>289</v>
      </c>
      <c r="D307" s="77">
        <v>0.75</v>
      </c>
    </row>
    <row r="308" spans="1:5" ht="15" hidden="1" customHeight="1" outlineLevel="1" x14ac:dyDescent="0.2">
      <c r="A308" t="s">
        <v>275</v>
      </c>
      <c r="B308" s="76" t="str">
        <f>HYPERLINK("#'Exit Strategy'!E34","E34")</f>
        <v>E34</v>
      </c>
      <c r="C308" t="s">
        <v>289</v>
      </c>
      <c r="D308" s="77">
        <v>0.08</v>
      </c>
    </row>
    <row r="309" spans="1:5" ht="15" customHeight="1" collapsed="1" x14ac:dyDescent="0.2">
      <c r="B309" s="76"/>
    </row>
    <row r="310" spans="1:5" ht="15" customHeight="1" x14ac:dyDescent="0.2">
      <c r="A310" s="74" t="s">
        <v>290</v>
      </c>
      <c r="B310" s="75" t="s">
        <v>255</v>
      </c>
      <c r="C310" s="74"/>
      <c r="D310" s="74"/>
      <c r="E310" s="74"/>
    </row>
    <row r="311" spans="1:5" ht="15" hidden="1" customHeight="1" outlineLevel="1" x14ac:dyDescent="0.2">
      <c r="A311" t="s">
        <v>291</v>
      </c>
      <c r="B311" s="76" t="str">
        <f>HYPERLINK("#Sensitivity!K5","K5")</f>
        <v>K5</v>
      </c>
      <c r="C311" t="s">
        <v>292</v>
      </c>
      <c r="D311" s="89">
        <v>7.4999999999999997E-2</v>
      </c>
    </row>
    <row r="312" spans="1:5" ht="15" hidden="1" customHeight="1" outlineLevel="1" x14ac:dyDescent="0.2">
      <c r="A312" t="s">
        <v>291</v>
      </c>
      <c r="B312" s="76" t="str">
        <f>HYPERLINK("#Sensitivity!M5","M5")</f>
        <v>M5</v>
      </c>
      <c r="C312" t="s">
        <v>293</v>
      </c>
      <c r="D312" s="89">
        <v>5.0000000000000001E-3</v>
      </c>
    </row>
    <row r="313" spans="1:5" ht="15" hidden="1" customHeight="1" outlineLevel="1" x14ac:dyDescent="0.2">
      <c r="A313" t="s">
        <v>291</v>
      </c>
      <c r="B313" s="76" t="str">
        <f>HYPERLINK("#Sensitivity!O5","O5")</f>
        <v>O5</v>
      </c>
      <c r="C313" t="s">
        <v>294</v>
      </c>
      <c r="D313" s="83">
        <v>0.7</v>
      </c>
    </row>
    <row r="314" spans="1:5" ht="15" hidden="1" customHeight="1" outlineLevel="1" x14ac:dyDescent="0.2">
      <c r="A314" t="s">
        <v>291</v>
      </c>
      <c r="B314" s="76" t="str">
        <f>HYPERLINK("#Sensitivity!Q5","Q5")</f>
        <v>Q5</v>
      </c>
      <c r="C314" t="s">
        <v>295</v>
      </c>
      <c r="D314" s="83">
        <v>2.5000000000000001E-2</v>
      </c>
    </row>
    <row r="315" spans="1:5" ht="15" hidden="1" customHeight="1" outlineLevel="1" x14ac:dyDescent="0.2">
      <c r="A315" t="s">
        <v>291</v>
      </c>
      <c r="B315" s="76" t="str">
        <f>HYPERLINK("#Sensitivity!K16","K16")</f>
        <v>K16</v>
      </c>
      <c r="C315" t="s">
        <v>296</v>
      </c>
      <c r="D315" s="83">
        <v>0.03</v>
      </c>
    </row>
    <row r="316" spans="1:5" ht="15" hidden="1" customHeight="1" outlineLevel="1" x14ac:dyDescent="0.2">
      <c r="A316" t="s">
        <v>291</v>
      </c>
      <c r="B316" s="76" t="str">
        <f>HYPERLINK("#Sensitivity!M16","M16")</f>
        <v>M16</v>
      </c>
      <c r="C316" t="s">
        <v>293</v>
      </c>
      <c r="D316" s="83">
        <v>5.0000000000000001E-3</v>
      </c>
    </row>
    <row r="317" spans="1:5" ht="15" hidden="1" customHeight="1" outlineLevel="1" x14ac:dyDescent="0.2">
      <c r="A317" t="s">
        <v>291</v>
      </c>
      <c r="B317" s="76" t="str">
        <f>HYPERLINK("#Sensitivity!O16","O16")</f>
        <v>O16</v>
      </c>
      <c r="C317" t="s">
        <v>297</v>
      </c>
      <c r="D317" s="83">
        <v>0.02</v>
      </c>
    </row>
    <row r="318" spans="1:5" ht="15" hidden="1" customHeight="1" outlineLevel="1" x14ac:dyDescent="0.2">
      <c r="A318" t="s">
        <v>291</v>
      </c>
      <c r="B318" s="76" t="str">
        <f>HYPERLINK("#Sensitivity!Q16","Q16")</f>
        <v>Q16</v>
      </c>
      <c r="C318" t="s">
        <v>293</v>
      </c>
      <c r="D318" s="83">
        <v>5.0000000000000001E-3</v>
      </c>
    </row>
    <row r="319" spans="1:5" ht="15" hidden="1" customHeight="1" outlineLevel="1" x14ac:dyDescent="0.2">
      <c r="A319" t="s">
        <v>291</v>
      </c>
      <c r="B319" s="76" t="str">
        <f>HYPERLINK("#Sensitivity!K26","K26")</f>
        <v>K26</v>
      </c>
      <c r="C319" t="s">
        <v>298</v>
      </c>
      <c r="D319" s="85">
        <v>0.8</v>
      </c>
    </row>
    <row r="320" spans="1:5" ht="15" hidden="1" customHeight="1" outlineLevel="1" x14ac:dyDescent="0.2">
      <c r="A320" t="s">
        <v>291</v>
      </c>
      <c r="B320" s="76" t="str">
        <f>HYPERLINK("#Sensitivity!M26","M26")</f>
        <v>M26</v>
      </c>
      <c r="C320" t="s">
        <v>293</v>
      </c>
      <c r="D320" s="85">
        <v>0.05</v>
      </c>
    </row>
    <row r="321" spans="1:5" ht="15" hidden="1" customHeight="1" outlineLevel="1" x14ac:dyDescent="0.2">
      <c r="A321" t="s">
        <v>291</v>
      </c>
      <c r="B321" s="76" t="str">
        <f>HYPERLINK("#Sensitivity!O26","O26")</f>
        <v>O26</v>
      </c>
      <c r="C321" t="s">
        <v>299</v>
      </c>
      <c r="D321" s="85">
        <v>0.75</v>
      </c>
    </row>
    <row r="322" spans="1:5" ht="15" hidden="1" customHeight="1" outlineLevel="1" x14ac:dyDescent="0.2">
      <c r="A322" t="s">
        <v>291</v>
      </c>
      <c r="B322" s="76" t="str">
        <f>HYPERLINK("#Sensitivity!Q26","Q26")</f>
        <v>Q26</v>
      </c>
      <c r="C322" t="s">
        <v>293</v>
      </c>
      <c r="D322" s="85">
        <v>0.05</v>
      </c>
    </row>
    <row r="323" spans="1:5" ht="15" customHeight="1" collapsed="1" x14ac:dyDescent="0.2">
      <c r="B323" s="76"/>
    </row>
    <row r="324" spans="1:5" ht="15" customHeight="1" x14ac:dyDescent="0.2">
      <c r="A324" s="74" t="s">
        <v>300</v>
      </c>
      <c r="B324" s="75" t="s">
        <v>301</v>
      </c>
      <c r="C324" s="74"/>
      <c r="D324" s="74"/>
      <c r="E324" s="74"/>
    </row>
    <row r="325" spans="1:5" ht="15" customHeight="1" outlineLevel="1" x14ac:dyDescent="0.2">
      <c r="A325" t="s">
        <v>302</v>
      </c>
      <c r="B325" s="76" t="str">
        <f>HYPERLINK("#'Recapture &amp; Upside'!A13","A13")</f>
        <v>A13</v>
      </c>
      <c r="C325" t="s">
        <v>303</v>
      </c>
      <c r="D325" s="65">
        <v>1</v>
      </c>
    </row>
    <row r="326" spans="1:5" ht="15" customHeight="1" outlineLevel="1" x14ac:dyDescent="0.2">
      <c r="A326" t="s">
        <v>302</v>
      </c>
      <c r="B326" s="76" t="str">
        <f>HYPERLINK("#'Recapture &amp; Upside'!E13","E13")</f>
        <v>E13</v>
      </c>
      <c r="C326" t="s">
        <v>303</v>
      </c>
      <c r="D326" s="83">
        <v>0.7</v>
      </c>
    </row>
    <row r="327" spans="1:5" ht="15" customHeight="1" outlineLevel="1" x14ac:dyDescent="0.2">
      <c r="A327" t="s">
        <v>302</v>
      </c>
      <c r="B327" s="76" t="str">
        <f>HYPERLINK("#'Recapture &amp; Upside'!A14","A14")</f>
        <v>A14</v>
      </c>
      <c r="C327" t="s">
        <v>304</v>
      </c>
      <c r="D327" s="65">
        <v>2</v>
      </c>
    </row>
    <row r="328" spans="1:5" ht="15" customHeight="1" outlineLevel="1" x14ac:dyDescent="0.2">
      <c r="A328" t="s">
        <v>302</v>
      </c>
      <c r="B328" s="76" t="str">
        <f>HYPERLINK("#'Recapture &amp; Upside'!E14","E14")</f>
        <v>E14</v>
      </c>
      <c r="C328" t="s">
        <v>304</v>
      </c>
      <c r="D328" s="83">
        <v>0</v>
      </c>
    </row>
    <row r="329" spans="1:5" ht="15" customHeight="1" outlineLevel="1" x14ac:dyDescent="0.2">
      <c r="A329" t="s">
        <v>302</v>
      </c>
      <c r="B329" s="76" t="str">
        <f>HYPERLINK("#'Recapture &amp; Upside'!A15","A15")</f>
        <v>A15</v>
      </c>
      <c r="C329" t="s">
        <v>305</v>
      </c>
      <c r="D329" s="65">
        <v>3</v>
      </c>
    </row>
    <row r="330" spans="1:5" ht="15" customHeight="1" outlineLevel="1" x14ac:dyDescent="0.2">
      <c r="A330" t="s">
        <v>302</v>
      </c>
      <c r="B330" s="76" t="str">
        <f>HYPERLINK("#'Recapture &amp; Upside'!E15","E15")</f>
        <v>E15</v>
      </c>
      <c r="C330" t="s">
        <v>305</v>
      </c>
      <c r="D330" s="83">
        <v>0</v>
      </c>
    </row>
    <row r="331" spans="1:5" ht="15" customHeight="1" outlineLevel="1" x14ac:dyDescent="0.2">
      <c r="A331" t="s">
        <v>302</v>
      </c>
      <c r="B331" s="76" t="str">
        <f>HYPERLINK("#'Recapture &amp; Upside'!A16","A16")</f>
        <v>A16</v>
      </c>
      <c r="C331" t="s">
        <v>306</v>
      </c>
      <c r="D331" s="65">
        <v>4</v>
      </c>
    </row>
    <row r="332" spans="1:5" ht="15" customHeight="1" outlineLevel="1" x14ac:dyDescent="0.2">
      <c r="A332" t="s">
        <v>302</v>
      </c>
      <c r="B332" s="76" t="str">
        <f>HYPERLINK("#'Recapture &amp; Upside'!E16","E16")</f>
        <v>E16</v>
      </c>
      <c r="C332" t="s">
        <v>306</v>
      </c>
      <c r="D332" s="83">
        <v>0.5</v>
      </c>
    </row>
    <row r="333" spans="1:5" ht="15" customHeight="1" outlineLevel="1" x14ac:dyDescent="0.2">
      <c r="A333" t="s">
        <v>302</v>
      </c>
      <c r="B333" s="76" t="str">
        <f>HYPERLINK("#'Recapture &amp; Upside'!A17","A17")</f>
        <v>A17</v>
      </c>
      <c r="C333" t="s">
        <v>307</v>
      </c>
      <c r="D333" s="65">
        <v>5</v>
      </c>
    </row>
    <row r="334" spans="1:5" ht="15" customHeight="1" outlineLevel="1" x14ac:dyDescent="0.2">
      <c r="A334" t="s">
        <v>302</v>
      </c>
      <c r="B334" s="76" t="str">
        <f>HYPERLINK("#'Recapture &amp; Upside'!E17","E17")</f>
        <v>E17</v>
      </c>
      <c r="C334" t="s">
        <v>307</v>
      </c>
      <c r="D334" s="83">
        <v>1</v>
      </c>
    </row>
    <row r="335" spans="1:5" ht="15" customHeight="1" outlineLevel="1" x14ac:dyDescent="0.2">
      <c r="A335" t="s">
        <v>302</v>
      </c>
      <c r="B335" s="76" t="str">
        <f>HYPERLINK("#'Recapture &amp; Upside'!A18","A18")</f>
        <v>A18</v>
      </c>
      <c r="C335" t="s">
        <v>308</v>
      </c>
      <c r="D335" s="65">
        <v>6</v>
      </c>
    </row>
    <row r="336" spans="1:5" ht="15" customHeight="1" outlineLevel="1" x14ac:dyDescent="0.2">
      <c r="A336" t="s">
        <v>302</v>
      </c>
      <c r="B336" s="76" t="str">
        <f>HYPERLINK("#'Recapture &amp; Upside'!E18","E18")</f>
        <v>E18</v>
      </c>
      <c r="C336" t="s">
        <v>308</v>
      </c>
      <c r="D336" s="83">
        <v>0.5</v>
      </c>
    </row>
    <row r="337" spans="1:4" ht="15" customHeight="1" outlineLevel="1" x14ac:dyDescent="0.2">
      <c r="A337" t="s">
        <v>302</v>
      </c>
      <c r="B337" s="76" t="str">
        <f>HYPERLINK("#'Recapture &amp; Upside'!A19","A19")</f>
        <v>A19</v>
      </c>
      <c r="C337" t="s">
        <v>309</v>
      </c>
      <c r="D337" s="65">
        <v>7</v>
      </c>
    </row>
    <row r="338" spans="1:4" ht="15" customHeight="1" outlineLevel="1" x14ac:dyDescent="0.2">
      <c r="A338" t="s">
        <v>302</v>
      </c>
      <c r="B338" s="76" t="str">
        <f>HYPERLINK("#'Recapture &amp; Upside'!A26","A26")</f>
        <v>A26</v>
      </c>
      <c r="C338" t="s">
        <v>310</v>
      </c>
      <c r="D338" s="65">
        <v>1</v>
      </c>
    </row>
    <row r="339" spans="1:4" ht="15" customHeight="1" outlineLevel="1" x14ac:dyDescent="0.2">
      <c r="A339" t="s">
        <v>302</v>
      </c>
      <c r="B339" s="76" t="str">
        <f>HYPERLINK("#'Recapture &amp; Upside'!E26","E26")</f>
        <v>E26</v>
      </c>
      <c r="C339" t="s">
        <v>310</v>
      </c>
      <c r="D339" s="83">
        <v>0.3</v>
      </c>
    </row>
    <row r="340" spans="1:4" ht="15" customHeight="1" outlineLevel="1" x14ac:dyDescent="0.2">
      <c r="A340" t="s">
        <v>302</v>
      </c>
      <c r="B340" s="76" t="str">
        <f>HYPERLINK("#'Recapture &amp; Upside'!F26","F26")</f>
        <v>F26</v>
      </c>
      <c r="C340" t="s">
        <v>310</v>
      </c>
      <c r="D340" s="83">
        <v>0.7</v>
      </c>
    </row>
    <row r="341" spans="1:4" ht="15" customHeight="1" outlineLevel="1" x14ac:dyDescent="0.2">
      <c r="A341" t="s">
        <v>302</v>
      </c>
      <c r="B341" s="76" t="str">
        <f>HYPERLINK("#'Recapture &amp; Upside'!A27","A27")</f>
        <v>A27</v>
      </c>
      <c r="C341" t="s">
        <v>311</v>
      </c>
      <c r="D341" s="65">
        <v>2</v>
      </c>
    </row>
    <row r="342" spans="1:4" ht="15" customHeight="1" outlineLevel="1" x14ac:dyDescent="0.2">
      <c r="A342" t="s">
        <v>302</v>
      </c>
      <c r="B342" s="76" t="str">
        <f>HYPERLINK("#'Recapture &amp; Upside'!E27","E27")</f>
        <v>E27</v>
      </c>
      <c r="C342" t="s">
        <v>311</v>
      </c>
      <c r="D342" s="83">
        <v>0.4</v>
      </c>
    </row>
    <row r="343" spans="1:4" ht="15" customHeight="1" outlineLevel="1" x14ac:dyDescent="0.2">
      <c r="A343" t="s">
        <v>302</v>
      </c>
      <c r="B343" s="76" t="str">
        <f>HYPERLINK("#'Recapture &amp; Upside'!F27","F27")</f>
        <v>F27</v>
      </c>
      <c r="C343" t="s">
        <v>311</v>
      </c>
      <c r="D343" s="83">
        <v>0.85</v>
      </c>
    </row>
    <row r="344" spans="1:4" ht="15" customHeight="1" outlineLevel="1" x14ac:dyDescent="0.2">
      <c r="A344" t="s">
        <v>302</v>
      </c>
      <c r="B344" s="76" t="str">
        <f>HYPERLINK("#'Recapture &amp; Upside'!A28","A28")</f>
        <v>A28</v>
      </c>
      <c r="C344" t="s">
        <v>312</v>
      </c>
      <c r="D344" s="65">
        <v>3</v>
      </c>
    </row>
    <row r="345" spans="1:4" ht="15" customHeight="1" outlineLevel="1" x14ac:dyDescent="0.2">
      <c r="A345" t="s">
        <v>302</v>
      </c>
      <c r="B345" s="76" t="str">
        <f>HYPERLINK("#'Recapture &amp; Upside'!E28","E28")</f>
        <v>E28</v>
      </c>
      <c r="C345" t="s">
        <v>312</v>
      </c>
      <c r="D345" s="83">
        <v>0.5</v>
      </c>
    </row>
    <row r="346" spans="1:4" ht="15" customHeight="1" outlineLevel="1" x14ac:dyDescent="0.2">
      <c r="A346" t="s">
        <v>302</v>
      </c>
      <c r="B346" s="76" t="str">
        <f>HYPERLINK("#'Recapture &amp; Upside'!F28","F28")</f>
        <v>F28</v>
      </c>
      <c r="C346" t="s">
        <v>312</v>
      </c>
      <c r="D346" s="83">
        <v>0.8</v>
      </c>
    </row>
    <row r="347" spans="1:4" ht="15" customHeight="1" outlineLevel="1" x14ac:dyDescent="0.2">
      <c r="A347" t="s">
        <v>302</v>
      </c>
      <c r="B347" s="76" t="str">
        <f>HYPERLINK("#'Recapture &amp; Upside'!A29","A29")</f>
        <v>A29</v>
      </c>
      <c r="C347" t="s">
        <v>313</v>
      </c>
      <c r="D347" s="65">
        <v>4</v>
      </c>
    </row>
    <row r="348" spans="1:4" ht="15" customHeight="1" outlineLevel="1" x14ac:dyDescent="0.2">
      <c r="A348" t="s">
        <v>302</v>
      </c>
      <c r="B348" s="76" t="str">
        <f>HYPERLINK("#'Recapture &amp; Upside'!E29","E29")</f>
        <v>E29</v>
      </c>
      <c r="C348" t="s">
        <v>313</v>
      </c>
      <c r="D348" s="83">
        <v>0</v>
      </c>
    </row>
    <row r="349" spans="1:4" ht="15" customHeight="1" outlineLevel="1" x14ac:dyDescent="0.2">
      <c r="A349" t="s">
        <v>302</v>
      </c>
      <c r="B349" s="76" t="str">
        <f>HYPERLINK("#'Recapture &amp; Upside'!F29","F29")</f>
        <v>F29</v>
      </c>
      <c r="C349" t="s">
        <v>313</v>
      </c>
      <c r="D349" s="83">
        <v>1</v>
      </c>
    </row>
    <row r="350" spans="1:4" ht="15" customHeight="1" outlineLevel="1" x14ac:dyDescent="0.2">
      <c r="A350" t="s">
        <v>302</v>
      </c>
      <c r="B350" s="76" t="str">
        <f>HYPERLINK("#'Recapture &amp; Upside'!A35","A35")</f>
        <v>A35</v>
      </c>
      <c r="C350" t="s">
        <v>314</v>
      </c>
      <c r="D350" s="65">
        <v>1</v>
      </c>
    </row>
    <row r="351" spans="1:4" ht="15" customHeight="1" outlineLevel="1" x14ac:dyDescent="0.2">
      <c r="A351" t="s">
        <v>302</v>
      </c>
      <c r="B351" s="76" t="str">
        <f>HYPERLINK("#'Recapture &amp; Upside'!E35","E35")</f>
        <v>E35</v>
      </c>
      <c r="C351" t="s">
        <v>314</v>
      </c>
      <c r="D351" s="90">
        <v>35</v>
      </c>
    </row>
    <row r="352" spans="1:4" ht="15" customHeight="1" outlineLevel="1" x14ac:dyDescent="0.2">
      <c r="A352" t="s">
        <v>302</v>
      </c>
      <c r="B352" s="76" t="str">
        <f>HYPERLINK("#'Recapture &amp; Upside'!F35","F35")</f>
        <v>F35</v>
      </c>
      <c r="C352" t="s">
        <v>314</v>
      </c>
      <c r="D352" s="83">
        <v>0.2</v>
      </c>
    </row>
    <row r="353" spans="1:4" ht="15" customHeight="1" outlineLevel="1" x14ac:dyDescent="0.2">
      <c r="A353" t="s">
        <v>302</v>
      </c>
      <c r="B353" s="76" t="str">
        <f>HYPERLINK("#'Recapture &amp; Upside'!A36","A36")</f>
        <v>A36</v>
      </c>
      <c r="C353" t="s">
        <v>315</v>
      </c>
      <c r="D353" s="65">
        <v>2</v>
      </c>
    </row>
    <row r="354" spans="1:4" ht="15" customHeight="1" outlineLevel="1" x14ac:dyDescent="0.2">
      <c r="A354" t="s">
        <v>302</v>
      </c>
      <c r="B354" s="76" t="str">
        <f>HYPERLINK("#'Recapture &amp; Upside'!E36","E36")</f>
        <v>E36</v>
      </c>
      <c r="C354" t="s">
        <v>315</v>
      </c>
      <c r="D354" s="90">
        <v>25</v>
      </c>
    </row>
    <row r="355" spans="1:4" ht="15" customHeight="1" outlineLevel="1" x14ac:dyDescent="0.2">
      <c r="A355" t="s">
        <v>302</v>
      </c>
      <c r="B355" s="76" t="str">
        <f>HYPERLINK("#'Recapture &amp; Upside'!A37","A37")</f>
        <v>A37</v>
      </c>
      <c r="C355" t="s">
        <v>316</v>
      </c>
      <c r="D355" s="65">
        <v>3</v>
      </c>
    </row>
    <row r="356" spans="1:4" ht="15" customHeight="1" outlineLevel="1" x14ac:dyDescent="0.2">
      <c r="A356" t="s">
        <v>302</v>
      </c>
      <c r="B356" s="76" t="str">
        <f>HYPERLINK("#'Recapture &amp; Upside'!E37","E37")</f>
        <v>E37</v>
      </c>
      <c r="C356" t="s">
        <v>316</v>
      </c>
      <c r="D356" s="90">
        <v>50</v>
      </c>
    </row>
    <row r="357" spans="1:4" ht="15" customHeight="1" outlineLevel="1" x14ac:dyDescent="0.2">
      <c r="A357" t="s">
        <v>302</v>
      </c>
      <c r="B357" s="76" t="str">
        <f>HYPERLINK("#'Recapture &amp; Upside'!A38","A38")</f>
        <v>A38</v>
      </c>
      <c r="C357" t="s">
        <v>317</v>
      </c>
      <c r="D357" s="65">
        <v>4</v>
      </c>
    </row>
    <row r="358" spans="1:4" ht="15" customHeight="1" outlineLevel="1" x14ac:dyDescent="0.2">
      <c r="A358" t="s">
        <v>302</v>
      </c>
      <c r="B358" s="76" t="str">
        <f>HYPERLINK("#'Recapture &amp; Upside'!E38","E38")</f>
        <v>E38</v>
      </c>
      <c r="C358" t="s">
        <v>317</v>
      </c>
      <c r="D358" s="90">
        <v>75</v>
      </c>
    </row>
    <row r="359" spans="1:4" ht="15" customHeight="1" outlineLevel="1" x14ac:dyDescent="0.2">
      <c r="A359" t="s">
        <v>302</v>
      </c>
      <c r="B359" s="76" t="str">
        <f>HYPERLINK("#'Recapture &amp; Upside'!A39","A39")</f>
        <v>A39</v>
      </c>
      <c r="C359" t="s">
        <v>318</v>
      </c>
      <c r="D359" s="65">
        <v>5</v>
      </c>
    </row>
    <row r="360" spans="1:4" ht="15" customHeight="1" outlineLevel="1" x14ac:dyDescent="0.2">
      <c r="A360" t="s">
        <v>302</v>
      </c>
      <c r="B360" s="76" t="str">
        <f>HYPERLINK("#'Recapture &amp; Upside'!E39","E39")</f>
        <v>E39</v>
      </c>
      <c r="C360" t="s">
        <v>318</v>
      </c>
      <c r="D360" s="90">
        <v>75</v>
      </c>
    </row>
    <row r="361" spans="1:4" ht="15" customHeight="1" outlineLevel="1" x14ac:dyDescent="0.2">
      <c r="A361" t="s">
        <v>302</v>
      </c>
      <c r="B361" s="76" t="str">
        <f>HYPERLINK("#'Recapture &amp; Upside'!F39","F39")</f>
        <v>F39</v>
      </c>
      <c r="C361" t="s">
        <v>318</v>
      </c>
      <c r="D361" s="83">
        <v>0.1</v>
      </c>
    </row>
    <row r="362" spans="1:4" ht="15" customHeight="1" outlineLevel="1" x14ac:dyDescent="0.2">
      <c r="A362" t="s">
        <v>302</v>
      </c>
      <c r="B362" s="76" t="str">
        <f>HYPERLINK("#'Recapture &amp; Upside'!A40","A40")</f>
        <v>A40</v>
      </c>
      <c r="C362" t="s">
        <v>319</v>
      </c>
      <c r="D362" s="65">
        <v>6</v>
      </c>
    </row>
    <row r="363" spans="1:4" ht="15" customHeight="1" outlineLevel="1" x14ac:dyDescent="0.2">
      <c r="A363" t="s">
        <v>302</v>
      </c>
      <c r="B363" s="76" t="str">
        <f>HYPERLINK("#'Recapture &amp; Upside'!E40","E40")</f>
        <v>E40</v>
      </c>
      <c r="C363" t="s">
        <v>319</v>
      </c>
      <c r="D363" s="90">
        <v>15</v>
      </c>
    </row>
    <row r="364" spans="1:4" ht="15" customHeight="1" outlineLevel="1" x14ac:dyDescent="0.2">
      <c r="A364" t="s">
        <v>302</v>
      </c>
      <c r="B364" s="76" t="str">
        <f>HYPERLINK("#'Recapture &amp; Upside'!F40","F40")</f>
        <v>F40</v>
      </c>
      <c r="C364" t="s">
        <v>319</v>
      </c>
      <c r="D364" s="83">
        <v>1</v>
      </c>
    </row>
    <row r="365" spans="1:4" ht="15" customHeight="1" outlineLevel="1" x14ac:dyDescent="0.2">
      <c r="A365" t="s">
        <v>302</v>
      </c>
      <c r="B365" s="76" t="str">
        <f>HYPERLINK("#'Recapture &amp; Upside'!A41","A41")</f>
        <v>A41</v>
      </c>
      <c r="C365" t="s">
        <v>320</v>
      </c>
      <c r="D365" s="65">
        <v>7</v>
      </c>
    </row>
    <row r="366" spans="1:4" ht="15" customHeight="1" outlineLevel="1" x14ac:dyDescent="0.2">
      <c r="A366" t="s">
        <v>302</v>
      </c>
      <c r="B366" s="76" t="str">
        <f>HYPERLINK("#'Recapture &amp; Upside'!E41","E41")</f>
        <v>E41</v>
      </c>
      <c r="C366" t="s">
        <v>320</v>
      </c>
      <c r="D366" s="90">
        <v>10</v>
      </c>
    </row>
    <row r="367" spans="1:4" ht="15" customHeight="1" outlineLevel="1" x14ac:dyDescent="0.2">
      <c r="A367" t="s">
        <v>302</v>
      </c>
      <c r="B367" s="76" t="str">
        <f>HYPERLINK("#'Recapture &amp; Upside'!A42","A42")</f>
        <v>A42</v>
      </c>
      <c r="C367" t="s">
        <v>321</v>
      </c>
      <c r="D367" s="65">
        <v>8</v>
      </c>
    </row>
    <row r="368" spans="1:4" ht="15" customHeight="1" outlineLevel="1" x14ac:dyDescent="0.2">
      <c r="A368" t="s">
        <v>302</v>
      </c>
      <c r="B368" s="76" t="str">
        <f>HYPERLINK("#'Recapture &amp; Upside'!E42","E42")</f>
        <v>E42</v>
      </c>
      <c r="C368" t="s">
        <v>321</v>
      </c>
      <c r="D368" s="90">
        <v>12</v>
      </c>
    </row>
    <row r="369" spans="1:4" ht="15" customHeight="1" outlineLevel="1" x14ac:dyDescent="0.2">
      <c r="A369" t="s">
        <v>302</v>
      </c>
      <c r="B369" s="76" t="str">
        <f>HYPERLINK("#'Recapture &amp; Upside'!A43","A43")</f>
        <v>A43</v>
      </c>
      <c r="C369" t="s">
        <v>322</v>
      </c>
      <c r="D369" s="65">
        <v>9</v>
      </c>
    </row>
    <row r="370" spans="1:4" ht="15" customHeight="1" outlineLevel="1" x14ac:dyDescent="0.2">
      <c r="A370" t="s">
        <v>302</v>
      </c>
      <c r="B370" s="76" t="str">
        <f>HYPERLINK("#'Recapture &amp; Upside'!E43","E43")</f>
        <v>E43</v>
      </c>
      <c r="C370" t="s">
        <v>322</v>
      </c>
      <c r="D370" s="90">
        <v>25</v>
      </c>
    </row>
    <row r="371" spans="1:4" ht="15" customHeight="1" outlineLevel="1" x14ac:dyDescent="0.2">
      <c r="A371" t="s">
        <v>302</v>
      </c>
      <c r="B371" s="76" t="str">
        <f>HYPERLINK("#'Recapture &amp; Upside'!F43","F43")</f>
        <v>F43</v>
      </c>
      <c r="C371" t="s">
        <v>322</v>
      </c>
      <c r="D371" s="83">
        <v>0.9</v>
      </c>
    </row>
    <row r="372" spans="1:4" ht="15" customHeight="1" outlineLevel="1" x14ac:dyDescent="0.2">
      <c r="A372" t="s">
        <v>302</v>
      </c>
      <c r="B372" s="76" t="str">
        <f>HYPERLINK("#'Recapture &amp; Upside'!A44","A44")</f>
        <v>A44</v>
      </c>
      <c r="C372" t="s">
        <v>323</v>
      </c>
      <c r="D372" s="65">
        <v>10</v>
      </c>
    </row>
    <row r="373" spans="1:4" ht="15" customHeight="1" outlineLevel="1" x14ac:dyDescent="0.2">
      <c r="A373" t="s">
        <v>302</v>
      </c>
      <c r="B373" s="76" t="str">
        <f>HYPERLINK("#'Recapture &amp; Upside'!E44","E44")</f>
        <v>E44</v>
      </c>
      <c r="C373" t="s">
        <v>323</v>
      </c>
      <c r="D373" s="90">
        <v>5</v>
      </c>
    </row>
    <row r="374" spans="1:4" ht="15" customHeight="1" outlineLevel="1" x14ac:dyDescent="0.2">
      <c r="A374" t="s">
        <v>302</v>
      </c>
      <c r="B374" s="76" t="str">
        <f>HYPERLINK("#'Recapture &amp; Upside'!A45","A45")</f>
        <v>A45</v>
      </c>
      <c r="C374" t="s">
        <v>324</v>
      </c>
      <c r="D374" s="65">
        <v>11</v>
      </c>
    </row>
    <row r="375" spans="1:4" ht="15" customHeight="1" outlineLevel="1" x14ac:dyDescent="0.2">
      <c r="A375" t="s">
        <v>302</v>
      </c>
      <c r="B375" s="76" t="str">
        <f>HYPERLINK("#'Recapture &amp; Upside'!E45","E45")</f>
        <v>E45</v>
      </c>
      <c r="C375" t="s">
        <v>324</v>
      </c>
      <c r="D375" s="90">
        <v>15</v>
      </c>
    </row>
    <row r="376" spans="1:4" ht="15" customHeight="1" outlineLevel="1" x14ac:dyDescent="0.2">
      <c r="A376" t="s">
        <v>302</v>
      </c>
      <c r="B376" s="76" t="str">
        <f>HYPERLINK("#'Recapture &amp; Upside'!A46","A46")</f>
        <v>A46</v>
      </c>
      <c r="C376" t="s">
        <v>325</v>
      </c>
      <c r="D376" s="65">
        <v>12</v>
      </c>
    </row>
    <row r="377" spans="1:4" ht="15" customHeight="1" outlineLevel="1" x14ac:dyDescent="0.2">
      <c r="A377" t="s">
        <v>302</v>
      </c>
      <c r="B377" s="76" t="str">
        <f>HYPERLINK("#'Recapture &amp; Upside'!E46","E46")</f>
        <v>E46</v>
      </c>
      <c r="C377" t="s">
        <v>325</v>
      </c>
      <c r="D377" s="90">
        <v>12</v>
      </c>
    </row>
    <row r="378" spans="1:4" ht="15" customHeight="1" outlineLevel="1" x14ac:dyDescent="0.2">
      <c r="A378" t="s">
        <v>302</v>
      </c>
      <c r="B378" s="76" t="str">
        <f>HYPERLINK("#'Recapture &amp; Upside'!A47","A47")</f>
        <v>A47</v>
      </c>
      <c r="C378" t="s">
        <v>326</v>
      </c>
      <c r="D378" s="65">
        <v>13</v>
      </c>
    </row>
    <row r="379" spans="1:4" ht="15" customHeight="1" outlineLevel="1" x14ac:dyDescent="0.2">
      <c r="A379" t="s">
        <v>302</v>
      </c>
      <c r="B379" s="76" t="str">
        <f>HYPERLINK("#'Recapture &amp; Upside'!E47","E47")</f>
        <v>E47</v>
      </c>
      <c r="C379" t="s">
        <v>326</v>
      </c>
      <c r="D379" s="90">
        <v>8</v>
      </c>
    </row>
    <row r="380" spans="1:4" ht="15" customHeight="1" outlineLevel="1" x14ac:dyDescent="0.2">
      <c r="A380" t="s">
        <v>302</v>
      </c>
      <c r="B380" s="76" t="str">
        <f>HYPERLINK("#'Recapture &amp; Upside'!A48","A48")</f>
        <v>A48</v>
      </c>
      <c r="C380" t="s">
        <v>327</v>
      </c>
      <c r="D380" s="65">
        <v>14</v>
      </c>
    </row>
    <row r="381" spans="1:4" ht="15" customHeight="1" outlineLevel="1" x14ac:dyDescent="0.2">
      <c r="A381" t="s">
        <v>302</v>
      </c>
      <c r="B381" s="76" t="str">
        <f>HYPERLINK("#'Recapture &amp; Upside'!E48","E48")</f>
        <v>E48</v>
      </c>
      <c r="C381" t="s">
        <v>327</v>
      </c>
      <c r="D381" s="90">
        <v>10</v>
      </c>
    </row>
    <row r="382" spans="1:4" ht="15" customHeight="1" outlineLevel="1" x14ac:dyDescent="0.2">
      <c r="A382" t="s">
        <v>302</v>
      </c>
      <c r="B382" s="76" t="str">
        <f>HYPERLINK("#'Recapture &amp; Upside'!A49","A49")</f>
        <v>A49</v>
      </c>
      <c r="C382" t="s">
        <v>328</v>
      </c>
      <c r="D382" s="65">
        <v>15</v>
      </c>
    </row>
    <row r="383" spans="1:4" ht="15" customHeight="1" outlineLevel="1" x14ac:dyDescent="0.2">
      <c r="A383" t="s">
        <v>302</v>
      </c>
      <c r="B383" s="76" t="str">
        <f>HYPERLINK("#'Recapture &amp; Upside'!E49","E49")</f>
        <v>E49</v>
      </c>
      <c r="C383" t="s">
        <v>328</v>
      </c>
      <c r="D383" s="90">
        <v>25</v>
      </c>
    </row>
    <row r="384" spans="1:4" ht="15" customHeight="1" outlineLevel="1" x14ac:dyDescent="0.2">
      <c r="A384" t="s">
        <v>302</v>
      </c>
      <c r="B384" s="76" t="str">
        <f>HYPERLINK("#'Recapture &amp; Upside'!A50","A50")</f>
        <v>A50</v>
      </c>
      <c r="C384" t="s">
        <v>329</v>
      </c>
      <c r="D384" s="65">
        <v>16</v>
      </c>
    </row>
    <row r="385" spans="1:4" ht="15" customHeight="1" outlineLevel="1" x14ac:dyDescent="0.2">
      <c r="A385" t="s">
        <v>302</v>
      </c>
      <c r="B385" s="76" t="str">
        <f>HYPERLINK("#'Recapture &amp; Upside'!E50","E50")</f>
        <v>E50</v>
      </c>
      <c r="C385" t="s">
        <v>329</v>
      </c>
      <c r="D385" s="90">
        <v>30</v>
      </c>
    </row>
    <row r="386" spans="1:4" ht="15" customHeight="1" outlineLevel="1" x14ac:dyDescent="0.2">
      <c r="A386" t="s">
        <v>302</v>
      </c>
      <c r="B386" s="76" t="str">
        <f>HYPERLINK("#'Recapture &amp; Upside'!F50","F50")</f>
        <v>F50</v>
      </c>
      <c r="C386" t="s">
        <v>329</v>
      </c>
      <c r="D386" s="83">
        <v>0.8</v>
      </c>
    </row>
    <row r="387" spans="1:4" ht="15" customHeight="1" outlineLevel="1" x14ac:dyDescent="0.2">
      <c r="A387" t="s">
        <v>302</v>
      </c>
      <c r="B387" s="76" t="str">
        <f>HYPERLINK("#'Recapture &amp; Upside'!A51","A51")</f>
        <v>A51</v>
      </c>
      <c r="C387" t="s">
        <v>330</v>
      </c>
      <c r="D387" s="65">
        <v>17</v>
      </c>
    </row>
    <row r="388" spans="1:4" ht="15" customHeight="1" outlineLevel="1" x14ac:dyDescent="0.2">
      <c r="A388" t="s">
        <v>302</v>
      </c>
      <c r="B388" s="76" t="str">
        <f>HYPERLINK("#'Recapture &amp; Upside'!E51","E51")</f>
        <v>E51</v>
      </c>
      <c r="C388" t="s">
        <v>330</v>
      </c>
      <c r="D388" s="90">
        <v>3</v>
      </c>
    </row>
    <row r="389" spans="1:4" ht="15" customHeight="1" outlineLevel="1" x14ac:dyDescent="0.2">
      <c r="A389" t="s">
        <v>302</v>
      </c>
      <c r="B389" s="76" t="str">
        <f>HYPERLINK("#'Recapture &amp; Upside'!A52","A52")</f>
        <v>A52</v>
      </c>
      <c r="C389" t="s">
        <v>331</v>
      </c>
      <c r="D389" s="65">
        <v>18</v>
      </c>
    </row>
    <row r="390" spans="1:4" ht="15" customHeight="1" outlineLevel="1" x14ac:dyDescent="0.2">
      <c r="A390" t="s">
        <v>302</v>
      </c>
      <c r="B390" s="76" t="str">
        <f>HYPERLINK("#'Recapture &amp; Upside'!E52","E52")</f>
        <v>E52</v>
      </c>
      <c r="C390" t="s">
        <v>331</v>
      </c>
      <c r="D390" s="90">
        <v>2</v>
      </c>
    </row>
    <row r="391" spans="1:4" ht="15" customHeight="1" outlineLevel="1" x14ac:dyDescent="0.2">
      <c r="A391" t="s">
        <v>302</v>
      </c>
      <c r="B391" s="76" t="str">
        <f>HYPERLINK("#'Recapture &amp; Upside'!F52","F52")</f>
        <v>F52</v>
      </c>
      <c r="C391" t="s">
        <v>331</v>
      </c>
      <c r="D391" s="83">
        <v>1</v>
      </c>
    </row>
    <row r="392" spans="1:4" ht="15" customHeight="1" outlineLevel="1" x14ac:dyDescent="0.2">
      <c r="A392" t="s">
        <v>302</v>
      </c>
      <c r="B392" s="76" t="str">
        <f>HYPERLINK("#'Recapture &amp; Upside'!K56","K56")</f>
        <v>K56</v>
      </c>
      <c r="C392" t="s">
        <v>332</v>
      </c>
      <c r="D392" s="77">
        <v>0.5</v>
      </c>
    </row>
    <row r="393" spans="1:4" ht="15" customHeight="1" outlineLevel="1" x14ac:dyDescent="0.2">
      <c r="A393" t="s">
        <v>302</v>
      </c>
      <c r="B393" s="76" t="str">
        <f>HYPERLINK("#'Recapture &amp; Upside'!A58","A58")</f>
        <v>A58</v>
      </c>
      <c r="C393" t="s">
        <v>333</v>
      </c>
      <c r="D393" s="65">
        <v>1</v>
      </c>
    </row>
    <row r="394" spans="1:4" ht="15" customHeight="1" outlineLevel="1" x14ac:dyDescent="0.2">
      <c r="A394" t="s">
        <v>302</v>
      </c>
      <c r="B394" s="76" t="str">
        <f>HYPERLINK("#'Recapture &amp; Upside'!E58","E58")</f>
        <v>E58</v>
      </c>
      <c r="C394" t="s">
        <v>333</v>
      </c>
      <c r="D394" s="90">
        <v>75</v>
      </c>
    </row>
    <row r="395" spans="1:4" ht="15" customHeight="1" outlineLevel="1" x14ac:dyDescent="0.2">
      <c r="A395" t="s">
        <v>302</v>
      </c>
      <c r="B395" s="76" t="str">
        <f>HYPERLINK("#'Recapture &amp; Upside'!F58","F58")</f>
        <v>F58</v>
      </c>
      <c r="C395" t="s">
        <v>333</v>
      </c>
      <c r="D395" s="80">
        <v>72</v>
      </c>
    </row>
    <row r="396" spans="1:4" ht="15" customHeight="1" outlineLevel="1" x14ac:dyDescent="0.2">
      <c r="A396" t="s">
        <v>302</v>
      </c>
      <c r="B396" s="76" t="str">
        <f>HYPERLINK("#'Recapture &amp; Upside'!A59","A59")</f>
        <v>A59</v>
      </c>
      <c r="C396" t="s">
        <v>334</v>
      </c>
      <c r="D396" s="65">
        <v>2</v>
      </c>
    </row>
    <row r="397" spans="1:4" ht="15" customHeight="1" outlineLevel="1" x14ac:dyDescent="0.2">
      <c r="A397" t="s">
        <v>302</v>
      </c>
      <c r="B397" s="76" t="str">
        <f>HYPERLINK("#'Recapture &amp; Upside'!E59","E59")</f>
        <v>E59</v>
      </c>
      <c r="C397" t="s">
        <v>334</v>
      </c>
      <c r="D397" s="90">
        <v>250</v>
      </c>
    </row>
    <row r="398" spans="1:4" ht="15" customHeight="1" outlineLevel="1" x14ac:dyDescent="0.2">
      <c r="A398" t="s">
        <v>302</v>
      </c>
      <c r="B398" s="76" t="str">
        <f>HYPERLINK("#'Recapture &amp; Upside'!F59","F59")</f>
        <v>F59</v>
      </c>
      <c r="C398" t="s">
        <v>334</v>
      </c>
      <c r="D398" s="80">
        <v>21</v>
      </c>
    </row>
    <row r="399" spans="1:4" ht="15" customHeight="1" outlineLevel="1" x14ac:dyDescent="0.2">
      <c r="A399" t="s">
        <v>302</v>
      </c>
      <c r="B399" s="76" t="str">
        <f>HYPERLINK("#'Recapture &amp; Upside'!A60","A60")</f>
        <v>A60</v>
      </c>
      <c r="C399" t="s">
        <v>335</v>
      </c>
      <c r="D399" s="65">
        <v>3</v>
      </c>
    </row>
    <row r="400" spans="1:4" ht="15" customHeight="1" outlineLevel="1" x14ac:dyDescent="0.2">
      <c r="A400" t="s">
        <v>302</v>
      </c>
      <c r="B400" s="76" t="str">
        <f>HYPERLINK("#'Recapture &amp; Upside'!E60","E60")</f>
        <v>E60</v>
      </c>
      <c r="C400" t="s">
        <v>335</v>
      </c>
      <c r="D400" s="90">
        <v>150</v>
      </c>
    </row>
    <row r="401" spans="1:4" ht="15" customHeight="1" outlineLevel="1" x14ac:dyDescent="0.2">
      <c r="A401" t="s">
        <v>302</v>
      </c>
      <c r="B401" s="76" t="str">
        <f>HYPERLINK("#'Recapture &amp; Upside'!F60","F60")</f>
        <v>F60</v>
      </c>
      <c r="C401" t="s">
        <v>335</v>
      </c>
      <c r="D401" s="80">
        <v>7</v>
      </c>
    </row>
    <row r="402" spans="1:4" ht="15" customHeight="1" outlineLevel="1" x14ac:dyDescent="0.2">
      <c r="A402" t="s">
        <v>302</v>
      </c>
      <c r="B402" s="76" t="str">
        <f>HYPERLINK("#'Recapture &amp; Upside'!A61","A61")</f>
        <v>A61</v>
      </c>
      <c r="C402" t="s">
        <v>336</v>
      </c>
      <c r="D402" s="65">
        <v>4</v>
      </c>
    </row>
    <row r="403" spans="1:4" ht="15" customHeight="1" outlineLevel="1" x14ac:dyDescent="0.2">
      <c r="A403" t="s">
        <v>302</v>
      </c>
      <c r="B403" s="76" t="str">
        <f>HYPERLINK("#'Recapture &amp; Upside'!E61","E61")</f>
        <v>E61</v>
      </c>
      <c r="C403" t="s">
        <v>336</v>
      </c>
      <c r="D403" s="90">
        <v>1500</v>
      </c>
    </row>
    <row r="404" spans="1:4" ht="15" customHeight="1" outlineLevel="1" x14ac:dyDescent="0.2">
      <c r="A404" t="s">
        <v>302</v>
      </c>
      <c r="B404" s="76" t="str">
        <f>HYPERLINK("#'Recapture &amp; Upside'!F61","F61")</f>
        <v>F61</v>
      </c>
      <c r="C404" t="s">
        <v>336</v>
      </c>
      <c r="D404" s="80">
        <v>4</v>
      </c>
    </row>
    <row r="405" spans="1:4" ht="15" customHeight="1" outlineLevel="1" x14ac:dyDescent="0.2">
      <c r="A405" t="s">
        <v>302</v>
      </c>
      <c r="B405" s="76" t="str">
        <f>HYPERLINK("#'Recapture &amp; Upside'!A62","A62")</f>
        <v>A62</v>
      </c>
      <c r="C405" t="s">
        <v>337</v>
      </c>
      <c r="D405" s="65">
        <v>5</v>
      </c>
    </row>
    <row r="406" spans="1:4" ht="15" customHeight="1" outlineLevel="1" x14ac:dyDescent="0.2">
      <c r="A406" t="s">
        <v>302</v>
      </c>
      <c r="B406" s="76" t="str">
        <f>HYPERLINK("#'Recapture &amp; Upside'!E62","E62")</f>
        <v>E62</v>
      </c>
      <c r="C406" t="s">
        <v>337</v>
      </c>
      <c r="D406" s="90">
        <v>75</v>
      </c>
    </row>
    <row r="407" spans="1:4" ht="15" customHeight="1" outlineLevel="1" x14ac:dyDescent="0.2">
      <c r="A407" t="s">
        <v>302</v>
      </c>
      <c r="B407" s="76" t="str">
        <f>HYPERLINK("#'Recapture &amp; Upside'!F62","F62")</f>
        <v>F62</v>
      </c>
      <c r="C407" t="s">
        <v>337</v>
      </c>
      <c r="D407" s="80">
        <v>72</v>
      </c>
    </row>
    <row r="408" spans="1:4" ht="15" customHeight="1" outlineLevel="1" x14ac:dyDescent="0.2">
      <c r="A408" t="s">
        <v>302</v>
      </c>
      <c r="B408" s="76" t="str">
        <f>HYPERLINK("#'Recapture &amp; Upside'!A63","A63")</f>
        <v>A63</v>
      </c>
      <c r="C408" t="s">
        <v>338</v>
      </c>
      <c r="D408" s="65">
        <v>6</v>
      </c>
    </row>
    <row r="409" spans="1:4" ht="15" customHeight="1" outlineLevel="1" x14ac:dyDescent="0.2">
      <c r="A409" t="s">
        <v>302</v>
      </c>
      <c r="B409" s="76" t="str">
        <f>HYPERLINK("#'Recapture &amp; Upside'!E63","E63")</f>
        <v>E63</v>
      </c>
      <c r="C409" t="s">
        <v>338</v>
      </c>
      <c r="D409" s="90">
        <v>200</v>
      </c>
    </row>
    <row r="410" spans="1:4" ht="15" customHeight="1" outlineLevel="1" x14ac:dyDescent="0.2">
      <c r="A410" t="s">
        <v>302</v>
      </c>
      <c r="B410" s="76" t="str">
        <f>HYPERLINK("#'Recapture &amp; Upside'!F63","F63")</f>
        <v>F63</v>
      </c>
      <c r="C410" t="s">
        <v>338</v>
      </c>
      <c r="D410" s="80">
        <v>72</v>
      </c>
    </row>
    <row r="411" spans="1:4" ht="15" customHeight="1" outlineLevel="1" x14ac:dyDescent="0.2">
      <c r="A411" t="s">
        <v>302</v>
      </c>
      <c r="B411" s="76" t="str">
        <f>HYPERLINK("#'Recapture &amp; Upside'!A70","A70")</f>
        <v>A70</v>
      </c>
      <c r="C411" t="s">
        <v>339</v>
      </c>
      <c r="D411" s="65">
        <v>1</v>
      </c>
    </row>
    <row r="412" spans="1:4" ht="15" customHeight="1" outlineLevel="1" x14ac:dyDescent="0.2">
      <c r="A412" t="s">
        <v>302</v>
      </c>
      <c r="B412" s="76" t="str">
        <f>HYPERLINK("#'Recapture &amp; Upside'!E70","E70")</f>
        <v>E70</v>
      </c>
      <c r="C412" t="s">
        <v>339</v>
      </c>
      <c r="D412" s="90">
        <v>25</v>
      </c>
    </row>
    <row r="413" spans="1:4" ht="15" customHeight="1" outlineLevel="1" x14ac:dyDescent="0.2">
      <c r="A413" t="s">
        <v>302</v>
      </c>
      <c r="B413" s="76" t="str">
        <f>HYPERLINK("#'Recapture &amp; Upside'!F70","F70")</f>
        <v>F70</v>
      </c>
      <c r="C413" t="s">
        <v>339</v>
      </c>
      <c r="D413" s="83">
        <v>0.5</v>
      </c>
    </row>
    <row r="414" spans="1:4" ht="15" customHeight="1" outlineLevel="1" x14ac:dyDescent="0.2">
      <c r="A414" t="s">
        <v>302</v>
      </c>
      <c r="B414" s="76" t="str">
        <f>HYPERLINK("#'Recapture &amp; Upside'!A71","A71")</f>
        <v>A71</v>
      </c>
      <c r="C414" t="s">
        <v>340</v>
      </c>
      <c r="D414" s="65">
        <v>2</v>
      </c>
    </row>
    <row r="415" spans="1:4" ht="15" customHeight="1" outlineLevel="1" x14ac:dyDescent="0.2">
      <c r="A415" t="s">
        <v>302</v>
      </c>
      <c r="B415" s="76" t="str">
        <f>HYPERLINK("#'Recapture &amp; Upside'!E71","E71")</f>
        <v>E71</v>
      </c>
      <c r="C415" t="s">
        <v>340</v>
      </c>
      <c r="D415" s="90">
        <v>200</v>
      </c>
    </row>
    <row r="416" spans="1:4" ht="15" customHeight="1" outlineLevel="1" x14ac:dyDescent="0.2">
      <c r="A416" t="s">
        <v>302</v>
      </c>
      <c r="B416" s="76" t="str">
        <f>HYPERLINK("#'Recapture &amp; Upside'!F71","F71")</f>
        <v>F71</v>
      </c>
      <c r="C416" t="s">
        <v>340</v>
      </c>
      <c r="D416" s="83">
        <v>0.05</v>
      </c>
    </row>
    <row r="417" spans="1:5" ht="15" customHeight="1" outlineLevel="1" x14ac:dyDescent="0.2">
      <c r="A417" t="s">
        <v>302</v>
      </c>
      <c r="B417" s="76" t="str">
        <f>HYPERLINK("#'Recapture &amp; Upside'!A72","A72")</f>
        <v>A72</v>
      </c>
      <c r="C417" t="s">
        <v>341</v>
      </c>
      <c r="D417" s="65">
        <v>3</v>
      </c>
    </row>
    <row r="418" spans="1:5" ht="15" customHeight="1" outlineLevel="1" x14ac:dyDescent="0.2">
      <c r="A418" t="s">
        <v>302</v>
      </c>
      <c r="B418" s="76" t="str">
        <f>HYPERLINK("#'Recapture &amp; Upside'!E72","E72")</f>
        <v>E72</v>
      </c>
      <c r="C418" t="s">
        <v>341</v>
      </c>
      <c r="D418" s="90">
        <v>400</v>
      </c>
    </row>
    <row r="419" spans="1:5" ht="15" customHeight="1" outlineLevel="1" x14ac:dyDescent="0.2">
      <c r="A419" t="s">
        <v>302</v>
      </c>
      <c r="B419" s="76" t="str">
        <f>HYPERLINK("#'Recapture &amp; Upside'!F72","F72")</f>
        <v>F72</v>
      </c>
      <c r="C419" t="s">
        <v>341</v>
      </c>
      <c r="D419" s="83">
        <v>0.03</v>
      </c>
    </row>
    <row r="420" spans="1:5" ht="15" customHeight="1" outlineLevel="1" x14ac:dyDescent="0.2">
      <c r="A420" t="s">
        <v>302</v>
      </c>
      <c r="B420" s="76" t="str">
        <f>HYPERLINK("#'Recapture &amp; Upside'!A73","A73")</f>
        <v>A73</v>
      </c>
      <c r="C420" t="s">
        <v>342</v>
      </c>
      <c r="D420" s="65">
        <v>4</v>
      </c>
    </row>
    <row r="421" spans="1:5" ht="15" customHeight="1" outlineLevel="1" x14ac:dyDescent="0.2">
      <c r="A421" t="s">
        <v>302</v>
      </c>
      <c r="B421" s="76" t="str">
        <f>HYPERLINK("#'Recapture &amp; Upside'!E73","E73")</f>
        <v>E73</v>
      </c>
      <c r="C421" t="s">
        <v>342</v>
      </c>
      <c r="D421" s="90">
        <v>15</v>
      </c>
    </row>
    <row r="422" spans="1:5" ht="15" customHeight="1" outlineLevel="1" x14ac:dyDescent="0.2">
      <c r="A422" t="s">
        <v>302</v>
      </c>
      <c r="B422" s="76" t="str">
        <f>HYPERLINK("#'Recapture &amp; Upside'!F73","F73")</f>
        <v>F73</v>
      </c>
      <c r="C422" t="s">
        <v>342</v>
      </c>
      <c r="D422" s="83">
        <v>0.3</v>
      </c>
    </row>
    <row r="423" spans="1:5" ht="15" customHeight="1" x14ac:dyDescent="0.2">
      <c r="B423" s="76"/>
    </row>
    <row r="424" spans="1:5" ht="15" customHeight="1" x14ac:dyDescent="0.2">
      <c r="A424" s="74" t="s">
        <v>343</v>
      </c>
      <c r="B424" s="75" t="s">
        <v>344</v>
      </c>
      <c r="C424" s="74"/>
      <c r="D424" s="74"/>
      <c r="E424" s="74"/>
    </row>
    <row r="425" spans="1:5" ht="15" hidden="1" customHeight="1" outlineLevel="1" x14ac:dyDescent="0.2">
      <c r="A425" t="s">
        <v>345</v>
      </c>
      <c r="B425" s="76" t="str">
        <f>HYPERLINK("#'Rent Roll Analysis'!D12","D12")</f>
        <v>D12</v>
      </c>
      <c r="C425" t="s">
        <v>346</v>
      </c>
      <c r="D425" s="78">
        <v>0</v>
      </c>
    </row>
    <row r="426" spans="1:5" ht="15" hidden="1" customHeight="1" outlineLevel="1" x14ac:dyDescent="0.2">
      <c r="A426" t="s">
        <v>345</v>
      </c>
      <c r="B426" s="76" t="str">
        <f>HYPERLINK("#'Rent Roll Analysis'!E12","E12")</f>
        <v>E12</v>
      </c>
      <c r="C426" t="s">
        <v>346</v>
      </c>
      <c r="D426" s="78">
        <v>0</v>
      </c>
    </row>
    <row r="427" spans="1:5" ht="15" hidden="1" customHeight="1" outlineLevel="1" x14ac:dyDescent="0.2">
      <c r="A427" t="s">
        <v>345</v>
      </c>
      <c r="B427" s="76" t="str">
        <f>HYPERLINK("#'Rent Roll Analysis'!F12","F12")</f>
        <v>F12</v>
      </c>
      <c r="C427" t="s">
        <v>346</v>
      </c>
      <c r="D427" s="78">
        <v>0</v>
      </c>
    </row>
    <row r="428" spans="1:5" ht="15" hidden="1" customHeight="1" outlineLevel="1" x14ac:dyDescent="0.2">
      <c r="A428" t="s">
        <v>345</v>
      </c>
      <c r="B428" s="76" t="str">
        <f>HYPERLINK("#'Rent Roll Analysis'!G12","G12")</f>
        <v>G12</v>
      </c>
      <c r="C428" t="s">
        <v>346</v>
      </c>
      <c r="D428" s="78">
        <v>0</v>
      </c>
    </row>
    <row r="429" spans="1:5" ht="15" hidden="1" customHeight="1" outlineLevel="1" x14ac:dyDescent="0.2">
      <c r="A429" t="s">
        <v>345</v>
      </c>
      <c r="B429" s="76" t="str">
        <f>HYPERLINK("#'Rent Roll Analysis'!D13","D13")</f>
        <v>D13</v>
      </c>
      <c r="C429" t="s">
        <v>347</v>
      </c>
      <c r="D429" s="78">
        <v>0</v>
      </c>
    </row>
    <row r="430" spans="1:5" ht="15" hidden="1" customHeight="1" outlineLevel="1" x14ac:dyDescent="0.2">
      <c r="A430" t="s">
        <v>345</v>
      </c>
      <c r="B430" s="76" t="str">
        <f>HYPERLINK("#'Rent Roll Analysis'!E13","E13")</f>
        <v>E13</v>
      </c>
      <c r="C430" t="s">
        <v>347</v>
      </c>
      <c r="D430" s="78">
        <v>0</v>
      </c>
    </row>
    <row r="431" spans="1:5" ht="15" hidden="1" customHeight="1" outlineLevel="1" x14ac:dyDescent="0.2">
      <c r="A431" t="s">
        <v>345</v>
      </c>
      <c r="B431" s="76" t="str">
        <f>HYPERLINK("#'Rent Roll Analysis'!F13","F13")</f>
        <v>F13</v>
      </c>
      <c r="C431" t="s">
        <v>347</v>
      </c>
      <c r="D431" s="78">
        <v>0</v>
      </c>
    </row>
    <row r="432" spans="1:5" ht="15" hidden="1" customHeight="1" outlineLevel="1" x14ac:dyDescent="0.2">
      <c r="A432" t="s">
        <v>345</v>
      </c>
      <c r="B432" s="76" t="str">
        <f>HYPERLINK("#'Rent Roll Analysis'!G13","G13")</f>
        <v>G13</v>
      </c>
      <c r="C432" t="s">
        <v>347</v>
      </c>
      <c r="D432" s="78">
        <v>0</v>
      </c>
    </row>
    <row r="433" spans="1:4" ht="15" hidden="1" customHeight="1" outlineLevel="1" x14ac:dyDescent="0.2">
      <c r="A433" t="s">
        <v>345</v>
      </c>
      <c r="B433" s="76" t="str">
        <f>HYPERLINK("#'Rent Roll Analysis'!D14","D14")</f>
        <v>D14</v>
      </c>
      <c r="C433" t="s">
        <v>348</v>
      </c>
      <c r="D433" s="78">
        <v>0</v>
      </c>
    </row>
    <row r="434" spans="1:4" ht="15" hidden="1" customHeight="1" outlineLevel="1" x14ac:dyDescent="0.2">
      <c r="A434" t="s">
        <v>345</v>
      </c>
      <c r="B434" s="76" t="str">
        <f>HYPERLINK("#'Rent Roll Analysis'!E14","E14")</f>
        <v>E14</v>
      </c>
      <c r="C434" t="s">
        <v>348</v>
      </c>
      <c r="D434" s="78">
        <v>0</v>
      </c>
    </row>
    <row r="435" spans="1:4" ht="15" hidden="1" customHeight="1" outlineLevel="1" x14ac:dyDescent="0.2">
      <c r="A435" t="s">
        <v>345</v>
      </c>
      <c r="B435" s="76" t="str">
        <f>HYPERLINK("#'Rent Roll Analysis'!F14","F14")</f>
        <v>F14</v>
      </c>
      <c r="C435" t="s">
        <v>348</v>
      </c>
      <c r="D435" s="78">
        <v>0</v>
      </c>
    </row>
    <row r="436" spans="1:4" ht="15" hidden="1" customHeight="1" outlineLevel="1" x14ac:dyDescent="0.2">
      <c r="A436" t="s">
        <v>345</v>
      </c>
      <c r="B436" s="76" t="str">
        <f>HYPERLINK("#'Rent Roll Analysis'!G14","G14")</f>
        <v>G14</v>
      </c>
      <c r="C436" t="s">
        <v>348</v>
      </c>
      <c r="D436" s="78">
        <v>0</v>
      </c>
    </row>
    <row r="437" spans="1:4" ht="15" hidden="1" customHeight="1" outlineLevel="1" x14ac:dyDescent="0.2">
      <c r="A437" t="s">
        <v>345</v>
      </c>
      <c r="B437" s="76" t="str">
        <f>HYPERLINK("#'Rent Roll Analysis'!D15","D15")</f>
        <v>D15</v>
      </c>
      <c r="C437" t="s">
        <v>349</v>
      </c>
      <c r="D437" s="78">
        <v>0</v>
      </c>
    </row>
    <row r="438" spans="1:4" ht="15" hidden="1" customHeight="1" outlineLevel="1" x14ac:dyDescent="0.2">
      <c r="A438" t="s">
        <v>345</v>
      </c>
      <c r="B438" s="76" t="str">
        <f>HYPERLINK("#'Rent Roll Analysis'!E15","E15")</f>
        <v>E15</v>
      </c>
      <c r="C438" t="s">
        <v>349</v>
      </c>
      <c r="D438" s="78">
        <v>0</v>
      </c>
    </row>
    <row r="439" spans="1:4" ht="15" hidden="1" customHeight="1" outlineLevel="1" x14ac:dyDescent="0.2">
      <c r="A439" t="s">
        <v>345</v>
      </c>
      <c r="B439" s="76" t="str">
        <f>HYPERLINK("#'Rent Roll Analysis'!F15","F15")</f>
        <v>F15</v>
      </c>
      <c r="C439" t="s">
        <v>349</v>
      </c>
      <c r="D439" s="78">
        <v>0</v>
      </c>
    </row>
    <row r="440" spans="1:4" ht="15" hidden="1" customHeight="1" outlineLevel="1" x14ac:dyDescent="0.2">
      <c r="A440" t="s">
        <v>345</v>
      </c>
      <c r="B440" s="76" t="str">
        <f>HYPERLINK("#'Rent Roll Analysis'!G15","G15")</f>
        <v>G15</v>
      </c>
      <c r="C440" t="s">
        <v>349</v>
      </c>
      <c r="D440" s="78">
        <v>0</v>
      </c>
    </row>
    <row r="441" spans="1:4" ht="15" hidden="1" customHeight="1" outlineLevel="1" x14ac:dyDescent="0.2">
      <c r="A441" t="s">
        <v>345</v>
      </c>
      <c r="B441" s="76" t="str">
        <f>HYPERLINK("#'Rent Roll Analysis'!D16","D16")</f>
        <v>D16</v>
      </c>
      <c r="C441" t="s">
        <v>350</v>
      </c>
      <c r="D441" s="78">
        <v>0</v>
      </c>
    </row>
    <row r="442" spans="1:4" ht="15" hidden="1" customHeight="1" outlineLevel="1" x14ac:dyDescent="0.2">
      <c r="A442" t="s">
        <v>345</v>
      </c>
      <c r="B442" s="76" t="str">
        <f>HYPERLINK("#'Rent Roll Analysis'!E16","E16")</f>
        <v>E16</v>
      </c>
      <c r="C442" t="s">
        <v>350</v>
      </c>
      <c r="D442" s="78">
        <v>0</v>
      </c>
    </row>
    <row r="443" spans="1:4" ht="15" hidden="1" customHeight="1" outlineLevel="1" x14ac:dyDescent="0.2">
      <c r="A443" t="s">
        <v>345</v>
      </c>
      <c r="B443" s="76" t="str">
        <f>HYPERLINK("#'Rent Roll Analysis'!F16","F16")</f>
        <v>F16</v>
      </c>
      <c r="C443" t="s">
        <v>350</v>
      </c>
      <c r="D443" s="78">
        <v>0</v>
      </c>
    </row>
    <row r="444" spans="1:4" ht="15" hidden="1" customHeight="1" outlineLevel="1" x14ac:dyDescent="0.2">
      <c r="A444" t="s">
        <v>345</v>
      </c>
      <c r="B444" s="76" t="str">
        <f>HYPERLINK("#'Rent Roll Analysis'!G16","G16")</f>
        <v>G16</v>
      </c>
      <c r="C444" t="s">
        <v>350</v>
      </c>
      <c r="D444" s="78">
        <v>0</v>
      </c>
    </row>
    <row r="445" spans="1:4" ht="15" hidden="1" customHeight="1" outlineLevel="1" x14ac:dyDescent="0.2">
      <c r="A445" t="s">
        <v>345</v>
      </c>
      <c r="B445" s="76" t="str">
        <f>HYPERLINK("#'Rent Roll Analysis'!A96","A96")</f>
        <v>A96</v>
      </c>
      <c r="C445" t="s">
        <v>351</v>
      </c>
      <c r="D445" s="65">
        <v>1</v>
      </c>
    </row>
    <row r="446" spans="1:4" ht="15" hidden="1" customHeight="1" outlineLevel="1" x14ac:dyDescent="0.2">
      <c r="A446" t="s">
        <v>345</v>
      </c>
      <c r="B446" s="76" t="str">
        <f>HYPERLINK("#'Rent Roll Analysis'!A97","A97")</f>
        <v>A97</v>
      </c>
      <c r="C446" t="s">
        <v>351</v>
      </c>
      <c r="D446" s="65">
        <v>2</v>
      </c>
    </row>
    <row r="447" spans="1:4" ht="15" hidden="1" customHeight="1" outlineLevel="1" x14ac:dyDescent="0.2">
      <c r="A447" t="s">
        <v>345</v>
      </c>
      <c r="B447" s="76" t="str">
        <f>HYPERLINK("#'Rent Roll Analysis'!A98","A98")</f>
        <v>A98</v>
      </c>
      <c r="C447" t="s">
        <v>351</v>
      </c>
      <c r="D447" s="65">
        <v>3</v>
      </c>
    </row>
    <row r="448" spans="1:4" ht="15" hidden="1" customHeight="1" outlineLevel="1" x14ac:dyDescent="0.2">
      <c r="A448" t="s">
        <v>345</v>
      </c>
      <c r="B448" s="76" t="str">
        <f>HYPERLINK("#'Rent Roll Analysis'!A99","A99")</f>
        <v>A99</v>
      </c>
      <c r="C448" t="s">
        <v>351</v>
      </c>
      <c r="D448" s="65">
        <v>4</v>
      </c>
    </row>
    <row r="449" spans="1:4" ht="15" hidden="1" customHeight="1" outlineLevel="1" x14ac:dyDescent="0.2">
      <c r="A449" t="s">
        <v>345</v>
      </c>
      <c r="B449" s="76" t="str">
        <f>HYPERLINK("#'Rent Roll Analysis'!A100","A100")</f>
        <v>A100</v>
      </c>
      <c r="C449" t="s">
        <v>351</v>
      </c>
      <c r="D449" s="65">
        <v>5</v>
      </c>
    </row>
    <row r="450" spans="1:4" ht="15" hidden="1" customHeight="1" outlineLevel="1" x14ac:dyDescent="0.2">
      <c r="A450" t="s">
        <v>345</v>
      </c>
      <c r="B450" s="76" t="str">
        <f>HYPERLINK("#'Rent Roll Analysis'!A101","A101")</f>
        <v>A101</v>
      </c>
      <c r="C450" t="s">
        <v>351</v>
      </c>
      <c r="D450" s="65">
        <v>6</v>
      </c>
    </row>
    <row r="451" spans="1:4" ht="15" hidden="1" customHeight="1" outlineLevel="1" x14ac:dyDescent="0.2">
      <c r="A451" t="s">
        <v>345</v>
      </c>
      <c r="B451" s="76" t="str">
        <f>HYPERLINK("#'Rent Roll Analysis'!A102","A102")</f>
        <v>A102</v>
      </c>
      <c r="C451" t="s">
        <v>351</v>
      </c>
      <c r="D451" s="65">
        <v>7</v>
      </c>
    </row>
    <row r="452" spans="1:4" ht="15" hidden="1" customHeight="1" outlineLevel="1" x14ac:dyDescent="0.2">
      <c r="A452" t="s">
        <v>345</v>
      </c>
      <c r="B452" s="76" t="str">
        <f>HYPERLINK("#'Rent Roll Analysis'!A103","A103")</f>
        <v>A103</v>
      </c>
      <c r="C452" t="s">
        <v>351</v>
      </c>
      <c r="D452" s="65">
        <v>8</v>
      </c>
    </row>
    <row r="453" spans="1:4" ht="15" hidden="1" customHeight="1" outlineLevel="1" x14ac:dyDescent="0.2">
      <c r="A453" t="s">
        <v>345</v>
      </c>
      <c r="B453" s="76" t="str">
        <f>HYPERLINK("#'Rent Roll Analysis'!A104","A104")</f>
        <v>A104</v>
      </c>
      <c r="C453" t="s">
        <v>351</v>
      </c>
      <c r="D453" s="65">
        <v>9</v>
      </c>
    </row>
    <row r="454" spans="1:4" ht="15" hidden="1" customHeight="1" outlineLevel="1" x14ac:dyDescent="0.2">
      <c r="A454" t="s">
        <v>345</v>
      </c>
      <c r="B454" s="76" t="str">
        <f>HYPERLINK("#'Rent Roll Analysis'!A105","A105")</f>
        <v>A105</v>
      </c>
      <c r="C454" t="s">
        <v>351</v>
      </c>
      <c r="D454" s="65">
        <v>10</v>
      </c>
    </row>
    <row r="455" spans="1:4" ht="15" hidden="1" customHeight="1" outlineLevel="1" x14ac:dyDescent="0.2">
      <c r="A455" t="s">
        <v>345</v>
      </c>
      <c r="B455" s="76" t="str">
        <f>HYPERLINK("#'Rent Roll Analysis'!D124","D124")</f>
        <v>D124</v>
      </c>
      <c r="C455" t="s">
        <v>352</v>
      </c>
      <c r="D455" s="78">
        <v>0</v>
      </c>
    </row>
    <row r="456" spans="1:4" ht="15" hidden="1" customHeight="1" outlineLevel="1" x14ac:dyDescent="0.2">
      <c r="A456" t="s">
        <v>345</v>
      </c>
      <c r="B456" s="76" t="str">
        <f>HYPERLINK("#'Rent Roll Analysis'!E124","E124")</f>
        <v>E124</v>
      </c>
      <c r="C456" t="s">
        <v>352</v>
      </c>
      <c r="D456" s="78">
        <v>0</v>
      </c>
    </row>
    <row r="457" spans="1:4" ht="15" hidden="1" customHeight="1" outlineLevel="1" x14ac:dyDescent="0.2">
      <c r="A457" t="s">
        <v>345</v>
      </c>
      <c r="B457" s="76" t="str">
        <f>HYPERLINK("#'Rent Roll Analysis'!B190","B190")</f>
        <v>B190</v>
      </c>
      <c r="C457" t="s">
        <v>353</v>
      </c>
      <c r="D457" s="78">
        <v>50911</v>
      </c>
    </row>
    <row r="458" spans="1:4" ht="15" hidden="1" customHeight="1" outlineLevel="1" x14ac:dyDescent="0.2">
      <c r="A458" t="s">
        <v>345</v>
      </c>
      <c r="B458" s="76" t="str">
        <f>HYPERLINK("#'Rent Roll Analysis'!B191","B191")</f>
        <v>B191</v>
      </c>
      <c r="C458" t="s">
        <v>354</v>
      </c>
      <c r="D458" s="78">
        <v>4487</v>
      </c>
    </row>
    <row r="459" spans="1:4" ht="15" hidden="1" customHeight="1" outlineLevel="1" x14ac:dyDescent="0.2">
      <c r="A459" t="s">
        <v>345</v>
      </c>
      <c r="B459" s="76" t="str">
        <f>HYPERLINK("#'Rent Roll Analysis'!B192","B192")</f>
        <v>B192</v>
      </c>
      <c r="C459" t="s">
        <v>355</v>
      </c>
      <c r="D459" s="78">
        <v>7105</v>
      </c>
    </row>
    <row r="460" spans="1:4" ht="15" hidden="1" customHeight="1" outlineLevel="1" x14ac:dyDescent="0.2">
      <c r="A460" t="s">
        <v>345</v>
      </c>
      <c r="B460" s="76" t="str">
        <f>HYPERLINK("#'Rent Roll Analysis'!A249","A249")</f>
        <v>A249</v>
      </c>
      <c r="C460" t="s">
        <v>356</v>
      </c>
      <c r="D460" s="80">
        <v>1</v>
      </c>
    </row>
    <row r="461" spans="1:4" ht="15" hidden="1" customHeight="1" outlineLevel="1" x14ac:dyDescent="0.2">
      <c r="A461" t="s">
        <v>345</v>
      </c>
      <c r="B461" s="76" t="str">
        <f>HYPERLINK("#'Rent Roll Analysis'!A250","A250")</f>
        <v>A250</v>
      </c>
      <c r="C461" t="s">
        <v>356</v>
      </c>
      <c r="D461" s="80">
        <v>2</v>
      </c>
    </row>
    <row r="462" spans="1:4" ht="15" hidden="1" customHeight="1" outlineLevel="1" x14ac:dyDescent="0.2">
      <c r="A462" t="s">
        <v>345</v>
      </c>
      <c r="B462" s="76" t="str">
        <f>HYPERLINK("#'Rent Roll Analysis'!A251","A251")</f>
        <v>A251</v>
      </c>
      <c r="C462" t="s">
        <v>356</v>
      </c>
      <c r="D462" s="80">
        <v>3</v>
      </c>
    </row>
    <row r="463" spans="1:4" ht="15" hidden="1" customHeight="1" outlineLevel="1" x14ac:dyDescent="0.2">
      <c r="A463" t="s">
        <v>345</v>
      </c>
      <c r="B463" s="76" t="str">
        <f>HYPERLINK("#'Rent Roll Analysis'!A252","A252")</f>
        <v>A252</v>
      </c>
      <c r="C463" t="s">
        <v>356</v>
      </c>
      <c r="D463" s="80">
        <v>4</v>
      </c>
    </row>
    <row r="464" spans="1:4" ht="15" hidden="1" customHeight="1" outlineLevel="1" x14ac:dyDescent="0.2">
      <c r="A464" t="s">
        <v>345</v>
      </c>
      <c r="B464" s="76" t="str">
        <f>HYPERLINK("#'Rent Roll Analysis'!A253","A253")</f>
        <v>A253</v>
      </c>
      <c r="C464" t="s">
        <v>356</v>
      </c>
      <c r="D464" s="80">
        <v>5</v>
      </c>
    </row>
    <row r="465" spans="1:5" ht="15" hidden="1" customHeight="1" outlineLevel="1" x14ac:dyDescent="0.2">
      <c r="A465" t="s">
        <v>345</v>
      </c>
      <c r="B465" s="76" t="str">
        <f>HYPERLINK("#'Rent Roll Analysis'!A254","A254")</f>
        <v>A254</v>
      </c>
      <c r="C465" t="s">
        <v>356</v>
      </c>
      <c r="D465" s="80">
        <v>6</v>
      </c>
    </row>
    <row r="466" spans="1:5" ht="15" hidden="1" customHeight="1" outlineLevel="1" x14ac:dyDescent="0.2">
      <c r="A466" t="s">
        <v>345</v>
      </c>
      <c r="B466" s="76" t="str">
        <f>HYPERLINK("#'Rent Roll Analysis'!A255","A255")</f>
        <v>A255</v>
      </c>
      <c r="C466" t="s">
        <v>356</v>
      </c>
      <c r="D466" s="80">
        <v>7</v>
      </c>
    </row>
    <row r="467" spans="1:5" ht="15" hidden="1" customHeight="1" outlineLevel="1" x14ac:dyDescent="0.2">
      <c r="A467" t="s">
        <v>345</v>
      </c>
      <c r="B467" s="76" t="str">
        <f>HYPERLINK("#'Rent Roll Analysis'!A256","A256")</f>
        <v>A256</v>
      </c>
      <c r="C467" t="s">
        <v>356</v>
      </c>
      <c r="D467" s="80">
        <v>8</v>
      </c>
    </row>
    <row r="468" spans="1:5" ht="15" hidden="1" customHeight="1" outlineLevel="1" x14ac:dyDescent="0.2">
      <c r="A468" t="s">
        <v>345</v>
      </c>
      <c r="B468" s="76" t="str">
        <f>HYPERLINK("#'Rent Roll Analysis'!A257","A257")</f>
        <v>A257</v>
      </c>
      <c r="C468" t="s">
        <v>356</v>
      </c>
      <c r="D468" s="80">
        <v>9</v>
      </c>
    </row>
    <row r="469" spans="1:5" ht="15" hidden="1" customHeight="1" outlineLevel="1" x14ac:dyDescent="0.2">
      <c r="A469" t="s">
        <v>345</v>
      </c>
      <c r="B469" s="76" t="str">
        <f>HYPERLINK("#'Rent Roll Analysis'!A258","A258")</f>
        <v>A258</v>
      </c>
      <c r="C469" t="s">
        <v>356</v>
      </c>
      <c r="D469" s="80">
        <v>10</v>
      </c>
    </row>
    <row r="470" spans="1:5" ht="15" customHeight="1" x14ac:dyDescent="0.2">
      <c r="B470" s="76"/>
    </row>
    <row r="471" spans="1:5" ht="15" customHeight="1" x14ac:dyDescent="0.2">
      <c r="A471" s="74" t="s">
        <v>357</v>
      </c>
      <c r="B471" s="75" t="s">
        <v>255</v>
      </c>
      <c r="C471" s="74"/>
      <c r="D471" s="74"/>
      <c r="E471" s="74"/>
    </row>
    <row r="472" spans="1:5" ht="15" hidden="1" customHeight="1" outlineLevel="1" x14ac:dyDescent="0.2">
      <c r="A472" t="s">
        <v>358</v>
      </c>
      <c r="B472" s="76" t="str">
        <f>HYPERLINK("#'Rental Comps'!Y7","Y7")</f>
        <v>Y7</v>
      </c>
      <c r="C472" t="s">
        <v>359</v>
      </c>
      <c r="D472" s="80">
        <v>0</v>
      </c>
    </row>
    <row r="473" spans="1:5" ht="15" hidden="1" customHeight="1" outlineLevel="1" x14ac:dyDescent="0.2">
      <c r="A473" t="s">
        <v>358</v>
      </c>
      <c r="B473" s="76" t="str">
        <f>HYPERLINK("#'Rental Comps'!Y8","Y8")</f>
        <v>Y8</v>
      </c>
      <c r="C473" t="s">
        <v>360</v>
      </c>
      <c r="D473" s="91">
        <v>0</v>
      </c>
    </row>
    <row r="474" spans="1:5" ht="15" hidden="1" customHeight="1" outlineLevel="1" x14ac:dyDescent="0.2">
      <c r="A474" t="s">
        <v>358</v>
      </c>
      <c r="B474" s="76" t="str">
        <f>HYPERLINK("#'Rental Comps'!Y9","Y9")</f>
        <v>Y9</v>
      </c>
      <c r="C474" t="s">
        <v>360</v>
      </c>
      <c r="D474" s="91">
        <v>0</v>
      </c>
    </row>
    <row r="475" spans="1:5" ht="15" hidden="1" customHeight="1" outlineLevel="1" x14ac:dyDescent="0.2">
      <c r="A475" t="s">
        <v>358</v>
      </c>
      <c r="B475" s="76" t="str">
        <f>HYPERLINK("#'Rental Comps'!Y10","Y10")</f>
        <v>Y10</v>
      </c>
      <c r="C475" t="s">
        <v>360</v>
      </c>
      <c r="D475" s="91">
        <v>0</v>
      </c>
    </row>
    <row r="476" spans="1:5" ht="15" hidden="1" customHeight="1" outlineLevel="1" x14ac:dyDescent="0.2">
      <c r="A476" t="s">
        <v>358</v>
      </c>
      <c r="B476" s="76" t="str">
        <f>HYPERLINK("#'Rental Comps'!Y11","Y11")</f>
        <v>Y11</v>
      </c>
      <c r="C476" t="s">
        <v>360</v>
      </c>
      <c r="D476" s="91">
        <v>0</v>
      </c>
    </row>
    <row r="477" spans="1:5" ht="15" hidden="1" customHeight="1" outlineLevel="1" x14ac:dyDescent="0.2">
      <c r="A477" t="s">
        <v>358</v>
      </c>
      <c r="B477" s="76" t="str">
        <f>HYPERLINK("#'Rental Comps'!Y12","Y12")</f>
        <v>Y12</v>
      </c>
      <c r="C477" t="s">
        <v>360</v>
      </c>
      <c r="D477" s="91">
        <v>0</v>
      </c>
    </row>
    <row r="478" spans="1:5" ht="15" hidden="1" customHeight="1" outlineLevel="1" x14ac:dyDescent="0.2">
      <c r="A478" t="s">
        <v>358</v>
      </c>
      <c r="B478" s="76" t="str">
        <f>HYPERLINK("#'Rental Comps'!Y13","Y13")</f>
        <v>Y13</v>
      </c>
      <c r="C478" t="s">
        <v>360</v>
      </c>
      <c r="D478" s="91">
        <v>0</v>
      </c>
    </row>
    <row r="479" spans="1:5" ht="15" hidden="1" customHeight="1" outlineLevel="1" x14ac:dyDescent="0.2">
      <c r="A479" t="s">
        <v>358</v>
      </c>
      <c r="B479" s="76" t="str">
        <f>HYPERLINK("#'Rental Comps'!Y14","Y14")</f>
        <v>Y14</v>
      </c>
      <c r="C479" t="s">
        <v>360</v>
      </c>
      <c r="D479" s="91">
        <v>0</v>
      </c>
    </row>
    <row r="480" spans="1:5" ht="15" hidden="1" customHeight="1" outlineLevel="1" x14ac:dyDescent="0.2">
      <c r="A480" t="s">
        <v>358</v>
      </c>
      <c r="B480" s="76" t="str">
        <f>HYPERLINK("#'Rental Comps'!Y15","Y15")</f>
        <v>Y15</v>
      </c>
      <c r="C480" t="s">
        <v>360</v>
      </c>
      <c r="D480" s="91">
        <v>0</v>
      </c>
    </row>
    <row r="481" spans="1:5" ht="15" hidden="1" customHeight="1" outlineLevel="1" x14ac:dyDescent="0.2">
      <c r="A481" t="s">
        <v>358</v>
      </c>
      <c r="B481" s="76" t="str">
        <f>HYPERLINK("#'Rental Comps'!D53","D53")</f>
        <v>D53</v>
      </c>
      <c r="C481" t="s">
        <v>361</v>
      </c>
      <c r="D481" s="80">
        <v>0</v>
      </c>
    </row>
    <row r="482" spans="1:5" ht="15" hidden="1" customHeight="1" outlineLevel="1" x14ac:dyDescent="0.2">
      <c r="A482" t="s">
        <v>358</v>
      </c>
      <c r="B482" s="76" t="str">
        <f>HYPERLINK("#'Rental Comps'!G53","G53")</f>
        <v>G53</v>
      </c>
      <c r="C482" t="s">
        <v>361</v>
      </c>
      <c r="D482" s="78">
        <v>0</v>
      </c>
    </row>
    <row r="483" spans="1:5" ht="15" hidden="1" customHeight="1" outlineLevel="1" x14ac:dyDescent="0.2">
      <c r="A483" t="s">
        <v>358</v>
      </c>
      <c r="B483" s="76" t="str">
        <f>HYPERLINK("#'Rental Comps'!J53","J53")</f>
        <v>J53</v>
      </c>
      <c r="C483" t="s">
        <v>361</v>
      </c>
      <c r="D483" s="78">
        <v>0</v>
      </c>
    </row>
    <row r="484" spans="1:5" ht="15" customHeight="1" x14ac:dyDescent="0.2">
      <c r="B484" s="76"/>
    </row>
    <row r="485" spans="1:5" ht="15" customHeight="1" x14ac:dyDescent="0.2">
      <c r="A485" s="74" t="s">
        <v>362</v>
      </c>
      <c r="B485" s="75" t="s">
        <v>363</v>
      </c>
      <c r="C485" s="74"/>
      <c r="D485" s="74"/>
      <c r="E485" s="74"/>
    </row>
    <row r="486" spans="1:5" ht="15" hidden="1" customHeight="1" outlineLevel="1" x14ac:dyDescent="0.2">
      <c r="A486" t="s">
        <v>364</v>
      </c>
      <c r="B486" s="76" t="str">
        <f>HYPERLINK("#'LP Return Illustration'!B5","B5")</f>
        <v>B5</v>
      </c>
      <c r="C486" t="s">
        <v>365</v>
      </c>
      <c r="D486" s="78">
        <v>100000</v>
      </c>
    </row>
    <row r="487" spans="1:5" ht="15" hidden="1" customHeight="1" outlineLevel="1" x14ac:dyDescent="0.2">
      <c r="A487" t="s">
        <v>364</v>
      </c>
      <c r="B487" s="76" t="str">
        <f>HYPERLINK("#'LP Return Illustration'!A51","A51")</f>
        <v>A51</v>
      </c>
      <c r="C487" t="s">
        <v>28</v>
      </c>
      <c r="D487" s="77">
        <v>0.06</v>
      </c>
    </row>
    <row r="488" spans="1:5" ht="15" hidden="1" customHeight="1" outlineLevel="1" x14ac:dyDescent="0.2">
      <c r="A488" t="s">
        <v>364</v>
      </c>
      <c r="B488" s="76" t="str">
        <f>HYPERLINK("#'LP Return Illustration'!A52","A52")</f>
        <v>A52</v>
      </c>
      <c r="C488" t="s">
        <v>28</v>
      </c>
      <c r="D488" s="77">
        <v>6.5000000000000002E-2</v>
      </c>
    </row>
    <row r="489" spans="1:5" ht="15" hidden="1" customHeight="1" outlineLevel="1" x14ac:dyDescent="0.2">
      <c r="A489" t="s">
        <v>364</v>
      </c>
      <c r="B489" s="76" t="str">
        <f>HYPERLINK("#'LP Return Illustration'!A53","A53")</f>
        <v>A53</v>
      </c>
      <c r="C489" t="s">
        <v>28</v>
      </c>
      <c r="D489" s="77">
        <v>7.0000000000000007E-2</v>
      </c>
    </row>
    <row r="490" spans="1:5" ht="15" hidden="1" customHeight="1" outlineLevel="1" x14ac:dyDescent="0.2">
      <c r="A490" t="s">
        <v>364</v>
      </c>
      <c r="B490" s="76" t="str">
        <f>HYPERLINK("#'LP Return Illustration'!A54","A54")</f>
        <v>A54</v>
      </c>
      <c r="C490" t="s">
        <v>28</v>
      </c>
      <c r="D490" s="77">
        <v>7.4999999999999997E-2</v>
      </c>
    </row>
    <row r="491" spans="1:5" ht="15" hidden="1" customHeight="1" outlineLevel="1" x14ac:dyDescent="0.2">
      <c r="A491" t="s">
        <v>364</v>
      </c>
      <c r="B491" s="76" t="str">
        <f>HYPERLINK("#'LP Return Illustration'!A55","A55")</f>
        <v>A55</v>
      </c>
      <c r="C491" t="s">
        <v>28</v>
      </c>
      <c r="D491" s="77">
        <v>0.08</v>
      </c>
    </row>
    <row r="492" spans="1:5" ht="15" hidden="1" customHeight="1" outlineLevel="1" x14ac:dyDescent="0.2">
      <c r="A492" t="s">
        <v>364</v>
      </c>
      <c r="B492" s="76" t="str">
        <f>HYPERLINK("#'LP Return Illustration'!A56","A56")</f>
        <v>A56</v>
      </c>
      <c r="C492" t="s">
        <v>28</v>
      </c>
      <c r="D492" s="77">
        <v>8.5000000000000006E-2</v>
      </c>
    </row>
    <row r="493" spans="1:5" ht="15" hidden="1" customHeight="1" outlineLevel="1" x14ac:dyDescent="0.2">
      <c r="A493" t="s">
        <v>364</v>
      </c>
      <c r="B493" s="76" t="str">
        <f>HYPERLINK("#'LP Return Illustration'!A57","A57")</f>
        <v>A57</v>
      </c>
      <c r="C493" t="s">
        <v>28</v>
      </c>
      <c r="D493" s="77">
        <v>0.09</v>
      </c>
    </row>
    <row r="494" spans="1:5" ht="15" hidden="1" customHeight="1" outlineLevel="1" x14ac:dyDescent="0.2">
      <c r="A494" t="s">
        <v>364</v>
      </c>
      <c r="B494" s="76" t="str">
        <f>HYPERLINK("#'LP Return Illustration'!A58","A58")</f>
        <v>A58</v>
      </c>
      <c r="C494" t="s">
        <v>28</v>
      </c>
      <c r="D494" s="77">
        <v>9.5000000000000001E-2</v>
      </c>
    </row>
    <row r="495" spans="1:5" ht="15" customHeight="1" x14ac:dyDescent="0.2">
      <c r="B495" s="76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zoomScale="70" zoomScaleNormal="70" workbookViewId="0">
      <selection activeCell="D20" sqref="D20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11" customWidth="1"/>
    <col min="4" max="4" width="60" customWidth="1"/>
    <col min="5" max="5" width="38" customWidth="1"/>
    <col min="6" max="6" width="32" customWidth="1"/>
  </cols>
  <sheetData>
    <row r="1" spans="1:4" ht="24" customHeight="1" x14ac:dyDescent="0.2">
      <c r="A1" s="938" t="str">
        <f>IF('Prop Info'!B4="","PROPERTY INFORMATION &amp; MARKET DATA","PROPERTY INFORMATION &amp; MARKET DATA"&amp;" — "&amp;'Prop Info'!B4)</f>
        <v>PROPERTY INFORMATION &amp; MARKET DATA</v>
      </c>
      <c r="B1" s="938"/>
      <c r="C1" s="938"/>
      <c r="D1" s="938"/>
    </row>
    <row r="2" spans="1:4" ht="15.75" customHeight="1" x14ac:dyDescent="0.2">
      <c r="A2" s="944" t="s">
        <v>366</v>
      </c>
      <c r="B2" s="944"/>
      <c r="C2" s="944"/>
      <c r="D2" s="944"/>
    </row>
    <row r="3" spans="1:4" ht="19.5" customHeight="1" x14ac:dyDescent="0.2">
      <c r="A3" s="945" t="s">
        <v>367</v>
      </c>
      <c r="B3" s="945"/>
      <c r="C3" s="945"/>
      <c r="D3" s="945"/>
    </row>
    <row r="4" spans="1:4" ht="18" customHeight="1" x14ac:dyDescent="0.2">
      <c r="A4" s="9" t="s">
        <v>2</v>
      </c>
      <c r="B4" s="93"/>
      <c r="C4" s="93"/>
      <c r="D4" s="93"/>
    </row>
    <row r="5" spans="1:4" ht="18" customHeight="1" x14ac:dyDescent="0.2">
      <c r="A5" s="11" t="s">
        <v>368</v>
      </c>
      <c r="B5" s="93"/>
      <c r="C5" s="93"/>
      <c r="D5" s="93"/>
    </row>
    <row r="6" spans="1:4" ht="18" customHeight="1" x14ac:dyDescent="0.2">
      <c r="A6" s="9" t="s">
        <v>369</v>
      </c>
      <c r="B6" s="93"/>
      <c r="C6" s="93"/>
      <c r="D6" s="93"/>
    </row>
    <row r="7" spans="1:4" ht="18" customHeight="1" x14ac:dyDescent="0.2">
      <c r="A7" s="11" t="s">
        <v>370</v>
      </c>
      <c r="B7" s="93"/>
      <c r="C7" s="93"/>
      <c r="D7" s="93"/>
    </row>
    <row r="8" spans="1:4" ht="18" customHeight="1" x14ac:dyDescent="0.2">
      <c r="A8" s="9" t="s">
        <v>371</v>
      </c>
      <c r="B8" s="93"/>
      <c r="C8" s="93"/>
      <c r="D8" s="93"/>
    </row>
    <row r="9" spans="1:4" ht="18" customHeight="1" x14ac:dyDescent="0.2">
      <c r="A9" s="11" t="s">
        <v>4</v>
      </c>
      <c r="B9" s="93"/>
      <c r="C9" s="93"/>
      <c r="D9" s="93"/>
    </row>
    <row r="10" spans="1:4" ht="18" customHeight="1" x14ac:dyDescent="0.2">
      <c r="A10" s="9" t="s">
        <v>372</v>
      </c>
      <c r="B10" s="93"/>
      <c r="C10" s="93"/>
      <c r="D10" s="93"/>
    </row>
    <row r="11" spans="1:4" ht="18" customHeight="1" x14ac:dyDescent="0.2">
      <c r="A11" s="11" t="s">
        <v>6</v>
      </c>
      <c r="B11" s="93"/>
      <c r="C11" s="93"/>
      <c r="D11" s="93"/>
    </row>
    <row r="12" spans="1:4" ht="18" customHeight="1" x14ac:dyDescent="0.2">
      <c r="A12" s="9" t="s">
        <v>373</v>
      </c>
      <c r="B12" s="93"/>
      <c r="C12" s="93"/>
      <c r="D12" s="93"/>
    </row>
    <row r="13" spans="1:4" ht="18" customHeight="1" x14ac:dyDescent="0.2">
      <c r="A13" s="11" t="s">
        <v>374</v>
      </c>
      <c r="B13" s="93"/>
      <c r="C13" s="93"/>
      <c r="D13" s="93"/>
    </row>
    <row r="14" spans="1:4" ht="18" customHeight="1" x14ac:dyDescent="0.2">
      <c r="A14" s="9" t="s">
        <v>375</v>
      </c>
      <c r="B14" s="93"/>
      <c r="C14" s="93"/>
      <c r="D14" s="93"/>
    </row>
    <row r="15" spans="1:4" ht="18" customHeight="1" x14ac:dyDescent="0.2">
      <c r="A15" s="11" t="s">
        <v>376</v>
      </c>
      <c r="B15" s="93"/>
      <c r="C15" s="93"/>
      <c r="D15" s="93"/>
    </row>
    <row r="16" spans="1:4" ht="18" customHeight="1" x14ac:dyDescent="0.2">
      <c r="A16" s="9" t="s">
        <v>377</v>
      </c>
      <c r="B16" s="93"/>
      <c r="C16" s="93"/>
      <c r="D16" s="93"/>
    </row>
    <row r="17" spans="1:6" ht="18" customHeight="1" x14ac:dyDescent="0.2">
      <c r="A17" s="11" t="s">
        <v>378</v>
      </c>
      <c r="B17" s="93"/>
      <c r="C17" s="93"/>
      <c r="D17" s="93"/>
    </row>
    <row r="18" spans="1:6" ht="18" customHeight="1" x14ac:dyDescent="0.2">
      <c r="A18" s="9" t="s">
        <v>379</v>
      </c>
      <c r="B18" s="93"/>
      <c r="C18" s="93"/>
      <c r="D18" s="93"/>
    </row>
    <row r="19" spans="1:6" ht="21.75" customHeight="1" x14ac:dyDescent="0.2">
      <c r="A19" s="938" t="s">
        <v>380</v>
      </c>
      <c r="B19" s="938"/>
      <c r="C19" s="938"/>
      <c r="D19" s="938"/>
      <c r="E19" s="938"/>
      <c r="F19" s="938"/>
    </row>
    <row r="20" spans="1:6" ht="61.5" customHeight="1" x14ac:dyDescent="0.2">
      <c r="A20" s="9" t="s">
        <v>381</v>
      </c>
      <c r="B20" s="94"/>
      <c r="C20" s="95"/>
      <c r="D20" s="96"/>
      <c r="E20" s="97"/>
      <c r="F20" s="97"/>
    </row>
    <row r="21" spans="1:6" ht="61.5" customHeight="1" x14ac:dyDescent="0.2">
      <c r="A21" s="11" t="s">
        <v>382</v>
      </c>
      <c r="B21" s="94"/>
      <c r="C21" s="95"/>
      <c r="D21" s="96"/>
      <c r="E21" s="97"/>
      <c r="F21" s="97"/>
    </row>
    <row r="22" spans="1:6" ht="61.5" customHeight="1" x14ac:dyDescent="0.2">
      <c r="A22" s="9" t="s">
        <v>383</v>
      </c>
      <c r="B22" s="98"/>
      <c r="C22" s="95"/>
      <c r="D22" s="96"/>
      <c r="E22" s="97"/>
      <c r="F22" s="97"/>
    </row>
    <row r="23" spans="1:6" ht="61.5" customHeight="1" x14ac:dyDescent="0.2">
      <c r="A23" s="11" t="s">
        <v>384</v>
      </c>
      <c r="B23" s="98"/>
      <c r="C23" s="95"/>
      <c r="D23" s="96"/>
      <c r="E23" s="97"/>
      <c r="F23" s="97"/>
    </row>
    <row r="24" spans="1:6" ht="61.5" customHeight="1" x14ac:dyDescent="0.2">
      <c r="A24" s="9" t="s">
        <v>385</v>
      </c>
      <c r="B24" s="99"/>
      <c r="C24" s="95"/>
      <c r="D24" s="96"/>
      <c r="E24" s="97"/>
      <c r="F24" s="97"/>
    </row>
    <row r="25" spans="1:6" ht="61.5" customHeight="1" x14ac:dyDescent="0.2">
      <c r="A25" s="11" t="s">
        <v>386</v>
      </c>
      <c r="B25" s="98"/>
      <c r="C25" s="95"/>
      <c r="D25" s="96"/>
      <c r="E25" s="97"/>
      <c r="F25" s="97"/>
    </row>
    <row r="26" spans="1:6" ht="61.5" customHeight="1" x14ac:dyDescent="0.2">
      <c r="A26" s="9" t="s">
        <v>387</v>
      </c>
      <c r="B26" s="99"/>
      <c r="C26" s="95"/>
      <c r="D26" s="96"/>
      <c r="E26" s="97"/>
      <c r="F26" s="97"/>
    </row>
    <row r="27" spans="1:6" ht="61.5" customHeight="1" x14ac:dyDescent="0.2">
      <c r="A27" s="11" t="s">
        <v>388</v>
      </c>
      <c r="B27" s="100"/>
      <c r="C27" s="95"/>
      <c r="D27" s="96"/>
      <c r="E27" s="97"/>
      <c r="F27" s="97"/>
    </row>
    <row r="28" spans="1:6" ht="61.5" customHeight="1" x14ac:dyDescent="0.2">
      <c r="A28" s="9" t="s">
        <v>389</v>
      </c>
      <c r="B28" s="100"/>
      <c r="C28" s="95"/>
      <c r="D28" s="96"/>
      <c r="E28" s="97"/>
      <c r="F28" s="97"/>
    </row>
    <row r="29" spans="1:6" ht="61.5" customHeight="1" x14ac:dyDescent="0.2">
      <c r="A29" s="11" t="s">
        <v>390</v>
      </c>
      <c r="B29" s="101"/>
      <c r="C29" s="95"/>
      <c r="D29" s="96"/>
      <c r="E29" s="97"/>
      <c r="F29" s="97"/>
    </row>
    <row r="30" spans="1:6" ht="21.75" customHeight="1" x14ac:dyDescent="0.2">
      <c r="A30" s="938" t="s">
        <v>391</v>
      </c>
      <c r="B30" s="938"/>
      <c r="C30" s="938"/>
      <c r="D30" s="938"/>
      <c r="E30" s="938"/>
      <c r="F30" s="938"/>
    </row>
    <row r="31" spans="1:6" ht="61.5" customHeight="1" x14ac:dyDescent="0.2">
      <c r="A31" s="11" t="s">
        <v>392</v>
      </c>
      <c r="B31" s="102"/>
      <c r="C31" s="95"/>
      <c r="D31" s="96"/>
      <c r="E31" s="97"/>
      <c r="F31" s="97"/>
    </row>
    <row r="32" spans="1:6" ht="61.5" customHeight="1" x14ac:dyDescent="0.2">
      <c r="A32" s="9" t="s">
        <v>393</v>
      </c>
      <c r="B32" s="100"/>
      <c r="C32" s="95"/>
      <c r="D32" s="96"/>
      <c r="E32" s="97"/>
      <c r="F32" s="97"/>
    </row>
    <row r="33" spans="1:6" ht="61.5" customHeight="1" x14ac:dyDescent="0.2">
      <c r="A33" s="11" t="s">
        <v>394</v>
      </c>
      <c r="B33" s="98"/>
      <c r="C33" s="95"/>
      <c r="D33" s="96"/>
      <c r="E33" s="97"/>
      <c r="F33" s="97"/>
    </row>
    <row r="34" spans="1:6" ht="61.5" customHeight="1" x14ac:dyDescent="0.2">
      <c r="A34" s="9" t="s">
        <v>395</v>
      </c>
      <c r="B34" s="99"/>
      <c r="C34" s="95"/>
      <c r="D34" s="96"/>
      <c r="E34" s="97"/>
      <c r="F34" s="97"/>
    </row>
    <row r="35" spans="1:6" ht="61.5" customHeight="1" x14ac:dyDescent="0.2">
      <c r="A35" s="11" t="s">
        <v>396</v>
      </c>
      <c r="B35" s="99"/>
      <c r="C35" s="95"/>
      <c r="D35" s="96"/>
      <c r="E35" s="97"/>
      <c r="F35" s="97"/>
    </row>
    <row r="36" spans="1:6" ht="61.5" customHeight="1" x14ac:dyDescent="0.2">
      <c r="A36" s="9" t="s">
        <v>397</v>
      </c>
      <c r="B36" s="98"/>
      <c r="C36" s="95"/>
      <c r="D36" s="96"/>
      <c r="E36" s="97"/>
      <c r="F36" s="97"/>
    </row>
    <row r="37" spans="1:6" ht="61.5" customHeight="1" x14ac:dyDescent="0.2">
      <c r="A37" s="11" t="s">
        <v>398</v>
      </c>
      <c r="B37" s="99"/>
      <c r="C37" s="95"/>
      <c r="D37" s="96"/>
      <c r="E37" s="97"/>
      <c r="F37" s="97"/>
    </row>
    <row r="38" spans="1:6" ht="19.5" customHeight="1" x14ac:dyDescent="0.2">
      <c r="A38" s="945" t="s">
        <v>399</v>
      </c>
      <c r="B38" s="945"/>
      <c r="C38" s="945"/>
      <c r="D38" s="945"/>
    </row>
    <row r="39" spans="1:6" ht="18" customHeight="1" x14ac:dyDescent="0.2">
      <c r="A39" s="11" t="s">
        <v>400</v>
      </c>
      <c r="B39" s="946"/>
      <c r="C39" s="946"/>
      <c r="D39" s="946"/>
    </row>
    <row r="40" spans="1:6" ht="18" customHeight="1" x14ac:dyDescent="0.2">
      <c r="A40" s="9" t="s">
        <v>401</v>
      </c>
      <c r="B40" s="946"/>
      <c r="C40" s="946"/>
      <c r="D40" s="946"/>
    </row>
    <row r="41" spans="1:6" ht="18" customHeight="1" x14ac:dyDescent="0.2">
      <c r="A41" s="11" t="s">
        <v>402</v>
      </c>
      <c r="B41" s="946"/>
      <c r="C41" s="946"/>
      <c r="D41" s="946"/>
    </row>
    <row r="42" spans="1:6" ht="18" customHeight="1" x14ac:dyDescent="0.2">
      <c r="A42" s="9" t="s">
        <v>306</v>
      </c>
      <c r="B42" s="946"/>
      <c r="C42" s="946"/>
      <c r="D42" s="946"/>
    </row>
    <row r="43" spans="1:6" ht="19.5" customHeight="1" x14ac:dyDescent="0.2">
      <c r="A43" s="945" t="s">
        <v>403</v>
      </c>
      <c r="B43" s="945"/>
      <c r="C43" s="945"/>
      <c r="D43" s="945"/>
    </row>
    <row r="44" spans="1:6" ht="18" customHeight="1" x14ac:dyDescent="0.2">
      <c r="A44" s="9" t="s">
        <v>404</v>
      </c>
      <c r="B44" s="946"/>
      <c r="C44" s="946"/>
      <c r="D44" s="946"/>
    </row>
    <row r="45" spans="1:6" ht="18" customHeight="1" x14ac:dyDescent="0.2">
      <c r="A45" s="11" t="s">
        <v>405</v>
      </c>
      <c r="B45" s="946"/>
      <c r="C45" s="946"/>
      <c r="D45" s="946"/>
    </row>
    <row r="46" spans="1:6" ht="18" customHeight="1" x14ac:dyDescent="0.2">
      <c r="A46" s="9" t="s">
        <v>406</v>
      </c>
      <c r="B46" s="946"/>
      <c r="C46" s="946"/>
      <c r="D46" s="946"/>
    </row>
    <row r="47" spans="1:6" ht="18" customHeight="1" x14ac:dyDescent="0.2">
      <c r="A47" s="11" t="s">
        <v>407</v>
      </c>
      <c r="B47" s="946"/>
      <c r="C47" s="946"/>
      <c r="D47" s="946"/>
    </row>
  </sheetData>
  <mergeCells count="15">
    <mergeCell ref="A43:D43"/>
    <mergeCell ref="B44:D44"/>
    <mergeCell ref="B45:D45"/>
    <mergeCell ref="B46:D46"/>
    <mergeCell ref="B47:D47"/>
    <mergeCell ref="A38:D38"/>
    <mergeCell ref="B39:D39"/>
    <mergeCell ref="B40:D40"/>
    <mergeCell ref="B41:D41"/>
    <mergeCell ref="B42:D42"/>
    <mergeCell ref="A1:D1"/>
    <mergeCell ref="A2:D2"/>
    <mergeCell ref="A3:D3"/>
    <mergeCell ref="A19:F19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4"/>
  <sheetViews>
    <sheetView zoomScaleNormal="100" workbookViewId="0">
      <pane ySplit="3" topLeftCell="A33" activePane="bottomLeft" state="frozen"/>
      <selection pane="bottomLeft" activeCell="A15" sqref="A15"/>
    </sheetView>
  </sheetViews>
  <sheetFormatPr baseColWidth="10" defaultColWidth="8.6640625" defaultRowHeight="15" x14ac:dyDescent="0.2"/>
  <cols>
    <col min="1" max="1" width="6" customWidth="1"/>
    <col min="2" max="2" width="32" customWidth="1"/>
    <col min="3" max="3" width="100" customWidth="1"/>
    <col min="4" max="4" width="18" customWidth="1"/>
    <col min="5" max="5" width="32" customWidth="1"/>
  </cols>
  <sheetData>
    <row r="1" spans="1:5" ht="21.75" customHeight="1" x14ac:dyDescent="0.2">
      <c r="A1" s="928" t="str">
        <f>IF('Prop Info'!B4="","DATA REFRESH  —  Power Query connections for live market data","DATA REFRESH  —  Power Query connections for live market data"&amp;" — "&amp;'Prop Info'!B4)</f>
        <v>DATA REFRESH  —  Power Query connections for live market data</v>
      </c>
      <c r="B1" s="928"/>
      <c r="C1" s="928"/>
      <c r="D1" s="928"/>
      <c r="E1" s="928"/>
    </row>
    <row r="2" spans="1:5" ht="21.75" customHeight="1" x14ac:dyDescent="0.2">
      <c r="A2" s="931" t="s">
        <v>408</v>
      </c>
      <c r="B2" s="931"/>
      <c r="C2" s="931"/>
      <c r="D2" s="931"/>
      <c r="E2" s="931"/>
    </row>
    <row r="4" spans="1:5" ht="21.75" customHeight="1" x14ac:dyDescent="0.2">
      <c r="A4" s="934" t="s">
        <v>409</v>
      </c>
      <c r="B4" s="934"/>
      <c r="C4" s="934"/>
      <c r="D4" s="934"/>
      <c r="E4" s="934"/>
    </row>
    <row r="5" spans="1:5" ht="15" customHeight="1" x14ac:dyDescent="0.2">
      <c r="A5" s="947" t="s">
        <v>410</v>
      </c>
      <c r="B5" s="947"/>
      <c r="C5" s="947"/>
      <c r="D5" s="947"/>
      <c r="E5" s="947"/>
    </row>
    <row r="6" spans="1:5" ht="15" customHeight="1" x14ac:dyDescent="0.2">
      <c r="A6" s="931" t="s">
        <v>411</v>
      </c>
      <c r="B6" s="931"/>
      <c r="C6" s="931"/>
      <c r="D6" s="931"/>
      <c r="E6" s="931"/>
    </row>
    <row r="7" spans="1:5" ht="15" customHeight="1" x14ac:dyDescent="0.2">
      <c r="A7" s="931" t="s">
        <v>412</v>
      </c>
      <c r="B7" s="931"/>
      <c r="C7" s="931"/>
      <c r="D7" s="931"/>
      <c r="E7" s="931"/>
    </row>
    <row r="8" spans="1:5" ht="15" customHeight="1" x14ac:dyDescent="0.2">
      <c r="A8" s="931" t="s">
        <v>413</v>
      </c>
      <c r="B8" s="931"/>
      <c r="C8" s="931"/>
      <c r="D8" s="931"/>
      <c r="E8" s="931"/>
    </row>
    <row r="9" spans="1:5" ht="15" customHeight="1" x14ac:dyDescent="0.2">
      <c r="A9" s="931"/>
      <c r="B9" s="931"/>
      <c r="C9" s="931"/>
      <c r="D9" s="931"/>
      <c r="E9" s="931"/>
    </row>
    <row r="10" spans="1:5" ht="15" customHeight="1" x14ac:dyDescent="0.2">
      <c r="A10" s="947" t="s">
        <v>414</v>
      </c>
      <c r="B10" s="947"/>
      <c r="C10" s="947"/>
      <c r="D10" s="947"/>
      <c r="E10" s="947"/>
    </row>
    <row r="11" spans="1:5" ht="15" customHeight="1" x14ac:dyDescent="0.2">
      <c r="A11" s="931"/>
      <c r="B11" s="931"/>
      <c r="C11" s="931"/>
      <c r="D11" s="931"/>
      <c r="E11" s="931"/>
    </row>
    <row r="12" spans="1:5" ht="15" customHeight="1" x14ac:dyDescent="0.2">
      <c r="A12" s="947" t="s">
        <v>415</v>
      </c>
      <c r="B12" s="947"/>
      <c r="C12" s="947"/>
      <c r="D12" s="947"/>
      <c r="E12" s="947"/>
    </row>
    <row r="13" spans="1:5" ht="15" customHeight="1" x14ac:dyDescent="0.2">
      <c r="A13" s="931"/>
      <c r="B13" s="931"/>
      <c r="C13" s="931"/>
      <c r="D13" s="931"/>
      <c r="E13" s="931"/>
    </row>
    <row r="14" spans="1:5" ht="15" customHeight="1" x14ac:dyDescent="0.2">
      <c r="A14" s="947" t="s">
        <v>416</v>
      </c>
      <c r="B14" s="947"/>
      <c r="C14" s="947"/>
      <c r="D14" s="947"/>
      <c r="E14" s="947"/>
    </row>
    <row r="15" spans="1:5" ht="15" customHeight="1" x14ac:dyDescent="0.2">
      <c r="A15" s="931"/>
      <c r="B15" s="931"/>
      <c r="C15" s="931"/>
      <c r="D15" s="931"/>
      <c r="E15" s="931"/>
    </row>
    <row r="16" spans="1:5" ht="15" customHeight="1" x14ac:dyDescent="0.2">
      <c r="A16" s="947" t="s">
        <v>417</v>
      </c>
      <c r="B16" s="947"/>
      <c r="C16" s="947"/>
      <c r="D16" s="947"/>
      <c r="E16" s="947"/>
    </row>
    <row r="17" spans="1:5" ht="15" customHeight="1" x14ac:dyDescent="0.2">
      <c r="A17" s="931"/>
      <c r="B17" s="931"/>
      <c r="C17" s="931"/>
      <c r="D17" s="931"/>
      <c r="E17" s="931"/>
    </row>
    <row r="18" spans="1:5" ht="15" customHeight="1" x14ac:dyDescent="0.2">
      <c r="A18" s="947" t="s">
        <v>418</v>
      </c>
      <c r="B18" s="947"/>
      <c r="C18" s="947"/>
      <c r="D18" s="947"/>
      <c r="E18" s="947"/>
    </row>
    <row r="21" spans="1:5" ht="21.75" customHeight="1" x14ac:dyDescent="0.2">
      <c r="A21" s="934" t="s">
        <v>419</v>
      </c>
      <c r="B21" s="934"/>
      <c r="C21" s="934"/>
      <c r="D21" s="934"/>
      <c r="E21" s="934"/>
    </row>
    <row r="22" spans="1:5" ht="15" customHeight="1" x14ac:dyDescent="0.2">
      <c r="A22" s="931" t="s">
        <v>420</v>
      </c>
      <c r="B22" s="931"/>
      <c r="C22" s="931"/>
      <c r="D22" s="931"/>
      <c r="E22" s="931"/>
    </row>
    <row r="24" spans="1:5" ht="15" customHeight="1" x14ac:dyDescent="0.2">
      <c r="A24" s="104" t="s">
        <v>421</v>
      </c>
      <c r="B24" s="104" t="s">
        <v>11</v>
      </c>
      <c r="C24" s="104" t="s">
        <v>422</v>
      </c>
      <c r="D24" s="104" t="s">
        <v>423</v>
      </c>
      <c r="E24" s="104" t="s">
        <v>55</v>
      </c>
    </row>
    <row r="25" spans="1:5" ht="15" customHeight="1" x14ac:dyDescent="0.2">
      <c r="A25" s="105" t="s">
        <v>424</v>
      </c>
      <c r="B25" s="106" t="s">
        <v>383</v>
      </c>
      <c r="C25" s="107" t="s">
        <v>425</v>
      </c>
      <c r="D25" s="95" t="s">
        <v>426</v>
      </c>
      <c r="E25" s="1" t="s">
        <v>427</v>
      </c>
    </row>
    <row r="26" spans="1:5" ht="15" customHeight="1" x14ac:dyDescent="0.2">
      <c r="A26" s="105" t="s">
        <v>428</v>
      </c>
      <c r="B26" s="106" t="s">
        <v>384</v>
      </c>
      <c r="C26" s="107" t="s">
        <v>429</v>
      </c>
      <c r="D26" s="95" t="s">
        <v>426</v>
      </c>
      <c r="E26" s="1" t="s">
        <v>430</v>
      </c>
    </row>
    <row r="27" spans="1:5" ht="15" customHeight="1" x14ac:dyDescent="0.2">
      <c r="A27" s="105" t="s">
        <v>431</v>
      </c>
      <c r="B27" s="106" t="s">
        <v>432</v>
      </c>
      <c r="C27" s="107" t="s">
        <v>433</v>
      </c>
      <c r="D27" s="95" t="s">
        <v>426</v>
      </c>
      <c r="E27" s="1" t="s">
        <v>434</v>
      </c>
    </row>
    <row r="28" spans="1:5" ht="15" customHeight="1" x14ac:dyDescent="0.2">
      <c r="A28" s="105" t="s">
        <v>435</v>
      </c>
      <c r="B28" s="106" t="s">
        <v>388</v>
      </c>
      <c r="C28" s="107" t="s">
        <v>436</v>
      </c>
      <c r="D28" s="95" t="s">
        <v>426</v>
      </c>
      <c r="E28" s="1" t="s">
        <v>437</v>
      </c>
    </row>
    <row r="29" spans="1:5" ht="15" customHeight="1" x14ac:dyDescent="0.2">
      <c r="A29" s="105" t="s">
        <v>438</v>
      </c>
      <c r="B29" s="106" t="s">
        <v>389</v>
      </c>
      <c r="C29" s="107" t="s">
        <v>439</v>
      </c>
      <c r="D29" s="95" t="s">
        <v>426</v>
      </c>
      <c r="E29" s="1" t="s">
        <v>440</v>
      </c>
    </row>
    <row r="30" spans="1:5" ht="15" customHeight="1" x14ac:dyDescent="0.2">
      <c r="A30" s="105" t="s">
        <v>441</v>
      </c>
      <c r="B30" s="106" t="s">
        <v>442</v>
      </c>
      <c r="C30" s="107" t="s">
        <v>443</v>
      </c>
      <c r="D30" s="95" t="s">
        <v>426</v>
      </c>
      <c r="E30" s="1" t="s">
        <v>444</v>
      </c>
    </row>
    <row r="31" spans="1:5" ht="15" customHeight="1" x14ac:dyDescent="0.2">
      <c r="A31" s="105" t="s">
        <v>445</v>
      </c>
      <c r="B31" s="106" t="s">
        <v>385</v>
      </c>
      <c r="C31" s="107" t="s">
        <v>446</v>
      </c>
      <c r="D31" s="95" t="s">
        <v>426</v>
      </c>
      <c r="E31" s="1" t="s">
        <v>447</v>
      </c>
    </row>
    <row r="33" spans="1:5" ht="15" customHeight="1" x14ac:dyDescent="0.2">
      <c r="A33" s="948" t="s">
        <v>448</v>
      </c>
      <c r="B33" s="948"/>
      <c r="C33" s="948"/>
      <c r="D33" s="948"/>
      <c r="E33" s="948"/>
    </row>
    <row r="34" spans="1:5" ht="409.5" customHeight="1" x14ac:dyDescent="0.2">
      <c r="A34" s="949" t="s">
        <v>449</v>
      </c>
      <c r="B34" s="949"/>
      <c r="C34" s="949"/>
      <c r="D34" s="949"/>
      <c r="E34" s="949"/>
    </row>
    <row r="36" spans="1:5" ht="21.75" customHeight="1" x14ac:dyDescent="0.2">
      <c r="A36" s="934" t="s">
        <v>450</v>
      </c>
      <c r="B36" s="934"/>
      <c r="C36" s="934"/>
      <c r="D36" s="934"/>
      <c r="E36" s="934"/>
    </row>
    <row r="37" spans="1:5" ht="15" customHeight="1" x14ac:dyDescent="0.2">
      <c r="A37" s="931" t="s">
        <v>451</v>
      </c>
      <c r="B37" s="931"/>
      <c r="C37" s="931"/>
      <c r="D37" s="931"/>
      <c r="E37" s="931"/>
    </row>
    <row r="39" spans="1:5" ht="15" customHeight="1" x14ac:dyDescent="0.2">
      <c r="A39" s="104" t="s">
        <v>421</v>
      </c>
      <c r="B39" s="104" t="s">
        <v>11</v>
      </c>
      <c r="C39" s="104" t="s">
        <v>452</v>
      </c>
      <c r="D39" s="104" t="s">
        <v>423</v>
      </c>
      <c r="E39" s="104" t="s">
        <v>55</v>
      </c>
    </row>
    <row r="40" spans="1:5" ht="15" customHeight="1" x14ac:dyDescent="0.2">
      <c r="A40" s="105" t="s">
        <v>445</v>
      </c>
      <c r="B40" s="106" t="s">
        <v>385</v>
      </c>
      <c r="C40" s="107" t="s">
        <v>453</v>
      </c>
      <c r="D40" s="95" t="s">
        <v>426</v>
      </c>
      <c r="E40" s="1" t="s">
        <v>454</v>
      </c>
    </row>
    <row r="41" spans="1:5" ht="15" customHeight="1" x14ac:dyDescent="0.2">
      <c r="A41" s="105" t="s">
        <v>455</v>
      </c>
      <c r="B41" s="106" t="s">
        <v>456</v>
      </c>
      <c r="C41" s="107" t="s">
        <v>457</v>
      </c>
      <c r="D41" s="95" t="s">
        <v>426</v>
      </c>
      <c r="E41" s="1" t="s">
        <v>458</v>
      </c>
    </row>
    <row r="42" spans="1:5" ht="15" customHeight="1" x14ac:dyDescent="0.2">
      <c r="A42" s="105" t="s">
        <v>46</v>
      </c>
      <c r="B42" s="106" t="s">
        <v>459</v>
      </c>
      <c r="C42" s="107" t="s">
        <v>460</v>
      </c>
      <c r="D42" s="95" t="s">
        <v>426</v>
      </c>
      <c r="E42" s="1" t="s">
        <v>461</v>
      </c>
    </row>
    <row r="43" spans="1:5" ht="15" customHeight="1" x14ac:dyDescent="0.2">
      <c r="A43" s="105" t="s">
        <v>46</v>
      </c>
      <c r="B43" s="106" t="s">
        <v>462</v>
      </c>
      <c r="C43" s="107" t="s">
        <v>463</v>
      </c>
      <c r="D43" s="95" t="s">
        <v>426</v>
      </c>
      <c r="E43" s="1" t="s">
        <v>464</v>
      </c>
    </row>
    <row r="45" spans="1:5" ht="15" customHeight="1" x14ac:dyDescent="0.2">
      <c r="A45" s="948" t="s">
        <v>448</v>
      </c>
      <c r="B45" s="948"/>
      <c r="C45" s="948"/>
      <c r="D45" s="948"/>
      <c r="E45" s="948"/>
    </row>
    <row r="46" spans="1:5" ht="349.5" customHeight="1" x14ac:dyDescent="0.2">
      <c r="A46" s="949" t="s">
        <v>465</v>
      </c>
      <c r="B46" s="949"/>
      <c r="C46" s="949"/>
      <c r="D46" s="949"/>
      <c r="E46" s="949"/>
    </row>
    <row r="48" spans="1:5" ht="21.75" customHeight="1" x14ac:dyDescent="0.2">
      <c r="A48" s="934" t="s">
        <v>466</v>
      </c>
      <c r="B48" s="934"/>
      <c r="C48" s="934"/>
      <c r="D48" s="934"/>
      <c r="E48" s="934"/>
    </row>
    <row r="49" spans="1:5" ht="15" customHeight="1" x14ac:dyDescent="0.2">
      <c r="A49" s="931" t="s">
        <v>467</v>
      </c>
      <c r="B49" s="931"/>
      <c r="C49" s="931"/>
      <c r="D49" s="931"/>
      <c r="E49" s="931"/>
    </row>
    <row r="51" spans="1:5" ht="15" customHeight="1" x14ac:dyDescent="0.2">
      <c r="A51" s="104" t="s">
        <v>96</v>
      </c>
      <c r="B51" s="930" t="s">
        <v>468</v>
      </c>
      <c r="C51" s="930"/>
      <c r="D51" s="104" t="s">
        <v>469</v>
      </c>
    </row>
    <row r="52" spans="1:5" ht="15" customHeight="1" x14ac:dyDescent="0.2">
      <c r="A52" s="105" t="s">
        <v>470</v>
      </c>
      <c r="B52" s="950" t="s">
        <v>471</v>
      </c>
      <c r="C52" s="950"/>
      <c r="D52" s="931" t="s">
        <v>472</v>
      </c>
      <c r="E52" s="931"/>
    </row>
    <row r="53" spans="1:5" ht="15" customHeight="1" x14ac:dyDescent="0.2">
      <c r="A53" s="105" t="s">
        <v>473</v>
      </c>
      <c r="B53" s="950" t="s">
        <v>474</v>
      </c>
      <c r="C53" s="950"/>
      <c r="D53" s="931" t="s">
        <v>475</v>
      </c>
      <c r="E53" s="931"/>
    </row>
    <row r="54" spans="1:5" ht="15" customHeight="1" x14ac:dyDescent="0.2">
      <c r="A54" s="105" t="s">
        <v>476</v>
      </c>
      <c r="B54" s="950" t="s">
        <v>477</v>
      </c>
      <c r="C54" s="950"/>
      <c r="D54" s="931" t="s">
        <v>478</v>
      </c>
      <c r="E54" s="931"/>
    </row>
    <row r="55" spans="1:5" ht="15" customHeight="1" x14ac:dyDescent="0.2">
      <c r="A55" s="105" t="s">
        <v>479</v>
      </c>
      <c r="B55" s="950" t="s">
        <v>480</v>
      </c>
      <c r="C55" s="950"/>
      <c r="D55" s="931" t="s">
        <v>481</v>
      </c>
      <c r="E55" s="931"/>
    </row>
    <row r="56" spans="1:5" ht="15" customHeight="1" x14ac:dyDescent="0.2">
      <c r="A56" s="105" t="s">
        <v>482</v>
      </c>
      <c r="B56" s="950" t="s">
        <v>483</v>
      </c>
      <c r="C56" s="950"/>
      <c r="D56" s="931" t="s">
        <v>484</v>
      </c>
      <c r="E56" s="931"/>
    </row>
    <row r="58" spans="1:5" ht="21.75" customHeight="1" x14ac:dyDescent="0.2">
      <c r="A58" s="934" t="s">
        <v>485</v>
      </c>
      <c r="B58" s="934"/>
      <c r="C58" s="934"/>
      <c r="D58" s="934"/>
      <c r="E58" s="934"/>
    </row>
    <row r="59" spans="1:5" ht="15" customHeight="1" x14ac:dyDescent="0.2">
      <c r="A59" s="931" t="s">
        <v>486</v>
      </c>
      <c r="B59" s="931"/>
      <c r="C59" s="931"/>
      <c r="D59" s="931"/>
      <c r="E59" s="931"/>
    </row>
    <row r="61" spans="1:5" ht="15" customHeight="1" x14ac:dyDescent="0.2">
      <c r="A61" s="104" t="s">
        <v>96</v>
      </c>
      <c r="B61" s="104" t="s">
        <v>11</v>
      </c>
      <c r="C61" s="104" t="s">
        <v>487</v>
      </c>
      <c r="D61" s="104" t="s">
        <v>488</v>
      </c>
      <c r="E61" s="104" t="s">
        <v>55</v>
      </c>
    </row>
    <row r="62" spans="1:5" ht="15" customHeight="1" x14ac:dyDescent="0.2">
      <c r="A62" s="105" t="s">
        <v>489</v>
      </c>
      <c r="B62" s="106" t="s">
        <v>490</v>
      </c>
      <c r="C62" s="1" t="s">
        <v>491</v>
      </c>
      <c r="D62" s="95" t="s">
        <v>492</v>
      </c>
      <c r="E62" s="1" t="s">
        <v>493</v>
      </c>
    </row>
    <row r="63" spans="1:5" ht="15" customHeight="1" x14ac:dyDescent="0.2">
      <c r="A63" s="105" t="s">
        <v>494</v>
      </c>
      <c r="B63" s="106" t="s">
        <v>495</v>
      </c>
      <c r="C63" s="1" t="s">
        <v>496</v>
      </c>
      <c r="D63" s="95" t="s">
        <v>497</v>
      </c>
      <c r="E63" s="1" t="s">
        <v>498</v>
      </c>
    </row>
    <row r="64" spans="1:5" ht="15" customHeight="1" x14ac:dyDescent="0.2">
      <c r="A64" s="105" t="s">
        <v>499</v>
      </c>
      <c r="B64" s="106" t="s">
        <v>500</v>
      </c>
      <c r="C64" s="1" t="s">
        <v>501</v>
      </c>
      <c r="D64" s="95" t="s">
        <v>497</v>
      </c>
      <c r="E64" s="1" t="s">
        <v>502</v>
      </c>
    </row>
    <row r="65" spans="1:5" ht="15" customHeight="1" x14ac:dyDescent="0.2">
      <c r="A65" s="105" t="s">
        <v>503</v>
      </c>
      <c r="B65" s="106" t="s">
        <v>393</v>
      </c>
      <c r="C65" s="1" t="s">
        <v>504</v>
      </c>
      <c r="D65" s="95" t="s">
        <v>505</v>
      </c>
      <c r="E65" s="1" t="s">
        <v>506</v>
      </c>
    </row>
    <row r="66" spans="1:5" ht="15" customHeight="1" x14ac:dyDescent="0.2">
      <c r="A66" s="105" t="s">
        <v>507</v>
      </c>
      <c r="B66" s="106" t="s">
        <v>394</v>
      </c>
      <c r="C66" s="1" t="s">
        <v>508</v>
      </c>
      <c r="D66" s="95" t="s">
        <v>492</v>
      </c>
      <c r="E66" s="1" t="s">
        <v>509</v>
      </c>
    </row>
    <row r="67" spans="1:5" ht="15" customHeight="1" x14ac:dyDescent="0.2">
      <c r="A67" s="105" t="s">
        <v>510</v>
      </c>
      <c r="B67" s="106" t="s">
        <v>395</v>
      </c>
      <c r="C67" s="1" t="s">
        <v>511</v>
      </c>
      <c r="D67" s="95" t="s">
        <v>505</v>
      </c>
      <c r="E67" s="1" t="s">
        <v>512</v>
      </c>
    </row>
    <row r="68" spans="1:5" ht="15" customHeight="1" x14ac:dyDescent="0.2">
      <c r="A68" s="105" t="s">
        <v>513</v>
      </c>
      <c r="B68" s="106" t="s">
        <v>396</v>
      </c>
      <c r="C68" s="1" t="s">
        <v>514</v>
      </c>
      <c r="D68" s="95" t="s">
        <v>505</v>
      </c>
      <c r="E68" s="1" t="s">
        <v>515</v>
      </c>
    </row>
    <row r="69" spans="1:5" ht="15" customHeight="1" x14ac:dyDescent="0.2">
      <c r="A69" s="105" t="s">
        <v>455</v>
      </c>
      <c r="B69" s="106" t="s">
        <v>516</v>
      </c>
      <c r="C69" s="1" t="s">
        <v>517</v>
      </c>
      <c r="D69" s="95" t="s">
        <v>505</v>
      </c>
      <c r="E69" s="1" t="s">
        <v>518</v>
      </c>
    </row>
    <row r="71" spans="1:5" ht="21.75" customHeight="1" x14ac:dyDescent="0.2">
      <c r="A71" s="934" t="s">
        <v>519</v>
      </c>
      <c r="B71" s="934"/>
      <c r="C71" s="934"/>
      <c r="D71" s="934"/>
      <c r="E71" s="934"/>
    </row>
    <row r="72" spans="1:5" ht="15" customHeight="1" x14ac:dyDescent="0.2">
      <c r="A72" s="931" t="s">
        <v>520</v>
      </c>
      <c r="B72" s="931"/>
      <c r="C72" s="931"/>
      <c r="D72" s="931"/>
      <c r="E72" s="931"/>
    </row>
    <row r="74" spans="1:5" ht="15" customHeight="1" x14ac:dyDescent="0.2">
      <c r="A74" s="104" t="s">
        <v>96</v>
      </c>
      <c r="B74" s="104" t="s">
        <v>11</v>
      </c>
      <c r="C74" s="104" t="s">
        <v>98</v>
      </c>
      <c r="D74" s="104" t="s">
        <v>521</v>
      </c>
      <c r="E74" s="104" t="s">
        <v>522</v>
      </c>
    </row>
    <row r="75" spans="1:5" ht="15" customHeight="1" x14ac:dyDescent="0.2">
      <c r="A75" s="105" t="s">
        <v>424</v>
      </c>
      <c r="B75" s="106" t="s">
        <v>383</v>
      </c>
      <c r="C75" s="108">
        <f>'Prop Info'!B22</f>
        <v>0</v>
      </c>
      <c r="D75" s="1" t="s">
        <v>523</v>
      </c>
      <c r="E75" s="95" t="s">
        <v>524</v>
      </c>
    </row>
    <row r="76" spans="1:5" ht="15" customHeight="1" x14ac:dyDescent="0.2">
      <c r="A76" s="105" t="s">
        <v>428</v>
      </c>
      <c r="B76" s="106" t="s">
        <v>384</v>
      </c>
      <c r="C76" s="108">
        <f>'Prop Info'!B23</f>
        <v>0</v>
      </c>
      <c r="D76" s="1" t="s">
        <v>525</v>
      </c>
      <c r="E76" s="95" t="s">
        <v>524</v>
      </c>
    </row>
    <row r="77" spans="1:5" ht="15" customHeight="1" x14ac:dyDescent="0.2">
      <c r="A77" s="105" t="s">
        <v>445</v>
      </c>
      <c r="B77" s="106" t="s">
        <v>385</v>
      </c>
      <c r="C77" s="109">
        <f>'Prop Info'!B24</f>
        <v>0</v>
      </c>
      <c r="D77" s="1" t="s">
        <v>526</v>
      </c>
      <c r="E77" s="95" t="s">
        <v>524</v>
      </c>
    </row>
    <row r="78" spans="1:5" ht="15" customHeight="1" x14ac:dyDescent="0.2">
      <c r="A78" s="105" t="s">
        <v>431</v>
      </c>
      <c r="B78" s="106" t="s">
        <v>432</v>
      </c>
      <c r="C78" s="108">
        <f>'Prop Info'!B25</f>
        <v>0</v>
      </c>
      <c r="D78" s="1" t="s">
        <v>523</v>
      </c>
      <c r="E78" s="95" t="s">
        <v>524</v>
      </c>
    </row>
    <row r="79" spans="1:5" ht="15" customHeight="1" x14ac:dyDescent="0.2">
      <c r="A79" s="105" t="s">
        <v>489</v>
      </c>
      <c r="B79" s="106" t="s">
        <v>527</v>
      </c>
      <c r="C79" s="109">
        <f>'Prop Info'!B26</f>
        <v>0</v>
      </c>
      <c r="D79" s="1" t="s">
        <v>528</v>
      </c>
      <c r="E79" s="95" t="s">
        <v>529</v>
      </c>
    </row>
    <row r="80" spans="1:5" ht="15" customHeight="1" x14ac:dyDescent="0.2">
      <c r="A80" s="105" t="s">
        <v>435</v>
      </c>
      <c r="B80" s="106" t="s">
        <v>388</v>
      </c>
      <c r="C80" s="110">
        <f>'Prop Info'!B27</f>
        <v>0</v>
      </c>
      <c r="D80" s="1" t="s">
        <v>523</v>
      </c>
      <c r="E80" s="95" t="s">
        <v>524</v>
      </c>
    </row>
    <row r="81" spans="1:5" ht="15" customHeight="1" x14ac:dyDescent="0.2">
      <c r="A81" s="105" t="s">
        <v>438</v>
      </c>
      <c r="B81" s="106" t="s">
        <v>389</v>
      </c>
      <c r="C81" s="110">
        <f>'Prop Info'!B28</f>
        <v>0</v>
      </c>
      <c r="D81" s="1" t="s">
        <v>523</v>
      </c>
      <c r="E81" s="95" t="s">
        <v>524</v>
      </c>
    </row>
    <row r="82" spans="1:5" ht="15" customHeight="1" x14ac:dyDescent="0.2">
      <c r="A82" s="105" t="s">
        <v>494</v>
      </c>
      <c r="B82" s="106" t="s">
        <v>495</v>
      </c>
      <c r="C82" s="111">
        <f>'Prop Info'!B29</f>
        <v>0</v>
      </c>
      <c r="D82" s="1" t="s">
        <v>530</v>
      </c>
      <c r="E82" s="95" t="s">
        <v>531</v>
      </c>
    </row>
    <row r="83" spans="1:5" ht="15" customHeight="1" x14ac:dyDescent="0.2">
      <c r="A83" s="105" t="s">
        <v>499</v>
      </c>
      <c r="B83" s="106" t="s">
        <v>392</v>
      </c>
      <c r="C83" s="110">
        <f>'Prop Info'!B31</f>
        <v>0</v>
      </c>
      <c r="D83" s="1" t="s">
        <v>532</v>
      </c>
      <c r="E83" s="95" t="s">
        <v>531</v>
      </c>
    </row>
    <row r="84" spans="1:5" ht="15" customHeight="1" x14ac:dyDescent="0.2">
      <c r="A84" s="105" t="s">
        <v>503</v>
      </c>
      <c r="B84" s="106" t="s">
        <v>393</v>
      </c>
      <c r="C84" s="110">
        <f>'Prop Info'!B32</f>
        <v>0</v>
      </c>
      <c r="D84" s="1" t="s">
        <v>533</v>
      </c>
      <c r="E84" s="95" t="s">
        <v>531</v>
      </c>
    </row>
    <row r="85" spans="1:5" ht="15" customHeight="1" x14ac:dyDescent="0.2">
      <c r="A85" s="105" t="s">
        <v>507</v>
      </c>
      <c r="B85" s="106" t="s">
        <v>394</v>
      </c>
      <c r="C85" s="108">
        <f>'Prop Info'!B33</f>
        <v>0</v>
      </c>
      <c r="D85" s="1" t="s">
        <v>530</v>
      </c>
      <c r="E85" s="95" t="s">
        <v>531</v>
      </c>
    </row>
    <row r="86" spans="1:5" ht="15" customHeight="1" x14ac:dyDescent="0.2">
      <c r="A86" s="105" t="s">
        <v>510</v>
      </c>
      <c r="B86" s="106" t="s">
        <v>395</v>
      </c>
      <c r="C86" s="109">
        <f>'Prop Info'!B34</f>
        <v>0</v>
      </c>
      <c r="D86" s="1" t="s">
        <v>530</v>
      </c>
      <c r="E86" s="95" t="s">
        <v>531</v>
      </c>
    </row>
    <row r="87" spans="1:5" ht="15" customHeight="1" x14ac:dyDescent="0.2">
      <c r="A87" s="105" t="s">
        <v>513</v>
      </c>
      <c r="B87" s="106" t="s">
        <v>534</v>
      </c>
      <c r="C87" s="109">
        <f>'Prop Info'!B35</f>
        <v>0</v>
      </c>
      <c r="D87" s="1" t="s">
        <v>530</v>
      </c>
      <c r="E87" s="95" t="s">
        <v>531</v>
      </c>
    </row>
    <row r="88" spans="1:5" ht="15" customHeight="1" x14ac:dyDescent="0.2">
      <c r="A88" s="105" t="s">
        <v>455</v>
      </c>
      <c r="B88" s="106" t="s">
        <v>516</v>
      </c>
      <c r="C88" s="108">
        <f>'Prop Info'!B36</f>
        <v>0</v>
      </c>
      <c r="D88" s="1" t="s">
        <v>535</v>
      </c>
      <c r="E88" s="95" t="s">
        <v>536</v>
      </c>
    </row>
    <row r="89" spans="1:5" ht="15" customHeight="1" x14ac:dyDescent="0.2">
      <c r="A89" s="105" t="s">
        <v>441</v>
      </c>
      <c r="B89" s="106" t="s">
        <v>442</v>
      </c>
      <c r="C89" s="109">
        <f>'Prop Info'!B37</f>
        <v>0</v>
      </c>
      <c r="D89" s="1" t="s">
        <v>523</v>
      </c>
      <c r="E89" s="95" t="s">
        <v>524</v>
      </c>
    </row>
    <row r="91" spans="1:5" ht="15" customHeight="1" x14ac:dyDescent="0.2">
      <c r="A91" s="951" t="s">
        <v>537</v>
      </c>
      <c r="B91" s="951"/>
      <c r="C91" s="951"/>
      <c r="D91" s="951"/>
      <c r="E91" s="951"/>
    </row>
    <row r="92" spans="1:5" ht="15" customHeight="1" x14ac:dyDescent="0.2">
      <c r="A92" s="947" t="s">
        <v>538</v>
      </c>
      <c r="B92" s="947"/>
      <c r="C92" s="947"/>
      <c r="D92" s="947"/>
      <c r="E92" s="947"/>
    </row>
    <row r="93" spans="1:5" ht="15" customHeight="1" x14ac:dyDescent="0.2">
      <c r="A93" s="947" t="s">
        <v>539</v>
      </c>
      <c r="B93" s="947"/>
      <c r="C93" s="947"/>
      <c r="D93" s="947"/>
      <c r="E93" s="947"/>
    </row>
    <row r="94" spans="1:5" ht="15" customHeight="1" x14ac:dyDescent="0.2">
      <c r="A94" s="947" t="s">
        <v>540</v>
      </c>
      <c r="B94" s="947"/>
      <c r="C94" s="947"/>
      <c r="D94" s="947"/>
      <c r="E94" s="947"/>
    </row>
  </sheetData>
  <mergeCells count="46">
    <mergeCell ref="A72:E72"/>
    <mergeCell ref="A91:E91"/>
    <mergeCell ref="A92:E92"/>
    <mergeCell ref="A93:E93"/>
    <mergeCell ref="A94:E94"/>
    <mergeCell ref="B56:C56"/>
    <mergeCell ref="D56:E56"/>
    <mergeCell ref="A58:E58"/>
    <mergeCell ref="A59:E59"/>
    <mergeCell ref="A71:E71"/>
    <mergeCell ref="B53:C53"/>
    <mergeCell ref="D53:E53"/>
    <mergeCell ref="B54:C54"/>
    <mergeCell ref="D54:E54"/>
    <mergeCell ref="B55:C55"/>
    <mergeCell ref="D55:E55"/>
    <mergeCell ref="A48:E48"/>
    <mergeCell ref="A49:E49"/>
    <mergeCell ref="B51:C51"/>
    <mergeCell ref="B52:C52"/>
    <mergeCell ref="D52:E52"/>
    <mergeCell ref="A34:E34"/>
    <mergeCell ref="A36:E36"/>
    <mergeCell ref="A37:E37"/>
    <mergeCell ref="A45:E45"/>
    <mergeCell ref="A46:E46"/>
    <mergeCell ref="A17:E17"/>
    <mergeCell ref="A18:E18"/>
    <mergeCell ref="A21:E21"/>
    <mergeCell ref="A22:E22"/>
    <mergeCell ref="A33:E33"/>
    <mergeCell ref="A12:E12"/>
    <mergeCell ref="A13:E13"/>
    <mergeCell ref="A14:E14"/>
    <mergeCell ref="A15:E15"/>
    <mergeCell ref="A16:E16"/>
    <mergeCell ref="A7:E7"/>
    <mergeCell ref="A8:E8"/>
    <mergeCell ref="A9:E9"/>
    <mergeCell ref="A10:E10"/>
    <mergeCell ref="A11:E11"/>
    <mergeCell ref="A1:E1"/>
    <mergeCell ref="A2:E2"/>
    <mergeCell ref="A4:E4"/>
    <mergeCell ref="A5:E5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7"/>
  <sheetViews>
    <sheetView zoomScaleNormal="100" workbookViewId="0">
      <pane xSplit="1" ySplit="4" topLeftCell="B18" activePane="bottomRight" state="frozen"/>
      <selection pane="topRight" activeCell="B1" sqref="B1"/>
      <selection pane="bottomLeft" activeCell="A18" sqref="A18"/>
      <selection pane="bottomRight" activeCell="A8" sqref="A8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3" width="16" customWidth="1"/>
    <col min="4" max="5" width="13" customWidth="1"/>
    <col min="6" max="6" width="24" customWidth="1"/>
    <col min="7" max="8" width="14" customWidth="1"/>
    <col min="9" max="9" width="28" customWidth="1"/>
    <col min="10" max="10" width="38" customWidth="1"/>
  </cols>
  <sheetData>
    <row r="1" spans="1:10" ht="21.75" customHeight="1" x14ac:dyDescent="0.2">
      <c r="A1" s="928" t="str">
        <f>IF('Prop Info'!B4="","DATA CHECKLIST  —  Due Diligence Tracker","DATA CHECKLIST  —  Due Diligence Tracker"&amp;" — "&amp;'Prop Info'!B4)</f>
        <v>DATA CHECKLIST  —  Due Diligence Tracker</v>
      </c>
      <c r="B1" s="928"/>
      <c r="C1" s="928"/>
      <c r="D1" s="928"/>
      <c r="E1" s="928"/>
      <c r="F1" s="928"/>
      <c r="G1" s="928"/>
      <c r="H1" s="928"/>
      <c r="I1" s="928"/>
      <c r="J1" s="928"/>
    </row>
    <row r="2" spans="1:10" ht="27.75" customHeight="1" x14ac:dyDescent="0.2">
      <c r="A2" s="1" t="s">
        <v>541</v>
      </c>
    </row>
    <row r="3" spans="1:10" ht="15" customHeight="1" x14ac:dyDescent="0.2">
      <c r="F3" s="113" t="s">
        <v>542</v>
      </c>
      <c r="G3" s="113" t="s">
        <v>543</v>
      </c>
      <c r="H3" s="113" t="s">
        <v>544</v>
      </c>
      <c r="I3" s="113" t="s">
        <v>545</v>
      </c>
      <c r="J3" s="113" t="s">
        <v>546</v>
      </c>
    </row>
    <row r="4" spans="1:10" ht="15" customHeight="1" x14ac:dyDescent="0.2">
      <c r="F4" s="114">
        <f>COUNT(A7:A97)</f>
        <v>74</v>
      </c>
      <c r="G4" s="114">
        <f>COUNTIF(C7:C97,"Complete")+COUNTIF(C7:C97,"N/A")</f>
        <v>0</v>
      </c>
      <c r="H4" s="115">
        <f>IFERROR(G4/F4,0)</f>
        <v>0</v>
      </c>
      <c r="I4" s="114">
        <f>SUMPRODUCT((LEFT(B7:B97,1)="⚠")*(C7:C97&lt;&gt;"Complete")*(C7:C97&lt;&gt;"N/A"))</f>
        <v>32</v>
      </c>
      <c r="J4" s="112" t="str">
        <f>IF(I4&gt;5,"🔴 many critical open",IF(I4&gt;0,"🟡 critical items pending","🟢 critical items resolved"))</f>
        <v>🔴 many critical open</v>
      </c>
    </row>
    <row r="6" spans="1:10" ht="31.5" customHeight="1" x14ac:dyDescent="0.2">
      <c r="A6" s="116" t="s">
        <v>356</v>
      </c>
      <c r="B6" s="116" t="s">
        <v>547</v>
      </c>
      <c r="C6" s="116" t="s">
        <v>546</v>
      </c>
      <c r="D6" s="116" t="s">
        <v>548</v>
      </c>
      <c r="E6" s="116" t="s">
        <v>549</v>
      </c>
      <c r="F6" s="116" t="s">
        <v>550</v>
      </c>
      <c r="G6" s="116" t="s">
        <v>551</v>
      </c>
      <c r="H6" s="116" t="s">
        <v>552</v>
      </c>
      <c r="I6" s="116" t="s">
        <v>553</v>
      </c>
      <c r="J6" s="116" t="s">
        <v>55</v>
      </c>
    </row>
    <row r="7" spans="1:10" ht="21.75" customHeight="1" x14ac:dyDescent="0.2">
      <c r="A7" s="952" t="s">
        <v>554</v>
      </c>
      <c r="B7" s="952"/>
      <c r="C7" s="952"/>
      <c r="D7" s="952"/>
      <c r="E7" s="952"/>
      <c r="F7" s="952"/>
      <c r="G7" s="952"/>
      <c r="H7" s="952"/>
      <c r="I7" s="952"/>
      <c r="J7" s="952"/>
    </row>
    <row r="8" spans="1:10" ht="15" customHeight="1" x14ac:dyDescent="0.2">
      <c r="A8" s="118">
        <v>1</v>
      </c>
      <c r="B8" s="112" t="s">
        <v>138</v>
      </c>
      <c r="C8" s="118" t="s">
        <v>555</v>
      </c>
      <c r="I8" s="119" t="str">
        <f>IF('T-12 Analysis'!N80&gt;0,"✓ EGI loaded $"&amp;TEXT('T-12 Analysis'!N80,"#,##0"),"⚠ T-12 not loaded")</f>
        <v>⚠ T-12 not loaded</v>
      </c>
      <c r="J8" s="1" t="s">
        <v>556</v>
      </c>
    </row>
    <row r="9" spans="1:10" ht="15" customHeight="1" x14ac:dyDescent="0.2">
      <c r="A9" s="118">
        <v>2</v>
      </c>
      <c r="B9" s="112" t="s">
        <v>139</v>
      </c>
      <c r="C9" s="118" t="s">
        <v>555</v>
      </c>
      <c r="I9" s="119" t="str">
        <f>IF('T-12 Analysis'!O80&gt;0,"✓ T-3 derived from T-12","derive from T-12 monthly")</f>
        <v>derive from T-12 monthly</v>
      </c>
      <c r="J9" s="1" t="s">
        <v>557</v>
      </c>
    </row>
    <row r="10" spans="1:10" ht="15" customHeight="1" x14ac:dyDescent="0.2">
      <c r="A10" s="118">
        <v>3</v>
      </c>
      <c r="B10" s="106" t="s">
        <v>140</v>
      </c>
      <c r="C10" s="118" t="s">
        <v>555</v>
      </c>
      <c r="J10" s="1" t="s">
        <v>558</v>
      </c>
    </row>
    <row r="11" spans="1:10" ht="15" customHeight="1" x14ac:dyDescent="0.2">
      <c r="A11" s="118">
        <v>4</v>
      </c>
      <c r="B11" s="106" t="s">
        <v>141</v>
      </c>
      <c r="C11" s="118" t="s">
        <v>555</v>
      </c>
      <c r="J11" s="1" t="s">
        <v>559</v>
      </c>
    </row>
    <row r="12" spans="1:10" ht="15" customHeight="1" x14ac:dyDescent="0.2">
      <c r="A12" s="118">
        <v>5</v>
      </c>
      <c r="B12" s="106" t="s">
        <v>142</v>
      </c>
      <c r="C12" s="118" t="s">
        <v>555</v>
      </c>
      <c r="J12" s="1" t="s">
        <v>560</v>
      </c>
    </row>
    <row r="13" spans="1:10" ht="15" customHeight="1" x14ac:dyDescent="0.2">
      <c r="A13" s="118">
        <v>6</v>
      </c>
      <c r="B13" s="106" t="s">
        <v>143</v>
      </c>
      <c r="C13" s="118" t="s">
        <v>555</v>
      </c>
      <c r="J13" s="1" t="s">
        <v>561</v>
      </c>
    </row>
    <row r="14" spans="1:10" ht="15" customHeight="1" x14ac:dyDescent="0.2">
      <c r="A14" s="118">
        <v>7</v>
      </c>
      <c r="B14" s="106" t="s">
        <v>144</v>
      </c>
      <c r="C14" s="118" t="s">
        <v>555</v>
      </c>
      <c r="J14" s="1" t="s">
        <v>562</v>
      </c>
    </row>
    <row r="15" spans="1:10" ht="15" customHeight="1" x14ac:dyDescent="0.2">
      <c r="A15" s="118">
        <v>8</v>
      </c>
      <c r="B15" s="106" t="s">
        <v>145</v>
      </c>
      <c r="C15" s="118" t="s">
        <v>555</v>
      </c>
      <c r="J15" s="1" t="s">
        <v>563</v>
      </c>
    </row>
    <row r="16" spans="1:10" ht="15" customHeight="1" x14ac:dyDescent="0.2">
      <c r="A16" s="118">
        <v>9</v>
      </c>
      <c r="B16" s="106" t="s">
        <v>146</v>
      </c>
      <c r="C16" s="118" t="s">
        <v>555</v>
      </c>
      <c r="J16" s="1" t="s">
        <v>564</v>
      </c>
    </row>
    <row r="18" spans="1:10" ht="21.75" customHeight="1" x14ac:dyDescent="0.2">
      <c r="A18" s="952" t="s">
        <v>565</v>
      </c>
      <c r="B18" s="952"/>
      <c r="C18" s="952"/>
      <c r="D18" s="952"/>
      <c r="E18" s="952"/>
      <c r="F18" s="952"/>
      <c r="G18" s="952"/>
      <c r="H18" s="952"/>
      <c r="I18" s="952"/>
      <c r="J18" s="952"/>
    </row>
    <row r="19" spans="1:10" ht="15" customHeight="1" x14ac:dyDescent="0.2">
      <c r="A19" s="118">
        <v>10</v>
      </c>
      <c r="B19" s="112" t="s">
        <v>147</v>
      </c>
      <c r="C19" s="118" t="s">
        <v>566</v>
      </c>
      <c r="I19" s="119" t="str">
        <f>IF('Rent Roll Analysis'!I5&gt;0,"✓ "&amp;'Rent Roll Analysis'!I5&amp;" units in RR vs "&amp;'Rent Roll Analysis'!G5&amp;" total","⚠ RR not loaded")</f>
        <v>⚠ RR not loaded</v>
      </c>
      <c r="J19" s="1" t="s">
        <v>567</v>
      </c>
    </row>
    <row r="20" spans="1:10" ht="15" customHeight="1" x14ac:dyDescent="0.2">
      <c r="A20" s="118">
        <v>11</v>
      </c>
      <c r="B20" s="112" t="s">
        <v>148</v>
      </c>
      <c r="C20" s="118" t="s">
        <v>566</v>
      </c>
      <c r="I20" s="119" t="str">
        <f>IF('Rent Roll Analysis'!C94&gt;0,"✓ Total AR $"&amp;TEXT('Rent Roll Analysis'!C94,"#,##0"),"⚠ AR not loaded")</f>
        <v>⚠ AR not loaded</v>
      </c>
      <c r="J20" s="1" t="s">
        <v>568</v>
      </c>
    </row>
    <row r="21" spans="1:10" ht="15" customHeight="1" x14ac:dyDescent="0.2">
      <c r="A21" s="118">
        <v>12</v>
      </c>
      <c r="B21" s="112" t="s">
        <v>149</v>
      </c>
      <c r="C21" s="118" t="s">
        <v>566</v>
      </c>
      <c r="I21" s="119" t="str">
        <f>IF('Rent Roll Analysis'!B113&gt;0,"✓ "&amp;'Rent Roll Analysis'!B113&amp;" units flagged for legal/eviction (** in source)","none flagged")</f>
        <v>none flagged</v>
      </c>
      <c r="J21" s="1" t="s">
        <v>569</v>
      </c>
    </row>
    <row r="22" spans="1:10" ht="15" customHeight="1" x14ac:dyDescent="0.2">
      <c r="A22" s="118">
        <v>13</v>
      </c>
      <c r="B22" s="106" t="s">
        <v>150</v>
      </c>
      <c r="C22" s="118" t="s">
        <v>555</v>
      </c>
      <c r="J22" s="1" t="s">
        <v>570</v>
      </c>
    </row>
    <row r="23" spans="1:10" ht="15" customHeight="1" x14ac:dyDescent="0.2">
      <c r="A23" s="118">
        <v>14</v>
      </c>
      <c r="B23" s="112" t="s">
        <v>151</v>
      </c>
      <c r="C23" s="118" t="s">
        <v>566</v>
      </c>
      <c r="I23" s="119" t="str">
        <f>IF('Rent Roll Analysis'!D113&gt;0,"⚠ $"&amp;TEXT('Rent Roll Analysis'!D113,"#,##0")&amp;" AR exposure on legal cohort","none on record")</f>
        <v>none on record</v>
      </c>
      <c r="J23" s="1" t="s">
        <v>571</v>
      </c>
    </row>
    <row r="24" spans="1:10" ht="15" customHeight="1" x14ac:dyDescent="0.2">
      <c r="A24" s="118">
        <v>15</v>
      </c>
      <c r="B24" s="106" t="s">
        <v>152</v>
      </c>
      <c r="C24" s="118" t="s">
        <v>555</v>
      </c>
      <c r="J24" s="1" t="s">
        <v>572</v>
      </c>
    </row>
    <row r="25" spans="1:10" ht="15" customHeight="1" x14ac:dyDescent="0.2">
      <c r="A25" s="118">
        <v>16</v>
      </c>
      <c r="B25" s="106" t="s">
        <v>153</v>
      </c>
      <c r="C25" s="118" t="s">
        <v>555</v>
      </c>
      <c r="J25" s="1" t="s">
        <v>573</v>
      </c>
    </row>
    <row r="26" spans="1:10" ht="15" customHeight="1" x14ac:dyDescent="0.2">
      <c r="A26" s="118">
        <v>17</v>
      </c>
      <c r="B26" s="106" t="s">
        <v>154</v>
      </c>
      <c r="C26" s="118" t="s">
        <v>555</v>
      </c>
      <c r="J26" s="1" t="s">
        <v>574</v>
      </c>
    </row>
    <row r="27" spans="1:10" ht="15" customHeight="1" x14ac:dyDescent="0.2">
      <c r="A27" s="118">
        <v>18</v>
      </c>
      <c r="B27" s="106" t="s">
        <v>155</v>
      </c>
      <c r="C27" s="118" t="s">
        <v>555</v>
      </c>
      <c r="J27" s="1" t="s">
        <v>575</v>
      </c>
    </row>
    <row r="29" spans="1:10" ht="21.75" customHeight="1" x14ac:dyDescent="0.2">
      <c r="A29" s="952" t="s">
        <v>576</v>
      </c>
      <c r="B29" s="952"/>
      <c r="C29" s="952"/>
      <c r="D29" s="952"/>
      <c r="E29" s="952"/>
      <c r="F29" s="952"/>
      <c r="G29" s="952"/>
      <c r="H29" s="952"/>
      <c r="I29" s="952"/>
      <c r="J29" s="952"/>
    </row>
    <row r="30" spans="1:10" ht="15" customHeight="1" x14ac:dyDescent="0.2">
      <c r="A30" s="118">
        <v>19</v>
      </c>
      <c r="B30" s="112" t="s">
        <v>156</v>
      </c>
      <c r="C30" s="118" t="s">
        <v>555</v>
      </c>
      <c r="J30" s="1" t="s">
        <v>577</v>
      </c>
    </row>
    <row r="31" spans="1:10" ht="15" customHeight="1" x14ac:dyDescent="0.2">
      <c r="A31" s="118">
        <v>20</v>
      </c>
      <c r="B31" s="112" t="s">
        <v>157</v>
      </c>
      <c r="C31" s="118" t="s">
        <v>555</v>
      </c>
      <c r="J31" s="1" t="s">
        <v>578</v>
      </c>
    </row>
    <row r="32" spans="1:10" ht="15" customHeight="1" x14ac:dyDescent="0.2">
      <c r="A32" s="118">
        <v>21</v>
      </c>
      <c r="B32" s="112" t="s">
        <v>158</v>
      </c>
      <c r="C32" s="118" t="s">
        <v>555</v>
      </c>
      <c r="J32" s="1" t="s">
        <v>579</v>
      </c>
    </row>
    <row r="33" spans="1:10" ht="15" customHeight="1" x14ac:dyDescent="0.2">
      <c r="A33" s="118">
        <v>22</v>
      </c>
      <c r="B33" s="112" t="s">
        <v>159</v>
      </c>
      <c r="C33" s="118" t="s">
        <v>555</v>
      </c>
      <c r="J33" s="1" t="s">
        <v>580</v>
      </c>
    </row>
    <row r="34" spans="1:10" ht="15" customHeight="1" x14ac:dyDescent="0.2">
      <c r="A34" s="118">
        <v>23</v>
      </c>
      <c r="B34" s="112" t="s">
        <v>160</v>
      </c>
      <c r="C34" s="118" t="s">
        <v>555</v>
      </c>
      <c r="I34" s="119" t="str">
        <f>IF('T-12 Analysis'!P96&gt;70,"⚠ water $"&amp;TEXT('T-12 Analysis'!P96,"0.00")&amp;" PUPM — investigate","ok")</f>
        <v>ok</v>
      </c>
      <c r="J34" s="1" t="s">
        <v>581</v>
      </c>
    </row>
    <row r="35" spans="1:10" ht="15" customHeight="1" x14ac:dyDescent="0.2">
      <c r="A35" s="118">
        <v>24</v>
      </c>
      <c r="B35" s="106" t="s">
        <v>161</v>
      </c>
      <c r="C35" s="118" t="s">
        <v>555</v>
      </c>
    </row>
    <row r="36" spans="1:10" ht="15" customHeight="1" x14ac:dyDescent="0.2">
      <c r="A36" s="118">
        <v>25</v>
      </c>
      <c r="B36" s="106" t="s">
        <v>162</v>
      </c>
      <c r="C36" s="118" t="s">
        <v>555</v>
      </c>
    </row>
    <row r="37" spans="1:10" ht="15" customHeight="1" x14ac:dyDescent="0.2">
      <c r="A37" s="118">
        <v>26</v>
      </c>
      <c r="B37" s="106" t="s">
        <v>163</v>
      </c>
      <c r="C37" s="118" t="s">
        <v>555</v>
      </c>
    </row>
    <row r="38" spans="1:10" ht="15" customHeight="1" x14ac:dyDescent="0.2">
      <c r="A38" s="118">
        <v>27</v>
      </c>
      <c r="B38" s="106" t="s">
        <v>164</v>
      </c>
      <c r="C38" s="118" t="s">
        <v>555</v>
      </c>
      <c r="J38" s="1" t="s">
        <v>582</v>
      </c>
    </row>
    <row r="39" spans="1:10" ht="15" customHeight="1" x14ac:dyDescent="0.2">
      <c r="A39" s="118">
        <v>28</v>
      </c>
      <c r="B39" s="106" t="s">
        <v>165</v>
      </c>
      <c r="C39" s="118" t="s">
        <v>555</v>
      </c>
      <c r="J39" s="1" t="s">
        <v>583</v>
      </c>
    </row>
    <row r="40" spans="1:10" ht="15" customHeight="1" x14ac:dyDescent="0.2">
      <c r="A40" s="118">
        <v>29</v>
      </c>
      <c r="B40" s="106" t="s">
        <v>166</v>
      </c>
      <c r="C40" s="118" t="s">
        <v>555</v>
      </c>
      <c r="J40" s="1" t="s">
        <v>584</v>
      </c>
    </row>
    <row r="41" spans="1:10" ht="15" customHeight="1" x14ac:dyDescent="0.2">
      <c r="A41" s="118">
        <v>30</v>
      </c>
      <c r="B41" s="112" t="s">
        <v>167</v>
      </c>
      <c r="C41" s="118" t="s">
        <v>555</v>
      </c>
      <c r="J41" s="1" t="s">
        <v>585</v>
      </c>
    </row>
    <row r="42" spans="1:10" ht="15" customHeight="1" x14ac:dyDescent="0.2">
      <c r="A42" s="118">
        <v>31</v>
      </c>
      <c r="B42" s="106" t="s">
        <v>168</v>
      </c>
      <c r="C42" s="118" t="s">
        <v>555</v>
      </c>
      <c r="J42" s="1" t="s">
        <v>586</v>
      </c>
    </row>
    <row r="44" spans="1:10" ht="21.75" customHeight="1" x14ac:dyDescent="0.2">
      <c r="A44" s="952" t="s">
        <v>587</v>
      </c>
      <c r="B44" s="952"/>
      <c r="C44" s="952"/>
      <c r="D44" s="952"/>
      <c r="E44" s="952"/>
      <c r="F44" s="952"/>
      <c r="G44" s="952"/>
      <c r="H44" s="952"/>
      <c r="I44" s="952"/>
      <c r="J44" s="952"/>
    </row>
    <row r="45" spans="1:10" ht="15" customHeight="1" x14ac:dyDescent="0.2">
      <c r="A45" s="118">
        <v>32</v>
      </c>
      <c r="B45" s="112" t="s">
        <v>169</v>
      </c>
      <c r="C45" s="118" t="s">
        <v>555</v>
      </c>
      <c r="J45" s="1" t="s">
        <v>588</v>
      </c>
    </row>
    <row r="46" spans="1:10" ht="15" customHeight="1" x14ac:dyDescent="0.2">
      <c r="A46" s="118">
        <v>33</v>
      </c>
      <c r="B46" s="112" t="s">
        <v>170</v>
      </c>
      <c r="C46" s="118" t="s">
        <v>555</v>
      </c>
      <c r="J46" s="1" t="s">
        <v>589</v>
      </c>
    </row>
    <row r="47" spans="1:10" ht="15" customHeight="1" x14ac:dyDescent="0.2">
      <c r="A47" s="118">
        <v>34</v>
      </c>
      <c r="B47" s="112" t="s">
        <v>171</v>
      </c>
      <c r="C47" s="118" t="s">
        <v>555</v>
      </c>
      <c r="J47" s="1" t="s">
        <v>590</v>
      </c>
    </row>
    <row r="48" spans="1:10" ht="15" customHeight="1" x14ac:dyDescent="0.2">
      <c r="A48" s="118">
        <v>35</v>
      </c>
      <c r="B48" s="112" t="s">
        <v>172</v>
      </c>
      <c r="C48" s="118" t="s">
        <v>555</v>
      </c>
    </row>
    <row r="49" spans="1:10" ht="15" customHeight="1" x14ac:dyDescent="0.2">
      <c r="A49" s="118">
        <v>36</v>
      </c>
      <c r="B49" s="106" t="s">
        <v>173</v>
      </c>
      <c r="C49" s="118" t="s">
        <v>555</v>
      </c>
      <c r="J49" s="1" t="s">
        <v>591</v>
      </c>
    </row>
    <row r="50" spans="1:10" ht="15" customHeight="1" x14ac:dyDescent="0.2">
      <c r="A50" s="118">
        <v>37</v>
      </c>
      <c r="B50" s="112" t="s">
        <v>174</v>
      </c>
      <c r="C50" s="118" t="s">
        <v>555</v>
      </c>
      <c r="I50" s="119" t="str">
        <f>IF('T-12 Analysis'!P96&gt;70,"⚠ likely leak — inspect","ok")</f>
        <v>ok</v>
      </c>
      <c r="J50" s="1" t="s">
        <v>592</v>
      </c>
    </row>
    <row r="51" spans="1:10" ht="15" customHeight="1" x14ac:dyDescent="0.2">
      <c r="A51" s="118">
        <v>38</v>
      </c>
      <c r="B51" s="106" t="s">
        <v>175</v>
      </c>
      <c r="C51" s="118" t="s">
        <v>555</v>
      </c>
    </row>
    <row r="52" spans="1:10" ht="15" customHeight="1" x14ac:dyDescent="0.2">
      <c r="A52" s="118">
        <v>39</v>
      </c>
      <c r="B52" s="112" t="s">
        <v>176</v>
      </c>
      <c r="C52" s="118" t="s">
        <v>555</v>
      </c>
      <c r="J52" s="1" t="s">
        <v>593</v>
      </c>
    </row>
    <row r="54" spans="1:10" ht="21.75" customHeight="1" x14ac:dyDescent="0.2">
      <c r="A54" s="952" t="s">
        <v>594</v>
      </c>
      <c r="B54" s="952"/>
      <c r="C54" s="952"/>
      <c r="D54" s="952"/>
      <c r="E54" s="952"/>
      <c r="F54" s="952"/>
      <c r="G54" s="952"/>
      <c r="H54" s="952"/>
      <c r="I54" s="952"/>
      <c r="J54" s="952"/>
    </row>
    <row r="55" spans="1:10" ht="15" customHeight="1" x14ac:dyDescent="0.2">
      <c r="A55" s="118">
        <v>40</v>
      </c>
      <c r="B55" s="112" t="s">
        <v>177</v>
      </c>
      <c r="C55" s="118" t="s">
        <v>555</v>
      </c>
      <c r="J55" s="1" t="s">
        <v>595</v>
      </c>
    </row>
    <row r="56" spans="1:10" ht="15" customHeight="1" x14ac:dyDescent="0.2">
      <c r="A56" s="118">
        <v>41</v>
      </c>
      <c r="B56" s="112" t="s">
        <v>178</v>
      </c>
      <c r="C56" s="118" t="s">
        <v>555</v>
      </c>
      <c r="J56" s="1" t="s">
        <v>596</v>
      </c>
    </row>
    <row r="57" spans="1:10" ht="15" customHeight="1" x14ac:dyDescent="0.2">
      <c r="A57" s="118">
        <v>42</v>
      </c>
      <c r="B57" s="106" t="s">
        <v>179</v>
      </c>
      <c r="C57" s="118" t="s">
        <v>555</v>
      </c>
      <c r="J57" s="1" t="s">
        <v>597</v>
      </c>
    </row>
    <row r="58" spans="1:10" ht="15" customHeight="1" x14ac:dyDescent="0.2">
      <c r="A58" s="118">
        <v>43</v>
      </c>
      <c r="B58" s="106" t="s">
        <v>180</v>
      </c>
      <c r="C58" s="118" t="s">
        <v>555</v>
      </c>
      <c r="J58" s="1" t="s">
        <v>598</v>
      </c>
    </row>
    <row r="59" spans="1:10" ht="15" customHeight="1" x14ac:dyDescent="0.2">
      <c r="A59" s="118">
        <v>44</v>
      </c>
      <c r="B59" s="106" t="s">
        <v>181</v>
      </c>
      <c r="C59" s="118" t="s">
        <v>555</v>
      </c>
    </row>
    <row r="60" spans="1:10" ht="15" customHeight="1" x14ac:dyDescent="0.2">
      <c r="A60" s="118">
        <v>45</v>
      </c>
      <c r="B60" s="106" t="s">
        <v>182</v>
      </c>
      <c r="C60" s="118" t="s">
        <v>555</v>
      </c>
    </row>
    <row r="61" spans="1:10" ht="15" customHeight="1" x14ac:dyDescent="0.2">
      <c r="A61" s="118">
        <v>46</v>
      </c>
      <c r="B61" s="112" t="s">
        <v>183</v>
      </c>
      <c r="C61" s="118" t="s">
        <v>555</v>
      </c>
      <c r="J61" s="1" t="s">
        <v>599</v>
      </c>
    </row>
    <row r="62" spans="1:10" ht="15" customHeight="1" x14ac:dyDescent="0.2">
      <c r="A62" s="118">
        <v>47</v>
      </c>
      <c r="B62" s="112" t="s">
        <v>184</v>
      </c>
      <c r="C62" s="118" t="s">
        <v>555</v>
      </c>
      <c r="J62" s="1" t="s">
        <v>600</v>
      </c>
    </row>
    <row r="63" spans="1:10" ht="15" customHeight="1" x14ac:dyDescent="0.2">
      <c r="A63" s="118">
        <v>48</v>
      </c>
      <c r="B63" s="106" t="s">
        <v>185</v>
      </c>
      <c r="C63" s="118" t="s">
        <v>555</v>
      </c>
    </row>
    <row r="64" spans="1:10" ht="15" customHeight="1" x14ac:dyDescent="0.2">
      <c r="A64" s="118">
        <v>49</v>
      </c>
      <c r="B64" s="106" t="s">
        <v>186</v>
      </c>
      <c r="C64" s="118" t="s">
        <v>555</v>
      </c>
    </row>
    <row r="66" spans="1:10" ht="21.75" customHeight="1" x14ac:dyDescent="0.2">
      <c r="A66" s="952" t="s">
        <v>601</v>
      </c>
      <c r="B66" s="952"/>
      <c r="C66" s="952"/>
      <c r="D66" s="952"/>
      <c r="E66" s="952"/>
      <c r="F66" s="952"/>
      <c r="G66" s="952"/>
      <c r="H66" s="952"/>
      <c r="I66" s="952"/>
      <c r="J66" s="952"/>
    </row>
    <row r="67" spans="1:10" ht="15" customHeight="1" x14ac:dyDescent="0.2">
      <c r="A67" s="118">
        <v>50</v>
      </c>
      <c r="B67" s="112" t="s">
        <v>187</v>
      </c>
      <c r="C67" s="118" t="s">
        <v>555</v>
      </c>
    </row>
    <row r="68" spans="1:10" ht="15" customHeight="1" x14ac:dyDescent="0.2">
      <c r="A68" s="118">
        <v>51</v>
      </c>
      <c r="B68" s="112" t="s">
        <v>188</v>
      </c>
      <c r="C68" s="118" t="s">
        <v>555</v>
      </c>
    </row>
    <row r="69" spans="1:10" ht="15" customHeight="1" x14ac:dyDescent="0.2">
      <c r="A69" s="118">
        <v>52</v>
      </c>
      <c r="B69" s="112" t="s">
        <v>189</v>
      </c>
      <c r="C69" s="118" t="s">
        <v>555</v>
      </c>
    </row>
    <row r="70" spans="1:10" ht="15" customHeight="1" x14ac:dyDescent="0.2">
      <c r="A70" s="118">
        <v>53</v>
      </c>
      <c r="B70" s="112" t="s">
        <v>190</v>
      </c>
      <c r="C70" s="118" t="s">
        <v>555</v>
      </c>
    </row>
    <row r="71" spans="1:10" ht="15" customHeight="1" x14ac:dyDescent="0.2">
      <c r="A71" s="118">
        <v>54</v>
      </c>
      <c r="B71" s="112" t="s">
        <v>191</v>
      </c>
      <c r="C71" s="118" t="s">
        <v>555</v>
      </c>
    </row>
    <row r="72" spans="1:10" ht="15" customHeight="1" x14ac:dyDescent="0.2">
      <c r="A72" s="118">
        <v>55</v>
      </c>
      <c r="B72" s="112" t="s">
        <v>192</v>
      </c>
      <c r="C72" s="118" t="s">
        <v>555</v>
      </c>
    </row>
    <row r="73" spans="1:10" ht="15" customHeight="1" x14ac:dyDescent="0.2">
      <c r="A73" s="118">
        <v>56</v>
      </c>
      <c r="B73" s="106" t="s">
        <v>193</v>
      </c>
      <c r="C73" s="118" t="s">
        <v>555</v>
      </c>
      <c r="J73" s="1" t="s">
        <v>602</v>
      </c>
    </row>
    <row r="75" spans="1:10" ht="21.75" customHeight="1" x14ac:dyDescent="0.2">
      <c r="A75" s="952" t="s">
        <v>603</v>
      </c>
      <c r="B75" s="952"/>
      <c r="C75" s="952"/>
      <c r="D75" s="952"/>
      <c r="E75" s="952"/>
      <c r="F75" s="952"/>
      <c r="G75" s="952"/>
      <c r="H75" s="952"/>
      <c r="I75" s="952"/>
      <c r="J75" s="952"/>
    </row>
    <row r="76" spans="1:10" ht="15" customHeight="1" x14ac:dyDescent="0.2">
      <c r="A76" s="118">
        <v>57</v>
      </c>
      <c r="B76" s="106" t="s">
        <v>194</v>
      </c>
      <c r="C76" s="118" t="s">
        <v>555</v>
      </c>
      <c r="J76" s="1" t="s">
        <v>604</v>
      </c>
    </row>
    <row r="77" spans="1:10" ht="15" customHeight="1" x14ac:dyDescent="0.2">
      <c r="A77" s="118">
        <v>58</v>
      </c>
      <c r="B77" s="106" t="s">
        <v>195</v>
      </c>
      <c r="C77" s="118" t="s">
        <v>555</v>
      </c>
      <c r="J77" s="1" t="s">
        <v>605</v>
      </c>
    </row>
    <row r="78" spans="1:10" ht="15" customHeight="1" x14ac:dyDescent="0.2">
      <c r="A78" s="118">
        <v>59</v>
      </c>
      <c r="B78" s="106" t="s">
        <v>196</v>
      </c>
      <c r="C78" s="118" t="s">
        <v>555</v>
      </c>
    </row>
    <row r="79" spans="1:10" ht="15" customHeight="1" x14ac:dyDescent="0.2">
      <c r="A79" s="118">
        <v>60</v>
      </c>
      <c r="B79" s="106" t="s">
        <v>197</v>
      </c>
      <c r="C79" s="118" t="s">
        <v>555</v>
      </c>
    </row>
    <row r="80" spans="1:10" ht="15" customHeight="1" x14ac:dyDescent="0.2">
      <c r="A80" s="118">
        <v>61</v>
      </c>
      <c r="B80" s="106" t="s">
        <v>198</v>
      </c>
      <c r="C80" s="118" t="s">
        <v>555</v>
      </c>
      <c r="J80" s="1" t="s">
        <v>606</v>
      </c>
    </row>
    <row r="81" spans="1:10" ht="15" customHeight="1" x14ac:dyDescent="0.2">
      <c r="A81" s="118">
        <v>62</v>
      </c>
      <c r="B81" s="106" t="s">
        <v>199</v>
      </c>
      <c r="C81" s="118" t="s">
        <v>555</v>
      </c>
    </row>
    <row r="82" spans="1:10" ht="15" customHeight="1" x14ac:dyDescent="0.2">
      <c r="A82" s="118">
        <v>63</v>
      </c>
      <c r="B82" s="106" t="s">
        <v>200</v>
      </c>
      <c r="C82" s="118" t="s">
        <v>555</v>
      </c>
    </row>
    <row r="84" spans="1:10" ht="21.75" customHeight="1" x14ac:dyDescent="0.2">
      <c r="A84" s="952" t="s">
        <v>607</v>
      </c>
      <c r="B84" s="952"/>
      <c r="C84" s="952"/>
      <c r="D84" s="952"/>
      <c r="E84" s="952"/>
      <c r="F84" s="952"/>
      <c r="G84" s="952"/>
      <c r="H84" s="952"/>
      <c r="I84" s="952"/>
      <c r="J84" s="952"/>
    </row>
    <row r="85" spans="1:10" ht="15" customHeight="1" x14ac:dyDescent="0.2">
      <c r="A85" s="118">
        <v>64</v>
      </c>
      <c r="B85" s="106" t="s">
        <v>201</v>
      </c>
      <c r="C85" s="118" t="s">
        <v>555</v>
      </c>
      <c r="J85" s="1" t="s">
        <v>608</v>
      </c>
    </row>
    <row r="86" spans="1:10" ht="15" customHeight="1" x14ac:dyDescent="0.2">
      <c r="A86" s="118">
        <v>65</v>
      </c>
      <c r="B86" s="106" t="s">
        <v>202</v>
      </c>
      <c r="C86" s="118" t="s">
        <v>555</v>
      </c>
      <c r="J86" s="1" t="s">
        <v>609</v>
      </c>
    </row>
    <row r="87" spans="1:10" ht="15" customHeight="1" x14ac:dyDescent="0.2">
      <c r="A87" s="118">
        <v>66</v>
      </c>
      <c r="B87" s="106" t="s">
        <v>203</v>
      </c>
      <c r="C87" s="118" t="s">
        <v>555</v>
      </c>
    </row>
    <row r="88" spans="1:10" ht="15" customHeight="1" x14ac:dyDescent="0.2">
      <c r="A88" s="118">
        <v>67</v>
      </c>
      <c r="B88" s="112" t="s">
        <v>204</v>
      </c>
      <c r="C88" s="118" t="s">
        <v>555</v>
      </c>
      <c r="J88" s="1" t="s">
        <v>610</v>
      </c>
    </row>
    <row r="89" spans="1:10" ht="15" customHeight="1" x14ac:dyDescent="0.2">
      <c r="A89" s="118">
        <v>68</v>
      </c>
      <c r="B89" s="106" t="s">
        <v>205</v>
      </c>
      <c r="C89" s="118" t="s">
        <v>555</v>
      </c>
      <c r="J89" s="1" t="s">
        <v>611</v>
      </c>
    </row>
    <row r="90" spans="1:10" ht="15" customHeight="1" x14ac:dyDescent="0.2">
      <c r="A90" s="118">
        <v>69</v>
      </c>
      <c r="B90" s="106" t="s">
        <v>206</v>
      </c>
      <c r="C90" s="118" t="s">
        <v>555</v>
      </c>
      <c r="J90" s="1" t="s">
        <v>612</v>
      </c>
    </row>
    <row r="92" spans="1:10" ht="21.75" customHeight="1" x14ac:dyDescent="0.2">
      <c r="A92" s="952" t="s">
        <v>613</v>
      </c>
      <c r="B92" s="952"/>
      <c r="C92" s="952"/>
      <c r="D92" s="952"/>
      <c r="E92" s="952"/>
      <c r="F92" s="952"/>
      <c r="G92" s="952"/>
      <c r="H92" s="952"/>
      <c r="I92" s="952"/>
      <c r="J92" s="952"/>
    </row>
    <row r="93" spans="1:10" ht="15" customHeight="1" x14ac:dyDescent="0.2">
      <c r="A93" s="118">
        <v>70</v>
      </c>
      <c r="B93" s="112" t="s">
        <v>207</v>
      </c>
      <c r="C93" s="118" t="s">
        <v>555</v>
      </c>
    </row>
    <row r="94" spans="1:10" ht="15" customHeight="1" x14ac:dyDescent="0.2">
      <c r="A94" s="118">
        <v>71</v>
      </c>
      <c r="B94" s="112" t="s">
        <v>208</v>
      </c>
      <c r="C94" s="118" t="s">
        <v>555</v>
      </c>
    </row>
    <row r="95" spans="1:10" ht="15" customHeight="1" x14ac:dyDescent="0.2">
      <c r="A95" s="118">
        <v>72</v>
      </c>
      <c r="B95" s="112" t="s">
        <v>209</v>
      </c>
      <c r="C95" s="118" t="s">
        <v>555</v>
      </c>
    </row>
    <row r="96" spans="1:10" ht="15" customHeight="1" x14ac:dyDescent="0.2">
      <c r="A96" s="118">
        <v>73</v>
      </c>
      <c r="B96" s="106" t="s">
        <v>210</v>
      </c>
      <c r="C96" s="118" t="s">
        <v>555</v>
      </c>
    </row>
    <row r="97" spans="1:10" ht="15" customHeight="1" x14ac:dyDescent="0.2">
      <c r="A97" s="118">
        <v>74</v>
      </c>
      <c r="B97" s="106" t="s">
        <v>211</v>
      </c>
      <c r="C97" s="118" t="s">
        <v>555</v>
      </c>
      <c r="J97" s="1" t="s">
        <v>614</v>
      </c>
    </row>
  </sheetData>
  <mergeCells count="10">
    <mergeCell ref="A54:J54"/>
    <mergeCell ref="A66:J66"/>
    <mergeCell ref="A75:J75"/>
    <mergeCell ref="A84:J84"/>
    <mergeCell ref="A92:J92"/>
    <mergeCell ref="A1:J1"/>
    <mergeCell ref="A7:J7"/>
    <mergeCell ref="A18:J18"/>
    <mergeCell ref="A29:J29"/>
    <mergeCell ref="A44:J44"/>
  </mergeCells>
  <conditionalFormatting sqref="C7:C97">
    <cfRule type="cellIs" dxfId="4" priority="2" operator="equal">
      <formula>"Complete"</formula>
    </cfRule>
    <cfRule type="cellIs" dxfId="3" priority="3" operator="equal">
      <formula>"In Review"</formula>
    </cfRule>
    <cfRule type="cellIs" dxfId="2" priority="4" operator="equal">
      <formula>"Received"</formula>
    </cfRule>
    <cfRule type="cellIs" dxfId="1" priority="5" operator="equal">
      <formula>"Issue"</formula>
    </cfRule>
    <cfRule type="cellIs" dxfId="0" priority="6" operator="equal">
      <formula>"Not Requested"</formula>
    </cfRule>
  </conditionalFormatting>
  <dataValidations count="2">
    <dataValidation type="list" allowBlank="1" errorTitle="Invalid status" error="Use the dropdown" sqref="C8:C16 C19:C27 C30:C42 C45:C52 C55:C64 C67:C73 C76:C82 C85:C90 C93:C97" xr:uid="{00000000-0002-0000-0400-000000000000}">
      <formula1>"Not Requested,Requested,Received,In Review,Complete,N/A,Issue"</formula1>
      <formula2>0</formula2>
    </dataValidation>
    <dataValidation type="list" allowBlank="1" sqref="G8:G16 G19:G27 G30:G42 G45:G52 G55:G64 G67:G73 G76:G82 G85:G90 G93:G97" xr:uid="{00000000-0002-0000-0400-000001000000}">
      <formula1>"PDF,Excel,CSV,Word,Image,Email,Verbal,Other"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1"/>
  <sheetViews>
    <sheetView zoomScale="115" zoomScaleNormal="115" workbookViewId="0">
      <pane xSplit="1" ySplit="4" topLeftCell="B8" activePane="bottomRight" state="frozen"/>
      <selection pane="topRight" activeCell="B1" sqref="B1"/>
      <selection pane="bottomLeft" activeCell="A17" sqref="A17"/>
      <selection pane="bottomRight" activeCell="A44" sqref="A44"/>
    </sheetView>
  </sheetViews>
  <sheetFormatPr baseColWidth="10" defaultColWidth="8.83203125" defaultRowHeight="15" outlineLevelRow="1" x14ac:dyDescent="0.2"/>
  <cols>
    <col min="1" max="1" width="49.5" style="4" customWidth="1"/>
    <col min="2" max="5" width="18" style="120" customWidth="1"/>
    <col min="6" max="6" width="16" style="120" customWidth="1"/>
    <col min="7" max="7" width="22" customWidth="1"/>
    <col min="8" max="8" width="40.33203125" customWidth="1"/>
    <col min="9" max="9" width="14" customWidth="1"/>
    <col min="10" max="10" width="16" customWidth="1"/>
  </cols>
  <sheetData>
    <row r="1" spans="1:9" ht="15.75" customHeight="1" x14ac:dyDescent="0.2">
      <c r="A1" s="953" t="str">
        <f>IF('Prop Info'!B4="","SIDE-BY-SIDE SCENARIO ANALYSIS  —  ""The 10-Minute Offer""","SIDE-BY-SIDE SCENARIO ANALYSIS  —  ""The 10-Minute Offer"""&amp;" — "&amp;'Prop Info'!B4)</f>
        <v>SIDE-BY-SIDE SCENARIO ANALYSIS  —  "The 10-Minute Offer"</v>
      </c>
      <c r="B1" s="953"/>
      <c r="C1" s="953"/>
      <c r="D1" s="953"/>
      <c r="E1" s="953"/>
      <c r="F1" s="953"/>
      <c r="G1" s="953"/>
      <c r="H1" s="953"/>
    </row>
    <row r="2" spans="1:9" ht="15" customHeight="1" x14ac:dyDescent="0.2">
      <c r="A2" s="121" t="s">
        <v>615</v>
      </c>
      <c r="B2" s="122" t="s">
        <v>616</v>
      </c>
    </row>
    <row r="3" spans="1:9" ht="15" customHeight="1" x14ac:dyDescent="0.2">
      <c r="A3" s="944" t="s">
        <v>617</v>
      </c>
      <c r="B3" s="944"/>
      <c r="C3" s="944"/>
      <c r="D3" s="944"/>
      <c r="E3" s="944"/>
      <c r="F3" s="944"/>
      <c r="G3" s="944"/>
      <c r="H3" s="944"/>
    </row>
    <row r="4" spans="1:9" ht="24" customHeight="1" x14ac:dyDescent="0.2">
      <c r="A4" s="34" t="s">
        <v>618</v>
      </c>
      <c r="B4" s="123" t="s">
        <v>616</v>
      </c>
      <c r="C4" s="123" t="s">
        <v>619</v>
      </c>
      <c r="D4" s="123" t="s">
        <v>620</v>
      </c>
      <c r="E4" s="123" t="s">
        <v>621</v>
      </c>
      <c r="F4" s="124" t="s">
        <v>622</v>
      </c>
      <c r="G4" s="45" t="s">
        <v>623</v>
      </c>
      <c r="H4" s="34" t="s">
        <v>624</v>
      </c>
    </row>
    <row r="5" spans="1:9" ht="15" customHeight="1" x14ac:dyDescent="0.2">
      <c r="A5" s="125" t="s">
        <v>625</v>
      </c>
      <c r="B5" s="126"/>
      <c r="C5" s="126"/>
      <c r="D5" s="126"/>
      <c r="E5" s="126"/>
      <c r="F5" s="126"/>
      <c r="G5" s="127"/>
      <c r="H5" s="127"/>
    </row>
    <row r="6" spans="1:9" ht="15" customHeight="1" outlineLevel="1" x14ac:dyDescent="0.2">
      <c r="A6" s="128" t="s">
        <v>626</v>
      </c>
      <c r="B6" s="129"/>
      <c r="C6" s="130">
        <f t="shared" ref="C6:E7" si="0">IFERROR(B6,0)</f>
        <v>0</v>
      </c>
      <c r="D6" s="130">
        <f t="shared" si="0"/>
        <v>0</v>
      </c>
      <c r="E6" s="130">
        <f t="shared" si="0"/>
        <v>0</v>
      </c>
      <c r="F6" s="131">
        <f>IFERROR(CHOOSE(MATCH(B$2,{"1. T-12 Actuals","2. My Version","3. Projected","4. Offer"},0),B6,C6,D6,E6),0)</f>
        <v>0</v>
      </c>
      <c r="G6" s="131" t="str">
        <f>IFERROR(IF((B6/Units)=0,"",(B6/Units)),"")</f>
        <v/>
      </c>
      <c r="H6" s="8" t="s">
        <v>627</v>
      </c>
    </row>
    <row r="7" spans="1:9" ht="15" customHeight="1" outlineLevel="1" x14ac:dyDescent="0.2">
      <c r="A7" s="132" t="s">
        <v>628</v>
      </c>
      <c r="B7" s="133"/>
      <c r="C7" s="134">
        <f t="shared" si="0"/>
        <v>0</v>
      </c>
      <c r="D7" s="135">
        <f t="shared" si="0"/>
        <v>0</v>
      </c>
      <c r="E7" s="135">
        <f t="shared" si="0"/>
        <v>0</v>
      </c>
      <c r="F7" s="131">
        <f>IFERROR(CHOOSE(MATCH(B$2,{"1. T-12 Actuals","2. My Version","3. Projected","4. Offer"},0),B7,C7,D7,E7),0)</f>
        <v>0</v>
      </c>
      <c r="G7" s="131" t="str">
        <f>IFERROR(IF((B7/Units)=0,"",(B7/Units)),"")</f>
        <v/>
      </c>
      <c r="H7" s="136" t="s">
        <v>629</v>
      </c>
    </row>
    <row r="8" spans="1:9" ht="15" customHeight="1" outlineLevel="1" x14ac:dyDescent="0.2">
      <c r="A8" s="137" t="s">
        <v>369</v>
      </c>
      <c r="B8" s="138">
        <f>IFERROR('Prop Info'!B6,0)</f>
        <v>0</v>
      </c>
      <c r="C8" s="139">
        <f>IFERROR(Units,0)</f>
        <v>0</v>
      </c>
      <c r="D8" s="139">
        <f>IFERROR(C8,0)</f>
        <v>0</v>
      </c>
      <c r="E8" s="139">
        <f>IFERROR(D8,0)</f>
        <v>0</v>
      </c>
      <c r="F8" s="140">
        <f>IFERROR(CHOOSE(MATCH(B$2,{"1. T-12 Actuals","2. My Version","3. Projected","4. Offer"},0),B8,C8,D8,E8),0)</f>
        <v>0</v>
      </c>
      <c r="G8" s="141" t="str">
        <f>IFERROR(IF(('Prop Info'!$B$6)=0,"",('Prop Info'!$B$6)),"")</f>
        <v/>
      </c>
      <c r="H8" s="8" t="s">
        <v>630</v>
      </c>
    </row>
    <row r="9" spans="1:9" ht="15" customHeight="1" outlineLevel="1" x14ac:dyDescent="0.2">
      <c r="A9" s="132" t="s">
        <v>17</v>
      </c>
      <c r="B9" s="135">
        <f>IFERROR(IFERROR(B7/B8,0),0)</f>
        <v>0</v>
      </c>
      <c r="C9" s="135">
        <f>IFERROR(IFERROR(C7/C8,0),0)</f>
        <v>0</v>
      </c>
      <c r="D9" s="135">
        <f>IFERROR(IFERROR(D7/D8,0),0)</f>
        <v>0</v>
      </c>
      <c r="E9" s="135">
        <f>IFERROR(IFERROR(E7/E8,0),0)</f>
        <v>0</v>
      </c>
      <c r="F9" s="131">
        <f>IFERROR(CHOOSE(MATCH(B$2,{"1. T-12 Actuals","2. My Version","3. Projected","4. Offer"},0),B9,C9,D9,E9),0)</f>
        <v>0</v>
      </c>
      <c r="G9" s="142" t="str">
        <f>IFERROR(IF((IFERROR(F7/'Prop Info'!$B$6,0))=0,"",(IFERROR(F7/'Prop Info'!$B$6,0))),"")</f>
        <v/>
      </c>
      <c r="H9" s="136" t="s">
        <v>631</v>
      </c>
    </row>
    <row r="10" spans="1:9" ht="15" customHeight="1" outlineLevel="1" x14ac:dyDescent="0.2">
      <c r="A10" s="128" t="s">
        <v>29</v>
      </c>
      <c r="B10" s="143">
        <v>0.2</v>
      </c>
      <c r="C10" s="144">
        <f>IFERROR(B10,0)</f>
        <v>0.2</v>
      </c>
      <c r="D10" s="145">
        <f>IFERROR(C10,0)</f>
        <v>0.2</v>
      </c>
      <c r="E10" s="145">
        <f>IFERROR(D10,0)</f>
        <v>0.2</v>
      </c>
      <c r="F10" s="146">
        <f>IFERROR(CHOOSE(MATCH(B$2,{"1. T-12 Actuals","2. My Version","3. Projected","4. Offer"},0),B10,C10,D10,E10),0)</f>
        <v>0.2</v>
      </c>
      <c r="G10" s="146"/>
      <c r="H10" s="8" t="s">
        <v>632</v>
      </c>
    </row>
    <row r="11" spans="1:9" ht="15" customHeight="1" outlineLevel="1" x14ac:dyDescent="0.2">
      <c r="A11" s="132" t="s">
        <v>633</v>
      </c>
      <c r="B11" s="135">
        <f>IFERROR(B10*B7,0)</f>
        <v>0</v>
      </c>
      <c r="C11" s="135">
        <f>IFERROR(C10*C7,0)</f>
        <v>0</v>
      </c>
      <c r="D11" s="135">
        <f>IFERROR(D10*D7,0)</f>
        <v>0</v>
      </c>
      <c r="E11" s="135">
        <f>IFERROR(E10*E7,0)</f>
        <v>0</v>
      </c>
      <c r="F11" s="131">
        <f>IFERROR(CHOOSE(MATCH(B$2,{"1. T-12 Actuals","2. My Version","3. Projected","4. Offer"},0),B11,C11,D11,E11),0)</f>
        <v>0</v>
      </c>
      <c r="G11" s="131"/>
      <c r="H11" s="136" t="s">
        <v>634</v>
      </c>
    </row>
    <row r="12" spans="1:9" ht="15" customHeight="1" outlineLevel="1" x14ac:dyDescent="0.2">
      <c r="A12" s="128" t="s">
        <v>635</v>
      </c>
      <c r="B12" s="147">
        <f>IFERROR(Capex!$D$51,0)</f>
        <v>0</v>
      </c>
      <c r="C12" s="147">
        <f>IFERROR(Capex!$D$51,0)</f>
        <v>0</v>
      </c>
      <c r="D12" s="147">
        <f>IFERROR(Capex!$D$51,0)</f>
        <v>0</v>
      </c>
      <c r="E12" s="147">
        <f>IFERROR(Capex!$D$51,0)</f>
        <v>0</v>
      </c>
      <c r="F12" s="131">
        <f>IFERROR(CHOOSE(MATCH(B$2,{"1. T-12 Actuals","2. My Version","3. Projected","4. Offer"},0),B12,C12,D12,E12),0)</f>
        <v>0</v>
      </c>
      <c r="G12" s="131"/>
      <c r="H12" s="8" t="s">
        <v>636</v>
      </c>
    </row>
    <row r="13" spans="1:9" ht="15" customHeight="1" outlineLevel="1" x14ac:dyDescent="0.2">
      <c r="A13" s="132" t="s">
        <v>637</v>
      </c>
      <c r="B13" s="135">
        <f>IFERROR((B70/12)*G13,0)</f>
        <v>0</v>
      </c>
      <c r="C13" s="135">
        <f>B13</f>
        <v>0</v>
      </c>
      <c r="D13" s="135">
        <f>C13</f>
        <v>0</v>
      </c>
      <c r="E13" s="135">
        <f>D13</f>
        <v>0</v>
      </c>
      <c r="F13" s="131">
        <f>IFERROR(CHOOSE(MATCH(B$2,{"1. T-12 Actuals","2. My Version","3. Projected","4. Offer"},0),B13,C13,D13,E13),0)</f>
        <v>0</v>
      </c>
      <c r="G13" s="148">
        <v>1</v>
      </c>
      <c r="H13" s="136" t="s">
        <v>638</v>
      </c>
      <c r="I13" s="149"/>
    </row>
    <row r="14" spans="1:9" ht="15" customHeight="1" outlineLevel="1" x14ac:dyDescent="0.2">
      <c r="A14" s="128" t="s">
        <v>639</v>
      </c>
      <c r="B14" s="147">
        <f>IFERROR('Acquisition Costs'!$D$35,0)</f>
        <v>0</v>
      </c>
      <c r="C14" s="147">
        <f>IFERROR('Acquisition Costs'!$D$35,0)</f>
        <v>0</v>
      </c>
      <c r="D14" s="147">
        <f>IFERROR('Acquisition Costs'!$D$35,0)</f>
        <v>0</v>
      </c>
      <c r="E14" s="147">
        <f>IFERROR('Acquisition Costs'!$D$35,0)</f>
        <v>0</v>
      </c>
      <c r="F14" s="131">
        <f>IFERROR(CHOOSE(MATCH(B$2,{"1. T-12 Actuals","2. My Version","3. Projected","4. Offer"},0),B14,C14,D14,E14),0)</f>
        <v>0</v>
      </c>
      <c r="G14" s="150" t="str">
        <f>IFERROR(IF((IFERROR(F14/F7,0))=0,"",(IFERROR(F14/F7,0))),"")</f>
        <v/>
      </c>
      <c r="H14" s="8" t="s">
        <v>640</v>
      </c>
    </row>
    <row r="15" spans="1:9" ht="15" customHeight="1" outlineLevel="1" x14ac:dyDescent="0.2">
      <c r="A15" s="132" t="s">
        <v>102</v>
      </c>
      <c r="B15" s="151">
        <v>0.02</v>
      </c>
      <c r="C15" s="152">
        <f>IFERROR(B15,0)</f>
        <v>0.02</v>
      </c>
      <c r="D15" s="152">
        <f>IFERROR(C15,0)</f>
        <v>0.02</v>
      </c>
      <c r="E15" s="152">
        <f>IFERROR(D15,0)</f>
        <v>0.02</v>
      </c>
      <c r="F15" s="146">
        <f>IFERROR(CHOOSE(MATCH(B$2,{"1. T-12 Actuals","2. My Version","3. Projected","4. Offer"},0),B15,C15,D15,E15),0)</f>
        <v>0.02</v>
      </c>
      <c r="G15" s="146"/>
      <c r="H15" s="136" t="s">
        <v>641</v>
      </c>
    </row>
    <row r="16" spans="1:9" ht="15" customHeight="1" outlineLevel="1" x14ac:dyDescent="0.2">
      <c r="A16" s="128" t="s">
        <v>642</v>
      </c>
      <c r="B16" s="130">
        <f>IFERROR(B15*B7,0)</f>
        <v>0</v>
      </c>
      <c r="C16" s="130">
        <f>IFERROR(C15*C7,0)</f>
        <v>0</v>
      </c>
      <c r="D16" s="130">
        <f>IFERROR(D15*D7,0)</f>
        <v>0</v>
      </c>
      <c r="E16" s="130">
        <f>IFERROR(E15*E7,0)</f>
        <v>0</v>
      </c>
      <c r="F16" s="131">
        <f>IFERROR(CHOOSE(MATCH(B$2,{"1. T-12 Actuals","2. My Version","3. Projected","4. Offer"},0),B16,C16,D16,E16),0)</f>
        <v>0</v>
      </c>
      <c r="G16" s="131"/>
      <c r="H16" s="8" t="s">
        <v>643</v>
      </c>
    </row>
    <row r="17" spans="1:8" ht="15" customHeight="1" outlineLevel="1" x14ac:dyDescent="0.2">
      <c r="A17" s="153" t="s">
        <v>644</v>
      </c>
      <c r="B17" s="154">
        <f>IFERROR(B7+IFERROR(VALUE(B12),0)+IFERROR(VALUE(B13),0)+IFERROR(VALUE(B14),0)+IFERROR(VALUE(B16),0),"")</f>
        <v>0</v>
      </c>
      <c r="C17" s="154">
        <f>IFERROR(C7+IFERROR(VALUE(C12),0)+IFERROR(VALUE(C13),0)+IFERROR(VALUE(C14),0)+IFERROR(VALUE(C16),0),"")</f>
        <v>0</v>
      </c>
      <c r="D17" s="154">
        <f>IFERROR(D7+IFERROR(VALUE(D12),0)+IFERROR(VALUE(D13),0)+IFERROR(VALUE(D14),0)+IFERROR(VALUE(D16),0),"")</f>
        <v>0</v>
      </c>
      <c r="E17" s="154">
        <f>IFERROR(E7+IFERROR(VALUE(E12),0)+IFERROR(VALUE(E13),0)+IFERROR(VALUE(E14),0)+IFERROR(VALUE(E16),0),"")</f>
        <v>0</v>
      </c>
      <c r="F17" s="155">
        <f>IFERROR(CHOOSE(MATCH(B$2,{"1. T-12 Actuals","2. My Version","3. Projected","4. Offer"},0),B17,C17,D17,E17),0)</f>
        <v>0</v>
      </c>
      <c r="G17" s="155"/>
      <c r="H17" s="3" t="s">
        <v>645</v>
      </c>
    </row>
    <row r="18" spans="1:8" ht="15" customHeight="1" outlineLevel="1" x14ac:dyDescent="0.2"/>
    <row r="19" spans="1:8" ht="15" customHeight="1" x14ac:dyDescent="0.2">
      <c r="A19" s="934" t="s">
        <v>646</v>
      </c>
      <c r="B19" s="934"/>
      <c r="C19" s="934"/>
      <c r="D19" s="934"/>
      <c r="E19" s="934"/>
      <c r="F19" s="934"/>
      <c r="G19" s="934"/>
      <c r="H19" s="934"/>
    </row>
    <row r="20" spans="1:8" ht="15" customHeight="1" outlineLevel="1" x14ac:dyDescent="0.2">
      <c r="A20" s="128" t="s">
        <v>647</v>
      </c>
      <c r="B20" s="130">
        <f>IFERROR(B88,0)</f>
        <v>0</v>
      </c>
      <c r="C20" s="130">
        <f>IFERROR(C88,0)</f>
        <v>0</v>
      </c>
      <c r="D20" s="130">
        <f>IFERROR(D88,0)</f>
        <v>0</v>
      </c>
      <c r="E20" s="130">
        <f>IFERROR(E88,0)</f>
        <v>0</v>
      </c>
      <c r="F20" s="131">
        <f>IFERROR(CHOOSE(MATCH(B$2,{"1. T-12 Actuals","2. My Version","3. Projected","4. Offer"},0),B20,C20,D20,E20),0)</f>
        <v>0</v>
      </c>
      <c r="G20" s="156"/>
      <c r="H20" s="8" t="s">
        <v>648</v>
      </c>
    </row>
    <row r="21" spans="1:8" ht="15" customHeight="1" outlineLevel="1" x14ac:dyDescent="0.2">
      <c r="A21" s="132" t="s">
        <v>649</v>
      </c>
      <c r="B21" s="135">
        <f>IFERROR(B95,0)</f>
        <v>0</v>
      </c>
      <c r="C21" s="135">
        <f>IFERROR(C95,0)</f>
        <v>0</v>
      </c>
      <c r="D21" s="135">
        <f>IFERROR(D95,0)</f>
        <v>0</v>
      </c>
      <c r="E21" s="135">
        <f>IFERROR(E95,0)</f>
        <v>0</v>
      </c>
      <c r="F21" s="131">
        <f>IFERROR(CHOOSE(MATCH(B$2,{"1. T-12 Actuals","2. My Version","3. Projected","4. Offer"},0),B21,C21,D21,E21),0)</f>
        <v>0</v>
      </c>
      <c r="G21" s="156"/>
      <c r="H21" s="136" t="s">
        <v>650</v>
      </c>
    </row>
    <row r="22" spans="1:8" ht="15" customHeight="1" outlineLevel="1" x14ac:dyDescent="0.2">
      <c r="A22" s="128" t="s">
        <v>651</v>
      </c>
      <c r="B22" s="130">
        <f>IFERROR(B102,0)</f>
        <v>0</v>
      </c>
      <c r="C22" s="130">
        <f>IFERROR(C102,0)</f>
        <v>0</v>
      </c>
      <c r="D22" s="130">
        <f>IFERROR(D102,0)</f>
        <v>0</v>
      </c>
      <c r="E22" s="130">
        <f>IFERROR(E102,0)</f>
        <v>0</v>
      </c>
      <c r="F22" s="131">
        <f>IFERROR(CHOOSE(MATCH(B$2,{"1. T-12 Actuals","2. My Version","3. Projected","4. Offer"},0),B22,C22,D22,E22),0)</f>
        <v>0</v>
      </c>
      <c r="G22" s="156"/>
      <c r="H22" s="8" t="s">
        <v>652</v>
      </c>
    </row>
    <row r="23" spans="1:8" ht="15" customHeight="1" outlineLevel="1" x14ac:dyDescent="0.2">
      <c r="A23" s="153" t="s">
        <v>653</v>
      </c>
      <c r="B23" s="154">
        <f>IFERROR(B20+B21+B22,0)</f>
        <v>0</v>
      </c>
      <c r="C23" s="154">
        <f>IFERROR(C20+C21+C22,0)</f>
        <v>0</v>
      </c>
      <c r="D23" s="154">
        <f>IFERROR(D20+D21+D22,0)</f>
        <v>0</v>
      </c>
      <c r="E23" s="154">
        <f>IFERROR(E20+E21+E22,0)</f>
        <v>0</v>
      </c>
      <c r="F23" s="155">
        <f>IFERROR(CHOOSE(MATCH(B$2,{"1. T-12 Actuals","2. My Version","3. Projected","4. Offer"},0),B23,C23,D23,E23),0)</f>
        <v>0</v>
      </c>
      <c r="G23" s="157"/>
      <c r="H23" s="3" t="s">
        <v>654</v>
      </c>
    </row>
    <row r="24" spans="1:8" ht="15" customHeight="1" outlineLevel="1" x14ac:dyDescent="0.2">
      <c r="A24" s="128" t="s">
        <v>655</v>
      </c>
      <c r="B24" s="145">
        <f>IFERROR(IFERROR(B23/B7,0),0)</f>
        <v>0</v>
      </c>
      <c r="C24" s="145">
        <f>IFERROR(IFERROR(C23/C7,0),0)</f>
        <v>0</v>
      </c>
      <c r="D24" s="145">
        <f>IFERROR(IFERROR(D23/D7,0),0)</f>
        <v>0</v>
      </c>
      <c r="E24" s="145">
        <f>IFERROR(IFERROR(E23/E7,0),0)</f>
        <v>0</v>
      </c>
      <c r="F24" s="146">
        <f>IFERROR(CHOOSE(MATCH(B$2,{"1. T-12 Actuals","2. My Version","3. Projected","4. Offer"},0),B24,C24,D24,E24),0)</f>
        <v>0</v>
      </c>
      <c r="G24" s="158"/>
      <c r="H24" s="8" t="s">
        <v>656</v>
      </c>
    </row>
    <row r="25" spans="1:8" ht="15" customHeight="1" outlineLevel="1" x14ac:dyDescent="0.2">
      <c r="A25" s="132" t="s">
        <v>657</v>
      </c>
      <c r="B25" s="152">
        <f>IFERROR(IFERROR(B23/B17,0),0)</f>
        <v>0</v>
      </c>
      <c r="C25" s="152">
        <f>IFERROR(IFERROR(C23/C17,0),0)</f>
        <v>0</v>
      </c>
      <c r="D25" s="152">
        <f>IFERROR(IFERROR(D23/D17,0),0)</f>
        <v>0</v>
      </c>
      <c r="E25" s="152">
        <f>IFERROR(IFERROR(E23/E17,0),0)</f>
        <v>0</v>
      </c>
      <c r="F25" s="146">
        <f>IFERROR(CHOOSE(MATCH(B$2,{"1. T-12 Actuals","2. My Version","3. Projected","4. Offer"},0),B25,C25,D25,E25),0)</f>
        <v>0</v>
      </c>
      <c r="G25" s="158"/>
      <c r="H25" s="136" t="s">
        <v>658</v>
      </c>
    </row>
    <row r="26" spans="1:8" ht="15" customHeight="1" outlineLevel="1" x14ac:dyDescent="0.2"/>
    <row r="27" spans="1:8" ht="15" customHeight="1" x14ac:dyDescent="0.2">
      <c r="A27" s="954" t="s">
        <v>659</v>
      </c>
      <c r="B27" s="954"/>
      <c r="C27" s="954"/>
      <c r="D27" s="954"/>
      <c r="E27" s="954"/>
      <c r="F27" s="954"/>
      <c r="G27" s="954"/>
      <c r="H27" s="954"/>
    </row>
    <row r="28" spans="1:8" ht="15" customHeight="1" outlineLevel="1" x14ac:dyDescent="0.2">
      <c r="A28" s="128" t="s">
        <v>103</v>
      </c>
      <c r="B28" s="143">
        <v>0.3</v>
      </c>
      <c r="C28" s="159">
        <v>0.3</v>
      </c>
      <c r="D28" s="145">
        <f>IFERROR(C28,0)</f>
        <v>0.3</v>
      </c>
      <c r="E28" s="145">
        <f>IFERROR(D28,0)</f>
        <v>0.3</v>
      </c>
      <c r="F28" s="160">
        <f>IFERROR(CHOOSE(MATCH(B$2,{"1. T-12 Actuals","2. My Version","3. Projected","4. Offer"},0),B28,C28,D28,E28),0)</f>
        <v>0.3</v>
      </c>
      <c r="G28" s="161"/>
      <c r="H28" s="8" t="s">
        <v>660</v>
      </c>
    </row>
    <row r="29" spans="1:8" ht="15" customHeight="1" outlineLevel="1" x14ac:dyDescent="0.2">
      <c r="A29" s="128" t="s">
        <v>661</v>
      </c>
      <c r="B29" s="145">
        <f>IFERROR(1-B28,0)</f>
        <v>0.7</v>
      </c>
      <c r="C29" s="145">
        <f>IFERROR(1-C28,0)</f>
        <v>0.7</v>
      </c>
      <c r="D29" s="145">
        <f>IFERROR(1-D28,0)</f>
        <v>0.7</v>
      </c>
      <c r="E29" s="145">
        <f>IFERROR(1-E28,0)</f>
        <v>0.7</v>
      </c>
      <c r="F29" s="160">
        <f>IFERROR(CHOOSE(MATCH(B$2,{"1. T-12 Actuals","2. My Version","3. Projected","4. Offer"},0),B29,C29,D29,E29),0)</f>
        <v>0.7</v>
      </c>
      <c r="G29" s="161"/>
      <c r="H29" s="136" t="s">
        <v>662</v>
      </c>
    </row>
    <row r="30" spans="1:8" ht="15" customHeight="1" outlineLevel="1" x14ac:dyDescent="0.2">
      <c r="A30" s="128" t="s">
        <v>663</v>
      </c>
      <c r="B30" s="162">
        <f>IFERROR(1-B28-B29,0)</f>
        <v>0</v>
      </c>
      <c r="C30" s="162">
        <f>IFERROR(1-C28-C29,0)</f>
        <v>0</v>
      </c>
      <c r="D30" s="162">
        <f>IFERROR(1-D28-D29,0)</f>
        <v>0</v>
      </c>
      <c r="E30" s="162">
        <f>IFERROR(1-E28-E29,0)</f>
        <v>0</v>
      </c>
      <c r="F30" s="160">
        <f>IFERROR(CHOOSE(MATCH(B$2,{"1. T-12 Actuals","2. My Version","3. Projected","4. Offer"},0),B30,C30,D30,E30),0)</f>
        <v>0</v>
      </c>
      <c r="G30" s="161"/>
      <c r="H30" s="8" t="s">
        <v>664</v>
      </c>
    </row>
    <row r="31" spans="1:8" ht="15" customHeight="1" outlineLevel="1" x14ac:dyDescent="0.2">
      <c r="A31" s="163" t="s">
        <v>665</v>
      </c>
      <c r="B31" s="155">
        <f>IFERROR(IFERROR(B17-B117,0),0)</f>
        <v>0</v>
      </c>
      <c r="C31" s="155">
        <f>IFERROR(IFERROR(C17-C117,0),0)</f>
        <v>0</v>
      </c>
      <c r="D31" s="155">
        <f>IFERROR(IFERROR(D17-D117,0),0)</f>
        <v>0</v>
      </c>
      <c r="E31" s="155">
        <f>IFERROR(IFERROR(E17-E117,0),0)</f>
        <v>0</v>
      </c>
      <c r="F31" s="164">
        <f>IFERROR(CHOOSE(MATCH(B$2,{"1. T-12 Actuals","2. My Version","3. Projected","4. Offer"},0),B31,C31,D31,E31),0)</f>
        <v>0</v>
      </c>
      <c r="G31" s="165"/>
      <c r="H31" s="3" t="s">
        <v>643</v>
      </c>
    </row>
    <row r="32" spans="1:8" ht="15" customHeight="1" outlineLevel="1" x14ac:dyDescent="0.2">
      <c r="A32" s="128" t="s">
        <v>104</v>
      </c>
      <c r="B32" s="129">
        <v>0</v>
      </c>
      <c r="C32" s="129">
        <f>B32</f>
        <v>0</v>
      </c>
      <c r="D32" s="129">
        <f>C32</f>
        <v>0</v>
      </c>
      <c r="E32" s="129">
        <f>D32</f>
        <v>0</v>
      </c>
      <c r="F32" s="164">
        <f>IFERROR(CHOOSE(MATCH(B$2,{"1. T-12 Actuals","2. My Version","3. Projected","4. Offer"},0),B32,C32,D32,E32),0)</f>
        <v>0</v>
      </c>
      <c r="G32" s="165"/>
      <c r="H32" s="166" t="s">
        <v>666</v>
      </c>
    </row>
    <row r="33" spans="1:9" ht="15" customHeight="1" outlineLevel="1" x14ac:dyDescent="0.2">
      <c r="A33" s="128" t="s">
        <v>667</v>
      </c>
      <c r="B33" s="167">
        <f>IFERROR(B31-B32,0)</f>
        <v>0</v>
      </c>
      <c r="C33" s="167">
        <f>IFERROR(C31-C32,0)</f>
        <v>0</v>
      </c>
      <c r="D33" s="167">
        <f>IFERROR(D31-D32,0)</f>
        <v>0</v>
      </c>
      <c r="E33" s="167">
        <f>IFERROR(E31-E32,0)</f>
        <v>0</v>
      </c>
      <c r="F33" s="164">
        <f>IFERROR(CHOOSE(MATCH(B$2,{"1. T-12 Actuals","2. My Version","3. Projected","4. Offer"},0),B33,C33,D33,E33),0)</f>
        <v>0</v>
      </c>
      <c r="G33" s="165"/>
      <c r="H33" s="168" t="s">
        <v>668</v>
      </c>
    </row>
    <row r="34" spans="1:9" ht="15" customHeight="1" outlineLevel="1" x14ac:dyDescent="0.2">
      <c r="A34" s="128" t="s">
        <v>669</v>
      </c>
      <c r="B34" s="167">
        <f>IFERROR(B30*B31,0)</f>
        <v>0</v>
      </c>
      <c r="C34" s="167">
        <f>IFERROR(C30*C31,0)</f>
        <v>0</v>
      </c>
      <c r="D34" s="167">
        <f>IFERROR(D30*D31,0)</f>
        <v>0</v>
      </c>
      <c r="E34" s="167">
        <f>IFERROR(E30*E31,0)</f>
        <v>0</v>
      </c>
      <c r="F34" s="164">
        <f>IFERROR(CHOOSE(MATCH(B$2,{"1. T-12 Actuals","2. My Version","3. Projected","4. Offer"},0),B34,C34,D34,E34),0)</f>
        <v>0</v>
      </c>
      <c r="G34" s="165"/>
      <c r="H34" s="8" t="s">
        <v>643</v>
      </c>
    </row>
    <row r="35" spans="1:9" ht="15" customHeight="1" outlineLevel="1" x14ac:dyDescent="0.2">
      <c r="A35" s="132" t="s">
        <v>105</v>
      </c>
      <c r="B35" s="151"/>
      <c r="C35" s="169"/>
      <c r="D35" s="151"/>
      <c r="E35" s="151"/>
      <c r="F35" s="146">
        <f>IFERROR(CHOOSE(MATCH(B$2,{"1. T-12 Actuals","2. My Version","3. Projected","4. Offer"},0),B35,C35,D35,E35),0)</f>
        <v>0</v>
      </c>
      <c r="G35" s="158"/>
      <c r="H35" s="136" t="s">
        <v>670</v>
      </c>
    </row>
    <row r="36" spans="1:9" ht="15" customHeight="1" outlineLevel="1" x14ac:dyDescent="0.2">
      <c r="A36" s="132" t="s">
        <v>671</v>
      </c>
      <c r="B36" s="151"/>
      <c r="C36" s="169"/>
      <c r="D36" s="151"/>
      <c r="E36" s="151"/>
      <c r="F36" s="146">
        <f>IFERROR(CHOOSE(MATCH(B$2,{"1. T-12 Actuals","2. My Version","3. Projected","4. Offer"},0),B36,C36,D36,E36),0)</f>
        <v>0</v>
      </c>
      <c r="G36" s="158"/>
      <c r="H36" s="136" t="s">
        <v>672</v>
      </c>
    </row>
    <row r="37" spans="1:9" ht="15" customHeight="1" outlineLevel="1" x14ac:dyDescent="0.2">
      <c r="A37" s="170" t="s">
        <v>673</v>
      </c>
      <c r="B37" s="171">
        <f>IFERROR(B28,0)</f>
        <v>0.3</v>
      </c>
      <c r="C37" s="171">
        <f>IFERROR(C28,0)</f>
        <v>0.3</v>
      </c>
      <c r="D37" s="171">
        <f>IFERROR(D28,0)</f>
        <v>0.3</v>
      </c>
      <c r="E37" s="171">
        <f>IFERROR(E28,0)</f>
        <v>0.3</v>
      </c>
      <c r="F37" s="160">
        <f>IFERROR(CHOOSE(MATCH(B$2,{"1. T-12 Actuals","2. My Version","3. Projected","4. Offer"},0),B37,C37,D37,E37),0)</f>
        <v>0.3</v>
      </c>
      <c r="G37" s="161"/>
      <c r="H37" s="172" t="s">
        <v>674</v>
      </c>
    </row>
    <row r="38" spans="1:9" ht="15" customHeight="1" x14ac:dyDescent="0.2">
      <c r="A38" s="938" t="s">
        <v>675</v>
      </c>
      <c r="B38" s="938"/>
      <c r="C38" s="938"/>
      <c r="D38" s="938"/>
      <c r="E38" s="938"/>
      <c r="F38" s="938"/>
      <c r="G38" s="938"/>
      <c r="H38" s="938"/>
    </row>
    <row r="39" spans="1:9" ht="15" customHeight="1" outlineLevel="1" x14ac:dyDescent="0.2">
      <c r="A39" s="128" t="s">
        <v>676</v>
      </c>
      <c r="B39" s="173">
        <f>IFERROR(C39,0)</f>
        <v>0</v>
      </c>
      <c r="C39" s="147">
        <f>IFERROR(IFERROR(IF('T-12 Analysis'!N58&gt;=MAX('Rent Roll Analysis'!B26,'Rent Roll Analysis'!B34)*0.95,'T-12 Analysis'!N58,MAX('Rent Roll Analysis'!B26,'Rent Roll Analysis'!B34))/12/'Prop Info'!$B$6,0),0)</f>
        <v>0</v>
      </c>
      <c r="D39" s="147">
        <f>IFERROR('Rent Roll Analysis'!C34,0)</f>
        <v>0</v>
      </c>
      <c r="E39" s="130">
        <f>IFERROR(D39,0)</f>
        <v>0</v>
      </c>
      <c r="F39" s="131">
        <f>IFERROR(CHOOSE(MATCH(B$2,{"1. T-12 Actuals","2. My Version","3. Projected","4. Offer"},0),B39,C39,D39,E39),0)</f>
        <v>0</v>
      </c>
      <c r="G39" s="174"/>
      <c r="H39" s="175" t="s">
        <v>677</v>
      </c>
      <c r="I39" t="s">
        <v>678</v>
      </c>
    </row>
    <row r="40" spans="1:9" ht="15" customHeight="1" outlineLevel="1" x14ac:dyDescent="0.2">
      <c r="A40" s="153" t="s">
        <v>679</v>
      </c>
      <c r="B40" s="176">
        <f>IFERROR('Prop Info'!$B$6*B39*12,0)</f>
        <v>0</v>
      </c>
      <c r="C40" s="176">
        <f>IFERROR('Prop Info'!$B$6*C39*12,0)</f>
        <v>0</v>
      </c>
      <c r="D40" s="176">
        <f>IFERROR('Prop Info'!$B$6*D39*12,0)</f>
        <v>0</v>
      </c>
      <c r="E40" s="176">
        <f>IFERROR('Prop Info'!$B$6*E39*12,0)</f>
        <v>0</v>
      </c>
      <c r="F40" s="131">
        <f>IFERROR(CHOOSE(MATCH(B$2,{"1. T-12 Actuals","2. My Version","3. Projected","4. Offer"},0),B40,C40,D40,E40),0)</f>
        <v>0</v>
      </c>
      <c r="G40" s="174"/>
      <c r="H40" s="177" t="s">
        <v>680</v>
      </c>
    </row>
    <row r="41" spans="1:9" ht="15" customHeight="1" outlineLevel="1" x14ac:dyDescent="0.2">
      <c r="A41" s="128" t="s">
        <v>681</v>
      </c>
      <c r="B41" s="178">
        <f>IFERROR(C41,0)</f>
        <v>0</v>
      </c>
      <c r="C41" s="179">
        <f>IFERROR(IFERROR(('Rent Roll Analysis'!B13+'Rent Roll Analysis'!B14)/'Prop Info'!$B$6,0),0)</f>
        <v>0</v>
      </c>
      <c r="D41" s="145">
        <f>IFERROR(C41,0)</f>
        <v>0</v>
      </c>
      <c r="E41" s="145">
        <f>IFERROR(D41,0)</f>
        <v>0</v>
      </c>
      <c r="F41" s="146">
        <f>IFERROR(CHOOSE(MATCH(B$2,{"1. T-12 Actuals","2. My Version","3. Projected","4. Offer"},0),B41,C41,D41,E41),0)</f>
        <v>0</v>
      </c>
      <c r="G41" s="158"/>
      <c r="H41" s="175" t="s">
        <v>682</v>
      </c>
    </row>
    <row r="42" spans="1:9" ht="15" customHeight="1" outlineLevel="1" x14ac:dyDescent="0.2">
      <c r="A42" s="132" t="s">
        <v>683</v>
      </c>
      <c r="B42" s="135">
        <f>IFERROR(-B41*B40,0)</f>
        <v>0</v>
      </c>
      <c r="C42" s="135">
        <f>IFERROR(-C41*C40,0)</f>
        <v>0</v>
      </c>
      <c r="D42" s="135">
        <f>IFERROR(-D41*D40,0)</f>
        <v>0</v>
      </c>
      <c r="E42" s="135">
        <f>IFERROR(-E41*E40,0)</f>
        <v>0</v>
      </c>
      <c r="F42" s="131">
        <f>IFERROR(CHOOSE(MATCH(B$2,{"1. T-12 Actuals","2. My Version","3. Projected","4. Offer"},0),B42,C42,D42,E42),0)</f>
        <v>0</v>
      </c>
      <c r="G42" s="174"/>
    </row>
    <row r="43" spans="1:9" ht="25.5" customHeight="1" outlineLevel="1" x14ac:dyDescent="0.2">
      <c r="A43" s="128" t="s">
        <v>684</v>
      </c>
      <c r="B43" s="178">
        <f>IFERROR(IFERROR(B44/B40,0),0)</f>
        <v>0</v>
      </c>
      <c r="C43" s="159"/>
      <c r="D43" s="145">
        <f>IFERROR(C43,0)</f>
        <v>0</v>
      </c>
      <c r="E43" s="145">
        <f>IFERROR(D43,0)</f>
        <v>0</v>
      </c>
      <c r="F43" s="146">
        <f>IFERROR(CHOOSE(MATCH(B$2,{"1. T-12 Actuals","2. My Version","3. Projected","4. Offer"},0),B43,C43,D43,E43),0)</f>
        <v>0</v>
      </c>
      <c r="G43" s="158"/>
      <c r="H43" s="8" t="s">
        <v>685</v>
      </c>
    </row>
    <row r="44" spans="1:9" ht="15" customHeight="1" outlineLevel="1" x14ac:dyDescent="0.2">
      <c r="A44" s="132" t="s">
        <v>686</v>
      </c>
      <c r="B44" s="180">
        <f>IFERROR(C44,0)</f>
        <v>0</v>
      </c>
      <c r="C44" s="135">
        <f>IFERROR(-C43*C40,0)</f>
        <v>0</v>
      </c>
      <c r="D44" s="135">
        <f>IFERROR(-D43*D40,0)</f>
        <v>0</v>
      </c>
      <c r="E44" s="135">
        <f>IFERROR(-E43*E40,0)</f>
        <v>0</v>
      </c>
      <c r="F44" s="131">
        <f>IFERROR(CHOOSE(MATCH(B$2,{"1. T-12 Actuals","2. My Version","3. Projected","4. Offer"},0),B44,C44,D44,E44),0)</f>
        <v>0</v>
      </c>
      <c r="G44" s="174"/>
    </row>
    <row r="45" spans="1:9" ht="15" customHeight="1" outlineLevel="1" x14ac:dyDescent="0.2">
      <c r="A45" s="128" t="s">
        <v>687</v>
      </c>
      <c r="B45" s="181">
        <f>IFERROR(ABS('T-12 Analysis'!N63+'T-12 Analysis'!N64+'T-12 Analysis'!N65+'T-12 Analysis'!N59)/'T-12 Analysis'!N58,0)</f>
        <v>0</v>
      </c>
      <c r="C45" s="144">
        <f>IFERROR(B45,0)</f>
        <v>0</v>
      </c>
      <c r="D45" s="145">
        <f>IFERROR(C45,0)</f>
        <v>0</v>
      </c>
      <c r="E45" s="145">
        <f>IFERROR(D45,0)</f>
        <v>0</v>
      </c>
      <c r="F45" s="146">
        <f>IFERROR(CHOOSE(MATCH(B$2,{"1. T-12 Actuals","2. My Version","3. Projected","4. Offer"},0),B45,C45,D45,E45),0)</f>
        <v>0</v>
      </c>
      <c r="G45" s="158"/>
      <c r="H45" s="8" t="s">
        <v>688</v>
      </c>
    </row>
    <row r="46" spans="1:9" ht="15" customHeight="1" outlineLevel="1" x14ac:dyDescent="0.2">
      <c r="A46" s="132" t="s">
        <v>689</v>
      </c>
      <c r="B46" s="135">
        <f>IFERROR(-B45*B40,0)</f>
        <v>0</v>
      </c>
      <c r="C46" s="135">
        <f>IFERROR(-C45*C40,0)</f>
        <v>0</v>
      </c>
      <c r="D46" s="135">
        <f>IFERROR(-D45*D40,0)</f>
        <v>0</v>
      </c>
      <c r="E46" s="135">
        <f>IFERROR(-E45*E40,0)</f>
        <v>0</v>
      </c>
      <c r="F46" s="131">
        <f>IFERROR(CHOOSE(MATCH(B$2,{"1. T-12 Actuals","2. My Version","3. Projected","4. Offer"},0),B46,C46,D46,E46),0)</f>
        <v>0</v>
      </c>
      <c r="G46" s="174"/>
    </row>
    <row r="47" spans="1:9" ht="15" customHeight="1" outlineLevel="1" x14ac:dyDescent="0.2">
      <c r="A47" s="128" t="s">
        <v>690</v>
      </c>
      <c r="B47" s="181">
        <f>IFERROR('T-12 Analysis'!N73/'T-12 Analysis'!N58,0)</f>
        <v>0</v>
      </c>
      <c r="C47" s="159">
        <v>0</v>
      </c>
      <c r="D47" s="145">
        <f>IFERROR(C47,0)</f>
        <v>0</v>
      </c>
      <c r="E47" s="145">
        <f>IFERROR(D47,0)</f>
        <v>0</v>
      </c>
      <c r="F47" s="146">
        <f>IFERROR(CHOOSE(MATCH(B$2,{"1. T-12 Actuals","2. My Version","3. Projected","4. Offer"},0),B47,C47,D47,E47),0)</f>
        <v>0</v>
      </c>
      <c r="G47" s="158"/>
      <c r="H47" s="8" t="s">
        <v>110</v>
      </c>
    </row>
    <row r="48" spans="1:9" ht="15" customHeight="1" outlineLevel="1" x14ac:dyDescent="0.2">
      <c r="A48" s="132" t="s">
        <v>691</v>
      </c>
      <c r="B48" s="135">
        <f>IFERROR(B47*B40,0)</f>
        <v>0</v>
      </c>
      <c r="C48" s="135">
        <f>IFERROR(C47*C40,0)</f>
        <v>0</v>
      </c>
      <c r="D48" s="135">
        <f>IFERROR(D47*D40,0)</f>
        <v>0</v>
      </c>
      <c r="E48" s="135">
        <f>IFERROR(E47*E40,0)</f>
        <v>0</v>
      </c>
      <c r="F48" s="131">
        <f>IFERROR(CHOOSE(MATCH(B$2,{"1. T-12 Actuals","2. My Version","3. Projected","4. Offer"},0),B48,C48,D48,E48),0)</f>
        <v>0</v>
      </c>
      <c r="G48" s="174"/>
      <c r="H48" t="s">
        <v>692</v>
      </c>
    </row>
    <row r="49" spans="1:9" ht="25.5" customHeight="1" outlineLevel="1" x14ac:dyDescent="0.2">
      <c r="A49" s="128" t="s">
        <v>693</v>
      </c>
      <c r="B49" s="182">
        <f>IFERROR('T-12 Analysis'!N79,0)</f>
        <v>0</v>
      </c>
      <c r="C49" s="183">
        <f>IFERROR('T-12 Analysis'!N79+'Recapture &amp; Upside'!L84,0)</f>
        <v>0</v>
      </c>
      <c r="D49" s="147">
        <f>IFERROR('T-12 Analysis'!N79+'Recapture &amp; Upside'!L84,0)</f>
        <v>0</v>
      </c>
      <c r="E49" s="147">
        <f>IFERROR('T-12 Analysis'!N79+'Recapture &amp; Upside'!L84,0)</f>
        <v>0</v>
      </c>
      <c r="F49" s="131">
        <f>IFERROR(CHOOSE(MATCH(B$2,{"1. T-12 Actuals","2. My Version","3. Projected","4. Offer"},0),B49,C49,D49,E49),0)</f>
        <v>0</v>
      </c>
      <c r="G49" s="174"/>
    </row>
    <row r="50" spans="1:9" ht="15" customHeight="1" outlineLevel="1" x14ac:dyDescent="0.2">
      <c r="A50" s="163" t="s">
        <v>694</v>
      </c>
      <c r="B50" s="155">
        <f>IFERROR(VALUE(IF(B40="",0,B40))+VALUE(IF(B42="",0,B42))+VALUE(IF(B44="",0,B44))+VALUE(IF(B46="",0,B46))+VALUE(IF(B48="",0,B48))+VALUE(IF(B49="",0,B49)),0)</f>
        <v>0</v>
      </c>
      <c r="C50" s="155">
        <f>IFERROR(VALUE(IF(C40="",0,C40))+VALUE(IF(C42="",0,C42))+VALUE(IF(C44="",0,C44))+VALUE(IF(C46="",0,C46))+VALUE(IF(C48="",0,C48))+VALUE(IF(C49="",0,C49)),0)</f>
        <v>0</v>
      </c>
      <c r="D50" s="155">
        <f>IFERROR(VALUE(IF(D40="",0,D40))+VALUE(IF(D42="",0,D42))+VALUE(IF(D44="",0,D44))+VALUE(IF(D46="",0,D46))+VALUE(IF(D48="",0,D48))+VALUE(IF(D49="",0,D49)),0)</f>
        <v>0</v>
      </c>
      <c r="E50" s="155">
        <f>IFERROR(VALUE(IF(E40="",0,E40))+VALUE(IF(E42="",0,E42))+VALUE(IF(E44="",0,E44))+VALUE(IF(E46="",0,E46))+VALUE(IF(E48="",0,E48))+VALUE(IF(E49="",0,E49)),0)</f>
        <v>0</v>
      </c>
      <c r="F50" s="155">
        <f>IFERROR(CHOOSE(MATCH(B$2,{"1. T-12 Actuals","2. My Version","3. Projected","4. Offer"},0),B50,C50,D50,E50),0)</f>
        <v>0</v>
      </c>
      <c r="G50" s="157"/>
    </row>
    <row r="51" spans="1:9" ht="15" customHeight="1" outlineLevel="1" x14ac:dyDescent="0.2">
      <c r="A51" s="184" t="s">
        <v>695</v>
      </c>
      <c r="B51" s="185">
        <f>IFERROR(IFERROR(ROUND('Prop Info'!$B$6*(1-B41),0),0),0)</f>
        <v>0</v>
      </c>
      <c r="C51" s="185">
        <f>IFERROR(IFERROR(ROUND('Prop Info'!$B$6*(1-C41),0),0),0)</f>
        <v>0</v>
      </c>
      <c r="D51" s="185">
        <f>IFERROR(IFERROR(ROUND('Prop Info'!$B$6*(1-D41),0),0),0)</f>
        <v>0</v>
      </c>
      <c r="E51" s="185">
        <f>IFERROR(IFERROR(ROUND('Prop Info'!$B$6*(1-E41),0),0),0)</f>
        <v>0</v>
      </c>
      <c r="F51" s="186">
        <f>IFERROR(CHOOSE(MATCH(B$2,{"1. T-12 Actuals","2. My Version","3. Projected","4. Offer"},0),B51,C51,D51,E51),0)</f>
        <v>0</v>
      </c>
      <c r="H51" s="58" t="s">
        <v>696</v>
      </c>
    </row>
    <row r="52" spans="1:9" ht="15" customHeight="1" x14ac:dyDescent="0.2">
      <c r="A52" s="955" t="s">
        <v>697</v>
      </c>
      <c r="B52" s="955"/>
      <c r="C52" s="955"/>
      <c r="D52" s="955"/>
      <c r="E52" s="955"/>
      <c r="F52" s="955"/>
      <c r="G52" s="955"/>
      <c r="H52" s="955"/>
    </row>
    <row r="53" spans="1:9" ht="15" customHeight="1" outlineLevel="1" x14ac:dyDescent="0.2">
      <c r="A53" s="187" t="s">
        <v>618</v>
      </c>
      <c r="B53" s="187" t="s">
        <v>616</v>
      </c>
      <c r="C53" s="187" t="s">
        <v>698</v>
      </c>
      <c r="D53" s="187" t="s">
        <v>620</v>
      </c>
      <c r="E53" s="187" t="s">
        <v>621</v>
      </c>
      <c r="F53" s="187" t="s">
        <v>699</v>
      </c>
      <c r="G53" s="45" t="s">
        <v>700</v>
      </c>
      <c r="H53" s="187" t="s">
        <v>55</v>
      </c>
    </row>
    <row r="54" spans="1:9" ht="15" customHeight="1" outlineLevel="1" x14ac:dyDescent="0.2">
      <c r="A54" s="128" t="s">
        <v>701</v>
      </c>
      <c r="B54" s="188">
        <f>IFERROR('T-12 Analysis'!N89,0)</f>
        <v>0</v>
      </c>
      <c r="C54" s="130">
        <f t="shared" ref="C54:E61" si="1">IFERROR(B54,0)</f>
        <v>0</v>
      </c>
      <c r="D54" s="130">
        <f t="shared" si="1"/>
        <v>0</v>
      </c>
      <c r="E54" s="130">
        <f t="shared" si="1"/>
        <v>0</v>
      </c>
      <c r="F54" s="131">
        <f>IFERROR(CHOOSE(MATCH(B$2,{"1. T-12 Actuals","2. My Version","3. Projected","4. Offer"},0),B54,C54,D54,E54),0)</f>
        <v>0</v>
      </c>
      <c r="G54" s="189" t="str">
        <f>IFERROR(IF((IFERROR(TEXT(F54/'Prop Info'!$B$6,"$#,##0")&amp;"/Unit | "&amp;TEXT(F54/F50,"0.0%"),""))=0,"",(IFERROR(TEXT(F54/'Prop Info'!$B$6,"$#,##0")&amp;"/Unit | "&amp;TEXT(F54/F50,"0.0%"),""))),"")</f>
        <v/>
      </c>
      <c r="H54" s="30" t="s">
        <v>702</v>
      </c>
    </row>
    <row r="55" spans="1:9" ht="15" customHeight="1" outlineLevel="1" x14ac:dyDescent="0.2">
      <c r="A55" s="132" t="s">
        <v>703</v>
      </c>
      <c r="B55" s="188">
        <f>IFERROR('T-12 Analysis'!N84,0)</f>
        <v>0</v>
      </c>
      <c r="C55" s="135">
        <f t="shared" si="1"/>
        <v>0</v>
      </c>
      <c r="D55" s="135">
        <f t="shared" si="1"/>
        <v>0</v>
      </c>
      <c r="E55" s="135">
        <f t="shared" si="1"/>
        <v>0</v>
      </c>
      <c r="F55" s="131">
        <f>IFERROR(CHOOSE(MATCH(B$2,{"1. T-12 Actuals","2. My Version","3. Projected","4. Offer"},0),B55,C55,D55,E55),0)</f>
        <v>0</v>
      </c>
      <c r="G55" s="190" t="str">
        <f>IFERROR(IF((IFERROR(TEXT(F55/'Prop Info'!$B$6,"$#,##0")&amp;"/Unit | "&amp;TEXT(F55/F50,"0.0%"),""))=0,"",(IFERROR(TEXT(F55/'Prop Info'!$B$6,"$#,##0")&amp;"/Unit | "&amp;TEXT(F55/F50,"0.0%"),""))),"")</f>
        <v/>
      </c>
      <c r="H55" s="191" t="s">
        <v>704</v>
      </c>
      <c r="I55" t="s">
        <v>705</v>
      </c>
    </row>
    <row r="56" spans="1:9" ht="15" customHeight="1" outlineLevel="1" x14ac:dyDescent="0.2">
      <c r="A56" s="128" t="s">
        <v>706</v>
      </c>
      <c r="B56" s="188">
        <f>IFERROR('T-12 Analysis'!N94+'T-12 Analysis'!N95,0)</f>
        <v>0</v>
      </c>
      <c r="C56" s="130">
        <f t="shared" si="1"/>
        <v>0</v>
      </c>
      <c r="D56" s="130">
        <f t="shared" si="1"/>
        <v>0</v>
      </c>
      <c r="E56" s="130">
        <f t="shared" si="1"/>
        <v>0</v>
      </c>
      <c r="F56" s="131">
        <f>IFERROR(CHOOSE(MATCH(B$2,{"1. T-12 Actuals","2. My Version","3. Projected","4. Offer"},0),B56,C56,D56,E56),0)</f>
        <v>0</v>
      </c>
      <c r="G56" s="189" t="str">
        <f>IFERROR(IF((IFERROR(TEXT(F56/'Prop Info'!$B$6,"$#,##0")&amp;"/Unit | "&amp;TEXT(F56/F50,"0.0%"),""))=0,"",(IFERROR(TEXT(F56/'Prop Info'!$B$6,"$#,##0")&amp;"/Unit | "&amp;TEXT(F56/F50,"0.0%"),""))),"")</f>
        <v/>
      </c>
      <c r="H56" s="191" t="s">
        <v>707</v>
      </c>
    </row>
    <row r="57" spans="1:9" ht="15" customHeight="1" outlineLevel="1" x14ac:dyDescent="0.2">
      <c r="A57" s="132" t="s">
        <v>708</v>
      </c>
      <c r="B57" s="188">
        <f>IFERROR('T-12 Analysis'!N90+'T-12 Analysis'!N98,0)</f>
        <v>0</v>
      </c>
      <c r="C57" s="135">
        <f t="shared" si="1"/>
        <v>0</v>
      </c>
      <c r="D57" s="135">
        <f t="shared" si="1"/>
        <v>0</v>
      </c>
      <c r="E57" s="135">
        <f t="shared" si="1"/>
        <v>0</v>
      </c>
      <c r="F57" s="131">
        <f>IFERROR(CHOOSE(MATCH(B$2,{"1. T-12 Actuals","2. My Version","3. Projected","4. Offer"},0),B57,C57,D57,E57),0)</f>
        <v>0</v>
      </c>
      <c r="G57" s="190" t="str">
        <f>IFERROR(IF((IFERROR(TEXT(F57/'Prop Info'!$B$6,"$#,##0")&amp;"/Unit | "&amp;TEXT(F57/F50,"0.0%"),""))=0,"",(IFERROR(TEXT(F57/'Prop Info'!$B$6,"$#,##0")&amp;"/Unit | "&amp;TEXT(F57/F50,"0.0%"),""))),"")</f>
        <v/>
      </c>
      <c r="H57" s="191" t="s">
        <v>709</v>
      </c>
    </row>
    <row r="58" spans="1:9" ht="15" customHeight="1" outlineLevel="1" x14ac:dyDescent="0.2">
      <c r="A58" s="128" t="s">
        <v>710</v>
      </c>
      <c r="B58" s="188">
        <f>IFERROR('T-12 Analysis'!N92,0)</f>
        <v>0</v>
      </c>
      <c r="C58" s="130">
        <f t="shared" si="1"/>
        <v>0</v>
      </c>
      <c r="D58" s="130">
        <f t="shared" si="1"/>
        <v>0</v>
      </c>
      <c r="E58" s="130">
        <f t="shared" si="1"/>
        <v>0</v>
      </c>
      <c r="F58" s="131">
        <f>IFERROR(CHOOSE(MATCH(B$2,{"1. T-12 Actuals","2. My Version","3. Projected","4. Offer"},0),B58,C58,D58,E58),0)</f>
        <v>0</v>
      </c>
      <c r="G58" s="189" t="str">
        <f>IFERROR(IF((IFERROR(TEXT(F58/'Prop Info'!$B$6,"$#,##0")&amp;"/Unit | "&amp;TEXT(F58/F50,"0.0%"),""))=0,"",(IFERROR(TEXT(F58/'Prop Info'!$B$6,"$#,##0")&amp;"/Unit | "&amp;TEXT(F58/F50,"0.0%"),""))),"")</f>
        <v/>
      </c>
      <c r="H58" s="192" t="s">
        <v>711</v>
      </c>
    </row>
    <row r="59" spans="1:9" ht="15" customHeight="1" outlineLevel="1" x14ac:dyDescent="0.2">
      <c r="A59" s="132" t="s">
        <v>712</v>
      </c>
      <c r="B59" s="188">
        <f>IFERROR('T-12 Analysis'!N91,0)</f>
        <v>0</v>
      </c>
      <c r="C59" s="135">
        <f t="shared" si="1"/>
        <v>0</v>
      </c>
      <c r="D59" s="135">
        <f t="shared" si="1"/>
        <v>0</v>
      </c>
      <c r="E59" s="135">
        <f t="shared" si="1"/>
        <v>0</v>
      </c>
      <c r="F59" s="131">
        <f>IFERROR(CHOOSE(MATCH(B$2,{"1. T-12 Actuals","2. My Version","3. Projected","4. Offer"},0),B59,C59,D59,E59),0)</f>
        <v>0</v>
      </c>
      <c r="G59" s="190" t="str">
        <f>IFERROR(IF((IFERROR(TEXT(F59/'Prop Info'!$B$6,"$#,##0")&amp;"/Unit | "&amp;TEXT(F59/F50,"0.0%"),""))=0,"",(IFERROR(TEXT(F59/'Prop Info'!$B$6,"$#,##0")&amp;"/Unit | "&amp;TEXT(F59/F50,"0.0%"),""))),"")</f>
        <v/>
      </c>
      <c r="H59" s="191" t="s">
        <v>713</v>
      </c>
    </row>
    <row r="60" spans="1:9" ht="15" customHeight="1" outlineLevel="1" x14ac:dyDescent="0.2">
      <c r="A60" s="128" t="s">
        <v>714</v>
      </c>
      <c r="B60" s="188">
        <f>IFERROR('T-12 Analysis'!N93,0)</f>
        <v>0</v>
      </c>
      <c r="C60" s="130">
        <f t="shared" si="1"/>
        <v>0</v>
      </c>
      <c r="D60" s="130">
        <f t="shared" si="1"/>
        <v>0</v>
      </c>
      <c r="E60" s="130">
        <f t="shared" si="1"/>
        <v>0</v>
      </c>
      <c r="F60" s="131">
        <f>IFERROR(CHOOSE(MATCH(B$2,{"1. T-12 Actuals","2. My Version","3. Projected","4. Offer"},0),B60,C60,D60,E60),0)</f>
        <v>0</v>
      </c>
      <c r="G60" s="189" t="str">
        <f>IFERROR(IF((IFERROR(TEXT(F60/'Prop Info'!$B$6,"$#,##0")&amp;"/Unit | "&amp;TEXT(F60/F50,"0.0%"),""))=0,"",(IFERROR(TEXT(F60/'Prop Info'!$B$6,"$#,##0")&amp;"/Unit | "&amp;TEXT(F60/F50,"0.0%"),""))),"")</f>
        <v/>
      </c>
      <c r="H60" s="191" t="s">
        <v>715</v>
      </c>
    </row>
    <row r="61" spans="1:9" ht="15" customHeight="1" outlineLevel="1" x14ac:dyDescent="0.2">
      <c r="A61" s="132" t="s">
        <v>716</v>
      </c>
      <c r="B61" s="188">
        <f>IFERROR('T-12 Analysis'!N97,0)</f>
        <v>0</v>
      </c>
      <c r="C61" s="135">
        <f t="shared" si="1"/>
        <v>0</v>
      </c>
      <c r="D61" s="135">
        <f t="shared" si="1"/>
        <v>0</v>
      </c>
      <c r="E61" s="135">
        <f t="shared" si="1"/>
        <v>0</v>
      </c>
      <c r="F61" s="131">
        <f>IFERROR(CHOOSE(MATCH(B$2,{"1. T-12 Actuals","2. My Version","3. Projected","4. Offer"},0),B61,C61,D61,E61),0)</f>
        <v>0</v>
      </c>
      <c r="G61" s="190" t="str">
        <f>IFERROR(IF((IFERROR(TEXT(F61/'Prop Info'!$B$6,"$#,##0")&amp;"/Unit | "&amp;TEXT(F61/F50,"0.0%"),""))=0,"",(IFERROR(TEXT(F61/'Prop Info'!$B$6,"$#,##0")&amp;"/Unit | "&amp;TEXT(F61/F50,"0.0%"),""))),"")</f>
        <v/>
      </c>
      <c r="H61" s="191" t="s">
        <v>717</v>
      </c>
    </row>
    <row r="62" spans="1:9" ht="15" customHeight="1" outlineLevel="1" x14ac:dyDescent="0.2">
      <c r="A62" s="128" t="s">
        <v>718</v>
      </c>
      <c r="B62" s="182">
        <f>IFERROR('T-12 Analysis'!N99,0)</f>
        <v>0</v>
      </c>
      <c r="C62" s="130">
        <f>IFERROR(C50*0.05,0)</f>
        <v>0</v>
      </c>
      <c r="D62" s="130">
        <f>IFERROR(D50*0.05,0)</f>
        <v>0</v>
      </c>
      <c r="E62" s="130">
        <f>IFERROR(E50*0.05,0)</f>
        <v>0</v>
      </c>
      <c r="F62" s="131">
        <f>IFERROR(CHOOSE(MATCH(B$2,{"1. T-12 Actuals","2. My Version","3. Projected","4. Offer"},0),B62,C62,D62,E62),0)</f>
        <v>0</v>
      </c>
      <c r="G62" s="189" t="str">
        <f>IFERROR(IF((IFERROR(TEXT(F62/'Prop Info'!$B$6,"$#,##0")&amp;"/Unit | "&amp;TEXT(F62/F50,"0.0%"),""))=0,"",(IFERROR(TEXT(F62/'Prop Info'!$B$6,"$#,##0")&amp;"/Unit | "&amp;TEXT(F62/F50,"0.0%"),""))),"")</f>
        <v/>
      </c>
      <c r="H62" s="191" t="s">
        <v>719</v>
      </c>
    </row>
    <row r="63" spans="1:9" ht="15" customHeight="1" outlineLevel="1" x14ac:dyDescent="0.2">
      <c r="A63" s="132" t="s">
        <v>720</v>
      </c>
      <c r="B63" s="182">
        <f>IFERROR('T-12 Analysis'!N88,0)</f>
        <v>0</v>
      </c>
      <c r="C63" s="135">
        <f>IFERROR(IFERROR(Total_Payroll,0),0)</f>
        <v>0</v>
      </c>
      <c r="D63" s="135">
        <f>IFERROR(IFERROR(Total_Payroll,0),0)</f>
        <v>0</v>
      </c>
      <c r="E63" s="135">
        <f>IFERROR(IFERROR(Total_Payroll,0),0)</f>
        <v>0</v>
      </c>
      <c r="F63" s="131">
        <f>IFERROR(CHOOSE(MATCH(B$2,{"1. T-12 Actuals","2. My Version","3. Projected","4. Offer"},0),B63,C63,D63,E63),0)</f>
        <v>0</v>
      </c>
      <c r="G63" s="190" t="str">
        <f>IFERROR(IF((IFERROR(TEXT(F63/'Prop Info'!$B$6,"$#,##0")&amp;"/Unit | "&amp;TEXT(F63/F50,"0.0%"),""))=0,"",(IFERROR(TEXT(F63/'Prop Info'!$B$6,"$#,##0")&amp;"/Unit | "&amp;TEXT(F63/F50,"0.0%"),""))),"")</f>
        <v/>
      </c>
      <c r="H63" s="193" t="s">
        <v>721</v>
      </c>
    </row>
    <row r="64" spans="1:9" ht="15" customHeight="1" outlineLevel="1" x14ac:dyDescent="0.2">
      <c r="A64" s="128" t="s">
        <v>722</v>
      </c>
      <c r="B64" s="188">
        <f>IFERROR('T-12 Analysis'!N82+'T-12 Analysis'!N85,0)</f>
        <v>0</v>
      </c>
      <c r="C64" s="129">
        <f t="shared" ref="C64:E69" si="2">IFERROR(B64,0)</f>
        <v>0</v>
      </c>
      <c r="D64" s="130">
        <f t="shared" si="2"/>
        <v>0</v>
      </c>
      <c r="E64" s="130">
        <f t="shared" si="2"/>
        <v>0</v>
      </c>
      <c r="F64" s="131">
        <f>IFERROR(CHOOSE(MATCH(B$2,{"1. T-12 Actuals","2. My Version","3. Projected","4. Offer"},0),B64,C64,D64,E64),0)</f>
        <v>0</v>
      </c>
      <c r="G64" s="189" t="str">
        <f>IFERROR(IF((IFERROR(TEXT(F64/'Prop Info'!$B$6,"$#,##0")&amp;"/Unit | "&amp;TEXT(F64/F50,"0.0%"),""))=0,"",(IFERROR(TEXT(F64/'Prop Info'!$B$6,"$#,##0")&amp;"/Unit | "&amp;TEXT(F64/F50,"0.0%"),""))),"")</f>
        <v/>
      </c>
      <c r="H64" s="192" t="s">
        <v>723</v>
      </c>
    </row>
    <row r="65" spans="1:9" ht="15" customHeight="1" outlineLevel="1" x14ac:dyDescent="0.2">
      <c r="A65" s="128" t="s">
        <v>724</v>
      </c>
      <c r="B65" s="188">
        <f>IFERROR('T-12 Analysis'!N83,0)</f>
        <v>0</v>
      </c>
      <c r="C65" s="129">
        <f t="shared" si="2"/>
        <v>0</v>
      </c>
      <c r="D65" s="130">
        <f t="shared" si="2"/>
        <v>0</v>
      </c>
      <c r="E65" s="130">
        <f t="shared" si="2"/>
        <v>0</v>
      </c>
      <c r="F65" s="131">
        <f>IFERROR(CHOOSE(MATCH(B$2,{"1. T-12 Actuals","2. My Version","3. Projected","4. Offer"},0),B65,C65,D65,E65),0)</f>
        <v>0</v>
      </c>
      <c r="G65" s="194"/>
      <c r="H65" s="192"/>
    </row>
    <row r="66" spans="1:9" ht="15" customHeight="1" outlineLevel="1" x14ac:dyDescent="0.2">
      <c r="A66" s="132" t="s">
        <v>725</v>
      </c>
      <c r="B66" s="188">
        <f>IFERROR('T-12 Analysis'!N87,0)</f>
        <v>0</v>
      </c>
      <c r="C66" s="135">
        <f t="shared" si="2"/>
        <v>0</v>
      </c>
      <c r="D66" s="135">
        <f t="shared" si="2"/>
        <v>0</v>
      </c>
      <c r="E66" s="135">
        <f t="shared" si="2"/>
        <v>0</v>
      </c>
      <c r="F66" s="131">
        <f>IFERROR(CHOOSE(MATCH(B$2,{"1. T-12 Actuals","2. My Version","3. Projected","4. Offer"},0),B66,C66,D66,E66),0)</f>
        <v>0</v>
      </c>
      <c r="G66" s="190" t="str">
        <f>IFERROR(IF((IFERROR(TEXT(F66/'Prop Info'!$B$6,"$#,##0")&amp;"/Unit | "&amp;TEXT(F66/F50,"0.0%"),""))=0,"",(IFERROR(TEXT(F66/'Prop Info'!$B$6,"$#,##0")&amp;"/Unit | "&amp;TEXT(F66/F50,"0.0%"),""))),"")</f>
        <v/>
      </c>
      <c r="H66" s="191" t="s">
        <v>726</v>
      </c>
    </row>
    <row r="67" spans="1:9" ht="15" customHeight="1" outlineLevel="1" x14ac:dyDescent="0.2">
      <c r="A67" s="128" t="s">
        <v>727</v>
      </c>
      <c r="B67" s="188">
        <f>IFERROR('T-12 Analysis'!N96,0)</f>
        <v>0</v>
      </c>
      <c r="C67" s="129">
        <f t="shared" si="2"/>
        <v>0</v>
      </c>
      <c r="D67" s="130">
        <f t="shared" si="2"/>
        <v>0</v>
      </c>
      <c r="E67" s="130">
        <f t="shared" si="2"/>
        <v>0</v>
      </c>
      <c r="F67" s="131">
        <f>IFERROR(CHOOSE(MATCH(B$2,{"1. T-12 Actuals","2. My Version","3. Projected","4. Offer"},0),B67,C67,D67,E67),0)</f>
        <v>0</v>
      </c>
      <c r="G67" s="189" t="str">
        <f>IFERROR(IF((IFERROR(TEXT(F67/'Prop Info'!$B$6,"$#,##0")&amp;"/Unit | "&amp;TEXT(F67/F50,"0.0%"),""))=0,"",(IFERROR(TEXT(F67/'Prop Info'!$B$6,"$#,##0")&amp;"/Unit | "&amp;TEXT(F67/F50,"0.0%"),""))),"")</f>
        <v/>
      </c>
      <c r="H67" s="191" t="s">
        <v>728</v>
      </c>
    </row>
    <row r="68" spans="1:9" ht="15" customHeight="1" outlineLevel="1" x14ac:dyDescent="0.2">
      <c r="A68" s="132" t="s">
        <v>729</v>
      </c>
      <c r="B68" s="188">
        <f>IFERROR('T-12 Analysis'!N86,0)</f>
        <v>0</v>
      </c>
      <c r="C68" s="135">
        <f t="shared" si="2"/>
        <v>0</v>
      </c>
      <c r="D68" s="135">
        <f t="shared" si="2"/>
        <v>0</v>
      </c>
      <c r="E68" s="135">
        <f t="shared" si="2"/>
        <v>0</v>
      </c>
      <c r="F68" s="131">
        <f>IFERROR(CHOOSE(MATCH(B$2,{"1. T-12 Actuals","2. My Version","3. Projected","4. Offer"},0),B68,C68,D68,E68),0)</f>
        <v>0</v>
      </c>
      <c r="G68" s="190" t="str">
        <f>IFERROR(IF((IFERROR(TEXT(F68/'Prop Info'!$B$6,"$#,##0")&amp;"/Unit | "&amp;TEXT(F68/F50,"0.0%"),""))=0,"",(IFERROR(TEXT(F68/'Prop Info'!$B$6,"$#,##0")&amp;"/Unit | "&amp;TEXT(F68/F50,"0.0%"),""))),"")</f>
        <v/>
      </c>
      <c r="H68" s="191" t="s">
        <v>730</v>
      </c>
      <c r="I68" s="195"/>
    </row>
    <row r="69" spans="1:9" ht="15" customHeight="1" outlineLevel="1" x14ac:dyDescent="0.2">
      <c r="A69" s="128" t="s">
        <v>731</v>
      </c>
      <c r="B69" s="196"/>
      <c r="C69" s="130">
        <f t="shared" si="2"/>
        <v>0</v>
      </c>
      <c r="D69" s="130">
        <f t="shared" si="2"/>
        <v>0</v>
      </c>
      <c r="E69" s="130">
        <f t="shared" si="2"/>
        <v>0</v>
      </c>
      <c r="F69" s="131">
        <f>IFERROR(CHOOSE(MATCH(B$2,{"1. T-12 Actuals","2. My Version","3. Projected","4. Offer"},0),B69,C69,D69,E69),0)</f>
        <v>0</v>
      </c>
      <c r="G69" s="189" t="str">
        <f>IFERROR(IF((IFERROR(TEXT(F69/'Prop Info'!$B$6,"$#,##0")&amp;"/Unit | "&amp;TEXT(F69/F50,"0.0%"),""))=0,"",(IFERROR(TEXT(F69/'Prop Info'!$B$6,"$#,##0")&amp;"/Unit | "&amp;TEXT(F69/F50,"0.0%"),""))),"")</f>
        <v/>
      </c>
      <c r="H69" s="191" t="s">
        <v>732</v>
      </c>
    </row>
    <row r="70" spans="1:9" ht="15" customHeight="1" outlineLevel="1" x14ac:dyDescent="0.2">
      <c r="A70" s="197" t="s">
        <v>733</v>
      </c>
      <c r="B70" s="198">
        <f>IFERROR(SUM(B54:B69),0)</f>
        <v>0</v>
      </c>
      <c r="C70" s="198">
        <f>IFERROR(SUM(C54:C69),0)</f>
        <v>0</v>
      </c>
      <c r="D70" s="198">
        <f>IFERROR(SUM(D54:D69),0)</f>
        <v>0</v>
      </c>
      <c r="E70" s="198">
        <f>IFERROR(SUM(E54:E69),0)</f>
        <v>0</v>
      </c>
      <c r="F70" s="155">
        <f>IFERROR(CHOOSE(MATCH(B$2,{"1. T-12 Actuals","2. My Version","3. Projected","4. Offer"},0),B70,C70,D70,E70),0)</f>
        <v>0</v>
      </c>
      <c r="G70" s="199" t="str">
        <f>IFERROR(IF((IFERROR(TEXT(F70/'Prop Info'!$B$6,"$#,##0")&amp;"/Unit | "&amp;TEXT(F70/F50,"0.0%"),""))=0,"",(IFERROR(TEXT(F70/'Prop Info'!$B$6,"$#,##0")&amp;"/Unit | "&amp;TEXT(F70/F50,"0.0%"),""))),"")</f>
        <v/>
      </c>
      <c r="H70" s="200"/>
    </row>
    <row r="71" spans="1:9" ht="15" customHeight="1" outlineLevel="1" x14ac:dyDescent="0.2">
      <c r="G71" s="120"/>
      <c r="H71" s="201"/>
    </row>
    <row r="72" spans="1:9" ht="15" customHeight="1" x14ac:dyDescent="0.2">
      <c r="A72" s="163" t="s">
        <v>734</v>
      </c>
      <c r="B72" s="155">
        <f>IFERROR(B50-B70,0)</f>
        <v>0</v>
      </c>
      <c r="C72" s="155">
        <f>IFERROR(C50-C70,0)</f>
        <v>0</v>
      </c>
      <c r="D72" s="155">
        <f>IFERROR(D50-D70,0)</f>
        <v>0</v>
      </c>
      <c r="E72" s="155">
        <f>IFERROR(E50-E70,0)</f>
        <v>0</v>
      </c>
      <c r="F72" s="155">
        <f>IFERROR(CHOOSE(MATCH(B$2,{"1. T-12 Actuals","2. My Version","3. Projected","4. Offer"},0),B72,C72,D72,E72),0)</f>
        <v>0</v>
      </c>
      <c r="G72" s="202" t="str">
        <f>IFERROR(IF((IFERROR(TEXT(F72/'Prop Info'!$B$15,"$#,##0")&amp;"/Bed | "&amp;TEXT(F72/F50,"0.0%"),""))=0,"",(IFERROR(TEXT(F72/'Prop Info'!$B$15,"$#,##0")&amp;"/Bed | "&amp;TEXT(F72/F50,"0.0%"),""))),"")</f>
        <v/>
      </c>
      <c r="H72" s="200"/>
    </row>
    <row r="74" spans="1:9" ht="15" customHeight="1" x14ac:dyDescent="0.2">
      <c r="A74" s="938" t="s">
        <v>735</v>
      </c>
      <c r="B74" s="938"/>
      <c r="C74" s="938"/>
      <c r="D74" s="938"/>
      <c r="E74" s="938"/>
      <c r="F74" s="938"/>
      <c r="G74" s="938"/>
      <c r="H74" s="938"/>
    </row>
    <row r="75" spans="1:9" ht="15" customHeight="1" outlineLevel="1" x14ac:dyDescent="0.2">
      <c r="A75" s="132" t="s">
        <v>736</v>
      </c>
      <c r="B75" s="152">
        <f>IFERROR(IFERROR(B72/B7,0),0)</f>
        <v>0</v>
      </c>
      <c r="C75" s="152">
        <f>IFERROR(IFERROR(C72/C7,0),0)</f>
        <v>0</v>
      </c>
      <c r="D75" s="152">
        <f>IFERROR(IFERROR(D72/D7,0),0)</f>
        <v>0</v>
      </c>
      <c r="E75" s="152">
        <f>IFERROR(IFERROR(E72/E7,0),0)</f>
        <v>0</v>
      </c>
      <c r="F75" s="146">
        <f>IFERROR(CHOOSE(MATCH(B$2,{"1. T-12 Actuals","2. My Version","3. Projected","4. Offer"},0),B75,C75,D75,E75),0)</f>
        <v>0</v>
      </c>
      <c r="G75" s="158"/>
    </row>
    <row r="76" spans="1:9" ht="15" customHeight="1" outlineLevel="1" x14ac:dyDescent="0.2">
      <c r="A76" s="128" t="s">
        <v>737</v>
      </c>
      <c r="B76" s="130">
        <f>IFERROR(B115,0)</f>
        <v>0</v>
      </c>
      <c r="C76" s="130">
        <f>IFERROR(C115,0)</f>
        <v>0</v>
      </c>
      <c r="D76" s="130">
        <f>IFERROR(D115,0)</f>
        <v>0</v>
      </c>
      <c r="E76" s="130">
        <f>IFERROR(E115,0)</f>
        <v>0</v>
      </c>
      <c r="F76" s="203">
        <f>IFERROR(CHOOSE(MATCH(B$2,{"1. T-12 Actuals","2. My Version","3. Projected","4. Offer"},0),B76,C76,D76,E76),0)</f>
        <v>0</v>
      </c>
      <c r="G76" s="156"/>
      <c r="H76" s="8" t="s">
        <v>738</v>
      </c>
    </row>
    <row r="77" spans="1:9" ht="15" customHeight="1" outlineLevel="1" x14ac:dyDescent="0.2">
      <c r="A77" s="132" t="s">
        <v>739</v>
      </c>
      <c r="B77" s="135">
        <f>IFERROR(B72-B76,0)</f>
        <v>0</v>
      </c>
      <c r="C77" s="135">
        <f>IFERROR(C72-C76,0)</f>
        <v>0</v>
      </c>
      <c r="D77" s="135">
        <f>IFERROR(D72-D76,0)</f>
        <v>0</v>
      </c>
      <c r="E77" s="135">
        <f>IFERROR(E72-E76,0)</f>
        <v>0</v>
      </c>
      <c r="F77" s="131">
        <f>IFERROR(CHOOSE(MATCH(B$2,{"1. T-12 Actuals","2. My Version","3. Projected","4. Offer"},0),B77,C77,D77,E77),0)</f>
        <v>0</v>
      </c>
      <c r="G77" s="174"/>
      <c r="H77" s="136" t="s">
        <v>740</v>
      </c>
    </row>
    <row r="78" spans="1:9" ht="15" customHeight="1" outlineLevel="1" x14ac:dyDescent="0.2">
      <c r="A78" s="128" t="s">
        <v>741</v>
      </c>
      <c r="B78" s="204">
        <f>IFERROR(IFERROR(B72/B76,0),0)</f>
        <v>0</v>
      </c>
      <c r="C78" s="204">
        <f>IFERROR(IFERROR(C72/C76,0),0)</f>
        <v>0</v>
      </c>
      <c r="D78" s="204">
        <f>IFERROR(IFERROR(D72/D76,0),0)</f>
        <v>0</v>
      </c>
      <c r="E78" s="204">
        <f>IFERROR(IFERROR(E72/E76,0),0)</f>
        <v>0</v>
      </c>
      <c r="F78" s="205">
        <f>IFERROR(CHOOSE(MATCH(B$2,{"1. T-12 Actuals","2. My Version","3. Projected","4. Offer"},0),B78,C78,D78,E78),0)</f>
        <v>0</v>
      </c>
      <c r="G78" s="206"/>
      <c r="H78" s="8" t="s">
        <v>742</v>
      </c>
    </row>
    <row r="79" spans="1:9" ht="15" customHeight="1" outlineLevel="1" x14ac:dyDescent="0.2">
      <c r="A79" s="132" t="s">
        <v>111</v>
      </c>
      <c r="B79" s="151"/>
      <c r="C79" s="207">
        <f>IFERROR(B79,0)</f>
        <v>0</v>
      </c>
      <c r="D79" s="151">
        <f>IFERROR(C79,0)</f>
        <v>0</v>
      </c>
      <c r="E79" s="151">
        <f>IFERROR(D79,0)</f>
        <v>0</v>
      </c>
      <c r="F79" s="146">
        <f>IFERROR(CHOOSE(MATCH(B$2,{"1. T-12 Actuals","2. My Version","3. Projected","4. Offer"},0),B79,C79,D79,E79),0)</f>
        <v>0</v>
      </c>
      <c r="G79" s="158"/>
      <c r="H79" s="136" t="s">
        <v>743</v>
      </c>
    </row>
    <row r="80" spans="1:9" ht="15" customHeight="1" outlineLevel="1" x14ac:dyDescent="0.2">
      <c r="A80" s="128" t="s">
        <v>744</v>
      </c>
      <c r="B80" s="130">
        <f>IFERROR(IFERROR(B72/B79,0),0)</f>
        <v>0</v>
      </c>
      <c r="C80" s="130">
        <f>IFERROR(IFERROR(C72/C79,0),0)</f>
        <v>0</v>
      </c>
      <c r="D80" s="130">
        <f>IFERROR(IFERROR(D72/D79,0),0)</f>
        <v>0</v>
      </c>
      <c r="E80" s="130">
        <f>IFERROR(IFERROR(E72/E79,0),0)</f>
        <v>0</v>
      </c>
      <c r="F80" s="131">
        <f>IFERROR(CHOOSE(MATCH(B$2,{"1. T-12 Actuals","2. My Version","3. Projected","4. Offer"},0),B80,C80,D80,E80),0)</f>
        <v>0</v>
      </c>
      <c r="G80" s="174"/>
    </row>
    <row r="81" spans="1:8" ht="15" customHeight="1" outlineLevel="1" x14ac:dyDescent="0.2">
      <c r="A81" s="208" t="s">
        <v>112</v>
      </c>
      <c r="B81" s="209">
        <f>IFERROR(B7,0)</f>
        <v>0</v>
      </c>
      <c r="C81" s="210">
        <f>IFERROR(C7,0)</f>
        <v>0</v>
      </c>
      <c r="D81" s="210">
        <f>IFERROR(D7,0)</f>
        <v>0</v>
      </c>
      <c r="E81" s="210">
        <f>IFERROR(E7,0)</f>
        <v>0</v>
      </c>
      <c r="F81" s="211">
        <f>IFERROR(CHOOSE(MATCH(B$2,{"1. T-12 Actuals","2. My Version","3. Projected","4. Offer"},0),B81,C81,D81,E81),0)</f>
        <v>0</v>
      </c>
      <c r="H81" s="212" t="s">
        <v>745</v>
      </c>
    </row>
    <row r="82" spans="1:8" ht="15" customHeight="1" outlineLevel="1" x14ac:dyDescent="0.2">
      <c r="A82" s="132" t="s">
        <v>26</v>
      </c>
      <c r="B82" s="213"/>
      <c r="C82" s="214">
        <f t="shared" ref="C82:E83" si="3">IFERROR(B82,0)</f>
        <v>0</v>
      </c>
      <c r="D82" s="213">
        <f t="shared" si="3"/>
        <v>0</v>
      </c>
      <c r="E82" s="213">
        <f t="shared" si="3"/>
        <v>0</v>
      </c>
      <c r="F82" s="140">
        <f>IFERROR(CHOOSE(MATCH(B$2,{"1. T-12 Actuals","2. My Version","3. Projected","4. Offer"},0),B82,C82,D82,E82),0)</f>
        <v>0</v>
      </c>
      <c r="G82" s="215"/>
      <c r="H82" s="136" t="s">
        <v>746</v>
      </c>
    </row>
    <row r="83" spans="1:8" ht="15" customHeight="1" outlineLevel="1" x14ac:dyDescent="0.2">
      <c r="A83" s="128" t="s">
        <v>28</v>
      </c>
      <c r="B83" s="143"/>
      <c r="C83" s="159">
        <f t="shared" si="3"/>
        <v>0</v>
      </c>
      <c r="D83" s="143">
        <f t="shared" si="3"/>
        <v>0</v>
      </c>
      <c r="E83" s="143">
        <f t="shared" si="3"/>
        <v>0</v>
      </c>
      <c r="F83" s="146">
        <f>IFERROR(CHOOSE(MATCH(B$2,{"1. T-12 Actuals","2. My Version","3. Projected","4. Offer"},0),B83,C83,D83,E83),0)</f>
        <v>0</v>
      </c>
      <c r="G83" s="158"/>
      <c r="H83" s="8" t="s">
        <v>747</v>
      </c>
    </row>
    <row r="84" spans="1:8" ht="15" customHeight="1" outlineLevel="1" x14ac:dyDescent="0.2">
      <c r="A84" s="956"/>
      <c r="B84" s="956"/>
      <c r="C84" s="956"/>
      <c r="D84" s="956"/>
      <c r="E84" s="956"/>
      <c r="F84" s="956"/>
      <c r="G84" s="956"/>
      <c r="H84" s="956"/>
    </row>
    <row r="85" spans="1:8" ht="15" customHeight="1" x14ac:dyDescent="0.2">
      <c r="A85" s="938" t="s">
        <v>748</v>
      </c>
      <c r="B85" s="938"/>
      <c r="C85" s="938"/>
      <c r="D85" s="938"/>
      <c r="E85" s="938"/>
      <c r="F85" s="938"/>
      <c r="G85" s="938"/>
      <c r="H85" s="938"/>
    </row>
    <row r="86" spans="1:8" ht="15" customHeight="1" outlineLevel="1" x14ac:dyDescent="0.2">
      <c r="A86" s="957" t="s">
        <v>749</v>
      </c>
      <c r="B86" s="957"/>
      <c r="C86" s="957"/>
      <c r="D86" s="957"/>
      <c r="E86" s="957"/>
      <c r="F86" s="957"/>
      <c r="G86" s="957"/>
      <c r="H86" s="957"/>
    </row>
    <row r="87" spans="1:8" ht="15" customHeight="1" outlineLevel="1" x14ac:dyDescent="0.2">
      <c r="A87" s="41" t="s">
        <v>750</v>
      </c>
    </row>
    <row r="88" spans="1:8" ht="15" customHeight="1" outlineLevel="1" x14ac:dyDescent="0.2">
      <c r="A88" s="132" t="s">
        <v>751</v>
      </c>
      <c r="B88" s="135">
        <f>IFERROR(IF(B120="YES",B17*(1-B10),B7*(1-B10)),0)</f>
        <v>0</v>
      </c>
      <c r="C88" s="135">
        <f>IFERROR(IF(C120="YES",C17*(1-C10),C7*(1-C10)),0)</f>
        <v>0</v>
      </c>
      <c r="D88" s="135">
        <f>IFERROR(IF(D120="YES",D17*(1-D10),D7*(1-D10)),0)</f>
        <v>0</v>
      </c>
      <c r="E88" s="135">
        <f>IFERROR(IF(E120="YES",E17*(1-E10),E7*(1-E10)),0)</f>
        <v>0</v>
      </c>
      <c r="F88" s="164">
        <f>IFERROR(CHOOSE(MATCH(B$2,{"1. T-12 Actuals","2. My Version","3. Projected","4. Offer"},0),B88,C88,D88,E88),0)</f>
        <v>0</v>
      </c>
      <c r="G88" s="164"/>
      <c r="H88" s="136" t="s">
        <v>752</v>
      </c>
    </row>
    <row r="89" spans="1:8" ht="15" customHeight="1" outlineLevel="1" x14ac:dyDescent="0.2">
      <c r="A89" s="128" t="s">
        <v>753</v>
      </c>
      <c r="B89" s="143"/>
      <c r="C89" s="159">
        <f t="shared" ref="C89:E92" si="4">B89</f>
        <v>0</v>
      </c>
      <c r="D89" s="143">
        <f t="shared" si="4"/>
        <v>0</v>
      </c>
      <c r="E89" s="143">
        <f t="shared" si="4"/>
        <v>0</v>
      </c>
      <c r="F89" s="160">
        <f>IFERROR(CHOOSE(MATCH(B$2,{"1. T-12 Actuals","2. My Version","3. Projected","4. Offer"},0),B89,C89,D89,E89),0)</f>
        <v>0</v>
      </c>
      <c r="G89" s="160"/>
      <c r="H89" s="8" t="s">
        <v>754</v>
      </c>
    </row>
    <row r="90" spans="1:8" ht="15" customHeight="1" outlineLevel="1" x14ac:dyDescent="0.2">
      <c r="A90" s="132" t="s">
        <v>755</v>
      </c>
      <c r="B90" s="213"/>
      <c r="C90" s="214">
        <f t="shared" si="4"/>
        <v>0</v>
      </c>
      <c r="D90" s="213">
        <f t="shared" si="4"/>
        <v>0</v>
      </c>
      <c r="E90" s="213">
        <f t="shared" si="4"/>
        <v>0</v>
      </c>
      <c r="F90" s="186">
        <f>IFERROR(CHOOSE(MATCH(B$2,{"1. T-12 Actuals","2. My Version","3. Projected","4. Offer"},0),B90,C90,D90,E90),0)</f>
        <v>0</v>
      </c>
      <c r="G90" s="186"/>
      <c r="H90" s="136" t="s">
        <v>756</v>
      </c>
    </row>
    <row r="91" spans="1:8" ht="15" customHeight="1" outlineLevel="1" x14ac:dyDescent="0.2">
      <c r="A91" s="128" t="s">
        <v>757</v>
      </c>
      <c r="B91" s="216"/>
      <c r="C91" s="217">
        <f t="shared" si="4"/>
        <v>0</v>
      </c>
      <c r="D91" s="216">
        <f t="shared" si="4"/>
        <v>0</v>
      </c>
      <c r="E91" s="216">
        <f t="shared" si="4"/>
        <v>0</v>
      </c>
      <c r="F91" s="186">
        <f>IFERROR(CHOOSE(MATCH(B$2,{"1. T-12 Actuals","2. My Version","3. Projected","4. Offer"},0),B91,C91,D91,E91),0)</f>
        <v>0</v>
      </c>
      <c r="G91" s="186"/>
      <c r="H91" s="8" t="s">
        <v>758</v>
      </c>
    </row>
    <row r="92" spans="1:8" ht="15" customHeight="1" outlineLevel="1" x14ac:dyDescent="0.2">
      <c r="A92" s="132" t="s">
        <v>759</v>
      </c>
      <c r="B92" s="213"/>
      <c r="C92" s="214">
        <f t="shared" si="4"/>
        <v>0</v>
      </c>
      <c r="D92" s="213">
        <f t="shared" si="4"/>
        <v>0</v>
      </c>
      <c r="E92" s="213">
        <f t="shared" si="4"/>
        <v>0</v>
      </c>
      <c r="F92" s="186">
        <f>IFERROR(CHOOSE(MATCH(B$2,{"1. T-12 Actuals","2. My Version","3. Projected","4. Offer"},0),B92,C92,D92,E92),0)</f>
        <v>0</v>
      </c>
      <c r="G92" s="186"/>
      <c r="H92" s="136" t="s">
        <v>760</v>
      </c>
    </row>
    <row r="93" spans="1:8" ht="15" customHeight="1" outlineLevel="1" x14ac:dyDescent="0.2">
      <c r="A93" s="218" t="s">
        <v>113</v>
      </c>
      <c r="B93" s="219">
        <v>0.01</v>
      </c>
      <c r="C93" s="219">
        <v>0.01</v>
      </c>
      <c r="D93" s="220">
        <f>IFERROR(C93,0)</f>
        <v>0.01</v>
      </c>
      <c r="E93" s="220">
        <f>IFERROR(D93,0)</f>
        <v>0.01</v>
      </c>
      <c r="F93" s="220">
        <f>IFERROR(CHOOSE(MATCH(B$2,{"1. T-12 Actuals","2. My Version","3. Projected","4. Offer"},0),B93,C93,D93,E93),0)</f>
        <v>0.01</v>
      </c>
      <c r="H93" t="s">
        <v>761</v>
      </c>
    </row>
    <row r="94" spans="1:8" ht="15" customHeight="1" outlineLevel="1" x14ac:dyDescent="0.2">
      <c r="A94" s="92" t="s">
        <v>762</v>
      </c>
    </row>
    <row r="95" spans="1:8" ht="15" customHeight="1" outlineLevel="1" x14ac:dyDescent="0.2">
      <c r="A95" s="128" t="s">
        <v>114</v>
      </c>
      <c r="B95" s="129"/>
      <c r="C95" s="221">
        <v>0</v>
      </c>
      <c r="D95" s="129"/>
      <c r="E95" s="129"/>
      <c r="F95" s="164">
        <f>IFERROR(CHOOSE(MATCH(B$2,{"1. T-12 Actuals","2. My Version","3. Projected","4. Offer"},0),B95,C95,D95,E95),0)</f>
        <v>0</v>
      </c>
      <c r="G95" s="164"/>
      <c r="H95" s="8" t="s">
        <v>650</v>
      </c>
    </row>
    <row r="96" spans="1:8" ht="15" customHeight="1" outlineLevel="1" x14ac:dyDescent="0.2">
      <c r="A96" s="132" t="s">
        <v>115</v>
      </c>
      <c r="B96" s="151"/>
      <c r="C96" s="169">
        <v>0</v>
      </c>
      <c r="D96" s="151"/>
      <c r="E96" s="151"/>
      <c r="F96" s="160">
        <f>IFERROR(CHOOSE(MATCH(B$2,{"1. T-12 Actuals","2. My Version","3. Projected","4. Offer"},0),B96,C96,D96,E96),0)</f>
        <v>0</v>
      </c>
      <c r="G96" s="160"/>
      <c r="H96" s="136" t="s">
        <v>763</v>
      </c>
    </row>
    <row r="97" spans="1:8" ht="15" customHeight="1" outlineLevel="1" x14ac:dyDescent="0.2">
      <c r="A97" s="128" t="s">
        <v>116</v>
      </c>
      <c r="B97" s="216"/>
      <c r="C97" s="217">
        <v>0</v>
      </c>
      <c r="D97" s="216"/>
      <c r="E97" s="216"/>
      <c r="F97" s="186">
        <f>IFERROR(CHOOSE(MATCH(B$2,{"1. T-12 Actuals","2. My Version","3. Projected","4. Offer"},0),B97,C97,D97,E97),0)</f>
        <v>0</v>
      </c>
      <c r="G97" s="186"/>
    </row>
    <row r="98" spans="1:8" ht="15" customHeight="1" outlineLevel="1" x14ac:dyDescent="0.2">
      <c r="A98" s="132" t="s">
        <v>117</v>
      </c>
      <c r="B98" s="213"/>
      <c r="C98" s="214">
        <v>0</v>
      </c>
      <c r="D98" s="213"/>
      <c r="E98" s="213"/>
      <c r="F98" s="186">
        <f>IFERROR(CHOOSE(MATCH(B$2,{"1. T-12 Actuals","2. My Version","3. Projected","4. Offer"},0),B98,C98,D98,E98),0)</f>
        <v>0</v>
      </c>
      <c r="G98" s="186"/>
    </row>
    <row r="99" spans="1:8" ht="15" customHeight="1" outlineLevel="1" x14ac:dyDescent="0.2">
      <c r="A99" s="128" t="s">
        <v>118</v>
      </c>
      <c r="B99" s="216"/>
      <c r="C99" s="217">
        <v>0</v>
      </c>
      <c r="D99" s="216"/>
      <c r="E99" s="216"/>
      <c r="F99" s="186">
        <f>IFERROR(CHOOSE(MATCH(B$2,{"1. T-12 Actuals","2. My Version","3. Projected","4. Offer"},0),B99,C99,D99,E99),0)</f>
        <v>0</v>
      </c>
      <c r="G99" s="186"/>
    </row>
    <row r="100" spans="1:8" ht="15" customHeight="1" outlineLevel="1" x14ac:dyDescent="0.2">
      <c r="A100" s="222" t="s">
        <v>119</v>
      </c>
      <c r="B100" s="219">
        <v>0</v>
      </c>
      <c r="C100" s="219">
        <v>0</v>
      </c>
      <c r="D100" s="220">
        <f>IFERROR(C100,0)</f>
        <v>0</v>
      </c>
      <c r="E100" s="220">
        <f>IFERROR(D100,0)</f>
        <v>0</v>
      </c>
      <c r="F100" s="220">
        <f>IFERROR(CHOOSE(MATCH(B$2,{"1. T-12 Actuals","2. My Version","3. Projected","4. Offer"},0),B100,C100,D100,E100),0)</f>
        <v>0</v>
      </c>
      <c r="H100" t="s">
        <v>761</v>
      </c>
    </row>
    <row r="101" spans="1:8" ht="15" customHeight="1" outlineLevel="1" x14ac:dyDescent="0.2">
      <c r="A101" s="117" t="s">
        <v>764</v>
      </c>
    </row>
    <row r="102" spans="1:8" ht="15" customHeight="1" outlineLevel="1" x14ac:dyDescent="0.2">
      <c r="A102" s="132" t="s">
        <v>120</v>
      </c>
      <c r="B102" s="133"/>
      <c r="C102" s="223">
        <v>0</v>
      </c>
      <c r="D102" s="133"/>
      <c r="E102" s="133"/>
      <c r="F102" s="164">
        <f>IFERROR(CHOOSE(MATCH(B$2,{"1. T-12 Actuals","2. My Version","3. Projected","4. Offer"},0),B102,C102,D102,E102),0)</f>
        <v>0</v>
      </c>
      <c r="G102" s="164"/>
      <c r="H102" s="136" t="s">
        <v>765</v>
      </c>
    </row>
    <row r="103" spans="1:8" ht="15" customHeight="1" outlineLevel="1" x14ac:dyDescent="0.2">
      <c r="A103" s="128" t="s">
        <v>121</v>
      </c>
      <c r="B103" s="143"/>
      <c r="C103" s="159">
        <v>0</v>
      </c>
      <c r="D103" s="143"/>
      <c r="E103" s="143"/>
      <c r="F103" s="160">
        <f>IFERROR(CHOOSE(MATCH(B$2,{"1. T-12 Actuals","2. My Version","3. Projected","4. Offer"},0),B103,C103,D103,E103),0)</f>
        <v>0</v>
      </c>
      <c r="G103" s="160"/>
    </row>
    <row r="104" spans="1:8" ht="15" customHeight="1" outlineLevel="1" x14ac:dyDescent="0.2">
      <c r="A104" s="132" t="s">
        <v>122</v>
      </c>
      <c r="B104" s="213"/>
      <c r="C104" s="214">
        <v>0</v>
      </c>
      <c r="D104" s="213"/>
      <c r="E104" s="213"/>
      <c r="F104" s="186">
        <f>IFERROR(CHOOSE(MATCH(B$2,{"1. T-12 Actuals","2. My Version","3. Projected","4. Offer"},0),B104,C104,D104,E104),0)</f>
        <v>0</v>
      </c>
      <c r="G104" s="186"/>
    </row>
    <row r="105" spans="1:8" ht="15" customHeight="1" outlineLevel="1" x14ac:dyDescent="0.2">
      <c r="A105" s="128" t="s">
        <v>123</v>
      </c>
      <c r="B105" s="216"/>
      <c r="C105" s="217">
        <v>0</v>
      </c>
      <c r="D105" s="216"/>
      <c r="E105" s="216"/>
      <c r="F105" s="186">
        <f>IFERROR(CHOOSE(MATCH(B$2,{"1. T-12 Actuals","2. My Version","3. Projected","4. Offer"},0),B105,C105,D105,E105),0)</f>
        <v>0</v>
      </c>
      <c r="G105" s="186"/>
    </row>
    <row r="106" spans="1:8" ht="15" customHeight="1" outlineLevel="1" x14ac:dyDescent="0.2">
      <c r="A106" s="132" t="s">
        <v>124</v>
      </c>
      <c r="B106" s="213"/>
      <c r="C106" s="214">
        <v>0</v>
      </c>
      <c r="D106" s="213"/>
      <c r="E106" s="213"/>
      <c r="F106" s="186">
        <f>IFERROR(CHOOSE(MATCH(B$2,{"1. T-12 Actuals","2. My Version","3. Projected","4. Offer"},0),B106,C106,D106,E106),0)</f>
        <v>0</v>
      </c>
      <c r="G106" s="186"/>
    </row>
    <row r="107" spans="1:8" ht="15" customHeight="1" outlineLevel="1" x14ac:dyDescent="0.2">
      <c r="A107" s="218" t="s">
        <v>125</v>
      </c>
      <c r="B107" s="219">
        <v>0</v>
      </c>
      <c r="C107" s="219">
        <v>0</v>
      </c>
      <c r="D107" s="220">
        <f>IFERROR(C107,0)</f>
        <v>0</v>
      </c>
      <c r="E107" s="220">
        <f>IFERROR(D107,0)</f>
        <v>0</v>
      </c>
      <c r="F107" s="220">
        <f>IFERROR(CHOOSE(MATCH(B$2,{"1. T-12 Actuals","2. My Version","3. Projected","4. Offer"},0),B107,C107,D107,E107),0)</f>
        <v>0</v>
      </c>
      <c r="H107" t="s">
        <v>761</v>
      </c>
    </row>
    <row r="108" spans="1:8" ht="15" customHeight="1" outlineLevel="1" x14ac:dyDescent="0.2">
      <c r="A108" s="224" t="s">
        <v>766</v>
      </c>
    </row>
    <row r="109" spans="1:8" ht="15" customHeight="1" outlineLevel="1" x14ac:dyDescent="0.2">
      <c r="A109" s="128" t="s">
        <v>767</v>
      </c>
      <c r="B109" s="130">
        <f>IFERROR(IFERROR(IF(B88=0,0,IF(B92&gt;0,B88*B89/12,-PMT(B89/12,B90*12,B88))),0),0)</f>
        <v>0</v>
      </c>
      <c r="C109" s="130">
        <f>IFERROR(IFERROR(IF(C88=0,0,IF(C92&gt;0,C88*C89/12,-PMT(C89/12,C90*12,C88))),0),0)</f>
        <v>0</v>
      </c>
      <c r="D109" s="130">
        <f>IFERROR(IFERROR(IF(D88=0,0,IF(D92&gt;0,D88*D89/12,-PMT(D89/12,D90*12,D88))),0),0)</f>
        <v>0</v>
      </c>
      <c r="E109" s="130">
        <f>IFERROR(IFERROR(IF(E88=0,0,IF(E92&gt;0,E88*E89/12,-PMT(E89/12,E90*12,E88))),0),0)</f>
        <v>0</v>
      </c>
      <c r="F109" s="164">
        <f>IFERROR(CHOOSE(MATCH(B$2,{"1. T-12 Actuals","2. My Version","3. Projected","4. Offer"},0),B109,C109,D109,E109),0)</f>
        <v>0</v>
      </c>
      <c r="G109" s="164"/>
    </row>
    <row r="110" spans="1:8" ht="15" customHeight="1" outlineLevel="1" x14ac:dyDescent="0.2">
      <c r="A110" s="128" t="s">
        <v>768</v>
      </c>
      <c r="B110" s="130">
        <f>IFERROR(IFERROR(IF(B95=0,0,IF(B99&gt;0,B95*B96/12,-PMT(B96/12,B97*12,B95))),0),0)</f>
        <v>0</v>
      </c>
      <c r="C110" s="130">
        <f>IFERROR(IFERROR(IF(C95=0,0,IF(C99&gt;0,C95*C96/12,-PMT(C96/12,C97*12,C95))),0),0)</f>
        <v>0</v>
      </c>
      <c r="D110" s="130">
        <f>IFERROR(IFERROR(IF(D95=0,0,IF(D99&gt;0,D95*D96/12,-PMT(D96/12,D97*12,D95))),0),0)</f>
        <v>0</v>
      </c>
      <c r="E110" s="130">
        <f>IFERROR(IFERROR(IF(E95=0,0,IF(E99&gt;0,E95*E96/12,-PMT(E96/12,E97*12,E95))),0),0)</f>
        <v>0</v>
      </c>
      <c r="F110" s="164">
        <f>IFERROR(CHOOSE(MATCH(B$2,{"1. T-12 Actuals","2. My Version","3. Projected","4. Offer"},0),B110,C110,D110,E110),0)</f>
        <v>0</v>
      </c>
      <c r="G110" s="164"/>
    </row>
    <row r="111" spans="1:8" ht="15" customHeight="1" outlineLevel="1" x14ac:dyDescent="0.2">
      <c r="A111" s="128" t="s">
        <v>769</v>
      </c>
      <c r="B111" s="130">
        <f>IFERROR(IFERROR(IF(B102=0,0,IF(B106&gt;0,B102*B103/12,-PMT(B103/12,B104*12,B102))),0),0)</f>
        <v>0</v>
      </c>
      <c r="C111" s="130">
        <f>IFERROR(IFERROR(IF(C102=0,0,IF(C106&gt;0,C102*C103/12,-PMT(C103/12,C104*12,C102))),0),0)</f>
        <v>0</v>
      </c>
      <c r="D111" s="130">
        <f>IFERROR(IFERROR(IF(D102=0,0,IF(D106&gt;0,D102*D103/12,-PMT(D103/12,D104*12,D102))),0),0)</f>
        <v>0</v>
      </c>
      <c r="E111" s="130">
        <f>IFERROR(IFERROR(IF(E102=0,0,IF(E106&gt;0,E102*E103/12,-PMT(E103/12,E104*12,E102))),0),0)</f>
        <v>0</v>
      </c>
      <c r="F111" s="164">
        <f>IFERROR(CHOOSE(MATCH(B$2,{"1. T-12 Actuals","2. My Version","3. Projected","4. Offer"},0),B111,C111,D111,E111),0)</f>
        <v>0</v>
      </c>
      <c r="G111" s="164"/>
    </row>
    <row r="112" spans="1:8" ht="15" customHeight="1" outlineLevel="1" x14ac:dyDescent="0.2">
      <c r="A112" s="128" t="s">
        <v>770</v>
      </c>
      <c r="B112" s="225">
        <f>IFERROR(IFERROR(IF(B88=0,0,B109*12),0),0)</f>
        <v>0</v>
      </c>
      <c r="C112" s="225">
        <f>IFERROR(IFERROR(IF(C88=0,0,C109*12),0),0)</f>
        <v>0</v>
      </c>
      <c r="D112" s="225">
        <f>IFERROR(IFERROR(IF(D88=0,0,D109*12),0),0)</f>
        <v>0</v>
      </c>
      <c r="E112" s="225">
        <f>IFERROR(IFERROR(IF(E88=0,0,E109*12),0),0)</f>
        <v>0</v>
      </c>
      <c r="F112" s="164">
        <f>IFERROR(CHOOSE(MATCH(B$2,{"1. T-12 Actuals","2. My Version","3. Projected","4. Offer"},0),B112,C112,D112,E112),0)</f>
        <v>0</v>
      </c>
      <c r="G112" s="164"/>
    </row>
    <row r="113" spans="1:8" ht="15" customHeight="1" outlineLevel="1" x14ac:dyDescent="0.2">
      <c r="A113" s="128" t="s">
        <v>771</v>
      </c>
      <c r="B113" s="225">
        <f>IFERROR(IFERROR(IF(B95=0,0,B110*12),0),0)</f>
        <v>0</v>
      </c>
      <c r="C113" s="225">
        <f>IFERROR(IFERROR(IF(C95=0,0,C110*12),0),0)</f>
        <v>0</v>
      </c>
      <c r="D113" s="225">
        <f>IFERROR(IFERROR(IF(D95=0,0,D110*12),0),0)</f>
        <v>0</v>
      </c>
      <c r="E113" s="225">
        <f>IFERROR(IFERROR(IF(E95=0,0,E110*12),0),0)</f>
        <v>0</v>
      </c>
      <c r="F113" s="164">
        <f>IFERROR(CHOOSE(MATCH(B$2,{"1. T-12 Actuals","2. My Version","3. Projected","4. Offer"},0),B113,C113,D113,E113),0)</f>
        <v>0</v>
      </c>
      <c r="G113" s="164"/>
    </row>
    <row r="114" spans="1:8" ht="15" customHeight="1" outlineLevel="1" x14ac:dyDescent="0.2">
      <c r="A114" s="128" t="s">
        <v>772</v>
      </c>
      <c r="B114" s="225">
        <f>IFERROR(IFERROR(IF(B102=0,0,B111*12),0),0)</f>
        <v>0</v>
      </c>
      <c r="C114" s="225">
        <f>IFERROR(IFERROR(IF(C102=0,0,C111*12),0),0)</f>
        <v>0</v>
      </c>
      <c r="D114" s="225">
        <f>IFERROR(IFERROR(IF(D102=0,0,D111*12),0),0)</f>
        <v>0</v>
      </c>
      <c r="E114" s="225">
        <f>IFERROR(IFERROR(IF(E102=0,0,E111*12),0),0)</f>
        <v>0</v>
      </c>
      <c r="F114" s="164">
        <f>IFERROR(CHOOSE(MATCH(B$2,{"1. T-12 Actuals","2. My Version","3. Projected","4. Offer"},0),B114,C114,D114,E114),0)</f>
        <v>0</v>
      </c>
      <c r="G114" s="164"/>
    </row>
    <row r="115" spans="1:8" ht="15" customHeight="1" outlineLevel="1" x14ac:dyDescent="0.2">
      <c r="A115" s="226" t="s">
        <v>773</v>
      </c>
      <c r="B115" s="227">
        <f>IFERROR(B112+B113+B114,0)</f>
        <v>0</v>
      </c>
      <c r="C115" s="227">
        <f>IFERROR(C112+C113+C114,0)</f>
        <v>0</v>
      </c>
      <c r="D115" s="227">
        <f>IFERROR(D112+D113+D114,0)</f>
        <v>0</v>
      </c>
      <c r="E115" s="227">
        <f>IFERROR(E112+E113+E114,0)</f>
        <v>0</v>
      </c>
      <c r="F115" s="228">
        <f>IFERROR(CHOOSE(MATCH(B$2,{"1. T-12 Actuals","2. My Version","3. Projected","4. Offer"},0),B115,C115,D115,E115),0)</f>
        <v>0</v>
      </c>
      <c r="G115" s="229"/>
      <c r="H115" s="230" t="s">
        <v>774</v>
      </c>
    </row>
    <row r="116" spans="1:8" ht="15" customHeight="1" outlineLevel="1" x14ac:dyDescent="0.2">
      <c r="A116" s="163" t="s">
        <v>775</v>
      </c>
      <c r="B116" s="155">
        <f>IFERROR(IFERROR(IF(B88=0,0,IF(B92&gt;0,B88,B88-CUMPRINC(B89/12,B90*12,B88,1,B82*12,0))),0)+IFERROR(IF(B95=0,0,IF(B99&gt;0,B95,B95-CUMPRINC(B96/12,B97*12,B95,1,B82*12,0))),0)+IFERROR(IF(B102=0,0,IF(B106&gt;0,B102,B102-CUMPRINC(B103/12,B104*12,B102,1,B82*12,0))),0),0)</f>
        <v>0</v>
      </c>
      <c r="C116" s="155">
        <f>IFERROR(IFERROR(IF(C88=0,0,IF(C92&gt;0,C88,C88-CUMPRINC(C89/12,C90*12,C88,1,C82*12,0))),0)+IFERROR(IF(C95=0,0,IF(C99&gt;0,C95,C95-CUMPRINC(C96/12,C97*12,C95,1,C82*12,0))),0)+IFERROR(IF(C102=0,0,IF(C106&gt;0,C102,C102-CUMPRINC(C103/12,C104*12,C102,1,C82*12,0))),0),0)</f>
        <v>0</v>
      </c>
      <c r="D116" s="155">
        <f>IFERROR(IFERROR(IF(D88=0,0,IF(D92&gt;0,D88,D88-CUMPRINC(D89/12,D90*12,D88,1,D82*12,0))),0)+IFERROR(IF(D95=0,0,IF(D99&gt;0,D95,D95-CUMPRINC(D96/12,D97*12,D95,1,D82*12,0))),0)+IFERROR(IF(D102=0,0,IF(D106&gt;0,D102,D102-CUMPRINC(D103/12,D104*12,D102,1,D82*12,0))),0),0)</f>
        <v>0</v>
      </c>
      <c r="E116" s="155">
        <f>IFERROR(IFERROR(IF(E88=0,0,IF(E92&gt;0,E88,E88-CUMPRINC(E89/12,E90*12,E88,1,E82*12,0))),0)+IFERROR(IF(E95=0,0,IF(E99&gt;0,E95,E95-CUMPRINC(E96/12,E97*12,E95,1,E82*12,0))),0)+IFERROR(IF(E102=0,0,IF(E106&gt;0,E102,E102-CUMPRINC(E103/12,E104*12,E102,1,E82*12,0))),0),0)</f>
        <v>0</v>
      </c>
      <c r="F116" s="231">
        <f>IFERROR(CHOOSE(MATCH(B$2,{"1. T-12 Actuals","2. My Version","3. Projected","4. Offer"},0),B116,C116,D116,E116),0)</f>
        <v>0</v>
      </c>
      <c r="G116" s="231"/>
      <c r="H116" s="58" t="s">
        <v>776</v>
      </c>
    </row>
    <row r="117" spans="1:8" ht="15" customHeight="1" outlineLevel="1" x14ac:dyDescent="0.2">
      <c r="A117" s="232" t="s">
        <v>777</v>
      </c>
      <c r="B117" s="167">
        <f>IFERROR(B88+B95+B102,0)</f>
        <v>0</v>
      </c>
      <c r="C117" s="167">
        <f>IFERROR(C88+C95+C102,0)</f>
        <v>0</v>
      </c>
      <c r="D117" s="167">
        <f>IFERROR(D88+D95+D102,0)</f>
        <v>0</v>
      </c>
      <c r="E117" s="167">
        <f>IFERROR(E88+E95+E102,0)</f>
        <v>0</v>
      </c>
      <c r="F117" s="164">
        <f>IFERROR(CHOOSE(MATCH(B$2,{"1. T-12 Actuals","2. My Version","3. Projected","4. Offer"},0),B117,C117,D117,E117),0)</f>
        <v>0</v>
      </c>
      <c r="G117" s="164"/>
      <c r="H117" s="3" t="s">
        <v>654</v>
      </c>
    </row>
    <row r="118" spans="1:8" ht="15" customHeight="1" outlineLevel="1" x14ac:dyDescent="0.2">
      <c r="A118" s="128" t="s">
        <v>778</v>
      </c>
      <c r="B118" s="233">
        <f>IFERROR(IFERROR(B117/IF(B81&gt;0,B81,B80),0),0)</f>
        <v>0</v>
      </c>
      <c r="C118" s="233">
        <f>IFERROR(IFERROR(C117/IF(C81&gt;0,C81,C80),0),0)</f>
        <v>0</v>
      </c>
      <c r="D118" s="233">
        <f>IFERROR(IFERROR(D117/IF(D81&gt;0,D81,D80),0),0)</f>
        <v>0</v>
      </c>
      <c r="E118" s="233">
        <f>IFERROR(IFERROR(E117/IF(E81&gt;0,E81,E80),0),0)</f>
        <v>0</v>
      </c>
      <c r="F118" s="234">
        <f>IFERROR(CHOOSE(MATCH(B$2,{"1. T-12 Actuals","2. My Version","3. Projected","4. Offer"},0),B118,C118,D118,E118),0)</f>
        <v>0</v>
      </c>
      <c r="G118" s="160"/>
      <c r="H118" s="235" t="s">
        <v>779</v>
      </c>
    </row>
    <row r="119" spans="1:8" ht="20.25" customHeight="1" outlineLevel="1" x14ac:dyDescent="0.2">
      <c r="A119" s="184" t="s">
        <v>780</v>
      </c>
      <c r="B119" s="150">
        <f>IFERROR(IFERROR(B117/B17,0),0)</f>
        <v>0</v>
      </c>
      <c r="C119" s="150">
        <f>IFERROR(IFERROR(C117/C17,0),0)</f>
        <v>0</v>
      </c>
      <c r="D119" s="150">
        <f>IFERROR(IFERROR(D117/D17,0),0)</f>
        <v>0</v>
      </c>
      <c r="E119" s="150">
        <f>IFERROR(IFERROR(E117/E17,0),0)</f>
        <v>0</v>
      </c>
      <c r="F119" s="234">
        <f>IFERROR(CHOOSE(MATCH(B$2,{"1. T-12 Actuals","2. My Version","3. Projected","4. Offer"},0),B119,C119,D119,E119),0)</f>
        <v>0</v>
      </c>
      <c r="G119" s="160"/>
      <c r="H119" s="236" t="s">
        <v>781</v>
      </c>
    </row>
    <row r="120" spans="1:8" ht="20.25" customHeight="1" outlineLevel="1" x14ac:dyDescent="0.2">
      <c r="A120" s="237" t="s">
        <v>782</v>
      </c>
      <c r="B120" s="238" t="s">
        <v>783</v>
      </c>
      <c r="C120" s="233" t="str">
        <f>B120</f>
        <v>NO</v>
      </c>
      <c r="D120" s="233" t="str">
        <f>C120</f>
        <v>NO</v>
      </c>
      <c r="E120" s="233" t="str">
        <f>D120</f>
        <v>NO</v>
      </c>
      <c r="F120" s="150" t="str">
        <f>IFERROR(CHOOSE(MATCH(B$2,{"1. T-12 Actuals","2. My Version","3. Projected","4. Offer"},0),B120,C120,D120,E120),0)</f>
        <v>NO</v>
      </c>
      <c r="G120" s="160"/>
      <c r="H120" s="239" t="s">
        <v>784</v>
      </c>
    </row>
    <row r="121" spans="1:8" ht="20.25" customHeight="1" outlineLevel="1" x14ac:dyDescent="0.2">
      <c r="A121" s="239" t="s">
        <v>785</v>
      </c>
      <c r="B121" s="150"/>
      <c r="C121" s="150"/>
      <c r="D121" s="150"/>
      <c r="E121" s="150"/>
      <c r="F121" s="234"/>
      <c r="G121" s="160"/>
      <c r="H121" s="236"/>
    </row>
    <row r="122" spans="1:8" ht="20.25" customHeight="1" outlineLevel="1" x14ac:dyDescent="0.2">
      <c r="A122" s="240" t="s">
        <v>786</v>
      </c>
      <c r="B122" s="241">
        <f t="shared" ref="B122:E124" si="5">IFERROR(B12,0)</f>
        <v>0</v>
      </c>
      <c r="C122" s="241">
        <f t="shared" si="5"/>
        <v>0</v>
      </c>
      <c r="D122" s="241">
        <f t="shared" si="5"/>
        <v>0</v>
      </c>
      <c r="E122" s="241">
        <f t="shared" si="5"/>
        <v>0</v>
      </c>
      <c r="F122" s="242">
        <f>IFERROR(CHOOSE(MATCH(B$2,{"1. T-12 Actuals","2. My Version","3. Projected","4. Offer"},0),B122,C122,D122,E122),0)</f>
        <v>0</v>
      </c>
      <c r="G122" s="160"/>
      <c r="H122" s="236"/>
    </row>
    <row r="123" spans="1:8" ht="20.25" customHeight="1" outlineLevel="1" x14ac:dyDescent="0.2">
      <c r="A123" s="240" t="s">
        <v>787</v>
      </c>
      <c r="B123" s="241">
        <f t="shared" si="5"/>
        <v>0</v>
      </c>
      <c r="C123" s="241">
        <f t="shared" si="5"/>
        <v>0</v>
      </c>
      <c r="D123" s="241">
        <f t="shared" si="5"/>
        <v>0</v>
      </c>
      <c r="E123" s="241">
        <f t="shared" si="5"/>
        <v>0</v>
      </c>
      <c r="F123" s="242">
        <f>IFERROR(CHOOSE(MATCH(B$2,{"1. T-12 Actuals","2. My Version","3. Projected","4. Offer"},0),B123,C123,D123,E123),0)</f>
        <v>0</v>
      </c>
      <c r="G123" s="160"/>
      <c r="H123" s="236"/>
    </row>
    <row r="124" spans="1:8" ht="20.25" customHeight="1" outlineLevel="1" x14ac:dyDescent="0.2">
      <c r="A124" s="240" t="s">
        <v>788</v>
      </c>
      <c r="B124" s="241">
        <f t="shared" si="5"/>
        <v>0</v>
      </c>
      <c r="C124" s="241">
        <f t="shared" si="5"/>
        <v>0</v>
      </c>
      <c r="D124" s="241">
        <f t="shared" si="5"/>
        <v>0</v>
      </c>
      <c r="E124" s="241">
        <f t="shared" si="5"/>
        <v>0</v>
      </c>
      <c r="F124" s="242">
        <f>IFERROR(CHOOSE(MATCH(B$2,{"1. T-12 Actuals","2. My Version","3. Projected","4. Offer"},0),B124,C124,D124,E124),0)</f>
        <v>0</v>
      </c>
      <c r="G124" s="160"/>
      <c r="H124" s="236"/>
    </row>
    <row r="125" spans="1:8" ht="20.25" customHeight="1" outlineLevel="1" x14ac:dyDescent="0.2">
      <c r="A125" s="240" t="s">
        <v>789</v>
      </c>
      <c r="B125" s="241">
        <f>IFERROR(B16,0)</f>
        <v>0</v>
      </c>
      <c r="C125" s="241">
        <f>IFERROR(C16,0)</f>
        <v>0</v>
      </c>
      <c r="D125" s="241">
        <f>IFERROR(D16,0)</f>
        <v>0</v>
      </c>
      <c r="E125" s="241">
        <f>IFERROR(E16,0)</f>
        <v>0</v>
      </c>
      <c r="F125" s="242">
        <f>IFERROR(CHOOSE(MATCH(B$2,{"1. T-12 Actuals","2. My Version","3. Projected","4. Offer"},0),B125,C125,D125,E125),0)</f>
        <v>0</v>
      </c>
      <c r="G125" s="160"/>
      <c r="H125" s="236"/>
    </row>
    <row r="126" spans="1:8" ht="20.25" customHeight="1" outlineLevel="1" x14ac:dyDescent="0.2">
      <c r="A126" s="243" t="s">
        <v>790</v>
      </c>
      <c r="B126" s="244">
        <f>IFERROR(IFERROR(B12,0)+IFERROR(B13,0)+IFERROR(B14,0)+IFERROR(B16,0),0)</f>
        <v>0</v>
      </c>
      <c r="C126" s="244">
        <f>IFERROR(IFERROR(C12,0)+IFERROR(C13,0)+IFERROR(C14,0)+IFERROR(C16,0),0)</f>
        <v>0</v>
      </c>
      <c r="D126" s="244">
        <f>IFERROR(IFERROR(D12,0)+IFERROR(D13,0)+IFERROR(D14,0)+IFERROR(D16,0),0)</f>
        <v>0</v>
      </c>
      <c r="E126" s="244">
        <f>IFERROR(IFERROR(E12,0)+IFERROR(E13,0)+IFERROR(E14,0)+IFERROR(E16,0),0)</f>
        <v>0</v>
      </c>
      <c r="F126" s="245">
        <f>IFERROR(CHOOSE(MATCH(B$2,{"1. T-12 Actuals","2. My Version","3. Projected","4. Offer"},0),B126,C126,D126,E126),0)</f>
        <v>0</v>
      </c>
      <c r="G126" s="160"/>
      <c r="H126" s="236"/>
    </row>
    <row r="127" spans="1:8" ht="20.25" customHeight="1" outlineLevel="1" x14ac:dyDescent="0.2">
      <c r="A127" s="184"/>
      <c r="B127" s="150"/>
      <c r="C127" s="150"/>
      <c r="D127" s="150"/>
      <c r="E127" s="150"/>
      <c r="F127" s="234"/>
      <c r="G127" s="160"/>
      <c r="H127" s="236"/>
    </row>
    <row r="128" spans="1:8" ht="15" customHeight="1" outlineLevel="1" x14ac:dyDescent="0.2"/>
    <row r="129" spans="1:8" ht="15" customHeight="1" outlineLevel="1" x14ac:dyDescent="0.2">
      <c r="A129" s="956"/>
      <c r="B129" s="956"/>
      <c r="C129" s="956"/>
      <c r="D129" s="956"/>
      <c r="E129" s="956"/>
      <c r="F129" s="956"/>
      <c r="G129" s="956"/>
      <c r="H129" s="956"/>
    </row>
    <row r="130" spans="1:8" ht="15" customHeight="1" x14ac:dyDescent="0.2">
      <c r="A130" s="933" t="s">
        <v>791</v>
      </c>
      <c r="B130" s="933"/>
      <c r="C130" s="933"/>
      <c r="D130" s="933"/>
      <c r="E130" s="933"/>
      <c r="F130" s="933"/>
      <c r="G130" s="933"/>
      <c r="H130" s="933"/>
    </row>
    <row r="131" spans="1:8" ht="15" customHeight="1" outlineLevel="1" x14ac:dyDescent="0.2">
      <c r="A131" s="246" t="s">
        <v>792</v>
      </c>
      <c r="C131" s="247" t="s">
        <v>793</v>
      </c>
      <c r="H131" s="248" t="s">
        <v>794</v>
      </c>
    </row>
    <row r="132" spans="1:8" ht="25.5" customHeight="1" outlineLevel="1" x14ac:dyDescent="0.2"/>
    <row r="133" spans="1:8" ht="15" customHeight="1" outlineLevel="1" x14ac:dyDescent="0.2">
      <c r="A133" s="249" t="s">
        <v>795</v>
      </c>
      <c r="B133" s="104" t="s">
        <v>796</v>
      </c>
      <c r="C133" s="104" t="s">
        <v>797</v>
      </c>
      <c r="D133" s="104" t="s">
        <v>798</v>
      </c>
      <c r="E133" s="104" t="s">
        <v>799</v>
      </c>
      <c r="F133" s="116" t="s">
        <v>800</v>
      </c>
      <c r="G133" s="116" t="s">
        <v>801</v>
      </c>
      <c r="H133" s="104" t="s">
        <v>802</v>
      </c>
    </row>
    <row r="134" spans="1:8" ht="15" customHeight="1" outlineLevel="1" x14ac:dyDescent="0.2">
      <c r="A134" s="2" t="s">
        <v>126</v>
      </c>
      <c r="B134" s="250">
        <v>0.05</v>
      </c>
      <c r="C134" s="250">
        <v>0.08</v>
      </c>
      <c r="D134" s="250">
        <v>0.12</v>
      </c>
      <c r="E134" s="250">
        <v>0.15</v>
      </c>
      <c r="F134" s="251">
        <f>IFERROR(CHOOSE(MATCH($C$130,{"Stabilized","Light Value-Add","Heavy Value-Add","Distressed Turnaround"},0),B133,C133,D133,E133),0)</f>
        <v>0</v>
      </c>
      <c r="G134" s="252" t="str">
        <f>IFERROR(IF((Scenarios!F41)=0,"",(Scenarios!F41)),"")</f>
        <v/>
      </c>
      <c r="H134" s="252" t="str">
        <f>IFERROR(IF((IFERROR(G134-F134,0))=0,"",(IFERROR(G134-F134,0))),"")</f>
        <v/>
      </c>
    </row>
    <row r="135" spans="1:8" ht="15" customHeight="1" outlineLevel="1" x14ac:dyDescent="0.2">
      <c r="A135" s="2" t="s">
        <v>127</v>
      </c>
      <c r="B135" s="250">
        <v>0.02</v>
      </c>
      <c r="C135" s="250">
        <v>0.03</v>
      </c>
      <c r="D135" s="250">
        <v>0.05</v>
      </c>
      <c r="E135" s="250">
        <v>0.06</v>
      </c>
      <c r="F135" s="251">
        <f>IFERROR(CHOOSE(MATCH($C$130,{"Stabilized","Light Value-Add","Heavy Value-Add","Distressed Turnaround"},0),B134,C134,D134,E134),0)</f>
        <v>0</v>
      </c>
      <c r="G135" s="252" t="str">
        <f>IFERROR(IF((Scenarios!F45)=0,"",(Scenarios!F45)),"")</f>
        <v/>
      </c>
      <c r="H135" s="252" t="str">
        <f>IFERROR(IF((IFERROR(G135-F135,0))=0,"",(IFERROR(G135-F135,0))),"")</f>
        <v/>
      </c>
    </row>
    <row r="136" spans="1:8" ht="15" customHeight="1" outlineLevel="1" x14ac:dyDescent="0.2">
      <c r="A136" s="2" t="s">
        <v>128</v>
      </c>
      <c r="B136" s="250">
        <v>0.03</v>
      </c>
      <c r="C136" s="250">
        <v>0.02</v>
      </c>
      <c r="D136" s="250">
        <v>0.01</v>
      </c>
      <c r="E136" s="250">
        <v>0</v>
      </c>
      <c r="F136" s="251">
        <f>IFERROR(CHOOSE(MATCH($C$130,{"Stabilized","Light Value-Add","Heavy Value-Add","Distressed Turnaround"},0),B135,C135,D135,E135),0)</f>
        <v>0</v>
      </c>
      <c r="G136" s="252" t="str">
        <f>IFERROR(IF((Scenarios!F43)=0,"",(Scenarios!F43)),"")</f>
        <v/>
      </c>
      <c r="H136" s="252" t="str">
        <f>IFERROR(IF((IFERROR(G136-F136,0))=0,"",(IFERROR(G136-F136,0))),"")</f>
        <v/>
      </c>
    </row>
    <row r="137" spans="1:8" ht="15" customHeight="1" outlineLevel="1" x14ac:dyDescent="0.2">
      <c r="A137" s="2" t="s">
        <v>129</v>
      </c>
      <c r="B137" s="250">
        <v>0.03</v>
      </c>
      <c r="C137" s="250">
        <v>0.04</v>
      </c>
      <c r="D137" s="250">
        <v>0.06</v>
      </c>
      <c r="E137" s="250">
        <v>0.08</v>
      </c>
      <c r="F137" s="251">
        <f>IFERROR(CHOOSE(MATCH($C$130,{"Stabilized","Light Value-Add","Heavy Value-Add","Distressed Turnaround"},0),B137,C137,D137,E137),0)</f>
        <v>0</v>
      </c>
      <c r="G137" s="253" t="str">
        <f>IFERROR(IF((IFERROR(F62/F50,0))=0,"",(IFERROR(F62/F50,0))),"")</f>
        <v/>
      </c>
    </row>
    <row r="138" spans="1:8" ht="15" customHeight="1" outlineLevel="1" x14ac:dyDescent="0.2">
      <c r="A138" s="2" t="s">
        <v>130</v>
      </c>
      <c r="B138" s="254">
        <v>600</v>
      </c>
      <c r="C138" s="254">
        <v>650</v>
      </c>
      <c r="D138" s="254">
        <v>700</v>
      </c>
      <c r="E138" s="254">
        <v>750</v>
      </c>
      <c r="F138" s="255">
        <f>IFERROR(CHOOSE(MATCH($C$130,{"Stabilized","Light Value-Add","Heavy Value-Add","Distressed Turnaround"},0),B138,C138,D138,E138),0)</f>
        <v>0</v>
      </c>
      <c r="G138" s="110" t="str">
        <f>IFERROR(IF((Scenarios!F58/'Prop Info'!$B$6)=0,"",(Scenarios!F58/'Prop Info'!$B$6)),"")</f>
        <v/>
      </c>
      <c r="H138" s="256" t="str">
        <f>IFERROR(IF((IFERROR(G138-F138,0))=0,"",(IFERROR(G138-F138,0))),"")</f>
        <v/>
      </c>
    </row>
    <row r="139" spans="1:8" ht="15" customHeight="1" outlineLevel="1" x14ac:dyDescent="0.2">
      <c r="A139" s="2" t="s">
        <v>131</v>
      </c>
      <c r="B139" s="254">
        <v>250</v>
      </c>
      <c r="C139" s="254">
        <v>350</v>
      </c>
      <c r="D139" s="254">
        <v>450</v>
      </c>
      <c r="E139" s="254">
        <v>500</v>
      </c>
      <c r="F139" s="255">
        <f>IFERROR(CHOOSE(MATCH($C$130,{"Stabilized","Light Value-Add","Heavy Value-Add","Distressed Turnaround"},0),B139,C139,D139,E139),0)</f>
        <v>0</v>
      </c>
      <c r="G139" s="110" t="str">
        <f>IFERROR(IF((Scenarios!F69/'Prop Info'!$B$6)=0,"",(Scenarios!F69/'Prop Info'!$B$6)),"")</f>
        <v/>
      </c>
      <c r="H139" s="256" t="str">
        <f>IFERROR(IF((IFERROR(G139-F139,0))=0,"",(IFERROR(G139-F139,0))),"")</f>
        <v/>
      </c>
    </row>
    <row r="140" spans="1:8" ht="36" customHeight="1" outlineLevel="1" x14ac:dyDescent="0.2">
      <c r="A140" s="2" t="s">
        <v>132</v>
      </c>
      <c r="B140" s="254">
        <v>550</v>
      </c>
      <c r="C140" s="254">
        <v>700</v>
      </c>
      <c r="D140" s="254">
        <v>900</v>
      </c>
      <c r="E140" s="254">
        <v>1000</v>
      </c>
      <c r="F140" s="255">
        <f>IFERROR(CHOOSE(MATCH($C$130,{"Stabilized","Light Value-Add","Heavy Value-Add","Distressed Turnaround"},0),B140,C140,D140,E140),0)</f>
        <v>0</v>
      </c>
      <c r="G140" s="110" t="str">
        <f>IFERROR(IF((Scenarios!F64/'Prop Info'!$B$6)=0,"",(Scenarios!F64/'Prop Info'!$B$6)),"")</f>
        <v/>
      </c>
      <c r="H140" s="256" t="str">
        <f>IFERROR(IF((IFERROR(G140-F140,0))=0,"",(IFERROR(G140-F140,0))),"")</f>
        <v/>
      </c>
    </row>
    <row r="141" spans="1:8" ht="15" customHeight="1" outlineLevel="1" x14ac:dyDescent="0.2">
      <c r="A141" s="257" t="s">
        <v>803</v>
      </c>
    </row>
    <row r="142" spans="1:8" ht="15" customHeight="1" outlineLevel="1" x14ac:dyDescent="0.2">
      <c r="A142" s="958"/>
      <c r="B142" s="958"/>
      <c r="C142" s="958"/>
      <c r="D142" s="958"/>
      <c r="E142" s="958"/>
      <c r="F142" s="958"/>
      <c r="G142" s="958"/>
      <c r="H142" s="958"/>
    </row>
    <row r="143" spans="1:8" ht="15" customHeight="1" x14ac:dyDescent="0.2">
      <c r="A143" s="933" t="s">
        <v>804</v>
      </c>
      <c r="B143" s="933"/>
      <c r="C143" s="933"/>
      <c r="D143" s="933"/>
      <c r="E143" s="933"/>
      <c r="F143" s="933"/>
      <c r="G143" s="933"/>
      <c r="H143" s="933"/>
    </row>
    <row r="144" spans="1:8" ht="15" customHeight="1" outlineLevel="1" x14ac:dyDescent="0.2">
      <c r="A144" s="2" t="s">
        <v>805</v>
      </c>
      <c r="F144" s="258">
        <f>IFERROR('P&amp;L'!C40/F$117,0)</f>
        <v>0</v>
      </c>
      <c r="G144" s="931" t="s">
        <v>806</v>
      </c>
      <c r="H144" s="931"/>
    </row>
    <row r="145" spans="1:8" ht="15" customHeight="1" outlineLevel="1" x14ac:dyDescent="0.2">
      <c r="A145" s="2" t="s">
        <v>807</v>
      </c>
      <c r="F145" s="258">
        <f>IFERROR('P&amp;L'!D40/F$117,0)</f>
        <v>0</v>
      </c>
      <c r="G145" s="931" t="s">
        <v>808</v>
      </c>
      <c r="H145" s="931"/>
    </row>
    <row r="146" spans="1:8" ht="15" customHeight="1" outlineLevel="1" x14ac:dyDescent="0.2">
      <c r="A146" s="2" t="s">
        <v>809</v>
      </c>
      <c r="F146" s="258">
        <f>IFERROR('P&amp;L'!F40/F$117,0)</f>
        <v>0</v>
      </c>
      <c r="G146" s="931" t="s">
        <v>810</v>
      </c>
      <c r="H146" s="931"/>
    </row>
    <row r="147" spans="1:8" ht="15" customHeight="1" outlineLevel="1" x14ac:dyDescent="0.2">
      <c r="A147" s="2" t="s">
        <v>811</v>
      </c>
      <c r="F147" s="259">
        <f>IFERROR('P&amp;L'!C40/F$17,0)</f>
        <v>0</v>
      </c>
      <c r="G147" s="931" t="s">
        <v>812</v>
      </c>
      <c r="H147" s="931"/>
    </row>
    <row r="148" spans="1:8" ht="15" customHeight="1" outlineLevel="1" x14ac:dyDescent="0.2">
      <c r="A148" s="2" t="s">
        <v>813</v>
      </c>
      <c r="F148" s="259">
        <f>IFERROR('P&amp;L'!F40/(F$17+Capex!$D$51),0)</f>
        <v>0</v>
      </c>
      <c r="G148" s="931" t="s">
        <v>814</v>
      </c>
      <c r="H148" s="931"/>
    </row>
    <row r="149" spans="1:8" ht="15" customHeight="1" outlineLevel="1" x14ac:dyDescent="0.2">
      <c r="A149" s="2" t="s">
        <v>815</v>
      </c>
      <c r="F149" s="260" t="str">
        <f>IFERROR(IF(((F147-F$79)*10000)=0,"",((F147-F$79)*10000)),"")</f>
        <v/>
      </c>
      <c r="G149" s="931" t="s">
        <v>816</v>
      </c>
      <c r="H149" s="931"/>
    </row>
    <row r="150" spans="1:8" ht="15" customHeight="1" outlineLevel="1" x14ac:dyDescent="0.2">
      <c r="A150" s="2" t="s">
        <v>817</v>
      </c>
      <c r="F150" s="261" t="str">
        <f>IFERROR(IF(((F148-Waterfall!B6)*10000)=0,"",((F148-Waterfall!B6)*10000)),"")</f>
        <v/>
      </c>
      <c r="G150" s="931" t="s">
        <v>818</v>
      </c>
      <c r="H150" s="931"/>
    </row>
    <row r="151" spans="1:8" ht="15" customHeight="1" outlineLevel="1" x14ac:dyDescent="0.2">
      <c r="A151" s="2" t="s">
        <v>819</v>
      </c>
      <c r="F151" s="262">
        <f>IFERROR(F$17+Capex!$D$51,0)</f>
        <v>0</v>
      </c>
      <c r="G151" s="931" t="s">
        <v>820</v>
      </c>
      <c r="H151" s="931"/>
    </row>
    <row r="152" spans="1:8" ht="15" customHeight="1" outlineLevel="1" x14ac:dyDescent="0.2">
      <c r="A152" s="2" t="s">
        <v>821</v>
      </c>
      <c r="F152" s="262">
        <f>IFERROR((F$17+Capex!$D$51)/'Prop Info'!$B$6,0)</f>
        <v>0</v>
      </c>
      <c r="G152" s="931" t="s">
        <v>822</v>
      </c>
      <c r="H152" s="931"/>
    </row>
    <row r="153" spans="1:8" ht="15" customHeight="1" outlineLevel="1" x14ac:dyDescent="0.2">
      <c r="A153" s="2" t="s">
        <v>823</v>
      </c>
      <c r="F153" s="262">
        <f>IFERROR('P&amp;L'!F40/Waterfall!B6,0)</f>
        <v>0</v>
      </c>
      <c r="G153" s="931" t="s">
        <v>824</v>
      </c>
      <c r="H153" s="931"/>
    </row>
    <row r="154" spans="1:8" ht="15" customHeight="1" outlineLevel="1" x14ac:dyDescent="0.2">
      <c r="A154" s="2" t="s">
        <v>825</v>
      </c>
      <c r="F154" s="263">
        <f>IFERROR(F153-F151,0)</f>
        <v>0</v>
      </c>
      <c r="G154" s="931" t="s">
        <v>826</v>
      </c>
      <c r="H154" s="931"/>
    </row>
    <row r="155" spans="1:8" ht="15" customHeight="1" outlineLevel="1" x14ac:dyDescent="0.2">
      <c r="A155" s="2" t="s">
        <v>827</v>
      </c>
      <c r="F155" s="264">
        <f>IFERROR(F153/F151-1,0)</f>
        <v>0</v>
      </c>
      <c r="G155" s="1" t="s">
        <v>828</v>
      </c>
    </row>
    <row r="156" spans="1:8" ht="15" customHeight="1" outlineLevel="1" x14ac:dyDescent="0.2"/>
    <row r="157" spans="1:8" ht="15" customHeight="1" outlineLevel="1" x14ac:dyDescent="0.2"/>
    <row r="158" spans="1:8" ht="42.75" customHeight="1" x14ac:dyDescent="0.2">
      <c r="A158" s="933" t="s">
        <v>829</v>
      </c>
      <c r="B158" s="933"/>
      <c r="C158" s="933"/>
      <c r="D158" s="933"/>
      <c r="E158" s="933"/>
      <c r="F158" s="933"/>
      <c r="G158" s="933"/>
      <c r="H158" s="933"/>
    </row>
    <row r="159" spans="1:8" ht="20.25" customHeight="1" outlineLevel="1" x14ac:dyDescent="0.2">
      <c r="A159" s="208" t="s">
        <v>133</v>
      </c>
      <c r="C159" s="265">
        <v>3</v>
      </c>
      <c r="H159" s="212" t="s">
        <v>830</v>
      </c>
    </row>
    <row r="160" spans="1:8" ht="20.25" customHeight="1" outlineLevel="1" x14ac:dyDescent="0.2">
      <c r="A160" s="208" t="s">
        <v>134</v>
      </c>
      <c r="C160" s="209">
        <v>0</v>
      </c>
      <c r="H160" s="212" t="s">
        <v>831</v>
      </c>
    </row>
    <row r="161" spans="1:8" ht="30" customHeight="1" outlineLevel="1" x14ac:dyDescent="0.2">
      <c r="A161" s="208" t="s">
        <v>832</v>
      </c>
      <c r="C161" s="266" t="s">
        <v>833</v>
      </c>
      <c r="H161" s="212" t="s">
        <v>834</v>
      </c>
    </row>
  </sheetData>
  <mergeCells count="26">
    <mergeCell ref="A158:H158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A129:H129"/>
    <mergeCell ref="A130:H130"/>
    <mergeCell ref="A142:H142"/>
    <mergeCell ref="A143:H143"/>
    <mergeCell ref="G144:H144"/>
    <mergeCell ref="A52:H52"/>
    <mergeCell ref="A74:H74"/>
    <mergeCell ref="A84:H84"/>
    <mergeCell ref="A85:H85"/>
    <mergeCell ref="A86:H86"/>
    <mergeCell ref="A1:H1"/>
    <mergeCell ref="A3:H3"/>
    <mergeCell ref="A19:H19"/>
    <mergeCell ref="A27:H27"/>
    <mergeCell ref="A38:H38"/>
  </mergeCells>
  <dataValidations count="4">
    <dataValidation type="list" sqref="B2" xr:uid="{00000000-0002-0000-0500-000000000000}">
      <formula1>"1. T-12 Actuals,2. My Version,3. Projected,4. Offer"</formula1>
      <formula2>0</formula2>
    </dataValidation>
    <dataValidation type="list" sqref="C161" xr:uid="{00000000-0002-0000-0500-000001000000}">
      <formula1>"Distribution,Return of Capital"</formula1>
      <formula2>0</formula2>
    </dataValidation>
    <dataValidation type="list" allowBlank="1" showInputMessage="1" showErrorMessage="1" errorTitle="Invalid profile" error="Pick one of the four deal profiles." sqref="C131" xr:uid="{00000000-0002-0000-0500-000002000000}">
      <formula1>"Stabilized,Light Value-Add,Heavy Value-Add,Distressed Turnaround"</formula1>
      <formula2>0</formula2>
    </dataValidation>
    <dataValidation type="list" allowBlank="1" showInputMessage="1" showErrorMessage="1" errorTitle="Invalid Input" error="Please select YES or NO." promptTitle="LTV / LTC Toggle" prompt="YES = size senior loan off Total Acquisition Cost (LTC). NO = size off Purchase Price (LTV, default)." sqref="B120" xr:uid="{00000000-0002-0000-0500-000003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zoomScale="125" zoomScaleNormal="125" workbookViewId="0">
      <selection activeCell="H18" sqref="H18"/>
    </sheetView>
  </sheetViews>
  <sheetFormatPr baseColWidth="10" defaultColWidth="8.83203125" defaultRowHeight="15" x14ac:dyDescent="0.2"/>
  <cols>
    <col min="1" max="1" width="27.33203125" customWidth="1"/>
    <col min="2" max="2" width="10.33203125" customWidth="1"/>
    <col min="3" max="3" width="33.5" customWidth="1"/>
    <col min="4" max="4" width="16" customWidth="1"/>
  </cols>
  <sheetData>
    <row r="1" spans="1:4" ht="24" customHeight="1" x14ac:dyDescent="0.2">
      <c r="A1" s="938" t="str">
        <f>IF('Prop Info'!B4="","ACQUISITION COSTS — USE OF CAPITAL","ACQUISITION COSTS — USE OF CAPITAL"&amp;" — "&amp;'Prop Info'!B4)</f>
        <v>ACQUISITION COSTS — USE OF CAPITAL</v>
      </c>
      <c r="B1" s="938"/>
      <c r="C1" s="938"/>
      <c r="D1" s="938"/>
    </row>
    <row r="3" spans="1:4" ht="24" customHeight="1" x14ac:dyDescent="0.2">
      <c r="A3" s="934" t="s">
        <v>835</v>
      </c>
      <c r="B3" s="934"/>
      <c r="C3" s="934"/>
      <c r="D3" s="934"/>
    </row>
    <row r="4" spans="1:4" ht="18" customHeight="1" x14ac:dyDescent="0.2">
      <c r="A4" s="9" t="s">
        <v>15</v>
      </c>
      <c r="D4" s="23">
        <f>Scenarios!F7</f>
        <v>0</v>
      </c>
    </row>
    <row r="5" spans="1:4" ht="18" customHeight="1" x14ac:dyDescent="0.2">
      <c r="A5" s="11" t="s">
        <v>836</v>
      </c>
      <c r="D5" s="25">
        <f>-Scenarios!F116</f>
        <v>0</v>
      </c>
    </row>
    <row r="6" spans="1:4" ht="18" customHeight="1" x14ac:dyDescent="0.2">
      <c r="A6" s="9" t="s">
        <v>837</v>
      </c>
      <c r="D6" s="267">
        <f>D4+D5</f>
        <v>0</v>
      </c>
    </row>
    <row r="7" spans="1:4" ht="18" customHeight="1" x14ac:dyDescent="0.2">
      <c r="A7" s="11" t="s">
        <v>838</v>
      </c>
      <c r="D7" s="268">
        <f>D35</f>
        <v>0</v>
      </c>
    </row>
    <row r="8" spans="1:4" ht="18" customHeight="1" x14ac:dyDescent="0.2">
      <c r="A8" s="9" t="s">
        <v>839</v>
      </c>
      <c r="B8" s="269">
        <f>Scenarios!F15</f>
        <v>0.02</v>
      </c>
      <c r="D8" s="23">
        <f>Scenarios!F16</f>
        <v>0</v>
      </c>
    </row>
    <row r="9" spans="1:4" ht="18" customHeight="1" x14ac:dyDescent="0.2">
      <c r="A9" s="11" t="s">
        <v>840</v>
      </c>
      <c r="D9" s="25">
        <f>Scenarios!F12</f>
        <v>0</v>
      </c>
    </row>
    <row r="10" spans="1:4" ht="18" customHeight="1" x14ac:dyDescent="0.2">
      <c r="A10" s="9" t="s">
        <v>637</v>
      </c>
      <c r="D10" s="23">
        <f>IFERROR(Scenarios!F13,0)</f>
        <v>0</v>
      </c>
    </row>
    <row r="11" spans="1:4" ht="18" customHeight="1" x14ac:dyDescent="0.2">
      <c r="A11" s="270" t="s">
        <v>841</v>
      </c>
      <c r="D11" s="157">
        <f>SUM(D6:D10)</f>
        <v>0</v>
      </c>
    </row>
    <row r="13" spans="1:4" ht="24" customHeight="1" x14ac:dyDescent="0.2">
      <c r="A13" s="938" t="s">
        <v>842</v>
      </c>
      <c r="B13" s="938"/>
      <c r="C13" s="938"/>
      <c r="D13" s="938"/>
    </row>
    <row r="14" spans="1:4" ht="30" customHeight="1" x14ac:dyDescent="0.2">
      <c r="A14" s="34" t="s">
        <v>547</v>
      </c>
      <c r="B14" s="34" t="s">
        <v>843</v>
      </c>
      <c r="C14" s="34" t="s">
        <v>55</v>
      </c>
      <c r="D14" s="34" t="s">
        <v>37</v>
      </c>
    </row>
    <row r="15" spans="1:4" ht="19.5" customHeight="1" x14ac:dyDescent="0.2">
      <c r="A15" s="945" t="s">
        <v>844</v>
      </c>
      <c r="B15" s="945"/>
      <c r="C15" s="945"/>
      <c r="D15" s="945"/>
    </row>
    <row r="16" spans="1:4" ht="18" customHeight="1" x14ac:dyDescent="0.2">
      <c r="A16" s="271" t="s">
        <v>845</v>
      </c>
      <c r="B16" s="272"/>
      <c r="C16" s="273" t="s">
        <v>215</v>
      </c>
      <c r="D16" s="274">
        <v>3500</v>
      </c>
    </row>
    <row r="17" spans="1:4" ht="18" customHeight="1" x14ac:dyDescent="0.2">
      <c r="A17" s="275" t="s">
        <v>846</v>
      </c>
      <c r="B17" s="272"/>
      <c r="C17" s="276" t="s">
        <v>216</v>
      </c>
      <c r="D17" s="277">
        <v>6500</v>
      </c>
    </row>
    <row r="18" spans="1:4" ht="18" customHeight="1" x14ac:dyDescent="0.2">
      <c r="A18" s="271" t="s">
        <v>847</v>
      </c>
      <c r="B18" s="272"/>
      <c r="C18" s="278" t="s">
        <v>217</v>
      </c>
      <c r="D18" s="274">
        <v>4500</v>
      </c>
    </row>
    <row r="19" spans="1:4" ht="18" customHeight="1" x14ac:dyDescent="0.2">
      <c r="A19" s="275" t="s">
        <v>848</v>
      </c>
      <c r="B19" s="272"/>
      <c r="C19" s="278" t="s">
        <v>218</v>
      </c>
      <c r="D19" s="277">
        <v>15000</v>
      </c>
    </row>
    <row r="20" spans="1:4" ht="18" customHeight="1" x14ac:dyDescent="0.2">
      <c r="A20" s="271" t="s">
        <v>849</v>
      </c>
      <c r="B20" s="272"/>
      <c r="C20" s="278" t="s">
        <v>219</v>
      </c>
      <c r="D20" s="274">
        <v>2500</v>
      </c>
    </row>
    <row r="21" spans="1:4" ht="18" customHeight="1" x14ac:dyDescent="0.2">
      <c r="A21" s="275" t="s">
        <v>850</v>
      </c>
      <c r="B21" s="30">
        <f>Loans!B9</f>
        <v>0.01</v>
      </c>
      <c r="C21" s="279" t="s">
        <v>851</v>
      </c>
      <c r="D21" s="23">
        <f>Loans!E10</f>
        <v>0</v>
      </c>
    </row>
    <row r="22" spans="1:4" ht="19.5" customHeight="1" x14ac:dyDescent="0.2">
      <c r="A22" s="945" t="s">
        <v>852</v>
      </c>
      <c r="B22" s="945"/>
      <c r="C22" s="945"/>
      <c r="D22" s="945"/>
    </row>
    <row r="23" spans="1:4" ht="18" customHeight="1" x14ac:dyDescent="0.2">
      <c r="A23" s="275" t="s">
        <v>220</v>
      </c>
      <c r="B23" s="280">
        <v>3.0000000000000001E-3</v>
      </c>
      <c r="C23" s="281" t="s">
        <v>853</v>
      </c>
      <c r="D23" s="23">
        <f>B23*Scenarios!F7</f>
        <v>0</v>
      </c>
    </row>
    <row r="24" spans="1:4" ht="18" customHeight="1" x14ac:dyDescent="0.2">
      <c r="A24" s="271" t="s">
        <v>854</v>
      </c>
      <c r="B24" s="272"/>
      <c r="C24" s="278" t="s">
        <v>221</v>
      </c>
      <c r="D24" s="274">
        <v>5000</v>
      </c>
    </row>
    <row r="25" spans="1:4" ht="18" customHeight="1" x14ac:dyDescent="0.2">
      <c r="A25" s="275" t="s">
        <v>855</v>
      </c>
      <c r="B25" s="272"/>
      <c r="C25" s="278" t="s">
        <v>222</v>
      </c>
      <c r="D25" s="277">
        <v>1500</v>
      </c>
    </row>
    <row r="26" spans="1:4" ht="18" customHeight="1" x14ac:dyDescent="0.2">
      <c r="A26" s="271" t="s">
        <v>223</v>
      </c>
      <c r="B26" s="282">
        <v>3.5000000000000001E-3</v>
      </c>
      <c r="C26" s="283" t="s">
        <v>856</v>
      </c>
      <c r="D26" s="23">
        <f>B26*Scenarios!F7</f>
        <v>0</v>
      </c>
    </row>
    <row r="27" spans="1:4" ht="18" customHeight="1" x14ac:dyDescent="0.2">
      <c r="A27" s="275" t="s">
        <v>857</v>
      </c>
      <c r="B27" s="272"/>
      <c r="C27" s="278" t="s">
        <v>224</v>
      </c>
      <c r="D27" s="277">
        <v>750</v>
      </c>
    </row>
    <row r="28" spans="1:4" ht="18" customHeight="1" x14ac:dyDescent="0.2">
      <c r="A28" s="271" t="s">
        <v>858</v>
      </c>
      <c r="B28" s="272"/>
      <c r="C28" s="278" t="s">
        <v>225</v>
      </c>
      <c r="D28" s="274">
        <v>500</v>
      </c>
    </row>
    <row r="29" spans="1:4" ht="18" customHeight="1" x14ac:dyDescent="0.2">
      <c r="A29" s="275" t="s">
        <v>859</v>
      </c>
      <c r="B29" s="272"/>
      <c r="C29" s="278" t="s">
        <v>226</v>
      </c>
      <c r="D29" s="277">
        <v>12500</v>
      </c>
    </row>
    <row r="30" spans="1:4" ht="19.5" customHeight="1" x14ac:dyDescent="0.2">
      <c r="A30" s="945" t="s">
        <v>860</v>
      </c>
      <c r="B30" s="945"/>
      <c r="C30" s="945"/>
      <c r="D30" s="945"/>
    </row>
    <row r="31" spans="1:4" ht="18" customHeight="1" x14ac:dyDescent="0.2">
      <c r="A31" s="275" t="s">
        <v>861</v>
      </c>
      <c r="B31" s="272"/>
      <c r="C31" s="278" t="s">
        <v>227</v>
      </c>
      <c r="D31" s="277">
        <v>7500</v>
      </c>
    </row>
    <row r="32" spans="1:4" ht="18" customHeight="1" x14ac:dyDescent="0.2">
      <c r="A32" s="271" t="s">
        <v>862</v>
      </c>
      <c r="B32" s="272"/>
      <c r="C32" s="278" t="s">
        <v>228</v>
      </c>
      <c r="D32" s="274">
        <v>3500</v>
      </c>
    </row>
    <row r="33" spans="1:4" ht="18" customHeight="1" x14ac:dyDescent="0.2">
      <c r="A33" s="275" t="s">
        <v>863</v>
      </c>
      <c r="B33" s="272"/>
      <c r="C33" s="278" t="s">
        <v>229</v>
      </c>
      <c r="D33" s="277">
        <v>7500</v>
      </c>
    </row>
    <row r="34" spans="1:4" ht="18" customHeight="1" x14ac:dyDescent="0.2">
      <c r="A34" s="271" t="s">
        <v>230</v>
      </c>
      <c r="B34" s="284">
        <v>5.0000000000000001E-3</v>
      </c>
      <c r="C34" s="278" t="s">
        <v>864</v>
      </c>
      <c r="D34" s="25">
        <f>B34*Scenarios!F7</f>
        <v>0</v>
      </c>
    </row>
    <row r="35" spans="1:4" ht="18" customHeight="1" x14ac:dyDescent="0.2">
      <c r="A35" s="959" t="s">
        <v>865</v>
      </c>
      <c r="B35" s="959"/>
      <c r="C35" s="959"/>
      <c r="D35" s="285">
        <f>IF(Scenarios!$F$7=0,0,SUM(D16:D34))</f>
        <v>0</v>
      </c>
    </row>
  </sheetData>
  <mergeCells count="7">
    <mergeCell ref="A30:D30"/>
    <mergeCell ref="A35:C35"/>
    <mergeCell ref="A1:D1"/>
    <mergeCell ref="A3:D3"/>
    <mergeCell ref="A13:D13"/>
    <mergeCell ref="A15:D1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62"/>
  <sheetViews>
    <sheetView zoomScaleNormal="100" workbookViewId="0">
      <pane ySplit="3" topLeftCell="A138" activePane="bottomLeft" state="frozen"/>
      <selection pane="bottomLeft" activeCell="B20" sqref="B20"/>
    </sheetView>
  </sheetViews>
  <sheetFormatPr baseColWidth="10" defaultColWidth="8.6640625" defaultRowHeight="15" x14ac:dyDescent="0.2"/>
  <cols>
    <col min="1" max="1" width="41.33203125" customWidth="1"/>
    <col min="2" max="2" width="24.83203125" customWidth="1"/>
    <col min="3" max="14" width="11" customWidth="1"/>
    <col min="15" max="15" width="13" customWidth="1"/>
    <col min="16" max="16" width="26" customWidth="1"/>
    <col min="17" max="17" width="12" customWidth="1"/>
    <col min="18" max="18" width="30" customWidth="1"/>
  </cols>
  <sheetData>
    <row r="1" spans="1:18" ht="21.75" customHeight="1" x14ac:dyDescent="0.2">
      <c r="A1" s="928" t="str">
        <f>IF('Prop Info'!B4="","T-12 ANALYSIS  —  Trailing 12 Diagnostic Layer","T-12 ANALYSIS  —  Trailing 12 Diagnostic Layer"&amp;" — "&amp;'Prop Info'!B4)</f>
        <v>T-12 ANALYSIS  —  Trailing 12 Diagnostic Layer</v>
      </c>
      <c r="B1" s="928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928"/>
      <c r="P1" s="928"/>
      <c r="Q1" s="928"/>
      <c r="R1" s="928"/>
    </row>
    <row r="2" spans="1:18" ht="21.75" customHeight="1" x14ac:dyDescent="0.2">
      <c r="A2" s="1" t="s">
        <v>866</v>
      </c>
    </row>
    <row r="4" spans="1:18" ht="21.75" customHeight="1" x14ac:dyDescent="0.2">
      <c r="A4" s="934" t="s">
        <v>867</v>
      </c>
      <c r="B4" s="934"/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  <c r="N4" s="934"/>
      <c r="O4" s="934"/>
      <c r="P4" s="934"/>
      <c r="Q4" s="934"/>
      <c r="R4" s="934"/>
    </row>
    <row r="5" spans="1:18" ht="15" customHeight="1" x14ac:dyDescent="0.2">
      <c r="A5" s="112" t="s">
        <v>868</v>
      </c>
      <c r="B5" s="286">
        <f>N80</f>
        <v>0</v>
      </c>
      <c r="C5" s="112" t="s">
        <v>869</v>
      </c>
      <c r="D5" s="286">
        <f>N100</f>
        <v>0</v>
      </c>
      <c r="E5" s="112" t="s">
        <v>870</v>
      </c>
      <c r="F5" s="286">
        <f>N101</f>
        <v>0</v>
      </c>
      <c r="G5" s="112" t="s">
        <v>871</v>
      </c>
      <c r="H5" s="286">
        <f>SUMIF(P106:P255,"",O106:O255)+SUMIF(P106:P255,"— UNMAPPED —",O106:O255)</f>
        <v>0</v>
      </c>
      <c r="I5" s="112" t="str">
        <f>IF(ABS(H5)&lt;1,"🟢 all mapped","🔴 mapping incomplete")</f>
        <v>🟢 all mapped</v>
      </c>
      <c r="L5" s="112" t="s">
        <v>872</v>
      </c>
      <c r="M5" s="287">
        <f>IFERROR(N80/12/'Prop Info'!$B$6,0)</f>
        <v>0</v>
      </c>
    </row>
    <row r="7" spans="1:18" ht="21.75" customHeight="1" x14ac:dyDescent="0.2">
      <c r="A7" s="934" t="s">
        <v>873</v>
      </c>
      <c r="B7" s="934"/>
      <c r="C7" s="934"/>
      <c r="D7" s="934"/>
      <c r="E7" s="934"/>
      <c r="F7" s="934"/>
      <c r="G7" s="934"/>
      <c r="H7" s="934"/>
      <c r="I7" s="934"/>
      <c r="J7" s="934"/>
      <c r="K7" s="934"/>
      <c r="L7" s="934"/>
      <c r="M7" s="934"/>
      <c r="N7" s="934"/>
      <c r="O7" s="934"/>
      <c r="P7" s="934"/>
      <c r="Q7" s="934"/>
      <c r="R7" s="934"/>
    </row>
    <row r="8" spans="1:18" ht="24" customHeight="1" x14ac:dyDescent="0.2">
      <c r="A8" s="104" t="s">
        <v>11</v>
      </c>
      <c r="B8" s="104" t="s">
        <v>874</v>
      </c>
      <c r="C8" s="104" t="s">
        <v>875</v>
      </c>
      <c r="D8" s="104" t="s">
        <v>876</v>
      </c>
      <c r="E8" s="116" t="s">
        <v>877</v>
      </c>
      <c r="F8" s="116" t="s">
        <v>878</v>
      </c>
      <c r="G8" s="104" t="s">
        <v>879</v>
      </c>
      <c r="H8" s="104" t="s">
        <v>880</v>
      </c>
    </row>
    <row r="9" spans="1:18" ht="15" customHeight="1" x14ac:dyDescent="0.2">
      <c r="A9" s="106" t="s">
        <v>881</v>
      </c>
      <c r="B9" s="256">
        <f>N80</f>
        <v>0</v>
      </c>
      <c r="C9" s="256">
        <f>SUM(H80:M80)*2</f>
        <v>0</v>
      </c>
      <c r="D9" s="256">
        <f>SUM(K80:M80)*4</f>
        <v>0</v>
      </c>
      <c r="E9" s="256">
        <f t="shared" ref="E9:E16" si="0">D9-B9</f>
        <v>0</v>
      </c>
      <c r="F9" s="252">
        <f t="shared" ref="F9:F16" si="1">IFERROR(D9/B9-1,0)</f>
        <v>0</v>
      </c>
      <c r="G9" s="288" t="str">
        <f t="shared" ref="G9:G16" si="2">IF(F9&gt;0.05,"↑ rising",IF(F9&lt;-0.05,"↓ falling","→ stable"))</f>
        <v>→ stable</v>
      </c>
      <c r="H9" s="288" t="str">
        <f>IF(F9&gt;0.1,"improving",IF(F9&lt;-0.1,"⚠ deteriorating","stable"))</f>
        <v>stable</v>
      </c>
    </row>
    <row r="10" spans="1:18" ht="15" customHeight="1" x14ac:dyDescent="0.2">
      <c r="A10" s="106" t="s">
        <v>882</v>
      </c>
      <c r="B10" s="256">
        <f>N100</f>
        <v>0</v>
      </c>
      <c r="C10" s="256">
        <f>SUM(H100:M100)*2</f>
        <v>0</v>
      </c>
      <c r="D10" s="256">
        <f>SUM(K100:M100)*4</f>
        <v>0</v>
      </c>
      <c r="E10" s="256">
        <f t="shared" si="0"/>
        <v>0</v>
      </c>
      <c r="F10" s="252">
        <f t="shared" si="1"/>
        <v>0</v>
      </c>
      <c r="G10" s="288" t="str">
        <f t="shared" si="2"/>
        <v>→ stable</v>
      </c>
      <c r="H10" s="288" t="str">
        <f>IF(F10&gt;0.1,"⚠ deteriorating",IF(F10&lt;-0.1,"improving","stable"))</f>
        <v>stable</v>
      </c>
    </row>
    <row r="11" spans="1:18" ht="15" customHeight="1" x14ac:dyDescent="0.2">
      <c r="A11" s="106" t="s">
        <v>883</v>
      </c>
      <c r="B11" s="256">
        <f>N101</f>
        <v>0</v>
      </c>
      <c r="C11" s="256">
        <f>SUM(H101:M101)*2</f>
        <v>0</v>
      </c>
      <c r="D11" s="256">
        <f>SUM(K101:M101)*4</f>
        <v>0</v>
      </c>
      <c r="E11" s="256">
        <f t="shared" si="0"/>
        <v>0</v>
      </c>
      <c r="F11" s="252">
        <f t="shared" si="1"/>
        <v>0</v>
      </c>
      <c r="G11" s="288" t="str">
        <f t="shared" si="2"/>
        <v>→ stable</v>
      </c>
      <c r="H11" s="288" t="str">
        <f>IF(F11&gt;0.1,"improving",IF(F11&lt;-0.1,"⚠ deteriorating","stable"))</f>
        <v>stable</v>
      </c>
    </row>
    <row r="12" spans="1:18" ht="15" customHeight="1" x14ac:dyDescent="0.2">
      <c r="A12" s="106" t="s">
        <v>884</v>
      </c>
      <c r="B12" s="256">
        <f>N65</f>
        <v>0</v>
      </c>
      <c r="C12" s="256">
        <f>SUM(H65:M65)*2</f>
        <v>0</v>
      </c>
      <c r="D12" s="256">
        <f>SUM(K65:M65)*4</f>
        <v>0</v>
      </c>
      <c r="E12" s="256">
        <f t="shared" si="0"/>
        <v>0</v>
      </c>
      <c r="F12" s="252">
        <f t="shared" si="1"/>
        <v>0</v>
      </c>
      <c r="G12" s="288" t="str">
        <f t="shared" si="2"/>
        <v>→ stable</v>
      </c>
      <c r="H12" s="288" t="str">
        <f>IF(F12&gt;0.1,"⚠ deteriorating",IF(F12&lt;-0.1,"improving","stable"))</f>
        <v>stable</v>
      </c>
    </row>
    <row r="13" spans="1:18" ht="15" customHeight="1" x14ac:dyDescent="0.2">
      <c r="A13" s="106" t="s">
        <v>727</v>
      </c>
      <c r="B13" s="256">
        <f>N96</f>
        <v>0</v>
      </c>
      <c r="C13" s="256">
        <f>SUM(H96:M96)*2</f>
        <v>0</v>
      </c>
      <c r="D13" s="256">
        <f>SUM(K96:M96)*4</f>
        <v>0</v>
      </c>
      <c r="E13" s="256">
        <f t="shared" si="0"/>
        <v>0</v>
      </c>
      <c r="F13" s="252">
        <f t="shared" si="1"/>
        <v>0</v>
      </c>
      <c r="G13" s="288" t="str">
        <f t="shared" si="2"/>
        <v>→ stable</v>
      </c>
      <c r="H13" s="288" t="str">
        <f>IF(F13&gt;0.1,"⚠ deteriorating",IF(F13&lt;-0.1,"improving","stable"))</f>
        <v>stable</v>
      </c>
    </row>
    <row r="14" spans="1:18" ht="15" customHeight="1" x14ac:dyDescent="0.2">
      <c r="A14" s="106" t="s">
        <v>885</v>
      </c>
      <c r="B14" s="256">
        <f>N88</f>
        <v>0</v>
      </c>
      <c r="C14" s="256">
        <f>SUM(H88:M88)*2</f>
        <v>0</v>
      </c>
      <c r="D14" s="256">
        <f>SUM(K88:M88)*4</f>
        <v>0</v>
      </c>
      <c r="E14" s="256">
        <f t="shared" si="0"/>
        <v>0</v>
      </c>
      <c r="F14" s="252">
        <f t="shared" si="1"/>
        <v>0</v>
      </c>
      <c r="G14" s="288" t="str">
        <f t="shared" si="2"/>
        <v>→ stable</v>
      </c>
      <c r="H14" s="288" t="str">
        <f>IF(F14&gt;0.1,"⚠ deteriorating",IF(F14&lt;-0.1,"improving","stable"))</f>
        <v>stable</v>
      </c>
    </row>
    <row r="15" spans="1:18" ht="15" customHeight="1" x14ac:dyDescent="0.2">
      <c r="A15" s="106" t="s">
        <v>722</v>
      </c>
      <c r="B15" s="256">
        <f>N82</f>
        <v>0</v>
      </c>
      <c r="C15" s="256">
        <f>SUM(H82:M82)*2</f>
        <v>0</v>
      </c>
      <c r="D15" s="256">
        <f>SUM(K82:M82)*4</f>
        <v>0</v>
      </c>
      <c r="E15" s="256">
        <f t="shared" si="0"/>
        <v>0</v>
      </c>
      <c r="F15" s="252">
        <f t="shared" si="1"/>
        <v>0</v>
      </c>
      <c r="G15" s="288" t="str">
        <f t="shared" si="2"/>
        <v>→ stable</v>
      </c>
      <c r="H15" s="288" t="str">
        <f>IF(F15&gt;0.1,"⚠ deteriorating",IF(F15&lt;-0.1,"improving","stable"))</f>
        <v>stable</v>
      </c>
    </row>
    <row r="16" spans="1:18" ht="15" customHeight="1" x14ac:dyDescent="0.2">
      <c r="A16" s="106" t="s">
        <v>886</v>
      </c>
      <c r="B16" s="256">
        <f>N87</f>
        <v>0</v>
      </c>
      <c r="C16" s="256">
        <f>SUM(H87:M87)*2</f>
        <v>0</v>
      </c>
      <c r="D16" s="256">
        <f>SUM(K87:M87)*4</f>
        <v>0</v>
      </c>
      <c r="E16" s="256">
        <f t="shared" si="0"/>
        <v>0</v>
      </c>
      <c r="F16" s="252">
        <f t="shared" si="1"/>
        <v>0</v>
      </c>
      <c r="G16" s="288" t="str">
        <f t="shared" si="2"/>
        <v>→ stable</v>
      </c>
      <c r="H16" s="288" t="str">
        <f>IF(F16&gt;0.1,"⚠ deteriorating",IF(F16&lt;-0.1,"improving","stable"))</f>
        <v>stable</v>
      </c>
    </row>
    <row r="18" spans="1:18" ht="21.75" customHeight="1" x14ac:dyDescent="0.2">
      <c r="A18" s="934" t="s">
        <v>887</v>
      </c>
      <c r="B18" s="934"/>
      <c r="C18" s="934"/>
      <c r="D18" s="934"/>
      <c r="E18" s="934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34"/>
      <c r="Q18" s="934"/>
      <c r="R18" s="934"/>
    </row>
    <row r="19" spans="1:18" ht="15" customHeight="1" x14ac:dyDescent="0.2">
      <c r="A19" s="106" t="s">
        <v>5</v>
      </c>
      <c r="B19" s="108">
        <f>'Prop Info'!$B$6</f>
        <v>0</v>
      </c>
    </row>
    <row r="20" spans="1:18" ht="15" customHeight="1" x14ac:dyDescent="0.2">
      <c r="A20" s="106" t="s">
        <v>888</v>
      </c>
      <c r="B20" s="108">
        <f>'Rent Roll Analysis'!T5</f>
        <v>0</v>
      </c>
    </row>
    <row r="21" spans="1:18" ht="15" customHeight="1" x14ac:dyDescent="0.2">
      <c r="A21" s="106" t="s">
        <v>889</v>
      </c>
      <c r="B21" s="252">
        <f>IFERROR(B20/B19,0)</f>
        <v>0</v>
      </c>
    </row>
    <row r="22" spans="1:18" ht="15" customHeight="1" x14ac:dyDescent="0.2">
      <c r="A22" s="106" t="s">
        <v>890</v>
      </c>
      <c r="B22" s="256">
        <f>N58</f>
        <v>0</v>
      </c>
    </row>
    <row r="23" spans="1:18" ht="15" customHeight="1" x14ac:dyDescent="0.2">
      <c r="A23" s="106" t="s">
        <v>891</v>
      </c>
      <c r="B23" s="256">
        <f>N67</f>
        <v>0</v>
      </c>
    </row>
    <row r="24" spans="1:18" ht="15" customHeight="1" x14ac:dyDescent="0.2">
      <c r="A24" s="106" t="s">
        <v>892</v>
      </c>
      <c r="B24" s="256">
        <f>N80</f>
        <v>0</v>
      </c>
    </row>
    <row r="25" spans="1:18" ht="15" customHeight="1" x14ac:dyDescent="0.2">
      <c r="A25" s="106" t="s">
        <v>893</v>
      </c>
      <c r="B25" s="252">
        <f>IFERROR(B23/B22,0)</f>
        <v>0</v>
      </c>
    </row>
    <row r="26" spans="1:18" ht="15" customHeight="1" x14ac:dyDescent="0.2">
      <c r="A26" s="106" t="s">
        <v>894</v>
      </c>
      <c r="B26" s="252">
        <f>B21-B25</f>
        <v>0</v>
      </c>
    </row>
    <row r="27" spans="1:18" ht="15" customHeight="1" x14ac:dyDescent="0.2">
      <c r="A27" s="106" t="s">
        <v>895</v>
      </c>
      <c r="B27" s="256">
        <f>B26*B22</f>
        <v>0</v>
      </c>
    </row>
    <row r="29" spans="1:18" ht="21.75" customHeight="1" x14ac:dyDescent="0.2">
      <c r="A29" s="934" t="s">
        <v>896</v>
      </c>
      <c r="B29" s="934"/>
      <c r="C29" s="934"/>
      <c r="D29" s="934"/>
      <c r="E29" s="934"/>
      <c r="F29" s="934"/>
      <c r="G29" s="934"/>
      <c r="H29" s="934"/>
      <c r="I29" s="934"/>
      <c r="J29" s="934"/>
      <c r="K29" s="934"/>
      <c r="L29" s="934"/>
      <c r="M29" s="934"/>
      <c r="N29" s="934"/>
      <c r="O29" s="934"/>
      <c r="P29" s="934"/>
      <c r="Q29" s="934"/>
      <c r="R29" s="934"/>
    </row>
    <row r="30" spans="1:18" ht="15" customHeight="1" x14ac:dyDescent="0.2">
      <c r="A30" s="104" t="s">
        <v>897</v>
      </c>
      <c r="B30" s="104" t="s">
        <v>37</v>
      </c>
      <c r="C30" s="104" t="s">
        <v>898</v>
      </c>
      <c r="D30" s="104" t="s">
        <v>899</v>
      </c>
      <c r="E30" s="104" t="s">
        <v>624</v>
      </c>
      <c r="F30" s="104" t="s">
        <v>880</v>
      </c>
    </row>
    <row r="31" spans="1:18" ht="15" customHeight="1" x14ac:dyDescent="0.2">
      <c r="A31" s="106" t="s">
        <v>900</v>
      </c>
      <c r="B31" s="256">
        <f>ABS(N60)</f>
        <v>0</v>
      </c>
      <c r="C31" s="252">
        <f>IFERROR(B31/N58,0)</f>
        <v>0</v>
      </c>
      <c r="D31" s="289">
        <f>IFERROR(B31/12/'Prop Info'!$B$6,0)</f>
        <v>0</v>
      </c>
      <c r="E31" s="95" t="s">
        <v>901</v>
      </c>
    </row>
    <row r="32" spans="1:18" ht="15" customHeight="1" x14ac:dyDescent="0.2">
      <c r="A32" s="106" t="s">
        <v>902</v>
      </c>
      <c r="B32" s="256">
        <f>ABS(N65)</f>
        <v>0</v>
      </c>
      <c r="C32" s="252">
        <f>IFERROR(B32/N58,0)</f>
        <v>0</v>
      </c>
      <c r="D32" s="289">
        <f>IFERROR(B32/12/'Prop Info'!$B$6,0)</f>
        <v>0</v>
      </c>
      <c r="E32" s="95" t="s">
        <v>903</v>
      </c>
    </row>
    <row r="33" spans="1:18" ht="15" customHeight="1" x14ac:dyDescent="0.2">
      <c r="A33" s="106" t="s">
        <v>904</v>
      </c>
      <c r="B33" s="256">
        <f>ABS(N63)</f>
        <v>0</v>
      </c>
      <c r="C33" s="252">
        <f>IFERROR(B33/N58,0)</f>
        <v>0</v>
      </c>
      <c r="D33" s="289">
        <f>IFERROR(B33/12/'Prop Info'!$B$6,0)</f>
        <v>0</v>
      </c>
      <c r="E33" s="95" t="s">
        <v>905</v>
      </c>
    </row>
    <row r="34" spans="1:18" ht="15" customHeight="1" x14ac:dyDescent="0.2">
      <c r="A34" s="106" t="s">
        <v>906</v>
      </c>
      <c r="B34" s="256">
        <f>ABS(N64)</f>
        <v>0</v>
      </c>
      <c r="C34" s="252">
        <f>IFERROR(B34/N58,0)</f>
        <v>0</v>
      </c>
      <c r="D34" s="289">
        <f>IFERROR(B34/12/'Prop Info'!$B$6,0)</f>
        <v>0</v>
      </c>
      <c r="E34" s="95" t="s">
        <v>907</v>
      </c>
    </row>
    <row r="35" spans="1:18" ht="15" customHeight="1" x14ac:dyDescent="0.2">
      <c r="A35" s="106" t="s">
        <v>908</v>
      </c>
      <c r="B35" s="256">
        <f>ABS(N61)</f>
        <v>0</v>
      </c>
      <c r="C35" s="252">
        <f>IFERROR(B35/N58,0)</f>
        <v>0</v>
      </c>
      <c r="D35" s="289">
        <f>IFERROR(B35/12/'Prop Info'!$B$6,0)</f>
        <v>0</v>
      </c>
      <c r="E35" s="95" t="s">
        <v>909</v>
      </c>
    </row>
    <row r="36" spans="1:18" ht="15" customHeight="1" x14ac:dyDescent="0.2">
      <c r="A36" s="106" t="s">
        <v>910</v>
      </c>
      <c r="B36" s="256">
        <f>ABS(N62)</f>
        <v>0</v>
      </c>
      <c r="C36" s="252">
        <f>IFERROR(B36/N58,0)</f>
        <v>0</v>
      </c>
      <c r="D36" s="289">
        <f>IFERROR(B36/12/'Prop Info'!$B$6,0)</f>
        <v>0</v>
      </c>
      <c r="E36" s="95" t="s">
        <v>909</v>
      </c>
    </row>
    <row r="37" spans="1:18" ht="15" customHeight="1" x14ac:dyDescent="0.2">
      <c r="A37" s="290" t="s">
        <v>911</v>
      </c>
      <c r="B37" s="291">
        <f>SUM(B31:B36)</f>
        <v>0</v>
      </c>
      <c r="C37" s="292">
        <f>IFERROR(B37/N58,0)</f>
        <v>0</v>
      </c>
      <c r="F37" s="293" t="str">
        <f>IF(C37&gt;0.2,"🔴 critical",IF(C37&gt;0.13,"⚠ high","ok"))</f>
        <v>ok</v>
      </c>
    </row>
    <row r="39" spans="1:18" ht="21.75" customHeight="1" x14ac:dyDescent="0.2">
      <c r="A39" s="934" t="s">
        <v>912</v>
      </c>
      <c r="B39" s="934"/>
      <c r="C39" s="934"/>
      <c r="D39" s="934"/>
      <c r="E39" s="934"/>
      <c r="F39" s="934"/>
      <c r="G39" s="934"/>
      <c r="H39" s="934"/>
      <c r="I39" s="934"/>
      <c r="J39" s="934"/>
      <c r="K39" s="934"/>
      <c r="L39" s="934"/>
      <c r="M39" s="934"/>
      <c r="N39" s="934"/>
      <c r="O39" s="934"/>
      <c r="P39" s="934"/>
      <c r="Q39" s="934"/>
      <c r="R39" s="934"/>
    </row>
    <row r="40" spans="1:18" ht="15" customHeight="1" x14ac:dyDescent="0.2">
      <c r="A40" s="1" t="s">
        <v>913</v>
      </c>
    </row>
    <row r="42" spans="1:18" ht="15" customHeight="1" x14ac:dyDescent="0.2">
      <c r="A42" s="113" t="s">
        <v>714</v>
      </c>
    </row>
    <row r="43" spans="1:18" ht="15" customHeight="1" x14ac:dyDescent="0.2">
      <c r="A43" s="106" t="s">
        <v>914</v>
      </c>
      <c r="B43" s="256">
        <f>N93</f>
        <v>0</v>
      </c>
    </row>
    <row r="44" spans="1:18" ht="15" customHeight="1" x14ac:dyDescent="0.2">
      <c r="A44" s="106" t="s">
        <v>915</v>
      </c>
      <c r="B44" s="110">
        <f>Scenarios!F60</f>
        <v>0</v>
      </c>
    </row>
    <row r="45" spans="1:18" ht="15" customHeight="1" x14ac:dyDescent="0.2">
      <c r="A45" s="106" t="s">
        <v>916</v>
      </c>
      <c r="B45" s="256">
        <f>B43-B44</f>
        <v>0</v>
      </c>
    </row>
    <row r="46" spans="1:18" ht="15" customHeight="1" x14ac:dyDescent="0.2">
      <c r="A46" s="106" t="s">
        <v>917</v>
      </c>
      <c r="B46" s="106" t="str">
        <f>IF(B43=0,"⚠ not in T-12 — likely paid at entity level — VERIFY",IF(B44=0,"⚠ pro forma not set",IF(ABS(B45)/B44&gt;0.2,"⚠ material variance","ok")))</f>
        <v>⚠ not in T-12 — likely paid at entity level — VERIFY</v>
      </c>
    </row>
    <row r="48" spans="1:18" ht="15" customHeight="1" x14ac:dyDescent="0.2">
      <c r="A48" s="113" t="s">
        <v>710</v>
      </c>
    </row>
    <row r="49" spans="1:18" ht="15" customHeight="1" x14ac:dyDescent="0.2">
      <c r="A49" s="106" t="s">
        <v>914</v>
      </c>
      <c r="B49" s="256">
        <f>N92</f>
        <v>0</v>
      </c>
    </row>
    <row r="50" spans="1:18" ht="15" customHeight="1" x14ac:dyDescent="0.2">
      <c r="A50" s="106" t="s">
        <v>915</v>
      </c>
      <c r="B50" s="110">
        <f>Scenarios!F58</f>
        <v>0</v>
      </c>
    </row>
    <row r="51" spans="1:18" ht="15" customHeight="1" x14ac:dyDescent="0.2">
      <c r="A51" s="106" t="s">
        <v>918</v>
      </c>
      <c r="B51" s="256">
        <f>B49-B50</f>
        <v>0</v>
      </c>
    </row>
    <row r="52" spans="1:18" ht="15" customHeight="1" x14ac:dyDescent="0.2">
      <c r="A52" s="106" t="s">
        <v>917</v>
      </c>
      <c r="B52" s="106" t="str">
        <f>IF(B49=0,"⚠ not in T-12 — likely paid at entity level — VERIFY",IF(B50=0,"⚠ pro forma not set",IF(ABS(B51)/B50&gt;0.2,"⚠ material variance","ok")))</f>
        <v>⚠ not in T-12 — likely paid at entity level — VERIFY</v>
      </c>
    </row>
    <row r="54" spans="1:18" ht="27.75" customHeight="1" x14ac:dyDescent="0.2">
      <c r="A54" s="937" t="s">
        <v>919</v>
      </c>
      <c r="B54" s="937"/>
      <c r="C54" s="937"/>
      <c r="D54" s="937"/>
      <c r="E54" s="937"/>
      <c r="F54" s="937"/>
      <c r="G54" s="937"/>
      <c r="H54" s="937"/>
      <c r="I54" s="937"/>
      <c r="J54" s="937"/>
      <c r="K54" s="937"/>
      <c r="L54" s="937"/>
      <c r="M54" s="937"/>
      <c r="N54" s="937"/>
      <c r="O54" s="937"/>
      <c r="P54" s="937"/>
      <c r="Q54" s="937"/>
      <c r="R54" s="937"/>
    </row>
    <row r="55" spans="1:18" ht="21.75" customHeight="1" x14ac:dyDescent="0.2">
      <c r="A55" s="934" t="s">
        <v>920</v>
      </c>
      <c r="B55" s="934"/>
      <c r="C55" s="934"/>
      <c r="D55" s="934"/>
      <c r="E55" s="934"/>
      <c r="F55" s="934"/>
      <c r="G55" s="934"/>
      <c r="H55" s="934"/>
      <c r="I55" s="934"/>
      <c r="J55" s="934"/>
      <c r="K55" s="934"/>
      <c r="L55" s="934"/>
      <c r="M55" s="934"/>
      <c r="N55" s="934"/>
      <c r="O55" s="934"/>
      <c r="P55" s="934"/>
      <c r="Q55" s="934"/>
      <c r="R55" s="934"/>
    </row>
    <row r="56" spans="1:18" ht="24" customHeight="1" x14ac:dyDescent="0.2">
      <c r="A56" s="104" t="s">
        <v>921</v>
      </c>
      <c r="B56" s="104" t="s">
        <v>922</v>
      </c>
      <c r="C56" s="104" t="s">
        <v>923</v>
      </c>
      <c r="D56" s="104" t="s">
        <v>924</v>
      </c>
      <c r="E56" s="104" t="s">
        <v>925</v>
      </c>
      <c r="F56" s="104" t="s">
        <v>926</v>
      </c>
      <c r="G56" s="104" t="s">
        <v>927</v>
      </c>
      <c r="H56" s="104" t="s">
        <v>928</v>
      </c>
      <c r="I56" s="104" t="s">
        <v>929</v>
      </c>
      <c r="J56" s="104" t="s">
        <v>930</v>
      </c>
      <c r="K56" s="104" t="s">
        <v>931</v>
      </c>
      <c r="L56" s="104" t="s">
        <v>932</v>
      </c>
      <c r="M56" s="104" t="s">
        <v>933</v>
      </c>
      <c r="N56" s="104" t="s">
        <v>934</v>
      </c>
      <c r="O56" s="104" t="s">
        <v>876</v>
      </c>
      <c r="P56" s="104" t="s">
        <v>899</v>
      </c>
      <c r="Q56" s="104" t="s">
        <v>935</v>
      </c>
      <c r="R56" s="104" t="s">
        <v>936</v>
      </c>
    </row>
    <row r="57" spans="1:18" ht="15" customHeight="1" x14ac:dyDescent="0.2">
      <c r="A57" s="960" t="s">
        <v>937</v>
      </c>
      <c r="B57" s="960"/>
      <c r="C57" s="960"/>
      <c r="D57" s="960"/>
      <c r="E57" s="960"/>
      <c r="F57" s="960"/>
      <c r="G57" s="960"/>
      <c r="H57" s="960"/>
      <c r="I57" s="960"/>
      <c r="J57" s="960"/>
      <c r="K57" s="960"/>
      <c r="L57" s="960"/>
      <c r="M57" s="960"/>
      <c r="N57" s="960"/>
      <c r="O57" s="960"/>
      <c r="P57" s="960"/>
      <c r="Q57" s="960"/>
      <c r="R57" s="960"/>
    </row>
    <row r="58" spans="1:18" ht="15" customHeight="1" x14ac:dyDescent="0.2">
      <c r="A58" s="106" t="s">
        <v>938</v>
      </c>
      <c r="B58" s="256">
        <f>SUMIFS($C$106:$C$255,$P$106:$P$255,"Gross Potential Rent")</f>
        <v>0</v>
      </c>
      <c r="C58" s="256">
        <f>SUMIFS($D$106:$D$255,$P$106:$P$255,"Gross Potential Rent")</f>
        <v>0</v>
      </c>
      <c r="D58" s="256">
        <f>SUMIFS($E$106:$E$255,$P$106:$P$255,"Gross Potential Rent")</f>
        <v>0</v>
      </c>
      <c r="E58" s="256">
        <f>SUMIFS($F$106:$F$255,$P$106:$P$255,"Gross Potential Rent")</f>
        <v>0</v>
      </c>
      <c r="F58" s="256">
        <f>SUMIFS($G$106:$G$255,$P$106:$P$255,"Gross Potential Rent")</f>
        <v>0</v>
      </c>
      <c r="G58" s="256">
        <f>SUMIFS($H$106:$H$255,$P$106:$P$255,"Gross Potential Rent")</f>
        <v>0</v>
      </c>
      <c r="H58" s="256">
        <f>SUMIFS($I$106:$I$255,$P$106:$P$255,"Gross Potential Rent")</f>
        <v>0</v>
      </c>
      <c r="I58" s="256">
        <f>SUMIFS($J$106:$J$255,$P$106:$P$255,"Gross Potential Rent")</f>
        <v>0</v>
      </c>
      <c r="J58" s="256">
        <f>SUMIFS($K$106:$K$255,$P$106:$P$255,"Gross Potential Rent")</f>
        <v>0</v>
      </c>
      <c r="K58" s="256">
        <f>SUMIFS($L$106:$L$255,$P$106:$P$255,"Gross Potential Rent")</f>
        <v>0</v>
      </c>
      <c r="L58" s="256">
        <f>SUMIFS($M$106:$M$255,$P$106:$P$255,"Gross Potential Rent")</f>
        <v>0</v>
      </c>
      <c r="M58" s="256">
        <f>SUMIFS($N$106:$N$255,$P$106:$P$255,"Gross Potential Rent")</f>
        <v>0</v>
      </c>
      <c r="N58" s="286">
        <f>SUMIFS($O$106:$O$255,$P$106:$P$255,"Gross Potential Rent")</f>
        <v>0</v>
      </c>
      <c r="O58" s="256">
        <f t="shared" ref="O58:O80" si="3">SUM(K58:M58)*4</f>
        <v>0</v>
      </c>
      <c r="P58" s="289">
        <f>IFERROR(N58/12/'Prop Info'!$B$6,0)</f>
        <v>0</v>
      </c>
      <c r="Q58" s="252">
        <f t="shared" ref="Q58:Q80" si="4">IFERROR(N58/N$80,0)</f>
        <v>0</v>
      </c>
      <c r="R58" s="295" t="str">
        <f>IFERROR(IF(OR(VLOOKUP(A58,_StdCOA!$A$4:$E$56,4,0)=0,VLOOKUP(A58,_StdCOA!$A$4:$E$56,5,0)=0),"",IF(ABS(P58)&gt;VLOOKUP(A58,_StdCOA!$A$4:$E$56,5,0),"🔴 high",IF(ABS(P58)&lt;VLOOKUP(A58,_StdCOA!$A$4:$E$56,4,0),"🟢 low","🟡 in range"))),"")</f>
        <v/>
      </c>
    </row>
    <row r="59" spans="1:18" ht="15" customHeight="1" x14ac:dyDescent="0.2">
      <c r="A59" s="106" t="s">
        <v>939</v>
      </c>
      <c r="B59" s="256">
        <f>SUMIFS($C$106:$C$255,$P$106:$P$255,"Gain/Loss on Market Rent")</f>
        <v>0</v>
      </c>
      <c r="C59" s="256">
        <f>SUMIFS($D$106:$D$255,$P$106:$P$255,"Gain/Loss on Market Rent")</f>
        <v>0</v>
      </c>
      <c r="D59" s="256">
        <f>SUMIFS($E$106:$E$255,$P$106:$P$255,"Gain/Loss on Market Rent")</f>
        <v>0</v>
      </c>
      <c r="E59" s="256">
        <f>SUMIFS($F$106:$F$255,$P$106:$P$255,"Gain/Loss on Market Rent")</f>
        <v>0</v>
      </c>
      <c r="F59" s="256">
        <f>SUMIFS($G$106:$G$255,$P$106:$P$255,"Gain/Loss on Market Rent")</f>
        <v>0</v>
      </c>
      <c r="G59" s="256">
        <f>SUMIFS($H$106:$H$255,$P$106:$P$255,"Gain/Loss on Market Rent")</f>
        <v>0</v>
      </c>
      <c r="H59" s="256">
        <f>SUMIFS($I$106:$I$255,$P$106:$P$255,"Gain/Loss on Market Rent")</f>
        <v>0</v>
      </c>
      <c r="I59" s="256">
        <f>SUMIFS($J$106:$J$255,$P$106:$P$255,"Gain/Loss on Market Rent")</f>
        <v>0</v>
      </c>
      <c r="J59" s="256">
        <f>SUMIFS($K$106:$K$255,$P$106:$P$255,"Gain/Loss on Market Rent")</f>
        <v>0</v>
      </c>
      <c r="K59" s="256">
        <f>SUMIFS($L$106:$L$255,$P$106:$P$255,"Gain/Loss on Market Rent")</f>
        <v>0</v>
      </c>
      <c r="L59" s="256">
        <f>SUMIFS($M$106:$M$255,$P$106:$P$255,"Gain/Loss on Market Rent")</f>
        <v>0</v>
      </c>
      <c r="M59" s="256">
        <f>SUMIFS($N$106:$N$255,$P$106:$P$255,"Gain/Loss on Market Rent")</f>
        <v>0</v>
      </c>
      <c r="N59" s="286">
        <f>SUMIFS($O$106:$O$255,$P$106:$P$255,"Gain/Loss on Market Rent")</f>
        <v>0</v>
      </c>
      <c r="O59" s="256">
        <f t="shared" si="3"/>
        <v>0</v>
      </c>
      <c r="P59" s="289">
        <f>IFERROR(N59/12/'Prop Info'!$B$6,0)</f>
        <v>0</v>
      </c>
      <c r="Q59" s="252">
        <f t="shared" si="4"/>
        <v>0</v>
      </c>
      <c r="R59" s="295" t="str">
        <f>IFERROR(IF(OR(VLOOKUP(A59,_StdCOA!$A$4:$E$56,4,0)=0,VLOOKUP(A59,_StdCOA!$A$4:$E$56,5,0)=0),"",IF(ABS(P59)&gt;VLOOKUP(A59,_StdCOA!$A$4:$E$56,5,0),"🔴 high",IF(ABS(P59)&lt;VLOOKUP(A59,_StdCOA!$A$4:$E$56,4,0),"🟢 low","🟡 in range"))),"")</f>
        <v/>
      </c>
    </row>
    <row r="60" spans="1:18" ht="15" customHeight="1" x14ac:dyDescent="0.2">
      <c r="A60" s="106" t="s">
        <v>900</v>
      </c>
      <c r="B60" s="256">
        <f>SUMIFS($C$106:$C$255,$P$106:$P$255,"Vacancy Loss")</f>
        <v>0</v>
      </c>
      <c r="C60" s="256">
        <f>SUMIFS($D$106:$D$255,$P$106:$P$255,"Vacancy Loss")</f>
        <v>0</v>
      </c>
      <c r="D60" s="256">
        <f>SUMIFS($E$106:$E$255,$P$106:$P$255,"Vacancy Loss")</f>
        <v>0</v>
      </c>
      <c r="E60" s="256">
        <f>SUMIFS($F$106:$F$255,$P$106:$P$255,"Vacancy Loss")</f>
        <v>0</v>
      </c>
      <c r="F60" s="256">
        <f>SUMIFS($G$106:$G$255,$P$106:$P$255,"Vacancy Loss")</f>
        <v>0</v>
      </c>
      <c r="G60" s="256">
        <f>SUMIFS($H$106:$H$255,$P$106:$P$255,"Vacancy Loss")</f>
        <v>0</v>
      </c>
      <c r="H60" s="256">
        <f>SUMIFS($I$106:$I$255,$P$106:$P$255,"Vacancy Loss")</f>
        <v>0</v>
      </c>
      <c r="I60" s="256">
        <f>SUMIFS($J$106:$J$255,$P$106:$P$255,"Vacancy Loss")</f>
        <v>0</v>
      </c>
      <c r="J60" s="256">
        <f>SUMIFS($K$106:$K$255,$P$106:$P$255,"Vacancy Loss")</f>
        <v>0</v>
      </c>
      <c r="K60" s="256">
        <f>SUMIFS($L$106:$L$255,$P$106:$P$255,"Vacancy Loss")</f>
        <v>0</v>
      </c>
      <c r="L60" s="256">
        <f>SUMIFS($M$106:$M$255,$P$106:$P$255,"Vacancy Loss")</f>
        <v>0</v>
      </c>
      <c r="M60" s="256">
        <f>SUMIFS($N$106:$N$255,$P$106:$P$255,"Vacancy Loss")</f>
        <v>0</v>
      </c>
      <c r="N60" s="286">
        <f>SUMIFS($O$106:$O$255,$P$106:$P$255,"Vacancy Loss")</f>
        <v>0</v>
      </c>
      <c r="O60" s="256">
        <f t="shared" si="3"/>
        <v>0</v>
      </c>
      <c r="P60" s="289">
        <f>IFERROR(N60/12/'Prop Info'!$B$6,0)</f>
        <v>0</v>
      </c>
      <c r="Q60" s="252">
        <f t="shared" si="4"/>
        <v>0</v>
      </c>
      <c r="R60" s="295" t="str">
        <f>IFERROR(IF(OR(VLOOKUP(A60,_StdCOA!$A$4:$E$56,4,0)=0,VLOOKUP(A60,_StdCOA!$A$4:$E$56,5,0)=0),"",IF(ABS(P60)&gt;VLOOKUP(A60,_StdCOA!$A$4:$E$56,5,0),"🔴 high",IF(ABS(P60)&lt;VLOOKUP(A60,_StdCOA!$A$4:$E$56,4,0),"🟢 low","🟡 in range"))),"")</f>
        <v/>
      </c>
    </row>
    <row r="61" spans="1:18" ht="15" customHeight="1" x14ac:dyDescent="0.2">
      <c r="A61" s="106" t="s">
        <v>908</v>
      </c>
      <c r="B61" s="256">
        <f>SUMIFS($C$106:$C$255,$P$106:$P$255,"Down Units Loss")</f>
        <v>0</v>
      </c>
      <c r="C61" s="256">
        <f>SUMIFS($D$106:$D$255,$P$106:$P$255,"Down Units Loss")</f>
        <v>0</v>
      </c>
      <c r="D61" s="256">
        <f>SUMIFS($E$106:$E$255,$P$106:$P$255,"Down Units Loss")</f>
        <v>0</v>
      </c>
      <c r="E61" s="256">
        <f>SUMIFS($F$106:$F$255,$P$106:$P$255,"Down Units Loss")</f>
        <v>0</v>
      </c>
      <c r="F61" s="256">
        <f>SUMIFS($G$106:$G$255,$P$106:$P$255,"Down Units Loss")</f>
        <v>0</v>
      </c>
      <c r="G61" s="256">
        <f>SUMIFS($H$106:$H$255,$P$106:$P$255,"Down Units Loss")</f>
        <v>0</v>
      </c>
      <c r="H61" s="256">
        <f>SUMIFS($I$106:$I$255,$P$106:$P$255,"Down Units Loss")</f>
        <v>0</v>
      </c>
      <c r="I61" s="256">
        <f>SUMIFS($J$106:$J$255,$P$106:$P$255,"Down Units Loss")</f>
        <v>0</v>
      </c>
      <c r="J61" s="256">
        <f>SUMIFS($K$106:$K$255,$P$106:$P$255,"Down Units Loss")</f>
        <v>0</v>
      </c>
      <c r="K61" s="256">
        <f>SUMIFS($L$106:$L$255,$P$106:$P$255,"Down Units Loss")</f>
        <v>0</v>
      </c>
      <c r="L61" s="256">
        <f>SUMIFS($M$106:$M$255,$P$106:$P$255,"Down Units Loss")</f>
        <v>0</v>
      </c>
      <c r="M61" s="256">
        <f>SUMIFS($N$106:$N$255,$P$106:$P$255,"Down Units Loss")</f>
        <v>0</v>
      </c>
      <c r="N61" s="286">
        <f>SUMIFS($O$106:$O$255,$P$106:$P$255,"Down Units Loss")</f>
        <v>0</v>
      </c>
      <c r="O61" s="256">
        <f t="shared" si="3"/>
        <v>0</v>
      </c>
      <c r="P61" s="289">
        <f>IFERROR(N61/12/'Prop Info'!$B$6,0)</f>
        <v>0</v>
      </c>
      <c r="Q61" s="252">
        <f t="shared" si="4"/>
        <v>0</v>
      </c>
      <c r="R61" s="295" t="str">
        <f>IFERROR(IF(OR(VLOOKUP(A61,_StdCOA!$A$4:$E$56,4,0)=0,VLOOKUP(A61,_StdCOA!$A$4:$E$56,5,0)=0),"",IF(ABS(P61)&gt;VLOOKUP(A61,_StdCOA!$A$4:$E$56,5,0),"🔴 high",IF(ABS(P61)&lt;VLOOKUP(A61,_StdCOA!$A$4:$E$56,4,0),"🟢 low","🟡 in range"))),"")</f>
        <v/>
      </c>
    </row>
    <row r="62" spans="1:18" ht="15" customHeight="1" x14ac:dyDescent="0.2">
      <c r="A62" s="106" t="s">
        <v>910</v>
      </c>
      <c r="B62" s="256">
        <f>SUMIFS($C$106:$C$255,$P$106:$P$255,"Employee Units")</f>
        <v>0</v>
      </c>
      <c r="C62" s="256">
        <f>SUMIFS($D$106:$D$255,$P$106:$P$255,"Employee Units")</f>
        <v>0</v>
      </c>
      <c r="D62" s="256">
        <f>SUMIFS($E$106:$E$255,$P$106:$P$255,"Employee Units")</f>
        <v>0</v>
      </c>
      <c r="E62" s="256">
        <f>SUMIFS($F$106:$F$255,$P$106:$P$255,"Employee Units")</f>
        <v>0</v>
      </c>
      <c r="F62" s="256">
        <f>SUMIFS($G$106:$G$255,$P$106:$P$255,"Employee Units")</f>
        <v>0</v>
      </c>
      <c r="G62" s="256">
        <f>SUMIFS($H$106:$H$255,$P$106:$P$255,"Employee Units")</f>
        <v>0</v>
      </c>
      <c r="H62" s="256">
        <f>SUMIFS($I$106:$I$255,$P$106:$P$255,"Employee Units")</f>
        <v>0</v>
      </c>
      <c r="I62" s="256">
        <f>SUMIFS($J$106:$J$255,$P$106:$P$255,"Employee Units")</f>
        <v>0</v>
      </c>
      <c r="J62" s="256">
        <f>SUMIFS($K$106:$K$255,$P$106:$P$255,"Employee Units")</f>
        <v>0</v>
      </c>
      <c r="K62" s="256">
        <f>SUMIFS($L$106:$L$255,$P$106:$P$255,"Employee Units")</f>
        <v>0</v>
      </c>
      <c r="L62" s="256">
        <f>SUMIFS($M$106:$M$255,$P$106:$P$255,"Employee Units")</f>
        <v>0</v>
      </c>
      <c r="M62" s="256">
        <f>SUMIFS($N$106:$N$255,$P$106:$P$255,"Employee Units")</f>
        <v>0</v>
      </c>
      <c r="N62" s="286">
        <f>SUMIFS($O$106:$O$255,$P$106:$P$255,"Employee Units")</f>
        <v>0</v>
      </c>
      <c r="O62" s="256">
        <f t="shared" si="3"/>
        <v>0</v>
      </c>
      <c r="P62" s="289">
        <f>IFERROR(N62/12/'Prop Info'!$B$6,0)</f>
        <v>0</v>
      </c>
      <c r="Q62" s="252">
        <f t="shared" si="4"/>
        <v>0</v>
      </c>
      <c r="R62" s="295" t="str">
        <f>IFERROR(IF(OR(VLOOKUP(A62,_StdCOA!$A$4:$E$56,4,0)=0,VLOOKUP(A62,_StdCOA!$A$4:$E$56,5,0)=0),"",IF(ABS(P62)&gt;VLOOKUP(A62,_StdCOA!$A$4:$E$56,5,0),"🔴 high",IF(ABS(P62)&lt;VLOOKUP(A62,_StdCOA!$A$4:$E$56,4,0),"🟢 low","🟡 in range"))),"")</f>
        <v/>
      </c>
    </row>
    <row r="63" spans="1:18" ht="15" customHeight="1" x14ac:dyDescent="0.2">
      <c r="A63" s="106" t="s">
        <v>904</v>
      </c>
      <c r="B63" s="256">
        <f>SUMIFS($C$106:$C$255,$P$106:$P$255,"Concessions")</f>
        <v>0</v>
      </c>
      <c r="C63" s="256">
        <f>SUMIFS($D$106:$D$255,$P$106:$P$255,"Concessions")</f>
        <v>0</v>
      </c>
      <c r="D63" s="256">
        <f>SUMIFS($E$106:$E$255,$P$106:$P$255,"Concessions")</f>
        <v>0</v>
      </c>
      <c r="E63" s="256">
        <f>SUMIFS($F$106:$F$255,$P$106:$P$255,"Concessions")</f>
        <v>0</v>
      </c>
      <c r="F63" s="256">
        <f>SUMIFS($G$106:$G$255,$P$106:$P$255,"Concessions")</f>
        <v>0</v>
      </c>
      <c r="G63" s="256">
        <f>SUMIFS($H$106:$H$255,$P$106:$P$255,"Concessions")</f>
        <v>0</v>
      </c>
      <c r="H63" s="256">
        <f>SUMIFS($I$106:$I$255,$P$106:$P$255,"Concessions")</f>
        <v>0</v>
      </c>
      <c r="I63" s="256">
        <f>SUMIFS($J$106:$J$255,$P$106:$P$255,"Concessions")</f>
        <v>0</v>
      </c>
      <c r="J63" s="256">
        <f>SUMIFS($K$106:$K$255,$P$106:$P$255,"Concessions")</f>
        <v>0</v>
      </c>
      <c r="K63" s="256">
        <f>SUMIFS($L$106:$L$255,$P$106:$P$255,"Concessions")</f>
        <v>0</v>
      </c>
      <c r="L63" s="256">
        <f>SUMIFS($M$106:$M$255,$P$106:$P$255,"Concessions")</f>
        <v>0</v>
      </c>
      <c r="M63" s="256">
        <f>SUMIFS($N$106:$N$255,$P$106:$P$255,"Concessions")</f>
        <v>0</v>
      </c>
      <c r="N63" s="286">
        <f>SUMIFS($O$106:$O$255,$P$106:$P$255,"Concessions")</f>
        <v>0</v>
      </c>
      <c r="O63" s="256">
        <f t="shared" si="3"/>
        <v>0</v>
      </c>
      <c r="P63" s="289">
        <f>IFERROR(N63/12/'Prop Info'!$B$6,0)</f>
        <v>0</v>
      </c>
      <c r="Q63" s="252">
        <f t="shared" si="4"/>
        <v>0</v>
      </c>
      <c r="R63" s="295" t="str">
        <f>IFERROR(IF(OR(VLOOKUP(A63,_StdCOA!$A$4:$E$56,4,0)=0,VLOOKUP(A63,_StdCOA!$A$4:$E$56,5,0)=0),"",IF(ABS(P63)&gt;VLOOKUP(A63,_StdCOA!$A$4:$E$56,5,0),"🔴 high",IF(ABS(P63)&lt;VLOOKUP(A63,_StdCOA!$A$4:$E$56,4,0),"🟢 low","🟡 in range"))),"")</f>
        <v/>
      </c>
    </row>
    <row r="64" spans="1:18" ht="15" customHeight="1" x14ac:dyDescent="0.2">
      <c r="A64" s="106" t="s">
        <v>906</v>
      </c>
      <c r="B64" s="256">
        <f>SUMIFS($C$106:$C$255,$P$106:$P$255,"Delinquency Change")</f>
        <v>0</v>
      </c>
      <c r="C64" s="256">
        <f>SUMIFS($D$106:$D$255,$P$106:$P$255,"Delinquency Change")</f>
        <v>0</v>
      </c>
      <c r="D64" s="256">
        <f>SUMIFS($E$106:$E$255,$P$106:$P$255,"Delinquency Change")</f>
        <v>0</v>
      </c>
      <c r="E64" s="256">
        <f>SUMIFS($F$106:$F$255,$P$106:$P$255,"Delinquency Change")</f>
        <v>0</v>
      </c>
      <c r="F64" s="256">
        <f>SUMIFS($G$106:$G$255,$P$106:$P$255,"Delinquency Change")</f>
        <v>0</v>
      </c>
      <c r="G64" s="256">
        <f>SUMIFS($H$106:$H$255,$P$106:$P$255,"Delinquency Change")</f>
        <v>0</v>
      </c>
      <c r="H64" s="256">
        <f>SUMIFS($I$106:$I$255,$P$106:$P$255,"Delinquency Change")</f>
        <v>0</v>
      </c>
      <c r="I64" s="256">
        <f>SUMIFS($J$106:$J$255,$P$106:$P$255,"Delinquency Change")</f>
        <v>0</v>
      </c>
      <c r="J64" s="256">
        <f>SUMIFS($K$106:$K$255,$P$106:$P$255,"Delinquency Change")</f>
        <v>0</v>
      </c>
      <c r="K64" s="256">
        <f>SUMIFS($L$106:$L$255,$P$106:$P$255,"Delinquency Change")</f>
        <v>0</v>
      </c>
      <c r="L64" s="256">
        <f>SUMIFS($M$106:$M$255,$P$106:$P$255,"Delinquency Change")</f>
        <v>0</v>
      </c>
      <c r="M64" s="256">
        <f>SUMIFS($N$106:$N$255,$P$106:$P$255,"Delinquency Change")</f>
        <v>0</v>
      </c>
      <c r="N64" s="286">
        <f>SUMIFS($O$106:$O$255,$P$106:$P$255,"Delinquency Change")</f>
        <v>0</v>
      </c>
      <c r="O64" s="256">
        <f t="shared" si="3"/>
        <v>0</v>
      </c>
      <c r="P64" s="289">
        <f>IFERROR(N64/12/'Prop Info'!$B$6,0)</f>
        <v>0</v>
      </c>
      <c r="Q64" s="252">
        <f t="shared" si="4"/>
        <v>0</v>
      </c>
      <c r="R64" s="295" t="str">
        <f>IFERROR(IF(OR(VLOOKUP(A64,_StdCOA!$A$4:$E$56,4,0)=0,VLOOKUP(A64,_StdCOA!$A$4:$E$56,5,0)=0),"",IF(ABS(P64)&gt;VLOOKUP(A64,_StdCOA!$A$4:$E$56,5,0),"🔴 high",IF(ABS(P64)&lt;VLOOKUP(A64,_StdCOA!$A$4:$E$56,4,0),"🟢 low","🟡 in range"))),"")</f>
        <v/>
      </c>
    </row>
    <row r="65" spans="1:18" ht="15" customHeight="1" x14ac:dyDescent="0.2">
      <c r="A65" s="106" t="s">
        <v>940</v>
      </c>
      <c r="B65" s="256">
        <f>SUMIFS($C$106:$C$255,$P$106:$P$255,"Write-offs / Bad Debt")</f>
        <v>0</v>
      </c>
      <c r="C65" s="256">
        <f>SUMIFS($D$106:$D$255,$P$106:$P$255,"Write-offs / Bad Debt")</f>
        <v>0</v>
      </c>
      <c r="D65" s="256">
        <f>SUMIFS($E$106:$E$255,$P$106:$P$255,"Write-offs / Bad Debt")</f>
        <v>0</v>
      </c>
      <c r="E65" s="256">
        <f>SUMIFS($F$106:$F$255,$P$106:$P$255,"Write-offs / Bad Debt")</f>
        <v>0</v>
      </c>
      <c r="F65" s="256">
        <f>SUMIFS($G$106:$G$255,$P$106:$P$255,"Write-offs / Bad Debt")</f>
        <v>0</v>
      </c>
      <c r="G65" s="256">
        <f>SUMIFS($H$106:$H$255,$P$106:$P$255,"Write-offs / Bad Debt")</f>
        <v>0</v>
      </c>
      <c r="H65" s="256">
        <f>SUMIFS($I$106:$I$255,$P$106:$P$255,"Write-offs / Bad Debt")</f>
        <v>0</v>
      </c>
      <c r="I65" s="256">
        <f>SUMIFS($J$106:$J$255,$P$106:$P$255,"Write-offs / Bad Debt")</f>
        <v>0</v>
      </c>
      <c r="J65" s="256">
        <f>SUMIFS($K$106:$K$255,$P$106:$P$255,"Write-offs / Bad Debt")</f>
        <v>0</v>
      </c>
      <c r="K65" s="256">
        <f>SUMIFS($L$106:$L$255,$P$106:$P$255,"Write-offs / Bad Debt")</f>
        <v>0</v>
      </c>
      <c r="L65" s="256">
        <f>SUMIFS($M$106:$M$255,$P$106:$P$255,"Write-offs / Bad Debt")</f>
        <v>0</v>
      </c>
      <c r="M65" s="256">
        <f>SUMIFS($N$106:$N$255,$P$106:$P$255,"Write-offs / Bad Debt")</f>
        <v>0</v>
      </c>
      <c r="N65" s="286">
        <f>SUMIFS($O$106:$O$255,$P$106:$P$255,"Write-offs / Bad Debt")</f>
        <v>0</v>
      </c>
      <c r="O65" s="256">
        <f t="shared" si="3"/>
        <v>0</v>
      </c>
      <c r="P65" s="289">
        <f>IFERROR(N65/12/'Prop Info'!$B$6,0)</f>
        <v>0</v>
      </c>
      <c r="Q65" s="252">
        <f t="shared" si="4"/>
        <v>0</v>
      </c>
      <c r="R65" s="295" t="str">
        <f>IFERROR(IF(OR(VLOOKUP(A65,_StdCOA!$A$4:$E$56,4,0)=0,VLOOKUP(A65,_StdCOA!$A$4:$E$56,5,0)=0),"",IF(ABS(P65)&gt;VLOOKUP(A65,_StdCOA!$A$4:$E$56,5,0),"🔴 high",IF(ABS(P65)&lt;VLOOKUP(A65,_StdCOA!$A$4:$E$56,4,0),"🟢 low","🟡 in range"))),"")</f>
        <v/>
      </c>
    </row>
    <row r="66" spans="1:18" ht="15" customHeight="1" x14ac:dyDescent="0.2">
      <c r="A66" s="106" t="s">
        <v>941</v>
      </c>
      <c r="B66" s="256">
        <f>SUMIFS($C$106:$C$255,$P$106:$P$255,"Prepaid Rent Change")</f>
        <v>0</v>
      </c>
      <c r="C66" s="256">
        <f>SUMIFS($D$106:$D$255,$P$106:$P$255,"Prepaid Rent Change")</f>
        <v>0</v>
      </c>
      <c r="D66" s="256">
        <f>SUMIFS($E$106:$E$255,$P$106:$P$255,"Prepaid Rent Change")</f>
        <v>0</v>
      </c>
      <c r="E66" s="256">
        <f>SUMIFS($F$106:$F$255,$P$106:$P$255,"Prepaid Rent Change")</f>
        <v>0</v>
      </c>
      <c r="F66" s="256">
        <f>SUMIFS($G$106:$G$255,$P$106:$P$255,"Prepaid Rent Change")</f>
        <v>0</v>
      </c>
      <c r="G66" s="256">
        <f>SUMIFS($H$106:$H$255,$P$106:$P$255,"Prepaid Rent Change")</f>
        <v>0</v>
      </c>
      <c r="H66" s="256">
        <f>SUMIFS($I$106:$I$255,$P$106:$P$255,"Prepaid Rent Change")</f>
        <v>0</v>
      </c>
      <c r="I66" s="256">
        <f>SUMIFS($J$106:$J$255,$P$106:$P$255,"Prepaid Rent Change")</f>
        <v>0</v>
      </c>
      <c r="J66" s="256">
        <f>SUMIFS($K$106:$K$255,$P$106:$P$255,"Prepaid Rent Change")</f>
        <v>0</v>
      </c>
      <c r="K66" s="256">
        <f>SUMIFS($L$106:$L$255,$P$106:$P$255,"Prepaid Rent Change")</f>
        <v>0</v>
      </c>
      <c r="L66" s="256">
        <f>SUMIFS($M$106:$M$255,$P$106:$P$255,"Prepaid Rent Change")</f>
        <v>0</v>
      </c>
      <c r="M66" s="256">
        <f>SUMIFS($N$106:$N$255,$P$106:$P$255,"Prepaid Rent Change")</f>
        <v>0</v>
      </c>
      <c r="N66" s="286">
        <f>SUMIFS($O$106:$O$255,$P$106:$P$255,"Prepaid Rent Change")</f>
        <v>0</v>
      </c>
      <c r="O66" s="256">
        <f t="shared" si="3"/>
        <v>0</v>
      </c>
      <c r="P66" s="289">
        <f>IFERROR(N66/12/'Prop Info'!$B$6,0)</f>
        <v>0</v>
      </c>
      <c r="Q66" s="252">
        <f t="shared" si="4"/>
        <v>0</v>
      </c>
      <c r="R66" s="295" t="str">
        <f>IFERROR(IF(OR(VLOOKUP(A66,_StdCOA!$A$4:$E$56,4,0)=0,VLOOKUP(A66,_StdCOA!$A$4:$E$56,5,0)=0),"",IF(ABS(P66)&gt;VLOOKUP(A66,_StdCOA!$A$4:$E$56,5,0),"🔴 high",IF(ABS(P66)&lt;VLOOKUP(A66,_StdCOA!$A$4:$E$56,4,0),"🟢 low","🟡 in range"))),"")</f>
        <v/>
      </c>
    </row>
    <row r="67" spans="1:18" ht="15" customHeight="1" x14ac:dyDescent="0.2">
      <c r="A67" s="290" t="s">
        <v>942</v>
      </c>
      <c r="B67" s="291">
        <f t="shared" ref="B67:N67" si="5">B58+B59+B60+B61+B62+B63+B64+B65+B66</f>
        <v>0</v>
      </c>
      <c r="C67" s="291">
        <f t="shared" si="5"/>
        <v>0</v>
      </c>
      <c r="D67" s="291">
        <f t="shared" si="5"/>
        <v>0</v>
      </c>
      <c r="E67" s="291">
        <f t="shared" si="5"/>
        <v>0</v>
      </c>
      <c r="F67" s="291">
        <f t="shared" si="5"/>
        <v>0</v>
      </c>
      <c r="G67" s="291">
        <f t="shared" si="5"/>
        <v>0</v>
      </c>
      <c r="H67" s="291">
        <f t="shared" si="5"/>
        <v>0</v>
      </c>
      <c r="I67" s="291">
        <f t="shared" si="5"/>
        <v>0</v>
      </c>
      <c r="J67" s="291">
        <f t="shared" si="5"/>
        <v>0</v>
      </c>
      <c r="K67" s="291">
        <f t="shared" si="5"/>
        <v>0</v>
      </c>
      <c r="L67" s="291">
        <f t="shared" si="5"/>
        <v>0</v>
      </c>
      <c r="M67" s="291">
        <f t="shared" si="5"/>
        <v>0</v>
      </c>
      <c r="N67" s="291">
        <f t="shared" si="5"/>
        <v>0</v>
      </c>
      <c r="O67" s="291">
        <f t="shared" si="3"/>
        <v>0</v>
      </c>
      <c r="P67" s="296">
        <f>IFERROR(N67/12/'Prop Info'!$B$6,0)</f>
        <v>0</v>
      </c>
      <c r="Q67" s="292">
        <f t="shared" si="4"/>
        <v>0</v>
      </c>
    </row>
    <row r="68" spans="1:18" ht="15" customHeight="1" x14ac:dyDescent="0.2">
      <c r="A68" s="106" t="s">
        <v>943</v>
      </c>
      <c r="B68" s="256">
        <f>SUMIFS($C$106:$C$255,$P$106:$P$255,"MTM Fees")</f>
        <v>0</v>
      </c>
      <c r="C68" s="256">
        <f>SUMIFS($D$106:$D$255,$P$106:$P$255,"MTM Fees")</f>
        <v>0</v>
      </c>
      <c r="D68" s="256">
        <f>SUMIFS($E$106:$E$255,$P$106:$P$255,"MTM Fees")</f>
        <v>0</v>
      </c>
      <c r="E68" s="256">
        <f>SUMIFS($F$106:$F$255,$P$106:$P$255,"MTM Fees")</f>
        <v>0</v>
      </c>
      <c r="F68" s="256">
        <f>SUMIFS($G$106:$G$255,$P$106:$P$255,"MTM Fees")</f>
        <v>0</v>
      </c>
      <c r="G68" s="256">
        <f>SUMIFS($H$106:$H$255,$P$106:$P$255,"MTM Fees")</f>
        <v>0</v>
      </c>
      <c r="H68" s="256">
        <f>SUMIFS($I$106:$I$255,$P$106:$P$255,"MTM Fees")</f>
        <v>0</v>
      </c>
      <c r="I68" s="256">
        <f>SUMIFS($J$106:$J$255,$P$106:$P$255,"MTM Fees")</f>
        <v>0</v>
      </c>
      <c r="J68" s="256">
        <f>SUMIFS($K$106:$K$255,$P$106:$P$255,"MTM Fees")</f>
        <v>0</v>
      </c>
      <c r="K68" s="256">
        <f>SUMIFS($L$106:$L$255,$P$106:$P$255,"MTM Fees")</f>
        <v>0</v>
      </c>
      <c r="L68" s="256">
        <f>SUMIFS($M$106:$M$255,$P$106:$P$255,"MTM Fees")</f>
        <v>0</v>
      </c>
      <c r="M68" s="256">
        <f>SUMIFS($N$106:$N$255,$P$106:$P$255,"MTM Fees")</f>
        <v>0</v>
      </c>
      <c r="N68" s="286">
        <f>SUMIFS($O$106:$O$255,$P$106:$P$255,"MTM Fees")</f>
        <v>0</v>
      </c>
      <c r="O68" s="256">
        <f t="shared" si="3"/>
        <v>0</v>
      </c>
      <c r="P68" s="289">
        <f>IFERROR(N68/12/'Prop Info'!$B$6,0)</f>
        <v>0</v>
      </c>
      <c r="Q68" s="252">
        <f t="shared" si="4"/>
        <v>0</v>
      </c>
      <c r="R68" s="295" t="str">
        <f>IFERROR(IF(OR(VLOOKUP(A68,_StdCOA!$A$4:$E$56,4,0)=0,VLOOKUP(A68,_StdCOA!$A$4:$E$56,5,0)=0),"",IF(ABS(P68)&gt;VLOOKUP(A68,_StdCOA!$A$4:$E$56,5,0),"🔴 high",IF(ABS(P68)&lt;VLOOKUP(A68,_StdCOA!$A$4:$E$56,4,0),"🟢 low","🟡 in range"))),"")</f>
        <v/>
      </c>
    </row>
    <row r="69" spans="1:18" ht="15" customHeight="1" x14ac:dyDescent="0.2">
      <c r="A69" s="106" t="s">
        <v>944</v>
      </c>
      <c r="B69" s="256">
        <f>SUMIFS($C$106:$C$255,$P$106:$P$255,"Application Fees")</f>
        <v>0</v>
      </c>
      <c r="C69" s="256">
        <f>SUMIFS($D$106:$D$255,$P$106:$P$255,"Application Fees")</f>
        <v>0</v>
      </c>
      <c r="D69" s="256">
        <f>SUMIFS($E$106:$E$255,$P$106:$P$255,"Application Fees")</f>
        <v>0</v>
      </c>
      <c r="E69" s="256">
        <f>SUMIFS($F$106:$F$255,$P$106:$P$255,"Application Fees")</f>
        <v>0</v>
      </c>
      <c r="F69" s="256">
        <f>SUMIFS($G$106:$G$255,$P$106:$P$255,"Application Fees")</f>
        <v>0</v>
      </c>
      <c r="G69" s="256">
        <f>SUMIFS($H$106:$H$255,$P$106:$P$255,"Application Fees")</f>
        <v>0</v>
      </c>
      <c r="H69" s="256">
        <f>SUMIFS($I$106:$I$255,$P$106:$P$255,"Application Fees")</f>
        <v>0</v>
      </c>
      <c r="I69" s="256">
        <f>SUMIFS($J$106:$J$255,$P$106:$P$255,"Application Fees")</f>
        <v>0</v>
      </c>
      <c r="J69" s="256">
        <f>SUMIFS($K$106:$K$255,$P$106:$P$255,"Application Fees")</f>
        <v>0</v>
      </c>
      <c r="K69" s="256">
        <f>SUMIFS($L$106:$L$255,$P$106:$P$255,"Application Fees")</f>
        <v>0</v>
      </c>
      <c r="L69" s="256">
        <f>SUMIFS($M$106:$M$255,$P$106:$P$255,"Application Fees")</f>
        <v>0</v>
      </c>
      <c r="M69" s="256">
        <f>SUMIFS($N$106:$N$255,$P$106:$P$255,"Application Fees")</f>
        <v>0</v>
      </c>
      <c r="N69" s="286">
        <f>SUMIFS($O$106:$O$255,$P$106:$P$255,"Application Fees")</f>
        <v>0</v>
      </c>
      <c r="O69" s="256">
        <f t="shared" si="3"/>
        <v>0</v>
      </c>
      <c r="P69" s="289">
        <f>IFERROR(N69/12/'Prop Info'!$B$6,0)</f>
        <v>0</v>
      </c>
      <c r="Q69" s="252">
        <f t="shared" si="4"/>
        <v>0</v>
      </c>
      <c r="R69" s="295" t="str">
        <f>IFERROR(IF(OR(VLOOKUP(A69,_StdCOA!$A$4:$E$56,4,0)=0,VLOOKUP(A69,_StdCOA!$A$4:$E$56,5,0)=0),"",IF(ABS(P69)&gt;VLOOKUP(A69,_StdCOA!$A$4:$E$56,5,0),"🔴 high",IF(ABS(P69)&lt;VLOOKUP(A69,_StdCOA!$A$4:$E$56,4,0),"🟢 low","🟡 in range"))),"")</f>
        <v/>
      </c>
    </row>
    <row r="70" spans="1:18" ht="15" customHeight="1" x14ac:dyDescent="0.2">
      <c r="A70" s="106" t="s">
        <v>945</v>
      </c>
      <c r="B70" s="256">
        <f>SUMIFS($C$106:$C$255,$P$106:$P$255,"Late Fees")</f>
        <v>0</v>
      </c>
      <c r="C70" s="256">
        <f>SUMIFS($D$106:$D$255,$P$106:$P$255,"Late Fees")</f>
        <v>0</v>
      </c>
      <c r="D70" s="256">
        <f>SUMIFS($E$106:$E$255,$P$106:$P$255,"Late Fees")</f>
        <v>0</v>
      </c>
      <c r="E70" s="256">
        <f>SUMIFS($F$106:$F$255,$P$106:$P$255,"Late Fees")</f>
        <v>0</v>
      </c>
      <c r="F70" s="256">
        <f>SUMIFS($G$106:$G$255,$P$106:$P$255,"Late Fees")</f>
        <v>0</v>
      </c>
      <c r="G70" s="256">
        <f>SUMIFS($H$106:$H$255,$P$106:$P$255,"Late Fees")</f>
        <v>0</v>
      </c>
      <c r="H70" s="256">
        <f>SUMIFS($I$106:$I$255,$P$106:$P$255,"Late Fees")</f>
        <v>0</v>
      </c>
      <c r="I70" s="256">
        <f>SUMIFS($J$106:$J$255,$P$106:$P$255,"Late Fees")</f>
        <v>0</v>
      </c>
      <c r="J70" s="256">
        <f>SUMIFS($K$106:$K$255,$P$106:$P$255,"Late Fees")</f>
        <v>0</v>
      </c>
      <c r="K70" s="256">
        <f>SUMIFS($L$106:$L$255,$P$106:$P$255,"Late Fees")</f>
        <v>0</v>
      </c>
      <c r="L70" s="256">
        <f>SUMIFS($M$106:$M$255,$P$106:$P$255,"Late Fees")</f>
        <v>0</v>
      </c>
      <c r="M70" s="256">
        <f>SUMIFS($N$106:$N$255,$P$106:$P$255,"Late Fees")</f>
        <v>0</v>
      </c>
      <c r="N70" s="286">
        <f>SUMIFS($O$106:$O$255,$P$106:$P$255,"Late Fees")</f>
        <v>0</v>
      </c>
      <c r="O70" s="256">
        <f t="shared" si="3"/>
        <v>0</v>
      </c>
      <c r="P70" s="289">
        <f>IFERROR(N70/12/'Prop Info'!$B$6,0)</f>
        <v>0</v>
      </c>
      <c r="Q70" s="252">
        <f t="shared" si="4"/>
        <v>0</v>
      </c>
      <c r="R70" s="295" t="str">
        <f>IFERROR(IF(OR(VLOOKUP(A70,_StdCOA!$A$4:$E$56,4,0)=0,VLOOKUP(A70,_StdCOA!$A$4:$E$56,5,0)=0),"",IF(ABS(P70)&gt;VLOOKUP(A70,_StdCOA!$A$4:$E$56,5,0),"🔴 high",IF(ABS(P70)&lt;VLOOKUP(A70,_StdCOA!$A$4:$E$56,4,0),"🟢 low","🟡 in range"))),"")</f>
        <v/>
      </c>
    </row>
    <row r="71" spans="1:18" ht="15" customHeight="1" x14ac:dyDescent="0.2">
      <c r="A71" s="106" t="s">
        <v>946</v>
      </c>
      <c r="B71" s="256">
        <f>SUMIFS($C$106:$C$255,$P$106:$P$255,_StdCOA!$A$16)+SUMIFS($C$106:$C$255,$P$106:$P$255,_StdCOA!$A$42)+SUMIFS($C$106:$C$255,$P$106:$P$255,_StdCOA!$A$43)+SUMIFS($C$106:$C$255,$P$106:$P$255,_StdCOA!$A$44)+SUMIFS($C$106:$C$255,$P$106:$P$255,_StdCOA!$A$45)</f>
        <v>0</v>
      </c>
      <c r="C71" s="256">
        <f>SUMIFS($D$106:$D$255,$P$106:$P$255,_StdCOA!$A$16)+SUMIFS($D$106:$D$255,$P$106:$P$255,_StdCOA!$A$42)+SUMIFS($D$106:$D$255,$P$106:$P$255,_StdCOA!$A$43)+SUMIFS($D$106:$D$255,$P$106:$P$255,_StdCOA!$A$44)+SUMIFS($D$106:$D$255,$P$106:$P$255,_StdCOA!$A$45)</f>
        <v>0</v>
      </c>
      <c r="D71" s="256">
        <f>SUMIFS($E$106:$E$255,$P$106:$P$255,_StdCOA!$A$16)+SUMIFS($E$106:$E$255,$P$106:$P$255,_StdCOA!$A$42)+SUMIFS($E$106:$E$255,$P$106:$P$255,_StdCOA!$A$43)+SUMIFS($E$106:$E$255,$P$106:$P$255,_StdCOA!$A$44)+SUMIFS($E$106:$E$255,$P$106:$P$255,_StdCOA!$A$45)</f>
        <v>0</v>
      </c>
      <c r="E71" s="256">
        <f>SUMIFS($F$106:$F$255,$P$106:$P$255,_StdCOA!$A$16)+SUMIFS($F$106:$F$255,$P$106:$P$255,_StdCOA!$A$42)+SUMIFS($F$106:$F$255,$P$106:$P$255,_StdCOA!$A$43)+SUMIFS($F$106:$F$255,$P$106:$P$255,_StdCOA!$A$44)+SUMIFS($F$106:$F$255,$P$106:$P$255,_StdCOA!$A$45)</f>
        <v>0</v>
      </c>
      <c r="F71" s="256">
        <f>SUMIFS($G$106:$G$255,$P$106:$P$255,_StdCOA!$A$16)+SUMIFS($G$106:$G$255,$P$106:$P$255,_StdCOA!$A$42)+SUMIFS($G$106:$G$255,$P$106:$P$255,_StdCOA!$A$43)+SUMIFS($G$106:$G$255,$P$106:$P$255,_StdCOA!$A$44)+SUMIFS($G$106:$G$255,$P$106:$P$255,_StdCOA!$A$45)</f>
        <v>0</v>
      </c>
      <c r="G71" s="256">
        <f>SUMIFS($H$106:$H$255,$P$106:$P$255,_StdCOA!$A$16)+SUMIFS($H$106:$H$255,$P$106:$P$255,_StdCOA!$A$42)+SUMIFS($H$106:$H$255,$P$106:$P$255,_StdCOA!$A$43)+SUMIFS($H$106:$H$255,$P$106:$P$255,_StdCOA!$A$44)+SUMIFS($H$106:$H$255,$P$106:$P$255,_StdCOA!$A$45)</f>
        <v>0</v>
      </c>
      <c r="H71" s="256">
        <f>SUMIFS($I$106:$I$255,$P$106:$P$255,_StdCOA!$A$16)+SUMIFS($I$106:$I$255,$P$106:$P$255,_StdCOA!$A$42)+SUMIFS($I$106:$I$255,$P$106:$P$255,_StdCOA!$A$43)+SUMIFS($I$106:$I$255,$P$106:$P$255,_StdCOA!$A$44)+SUMIFS($I$106:$I$255,$P$106:$P$255,_StdCOA!$A$45)</f>
        <v>0</v>
      </c>
      <c r="I71" s="256">
        <f>SUMIFS($J$106:$J$255,$P$106:$P$255,_StdCOA!$A$16)+SUMIFS($J$106:$J$255,$P$106:$P$255,_StdCOA!$A$42)+SUMIFS($J$106:$J$255,$P$106:$P$255,_StdCOA!$A$43)+SUMIFS($J$106:$J$255,$P$106:$P$255,_StdCOA!$A$44)+SUMIFS($J$106:$J$255,$P$106:$P$255,_StdCOA!$A$45)</f>
        <v>0</v>
      </c>
      <c r="J71" s="256">
        <f>SUMIFS($K$106:$K$255,$P$106:$P$255,_StdCOA!$A$16)+SUMIFS($K$106:$K$255,$P$106:$P$255,_StdCOA!$A$42)+SUMIFS($K$106:$K$255,$P$106:$P$255,_StdCOA!$A$43)+SUMIFS($K$106:$K$255,$P$106:$P$255,_StdCOA!$A$44)+SUMIFS($K$106:$K$255,$P$106:$P$255,_StdCOA!$A$45)</f>
        <v>0</v>
      </c>
      <c r="K71" s="256">
        <f>SUMIFS($L$106:$L$255,$P$106:$P$255,_StdCOA!$A$16)+SUMIFS($L$106:$L$255,$P$106:$P$255,_StdCOA!$A$42)+SUMIFS($L$106:$L$255,$P$106:$P$255,_StdCOA!$A$43)+SUMIFS($L$106:$L$255,$P$106:$P$255,_StdCOA!$A$44)+SUMIFS($L$106:$L$255,$P$106:$P$255,_StdCOA!$A$45)</f>
        <v>0</v>
      </c>
      <c r="L71" s="256">
        <f>SUMIFS($M$106:$M$255,$P$106:$P$255,_StdCOA!$A$16)+SUMIFS($M$106:$M$255,$P$106:$P$255,_StdCOA!$A$42)+SUMIFS($M$106:$M$255,$P$106:$P$255,_StdCOA!$A$43)+SUMIFS($M$106:$M$255,$P$106:$P$255,_StdCOA!$A$44)+SUMIFS($M$106:$M$255,$P$106:$P$255,_StdCOA!$A$45)</f>
        <v>0</v>
      </c>
      <c r="M71" s="256">
        <f>SUMIFS($N$106:$N$255,$P$106:$P$255,_StdCOA!$A$16)+SUMIFS($N$106:$N$255,$P$106:$P$255,_StdCOA!$A$42)+SUMIFS($N$106:$N$255,$P$106:$P$255,_StdCOA!$A$43)+SUMIFS($N$106:$N$255,$P$106:$P$255,_StdCOA!$A$44)+SUMIFS($N$106:$N$255,$P$106:$P$255,_StdCOA!$A$45)+SUMIFS($N$106:$N$255,$P$106:$P$255,_StdCOA!$A$46)+SUMIFS($N$106:$N$255,$P$106:$P$255,_StdCOA!$A$47)+SUMIFS($N$106:$N$255,$P$106:$P$255,_StdCOA!$A$48)</f>
        <v>0</v>
      </c>
      <c r="N71" s="286">
        <f>SUMIFS($O$106:$O$255,$P$106:$P$255,_StdCOA!$A$16)+SUMIFS($O$106:$O$255,$P$106:$P$255,_StdCOA!$A$42)+SUMIFS($O$106:$O$255,$P$106:$P$255,_StdCOA!$A$43)+SUMIFS($O$106:$O$255,$P$106:$P$255,_StdCOA!$A$44)+SUMIFS($O$106:$O$255,$P$106:$P$255,_StdCOA!$A$45)+SUMIFS($O$106:$O$255,$P$106:$P$255,_StdCOA!$A$46)+SUMIFS($O$106:$O$255,$P$106:$P$255,_StdCOA!$A$47)+SUMIFS($O$106:$O$255,$P$106:$P$255,_StdCOA!$A$48)</f>
        <v>0</v>
      </c>
      <c r="O71" s="256">
        <f t="shared" si="3"/>
        <v>0</v>
      </c>
      <c r="P71" s="289">
        <f>IFERROR(N71/12/'Prop Info'!$B$6,0)</f>
        <v>0</v>
      </c>
      <c r="Q71" s="252">
        <f t="shared" si="4"/>
        <v>0</v>
      </c>
      <c r="R71" s="295" t="str">
        <f>IFERROR(IF(OR(VLOOKUP(A71,_StdCOA!$A$4:$E$56,4,0)=0,VLOOKUP(A71,_StdCOA!$A$4:$E$56,5,0)=0),"",IF(ABS(P71)&gt;VLOOKUP(A71,_StdCOA!$A$4:$E$56,5,0),"🔴 high",IF(ABS(P71)&lt;VLOOKUP(A71,_StdCOA!$A$4:$E$56,4,0),"🟢 low","🟡 in range"))),"")</f>
        <v/>
      </c>
    </row>
    <row r="72" spans="1:18" ht="15" customHeight="1" x14ac:dyDescent="0.2">
      <c r="A72" s="106" t="s">
        <v>947</v>
      </c>
      <c r="B72" s="256">
        <f>SUMIFS($C$106:$C$255,$P$106:$P$255,"Pet Fees")</f>
        <v>0</v>
      </c>
      <c r="C72" s="256">
        <f>SUMIFS($D$106:$D$255,$P$106:$P$255,"Pet Fees")</f>
        <v>0</v>
      </c>
      <c r="D72" s="256">
        <f>SUMIFS($E$106:$E$255,$P$106:$P$255,"Pet Fees")</f>
        <v>0</v>
      </c>
      <c r="E72" s="256">
        <f>SUMIFS($F$106:$F$255,$P$106:$P$255,"Pet Fees")</f>
        <v>0</v>
      </c>
      <c r="F72" s="256">
        <f>SUMIFS($G$106:$G$255,$P$106:$P$255,"Pet Fees")</f>
        <v>0</v>
      </c>
      <c r="G72" s="256">
        <f>SUMIFS($H$106:$H$255,$P$106:$P$255,"Pet Fees")</f>
        <v>0</v>
      </c>
      <c r="H72" s="256">
        <f>SUMIFS($I$106:$I$255,$P$106:$P$255,"Pet Fees")</f>
        <v>0</v>
      </c>
      <c r="I72" s="256">
        <f>SUMIFS($J$106:$J$255,$P$106:$P$255,"Pet Fees")</f>
        <v>0</v>
      </c>
      <c r="J72" s="256">
        <f>SUMIFS($K$106:$K$255,$P$106:$P$255,"Pet Fees")</f>
        <v>0</v>
      </c>
      <c r="K72" s="256">
        <f>SUMIFS($L$106:$L$255,$P$106:$P$255,"Pet Fees")</f>
        <v>0</v>
      </c>
      <c r="L72" s="256">
        <f>SUMIFS($M$106:$M$255,$P$106:$P$255,"Pet Fees")</f>
        <v>0</v>
      </c>
      <c r="M72" s="256">
        <f>SUMIFS($N$106:$N$255,$P$106:$P$255,"Pet Fees")</f>
        <v>0</v>
      </c>
      <c r="N72" s="286">
        <f>SUMIFS($O$106:$O$255,$P$106:$P$255,"Pet Fees")</f>
        <v>0</v>
      </c>
      <c r="O72" s="256">
        <f t="shared" si="3"/>
        <v>0</v>
      </c>
      <c r="P72" s="289">
        <f>IFERROR(N72/12/'Prop Info'!$B$6,0)</f>
        <v>0</v>
      </c>
      <c r="Q72" s="252">
        <f t="shared" si="4"/>
        <v>0</v>
      </c>
      <c r="R72" s="295" t="str">
        <f>IFERROR(IF(OR(VLOOKUP(A72,_StdCOA!$A$4:$E$56,4,0)=0,VLOOKUP(A72,_StdCOA!$A$4:$E$56,5,0)=0),"",IF(ABS(P72)&gt;VLOOKUP(A72,_StdCOA!$A$4:$E$56,5,0),"🔴 high",IF(ABS(P72)&lt;VLOOKUP(A72,_StdCOA!$A$4:$E$56,4,0),"🟢 low","🟡 in range"))),"")</f>
        <v/>
      </c>
    </row>
    <row r="73" spans="1:18" ht="15" customHeight="1" x14ac:dyDescent="0.2">
      <c r="A73" s="106" t="s">
        <v>948</v>
      </c>
      <c r="B73" s="256">
        <f>SUMIFS($C$106:$C$255,$P$106:$P$255,"Parking Income")</f>
        <v>0</v>
      </c>
      <c r="C73" s="256">
        <f>SUMIFS($D$106:$D$255,$P$106:$P$255,"Parking Income")</f>
        <v>0</v>
      </c>
      <c r="D73" s="256">
        <f>SUMIFS($E$106:$E$255,$P$106:$P$255,"Parking Income")</f>
        <v>0</v>
      </c>
      <c r="E73" s="256">
        <f>SUMIFS($F$106:$F$255,$P$106:$P$255,"Parking Income")</f>
        <v>0</v>
      </c>
      <c r="F73" s="256">
        <f>SUMIFS($G$106:$G$255,$P$106:$P$255,"Parking Income")</f>
        <v>0</v>
      </c>
      <c r="G73" s="256">
        <f>SUMIFS($H$106:$H$255,$P$106:$P$255,"Parking Income")</f>
        <v>0</v>
      </c>
      <c r="H73" s="256">
        <f>SUMIFS($I$106:$I$255,$P$106:$P$255,"Parking Income")</f>
        <v>0</v>
      </c>
      <c r="I73" s="256">
        <f>SUMIFS($J$106:$J$255,$P$106:$P$255,"Parking Income")</f>
        <v>0</v>
      </c>
      <c r="J73" s="256">
        <f>SUMIFS($K$106:$K$255,$P$106:$P$255,"Parking Income")</f>
        <v>0</v>
      </c>
      <c r="K73" s="256">
        <f>SUMIFS($L$106:$L$255,$P$106:$P$255,"Parking Income")</f>
        <v>0</v>
      </c>
      <c r="L73" s="256">
        <f>SUMIFS($M$106:$M$255,$P$106:$P$255,"Parking Income")</f>
        <v>0</v>
      </c>
      <c r="M73" s="256">
        <f>SUMIFS($N$106:$N$255,$P$106:$P$255,"Parking Income")</f>
        <v>0</v>
      </c>
      <c r="N73" s="286">
        <f>SUMIFS($O$106:$O$255,$P$106:$P$255,"Parking Income")</f>
        <v>0</v>
      </c>
      <c r="O73" s="256">
        <f t="shared" si="3"/>
        <v>0</v>
      </c>
      <c r="P73" s="289">
        <f>IFERROR(N73/12/'Prop Info'!$B$6,0)</f>
        <v>0</v>
      </c>
      <c r="Q73" s="252">
        <f t="shared" si="4"/>
        <v>0</v>
      </c>
      <c r="R73" s="295" t="str">
        <f>IFERROR(IF(OR(VLOOKUP(A73,_StdCOA!$A$4:$E$56,4,0)=0,VLOOKUP(A73,_StdCOA!$A$4:$E$56,5,0)=0),"",IF(ABS(P73)&gt;VLOOKUP(A73,_StdCOA!$A$4:$E$56,5,0),"🔴 high",IF(ABS(P73)&lt;VLOOKUP(A73,_StdCOA!$A$4:$E$56,4,0),"🟢 low","🟡 in range"))),"")</f>
        <v/>
      </c>
    </row>
    <row r="74" spans="1:18" ht="15" customHeight="1" x14ac:dyDescent="0.2">
      <c r="A74" s="106" t="s">
        <v>949</v>
      </c>
      <c r="B74" s="256">
        <f>SUMIFS($C$106:$C$255,$P$106:$P$255,"Amenity Fees")</f>
        <v>0</v>
      </c>
      <c r="C74" s="256">
        <f>SUMIFS($D$106:$D$255,$P$106:$P$255,"Amenity Fees")</f>
        <v>0</v>
      </c>
      <c r="D74" s="256">
        <f>SUMIFS($E$106:$E$255,$P$106:$P$255,"Amenity Fees")</f>
        <v>0</v>
      </c>
      <c r="E74" s="256">
        <f>SUMIFS($F$106:$F$255,$P$106:$P$255,"Amenity Fees")</f>
        <v>0</v>
      </c>
      <c r="F74" s="256">
        <f>SUMIFS($G$106:$G$255,$P$106:$P$255,"Amenity Fees")</f>
        <v>0</v>
      </c>
      <c r="G74" s="256">
        <f>SUMIFS($H$106:$H$255,$P$106:$P$255,"Amenity Fees")</f>
        <v>0</v>
      </c>
      <c r="H74" s="256">
        <f>SUMIFS($I$106:$I$255,$P$106:$P$255,"Amenity Fees")</f>
        <v>0</v>
      </c>
      <c r="I74" s="256">
        <f>SUMIFS($J$106:$J$255,$P$106:$P$255,"Amenity Fees")</f>
        <v>0</v>
      </c>
      <c r="J74" s="256">
        <f>SUMIFS($K$106:$K$255,$P$106:$P$255,"Amenity Fees")</f>
        <v>0</v>
      </c>
      <c r="K74" s="256">
        <f>SUMIFS($L$106:$L$255,$P$106:$P$255,"Amenity Fees")</f>
        <v>0</v>
      </c>
      <c r="L74" s="256">
        <f>SUMIFS($M$106:$M$255,$P$106:$P$255,"Amenity Fees")</f>
        <v>0</v>
      </c>
      <c r="M74" s="256">
        <f>SUMIFS($N$106:$N$255,$P$106:$P$255,"Amenity Fees")</f>
        <v>0</v>
      </c>
      <c r="N74" s="286">
        <f>SUMIFS($O$106:$O$255,$P$106:$P$255,"Amenity Fees")</f>
        <v>0</v>
      </c>
      <c r="O74" s="256">
        <f t="shared" si="3"/>
        <v>0</v>
      </c>
      <c r="P74" s="289">
        <f>IFERROR(N74/12/'Prop Info'!$B$6,0)</f>
        <v>0</v>
      </c>
      <c r="Q74" s="252">
        <f t="shared" si="4"/>
        <v>0</v>
      </c>
      <c r="R74" s="295" t="str">
        <f>IFERROR(IF(OR(VLOOKUP(A74,_StdCOA!$A$4:$E$56,4,0)=0,VLOOKUP(A74,_StdCOA!$A$4:$E$56,5,0)=0),"",IF(ABS(P74)&gt;VLOOKUP(A74,_StdCOA!$A$4:$E$56,5,0),"🔴 high",IF(ABS(P74)&lt;VLOOKUP(A74,_StdCOA!$A$4:$E$56,4,0),"🟢 low","🟡 in range"))),"")</f>
        <v/>
      </c>
    </row>
    <row r="75" spans="1:18" ht="15" customHeight="1" x14ac:dyDescent="0.2">
      <c r="A75" s="106" t="s">
        <v>950</v>
      </c>
      <c r="B75" s="256">
        <f>SUMIFS($C$106:$C$255,$P$106:$P$255,"Admin Fees")</f>
        <v>0</v>
      </c>
      <c r="C75" s="256">
        <f>SUMIFS($D$106:$D$255,$P$106:$P$255,"Admin Fees")</f>
        <v>0</v>
      </c>
      <c r="D75" s="256">
        <f>SUMIFS($E$106:$E$255,$P$106:$P$255,"Admin Fees")</f>
        <v>0</v>
      </c>
      <c r="E75" s="256">
        <f>SUMIFS($F$106:$F$255,$P$106:$P$255,"Admin Fees")</f>
        <v>0</v>
      </c>
      <c r="F75" s="256">
        <f>SUMIFS($G$106:$G$255,$P$106:$P$255,"Admin Fees")</f>
        <v>0</v>
      </c>
      <c r="G75" s="256">
        <f>SUMIFS($H$106:$H$255,$P$106:$P$255,"Admin Fees")</f>
        <v>0</v>
      </c>
      <c r="H75" s="256">
        <f>SUMIFS($I$106:$I$255,$P$106:$P$255,"Admin Fees")</f>
        <v>0</v>
      </c>
      <c r="I75" s="256">
        <f>SUMIFS($J$106:$J$255,$P$106:$P$255,"Admin Fees")</f>
        <v>0</v>
      </c>
      <c r="J75" s="256">
        <f>SUMIFS($K$106:$K$255,$P$106:$P$255,"Admin Fees")</f>
        <v>0</v>
      </c>
      <c r="K75" s="256">
        <f>SUMIFS($L$106:$L$255,$P$106:$P$255,"Admin Fees")</f>
        <v>0</v>
      </c>
      <c r="L75" s="256">
        <f>SUMIFS($M$106:$M$255,$P$106:$P$255,"Admin Fees")</f>
        <v>0</v>
      </c>
      <c r="M75" s="256">
        <f>SUMIFS($N$106:$N$255,$P$106:$P$255,"Admin Fees")</f>
        <v>0</v>
      </c>
      <c r="N75" s="286">
        <f>SUMIFS($O$106:$O$255,$P$106:$P$255,"Admin Fees")</f>
        <v>0</v>
      </c>
      <c r="O75" s="256">
        <f t="shared" si="3"/>
        <v>0</v>
      </c>
      <c r="P75" s="289">
        <f>IFERROR(N75/12/'Prop Info'!$B$6,0)</f>
        <v>0</v>
      </c>
      <c r="Q75" s="252">
        <f t="shared" si="4"/>
        <v>0</v>
      </c>
      <c r="R75" s="295" t="str">
        <f>IFERROR(IF(OR(VLOOKUP(A75,_StdCOA!$A$4:$E$56,4,0)=0,VLOOKUP(A75,_StdCOA!$A$4:$E$56,5,0)=0),"",IF(ABS(P75)&gt;VLOOKUP(A75,_StdCOA!$A$4:$E$56,5,0),"🔴 high",IF(ABS(P75)&lt;VLOOKUP(A75,_StdCOA!$A$4:$E$56,4,0),"🟢 low","🟡 in range"))),"")</f>
        <v/>
      </c>
    </row>
    <row r="76" spans="1:18" ht="15" customHeight="1" x14ac:dyDescent="0.2">
      <c r="A76" s="106" t="s">
        <v>951</v>
      </c>
      <c r="B76" s="256">
        <f>SUMIFS($C$106:$C$255,$P$106:$P$255,"Insurance Pass-Thru")</f>
        <v>0</v>
      </c>
      <c r="C76" s="256">
        <f>SUMIFS($D$106:$D$255,$P$106:$P$255,"Insurance Pass-Thru")</f>
        <v>0</v>
      </c>
      <c r="D76" s="256">
        <f>SUMIFS($E$106:$E$255,$P$106:$P$255,"Insurance Pass-Thru")</f>
        <v>0</v>
      </c>
      <c r="E76" s="256">
        <f>SUMIFS($F$106:$F$255,$P$106:$P$255,"Insurance Pass-Thru")</f>
        <v>0</v>
      </c>
      <c r="F76" s="256">
        <f>SUMIFS($G$106:$G$255,$P$106:$P$255,"Insurance Pass-Thru")</f>
        <v>0</v>
      </c>
      <c r="G76" s="256">
        <f>SUMIFS($H$106:$H$255,$P$106:$P$255,"Insurance Pass-Thru")</f>
        <v>0</v>
      </c>
      <c r="H76" s="256">
        <f>SUMIFS($I$106:$I$255,$P$106:$P$255,"Insurance Pass-Thru")</f>
        <v>0</v>
      </c>
      <c r="I76" s="256">
        <f>SUMIFS($J$106:$J$255,$P$106:$P$255,"Insurance Pass-Thru")</f>
        <v>0</v>
      </c>
      <c r="J76" s="256">
        <f>SUMIFS($K$106:$K$255,$P$106:$P$255,"Insurance Pass-Thru")</f>
        <v>0</v>
      </c>
      <c r="K76" s="256">
        <f>SUMIFS($L$106:$L$255,$P$106:$P$255,"Insurance Pass-Thru")</f>
        <v>0</v>
      </c>
      <c r="L76" s="256">
        <f>SUMIFS($M$106:$M$255,$P$106:$P$255,"Insurance Pass-Thru")</f>
        <v>0</v>
      </c>
      <c r="M76" s="256">
        <f>SUMIFS($N$106:$N$255,$P$106:$P$255,"Insurance Pass-Thru")</f>
        <v>0</v>
      </c>
      <c r="N76" s="286">
        <f>SUMIFS($O$106:$O$255,$P$106:$P$255,"Insurance Pass-Thru")</f>
        <v>0</v>
      </c>
      <c r="O76" s="256">
        <f t="shared" si="3"/>
        <v>0</v>
      </c>
      <c r="P76" s="289">
        <f>IFERROR(N76/12/'Prop Info'!$B$6,0)</f>
        <v>0</v>
      </c>
      <c r="Q76" s="252">
        <f t="shared" si="4"/>
        <v>0</v>
      </c>
      <c r="R76" s="295" t="str">
        <f>IFERROR(IF(OR(VLOOKUP(A76,_StdCOA!$A$4:$E$56,4,0)=0,VLOOKUP(A76,_StdCOA!$A$4:$E$56,5,0)=0),"",IF(ABS(P76)&gt;VLOOKUP(A76,_StdCOA!$A$4:$E$56,5,0),"🔴 high",IF(ABS(P76)&lt;VLOOKUP(A76,_StdCOA!$A$4:$E$56,4,0),"🟢 low","🟡 in range"))),"")</f>
        <v/>
      </c>
    </row>
    <row r="77" spans="1:18" ht="15" customHeight="1" x14ac:dyDescent="0.2">
      <c r="A77" s="106" t="s">
        <v>952</v>
      </c>
      <c r="B77" s="256">
        <f>SUMIFS($C$106:$C$255,$P$106:$P$255,"Misc Other Income")</f>
        <v>0</v>
      </c>
      <c r="C77" s="256">
        <f>SUMIFS($D$106:$D$255,$P$106:$P$255,"Misc Other Income")</f>
        <v>0</v>
      </c>
      <c r="D77" s="256">
        <f>SUMIFS($E$106:$E$255,$P$106:$P$255,"Misc Other Income")</f>
        <v>0</v>
      </c>
      <c r="E77" s="256">
        <f>SUMIFS($F$106:$F$255,$P$106:$P$255,"Misc Other Income")</f>
        <v>0</v>
      </c>
      <c r="F77" s="256">
        <f>SUMIFS($G$106:$G$255,$P$106:$P$255,"Misc Other Income")</f>
        <v>0</v>
      </c>
      <c r="G77" s="256">
        <f>SUMIFS($H$106:$H$255,$P$106:$P$255,"Misc Other Income")</f>
        <v>0</v>
      </c>
      <c r="H77" s="256">
        <f>SUMIFS($I$106:$I$255,$P$106:$P$255,"Misc Other Income")</f>
        <v>0</v>
      </c>
      <c r="I77" s="256">
        <f>SUMIFS($J$106:$J$255,$P$106:$P$255,"Misc Other Income")</f>
        <v>0</v>
      </c>
      <c r="J77" s="256">
        <f>SUMIFS($K$106:$K$255,$P$106:$P$255,"Misc Other Income")</f>
        <v>0</v>
      </c>
      <c r="K77" s="256">
        <f>SUMIFS($L$106:$L$255,$P$106:$P$255,"Misc Other Income")</f>
        <v>0</v>
      </c>
      <c r="L77" s="256">
        <f>SUMIFS($M$106:$M$255,$P$106:$P$255,"Misc Other Income")</f>
        <v>0</v>
      </c>
      <c r="M77" s="256">
        <f>SUMIFS($N$106:$N$255,$P$106:$P$255,"Misc Other Income")</f>
        <v>0</v>
      </c>
      <c r="N77" s="286">
        <f>SUMIFS($O$106:$O$255,$P$106:$P$255,"Misc Other Income")</f>
        <v>0</v>
      </c>
      <c r="O77" s="256">
        <f t="shared" si="3"/>
        <v>0</v>
      </c>
      <c r="P77" s="289">
        <f>IFERROR(N77/12/'Prop Info'!$B$6,0)</f>
        <v>0</v>
      </c>
      <c r="Q77" s="252">
        <f t="shared" si="4"/>
        <v>0</v>
      </c>
      <c r="R77" s="295" t="str">
        <f>IFERROR(IF(OR(VLOOKUP(A77,_StdCOA!$A$4:$E$56,4,0)=0,VLOOKUP(A77,_StdCOA!$A$4:$E$56,5,0)=0),"",IF(ABS(P77)&gt;VLOOKUP(A77,_StdCOA!$A$4:$E$56,5,0),"🔴 high",IF(ABS(P77)&lt;VLOOKUP(A77,_StdCOA!$A$4:$E$56,4,0),"🟢 low","🟡 in range"))),"")</f>
        <v/>
      </c>
    </row>
    <row r="78" spans="1:18" ht="15" customHeight="1" x14ac:dyDescent="0.2">
      <c r="A78" s="106" t="s">
        <v>953</v>
      </c>
      <c r="B78" s="256">
        <f>SUMIFS($C$106:$C$255,$P$106:$P$255,$A78)</f>
        <v>0</v>
      </c>
      <c r="C78" s="256">
        <f>SUMIFS($D$106:$D$255,$P$106:$P$255,$A78)</f>
        <v>0</v>
      </c>
      <c r="D78" s="256">
        <f>SUMIFS($E$106:$E$255,$P$106:$P$255,$A78)</f>
        <v>0</v>
      </c>
      <c r="E78" s="256">
        <f>SUMIFS($F$106:$F$255,$P$106:$P$255,$A78)</f>
        <v>0</v>
      </c>
      <c r="F78" s="256">
        <f>SUMIFS($G$106:$G$255,$P$106:$P$255,$A78)</f>
        <v>0</v>
      </c>
      <c r="G78" s="256">
        <f>SUMIFS($H$106:$H$255,$P$106:$P$255,$A78)</f>
        <v>0</v>
      </c>
      <c r="H78" s="256">
        <f>SUMIFS($I$106:$I$255,$P$106:$P$255,$A78)</f>
        <v>0</v>
      </c>
      <c r="I78" s="256">
        <f>SUMIFS($J$106:$J$255,$P$106:$P$255,$A78)</f>
        <v>0</v>
      </c>
      <c r="J78" s="256">
        <f>SUMIFS($K$106:$K$255,$P$106:$P$255,$A78)</f>
        <v>0</v>
      </c>
      <c r="K78" s="256">
        <f>SUMIFS($L$106:$L$255,$P$106:$P$255,$A78)</f>
        <v>0</v>
      </c>
      <c r="L78" s="256">
        <f>SUMIFS($M$106:$M$255,$P$106:$P$255,$A78)</f>
        <v>0</v>
      </c>
      <c r="M78" s="256">
        <f>SUMIFS($N$106:$N$255,$P$106:$P$255,$A78)</f>
        <v>0</v>
      </c>
      <c r="N78" s="286">
        <f>SUMIFS($O$106:$O$255,$P$106:$P$255,$A78)</f>
        <v>0</v>
      </c>
      <c r="O78" s="256">
        <f t="shared" si="3"/>
        <v>0</v>
      </c>
      <c r="P78" s="289">
        <f>IFERROR(N78/12/'Prop Info'!$B$6,0)</f>
        <v>0</v>
      </c>
      <c r="Q78" s="252">
        <f t="shared" si="4"/>
        <v>0</v>
      </c>
      <c r="R78" s="295"/>
    </row>
    <row r="79" spans="1:18" ht="15" customHeight="1" x14ac:dyDescent="0.2">
      <c r="A79" s="290" t="s">
        <v>954</v>
      </c>
      <c r="B79" s="291">
        <f t="shared" ref="B79:N79" si="6">B68+B69+B70+B71+B72+B73+B74+B75+B76+B77+B78</f>
        <v>0</v>
      </c>
      <c r="C79" s="291">
        <f t="shared" si="6"/>
        <v>0</v>
      </c>
      <c r="D79" s="291">
        <f t="shared" si="6"/>
        <v>0</v>
      </c>
      <c r="E79" s="291">
        <f t="shared" si="6"/>
        <v>0</v>
      </c>
      <c r="F79" s="291">
        <f t="shared" si="6"/>
        <v>0</v>
      </c>
      <c r="G79" s="291">
        <f t="shared" si="6"/>
        <v>0</v>
      </c>
      <c r="H79" s="291">
        <f t="shared" si="6"/>
        <v>0</v>
      </c>
      <c r="I79" s="291">
        <f t="shared" si="6"/>
        <v>0</v>
      </c>
      <c r="J79" s="291">
        <f t="shared" si="6"/>
        <v>0</v>
      </c>
      <c r="K79" s="291">
        <f t="shared" si="6"/>
        <v>0</v>
      </c>
      <c r="L79" s="291">
        <f t="shared" si="6"/>
        <v>0</v>
      </c>
      <c r="M79" s="291">
        <f t="shared" si="6"/>
        <v>0</v>
      </c>
      <c r="N79" s="291">
        <f t="shared" si="6"/>
        <v>0</v>
      </c>
      <c r="O79" s="291">
        <f t="shared" si="3"/>
        <v>0</v>
      </c>
      <c r="P79" s="296">
        <f>IFERROR(N79/12/'Prop Info'!$B$6,0)</f>
        <v>0</v>
      </c>
      <c r="Q79" s="292">
        <f t="shared" si="4"/>
        <v>0</v>
      </c>
    </row>
    <row r="80" spans="1:18" ht="15" customHeight="1" x14ac:dyDescent="0.2">
      <c r="A80" s="297" t="s">
        <v>694</v>
      </c>
      <c r="B80" s="298">
        <f t="shared" ref="B80:N80" si="7">B67+B79</f>
        <v>0</v>
      </c>
      <c r="C80" s="298">
        <f t="shared" si="7"/>
        <v>0</v>
      </c>
      <c r="D80" s="298">
        <f t="shared" si="7"/>
        <v>0</v>
      </c>
      <c r="E80" s="298">
        <f t="shared" si="7"/>
        <v>0</v>
      </c>
      <c r="F80" s="298">
        <f t="shared" si="7"/>
        <v>0</v>
      </c>
      <c r="G80" s="298">
        <f t="shared" si="7"/>
        <v>0</v>
      </c>
      <c r="H80" s="298">
        <f t="shared" si="7"/>
        <v>0</v>
      </c>
      <c r="I80" s="298">
        <f t="shared" si="7"/>
        <v>0</v>
      </c>
      <c r="J80" s="298">
        <f t="shared" si="7"/>
        <v>0</v>
      </c>
      <c r="K80" s="298">
        <f t="shared" si="7"/>
        <v>0</v>
      </c>
      <c r="L80" s="298">
        <f t="shared" si="7"/>
        <v>0</v>
      </c>
      <c r="M80" s="298">
        <f t="shared" si="7"/>
        <v>0</v>
      </c>
      <c r="N80" s="298">
        <f t="shared" si="7"/>
        <v>0</v>
      </c>
      <c r="O80" s="298">
        <f t="shared" si="3"/>
        <v>0</v>
      </c>
      <c r="P80" s="299">
        <f>IFERROR(N80/12/'Prop Info'!$B$6,0)</f>
        <v>0</v>
      </c>
      <c r="Q80" s="300">
        <f t="shared" si="4"/>
        <v>0</v>
      </c>
      <c r="R80" s="301"/>
    </row>
    <row r="81" spans="1:18" ht="15" customHeight="1" x14ac:dyDescent="0.2">
      <c r="A81" s="960" t="s">
        <v>955</v>
      </c>
      <c r="B81" s="960"/>
      <c r="C81" s="960"/>
      <c r="D81" s="960"/>
      <c r="E81" s="960"/>
      <c r="F81" s="960"/>
      <c r="G81" s="960"/>
      <c r="H81" s="960"/>
      <c r="I81" s="960"/>
      <c r="J81" s="960"/>
      <c r="K81" s="960"/>
      <c r="L81" s="960"/>
      <c r="M81" s="960"/>
      <c r="N81" s="960"/>
      <c r="O81" s="960"/>
      <c r="P81" s="960"/>
      <c r="Q81" s="960"/>
      <c r="R81" s="960"/>
    </row>
    <row r="82" spans="1:18" ht="15" customHeight="1" x14ac:dyDescent="0.2">
      <c r="A82" s="106" t="s">
        <v>722</v>
      </c>
      <c r="B82" s="256">
        <f>SUMIFS($C$106:$C$255,$P$106:$P$255,"Repairs &amp; Maintenance")</f>
        <v>0</v>
      </c>
      <c r="C82" s="256">
        <f>SUMIFS($D$106:$D$255,$P$106:$P$255,"Repairs &amp; Maintenance")</f>
        <v>0</v>
      </c>
      <c r="D82" s="256">
        <f>SUMIFS($E$106:$E$255,$P$106:$P$255,"Repairs &amp; Maintenance")</f>
        <v>0</v>
      </c>
      <c r="E82" s="256">
        <f>SUMIFS($F$106:$F$255,$P$106:$P$255,"Repairs &amp; Maintenance")</f>
        <v>0</v>
      </c>
      <c r="F82" s="256">
        <f>SUMIFS($G$106:$G$255,$P$106:$P$255,"Repairs &amp; Maintenance")</f>
        <v>0</v>
      </c>
      <c r="G82" s="256">
        <f>SUMIFS($H$106:$H$255,$P$106:$P$255,"Repairs &amp; Maintenance")</f>
        <v>0</v>
      </c>
      <c r="H82" s="256">
        <f>SUMIFS($I$106:$I$255,$P$106:$P$255,"Repairs &amp; Maintenance")</f>
        <v>0</v>
      </c>
      <c r="I82" s="256">
        <f>SUMIFS($J$106:$J$255,$P$106:$P$255,"Repairs &amp; Maintenance")</f>
        <v>0</v>
      </c>
      <c r="J82" s="256">
        <f>SUMIFS($K$106:$K$255,$P$106:$P$255,"Repairs &amp; Maintenance")</f>
        <v>0</v>
      </c>
      <c r="K82" s="256">
        <f>SUMIFS($L$106:$L$255,$P$106:$P$255,"Repairs &amp; Maintenance")</f>
        <v>0</v>
      </c>
      <c r="L82" s="256">
        <f>SUMIFS($M$106:$M$255,$P$106:$P$255,"Repairs &amp; Maintenance")</f>
        <v>0</v>
      </c>
      <c r="M82" s="256">
        <f>SUMIFS($N$106:$N$255,$P$106:$P$255,"Repairs &amp; Maintenance")</f>
        <v>0</v>
      </c>
      <c r="N82" s="286">
        <f>SUMIFS($O$106:$O$255,$P$106:$P$255,"Repairs &amp; Maintenance")</f>
        <v>0</v>
      </c>
      <c r="O82" s="256">
        <f t="shared" ref="O82:O101" si="8">SUM(K82:M82)*4</f>
        <v>0</v>
      </c>
      <c r="P82" s="289">
        <f>IFERROR(N82/12/'Prop Info'!$B$6,0)</f>
        <v>0</v>
      </c>
      <c r="Q82" s="252">
        <f t="shared" ref="Q82:Q101" si="9">IFERROR(N82/N$80,0)</f>
        <v>0</v>
      </c>
      <c r="R82" s="295" t="str">
        <f>IFERROR(IF(OR(VLOOKUP(A82,_StdCOA!$A$4:$E$56,4,0)=0,VLOOKUP(A82,_StdCOA!$A$4:$E$56,5,0)=0),"",IF(ABS(P82)&gt;VLOOKUP(A82,_StdCOA!$A$4:$E$56,5,0),"🔴 high",IF(ABS(P82)&lt;VLOOKUP(A82,_StdCOA!$A$4:$E$56,4,0),"🟢 low","🟡 in range"))),"")</f>
        <v>🟢 low</v>
      </c>
    </row>
    <row r="83" spans="1:18" ht="15" customHeight="1" x14ac:dyDescent="0.2">
      <c r="A83" s="106" t="s">
        <v>724</v>
      </c>
      <c r="B83" s="256">
        <f>SUMIFS($C$106:$C$255,$P$106:$P$255,"Contract Services")</f>
        <v>0</v>
      </c>
      <c r="C83" s="256">
        <f>SUMIFS($D$106:$D$255,$P$106:$P$255,"Contract Services")</f>
        <v>0</v>
      </c>
      <c r="D83" s="256">
        <f>SUMIFS($E$106:$E$255,$P$106:$P$255,"Contract Services")</f>
        <v>0</v>
      </c>
      <c r="E83" s="256">
        <f>SUMIFS($F$106:$F$255,$P$106:$P$255,"Contract Services")</f>
        <v>0</v>
      </c>
      <c r="F83" s="256">
        <f>SUMIFS($G$106:$G$255,$P$106:$P$255,"Contract Services")</f>
        <v>0</v>
      </c>
      <c r="G83" s="256">
        <f>SUMIFS($H$106:$H$255,$P$106:$P$255,"Contract Services")</f>
        <v>0</v>
      </c>
      <c r="H83" s="256">
        <f>SUMIFS($I$106:$I$255,$P$106:$P$255,"Contract Services")</f>
        <v>0</v>
      </c>
      <c r="I83" s="256">
        <f>SUMIFS($J$106:$J$255,$P$106:$P$255,"Contract Services")</f>
        <v>0</v>
      </c>
      <c r="J83" s="256">
        <f>SUMIFS($K$106:$K$255,$P$106:$P$255,"Contract Services")</f>
        <v>0</v>
      </c>
      <c r="K83" s="256">
        <f>SUMIFS($L$106:$L$255,$P$106:$P$255,"Contract Services")</f>
        <v>0</v>
      </c>
      <c r="L83" s="256">
        <f>SUMIFS($M$106:$M$255,$P$106:$P$255,"Contract Services")</f>
        <v>0</v>
      </c>
      <c r="M83" s="256">
        <f>SUMIFS($N$106:$N$255,$P$106:$P$255,"Contract Services")</f>
        <v>0</v>
      </c>
      <c r="N83" s="286">
        <f>SUMIFS($O$106:$O$255,$P$106:$P$255,"Contract Services")</f>
        <v>0</v>
      </c>
      <c r="O83" s="256">
        <f t="shared" si="8"/>
        <v>0</v>
      </c>
      <c r="P83" s="289">
        <f>IFERROR(N83/12/'Prop Info'!$B$6,0)</f>
        <v>0</v>
      </c>
      <c r="Q83" s="252">
        <f t="shared" si="9"/>
        <v>0</v>
      </c>
      <c r="R83" s="295" t="str">
        <f>IFERROR(IF(OR(VLOOKUP(A83,_StdCOA!$A$4:$E$56,4,0)=0,VLOOKUP(A83,_StdCOA!$A$4:$E$56,5,0)=0),"",IF(ABS(P83)&gt;VLOOKUP(A83,_StdCOA!$A$4:$E$56,5,0),"🔴 high",IF(ABS(P83)&lt;VLOOKUP(A83,_StdCOA!$A$4:$E$56,4,0),"🟢 low","🟡 in range"))),"")</f>
        <v/>
      </c>
    </row>
    <row r="84" spans="1:18" ht="15" customHeight="1" x14ac:dyDescent="0.2">
      <c r="A84" s="106" t="s">
        <v>956</v>
      </c>
      <c r="B84" s="256">
        <f>SUMIFS($C$106:$C$255,$P$106:$P$255,"Landscaping")</f>
        <v>0</v>
      </c>
      <c r="C84" s="256">
        <f>SUMIFS($D$106:$D$255,$P$106:$P$255,"Landscaping")</f>
        <v>0</v>
      </c>
      <c r="D84" s="256">
        <f>SUMIFS($E$106:$E$255,$P$106:$P$255,"Landscaping")</f>
        <v>0</v>
      </c>
      <c r="E84" s="256">
        <f>SUMIFS($F$106:$F$255,$P$106:$P$255,"Landscaping")</f>
        <v>0</v>
      </c>
      <c r="F84" s="256">
        <f>SUMIFS($G$106:$G$255,$P$106:$P$255,"Landscaping")</f>
        <v>0</v>
      </c>
      <c r="G84" s="256">
        <f>SUMIFS($H$106:$H$255,$P$106:$P$255,"Landscaping")</f>
        <v>0</v>
      </c>
      <c r="H84" s="256">
        <f>SUMIFS($I$106:$I$255,$P$106:$P$255,"Landscaping")</f>
        <v>0</v>
      </c>
      <c r="I84" s="256">
        <f>SUMIFS($J$106:$J$255,$P$106:$P$255,"Landscaping")</f>
        <v>0</v>
      </c>
      <c r="J84" s="256">
        <f>SUMIFS($K$106:$K$255,$P$106:$P$255,"Landscaping")</f>
        <v>0</v>
      </c>
      <c r="K84" s="256">
        <f>SUMIFS($L$106:$L$255,$P$106:$P$255,"Landscaping")</f>
        <v>0</v>
      </c>
      <c r="L84" s="256">
        <f>SUMIFS($M$106:$M$255,$P$106:$P$255,"Landscaping")</f>
        <v>0</v>
      </c>
      <c r="M84" s="256">
        <f>SUMIFS($N$106:$N$255,$P$106:$P$255,"Landscaping")</f>
        <v>0</v>
      </c>
      <c r="N84" s="286">
        <f>SUMIFS($O$106:$O$255,$P$106:$P$255,"Landscaping")</f>
        <v>0</v>
      </c>
      <c r="O84" s="256">
        <f t="shared" si="8"/>
        <v>0</v>
      </c>
      <c r="P84" s="289">
        <f>IFERROR(N84/12/'Prop Info'!$B$6,0)</f>
        <v>0</v>
      </c>
      <c r="Q84" s="252">
        <f t="shared" si="9"/>
        <v>0</v>
      </c>
      <c r="R84" s="295" t="str">
        <f>IFERROR(IF(OR(VLOOKUP(A84,_StdCOA!$A$4:$E$56,4,0)=0,VLOOKUP(A84,_StdCOA!$A$4:$E$56,5,0)=0),"",IF(ABS(P84)&gt;VLOOKUP(A84,_StdCOA!$A$4:$E$56,5,0),"🔴 high",IF(ABS(P84)&lt;VLOOKUP(A84,_StdCOA!$A$4:$E$56,4,0),"🟢 low","🟡 in range"))),"")</f>
        <v>🟢 low</v>
      </c>
    </row>
    <row r="85" spans="1:18" ht="15" customHeight="1" x14ac:dyDescent="0.2">
      <c r="A85" s="106" t="s">
        <v>308</v>
      </c>
      <c r="B85" s="256">
        <f>SUMIFS($C$106:$C$255,$P$106:$P$255,"Pest Control")</f>
        <v>0</v>
      </c>
      <c r="C85" s="256">
        <f>SUMIFS($D$106:$D$255,$P$106:$P$255,"Pest Control")</f>
        <v>0</v>
      </c>
      <c r="D85" s="256">
        <f>SUMIFS($E$106:$E$255,$P$106:$P$255,"Pest Control")</f>
        <v>0</v>
      </c>
      <c r="E85" s="256">
        <f>SUMIFS($F$106:$F$255,$P$106:$P$255,"Pest Control")</f>
        <v>0</v>
      </c>
      <c r="F85" s="256">
        <f>SUMIFS($G$106:$G$255,$P$106:$P$255,"Pest Control")</f>
        <v>0</v>
      </c>
      <c r="G85" s="256">
        <f>SUMIFS($H$106:$H$255,$P$106:$P$255,"Pest Control")</f>
        <v>0</v>
      </c>
      <c r="H85" s="256">
        <f>SUMIFS($I$106:$I$255,$P$106:$P$255,"Pest Control")</f>
        <v>0</v>
      </c>
      <c r="I85" s="256">
        <f>SUMIFS($J$106:$J$255,$P$106:$P$255,"Pest Control")</f>
        <v>0</v>
      </c>
      <c r="J85" s="256">
        <f>SUMIFS($K$106:$K$255,$P$106:$P$255,"Pest Control")</f>
        <v>0</v>
      </c>
      <c r="K85" s="256">
        <f>SUMIFS($L$106:$L$255,$P$106:$P$255,"Pest Control")</f>
        <v>0</v>
      </c>
      <c r="L85" s="256">
        <f>SUMIFS($M$106:$M$255,$P$106:$P$255,"Pest Control")</f>
        <v>0</v>
      </c>
      <c r="M85" s="256">
        <f>SUMIFS($N$106:$N$255,$P$106:$P$255,"Pest Control")</f>
        <v>0</v>
      </c>
      <c r="N85" s="286">
        <f>SUMIFS($O$106:$O$255,$P$106:$P$255,"Pest Control")</f>
        <v>0</v>
      </c>
      <c r="O85" s="256">
        <f t="shared" si="8"/>
        <v>0</v>
      </c>
      <c r="P85" s="289">
        <f>IFERROR(N85/12/'Prop Info'!$B$6,0)</f>
        <v>0</v>
      </c>
      <c r="Q85" s="252">
        <f t="shared" si="9"/>
        <v>0</v>
      </c>
      <c r="R85" s="295" t="str">
        <f>IFERROR(IF(OR(VLOOKUP(A85,_StdCOA!$A$4:$E$56,4,0)=0,VLOOKUP(A85,_StdCOA!$A$4:$E$56,5,0)=0),"",IF(ABS(P85)&gt;VLOOKUP(A85,_StdCOA!$A$4:$E$56,5,0),"🔴 high",IF(ABS(P85)&lt;VLOOKUP(A85,_StdCOA!$A$4:$E$56,4,0),"🟢 low","🟡 in range"))),"")</f>
        <v>🟢 low</v>
      </c>
    </row>
    <row r="86" spans="1:18" ht="15" customHeight="1" x14ac:dyDescent="0.2">
      <c r="A86" s="106" t="s">
        <v>957</v>
      </c>
      <c r="B86" s="256">
        <f>SUMIFS($C$106:$C$255,$P$106:$P$255,"Pool / Amenity Maintenance")</f>
        <v>0</v>
      </c>
      <c r="C86" s="256">
        <f>SUMIFS($D$106:$D$255,$P$106:$P$255,"Pool / Amenity Maintenance")</f>
        <v>0</v>
      </c>
      <c r="D86" s="256">
        <f>SUMIFS($E$106:$E$255,$P$106:$P$255,"Pool / Amenity Maintenance")</f>
        <v>0</v>
      </c>
      <c r="E86" s="256">
        <f>SUMIFS($F$106:$F$255,$P$106:$P$255,"Pool / Amenity Maintenance")</f>
        <v>0</v>
      </c>
      <c r="F86" s="256">
        <f>SUMIFS($G$106:$G$255,$P$106:$P$255,"Pool / Amenity Maintenance")</f>
        <v>0</v>
      </c>
      <c r="G86" s="256">
        <f>SUMIFS($H$106:$H$255,$P$106:$P$255,"Pool / Amenity Maintenance")</f>
        <v>0</v>
      </c>
      <c r="H86" s="256">
        <f>SUMIFS($I$106:$I$255,$P$106:$P$255,"Pool / Amenity Maintenance")</f>
        <v>0</v>
      </c>
      <c r="I86" s="256">
        <f>SUMIFS($J$106:$J$255,$P$106:$P$255,"Pool / Amenity Maintenance")</f>
        <v>0</v>
      </c>
      <c r="J86" s="256">
        <f>SUMIFS($K$106:$K$255,$P$106:$P$255,"Pool / Amenity Maintenance")</f>
        <v>0</v>
      </c>
      <c r="K86" s="256">
        <f>SUMIFS($L$106:$L$255,$P$106:$P$255,"Pool / Amenity Maintenance")</f>
        <v>0</v>
      </c>
      <c r="L86" s="256">
        <f>SUMIFS($M$106:$M$255,$P$106:$P$255,"Pool / Amenity Maintenance")</f>
        <v>0</v>
      </c>
      <c r="M86" s="256">
        <f>SUMIFS($N$106:$N$255,$P$106:$P$255,"Pool / Amenity Maintenance")</f>
        <v>0</v>
      </c>
      <c r="N86" s="286">
        <f>SUMIFS($O$106:$O$255,$P$106:$P$255,"Pool / Amenity Maintenance")</f>
        <v>0</v>
      </c>
      <c r="O86" s="256">
        <f t="shared" si="8"/>
        <v>0</v>
      </c>
      <c r="P86" s="289">
        <f>IFERROR(N86/12/'Prop Info'!$B$6,0)</f>
        <v>0</v>
      </c>
      <c r="Q86" s="252">
        <f t="shared" si="9"/>
        <v>0</v>
      </c>
      <c r="R86" s="295" t="str">
        <f>IFERROR(IF(OR(VLOOKUP(A86,_StdCOA!$A$4:$E$56,4,0)=0,VLOOKUP(A86,_StdCOA!$A$4:$E$56,5,0)=0),"",IF(ABS(P86)&gt;VLOOKUP(A86,_StdCOA!$A$4:$E$56,5,0),"🔴 high",IF(ABS(P86)&lt;VLOOKUP(A86,_StdCOA!$A$4:$E$56,4,0),"🟢 low","🟡 in range"))),"")</f>
        <v>🟢 low</v>
      </c>
    </row>
    <row r="87" spans="1:18" ht="15" customHeight="1" x14ac:dyDescent="0.2">
      <c r="A87" s="106" t="s">
        <v>725</v>
      </c>
      <c r="B87" s="256">
        <f>SUMIFS($C$106:$C$255,$P$106:$P$255,"Make-Ready / Turnover")</f>
        <v>0</v>
      </c>
      <c r="C87" s="256">
        <f>SUMIFS($D$106:$D$255,$P$106:$P$255,"Make-Ready / Turnover")</f>
        <v>0</v>
      </c>
      <c r="D87" s="256">
        <f>SUMIFS($E$106:$E$255,$P$106:$P$255,"Make-Ready / Turnover")</f>
        <v>0</v>
      </c>
      <c r="E87" s="256">
        <f>SUMIFS($F$106:$F$255,$P$106:$P$255,"Make-Ready / Turnover")</f>
        <v>0</v>
      </c>
      <c r="F87" s="256">
        <f>SUMIFS($G$106:$G$255,$P$106:$P$255,"Make-Ready / Turnover")</f>
        <v>0</v>
      </c>
      <c r="G87" s="256">
        <f>SUMIFS($H$106:$H$255,$P$106:$P$255,"Make-Ready / Turnover")</f>
        <v>0</v>
      </c>
      <c r="H87" s="256">
        <f>SUMIFS($I$106:$I$255,$P$106:$P$255,"Make-Ready / Turnover")</f>
        <v>0</v>
      </c>
      <c r="I87" s="256">
        <f>SUMIFS($J$106:$J$255,$P$106:$P$255,"Make-Ready / Turnover")</f>
        <v>0</v>
      </c>
      <c r="J87" s="256">
        <f>SUMIFS($K$106:$K$255,$P$106:$P$255,"Make-Ready / Turnover")</f>
        <v>0</v>
      </c>
      <c r="K87" s="256">
        <f>SUMIFS($L$106:$L$255,$P$106:$P$255,"Make-Ready / Turnover")</f>
        <v>0</v>
      </c>
      <c r="L87" s="256">
        <f>SUMIFS($M$106:$M$255,$P$106:$P$255,"Make-Ready / Turnover")</f>
        <v>0</v>
      </c>
      <c r="M87" s="256">
        <f>SUMIFS($N$106:$N$255,$P$106:$P$255,"Make-Ready / Turnover")</f>
        <v>0</v>
      </c>
      <c r="N87" s="286">
        <f>SUMIFS($O$106:$O$255,$P$106:$P$255,"Make-Ready / Turnover")</f>
        <v>0</v>
      </c>
      <c r="O87" s="256">
        <f t="shared" si="8"/>
        <v>0</v>
      </c>
      <c r="P87" s="289">
        <f>IFERROR(N87/12/'Prop Info'!$B$6,0)</f>
        <v>0</v>
      </c>
      <c r="Q87" s="252">
        <f t="shared" si="9"/>
        <v>0</v>
      </c>
      <c r="R87" s="295" t="str">
        <f>IFERROR(IF(OR(VLOOKUP(A87,_StdCOA!$A$4:$E$56,4,0)=0,VLOOKUP(A87,_StdCOA!$A$4:$E$56,5,0)=0),"",IF(ABS(P87)&gt;VLOOKUP(A87,_StdCOA!$A$4:$E$56,5,0),"🔴 high",IF(ABS(P87)&lt;VLOOKUP(A87,_StdCOA!$A$4:$E$56,4,0),"🟢 low","🟡 in range"))),"")</f>
        <v>🟢 low</v>
      </c>
    </row>
    <row r="88" spans="1:18" ht="15" customHeight="1" x14ac:dyDescent="0.2">
      <c r="A88" s="106" t="s">
        <v>958</v>
      </c>
      <c r="B88" s="256">
        <f>SUMIFS($C$106:$C$255,$P$106:$P$255,"Payroll — On-Site")</f>
        <v>0</v>
      </c>
      <c r="C88" s="256">
        <f>SUMIFS($D$106:$D$255,$P$106:$P$255,"Payroll — On-Site")</f>
        <v>0</v>
      </c>
      <c r="D88" s="256">
        <f>SUMIFS($E$106:$E$255,$P$106:$P$255,"Payroll — On-Site")</f>
        <v>0</v>
      </c>
      <c r="E88" s="256">
        <f>SUMIFS($F$106:$F$255,$P$106:$P$255,"Payroll — On-Site")</f>
        <v>0</v>
      </c>
      <c r="F88" s="256">
        <f>SUMIFS($G$106:$G$255,$P$106:$P$255,"Payroll — On-Site")</f>
        <v>0</v>
      </c>
      <c r="G88" s="256">
        <f>SUMIFS($H$106:$H$255,$P$106:$P$255,"Payroll — On-Site")</f>
        <v>0</v>
      </c>
      <c r="H88" s="256">
        <f>SUMIFS($I$106:$I$255,$P$106:$P$255,"Payroll — On-Site")</f>
        <v>0</v>
      </c>
      <c r="I88" s="256">
        <f>SUMIFS($J$106:$J$255,$P$106:$P$255,"Payroll — On-Site")</f>
        <v>0</v>
      </c>
      <c r="J88" s="256">
        <f>SUMIFS($K$106:$K$255,$P$106:$P$255,"Payroll — On-Site")</f>
        <v>0</v>
      </c>
      <c r="K88" s="256">
        <f>SUMIFS($L$106:$L$255,$P$106:$P$255,"Payroll — On-Site")</f>
        <v>0</v>
      </c>
      <c r="L88" s="256">
        <f>SUMIFS($M$106:$M$255,$P$106:$P$255,"Payroll — On-Site")</f>
        <v>0</v>
      </c>
      <c r="M88" s="256">
        <f>SUMIFS($N$106:$N$255,$P$106:$P$255,"Payroll — On-Site")</f>
        <v>0</v>
      </c>
      <c r="N88" s="286">
        <f>SUMIFS($O$106:$O$255,$P$106:$P$255,"Payroll — On-Site")</f>
        <v>0</v>
      </c>
      <c r="O88" s="256">
        <f t="shared" si="8"/>
        <v>0</v>
      </c>
      <c r="P88" s="289">
        <f>IFERROR(N88/12/'Prop Info'!$B$6,0)</f>
        <v>0</v>
      </c>
      <c r="Q88" s="252">
        <f t="shared" si="9"/>
        <v>0</v>
      </c>
      <c r="R88" s="295" t="str">
        <f>IFERROR(IF(OR(VLOOKUP(A88,_StdCOA!$A$4:$E$56,4,0)=0,VLOOKUP(A88,_StdCOA!$A$4:$E$56,5,0)=0),"",IF(ABS(P88)&gt;VLOOKUP(A88,_StdCOA!$A$4:$E$56,5,0),"🔴 high",IF(ABS(P88)&lt;VLOOKUP(A88,_StdCOA!$A$4:$E$56,4,0),"🟢 low","🟡 in range"))),"")</f>
        <v>🟢 low</v>
      </c>
    </row>
    <row r="89" spans="1:18" ht="15" customHeight="1" x14ac:dyDescent="0.2">
      <c r="A89" s="106" t="s">
        <v>701</v>
      </c>
      <c r="B89" s="256">
        <f>SUMIFS($C$106:$C$255,$P$106:$P$255,"Leasing &amp; Marketing")</f>
        <v>0</v>
      </c>
      <c r="C89" s="256">
        <f>SUMIFS($D$106:$D$255,$P$106:$P$255,"Leasing &amp; Marketing")</f>
        <v>0</v>
      </c>
      <c r="D89" s="256">
        <f>SUMIFS($E$106:$E$255,$P$106:$P$255,"Leasing &amp; Marketing")</f>
        <v>0</v>
      </c>
      <c r="E89" s="256">
        <f>SUMIFS($F$106:$F$255,$P$106:$P$255,"Leasing &amp; Marketing")</f>
        <v>0</v>
      </c>
      <c r="F89" s="256">
        <f>SUMIFS($G$106:$G$255,$P$106:$P$255,"Leasing &amp; Marketing")</f>
        <v>0</v>
      </c>
      <c r="G89" s="256">
        <f>SUMIFS($H$106:$H$255,$P$106:$P$255,"Leasing &amp; Marketing")</f>
        <v>0</v>
      </c>
      <c r="H89" s="256">
        <f>SUMIFS($I$106:$I$255,$P$106:$P$255,"Leasing &amp; Marketing")</f>
        <v>0</v>
      </c>
      <c r="I89" s="256">
        <f>SUMIFS($J$106:$J$255,$P$106:$P$255,"Leasing &amp; Marketing")</f>
        <v>0</v>
      </c>
      <c r="J89" s="256">
        <f>SUMIFS($K$106:$K$255,$P$106:$P$255,"Leasing &amp; Marketing")</f>
        <v>0</v>
      </c>
      <c r="K89" s="256">
        <f>SUMIFS($L$106:$L$255,$P$106:$P$255,"Leasing &amp; Marketing")</f>
        <v>0</v>
      </c>
      <c r="L89" s="256">
        <f>SUMIFS($M$106:$M$255,$P$106:$P$255,"Leasing &amp; Marketing")</f>
        <v>0</v>
      </c>
      <c r="M89" s="256">
        <f>SUMIFS($N$106:$N$255,$P$106:$P$255,"Leasing &amp; Marketing")</f>
        <v>0</v>
      </c>
      <c r="N89" s="286">
        <f>SUMIFS($O$106:$O$255,$P$106:$P$255,"Leasing &amp; Marketing")</f>
        <v>0</v>
      </c>
      <c r="O89" s="256">
        <f t="shared" si="8"/>
        <v>0</v>
      </c>
      <c r="P89" s="289">
        <f>IFERROR(N89/12/'Prop Info'!$B$6,0)</f>
        <v>0</v>
      </c>
      <c r="Q89" s="252">
        <f t="shared" si="9"/>
        <v>0</v>
      </c>
      <c r="R89" s="295" t="str">
        <f>IFERROR(IF(OR(VLOOKUP(A89,_StdCOA!$A$4:$E$56,4,0)=0,VLOOKUP(A89,_StdCOA!$A$4:$E$56,5,0)=0),"",IF(ABS(P89)&gt;VLOOKUP(A89,_StdCOA!$A$4:$E$56,5,0),"🔴 high",IF(ABS(P89)&lt;VLOOKUP(A89,_StdCOA!$A$4:$E$56,4,0),"🟢 low","🟡 in range"))),"")</f>
        <v>🟢 low</v>
      </c>
    </row>
    <row r="90" spans="1:18" ht="15" customHeight="1" x14ac:dyDescent="0.2">
      <c r="A90" s="106" t="s">
        <v>959</v>
      </c>
      <c r="B90" s="256">
        <f>SUMIFS($C$106:$C$255,$P$106:$P$255,"General &amp; Administrative")</f>
        <v>0</v>
      </c>
      <c r="C90" s="256">
        <f>SUMIFS($D$106:$D$255,$P$106:$P$255,"General &amp; Administrative")</f>
        <v>0</v>
      </c>
      <c r="D90" s="256">
        <f>SUMIFS($E$106:$E$255,$P$106:$P$255,"General &amp; Administrative")</f>
        <v>0</v>
      </c>
      <c r="E90" s="256">
        <f>SUMIFS($F$106:$F$255,$P$106:$P$255,"General &amp; Administrative")</f>
        <v>0</v>
      </c>
      <c r="F90" s="256">
        <f>SUMIFS($G$106:$G$255,$P$106:$P$255,"General &amp; Administrative")</f>
        <v>0</v>
      </c>
      <c r="G90" s="256">
        <f>SUMIFS($H$106:$H$255,$P$106:$P$255,"General &amp; Administrative")</f>
        <v>0</v>
      </c>
      <c r="H90" s="256">
        <f>SUMIFS($I$106:$I$255,$P$106:$P$255,"General &amp; Administrative")</f>
        <v>0</v>
      </c>
      <c r="I90" s="256">
        <f>SUMIFS($J$106:$J$255,$P$106:$P$255,"General &amp; Administrative")</f>
        <v>0</v>
      </c>
      <c r="J90" s="256">
        <f>SUMIFS($K$106:$K$255,$P$106:$P$255,"General &amp; Administrative")</f>
        <v>0</v>
      </c>
      <c r="K90" s="256">
        <f>SUMIFS($L$106:$L$255,$P$106:$P$255,"General &amp; Administrative")</f>
        <v>0</v>
      </c>
      <c r="L90" s="256">
        <f>SUMIFS($M$106:$M$255,$P$106:$P$255,"General &amp; Administrative")</f>
        <v>0</v>
      </c>
      <c r="M90" s="256">
        <f>SUMIFS($N$106:$N$255,$P$106:$P$255,"General &amp; Administrative")</f>
        <v>0</v>
      </c>
      <c r="N90" s="286">
        <f>SUMIFS($O$106:$O$255,$P$106:$P$255,"General &amp; Administrative")</f>
        <v>0</v>
      </c>
      <c r="O90" s="256">
        <f t="shared" si="8"/>
        <v>0</v>
      </c>
      <c r="P90" s="289">
        <f>IFERROR(N90/12/'Prop Info'!$B$6,0)</f>
        <v>0</v>
      </c>
      <c r="Q90" s="252">
        <f t="shared" si="9"/>
        <v>0</v>
      </c>
      <c r="R90" s="295" t="str">
        <f>IFERROR(IF(OR(VLOOKUP(A90,_StdCOA!$A$4:$E$56,4,0)=0,VLOOKUP(A90,_StdCOA!$A$4:$E$56,5,0)=0),"",IF(ABS(P90)&gt;VLOOKUP(A90,_StdCOA!$A$4:$E$56,5,0),"🔴 high",IF(ABS(P90)&lt;VLOOKUP(A90,_StdCOA!$A$4:$E$56,4,0),"🟢 low","🟡 in range"))),"")</f>
        <v>🟢 low</v>
      </c>
    </row>
    <row r="91" spans="1:18" ht="15" customHeight="1" x14ac:dyDescent="0.2">
      <c r="A91" s="106" t="s">
        <v>960</v>
      </c>
      <c r="B91" s="256">
        <f>SUMIFS($C$106:$C$255,$P$106:$P$255,"Legal / Eviction")</f>
        <v>0</v>
      </c>
      <c r="C91" s="256">
        <f>SUMIFS($D$106:$D$255,$P$106:$P$255,"Legal / Eviction")</f>
        <v>0</v>
      </c>
      <c r="D91" s="256">
        <f>SUMIFS($E$106:$E$255,$P$106:$P$255,"Legal / Eviction")</f>
        <v>0</v>
      </c>
      <c r="E91" s="256">
        <f>SUMIFS($F$106:$F$255,$P$106:$P$255,"Legal / Eviction")</f>
        <v>0</v>
      </c>
      <c r="F91" s="256">
        <f>SUMIFS($G$106:$G$255,$P$106:$P$255,"Legal / Eviction")</f>
        <v>0</v>
      </c>
      <c r="G91" s="256">
        <f>SUMIFS($H$106:$H$255,$P$106:$P$255,"Legal / Eviction")</f>
        <v>0</v>
      </c>
      <c r="H91" s="256">
        <f>SUMIFS($I$106:$I$255,$P$106:$P$255,"Legal / Eviction")</f>
        <v>0</v>
      </c>
      <c r="I91" s="256">
        <f>SUMIFS($J$106:$J$255,$P$106:$P$255,"Legal / Eviction")</f>
        <v>0</v>
      </c>
      <c r="J91" s="256">
        <f>SUMIFS($K$106:$K$255,$P$106:$P$255,"Legal / Eviction")</f>
        <v>0</v>
      </c>
      <c r="K91" s="256">
        <f>SUMIFS($L$106:$L$255,$P$106:$P$255,"Legal / Eviction")</f>
        <v>0</v>
      </c>
      <c r="L91" s="256">
        <f>SUMIFS($M$106:$M$255,$P$106:$P$255,"Legal / Eviction")</f>
        <v>0</v>
      </c>
      <c r="M91" s="256">
        <f>SUMIFS($N$106:$N$255,$P$106:$P$255,"Legal / Eviction")</f>
        <v>0</v>
      </c>
      <c r="N91" s="286">
        <f>SUMIFS($O$106:$O$255,$P$106:$P$255,"Legal / Eviction")</f>
        <v>0</v>
      </c>
      <c r="O91" s="256">
        <f t="shared" si="8"/>
        <v>0</v>
      </c>
      <c r="P91" s="289">
        <f>IFERROR(N91/12/'Prop Info'!$B$6,0)</f>
        <v>0</v>
      </c>
      <c r="Q91" s="252">
        <f t="shared" si="9"/>
        <v>0</v>
      </c>
      <c r="R91" s="295" t="str">
        <f>IFERROR(IF(OR(VLOOKUP(A91,_StdCOA!$A$4:$E$56,4,0)=0,VLOOKUP(A91,_StdCOA!$A$4:$E$56,5,0)=0),"",IF(ABS(P91)&gt;VLOOKUP(A91,_StdCOA!$A$4:$E$56,5,0),"🔴 high",IF(ABS(P91)&lt;VLOOKUP(A91,_StdCOA!$A$4:$E$56,4,0),"🟢 low","🟡 in range"))),"")</f>
        <v>🟢 low</v>
      </c>
    </row>
    <row r="92" spans="1:18" ht="15" customHeight="1" x14ac:dyDescent="0.2">
      <c r="A92" s="106" t="s">
        <v>710</v>
      </c>
      <c r="B92" s="256">
        <f>SUMIFS($C$106:$C$255,$P$106:$P$255,"Insurance")</f>
        <v>0</v>
      </c>
      <c r="C92" s="256">
        <f>SUMIFS($D$106:$D$255,$P$106:$P$255,"Insurance")</f>
        <v>0</v>
      </c>
      <c r="D92" s="256">
        <f>SUMIFS($E$106:$E$255,$P$106:$P$255,"Insurance")</f>
        <v>0</v>
      </c>
      <c r="E92" s="256">
        <f>SUMIFS($F$106:$F$255,$P$106:$P$255,"Insurance")</f>
        <v>0</v>
      </c>
      <c r="F92" s="256">
        <f>SUMIFS($G$106:$G$255,$P$106:$P$255,"Insurance")</f>
        <v>0</v>
      </c>
      <c r="G92" s="256">
        <f>SUMIFS($H$106:$H$255,$P$106:$P$255,"Insurance")</f>
        <v>0</v>
      </c>
      <c r="H92" s="256">
        <f>SUMIFS($I$106:$I$255,$P$106:$P$255,"Insurance")</f>
        <v>0</v>
      </c>
      <c r="I92" s="256">
        <f>SUMIFS($J$106:$J$255,$P$106:$P$255,"Insurance")</f>
        <v>0</v>
      </c>
      <c r="J92" s="256">
        <f>SUMIFS($K$106:$K$255,$P$106:$P$255,"Insurance")</f>
        <v>0</v>
      </c>
      <c r="K92" s="256">
        <f>SUMIFS($L$106:$L$255,$P$106:$P$255,"Insurance")</f>
        <v>0</v>
      </c>
      <c r="L92" s="256">
        <f>SUMIFS($M$106:$M$255,$P$106:$P$255,"Insurance")</f>
        <v>0</v>
      </c>
      <c r="M92" s="256">
        <f>SUMIFS($N$106:$N$255,$P$106:$P$255,"Insurance")</f>
        <v>0</v>
      </c>
      <c r="N92" s="286">
        <f>SUMIFS($O$106:$O$255,$P$106:$P$255,"Insurance")</f>
        <v>0</v>
      </c>
      <c r="O92" s="256">
        <f t="shared" si="8"/>
        <v>0</v>
      </c>
      <c r="P92" s="289">
        <f>IFERROR(N92/12/'Prop Info'!$B$6,0)</f>
        <v>0</v>
      </c>
      <c r="Q92" s="252">
        <f t="shared" si="9"/>
        <v>0</v>
      </c>
      <c r="R92" s="295" t="str">
        <f>IFERROR(IF(OR(VLOOKUP(A92,_StdCOA!$A$4:$E$56,4,0)=0,VLOOKUP(A92,_StdCOA!$A$4:$E$56,5,0)=0),"",IF(ABS(P92)&gt;VLOOKUP(A92,_StdCOA!$A$4:$E$56,5,0),"🔴 high",IF(ABS(P92)&lt;VLOOKUP(A92,_StdCOA!$A$4:$E$56,4,0),"🟢 low","🟡 in range"))),"")</f>
        <v>🟢 low</v>
      </c>
    </row>
    <row r="93" spans="1:18" ht="15" customHeight="1" x14ac:dyDescent="0.2">
      <c r="A93" s="106" t="s">
        <v>714</v>
      </c>
      <c r="B93" s="256">
        <f>SUMIFS($C$106:$C$255,$P$106:$P$255,"Real Estate Taxes")</f>
        <v>0</v>
      </c>
      <c r="C93" s="256">
        <f>SUMIFS($D$106:$D$255,$P$106:$P$255,"Real Estate Taxes")</f>
        <v>0</v>
      </c>
      <c r="D93" s="256">
        <f>SUMIFS($E$106:$E$255,$P$106:$P$255,"Real Estate Taxes")</f>
        <v>0</v>
      </c>
      <c r="E93" s="256">
        <f>SUMIFS($F$106:$F$255,$P$106:$P$255,"Real Estate Taxes")</f>
        <v>0</v>
      </c>
      <c r="F93" s="256">
        <f>SUMIFS($G$106:$G$255,$P$106:$P$255,"Real Estate Taxes")</f>
        <v>0</v>
      </c>
      <c r="G93" s="256">
        <f>SUMIFS($H$106:$H$255,$P$106:$P$255,"Real Estate Taxes")</f>
        <v>0</v>
      </c>
      <c r="H93" s="256">
        <f>SUMIFS($I$106:$I$255,$P$106:$P$255,"Real Estate Taxes")</f>
        <v>0</v>
      </c>
      <c r="I93" s="256">
        <f>SUMIFS($J$106:$J$255,$P$106:$P$255,"Real Estate Taxes")</f>
        <v>0</v>
      </c>
      <c r="J93" s="256">
        <f>SUMIFS($K$106:$K$255,$P$106:$P$255,"Real Estate Taxes")</f>
        <v>0</v>
      </c>
      <c r="K93" s="256">
        <f>SUMIFS($L$106:$L$255,$P$106:$P$255,"Real Estate Taxes")</f>
        <v>0</v>
      </c>
      <c r="L93" s="256">
        <f>SUMIFS($M$106:$M$255,$P$106:$P$255,"Real Estate Taxes")</f>
        <v>0</v>
      </c>
      <c r="M93" s="256">
        <f>SUMIFS($N$106:$N$255,$P$106:$P$255,"Real Estate Taxes")</f>
        <v>0</v>
      </c>
      <c r="N93" s="286">
        <f>SUMIFS($O$106:$O$255,$P$106:$P$255,"Real Estate Taxes")</f>
        <v>0</v>
      </c>
      <c r="O93" s="256">
        <f t="shared" si="8"/>
        <v>0</v>
      </c>
      <c r="P93" s="289">
        <f>IFERROR(N93/12/'Prop Info'!$B$6,0)</f>
        <v>0</v>
      </c>
      <c r="Q93" s="252">
        <f t="shared" si="9"/>
        <v>0</v>
      </c>
      <c r="R93" s="295" t="str">
        <f>IFERROR(IF(OR(VLOOKUP(A93,_StdCOA!$A$4:$E$56,4,0)=0,VLOOKUP(A93,_StdCOA!$A$4:$E$56,5,0)=0),"",IF(ABS(P93)&gt;VLOOKUP(A93,_StdCOA!$A$4:$E$56,5,0),"🔴 high",IF(ABS(P93)&lt;VLOOKUP(A93,_StdCOA!$A$4:$E$56,4,0),"🟢 low","🟡 in range"))),"")</f>
        <v>🟢 low</v>
      </c>
    </row>
    <row r="94" spans="1:18" ht="15" customHeight="1" x14ac:dyDescent="0.2">
      <c r="A94" s="106" t="s">
        <v>961</v>
      </c>
      <c r="B94" s="256">
        <f>SUMIFS($C$106:$C$255,$P$106:$P$255,"Utilities — Electric")</f>
        <v>0</v>
      </c>
      <c r="C94" s="256">
        <f>SUMIFS($D$106:$D$255,$P$106:$P$255,"Utilities — Electric")</f>
        <v>0</v>
      </c>
      <c r="D94" s="256">
        <f>SUMIFS($E$106:$E$255,$P$106:$P$255,"Utilities — Electric")</f>
        <v>0</v>
      </c>
      <c r="E94" s="256">
        <f>SUMIFS($F$106:$F$255,$P$106:$P$255,"Utilities — Electric")</f>
        <v>0</v>
      </c>
      <c r="F94" s="256">
        <f>SUMIFS($G$106:$G$255,$P$106:$P$255,"Utilities — Electric")</f>
        <v>0</v>
      </c>
      <c r="G94" s="256">
        <f>SUMIFS($H$106:$H$255,$P$106:$P$255,"Utilities — Electric")</f>
        <v>0</v>
      </c>
      <c r="H94" s="256">
        <f>SUMIFS($I$106:$I$255,$P$106:$P$255,"Utilities — Electric")</f>
        <v>0</v>
      </c>
      <c r="I94" s="256">
        <f>SUMIFS($J$106:$J$255,$P$106:$P$255,"Utilities — Electric")</f>
        <v>0</v>
      </c>
      <c r="J94" s="256">
        <f>SUMIFS($K$106:$K$255,$P$106:$P$255,"Utilities — Electric")</f>
        <v>0</v>
      </c>
      <c r="K94" s="256">
        <f>SUMIFS($L$106:$L$255,$P$106:$P$255,"Utilities — Electric")</f>
        <v>0</v>
      </c>
      <c r="L94" s="256">
        <f>SUMIFS($M$106:$M$255,$P$106:$P$255,"Utilities — Electric")</f>
        <v>0</v>
      </c>
      <c r="M94" s="256">
        <f>SUMIFS($N$106:$N$255,$P$106:$P$255,"Utilities — Electric")</f>
        <v>0</v>
      </c>
      <c r="N94" s="286">
        <f>SUMIFS($O$106:$O$255,$P$106:$P$255,"Utilities — Electric")</f>
        <v>0</v>
      </c>
      <c r="O94" s="256">
        <f t="shared" si="8"/>
        <v>0</v>
      </c>
      <c r="P94" s="289">
        <f>IFERROR(N94/12/'Prop Info'!$B$6,0)</f>
        <v>0</v>
      </c>
      <c r="Q94" s="252">
        <f t="shared" si="9"/>
        <v>0</v>
      </c>
      <c r="R94" s="295" t="str">
        <f>IFERROR(IF(OR(VLOOKUP(A94,_StdCOA!$A$4:$E$56,4,0)=0,VLOOKUP(A94,_StdCOA!$A$4:$E$56,5,0)=0),"",IF(ABS(P94)&gt;VLOOKUP(A94,_StdCOA!$A$4:$E$56,5,0),"🔴 high",IF(ABS(P94)&lt;VLOOKUP(A94,_StdCOA!$A$4:$E$56,4,0),"🟢 low","🟡 in range"))),"")</f>
        <v>🟢 low</v>
      </c>
    </row>
    <row r="95" spans="1:18" ht="15" customHeight="1" x14ac:dyDescent="0.2">
      <c r="A95" s="106" t="s">
        <v>962</v>
      </c>
      <c r="B95" s="256">
        <f>SUMIFS($C$106:$C$255,$P$106:$P$255,"Utilities — Gas")</f>
        <v>0</v>
      </c>
      <c r="C95" s="256">
        <f>SUMIFS($D$106:$D$255,$P$106:$P$255,"Utilities — Gas")</f>
        <v>0</v>
      </c>
      <c r="D95" s="256">
        <f>SUMIFS($E$106:$E$255,$P$106:$P$255,"Utilities — Gas")</f>
        <v>0</v>
      </c>
      <c r="E95" s="256">
        <f>SUMIFS($F$106:$F$255,$P$106:$P$255,"Utilities — Gas")</f>
        <v>0</v>
      </c>
      <c r="F95" s="256">
        <f>SUMIFS($G$106:$G$255,$P$106:$P$255,"Utilities — Gas")</f>
        <v>0</v>
      </c>
      <c r="G95" s="256">
        <f>SUMIFS($H$106:$H$255,$P$106:$P$255,"Utilities — Gas")</f>
        <v>0</v>
      </c>
      <c r="H95" s="256">
        <f>SUMIFS($I$106:$I$255,$P$106:$P$255,"Utilities — Gas")</f>
        <v>0</v>
      </c>
      <c r="I95" s="256">
        <f>SUMIFS($J$106:$J$255,$P$106:$P$255,"Utilities — Gas")</f>
        <v>0</v>
      </c>
      <c r="J95" s="256">
        <f>SUMIFS($K$106:$K$255,$P$106:$P$255,"Utilities — Gas")</f>
        <v>0</v>
      </c>
      <c r="K95" s="256">
        <f>SUMIFS($L$106:$L$255,$P$106:$P$255,"Utilities — Gas")</f>
        <v>0</v>
      </c>
      <c r="L95" s="256">
        <f>SUMIFS($M$106:$M$255,$P$106:$P$255,"Utilities — Gas")</f>
        <v>0</v>
      </c>
      <c r="M95" s="256">
        <f>SUMIFS($N$106:$N$255,$P$106:$P$255,"Utilities — Gas")</f>
        <v>0</v>
      </c>
      <c r="N95" s="286">
        <f>SUMIFS($O$106:$O$255,$P$106:$P$255,"Utilities — Gas")</f>
        <v>0</v>
      </c>
      <c r="O95" s="256">
        <f t="shared" si="8"/>
        <v>0</v>
      </c>
      <c r="P95" s="289">
        <f>IFERROR(N95/12/'Prop Info'!$B$6,0)</f>
        <v>0</v>
      </c>
      <c r="Q95" s="252">
        <f t="shared" si="9"/>
        <v>0</v>
      </c>
      <c r="R95" s="295" t="str">
        <f>IFERROR(IF(OR(VLOOKUP(A95,_StdCOA!$A$4:$E$56,4,0)=0,VLOOKUP(A95,_StdCOA!$A$4:$E$56,5,0)=0),"",IF(ABS(P95)&gt;VLOOKUP(A95,_StdCOA!$A$4:$E$56,5,0),"🔴 high",IF(ABS(P95)&lt;VLOOKUP(A95,_StdCOA!$A$4:$E$56,4,0),"🟢 low","🟡 in range"))),"")</f>
        <v/>
      </c>
    </row>
    <row r="96" spans="1:18" ht="15" customHeight="1" x14ac:dyDescent="0.2">
      <c r="A96" s="106" t="s">
        <v>963</v>
      </c>
      <c r="B96" s="256">
        <f>SUMIFS($C$106:$C$255,$P$106:$P$255,"Utilities — Water/Sewer")</f>
        <v>0</v>
      </c>
      <c r="C96" s="256">
        <f>SUMIFS($D$106:$D$255,$P$106:$P$255,"Utilities — Water/Sewer")</f>
        <v>0</v>
      </c>
      <c r="D96" s="256">
        <f>SUMIFS($E$106:$E$255,$P$106:$P$255,"Utilities — Water/Sewer")</f>
        <v>0</v>
      </c>
      <c r="E96" s="256">
        <f>SUMIFS($F$106:$F$255,$P$106:$P$255,"Utilities — Water/Sewer")</f>
        <v>0</v>
      </c>
      <c r="F96" s="256">
        <f>SUMIFS($G$106:$G$255,$P$106:$P$255,"Utilities — Water/Sewer")</f>
        <v>0</v>
      </c>
      <c r="G96" s="256">
        <f>SUMIFS($H$106:$H$255,$P$106:$P$255,"Utilities — Water/Sewer")</f>
        <v>0</v>
      </c>
      <c r="H96" s="256">
        <f>SUMIFS($I$106:$I$255,$P$106:$P$255,"Utilities — Water/Sewer")</f>
        <v>0</v>
      </c>
      <c r="I96" s="256">
        <f>SUMIFS($J$106:$J$255,$P$106:$P$255,"Utilities — Water/Sewer")</f>
        <v>0</v>
      </c>
      <c r="J96" s="256">
        <f>SUMIFS($K$106:$K$255,$P$106:$P$255,"Utilities — Water/Sewer")</f>
        <v>0</v>
      </c>
      <c r="K96" s="256">
        <f>SUMIFS($L$106:$L$255,$P$106:$P$255,"Utilities — Water/Sewer")</f>
        <v>0</v>
      </c>
      <c r="L96" s="256">
        <f>SUMIFS($M$106:$M$255,$P$106:$P$255,"Utilities — Water/Sewer")</f>
        <v>0</v>
      </c>
      <c r="M96" s="256">
        <f>SUMIFS($N$106:$N$255,$P$106:$P$255,"Utilities — Water/Sewer")</f>
        <v>0</v>
      </c>
      <c r="N96" s="286">
        <f>SUMIFS($O$106:$O$255,$P$106:$P$255,"Utilities — Water/Sewer")</f>
        <v>0</v>
      </c>
      <c r="O96" s="256">
        <f t="shared" si="8"/>
        <v>0</v>
      </c>
      <c r="P96" s="289">
        <f>IFERROR(N96/12/'Prop Info'!$B$6,0)</f>
        <v>0</v>
      </c>
      <c r="Q96" s="252">
        <f t="shared" si="9"/>
        <v>0</v>
      </c>
      <c r="R96" s="295" t="str">
        <f>IFERROR(IF(OR(VLOOKUP(A96,_StdCOA!$A$4:$E$56,4,0)=0,VLOOKUP(A96,_StdCOA!$A$4:$E$56,5,0)=0),"",IF(ABS(P96)&gt;VLOOKUP(A96,_StdCOA!$A$4:$E$56,5,0),"🔴 high",IF(ABS(P96)&lt;VLOOKUP(A96,_StdCOA!$A$4:$E$56,4,0),"🟢 low","🟡 in range"))),"")</f>
        <v>🟢 low</v>
      </c>
    </row>
    <row r="97" spans="1:18" ht="15" customHeight="1" x14ac:dyDescent="0.2">
      <c r="A97" s="106" t="s">
        <v>964</v>
      </c>
      <c r="B97" s="256">
        <f>SUMIFS($C$106:$C$255,$P$106:$P$255,"Utilities — Trash")</f>
        <v>0</v>
      </c>
      <c r="C97" s="256">
        <f>SUMIFS($D$106:$D$255,$P$106:$P$255,"Utilities — Trash")</f>
        <v>0</v>
      </c>
      <c r="D97" s="256">
        <f>SUMIFS($E$106:$E$255,$P$106:$P$255,"Utilities — Trash")</f>
        <v>0</v>
      </c>
      <c r="E97" s="256">
        <f>SUMIFS($F$106:$F$255,$P$106:$P$255,"Utilities — Trash")</f>
        <v>0</v>
      </c>
      <c r="F97" s="256">
        <f>SUMIFS($G$106:$G$255,$P$106:$P$255,"Utilities — Trash")</f>
        <v>0</v>
      </c>
      <c r="G97" s="256">
        <f>SUMIFS($H$106:$H$255,$P$106:$P$255,"Utilities — Trash")</f>
        <v>0</v>
      </c>
      <c r="H97" s="256">
        <f>SUMIFS($I$106:$I$255,$P$106:$P$255,"Utilities — Trash")</f>
        <v>0</v>
      </c>
      <c r="I97" s="256">
        <f>SUMIFS($J$106:$J$255,$P$106:$P$255,"Utilities — Trash")</f>
        <v>0</v>
      </c>
      <c r="J97" s="256">
        <f>SUMIFS($K$106:$K$255,$P$106:$P$255,"Utilities — Trash")</f>
        <v>0</v>
      </c>
      <c r="K97" s="256">
        <f>SUMIFS($L$106:$L$255,$P$106:$P$255,"Utilities — Trash")</f>
        <v>0</v>
      </c>
      <c r="L97" s="256">
        <f>SUMIFS($M$106:$M$255,$P$106:$P$255,"Utilities — Trash")</f>
        <v>0</v>
      </c>
      <c r="M97" s="256">
        <f>SUMIFS($N$106:$N$255,$P$106:$P$255,"Utilities — Trash")</f>
        <v>0</v>
      </c>
      <c r="N97" s="286">
        <f>SUMIFS($O$106:$O$255,$P$106:$P$255,"Utilities — Trash")</f>
        <v>0</v>
      </c>
      <c r="O97" s="256">
        <f t="shared" si="8"/>
        <v>0</v>
      </c>
      <c r="P97" s="289">
        <f>IFERROR(N97/12/'Prop Info'!$B$6,0)</f>
        <v>0</v>
      </c>
      <c r="Q97" s="252">
        <f t="shared" si="9"/>
        <v>0</v>
      </c>
      <c r="R97" s="295" t="str">
        <f>IFERROR(IF(OR(VLOOKUP(A97,_StdCOA!$A$4:$E$56,4,0)=0,VLOOKUP(A97,_StdCOA!$A$4:$E$56,5,0)=0),"",IF(ABS(P97)&gt;VLOOKUP(A97,_StdCOA!$A$4:$E$56,5,0),"🔴 high",IF(ABS(P97)&lt;VLOOKUP(A97,_StdCOA!$A$4:$E$56,4,0),"🟢 low","🟡 in range"))),"")</f>
        <v>🟢 low</v>
      </c>
    </row>
    <row r="98" spans="1:18" ht="15" customHeight="1" x14ac:dyDescent="0.2">
      <c r="A98" s="106" t="s">
        <v>965</v>
      </c>
      <c r="B98" s="256">
        <f>SUMIFS($C$106:$C$255,$P$106:$P$255,"Utilities — Internet/Cable")</f>
        <v>0</v>
      </c>
      <c r="C98" s="256">
        <f>SUMIFS($D$106:$D$255,$P$106:$P$255,"Utilities — Internet/Cable")</f>
        <v>0</v>
      </c>
      <c r="D98" s="256">
        <f>SUMIFS($E$106:$E$255,$P$106:$P$255,"Utilities — Internet/Cable")</f>
        <v>0</v>
      </c>
      <c r="E98" s="256">
        <f>SUMIFS($F$106:$F$255,$P$106:$P$255,"Utilities — Internet/Cable")</f>
        <v>0</v>
      </c>
      <c r="F98" s="256">
        <f>SUMIFS($G$106:$G$255,$P$106:$P$255,"Utilities — Internet/Cable")</f>
        <v>0</v>
      </c>
      <c r="G98" s="256">
        <f>SUMIFS($H$106:$H$255,$P$106:$P$255,"Utilities — Internet/Cable")</f>
        <v>0</v>
      </c>
      <c r="H98" s="256">
        <f>SUMIFS($I$106:$I$255,$P$106:$P$255,"Utilities — Internet/Cable")</f>
        <v>0</v>
      </c>
      <c r="I98" s="256">
        <f>SUMIFS($J$106:$J$255,$P$106:$P$255,"Utilities — Internet/Cable")</f>
        <v>0</v>
      </c>
      <c r="J98" s="256">
        <f>SUMIFS($K$106:$K$255,$P$106:$P$255,"Utilities — Internet/Cable")</f>
        <v>0</v>
      </c>
      <c r="K98" s="256">
        <f>SUMIFS($L$106:$L$255,$P$106:$P$255,"Utilities — Internet/Cable")</f>
        <v>0</v>
      </c>
      <c r="L98" s="256">
        <f>SUMIFS($M$106:$M$255,$P$106:$P$255,"Utilities — Internet/Cable")</f>
        <v>0</v>
      </c>
      <c r="M98" s="256">
        <f>SUMIFS($N$106:$N$255,$P$106:$P$255,"Utilities — Internet/Cable")</f>
        <v>0</v>
      </c>
      <c r="N98" s="286">
        <f>SUMIFS($O$106:$O$255,$P$106:$P$255,"Utilities — Internet/Cable")</f>
        <v>0</v>
      </c>
      <c r="O98" s="256">
        <f t="shared" si="8"/>
        <v>0</v>
      </c>
      <c r="P98" s="289">
        <f>IFERROR(N98/12/'Prop Info'!$B$6,0)</f>
        <v>0</v>
      </c>
      <c r="Q98" s="252">
        <f t="shared" si="9"/>
        <v>0</v>
      </c>
      <c r="R98" s="295" t="str">
        <f>IFERROR(IF(OR(VLOOKUP(A98,_StdCOA!$A$4:$E$56,4,0)=0,VLOOKUP(A98,_StdCOA!$A$4:$E$56,5,0)=0),"",IF(ABS(P98)&gt;VLOOKUP(A98,_StdCOA!$A$4:$E$56,5,0),"🔴 high",IF(ABS(P98)&lt;VLOOKUP(A98,_StdCOA!$A$4:$E$56,4,0),"🟢 low","🟡 in range"))),"")</f>
        <v>🟢 low</v>
      </c>
    </row>
    <row r="99" spans="1:18" ht="15" customHeight="1" x14ac:dyDescent="0.2">
      <c r="A99" s="106" t="s">
        <v>966</v>
      </c>
      <c r="B99" s="256">
        <f>SUMIFS($C$106:$C$255,$P$106:$P$255,"Management Fee")</f>
        <v>0</v>
      </c>
      <c r="C99" s="256">
        <f>SUMIFS($D$106:$D$255,$P$106:$P$255,"Management Fee")</f>
        <v>0</v>
      </c>
      <c r="D99" s="256">
        <f>SUMIFS($E$106:$E$255,$P$106:$P$255,"Management Fee")</f>
        <v>0</v>
      </c>
      <c r="E99" s="256">
        <f>SUMIFS($F$106:$F$255,$P$106:$P$255,"Management Fee")</f>
        <v>0</v>
      </c>
      <c r="F99" s="256">
        <f>SUMIFS($G$106:$G$255,$P$106:$P$255,"Management Fee")</f>
        <v>0</v>
      </c>
      <c r="G99" s="256">
        <f>SUMIFS($H$106:$H$255,$P$106:$P$255,"Management Fee")</f>
        <v>0</v>
      </c>
      <c r="H99" s="256">
        <f>SUMIFS($I$106:$I$255,$P$106:$P$255,"Management Fee")</f>
        <v>0</v>
      </c>
      <c r="I99" s="256">
        <f>SUMIFS($J$106:$J$255,$P$106:$P$255,"Management Fee")</f>
        <v>0</v>
      </c>
      <c r="J99" s="256">
        <f>SUMIFS($K$106:$K$255,$P$106:$P$255,"Management Fee")</f>
        <v>0</v>
      </c>
      <c r="K99" s="256">
        <f>SUMIFS($L$106:$L$255,$P$106:$P$255,"Management Fee")</f>
        <v>0</v>
      </c>
      <c r="L99" s="256">
        <f>SUMIFS($M$106:$M$255,$P$106:$P$255,"Management Fee")</f>
        <v>0</v>
      </c>
      <c r="M99" s="256">
        <f>SUMIFS($N$106:$N$255,$P$106:$P$255,"Management Fee")</f>
        <v>0</v>
      </c>
      <c r="N99" s="286">
        <f>SUMIFS($O$106:$O$255,$P$106:$P$255,"Management Fee")</f>
        <v>0</v>
      </c>
      <c r="O99" s="256">
        <f t="shared" si="8"/>
        <v>0</v>
      </c>
      <c r="P99" s="289">
        <f>IFERROR(N99/12/'Prop Info'!$B$6,0)</f>
        <v>0</v>
      </c>
      <c r="Q99" s="252">
        <f t="shared" si="9"/>
        <v>0</v>
      </c>
      <c r="R99" s="295" t="str">
        <f>IFERROR(IF(OR(VLOOKUP(A99,_StdCOA!$A$4:$E$56,4,0)=0,VLOOKUP(A99,_StdCOA!$A$4:$E$56,5,0)=0),"",IF(ABS(P99)&gt;VLOOKUP(A99,_StdCOA!$A$4:$E$56,5,0),"🔴 high",IF(ABS(P99)&lt;VLOOKUP(A99,_StdCOA!$A$4:$E$56,4,0),"🟢 low","🟡 in range"))),"")</f>
        <v>🟢 low</v>
      </c>
    </row>
    <row r="100" spans="1:18" ht="15" customHeight="1" x14ac:dyDescent="0.2">
      <c r="A100" s="290" t="s">
        <v>967</v>
      </c>
      <c r="B100" s="291">
        <f t="shared" ref="B100:N100" si="10">SUM(B82:B99)</f>
        <v>0</v>
      </c>
      <c r="C100" s="291">
        <f t="shared" si="10"/>
        <v>0</v>
      </c>
      <c r="D100" s="291">
        <f t="shared" si="10"/>
        <v>0</v>
      </c>
      <c r="E100" s="291">
        <f t="shared" si="10"/>
        <v>0</v>
      </c>
      <c r="F100" s="291">
        <f t="shared" si="10"/>
        <v>0</v>
      </c>
      <c r="G100" s="291">
        <f t="shared" si="10"/>
        <v>0</v>
      </c>
      <c r="H100" s="291">
        <f t="shared" si="10"/>
        <v>0</v>
      </c>
      <c r="I100" s="291">
        <f t="shared" si="10"/>
        <v>0</v>
      </c>
      <c r="J100" s="291">
        <f t="shared" si="10"/>
        <v>0</v>
      </c>
      <c r="K100" s="291">
        <f t="shared" si="10"/>
        <v>0</v>
      </c>
      <c r="L100" s="291">
        <f t="shared" si="10"/>
        <v>0</v>
      </c>
      <c r="M100" s="291">
        <f t="shared" si="10"/>
        <v>0</v>
      </c>
      <c r="N100" s="291">
        <f t="shared" si="10"/>
        <v>0</v>
      </c>
      <c r="O100" s="291">
        <f t="shared" si="8"/>
        <v>0</v>
      </c>
      <c r="P100" s="296">
        <f>IFERROR(N100/12/'Prop Info'!$B$6,0)</f>
        <v>0</v>
      </c>
      <c r="Q100" s="292">
        <f t="shared" si="9"/>
        <v>0</v>
      </c>
    </row>
    <row r="101" spans="1:18" ht="15" customHeight="1" x14ac:dyDescent="0.2">
      <c r="A101" s="297" t="s">
        <v>734</v>
      </c>
      <c r="B101" s="298">
        <f t="shared" ref="B101:N101" si="11">B80-B100</f>
        <v>0</v>
      </c>
      <c r="C101" s="298">
        <f t="shared" si="11"/>
        <v>0</v>
      </c>
      <c r="D101" s="298">
        <f t="shared" si="11"/>
        <v>0</v>
      </c>
      <c r="E101" s="298">
        <f t="shared" si="11"/>
        <v>0</v>
      </c>
      <c r="F101" s="298">
        <f t="shared" si="11"/>
        <v>0</v>
      </c>
      <c r="G101" s="298">
        <f t="shared" si="11"/>
        <v>0</v>
      </c>
      <c r="H101" s="298">
        <f t="shared" si="11"/>
        <v>0</v>
      </c>
      <c r="I101" s="298">
        <f t="shared" si="11"/>
        <v>0</v>
      </c>
      <c r="J101" s="298">
        <f t="shared" si="11"/>
        <v>0</v>
      </c>
      <c r="K101" s="298">
        <f t="shared" si="11"/>
        <v>0</v>
      </c>
      <c r="L101" s="298">
        <f t="shared" si="11"/>
        <v>0</v>
      </c>
      <c r="M101" s="298">
        <f t="shared" si="11"/>
        <v>0</v>
      </c>
      <c r="N101" s="298">
        <f t="shared" si="11"/>
        <v>0</v>
      </c>
      <c r="O101" s="298">
        <f t="shared" si="8"/>
        <v>0</v>
      </c>
      <c r="P101" s="299">
        <f>IFERROR(N101/12/'Prop Info'!$B$6,0)</f>
        <v>0</v>
      </c>
      <c r="Q101" s="300">
        <f t="shared" si="9"/>
        <v>0</v>
      </c>
      <c r="R101" s="301"/>
    </row>
    <row r="104" spans="1:18" ht="21.75" customHeight="1" x14ac:dyDescent="0.2">
      <c r="A104" s="934" t="s">
        <v>968</v>
      </c>
      <c r="B104" s="934"/>
      <c r="C104" s="934"/>
      <c r="D104" s="934"/>
      <c r="E104" s="934"/>
      <c r="F104" s="934"/>
      <c r="G104" s="934"/>
      <c r="H104" s="934"/>
      <c r="I104" s="934"/>
      <c r="J104" s="934"/>
      <c r="K104" s="934"/>
      <c r="L104" s="934"/>
      <c r="M104" s="934"/>
      <c r="N104" s="934"/>
      <c r="O104" s="934"/>
      <c r="P104" s="934"/>
      <c r="Q104" s="934"/>
      <c r="R104" s="934"/>
    </row>
    <row r="105" spans="1:18" ht="27.75" customHeight="1" x14ac:dyDescent="0.2">
      <c r="A105" s="104" t="s">
        <v>969</v>
      </c>
      <c r="B105" s="104" t="s">
        <v>970</v>
      </c>
      <c r="C105" s="104" t="s">
        <v>922</v>
      </c>
      <c r="D105" s="104" t="s">
        <v>923</v>
      </c>
      <c r="E105" s="104" t="s">
        <v>924</v>
      </c>
      <c r="F105" s="104" t="s">
        <v>925</v>
      </c>
      <c r="G105" s="104" t="s">
        <v>926</v>
      </c>
      <c r="H105" s="104" t="s">
        <v>927</v>
      </c>
      <c r="I105" s="104" t="s">
        <v>928</v>
      </c>
      <c r="J105" s="104" t="s">
        <v>929</v>
      </c>
      <c r="K105" s="104" t="s">
        <v>930</v>
      </c>
      <c r="L105" s="104" t="s">
        <v>931</v>
      </c>
      <c r="M105" s="104" t="s">
        <v>932</v>
      </c>
      <c r="N105" s="104" t="s">
        <v>933</v>
      </c>
      <c r="O105" s="104" t="s">
        <v>934</v>
      </c>
      <c r="P105" s="104" t="s">
        <v>971</v>
      </c>
      <c r="Q105" s="104" t="s">
        <v>802</v>
      </c>
      <c r="R105" s="104" t="s">
        <v>55</v>
      </c>
    </row>
    <row r="106" spans="1:18" ht="15" customHeight="1" x14ac:dyDescent="0.2">
      <c r="A106" s="118"/>
      <c r="B106" s="302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256">
        <f t="shared" ref="O106:O137" si="12">SUM(C106:N106)</f>
        <v>0</v>
      </c>
      <c r="P106" s="119" t="s">
        <v>938</v>
      </c>
      <c r="Q106" s="288" t="str">
        <f t="shared" ref="Q106:Q137" si="13">IF(O106=0,"",IF(ABS(O106-SUM(C106:N106))&lt;0.01,"✓","⚠"))</f>
        <v/>
      </c>
    </row>
    <row r="107" spans="1:18" ht="15" customHeight="1" x14ac:dyDescent="0.2">
      <c r="A107" s="118"/>
      <c r="B107" s="302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256">
        <f t="shared" si="12"/>
        <v>0</v>
      </c>
      <c r="P107" s="119" t="s">
        <v>939</v>
      </c>
      <c r="Q107" s="288" t="str">
        <f t="shared" si="13"/>
        <v/>
      </c>
    </row>
    <row r="108" spans="1:18" ht="15" customHeight="1" x14ac:dyDescent="0.2">
      <c r="A108" s="118"/>
      <c r="B108" s="302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256">
        <f t="shared" si="12"/>
        <v>0</v>
      </c>
      <c r="P108" s="119" t="s">
        <v>900</v>
      </c>
      <c r="Q108" s="288" t="str">
        <f t="shared" si="13"/>
        <v/>
      </c>
    </row>
    <row r="109" spans="1:18" ht="15" customHeight="1" x14ac:dyDescent="0.2">
      <c r="A109" s="118"/>
      <c r="B109" s="302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256">
        <f t="shared" si="12"/>
        <v>0</v>
      </c>
      <c r="P109" s="119" t="s">
        <v>908</v>
      </c>
      <c r="Q109" s="288" t="str">
        <f t="shared" si="13"/>
        <v/>
      </c>
    </row>
    <row r="110" spans="1:18" ht="15" customHeight="1" x14ac:dyDescent="0.2">
      <c r="A110" s="118"/>
      <c r="B110" s="302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256">
        <f t="shared" si="12"/>
        <v>0</v>
      </c>
      <c r="P110" s="119" t="s">
        <v>910</v>
      </c>
      <c r="Q110" s="288" t="str">
        <f t="shared" si="13"/>
        <v/>
      </c>
    </row>
    <row r="111" spans="1:18" ht="15" customHeight="1" x14ac:dyDescent="0.2">
      <c r="A111" s="118"/>
      <c r="B111" s="302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256">
        <f t="shared" si="12"/>
        <v>0</v>
      </c>
      <c r="P111" s="119" t="s">
        <v>904</v>
      </c>
      <c r="Q111" s="288" t="str">
        <f t="shared" si="13"/>
        <v/>
      </c>
    </row>
    <row r="112" spans="1:18" ht="15" customHeight="1" x14ac:dyDescent="0.2">
      <c r="A112" s="118"/>
      <c r="B112" s="302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256">
        <f t="shared" si="12"/>
        <v>0</v>
      </c>
      <c r="P112" s="119" t="s">
        <v>904</v>
      </c>
      <c r="Q112" s="288" t="str">
        <f t="shared" si="13"/>
        <v/>
      </c>
    </row>
    <row r="113" spans="1:17" ht="15" customHeight="1" x14ac:dyDescent="0.2">
      <c r="A113" s="118"/>
      <c r="B113" s="302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256">
        <f t="shared" si="12"/>
        <v>0</v>
      </c>
      <c r="P113" s="119" t="s">
        <v>904</v>
      </c>
      <c r="Q113" s="288" t="str">
        <f t="shared" si="13"/>
        <v/>
      </c>
    </row>
    <row r="114" spans="1:17" ht="15" customHeight="1" x14ac:dyDescent="0.2">
      <c r="A114" s="118"/>
      <c r="B114" s="302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256">
        <f t="shared" si="12"/>
        <v>0</v>
      </c>
      <c r="P114" s="119" t="s">
        <v>904</v>
      </c>
      <c r="Q114" s="288" t="str">
        <f t="shared" si="13"/>
        <v/>
      </c>
    </row>
    <row r="115" spans="1:17" ht="15" customHeight="1" x14ac:dyDescent="0.2">
      <c r="A115" s="118"/>
      <c r="B115" s="302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256">
        <f t="shared" si="12"/>
        <v>0</v>
      </c>
      <c r="P115" s="119" t="s">
        <v>906</v>
      </c>
      <c r="Q115" s="288" t="str">
        <f t="shared" si="13"/>
        <v/>
      </c>
    </row>
    <row r="116" spans="1:17" ht="15" customHeight="1" x14ac:dyDescent="0.2">
      <c r="A116" s="118"/>
      <c r="B116" s="302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256">
        <f t="shared" si="12"/>
        <v>0</v>
      </c>
      <c r="P116" s="119" t="s">
        <v>940</v>
      </c>
      <c r="Q116" s="288" t="str">
        <f t="shared" si="13"/>
        <v/>
      </c>
    </row>
    <row r="117" spans="1:17" ht="15" customHeight="1" x14ac:dyDescent="0.2">
      <c r="A117" s="118"/>
      <c r="B117" s="302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256">
        <f t="shared" si="12"/>
        <v>0</v>
      </c>
      <c r="P117" s="119" t="s">
        <v>941</v>
      </c>
      <c r="Q117" s="288" t="str">
        <f t="shared" si="13"/>
        <v/>
      </c>
    </row>
    <row r="118" spans="1:17" ht="15" customHeight="1" x14ac:dyDescent="0.2">
      <c r="A118" s="118"/>
      <c r="B118" s="302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256">
        <f t="shared" si="12"/>
        <v>0</v>
      </c>
      <c r="P118" s="119" t="s">
        <v>943</v>
      </c>
      <c r="Q118" s="288" t="str">
        <f t="shared" si="13"/>
        <v/>
      </c>
    </row>
    <row r="119" spans="1:17" ht="15" customHeight="1" x14ac:dyDescent="0.2">
      <c r="A119" s="118"/>
      <c r="B119" s="302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256">
        <f t="shared" si="12"/>
        <v>0</v>
      </c>
      <c r="P119" s="119" t="s">
        <v>944</v>
      </c>
      <c r="Q119" s="288" t="str">
        <f t="shared" si="13"/>
        <v/>
      </c>
    </row>
    <row r="120" spans="1:17" ht="15" customHeight="1" x14ac:dyDescent="0.2">
      <c r="A120" s="118"/>
      <c r="B120" s="302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256">
        <f t="shared" si="12"/>
        <v>0</v>
      </c>
      <c r="P120" s="119" t="s">
        <v>945</v>
      </c>
      <c r="Q120" s="288" t="str">
        <f t="shared" si="13"/>
        <v/>
      </c>
    </row>
    <row r="121" spans="1:17" ht="15" customHeight="1" x14ac:dyDescent="0.2">
      <c r="A121" s="118"/>
      <c r="B121" s="302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256">
        <f t="shared" si="12"/>
        <v>0</v>
      </c>
      <c r="P121" s="119" t="s">
        <v>945</v>
      </c>
      <c r="Q121" s="288" t="str">
        <f t="shared" si="13"/>
        <v/>
      </c>
    </row>
    <row r="122" spans="1:17" ht="15" customHeight="1" x14ac:dyDescent="0.2">
      <c r="A122" s="118"/>
      <c r="B122" s="302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256">
        <f t="shared" si="12"/>
        <v>0</v>
      </c>
      <c r="P122" s="119" t="s">
        <v>946</v>
      </c>
      <c r="Q122" s="288" t="str">
        <f t="shared" si="13"/>
        <v/>
      </c>
    </row>
    <row r="123" spans="1:17" ht="15" customHeight="1" x14ac:dyDescent="0.2">
      <c r="A123" s="118"/>
      <c r="B123" s="302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256">
        <f t="shared" si="12"/>
        <v>0</v>
      </c>
      <c r="P123" s="119" t="s">
        <v>946</v>
      </c>
      <c r="Q123" s="288" t="str">
        <f t="shared" si="13"/>
        <v/>
      </c>
    </row>
    <row r="124" spans="1:17" ht="15" customHeight="1" x14ac:dyDescent="0.2">
      <c r="A124" s="118"/>
      <c r="B124" s="302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256">
        <f t="shared" si="12"/>
        <v>0</v>
      </c>
      <c r="P124" s="119" t="s">
        <v>946</v>
      </c>
      <c r="Q124" s="288" t="str">
        <f t="shared" si="13"/>
        <v/>
      </c>
    </row>
    <row r="125" spans="1:17" ht="15" customHeight="1" x14ac:dyDescent="0.2">
      <c r="A125" s="118"/>
      <c r="B125" s="302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256">
        <f t="shared" si="12"/>
        <v>0</v>
      </c>
      <c r="P125" s="119" t="s">
        <v>949</v>
      </c>
      <c r="Q125" s="288" t="str">
        <f t="shared" si="13"/>
        <v/>
      </c>
    </row>
    <row r="126" spans="1:17" ht="15" customHeight="1" x14ac:dyDescent="0.2">
      <c r="A126" s="118"/>
      <c r="B126" s="302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256">
        <f t="shared" si="12"/>
        <v>0</v>
      </c>
      <c r="P126" s="119" t="s">
        <v>946</v>
      </c>
      <c r="Q126" s="288" t="str">
        <f t="shared" si="13"/>
        <v/>
      </c>
    </row>
    <row r="127" spans="1:17" ht="15" customHeight="1" x14ac:dyDescent="0.2">
      <c r="A127" s="118"/>
      <c r="B127" s="302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256">
        <f t="shared" si="12"/>
        <v>0</v>
      </c>
      <c r="P127" s="119" t="s">
        <v>952</v>
      </c>
      <c r="Q127" s="288" t="str">
        <f t="shared" si="13"/>
        <v/>
      </c>
    </row>
    <row r="128" spans="1:17" ht="15" customHeight="1" x14ac:dyDescent="0.2">
      <c r="A128" s="118"/>
      <c r="B128" s="302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256">
        <f t="shared" si="12"/>
        <v>0</v>
      </c>
      <c r="P128" s="119" t="s">
        <v>950</v>
      </c>
      <c r="Q128" s="288" t="str">
        <f t="shared" si="13"/>
        <v/>
      </c>
    </row>
    <row r="129" spans="1:17" ht="15" customHeight="1" x14ac:dyDescent="0.2">
      <c r="A129" s="118"/>
      <c r="B129" s="302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256">
        <f t="shared" si="12"/>
        <v>0</v>
      </c>
      <c r="P129" s="119" t="s">
        <v>950</v>
      </c>
      <c r="Q129" s="288" t="str">
        <f t="shared" si="13"/>
        <v/>
      </c>
    </row>
    <row r="130" spans="1:17" ht="15" customHeight="1" x14ac:dyDescent="0.2">
      <c r="A130" s="118"/>
      <c r="B130" s="302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256">
        <f t="shared" si="12"/>
        <v>0</v>
      </c>
      <c r="P130" s="119" t="s">
        <v>952</v>
      </c>
      <c r="Q130" s="288" t="str">
        <f t="shared" si="13"/>
        <v/>
      </c>
    </row>
    <row r="131" spans="1:17" ht="15" customHeight="1" x14ac:dyDescent="0.2">
      <c r="A131" s="118"/>
      <c r="B131" s="302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256">
        <f t="shared" si="12"/>
        <v>0</v>
      </c>
      <c r="P131" s="119" t="s">
        <v>951</v>
      </c>
      <c r="Q131" s="288" t="str">
        <f t="shared" si="13"/>
        <v/>
      </c>
    </row>
    <row r="132" spans="1:17" ht="15" customHeight="1" x14ac:dyDescent="0.2">
      <c r="A132" s="118"/>
      <c r="B132" s="302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256">
        <f t="shared" si="12"/>
        <v>0</v>
      </c>
      <c r="P132" s="119" t="s">
        <v>951</v>
      </c>
      <c r="Q132" s="288" t="str">
        <f t="shared" si="13"/>
        <v/>
      </c>
    </row>
    <row r="133" spans="1:17" ht="15" customHeight="1" x14ac:dyDescent="0.2">
      <c r="A133" s="118"/>
      <c r="B133" s="302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256">
        <f t="shared" si="12"/>
        <v>0</v>
      </c>
      <c r="P133" s="119" t="s">
        <v>951</v>
      </c>
      <c r="Q133" s="288" t="str">
        <f t="shared" si="13"/>
        <v/>
      </c>
    </row>
    <row r="134" spans="1:17" ht="15" customHeight="1" x14ac:dyDescent="0.2">
      <c r="A134" s="118"/>
      <c r="B134" s="302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256">
        <f t="shared" si="12"/>
        <v>0</v>
      </c>
      <c r="P134" s="119" t="s">
        <v>951</v>
      </c>
      <c r="Q134" s="288" t="str">
        <f t="shared" si="13"/>
        <v/>
      </c>
    </row>
    <row r="135" spans="1:17" ht="15" customHeight="1" x14ac:dyDescent="0.2">
      <c r="A135" s="118"/>
      <c r="B135" s="302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256">
        <f t="shared" si="12"/>
        <v>0</v>
      </c>
      <c r="P135" s="119" t="s">
        <v>952</v>
      </c>
      <c r="Q135" s="288" t="str">
        <f t="shared" si="13"/>
        <v/>
      </c>
    </row>
    <row r="136" spans="1:17" ht="15" customHeight="1" x14ac:dyDescent="0.2">
      <c r="A136" s="118"/>
      <c r="B136" s="302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256">
        <f t="shared" si="12"/>
        <v>0</v>
      </c>
      <c r="P136" s="119" t="s">
        <v>952</v>
      </c>
      <c r="Q136" s="288" t="str">
        <f t="shared" si="13"/>
        <v/>
      </c>
    </row>
    <row r="137" spans="1:17" ht="15" customHeight="1" x14ac:dyDescent="0.2">
      <c r="A137" s="118"/>
      <c r="B137" s="302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256">
        <f t="shared" si="12"/>
        <v>0</v>
      </c>
      <c r="P137" s="119" t="s">
        <v>722</v>
      </c>
      <c r="Q137" s="288" t="str">
        <f t="shared" si="13"/>
        <v/>
      </c>
    </row>
    <row r="138" spans="1:17" ht="15" customHeight="1" x14ac:dyDescent="0.2">
      <c r="A138" s="118"/>
      <c r="B138" s="302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256">
        <f t="shared" ref="O138:O169" si="14">SUM(C138:N138)</f>
        <v>0</v>
      </c>
      <c r="P138" s="119" t="s">
        <v>722</v>
      </c>
      <c r="Q138" s="288" t="str">
        <f t="shared" ref="Q138:Q169" si="15">IF(O138=0,"",IF(ABS(O138-SUM(C138:N138))&lt;0.01,"✓","⚠"))</f>
        <v/>
      </c>
    </row>
    <row r="139" spans="1:17" ht="15" customHeight="1" x14ac:dyDescent="0.2">
      <c r="A139" s="118"/>
      <c r="B139" s="302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256">
        <f t="shared" si="14"/>
        <v>0</v>
      </c>
      <c r="P139" s="119" t="s">
        <v>722</v>
      </c>
      <c r="Q139" s="288" t="str">
        <f t="shared" si="15"/>
        <v/>
      </c>
    </row>
    <row r="140" spans="1:17" ht="15" customHeight="1" x14ac:dyDescent="0.2">
      <c r="A140" s="118"/>
      <c r="B140" s="302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256">
        <f t="shared" si="14"/>
        <v>0</v>
      </c>
      <c r="P140" s="119" t="s">
        <v>722</v>
      </c>
      <c r="Q140" s="288" t="str">
        <f t="shared" si="15"/>
        <v/>
      </c>
    </row>
    <row r="141" spans="1:17" ht="15" customHeight="1" x14ac:dyDescent="0.2">
      <c r="A141" s="118"/>
      <c r="B141" s="302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256">
        <f t="shared" si="14"/>
        <v>0</v>
      </c>
      <c r="P141" s="119" t="s">
        <v>722</v>
      </c>
      <c r="Q141" s="288" t="str">
        <f t="shared" si="15"/>
        <v/>
      </c>
    </row>
    <row r="142" spans="1:17" ht="15" customHeight="1" x14ac:dyDescent="0.2">
      <c r="A142" s="118"/>
      <c r="B142" s="302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256">
        <f t="shared" si="14"/>
        <v>0</v>
      </c>
      <c r="P142" s="119" t="s">
        <v>957</v>
      </c>
      <c r="Q142" s="288" t="str">
        <f t="shared" si="15"/>
        <v/>
      </c>
    </row>
    <row r="143" spans="1:17" ht="15" customHeight="1" x14ac:dyDescent="0.2">
      <c r="A143" s="118"/>
      <c r="B143" s="302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256">
        <f t="shared" si="14"/>
        <v>0</v>
      </c>
      <c r="P143" s="119" t="s">
        <v>722</v>
      </c>
      <c r="Q143" s="288" t="str">
        <f t="shared" si="15"/>
        <v/>
      </c>
    </row>
    <row r="144" spans="1:17" ht="15" customHeight="1" x14ac:dyDescent="0.2">
      <c r="A144" s="118"/>
      <c r="B144" s="302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256">
        <f t="shared" si="14"/>
        <v>0</v>
      </c>
      <c r="P144" s="119" t="s">
        <v>956</v>
      </c>
      <c r="Q144" s="288" t="str">
        <f t="shared" si="15"/>
        <v/>
      </c>
    </row>
    <row r="145" spans="1:17" ht="15" customHeight="1" x14ac:dyDescent="0.2">
      <c r="A145" s="118"/>
      <c r="B145" s="302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256">
        <f t="shared" si="14"/>
        <v>0</v>
      </c>
      <c r="P145" s="119" t="s">
        <v>956</v>
      </c>
      <c r="Q145" s="288" t="str">
        <f t="shared" si="15"/>
        <v/>
      </c>
    </row>
    <row r="146" spans="1:17" ht="15" customHeight="1" x14ac:dyDescent="0.2">
      <c r="A146" s="118"/>
      <c r="B146" s="302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256">
        <f t="shared" si="14"/>
        <v>0</v>
      </c>
      <c r="P146" s="119" t="s">
        <v>722</v>
      </c>
      <c r="Q146" s="288" t="str">
        <f t="shared" si="15"/>
        <v/>
      </c>
    </row>
    <row r="147" spans="1:17" ht="15" customHeight="1" x14ac:dyDescent="0.2">
      <c r="A147" s="118"/>
      <c r="B147" s="302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256">
        <f t="shared" si="14"/>
        <v>0</v>
      </c>
      <c r="P147" s="119" t="s">
        <v>308</v>
      </c>
      <c r="Q147" s="288" t="str">
        <f t="shared" si="15"/>
        <v/>
      </c>
    </row>
    <row r="148" spans="1:17" ht="15" customHeight="1" x14ac:dyDescent="0.2">
      <c r="A148" s="118"/>
      <c r="B148" s="302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256">
        <f t="shared" si="14"/>
        <v>0</v>
      </c>
      <c r="P148" s="119" t="s">
        <v>964</v>
      </c>
      <c r="Q148" s="288" t="str">
        <f t="shared" si="15"/>
        <v/>
      </c>
    </row>
    <row r="149" spans="1:17" ht="15" customHeight="1" x14ac:dyDescent="0.2">
      <c r="A149" s="118"/>
      <c r="B149" s="302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256">
        <f t="shared" si="14"/>
        <v>0</v>
      </c>
      <c r="P149" s="119" t="s">
        <v>722</v>
      </c>
      <c r="Q149" s="288" t="str">
        <f t="shared" si="15"/>
        <v/>
      </c>
    </row>
    <row r="150" spans="1:17" ht="15" customHeight="1" x14ac:dyDescent="0.2">
      <c r="A150" s="118"/>
      <c r="B150" s="302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256">
        <f t="shared" si="14"/>
        <v>0</v>
      </c>
      <c r="P150" s="119" t="s">
        <v>958</v>
      </c>
      <c r="Q150" s="288" t="str">
        <f t="shared" si="15"/>
        <v/>
      </c>
    </row>
    <row r="151" spans="1:17" ht="15" customHeight="1" x14ac:dyDescent="0.2">
      <c r="A151" s="118"/>
      <c r="B151" s="302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256">
        <f t="shared" si="14"/>
        <v>0</v>
      </c>
      <c r="P151" s="119" t="s">
        <v>958</v>
      </c>
      <c r="Q151" s="288" t="str">
        <f t="shared" si="15"/>
        <v/>
      </c>
    </row>
    <row r="152" spans="1:17" ht="15" customHeight="1" x14ac:dyDescent="0.2">
      <c r="A152" s="118"/>
      <c r="B152" s="302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256">
        <f t="shared" si="14"/>
        <v>0</v>
      </c>
      <c r="P152" s="119" t="s">
        <v>964</v>
      </c>
      <c r="Q152" s="288" t="str">
        <f t="shared" si="15"/>
        <v/>
      </c>
    </row>
    <row r="153" spans="1:17" ht="15" customHeight="1" x14ac:dyDescent="0.2">
      <c r="A153" s="118"/>
      <c r="B153" s="302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256">
        <f t="shared" si="14"/>
        <v>0</v>
      </c>
      <c r="P153" s="119" t="s">
        <v>961</v>
      </c>
      <c r="Q153" s="288" t="str">
        <f t="shared" si="15"/>
        <v/>
      </c>
    </row>
    <row r="154" spans="1:17" ht="15" customHeight="1" x14ac:dyDescent="0.2">
      <c r="A154" s="118"/>
      <c r="B154" s="302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256">
        <f t="shared" si="14"/>
        <v>0</v>
      </c>
      <c r="P154" s="119" t="s">
        <v>961</v>
      </c>
      <c r="Q154" s="288" t="str">
        <f t="shared" si="15"/>
        <v/>
      </c>
    </row>
    <row r="155" spans="1:17" ht="15" customHeight="1" x14ac:dyDescent="0.2">
      <c r="A155" s="118"/>
      <c r="B155" s="302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256">
        <f t="shared" si="14"/>
        <v>0</v>
      </c>
      <c r="P155" s="119" t="s">
        <v>963</v>
      </c>
      <c r="Q155" s="288" t="str">
        <f t="shared" si="15"/>
        <v/>
      </c>
    </row>
    <row r="156" spans="1:17" ht="15" customHeight="1" x14ac:dyDescent="0.2">
      <c r="A156" s="118"/>
      <c r="B156" s="302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256">
        <f t="shared" si="14"/>
        <v>0</v>
      </c>
      <c r="P156" s="119" t="s">
        <v>965</v>
      </c>
      <c r="Q156" s="288" t="str">
        <f t="shared" si="15"/>
        <v/>
      </c>
    </row>
    <row r="157" spans="1:17" ht="15" customHeight="1" x14ac:dyDescent="0.2">
      <c r="A157" s="118"/>
      <c r="B157" s="302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256">
        <f t="shared" si="14"/>
        <v>0</v>
      </c>
      <c r="P157" s="119" t="s">
        <v>725</v>
      </c>
      <c r="Q157" s="288" t="str">
        <f t="shared" si="15"/>
        <v/>
      </c>
    </row>
    <row r="158" spans="1:17" ht="15" customHeight="1" x14ac:dyDescent="0.2">
      <c r="A158" s="118"/>
      <c r="B158" s="302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256">
        <f t="shared" si="14"/>
        <v>0</v>
      </c>
      <c r="P158" s="119" t="s">
        <v>725</v>
      </c>
      <c r="Q158" s="288" t="str">
        <f t="shared" si="15"/>
        <v/>
      </c>
    </row>
    <row r="159" spans="1:17" ht="15" customHeight="1" x14ac:dyDescent="0.2">
      <c r="A159" s="118"/>
      <c r="B159" s="302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256">
        <f t="shared" si="14"/>
        <v>0</v>
      </c>
      <c r="P159" s="119" t="s">
        <v>725</v>
      </c>
      <c r="Q159" s="288" t="str">
        <f t="shared" si="15"/>
        <v/>
      </c>
    </row>
    <row r="160" spans="1:17" ht="15" customHeight="1" x14ac:dyDescent="0.2">
      <c r="A160" s="118"/>
      <c r="B160" s="302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256">
        <f t="shared" si="14"/>
        <v>0</v>
      </c>
      <c r="P160" s="119" t="s">
        <v>725</v>
      </c>
      <c r="Q160" s="288" t="str">
        <f t="shared" si="15"/>
        <v/>
      </c>
    </row>
    <row r="161" spans="1:17" ht="15" customHeight="1" x14ac:dyDescent="0.2">
      <c r="A161" s="118"/>
      <c r="B161" s="302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256">
        <f t="shared" si="14"/>
        <v>0</v>
      </c>
      <c r="P161" s="119" t="s">
        <v>725</v>
      </c>
      <c r="Q161" s="288" t="str">
        <f t="shared" si="15"/>
        <v/>
      </c>
    </row>
    <row r="162" spans="1:17" ht="15" customHeight="1" x14ac:dyDescent="0.2">
      <c r="A162" s="118"/>
      <c r="B162" s="302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256">
        <f t="shared" si="14"/>
        <v>0</v>
      </c>
      <c r="P162" s="119" t="s">
        <v>725</v>
      </c>
      <c r="Q162" s="288" t="str">
        <f t="shared" si="15"/>
        <v/>
      </c>
    </row>
    <row r="163" spans="1:17" ht="15" customHeight="1" x14ac:dyDescent="0.2">
      <c r="A163" s="118"/>
      <c r="B163" s="302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256">
        <f t="shared" si="14"/>
        <v>0</v>
      </c>
      <c r="P163" s="119" t="s">
        <v>701</v>
      </c>
      <c r="Q163" s="288" t="str">
        <f t="shared" si="15"/>
        <v/>
      </c>
    </row>
    <row r="164" spans="1:17" ht="15" customHeight="1" x14ac:dyDescent="0.2">
      <c r="A164" s="118"/>
      <c r="B164" s="302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256">
        <f t="shared" si="14"/>
        <v>0</v>
      </c>
      <c r="P164" s="119" t="s">
        <v>701</v>
      </c>
      <c r="Q164" s="288" t="str">
        <f t="shared" si="15"/>
        <v/>
      </c>
    </row>
    <row r="165" spans="1:17" ht="15" customHeight="1" x14ac:dyDescent="0.2">
      <c r="A165" s="118"/>
      <c r="B165" s="302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256">
        <f t="shared" si="14"/>
        <v>0</v>
      </c>
      <c r="P165" s="119" t="s">
        <v>701</v>
      </c>
      <c r="Q165" s="288" t="str">
        <f t="shared" si="15"/>
        <v/>
      </c>
    </row>
    <row r="166" spans="1:17" ht="15" customHeight="1" x14ac:dyDescent="0.2">
      <c r="A166" s="118"/>
      <c r="B166" s="302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256">
        <f t="shared" si="14"/>
        <v>0</v>
      </c>
      <c r="P166" s="119" t="s">
        <v>701</v>
      </c>
      <c r="Q166" s="288" t="str">
        <f t="shared" si="15"/>
        <v/>
      </c>
    </row>
    <row r="167" spans="1:17" ht="15" customHeight="1" x14ac:dyDescent="0.2">
      <c r="A167" s="118"/>
      <c r="B167" s="302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256">
        <f t="shared" si="14"/>
        <v>0</v>
      </c>
      <c r="P167" s="119" t="s">
        <v>959</v>
      </c>
      <c r="Q167" s="288" t="str">
        <f t="shared" si="15"/>
        <v/>
      </c>
    </row>
    <row r="168" spans="1:17" ht="15" customHeight="1" x14ac:dyDescent="0.2">
      <c r="A168" s="118"/>
      <c r="B168" s="302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256">
        <f t="shared" si="14"/>
        <v>0</v>
      </c>
      <c r="P168" s="119" t="s">
        <v>959</v>
      </c>
      <c r="Q168" s="288" t="str">
        <f t="shared" si="15"/>
        <v/>
      </c>
    </row>
    <row r="169" spans="1:17" ht="15" customHeight="1" x14ac:dyDescent="0.2">
      <c r="A169" s="118"/>
      <c r="B169" s="302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256">
        <f t="shared" si="14"/>
        <v>0</v>
      </c>
      <c r="P169" s="119" t="s">
        <v>959</v>
      </c>
      <c r="Q169" s="288" t="str">
        <f t="shared" si="15"/>
        <v/>
      </c>
    </row>
    <row r="170" spans="1:17" ht="15" customHeight="1" x14ac:dyDescent="0.2">
      <c r="A170" s="118"/>
      <c r="B170" s="302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256">
        <f t="shared" ref="O170:O185" si="16">SUM(C170:N170)</f>
        <v>0</v>
      </c>
      <c r="P170" s="119" t="s">
        <v>959</v>
      </c>
      <c r="Q170" s="288" t="str">
        <f t="shared" ref="Q170:Q201" si="17">IF(O170=0,"",IF(ABS(O170-SUM(C170:N170))&lt;0.01,"✓","⚠"))</f>
        <v/>
      </c>
    </row>
    <row r="171" spans="1:17" ht="15" customHeight="1" x14ac:dyDescent="0.2">
      <c r="A171" s="118"/>
      <c r="B171" s="302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256">
        <f t="shared" si="16"/>
        <v>0</v>
      </c>
      <c r="P171" s="119" t="s">
        <v>959</v>
      </c>
      <c r="Q171" s="288" t="str">
        <f t="shared" si="17"/>
        <v/>
      </c>
    </row>
    <row r="172" spans="1:17" ht="15" customHeight="1" x14ac:dyDescent="0.2">
      <c r="A172" s="118"/>
      <c r="B172" s="302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256">
        <f t="shared" si="16"/>
        <v>0</v>
      </c>
      <c r="P172" s="119" t="s">
        <v>959</v>
      </c>
      <c r="Q172" s="288" t="str">
        <f t="shared" si="17"/>
        <v/>
      </c>
    </row>
    <row r="173" spans="1:17" ht="15" customHeight="1" x14ac:dyDescent="0.2">
      <c r="A173" s="118"/>
      <c r="B173" s="302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256">
        <f t="shared" si="16"/>
        <v>0</v>
      </c>
      <c r="P173" s="119" t="s">
        <v>959</v>
      </c>
      <c r="Q173" s="288" t="str">
        <f t="shared" si="17"/>
        <v/>
      </c>
    </row>
    <row r="174" spans="1:17" ht="15" customHeight="1" x14ac:dyDescent="0.2">
      <c r="A174" s="118"/>
      <c r="B174" s="302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256">
        <f t="shared" si="16"/>
        <v>0</v>
      </c>
      <c r="P174" s="119" t="s">
        <v>959</v>
      </c>
      <c r="Q174" s="288" t="str">
        <f t="shared" si="17"/>
        <v/>
      </c>
    </row>
    <row r="175" spans="1:17" ht="15" customHeight="1" x14ac:dyDescent="0.2">
      <c r="A175" s="118"/>
      <c r="B175" s="302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256">
        <f t="shared" si="16"/>
        <v>0</v>
      </c>
      <c r="P175" s="119" t="s">
        <v>960</v>
      </c>
      <c r="Q175" s="288" t="str">
        <f t="shared" si="17"/>
        <v/>
      </c>
    </row>
    <row r="176" spans="1:17" ht="15" customHeight="1" x14ac:dyDescent="0.2">
      <c r="A176" s="118"/>
      <c r="B176" s="302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256">
        <f t="shared" si="16"/>
        <v>0</v>
      </c>
      <c r="P176" s="119" t="s">
        <v>959</v>
      </c>
      <c r="Q176" s="288" t="str">
        <f t="shared" si="17"/>
        <v/>
      </c>
    </row>
    <row r="177" spans="1:18" ht="15" customHeight="1" x14ac:dyDescent="0.2">
      <c r="A177" s="118"/>
      <c r="B177" s="302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256">
        <f t="shared" si="16"/>
        <v>0</v>
      </c>
      <c r="P177" s="119" t="s">
        <v>959</v>
      </c>
      <c r="Q177" s="288" t="str">
        <f t="shared" si="17"/>
        <v/>
      </c>
    </row>
    <row r="178" spans="1:18" ht="15" customHeight="1" x14ac:dyDescent="0.2">
      <c r="A178" s="118"/>
      <c r="B178" s="302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256">
        <f t="shared" si="16"/>
        <v>0</v>
      </c>
      <c r="P178" s="119" t="s">
        <v>959</v>
      </c>
      <c r="Q178" s="288" t="str">
        <f t="shared" si="17"/>
        <v/>
      </c>
    </row>
    <row r="179" spans="1:18" ht="15" customHeight="1" x14ac:dyDescent="0.2">
      <c r="A179" s="118"/>
      <c r="B179" s="302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256">
        <f t="shared" si="16"/>
        <v>0</v>
      </c>
      <c r="P179" s="119" t="s">
        <v>959</v>
      </c>
      <c r="Q179" s="288" t="str">
        <f t="shared" si="17"/>
        <v/>
      </c>
    </row>
    <row r="180" spans="1:18" ht="15" customHeight="1" x14ac:dyDescent="0.2">
      <c r="A180" s="118"/>
      <c r="B180" s="302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256">
        <f t="shared" si="16"/>
        <v>0</v>
      </c>
      <c r="P180" s="119" t="s">
        <v>959</v>
      </c>
      <c r="Q180" s="288" t="str">
        <f t="shared" si="17"/>
        <v/>
      </c>
    </row>
    <row r="181" spans="1:18" ht="15" customHeight="1" x14ac:dyDescent="0.2">
      <c r="A181" s="118"/>
      <c r="B181" s="302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256">
        <f t="shared" si="16"/>
        <v>0</v>
      </c>
      <c r="P181" s="119" t="s">
        <v>959</v>
      </c>
      <c r="Q181" s="288" t="str">
        <f t="shared" si="17"/>
        <v/>
      </c>
    </row>
    <row r="182" spans="1:18" ht="15" customHeight="1" x14ac:dyDescent="0.2">
      <c r="A182" s="118"/>
      <c r="B182" s="302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256">
        <f t="shared" si="16"/>
        <v>0</v>
      </c>
      <c r="P182" s="119" t="s">
        <v>959</v>
      </c>
      <c r="Q182" s="288" t="str">
        <f t="shared" si="17"/>
        <v/>
      </c>
    </row>
    <row r="183" spans="1:18" ht="15" customHeight="1" x14ac:dyDescent="0.2">
      <c r="A183" s="118"/>
      <c r="B183" s="302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256">
        <f t="shared" si="16"/>
        <v>0</v>
      </c>
      <c r="P183" s="119" t="s">
        <v>959</v>
      </c>
      <c r="Q183" s="288" t="str">
        <f t="shared" si="17"/>
        <v/>
      </c>
    </row>
    <row r="184" spans="1:18" ht="15" customHeight="1" x14ac:dyDescent="0.2">
      <c r="A184" s="118"/>
      <c r="B184" s="302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256">
        <f t="shared" si="16"/>
        <v>0</v>
      </c>
      <c r="P184" s="119" t="s">
        <v>959</v>
      </c>
      <c r="Q184" s="288" t="str">
        <f t="shared" si="17"/>
        <v/>
      </c>
    </row>
    <row r="185" spans="1:18" ht="15" customHeight="1" x14ac:dyDescent="0.2">
      <c r="A185" s="118"/>
      <c r="B185" s="302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256">
        <f t="shared" si="16"/>
        <v>0</v>
      </c>
      <c r="P185" s="119" t="s">
        <v>966</v>
      </c>
      <c r="Q185" s="288" t="str">
        <f t="shared" si="17"/>
        <v/>
      </c>
    </row>
    <row r="186" spans="1:18" ht="15" customHeight="1" x14ac:dyDescent="0.2">
      <c r="A186" s="304"/>
      <c r="B186" s="304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4"/>
      <c r="Q186" s="306" t="str">
        <f t="shared" si="17"/>
        <v/>
      </c>
      <c r="R186" s="304"/>
    </row>
    <row r="187" spans="1:18" ht="15" customHeight="1" x14ac:dyDescent="0.2">
      <c r="A187" s="304"/>
      <c r="B187" s="304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4"/>
      <c r="Q187" s="306" t="str">
        <f t="shared" si="17"/>
        <v/>
      </c>
      <c r="R187" s="304"/>
    </row>
    <row r="188" spans="1:18" ht="15" customHeight="1" x14ac:dyDescent="0.2">
      <c r="A188" s="304"/>
      <c r="B188" s="304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4"/>
      <c r="Q188" s="306" t="str">
        <f t="shared" si="17"/>
        <v/>
      </c>
      <c r="R188" s="304"/>
    </row>
    <row r="189" spans="1:18" ht="15" customHeight="1" x14ac:dyDescent="0.2">
      <c r="A189" s="304"/>
      <c r="B189" s="304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4"/>
      <c r="Q189" s="306" t="str">
        <f t="shared" si="17"/>
        <v/>
      </c>
      <c r="R189" s="304"/>
    </row>
    <row r="190" spans="1:18" ht="15" customHeight="1" x14ac:dyDescent="0.2">
      <c r="A190" s="304"/>
      <c r="B190" s="304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4"/>
      <c r="Q190" s="306" t="str">
        <f t="shared" si="17"/>
        <v/>
      </c>
      <c r="R190" s="304"/>
    </row>
    <row r="191" spans="1:18" ht="15" customHeight="1" x14ac:dyDescent="0.2">
      <c r="A191" s="304"/>
      <c r="B191" s="304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4"/>
      <c r="Q191" s="306" t="str">
        <f t="shared" si="17"/>
        <v/>
      </c>
      <c r="R191" s="304"/>
    </row>
    <row r="192" spans="1:18" ht="15" customHeight="1" x14ac:dyDescent="0.2">
      <c r="A192" s="304"/>
      <c r="B192" s="304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4"/>
      <c r="Q192" s="306" t="str">
        <f t="shared" si="17"/>
        <v/>
      </c>
      <c r="R192" s="304"/>
    </row>
    <row r="193" spans="1:18" ht="15" customHeight="1" x14ac:dyDescent="0.2">
      <c r="A193" s="304"/>
      <c r="B193" s="304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4"/>
      <c r="Q193" s="306" t="str">
        <f t="shared" si="17"/>
        <v/>
      </c>
      <c r="R193" s="304"/>
    </row>
    <row r="194" spans="1:18" ht="15" customHeight="1" x14ac:dyDescent="0.2">
      <c r="A194" s="304"/>
      <c r="B194" s="304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4"/>
      <c r="Q194" s="306" t="str">
        <f t="shared" si="17"/>
        <v/>
      </c>
      <c r="R194" s="304"/>
    </row>
    <row r="195" spans="1:18" ht="15" customHeight="1" x14ac:dyDescent="0.2">
      <c r="A195" s="304"/>
      <c r="B195" s="304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4"/>
      <c r="Q195" s="306" t="str">
        <f t="shared" si="17"/>
        <v/>
      </c>
      <c r="R195" s="304"/>
    </row>
    <row r="196" spans="1:18" ht="15" customHeight="1" x14ac:dyDescent="0.2">
      <c r="A196" s="304"/>
      <c r="B196" s="304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4"/>
      <c r="Q196" s="306" t="str">
        <f t="shared" si="17"/>
        <v/>
      </c>
      <c r="R196" s="304"/>
    </row>
    <row r="197" spans="1:18" ht="15" customHeight="1" x14ac:dyDescent="0.2">
      <c r="A197" s="304"/>
      <c r="B197" s="304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4"/>
      <c r="Q197" s="306" t="str">
        <f t="shared" si="17"/>
        <v/>
      </c>
      <c r="R197" s="304"/>
    </row>
    <row r="198" spans="1:18" ht="15" customHeight="1" x14ac:dyDescent="0.2">
      <c r="A198" s="304"/>
      <c r="B198" s="304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4"/>
      <c r="Q198" s="306" t="str">
        <f t="shared" si="17"/>
        <v/>
      </c>
      <c r="R198" s="304"/>
    </row>
    <row r="199" spans="1:18" ht="15" customHeight="1" x14ac:dyDescent="0.2">
      <c r="A199" s="304"/>
      <c r="B199" s="304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4"/>
      <c r="Q199" s="306" t="str">
        <f t="shared" si="17"/>
        <v/>
      </c>
      <c r="R199" s="304"/>
    </row>
    <row r="200" spans="1:18" ht="15" customHeight="1" x14ac:dyDescent="0.2">
      <c r="A200" s="304"/>
      <c r="B200" s="304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4"/>
      <c r="Q200" s="306" t="str">
        <f t="shared" si="17"/>
        <v/>
      </c>
      <c r="R200" s="304"/>
    </row>
    <row r="201" spans="1:18" ht="15" customHeight="1" x14ac:dyDescent="0.2">
      <c r="A201" s="304"/>
      <c r="B201" s="304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4"/>
      <c r="Q201" s="306" t="str">
        <f t="shared" si="17"/>
        <v/>
      </c>
      <c r="R201" s="304"/>
    </row>
    <row r="202" spans="1:18" ht="15" customHeight="1" x14ac:dyDescent="0.2">
      <c r="A202" s="304"/>
      <c r="B202" s="304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4"/>
      <c r="Q202" s="306" t="str">
        <f t="shared" ref="Q202:Q233" si="18">IF(O202=0,"",IF(ABS(O202-SUM(C202:N202))&lt;0.01,"✓","⚠"))</f>
        <v/>
      </c>
      <c r="R202" s="304"/>
    </row>
    <row r="203" spans="1:18" ht="15" customHeight="1" x14ac:dyDescent="0.2">
      <c r="A203" s="304"/>
      <c r="B203" s="304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4"/>
      <c r="Q203" s="306" t="str">
        <f t="shared" si="18"/>
        <v/>
      </c>
      <c r="R203" s="304"/>
    </row>
    <row r="204" spans="1:18" ht="15" customHeight="1" x14ac:dyDescent="0.2">
      <c r="A204" s="304"/>
      <c r="B204" s="304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4"/>
      <c r="Q204" s="306" t="str">
        <f t="shared" si="18"/>
        <v/>
      </c>
      <c r="R204" s="304"/>
    </row>
    <row r="205" spans="1:18" ht="15" customHeight="1" x14ac:dyDescent="0.2">
      <c r="A205" s="304"/>
      <c r="B205" s="304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4"/>
      <c r="Q205" s="306" t="str">
        <f t="shared" si="18"/>
        <v/>
      </c>
      <c r="R205" s="304"/>
    </row>
    <row r="206" spans="1:18" ht="15" customHeight="1" x14ac:dyDescent="0.2">
      <c r="A206" s="304"/>
      <c r="B206" s="304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4"/>
      <c r="Q206" s="306" t="str">
        <f t="shared" si="18"/>
        <v/>
      </c>
      <c r="R206" s="304"/>
    </row>
    <row r="207" spans="1:18" ht="15" customHeight="1" x14ac:dyDescent="0.2">
      <c r="A207" s="304"/>
      <c r="B207" s="304"/>
      <c r="C207" s="305"/>
      <c r="D207" s="305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4"/>
      <c r="Q207" s="306" t="str">
        <f t="shared" si="18"/>
        <v/>
      </c>
      <c r="R207" s="304"/>
    </row>
    <row r="208" spans="1:18" ht="15" customHeight="1" x14ac:dyDescent="0.2">
      <c r="A208" s="304"/>
      <c r="B208" s="304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4"/>
      <c r="Q208" s="306" t="str">
        <f t="shared" si="18"/>
        <v/>
      </c>
      <c r="R208" s="304"/>
    </row>
    <row r="209" spans="1:18" ht="15" customHeight="1" x14ac:dyDescent="0.2">
      <c r="A209" s="304"/>
      <c r="B209" s="304"/>
      <c r="C209" s="305"/>
      <c r="D209" s="305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4"/>
      <c r="Q209" s="306" t="str">
        <f t="shared" si="18"/>
        <v/>
      </c>
      <c r="R209" s="304"/>
    </row>
    <row r="210" spans="1:18" ht="15" customHeight="1" x14ac:dyDescent="0.2">
      <c r="A210" s="304"/>
      <c r="B210" s="304"/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4"/>
      <c r="Q210" s="306" t="str">
        <f t="shared" si="18"/>
        <v/>
      </c>
      <c r="R210" s="304"/>
    </row>
    <row r="211" spans="1:18" ht="15" customHeight="1" x14ac:dyDescent="0.2">
      <c r="A211" s="304"/>
      <c r="B211" s="304"/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4"/>
      <c r="Q211" s="306" t="str">
        <f t="shared" si="18"/>
        <v/>
      </c>
      <c r="R211" s="304"/>
    </row>
    <row r="212" spans="1:18" ht="15" customHeight="1" x14ac:dyDescent="0.2">
      <c r="A212" s="304"/>
      <c r="B212" s="304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4"/>
      <c r="Q212" s="306" t="str">
        <f t="shared" si="18"/>
        <v/>
      </c>
      <c r="R212" s="304"/>
    </row>
    <row r="213" spans="1:18" ht="15" customHeight="1" x14ac:dyDescent="0.2">
      <c r="A213" s="304"/>
      <c r="B213" s="304"/>
      <c r="C213" s="305"/>
      <c r="D213" s="305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4"/>
      <c r="Q213" s="306" t="str">
        <f t="shared" si="18"/>
        <v/>
      </c>
      <c r="R213" s="304"/>
    </row>
    <row r="214" spans="1:18" ht="15" customHeight="1" x14ac:dyDescent="0.2">
      <c r="A214" s="304"/>
      <c r="B214" s="304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4"/>
      <c r="Q214" s="306" t="str">
        <f t="shared" si="18"/>
        <v/>
      </c>
      <c r="R214" s="304"/>
    </row>
    <row r="215" spans="1:18" ht="15" customHeight="1" x14ac:dyDescent="0.2">
      <c r="A215" s="304"/>
      <c r="B215" s="304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4"/>
      <c r="Q215" s="306" t="str">
        <f t="shared" si="18"/>
        <v/>
      </c>
      <c r="R215" s="304"/>
    </row>
    <row r="216" spans="1:18" ht="15" customHeight="1" x14ac:dyDescent="0.2">
      <c r="A216" s="304"/>
      <c r="B216" s="304"/>
      <c r="C216" s="305"/>
      <c r="D216" s="305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4"/>
      <c r="Q216" s="306" t="str">
        <f t="shared" si="18"/>
        <v/>
      </c>
      <c r="R216" s="304"/>
    </row>
    <row r="217" spans="1:18" ht="15" customHeight="1" x14ac:dyDescent="0.2">
      <c r="A217" s="304"/>
      <c r="B217" s="304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4"/>
      <c r="Q217" s="306" t="str">
        <f t="shared" si="18"/>
        <v/>
      </c>
      <c r="R217" s="304"/>
    </row>
    <row r="218" spans="1:18" ht="15" customHeight="1" x14ac:dyDescent="0.2">
      <c r="A218" s="304"/>
      <c r="B218" s="304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4"/>
      <c r="Q218" s="306" t="str">
        <f t="shared" si="18"/>
        <v/>
      </c>
      <c r="R218" s="304"/>
    </row>
    <row r="219" spans="1:18" ht="15" customHeight="1" x14ac:dyDescent="0.2">
      <c r="A219" s="304"/>
      <c r="B219" s="304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4"/>
      <c r="Q219" s="306" t="str">
        <f t="shared" si="18"/>
        <v/>
      </c>
      <c r="R219" s="304"/>
    </row>
    <row r="220" spans="1:18" ht="15" customHeight="1" x14ac:dyDescent="0.2">
      <c r="A220" s="304"/>
      <c r="B220" s="304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4"/>
      <c r="Q220" s="306" t="str">
        <f t="shared" si="18"/>
        <v/>
      </c>
      <c r="R220" s="304"/>
    </row>
    <row r="221" spans="1:18" ht="15" customHeight="1" x14ac:dyDescent="0.2">
      <c r="A221" s="304"/>
      <c r="B221" s="304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4"/>
      <c r="Q221" s="306" t="str">
        <f t="shared" si="18"/>
        <v/>
      </c>
      <c r="R221" s="304"/>
    </row>
    <row r="222" spans="1:18" ht="15" customHeight="1" x14ac:dyDescent="0.2">
      <c r="A222" s="304"/>
      <c r="B222" s="304"/>
      <c r="C222" s="305"/>
      <c r="D222" s="305"/>
      <c r="E222" s="305"/>
      <c r="F222" s="305"/>
      <c r="G222" s="305"/>
      <c r="H222" s="305"/>
      <c r="I222" s="305"/>
      <c r="J222" s="305"/>
      <c r="K222" s="305"/>
      <c r="L222" s="305"/>
      <c r="M222" s="305"/>
      <c r="N222" s="305"/>
      <c r="O222" s="305"/>
      <c r="P222" s="304"/>
      <c r="Q222" s="306" t="str">
        <f t="shared" si="18"/>
        <v/>
      </c>
      <c r="R222" s="304"/>
    </row>
    <row r="223" spans="1:18" ht="15" customHeight="1" x14ac:dyDescent="0.2">
      <c r="A223" s="304"/>
      <c r="B223" s="304"/>
      <c r="C223" s="305"/>
      <c r="D223" s="305"/>
      <c r="E223" s="305"/>
      <c r="F223" s="305"/>
      <c r="G223" s="305"/>
      <c r="H223" s="305"/>
      <c r="I223" s="305"/>
      <c r="J223" s="305"/>
      <c r="K223" s="305"/>
      <c r="L223" s="305"/>
      <c r="M223" s="305"/>
      <c r="N223" s="305"/>
      <c r="O223" s="305"/>
      <c r="P223" s="304"/>
      <c r="Q223" s="306" t="str">
        <f t="shared" si="18"/>
        <v/>
      </c>
      <c r="R223" s="304"/>
    </row>
    <row r="224" spans="1:18" ht="15" customHeight="1" x14ac:dyDescent="0.2">
      <c r="A224" s="304"/>
      <c r="B224" s="304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4"/>
      <c r="Q224" s="306" t="str">
        <f t="shared" si="18"/>
        <v/>
      </c>
      <c r="R224" s="304"/>
    </row>
    <row r="225" spans="1:18" ht="15" customHeight="1" x14ac:dyDescent="0.2">
      <c r="A225" s="304"/>
      <c r="B225" s="304"/>
      <c r="C225" s="305"/>
      <c r="D225" s="305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4"/>
      <c r="Q225" s="306" t="str">
        <f t="shared" si="18"/>
        <v/>
      </c>
      <c r="R225" s="304"/>
    </row>
    <row r="226" spans="1:18" ht="15" customHeight="1" x14ac:dyDescent="0.2">
      <c r="A226" s="304"/>
      <c r="B226" s="304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4"/>
      <c r="Q226" s="306" t="str">
        <f t="shared" si="18"/>
        <v/>
      </c>
      <c r="R226" s="304"/>
    </row>
    <row r="227" spans="1:18" ht="15" customHeight="1" x14ac:dyDescent="0.2">
      <c r="A227" s="304"/>
      <c r="B227" s="304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4"/>
      <c r="Q227" s="306" t="str">
        <f t="shared" si="18"/>
        <v/>
      </c>
      <c r="R227" s="304"/>
    </row>
    <row r="228" spans="1:18" ht="15" customHeight="1" x14ac:dyDescent="0.2">
      <c r="A228" s="304"/>
      <c r="B228" s="304"/>
      <c r="C228" s="305"/>
      <c r="D228" s="305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4"/>
      <c r="Q228" s="306" t="str">
        <f t="shared" si="18"/>
        <v/>
      </c>
      <c r="R228" s="304"/>
    </row>
    <row r="229" spans="1:18" ht="15" customHeight="1" x14ac:dyDescent="0.2">
      <c r="A229" s="304"/>
      <c r="B229" s="304"/>
      <c r="C229" s="305"/>
      <c r="D229" s="305"/>
      <c r="E229" s="305"/>
      <c r="F229" s="305"/>
      <c r="G229" s="305"/>
      <c r="H229" s="305"/>
      <c r="I229" s="305"/>
      <c r="J229" s="305"/>
      <c r="K229" s="305"/>
      <c r="L229" s="305"/>
      <c r="M229" s="305"/>
      <c r="N229" s="305"/>
      <c r="O229" s="305"/>
      <c r="P229" s="304"/>
      <c r="Q229" s="306" t="str">
        <f t="shared" si="18"/>
        <v/>
      </c>
      <c r="R229" s="304"/>
    </row>
    <row r="230" spans="1:18" ht="15" customHeight="1" x14ac:dyDescent="0.2">
      <c r="A230" s="304"/>
      <c r="B230" s="304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4"/>
      <c r="Q230" s="306" t="str">
        <f t="shared" si="18"/>
        <v/>
      </c>
      <c r="R230" s="304"/>
    </row>
    <row r="231" spans="1:18" ht="15" customHeight="1" x14ac:dyDescent="0.2">
      <c r="A231" s="304"/>
      <c r="B231" s="304"/>
      <c r="C231" s="305"/>
      <c r="D231" s="305"/>
      <c r="E231" s="305"/>
      <c r="F231" s="305"/>
      <c r="G231" s="305"/>
      <c r="H231" s="305"/>
      <c r="I231" s="305"/>
      <c r="J231" s="305"/>
      <c r="K231" s="305"/>
      <c r="L231" s="305"/>
      <c r="M231" s="305"/>
      <c r="N231" s="305"/>
      <c r="O231" s="305"/>
      <c r="P231" s="304"/>
      <c r="Q231" s="306" t="str">
        <f t="shared" si="18"/>
        <v/>
      </c>
      <c r="R231" s="304"/>
    </row>
    <row r="232" spans="1:18" ht="15" customHeight="1" x14ac:dyDescent="0.2">
      <c r="A232" s="304"/>
      <c r="B232" s="304"/>
      <c r="C232" s="305"/>
      <c r="D232" s="305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4"/>
      <c r="Q232" s="306" t="str">
        <f t="shared" si="18"/>
        <v/>
      </c>
      <c r="R232" s="304"/>
    </row>
    <row r="233" spans="1:18" ht="15" customHeight="1" x14ac:dyDescent="0.2">
      <c r="A233" s="304"/>
      <c r="B233" s="304"/>
      <c r="C233" s="305"/>
      <c r="D233" s="305"/>
      <c r="E233" s="305"/>
      <c r="F233" s="305"/>
      <c r="G233" s="305"/>
      <c r="H233" s="305"/>
      <c r="I233" s="305"/>
      <c r="J233" s="305"/>
      <c r="K233" s="305"/>
      <c r="L233" s="305"/>
      <c r="M233" s="305"/>
      <c r="N233" s="305"/>
      <c r="O233" s="305"/>
      <c r="P233" s="304"/>
      <c r="Q233" s="306" t="str">
        <f t="shared" si="18"/>
        <v/>
      </c>
      <c r="R233" s="304"/>
    </row>
    <row r="234" spans="1:18" ht="15" customHeight="1" x14ac:dyDescent="0.2">
      <c r="A234" s="304"/>
      <c r="B234" s="304"/>
      <c r="C234" s="305"/>
      <c r="D234" s="305"/>
      <c r="E234" s="305"/>
      <c r="F234" s="305"/>
      <c r="G234" s="305"/>
      <c r="H234" s="305"/>
      <c r="I234" s="305"/>
      <c r="J234" s="305"/>
      <c r="K234" s="305"/>
      <c r="L234" s="305"/>
      <c r="M234" s="305"/>
      <c r="N234" s="305"/>
      <c r="O234" s="305"/>
      <c r="P234" s="304"/>
      <c r="Q234" s="306" t="str">
        <f t="shared" ref="Q234:Q255" si="19">IF(O234=0,"",IF(ABS(O234-SUM(C234:N234))&lt;0.01,"✓","⚠"))</f>
        <v/>
      </c>
      <c r="R234" s="304"/>
    </row>
    <row r="235" spans="1:18" ht="15" customHeight="1" x14ac:dyDescent="0.2">
      <c r="A235" s="304"/>
      <c r="B235" s="304"/>
      <c r="C235" s="305"/>
      <c r="D235" s="305"/>
      <c r="E235" s="305"/>
      <c r="F235" s="305"/>
      <c r="G235" s="305"/>
      <c r="H235" s="305"/>
      <c r="I235" s="305"/>
      <c r="J235" s="305"/>
      <c r="K235" s="305"/>
      <c r="L235" s="305"/>
      <c r="M235" s="305"/>
      <c r="N235" s="305"/>
      <c r="O235" s="305"/>
      <c r="P235" s="304"/>
      <c r="Q235" s="306" t="str">
        <f t="shared" si="19"/>
        <v/>
      </c>
      <c r="R235" s="304"/>
    </row>
    <row r="236" spans="1:18" ht="15" customHeight="1" x14ac:dyDescent="0.2">
      <c r="A236" s="304"/>
      <c r="B236" s="304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4"/>
      <c r="Q236" s="306" t="str">
        <f t="shared" si="19"/>
        <v/>
      </c>
      <c r="R236" s="304"/>
    </row>
    <row r="237" spans="1:18" ht="15" customHeight="1" x14ac:dyDescent="0.2">
      <c r="A237" s="304"/>
      <c r="B237" s="304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4"/>
      <c r="Q237" s="306" t="str">
        <f t="shared" si="19"/>
        <v/>
      </c>
      <c r="R237" s="304"/>
    </row>
    <row r="238" spans="1:18" ht="15" customHeight="1" x14ac:dyDescent="0.2">
      <c r="A238" s="304"/>
      <c r="B238" s="304"/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4"/>
      <c r="Q238" s="306" t="str">
        <f t="shared" si="19"/>
        <v/>
      </c>
      <c r="R238" s="304"/>
    </row>
    <row r="239" spans="1:18" ht="15" customHeight="1" x14ac:dyDescent="0.2">
      <c r="A239" s="304"/>
      <c r="B239" s="304"/>
      <c r="C239" s="305"/>
      <c r="D239" s="305"/>
      <c r="E239" s="305"/>
      <c r="F239" s="305"/>
      <c r="G239" s="305"/>
      <c r="H239" s="305"/>
      <c r="I239" s="305"/>
      <c r="J239" s="305"/>
      <c r="K239" s="305"/>
      <c r="L239" s="305"/>
      <c r="M239" s="305"/>
      <c r="N239" s="305"/>
      <c r="O239" s="305"/>
      <c r="P239" s="304"/>
      <c r="Q239" s="306" t="str">
        <f t="shared" si="19"/>
        <v/>
      </c>
      <c r="R239" s="304"/>
    </row>
    <row r="240" spans="1:18" ht="15" customHeight="1" x14ac:dyDescent="0.2">
      <c r="A240" s="304"/>
      <c r="B240" s="304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4"/>
      <c r="Q240" s="306" t="str">
        <f t="shared" si="19"/>
        <v/>
      </c>
      <c r="R240" s="304"/>
    </row>
    <row r="241" spans="1:18" ht="15" customHeight="1" x14ac:dyDescent="0.2">
      <c r="A241" s="304"/>
      <c r="B241" s="304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4"/>
      <c r="Q241" s="306" t="str">
        <f t="shared" si="19"/>
        <v/>
      </c>
      <c r="R241" s="304"/>
    </row>
    <row r="242" spans="1:18" ht="15" customHeight="1" x14ac:dyDescent="0.2">
      <c r="A242" s="304"/>
      <c r="B242" s="304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4"/>
      <c r="Q242" s="306" t="str">
        <f t="shared" si="19"/>
        <v/>
      </c>
      <c r="R242" s="304"/>
    </row>
    <row r="243" spans="1:18" ht="15" customHeight="1" x14ac:dyDescent="0.2">
      <c r="A243" s="304"/>
      <c r="B243" s="304"/>
      <c r="C243" s="305"/>
      <c r="D243" s="305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4"/>
      <c r="Q243" s="306" t="str">
        <f t="shared" si="19"/>
        <v/>
      </c>
      <c r="R243" s="304"/>
    </row>
    <row r="244" spans="1:18" ht="15" customHeight="1" x14ac:dyDescent="0.2">
      <c r="A244" s="304"/>
      <c r="B244" s="304"/>
      <c r="C244" s="305"/>
      <c r="D244" s="305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4"/>
      <c r="Q244" s="306" t="str">
        <f t="shared" si="19"/>
        <v/>
      </c>
      <c r="R244" s="304"/>
    </row>
    <row r="245" spans="1:18" ht="15" customHeight="1" x14ac:dyDescent="0.2">
      <c r="A245" s="304"/>
      <c r="B245" s="304"/>
      <c r="C245" s="305"/>
      <c r="D245" s="305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4"/>
      <c r="Q245" s="306" t="str">
        <f t="shared" si="19"/>
        <v/>
      </c>
      <c r="R245" s="304"/>
    </row>
    <row r="246" spans="1:18" ht="15" customHeight="1" x14ac:dyDescent="0.2">
      <c r="A246" s="304"/>
      <c r="B246" s="304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4"/>
      <c r="Q246" s="306" t="str">
        <f t="shared" si="19"/>
        <v/>
      </c>
      <c r="R246" s="304"/>
    </row>
    <row r="247" spans="1:18" ht="15" customHeight="1" x14ac:dyDescent="0.2">
      <c r="A247" s="304"/>
      <c r="B247" s="304"/>
      <c r="C247" s="305"/>
      <c r="D247" s="305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4"/>
      <c r="Q247" s="306" t="str">
        <f t="shared" si="19"/>
        <v/>
      </c>
      <c r="R247" s="304"/>
    </row>
    <row r="248" spans="1:18" ht="15" customHeight="1" x14ac:dyDescent="0.2">
      <c r="A248" s="304"/>
      <c r="B248" s="304"/>
      <c r="C248" s="305"/>
      <c r="D248" s="305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4"/>
      <c r="Q248" s="306" t="str">
        <f t="shared" si="19"/>
        <v/>
      </c>
      <c r="R248" s="304"/>
    </row>
    <row r="249" spans="1:18" ht="15" customHeight="1" x14ac:dyDescent="0.2">
      <c r="A249" s="304"/>
      <c r="B249" s="304"/>
      <c r="C249" s="305"/>
      <c r="D249" s="305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4"/>
      <c r="Q249" s="306" t="str">
        <f t="shared" si="19"/>
        <v/>
      </c>
      <c r="R249" s="304"/>
    </row>
    <row r="250" spans="1:18" ht="15" customHeight="1" x14ac:dyDescent="0.2">
      <c r="A250" s="304"/>
      <c r="B250" s="304"/>
      <c r="C250" s="305"/>
      <c r="D250" s="305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4"/>
      <c r="Q250" s="306" t="str">
        <f t="shared" si="19"/>
        <v/>
      </c>
      <c r="R250" s="304"/>
    </row>
    <row r="251" spans="1:18" ht="15" customHeight="1" x14ac:dyDescent="0.2">
      <c r="A251" s="304"/>
      <c r="B251" s="304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4"/>
      <c r="Q251" s="306" t="str">
        <f t="shared" si="19"/>
        <v/>
      </c>
      <c r="R251" s="304"/>
    </row>
    <row r="252" spans="1:18" ht="15" customHeight="1" x14ac:dyDescent="0.2">
      <c r="A252" s="304"/>
      <c r="B252" s="304"/>
      <c r="C252" s="305"/>
      <c r="D252" s="305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4"/>
      <c r="Q252" s="306" t="str">
        <f t="shared" si="19"/>
        <v/>
      </c>
      <c r="R252" s="304"/>
    </row>
    <row r="253" spans="1:18" ht="15" customHeight="1" x14ac:dyDescent="0.2">
      <c r="A253" s="304"/>
      <c r="B253" s="304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4"/>
      <c r="Q253" s="306" t="str">
        <f t="shared" si="19"/>
        <v/>
      </c>
      <c r="R253" s="304"/>
    </row>
    <row r="254" spans="1:18" ht="15" customHeight="1" x14ac:dyDescent="0.2">
      <c r="A254" s="304"/>
      <c r="B254" s="304"/>
      <c r="C254" s="305"/>
      <c r="D254" s="305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4"/>
      <c r="Q254" s="306" t="str">
        <f t="shared" si="19"/>
        <v/>
      </c>
      <c r="R254" s="304"/>
    </row>
    <row r="255" spans="1:18" ht="15" customHeight="1" x14ac:dyDescent="0.2">
      <c r="A255" s="304"/>
      <c r="B255" s="304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4"/>
      <c r="Q255" s="306" t="str">
        <f t="shared" si="19"/>
        <v/>
      </c>
      <c r="R255" s="304"/>
    </row>
    <row r="257" spans="1:18" ht="21.75" customHeight="1" x14ac:dyDescent="0.2">
      <c r="A257" s="934" t="s">
        <v>972</v>
      </c>
      <c r="B257" s="934"/>
      <c r="C257" s="934"/>
      <c r="D257" s="934"/>
      <c r="E257" s="934"/>
      <c r="F257" s="934"/>
      <c r="G257" s="934"/>
      <c r="H257" s="934"/>
      <c r="I257" s="934"/>
      <c r="J257" s="934"/>
      <c r="K257" s="934"/>
      <c r="L257" s="934"/>
      <c r="M257" s="934"/>
      <c r="N257" s="934"/>
      <c r="O257" s="934"/>
      <c r="P257" s="934"/>
      <c r="Q257" s="934"/>
      <c r="R257" s="934"/>
    </row>
    <row r="258" spans="1:18" ht="15" customHeight="1" x14ac:dyDescent="0.2">
      <c r="A258" s="112" t="s">
        <v>973</v>
      </c>
      <c r="O258" s="291">
        <f>SUMIF($P$106:$P$255,"Gross Potential Rent",$O$106:$O$255)+SUMIF($P$106:$P$255,"Gain/Loss on Market Rent",$O$106:$O$255)+SUMIF($P$106:$P$255,"Vacancy Loss",$O$106:$O$255)+SUMIF($P$106:$P$255,"Down Units Loss",$O$106:$O$255)+SUMIF($P$106:$P$255,"Employee Units",$O$106:$O$255)+SUMIF($P$106:$P$255,"Concessions",$O$106:$O$255)+SUMIF($P$106:$P$255,"Delinquency Change",$O$106:$O$255)+SUMIF($P$106:$P$255,"Write-offs / Bad Debt",$O$106:$O$255)+SUMIF($P$106:$P$255,"Prepaid Rent Change",$O$106:$O$255)+SUMIF($P$106:$P$255,"MTM Fees",$O$106:$O$255)+SUMIF($P$106:$P$255,"Application Fees",$O$106:$O$255)+SUMIF($P$106:$P$255,"Late Fees",$O$106:$O$255)+SUMIF($P$106:$P$255,"Utility Reimbursement",$O$106:$O$255)+SUMIF($P$106:$P$255,"Pet Fees",$O$106:$O$255)+SUMIF($P$106:$P$255,"Parking Income",$O$106:$O$255)+SUMIF($P$106:$P$255,"Amenity Fees",$O$106:$O$255)+SUMIF($P$106:$P$255,"Admin Fees",$O$106:$O$255)+SUMIF($P$106:$P$255,"Insurance Pass-Thru",$O$106:$O$255)+SUMIF($P$106:$P$255,"Misc Other Income",$O$106:$O$255)</f>
        <v>0</v>
      </c>
      <c r="P258" s="256">
        <f>O258-N80</f>
        <v>0</v>
      </c>
      <c r="Q258" s="288" t="str">
        <f>IF(ABS(P258)&lt;0.5,"✓","⚠")</f>
        <v>✓</v>
      </c>
    </row>
    <row r="259" spans="1:18" ht="15" customHeight="1" x14ac:dyDescent="0.2">
      <c r="A259" s="112" t="s">
        <v>974</v>
      </c>
      <c r="O259" s="286">
        <f>SUMIF($P$106:$P$255,"Repairs &amp; Maintenance",$O$106:$O$255)+SUMIF($P$106:$P$255,"Landscaping",$O$106:$O$255)+SUMIF($P$106:$P$255,"Pest Control",$O$106:$O$255)+SUMIF($P$106:$P$255,"Pool / Amenity Maintenance",$O$106:$O$255)+SUMIF($P$106:$P$255,"Make-Ready / Turnover",$O$106:$O$255)+SUMIF($P$106:$P$255,"Payroll — On-Site",$O$106:$O$255)+SUMIF($P$106:$P$255,"Leasing &amp; Marketing",$O$106:$O$255)+SUMIF($P$106:$P$255,"General &amp; Administrative",$O$106:$O$255)+SUMIF($P$106:$P$255,"Legal / Eviction",$O$106:$O$255)+SUMIF($P$106:$P$255,"Insurance",$O$106:$O$255)+SUMIF($P$106:$P$255,"Real Estate Taxes",$O$106:$O$255)+SUMIF($P$106:$P$255,"Utilities — Electric",$O$106:$O$255)+SUMIF($P$106:$P$255,"Utilities — Gas",$O$106:$O$255)+SUMIF($P$106:$P$255,"Utilities — Water/Sewer",$O$106:$O$255)+SUMIF($P$106:$P$255,"Utilities — Trash",$O$106:$O$255)+SUMIF($P$106:$P$255,"Utilities — Internet/Cable",$O$106:$O$255)+SUMIF($P$106:$P$255,"Management Fee",$O$106:$O$255)</f>
        <v>0</v>
      </c>
      <c r="P259" s="256">
        <f>O259-N100</f>
        <v>0</v>
      </c>
      <c r="Q259" s="288" t="str">
        <f>IF(ABS(P259)&lt;0.5,"✓","⚠")</f>
        <v>✓</v>
      </c>
    </row>
    <row r="260" spans="1:18" ht="15" customHeight="1" x14ac:dyDescent="0.2">
      <c r="A260" s="112" t="s">
        <v>883</v>
      </c>
      <c r="O260" s="291">
        <f>O258-O259</f>
        <v>0</v>
      </c>
    </row>
    <row r="262" spans="1:18" ht="15" customHeight="1" x14ac:dyDescent="0.2">
      <c r="A262" s="106" t="s">
        <v>975</v>
      </c>
      <c r="C262" s="286">
        <f>SUMIF(P106:P255,"",O106:O255)+SUMIF(P106:P255,"— UNMAPPED —",O106:O255)</f>
        <v>0</v>
      </c>
      <c r="D262" s="112" t="str">
        <f>IF(ABS(C262)&lt;1,"🟢 all mapped","🔴 unmapped lines exist")</f>
        <v>🟢 all mapped</v>
      </c>
      <c r="F262" s="106" t="s">
        <v>976</v>
      </c>
      <c r="G262" s="256">
        <f>SUMIF(P106:P255,"— EXCLUDED (non-OpEx) —",O106:O255)</f>
        <v>0</v>
      </c>
    </row>
  </sheetData>
  <autoFilter ref="A105:R255" xr:uid="{00000000-0009-0000-0000-000007000000}"/>
  <mergeCells count="12">
    <mergeCell ref="A104:R104"/>
    <mergeCell ref="A257:R257"/>
    <mergeCell ref="A39:R39"/>
    <mergeCell ref="A54:R54"/>
    <mergeCell ref="A55:R55"/>
    <mergeCell ref="A57:R57"/>
    <mergeCell ref="A81:R81"/>
    <mergeCell ref="A1:R1"/>
    <mergeCell ref="A4:R4"/>
    <mergeCell ref="A7:R7"/>
    <mergeCell ref="A18:R18"/>
    <mergeCell ref="A29:R29"/>
  </mergeCells>
  <dataValidations count="1">
    <dataValidation type="list" allowBlank="1" sqref="P106:P255" xr:uid="{00000000-0002-0000-0700-000000000000}">
      <formula1>StdBuckets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0"/>
  <sheetViews>
    <sheetView zoomScale="150" zoomScaleNormal="150" workbookViewId="0">
      <pane xSplit="1" ySplit="9" topLeftCell="B15" activePane="bottomRight" state="frozen"/>
      <selection pane="topRight" activeCell="B1" sqref="B1"/>
      <selection pane="bottomLeft" activeCell="A68" sqref="A68"/>
      <selection pane="bottomRight" activeCell="C89" sqref="C89"/>
    </sheetView>
  </sheetViews>
  <sheetFormatPr baseColWidth="10" defaultColWidth="8.6640625" defaultRowHeight="15" outlineLevelRow="1" x14ac:dyDescent="0.2"/>
  <cols>
    <col min="1" max="1" width="4" customWidth="1"/>
    <col min="2" max="2" width="39" customWidth="1"/>
    <col min="3" max="4" width="13" customWidth="1"/>
    <col min="5" max="5" width="15.5" customWidth="1"/>
    <col min="6" max="6" width="14.5" customWidth="1"/>
    <col min="7" max="7" width="9" customWidth="1"/>
    <col min="8" max="8" width="13" customWidth="1"/>
    <col min="9" max="9" width="7" customWidth="1"/>
    <col min="10" max="11" width="13" customWidth="1"/>
    <col min="12" max="13" width="14" customWidth="1"/>
    <col min="14" max="14" width="32" customWidth="1"/>
  </cols>
  <sheetData>
    <row r="1" spans="1:14" ht="25.5" customHeight="1" x14ac:dyDescent="0.2">
      <c r="A1" s="307" t="str">
        <f>HYPERLINK("#Inputs!A1","← Inputs")</f>
        <v>← Inputs</v>
      </c>
      <c r="B1" s="308" t="str">
        <f>IF('Prop Info'!B4="","RECAPTURE &amp; UPSIDE ANALYSIS  —  How much money is being left on the table?","RECAPTURE &amp; UPSIDE ANALYSIS  —  How much money is being left on the table?"&amp;" — "&amp;'Prop Info'!B4)</f>
        <v>RECAPTURE &amp; UPSIDE ANALYSIS  —  How much money is being left on the table?</v>
      </c>
    </row>
    <row r="2" spans="1:14" ht="15" customHeight="1" x14ac:dyDescent="0.2">
      <c r="B2" s="309" t="s">
        <v>977</v>
      </c>
    </row>
    <row r="3" spans="1:14" ht="15" customHeight="1" x14ac:dyDescent="0.2">
      <c r="B3" s="310" t="s">
        <v>978</v>
      </c>
      <c r="C3" s="311" t="s">
        <v>616</v>
      </c>
      <c r="E3" s="309" t="s">
        <v>979</v>
      </c>
    </row>
    <row r="4" spans="1:14" ht="15" customHeight="1" x14ac:dyDescent="0.2">
      <c r="B4" s="312" t="s">
        <v>980</v>
      </c>
      <c r="C4" s="313"/>
      <c r="D4" s="313"/>
      <c r="E4" s="312" t="s">
        <v>981</v>
      </c>
      <c r="F4" s="313"/>
      <c r="G4" s="313"/>
      <c r="H4" s="313"/>
      <c r="I4" s="312" t="s">
        <v>982</v>
      </c>
      <c r="J4" s="313"/>
      <c r="K4" s="313"/>
      <c r="L4" s="313"/>
      <c r="M4" s="313"/>
    </row>
    <row r="5" spans="1:14" ht="15" customHeight="1" x14ac:dyDescent="0.2">
      <c r="B5" s="314" t="s">
        <v>5</v>
      </c>
      <c r="C5" s="315">
        <f>'Prop Info'!$B$6</f>
        <v>0</v>
      </c>
      <c r="D5" s="313"/>
      <c r="E5" s="314" t="s">
        <v>983</v>
      </c>
      <c r="F5" s="316" t="str">
        <f>C3</f>
        <v>1. T-12 Actuals</v>
      </c>
      <c r="G5" s="313"/>
      <c r="H5" s="313"/>
      <c r="I5" s="314" t="s">
        <v>984</v>
      </c>
      <c r="J5" s="313"/>
      <c r="K5" s="313"/>
      <c r="L5" s="317">
        <f>L84</f>
        <v>0</v>
      </c>
      <c r="M5" s="318" t="s">
        <v>985</v>
      </c>
    </row>
    <row r="6" spans="1:14" ht="15" customHeight="1" x14ac:dyDescent="0.2">
      <c r="B6" s="314" t="s">
        <v>986</v>
      </c>
      <c r="C6" s="319">
        <f>IFERROR(COUNTIF('Rent Roll Analysis'!E273:E1772,"Occupied*")/'Prop Info'!$B$6,0)</f>
        <v>0</v>
      </c>
      <c r="D6" s="313"/>
      <c r="E6" s="314" t="s">
        <v>987</v>
      </c>
      <c r="F6" s="320">
        <f>IFERROR(CHOOSE(MATCH(C3,{"1. T-12 Actuals","2. My Version","3. Projected","4. Offer"},0),Scenarios!B39,Scenarios!C39,Scenarios!D39,Scenarios!E39),0)</f>
        <v>0</v>
      </c>
      <c r="G6" s="313"/>
      <c r="H6" s="313"/>
      <c r="I6" s="314" t="s">
        <v>988</v>
      </c>
      <c r="J6" s="313"/>
      <c r="K6" s="313"/>
      <c r="L6" s="317">
        <f>M84</f>
        <v>0</v>
      </c>
      <c r="M6" s="318" t="s">
        <v>989</v>
      </c>
    </row>
    <row r="7" spans="1:14" ht="15" customHeight="1" x14ac:dyDescent="0.2">
      <c r="B7" s="314" t="s">
        <v>990</v>
      </c>
      <c r="C7" s="315">
        <f>IFERROR(COUNTIF('Rent Roll Analysis'!E273:E1772,"Occupied*"),0)</f>
        <v>0</v>
      </c>
      <c r="D7" s="313"/>
      <c r="E7" s="314" t="s">
        <v>991</v>
      </c>
      <c r="F7" s="319">
        <f>IFERROR(CHOOSE(MATCH(C3,{"1. T-12 Actuals","2. My Version","3. Projected","4. Offer"},0),Scenarios!B41,Scenarios!C41,Scenarios!D41,Scenarios!E41),0)</f>
        <v>0</v>
      </c>
      <c r="G7" s="313"/>
      <c r="H7" s="313"/>
      <c r="I7" s="314" t="s">
        <v>992</v>
      </c>
      <c r="J7" s="313"/>
      <c r="K7" s="313"/>
      <c r="L7" s="321">
        <f>J84</f>
        <v>18750</v>
      </c>
      <c r="M7" s="318" t="s">
        <v>993</v>
      </c>
    </row>
    <row r="8" spans="1:14" ht="15" customHeight="1" x14ac:dyDescent="0.2">
      <c r="B8" s="314" t="s">
        <v>126</v>
      </c>
      <c r="C8" s="322">
        <f>IFERROR(1-C6,0)</f>
        <v>1</v>
      </c>
      <c r="D8" s="318" t="s">
        <v>994</v>
      </c>
      <c r="E8" s="314" t="s">
        <v>995</v>
      </c>
      <c r="F8" s="315">
        <f>'Prop Info'!$B$6*C6*12</f>
        <v>0</v>
      </c>
      <c r="G8" s="313"/>
      <c r="H8" s="313"/>
      <c r="I8" s="314" t="s">
        <v>996</v>
      </c>
      <c r="J8" s="313"/>
      <c r="K8" s="313"/>
      <c r="L8" s="321">
        <f>K84</f>
        <v>37500</v>
      </c>
      <c r="M8" s="318" t="s">
        <v>997</v>
      </c>
    </row>
    <row r="9" spans="1:14" ht="15.75" customHeight="1" x14ac:dyDescent="0.2"/>
    <row r="10" spans="1:14" ht="18" customHeight="1" x14ac:dyDescent="0.2">
      <c r="B10" s="323" t="s">
        <v>998</v>
      </c>
      <c r="C10" s="324"/>
      <c r="D10" s="324"/>
      <c r="E10" s="324"/>
      <c r="F10" s="324"/>
      <c r="G10" s="324"/>
      <c r="H10" s="324"/>
      <c r="I10" s="324"/>
      <c r="J10" s="324"/>
      <c r="K10" s="324"/>
      <c r="L10" s="324"/>
      <c r="M10" s="324"/>
      <c r="N10" s="324"/>
    </row>
    <row r="11" spans="1:14" ht="15" customHeight="1" outlineLevel="1" x14ac:dyDescent="0.2">
      <c r="B11" s="325" t="s">
        <v>999</v>
      </c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</row>
    <row r="12" spans="1:14" ht="27.75" customHeight="1" outlineLevel="1" x14ac:dyDescent="0.2">
      <c r="A12" s="327" t="s">
        <v>356</v>
      </c>
      <c r="B12" s="328" t="s">
        <v>1000</v>
      </c>
      <c r="C12" s="328" t="s">
        <v>1001</v>
      </c>
      <c r="D12" s="328" t="s">
        <v>1002</v>
      </c>
      <c r="E12" s="328" t="s">
        <v>1003</v>
      </c>
      <c r="F12" s="328" t="s">
        <v>1004</v>
      </c>
      <c r="G12" s="328" t="s">
        <v>1005</v>
      </c>
      <c r="H12" s="328" t="s">
        <v>1006</v>
      </c>
      <c r="I12" s="328" t="s">
        <v>1007</v>
      </c>
      <c r="J12" s="328" t="s">
        <v>1008</v>
      </c>
      <c r="K12" s="328" t="s">
        <v>1009</v>
      </c>
      <c r="L12" s="328" t="s">
        <v>1010</v>
      </c>
      <c r="M12" s="328" t="s">
        <v>1011</v>
      </c>
      <c r="N12" s="328" t="s">
        <v>55</v>
      </c>
    </row>
    <row r="13" spans="1:14" ht="20.25" customHeight="1" outlineLevel="1" x14ac:dyDescent="0.2">
      <c r="A13" s="329">
        <v>1</v>
      </c>
      <c r="B13" s="310" t="s">
        <v>303</v>
      </c>
      <c r="C13" s="315">
        <f>'T-12 Analysis'!N96</f>
        <v>0</v>
      </c>
      <c r="D13" s="330">
        <f>SUMIFS('T-12 Analysis'!$O$106:$O$255,'T-12 Analysis'!$P$106:$P$255,_StdCOA!$A$42)</f>
        <v>0</v>
      </c>
      <c r="E13" s="322">
        <f t="shared" ref="E13:E18" si="0">IFERROR(D13/C13,0)</f>
        <v>0</v>
      </c>
      <c r="F13" s="331">
        <v>0.7</v>
      </c>
      <c r="G13" s="332" t="s">
        <v>46</v>
      </c>
      <c r="H13" s="330">
        <f t="shared" ref="H13:H18" si="1">MAX(C13*F13-D13,0)</f>
        <v>0</v>
      </c>
      <c r="I13" s="333"/>
      <c r="J13" s="330">
        <f>0</f>
        <v>0</v>
      </c>
      <c r="K13" s="330">
        <f t="shared" ref="K13:K18" si="2">H13</f>
        <v>0</v>
      </c>
      <c r="L13" s="330">
        <f t="shared" ref="L13:L18" si="3">D13+J13</f>
        <v>0</v>
      </c>
      <c r="M13" s="330">
        <f t="shared" ref="M13:M18" si="4">D13+K13</f>
        <v>0</v>
      </c>
      <c r="N13" s="309" t="s">
        <v>1012</v>
      </c>
    </row>
    <row r="14" spans="1:14" ht="20.25" customHeight="1" outlineLevel="1" x14ac:dyDescent="0.2">
      <c r="A14" s="329">
        <v>2</v>
      </c>
      <c r="B14" s="310" t="s">
        <v>304</v>
      </c>
      <c r="C14" s="315">
        <f>'T-12 Analysis'!N94</f>
        <v>0</v>
      </c>
      <c r="D14" s="315">
        <f>SUMIFS('T-12 Analysis'!$O$106:$O$255,'T-12 Analysis'!$P$106:$P$255,_StdCOA!$A$43)</f>
        <v>0</v>
      </c>
      <c r="E14" s="322">
        <f t="shared" si="0"/>
        <v>0</v>
      </c>
      <c r="F14" s="331">
        <v>0</v>
      </c>
      <c r="G14" s="332" t="s">
        <v>46</v>
      </c>
      <c r="H14" s="330">
        <f t="shared" si="1"/>
        <v>0</v>
      </c>
      <c r="I14" s="333"/>
      <c r="J14" s="330">
        <f>0</f>
        <v>0</v>
      </c>
      <c r="K14" s="330">
        <f t="shared" si="2"/>
        <v>0</v>
      </c>
      <c r="L14" s="330">
        <f t="shared" si="3"/>
        <v>0</v>
      </c>
      <c r="M14" s="330">
        <f t="shared" si="4"/>
        <v>0</v>
      </c>
      <c r="N14" s="309" t="s">
        <v>1013</v>
      </c>
    </row>
    <row r="15" spans="1:14" ht="15" customHeight="1" outlineLevel="1" x14ac:dyDescent="0.2">
      <c r="A15" s="329">
        <v>3</v>
      </c>
      <c r="B15" s="310" t="s">
        <v>305</v>
      </c>
      <c r="C15" s="315">
        <f>'T-12 Analysis'!N95</f>
        <v>0</v>
      </c>
      <c r="D15" s="330">
        <f>SUMIFS('T-12 Analysis'!$O$106:$O$255,'T-12 Analysis'!$P$106:$P$255,_StdCOA!$A$47)</f>
        <v>0</v>
      </c>
      <c r="E15" s="322">
        <f t="shared" si="0"/>
        <v>0</v>
      </c>
      <c r="F15" s="331">
        <v>0</v>
      </c>
      <c r="G15" s="332" t="s">
        <v>46</v>
      </c>
      <c r="H15" s="330">
        <f t="shared" si="1"/>
        <v>0</v>
      </c>
      <c r="I15" s="333"/>
      <c r="J15" s="330">
        <f>0</f>
        <v>0</v>
      </c>
      <c r="K15" s="330">
        <f t="shared" si="2"/>
        <v>0</v>
      </c>
      <c r="L15" s="330">
        <f t="shared" si="3"/>
        <v>0</v>
      </c>
      <c r="M15" s="330">
        <f t="shared" si="4"/>
        <v>0</v>
      </c>
      <c r="N15" s="309" t="s">
        <v>1014</v>
      </c>
    </row>
    <row r="16" spans="1:14" ht="20.25" customHeight="1" outlineLevel="1" x14ac:dyDescent="0.2">
      <c r="A16" s="329">
        <v>4</v>
      </c>
      <c r="B16" s="310" t="s">
        <v>306</v>
      </c>
      <c r="C16" s="315">
        <f>'T-12 Analysis'!N97</f>
        <v>0</v>
      </c>
      <c r="D16" s="330">
        <f>SUMIFS('T-12 Analysis'!$O$106:$O$255,'T-12 Analysis'!$P$106:$P$255,_StdCOA!$A$44)</f>
        <v>0</v>
      </c>
      <c r="E16" s="322">
        <f t="shared" si="0"/>
        <v>0</v>
      </c>
      <c r="F16" s="331">
        <v>0.5</v>
      </c>
      <c r="G16" s="332" t="s">
        <v>46</v>
      </c>
      <c r="H16" s="330">
        <f t="shared" si="1"/>
        <v>0</v>
      </c>
      <c r="I16" s="333"/>
      <c r="J16" s="330">
        <f>0</f>
        <v>0</v>
      </c>
      <c r="K16" s="330">
        <f t="shared" si="2"/>
        <v>0</v>
      </c>
      <c r="L16" s="330">
        <f t="shared" si="3"/>
        <v>0</v>
      </c>
      <c r="M16" s="330">
        <f t="shared" si="4"/>
        <v>0</v>
      </c>
      <c r="N16" s="309" t="s">
        <v>1015</v>
      </c>
    </row>
    <row r="17" spans="1:14" ht="15" customHeight="1" outlineLevel="1" x14ac:dyDescent="0.2">
      <c r="A17" s="329">
        <v>5</v>
      </c>
      <c r="B17" s="310" t="s">
        <v>307</v>
      </c>
      <c r="C17" s="315">
        <f>'T-12 Analysis'!N98</f>
        <v>0</v>
      </c>
      <c r="D17" s="330">
        <f>SUMIFS('T-12 Analysis'!$O$106:$O$255,'T-12 Analysis'!$P$106:$P$255,_StdCOA!$A$48)</f>
        <v>0</v>
      </c>
      <c r="E17" s="322">
        <f t="shared" si="0"/>
        <v>0</v>
      </c>
      <c r="F17" s="331">
        <v>1</v>
      </c>
      <c r="G17" s="332" t="s">
        <v>46</v>
      </c>
      <c r="H17" s="330">
        <f t="shared" si="1"/>
        <v>0</v>
      </c>
      <c r="I17" s="333"/>
      <c r="J17" s="330">
        <f>0</f>
        <v>0</v>
      </c>
      <c r="K17" s="330">
        <f t="shared" si="2"/>
        <v>0</v>
      </c>
      <c r="L17" s="330">
        <f t="shared" si="3"/>
        <v>0</v>
      </c>
      <c r="M17" s="330">
        <f t="shared" si="4"/>
        <v>0</v>
      </c>
      <c r="N17" s="309" t="s">
        <v>1016</v>
      </c>
    </row>
    <row r="18" spans="1:14" ht="20.25" customHeight="1" outlineLevel="1" x14ac:dyDescent="0.2">
      <c r="A18" s="329">
        <v>6</v>
      </c>
      <c r="B18" s="310" t="s">
        <v>308</v>
      </c>
      <c r="C18" s="315">
        <f>'T-12 Analysis'!N85</f>
        <v>0</v>
      </c>
      <c r="D18" s="315">
        <f>SUMIFS('T-12 Analysis'!$O$106:$O$255,'T-12 Analysis'!$P$106:$P$255,_StdCOA!$A$46)</f>
        <v>0</v>
      </c>
      <c r="E18" s="322">
        <f t="shared" si="0"/>
        <v>0</v>
      </c>
      <c r="F18" s="331">
        <v>0.5</v>
      </c>
      <c r="G18" s="332" t="s">
        <v>46</v>
      </c>
      <c r="H18" s="330">
        <f t="shared" si="1"/>
        <v>0</v>
      </c>
      <c r="I18" s="333"/>
      <c r="J18" s="330">
        <f>0</f>
        <v>0</v>
      </c>
      <c r="K18" s="330">
        <f t="shared" si="2"/>
        <v>0</v>
      </c>
      <c r="L18" s="330">
        <f t="shared" si="3"/>
        <v>0</v>
      </c>
      <c r="M18" s="330">
        <f t="shared" si="4"/>
        <v>0</v>
      </c>
      <c r="N18" s="309" t="s">
        <v>1017</v>
      </c>
    </row>
    <row r="19" spans="1:14" ht="20.25" customHeight="1" outlineLevel="1" x14ac:dyDescent="0.2">
      <c r="A19" s="329">
        <v>7</v>
      </c>
      <c r="B19" s="310" t="s">
        <v>309</v>
      </c>
      <c r="C19" s="330">
        <f>0</f>
        <v>0</v>
      </c>
      <c r="D19" s="315">
        <f>SUMIFS('T-12 Analysis'!$O$106:$O$255,'T-12 Analysis'!$P$106:$P$255,_StdCOA!$A$45)</f>
        <v>0</v>
      </c>
      <c r="E19" s="334" t="s">
        <v>1005</v>
      </c>
      <c r="F19" s="332" t="s">
        <v>1005</v>
      </c>
      <c r="G19" s="332" t="s">
        <v>1005</v>
      </c>
      <c r="H19" s="330">
        <f>0</f>
        <v>0</v>
      </c>
      <c r="I19" s="333"/>
      <c r="J19" s="330">
        <f>0</f>
        <v>0</v>
      </c>
      <c r="K19" s="330">
        <f>0</f>
        <v>0</v>
      </c>
      <c r="L19" s="330">
        <f>D19</f>
        <v>0</v>
      </c>
      <c r="M19" s="330">
        <f>D19</f>
        <v>0</v>
      </c>
      <c r="N19" s="309" t="s">
        <v>1018</v>
      </c>
    </row>
    <row r="20" spans="1:14" ht="15" customHeight="1" outlineLevel="1" x14ac:dyDescent="0.2">
      <c r="A20" s="335"/>
      <c r="B20" s="336" t="s">
        <v>49</v>
      </c>
      <c r="C20" s="337">
        <f>SUM(C13:C19)</f>
        <v>0</v>
      </c>
      <c r="D20" s="337">
        <f>SUM(D13:D19)</f>
        <v>0</v>
      </c>
      <c r="E20" s="338">
        <f>IFERROR(D20/C20,0)</f>
        <v>0</v>
      </c>
      <c r="F20" s="335"/>
      <c r="G20" s="339"/>
      <c r="H20" s="337">
        <f>SUM(H13:H19)</f>
        <v>0</v>
      </c>
      <c r="I20" s="335"/>
      <c r="J20" s="337">
        <f>SUM(J13:J19)</f>
        <v>0</v>
      </c>
      <c r="K20" s="337">
        <f>SUM(K13:K19)</f>
        <v>0</v>
      </c>
      <c r="L20" s="337">
        <f>SUM(L13:L19)</f>
        <v>0</v>
      </c>
      <c r="M20" s="337">
        <f>SUM(M13:M19)</f>
        <v>0</v>
      </c>
      <c r="N20" s="335"/>
    </row>
    <row r="21" spans="1:14" ht="20.25" customHeight="1" outlineLevel="1" x14ac:dyDescent="0.2">
      <c r="B21" s="309" t="s">
        <v>1019</v>
      </c>
      <c r="D21" s="340" t="str">
        <f>IF(ABS(D20-'T-12 Analysis'!N71)&lt;1,"✓ ties to T-12!N71","⚠ off by $"&amp;TEXT(D20-'T-12 Analysis'!N71,"#,##0"))</f>
        <v>✓ ties to T-12!N71</v>
      </c>
      <c r="E21" s="309" t="s">
        <v>1020</v>
      </c>
    </row>
    <row r="22" spans="1:14" ht="15" customHeight="1" outlineLevel="1" x14ac:dyDescent="0.2"/>
    <row r="23" spans="1:14" ht="18" customHeight="1" x14ac:dyDescent="0.2">
      <c r="B23" s="323" t="s">
        <v>1021</v>
      </c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</row>
    <row r="24" spans="1:14" ht="39.75" customHeight="1" outlineLevel="1" x14ac:dyDescent="0.2">
      <c r="B24" s="325" t="s">
        <v>1022</v>
      </c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</row>
    <row r="25" spans="1:14" ht="27.75" customHeight="1" outlineLevel="1" x14ac:dyDescent="0.2">
      <c r="A25" s="327" t="s">
        <v>356</v>
      </c>
      <c r="B25" s="328" t="s">
        <v>11</v>
      </c>
      <c r="C25" s="328" t="s">
        <v>1023</v>
      </c>
      <c r="D25" s="328" t="s">
        <v>1024</v>
      </c>
      <c r="E25" s="328" t="s">
        <v>1025</v>
      </c>
      <c r="F25" s="328" t="s">
        <v>1026</v>
      </c>
      <c r="G25" s="328" t="s">
        <v>46</v>
      </c>
      <c r="H25" s="328" t="s">
        <v>1027</v>
      </c>
      <c r="I25" s="328" t="s">
        <v>1007</v>
      </c>
      <c r="J25" s="328" t="s">
        <v>1008</v>
      </c>
      <c r="K25" s="328" t="s">
        <v>1009</v>
      </c>
      <c r="L25" s="328" t="s">
        <v>1028</v>
      </c>
      <c r="M25" s="328" t="s">
        <v>1029</v>
      </c>
      <c r="N25" s="328" t="s">
        <v>55</v>
      </c>
    </row>
    <row r="26" spans="1:14" ht="15" customHeight="1" outlineLevel="1" x14ac:dyDescent="0.2">
      <c r="A26" s="329">
        <v>1</v>
      </c>
      <c r="B26" s="310" t="s">
        <v>310</v>
      </c>
      <c r="C26" s="315">
        <f>IF(C3="1. T-12 Actuals",'Rent Roll Analysis'!B28,CHOOSE(MATCH(C3,{"1. T-12 Actuals","2. My Version","3. Projected","4. Offer"},0),Scenarios!B39,Scenarios!C39,Scenarios!D39,Scenarios!E39)*'Prop Info'!$B$6*12-'Rent Roll Analysis'!B27)</f>
        <v>0</v>
      </c>
      <c r="D26" s="330">
        <f>ABS(C26)</f>
        <v>0</v>
      </c>
      <c r="E26" s="331">
        <v>0.3</v>
      </c>
      <c r="F26" s="331">
        <v>0.7</v>
      </c>
      <c r="G26" s="334" t="s">
        <v>46</v>
      </c>
      <c r="H26" s="330">
        <f>D26</f>
        <v>0</v>
      </c>
      <c r="I26" s="341"/>
      <c r="J26" s="330">
        <f>D26*E26</f>
        <v>0</v>
      </c>
      <c r="K26" s="330">
        <f>D26*F26</f>
        <v>0</v>
      </c>
      <c r="L26" s="342">
        <f t="shared" ref="L26:M29" si="5">J26</f>
        <v>0</v>
      </c>
      <c r="M26" s="342">
        <f t="shared" si="5"/>
        <v>0</v>
      </c>
      <c r="N26" s="309" t="s">
        <v>1030</v>
      </c>
    </row>
    <row r="27" spans="1:14" ht="15" customHeight="1" outlineLevel="1" x14ac:dyDescent="0.2">
      <c r="A27" s="329">
        <v>2</v>
      </c>
      <c r="B27" s="310" t="s">
        <v>311</v>
      </c>
      <c r="C27" s="315">
        <f>IF(C3="1. T-12 Actuals",'Rent Roll Analysis'!B30,-CHOOSE(MATCH(C3,{"1. T-12 Actuals","2. My Version","3. Projected","4. Offer"},0),Scenarios!B39,Scenarios!C39,Scenarios!D39,Scenarios!E39)*'Prop Info'!$B$6*12*CHOOSE(MATCH(C3,{"1. T-12 Actuals","2. My Version","3. Projected","4. Offer"},0),Scenarios!B41,Scenarios!C41,Scenarios!D41,Scenarios!E41))</f>
        <v>0</v>
      </c>
      <c r="D27" s="330">
        <f>ABS(C27)</f>
        <v>0</v>
      </c>
      <c r="E27" s="331">
        <v>0.4</v>
      </c>
      <c r="F27" s="331">
        <v>0.85</v>
      </c>
      <c r="G27" s="334" t="s">
        <v>46</v>
      </c>
      <c r="H27" s="330">
        <f>D27</f>
        <v>0</v>
      </c>
      <c r="I27" s="341"/>
      <c r="J27" s="330">
        <f>D27*E27</f>
        <v>0</v>
      </c>
      <c r="K27" s="330">
        <f>D27*F27</f>
        <v>0</v>
      </c>
      <c r="L27" s="342">
        <f t="shared" si="5"/>
        <v>0</v>
      </c>
      <c r="M27" s="342">
        <f t="shared" si="5"/>
        <v>0</v>
      </c>
      <c r="N27" s="309" t="s">
        <v>1031</v>
      </c>
    </row>
    <row r="28" spans="1:14" ht="15" customHeight="1" outlineLevel="1" x14ac:dyDescent="0.2">
      <c r="A28" s="329">
        <v>3</v>
      </c>
      <c r="B28" s="310" t="s">
        <v>312</v>
      </c>
      <c r="C28" s="315">
        <f>'Rent Roll Analysis'!B31</f>
        <v>0</v>
      </c>
      <c r="D28" s="330">
        <f>ABS(C28)</f>
        <v>0</v>
      </c>
      <c r="E28" s="331">
        <v>0.5</v>
      </c>
      <c r="F28" s="331">
        <v>0.8</v>
      </c>
      <c r="G28" s="334" t="s">
        <v>46</v>
      </c>
      <c r="H28" s="330">
        <f>D28</f>
        <v>0</v>
      </c>
      <c r="I28" s="341"/>
      <c r="J28" s="330">
        <f>D28*E28</f>
        <v>0</v>
      </c>
      <c r="K28" s="330">
        <f>D28*F28</f>
        <v>0</v>
      </c>
      <c r="L28" s="342">
        <f t="shared" si="5"/>
        <v>0</v>
      </c>
      <c r="M28" s="342">
        <f t="shared" si="5"/>
        <v>0</v>
      </c>
      <c r="N28" s="309" t="s">
        <v>1032</v>
      </c>
    </row>
    <row r="29" spans="1:14" ht="15" customHeight="1" outlineLevel="1" x14ac:dyDescent="0.2">
      <c r="A29" s="329">
        <v>4</v>
      </c>
      <c r="B29" s="310" t="s">
        <v>313</v>
      </c>
      <c r="C29" s="315">
        <f>IFERROR(Capex!$D$51,0)</f>
        <v>0</v>
      </c>
      <c r="D29" s="330">
        <f>ABS(C29)</f>
        <v>0</v>
      </c>
      <c r="E29" s="331">
        <v>0</v>
      </c>
      <c r="F29" s="331">
        <v>1</v>
      </c>
      <c r="G29" s="334" t="s">
        <v>46</v>
      </c>
      <c r="H29" s="330">
        <f>D29</f>
        <v>0</v>
      </c>
      <c r="I29" s="341"/>
      <c r="J29" s="330">
        <f>D29*E29</f>
        <v>0</v>
      </c>
      <c r="K29" s="330">
        <f>D29*F29</f>
        <v>0</v>
      </c>
      <c r="L29" s="342">
        <f t="shared" si="5"/>
        <v>0</v>
      </c>
      <c r="M29" s="342">
        <f t="shared" si="5"/>
        <v>0</v>
      </c>
      <c r="N29" s="309" t="s">
        <v>1033</v>
      </c>
    </row>
    <row r="30" spans="1:14" ht="15" customHeight="1" outlineLevel="1" x14ac:dyDescent="0.2">
      <c r="A30" s="335"/>
      <c r="B30" s="336" t="s">
        <v>49</v>
      </c>
      <c r="C30" s="335"/>
      <c r="D30" s="337">
        <f>SUM(D26:D29)</f>
        <v>0</v>
      </c>
      <c r="E30" s="335"/>
      <c r="F30" s="335"/>
      <c r="G30" s="335"/>
      <c r="H30" s="335"/>
      <c r="I30" s="335"/>
      <c r="J30" s="337">
        <f>SUM(J26:J29)</f>
        <v>0</v>
      </c>
      <c r="K30" s="337">
        <f>SUM(K26:K29)</f>
        <v>0</v>
      </c>
      <c r="L30" s="317">
        <f>SUM(L26:L29)</f>
        <v>0</v>
      </c>
      <c r="M30" s="317">
        <f>SUM(M26:M29)</f>
        <v>0</v>
      </c>
      <c r="N30" s="335"/>
    </row>
    <row r="31" spans="1:14" ht="15" customHeight="1" outlineLevel="1" x14ac:dyDescent="0.2"/>
    <row r="32" spans="1:14" ht="18" customHeight="1" x14ac:dyDescent="0.2">
      <c r="B32" s="323" t="s">
        <v>1034</v>
      </c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</row>
    <row r="33" spans="1:14" ht="49.5" customHeight="1" outlineLevel="1" x14ac:dyDescent="0.2">
      <c r="B33" s="325" t="s">
        <v>1035</v>
      </c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</row>
    <row r="34" spans="1:14" ht="27.75" customHeight="1" outlineLevel="1" x14ac:dyDescent="0.2">
      <c r="A34" s="327" t="s">
        <v>356</v>
      </c>
      <c r="B34" s="328" t="s">
        <v>1036</v>
      </c>
      <c r="C34" s="328" t="s">
        <v>1037</v>
      </c>
      <c r="D34" s="328" t="s">
        <v>1038</v>
      </c>
      <c r="E34" s="328" t="s">
        <v>1039</v>
      </c>
      <c r="F34" s="328" t="s">
        <v>1040</v>
      </c>
      <c r="G34" s="328" t="s">
        <v>1041</v>
      </c>
      <c r="H34" s="328" t="s">
        <v>1006</v>
      </c>
      <c r="I34" s="328" t="s">
        <v>1007</v>
      </c>
      <c r="J34" s="328" t="s">
        <v>1008</v>
      </c>
      <c r="K34" s="328" t="s">
        <v>1009</v>
      </c>
      <c r="L34" s="328" t="s">
        <v>1028</v>
      </c>
      <c r="M34" s="328" t="s">
        <v>1029</v>
      </c>
      <c r="N34" s="328" t="s">
        <v>55</v>
      </c>
    </row>
    <row r="35" spans="1:14" ht="20.25" customHeight="1" outlineLevel="1" x14ac:dyDescent="0.2">
      <c r="A35" s="329">
        <v>1</v>
      </c>
      <c r="B35" s="310" t="s">
        <v>314</v>
      </c>
      <c r="C35" s="315">
        <f>'T-12 Analysis'!N72</f>
        <v>0</v>
      </c>
      <c r="D35" s="320">
        <f>IFERROR(C35/'Prop Info'!$B$6/12,0)</f>
        <v>0</v>
      </c>
      <c r="E35" s="343">
        <v>35</v>
      </c>
      <c r="F35" s="331">
        <v>0.2</v>
      </c>
      <c r="G35" s="322">
        <f t="shared" ref="G35:G52" si="6">IFERROR(D35/E35,0)</f>
        <v>0</v>
      </c>
      <c r="H35" s="315">
        <f>MAX(E35*F35*'Prop Info'!$B$6*12-C35,0)</f>
        <v>0</v>
      </c>
      <c r="I35" s="341" t="s">
        <v>1042</v>
      </c>
      <c r="J35" s="315">
        <f>MAX(E35*F35*'Prop Info'!$B$6*12*0.5-C35,0)</f>
        <v>0</v>
      </c>
      <c r="K35" s="315">
        <f>MAX(E35*F35*'Prop Info'!$B$6*12-C35,0)</f>
        <v>0</v>
      </c>
      <c r="L35" s="342">
        <f t="shared" ref="L35:L52" si="7">C35+J35</f>
        <v>0</v>
      </c>
      <c r="M35" s="342">
        <f t="shared" ref="M35:M52" si="8">C35+K35</f>
        <v>0</v>
      </c>
      <c r="N35" s="309" t="s">
        <v>1043</v>
      </c>
    </row>
    <row r="36" spans="1:14" ht="20.25" customHeight="1" outlineLevel="1" x14ac:dyDescent="0.2">
      <c r="A36" s="329">
        <v>2</v>
      </c>
      <c r="B36" s="310" t="s">
        <v>315</v>
      </c>
      <c r="C36" s="330">
        <f>0</f>
        <v>0</v>
      </c>
      <c r="D36" s="320">
        <f>IFERROR(C36/'Prop Info'!$B$6/12,0)</f>
        <v>0</v>
      </c>
      <c r="E36" s="343">
        <v>25</v>
      </c>
      <c r="F36" s="344"/>
      <c r="G36" s="322">
        <f t="shared" si="6"/>
        <v>0</v>
      </c>
      <c r="H36" s="315">
        <f>MAX(E36*F36*'Prop Info'!$B$6*12-C36,0)</f>
        <v>0</v>
      </c>
      <c r="I36" s="341"/>
      <c r="J36" s="315">
        <f>MAX(E36*F36*'Prop Info'!$B$6*12*0.5-C36,0)</f>
        <v>0</v>
      </c>
      <c r="K36" s="315">
        <f>MAX(E36*F36*'Prop Info'!$B$6*12-C36,0)</f>
        <v>0</v>
      </c>
      <c r="L36" s="342">
        <f t="shared" si="7"/>
        <v>0</v>
      </c>
      <c r="M36" s="342">
        <f t="shared" si="8"/>
        <v>0</v>
      </c>
      <c r="N36" s="309" t="s">
        <v>1044</v>
      </c>
    </row>
    <row r="37" spans="1:14" ht="15" customHeight="1" outlineLevel="1" x14ac:dyDescent="0.2">
      <c r="A37" s="329">
        <v>3</v>
      </c>
      <c r="B37" s="310" t="s">
        <v>316</v>
      </c>
      <c r="C37" s="330">
        <f>0</f>
        <v>0</v>
      </c>
      <c r="D37" s="320">
        <f>IFERROR(C37/'Prop Info'!$B$6/12,0)</f>
        <v>0</v>
      </c>
      <c r="E37" s="343">
        <v>50</v>
      </c>
      <c r="F37" s="344"/>
      <c r="G37" s="322">
        <f t="shared" si="6"/>
        <v>0</v>
      </c>
      <c r="H37" s="315">
        <f>MAX(E37*F37*'Prop Info'!$B$6*12-C37,0)</f>
        <v>0</v>
      </c>
      <c r="I37" s="341"/>
      <c r="J37" s="315">
        <f>MAX(E37*F37*'Prop Info'!$B$6*12*0.5-C37,0)</f>
        <v>0</v>
      </c>
      <c r="K37" s="315">
        <f>MAX(E37*F37*'Prop Info'!$B$6*12-C37,0)</f>
        <v>0</v>
      </c>
      <c r="L37" s="342">
        <f t="shared" si="7"/>
        <v>0</v>
      </c>
      <c r="M37" s="342">
        <f t="shared" si="8"/>
        <v>0</v>
      </c>
      <c r="N37" s="309" t="s">
        <v>1045</v>
      </c>
    </row>
    <row r="38" spans="1:14" ht="20.25" customHeight="1" outlineLevel="1" x14ac:dyDescent="0.2">
      <c r="A38" s="329">
        <v>4</v>
      </c>
      <c r="B38" s="310" t="s">
        <v>317</v>
      </c>
      <c r="C38" s="330">
        <f>0</f>
        <v>0</v>
      </c>
      <c r="D38" s="320">
        <f>IFERROR(C38/'Prop Info'!$B$6/12,0)</f>
        <v>0</v>
      </c>
      <c r="E38" s="343">
        <v>75</v>
      </c>
      <c r="F38" s="344"/>
      <c r="G38" s="322">
        <f t="shared" si="6"/>
        <v>0</v>
      </c>
      <c r="H38" s="315">
        <f>MAX(E38*F38*'Prop Info'!$B$6*12-C38,0)</f>
        <v>0</v>
      </c>
      <c r="I38" s="341"/>
      <c r="J38" s="315">
        <f>MAX(E38*F38*'Prop Info'!$B$6*12*0.5-C38,0)</f>
        <v>0</v>
      </c>
      <c r="K38" s="315">
        <f>MAX(E38*F38*'Prop Info'!$B$6*12-C38,0)</f>
        <v>0</v>
      </c>
      <c r="L38" s="342">
        <f t="shared" si="7"/>
        <v>0</v>
      </c>
      <c r="M38" s="342">
        <f t="shared" si="8"/>
        <v>0</v>
      </c>
      <c r="N38" s="309" t="s">
        <v>1046</v>
      </c>
    </row>
    <row r="39" spans="1:14" ht="20.25" customHeight="1" outlineLevel="1" x14ac:dyDescent="0.2">
      <c r="A39" s="329">
        <v>5</v>
      </c>
      <c r="B39" s="310" t="s">
        <v>318</v>
      </c>
      <c r="C39" s="315">
        <f>'T-12 Analysis'!N70</f>
        <v>0</v>
      </c>
      <c r="D39" s="320">
        <f>IFERROR(C39/'Prop Info'!$B$6/12,0)</f>
        <v>0</v>
      </c>
      <c r="E39" s="343">
        <v>75</v>
      </c>
      <c r="F39" s="331">
        <v>0.1</v>
      </c>
      <c r="G39" s="322">
        <f t="shared" si="6"/>
        <v>0</v>
      </c>
      <c r="H39" s="315">
        <f>MAX(E39*F39*'Prop Info'!$B$6*12-C39,0)</f>
        <v>0</v>
      </c>
      <c r="I39" s="341"/>
      <c r="J39" s="315">
        <f>MAX(E39*F39*'Prop Info'!$B$6*12*0.5-C39,0)</f>
        <v>0</v>
      </c>
      <c r="K39" s="315">
        <f>MAX(E39*F39*'Prop Info'!$B$6*12-C39,0)</f>
        <v>0</v>
      </c>
      <c r="L39" s="342">
        <f t="shared" si="7"/>
        <v>0</v>
      </c>
      <c r="M39" s="342">
        <f t="shared" si="8"/>
        <v>0</v>
      </c>
      <c r="N39" s="309" t="s">
        <v>1047</v>
      </c>
    </row>
    <row r="40" spans="1:14" ht="20.25" customHeight="1" outlineLevel="1" x14ac:dyDescent="0.2">
      <c r="A40" s="329">
        <v>6</v>
      </c>
      <c r="B40" s="310" t="s">
        <v>319</v>
      </c>
      <c r="C40" s="315">
        <f>'T-12 Analysis'!N74</f>
        <v>0</v>
      </c>
      <c r="D40" s="320">
        <f>IFERROR(C40/'Prop Info'!$B$6/12,0)</f>
        <v>0</v>
      </c>
      <c r="E40" s="343">
        <v>15</v>
      </c>
      <c r="F40" s="331">
        <v>1</v>
      </c>
      <c r="G40" s="322">
        <f t="shared" si="6"/>
        <v>0</v>
      </c>
      <c r="H40" s="315">
        <f>MAX(E40*F40*'Prop Info'!$B$6*12-C40,0)</f>
        <v>0</v>
      </c>
      <c r="I40" s="341"/>
      <c r="J40" s="315">
        <f>MAX(E40*F40*'Prop Info'!$B$6*12*0.5-C40,0)</f>
        <v>0</v>
      </c>
      <c r="K40" s="315">
        <f>MAX(E40*F40*'Prop Info'!$B$6*12-C40,0)</f>
        <v>0</v>
      </c>
      <c r="L40" s="342">
        <f t="shared" si="7"/>
        <v>0</v>
      </c>
      <c r="M40" s="342">
        <f t="shared" si="8"/>
        <v>0</v>
      </c>
      <c r="N40" s="309" t="s">
        <v>1048</v>
      </c>
    </row>
    <row r="41" spans="1:14" ht="15" customHeight="1" outlineLevel="1" x14ac:dyDescent="0.2">
      <c r="A41" s="329">
        <v>7</v>
      </c>
      <c r="B41" s="310" t="s">
        <v>320</v>
      </c>
      <c r="C41" s="330">
        <f>0</f>
        <v>0</v>
      </c>
      <c r="D41" s="320">
        <f>IFERROR(C41/'Prop Info'!$B$6/12,0)</f>
        <v>0</v>
      </c>
      <c r="E41" s="343">
        <v>10</v>
      </c>
      <c r="F41" s="344"/>
      <c r="G41" s="322">
        <f t="shared" si="6"/>
        <v>0</v>
      </c>
      <c r="H41" s="315">
        <f>MAX(E41*F41*'Prop Info'!$B$6*12-C41,0)</f>
        <v>0</v>
      </c>
      <c r="I41" s="341"/>
      <c r="J41" s="315">
        <f>MAX(E41*F41*'Prop Info'!$B$6*12*0.5-C41,0)</f>
        <v>0</v>
      </c>
      <c r="K41" s="315">
        <f>MAX(E41*F41*'Prop Info'!$B$6*12-C41,0)</f>
        <v>0</v>
      </c>
      <c r="L41" s="342">
        <f t="shared" si="7"/>
        <v>0</v>
      </c>
      <c r="M41" s="342">
        <f t="shared" si="8"/>
        <v>0</v>
      </c>
      <c r="N41" s="309" t="s">
        <v>1049</v>
      </c>
    </row>
    <row r="42" spans="1:14" ht="20.25" customHeight="1" outlineLevel="1" x14ac:dyDescent="0.2">
      <c r="A42" s="329">
        <v>8</v>
      </c>
      <c r="B42" s="310" t="s">
        <v>321</v>
      </c>
      <c r="C42" s="330">
        <f>'T-12 Analysis'!N78</f>
        <v>0</v>
      </c>
      <c r="D42" s="320">
        <f>IFERROR(C42/'Prop Info'!$B$6/12,0)</f>
        <v>0</v>
      </c>
      <c r="E42" s="343">
        <v>12</v>
      </c>
      <c r="F42" s="344"/>
      <c r="G42" s="322">
        <f t="shared" si="6"/>
        <v>0</v>
      </c>
      <c r="H42" s="315">
        <f>MAX(E42*F42*'Prop Info'!$B$6*12-C42,0)</f>
        <v>0</v>
      </c>
      <c r="I42" s="341"/>
      <c r="J42" s="315">
        <f>MAX(E42*F42*'Prop Info'!$B$6*12*0.5-C42,0)</f>
        <v>0</v>
      </c>
      <c r="K42" s="315">
        <f>MAX(E42*F42*'Prop Info'!$B$6*12-C42,0)</f>
        <v>0</v>
      </c>
      <c r="L42" s="342">
        <f t="shared" si="7"/>
        <v>0</v>
      </c>
      <c r="M42" s="342">
        <f t="shared" si="8"/>
        <v>0</v>
      </c>
      <c r="N42" s="309" t="s">
        <v>1050</v>
      </c>
    </row>
    <row r="43" spans="1:14" ht="20.25" customHeight="1" outlineLevel="1" x14ac:dyDescent="0.2">
      <c r="A43" s="329">
        <v>9</v>
      </c>
      <c r="B43" s="310" t="s">
        <v>322</v>
      </c>
      <c r="C43" s="330">
        <f>0</f>
        <v>0</v>
      </c>
      <c r="D43" s="320">
        <f>IFERROR(C43/'Prop Info'!$B$6/12,0)</f>
        <v>0</v>
      </c>
      <c r="E43" s="343">
        <v>25</v>
      </c>
      <c r="F43" s="331">
        <v>0.9</v>
      </c>
      <c r="G43" s="322">
        <f t="shared" si="6"/>
        <v>0</v>
      </c>
      <c r="H43" s="315">
        <f>MAX(E43*F43*'Prop Info'!$B$6*12-C43,0)</f>
        <v>0</v>
      </c>
      <c r="I43" s="341" t="s">
        <v>1042</v>
      </c>
      <c r="J43" s="315">
        <f>MAX(E43*F43*'Prop Info'!$B$6*12*0.5-C43,0)</f>
        <v>0</v>
      </c>
      <c r="K43" s="315">
        <f>MAX(E43*F43*'Prop Info'!$B$6*12-C43,0)</f>
        <v>0</v>
      </c>
      <c r="L43" s="342">
        <f t="shared" si="7"/>
        <v>0</v>
      </c>
      <c r="M43" s="342">
        <f t="shared" si="8"/>
        <v>0</v>
      </c>
      <c r="N43" s="309" t="s">
        <v>1051</v>
      </c>
    </row>
    <row r="44" spans="1:14" ht="15" customHeight="1" outlineLevel="1" x14ac:dyDescent="0.2">
      <c r="A44" s="329">
        <v>10</v>
      </c>
      <c r="B44" s="310" t="s">
        <v>323</v>
      </c>
      <c r="C44" s="330">
        <f>0</f>
        <v>0</v>
      </c>
      <c r="D44" s="320">
        <f>IFERROR(C44/'Prop Info'!$B$6/12,0)</f>
        <v>0</v>
      </c>
      <c r="E44" s="343">
        <v>5</v>
      </c>
      <c r="F44" s="344"/>
      <c r="G44" s="322">
        <f t="shared" si="6"/>
        <v>0</v>
      </c>
      <c r="H44" s="315">
        <f>MAX(E44*F44*'Prop Info'!$B$6*12-C44,0)</f>
        <v>0</v>
      </c>
      <c r="I44" s="341"/>
      <c r="J44" s="315">
        <f>MAX(E44*F44*'Prop Info'!$B$6*12*0.5-C44,0)</f>
        <v>0</v>
      </c>
      <c r="K44" s="315">
        <f>MAX(E44*F44*'Prop Info'!$B$6*12-C44,0)</f>
        <v>0</v>
      </c>
      <c r="L44" s="342">
        <f t="shared" si="7"/>
        <v>0</v>
      </c>
      <c r="M44" s="342">
        <f t="shared" si="8"/>
        <v>0</v>
      </c>
      <c r="N44" s="309" t="s">
        <v>1052</v>
      </c>
    </row>
    <row r="45" spans="1:14" ht="15" customHeight="1" outlineLevel="1" x14ac:dyDescent="0.2">
      <c r="A45" s="329">
        <v>11</v>
      </c>
      <c r="B45" s="310" t="s">
        <v>324</v>
      </c>
      <c r="C45" s="330">
        <f>0</f>
        <v>0</v>
      </c>
      <c r="D45" s="320">
        <f>IFERROR(C45/'Prop Info'!$B$6/12,0)</f>
        <v>0</v>
      </c>
      <c r="E45" s="343">
        <v>15</v>
      </c>
      <c r="F45" s="344"/>
      <c r="G45" s="322">
        <f t="shared" si="6"/>
        <v>0</v>
      </c>
      <c r="H45" s="315">
        <f>MAX(E45*F45*'Prop Info'!$B$6*12-C45,0)</f>
        <v>0</v>
      </c>
      <c r="I45" s="341"/>
      <c r="J45" s="315">
        <f>MAX(E45*F45*'Prop Info'!$B$6*12*0.5-C45,0)</f>
        <v>0</v>
      </c>
      <c r="K45" s="315">
        <f>MAX(E45*F45*'Prop Info'!$B$6*12-C45,0)</f>
        <v>0</v>
      </c>
      <c r="L45" s="342">
        <f t="shared" si="7"/>
        <v>0</v>
      </c>
      <c r="M45" s="342">
        <f t="shared" si="8"/>
        <v>0</v>
      </c>
      <c r="N45" s="309" t="s">
        <v>1053</v>
      </c>
    </row>
    <row r="46" spans="1:14" ht="20.25" customHeight="1" outlineLevel="1" x14ac:dyDescent="0.2">
      <c r="A46" s="329">
        <v>12</v>
      </c>
      <c r="B46" s="310" t="s">
        <v>325</v>
      </c>
      <c r="C46" s="330">
        <f>0</f>
        <v>0</v>
      </c>
      <c r="D46" s="320">
        <f>IFERROR(C46/'Prop Info'!$B$6/12,0)</f>
        <v>0</v>
      </c>
      <c r="E46" s="343">
        <v>12</v>
      </c>
      <c r="F46" s="344"/>
      <c r="G46" s="322">
        <f t="shared" si="6"/>
        <v>0</v>
      </c>
      <c r="H46" s="315">
        <f>MAX(E46*F46*'Prop Info'!$B$6*12-C46,0)</f>
        <v>0</v>
      </c>
      <c r="I46" s="341"/>
      <c r="J46" s="315">
        <f>MAX(E46*F46*'Prop Info'!$B$6*12*0.5-C46,0)</f>
        <v>0</v>
      </c>
      <c r="K46" s="315">
        <f>MAX(E46*F46*'Prop Info'!$B$6*12-C46,0)</f>
        <v>0</v>
      </c>
      <c r="L46" s="342">
        <f t="shared" si="7"/>
        <v>0</v>
      </c>
      <c r="M46" s="342">
        <f t="shared" si="8"/>
        <v>0</v>
      </c>
      <c r="N46" s="309" t="s">
        <v>1054</v>
      </c>
    </row>
    <row r="47" spans="1:14" ht="20.25" customHeight="1" outlineLevel="1" x14ac:dyDescent="0.2">
      <c r="A47" s="329">
        <v>13</v>
      </c>
      <c r="B47" s="310" t="s">
        <v>326</v>
      </c>
      <c r="C47" s="330">
        <f>0</f>
        <v>0</v>
      </c>
      <c r="D47" s="320">
        <f>IFERROR(C47/'Prop Info'!$B$6/12,0)</f>
        <v>0</v>
      </c>
      <c r="E47" s="343">
        <v>8</v>
      </c>
      <c r="F47" s="344"/>
      <c r="G47" s="322">
        <f t="shared" si="6"/>
        <v>0</v>
      </c>
      <c r="H47" s="315">
        <f>MAX(E47*F47*'Prop Info'!$B$6*12-C47,0)</f>
        <v>0</v>
      </c>
      <c r="I47" s="341"/>
      <c r="J47" s="315">
        <f>MAX(E47*F47*'Prop Info'!$B$6*12*0.5-C47,0)</f>
        <v>0</v>
      </c>
      <c r="K47" s="315">
        <f>MAX(E47*F47*'Prop Info'!$B$6*12-C47,0)</f>
        <v>0</v>
      </c>
      <c r="L47" s="342">
        <f t="shared" si="7"/>
        <v>0</v>
      </c>
      <c r="M47" s="342">
        <f t="shared" si="8"/>
        <v>0</v>
      </c>
      <c r="N47" s="309" t="s">
        <v>1055</v>
      </c>
    </row>
    <row r="48" spans="1:14" ht="20.25" customHeight="1" outlineLevel="1" x14ac:dyDescent="0.2">
      <c r="A48" s="329">
        <v>14</v>
      </c>
      <c r="B48" s="310" t="s">
        <v>327</v>
      </c>
      <c r="C48" s="330">
        <f>0</f>
        <v>0</v>
      </c>
      <c r="D48" s="320">
        <f>IFERROR(C48/'Prop Info'!$B$6/12,0)</f>
        <v>0</v>
      </c>
      <c r="E48" s="343">
        <v>10</v>
      </c>
      <c r="F48" s="344"/>
      <c r="G48" s="322">
        <f t="shared" si="6"/>
        <v>0</v>
      </c>
      <c r="H48" s="315">
        <f>MAX(E48*F48*'Prop Info'!$B$6*12-C48,0)</f>
        <v>0</v>
      </c>
      <c r="I48" s="341"/>
      <c r="J48" s="315">
        <f>MAX(E48*F48*'Prop Info'!$B$6*12*0.5-C48,0)</f>
        <v>0</v>
      </c>
      <c r="K48" s="315">
        <f>MAX(E48*F48*'Prop Info'!$B$6*12-C48,0)</f>
        <v>0</v>
      </c>
      <c r="L48" s="342">
        <f t="shared" si="7"/>
        <v>0</v>
      </c>
      <c r="M48" s="342">
        <f t="shared" si="8"/>
        <v>0</v>
      </c>
      <c r="N48" s="309" t="s">
        <v>1056</v>
      </c>
    </row>
    <row r="49" spans="1:14" ht="20.25" customHeight="1" outlineLevel="1" x14ac:dyDescent="0.2">
      <c r="A49" s="329">
        <v>15</v>
      </c>
      <c r="B49" s="310" t="s">
        <v>328</v>
      </c>
      <c r="C49" s="330">
        <f>0</f>
        <v>0</v>
      </c>
      <c r="D49" s="320">
        <f>IFERROR(C49/'Prop Info'!$B$6/12,0)</f>
        <v>0</v>
      </c>
      <c r="E49" s="343">
        <v>25</v>
      </c>
      <c r="F49" s="344"/>
      <c r="G49" s="322">
        <f t="shared" si="6"/>
        <v>0</v>
      </c>
      <c r="H49" s="315">
        <f>MAX(E49*F49*'Prop Info'!$B$6*12-C49,0)</f>
        <v>0</v>
      </c>
      <c r="I49" s="341"/>
      <c r="J49" s="315">
        <f>MAX(E49*F49*'Prop Info'!$B$6*12*0.5-C49,0)</f>
        <v>0</v>
      </c>
      <c r="K49" s="315">
        <f>MAX(E49*F49*'Prop Info'!$B$6*12-C49,0)</f>
        <v>0</v>
      </c>
      <c r="L49" s="342">
        <f t="shared" si="7"/>
        <v>0</v>
      </c>
      <c r="M49" s="342">
        <f t="shared" si="8"/>
        <v>0</v>
      </c>
      <c r="N49" s="309" t="s">
        <v>1057</v>
      </c>
    </row>
    <row r="50" spans="1:14" ht="20.25" customHeight="1" outlineLevel="1" x14ac:dyDescent="0.2">
      <c r="A50" s="329">
        <v>16</v>
      </c>
      <c r="B50" s="310" t="s">
        <v>329</v>
      </c>
      <c r="C50" s="315">
        <f>'T-12 Analysis'!N98</f>
        <v>0</v>
      </c>
      <c r="D50" s="320">
        <f>IFERROR(C50/'Prop Info'!$B$6/12,0)</f>
        <v>0</v>
      </c>
      <c r="E50" s="343">
        <v>30</v>
      </c>
      <c r="F50" s="331">
        <v>0.8</v>
      </c>
      <c r="G50" s="322">
        <f t="shared" si="6"/>
        <v>0</v>
      </c>
      <c r="H50" s="315">
        <f>MAX(E50*F50*'Prop Info'!$B$6*12-C50,0)</f>
        <v>0</v>
      </c>
      <c r="I50" s="341"/>
      <c r="J50" s="315">
        <f>MAX(E50*F50*'Prop Info'!$B$6*12*0.5-C50,0)</f>
        <v>0</v>
      </c>
      <c r="K50" s="315">
        <f>MAX(E50*F50*'Prop Info'!$B$6*12-C50,0)</f>
        <v>0</v>
      </c>
      <c r="L50" s="342">
        <f t="shared" si="7"/>
        <v>0</v>
      </c>
      <c r="M50" s="342">
        <f t="shared" si="8"/>
        <v>0</v>
      </c>
      <c r="N50" s="309" t="s">
        <v>1058</v>
      </c>
    </row>
    <row r="51" spans="1:14" ht="15" customHeight="1" outlineLevel="1" x14ac:dyDescent="0.2">
      <c r="A51" s="329">
        <v>17</v>
      </c>
      <c r="B51" s="310" t="s">
        <v>330</v>
      </c>
      <c r="C51" s="330">
        <f>0</f>
        <v>0</v>
      </c>
      <c r="D51" s="320">
        <f>IFERROR(C51/'Prop Info'!$B$6/12,0)</f>
        <v>0</v>
      </c>
      <c r="E51" s="343">
        <v>3</v>
      </c>
      <c r="F51" s="344"/>
      <c r="G51" s="322">
        <f t="shared" si="6"/>
        <v>0</v>
      </c>
      <c r="H51" s="315">
        <f>MAX(E51*F51*'Prop Info'!$B$6*12-C51,0)</f>
        <v>0</v>
      </c>
      <c r="I51" s="341"/>
      <c r="J51" s="315">
        <f>MAX(E51*F51*'Prop Info'!$B$6*12*0.5-C51,0)</f>
        <v>0</v>
      </c>
      <c r="K51" s="315">
        <f>MAX(E51*F51*'Prop Info'!$B$6*12-C51,0)</f>
        <v>0</v>
      </c>
      <c r="L51" s="342">
        <f t="shared" si="7"/>
        <v>0</v>
      </c>
      <c r="M51" s="342">
        <f t="shared" si="8"/>
        <v>0</v>
      </c>
      <c r="N51" s="309" t="s">
        <v>1059</v>
      </c>
    </row>
    <row r="52" spans="1:14" ht="15" customHeight="1" outlineLevel="1" x14ac:dyDescent="0.2">
      <c r="A52" s="329">
        <v>18</v>
      </c>
      <c r="B52" s="310" t="s">
        <v>331</v>
      </c>
      <c r="C52" s="315">
        <f>'T-12 Analysis'!N77</f>
        <v>0</v>
      </c>
      <c r="D52" s="320">
        <f>IFERROR(C52/'Prop Info'!$B$6/12,0)</f>
        <v>0</v>
      </c>
      <c r="E52" s="343">
        <v>2</v>
      </c>
      <c r="F52" s="331">
        <v>1</v>
      </c>
      <c r="G52" s="322">
        <f t="shared" si="6"/>
        <v>0</v>
      </c>
      <c r="H52" s="315">
        <f>MAX(E52*F52*'Prop Info'!$B$6*12-C52,0)</f>
        <v>0</v>
      </c>
      <c r="I52" s="341"/>
      <c r="J52" s="315">
        <f>MAX(E52*F52*'Prop Info'!$B$6*12*0.5-C52,0)</f>
        <v>0</v>
      </c>
      <c r="K52" s="315">
        <f>MAX(E52*F52*'Prop Info'!$B$6*12-C52,0)</f>
        <v>0</v>
      </c>
      <c r="L52" s="342">
        <f t="shared" si="7"/>
        <v>0</v>
      </c>
      <c r="M52" s="342">
        <f t="shared" si="8"/>
        <v>0</v>
      </c>
      <c r="N52" s="309" t="s">
        <v>1060</v>
      </c>
    </row>
    <row r="53" spans="1:14" ht="15" customHeight="1" outlineLevel="1" x14ac:dyDescent="0.2">
      <c r="A53" s="335"/>
      <c r="B53" s="336" t="s">
        <v>1061</v>
      </c>
      <c r="C53" s="337">
        <f>SUM(C35:C52)</f>
        <v>0</v>
      </c>
      <c r="D53" s="335"/>
      <c r="E53" s="335"/>
      <c r="F53" s="335"/>
      <c r="G53" s="335"/>
      <c r="H53" s="335"/>
      <c r="I53" s="335"/>
      <c r="J53" s="337">
        <f>SUM(J35:J52)</f>
        <v>0</v>
      </c>
      <c r="K53" s="337">
        <f>SUM(K35:K52)</f>
        <v>0</v>
      </c>
      <c r="L53" s="317">
        <f>SUM(L35:L52)</f>
        <v>0</v>
      </c>
      <c r="M53" s="317">
        <f>SUM(M35:M52)</f>
        <v>0</v>
      </c>
      <c r="N53" s="335"/>
    </row>
    <row r="54" spans="1:14" ht="15" customHeight="1" outlineLevel="1" x14ac:dyDescent="0.2"/>
    <row r="55" spans="1:14" ht="18" customHeight="1" x14ac:dyDescent="0.2">
      <c r="B55" s="323" t="s">
        <v>1062</v>
      </c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</row>
    <row r="56" spans="1:14" ht="39.75" customHeight="1" outlineLevel="1" x14ac:dyDescent="0.2">
      <c r="B56" s="325" t="s">
        <v>1063</v>
      </c>
      <c r="C56" s="326"/>
      <c r="D56" s="326"/>
      <c r="E56" s="326"/>
      <c r="F56" s="326"/>
      <c r="G56" s="326"/>
      <c r="H56" s="326"/>
      <c r="I56" s="326"/>
      <c r="J56" s="345" t="s">
        <v>332</v>
      </c>
      <c r="K56" s="346">
        <v>0.5</v>
      </c>
      <c r="L56" s="347" t="s">
        <v>1064</v>
      </c>
      <c r="M56" s="326"/>
      <c r="N56" s="326"/>
    </row>
    <row r="57" spans="1:14" ht="27.75" customHeight="1" outlineLevel="1" x14ac:dyDescent="0.2">
      <c r="A57" s="327" t="s">
        <v>356</v>
      </c>
      <c r="B57" s="328" t="s">
        <v>1036</v>
      </c>
      <c r="C57" s="328" t="s">
        <v>1037</v>
      </c>
      <c r="D57" s="328" t="s">
        <v>1065</v>
      </c>
      <c r="E57" s="328" t="s">
        <v>1066</v>
      </c>
      <c r="F57" s="328" t="s">
        <v>1067</v>
      </c>
      <c r="G57" s="328" t="s">
        <v>1041</v>
      </c>
      <c r="H57" s="328" t="s">
        <v>1006</v>
      </c>
      <c r="I57" s="328" t="s">
        <v>1007</v>
      </c>
      <c r="J57" s="328" t="s">
        <v>1008</v>
      </c>
      <c r="K57" s="328" t="s">
        <v>1009</v>
      </c>
      <c r="L57" s="328" t="s">
        <v>1028</v>
      </c>
      <c r="M57" s="328" t="s">
        <v>1029</v>
      </c>
      <c r="N57" s="328" t="s">
        <v>55</v>
      </c>
    </row>
    <row r="58" spans="1:14" ht="20.25" customHeight="1" outlineLevel="1" x14ac:dyDescent="0.2">
      <c r="A58" s="329">
        <v>1</v>
      </c>
      <c r="B58" s="310" t="s">
        <v>333</v>
      </c>
      <c r="C58" s="315">
        <f>'T-12 Analysis'!N69</f>
        <v>0</v>
      </c>
      <c r="D58" s="348">
        <f t="shared" ref="D58:D63" si="9">IFERROR(C58/F58,0)</f>
        <v>0</v>
      </c>
      <c r="E58" s="343">
        <v>75</v>
      </c>
      <c r="F58" s="349">
        <v>72</v>
      </c>
      <c r="G58" s="322">
        <f t="shared" ref="G58:G63" si="10">IFERROR(D58/E58,0)</f>
        <v>0</v>
      </c>
      <c r="H58" s="330">
        <f t="shared" ref="H58:H63" si="11">MAX(E58*F58-C58,0)</f>
        <v>5400</v>
      </c>
      <c r="I58" s="341"/>
      <c r="J58" s="330">
        <f t="shared" ref="J58:J63" si="12">MAX(E58*F58*$K$56-C58,0)</f>
        <v>2700</v>
      </c>
      <c r="K58" s="330">
        <f t="shared" ref="K58:K63" si="13">MAX(E58*F58-C58,0)</f>
        <v>5400</v>
      </c>
      <c r="L58" s="342">
        <f t="shared" ref="L58:L63" si="14">C58+J58</f>
        <v>2700</v>
      </c>
      <c r="M58" s="342">
        <f t="shared" ref="M58:M63" si="15">C58+K58</f>
        <v>5400</v>
      </c>
      <c r="N58" s="309" t="s">
        <v>1068</v>
      </c>
    </row>
    <row r="59" spans="1:14" ht="20.25" customHeight="1" outlineLevel="1" x14ac:dyDescent="0.2">
      <c r="A59" s="329">
        <v>2</v>
      </c>
      <c r="B59" s="310" t="s">
        <v>334</v>
      </c>
      <c r="C59" s="330">
        <f>0</f>
        <v>0</v>
      </c>
      <c r="D59" s="348">
        <f t="shared" si="9"/>
        <v>0</v>
      </c>
      <c r="E59" s="343">
        <v>250</v>
      </c>
      <c r="F59" s="349">
        <v>21</v>
      </c>
      <c r="G59" s="322">
        <f t="shared" si="10"/>
        <v>0</v>
      </c>
      <c r="H59" s="330">
        <f t="shared" si="11"/>
        <v>5250</v>
      </c>
      <c r="I59" s="341"/>
      <c r="J59" s="330">
        <f t="shared" si="12"/>
        <v>2625</v>
      </c>
      <c r="K59" s="330">
        <f t="shared" si="13"/>
        <v>5250</v>
      </c>
      <c r="L59" s="342">
        <f t="shared" si="14"/>
        <v>2625</v>
      </c>
      <c r="M59" s="342">
        <f t="shared" si="15"/>
        <v>5250</v>
      </c>
      <c r="N59" s="309" t="s">
        <v>1069</v>
      </c>
    </row>
    <row r="60" spans="1:14" ht="20.25" customHeight="1" outlineLevel="1" x14ac:dyDescent="0.2">
      <c r="A60" s="329">
        <v>3</v>
      </c>
      <c r="B60" s="310" t="s">
        <v>335</v>
      </c>
      <c r="C60" s="315">
        <f>'T-12 Analysis'!N68</f>
        <v>0</v>
      </c>
      <c r="D60" s="348">
        <f t="shared" si="9"/>
        <v>0</v>
      </c>
      <c r="E60" s="343">
        <v>150</v>
      </c>
      <c r="F60" s="349">
        <v>7</v>
      </c>
      <c r="G60" s="322">
        <f t="shared" si="10"/>
        <v>0</v>
      </c>
      <c r="H60" s="330">
        <f t="shared" si="11"/>
        <v>1050</v>
      </c>
      <c r="I60" s="341"/>
      <c r="J60" s="330">
        <f t="shared" si="12"/>
        <v>525</v>
      </c>
      <c r="K60" s="330">
        <f t="shared" si="13"/>
        <v>1050</v>
      </c>
      <c r="L60" s="342">
        <f t="shared" si="14"/>
        <v>525</v>
      </c>
      <c r="M60" s="342">
        <f t="shared" si="15"/>
        <v>1050</v>
      </c>
      <c r="N60" s="309" t="s">
        <v>1070</v>
      </c>
    </row>
    <row r="61" spans="1:14" ht="15" customHeight="1" outlineLevel="1" x14ac:dyDescent="0.2">
      <c r="A61" s="329">
        <v>4</v>
      </c>
      <c r="B61" s="310" t="s">
        <v>336</v>
      </c>
      <c r="C61" s="330">
        <f>0</f>
        <v>0</v>
      </c>
      <c r="D61" s="348">
        <f t="shared" si="9"/>
        <v>0</v>
      </c>
      <c r="E61" s="343">
        <v>1500</v>
      </c>
      <c r="F61" s="349">
        <v>4</v>
      </c>
      <c r="G61" s="322">
        <f t="shared" si="10"/>
        <v>0</v>
      </c>
      <c r="H61" s="330">
        <f t="shared" si="11"/>
        <v>6000</v>
      </c>
      <c r="I61" s="341"/>
      <c r="J61" s="330">
        <f t="shared" si="12"/>
        <v>3000</v>
      </c>
      <c r="K61" s="330">
        <f t="shared" si="13"/>
        <v>6000</v>
      </c>
      <c r="L61" s="342">
        <f t="shared" si="14"/>
        <v>3000</v>
      </c>
      <c r="M61" s="342">
        <f t="shared" si="15"/>
        <v>6000</v>
      </c>
      <c r="N61" s="309" t="s">
        <v>1071</v>
      </c>
    </row>
    <row r="62" spans="1:14" ht="20.25" customHeight="1" outlineLevel="1" x14ac:dyDescent="0.2">
      <c r="A62" s="329">
        <v>5</v>
      </c>
      <c r="B62" s="310" t="s">
        <v>337</v>
      </c>
      <c r="C62" s="330">
        <f>0</f>
        <v>0</v>
      </c>
      <c r="D62" s="348">
        <f t="shared" si="9"/>
        <v>0</v>
      </c>
      <c r="E62" s="343">
        <v>75</v>
      </c>
      <c r="F62" s="349">
        <v>72</v>
      </c>
      <c r="G62" s="322">
        <f t="shared" si="10"/>
        <v>0</v>
      </c>
      <c r="H62" s="330">
        <f t="shared" si="11"/>
        <v>5400</v>
      </c>
      <c r="I62" s="341"/>
      <c r="J62" s="330">
        <f t="shared" si="12"/>
        <v>2700</v>
      </c>
      <c r="K62" s="330">
        <f t="shared" si="13"/>
        <v>5400</v>
      </c>
      <c r="L62" s="342">
        <f t="shared" si="14"/>
        <v>2700</v>
      </c>
      <c r="M62" s="342">
        <f t="shared" si="15"/>
        <v>5400</v>
      </c>
      <c r="N62" s="309" t="s">
        <v>1072</v>
      </c>
    </row>
    <row r="63" spans="1:14" ht="15" customHeight="1" outlineLevel="1" x14ac:dyDescent="0.2">
      <c r="A63" s="329">
        <v>6</v>
      </c>
      <c r="B63" s="310" t="s">
        <v>338</v>
      </c>
      <c r="C63" s="315">
        <f>'T-12 Analysis'!N75</f>
        <v>0</v>
      </c>
      <c r="D63" s="348">
        <f t="shared" si="9"/>
        <v>0</v>
      </c>
      <c r="E63" s="343">
        <v>200</v>
      </c>
      <c r="F63" s="349">
        <v>72</v>
      </c>
      <c r="G63" s="322">
        <f t="shared" si="10"/>
        <v>0</v>
      </c>
      <c r="H63" s="330">
        <f t="shared" si="11"/>
        <v>14400</v>
      </c>
      <c r="I63" s="341"/>
      <c r="J63" s="330">
        <f t="shared" si="12"/>
        <v>7200</v>
      </c>
      <c r="K63" s="330">
        <f t="shared" si="13"/>
        <v>14400</v>
      </c>
      <c r="L63" s="342">
        <f t="shared" si="14"/>
        <v>7200</v>
      </c>
      <c r="M63" s="342">
        <f t="shared" si="15"/>
        <v>14400</v>
      </c>
      <c r="N63" s="309" t="s">
        <v>1073</v>
      </c>
    </row>
    <row r="64" spans="1:14" ht="15" customHeight="1" outlineLevel="1" x14ac:dyDescent="0.2">
      <c r="B64" s="309" t="s">
        <v>1074</v>
      </c>
    </row>
    <row r="65" spans="1:14" ht="15" customHeight="1" outlineLevel="1" x14ac:dyDescent="0.2">
      <c r="A65" s="335"/>
      <c r="B65" s="336" t="s">
        <v>1075</v>
      </c>
      <c r="C65" s="337">
        <f>SUM(C58:C63)</f>
        <v>0</v>
      </c>
      <c r="D65" s="335"/>
      <c r="E65" s="335"/>
      <c r="F65" s="335"/>
      <c r="G65" s="335"/>
      <c r="H65" s="335"/>
      <c r="I65" s="335"/>
      <c r="J65" s="337">
        <f>SUM(J58:J63)</f>
        <v>18750</v>
      </c>
      <c r="K65" s="337">
        <f>SUM(K58:K63)</f>
        <v>37500</v>
      </c>
      <c r="L65" s="317">
        <f>SUM(L58:L63)</f>
        <v>18750</v>
      </c>
      <c r="M65" s="317">
        <f>SUM(M58:M63)</f>
        <v>37500</v>
      </c>
      <c r="N65" s="335"/>
    </row>
    <row r="66" spans="1:14" ht="15" customHeight="1" outlineLevel="1" x14ac:dyDescent="0.2"/>
    <row r="67" spans="1:14" ht="18" customHeight="1" x14ac:dyDescent="0.2">
      <c r="B67" s="323" t="s">
        <v>1076</v>
      </c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</row>
    <row r="68" spans="1:14" ht="39.75" customHeight="1" outlineLevel="1" x14ac:dyDescent="0.2">
      <c r="B68" s="325" t="s">
        <v>1077</v>
      </c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</row>
    <row r="69" spans="1:14" ht="27.75" customHeight="1" outlineLevel="1" x14ac:dyDescent="0.2">
      <c r="A69" s="327" t="s">
        <v>356</v>
      </c>
      <c r="B69" s="328" t="s">
        <v>547</v>
      </c>
      <c r="C69" s="328" t="s">
        <v>1037</v>
      </c>
      <c r="D69" s="328" t="s">
        <v>1038</v>
      </c>
      <c r="E69" s="328" t="s">
        <v>1039</v>
      </c>
      <c r="F69" s="328" t="s">
        <v>1040</v>
      </c>
      <c r="G69" s="328" t="s">
        <v>1041</v>
      </c>
      <c r="H69" s="328" t="s">
        <v>1027</v>
      </c>
      <c r="I69" s="328" t="s">
        <v>1007</v>
      </c>
      <c r="J69" s="328" t="s">
        <v>1008</v>
      </c>
      <c r="K69" s="328" t="s">
        <v>1009</v>
      </c>
      <c r="L69" s="328" t="s">
        <v>1028</v>
      </c>
      <c r="M69" s="328" t="s">
        <v>1029</v>
      </c>
      <c r="N69" s="328" t="s">
        <v>55</v>
      </c>
    </row>
    <row r="70" spans="1:14" ht="20.25" customHeight="1" outlineLevel="1" x14ac:dyDescent="0.2">
      <c r="A70" s="329">
        <v>1</v>
      </c>
      <c r="B70" s="310" t="s">
        <v>339</v>
      </c>
      <c r="C70" s="330">
        <f>0</f>
        <v>0</v>
      </c>
      <c r="D70" s="348">
        <f>0</f>
        <v>0</v>
      </c>
      <c r="E70" s="343">
        <v>25</v>
      </c>
      <c r="F70" s="331">
        <v>0.5</v>
      </c>
      <c r="G70" s="322">
        <f>0</f>
        <v>0</v>
      </c>
      <c r="H70" s="315">
        <f>E70*F70*'Prop Info'!$B$6*12</f>
        <v>0</v>
      </c>
      <c r="I70" s="341"/>
      <c r="J70" s="315">
        <f>E70*F70*'Prop Info'!$B$6*12*0.5</f>
        <v>0</v>
      </c>
      <c r="K70" s="315">
        <f>E70*F70*'Prop Info'!$B$6*12</f>
        <v>0</v>
      </c>
      <c r="L70" s="342">
        <f t="shared" ref="L70:M73" si="16">J70</f>
        <v>0</v>
      </c>
      <c r="M70" s="342">
        <f t="shared" si="16"/>
        <v>0</v>
      </c>
      <c r="N70" s="309" t="s">
        <v>1078</v>
      </c>
    </row>
    <row r="71" spans="1:14" ht="20.25" customHeight="1" outlineLevel="1" x14ac:dyDescent="0.2">
      <c r="A71" s="329">
        <v>2</v>
      </c>
      <c r="B71" s="310" t="s">
        <v>340</v>
      </c>
      <c r="C71" s="330">
        <f>0</f>
        <v>0</v>
      </c>
      <c r="D71" s="348">
        <f>0</f>
        <v>0</v>
      </c>
      <c r="E71" s="343">
        <v>200</v>
      </c>
      <c r="F71" s="331">
        <v>0.05</v>
      </c>
      <c r="G71" s="322">
        <f>0</f>
        <v>0</v>
      </c>
      <c r="H71" s="315">
        <f>E71*F71*'Prop Info'!$B$6*12</f>
        <v>0</v>
      </c>
      <c r="I71" s="341"/>
      <c r="J71" s="315">
        <f>E71*F71*'Prop Info'!$B$6*12*0.5</f>
        <v>0</v>
      </c>
      <c r="K71" s="315">
        <f>E71*F71*'Prop Info'!$B$6*12</f>
        <v>0</v>
      </c>
      <c r="L71" s="342">
        <f t="shared" si="16"/>
        <v>0</v>
      </c>
      <c r="M71" s="342">
        <f t="shared" si="16"/>
        <v>0</v>
      </c>
      <c r="N71" s="309" t="s">
        <v>1079</v>
      </c>
    </row>
    <row r="72" spans="1:14" ht="15" customHeight="1" outlineLevel="1" x14ac:dyDescent="0.2">
      <c r="A72" s="329">
        <v>3</v>
      </c>
      <c r="B72" s="310" t="s">
        <v>341</v>
      </c>
      <c r="C72" s="330">
        <f>0</f>
        <v>0</v>
      </c>
      <c r="D72" s="348">
        <f>0</f>
        <v>0</v>
      </c>
      <c r="E72" s="343">
        <v>400</v>
      </c>
      <c r="F72" s="331">
        <v>0.03</v>
      </c>
      <c r="G72" s="322">
        <f>0</f>
        <v>0</v>
      </c>
      <c r="H72" s="315">
        <f>E72*F72*'Prop Info'!$B$6*12</f>
        <v>0</v>
      </c>
      <c r="I72" s="341"/>
      <c r="J72" s="315">
        <f>E72*F72*'Prop Info'!$B$6*12*0.5</f>
        <v>0</v>
      </c>
      <c r="K72" s="315">
        <f>E72*F72*'Prop Info'!$B$6*12</f>
        <v>0</v>
      </c>
      <c r="L72" s="342">
        <f t="shared" si="16"/>
        <v>0</v>
      </c>
      <c r="M72" s="342">
        <f t="shared" si="16"/>
        <v>0</v>
      </c>
      <c r="N72" s="309" t="s">
        <v>1080</v>
      </c>
    </row>
    <row r="73" spans="1:14" ht="15" customHeight="1" outlineLevel="1" x14ac:dyDescent="0.2">
      <c r="A73" s="329">
        <v>4</v>
      </c>
      <c r="B73" s="310" t="s">
        <v>342</v>
      </c>
      <c r="C73" s="330">
        <f>0</f>
        <v>0</v>
      </c>
      <c r="D73" s="348">
        <f>0</f>
        <v>0</v>
      </c>
      <c r="E73" s="343">
        <v>15</v>
      </c>
      <c r="F73" s="331">
        <v>0.3</v>
      </c>
      <c r="G73" s="322">
        <f>0</f>
        <v>0</v>
      </c>
      <c r="H73" s="315">
        <f>E73*F73*'Prop Info'!$B$6*12</f>
        <v>0</v>
      </c>
      <c r="I73" s="341"/>
      <c r="J73" s="315">
        <f>E73*F73*'Prop Info'!$B$6*12*0.5</f>
        <v>0</v>
      </c>
      <c r="K73" s="315">
        <f>E73*F73*'Prop Info'!$B$6*12</f>
        <v>0</v>
      </c>
      <c r="L73" s="342">
        <f t="shared" si="16"/>
        <v>0</v>
      </c>
      <c r="M73" s="342">
        <f t="shared" si="16"/>
        <v>0</v>
      </c>
      <c r="N73" s="309" t="s">
        <v>1081</v>
      </c>
    </row>
    <row r="74" spans="1:14" ht="15" customHeight="1" outlineLevel="1" x14ac:dyDescent="0.2"/>
    <row r="75" spans="1:14" ht="15" customHeight="1" outlineLevel="1" x14ac:dyDescent="0.2">
      <c r="A75" s="335"/>
      <c r="B75" s="336" t="s">
        <v>1082</v>
      </c>
      <c r="C75" s="337">
        <f>0</f>
        <v>0</v>
      </c>
      <c r="D75" s="335"/>
      <c r="E75" s="335"/>
      <c r="F75" s="335"/>
      <c r="G75" s="335"/>
      <c r="H75" s="335"/>
      <c r="I75" s="335"/>
      <c r="J75" s="337">
        <f>SUM(J70:J73)</f>
        <v>0</v>
      </c>
      <c r="K75" s="337">
        <f>SUM(K70:K73)</f>
        <v>0</v>
      </c>
      <c r="L75" s="317">
        <f>SUM(L70:L73)</f>
        <v>0</v>
      </c>
      <c r="M75" s="317">
        <f>SUM(M70:M73)</f>
        <v>0</v>
      </c>
      <c r="N75" s="335"/>
    </row>
    <row r="76" spans="1:14" ht="15" customHeight="1" outlineLevel="1" x14ac:dyDescent="0.2"/>
    <row r="77" spans="1:14" ht="18" customHeight="1" x14ac:dyDescent="0.2">
      <c r="B77" s="323" t="s">
        <v>1083</v>
      </c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</row>
    <row r="78" spans="1:14" ht="27.75" customHeight="1" outlineLevel="1" x14ac:dyDescent="0.2">
      <c r="B78" s="328" t="s">
        <v>1084</v>
      </c>
      <c r="C78" s="328" t="s">
        <v>1085</v>
      </c>
      <c r="D78" s="326"/>
      <c r="E78" s="326"/>
      <c r="F78" s="326"/>
      <c r="G78" s="326"/>
      <c r="H78" s="326"/>
      <c r="I78" s="326"/>
      <c r="J78" s="328" t="s">
        <v>992</v>
      </c>
      <c r="K78" s="328" t="s">
        <v>996</v>
      </c>
      <c r="L78" s="328" t="s">
        <v>984</v>
      </c>
      <c r="M78" s="328" t="s">
        <v>988</v>
      </c>
      <c r="N78" s="328" t="s">
        <v>55</v>
      </c>
    </row>
    <row r="79" spans="1:14" ht="15" customHeight="1" outlineLevel="1" x14ac:dyDescent="0.2">
      <c r="B79" s="350" t="s">
        <v>1086</v>
      </c>
      <c r="C79" s="330">
        <f>D20</f>
        <v>0</v>
      </c>
      <c r="J79" s="330">
        <f>J20</f>
        <v>0</v>
      </c>
      <c r="K79" s="330">
        <f>K20</f>
        <v>0</v>
      </c>
      <c r="L79" s="342">
        <f>SUMIF(I13:I19,"Y",J13:J19)</f>
        <v>0</v>
      </c>
      <c r="M79" s="342">
        <f>SUMIF(I13:I19,"Y",K13:K19)</f>
        <v>0</v>
      </c>
      <c r="N79" s="309" t="s">
        <v>1087</v>
      </c>
    </row>
    <row r="80" spans="1:14" ht="15" customHeight="1" outlineLevel="1" x14ac:dyDescent="0.2">
      <c r="B80" s="350" t="s">
        <v>1088</v>
      </c>
      <c r="C80" s="330">
        <f>0</f>
        <v>0</v>
      </c>
      <c r="J80" s="330">
        <f>J30</f>
        <v>0</v>
      </c>
      <c r="K80" s="330">
        <f>K30</f>
        <v>0</v>
      </c>
      <c r="L80" s="342">
        <f>SUMIF(I26:I29,"Y",J26:J29)</f>
        <v>0</v>
      </c>
      <c r="M80" s="342">
        <f>SUMIF(I26:I29,"Y",K26:K29)</f>
        <v>0</v>
      </c>
      <c r="N80" s="309" t="s">
        <v>1089</v>
      </c>
    </row>
    <row r="81" spans="2:14" ht="15" customHeight="1" outlineLevel="1" x14ac:dyDescent="0.2">
      <c r="B81" s="350" t="s">
        <v>1090</v>
      </c>
      <c r="C81" s="330">
        <f>C53</f>
        <v>0</v>
      </c>
      <c r="J81" s="330">
        <f>J53</f>
        <v>0</v>
      </c>
      <c r="K81" s="330">
        <f>K53</f>
        <v>0</v>
      </c>
      <c r="L81" s="342">
        <f>SUMIF(I35:I52,"Y",J35:J52)</f>
        <v>0</v>
      </c>
      <c r="M81" s="342">
        <f>SUMIF(I35:I52,"Y",K35:K52)</f>
        <v>0</v>
      </c>
      <c r="N81" s="309" t="s">
        <v>1091</v>
      </c>
    </row>
    <row r="82" spans="2:14" ht="15" customHeight="1" outlineLevel="1" x14ac:dyDescent="0.2">
      <c r="B82" s="350" t="s">
        <v>1092</v>
      </c>
      <c r="C82" s="330">
        <f>C65</f>
        <v>0</v>
      </c>
      <c r="J82" s="330">
        <f>J65</f>
        <v>18750</v>
      </c>
      <c r="K82" s="330">
        <f>K65</f>
        <v>37500</v>
      </c>
      <c r="L82" s="342">
        <f>SUMIF(I58:I63,"Y",J58:J63)</f>
        <v>0</v>
      </c>
      <c r="M82" s="342">
        <f>SUMIF(I58:I63,"Y",K58:K63)</f>
        <v>0</v>
      </c>
      <c r="N82" s="309" t="s">
        <v>1093</v>
      </c>
    </row>
    <row r="83" spans="2:14" ht="15" customHeight="1" outlineLevel="1" x14ac:dyDescent="0.2">
      <c r="B83" s="350" t="s">
        <v>1094</v>
      </c>
      <c r="C83" s="330">
        <f>0</f>
        <v>0</v>
      </c>
      <c r="J83" s="330">
        <f>J75</f>
        <v>0</v>
      </c>
      <c r="K83" s="330">
        <f>K75</f>
        <v>0</v>
      </c>
      <c r="L83" s="342">
        <f>SUMIF(I70:I73,"Y",J70:J73)</f>
        <v>0</v>
      </c>
      <c r="M83" s="342">
        <f>SUMIF(I70:I73,"Y",K70:K73)</f>
        <v>0</v>
      </c>
      <c r="N83" s="309" t="s">
        <v>1095</v>
      </c>
    </row>
    <row r="84" spans="2:14" ht="15" customHeight="1" outlineLevel="1" x14ac:dyDescent="0.2">
      <c r="B84" s="336" t="s">
        <v>1096</v>
      </c>
      <c r="C84" s="337">
        <f>SUM(C79:C83)</f>
        <v>0</v>
      </c>
      <c r="D84" s="335"/>
      <c r="E84" s="335"/>
      <c r="F84" s="335"/>
      <c r="G84" s="335"/>
      <c r="H84" s="335"/>
      <c r="I84" s="335"/>
      <c r="J84" s="337">
        <f>SUM(J79:J83)</f>
        <v>18750</v>
      </c>
      <c r="K84" s="337">
        <f>SUM(K79:K83)</f>
        <v>37500</v>
      </c>
      <c r="L84" s="317">
        <f>SUM(L79:L83)</f>
        <v>0</v>
      </c>
      <c r="M84" s="317">
        <f>SUM(M79:M83)</f>
        <v>0</v>
      </c>
      <c r="N84" s="335"/>
    </row>
    <row r="85" spans="2:14" ht="20.25" customHeight="1" x14ac:dyDescent="0.2">
      <c r="L85" s="309" t="s">
        <v>1097</v>
      </c>
      <c r="M85" s="309" t="s">
        <v>1098</v>
      </c>
    </row>
    <row r="87" spans="2:14" ht="15" customHeight="1" x14ac:dyDescent="0.2">
      <c r="B87" s="351" t="s">
        <v>1099</v>
      </c>
      <c r="C87" s="352"/>
      <c r="D87" s="352"/>
      <c r="E87" s="352"/>
      <c r="F87" s="352"/>
      <c r="G87" s="352"/>
      <c r="H87" s="352"/>
      <c r="I87" s="352"/>
    </row>
    <row r="88" spans="2:14" ht="15" customHeight="1" x14ac:dyDescent="0.2">
      <c r="B88" s="310" t="s">
        <v>1100</v>
      </c>
      <c r="C88" s="330">
        <f>M84</f>
        <v>0</v>
      </c>
    </row>
    <row r="89" spans="2:14" ht="15" customHeight="1" x14ac:dyDescent="0.2">
      <c r="B89" s="310" t="s">
        <v>1101</v>
      </c>
      <c r="C89" s="319">
        <f>Scenarios!C79</f>
        <v>0</v>
      </c>
    </row>
    <row r="90" spans="2:14" ht="49.5" customHeight="1" x14ac:dyDescent="0.2">
      <c r="B90" s="310" t="s">
        <v>1102</v>
      </c>
      <c r="C90" s="321">
        <f>IFERROR(C88/C89,0)</f>
        <v>0</v>
      </c>
      <c r="E90" s="309" t="s">
        <v>1103</v>
      </c>
    </row>
  </sheetData>
  <dataValidations count="2">
    <dataValidation type="list" sqref="C3" xr:uid="{00000000-0002-0000-0800-000000000000}">
      <formula1>"1. T-12 Actuals,2. My Version,3. Projected,4. Offer"</formula1>
      <formula2>0</formula2>
    </dataValidation>
    <dataValidation type="list" allowBlank="1" sqref="I13:I19 I26:I29 I35:I52 I58:I63 I70:I73" xr:uid="{00000000-0002-0000-0800-000001000000}">
      <formula1>"Y,"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AP1850"/>
  <sheetViews>
    <sheetView tabSelected="1" topLeftCell="V1" zoomScaleNormal="100" workbookViewId="0">
      <pane ySplit="3" topLeftCell="A223" activePane="bottomLeft" state="frozen"/>
      <selection activeCell="C1" sqref="C1"/>
      <selection pane="bottomLeft" activeCell="AL230" sqref="AL230"/>
    </sheetView>
  </sheetViews>
  <sheetFormatPr baseColWidth="10" defaultColWidth="8.6640625" defaultRowHeight="15" outlineLevelRow="1" x14ac:dyDescent="0.2"/>
  <cols>
    <col min="1" max="1" width="54.1640625" customWidth="1"/>
    <col min="2" max="7" width="21.33203125" customWidth="1"/>
    <col min="8" max="14" width="11" customWidth="1"/>
    <col min="15" max="15" width="13" customWidth="1"/>
    <col min="16" max="20" width="9" customWidth="1"/>
    <col min="21" max="21" width="16" customWidth="1"/>
    <col min="22" max="22" width="26" customWidth="1"/>
    <col min="32" max="32" width="13.1640625" customWidth="1"/>
  </cols>
  <sheetData>
    <row r="1" spans="1:22" ht="21.75" customHeight="1" x14ac:dyDescent="0.2">
      <c r="A1" s="928" t="str">
        <f>IF('Prop Info'!B4="","RENT ROLL ANALYSIS  —  Diagnostic Layer","RENT ROLL ANALYSIS  —  Diagnostic Layer"&amp;" — "&amp;'Prop Info'!B4)</f>
        <v>RENT ROLL ANALYSIS  —  Diagnostic Layer</v>
      </c>
      <c r="B1" s="928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928"/>
      <c r="P1" s="928"/>
      <c r="Q1" s="928"/>
      <c r="R1" s="928"/>
      <c r="S1" s="928"/>
      <c r="T1" s="928"/>
      <c r="U1" s="928"/>
      <c r="V1" s="928"/>
    </row>
    <row r="2" spans="1:22" ht="21.75" customHeight="1" x14ac:dyDescent="0.2">
      <c r="A2" s="1" t="s">
        <v>1104</v>
      </c>
    </row>
    <row r="4" spans="1:22" ht="21.75" customHeight="1" x14ac:dyDescent="0.2">
      <c r="A4" s="929" t="s">
        <v>1105</v>
      </c>
      <c r="B4" s="929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29"/>
      <c r="S4" s="929"/>
      <c r="T4" s="929"/>
      <c r="U4" s="929"/>
      <c r="V4" s="929"/>
    </row>
    <row r="5" spans="1:22" ht="15" customHeight="1" outlineLevel="1" x14ac:dyDescent="0.2">
      <c r="A5" s="112" t="s">
        <v>1106</v>
      </c>
      <c r="B5" s="302"/>
      <c r="C5" s="112" t="s">
        <v>1107</v>
      </c>
      <c r="D5" s="353">
        <f>'Prop Info'!B4</f>
        <v>0</v>
      </c>
      <c r="F5" s="112" t="s">
        <v>1108</v>
      </c>
      <c r="G5" s="108">
        <f>'Prop Info'!B6</f>
        <v>0</v>
      </c>
      <c r="H5" s="112" t="s">
        <v>1109</v>
      </c>
      <c r="I5" s="114">
        <f>COUNTA(B273:B1772)</f>
        <v>0</v>
      </c>
      <c r="J5" s="112" t="s">
        <v>1110</v>
      </c>
      <c r="K5" s="112" t="str">
        <f>IF(I5=G5,"✓ match",IF(I5=0,"⚠ no data","⚠ mismatch"))</f>
        <v>✓ match</v>
      </c>
      <c r="M5" s="112" t="s">
        <v>1111</v>
      </c>
      <c r="N5" s="286">
        <f>SUM(O273:O1772)</f>
        <v>0</v>
      </c>
      <c r="P5" s="112" t="s">
        <v>1112</v>
      </c>
      <c r="Q5" s="114">
        <f>COUNTIF(G273:G1772,TRUE())</f>
        <v>0</v>
      </c>
      <c r="S5" s="112" t="s">
        <v>1113</v>
      </c>
      <c r="T5" s="114">
        <f>COUNTIF(E273:E1772,"Occupied*")</f>
        <v>0</v>
      </c>
    </row>
    <row r="6" spans="1:22" ht="15" customHeight="1" outlineLevel="1" x14ac:dyDescent="0.2"/>
    <row r="7" spans="1:22" ht="21.75" customHeight="1" x14ac:dyDescent="0.2">
      <c r="A7" s="929" t="s">
        <v>1114</v>
      </c>
      <c r="B7" s="929"/>
      <c r="C7" s="929"/>
      <c r="D7" s="929"/>
      <c r="E7" s="929"/>
      <c r="F7" s="929"/>
      <c r="G7" s="929"/>
      <c r="H7" s="929"/>
      <c r="I7" s="929"/>
      <c r="J7" s="929"/>
      <c r="K7" s="929"/>
      <c r="L7" s="929"/>
      <c r="M7" s="929"/>
      <c r="N7" s="929"/>
      <c r="O7" s="929"/>
      <c r="P7" s="929"/>
      <c r="Q7" s="929"/>
      <c r="R7" s="929"/>
      <c r="S7" s="929"/>
      <c r="T7" s="929"/>
      <c r="U7" s="929"/>
      <c r="V7" s="929"/>
    </row>
    <row r="8" spans="1:22" ht="27.75" customHeight="1" outlineLevel="1" x14ac:dyDescent="0.2">
      <c r="A8" s="104" t="s">
        <v>1115</v>
      </c>
      <c r="B8" s="104" t="s">
        <v>369</v>
      </c>
      <c r="C8" s="104" t="s">
        <v>1116</v>
      </c>
      <c r="D8" s="116" t="s">
        <v>1117</v>
      </c>
      <c r="E8" s="116" t="s">
        <v>1118</v>
      </c>
      <c r="F8" s="116" t="s">
        <v>1119</v>
      </c>
      <c r="G8" s="104" t="s">
        <v>1120</v>
      </c>
    </row>
    <row r="9" spans="1:22" ht="15" customHeight="1" outlineLevel="1" x14ac:dyDescent="0.2">
      <c r="A9" s="106" t="s">
        <v>1121</v>
      </c>
      <c r="B9" s="354">
        <f>COUNTIFS(E273:E1772,"Occupied*",G273:G1772,FALSE(),O273:O1772,"&lt;500")</f>
        <v>0</v>
      </c>
      <c r="C9" s="109">
        <f>IFERROR(B9/'Prop Info'!$B$6,0)</f>
        <v>0</v>
      </c>
      <c r="D9" s="256">
        <f>SUMIFS(N273:N1772,E273:E1772,"Occupied*",G273:G1772,FALSE(),O273:O1772,"&lt;500")</f>
        <v>0</v>
      </c>
      <c r="E9" s="256">
        <f>SUMIFS(L273:L1772,E273:E1772,"Occupied*",G273:G1772,FALSE(),O273:O1772,"&lt;500")</f>
        <v>0</v>
      </c>
      <c r="F9" s="355">
        <f>IFERROR(D9/B9,0)</f>
        <v>0</v>
      </c>
      <c r="G9" s="256">
        <f>SUMIFS(O273:O1772,E273:E1772,"Occupied*",G273:G1772,FALSE(),O273:O1772,"&lt;500")</f>
        <v>0</v>
      </c>
    </row>
    <row r="10" spans="1:22" ht="15" customHeight="1" outlineLevel="1" x14ac:dyDescent="0.2">
      <c r="A10" s="106" t="s">
        <v>1122</v>
      </c>
      <c r="B10" s="354">
        <f>COUNTIFS(E273:E1772,"Occupied*",G273:G1772,FALSE(),O273:O1772,"&gt;=500")</f>
        <v>0</v>
      </c>
      <c r="C10" s="109">
        <f>IFERROR(B10/'Prop Info'!$B$6,0)</f>
        <v>0</v>
      </c>
      <c r="D10" s="256">
        <f>SUMIFS(N273:N1772,E273:E1772,"Occupied*",G273:G1772,FALSE(),O273:O1772,"&gt;=500")</f>
        <v>0</v>
      </c>
      <c r="E10" s="256">
        <f>SUMIFS(L273:L1772,E273:E1772,"Occupied*",G273:G1772,FALSE(),O273:O1772,"&gt;=500")</f>
        <v>0</v>
      </c>
      <c r="F10" s="355">
        <f>IFERROR(D10/B10,0)</f>
        <v>0</v>
      </c>
      <c r="G10" s="256">
        <f>SUMIFS(O273:O1772,E273:E1772,"Occupied*",G273:G1772,FALSE(),O273:O1772,"&gt;=500")</f>
        <v>0</v>
      </c>
    </row>
    <row r="11" spans="1:22" ht="15" customHeight="1" outlineLevel="1" x14ac:dyDescent="0.2">
      <c r="A11" s="106" t="s">
        <v>1123</v>
      </c>
      <c r="B11" s="354">
        <f>COUNTIFS(E273:E1772,"Occupied*",G273:G1772,TRUE())</f>
        <v>0</v>
      </c>
      <c r="C11" s="109">
        <f>IFERROR(B11/'Prop Info'!$B$6,0)</f>
        <v>0</v>
      </c>
      <c r="D11" s="256">
        <f>SUMIFS(N273:N1772,E273:E1772,"Occupied*",G273:G1772,TRUE())</f>
        <v>0</v>
      </c>
      <c r="E11" s="256">
        <f>SUMIFS(L273:L1772,E273:E1772,"Occupied*",G273:G1772,TRUE())</f>
        <v>0</v>
      </c>
      <c r="F11" s="355">
        <f>IFERROR(D11/B11,0)</f>
        <v>0</v>
      </c>
      <c r="G11" s="256">
        <f>SUMIFS(O273:O1772,E273:E1772,"Occupied*",G273:G1772,TRUE())</f>
        <v>0</v>
      </c>
    </row>
    <row r="12" spans="1:22" ht="15" customHeight="1" outlineLevel="1" x14ac:dyDescent="0.2">
      <c r="A12" s="106"/>
      <c r="B12" s="354"/>
      <c r="C12" s="109"/>
      <c r="D12" s="256"/>
      <c r="E12" s="256"/>
      <c r="F12" s="355"/>
      <c r="G12" s="256"/>
    </row>
    <row r="13" spans="1:22" ht="15" customHeight="1" outlineLevel="1" x14ac:dyDescent="0.2">
      <c r="A13" s="106" t="s">
        <v>346</v>
      </c>
      <c r="B13" s="354">
        <f>COUNTIF(E273:E1772,"Vacant Unrented Ready")</f>
        <v>0</v>
      </c>
      <c r="C13" s="109">
        <f>IFERROR(B13/'Prop Info'!$B$6,0)</f>
        <v>0</v>
      </c>
      <c r="D13" s="303">
        <f>SUMIF(E273:E1772,"Vacant Unrented Ready",N273:N1772)</f>
        <v>0</v>
      </c>
      <c r="E13" s="303">
        <f>SUMIF(E273:E1772,"Vacant Unrented Ready",L273:L1772)</f>
        <v>0</v>
      </c>
      <c r="F13" s="303">
        <v>0</v>
      </c>
      <c r="G13" s="303">
        <f>SUMIF(E273:E1772,"Vacant Unrented Ready",O273:O1772)</f>
        <v>0</v>
      </c>
    </row>
    <row r="14" spans="1:22" ht="15" customHeight="1" outlineLevel="1" x14ac:dyDescent="0.2">
      <c r="A14" s="106" t="s">
        <v>347</v>
      </c>
      <c r="B14" s="354">
        <f>COUNTIF(E273:E1772,"Vacant Unrented Not Ready")</f>
        <v>0</v>
      </c>
      <c r="C14" s="109">
        <f>IFERROR(B14/'Prop Info'!$B$6,0)</f>
        <v>0</v>
      </c>
      <c r="D14" s="303">
        <f>SUMIF(E273:E1772,"Vacant Unrented Not Ready",N273:N1772)</f>
        <v>0</v>
      </c>
      <c r="E14" s="303">
        <f>SUMIF(E273:E1772,"Vacant Unrented Not Ready",L273:L1772)</f>
        <v>0</v>
      </c>
      <c r="F14" s="303">
        <v>0</v>
      </c>
      <c r="G14" s="303">
        <f>SUMIF(E273:E1772,"Vacant Unrented Not Ready",O273:O1772)</f>
        <v>0</v>
      </c>
    </row>
    <row r="15" spans="1:22" ht="15" customHeight="1" outlineLevel="1" x14ac:dyDescent="0.2">
      <c r="A15" s="106" t="s">
        <v>348</v>
      </c>
      <c r="B15" s="354">
        <f>COUNTIF(E273:E1772,"Down*")</f>
        <v>0</v>
      </c>
      <c r="C15" s="109">
        <f>IFERROR(B15/'Prop Info'!$B$6,0)</f>
        <v>0</v>
      </c>
      <c r="D15" s="303">
        <f>SUMIF(E273:E1772,"Down*",N273:N1772)</f>
        <v>0</v>
      </c>
      <c r="E15" s="303">
        <f>SUMIF(E273:E1772,"Down*",L273:L1772)</f>
        <v>0</v>
      </c>
      <c r="F15" s="303">
        <v>0</v>
      </c>
      <c r="G15" s="303">
        <f>SUMIF(E273:E1772,"Down*",O273:O1772)</f>
        <v>0</v>
      </c>
    </row>
    <row r="16" spans="1:22" ht="15" customHeight="1" outlineLevel="1" x14ac:dyDescent="0.2">
      <c r="A16" s="106" t="s">
        <v>1124</v>
      </c>
      <c r="B16" s="354">
        <f>COUNTIF(E273:E1772,"Vacant*Leased*")+COUNTIF(E273:E1772,"Vacant Rented*")</f>
        <v>0</v>
      </c>
      <c r="C16" s="109">
        <f>IFERROR(B16/'Prop Info'!$B$6,0)</f>
        <v>0</v>
      </c>
      <c r="D16" s="303">
        <f>SUMIF(E273:E1772,"Vacant*Leased*",N273:N1772)+SUMIF(E273:E1772,"Vacant Rented*",N273:N1772)</f>
        <v>0</v>
      </c>
      <c r="E16" s="303">
        <f>SUMIF(E273:E1772,"Vacant*Leased*",L273:L1772)+SUMIF(E273:E1772,"Vacant Rented*",L273:L1772)</f>
        <v>0</v>
      </c>
      <c r="F16" s="303">
        <v>0</v>
      </c>
      <c r="G16" s="303">
        <f>SUMIF(E273:E1772,"Vacant*Leased*",O273:O1772)+SUMIF(E273:E1772,"Vacant Rented*",O273:O1772)</f>
        <v>0</v>
      </c>
    </row>
    <row r="17" spans="1:22" ht="15" customHeight="1" outlineLevel="1" x14ac:dyDescent="0.2">
      <c r="A17" s="106" t="s">
        <v>350</v>
      </c>
      <c r="B17" s="354">
        <f>COUNTIF(E273:E1772,"Model")+COUNTIF(E273:E1772,"Employee")+COUNTIF(E273:E1772,"Office")</f>
        <v>0</v>
      </c>
      <c r="C17" s="109">
        <f>IFERROR(B17/'Prop Info'!$B$6,0)</f>
        <v>0</v>
      </c>
      <c r="D17" s="303">
        <f>SUMIF(E273:E1772,"Model",N273:N1772)+SUMIF(E273:E1772,"Employee",N273:N1772)+SUMIF(E273:E1772,"Office",N273:N1772)</f>
        <v>0</v>
      </c>
      <c r="E17" s="303">
        <f>SUMIF(E273:E1772,"Model",L273:L1772)+SUMIF(E273:E1772,"Employee",L273:L1772)+SUMIF(E273:E1772,"Office",L273:L1772)</f>
        <v>0</v>
      </c>
      <c r="F17" s="303">
        <v>0</v>
      </c>
      <c r="G17" s="303">
        <f>SUMIF(E273:E1772,"Model",O273:O1772)+SUMIF(E273:E1772,"Employee",O273:O1772)+SUMIF(E273:E1772,"Office",O273:O1772)</f>
        <v>0</v>
      </c>
    </row>
    <row r="18" spans="1:22" ht="15" customHeight="1" outlineLevel="1" x14ac:dyDescent="0.2">
      <c r="A18" s="106" t="s">
        <v>1125</v>
      </c>
      <c r="B18" s="354">
        <f>MAX(0,COUNTA(E273:E1772)-SUM(B9:B17))</f>
        <v>0</v>
      </c>
      <c r="C18" s="252">
        <f>IFERROR(B18/'Prop Info'!$B$6,0)</f>
        <v>0</v>
      </c>
      <c r="D18" s="256">
        <f>MAX(0,SUM(N273:N1772)-SUM(D9:D17))</f>
        <v>0</v>
      </c>
      <c r="E18" s="256">
        <f>MAX(0,SUM(L273:L1772)-SUM(E9:E17))</f>
        <v>0</v>
      </c>
      <c r="F18" s="256"/>
      <c r="G18" s="256">
        <f>MAX(0,SUM(O273:O1772)-SUM(G9:G17))</f>
        <v>0</v>
      </c>
    </row>
    <row r="19" spans="1:22" ht="15" customHeight="1" outlineLevel="1" x14ac:dyDescent="0.2">
      <c r="A19" s="248" t="s">
        <v>1126</v>
      </c>
      <c r="B19" s="356">
        <f t="array" ref="B19">SUMPRODUCT((ISNUMBER(SEARCH("Occupied",E273:E1772)))*(((ISNUMBER(SEARCH("NTV",E273:E1772)))+(ISNUMBER(SEARCH("Notice",E273:E1772)))*(1-ISNUMBER(SEARCH("No Notice",E273:E1772)))+(K273:K1772&lt;&gt;""))&gt;0))</f>
        <v>0</v>
      </c>
      <c r="C19" s="357">
        <f>IFERROR(B19/'Prop Info'!$B$6,0)</f>
        <v>0</v>
      </c>
      <c r="D19" s="358"/>
      <c r="E19" s="358"/>
      <c r="F19" s="358"/>
      <c r="G19" s="358"/>
    </row>
    <row r="20" spans="1:22" ht="15" customHeight="1" outlineLevel="1" x14ac:dyDescent="0.2">
      <c r="A20" s="248" t="s">
        <v>1127</v>
      </c>
      <c r="B20" s="356" t="str">
        <f>IF(B21='Prop Info'!$B$6,"✓ ties","⚠ off by "&amp;TEXT(B21-'Prop Info'!$B$6,"#,##0"))</f>
        <v>✓ ties</v>
      </c>
      <c r="C20" s="357"/>
      <c r="D20" s="358"/>
      <c r="E20" s="358"/>
      <c r="F20" s="358"/>
      <c r="G20" s="358"/>
    </row>
    <row r="21" spans="1:22" ht="15" customHeight="1" outlineLevel="1" x14ac:dyDescent="0.2">
      <c r="A21" s="290" t="s">
        <v>49</v>
      </c>
      <c r="B21" s="359">
        <f>SUM(B9:B18)</f>
        <v>0</v>
      </c>
      <c r="C21" s="360">
        <f>IFERROR(B21/'Prop Info'!$B$6,0)</f>
        <v>0</v>
      </c>
      <c r="D21" s="291">
        <f>SUM(D9:D18)</f>
        <v>0</v>
      </c>
      <c r="E21" s="291">
        <f>SUM(E9:E18)</f>
        <v>0</v>
      </c>
      <c r="F21" s="361">
        <f>IFERROR(SUM(D9:D11)/SUM(B9:B11),0)</f>
        <v>0</v>
      </c>
      <c r="G21" s="291">
        <f>SUM(G9:G18)</f>
        <v>0</v>
      </c>
      <c r="H21" s="362" t="s">
        <v>1128</v>
      </c>
    </row>
    <row r="22" spans="1:22" ht="15" customHeight="1" outlineLevel="1" x14ac:dyDescent="0.2">
      <c r="A22" s="363" t="s">
        <v>1129</v>
      </c>
      <c r="B22" s="364" t="str">
        <f>IF(ABS(E21*12+ABS(B30)-B26)&lt;1,"✓ Occ Mkt + Vac Loss ties to Section D GPR","⚠ Off by $"&amp;TEXT(B26-E21*12-ABS(B30),"#,##0"))</f>
        <v>✓ Occ Mkt + Vac Loss ties to Section D GPR</v>
      </c>
    </row>
    <row r="23" spans="1:22" ht="15" customHeight="1" outlineLevel="1" x14ac:dyDescent="0.2"/>
    <row r="24" spans="1:22" ht="21.75" customHeight="1" x14ac:dyDescent="0.2">
      <c r="A24" s="929" t="s">
        <v>1130</v>
      </c>
      <c r="B24" s="929"/>
      <c r="C24" s="929"/>
      <c r="D24" s="929"/>
      <c r="E24" s="929"/>
      <c r="F24" s="929"/>
      <c r="G24" s="929"/>
      <c r="H24" s="929"/>
      <c r="I24" s="929"/>
      <c r="J24" s="929"/>
      <c r="K24" s="929"/>
      <c r="L24" s="929"/>
      <c r="M24" s="929"/>
      <c r="N24" s="929"/>
      <c r="O24" s="929"/>
      <c r="P24" s="929"/>
      <c r="Q24" s="929"/>
      <c r="R24" s="929"/>
      <c r="S24" s="929"/>
      <c r="T24" s="929"/>
      <c r="U24" s="929"/>
      <c r="V24" s="929"/>
    </row>
    <row r="25" spans="1:22" ht="15" customHeight="1" outlineLevel="1" x14ac:dyDescent="0.2">
      <c r="A25" s="104" t="s">
        <v>11</v>
      </c>
      <c r="B25" s="104" t="s">
        <v>1131</v>
      </c>
      <c r="C25" s="104" t="s">
        <v>899</v>
      </c>
      <c r="D25" s="930" t="s">
        <v>55</v>
      </c>
      <c r="E25" s="930"/>
      <c r="F25" s="930"/>
      <c r="G25" s="930"/>
      <c r="H25" s="930"/>
      <c r="I25" s="930"/>
      <c r="J25" s="930"/>
      <c r="K25" s="930"/>
      <c r="L25" s="930"/>
      <c r="M25" s="930"/>
      <c r="N25" s="930"/>
      <c r="O25" s="930"/>
      <c r="P25" s="930"/>
      <c r="Q25" s="930"/>
      <c r="R25" s="930"/>
      <c r="S25" s="930"/>
      <c r="T25" s="930"/>
      <c r="U25" s="930"/>
      <c r="V25" s="930"/>
    </row>
    <row r="26" spans="1:22" ht="15" customHeight="1" outlineLevel="1" x14ac:dyDescent="0.2">
      <c r="A26" s="106" t="s">
        <v>1132</v>
      </c>
      <c r="B26" s="256">
        <f>SUMPRODUCT((L273:L1772)*1)*12</f>
        <v>0</v>
      </c>
      <c r="C26" s="289">
        <f>IFERROR(B26/'Prop Info'!$B$6/12,0)</f>
        <v>0</v>
      </c>
      <c r="D26" s="931" t="s">
        <v>1133</v>
      </c>
      <c r="E26" s="931"/>
      <c r="F26" s="931"/>
      <c r="G26" s="931"/>
      <c r="H26" s="931"/>
      <c r="I26" s="931"/>
      <c r="J26" s="931"/>
      <c r="K26" s="931"/>
      <c r="L26" s="931"/>
      <c r="M26" s="931"/>
      <c r="N26" s="931"/>
      <c r="O26" s="931"/>
      <c r="P26" s="931"/>
      <c r="Q26" s="931"/>
      <c r="R26" s="931"/>
      <c r="S26" s="931"/>
      <c r="T26" s="931"/>
      <c r="U26" s="931"/>
      <c r="V26" s="931"/>
    </row>
    <row r="27" spans="1:22" ht="15" customHeight="1" outlineLevel="1" x14ac:dyDescent="0.2">
      <c r="A27" s="106" t="s">
        <v>1134</v>
      </c>
      <c r="B27" s="256">
        <f>SUMPRODUCT((N273:N1772)*1)*12</f>
        <v>0</v>
      </c>
      <c r="C27" s="355">
        <f>IFERROR(B27/COUNTIF(E273:E1772,"Occupied*")/12,0)</f>
        <v>0</v>
      </c>
      <c r="D27" s="931" t="s">
        <v>1135</v>
      </c>
      <c r="E27" s="931"/>
      <c r="F27" s="931"/>
      <c r="G27" s="931"/>
      <c r="H27" s="931"/>
      <c r="I27" s="931"/>
      <c r="J27" s="931"/>
      <c r="K27" s="931"/>
      <c r="L27" s="931"/>
      <c r="M27" s="931"/>
      <c r="N27" s="931"/>
      <c r="O27" s="931"/>
      <c r="P27" s="931"/>
      <c r="Q27" s="931"/>
      <c r="R27" s="931"/>
      <c r="S27" s="931"/>
      <c r="T27" s="931"/>
      <c r="U27" s="931"/>
      <c r="V27" s="931"/>
    </row>
    <row r="28" spans="1:22" ht="15" customHeight="1" outlineLevel="1" x14ac:dyDescent="0.2">
      <c r="A28" s="106" t="s">
        <v>1136</v>
      </c>
      <c r="B28" s="256">
        <f>SUMIFS(L273:L1772,E273:E1772,"Occupied*")*12 - B27</f>
        <v>0</v>
      </c>
      <c r="D28" s="931" t="s">
        <v>1137</v>
      </c>
      <c r="E28" s="931"/>
      <c r="F28" s="931"/>
      <c r="G28" s="931"/>
      <c r="H28" s="931"/>
      <c r="I28" s="931"/>
      <c r="J28" s="931"/>
      <c r="K28" s="931"/>
      <c r="L28" s="931"/>
      <c r="M28" s="931"/>
      <c r="N28" s="931"/>
      <c r="O28" s="931"/>
      <c r="P28" s="931"/>
      <c r="Q28" s="931"/>
      <c r="R28" s="931"/>
      <c r="S28" s="931"/>
      <c r="T28" s="931"/>
      <c r="U28" s="931"/>
      <c r="V28" s="931"/>
    </row>
    <row r="29" spans="1:22" ht="15" customHeight="1" outlineLevel="1" x14ac:dyDescent="0.2">
      <c r="A29" s="106" t="s">
        <v>128</v>
      </c>
      <c r="B29" s="252">
        <f>IFERROR(B28/(SUMIFS(L273:L1772,E273:E1772,"Occupied*")*12),0)</f>
        <v>0</v>
      </c>
    </row>
    <row r="30" spans="1:22" ht="15" customHeight="1" outlineLevel="1" x14ac:dyDescent="0.2">
      <c r="A30" s="106" t="s">
        <v>1138</v>
      </c>
      <c r="B30" s="256">
        <f>-SUMIFS(L273:L1772,E273:E1772,"Vacant*")*12</f>
        <v>0</v>
      </c>
      <c r="D30" s="931" t="s">
        <v>1139</v>
      </c>
      <c r="E30" s="931"/>
      <c r="F30" s="931"/>
      <c r="G30" s="931"/>
      <c r="H30" s="931"/>
      <c r="I30" s="931"/>
      <c r="J30" s="931"/>
      <c r="K30" s="931"/>
      <c r="L30" s="931"/>
      <c r="M30" s="931"/>
      <c r="N30" s="931"/>
      <c r="O30" s="931"/>
      <c r="P30" s="931"/>
      <c r="Q30" s="931"/>
      <c r="R30" s="931"/>
      <c r="S30" s="931"/>
      <c r="T30" s="931"/>
      <c r="U30" s="931"/>
      <c r="V30" s="931"/>
    </row>
    <row r="31" spans="1:22" ht="15" customHeight="1" outlineLevel="1" x14ac:dyDescent="0.2">
      <c r="A31" s="106" t="s">
        <v>1140</v>
      </c>
      <c r="B31" s="256">
        <f>SUMIFS(N273:N1772,G273:G1772,TRUE())*12</f>
        <v>0</v>
      </c>
      <c r="D31" s="931" t="s">
        <v>1141</v>
      </c>
      <c r="E31" s="931"/>
      <c r="F31" s="931"/>
      <c r="G31" s="931"/>
      <c r="H31" s="931"/>
      <c r="I31" s="931"/>
      <c r="J31" s="931"/>
      <c r="K31" s="931"/>
      <c r="L31" s="931"/>
      <c r="M31" s="931"/>
      <c r="N31" s="931"/>
      <c r="O31" s="931"/>
      <c r="P31" s="931"/>
      <c r="Q31" s="931"/>
      <c r="R31" s="931"/>
      <c r="S31" s="931"/>
      <c r="T31" s="931"/>
      <c r="U31" s="931"/>
      <c r="V31" s="931"/>
    </row>
    <row r="32" spans="1:22" ht="15" customHeight="1" outlineLevel="1" x14ac:dyDescent="0.2">
      <c r="A32" s="112" t="s">
        <v>1142</v>
      </c>
      <c r="B32" s="291">
        <f>B26-IF(B28&gt;0,B28,0)+B30-B31</f>
        <v>0</v>
      </c>
      <c r="C32" s="296">
        <f>IFERROR(B32/'Prop Info'!$B$6/12,0)</f>
        <v>0</v>
      </c>
      <c r="D32" s="931" t="s">
        <v>1143</v>
      </c>
      <c r="E32" s="931"/>
      <c r="F32" s="931"/>
      <c r="G32" s="931"/>
      <c r="H32" s="931"/>
      <c r="I32" s="931"/>
      <c r="J32" s="931"/>
      <c r="K32" s="931"/>
      <c r="L32" s="931"/>
      <c r="M32" s="931"/>
      <c r="N32" s="931"/>
      <c r="O32" s="931"/>
      <c r="P32" s="931"/>
      <c r="Q32" s="931"/>
      <c r="R32" s="931"/>
      <c r="S32" s="931"/>
      <c r="T32" s="931"/>
      <c r="U32" s="931"/>
      <c r="V32" s="931"/>
    </row>
    <row r="33" spans="1:22" ht="15" customHeight="1" outlineLevel="1" x14ac:dyDescent="0.2">
      <c r="A33" s="112" t="s">
        <v>1144</v>
      </c>
      <c r="B33" s="365">
        <f>IFERROR(B32/B26,0)</f>
        <v>0</v>
      </c>
      <c r="D33" s="931" t="s">
        <v>1145</v>
      </c>
      <c r="E33" s="931"/>
      <c r="F33" s="931"/>
      <c r="G33" s="931"/>
      <c r="H33" s="931"/>
      <c r="I33" s="931"/>
      <c r="J33" s="931"/>
      <c r="K33" s="931"/>
      <c r="L33" s="931"/>
      <c r="M33" s="931"/>
      <c r="N33" s="931"/>
      <c r="O33" s="931"/>
      <c r="P33" s="931"/>
      <c r="Q33" s="931"/>
      <c r="R33" s="931"/>
      <c r="S33" s="931"/>
      <c r="T33" s="931"/>
      <c r="U33" s="931"/>
      <c r="V33" s="931"/>
    </row>
    <row r="34" spans="1:22" ht="15" customHeight="1" outlineLevel="1" x14ac:dyDescent="0.2">
      <c r="A34" s="106" t="s">
        <v>1146</v>
      </c>
      <c r="B34" s="366">
        <f>SUMIFS(N273:N1772,E273:E1772,"Occupied*")*12</f>
        <v>0</v>
      </c>
      <c r="C34" s="366">
        <f>IFERROR(B34/COUNTIF(E273:E1772,"Occupied*")/12,0)</f>
        <v>0</v>
      </c>
      <c r="D34" s="248" t="s">
        <v>1147</v>
      </c>
    </row>
    <row r="35" spans="1:22" ht="15" customHeight="1" outlineLevel="1" x14ac:dyDescent="0.2">
      <c r="A35" s="106" t="s">
        <v>1148</v>
      </c>
      <c r="B35" s="367">
        <f>'T-12 Analysis'!O58</f>
        <v>0</v>
      </c>
      <c r="C35" s="367">
        <f>IFERROR(B35/'Prop Info'!$B$6/12,0)</f>
        <v>0</v>
      </c>
      <c r="D35" s="248" t="s">
        <v>1149</v>
      </c>
    </row>
    <row r="36" spans="1:22" ht="21.75" customHeight="1" x14ac:dyDescent="0.2">
      <c r="A36" s="929" t="s">
        <v>1150</v>
      </c>
      <c r="B36" s="929"/>
      <c r="C36" s="929"/>
      <c r="D36" s="929"/>
      <c r="E36" s="929"/>
      <c r="F36" s="929"/>
      <c r="G36" s="929"/>
      <c r="H36" s="929"/>
      <c r="I36" s="929"/>
      <c r="J36" s="929"/>
      <c r="K36" s="929"/>
      <c r="L36" s="929"/>
      <c r="M36" s="929"/>
      <c r="N36" s="929"/>
      <c r="O36" s="929"/>
      <c r="P36" s="929"/>
      <c r="Q36" s="929"/>
      <c r="R36" s="929"/>
      <c r="S36" s="929"/>
      <c r="T36" s="929"/>
      <c r="U36" s="929"/>
      <c r="V36" s="929"/>
    </row>
    <row r="37" spans="1:22" ht="15" customHeight="1" outlineLevel="1" x14ac:dyDescent="0.2">
      <c r="A37" s="931" t="s">
        <v>1151</v>
      </c>
      <c r="B37" s="931"/>
      <c r="C37" s="931"/>
      <c r="D37" s="931"/>
      <c r="E37" s="931"/>
      <c r="F37" s="931"/>
      <c r="G37" s="931"/>
      <c r="H37" s="931"/>
      <c r="I37" s="931"/>
      <c r="J37" s="931"/>
      <c r="K37" s="931"/>
      <c r="L37" s="931"/>
      <c r="M37" s="931"/>
      <c r="N37" s="931"/>
      <c r="O37" s="931"/>
      <c r="P37" s="931"/>
      <c r="Q37" s="931"/>
      <c r="R37" s="931"/>
      <c r="S37" s="931"/>
      <c r="T37" s="931"/>
      <c r="U37" s="931"/>
      <c r="V37" s="931"/>
    </row>
    <row r="38" spans="1:22" ht="27.75" customHeight="1" outlineLevel="1" x14ac:dyDescent="0.2">
      <c r="A38" s="116" t="s">
        <v>1152</v>
      </c>
      <c r="B38" s="116" t="s">
        <v>1153</v>
      </c>
      <c r="C38" s="116" t="s">
        <v>1154</v>
      </c>
      <c r="D38" s="116" t="s">
        <v>1155</v>
      </c>
      <c r="E38" s="116" t="s">
        <v>1156</v>
      </c>
      <c r="F38" s="116" t="s">
        <v>1157</v>
      </c>
      <c r="G38" s="116" t="s">
        <v>1158</v>
      </c>
    </row>
    <row r="39" spans="1:22" ht="15" customHeight="1" outlineLevel="1" x14ac:dyDescent="0.2">
      <c r="A39" s="288" t="str">
        <f ca="1">TEXT(EDATE(TODAY(),0),"mmm yyyy")</f>
        <v>Jun 2026</v>
      </c>
      <c r="B39" s="354">
        <f ca="1">SUMPRODUCT((J273:J1772&gt;=DATE(YEAR(EDATE(TODAY(),0)),MONTH(EDATE(TODAY(),0)),1))*(J273:J1772&lt;DATE(YEAR(EDATE(TODAY(),1)),MONTH(EDATE(TODAY(),1)),1))*1)</f>
        <v>0</v>
      </c>
      <c r="C39" s="252">
        <f ca="1">IFERROR(B39/COUNTIF(E273:E1772,"Occupied*"),0)</f>
        <v>0</v>
      </c>
      <c r="D39" s="256">
        <f ca="1">SUMPRODUCT((J273:J1772&gt;=DATE(YEAR(EDATE(TODAY(),0)),MONTH(EDATE(TODAY(),0)),1))*(J273:J1772&lt;DATE(YEAR(EDATE(TODAY(),1)),MONTH(EDATE(TODAY(),1)),1))*(N273:N1772))</f>
        <v>0</v>
      </c>
      <c r="E39" s="256">
        <f ca="1">SUMPRODUCT((J273:J1772&gt;=DATE(YEAR(EDATE(TODAY(),0)),MONTH(EDATE(TODAY(),0)),1))*(J273:J1772&lt;DATE(YEAR(EDATE(TODAY(),1)),MONTH(EDATE(TODAY(),1)),1))*(L273:L1772))</f>
        <v>0</v>
      </c>
      <c r="F39" s="256">
        <f t="shared" ref="F39:F62" ca="1" si="0">E39-D39</f>
        <v>0</v>
      </c>
      <c r="G39" s="252">
        <f ca="1">C39</f>
        <v>0</v>
      </c>
    </row>
    <row r="40" spans="1:22" ht="15" customHeight="1" outlineLevel="1" x14ac:dyDescent="0.2">
      <c r="A40" s="288" t="str">
        <f ca="1">TEXT(EDATE(TODAY(),1),"mmm yyyy")</f>
        <v>Jul 2026</v>
      </c>
      <c r="B40" s="354">
        <f ca="1">SUMPRODUCT((J273:J1772&gt;=DATE(YEAR(EDATE(TODAY(),1)),MONTH(EDATE(TODAY(),1)),1))*(J273:J1772&lt;DATE(YEAR(EDATE(TODAY(),2)),MONTH(EDATE(TODAY(),2)),1))*1)</f>
        <v>0</v>
      </c>
      <c r="C40" s="252">
        <f ca="1">IFERROR(B40/COUNTIF(E273:E1772,"Occupied*"),0)</f>
        <v>0</v>
      </c>
      <c r="D40" s="256">
        <f ca="1">SUMPRODUCT((J273:J1772&gt;=DATE(YEAR(EDATE(TODAY(),1)),MONTH(EDATE(TODAY(),1)),1))*(J273:J1772&lt;DATE(YEAR(EDATE(TODAY(),2)),MONTH(EDATE(TODAY(),2)),1))*(N273:N1772))</f>
        <v>0</v>
      </c>
      <c r="E40" s="256">
        <f ca="1">SUMPRODUCT((J273:J1772&gt;=DATE(YEAR(EDATE(TODAY(),1)),MONTH(EDATE(TODAY(),1)),1))*(J273:J1772&lt;DATE(YEAR(EDATE(TODAY(),2)),MONTH(EDATE(TODAY(),2)),1))*(L273:L1772))</f>
        <v>0</v>
      </c>
      <c r="F40" s="256">
        <f t="shared" ca="1" si="0"/>
        <v>0</v>
      </c>
      <c r="G40" s="252">
        <f t="shared" ref="G40:G62" ca="1" si="1">G39+C40</f>
        <v>0</v>
      </c>
    </row>
    <row r="41" spans="1:22" ht="15" customHeight="1" outlineLevel="1" x14ac:dyDescent="0.2">
      <c r="A41" s="288" t="str">
        <f ca="1">TEXT(EDATE(TODAY(),2),"mmm yyyy")</f>
        <v>Aug 2026</v>
      </c>
      <c r="B41" s="354">
        <f ca="1">SUMPRODUCT((J273:J1772&gt;=DATE(YEAR(EDATE(TODAY(),2)),MONTH(EDATE(TODAY(),2)),1))*(J273:J1772&lt;DATE(YEAR(EDATE(TODAY(),3)),MONTH(EDATE(TODAY(),3)),1))*1)</f>
        <v>0</v>
      </c>
      <c r="C41" s="252">
        <f ca="1">IFERROR(B41/COUNTIF(E273:E1772,"Occupied*"),0)</f>
        <v>0</v>
      </c>
      <c r="D41" s="256">
        <f ca="1">SUMPRODUCT((J273:J1772&gt;=DATE(YEAR(EDATE(TODAY(),2)),MONTH(EDATE(TODAY(),2)),1))*(J273:J1772&lt;DATE(YEAR(EDATE(TODAY(),3)),MONTH(EDATE(TODAY(),3)),1))*(N273:N1772))</f>
        <v>0</v>
      </c>
      <c r="E41" s="256">
        <f ca="1">SUMPRODUCT((J273:J1772&gt;=DATE(YEAR(EDATE(TODAY(),2)),MONTH(EDATE(TODAY(),2)),1))*(J273:J1772&lt;DATE(YEAR(EDATE(TODAY(),3)),MONTH(EDATE(TODAY(),3)),1))*(L273:L1772))</f>
        <v>0</v>
      </c>
      <c r="F41" s="256">
        <f t="shared" ca="1" si="0"/>
        <v>0</v>
      </c>
      <c r="G41" s="252">
        <f t="shared" ca="1" si="1"/>
        <v>0</v>
      </c>
    </row>
    <row r="42" spans="1:22" ht="15" customHeight="1" outlineLevel="1" x14ac:dyDescent="0.2">
      <c r="A42" s="288" t="str">
        <f ca="1">TEXT(EDATE(TODAY(),3),"mmm yyyy")</f>
        <v>Sep 2026</v>
      </c>
      <c r="B42" s="354">
        <f ca="1">SUMPRODUCT((J273:J1772&gt;=DATE(YEAR(EDATE(TODAY(),3)),MONTH(EDATE(TODAY(),3)),1))*(J273:J1772&lt;DATE(YEAR(EDATE(TODAY(),4)),MONTH(EDATE(TODAY(),4)),1))*1)</f>
        <v>0</v>
      </c>
      <c r="C42" s="252">
        <f ca="1">IFERROR(B42/COUNTIF(E273:E1772,"Occupied*"),0)</f>
        <v>0</v>
      </c>
      <c r="D42" s="256">
        <f ca="1">SUMPRODUCT((J273:J1772&gt;=DATE(YEAR(EDATE(TODAY(),3)),MONTH(EDATE(TODAY(),3)),1))*(J273:J1772&lt;DATE(YEAR(EDATE(TODAY(),4)),MONTH(EDATE(TODAY(),4)),1))*(N273:N1772))</f>
        <v>0</v>
      </c>
      <c r="E42" s="256">
        <f ca="1">SUMPRODUCT((J273:J1772&gt;=DATE(YEAR(EDATE(TODAY(),3)),MONTH(EDATE(TODAY(),3)),1))*(J273:J1772&lt;DATE(YEAR(EDATE(TODAY(),4)),MONTH(EDATE(TODAY(),4)),1))*(L273:L1772))</f>
        <v>0</v>
      </c>
      <c r="F42" s="256">
        <f t="shared" ca="1" si="0"/>
        <v>0</v>
      </c>
      <c r="G42" s="252">
        <f t="shared" ca="1" si="1"/>
        <v>0</v>
      </c>
    </row>
    <row r="43" spans="1:22" ht="15" customHeight="1" outlineLevel="1" x14ac:dyDescent="0.2">
      <c r="A43" s="288" t="str">
        <f ca="1">TEXT(EDATE(TODAY(),4),"mmm yyyy")</f>
        <v>Oct 2026</v>
      </c>
      <c r="B43" s="354">
        <f ca="1">SUMPRODUCT((J273:J1772&gt;=DATE(YEAR(EDATE(TODAY(),4)),MONTH(EDATE(TODAY(),4)),1))*(J273:J1772&lt;DATE(YEAR(EDATE(TODAY(),5)),MONTH(EDATE(TODAY(),5)),1))*1)</f>
        <v>0</v>
      </c>
      <c r="C43" s="252">
        <f ca="1">IFERROR(B43/COUNTIF(E273:E1772,"Occupied*"),0)</f>
        <v>0</v>
      </c>
      <c r="D43" s="256">
        <f ca="1">SUMPRODUCT((J273:J1772&gt;=DATE(YEAR(EDATE(TODAY(),4)),MONTH(EDATE(TODAY(),4)),1))*(J273:J1772&lt;DATE(YEAR(EDATE(TODAY(),5)),MONTH(EDATE(TODAY(),5)),1))*(N273:N1772))</f>
        <v>0</v>
      </c>
      <c r="E43" s="256">
        <f ca="1">SUMPRODUCT((J273:J1772&gt;=DATE(YEAR(EDATE(TODAY(),4)),MONTH(EDATE(TODAY(),4)),1))*(J273:J1772&lt;DATE(YEAR(EDATE(TODAY(),5)),MONTH(EDATE(TODAY(),5)),1))*(L273:L1772))</f>
        <v>0</v>
      </c>
      <c r="F43" s="256">
        <f t="shared" ca="1" si="0"/>
        <v>0</v>
      </c>
      <c r="G43" s="252">
        <f t="shared" ca="1" si="1"/>
        <v>0</v>
      </c>
    </row>
    <row r="44" spans="1:22" ht="15" customHeight="1" outlineLevel="1" x14ac:dyDescent="0.2">
      <c r="A44" s="288" t="str">
        <f ca="1">TEXT(EDATE(TODAY(),5),"mmm yyyy")</f>
        <v>Nov 2026</v>
      </c>
      <c r="B44" s="354">
        <f ca="1">SUMPRODUCT((J273:J1772&gt;=DATE(YEAR(EDATE(TODAY(),5)),MONTH(EDATE(TODAY(),5)),1))*(J273:J1772&lt;DATE(YEAR(EDATE(TODAY(),6)),MONTH(EDATE(TODAY(),6)),1))*1)</f>
        <v>0</v>
      </c>
      <c r="C44" s="252">
        <f ca="1">IFERROR(B44/COUNTIF(E273:E1772,"Occupied*"),0)</f>
        <v>0</v>
      </c>
      <c r="D44" s="256">
        <f ca="1">SUMPRODUCT((J273:J1772&gt;=DATE(YEAR(EDATE(TODAY(),5)),MONTH(EDATE(TODAY(),5)),1))*(J273:J1772&lt;DATE(YEAR(EDATE(TODAY(),6)),MONTH(EDATE(TODAY(),6)),1))*(N273:N1772))</f>
        <v>0</v>
      </c>
      <c r="E44" s="256">
        <f ca="1">SUMPRODUCT((J273:J1772&gt;=DATE(YEAR(EDATE(TODAY(),5)),MONTH(EDATE(TODAY(),5)),1))*(J273:J1772&lt;DATE(YEAR(EDATE(TODAY(),6)),MONTH(EDATE(TODAY(),6)),1))*(L273:L1772))</f>
        <v>0</v>
      </c>
      <c r="F44" s="256">
        <f t="shared" ca="1" si="0"/>
        <v>0</v>
      </c>
      <c r="G44" s="252">
        <f t="shared" ca="1" si="1"/>
        <v>0</v>
      </c>
    </row>
    <row r="45" spans="1:22" ht="15" customHeight="1" outlineLevel="1" x14ac:dyDescent="0.2">
      <c r="A45" s="288" t="str">
        <f ca="1">TEXT(EDATE(TODAY(),6),"mmm yyyy")</f>
        <v>Dec 2026</v>
      </c>
      <c r="B45" s="354">
        <f ca="1">SUMPRODUCT((J273:J1772&gt;=DATE(YEAR(EDATE(TODAY(),6)),MONTH(EDATE(TODAY(),6)),1))*(J273:J1772&lt;DATE(YEAR(EDATE(TODAY(),7)),MONTH(EDATE(TODAY(),7)),1))*1)</f>
        <v>0</v>
      </c>
      <c r="C45" s="252">
        <f ca="1">IFERROR(B45/COUNTIF(E273:E1772,"Occupied*"),0)</f>
        <v>0</v>
      </c>
      <c r="D45" s="256">
        <f ca="1">SUMPRODUCT((J273:J1772&gt;=DATE(YEAR(EDATE(TODAY(),6)),MONTH(EDATE(TODAY(),6)),1))*(J273:J1772&lt;DATE(YEAR(EDATE(TODAY(),7)),MONTH(EDATE(TODAY(),7)),1))*(N273:N1772))</f>
        <v>0</v>
      </c>
      <c r="E45" s="256">
        <f ca="1">SUMPRODUCT((J273:J1772&gt;=DATE(YEAR(EDATE(TODAY(),6)),MONTH(EDATE(TODAY(),6)),1))*(J273:J1772&lt;DATE(YEAR(EDATE(TODAY(),7)),MONTH(EDATE(TODAY(),7)),1))*(L273:L1772))</f>
        <v>0</v>
      </c>
      <c r="F45" s="256">
        <f t="shared" ca="1" si="0"/>
        <v>0</v>
      </c>
      <c r="G45" s="252">
        <f t="shared" ca="1" si="1"/>
        <v>0</v>
      </c>
    </row>
    <row r="46" spans="1:22" ht="15" customHeight="1" outlineLevel="1" x14ac:dyDescent="0.2">
      <c r="A46" s="288" t="str">
        <f ca="1">TEXT(EDATE(TODAY(),7),"mmm yyyy")</f>
        <v>Jan 2027</v>
      </c>
      <c r="B46" s="354">
        <f ca="1">SUMPRODUCT((J273:J1772&gt;=DATE(YEAR(EDATE(TODAY(),7)),MONTH(EDATE(TODAY(),7)),1))*(J273:J1772&lt;DATE(YEAR(EDATE(TODAY(),8)),MONTH(EDATE(TODAY(),8)),1))*1)</f>
        <v>0</v>
      </c>
      <c r="C46" s="252">
        <f ca="1">IFERROR(B46/COUNTIF(E273:E1772,"Occupied*"),0)</f>
        <v>0</v>
      </c>
      <c r="D46" s="256">
        <f ca="1">SUMPRODUCT((J273:J1772&gt;=DATE(YEAR(EDATE(TODAY(),7)),MONTH(EDATE(TODAY(),7)),1))*(J273:J1772&lt;DATE(YEAR(EDATE(TODAY(),8)),MONTH(EDATE(TODAY(),8)),1))*(N273:N1772))</f>
        <v>0</v>
      </c>
      <c r="E46" s="256">
        <f ca="1">SUMPRODUCT((J273:J1772&gt;=DATE(YEAR(EDATE(TODAY(),7)),MONTH(EDATE(TODAY(),7)),1))*(J273:J1772&lt;DATE(YEAR(EDATE(TODAY(),8)),MONTH(EDATE(TODAY(),8)),1))*(L273:L1772))</f>
        <v>0</v>
      </c>
      <c r="F46" s="256">
        <f t="shared" ca="1" si="0"/>
        <v>0</v>
      </c>
      <c r="G46" s="252">
        <f t="shared" ca="1" si="1"/>
        <v>0</v>
      </c>
    </row>
    <row r="47" spans="1:22" ht="15" customHeight="1" outlineLevel="1" x14ac:dyDescent="0.2">
      <c r="A47" s="288" t="str">
        <f ca="1">TEXT(EDATE(TODAY(),8),"mmm yyyy")</f>
        <v>Feb 2027</v>
      </c>
      <c r="B47" s="354">
        <f ca="1">SUMPRODUCT((J273:J1772&gt;=DATE(YEAR(EDATE(TODAY(),8)),MONTH(EDATE(TODAY(),8)),1))*(J273:J1772&lt;DATE(YEAR(EDATE(TODAY(),9)),MONTH(EDATE(TODAY(),9)),1))*1)</f>
        <v>0</v>
      </c>
      <c r="C47" s="252">
        <f ca="1">IFERROR(B47/COUNTIF(E273:E1772,"Occupied*"),0)</f>
        <v>0</v>
      </c>
      <c r="D47" s="256">
        <f ca="1">SUMPRODUCT((J273:J1772&gt;=DATE(YEAR(EDATE(TODAY(),8)),MONTH(EDATE(TODAY(),8)),1))*(J273:J1772&lt;DATE(YEAR(EDATE(TODAY(),9)),MONTH(EDATE(TODAY(),9)),1))*(N273:N1772))</f>
        <v>0</v>
      </c>
      <c r="E47" s="256">
        <f ca="1">SUMPRODUCT((J273:J1772&gt;=DATE(YEAR(EDATE(TODAY(),8)),MONTH(EDATE(TODAY(),8)),1))*(J273:J1772&lt;DATE(YEAR(EDATE(TODAY(),9)),MONTH(EDATE(TODAY(),9)),1))*(L273:L1772))</f>
        <v>0</v>
      </c>
      <c r="F47" s="256">
        <f t="shared" ca="1" si="0"/>
        <v>0</v>
      </c>
      <c r="G47" s="252">
        <f t="shared" ca="1" si="1"/>
        <v>0</v>
      </c>
    </row>
    <row r="48" spans="1:22" ht="15" customHeight="1" outlineLevel="1" x14ac:dyDescent="0.2">
      <c r="A48" s="288" t="str">
        <f ca="1">TEXT(EDATE(TODAY(),9),"mmm yyyy")</f>
        <v>Mar 2027</v>
      </c>
      <c r="B48" s="354">
        <f ca="1">SUMPRODUCT((J273:J1772&gt;=DATE(YEAR(EDATE(TODAY(),9)),MONTH(EDATE(TODAY(),9)),1))*(J273:J1772&lt;DATE(YEAR(EDATE(TODAY(),10)),MONTH(EDATE(TODAY(),10)),1))*1)</f>
        <v>0</v>
      </c>
      <c r="C48" s="252">
        <f ca="1">IFERROR(B48/COUNTIF(E273:E1772,"Occupied*"),0)</f>
        <v>0</v>
      </c>
      <c r="D48" s="256">
        <f ca="1">SUMPRODUCT((J273:J1772&gt;=DATE(YEAR(EDATE(TODAY(),9)),MONTH(EDATE(TODAY(),9)),1))*(J273:J1772&lt;DATE(YEAR(EDATE(TODAY(),10)),MONTH(EDATE(TODAY(),10)),1))*(N273:N1772))</f>
        <v>0</v>
      </c>
      <c r="E48" s="256">
        <f ca="1">SUMPRODUCT((J273:J1772&gt;=DATE(YEAR(EDATE(TODAY(),9)),MONTH(EDATE(TODAY(),9)),1))*(J273:J1772&lt;DATE(YEAR(EDATE(TODAY(),10)),MONTH(EDATE(TODAY(),10)),1))*(L273:L1772))</f>
        <v>0</v>
      </c>
      <c r="F48" s="256">
        <f t="shared" ca="1" si="0"/>
        <v>0</v>
      </c>
      <c r="G48" s="252">
        <f t="shared" ca="1" si="1"/>
        <v>0</v>
      </c>
    </row>
    <row r="49" spans="1:7" ht="15" customHeight="1" outlineLevel="1" x14ac:dyDescent="0.2">
      <c r="A49" s="288" t="str">
        <f ca="1">TEXT(EDATE(TODAY(),10),"mmm yyyy")</f>
        <v>Apr 2027</v>
      </c>
      <c r="B49" s="354">
        <f ca="1">SUMPRODUCT((J273:J1772&gt;=DATE(YEAR(EDATE(TODAY(),10)),MONTH(EDATE(TODAY(),10)),1))*(J273:J1772&lt;DATE(YEAR(EDATE(TODAY(),11)),MONTH(EDATE(TODAY(),11)),1))*1)</f>
        <v>0</v>
      </c>
      <c r="C49" s="252">
        <f ca="1">IFERROR(B49/COUNTIF(E273:E1772,"Occupied*"),0)</f>
        <v>0</v>
      </c>
      <c r="D49" s="256">
        <f ca="1">SUMPRODUCT((J273:J1772&gt;=DATE(YEAR(EDATE(TODAY(),10)),MONTH(EDATE(TODAY(),10)),1))*(J273:J1772&lt;DATE(YEAR(EDATE(TODAY(),11)),MONTH(EDATE(TODAY(),11)),1))*(N273:N1772))</f>
        <v>0</v>
      </c>
      <c r="E49" s="256">
        <f ca="1">SUMPRODUCT((J273:J1772&gt;=DATE(YEAR(EDATE(TODAY(),10)),MONTH(EDATE(TODAY(),10)),1))*(J273:J1772&lt;DATE(YEAR(EDATE(TODAY(),11)),MONTH(EDATE(TODAY(),11)),1))*(L273:L1772))</f>
        <v>0</v>
      </c>
      <c r="F49" s="256">
        <f t="shared" ca="1" si="0"/>
        <v>0</v>
      </c>
      <c r="G49" s="252">
        <f t="shared" ca="1" si="1"/>
        <v>0</v>
      </c>
    </row>
    <row r="50" spans="1:7" ht="15" customHeight="1" outlineLevel="1" x14ac:dyDescent="0.2">
      <c r="A50" s="288" t="str">
        <f ca="1">TEXT(EDATE(TODAY(),11),"mmm yyyy")</f>
        <v>May 2027</v>
      </c>
      <c r="B50" s="354">
        <f ca="1">SUMPRODUCT((J273:J1772&gt;=DATE(YEAR(EDATE(TODAY(),11)),MONTH(EDATE(TODAY(),11)),1))*(J273:J1772&lt;DATE(YEAR(EDATE(TODAY(),12)),MONTH(EDATE(TODAY(),12)),1))*1)</f>
        <v>0</v>
      </c>
      <c r="C50" s="252">
        <f ca="1">IFERROR(B50/COUNTIF(E273:E1772,"Occupied*"),0)</f>
        <v>0</v>
      </c>
      <c r="D50" s="256">
        <f ca="1">SUMPRODUCT((J273:J1772&gt;=DATE(YEAR(EDATE(TODAY(),11)),MONTH(EDATE(TODAY(),11)),1))*(J273:J1772&lt;DATE(YEAR(EDATE(TODAY(),12)),MONTH(EDATE(TODAY(),12)),1))*(N273:N1772))</f>
        <v>0</v>
      </c>
      <c r="E50" s="256">
        <f ca="1">SUMPRODUCT((J273:J1772&gt;=DATE(YEAR(EDATE(TODAY(),11)),MONTH(EDATE(TODAY(),11)),1))*(J273:J1772&lt;DATE(YEAR(EDATE(TODAY(),12)),MONTH(EDATE(TODAY(),12)),1))*(L273:L1772))</f>
        <v>0</v>
      </c>
      <c r="F50" s="256">
        <f t="shared" ca="1" si="0"/>
        <v>0</v>
      </c>
      <c r="G50" s="252">
        <f t="shared" ca="1" si="1"/>
        <v>0</v>
      </c>
    </row>
    <row r="51" spans="1:7" ht="15" customHeight="1" outlineLevel="1" x14ac:dyDescent="0.2">
      <c r="A51" s="288" t="str">
        <f ca="1">TEXT(EDATE(TODAY(),12),"mmm yyyy")</f>
        <v>Jun 2027</v>
      </c>
      <c r="B51" s="354">
        <f ca="1">SUMPRODUCT((J273:J1772&gt;=DATE(YEAR(EDATE(TODAY(),12)),MONTH(EDATE(TODAY(),12)),1))*(J273:J1772&lt;DATE(YEAR(EDATE(TODAY(),13)),MONTH(EDATE(TODAY(),13)),1))*1)</f>
        <v>0</v>
      </c>
      <c r="C51" s="252">
        <f ca="1">IFERROR(B51/COUNTIF(E273:E1772,"Occupied*"),0)</f>
        <v>0</v>
      </c>
      <c r="D51" s="256">
        <f ca="1">SUMPRODUCT((J273:J1772&gt;=DATE(YEAR(EDATE(TODAY(),12)),MONTH(EDATE(TODAY(),12)),1))*(J273:J1772&lt;DATE(YEAR(EDATE(TODAY(),13)),MONTH(EDATE(TODAY(),13)),1))*(N273:N1772))</f>
        <v>0</v>
      </c>
      <c r="E51" s="256">
        <f ca="1">SUMPRODUCT((J273:J1772&gt;=DATE(YEAR(EDATE(TODAY(),12)),MONTH(EDATE(TODAY(),12)),1))*(J273:J1772&lt;DATE(YEAR(EDATE(TODAY(),13)),MONTH(EDATE(TODAY(),13)),1))*(L273:L1772))</f>
        <v>0</v>
      </c>
      <c r="F51" s="256">
        <f t="shared" ca="1" si="0"/>
        <v>0</v>
      </c>
      <c r="G51" s="252">
        <f t="shared" ca="1" si="1"/>
        <v>0</v>
      </c>
    </row>
    <row r="52" spans="1:7" ht="15" customHeight="1" outlineLevel="1" x14ac:dyDescent="0.2">
      <c r="A52" s="288" t="str">
        <f ca="1">TEXT(EDATE(TODAY(),13),"mmm yyyy")</f>
        <v>Jul 2027</v>
      </c>
      <c r="B52" s="354">
        <f ca="1">SUMPRODUCT((J273:J1772&gt;=DATE(YEAR(EDATE(TODAY(),13)),MONTH(EDATE(TODAY(),13)),1))*(J273:J1772&lt;DATE(YEAR(EDATE(TODAY(),14)),MONTH(EDATE(TODAY(),14)),1))*1)</f>
        <v>0</v>
      </c>
      <c r="C52" s="252">
        <f ca="1">IFERROR(B52/COUNTIF(E273:E1772,"Occupied*"),0)</f>
        <v>0</v>
      </c>
      <c r="D52" s="256">
        <f ca="1">SUMPRODUCT((J273:J1772&gt;=DATE(YEAR(EDATE(TODAY(),13)),MONTH(EDATE(TODAY(),13)),1))*(J273:J1772&lt;DATE(YEAR(EDATE(TODAY(),14)),MONTH(EDATE(TODAY(),14)),1))*(N273:N1772))</f>
        <v>0</v>
      </c>
      <c r="E52" s="256">
        <f ca="1">SUMPRODUCT((J273:J1772&gt;=DATE(YEAR(EDATE(TODAY(),13)),MONTH(EDATE(TODAY(),13)),1))*(J273:J1772&lt;DATE(YEAR(EDATE(TODAY(),14)),MONTH(EDATE(TODAY(),14)),1))*(L273:L1772))</f>
        <v>0</v>
      </c>
      <c r="F52" s="256">
        <f t="shared" ca="1" si="0"/>
        <v>0</v>
      </c>
      <c r="G52" s="252">
        <f t="shared" ca="1" si="1"/>
        <v>0</v>
      </c>
    </row>
    <row r="53" spans="1:7" ht="15" customHeight="1" outlineLevel="1" x14ac:dyDescent="0.2">
      <c r="A53" s="288" t="str">
        <f ca="1">TEXT(EDATE(TODAY(),14),"mmm yyyy")</f>
        <v>Aug 2027</v>
      </c>
      <c r="B53" s="354">
        <f ca="1">SUMPRODUCT((J273:J1772&gt;=DATE(YEAR(EDATE(TODAY(),14)),MONTH(EDATE(TODAY(),14)),1))*(J273:J1772&lt;DATE(YEAR(EDATE(TODAY(),15)),MONTH(EDATE(TODAY(),15)),1))*1)</f>
        <v>0</v>
      </c>
      <c r="C53" s="252">
        <f ca="1">IFERROR(B53/COUNTIF(E273:E1772,"Occupied*"),0)</f>
        <v>0</v>
      </c>
      <c r="D53" s="256">
        <f ca="1">SUMPRODUCT((J273:J1772&gt;=DATE(YEAR(EDATE(TODAY(),14)),MONTH(EDATE(TODAY(),14)),1))*(J273:J1772&lt;DATE(YEAR(EDATE(TODAY(),15)),MONTH(EDATE(TODAY(),15)),1))*(N273:N1772))</f>
        <v>0</v>
      </c>
      <c r="E53" s="256">
        <f ca="1">SUMPRODUCT((J273:J1772&gt;=DATE(YEAR(EDATE(TODAY(),14)),MONTH(EDATE(TODAY(),14)),1))*(J273:J1772&lt;DATE(YEAR(EDATE(TODAY(),15)),MONTH(EDATE(TODAY(),15)),1))*(L273:L1772))</f>
        <v>0</v>
      </c>
      <c r="F53" s="256">
        <f t="shared" ca="1" si="0"/>
        <v>0</v>
      </c>
      <c r="G53" s="252">
        <f t="shared" ca="1" si="1"/>
        <v>0</v>
      </c>
    </row>
    <row r="54" spans="1:7" ht="15" customHeight="1" outlineLevel="1" x14ac:dyDescent="0.2">
      <c r="A54" s="288" t="str">
        <f ca="1">TEXT(EDATE(TODAY(),15),"mmm yyyy")</f>
        <v>Sep 2027</v>
      </c>
      <c r="B54" s="354">
        <f ca="1">SUMPRODUCT((J273:J1772&gt;=DATE(YEAR(EDATE(TODAY(),15)),MONTH(EDATE(TODAY(),15)),1))*(J273:J1772&lt;DATE(YEAR(EDATE(TODAY(),16)),MONTH(EDATE(TODAY(),16)),1))*1)</f>
        <v>0</v>
      </c>
      <c r="C54" s="252">
        <f ca="1">IFERROR(B54/COUNTIF(E273:E1772,"Occupied*"),0)</f>
        <v>0</v>
      </c>
      <c r="D54" s="256">
        <f ca="1">SUMPRODUCT((J273:J1772&gt;=DATE(YEAR(EDATE(TODAY(),15)),MONTH(EDATE(TODAY(),15)),1))*(J273:J1772&lt;DATE(YEAR(EDATE(TODAY(),16)),MONTH(EDATE(TODAY(),16)),1))*(N273:N1772))</f>
        <v>0</v>
      </c>
      <c r="E54" s="256">
        <f ca="1">SUMPRODUCT((J273:J1772&gt;=DATE(YEAR(EDATE(TODAY(),15)),MONTH(EDATE(TODAY(),15)),1))*(J273:J1772&lt;DATE(YEAR(EDATE(TODAY(),16)),MONTH(EDATE(TODAY(),16)),1))*(L273:L1772))</f>
        <v>0</v>
      </c>
      <c r="F54" s="256">
        <f t="shared" ca="1" si="0"/>
        <v>0</v>
      </c>
      <c r="G54" s="252">
        <f t="shared" ca="1" si="1"/>
        <v>0</v>
      </c>
    </row>
    <row r="55" spans="1:7" ht="15" customHeight="1" outlineLevel="1" x14ac:dyDescent="0.2">
      <c r="A55" s="288" t="str">
        <f ca="1">TEXT(EDATE(TODAY(),16),"mmm yyyy")</f>
        <v>Oct 2027</v>
      </c>
      <c r="B55" s="354">
        <f ca="1">SUMPRODUCT((J273:J1772&gt;=DATE(YEAR(EDATE(TODAY(),16)),MONTH(EDATE(TODAY(),16)),1))*(J273:J1772&lt;DATE(YEAR(EDATE(TODAY(),17)),MONTH(EDATE(TODAY(),17)),1))*1)</f>
        <v>0</v>
      </c>
      <c r="C55" s="252">
        <f ca="1">IFERROR(B55/COUNTIF(E273:E1772,"Occupied*"),0)</f>
        <v>0</v>
      </c>
      <c r="D55" s="256">
        <f ca="1">SUMPRODUCT((J273:J1772&gt;=DATE(YEAR(EDATE(TODAY(),16)),MONTH(EDATE(TODAY(),16)),1))*(J273:J1772&lt;DATE(YEAR(EDATE(TODAY(),17)),MONTH(EDATE(TODAY(),17)),1))*(N273:N1772))</f>
        <v>0</v>
      </c>
      <c r="E55" s="256">
        <f ca="1">SUMPRODUCT((J273:J1772&gt;=DATE(YEAR(EDATE(TODAY(),16)),MONTH(EDATE(TODAY(),16)),1))*(J273:J1772&lt;DATE(YEAR(EDATE(TODAY(),17)),MONTH(EDATE(TODAY(),17)),1))*(L273:L1772))</f>
        <v>0</v>
      </c>
      <c r="F55" s="256">
        <f t="shared" ca="1" si="0"/>
        <v>0</v>
      </c>
      <c r="G55" s="252">
        <f t="shared" ca="1" si="1"/>
        <v>0</v>
      </c>
    </row>
    <row r="56" spans="1:7" ht="15" customHeight="1" outlineLevel="1" x14ac:dyDescent="0.2">
      <c r="A56" s="288" t="str">
        <f ca="1">TEXT(EDATE(TODAY(),17),"mmm yyyy")</f>
        <v>Nov 2027</v>
      </c>
      <c r="B56" s="354">
        <f ca="1">SUMPRODUCT((J273:J1772&gt;=DATE(YEAR(EDATE(TODAY(),17)),MONTH(EDATE(TODAY(),17)),1))*(J273:J1772&lt;DATE(YEAR(EDATE(TODAY(),18)),MONTH(EDATE(TODAY(),18)),1))*1)</f>
        <v>0</v>
      </c>
      <c r="C56" s="252">
        <f ca="1">IFERROR(B56/COUNTIF(E273:E1772,"Occupied*"),0)</f>
        <v>0</v>
      </c>
      <c r="D56" s="256">
        <f ca="1">SUMPRODUCT((J273:J1772&gt;=DATE(YEAR(EDATE(TODAY(),17)),MONTH(EDATE(TODAY(),17)),1))*(J273:J1772&lt;DATE(YEAR(EDATE(TODAY(),18)),MONTH(EDATE(TODAY(),18)),1))*(N273:N1772))</f>
        <v>0</v>
      </c>
      <c r="E56" s="256">
        <f ca="1">SUMPRODUCT((J273:J1772&gt;=DATE(YEAR(EDATE(TODAY(),17)),MONTH(EDATE(TODAY(),17)),1))*(J273:J1772&lt;DATE(YEAR(EDATE(TODAY(),18)),MONTH(EDATE(TODAY(),18)),1))*(L273:L1772))</f>
        <v>0</v>
      </c>
      <c r="F56" s="256">
        <f t="shared" ca="1" si="0"/>
        <v>0</v>
      </c>
      <c r="G56" s="252">
        <f t="shared" ca="1" si="1"/>
        <v>0</v>
      </c>
    </row>
    <row r="57" spans="1:7" ht="15" customHeight="1" outlineLevel="1" x14ac:dyDescent="0.2">
      <c r="A57" s="288" t="str">
        <f ca="1">TEXT(EDATE(TODAY(),18),"mmm yyyy")</f>
        <v>Dec 2027</v>
      </c>
      <c r="B57" s="354">
        <f ca="1">SUMPRODUCT((J273:J1772&gt;=DATE(YEAR(EDATE(TODAY(),18)),MONTH(EDATE(TODAY(),18)),1))*(J273:J1772&lt;DATE(YEAR(EDATE(TODAY(),19)),MONTH(EDATE(TODAY(),19)),1))*1)</f>
        <v>0</v>
      </c>
      <c r="C57" s="252">
        <f ca="1">IFERROR(B57/COUNTIF(E273:E1772,"Occupied*"),0)</f>
        <v>0</v>
      </c>
      <c r="D57" s="256">
        <f ca="1">SUMPRODUCT((J273:J1772&gt;=DATE(YEAR(EDATE(TODAY(),18)),MONTH(EDATE(TODAY(),18)),1))*(J273:J1772&lt;DATE(YEAR(EDATE(TODAY(),19)),MONTH(EDATE(TODAY(),19)),1))*(N273:N1772))</f>
        <v>0</v>
      </c>
      <c r="E57" s="256">
        <f ca="1">SUMPRODUCT((J273:J1772&gt;=DATE(YEAR(EDATE(TODAY(),18)),MONTH(EDATE(TODAY(),18)),1))*(J273:J1772&lt;DATE(YEAR(EDATE(TODAY(),19)),MONTH(EDATE(TODAY(),19)),1))*(L273:L1772))</f>
        <v>0</v>
      </c>
      <c r="F57" s="256">
        <f t="shared" ca="1" si="0"/>
        <v>0</v>
      </c>
      <c r="G57" s="252">
        <f t="shared" ca="1" si="1"/>
        <v>0</v>
      </c>
    </row>
    <row r="58" spans="1:7" ht="15" customHeight="1" outlineLevel="1" x14ac:dyDescent="0.2">
      <c r="A58" s="288" t="str">
        <f ca="1">TEXT(EDATE(TODAY(),19),"mmm yyyy")</f>
        <v>Jan 2028</v>
      </c>
      <c r="B58" s="354">
        <f ca="1">SUMPRODUCT((J273:J1772&gt;=DATE(YEAR(EDATE(TODAY(),19)),MONTH(EDATE(TODAY(),19)),1))*(J273:J1772&lt;DATE(YEAR(EDATE(TODAY(),20)),MONTH(EDATE(TODAY(),20)),1))*1)</f>
        <v>0</v>
      </c>
      <c r="C58" s="252">
        <f ca="1">IFERROR(B58/COUNTIF(E273:E1772,"Occupied*"),0)</f>
        <v>0</v>
      </c>
      <c r="D58" s="256">
        <f ca="1">SUMPRODUCT((J273:J1772&gt;=DATE(YEAR(EDATE(TODAY(),19)),MONTH(EDATE(TODAY(),19)),1))*(J273:J1772&lt;DATE(YEAR(EDATE(TODAY(),20)),MONTH(EDATE(TODAY(),20)),1))*(N273:N1772))</f>
        <v>0</v>
      </c>
      <c r="E58" s="256">
        <f ca="1">SUMPRODUCT((J273:J1772&gt;=DATE(YEAR(EDATE(TODAY(),19)),MONTH(EDATE(TODAY(),19)),1))*(J273:J1772&lt;DATE(YEAR(EDATE(TODAY(),20)),MONTH(EDATE(TODAY(),20)),1))*(L273:L1772))</f>
        <v>0</v>
      </c>
      <c r="F58" s="256">
        <f t="shared" ca="1" si="0"/>
        <v>0</v>
      </c>
      <c r="G58" s="252">
        <f t="shared" ca="1" si="1"/>
        <v>0</v>
      </c>
    </row>
    <row r="59" spans="1:7" ht="15" customHeight="1" outlineLevel="1" x14ac:dyDescent="0.2">
      <c r="A59" s="288" t="str">
        <f ca="1">TEXT(EDATE(TODAY(),20),"mmm yyyy")</f>
        <v>Feb 2028</v>
      </c>
      <c r="B59" s="354">
        <f ca="1">SUMPRODUCT((J273:J1772&gt;=DATE(YEAR(EDATE(TODAY(),20)),MONTH(EDATE(TODAY(),20)),1))*(J273:J1772&lt;DATE(YEAR(EDATE(TODAY(),21)),MONTH(EDATE(TODAY(),21)),1))*1)</f>
        <v>0</v>
      </c>
      <c r="C59" s="252">
        <f ca="1">IFERROR(B59/COUNTIF(E273:E1772,"Occupied*"),0)</f>
        <v>0</v>
      </c>
      <c r="D59" s="256">
        <f ca="1">SUMPRODUCT((J273:J1772&gt;=DATE(YEAR(EDATE(TODAY(),20)),MONTH(EDATE(TODAY(),20)),1))*(J273:J1772&lt;DATE(YEAR(EDATE(TODAY(),21)),MONTH(EDATE(TODAY(),21)),1))*(N273:N1772))</f>
        <v>0</v>
      </c>
      <c r="E59" s="256">
        <f ca="1">SUMPRODUCT((J273:J1772&gt;=DATE(YEAR(EDATE(TODAY(),20)),MONTH(EDATE(TODAY(),20)),1))*(J273:J1772&lt;DATE(YEAR(EDATE(TODAY(),21)),MONTH(EDATE(TODAY(),21)),1))*(L273:L1772))</f>
        <v>0</v>
      </c>
      <c r="F59" s="256">
        <f t="shared" ca="1" si="0"/>
        <v>0</v>
      </c>
      <c r="G59" s="252">
        <f t="shared" ca="1" si="1"/>
        <v>0</v>
      </c>
    </row>
    <row r="60" spans="1:7" ht="15" customHeight="1" outlineLevel="1" x14ac:dyDescent="0.2">
      <c r="A60" s="288" t="str">
        <f ca="1">TEXT(EDATE(TODAY(),21),"mmm yyyy")</f>
        <v>Mar 2028</v>
      </c>
      <c r="B60" s="354">
        <f ca="1">SUMPRODUCT((J273:J1772&gt;=DATE(YEAR(EDATE(TODAY(),21)),MONTH(EDATE(TODAY(),21)),1))*(J273:J1772&lt;DATE(YEAR(EDATE(TODAY(),22)),MONTH(EDATE(TODAY(),22)),1))*1)</f>
        <v>0</v>
      </c>
      <c r="C60" s="252">
        <f ca="1">IFERROR(B60/COUNTIF(E273:E1772,"Occupied*"),0)</f>
        <v>0</v>
      </c>
      <c r="D60" s="256">
        <f ca="1">SUMPRODUCT((J273:J1772&gt;=DATE(YEAR(EDATE(TODAY(),21)),MONTH(EDATE(TODAY(),21)),1))*(J273:J1772&lt;DATE(YEAR(EDATE(TODAY(),22)),MONTH(EDATE(TODAY(),22)),1))*(N273:N1772))</f>
        <v>0</v>
      </c>
      <c r="E60" s="256">
        <f ca="1">SUMPRODUCT((J273:J1772&gt;=DATE(YEAR(EDATE(TODAY(),21)),MONTH(EDATE(TODAY(),21)),1))*(J273:J1772&lt;DATE(YEAR(EDATE(TODAY(),22)),MONTH(EDATE(TODAY(),22)),1))*(L273:L1772))</f>
        <v>0</v>
      </c>
      <c r="F60" s="256">
        <f t="shared" ca="1" si="0"/>
        <v>0</v>
      </c>
      <c r="G60" s="252">
        <f t="shared" ca="1" si="1"/>
        <v>0</v>
      </c>
    </row>
    <row r="61" spans="1:7" ht="15" customHeight="1" outlineLevel="1" x14ac:dyDescent="0.2">
      <c r="A61" s="288" t="str">
        <f ca="1">TEXT(EDATE(TODAY(),22),"mmm yyyy")</f>
        <v>Apr 2028</v>
      </c>
      <c r="B61" s="354">
        <f ca="1">SUMPRODUCT((J273:J1772&gt;=DATE(YEAR(EDATE(TODAY(),22)),MONTH(EDATE(TODAY(),22)),1))*(J273:J1772&lt;DATE(YEAR(EDATE(TODAY(),23)),MONTH(EDATE(TODAY(),23)),1))*1)</f>
        <v>0</v>
      </c>
      <c r="C61" s="252">
        <f ca="1">IFERROR(B61/COUNTIF(E273:E1772,"Occupied*"),0)</f>
        <v>0</v>
      </c>
      <c r="D61" s="256">
        <f ca="1">SUMPRODUCT((J273:J1772&gt;=DATE(YEAR(EDATE(TODAY(),22)),MONTH(EDATE(TODAY(),22)),1))*(J273:J1772&lt;DATE(YEAR(EDATE(TODAY(),23)),MONTH(EDATE(TODAY(),23)),1))*(N273:N1772))</f>
        <v>0</v>
      </c>
      <c r="E61" s="256">
        <f ca="1">SUMPRODUCT((J273:J1772&gt;=DATE(YEAR(EDATE(TODAY(),22)),MONTH(EDATE(TODAY(),22)),1))*(J273:J1772&lt;DATE(YEAR(EDATE(TODAY(),23)),MONTH(EDATE(TODAY(),23)),1))*(L273:L1772))</f>
        <v>0</v>
      </c>
      <c r="F61" s="256">
        <f t="shared" ca="1" si="0"/>
        <v>0</v>
      </c>
      <c r="G61" s="252">
        <f t="shared" ca="1" si="1"/>
        <v>0</v>
      </c>
    </row>
    <row r="62" spans="1:7" ht="15" customHeight="1" outlineLevel="1" x14ac:dyDescent="0.2">
      <c r="A62" s="288" t="str">
        <f ca="1">TEXT(EDATE(TODAY(),23),"mmm yyyy")</f>
        <v>May 2028</v>
      </c>
      <c r="B62" s="354">
        <f ca="1">SUMPRODUCT((J273:J1772&gt;=DATE(YEAR(EDATE(TODAY(),23)),MONTH(EDATE(TODAY(),23)),1))*(J273:J1772&lt;DATE(YEAR(EDATE(TODAY(),24)),MONTH(EDATE(TODAY(),24)),1))*1)</f>
        <v>0</v>
      </c>
      <c r="C62" s="252">
        <f ca="1">IFERROR(B62/COUNTIF(E273:E1772,"Occupied*"),0)</f>
        <v>0</v>
      </c>
      <c r="D62" s="256">
        <f ca="1">SUMPRODUCT((J273:J1772&gt;=DATE(YEAR(EDATE(TODAY(),23)),MONTH(EDATE(TODAY(),23)),1))*(J273:J1772&lt;DATE(YEAR(EDATE(TODAY(),24)),MONTH(EDATE(TODAY(),24)),1))*(N273:N1772))</f>
        <v>0</v>
      </c>
      <c r="E62" s="256">
        <f ca="1">SUMPRODUCT((J273:J1772&gt;=DATE(YEAR(EDATE(TODAY(),23)),MONTH(EDATE(TODAY(),23)),1))*(J273:J1772&lt;DATE(YEAR(EDATE(TODAY(),24)),MONTH(EDATE(TODAY(),24)),1))*(L273:L1772))</f>
        <v>0</v>
      </c>
      <c r="F62" s="256">
        <f t="shared" ca="1" si="0"/>
        <v>0</v>
      </c>
      <c r="G62" s="252">
        <f t="shared" ca="1" si="1"/>
        <v>0</v>
      </c>
    </row>
    <row r="63" spans="1:7" ht="15" customHeight="1" outlineLevel="1" x14ac:dyDescent="0.2">
      <c r="A63" s="105" t="s">
        <v>1159</v>
      </c>
      <c r="B63" s="114">
        <f ca="1">SUMPRODUCT((E273:E1772="Occupied No Notice")*((J273:J1772&lt;TODAY())+(J273:J1772=""))*1)</f>
        <v>0</v>
      </c>
      <c r="C63" s="115">
        <f ca="1">IFERROR(B63/COUNTIF(E273:E1772,"Occupied*"),0)</f>
        <v>0</v>
      </c>
    </row>
    <row r="64" spans="1:7" ht="15" customHeight="1" outlineLevel="1" x14ac:dyDescent="0.2"/>
    <row r="65" spans="1:22" ht="15" customHeight="1" outlineLevel="1" x14ac:dyDescent="0.2">
      <c r="A65" s="112" t="s">
        <v>1160</v>
      </c>
      <c r="B65" s="354">
        <f ca="1">MAX(B39:B62)</f>
        <v>0</v>
      </c>
      <c r="C65" s="252">
        <f ca="1">IFERROR(B65/COUNTIF(E273:E1772,"Occupied*"),0)</f>
        <v>0</v>
      </c>
      <c r="D65" s="106" t="str">
        <f ca="1">IF(C65&gt;0.15,"⚠ heavy stack — diversify",IF(C65&gt;0.1,"caution","ok"))</f>
        <v>ok</v>
      </c>
    </row>
    <row r="66" spans="1:22" ht="15" customHeight="1" outlineLevel="1" x14ac:dyDescent="0.2"/>
    <row r="67" spans="1:22" ht="15" customHeight="1" outlineLevel="1" x14ac:dyDescent="0.2"/>
    <row r="68" spans="1:22" ht="21.75" customHeight="1" x14ac:dyDescent="0.2">
      <c r="A68" s="929" t="s">
        <v>1161</v>
      </c>
      <c r="B68" s="929"/>
      <c r="C68" s="929"/>
      <c r="D68" s="929"/>
      <c r="E68" s="929"/>
      <c r="F68" s="929"/>
      <c r="G68" s="929"/>
      <c r="H68" s="929"/>
      <c r="I68" s="929"/>
      <c r="J68" s="929"/>
      <c r="K68" s="929"/>
      <c r="L68" s="929"/>
      <c r="M68" s="929"/>
      <c r="N68" s="929"/>
      <c r="O68" s="929"/>
      <c r="P68" s="929"/>
      <c r="Q68" s="929"/>
      <c r="R68" s="929"/>
      <c r="S68" s="929"/>
      <c r="T68" s="929"/>
      <c r="U68" s="929"/>
      <c r="V68" s="929"/>
    </row>
    <row r="69" spans="1:22" ht="15" customHeight="1" outlineLevel="1" x14ac:dyDescent="0.2">
      <c r="A69" s="1" t="s">
        <v>1162</v>
      </c>
    </row>
    <row r="70" spans="1:22" ht="27.75" customHeight="1" outlineLevel="1" x14ac:dyDescent="0.2">
      <c r="A70" s="116" t="s">
        <v>1163</v>
      </c>
      <c r="B70" s="116" t="s">
        <v>369</v>
      </c>
      <c r="C70" s="116" t="s">
        <v>1164</v>
      </c>
      <c r="D70" s="116" t="s">
        <v>1165</v>
      </c>
      <c r="E70" s="116" t="s">
        <v>1166</v>
      </c>
    </row>
    <row r="71" spans="1:22" ht="15" customHeight="1" outlineLevel="1" x14ac:dyDescent="0.2">
      <c r="A71" s="106" t="s">
        <v>1167</v>
      </c>
      <c r="B71" s="354">
        <f>COUNTIF(E273:E1772,"Vacant Unrented Ready")</f>
        <v>0</v>
      </c>
      <c r="C71" s="252">
        <f>IFERROR(B71/COUNTIF(E273:E1772,"Vacant*"),0)</f>
        <v>0</v>
      </c>
      <c r="D71" s="110">
        <f>B71*Scenarios!F39*12</f>
        <v>0</v>
      </c>
      <c r="E71" s="1" t="s">
        <v>1168</v>
      </c>
    </row>
    <row r="72" spans="1:22" ht="15" customHeight="1" outlineLevel="1" x14ac:dyDescent="0.2">
      <c r="A72" s="106" t="s">
        <v>1169</v>
      </c>
      <c r="B72" s="354">
        <f ca="1">SUMPRODUCT((E273:E1772="Vacant Unrented Not Ready")*((TODAY()-J273:J1772)&lt;=90)*(J273:J1772&gt;0))</f>
        <v>0</v>
      </c>
      <c r="C72" s="252">
        <f ca="1">IFERROR(B72/COUNTIF(E273:E1772,"Vacant*"),0)</f>
        <v>0</v>
      </c>
      <c r="D72" s="110">
        <f ca="1">B72*Scenarios!F39*12</f>
        <v>0</v>
      </c>
      <c r="E72" s="1" t="s">
        <v>1170</v>
      </c>
    </row>
    <row r="73" spans="1:22" ht="15" customHeight="1" outlineLevel="1" x14ac:dyDescent="0.2">
      <c r="A73" s="106" t="s">
        <v>1171</v>
      </c>
      <c r="B73" s="354">
        <f ca="1">SUMPRODUCT((E273:E1772="Vacant Unrented Not Ready")*((TODAY()-J273:J1772)&gt;90)*((TODAY()-J273:J1772)&lt;=180)*(J273:J1772&gt;0))</f>
        <v>0</v>
      </c>
      <c r="C73" s="252">
        <f ca="1">IFERROR(B73/COUNTIF(E273:E1772,"Vacant*"),0)</f>
        <v>0</v>
      </c>
      <c r="D73" s="110">
        <f ca="1">B73*Scenarios!F39*12</f>
        <v>0</v>
      </c>
      <c r="E73" s="1" t="s">
        <v>1172</v>
      </c>
    </row>
    <row r="74" spans="1:22" ht="15" customHeight="1" outlineLevel="1" x14ac:dyDescent="0.2">
      <c r="A74" s="106" t="s">
        <v>1173</v>
      </c>
      <c r="B74" s="354">
        <f ca="1">SUMPRODUCT((E273:E1772="Vacant Unrented Not Ready")*((TODAY()-J273:J1772)&gt;180)*((TODAY()-J273:J1772)&lt;=365)*(J273:J1772&gt;0))</f>
        <v>0</v>
      </c>
      <c r="C74" s="252">
        <f ca="1">IFERROR(B74/COUNTIF(E273:E1772,"Vacant*"),0)</f>
        <v>0</v>
      </c>
      <c r="D74" s="110">
        <f ca="1">B74*Scenarios!F39*12</f>
        <v>0</v>
      </c>
      <c r="E74" s="1" t="s">
        <v>1174</v>
      </c>
    </row>
    <row r="75" spans="1:22" ht="15" customHeight="1" outlineLevel="1" x14ac:dyDescent="0.2">
      <c r="A75" s="106" t="s">
        <v>1175</v>
      </c>
      <c r="B75" s="354">
        <f ca="1">SUMPRODUCT((E273:E1772="Vacant Unrented Not Ready")*((TODAY()-J273:J1772)&gt;365)*(J273:J1772&gt;0))</f>
        <v>0</v>
      </c>
      <c r="C75" s="252">
        <f ca="1">IFERROR(B75/COUNTIF(E273:E1772,"Vacant*"),0)</f>
        <v>0</v>
      </c>
      <c r="D75" s="110">
        <f ca="1">B75*Scenarios!F39*12</f>
        <v>0</v>
      </c>
      <c r="E75" s="1" t="s">
        <v>1176</v>
      </c>
    </row>
    <row r="76" spans="1:22" ht="15" customHeight="1" outlineLevel="1" x14ac:dyDescent="0.2">
      <c r="A76" s="106" t="s">
        <v>1177</v>
      </c>
      <c r="B76" s="354">
        <f>COUNTIFS(E273:E1772,"Vacant Unrented Not Ready",J273:J1772,"")</f>
        <v>0</v>
      </c>
      <c r="C76" s="252">
        <f>IFERROR(B76/COUNTIF(E273:E1772,"Vacant*"),0)</f>
        <v>0</v>
      </c>
      <c r="D76" s="110">
        <f>B76*Scenarios!F39*12</f>
        <v>0</v>
      </c>
      <c r="E76" s="1" t="s">
        <v>1178</v>
      </c>
    </row>
    <row r="77" spans="1:22" ht="15" customHeight="1" outlineLevel="1" x14ac:dyDescent="0.2">
      <c r="A77" s="290" t="s">
        <v>1179</v>
      </c>
      <c r="D77" s="291">
        <f ca="1">SUM(D71:D76)</f>
        <v>0</v>
      </c>
    </row>
    <row r="78" spans="1:22" ht="15" customHeight="1" outlineLevel="1" x14ac:dyDescent="0.2"/>
    <row r="79" spans="1:22" ht="15" customHeight="1" outlineLevel="1" x14ac:dyDescent="0.2"/>
    <row r="80" spans="1:22" ht="21.75" customHeight="1" x14ac:dyDescent="0.2">
      <c r="A80" s="929" t="s">
        <v>1180</v>
      </c>
      <c r="B80" s="929"/>
      <c r="C80" s="929"/>
      <c r="D80" s="929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29"/>
      <c r="U80" s="929"/>
      <c r="V80" s="929"/>
    </row>
    <row r="81" spans="1:22" ht="27.75" customHeight="1" outlineLevel="1" x14ac:dyDescent="0.2">
      <c r="A81" s="116" t="s">
        <v>1181</v>
      </c>
      <c r="B81" s="116" t="s">
        <v>1182</v>
      </c>
      <c r="C81" s="116" t="s">
        <v>1154</v>
      </c>
      <c r="D81" s="116" t="s">
        <v>1183</v>
      </c>
      <c r="E81" s="116" t="s">
        <v>1184</v>
      </c>
      <c r="F81" s="116" t="s">
        <v>1185</v>
      </c>
      <c r="G81" s="116" t="s">
        <v>880</v>
      </c>
    </row>
    <row r="82" spans="1:22" ht="15" customHeight="1" outlineLevel="1" x14ac:dyDescent="0.2">
      <c r="A82" s="106" t="s">
        <v>1186</v>
      </c>
      <c r="B82" s="354">
        <f ca="1">SUMPRODUCT(((E273:E1772="Occupied No Notice")*((TODAY()-H273:H1772)&gt;=0)*((TODAY()-H273:H1772)&lt;180)*(H273:H1772&gt;0))*1)</f>
        <v>0</v>
      </c>
      <c r="C82" s="252">
        <f ca="1">IFERROR(B82/COUNTIF(E273:E1772,"Occupied*"),0)</f>
        <v>0</v>
      </c>
      <c r="D82" s="256">
        <f ca="1">IFERROR(SUMPRODUCT(((E273:E1772="Occupied No Notice")*((TODAY()-H273:H1772)&gt;=0)*((TODAY()-H273:H1772)&lt;180)*(H273:H1772&gt;0))*(N273:N1772))/B82,0)</f>
        <v>0</v>
      </c>
      <c r="E82" s="256">
        <f ca="1">IFERROR(SUMPRODUCT(((E273:E1772="Occupied No Notice")*((TODAY()-H273:H1772)&gt;=0)*((TODAY()-H273:H1772)&lt;180)*(H273:H1772&gt;0))*(L273:L1772))/B82,0)</f>
        <v>0</v>
      </c>
      <c r="F82" s="256">
        <f ca="1">E82-D82</f>
        <v>0</v>
      </c>
      <c r="G82" s="1" t="s">
        <v>1187</v>
      </c>
    </row>
    <row r="83" spans="1:22" ht="15" customHeight="1" outlineLevel="1" x14ac:dyDescent="0.2">
      <c r="A83" s="106" t="s">
        <v>1188</v>
      </c>
      <c r="B83" s="354">
        <f ca="1">SUMPRODUCT(((E273:E1772="Occupied No Notice")*((TODAY()-H273:H1772)&gt;=180)*((TODAY()-H273:H1772)&lt;365)*(H273:H1772&gt;0))*1)</f>
        <v>0</v>
      </c>
      <c r="C83" s="252">
        <f ca="1">IFERROR(B83/COUNTIF(E273:E1772,"Occupied*"),0)</f>
        <v>0</v>
      </c>
      <c r="D83" s="256">
        <f ca="1">IFERROR(SUMPRODUCT(((E273:E1772="Occupied No Notice")*((TODAY()-H273:H1772)&gt;=180)*((TODAY()-H273:H1772)&lt;365)*(H273:H1772&gt;0))*(N273:N1772))/B83,0)</f>
        <v>0</v>
      </c>
      <c r="E83" s="256">
        <f ca="1">IFERROR(SUMPRODUCT(((E273:E1772="Occupied No Notice")*((TODAY()-H273:H1772)&gt;=180)*((TODAY()-H273:H1772)&lt;365)*(H273:H1772&gt;0))*(L273:L1772))/B83,0)</f>
        <v>0</v>
      </c>
      <c r="F83" s="256">
        <f ca="1">E83-D83</f>
        <v>0</v>
      </c>
      <c r="G83" s="1" t="s">
        <v>1189</v>
      </c>
    </row>
    <row r="84" spans="1:22" ht="15" customHeight="1" outlineLevel="1" x14ac:dyDescent="0.2">
      <c r="A84" s="106" t="s">
        <v>1190</v>
      </c>
      <c r="B84" s="354">
        <f ca="1">SUMPRODUCT(((E273:E1772="Occupied No Notice")*((TODAY()-H273:H1772)&gt;=365)*((TODAY()-H273:H1772)&lt;730)*(H273:H1772&gt;0))*1)</f>
        <v>0</v>
      </c>
      <c r="C84" s="252">
        <f ca="1">IFERROR(B84/COUNTIF(E273:E1772,"Occupied*"),0)</f>
        <v>0</v>
      </c>
      <c r="D84" s="256">
        <f ca="1">IFERROR(SUMPRODUCT(((E273:E1772="Occupied No Notice")*((TODAY()-H273:H1772)&gt;=365)*((TODAY()-H273:H1772)&lt;730)*(H273:H1772&gt;0))*(N273:N1772))/B84,0)</f>
        <v>0</v>
      </c>
      <c r="E84" s="256">
        <f ca="1">IFERROR(SUMPRODUCT(((E273:E1772="Occupied No Notice")*((TODAY()-H273:H1772)&gt;=365)*((TODAY()-H273:H1772)&lt;730)*(H273:H1772&gt;0))*(L273:L1772))/B84,0)</f>
        <v>0</v>
      </c>
      <c r="F84" s="256">
        <f ca="1">E84-D84</f>
        <v>0</v>
      </c>
      <c r="G84" s="1" t="s">
        <v>1191</v>
      </c>
    </row>
    <row r="85" spans="1:22" ht="15" customHeight="1" outlineLevel="1" x14ac:dyDescent="0.2">
      <c r="A85" s="106" t="s">
        <v>1192</v>
      </c>
      <c r="B85" s="354">
        <f ca="1">SUMPRODUCT(((E273:E1772="Occupied No Notice")*((TODAY()-H273:H1772)&gt;=730)*((TODAY()-H273:H1772)&lt;1095)*(H273:H1772&gt;0))*1)</f>
        <v>0</v>
      </c>
      <c r="C85" s="252">
        <f ca="1">IFERROR(B85/COUNTIF(E273:E1772,"Occupied*"),0)</f>
        <v>0</v>
      </c>
      <c r="D85" s="256">
        <f ca="1">IFERROR(SUMPRODUCT(((E273:E1772="Occupied No Notice")*((TODAY()-H273:H1772)&gt;=730)*((TODAY()-H273:H1772)&lt;1095)*(H273:H1772&gt;0))*(N273:N1772))/B85,0)</f>
        <v>0</v>
      </c>
      <c r="E85" s="256">
        <f ca="1">IFERROR(SUMPRODUCT(((E273:E1772="Occupied No Notice")*((TODAY()-H273:H1772)&gt;=730)*((TODAY()-H273:H1772)&lt;1095)*(H273:H1772&gt;0))*(L273:L1772))/B85,0)</f>
        <v>0</v>
      </c>
      <c r="F85" s="256">
        <f ca="1">E85-D85</f>
        <v>0</v>
      </c>
      <c r="G85" s="1" t="s">
        <v>1193</v>
      </c>
    </row>
    <row r="86" spans="1:22" ht="15" customHeight="1" outlineLevel="1" x14ac:dyDescent="0.2">
      <c r="A86" s="106" t="s">
        <v>1194</v>
      </c>
      <c r="B86" s="354">
        <f ca="1">SUMPRODUCT(((E273:E1772="Occupied No Notice")*((TODAY()-H273:H1772)&gt;=1095)*((TODAY()-H273:H1772)&lt;99999)*(H273:H1772&gt;0))*1)</f>
        <v>0</v>
      </c>
      <c r="C86" s="252">
        <f ca="1">IFERROR(B86/COUNTIF(E273:E1772,"Occupied*"),0)</f>
        <v>0</v>
      </c>
      <c r="D86" s="256">
        <f ca="1">IFERROR(SUMPRODUCT(((E273:E1772="Occupied No Notice")*((TODAY()-H273:H1772)&gt;=1095)*((TODAY()-H273:H1772)&lt;99999)*(H273:H1772&gt;0))*(N273:N1772))/B86,0)</f>
        <v>0</v>
      </c>
      <c r="E86" s="256">
        <f ca="1">IFERROR(SUMPRODUCT(((E273:E1772="Occupied No Notice")*((TODAY()-H273:H1772)&gt;=1095)*((TODAY()-H273:H1772)&lt;99999)*(H273:H1772&gt;0))*(L273:L1772))/B86,0)</f>
        <v>0</v>
      </c>
      <c r="F86" s="256">
        <f ca="1">E86-D86</f>
        <v>0</v>
      </c>
      <c r="G86" s="1" t="s">
        <v>1195</v>
      </c>
    </row>
    <row r="87" spans="1:22" ht="15" customHeight="1" outlineLevel="1" x14ac:dyDescent="0.2"/>
    <row r="88" spans="1:22" ht="21.75" customHeight="1" x14ac:dyDescent="0.2">
      <c r="A88" s="929" t="s">
        <v>1196</v>
      </c>
      <c r="B88" s="929"/>
      <c r="C88" s="929"/>
      <c r="D88" s="929"/>
      <c r="E88" s="929"/>
      <c r="F88" s="929"/>
      <c r="G88" s="929"/>
      <c r="H88" s="929"/>
      <c r="I88" s="929"/>
      <c r="J88" s="929"/>
      <c r="K88" s="929"/>
      <c r="L88" s="929"/>
      <c r="M88" s="929"/>
      <c r="N88" s="929"/>
      <c r="O88" s="929"/>
      <c r="P88" s="929"/>
      <c r="Q88" s="929"/>
      <c r="R88" s="929"/>
      <c r="S88" s="929"/>
      <c r="T88" s="929"/>
      <c r="U88" s="929"/>
      <c r="V88" s="929"/>
    </row>
    <row r="89" spans="1:22" ht="15" customHeight="1" outlineLevel="1" x14ac:dyDescent="0.2">
      <c r="A89" s="104" t="s">
        <v>1197</v>
      </c>
      <c r="B89" s="104" t="s">
        <v>369</v>
      </c>
      <c r="C89" s="104" t="s">
        <v>1198</v>
      </c>
      <c r="D89" s="104" t="s">
        <v>1199</v>
      </c>
      <c r="E89" s="104" t="s">
        <v>1200</v>
      </c>
    </row>
    <row r="90" spans="1:22" ht="15" customHeight="1" outlineLevel="1" x14ac:dyDescent="0.2">
      <c r="A90" s="106" t="s">
        <v>1201</v>
      </c>
      <c r="B90" s="354">
        <f>COUNTIF(Q273:Q1772,"&gt;0")</f>
        <v>0</v>
      </c>
      <c r="C90" s="256">
        <f>SUM(Q273:Q1772)</f>
        <v>0</v>
      </c>
      <c r="D90" s="252">
        <f>IFERROR(C90/SUM(O273:O1772),0)</f>
        <v>0</v>
      </c>
      <c r="E90" s="256">
        <f>IFERROR(C90/B90,0)</f>
        <v>0</v>
      </c>
    </row>
    <row r="91" spans="1:22" ht="15" customHeight="1" outlineLevel="1" x14ac:dyDescent="0.2">
      <c r="A91" s="106" t="s">
        <v>1202</v>
      </c>
      <c r="B91" s="354">
        <f>COUNTIF(R273:R1772,"&gt;0")</f>
        <v>0</v>
      </c>
      <c r="C91" s="256">
        <f>SUM(R273:R1772)</f>
        <v>0</v>
      </c>
      <c r="D91" s="252">
        <f>IFERROR(C91/SUM(O273:O1772),0)</f>
        <v>0</v>
      </c>
      <c r="E91" s="256">
        <f>IFERROR(C91/B91,0)</f>
        <v>0</v>
      </c>
    </row>
    <row r="92" spans="1:22" ht="15" customHeight="1" outlineLevel="1" x14ac:dyDescent="0.2">
      <c r="A92" s="106" t="s">
        <v>1203</v>
      </c>
      <c r="B92" s="354">
        <f>COUNTIF(S273:S1772,"&gt;0")</f>
        <v>0</v>
      </c>
      <c r="C92" s="256">
        <f>SUM(S273:S1772)</f>
        <v>0</v>
      </c>
      <c r="D92" s="252">
        <f>IFERROR(C92/SUM(O273:O1772),0)</f>
        <v>0</v>
      </c>
      <c r="E92" s="256">
        <f>IFERROR(C92/B92,0)</f>
        <v>0</v>
      </c>
    </row>
    <row r="93" spans="1:22" ht="15" customHeight="1" outlineLevel="1" x14ac:dyDescent="0.2">
      <c r="A93" s="106" t="s">
        <v>1204</v>
      </c>
      <c r="B93" s="354">
        <f>COUNTIF(T273:T1772,"&gt;0")</f>
        <v>0</v>
      </c>
      <c r="C93" s="256">
        <f>SUM(T273:T1772)</f>
        <v>0</v>
      </c>
      <c r="D93" s="252">
        <f>IFERROR(C93/SUM(O273:O1772),0)</f>
        <v>0</v>
      </c>
      <c r="E93" s="256">
        <f>IFERROR(C93/B93,0)</f>
        <v>0</v>
      </c>
    </row>
    <row r="94" spans="1:22" ht="15" customHeight="1" outlineLevel="1" x14ac:dyDescent="0.2">
      <c r="A94" s="290" t="s">
        <v>1205</v>
      </c>
      <c r="C94" s="291">
        <f>SUM(O273:O1772)</f>
        <v>0</v>
      </c>
      <c r="D94" s="290" t="str">
        <f>IF(SUM(C90:C93)=0,"⚠ aging not loaded — paste aging report into Q-T",IF(ABS(SUM(C90:C93)-C94)&lt;1,"✓ aging ties","⚠ aging mismatch"))</f>
        <v>⚠ aging not loaded — paste aging report into Q-T</v>
      </c>
    </row>
    <row r="95" spans="1:22" ht="15" customHeight="1" outlineLevel="1" x14ac:dyDescent="0.2"/>
    <row r="96" spans="1:22" ht="15" customHeight="1" outlineLevel="1" x14ac:dyDescent="0.2"/>
    <row r="97" spans="1:22" ht="21.75" customHeight="1" x14ac:dyDescent="0.2">
      <c r="A97" s="929" t="s">
        <v>1206</v>
      </c>
      <c r="B97" s="929"/>
      <c r="C97" s="929"/>
      <c r="D97" s="929"/>
      <c r="E97" s="929"/>
      <c r="F97" s="929"/>
      <c r="G97" s="929"/>
      <c r="H97" s="929"/>
      <c r="I97" s="929"/>
      <c r="J97" s="929"/>
      <c r="K97" s="929"/>
      <c r="L97" s="929"/>
      <c r="M97" s="929"/>
      <c r="N97" s="929"/>
      <c r="O97" s="929"/>
      <c r="P97" s="929"/>
      <c r="Q97" s="929"/>
      <c r="R97" s="929"/>
      <c r="S97" s="929"/>
      <c r="T97" s="929"/>
      <c r="U97" s="929"/>
      <c r="V97" s="929"/>
    </row>
    <row r="98" spans="1:22" ht="15" customHeight="1" outlineLevel="1" x14ac:dyDescent="0.2">
      <c r="A98" s="1" t="s">
        <v>1207</v>
      </c>
    </row>
    <row r="99" spans="1:22" ht="25.5" customHeight="1" outlineLevel="1" x14ac:dyDescent="0.2">
      <c r="A99" s="116" t="s">
        <v>351</v>
      </c>
      <c r="B99" s="116" t="s">
        <v>1208</v>
      </c>
      <c r="C99" s="116" t="s">
        <v>1209</v>
      </c>
      <c r="D99" s="116" t="s">
        <v>1210</v>
      </c>
      <c r="E99" s="116" t="s">
        <v>546</v>
      </c>
      <c r="F99" s="116" t="s">
        <v>712</v>
      </c>
      <c r="G99" s="116" t="s">
        <v>1155</v>
      </c>
      <c r="H99" s="116" t="s">
        <v>1211</v>
      </c>
      <c r="I99" s="116" t="s">
        <v>1212</v>
      </c>
      <c r="J99" s="116" t="s">
        <v>1213</v>
      </c>
      <c r="K99" s="116" t="s">
        <v>1214</v>
      </c>
      <c r="L99" s="116" t="s">
        <v>55</v>
      </c>
    </row>
    <row r="100" spans="1:22" ht="15" customHeight="1" outlineLevel="1" x14ac:dyDescent="0.2">
      <c r="A100" s="118">
        <v>1</v>
      </c>
      <c r="B100" s="288" t="str">
        <f>IFERROR(INDEX(A:A,MATCH(I100,O273:O1772,0)+273-1),"")</f>
        <v/>
      </c>
      <c r="C100" s="288" t="str">
        <f>IFERROR(INDEX(B:B,MATCH(I100,O273:O1772,0)+273-1),"")</f>
        <v/>
      </c>
      <c r="D100" s="106" t="str">
        <f>IFERROR(INDEX(F:F,MATCH(I100,O273:O1772,0)+273-1),"")</f>
        <v/>
      </c>
      <c r="E100" s="106" t="str">
        <f>IFERROR(INDEX(E:E,MATCH(I100,O273:O1772,0)+273-1),"")</f>
        <v/>
      </c>
      <c r="F100" s="288" t="str">
        <f>IFERROR(IF(INDEX(G:G,MATCH(I100,O273:O1772,0)+273-1),"⚠ legal",""),"")</f>
        <v/>
      </c>
      <c r="G100" s="256">
        <f>IFERROR(INDEX(N:N,MATCH(I100,O273:O1772,0)+273-1),0)</f>
        <v>0</v>
      </c>
      <c r="H100" s="256">
        <f>IFERROR(INDEX(L:L,MATCH(I100,O273:O1772,0)+273-1),0)</f>
        <v>0</v>
      </c>
      <c r="I100" s="256">
        <f>IFERROR(LARGE(O273:O1772,1),0)</f>
        <v>0</v>
      </c>
      <c r="J100" s="256">
        <f>IFERROR(INDEX(P:P,MATCH(I100,O273:O1772,0)+273-1),0)</f>
        <v>0</v>
      </c>
      <c r="K100" s="256">
        <f t="shared" ref="K100:K109" si="2">I100-J100</f>
        <v>0</v>
      </c>
      <c r="L100" s="106" t="str">
        <f>IFERROR(INDEX(V:V,MATCH(I100,O273:O1772,0)+273-1),"")</f>
        <v/>
      </c>
    </row>
    <row r="101" spans="1:22" ht="15" customHeight="1" outlineLevel="1" x14ac:dyDescent="0.2">
      <c r="A101" s="118">
        <v>2</v>
      </c>
      <c r="B101" s="288" t="str">
        <f>IFERROR(INDEX(A:A,MATCH(I101,O273:O1772,0)+273-1),"")</f>
        <v/>
      </c>
      <c r="C101" s="288" t="str">
        <f>IFERROR(INDEX(B:B,MATCH(I101,O273:O1772,0)+273-1),"")</f>
        <v/>
      </c>
      <c r="D101" s="106" t="str">
        <f>IFERROR(INDEX(F:F,MATCH(I101,O273:O1772,0)+273-1),"")</f>
        <v/>
      </c>
      <c r="E101" s="106" t="str">
        <f>IFERROR(INDEX(E:E,MATCH(I101,O273:O1772,0)+273-1),"")</f>
        <v/>
      </c>
      <c r="F101" s="288" t="str">
        <f>IFERROR(IF(INDEX(G:G,MATCH(I101,O273:O1772,0)+273-1),"⚠ legal",""),"")</f>
        <v/>
      </c>
      <c r="G101" s="256">
        <f>IFERROR(INDEX(N:N,MATCH(I101,O273:O1772,0)+273-1),0)</f>
        <v>0</v>
      </c>
      <c r="H101" s="256">
        <f>IFERROR(INDEX(L:L,MATCH(I101,O273:O1772,0)+273-1),0)</f>
        <v>0</v>
      </c>
      <c r="I101" s="256">
        <f>IFERROR(LARGE(O273:O1772,2),0)</f>
        <v>0</v>
      </c>
      <c r="J101" s="256">
        <f>IFERROR(INDEX(P:P,MATCH(I101,O273:O1772,0)+273-1),0)</f>
        <v>0</v>
      </c>
      <c r="K101" s="256">
        <f t="shared" si="2"/>
        <v>0</v>
      </c>
      <c r="L101" s="106" t="str">
        <f>IFERROR(INDEX(V:V,MATCH(I101,O273:O1772,0)+273-1),"")</f>
        <v/>
      </c>
    </row>
    <row r="102" spans="1:22" ht="15" customHeight="1" outlineLevel="1" x14ac:dyDescent="0.2">
      <c r="A102" s="118">
        <v>3</v>
      </c>
      <c r="B102" s="288" t="str">
        <f>IFERROR(INDEX(A:A,MATCH(I102,O273:O1772,0)+273-1),"")</f>
        <v/>
      </c>
      <c r="C102" s="288" t="str">
        <f>IFERROR(INDEX(B:B,MATCH(I102,O273:O1772,0)+273-1),"")</f>
        <v/>
      </c>
      <c r="D102" s="106" t="str">
        <f>IFERROR(INDEX(F:F,MATCH(I102,O273:O1772,0)+273-1),"")</f>
        <v/>
      </c>
      <c r="E102" s="106" t="str">
        <f>IFERROR(INDEX(E:E,MATCH(I102,O273:O1772,0)+273-1),"")</f>
        <v/>
      </c>
      <c r="F102" s="288" t="str">
        <f>IFERROR(IF(INDEX(G:G,MATCH(I102,O273:O1772,0)+273-1),"⚠ legal",""),"")</f>
        <v/>
      </c>
      <c r="G102" s="256">
        <f>IFERROR(INDEX(N:N,MATCH(I102,O273:O1772,0)+273-1),0)</f>
        <v>0</v>
      </c>
      <c r="H102" s="256">
        <f>IFERROR(INDEX(L:L,MATCH(I102,O273:O1772,0)+273-1),0)</f>
        <v>0</v>
      </c>
      <c r="I102" s="256">
        <f>IFERROR(LARGE(O273:O1772,3),0)</f>
        <v>0</v>
      </c>
      <c r="J102" s="256">
        <f>IFERROR(INDEX(P:P,MATCH(I102,O273:O1772,0)+273-1),0)</f>
        <v>0</v>
      </c>
      <c r="K102" s="256">
        <f t="shared" si="2"/>
        <v>0</v>
      </c>
      <c r="L102" s="106" t="str">
        <f>IFERROR(INDEX(V:V,MATCH(I102,O273:O1772,0)+273-1),"")</f>
        <v/>
      </c>
    </row>
    <row r="103" spans="1:22" ht="15" customHeight="1" outlineLevel="1" x14ac:dyDescent="0.2">
      <c r="A103" s="118">
        <v>4</v>
      </c>
      <c r="B103" s="288" t="str">
        <f>IFERROR(INDEX(A:A,MATCH(I103,O273:O1772,0)+273-1),"")</f>
        <v/>
      </c>
      <c r="C103" s="288" t="str">
        <f>IFERROR(INDEX(B:B,MATCH(I103,O273:O1772,0)+273-1),"")</f>
        <v/>
      </c>
      <c r="D103" s="106" t="str">
        <f>IFERROR(INDEX(F:F,MATCH(I103,O273:O1772,0)+273-1),"")</f>
        <v/>
      </c>
      <c r="E103" s="106" t="str">
        <f>IFERROR(INDEX(E:E,MATCH(I103,O273:O1772,0)+273-1),"")</f>
        <v/>
      </c>
      <c r="F103" s="288" t="str">
        <f>IFERROR(IF(INDEX(G:G,MATCH(I103,O273:O1772,0)+273-1),"⚠ legal",""),"")</f>
        <v/>
      </c>
      <c r="G103" s="256">
        <f>IFERROR(INDEX(N:N,MATCH(I103,O273:O1772,0)+273-1),0)</f>
        <v>0</v>
      </c>
      <c r="H103" s="256">
        <f>IFERROR(INDEX(L:L,MATCH(I103,O273:O1772,0)+273-1),0)</f>
        <v>0</v>
      </c>
      <c r="I103" s="256">
        <f>IFERROR(LARGE(O273:O1772,4),0)</f>
        <v>0</v>
      </c>
      <c r="J103" s="256">
        <f>IFERROR(INDEX(P:P,MATCH(I103,O273:O1772,0)+273-1),0)</f>
        <v>0</v>
      </c>
      <c r="K103" s="256">
        <f t="shared" si="2"/>
        <v>0</v>
      </c>
      <c r="L103" s="106" t="str">
        <f>IFERROR(INDEX(V:V,MATCH(I103,O273:O1772,0)+273-1),"")</f>
        <v/>
      </c>
    </row>
    <row r="104" spans="1:22" ht="15" customHeight="1" outlineLevel="1" x14ac:dyDescent="0.2">
      <c r="A104" s="118">
        <v>5</v>
      </c>
      <c r="B104" s="288" t="str">
        <f>IFERROR(INDEX(A:A,MATCH(I104,O273:O1772,0)+273-1),"")</f>
        <v/>
      </c>
      <c r="C104" s="288" t="str">
        <f>IFERROR(INDEX(B:B,MATCH(I104,O273:O1772,0)+273-1),"")</f>
        <v/>
      </c>
      <c r="D104" s="106" t="str">
        <f>IFERROR(INDEX(F:F,MATCH(I104,O273:O1772,0)+273-1),"")</f>
        <v/>
      </c>
      <c r="E104" s="106" t="str">
        <f>IFERROR(INDEX(E:E,MATCH(I104,O273:O1772,0)+273-1),"")</f>
        <v/>
      </c>
      <c r="F104" s="288" t="str">
        <f>IFERROR(IF(INDEX(G:G,MATCH(I104,O273:O1772,0)+273-1),"⚠ legal",""),"")</f>
        <v/>
      </c>
      <c r="G104" s="256">
        <f>IFERROR(INDEX(N:N,MATCH(I104,O273:O1772,0)+273-1),0)</f>
        <v>0</v>
      </c>
      <c r="H104" s="256">
        <f>IFERROR(INDEX(L:L,MATCH(I104,O273:O1772,0)+273-1),0)</f>
        <v>0</v>
      </c>
      <c r="I104" s="256">
        <f>IFERROR(LARGE(O273:O1772,5),0)</f>
        <v>0</v>
      </c>
      <c r="J104" s="256">
        <f>IFERROR(INDEX(P:P,MATCH(I104,O273:O1772,0)+273-1),0)</f>
        <v>0</v>
      </c>
      <c r="K104" s="256">
        <f t="shared" si="2"/>
        <v>0</v>
      </c>
      <c r="L104" s="106" t="str">
        <f>IFERROR(INDEX(V:V,MATCH(I104,O273:O1772,0)+273-1),"")</f>
        <v/>
      </c>
    </row>
    <row r="105" spans="1:22" ht="15" customHeight="1" outlineLevel="1" x14ac:dyDescent="0.2">
      <c r="A105" s="118">
        <v>6</v>
      </c>
      <c r="B105" s="288" t="str">
        <f>IFERROR(INDEX(A:A,MATCH(I105,O273:O1772,0)+273-1),"")</f>
        <v/>
      </c>
      <c r="C105" s="288" t="str">
        <f>IFERROR(INDEX(B:B,MATCH(I105,O273:O1772,0)+273-1),"")</f>
        <v/>
      </c>
      <c r="D105" s="106" t="str">
        <f>IFERROR(INDEX(F:F,MATCH(I105,O273:O1772,0)+273-1),"")</f>
        <v/>
      </c>
      <c r="E105" s="106" t="str">
        <f>IFERROR(INDEX(E:E,MATCH(I105,O273:O1772,0)+273-1),"")</f>
        <v/>
      </c>
      <c r="F105" s="288" t="str">
        <f>IFERROR(IF(INDEX(G:G,MATCH(I105,O273:O1772,0)+273-1),"⚠ legal",""),"")</f>
        <v/>
      </c>
      <c r="G105" s="256">
        <f>IFERROR(INDEX(N:N,MATCH(I105,O273:O1772,0)+273-1),0)</f>
        <v>0</v>
      </c>
      <c r="H105" s="256">
        <f>IFERROR(INDEX(L:L,MATCH(I105,O273:O1772,0)+273-1),0)</f>
        <v>0</v>
      </c>
      <c r="I105" s="256">
        <f>IFERROR(LARGE(O273:O1772,6),0)</f>
        <v>0</v>
      </c>
      <c r="J105" s="256">
        <f>IFERROR(INDEX(P:P,MATCH(I105,O273:O1772,0)+273-1),0)</f>
        <v>0</v>
      </c>
      <c r="K105" s="256">
        <f t="shared" si="2"/>
        <v>0</v>
      </c>
      <c r="L105" s="106" t="str">
        <f>IFERROR(INDEX(V:V,MATCH(I105,O273:O1772,0)+273-1),"")</f>
        <v/>
      </c>
    </row>
    <row r="106" spans="1:22" ht="15" customHeight="1" outlineLevel="1" x14ac:dyDescent="0.2">
      <c r="A106" s="118">
        <v>7</v>
      </c>
      <c r="B106" s="288" t="str">
        <f>IFERROR(INDEX(A:A,MATCH(I106,O273:O1772,0)+273-1),"")</f>
        <v/>
      </c>
      <c r="C106" s="288" t="str">
        <f>IFERROR(INDEX(B:B,MATCH(I106,O273:O1772,0)+273-1),"")</f>
        <v/>
      </c>
      <c r="D106" s="106" t="str">
        <f>IFERROR(INDEX(F:F,MATCH(I106,O273:O1772,0)+273-1),"")</f>
        <v/>
      </c>
      <c r="E106" s="106" t="str">
        <f>IFERROR(INDEX(E:E,MATCH(I106,O273:O1772,0)+273-1),"")</f>
        <v/>
      </c>
      <c r="F106" s="288" t="str">
        <f>IFERROR(IF(INDEX(G:G,MATCH(I106,O273:O1772,0)+273-1),"⚠ legal",""),"")</f>
        <v/>
      </c>
      <c r="G106" s="256">
        <f>IFERROR(INDEX(N:N,MATCH(I106,O273:O1772,0)+273-1),0)</f>
        <v>0</v>
      </c>
      <c r="H106" s="256">
        <f>IFERROR(INDEX(L:L,MATCH(I106,O273:O1772,0)+273-1),0)</f>
        <v>0</v>
      </c>
      <c r="I106" s="256">
        <f>IFERROR(LARGE(O273:O1772,7),0)</f>
        <v>0</v>
      </c>
      <c r="J106" s="256">
        <f>IFERROR(INDEX(P:P,MATCH(I106,O273:O1772,0)+273-1),0)</f>
        <v>0</v>
      </c>
      <c r="K106" s="256">
        <f t="shared" si="2"/>
        <v>0</v>
      </c>
      <c r="L106" s="106" t="str">
        <f>IFERROR(INDEX(V:V,MATCH(I106,O273:O1772,0)+273-1),"")</f>
        <v/>
      </c>
    </row>
    <row r="107" spans="1:22" ht="15" customHeight="1" outlineLevel="1" x14ac:dyDescent="0.2">
      <c r="A107" s="118">
        <v>8</v>
      </c>
      <c r="B107" s="288" t="str">
        <f>IFERROR(INDEX(A:A,MATCH(I107,O273:O1772,0)+273-1),"")</f>
        <v/>
      </c>
      <c r="C107" s="288" t="str">
        <f>IFERROR(INDEX(B:B,MATCH(I107,O273:O1772,0)+273-1),"")</f>
        <v/>
      </c>
      <c r="D107" s="106" t="str">
        <f>IFERROR(INDEX(F:F,MATCH(I107,O273:O1772,0)+273-1),"")</f>
        <v/>
      </c>
      <c r="E107" s="106" t="str">
        <f>IFERROR(INDEX(E:E,MATCH(I107,O273:O1772,0)+273-1),"")</f>
        <v/>
      </c>
      <c r="F107" s="288" t="str">
        <f>IFERROR(IF(INDEX(G:G,MATCH(I107,O273:O1772,0)+273-1),"⚠ legal",""),"")</f>
        <v/>
      </c>
      <c r="G107" s="256">
        <f>IFERROR(INDEX(N:N,MATCH(I107,O273:O1772,0)+273-1),0)</f>
        <v>0</v>
      </c>
      <c r="H107" s="256">
        <f>IFERROR(INDEX(L:L,MATCH(I107,O273:O1772,0)+273-1),0)</f>
        <v>0</v>
      </c>
      <c r="I107" s="256">
        <f>IFERROR(LARGE(O273:O1772,8),0)</f>
        <v>0</v>
      </c>
      <c r="J107" s="256">
        <f>IFERROR(INDEX(P:P,MATCH(I107,O273:O1772,0)+273-1),0)</f>
        <v>0</v>
      </c>
      <c r="K107" s="256">
        <f t="shared" si="2"/>
        <v>0</v>
      </c>
      <c r="L107" s="106" t="str">
        <f>IFERROR(INDEX(V:V,MATCH(I107,O273:O1772,0)+273-1),"")</f>
        <v/>
      </c>
    </row>
    <row r="108" spans="1:22" ht="15" customHeight="1" outlineLevel="1" x14ac:dyDescent="0.2">
      <c r="A108" s="118">
        <v>9</v>
      </c>
      <c r="B108" s="288" t="str">
        <f>IFERROR(INDEX(A:A,MATCH(I108,O273:O1772,0)+273-1),"")</f>
        <v/>
      </c>
      <c r="C108" s="288" t="str">
        <f>IFERROR(INDEX(B:B,MATCH(I108,O273:O1772,0)+273-1),"")</f>
        <v/>
      </c>
      <c r="D108" s="106" t="str">
        <f>IFERROR(INDEX(F:F,MATCH(I108,O273:O1772,0)+273-1),"")</f>
        <v/>
      </c>
      <c r="E108" s="106" t="str">
        <f>IFERROR(INDEX(E:E,MATCH(I108,O273:O1772,0)+273-1),"")</f>
        <v/>
      </c>
      <c r="F108" s="288" t="str">
        <f>IFERROR(IF(INDEX(G:G,MATCH(I108,O273:O1772,0)+273-1),"⚠ legal",""),"")</f>
        <v/>
      </c>
      <c r="G108" s="256">
        <f>IFERROR(INDEX(N:N,MATCH(I108,O273:O1772,0)+273-1),0)</f>
        <v>0</v>
      </c>
      <c r="H108" s="256">
        <f>IFERROR(INDEX(L:L,MATCH(I108,O273:O1772,0)+273-1),0)</f>
        <v>0</v>
      </c>
      <c r="I108" s="256">
        <f>IFERROR(LARGE(O273:O1772,9),0)</f>
        <v>0</v>
      </c>
      <c r="J108" s="256">
        <f>IFERROR(INDEX(P:P,MATCH(I108,O273:O1772,0)+273-1),0)</f>
        <v>0</v>
      </c>
      <c r="K108" s="256">
        <f t="shared" si="2"/>
        <v>0</v>
      </c>
      <c r="L108" s="106" t="str">
        <f>IFERROR(INDEX(V:V,MATCH(I108,O273:O1772,0)+273-1),"")</f>
        <v/>
      </c>
    </row>
    <row r="109" spans="1:22" ht="15" customHeight="1" outlineLevel="1" x14ac:dyDescent="0.2">
      <c r="A109" s="118">
        <v>10</v>
      </c>
      <c r="B109" s="288" t="str">
        <f>IFERROR(INDEX(A:A,MATCH(I109,O273:O1772,0)+273-1),"")</f>
        <v/>
      </c>
      <c r="C109" s="288" t="str">
        <f>IFERROR(INDEX(B:B,MATCH(I109,O273:O1772,0)+273-1),"")</f>
        <v/>
      </c>
      <c r="D109" s="106" t="str">
        <f>IFERROR(INDEX(F:F,MATCH(I109,O273:O1772,0)+273-1),"")</f>
        <v/>
      </c>
      <c r="E109" s="106" t="str">
        <f>IFERROR(INDEX(E:E,MATCH(I109,O273:O1772,0)+273-1),"")</f>
        <v/>
      </c>
      <c r="F109" s="288" t="str">
        <f>IFERROR(IF(INDEX(G:G,MATCH(I109,O273:O1772,0)+273-1),"⚠ legal",""),"")</f>
        <v/>
      </c>
      <c r="G109" s="256">
        <f>IFERROR(INDEX(N:N,MATCH(I109,O273:O1772,0)+273-1),0)</f>
        <v>0</v>
      </c>
      <c r="H109" s="256">
        <f>IFERROR(INDEX(L:L,MATCH(I109,O273:O1772,0)+273-1),0)</f>
        <v>0</v>
      </c>
      <c r="I109" s="256">
        <f>IFERROR(LARGE(O273:O1772,10),0)</f>
        <v>0</v>
      </c>
      <c r="J109" s="256">
        <f>IFERROR(INDEX(P:P,MATCH(I109,O273:O1772,0)+273-1),0)</f>
        <v>0</v>
      </c>
      <c r="K109" s="256">
        <f t="shared" si="2"/>
        <v>0</v>
      </c>
      <c r="L109" s="106" t="str">
        <f>IFERROR(INDEX(V:V,MATCH(I109,O273:O1772,0)+273-1),"")</f>
        <v/>
      </c>
    </row>
    <row r="110" spans="1:22" ht="15" customHeight="1" outlineLevel="1" x14ac:dyDescent="0.2">
      <c r="A110" s="290" t="s">
        <v>1215</v>
      </c>
      <c r="I110" s="291">
        <f>SUM(I100:I109)</f>
        <v>0</v>
      </c>
      <c r="J110" s="291">
        <f>SUM(J100:J109)</f>
        <v>0</v>
      </c>
      <c r="K110" s="291">
        <f>SUM(K100:K109)</f>
        <v>0</v>
      </c>
    </row>
    <row r="111" spans="1:22" ht="15" customHeight="1" outlineLevel="1" x14ac:dyDescent="0.2">
      <c r="A111" s="106" t="s">
        <v>1216</v>
      </c>
      <c r="I111" s="252">
        <f>IFERROR(I110/SUM(O273:O1772),0)</f>
        <v>0</v>
      </c>
    </row>
    <row r="112" spans="1:22" ht="15" customHeight="1" outlineLevel="1" x14ac:dyDescent="0.2"/>
    <row r="113" spans="1:22" ht="15" customHeight="1" outlineLevel="1" x14ac:dyDescent="0.2">
      <c r="A113" s="112" t="s">
        <v>1217</v>
      </c>
      <c r="B113" s="114">
        <f>COUNTIF(G273:G1772,TRUE())</f>
        <v>0</v>
      </c>
      <c r="C113" s="112" t="s">
        <v>1218</v>
      </c>
      <c r="D113" s="286">
        <f>SUMIFS(O273:O1772,G273:G1772,TRUE())</f>
        <v>0</v>
      </c>
      <c r="F113" s="112" t="s">
        <v>1199</v>
      </c>
      <c r="G113" s="115">
        <f>IFERROR(D113/SUM(O273:O1772),0)</f>
        <v>0</v>
      </c>
    </row>
    <row r="114" spans="1:22" ht="15" customHeight="1" outlineLevel="1" x14ac:dyDescent="0.2"/>
    <row r="115" spans="1:22" ht="15" customHeight="1" outlineLevel="1" x14ac:dyDescent="0.2"/>
    <row r="116" spans="1:22" ht="21.75" customHeight="1" x14ac:dyDescent="0.2">
      <c r="A116" s="929" t="s">
        <v>1219</v>
      </c>
      <c r="B116" s="929"/>
      <c r="C116" s="929"/>
      <c r="D116" s="929"/>
      <c r="E116" s="929"/>
      <c r="F116" s="929"/>
      <c r="G116" s="929"/>
      <c r="H116" s="929"/>
      <c r="I116" s="929"/>
      <c r="J116" s="929"/>
      <c r="K116" s="929"/>
      <c r="L116" s="929"/>
      <c r="M116" s="932"/>
      <c r="N116" s="932"/>
      <c r="O116" s="929"/>
      <c r="P116" s="929"/>
      <c r="Q116" s="929"/>
      <c r="R116" s="929"/>
      <c r="S116" s="929"/>
      <c r="T116" s="929"/>
      <c r="U116" s="929"/>
      <c r="V116" s="929"/>
    </row>
    <row r="117" spans="1:22" ht="15" customHeight="1" outlineLevel="1" x14ac:dyDescent="0.2">
      <c r="A117" s="1" t="s">
        <v>1220</v>
      </c>
      <c r="G117" s="116" t="s">
        <v>1221</v>
      </c>
    </row>
    <row r="118" spans="1:22" ht="27.75" customHeight="1" outlineLevel="1" x14ac:dyDescent="0.2">
      <c r="A118" s="116" t="s">
        <v>1222</v>
      </c>
      <c r="B118" s="116" t="s">
        <v>1223</v>
      </c>
      <c r="C118" s="116" t="s">
        <v>1224</v>
      </c>
      <c r="D118" s="116" t="s">
        <v>1225</v>
      </c>
      <c r="E118" s="116" t="s">
        <v>1226</v>
      </c>
      <c r="G118" s="116" t="s">
        <v>1227</v>
      </c>
      <c r="H118" s="116" t="s">
        <v>1223</v>
      </c>
      <c r="I118" s="116" t="s">
        <v>1228</v>
      </c>
      <c r="J118" s="116" t="s">
        <v>1229</v>
      </c>
      <c r="K118" s="116" t="s">
        <v>1230</v>
      </c>
      <c r="L118" s="116" t="s">
        <v>879</v>
      </c>
    </row>
    <row r="119" spans="1:22" ht="15" customHeight="1" outlineLevel="1" x14ac:dyDescent="0.2">
      <c r="A119" s="106" t="s">
        <v>1231</v>
      </c>
      <c r="B119" s="354">
        <f ca="1">SUMPRODUCT(((E273:E1772="Occupied No Notice")*((TODAY()-H273:H1772)&lt;=30)*(H273:H1772&gt;0))*1)</f>
        <v>0</v>
      </c>
      <c r="C119" s="256">
        <f ca="1">IFERROR(SUMPRODUCT(((E273:E1772="Occupied No Notice")*((TODAY()-H273:H1772)&lt;=30)*(H273:H1772&gt;0))*(N273:N1772))/B119,0)</f>
        <v>0</v>
      </c>
      <c r="D119" s="354">
        <f ca="1">B119*(365/30)</f>
        <v>0</v>
      </c>
      <c r="E119" s="368">
        <f ca="1">IFERROR(MAX(('Prop Info'!$B$6*0.95-COUNTIF(E273:E1772,"Occupied*"))/B119*(30/30),0),0)</f>
        <v>0</v>
      </c>
      <c r="G119" s="116" t="str">
        <f>$B253</f>
        <v/>
      </c>
      <c r="H119" s="369">
        <f ca="1">SUMPRODUCT(($C$273:$C$1772=$B253)*($I$273:$I$1772&lt;&gt;"")*($I$273:$I$1772&gt;=TODAY()-$H$123)*($N$273:$N$1772&gt;0))</f>
        <v>0</v>
      </c>
      <c r="I119" s="256">
        <f ca="1">IFERROR(SUMPRODUCT(($C$273:$C$1772=$B253)*($I$273:$I$1772&lt;&gt;"")*($I$273:$I$1772&gt;=TODAY()-$H$123)*$N$273:$N$1772)/H119,0)</f>
        <v>0</v>
      </c>
      <c r="J119" s="256">
        <f>IFERROR(AVERAGEIFS($N$273:$N$1772,$C$273:$C$1772,$B253,$E$273:$E$1772,"Occupied*"),0)</f>
        <v>0</v>
      </c>
      <c r="K119" s="370">
        <f ca="1">IFERROR((I119-J119)/J119,0)</f>
        <v>0</v>
      </c>
      <c r="L119" s="116" t="str">
        <f ca="1">IF(I119=0,"",IF(K119&gt;0.001,"▲ up",IF(K119&lt;-0.001,"▼ down","flat")))</f>
        <v/>
      </c>
    </row>
    <row r="120" spans="1:22" ht="15" customHeight="1" outlineLevel="1" x14ac:dyDescent="0.2">
      <c r="A120" s="106" t="s">
        <v>1232</v>
      </c>
      <c r="B120" s="354">
        <f ca="1">SUMPRODUCT(((E273:E1772="Occupied No Notice")*((TODAY()-H273:H1772)&lt;=60)*(H273:H1772&gt;0))*1)</f>
        <v>0</v>
      </c>
      <c r="C120" s="256">
        <f ca="1">IFERROR(SUMPRODUCT(((E273:E1772="Occupied No Notice")*((TODAY()-H273:H1772)&lt;=60)*(H273:H1772&gt;0))*(N273:N1772))/B120,0)</f>
        <v>0</v>
      </c>
      <c r="D120" s="354">
        <f ca="1">B120*(365/60)</f>
        <v>0</v>
      </c>
      <c r="E120" s="368">
        <f ca="1">IFERROR(MAX(('Prop Info'!$B$6*0.95-COUNTIF(E273:E1772,"Occupied*"))/B120*(60/30),0),0)</f>
        <v>0</v>
      </c>
      <c r="G120" s="116" t="str">
        <f>$B254</f>
        <v/>
      </c>
      <c r="H120" s="369">
        <f ca="1">SUMPRODUCT(($C$273:$C$1772=$B254)*($I$273:$I$1772&lt;&gt;"")*($I$273:$I$1772&gt;=TODAY()-$H$123)*($N$273:$N$1772&gt;0))</f>
        <v>0</v>
      </c>
      <c r="I120" s="256">
        <f ca="1">IFERROR(SUMPRODUCT(($C$273:$C$1772=$B254)*($I$273:$I$1772&lt;&gt;"")*($I$273:$I$1772&gt;=TODAY()-$H$123)*$N$273:$N$1772)/H120,0)</f>
        <v>0</v>
      </c>
      <c r="J120" s="256">
        <f>IFERROR(AVERAGEIFS($N$273:$N$1772,$C$273:$C$1772,$B254,$E$273:$E$1772,"Occupied*"),0)</f>
        <v>0</v>
      </c>
      <c r="K120" s="370">
        <f ca="1">IFERROR((I120-J120)/J120,0)</f>
        <v>0</v>
      </c>
      <c r="L120" s="116" t="str">
        <f ca="1">IF(I120=0,"",IF(K120&gt;0.001,"▲ up",IF(K120&lt;-0.001,"▼ down","flat")))</f>
        <v/>
      </c>
    </row>
    <row r="121" spans="1:22" ht="15" customHeight="1" outlineLevel="1" x14ac:dyDescent="0.2">
      <c r="A121" s="106" t="s">
        <v>1233</v>
      </c>
      <c r="B121" s="354">
        <f ca="1">SUMPRODUCT(((E273:E1772="Occupied No Notice")*((TODAY()-H273:H1772)&lt;=90)*(H273:H1772&gt;0))*1)</f>
        <v>0</v>
      </c>
      <c r="C121" s="256">
        <f ca="1">IFERROR(SUMPRODUCT(((E273:E1772="Occupied No Notice")*((TODAY()-H273:H1772)&lt;=90)*(H273:H1772&gt;0))*(N273:N1772))/B121,0)</f>
        <v>0</v>
      </c>
      <c r="D121" s="354">
        <f ca="1">B121*(365/90)</f>
        <v>0</v>
      </c>
      <c r="E121" s="368">
        <f ca="1">IFERROR(MAX(('Prop Info'!$B$6*0.95-COUNTIF(E273:E1772,"Occupied*"))/B121*(90/30),0),0)</f>
        <v>0</v>
      </c>
      <c r="G121" s="116" t="str">
        <f>$B255</f>
        <v/>
      </c>
      <c r="H121" s="369">
        <f ca="1">SUMPRODUCT(($C$273:$C$1772=$B255)*($I$273:$I$1772&lt;&gt;"")*($I$273:$I$1772&gt;=TODAY()-$H$123)*($N$273:$N$1772&gt;0))</f>
        <v>0</v>
      </c>
      <c r="I121" s="256">
        <f ca="1">IFERROR(SUMPRODUCT(($C$273:$C$1772=$B255)*($I$273:$I$1772&lt;&gt;"")*($I$273:$I$1772&gt;=TODAY()-$H$123)*$N$273:$N$1772)/H121,0)</f>
        <v>0</v>
      </c>
      <c r="J121" s="256">
        <f>IFERROR(AVERAGEIFS($N$273:$N$1772,$C$273:$C$1772,$B255,$E$273:$E$1772,"Occupied*"),0)</f>
        <v>0</v>
      </c>
      <c r="K121" s="370">
        <f ca="1">IFERROR((I121-J121)/J121,0)</f>
        <v>0</v>
      </c>
      <c r="L121" s="116" t="str">
        <f ca="1">IF(I121=0,"",IF(K121&gt;0.001,"▲ up",IF(K121&lt;-0.001,"▼ down","flat")))</f>
        <v/>
      </c>
    </row>
    <row r="122" spans="1:22" ht="15" customHeight="1" outlineLevel="1" x14ac:dyDescent="0.2">
      <c r="A122" s="106" t="s">
        <v>1234</v>
      </c>
      <c r="B122" s="354">
        <f ca="1">SUMPRODUCT(((E273:E1772="Occupied No Notice")*((TODAY()-H273:H1772)&lt;=180)*(H273:H1772&gt;0))*1)</f>
        <v>0</v>
      </c>
      <c r="C122" s="256">
        <f ca="1">IFERROR(SUMPRODUCT(((E273:E1772="Occupied No Notice")*((TODAY()-H273:H1772)&lt;=180)*(H273:H1772&gt;0))*(N273:N1772))/B122,0)</f>
        <v>0</v>
      </c>
      <c r="D122" s="354">
        <f ca="1">B122*(365/180)</f>
        <v>0</v>
      </c>
      <c r="E122" s="368">
        <f ca="1">IFERROR(MAX(('Prop Info'!$B$6*0.95-COUNTIF(E273:E1772,"Occupied*"))/B122*(180/30),0),0)</f>
        <v>0</v>
      </c>
      <c r="G122" s="116" t="s">
        <v>1235</v>
      </c>
      <c r="H122" s="369">
        <f ca="1">SUM(H119:H121)</f>
        <v>0</v>
      </c>
      <c r="I122" s="256">
        <f ca="1">IFERROR(SUMPRODUCT(I119:I121,H119:H121)/H122,0)</f>
        <v>0</v>
      </c>
      <c r="J122" s="256">
        <f>IFERROR(AVERAGEIFS($N$273:$N$1772,$E$273:$E$1772,"Occupied*"),0)</f>
        <v>0</v>
      </c>
      <c r="K122" s="370">
        <f ca="1">IFERROR((I122-J122)/J122,0)</f>
        <v>0</v>
      </c>
      <c r="L122" s="116" t="str">
        <f ca="1">IF(I122=0,"",IF(K122&gt;0.001,"▲ up",IF(K122&lt;-0.001,"▼ down","flat")))</f>
        <v/>
      </c>
    </row>
    <row r="123" spans="1:22" ht="23.25" customHeight="1" outlineLevel="1" x14ac:dyDescent="0.2">
      <c r="G123" s="116" t="s">
        <v>1236</v>
      </c>
      <c r="H123" s="121">
        <v>90</v>
      </c>
    </row>
    <row r="124" spans="1:22" ht="21.75" customHeight="1" x14ac:dyDescent="0.2">
      <c r="A124" s="929" t="s">
        <v>1237</v>
      </c>
      <c r="B124" s="929"/>
      <c r="C124" s="929"/>
      <c r="D124" s="929"/>
      <c r="E124" s="929"/>
      <c r="F124" s="929"/>
      <c r="G124" s="929"/>
      <c r="H124" s="929"/>
      <c r="I124" s="929"/>
      <c r="J124" s="929"/>
      <c r="K124" s="929"/>
      <c r="L124" s="929"/>
      <c r="M124" s="929"/>
      <c r="N124" s="929"/>
      <c r="O124" s="929"/>
      <c r="P124" s="929"/>
      <c r="Q124" s="929"/>
      <c r="R124" s="929"/>
      <c r="S124" s="929"/>
      <c r="T124" s="929"/>
      <c r="U124" s="929"/>
      <c r="V124" s="929"/>
    </row>
    <row r="125" spans="1:22" ht="15" customHeight="1" outlineLevel="1" x14ac:dyDescent="0.2">
      <c r="A125" s="931" t="s">
        <v>1238</v>
      </c>
      <c r="B125" s="931"/>
      <c r="C125" s="931"/>
      <c r="D125" s="931"/>
      <c r="E125" s="931"/>
      <c r="F125" s="931"/>
      <c r="G125" s="931"/>
      <c r="H125" s="931"/>
      <c r="I125" s="931"/>
      <c r="J125" s="931"/>
      <c r="K125" s="931"/>
      <c r="L125" s="931"/>
      <c r="M125" s="931"/>
      <c r="N125" s="931"/>
      <c r="O125" s="931"/>
      <c r="P125" s="931"/>
      <c r="Q125" s="931"/>
      <c r="R125" s="931"/>
      <c r="S125" s="931"/>
      <c r="T125" s="931"/>
      <c r="U125" s="931"/>
      <c r="V125" s="931"/>
    </row>
    <row r="126" spans="1:22" ht="27.75" customHeight="1" outlineLevel="1" x14ac:dyDescent="0.2">
      <c r="A126" s="116" t="s">
        <v>1239</v>
      </c>
      <c r="B126" s="116" t="s">
        <v>369</v>
      </c>
      <c r="C126" s="116" t="s">
        <v>1240</v>
      </c>
      <c r="D126" s="116" t="s">
        <v>1241</v>
      </c>
      <c r="E126" s="116" t="s">
        <v>1242</v>
      </c>
    </row>
    <row r="127" spans="1:22" ht="15" customHeight="1" outlineLevel="1" x14ac:dyDescent="0.2">
      <c r="A127" s="106" t="s">
        <v>1243</v>
      </c>
      <c r="B127" s="354">
        <f>SUMPRODUCT((E273:E1772="Occupied No Notice")*((M273:M1772)&gt;(N273:N1772))*1)</f>
        <v>0</v>
      </c>
      <c r="C127" s="252">
        <f>IFERROR(B127/COUNTIF(E273:E1772,"Occupied*"),0)</f>
        <v>0</v>
      </c>
      <c r="D127" s="256">
        <f>SUMPRODUCT((E273:E1772="Occupied No Notice")*((M273:M1772)&gt;(N273:N1772))*((M273:M1772)-(N273:N1772)))</f>
        <v>0</v>
      </c>
      <c r="E127" s="256">
        <f>D127*12</f>
        <v>0</v>
      </c>
    </row>
    <row r="128" spans="1:22" ht="15" customHeight="1" outlineLevel="1" x14ac:dyDescent="0.2">
      <c r="A128" s="106" t="s">
        <v>352</v>
      </c>
      <c r="B128" s="354">
        <f>SUMPRODUCT((E273:E1772="Occupied No Notice")*((M273:M1772)=(N273:N1772))*1)</f>
        <v>0</v>
      </c>
      <c r="C128" s="252">
        <f>IFERROR(B128/COUNTIF(E273:E1772,"Occupied*"),0)</f>
        <v>0</v>
      </c>
      <c r="D128" s="303">
        <v>0</v>
      </c>
      <c r="E128" s="303">
        <v>0</v>
      </c>
    </row>
    <row r="129" spans="1:22" ht="15" customHeight="1" outlineLevel="1" x14ac:dyDescent="0.2">
      <c r="A129" s="106" t="s">
        <v>1244</v>
      </c>
      <c r="B129" s="354">
        <f>SUMPRODUCT((E273:E1772="Occupied No Notice")*((M273:M1772)&lt;(N273:N1772))*1)</f>
        <v>0</v>
      </c>
      <c r="C129" s="252">
        <f>IFERROR(B129/COUNTIF(E273:E1772,"Occupied*"),0)</f>
        <v>0</v>
      </c>
      <c r="D129" s="256">
        <f>SUMPRODUCT((E273:E1772="Occupied No Notice")*((M273:M1772)&lt;(N273:N1772))*((M273:M1772)-(N273:N1772)))</f>
        <v>0</v>
      </c>
      <c r="E129" s="256">
        <f>D129*12</f>
        <v>0</v>
      </c>
    </row>
    <row r="130" spans="1:22" ht="15" customHeight="1" outlineLevel="1" x14ac:dyDescent="0.2">
      <c r="A130" s="290" t="s">
        <v>1245</v>
      </c>
      <c r="D130" s="291">
        <f>SUMIFS(M273:M1772,E273:E1772,"Occupied*")-SUMIFS(N273:N1772,E273:E1772,"Occupied*")</f>
        <v>0</v>
      </c>
      <c r="E130" s="291">
        <f>D130*12</f>
        <v>0</v>
      </c>
      <c r="F130" s="290" t="str">
        <f>IF(ABS(D130)&lt;100,"🟢 minimal variance",IF(D130&lt;-1000,"⚠ material under-billing — investigate","ok"))</f>
        <v>🟢 minimal variance</v>
      </c>
    </row>
    <row r="131" spans="1:22" ht="15" customHeight="1" outlineLevel="1" x14ac:dyDescent="0.2"/>
    <row r="132" spans="1:22" ht="21.75" customHeight="1" x14ac:dyDescent="0.2">
      <c r="A132" s="929" t="s">
        <v>2388</v>
      </c>
      <c r="B132" s="929"/>
      <c r="C132" s="929"/>
      <c r="D132" s="929"/>
      <c r="E132" s="929"/>
      <c r="F132" s="929"/>
      <c r="G132" s="929"/>
      <c r="H132" s="929"/>
      <c r="I132" s="929"/>
      <c r="J132" s="929"/>
      <c r="K132" s="929"/>
      <c r="L132" s="929"/>
      <c r="M132" s="929"/>
      <c r="N132" s="929"/>
      <c r="O132" s="929"/>
      <c r="P132" s="929"/>
      <c r="Q132" s="929"/>
      <c r="R132" s="929"/>
      <c r="S132" s="929"/>
      <c r="T132" s="929"/>
      <c r="U132" s="929"/>
      <c r="V132" s="929"/>
    </row>
    <row r="133" spans="1:22" ht="27.75" customHeight="1" outlineLevel="1" x14ac:dyDescent="0.2">
      <c r="A133" s="116" t="s">
        <v>1227</v>
      </c>
      <c r="B133" s="116" t="s">
        <v>5</v>
      </c>
      <c r="C133" s="116" t="s">
        <v>1246</v>
      </c>
      <c r="D133" s="116" t="s">
        <v>1247</v>
      </c>
      <c r="E133" s="116" t="s">
        <v>1183</v>
      </c>
      <c r="F133" s="116" t="s">
        <v>1248</v>
      </c>
      <c r="G133" s="116" t="s">
        <v>1249</v>
      </c>
      <c r="H133" s="116" t="s">
        <v>1250</v>
      </c>
    </row>
    <row r="134" spans="1:22" ht="15" customHeight="1" outlineLevel="1" x14ac:dyDescent="0.2">
      <c r="A134" s="105" t="str">
        <f t="shared" ref="A134:B136" si="3">B253</f>
        <v/>
      </c>
      <c r="B134" s="354" t="str">
        <f t="shared" si="3"/>
        <v/>
      </c>
      <c r="C134" s="354" t="str">
        <f>F253</f>
        <v/>
      </c>
      <c r="D134" s="256" t="str">
        <f>J253</f>
        <v/>
      </c>
      <c r="E134" s="256" t="str">
        <f>I253</f>
        <v/>
      </c>
      <c r="F134" s="256" t="str">
        <f>K253</f>
        <v/>
      </c>
      <c r="G134" s="252" t="str">
        <f>P253</f>
        <v/>
      </c>
      <c r="H134" s="256" t="str">
        <f>O253</f>
        <v/>
      </c>
    </row>
    <row r="135" spans="1:22" ht="15" customHeight="1" outlineLevel="1" x14ac:dyDescent="0.2">
      <c r="A135" s="105" t="str">
        <f t="shared" si="3"/>
        <v/>
      </c>
      <c r="B135" s="354" t="str">
        <f t="shared" si="3"/>
        <v/>
      </c>
      <c r="C135" s="354" t="str">
        <f>F254</f>
        <v/>
      </c>
      <c r="D135" s="256" t="str">
        <f>J254</f>
        <v/>
      </c>
      <c r="E135" s="256" t="str">
        <f>I254</f>
        <v/>
      </c>
      <c r="F135" s="256" t="str">
        <f>K254</f>
        <v/>
      </c>
      <c r="G135" s="252" t="str">
        <f>P254</f>
        <v/>
      </c>
      <c r="H135" s="256" t="str">
        <f>O254</f>
        <v/>
      </c>
    </row>
    <row r="136" spans="1:22" ht="15" customHeight="1" outlineLevel="1" x14ac:dyDescent="0.2">
      <c r="A136" s="105" t="str">
        <f t="shared" si="3"/>
        <v/>
      </c>
      <c r="B136" s="354" t="str">
        <f t="shared" si="3"/>
        <v/>
      </c>
      <c r="C136" s="354" t="str">
        <f>F255</f>
        <v/>
      </c>
      <c r="D136" s="256" t="str">
        <f>J255</f>
        <v/>
      </c>
      <c r="E136" s="256" t="str">
        <f>I255</f>
        <v/>
      </c>
      <c r="F136" s="256" t="str">
        <f>K255</f>
        <v/>
      </c>
      <c r="G136" s="252" t="str">
        <f>P255</f>
        <v/>
      </c>
      <c r="H136" s="256" t="str">
        <f>O255</f>
        <v/>
      </c>
    </row>
    <row r="137" spans="1:22" ht="15" customHeight="1" outlineLevel="1" x14ac:dyDescent="0.2">
      <c r="A137" s="290" t="s">
        <v>49</v>
      </c>
      <c r="B137" s="359">
        <f>SUM(C253:C262)</f>
        <v>0</v>
      </c>
      <c r="C137" s="359">
        <f>SUM(F253:F262)</f>
        <v>0</v>
      </c>
      <c r="H137" s="291">
        <f>SUM(O253:O262)</f>
        <v>0</v>
      </c>
    </row>
    <row r="138" spans="1:22" ht="15" customHeight="1" outlineLevel="1" x14ac:dyDescent="0.2"/>
    <row r="139" spans="1:22" ht="21.75" customHeight="1" x14ac:dyDescent="0.2">
      <c r="A139" s="929" t="s">
        <v>1251</v>
      </c>
      <c r="B139" s="929"/>
      <c r="C139" s="929"/>
      <c r="D139" s="929"/>
      <c r="E139" s="929"/>
      <c r="F139" s="929"/>
      <c r="G139" s="929"/>
      <c r="H139" s="929"/>
      <c r="I139" s="929"/>
      <c r="J139" s="929"/>
      <c r="K139" s="929"/>
      <c r="L139" s="929"/>
      <c r="M139" s="929"/>
      <c r="N139" s="929"/>
      <c r="O139" s="929"/>
      <c r="P139" s="929"/>
      <c r="Q139" s="929"/>
      <c r="R139" s="929"/>
      <c r="S139" s="929"/>
      <c r="T139" s="929"/>
      <c r="U139" s="929"/>
      <c r="V139" s="929"/>
    </row>
    <row r="140" spans="1:22" ht="15" customHeight="1" outlineLevel="1" x14ac:dyDescent="0.2">
      <c r="A140" s="931" t="s">
        <v>1252</v>
      </c>
      <c r="B140" s="931"/>
      <c r="C140" s="931"/>
      <c r="D140" s="931"/>
      <c r="E140" s="931"/>
      <c r="F140" s="931"/>
      <c r="G140" s="931"/>
      <c r="H140" s="931"/>
      <c r="I140" s="931"/>
      <c r="J140" s="931"/>
      <c r="K140" s="931"/>
      <c r="L140" s="931"/>
      <c r="M140" s="931"/>
      <c r="N140" s="931"/>
      <c r="O140" s="931"/>
      <c r="P140" s="931"/>
      <c r="Q140" s="931"/>
      <c r="R140" s="931"/>
      <c r="S140" s="931"/>
      <c r="T140" s="931"/>
      <c r="U140" s="931"/>
      <c r="V140" s="931"/>
    </row>
    <row r="141" spans="1:22" ht="27.75" customHeight="1" outlineLevel="1" x14ac:dyDescent="0.2">
      <c r="A141" s="116" t="s">
        <v>1222</v>
      </c>
      <c r="B141" s="116" t="s">
        <v>1153</v>
      </c>
      <c r="C141" s="116" t="s">
        <v>1253</v>
      </c>
      <c r="D141" s="116" t="s">
        <v>1254</v>
      </c>
      <c r="E141" s="116" t="s">
        <v>1255</v>
      </c>
      <c r="F141" s="116" t="s">
        <v>1256</v>
      </c>
    </row>
    <row r="142" spans="1:22" ht="15" customHeight="1" outlineLevel="1" x14ac:dyDescent="0.2">
      <c r="A142" s="106" t="s">
        <v>1257</v>
      </c>
      <c r="B142" s="354">
        <f ca="1">SUMPRODUCT(((J273:J1772)&gt;=TODAY())*((J273:J1772)&lt;EDATE(TODAY(),3))*(E273:E1772="Occupied No Notice")*1)</f>
        <v>0</v>
      </c>
      <c r="C142" s="256">
        <f ca="1">SUMPRODUCT(((J273:J1772)&gt;=TODAY())*((J273:J1772)&lt;EDATE(TODAY(),3))*(E273:E1772="Occupied No Notice")*((L273:L1772)-(N273:N1772)))</f>
        <v>0</v>
      </c>
      <c r="D142" s="256">
        <f ca="1">C142*12</f>
        <v>0</v>
      </c>
      <c r="E142" s="256">
        <f ca="1">D142*0.7</f>
        <v>0</v>
      </c>
      <c r="F142" s="256">
        <f ca="1">D142*0.5</f>
        <v>0</v>
      </c>
    </row>
    <row r="143" spans="1:22" ht="15" customHeight="1" outlineLevel="1" x14ac:dyDescent="0.2">
      <c r="A143" s="106" t="s">
        <v>1258</v>
      </c>
      <c r="B143" s="354">
        <f ca="1">SUMPRODUCT(((J273:J1772)&gt;=TODAY())*((J273:J1772)&lt;EDATE(TODAY(),6))*(E273:E1772="Occupied No Notice")*1)</f>
        <v>0</v>
      </c>
      <c r="C143" s="256">
        <f ca="1">SUMPRODUCT(((J273:J1772)&gt;=TODAY())*((J273:J1772)&lt;EDATE(TODAY(),6))*(E273:E1772="Occupied No Notice")*((L273:L1772)-(N273:N1772)))</f>
        <v>0</v>
      </c>
      <c r="D143" s="256">
        <f ca="1">C143*12</f>
        <v>0</v>
      </c>
      <c r="E143" s="256">
        <f ca="1">D143*0.7</f>
        <v>0</v>
      </c>
      <c r="F143" s="256">
        <f ca="1">D143*0.5</f>
        <v>0</v>
      </c>
    </row>
    <row r="144" spans="1:22" ht="15" customHeight="1" outlineLevel="1" x14ac:dyDescent="0.2">
      <c r="A144" s="106" t="s">
        <v>1259</v>
      </c>
      <c r="B144" s="354">
        <f ca="1">SUMPRODUCT(((J273:J1772)&gt;=TODAY())*((J273:J1772)&lt;EDATE(TODAY(),12))*(E273:E1772="Occupied No Notice")*1)</f>
        <v>0</v>
      </c>
      <c r="C144" s="256">
        <f ca="1">SUMPRODUCT(((J273:J1772)&gt;=TODAY())*((J273:J1772)&lt;EDATE(TODAY(),12))*(E273:E1772="Occupied No Notice")*((L273:L1772)-(N273:N1772)))</f>
        <v>0</v>
      </c>
      <c r="D144" s="256">
        <f ca="1">C144*12</f>
        <v>0</v>
      </c>
      <c r="E144" s="256">
        <f ca="1">D144*0.7</f>
        <v>0</v>
      </c>
      <c r="F144" s="256">
        <f ca="1">D144*0.5</f>
        <v>0</v>
      </c>
    </row>
    <row r="145" spans="1:22" ht="15" customHeight="1" outlineLevel="1" x14ac:dyDescent="0.2">
      <c r="A145" s="106" t="s">
        <v>1260</v>
      </c>
      <c r="B145" s="354">
        <f ca="1">SUMPRODUCT(((J273:J1772)&gt;=TODAY())*((J273:J1772)&lt;EDATE(TODAY(),24))*(E273:E1772="Occupied No Notice")*1)</f>
        <v>0</v>
      </c>
      <c r="C145" s="256">
        <f ca="1">SUMPRODUCT(((J273:J1772)&gt;=TODAY())*((J273:J1772)&lt;EDATE(TODAY(),24))*(E273:E1772="Occupied No Notice")*((L273:L1772)-(N273:N1772)))</f>
        <v>0</v>
      </c>
      <c r="D145" s="256">
        <f ca="1">C145*12</f>
        <v>0</v>
      </c>
      <c r="E145" s="256">
        <f ca="1">D145*0.7</f>
        <v>0</v>
      </c>
      <c r="F145" s="256">
        <f ca="1">D145*0.5</f>
        <v>0</v>
      </c>
    </row>
    <row r="146" spans="1:22" ht="15" customHeight="1" outlineLevel="1" x14ac:dyDescent="0.2"/>
    <row r="147" spans="1:22" ht="15" customHeight="1" outlineLevel="1" x14ac:dyDescent="0.2"/>
    <row r="148" spans="1:22" ht="21.75" customHeight="1" x14ac:dyDescent="0.2">
      <c r="A148" s="929" t="s">
        <v>1261</v>
      </c>
      <c r="B148" s="929"/>
      <c r="C148" s="929"/>
      <c r="D148" s="929"/>
      <c r="E148" s="929"/>
      <c r="F148" s="929"/>
      <c r="G148" s="929"/>
      <c r="H148" s="929"/>
      <c r="I148" s="929"/>
      <c r="J148" s="929"/>
      <c r="K148" s="929"/>
      <c r="L148" s="929"/>
      <c r="M148" s="929"/>
      <c r="N148" s="929"/>
      <c r="O148" s="929"/>
      <c r="P148" s="929"/>
      <c r="Q148" s="929"/>
      <c r="R148" s="929"/>
      <c r="S148" s="929"/>
      <c r="T148" s="929"/>
      <c r="U148" s="929"/>
      <c r="V148" s="929"/>
    </row>
    <row r="149" spans="1:22" ht="15" customHeight="1" outlineLevel="1" x14ac:dyDescent="0.2">
      <c r="A149" s="931" t="s">
        <v>1262</v>
      </c>
      <c r="B149" s="931"/>
      <c r="C149" s="931"/>
      <c r="D149" s="931"/>
      <c r="E149" s="931"/>
      <c r="F149" s="931"/>
      <c r="G149" s="931"/>
      <c r="H149" s="931"/>
      <c r="I149" s="931"/>
      <c r="J149" s="931"/>
      <c r="K149" s="931"/>
      <c r="L149" s="931"/>
      <c r="M149" s="931"/>
      <c r="N149" s="931"/>
      <c r="O149" s="931"/>
      <c r="P149" s="931"/>
      <c r="Q149" s="931"/>
      <c r="R149" s="931"/>
      <c r="S149" s="931"/>
      <c r="T149" s="931"/>
      <c r="U149" s="931"/>
      <c r="V149" s="931"/>
    </row>
    <row r="150" spans="1:22" ht="15" customHeight="1" outlineLevel="1" x14ac:dyDescent="0.2">
      <c r="A150" s="104" t="s">
        <v>11</v>
      </c>
      <c r="B150" s="104" t="s">
        <v>12</v>
      </c>
      <c r="C150" s="104" t="s">
        <v>1263</v>
      </c>
      <c r="D150" s="104" t="s">
        <v>880</v>
      </c>
    </row>
    <row r="151" spans="1:22" ht="15" customHeight="1" outlineLevel="1" x14ac:dyDescent="0.2">
      <c r="A151" s="106" t="s">
        <v>1264</v>
      </c>
      <c r="B151" s="354">
        <f>COUNTIF(G273:G1772,TRUE())</f>
        <v>0</v>
      </c>
      <c r="C151" s="252">
        <f>IFERROR(B151/COUNTIF(E273:E1772,"Occupied*"),0)</f>
        <v>0</v>
      </c>
      <c r="D151" s="1" t="s">
        <v>1265</v>
      </c>
    </row>
    <row r="152" spans="1:22" ht="15" customHeight="1" outlineLevel="1" x14ac:dyDescent="0.2">
      <c r="A152" s="106" t="s">
        <v>1266</v>
      </c>
      <c r="B152" s="256">
        <f>SUMIFS(O273:O1772,G273:G1772,TRUE())</f>
        <v>0</v>
      </c>
      <c r="C152" s="252">
        <f>IFERROR(B152/SUM(O273:O1772),0)</f>
        <v>0</v>
      </c>
      <c r="D152" s="1" t="s">
        <v>1267</v>
      </c>
    </row>
    <row r="153" spans="1:22" ht="15" customHeight="1" outlineLevel="1" x14ac:dyDescent="0.2">
      <c r="A153" s="106" t="s">
        <v>1268</v>
      </c>
      <c r="B153" s="256">
        <f>IFERROR(B152/B151,0)</f>
        <v>0</v>
      </c>
      <c r="D153" s="1"/>
    </row>
    <row r="154" spans="1:22" ht="15" customHeight="1" outlineLevel="1" x14ac:dyDescent="0.2">
      <c r="A154" s="106" t="s">
        <v>1269</v>
      </c>
      <c r="B154" s="256">
        <f>IFERROR(SUMIFS(N273:N1772,G273:G1772,TRUE())/B151,0)</f>
        <v>0</v>
      </c>
      <c r="D154" s="1"/>
    </row>
    <row r="155" spans="1:22" ht="15" customHeight="1" outlineLevel="1" x14ac:dyDescent="0.2">
      <c r="A155" s="106" t="s">
        <v>1270</v>
      </c>
      <c r="B155" s="371">
        <f>IFERROR(B153/B154,0)</f>
        <v>0</v>
      </c>
      <c r="D155" s="1" t="s">
        <v>1271</v>
      </c>
    </row>
    <row r="156" spans="1:22" ht="15" customHeight="1" outlineLevel="1" x14ac:dyDescent="0.2">
      <c r="A156" s="106" t="s">
        <v>1272</v>
      </c>
      <c r="B156" s="256">
        <f>SUMIFS(N273:N1772,G273:G1772,TRUE())*12</f>
        <v>0</v>
      </c>
      <c r="C156" s="109">
        <f>IFERROR(B156/Scenarios!F40,0)</f>
        <v>0</v>
      </c>
      <c r="D156" s="1" t="s">
        <v>898</v>
      </c>
    </row>
    <row r="157" spans="1:22" ht="15" customHeight="1" outlineLevel="1" x14ac:dyDescent="0.2">
      <c r="A157" s="106" t="s">
        <v>1273</v>
      </c>
      <c r="B157" s="256">
        <f>SUMIFS(P273:P1772,G273:G1772,TRUE())</f>
        <v>0</v>
      </c>
      <c r="C157" s="252">
        <f>IFERROR(B157/B152,0)</f>
        <v>0</v>
      </c>
      <c r="D157" s="1" t="s">
        <v>1274</v>
      </c>
    </row>
    <row r="158" spans="1:22" ht="15" customHeight="1" outlineLevel="1" x14ac:dyDescent="0.2"/>
    <row r="159" spans="1:22" ht="15" customHeight="1" outlineLevel="1" x14ac:dyDescent="0.2"/>
    <row r="160" spans="1:22" ht="21.75" customHeight="1" x14ac:dyDescent="0.2">
      <c r="A160" s="929" t="s">
        <v>1275</v>
      </c>
      <c r="B160" s="929"/>
      <c r="C160" s="929"/>
      <c r="D160" s="929"/>
      <c r="E160" s="929"/>
      <c r="F160" s="929"/>
      <c r="G160" s="929"/>
      <c r="H160" s="929"/>
      <c r="I160" s="929"/>
      <c r="J160" s="929"/>
      <c r="K160" s="929"/>
      <c r="L160" s="929"/>
      <c r="M160" s="929"/>
      <c r="N160" s="929"/>
      <c r="O160" s="929"/>
      <c r="P160" s="929"/>
      <c r="Q160" s="929"/>
      <c r="R160" s="929"/>
      <c r="S160" s="929"/>
      <c r="T160" s="929"/>
      <c r="U160" s="929"/>
      <c r="V160" s="929"/>
    </row>
    <row r="161" spans="1:22" ht="15" customHeight="1" outlineLevel="1" x14ac:dyDescent="0.2">
      <c r="A161" s="931" t="s">
        <v>1276</v>
      </c>
      <c r="B161" s="931"/>
      <c r="C161" s="931"/>
      <c r="D161" s="931"/>
      <c r="E161" s="931"/>
      <c r="F161" s="931"/>
      <c r="G161" s="931"/>
      <c r="H161" s="931"/>
      <c r="I161" s="931"/>
      <c r="J161" s="931"/>
      <c r="K161" s="931"/>
      <c r="L161" s="931"/>
      <c r="M161" s="931"/>
      <c r="N161" s="931"/>
      <c r="O161" s="931"/>
      <c r="P161" s="931"/>
      <c r="Q161" s="931"/>
      <c r="R161" s="931"/>
      <c r="S161" s="931"/>
      <c r="T161" s="931"/>
      <c r="U161" s="931"/>
      <c r="V161" s="931"/>
    </row>
    <row r="162" spans="1:22" ht="27.75" customHeight="1" outlineLevel="1" x14ac:dyDescent="0.2">
      <c r="A162" s="116" t="s">
        <v>1208</v>
      </c>
      <c r="B162" s="116" t="s">
        <v>5</v>
      </c>
      <c r="C162" s="116" t="s">
        <v>1246</v>
      </c>
      <c r="D162" s="116" t="s">
        <v>1277</v>
      </c>
      <c r="E162" s="116" t="s">
        <v>1278</v>
      </c>
      <c r="F162" s="116" t="s">
        <v>1279</v>
      </c>
      <c r="G162" s="116" t="s">
        <v>1280</v>
      </c>
      <c r="H162" s="116" t="s">
        <v>1120</v>
      </c>
      <c r="I162" s="116" t="s">
        <v>880</v>
      </c>
    </row>
    <row r="163" spans="1:22" ht="15" customHeight="1" outlineLevel="1" x14ac:dyDescent="0.2">
      <c r="A163" s="105" t="s">
        <v>1281</v>
      </c>
      <c r="B163" s="354">
        <f>COUNTIF(A273:A1772,"A")</f>
        <v>0</v>
      </c>
      <c r="C163" s="354">
        <f>COUNTIFS(A273:A1772,"A",E273:E1772,"Occupied*")</f>
        <v>0</v>
      </c>
      <c r="D163" s="354">
        <f>COUNTIFS(A273:A1772,"A",E273:E1772,"Vacant*")</f>
        <v>0</v>
      </c>
      <c r="E163" s="252">
        <f t="shared" ref="E163:E181" si="4">IFERROR(D163/B163,0)</f>
        <v>0</v>
      </c>
      <c r="F163" s="354">
        <f>COUNTIFS(A273:A1772,"A",E273:E1772,"Down*")</f>
        <v>0</v>
      </c>
      <c r="G163" s="354">
        <f>COUNTIFS(A273:A1772,"A",G273:G1772,TRUE())</f>
        <v>0</v>
      </c>
      <c r="H163" s="256">
        <f>SUMIFS(O273:O1772,A273:A1772,"A")</f>
        <v>0</v>
      </c>
      <c r="I163" s="288" t="str">
        <f t="shared" ref="I163:I180" si="5">IF(E163&gt;0.75,"🔴 critical concentration",IF(E163&gt;0.6,"⚠ high vacancy","ok"))</f>
        <v>ok</v>
      </c>
    </row>
    <row r="164" spans="1:22" ht="15" customHeight="1" outlineLevel="1" x14ac:dyDescent="0.2">
      <c r="A164" s="105" t="s">
        <v>1282</v>
      </c>
      <c r="B164" s="354">
        <f>COUNTIF(A273:A1772,"B")</f>
        <v>0</v>
      </c>
      <c r="C164" s="354">
        <f>COUNTIFS(A273:A1772,"B",E273:E1772,"Occupied*")</f>
        <v>0</v>
      </c>
      <c r="D164" s="354">
        <f>COUNTIFS(A273:A1772,"B",E273:E1772,"Vacant*")</f>
        <v>0</v>
      </c>
      <c r="E164" s="252">
        <f t="shared" si="4"/>
        <v>0</v>
      </c>
      <c r="F164" s="354">
        <f>COUNTIFS(A273:A1772,"B",E273:E1772,"Down*")</f>
        <v>0</v>
      </c>
      <c r="G164" s="354">
        <f>COUNTIFS(A273:A1772,"B",G273:G1772,TRUE())</f>
        <v>0</v>
      </c>
      <c r="H164" s="256">
        <f>SUMIFS(O273:O1772,A273:A1772,"B")</f>
        <v>0</v>
      </c>
      <c r="I164" s="288" t="str">
        <f t="shared" si="5"/>
        <v>ok</v>
      </c>
    </row>
    <row r="165" spans="1:22" ht="15" customHeight="1" outlineLevel="1" x14ac:dyDescent="0.2">
      <c r="A165" s="105" t="s">
        <v>1283</v>
      </c>
      <c r="B165" s="354">
        <f>COUNTIF(A273:A1772,"C")</f>
        <v>0</v>
      </c>
      <c r="C165" s="354">
        <f>COUNTIFS(A273:A1772,"C",E273:E1772,"Occupied*")</f>
        <v>0</v>
      </c>
      <c r="D165" s="354">
        <f>COUNTIFS(A273:A1772,"C",E273:E1772,"Vacant*")</f>
        <v>0</v>
      </c>
      <c r="E165" s="252">
        <f t="shared" si="4"/>
        <v>0</v>
      </c>
      <c r="F165" s="354">
        <f>COUNTIFS(A273:A1772,"C",E273:E1772,"Down*")</f>
        <v>0</v>
      </c>
      <c r="G165" s="354">
        <f>COUNTIFS(A273:A1772,"C",G273:G1772,TRUE())</f>
        <v>0</v>
      </c>
      <c r="H165" s="256">
        <f>SUMIFS(O273:O1772,A273:A1772,"C")</f>
        <v>0</v>
      </c>
      <c r="I165" s="288" t="str">
        <f t="shared" si="5"/>
        <v>ok</v>
      </c>
    </row>
    <row r="166" spans="1:22" ht="15" customHeight="1" outlineLevel="1" x14ac:dyDescent="0.2">
      <c r="A166" s="105" t="s">
        <v>1284</v>
      </c>
      <c r="B166" s="354">
        <f>COUNTIF(A273:A1772,"D")</f>
        <v>0</v>
      </c>
      <c r="C166" s="354">
        <f>COUNTIFS(A273:A1772,"D",E273:E1772,"Occupied*")</f>
        <v>0</v>
      </c>
      <c r="D166" s="354">
        <f>COUNTIFS(A273:A1772,"D",E273:E1772,"Vacant*")</f>
        <v>0</v>
      </c>
      <c r="E166" s="252">
        <f t="shared" si="4"/>
        <v>0</v>
      </c>
      <c r="F166" s="354">
        <f>COUNTIFS(A273:A1772,"D",E273:E1772,"Down*")</f>
        <v>0</v>
      </c>
      <c r="G166" s="354">
        <f>COUNTIFS(A273:A1772,"D",G273:G1772,TRUE())</f>
        <v>0</v>
      </c>
      <c r="H166" s="256">
        <f>SUMIFS(O273:O1772,A273:A1772,"D")</f>
        <v>0</v>
      </c>
      <c r="I166" s="288" t="str">
        <f t="shared" si="5"/>
        <v>ok</v>
      </c>
    </row>
    <row r="167" spans="1:22" ht="15" customHeight="1" outlineLevel="1" x14ac:dyDescent="0.2">
      <c r="A167" s="105" t="s">
        <v>1285</v>
      </c>
      <c r="B167" s="354">
        <f>COUNTIF(A273:A1772,"E")</f>
        <v>0</v>
      </c>
      <c r="C167" s="354">
        <f>COUNTIFS(A273:A1772,"E",E273:E1772,"Occupied*")</f>
        <v>0</v>
      </c>
      <c r="D167" s="354">
        <f>COUNTIFS(A273:A1772,"E",E273:E1772,"Vacant*")</f>
        <v>0</v>
      </c>
      <c r="E167" s="252">
        <f t="shared" si="4"/>
        <v>0</v>
      </c>
      <c r="F167" s="354">
        <f>COUNTIFS(A273:A1772,"E",E273:E1772,"Down*")</f>
        <v>0</v>
      </c>
      <c r="G167" s="354">
        <f>COUNTIFS(A273:A1772,"E",G273:G1772,TRUE())</f>
        <v>0</v>
      </c>
      <c r="H167" s="256">
        <f>SUMIFS(O273:O1772,A273:A1772,"E")</f>
        <v>0</v>
      </c>
      <c r="I167" s="288" t="str">
        <f t="shared" si="5"/>
        <v>ok</v>
      </c>
    </row>
    <row r="168" spans="1:22" ht="15" customHeight="1" outlineLevel="1" x14ac:dyDescent="0.2">
      <c r="A168" s="105" t="s">
        <v>1286</v>
      </c>
      <c r="B168" s="354">
        <f>COUNTIF(A273:A1772,"F")</f>
        <v>0</v>
      </c>
      <c r="C168" s="354">
        <f>COUNTIFS(A273:A1772,"F",E273:E1772,"Occupied*")</f>
        <v>0</v>
      </c>
      <c r="D168" s="354">
        <f>COUNTIFS(A273:A1772,"F",E273:E1772,"Vacant*")</f>
        <v>0</v>
      </c>
      <c r="E168" s="252">
        <f t="shared" si="4"/>
        <v>0</v>
      </c>
      <c r="F168" s="354">
        <f>COUNTIFS(A273:A1772,"F",E273:E1772,"Down*")</f>
        <v>0</v>
      </c>
      <c r="G168" s="354">
        <f>COUNTIFS(A273:A1772,"F",G273:G1772,TRUE())</f>
        <v>0</v>
      </c>
      <c r="H168" s="256">
        <f>SUMIFS(O273:O1772,A273:A1772,"F")</f>
        <v>0</v>
      </c>
      <c r="I168" s="288" t="str">
        <f t="shared" si="5"/>
        <v>ok</v>
      </c>
    </row>
    <row r="169" spans="1:22" ht="15" customHeight="1" outlineLevel="1" x14ac:dyDescent="0.2">
      <c r="A169" s="105" t="s">
        <v>1287</v>
      </c>
      <c r="B169" s="354">
        <f>COUNTIF(A273:A1772,"H")</f>
        <v>0</v>
      </c>
      <c r="C169" s="354">
        <f>COUNTIFS(A273:A1772,"H",E273:E1772,"Occupied*")</f>
        <v>0</v>
      </c>
      <c r="D169" s="354">
        <f>COUNTIFS(A273:A1772,"H",E273:E1772,"Vacant*")</f>
        <v>0</v>
      </c>
      <c r="E169" s="252">
        <f t="shared" si="4"/>
        <v>0</v>
      </c>
      <c r="F169" s="354">
        <f>COUNTIFS(A273:A1772,"H",E273:E1772,"Down*")</f>
        <v>0</v>
      </c>
      <c r="G169" s="354">
        <f>COUNTIFS(A273:A1772,"H",G273:G1772,TRUE())</f>
        <v>0</v>
      </c>
      <c r="H169" s="256">
        <f>SUMIFS(O273:O1772,A273:A1772,"H")</f>
        <v>0</v>
      </c>
      <c r="I169" s="288" t="str">
        <f t="shared" si="5"/>
        <v>ok</v>
      </c>
    </row>
    <row r="170" spans="1:22" ht="15" customHeight="1" outlineLevel="1" x14ac:dyDescent="0.2">
      <c r="A170" s="105" t="s">
        <v>1288</v>
      </c>
      <c r="B170" s="354">
        <f>COUNTIF(A273:A1772,"I")</f>
        <v>0</v>
      </c>
      <c r="C170" s="354">
        <f>COUNTIFS(A273:A1772,"I",E273:E1772,"Occupied*")</f>
        <v>0</v>
      </c>
      <c r="D170" s="354">
        <f>COUNTIFS(A273:A1772,"I",E273:E1772,"Vacant*")</f>
        <v>0</v>
      </c>
      <c r="E170" s="252">
        <f t="shared" si="4"/>
        <v>0</v>
      </c>
      <c r="F170" s="354">
        <f>COUNTIFS(A273:A1772,"I",E273:E1772,"Down*")</f>
        <v>0</v>
      </c>
      <c r="G170" s="354">
        <f>COUNTIFS(A273:A1772,"I",G273:G1772,TRUE())</f>
        <v>0</v>
      </c>
      <c r="H170" s="256">
        <f>SUMIFS(O273:O1772,A273:A1772,"I")</f>
        <v>0</v>
      </c>
      <c r="I170" s="288" t="str">
        <f t="shared" si="5"/>
        <v>ok</v>
      </c>
    </row>
    <row r="171" spans="1:22" ht="15" customHeight="1" outlineLevel="1" x14ac:dyDescent="0.2">
      <c r="A171" s="105" t="s">
        <v>1289</v>
      </c>
      <c r="B171" s="354">
        <f>COUNTIF(A273:A1772,"J")</f>
        <v>0</v>
      </c>
      <c r="C171" s="354">
        <f>COUNTIFS(A273:A1772,"J",E273:E1772,"Occupied*")</f>
        <v>0</v>
      </c>
      <c r="D171" s="354">
        <f>COUNTIFS(A273:A1772,"J",E273:E1772,"Vacant*")</f>
        <v>0</v>
      </c>
      <c r="E171" s="252">
        <f t="shared" si="4"/>
        <v>0</v>
      </c>
      <c r="F171" s="354">
        <f>COUNTIFS(A273:A1772,"J",E273:E1772,"Down*")</f>
        <v>0</v>
      </c>
      <c r="G171" s="354">
        <f>COUNTIFS(A273:A1772,"J",G273:G1772,TRUE())</f>
        <v>0</v>
      </c>
      <c r="H171" s="256">
        <f>SUMIFS(O273:O1772,A273:A1772,"J")</f>
        <v>0</v>
      </c>
      <c r="I171" s="288" t="str">
        <f t="shared" si="5"/>
        <v>ok</v>
      </c>
    </row>
    <row r="172" spans="1:22" ht="15" customHeight="1" outlineLevel="1" x14ac:dyDescent="0.2">
      <c r="A172" s="105" t="s">
        <v>1290</v>
      </c>
      <c r="B172" s="354">
        <f>COUNTIF(A273:A1772,"K")</f>
        <v>0</v>
      </c>
      <c r="C172" s="354">
        <f>COUNTIFS(A273:A1772,"K",E273:E1772,"Occupied*")</f>
        <v>0</v>
      </c>
      <c r="D172" s="354">
        <f>COUNTIFS(A273:A1772,"K",E273:E1772,"Vacant*")</f>
        <v>0</v>
      </c>
      <c r="E172" s="252">
        <f t="shared" si="4"/>
        <v>0</v>
      </c>
      <c r="F172" s="354">
        <f>COUNTIFS(A273:A1772,"K",E273:E1772,"Down*")</f>
        <v>0</v>
      </c>
      <c r="G172" s="354">
        <f>COUNTIFS(A273:A1772,"K",G273:G1772,TRUE())</f>
        <v>0</v>
      </c>
      <c r="H172" s="256">
        <f>SUMIFS(O273:O1772,A273:A1772,"K")</f>
        <v>0</v>
      </c>
      <c r="I172" s="288" t="str">
        <f t="shared" si="5"/>
        <v>ok</v>
      </c>
    </row>
    <row r="173" spans="1:22" ht="15" customHeight="1" outlineLevel="1" x14ac:dyDescent="0.2">
      <c r="A173" s="105" t="s">
        <v>1291</v>
      </c>
      <c r="B173" s="354">
        <f>COUNTIF(A273:A1772,"L")</f>
        <v>0</v>
      </c>
      <c r="C173" s="354">
        <f>COUNTIFS(A273:A1772,"L",E273:E1772,"Occupied*")</f>
        <v>0</v>
      </c>
      <c r="D173" s="354">
        <f>COUNTIFS(A273:A1772,"L",E273:E1772,"Vacant*")</f>
        <v>0</v>
      </c>
      <c r="E173" s="252">
        <f t="shared" si="4"/>
        <v>0</v>
      </c>
      <c r="F173" s="354">
        <f>COUNTIFS(A273:A1772,"L",E273:E1772,"Down*")</f>
        <v>0</v>
      </c>
      <c r="G173" s="354">
        <f>COUNTIFS(A273:A1772,"L",G273:G1772,TRUE())</f>
        <v>0</v>
      </c>
      <c r="H173" s="256">
        <f>SUMIFS(O273:O1772,A273:A1772,"L")</f>
        <v>0</v>
      </c>
      <c r="I173" s="288" t="str">
        <f t="shared" si="5"/>
        <v>ok</v>
      </c>
    </row>
    <row r="174" spans="1:22" ht="15" customHeight="1" outlineLevel="1" x14ac:dyDescent="0.2">
      <c r="A174" s="105" t="s">
        <v>1292</v>
      </c>
      <c r="B174" s="354">
        <f>COUNTIF(A273:A1772,"M")</f>
        <v>0</v>
      </c>
      <c r="C174" s="354">
        <f>COUNTIFS(A273:A1772,"M",E273:E1772,"Occupied*")</f>
        <v>0</v>
      </c>
      <c r="D174" s="354">
        <f>COUNTIFS(A273:A1772,"M",E273:E1772,"Vacant*")</f>
        <v>0</v>
      </c>
      <c r="E174" s="252">
        <f t="shared" si="4"/>
        <v>0</v>
      </c>
      <c r="F174" s="354">
        <f>COUNTIFS(A273:A1772,"M",E273:E1772,"Down*")</f>
        <v>0</v>
      </c>
      <c r="G174" s="354">
        <f>COUNTIFS(A273:A1772,"M",G273:G1772,TRUE())</f>
        <v>0</v>
      </c>
      <c r="H174" s="256">
        <f>SUMIFS(O273:O1772,A273:A1772,"M")</f>
        <v>0</v>
      </c>
      <c r="I174" s="288" t="str">
        <f t="shared" si="5"/>
        <v>ok</v>
      </c>
    </row>
    <row r="175" spans="1:22" ht="15" customHeight="1" outlineLevel="1" x14ac:dyDescent="0.2">
      <c r="A175" s="105" t="s">
        <v>1293</v>
      </c>
      <c r="B175" s="354">
        <f>COUNTIF(A273:A1772,"N")</f>
        <v>0</v>
      </c>
      <c r="C175" s="354">
        <f>COUNTIFS(A273:A1772,"N",E273:E1772,"Occupied*")</f>
        <v>0</v>
      </c>
      <c r="D175" s="354">
        <f>COUNTIFS(A273:A1772,"N",E273:E1772,"Vacant*")</f>
        <v>0</v>
      </c>
      <c r="E175" s="252">
        <f t="shared" si="4"/>
        <v>0</v>
      </c>
      <c r="F175" s="354">
        <f>COUNTIFS(A273:A1772,"N",E273:E1772,"Down*")</f>
        <v>0</v>
      </c>
      <c r="G175" s="354">
        <f>COUNTIFS(A273:A1772,"N",G273:G1772,TRUE())</f>
        <v>0</v>
      </c>
      <c r="H175" s="256">
        <f>SUMIFS(O273:O1772,A273:A1772,"N")</f>
        <v>0</v>
      </c>
      <c r="I175" s="288" t="str">
        <f t="shared" si="5"/>
        <v>ok</v>
      </c>
    </row>
    <row r="176" spans="1:22" ht="15" customHeight="1" outlineLevel="1" x14ac:dyDescent="0.2">
      <c r="A176" s="105" t="s">
        <v>1294</v>
      </c>
      <c r="B176" s="354">
        <f>COUNTIF(A273:A1772,"O")</f>
        <v>0</v>
      </c>
      <c r="C176" s="354">
        <f>COUNTIFS(A273:A1772,"O",E273:E1772,"Occupied*")</f>
        <v>0</v>
      </c>
      <c r="D176" s="354">
        <f>COUNTIFS(A273:A1772,"O",E273:E1772,"Vacant*")</f>
        <v>0</v>
      </c>
      <c r="E176" s="252">
        <f t="shared" si="4"/>
        <v>0</v>
      </c>
      <c r="F176" s="354">
        <f>COUNTIFS(A273:A1772,"O",E273:E1772,"Down*")</f>
        <v>0</v>
      </c>
      <c r="G176" s="354">
        <f>COUNTIFS(A273:A1772,"O",G273:G1772,TRUE())</f>
        <v>0</v>
      </c>
      <c r="H176" s="256">
        <f>SUMIFS(O273:O1772,A273:A1772,"O")</f>
        <v>0</v>
      </c>
      <c r="I176" s="288" t="str">
        <f t="shared" si="5"/>
        <v>ok</v>
      </c>
    </row>
    <row r="177" spans="1:22" ht="15" customHeight="1" outlineLevel="1" x14ac:dyDescent="0.2">
      <c r="A177" s="105" t="s">
        <v>1295</v>
      </c>
      <c r="B177" s="354">
        <f>COUNTIF(A273:A1772,"P")</f>
        <v>0</v>
      </c>
      <c r="C177" s="354">
        <f>COUNTIFS(A273:A1772,"P",E273:E1772,"Occupied*")</f>
        <v>0</v>
      </c>
      <c r="D177" s="354">
        <f>COUNTIFS(A273:A1772,"P",E273:E1772,"Vacant*")</f>
        <v>0</v>
      </c>
      <c r="E177" s="252">
        <f t="shared" si="4"/>
        <v>0</v>
      </c>
      <c r="F177" s="354">
        <f>COUNTIFS(A273:A1772,"P",E273:E1772,"Down*")</f>
        <v>0</v>
      </c>
      <c r="G177" s="354">
        <f>COUNTIFS(A273:A1772,"P",G273:G1772,TRUE())</f>
        <v>0</v>
      </c>
      <c r="H177" s="256">
        <f>SUMIFS(O273:O1772,A273:A1772,"P")</f>
        <v>0</v>
      </c>
      <c r="I177" s="288" t="str">
        <f t="shared" si="5"/>
        <v>ok</v>
      </c>
    </row>
    <row r="178" spans="1:22" ht="15" customHeight="1" outlineLevel="1" x14ac:dyDescent="0.2">
      <c r="A178" s="105" t="s">
        <v>1296</v>
      </c>
      <c r="B178" s="354">
        <f>COUNTIF(A273:A1772,"Q")</f>
        <v>0</v>
      </c>
      <c r="C178" s="354">
        <f>COUNTIFS(A273:A1772,"Q",E273:E1772,"Occupied*")</f>
        <v>0</v>
      </c>
      <c r="D178" s="354">
        <f>COUNTIFS(A273:A1772,"Q",E273:E1772,"Vacant*")</f>
        <v>0</v>
      </c>
      <c r="E178" s="252">
        <f t="shared" si="4"/>
        <v>0</v>
      </c>
      <c r="F178" s="354">
        <f>COUNTIFS(A273:A1772,"Q",E273:E1772,"Down*")</f>
        <v>0</v>
      </c>
      <c r="G178" s="354">
        <f>COUNTIFS(A273:A1772,"Q",G273:G1772,TRUE())</f>
        <v>0</v>
      </c>
      <c r="H178" s="256">
        <f>SUMIFS(O273:O1772,A273:A1772,"Q")</f>
        <v>0</v>
      </c>
      <c r="I178" s="288" t="str">
        <f t="shared" si="5"/>
        <v>ok</v>
      </c>
    </row>
    <row r="179" spans="1:22" ht="15" customHeight="1" outlineLevel="1" x14ac:dyDescent="0.2">
      <c r="A179" s="105" t="s">
        <v>1297</v>
      </c>
      <c r="B179" s="354">
        <f>COUNTIF(A273:A1772,"R")</f>
        <v>0</v>
      </c>
      <c r="C179" s="354">
        <f>COUNTIFS(A273:A1772,"R",E273:E1772,"Occupied*")</f>
        <v>0</v>
      </c>
      <c r="D179" s="354">
        <f>COUNTIFS(A273:A1772,"R",E273:E1772,"Vacant*")</f>
        <v>0</v>
      </c>
      <c r="E179" s="252">
        <f t="shared" si="4"/>
        <v>0</v>
      </c>
      <c r="F179" s="354">
        <f>COUNTIFS(A273:A1772,"R",E273:E1772,"Down*")</f>
        <v>0</v>
      </c>
      <c r="G179" s="354">
        <f>COUNTIFS(A273:A1772,"R",G273:G1772,TRUE())</f>
        <v>0</v>
      </c>
      <c r="H179" s="256">
        <f>SUMIFS(O273:O1772,A273:A1772,"R")</f>
        <v>0</v>
      </c>
      <c r="I179" s="288" t="str">
        <f t="shared" si="5"/>
        <v>ok</v>
      </c>
    </row>
    <row r="180" spans="1:22" ht="15" customHeight="1" outlineLevel="1" x14ac:dyDescent="0.2">
      <c r="A180" s="105" t="s">
        <v>1298</v>
      </c>
      <c r="B180" s="354">
        <f>COUNTIF(A273:A1772,"S")</f>
        <v>0</v>
      </c>
      <c r="C180" s="354">
        <f>COUNTIFS(A273:A1772,"S",E273:E1772,"Occupied*")</f>
        <v>0</v>
      </c>
      <c r="D180" s="354">
        <f>COUNTIFS(A273:A1772,"S",E273:E1772,"Vacant*")</f>
        <v>0</v>
      </c>
      <c r="E180" s="252">
        <f t="shared" si="4"/>
        <v>0</v>
      </c>
      <c r="F180" s="354">
        <f>COUNTIFS(A273:A1772,"S",E273:E1772,"Down*")</f>
        <v>0</v>
      </c>
      <c r="G180" s="354">
        <f>COUNTIFS(A273:A1772,"S",G273:G1772,TRUE())</f>
        <v>0</v>
      </c>
      <c r="H180" s="256">
        <f>SUMIFS(O273:O1772,A273:A1772,"S")</f>
        <v>0</v>
      </c>
      <c r="I180" s="288" t="str">
        <f t="shared" si="5"/>
        <v>ok</v>
      </c>
    </row>
    <row r="181" spans="1:22" ht="15" customHeight="1" outlineLevel="1" x14ac:dyDescent="0.2">
      <c r="A181" s="290" t="s">
        <v>49</v>
      </c>
      <c r="B181" s="359">
        <f>SUM(B163:B180)</f>
        <v>0</v>
      </c>
      <c r="C181" s="359">
        <f>SUM(C163:C180)</f>
        <v>0</v>
      </c>
      <c r="D181" s="359">
        <f>SUM(D163:D180)</f>
        <v>0</v>
      </c>
      <c r="E181" s="292">
        <f t="shared" si="4"/>
        <v>0</v>
      </c>
      <c r="F181" s="359">
        <f>SUM(F163:F180)</f>
        <v>0</v>
      </c>
      <c r="G181" s="359">
        <f>SUM(G163:G180)</f>
        <v>0</v>
      </c>
      <c r="H181" s="291">
        <f>SUM(H163:H180)</f>
        <v>0</v>
      </c>
    </row>
    <row r="182" spans="1:22" ht="15" customHeight="1" outlineLevel="1" x14ac:dyDescent="0.2"/>
    <row r="183" spans="1:22" ht="21.75" customHeight="1" x14ac:dyDescent="0.2">
      <c r="A183" s="929" t="s">
        <v>1299</v>
      </c>
      <c r="B183" s="929"/>
      <c r="C183" s="929"/>
      <c r="D183" s="929"/>
      <c r="E183" s="929"/>
      <c r="F183" s="929"/>
      <c r="G183" s="929"/>
      <c r="H183" s="929"/>
      <c r="I183" s="929"/>
      <c r="J183" s="929"/>
      <c r="K183" s="929"/>
      <c r="L183" s="929"/>
      <c r="M183" s="929"/>
      <c r="N183" s="929"/>
      <c r="O183" s="929"/>
      <c r="P183" s="929"/>
      <c r="Q183" s="929"/>
      <c r="R183" s="929"/>
      <c r="S183" s="929"/>
      <c r="T183" s="929"/>
      <c r="U183" s="929"/>
      <c r="V183" s="929"/>
    </row>
    <row r="184" spans="1:22" ht="15" customHeight="1" outlineLevel="1" x14ac:dyDescent="0.2">
      <c r="A184" s="931" t="s">
        <v>1300</v>
      </c>
      <c r="B184" s="931"/>
      <c r="C184" s="931"/>
      <c r="D184" s="931"/>
      <c r="E184" s="931"/>
      <c r="F184" s="931"/>
      <c r="G184" s="931"/>
      <c r="H184" s="931"/>
      <c r="I184" s="931"/>
      <c r="J184" s="931"/>
      <c r="K184" s="931"/>
      <c r="L184" s="931"/>
      <c r="M184" s="931"/>
      <c r="N184" s="931"/>
      <c r="O184" s="931"/>
      <c r="P184" s="931"/>
      <c r="Q184" s="931"/>
      <c r="R184" s="931"/>
      <c r="S184" s="931"/>
      <c r="T184" s="931"/>
      <c r="U184" s="931"/>
      <c r="V184" s="931"/>
    </row>
    <row r="185" spans="1:22" ht="45.75" customHeight="1" outlineLevel="1" x14ac:dyDescent="0.2">
      <c r="A185" s="116" t="s">
        <v>1301</v>
      </c>
      <c r="B185" s="116" t="s">
        <v>369</v>
      </c>
      <c r="C185" s="116" t="s">
        <v>1302</v>
      </c>
      <c r="D185" s="116" t="s">
        <v>1303</v>
      </c>
      <c r="E185" s="116" t="s">
        <v>1304</v>
      </c>
      <c r="F185" s="116" t="s">
        <v>1305</v>
      </c>
    </row>
    <row r="186" spans="1:22" ht="15" customHeight="1" outlineLevel="1" x14ac:dyDescent="0.2">
      <c r="A186" s="106" t="s">
        <v>1306</v>
      </c>
      <c r="B186" s="354">
        <f>SUMPRODUCT((E273:E1772="Occupied No Notice")*(O273:O1772&gt;0)*(P273:P1772&gt;=O273:O1772)*1)</f>
        <v>0</v>
      </c>
      <c r="C186" s="256">
        <f>SUMPRODUCT((E273:E1772="Occupied No Notice")*(O273:O1772&gt;0)*(P273:P1772&gt;=O273:O1772)*(O273:O1772))</f>
        <v>0</v>
      </c>
    </row>
    <row r="187" spans="1:22" ht="15" customHeight="1" outlineLevel="1" x14ac:dyDescent="0.2">
      <c r="A187" s="106" t="s">
        <v>1307</v>
      </c>
      <c r="B187" s="354">
        <f>SUMPRODUCT((E273:E1772="Occupied No Notice")*(O273:O1772&gt;0)*(P273:P1772&gt;0)*(P273:P1772&lt;O273:O1772)*1)</f>
        <v>0</v>
      </c>
      <c r="C187" s="256">
        <f>SUMPRODUCT((E273:E1772="Occupied No Notice")*(O273:O1772&gt;0)*(P273:P1772&gt;0)*(P273:P1772&lt;O273:O1772)*(O273:O1772))</f>
        <v>0</v>
      </c>
    </row>
    <row r="188" spans="1:22" ht="15" customHeight="1" outlineLevel="1" x14ac:dyDescent="0.2">
      <c r="A188" s="106" t="s">
        <v>1308</v>
      </c>
      <c r="B188" s="354">
        <f>SUMPRODUCT((E273:E1772="Occupied No Notice")*(O273:O1772&gt;0)*(P273:P1772=0)*1)</f>
        <v>0</v>
      </c>
      <c r="C188" s="256">
        <f>SUMPRODUCT((E273:E1772="Occupied No Notice")*(O273:O1772&gt;0)*(P273:P1772=0)*(O273:O1772))</f>
        <v>0</v>
      </c>
    </row>
    <row r="189" spans="1:22" ht="15" customHeight="1" outlineLevel="1" x14ac:dyDescent="0.2">
      <c r="A189" s="290" t="s">
        <v>1309</v>
      </c>
      <c r="B189" s="359">
        <f>SUMPRODUCT((E273:E1772="Occupied No Notice")*(O273:O1772&gt;0)*1)</f>
        <v>0</v>
      </c>
      <c r="C189" s="291">
        <f>SUMPRODUCT((E273:E1772="Occupied No Notice")*(O273:O1772&gt;0)*(O273:O1772))</f>
        <v>0</v>
      </c>
      <c r="D189" s="291">
        <f>SUMPRODUCT((E273:E1772="Occupied No Notice")*(O273:O1772&gt;0)*(P273:P1772))</f>
        <v>0</v>
      </c>
      <c r="E189" s="292">
        <f>IFERROR(D189/C189,0)</f>
        <v>0</v>
      </c>
      <c r="F189" s="291">
        <f>C189-D189</f>
        <v>0</v>
      </c>
    </row>
    <row r="190" spans="1:22" ht="15" customHeight="1" outlineLevel="1" x14ac:dyDescent="0.2"/>
    <row r="191" spans="1:22" ht="21.75" customHeight="1" x14ac:dyDescent="0.2">
      <c r="A191" s="929" t="s">
        <v>1310</v>
      </c>
      <c r="B191" s="929"/>
      <c r="C191" s="929"/>
      <c r="D191" s="929"/>
      <c r="E191" s="929"/>
      <c r="F191" s="929"/>
      <c r="G191" s="929"/>
      <c r="H191" s="929"/>
      <c r="I191" s="929"/>
      <c r="J191" s="929"/>
      <c r="K191" s="929"/>
      <c r="L191" s="929"/>
      <c r="M191" s="929"/>
      <c r="N191" s="929"/>
      <c r="O191" s="929"/>
      <c r="P191" s="929"/>
      <c r="Q191" s="929"/>
      <c r="R191" s="929"/>
      <c r="S191" s="929"/>
      <c r="T191" s="929"/>
      <c r="U191" s="929"/>
      <c r="V191" s="929"/>
    </row>
    <row r="192" spans="1:22" ht="15" customHeight="1" outlineLevel="1" x14ac:dyDescent="0.2">
      <c r="A192" s="931" t="s">
        <v>1311</v>
      </c>
      <c r="B192" s="931"/>
      <c r="C192" s="931"/>
      <c r="D192" s="931"/>
      <c r="E192" s="931"/>
      <c r="F192" s="931"/>
      <c r="G192" s="931"/>
      <c r="H192" s="931"/>
      <c r="I192" s="931"/>
      <c r="J192" s="931"/>
      <c r="K192" s="931"/>
      <c r="L192" s="931"/>
      <c r="M192" s="931"/>
      <c r="N192" s="931"/>
      <c r="O192" s="931"/>
      <c r="P192" s="931"/>
      <c r="Q192" s="931"/>
      <c r="R192" s="931"/>
      <c r="S192" s="931"/>
      <c r="T192" s="931"/>
      <c r="U192" s="931"/>
      <c r="V192" s="931"/>
    </row>
    <row r="193" spans="1:22" ht="45.75" customHeight="1" outlineLevel="1" x14ac:dyDescent="0.2">
      <c r="A193" s="116" t="s">
        <v>1312</v>
      </c>
      <c r="B193" s="116" t="s">
        <v>1313</v>
      </c>
      <c r="C193" s="116" t="s">
        <v>1314</v>
      </c>
      <c r="D193" s="116" t="s">
        <v>1315</v>
      </c>
      <c r="E193" s="116" t="s">
        <v>1316</v>
      </c>
    </row>
    <row r="194" spans="1:22" ht="15" customHeight="1" outlineLevel="1" x14ac:dyDescent="0.2">
      <c r="A194" s="106" t="s">
        <v>353</v>
      </c>
      <c r="B194" s="372">
        <v>50911</v>
      </c>
      <c r="C194" s="256">
        <f>B194*12</f>
        <v>610932</v>
      </c>
      <c r="D194" s="252">
        <f>IFERROR(B194/B197,0)</f>
        <v>0.81453690222869302</v>
      </c>
      <c r="E194" s="1" t="s">
        <v>1317</v>
      </c>
    </row>
    <row r="195" spans="1:22" ht="15" customHeight="1" outlineLevel="1" x14ac:dyDescent="0.2">
      <c r="A195" s="106" t="s">
        <v>354</v>
      </c>
      <c r="B195" s="372">
        <v>4487</v>
      </c>
      <c r="C195" s="256">
        <f>B195*12</f>
        <v>53844</v>
      </c>
      <c r="D195" s="252">
        <f>IFERROR(B195/B197,0)</f>
        <v>7.1788554149400829E-2</v>
      </c>
      <c r="E195" s="1" t="s">
        <v>1318</v>
      </c>
    </row>
    <row r="196" spans="1:22" ht="15" customHeight="1" outlineLevel="1" x14ac:dyDescent="0.2">
      <c r="A196" s="106" t="s">
        <v>355</v>
      </c>
      <c r="B196" s="372">
        <v>7105</v>
      </c>
      <c r="C196" s="256">
        <f>B196*12</f>
        <v>85260</v>
      </c>
      <c r="D196" s="252">
        <f>IFERROR(B196/B197,0)</f>
        <v>0.11367454362190615</v>
      </c>
      <c r="E196" s="1" t="s">
        <v>1319</v>
      </c>
    </row>
    <row r="197" spans="1:22" ht="15" customHeight="1" outlineLevel="1" x14ac:dyDescent="0.2">
      <c r="A197" s="290" t="s">
        <v>1320</v>
      </c>
      <c r="B197" s="291">
        <f>SUM(B194:B196)</f>
        <v>62503</v>
      </c>
      <c r="C197" s="291">
        <f>B197*12</f>
        <v>750036</v>
      </c>
    </row>
    <row r="198" spans="1:22" ht="15" customHeight="1" outlineLevel="1" x14ac:dyDescent="0.2"/>
    <row r="199" spans="1:22" ht="15" customHeight="1" outlineLevel="1" x14ac:dyDescent="0.2">
      <c r="A199" s="112" t="s">
        <v>1321</v>
      </c>
    </row>
    <row r="200" spans="1:22" ht="15" customHeight="1" outlineLevel="1" x14ac:dyDescent="0.2">
      <c r="A200" s="106" t="s">
        <v>1322</v>
      </c>
      <c r="B200" s="252">
        <f>IFERROR(B196/B197,0)</f>
        <v>0.11367454362190615</v>
      </c>
      <c r="C200" s="931" t="s">
        <v>1323</v>
      </c>
      <c r="D200" s="931"/>
      <c r="E200" s="931"/>
      <c r="F200" s="931"/>
      <c r="G200" s="931"/>
      <c r="H200" s="931"/>
      <c r="I200" s="931"/>
      <c r="J200" s="931"/>
      <c r="K200" s="931"/>
      <c r="L200" s="931"/>
      <c r="M200" s="931"/>
      <c r="N200" s="931"/>
      <c r="O200" s="931"/>
      <c r="P200" s="931"/>
      <c r="Q200" s="931"/>
      <c r="R200" s="931"/>
      <c r="S200" s="931"/>
      <c r="T200" s="931"/>
      <c r="U200" s="931"/>
      <c r="V200" s="931"/>
    </row>
    <row r="201" spans="1:22" ht="15" customHeight="1" outlineLevel="1" x14ac:dyDescent="0.2">
      <c r="A201" s="106" t="s">
        <v>1324</v>
      </c>
      <c r="B201" s="256">
        <f>C196</f>
        <v>85260</v>
      </c>
      <c r="C201" s="931" t="s">
        <v>1325</v>
      </c>
      <c r="D201" s="931"/>
      <c r="E201" s="931"/>
      <c r="F201" s="931"/>
      <c r="G201" s="931"/>
      <c r="H201" s="931"/>
      <c r="I201" s="931"/>
      <c r="J201" s="931"/>
      <c r="K201" s="931"/>
      <c r="L201" s="931"/>
      <c r="M201" s="931"/>
      <c r="N201" s="931"/>
      <c r="O201" s="931"/>
      <c r="P201" s="931"/>
      <c r="Q201" s="931"/>
      <c r="R201" s="931"/>
      <c r="S201" s="931"/>
      <c r="T201" s="931"/>
      <c r="U201" s="931"/>
      <c r="V201" s="931"/>
    </row>
    <row r="202" spans="1:22" ht="15" customHeight="1" outlineLevel="1" x14ac:dyDescent="0.2">
      <c r="A202" s="106" t="s">
        <v>1326</v>
      </c>
      <c r="B202" s="256">
        <f>C194+C195</f>
        <v>664776</v>
      </c>
      <c r="C202" s="931" t="s">
        <v>1327</v>
      </c>
      <c r="D202" s="931"/>
      <c r="E202" s="931"/>
      <c r="F202" s="931"/>
      <c r="G202" s="931"/>
      <c r="H202" s="931"/>
      <c r="I202" s="931"/>
      <c r="J202" s="931"/>
      <c r="K202" s="931"/>
      <c r="L202" s="931"/>
      <c r="M202" s="931"/>
      <c r="N202" s="931"/>
      <c r="O202" s="931"/>
      <c r="P202" s="931"/>
      <c r="Q202" s="931"/>
      <c r="R202" s="931"/>
      <c r="S202" s="931"/>
      <c r="T202" s="931"/>
      <c r="U202" s="931"/>
      <c r="V202" s="931"/>
    </row>
    <row r="203" spans="1:22" ht="15" customHeight="1" outlineLevel="1" x14ac:dyDescent="0.2">
      <c r="A203" s="106" t="s">
        <v>1328</v>
      </c>
      <c r="B203" s="252" t="e">
        <f>B197*12/'Rent Roll Analysis'!B27</f>
        <v>#DIV/0!</v>
      </c>
      <c r="C203" s="931" t="s">
        <v>1329</v>
      </c>
      <c r="D203" s="931"/>
      <c r="E203" s="931"/>
      <c r="F203" s="931"/>
      <c r="G203" s="931"/>
      <c r="H203" s="931"/>
      <c r="I203" s="931"/>
      <c r="J203" s="931"/>
      <c r="K203" s="931"/>
      <c r="L203" s="931"/>
      <c r="M203" s="931"/>
      <c r="N203" s="931"/>
      <c r="O203" s="931"/>
      <c r="P203" s="931"/>
      <c r="Q203" s="931"/>
      <c r="R203" s="931"/>
      <c r="S203" s="931"/>
      <c r="T203" s="931"/>
      <c r="U203" s="931"/>
      <c r="V203" s="931"/>
    </row>
    <row r="204" spans="1:22" ht="15" customHeight="1" outlineLevel="1" x14ac:dyDescent="0.2"/>
    <row r="205" spans="1:22" ht="21.75" customHeight="1" x14ac:dyDescent="0.2">
      <c r="A205" s="929" t="s">
        <v>1330</v>
      </c>
      <c r="B205" s="929"/>
      <c r="C205" s="929"/>
      <c r="D205" s="929"/>
      <c r="E205" s="929"/>
      <c r="F205" s="929"/>
      <c r="G205" s="929"/>
      <c r="H205" s="929"/>
      <c r="I205" s="929"/>
      <c r="J205" s="929"/>
      <c r="K205" s="929"/>
      <c r="L205" s="929"/>
      <c r="M205" s="929"/>
      <c r="N205" s="929"/>
      <c r="O205" s="929"/>
      <c r="P205" s="929"/>
      <c r="Q205" s="929"/>
      <c r="R205" s="929"/>
      <c r="S205" s="929"/>
      <c r="T205" s="929"/>
      <c r="U205" s="929"/>
      <c r="V205" s="929"/>
    </row>
    <row r="206" spans="1:22" ht="15" customHeight="1" outlineLevel="1" x14ac:dyDescent="0.2">
      <c r="A206" s="931" t="s">
        <v>1331</v>
      </c>
      <c r="B206" s="931"/>
      <c r="C206" s="931"/>
      <c r="D206" s="931"/>
      <c r="E206" s="931"/>
      <c r="F206" s="931"/>
      <c r="G206" s="931"/>
      <c r="H206" s="931"/>
      <c r="I206" s="931"/>
      <c r="J206" s="931"/>
      <c r="K206" s="931"/>
      <c r="L206" s="931"/>
      <c r="M206" s="931"/>
      <c r="N206" s="931"/>
      <c r="O206" s="931"/>
      <c r="P206" s="931"/>
      <c r="Q206" s="931"/>
      <c r="R206" s="931"/>
      <c r="S206" s="931"/>
      <c r="T206" s="931"/>
      <c r="U206" s="931"/>
      <c r="V206" s="931"/>
    </row>
    <row r="207" spans="1:22" ht="27.75" customHeight="1" outlineLevel="1" x14ac:dyDescent="0.2">
      <c r="A207" s="116" t="s">
        <v>1227</v>
      </c>
      <c r="B207" s="116" t="s">
        <v>1332</v>
      </c>
      <c r="C207" s="116" t="s">
        <v>1333</v>
      </c>
      <c r="D207" s="116" t="s">
        <v>1334</v>
      </c>
      <c r="E207" s="116" t="s">
        <v>1335</v>
      </c>
      <c r="F207" s="116" t="s">
        <v>1336</v>
      </c>
      <c r="G207" s="116" t="s">
        <v>1337</v>
      </c>
      <c r="H207" s="116" t="s">
        <v>1338</v>
      </c>
    </row>
    <row r="208" spans="1:22" ht="15" customHeight="1" outlineLevel="1" x14ac:dyDescent="0.2">
      <c r="A208" s="105" t="str">
        <f>$B253</f>
        <v/>
      </c>
      <c r="B208" s="354">
        <f>IFERROR(AVERAGEIF(C273:C1772,$B253,D273:D1772),0)</f>
        <v>0</v>
      </c>
      <c r="C208" s="354">
        <f>SUMIFS(D273:D1772,C273:C1772,$B253)</f>
        <v>0</v>
      </c>
      <c r="D208" s="355">
        <f>IFERROR(AVERAGEIF(C273:C1772,$B253,L273:L1772)/B208,0)</f>
        <v>0</v>
      </c>
      <c r="E208" s="355">
        <f>IFERROR(SUMIFS(N273:N1772,C273:C1772,$B253,E273:E1772,"Occupied*")/SUMIFS(D273:D1772,C273:C1772,$B253,E273:E1772,"Occupied*"),0)</f>
        <v>0</v>
      </c>
      <c r="F208" s="355">
        <f>E208-D208</f>
        <v>0</v>
      </c>
      <c r="G208" s="355">
        <f>E208*12</f>
        <v>0</v>
      </c>
      <c r="H208" s="1" t="s">
        <v>1339</v>
      </c>
    </row>
    <row r="209" spans="1:22" ht="15" customHeight="1" outlineLevel="1" x14ac:dyDescent="0.2">
      <c r="A209" s="105" t="str">
        <f>$B254</f>
        <v/>
      </c>
      <c r="B209" s="354">
        <f>IFERROR(AVERAGEIF(C273:C1772,$B254,D273:D1772),0)</f>
        <v>0</v>
      </c>
      <c r="C209" s="354">
        <f>SUMIFS(D273:D1772,C273:C1772,$B254)</f>
        <v>0</v>
      </c>
      <c r="D209" s="355">
        <f>IFERROR(AVERAGEIF(C273:C1772,$B254,L273:L1772)/B209,0)</f>
        <v>0</v>
      </c>
      <c r="E209" s="355">
        <f>IFERROR(SUMIFS(N273:N1772,C273:C1772,$B254,E273:E1772,"Occupied*")/SUMIFS(D273:D1772,C273:C1772,$B254,E273:E1772,"Occupied*"),0)</f>
        <v>0</v>
      </c>
      <c r="F209" s="355">
        <f>E209-D209</f>
        <v>0</v>
      </c>
      <c r="G209" s="355">
        <f>E209*12</f>
        <v>0</v>
      </c>
      <c r="H209" s="1" t="s">
        <v>1339</v>
      </c>
    </row>
    <row r="210" spans="1:22" ht="15" customHeight="1" outlineLevel="1" x14ac:dyDescent="0.2">
      <c r="A210" s="105" t="str">
        <f>$B255</f>
        <v/>
      </c>
      <c r="B210" s="354">
        <f>IFERROR(AVERAGEIF(C273:C1772,$B255,D273:D1772),0)</f>
        <v>0</v>
      </c>
      <c r="C210" s="354">
        <f>SUMIFS(D273:D1772,C273:C1772,$B255)</f>
        <v>0</v>
      </c>
      <c r="D210" s="355">
        <f>IFERROR(AVERAGEIF(C273:C1772,$B255,L273:L1772)/B210,0)</f>
        <v>0</v>
      </c>
      <c r="E210" s="355">
        <f>IFERROR(SUMIFS(N273:N1772,C273:C1772,$B255,E273:E1772,"Occupied*")/SUMIFS(D273:D1772,C273:C1772,$B255,E273:E1772,"Occupied*"),0)</f>
        <v>0</v>
      </c>
      <c r="F210" s="355">
        <f>E210-D210</f>
        <v>0</v>
      </c>
      <c r="G210" s="355">
        <f>E210*12</f>
        <v>0</v>
      </c>
      <c r="H210" s="1" t="s">
        <v>1339</v>
      </c>
    </row>
    <row r="211" spans="1:22" ht="15" customHeight="1" outlineLevel="1" x14ac:dyDescent="0.2">
      <c r="A211" s="290" t="s">
        <v>1340</v>
      </c>
      <c r="B211" s="359">
        <f>IFERROR(SUMPRODUCT((D273:D1772))/COUNTA(C273:C1772),0)</f>
        <v>0</v>
      </c>
      <c r="C211" s="359">
        <f>SUM(D273:D1772)</f>
        <v>0</v>
      </c>
      <c r="D211" s="373">
        <f>IFERROR(SUMPRODUCT((L273:L1772))/SUM(D273:D1772),0)</f>
        <v>0</v>
      </c>
      <c r="E211" s="373">
        <f>IFERROR(SUMIFS(N273:N1772,E273:E1772,"Occupied*")/SUMIFS(D273:D1772,E273:E1772,"Occupied*"),0)</f>
        <v>0</v>
      </c>
    </row>
    <row r="212" spans="1:22" ht="15" customHeight="1" outlineLevel="1" x14ac:dyDescent="0.2"/>
    <row r="213" spans="1:22" ht="21.75" customHeight="1" x14ac:dyDescent="0.2">
      <c r="A213" s="929" t="s">
        <v>1341</v>
      </c>
      <c r="B213" s="929"/>
      <c r="C213" s="929"/>
      <c r="D213" s="929"/>
      <c r="E213" s="929"/>
      <c r="F213" s="929"/>
      <c r="G213" s="929"/>
      <c r="H213" s="929"/>
      <c r="I213" s="929"/>
      <c r="J213" s="929"/>
      <c r="K213" s="929"/>
      <c r="L213" s="929"/>
      <c r="M213" s="929"/>
      <c r="N213" s="929"/>
      <c r="O213" s="929"/>
      <c r="P213" s="929"/>
      <c r="Q213" s="929"/>
      <c r="R213" s="929"/>
      <c r="S213" s="929"/>
      <c r="T213" s="929"/>
      <c r="U213" s="929"/>
      <c r="V213" s="929"/>
    </row>
    <row r="214" spans="1:22" ht="15" customHeight="1" outlineLevel="1" x14ac:dyDescent="0.2">
      <c r="A214" s="931" t="s">
        <v>1342</v>
      </c>
      <c r="B214" s="931"/>
      <c r="C214" s="931"/>
      <c r="D214" s="931"/>
      <c r="E214" s="931"/>
      <c r="F214" s="931"/>
      <c r="G214" s="931"/>
      <c r="H214" s="931"/>
      <c r="I214" s="931"/>
      <c r="J214" s="931"/>
      <c r="K214" s="931"/>
      <c r="L214" s="931"/>
      <c r="M214" s="931"/>
      <c r="N214" s="931"/>
      <c r="O214" s="931"/>
      <c r="P214" s="931"/>
      <c r="Q214" s="931"/>
      <c r="R214" s="931"/>
      <c r="S214" s="931"/>
      <c r="T214" s="931"/>
      <c r="U214" s="931"/>
      <c r="V214" s="931"/>
    </row>
    <row r="215" spans="1:22" ht="27.75" customHeight="1" outlineLevel="1" x14ac:dyDescent="0.2">
      <c r="A215" s="116" t="s">
        <v>1343</v>
      </c>
      <c r="B215" s="116" t="s">
        <v>369</v>
      </c>
      <c r="C215" s="116" t="s">
        <v>1240</v>
      </c>
      <c r="D215" s="116" t="s">
        <v>1344</v>
      </c>
      <c r="E215" s="116" t="s">
        <v>1345</v>
      </c>
      <c r="F215" s="116" t="s">
        <v>1346</v>
      </c>
      <c r="G215" s="116" t="s">
        <v>1347</v>
      </c>
    </row>
    <row r="216" spans="1:22" ht="15" customHeight="1" outlineLevel="1" x14ac:dyDescent="0.2">
      <c r="A216" s="106" t="s">
        <v>1348</v>
      </c>
      <c r="B216" s="354">
        <f>SUMPRODUCT((E273:E1772="Occupied No Notice")*(L273:L1772&gt;0)*(N273:N1772&lt;0.95*L273:L1772)*1)</f>
        <v>0</v>
      </c>
      <c r="C216" s="252">
        <f>IFERROR(B216/COUNTIF(E273:E1772,"Occupied*"),0)</f>
        <v>0</v>
      </c>
      <c r="D216" s="256">
        <f>SUMPRODUCT((E273:E1772="Occupied No Notice")*(L273:L1772&gt;0)*(N273:N1772&lt;0.95*L273:L1772)*(N273:N1772))</f>
        <v>0</v>
      </c>
      <c r="E216" s="256">
        <f>SUMPRODUCT((E273:E1772="Occupied No Notice")*(L273:L1772&gt;0)*(N273:N1772&lt;0.95*L273:L1772)*(L273:L1772))</f>
        <v>0</v>
      </c>
      <c r="F216" s="256">
        <f>E216-D216</f>
        <v>0</v>
      </c>
      <c r="G216" s="256">
        <f>IFERROR(F216/B216,0)</f>
        <v>0</v>
      </c>
    </row>
    <row r="217" spans="1:22" ht="15" customHeight="1" outlineLevel="1" x14ac:dyDescent="0.2">
      <c r="A217" s="106" t="s">
        <v>1349</v>
      </c>
      <c r="B217" s="354">
        <f>SUMPRODUCT((E273:E1772="Occupied No Notice")*(L273:L1772&gt;0)*(N273:N1772&gt;=0.95*L273:L1772)*(N273:N1772&lt;=1.05*L273:L1772)*1)</f>
        <v>0</v>
      </c>
      <c r="C217" s="252">
        <f>IFERROR(B217/COUNTIF(E273:E1772,"Occupied*"),0)</f>
        <v>0</v>
      </c>
      <c r="D217" s="256">
        <f>SUMPRODUCT((E273:E1772="Occupied No Notice")*(L273:L1772&gt;0)*(N273:N1772&gt;=0.95*L273:L1772)*(N273:N1772&lt;=1.05*L273:L1772)*(N273:N1772))</f>
        <v>0</v>
      </c>
      <c r="E217" s="256">
        <f>SUMPRODUCT((E273:E1772="Occupied No Notice")*(L273:L1772&gt;0)*(N273:N1772&gt;=0.95*L273:L1772)*(N273:N1772&lt;=1.05*L273:L1772)*(L273:L1772))</f>
        <v>0</v>
      </c>
      <c r="F217" s="256">
        <f>E217-D217</f>
        <v>0</v>
      </c>
      <c r="G217" s="256">
        <f>IFERROR(F217/B217,0)</f>
        <v>0</v>
      </c>
    </row>
    <row r="218" spans="1:22" ht="15" customHeight="1" outlineLevel="1" x14ac:dyDescent="0.2">
      <c r="A218" s="106" t="s">
        <v>1350</v>
      </c>
      <c r="B218" s="354">
        <f>SUMPRODUCT((E273:E1772="Occupied No Notice")*(L273:L1772&gt;0)*(N273:N1772&gt;1.05*L273:L1772)*1)</f>
        <v>0</v>
      </c>
      <c r="C218" s="252">
        <f>IFERROR(B218/COUNTIF(E273:E1772,"Occupied*"),0)</f>
        <v>0</v>
      </c>
      <c r="D218" s="256">
        <f>SUMPRODUCT((E273:E1772="Occupied No Notice")*(L273:L1772&gt;0)*(N273:N1772&gt;1.05*L273:L1772)*(N273:N1772))</f>
        <v>0</v>
      </c>
      <c r="E218" s="256">
        <f>SUMPRODUCT((E273:E1772="Occupied No Notice")*(L273:L1772&gt;0)*(N273:N1772&gt;1.05*L273:L1772)*(L273:L1772))</f>
        <v>0</v>
      </c>
      <c r="F218" s="256">
        <f>E218-D218</f>
        <v>0</v>
      </c>
      <c r="G218" s="256">
        <f>IFERROR(F218/B218,0)</f>
        <v>0</v>
      </c>
    </row>
    <row r="219" spans="1:22" ht="15" customHeight="1" outlineLevel="1" x14ac:dyDescent="0.2">
      <c r="A219" s="290" t="s">
        <v>1351</v>
      </c>
      <c r="B219" s="359">
        <f>SUM(B216:B218)</f>
        <v>0</v>
      </c>
      <c r="C219" s="292">
        <f>IFERROR(B219/COUNTIF(E273:E1772,"Occupied*"),0)</f>
        <v>0</v>
      </c>
      <c r="D219" s="291">
        <f>SUM(D216:D218)</f>
        <v>0</v>
      </c>
      <c r="E219" s="291">
        <f>SUM(E216:E218)</f>
        <v>0</v>
      </c>
      <c r="F219" s="291">
        <f>SUM(F216:F218)</f>
        <v>0</v>
      </c>
    </row>
    <row r="220" spans="1:22" ht="15" customHeight="1" outlineLevel="1" x14ac:dyDescent="0.2"/>
    <row r="221" spans="1:22" ht="21.75" customHeight="1" x14ac:dyDescent="0.2">
      <c r="A221" s="929" t="s">
        <v>1352</v>
      </c>
      <c r="B221" s="929"/>
      <c r="C221" s="929"/>
      <c r="D221" s="929"/>
      <c r="E221" s="929"/>
      <c r="F221" s="929"/>
      <c r="G221" s="929"/>
      <c r="H221" s="929"/>
      <c r="I221" s="929"/>
      <c r="J221" s="929"/>
      <c r="K221" s="929"/>
      <c r="L221" s="929"/>
      <c r="M221" s="929"/>
      <c r="N221" s="929"/>
      <c r="O221" s="929"/>
      <c r="P221" s="929"/>
      <c r="Q221" s="929"/>
      <c r="R221" s="929"/>
      <c r="S221" s="929"/>
      <c r="T221" s="929"/>
      <c r="U221" s="929"/>
      <c r="V221" s="929"/>
    </row>
    <row r="222" spans="1:22" ht="15" customHeight="1" outlineLevel="1" x14ac:dyDescent="0.2">
      <c r="A222" s="931" t="s">
        <v>1353</v>
      </c>
      <c r="B222" s="931"/>
      <c r="C222" s="931"/>
      <c r="D222" s="931"/>
      <c r="E222" s="931"/>
      <c r="F222" s="931"/>
      <c r="G222" s="931"/>
      <c r="H222" s="931"/>
      <c r="I222" s="931"/>
      <c r="J222" s="931"/>
      <c r="K222" s="931"/>
      <c r="L222" s="931"/>
      <c r="M222" s="931"/>
      <c r="N222" s="931"/>
      <c r="O222" s="931"/>
      <c r="P222" s="931"/>
      <c r="Q222" s="931"/>
      <c r="R222" s="931"/>
      <c r="S222" s="931"/>
      <c r="T222" s="931"/>
      <c r="U222" s="931"/>
      <c r="V222" s="931"/>
    </row>
    <row r="223" spans="1:22" ht="27.75" customHeight="1" outlineLevel="1" x14ac:dyDescent="0.2">
      <c r="A223" s="116" t="s">
        <v>1354</v>
      </c>
      <c r="B223" s="116" t="s">
        <v>1182</v>
      </c>
      <c r="C223" s="116" t="s">
        <v>1240</v>
      </c>
      <c r="D223" s="116" t="s">
        <v>1355</v>
      </c>
    </row>
    <row r="224" spans="1:22" ht="15" customHeight="1" outlineLevel="1" x14ac:dyDescent="0.2">
      <c r="A224" s="288" t="s">
        <v>1356</v>
      </c>
      <c r="B224" s="354">
        <f>SUMPRODUCT(((E273:E1772="Occupied No Notice")*(MONTH(H273:H1772)=1)*(H273:H1772&gt;0))*1)</f>
        <v>0</v>
      </c>
      <c r="C224" s="252">
        <f>IFERROR(B224/COUNTIF(E273:E1772,"Occupied*"),0)</f>
        <v>0</v>
      </c>
      <c r="D224" s="103" t="str">
        <f t="shared" ref="D224:D235" si="6">REPT("█",B224)</f>
        <v/>
      </c>
    </row>
    <row r="225" spans="1:22" ht="15" customHeight="1" outlineLevel="1" x14ac:dyDescent="0.2">
      <c r="A225" s="288" t="s">
        <v>1357</v>
      </c>
      <c r="B225" s="354">
        <f>SUMPRODUCT(((E273:E1772="Occupied No Notice")*(MONTH(H273:H1772)=2)*(H273:H1772&gt;0))*1)</f>
        <v>0</v>
      </c>
      <c r="C225" s="252">
        <f>IFERROR(B225/COUNTIF(E273:E1772,"Occupied*"),0)</f>
        <v>0</v>
      </c>
      <c r="D225" s="103" t="str">
        <f t="shared" si="6"/>
        <v/>
      </c>
    </row>
    <row r="226" spans="1:22" ht="15" customHeight="1" outlineLevel="1" x14ac:dyDescent="0.2">
      <c r="A226" s="288" t="s">
        <v>1358</v>
      </c>
      <c r="B226" s="354">
        <f>SUMPRODUCT(((E273:E1772="Occupied No Notice")*(MONTH(H273:H1772)=3)*(H273:H1772&gt;0))*1)</f>
        <v>0</v>
      </c>
      <c r="C226" s="252">
        <f>IFERROR(B226/COUNTIF(E273:E1772,"Occupied*"),0)</f>
        <v>0</v>
      </c>
      <c r="D226" s="103" t="str">
        <f t="shared" si="6"/>
        <v/>
      </c>
    </row>
    <row r="227" spans="1:22" ht="15" customHeight="1" outlineLevel="1" x14ac:dyDescent="0.2">
      <c r="A227" s="288" t="s">
        <v>1359</v>
      </c>
      <c r="B227" s="354">
        <f>SUMPRODUCT(((E273:E1772="Occupied No Notice")*(MONTH(H273:H1772)=4)*(H273:H1772&gt;0))*1)</f>
        <v>0</v>
      </c>
      <c r="C227" s="252">
        <f>IFERROR(B227/COUNTIF(E273:E1772,"Occupied*"),0)</f>
        <v>0</v>
      </c>
      <c r="D227" s="103" t="str">
        <f t="shared" si="6"/>
        <v/>
      </c>
    </row>
    <row r="228" spans="1:22" ht="15" customHeight="1" outlineLevel="1" x14ac:dyDescent="0.2">
      <c r="A228" s="288" t="s">
        <v>1360</v>
      </c>
      <c r="B228" s="354">
        <f>SUMPRODUCT(((E273:E1772="Occupied No Notice")*(MONTH(H273:H1772)=5)*(H273:H1772&gt;0))*1)</f>
        <v>0</v>
      </c>
      <c r="C228" s="252">
        <f>IFERROR(B228/COUNTIF(E273:E1772,"Occupied*"),0)</f>
        <v>0</v>
      </c>
      <c r="D228" s="103" t="str">
        <f t="shared" si="6"/>
        <v/>
      </c>
    </row>
    <row r="229" spans="1:22" ht="15" customHeight="1" outlineLevel="1" x14ac:dyDescent="0.2">
      <c r="A229" s="288" t="s">
        <v>1361</v>
      </c>
      <c r="B229" s="354">
        <f>SUMPRODUCT(((E273:E1772="Occupied No Notice")*(MONTH(H273:H1772)=6)*(H273:H1772&gt;0))*1)</f>
        <v>0</v>
      </c>
      <c r="C229" s="252">
        <f>IFERROR(B229/COUNTIF(E273:E1772,"Occupied*"),0)</f>
        <v>0</v>
      </c>
      <c r="D229" s="103" t="str">
        <f t="shared" si="6"/>
        <v/>
      </c>
    </row>
    <row r="230" spans="1:22" ht="15" customHeight="1" outlineLevel="1" x14ac:dyDescent="0.2">
      <c r="A230" s="288" t="s">
        <v>1362</v>
      </c>
      <c r="B230" s="354">
        <f>SUMPRODUCT(((E273:E1772="Occupied No Notice")*(MONTH(H273:H1772)=7)*(H273:H1772&gt;0))*1)</f>
        <v>0</v>
      </c>
      <c r="C230" s="252">
        <f>IFERROR(B230/COUNTIF(E273:E1772,"Occupied*"),0)</f>
        <v>0</v>
      </c>
      <c r="D230" s="103" t="str">
        <f t="shared" si="6"/>
        <v/>
      </c>
    </row>
    <row r="231" spans="1:22" ht="15" customHeight="1" outlineLevel="1" x14ac:dyDescent="0.2">
      <c r="A231" s="288" t="s">
        <v>1363</v>
      </c>
      <c r="B231" s="354">
        <f>SUMPRODUCT(((E273:E1772="Occupied No Notice")*(MONTH(H273:H1772)=8)*(H273:H1772&gt;0))*1)</f>
        <v>0</v>
      </c>
      <c r="C231" s="252">
        <f>IFERROR(B231/COUNTIF(E273:E1772,"Occupied*"),0)</f>
        <v>0</v>
      </c>
      <c r="D231" s="103" t="str">
        <f t="shared" si="6"/>
        <v/>
      </c>
    </row>
    <row r="232" spans="1:22" ht="15" customHeight="1" outlineLevel="1" x14ac:dyDescent="0.2">
      <c r="A232" s="288" t="s">
        <v>1364</v>
      </c>
      <c r="B232" s="354">
        <f>SUMPRODUCT(((E273:E1772="Occupied No Notice")*(MONTH(H273:H1772)=9)*(H273:H1772&gt;0))*1)</f>
        <v>0</v>
      </c>
      <c r="C232" s="252">
        <f>IFERROR(B232/COUNTIF(E273:E1772,"Occupied*"),0)</f>
        <v>0</v>
      </c>
      <c r="D232" s="103" t="str">
        <f t="shared" si="6"/>
        <v/>
      </c>
    </row>
    <row r="233" spans="1:22" ht="15" customHeight="1" outlineLevel="1" x14ac:dyDescent="0.2">
      <c r="A233" s="288" t="s">
        <v>1365</v>
      </c>
      <c r="B233" s="354">
        <f>SUMPRODUCT(((E273:E1772="Occupied No Notice")*(MONTH(H273:H1772)=10)*(H273:H1772&gt;0))*1)</f>
        <v>0</v>
      </c>
      <c r="C233" s="252">
        <f>IFERROR(B233/COUNTIF(E273:E1772,"Occupied*"),0)</f>
        <v>0</v>
      </c>
      <c r="D233" s="103" t="str">
        <f t="shared" si="6"/>
        <v/>
      </c>
    </row>
    <row r="234" spans="1:22" ht="15" customHeight="1" outlineLevel="1" x14ac:dyDescent="0.2">
      <c r="A234" s="288" t="s">
        <v>1366</v>
      </c>
      <c r="B234" s="354">
        <f>SUMPRODUCT(((E273:E1772="Occupied No Notice")*(MONTH(H273:H1772)=11)*(H273:H1772&gt;0))*1)</f>
        <v>0</v>
      </c>
      <c r="C234" s="252">
        <f>IFERROR(B234/COUNTIF(E273:E1772,"Occupied*"),0)</f>
        <v>0</v>
      </c>
      <c r="D234" s="103" t="str">
        <f t="shared" si="6"/>
        <v/>
      </c>
    </row>
    <row r="235" spans="1:22" ht="15" customHeight="1" outlineLevel="1" x14ac:dyDescent="0.2">
      <c r="A235" s="288" t="s">
        <v>1367</v>
      </c>
      <c r="B235" s="354">
        <f>SUMPRODUCT(((E273:E1772="Occupied No Notice")*(MONTH(H273:H1772)=12)*(H273:H1772&gt;0))*1)</f>
        <v>0</v>
      </c>
      <c r="C235" s="252">
        <f>IFERROR(B235/COUNTIF(E273:E1772,"Occupied*"),0)</f>
        <v>0</v>
      </c>
      <c r="D235" s="103" t="str">
        <f t="shared" si="6"/>
        <v/>
      </c>
    </row>
    <row r="236" spans="1:22" ht="15" customHeight="1" outlineLevel="1" x14ac:dyDescent="0.2">
      <c r="A236" s="290" t="s">
        <v>1368</v>
      </c>
      <c r="B236" s="293" t="str">
        <f>INDEX(A224:A235,MATCH(MAX(B224:B235),B224:B235,0))</f>
        <v>Jan</v>
      </c>
      <c r="C236" s="359">
        <f>MAX(B224:B235)</f>
        <v>0</v>
      </c>
    </row>
    <row r="237" spans="1:22" ht="15" customHeight="1" outlineLevel="1" x14ac:dyDescent="0.2">
      <c r="A237" s="112" t="s">
        <v>1369</v>
      </c>
      <c r="B237" s="105" t="str">
        <f>INDEX(A224:A235,MATCH(MIN(B224:B235),B224:B235,0))</f>
        <v>Jan</v>
      </c>
      <c r="C237" s="114">
        <f>MIN(B224:B235)</f>
        <v>0</v>
      </c>
    </row>
    <row r="238" spans="1:22" ht="15" customHeight="1" outlineLevel="1" x14ac:dyDescent="0.2">
      <c r="A238" s="112" t="s">
        <v>1370</v>
      </c>
      <c r="B238" s="114">
        <f>SUM(B227:B232)</f>
        <v>0</v>
      </c>
      <c r="C238" s="115">
        <f>IFERROR(B238/COUNTIF(E273:E1772,"Occupied*"),0)</f>
        <v>0</v>
      </c>
    </row>
    <row r="239" spans="1:22" ht="15" customHeight="1" outlineLevel="1" x14ac:dyDescent="0.2"/>
    <row r="240" spans="1:22" ht="21.75" customHeight="1" x14ac:dyDescent="0.2">
      <c r="A240" s="929" t="s">
        <v>1371</v>
      </c>
      <c r="B240" s="929"/>
      <c r="C240" s="929"/>
      <c r="D240" s="929"/>
      <c r="E240" s="929"/>
      <c r="F240" s="929"/>
      <c r="G240" s="929"/>
      <c r="H240" s="929"/>
      <c r="I240" s="929"/>
      <c r="J240" s="929"/>
      <c r="K240" s="929"/>
      <c r="L240" s="929"/>
      <c r="M240" s="929"/>
      <c r="N240" s="929"/>
      <c r="O240" s="929"/>
      <c r="P240" s="929"/>
      <c r="Q240" s="929"/>
      <c r="R240" s="929"/>
      <c r="S240" s="929"/>
      <c r="T240" s="929"/>
      <c r="U240" s="929"/>
      <c r="V240" s="929"/>
    </row>
    <row r="241" spans="1:42" ht="15" customHeight="1" outlineLevel="1" x14ac:dyDescent="0.2">
      <c r="A241" s="931" t="s">
        <v>1372</v>
      </c>
      <c r="B241" s="931"/>
      <c r="C241" s="931"/>
      <c r="D241" s="931"/>
      <c r="E241" s="931"/>
      <c r="F241" s="931"/>
      <c r="G241" s="931"/>
      <c r="H241" s="931"/>
      <c r="I241" s="931"/>
      <c r="J241" s="931"/>
      <c r="K241" s="931"/>
      <c r="L241" s="931"/>
      <c r="M241" s="931"/>
      <c r="N241" s="931"/>
      <c r="O241" s="931"/>
      <c r="P241" s="931"/>
      <c r="Q241" s="931"/>
      <c r="R241" s="931"/>
      <c r="S241" s="931"/>
      <c r="T241" s="931"/>
      <c r="U241" s="931"/>
      <c r="V241" s="931"/>
    </row>
    <row r="242" spans="1:42" ht="15" customHeight="1" outlineLevel="1" x14ac:dyDescent="0.2">
      <c r="A242" s="104" t="s">
        <v>1373</v>
      </c>
      <c r="B242" s="104" t="s">
        <v>12</v>
      </c>
      <c r="C242" s="104" t="s">
        <v>1374</v>
      </c>
    </row>
    <row r="243" spans="1:42" ht="15" customHeight="1" outlineLevel="1" x14ac:dyDescent="0.2">
      <c r="A243" s="106" t="s">
        <v>1375</v>
      </c>
      <c r="B243" s="354">
        <f ca="1">SUMPRODUCT((I273:I1772&gt;TODAY())*(I273:I1772&gt;0)*1)</f>
        <v>0</v>
      </c>
      <c r="C243" s="931" t="s">
        <v>1376</v>
      </c>
      <c r="D243" s="931"/>
      <c r="E243" s="931"/>
      <c r="F243" s="931"/>
      <c r="G243" s="931"/>
      <c r="H243" s="931"/>
      <c r="I243" s="931"/>
      <c r="J243" s="931"/>
      <c r="K243" s="931"/>
      <c r="L243" s="931"/>
      <c r="M243" s="931"/>
      <c r="N243" s="931"/>
      <c r="O243" s="931"/>
      <c r="P243" s="931"/>
      <c r="Q243" s="931"/>
      <c r="R243" s="931"/>
      <c r="S243" s="931"/>
      <c r="T243" s="931"/>
      <c r="U243" s="931"/>
      <c r="V243" s="931"/>
    </row>
    <row r="244" spans="1:42" ht="15" customHeight="1" outlineLevel="1" x14ac:dyDescent="0.2">
      <c r="A244" s="106" t="s">
        <v>1377</v>
      </c>
      <c r="B244" s="354">
        <f ca="1">SUMPRODUCT((I273:I1772&gt;TODAY())*(I273:I1772&gt;0)*(E273:E1772="Vacant*")*1)</f>
        <v>0</v>
      </c>
      <c r="C244" s="931" t="s">
        <v>1378</v>
      </c>
      <c r="D244" s="931"/>
      <c r="E244" s="931"/>
      <c r="F244" s="931"/>
      <c r="G244" s="931"/>
      <c r="H244" s="931"/>
      <c r="I244" s="931"/>
      <c r="J244" s="931"/>
      <c r="K244" s="931"/>
      <c r="L244" s="931"/>
      <c r="M244" s="931"/>
      <c r="N244" s="931"/>
      <c r="O244" s="931"/>
      <c r="P244" s="931"/>
      <c r="Q244" s="931"/>
      <c r="R244" s="931"/>
      <c r="S244" s="931"/>
      <c r="T244" s="931"/>
      <c r="U244" s="931"/>
      <c r="V244" s="931"/>
      <c r="AF244" s="379" t="s">
        <v>2389</v>
      </c>
      <c r="AG244" s="1003"/>
      <c r="AH244" s="1003"/>
      <c r="AI244" s="1003"/>
      <c r="AJ244" s="1003"/>
      <c r="AK244" s="1003"/>
      <c r="AL244" s="1003"/>
      <c r="AM244" s="1003"/>
      <c r="AN244" s="1003"/>
      <c r="AO244" s="1003"/>
      <c r="AP244" s="1003"/>
    </row>
    <row r="245" spans="1:42" ht="15" customHeight="1" outlineLevel="1" x14ac:dyDescent="0.2">
      <c r="A245" s="106" t="s">
        <v>1379</v>
      </c>
      <c r="B245" s="256">
        <f ca="1">SUMPRODUCT((I273:I1772&gt;TODAY())*(I273:I1772&gt;0)*(N273:N1772))*12</f>
        <v>0</v>
      </c>
      <c r="C245" s="931" t="s">
        <v>1380</v>
      </c>
      <c r="D245" s="931"/>
      <c r="E245" s="931"/>
      <c r="F245" s="931"/>
      <c r="G245" s="931"/>
      <c r="H245" s="931"/>
      <c r="I245" s="931"/>
      <c r="J245" s="931"/>
      <c r="K245" s="931"/>
      <c r="L245" s="931"/>
      <c r="M245" s="931"/>
      <c r="N245" s="931"/>
      <c r="O245" s="931"/>
      <c r="P245" s="931"/>
      <c r="Q245" s="931"/>
      <c r="R245" s="931"/>
      <c r="S245" s="931"/>
      <c r="T245" s="931"/>
      <c r="U245" s="931"/>
      <c r="V245" s="931"/>
      <c r="AF245" s="372" t="s">
        <v>2390</v>
      </c>
      <c r="AG245" s="377"/>
    </row>
    <row r="246" spans="1:42" ht="15" customHeight="1" outlineLevel="1" x14ac:dyDescent="0.2">
      <c r="A246" s="106" t="s">
        <v>1381</v>
      </c>
      <c r="B246" s="354" t="str">
        <f ca="1">IFERROR(MIN(IF((I273:I1772&gt;TODAY())*(I273:I1772&gt;0),I273:I1772))-TODAY(),"none")</f>
        <v>none</v>
      </c>
      <c r="C246" s="931" t="s">
        <v>1382</v>
      </c>
      <c r="D246" s="931"/>
      <c r="E246" s="931"/>
      <c r="F246" s="931"/>
      <c r="G246" s="931"/>
      <c r="H246" s="931"/>
      <c r="I246" s="931"/>
      <c r="J246" s="931"/>
      <c r="K246" s="931"/>
      <c r="L246" s="931"/>
      <c r="M246" s="931"/>
      <c r="N246" s="931"/>
      <c r="O246" s="931"/>
      <c r="P246" s="931"/>
      <c r="Q246" s="931"/>
      <c r="R246" s="931"/>
      <c r="S246" s="931"/>
      <c r="T246" s="931"/>
      <c r="U246" s="931"/>
      <c r="V246" s="931"/>
      <c r="AF246" s="372" t="s">
        <v>2391</v>
      </c>
      <c r="AG246" s="377">
        <v>10</v>
      </c>
    </row>
    <row r="247" spans="1:42" ht="15" customHeight="1" outlineLevel="1" x14ac:dyDescent="0.2">
      <c r="A247" s="106" t="s">
        <v>1383</v>
      </c>
      <c r="B247" s="354" t="str">
        <f ca="1">IFERROR(AVERAGEIFS(I273:I1772,I273:I1772,"&gt;"&amp;TODAY())-TODAY(),"none")</f>
        <v>none</v>
      </c>
      <c r="C247" s="931" t="s">
        <v>1384</v>
      </c>
      <c r="D247" s="931"/>
      <c r="E247" s="931"/>
      <c r="F247" s="931"/>
      <c r="G247" s="931"/>
      <c r="H247" s="931"/>
      <c r="I247" s="931"/>
      <c r="J247" s="931"/>
      <c r="K247" s="931"/>
      <c r="L247" s="931"/>
      <c r="M247" s="931"/>
      <c r="N247" s="931"/>
      <c r="O247" s="931"/>
      <c r="P247" s="931"/>
      <c r="Q247" s="931"/>
      <c r="R247" s="931"/>
      <c r="S247" s="931"/>
      <c r="T247" s="931"/>
      <c r="U247" s="931"/>
      <c r="V247" s="931"/>
      <c r="AF247" s="372" t="s">
        <v>2392</v>
      </c>
      <c r="AG247" s="372">
        <f>SUMPRODUCT(($C$273:$C$1772=$AG$245)*($N$273:$N$1772&gt;0)*ISNUMBER($I$273:$I$1772))</f>
        <v>0</v>
      </c>
    </row>
    <row r="248" spans="1:42" ht="15" customHeight="1" outlineLevel="1" x14ac:dyDescent="0.2">
      <c r="AF248" s="372" t="s">
        <v>2393</v>
      </c>
      <c r="AG248" s="372">
        <f>IFERROR(AVERAGEIFS($N$273:$N$1772,$C$273:$C$1772,$AG$245,$E$273:$E$1772,"Occupied*"),0)</f>
        <v>0</v>
      </c>
    </row>
    <row r="249" spans="1:42" ht="19.5" customHeight="1" x14ac:dyDescent="0.2">
      <c r="A249" s="933" t="s">
        <v>1385</v>
      </c>
      <c r="B249" s="933"/>
      <c r="C249" s="933"/>
      <c r="D249" s="933"/>
      <c r="E249" s="933"/>
      <c r="F249" s="933"/>
      <c r="G249" s="933"/>
      <c r="H249" s="933"/>
      <c r="I249" s="933"/>
      <c r="J249" s="933"/>
      <c r="K249" s="933"/>
      <c r="L249" s="933"/>
      <c r="M249" s="933"/>
      <c r="N249" s="933"/>
      <c r="O249" s="933"/>
      <c r="P249" s="933"/>
      <c r="Q249" s="933"/>
      <c r="R249" s="933"/>
    </row>
    <row r="250" spans="1:42" ht="21.75" customHeight="1" outlineLevel="1" x14ac:dyDescent="0.2">
      <c r="A250" s="374" t="s">
        <v>1386</v>
      </c>
      <c r="M250" s="375"/>
      <c r="N250" s="375"/>
      <c r="O250" s="375"/>
      <c r="P250" s="375"/>
      <c r="Q250" s="375"/>
      <c r="R250" s="375"/>
      <c r="S250" s="376" t="s">
        <v>1387</v>
      </c>
      <c r="T250" s="377">
        <v>25</v>
      </c>
      <c r="V250" s="1003"/>
      <c r="W250" s="1003"/>
      <c r="X250" s="1003"/>
      <c r="Y250" s="376" t="s">
        <v>2394</v>
      </c>
      <c r="Z250" s="377">
        <v>10</v>
      </c>
    </row>
    <row r="251" spans="1:42" ht="15.75" customHeight="1" outlineLevel="1" x14ac:dyDescent="0.2">
      <c r="A251" s="935" t="s">
        <v>1388</v>
      </c>
      <c r="B251" s="935"/>
      <c r="C251" s="935" t="s">
        <v>1389</v>
      </c>
      <c r="D251" s="935"/>
      <c r="E251" s="935"/>
      <c r="F251" s="935" t="s">
        <v>1390</v>
      </c>
      <c r="G251" s="935"/>
      <c r="H251" s="935"/>
      <c r="I251" s="935" t="s">
        <v>1391</v>
      </c>
      <c r="J251" s="935"/>
      <c r="K251" s="935"/>
      <c r="L251" s="935" t="s">
        <v>1392</v>
      </c>
      <c r="M251" s="935"/>
      <c r="N251" s="935"/>
      <c r="O251" s="935" t="s">
        <v>1393</v>
      </c>
      <c r="P251" s="935"/>
      <c r="Q251" s="935" t="s">
        <v>1394</v>
      </c>
      <c r="R251" s="935"/>
      <c r="S251" s="379" t="s">
        <v>1395</v>
      </c>
      <c r="T251" s="380"/>
      <c r="U251" s="380"/>
      <c r="V251" s="380"/>
      <c r="W251" s="380"/>
      <c r="X251" s="380"/>
      <c r="Y251" s="379" t="s">
        <v>2395</v>
      </c>
    </row>
    <row r="252" spans="1:42" ht="30" customHeight="1" outlineLevel="1" x14ac:dyDescent="0.2">
      <c r="A252" s="381" t="s">
        <v>356</v>
      </c>
      <c r="B252" s="381" t="s">
        <v>1227</v>
      </c>
      <c r="C252" s="381" t="s">
        <v>5</v>
      </c>
      <c r="D252" s="381" t="s">
        <v>1332</v>
      </c>
      <c r="E252" s="381" t="s">
        <v>1333</v>
      </c>
      <c r="F252" s="381" t="s">
        <v>1246</v>
      </c>
      <c r="G252" s="381" t="s">
        <v>1277</v>
      </c>
      <c r="H252" s="381" t="s">
        <v>1278</v>
      </c>
      <c r="I252" s="381" t="s">
        <v>1396</v>
      </c>
      <c r="J252" s="381" t="s">
        <v>1184</v>
      </c>
      <c r="K252" s="381" t="s">
        <v>1397</v>
      </c>
      <c r="L252" s="381" t="s">
        <v>1398</v>
      </c>
      <c r="M252" s="381" t="s">
        <v>1399</v>
      </c>
      <c r="N252" s="381" t="s">
        <v>1400</v>
      </c>
      <c r="O252" s="381" t="s">
        <v>1401</v>
      </c>
      <c r="P252" s="381" t="s">
        <v>1402</v>
      </c>
      <c r="Q252" s="381" t="s">
        <v>1403</v>
      </c>
      <c r="R252" s="381" t="s">
        <v>1404</v>
      </c>
      <c r="S252" s="381" t="s">
        <v>1405</v>
      </c>
      <c r="T252" s="381" t="s">
        <v>1406</v>
      </c>
      <c r="U252" s="381" t="s">
        <v>1407</v>
      </c>
      <c r="V252" s="381" t="s">
        <v>1408</v>
      </c>
      <c r="W252" s="381" t="s">
        <v>1409</v>
      </c>
      <c r="X252" s="381" t="s">
        <v>1410</v>
      </c>
      <c r="Y252" s="381" t="s">
        <v>2396</v>
      </c>
      <c r="Z252" s="381" t="s">
        <v>1228</v>
      </c>
      <c r="AA252" s="381" t="s">
        <v>2397</v>
      </c>
      <c r="AB252" s="381" t="s">
        <v>2398</v>
      </c>
      <c r="AC252" s="381" t="s">
        <v>879</v>
      </c>
      <c r="AD252" s="381" t="s">
        <v>2399</v>
      </c>
    </row>
    <row r="253" spans="1:42" ht="15" customHeight="1" outlineLevel="1" x14ac:dyDescent="0.2">
      <c r="A253" s="382">
        <v>1</v>
      </c>
      <c r="B253" s="383" t="str">
        <f>IFERROR(IF('Rental Comps'!$A$7=0,"",'Rental Comps'!$A$7),"")</f>
        <v/>
      </c>
      <c r="C253" s="369" t="str">
        <f t="shared" ref="C253:C262" si="7">IF($B253="","",COUNTIF($C$273:$C$1772,$B253))</f>
        <v/>
      </c>
      <c r="D253" s="369" t="str">
        <f t="shared" ref="D253:D262" si="8">IF($B253="","",IFERROR(AVERAGEIF($C$273:$C$1772,$B253,$D$273:$D$1772),0))</f>
        <v/>
      </c>
      <c r="E253" s="384" t="str">
        <f t="shared" ref="E253:E262" si="9">IF($B253="","",SUMIFS($D$273:$D$1772,$C$273:$C$1772,$B253))</f>
        <v/>
      </c>
      <c r="F253" s="369" t="str">
        <f t="shared" ref="F253:F262" si="10">IF($B253="","",COUNTIFS($C$273:$C$1772,$B253,$E$273:$E$1772,"Occupied*"))</f>
        <v/>
      </c>
      <c r="G253" s="369" t="str">
        <f t="shared" ref="G253:G262" si="11">IF($B253="","",COUNTIFS($C$273:$C$1772,$B253,$E$273:$E$1772,"Vacant*"))</f>
        <v/>
      </c>
      <c r="H253" s="370" t="str">
        <f t="shared" ref="H253:H262" si="12">IF($B253="","",IFERROR(G253/C253,0))</f>
        <v/>
      </c>
      <c r="I253" s="385" t="str">
        <f t="shared" ref="I253:I262" si="13">IF($B253="","",IFERROR(AVERAGEIFS($N$273:$N$1772,$C$273:$C$1772,$B253,$E$273:$E$1772,"Occupied*"),0))</f>
        <v/>
      </c>
      <c r="J253" s="385" t="str">
        <f t="shared" ref="J253:J262" si="14">IF($B253="","",IFERROR(AVERAGEIFS($L$273:$L$1772,$C$273:$C$1772,$B253,$L$273:$L$1772,"&gt;0"),0))</f>
        <v/>
      </c>
      <c r="K253" s="385" t="str">
        <f t="shared" ref="K253:K262" si="15">IF($B253="","",J253-I253)</f>
        <v/>
      </c>
      <c r="L253" s="386" t="str">
        <f t="shared" ref="L253:L262" si="16">IF($B253="","",IFERROR(I253/D253,0))</f>
        <v/>
      </c>
      <c r="M253" s="386" t="str">
        <f t="shared" ref="M253:M262" si="17">IF($B253="","",IFERROR(J253/D253,0))</f>
        <v/>
      </c>
      <c r="N253" s="387" t="str">
        <f>IF($B253="","",IFERROR('Rental Comps'!I7,0))</f>
        <v/>
      </c>
      <c r="O253" s="385" t="str">
        <f t="shared" ref="O253:O262" si="18">IF($B253="","",K253*F253*12)</f>
        <v/>
      </c>
      <c r="P253" s="370" t="str">
        <f t="shared" ref="P253:P262" si="19">IF($B253="","",IFERROR(K253/J253,0))</f>
        <v/>
      </c>
      <c r="Q253" s="369" t="str">
        <f t="shared" ref="Q253:Q262" ca="1" si="20">IF($B253="","",SUMPRODUCT(($C$273:$C$1772=$B253)*($E$273:$E$1772="Occupied No Notice")*($J$273:$J$1772&gt;=TODAY())*($J$273:$J$1772&lt;EDATE(TODAY(),12))))</f>
        <v/>
      </c>
      <c r="R253" s="385" t="str">
        <f t="shared" ref="R253:R262" si="21">IF($B253="","",K253*Q253*12)</f>
        <v/>
      </c>
      <c r="S253" s="385" t="str">
        <f t="shared" ref="S253:S262" si="22">IF($B253="","",IFERROR(_xlfn.AGGREGATE(15,6,$N$273:$N$1772/(($C$273:$C$1772=$B253)*(ISNUMBER(SEARCH("Occupied",$E$273:$E$1772)))),1),0))</f>
        <v/>
      </c>
      <c r="T253" s="385" t="str">
        <f t="shared" ref="T253:T262" si="23">IF($B253="","",IFERROR(_xlfn.AGGREGATE(14,6,$N$273:$N$1772/(($C$273:$C$1772=$B253)*(ISNUMBER(SEARCH("Occupied",$E$273:$E$1772)))),1),0))</f>
        <v/>
      </c>
      <c r="U253" s="385" t="str">
        <f t="shared" ref="U253:U262" si="24">IF($B253="","",IFERROR(AVERAGEIFS($N$273:$N$1772,$C$273:$C$1772,$B253,$E$273:$E$1772,"Occupied*",$N$273:$N$1772,"&gt;="&amp;X253),0))</f>
        <v/>
      </c>
      <c r="V253" s="385" t="str">
        <f t="shared" ref="V253:V262" si="25">IF($B253="","",U253-I253)</f>
        <v/>
      </c>
      <c r="W253" s="385" t="str">
        <f t="shared" ref="W253:W262" si="26">IF($B253="","",V253*F253*12)</f>
        <v/>
      </c>
      <c r="X253" s="385" t="str">
        <f t="shared" ref="X253:X262" si="27">IF($B253="","",IFERROR(_xlfn.AGGREGATE(14,6,$N$273:$N$1772/(($C$273:$C$1772=$B253)*(ISNUMBER(SEARCH("Occupied",$E$273:$E$1772)))),MAX(1,ROUNDUP(F253*$T$250/100,0))),0))</f>
        <v/>
      </c>
      <c r="Y253" s="369" t="str">
        <f t="shared" ref="Y253:Y262" si="28">IF($B253="","",IF($AD253="",0,COUNTIFS($C$273:$C$1772,$B253,$I$273:$I$1772,"&gt;="&amp;$AD253,$N$273:$N$1772,"&gt;0")))</f>
        <v/>
      </c>
      <c r="Z253" s="385" t="str">
        <f t="shared" ref="Z253:Z262" si="29">IF($B253="","",IF($AD253="",0,IFERROR(AVERAGEIFS($N$273:$N$1772,$C$273:$C$1772,$B253,$I$273:$I$1772,"&gt;="&amp;$AD253,$N$273:$N$1772,"&gt;0"),0)))</f>
        <v/>
      </c>
      <c r="AA253" s="385" t="str">
        <f t="shared" ref="AA253:AA262" si="30">IF($B253="","",IF(Z253=0,0,Z253-I253))</f>
        <v/>
      </c>
      <c r="AB253" s="370" t="str">
        <f t="shared" ref="AB253:AB262" si="31">IF($B253="","",IF(I253=0,0,IFERROR((Z253-I253)/I253,0)))</f>
        <v/>
      </c>
      <c r="AC253" s="382" t="str">
        <f t="shared" ref="AC253:AC262" si="32">IF($B253="","",IF(Z253=0,"-",IF(AA253&gt;0,"▲ up",IF(AA253&lt;0,"▼ down","flat"))))</f>
        <v/>
      </c>
      <c r="AD253" s="382" t="str">
        <f t="shared" ref="AD253:AD262" si="33">IF($B253="","",IFERROR(_xlfn.AGGREGATE(14,6,$I$273:$I$1772/(($C$273:$C$1772=$B253)*($N$273:$N$1772&gt;0)*ISNUMBER($I$273:$I$1772)),MIN($Z$250,SUMPRODUCT(($C$273:$C$1772=$B253)*($N$273:$N$1772&gt;0)*ISNUMBER($I$273:$I$1772)))),""))</f>
        <v/>
      </c>
    </row>
    <row r="254" spans="1:42" ht="15" customHeight="1" outlineLevel="1" x14ac:dyDescent="0.2">
      <c r="A254" s="388">
        <v>2</v>
      </c>
      <c r="B254" s="389" t="str">
        <f>IFERROR(IF('Rental Comps'!$A$8=0,"",'Rental Comps'!$A$8),"")</f>
        <v/>
      </c>
      <c r="C254" s="390" t="str">
        <f t="shared" si="7"/>
        <v/>
      </c>
      <c r="D254" s="390" t="str">
        <f t="shared" si="8"/>
        <v/>
      </c>
      <c r="E254" s="391" t="str">
        <f t="shared" si="9"/>
        <v/>
      </c>
      <c r="F254" s="390" t="str">
        <f t="shared" si="10"/>
        <v/>
      </c>
      <c r="G254" s="390" t="str">
        <f t="shared" si="11"/>
        <v/>
      </c>
      <c r="H254" s="392" t="str">
        <f t="shared" si="12"/>
        <v/>
      </c>
      <c r="I254" s="393" t="str">
        <f t="shared" si="13"/>
        <v/>
      </c>
      <c r="J254" s="393" t="str">
        <f t="shared" si="14"/>
        <v/>
      </c>
      <c r="K254" s="393" t="str">
        <f t="shared" si="15"/>
        <v/>
      </c>
      <c r="L254" s="394" t="str">
        <f t="shared" si="16"/>
        <v/>
      </c>
      <c r="M254" s="394" t="str">
        <f t="shared" si="17"/>
        <v/>
      </c>
      <c r="N254" s="395" t="str">
        <f>IF($B254="","",IFERROR('Rental Comps'!I8,0))</f>
        <v/>
      </c>
      <c r="O254" s="393" t="str">
        <f t="shared" si="18"/>
        <v/>
      </c>
      <c r="P254" s="392" t="str">
        <f t="shared" si="19"/>
        <v/>
      </c>
      <c r="Q254" s="390" t="str">
        <f t="shared" ca="1" si="20"/>
        <v/>
      </c>
      <c r="R254" s="393" t="str">
        <f t="shared" si="21"/>
        <v/>
      </c>
      <c r="S254" s="385" t="str">
        <f t="shared" si="22"/>
        <v/>
      </c>
      <c r="T254" s="385" t="str">
        <f t="shared" si="23"/>
        <v/>
      </c>
      <c r="U254" s="385" t="str">
        <f t="shared" si="24"/>
        <v/>
      </c>
      <c r="V254" s="385" t="str">
        <f t="shared" si="25"/>
        <v/>
      </c>
      <c r="W254" s="385" t="str">
        <f t="shared" si="26"/>
        <v/>
      </c>
      <c r="X254" s="385" t="str">
        <f t="shared" si="27"/>
        <v/>
      </c>
      <c r="Y254" s="369" t="str">
        <f t="shared" si="28"/>
        <v/>
      </c>
      <c r="Z254" s="385" t="str">
        <f t="shared" si="29"/>
        <v/>
      </c>
      <c r="AA254" s="385" t="str">
        <f t="shared" si="30"/>
        <v/>
      </c>
      <c r="AB254" s="370" t="str">
        <f t="shared" si="31"/>
        <v/>
      </c>
      <c r="AC254" s="382" t="str">
        <f t="shared" si="32"/>
        <v/>
      </c>
      <c r="AD254" s="382" t="str">
        <f t="shared" si="33"/>
        <v/>
      </c>
    </row>
    <row r="255" spans="1:42" ht="15" customHeight="1" outlineLevel="1" x14ac:dyDescent="0.2">
      <c r="A255" s="382">
        <v>3</v>
      </c>
      <c r="B255" s="383" t="str">
        <f>IFERROR(IF('Rental Comps'!$A$9=0,"",'Rental Comps'!$A$9),"")</f>
        <v/>
      </c>
      <c r="C255" s="369" t="str">
        <f t="shared" si="7"/>
        <v/>
      </c>
      <c r="D255" s="369" t="str">
        <f t="shared" si="8"/>
        <v/>
      </c>
      <c r="E255" s="384" t="str">
        <f t="shared" si="9"/>
        <v/>
      </c>
      <c r="F255" s="369" t="str">
        <f t="shared" si="10"/>
        <v/>
      </c>
      <c r="G255" s="369" t="str">
        <f t="shared" si="11"/>
        <v/>
      </c>
      <c r="H255" s="370" t="str">
        <f t="shared" si="12"/>
        <v/>
      </c>
      <c r="I255" s="385" t="str">
        <f t="shared" si="13"/>
        <v/>
      </c>
      <c r="J255" s="385" t="str">
        <f t="shared" si="14"/>
        <v/>
      </c>
      <c r="K255" s="385" t="str">
        <f t="shared" si="15"/>
        <v/>
      </c>
      <c r="L255" s="386" t="str">
        <f t="shared" si="16"/>
        <v/>
      </c>
      <c r="M255" s="386" t="str">
        <f t="shared" si="17"/>
        <v/>
      </c>
      <c r="N255" s="387" t="str">
        <f>IF($B255="","",IFERROR('Rental Comps'!I9,0))</f>
        <v/>
      </c>
      <c r="O255" s="385" t="str">
        <f t="shared" si="18"/>
        <v/>
      </c>
      <c r="P255" s="370" t="str">
        <f t="shared" si="19"/>
        <v/>
      </c>
      <c r="Q255" s="369" t="str">
        <f t="shared" ca="1" si="20"/>
        <v/>
      </c>
      <c r="R255" s="385" t="str">
        <f t="shared" si="21"/>
        <v/>
      </c>
      <c r="S255" s="385" t="str">
        <f t="shared" si="22"/>
        <v/>
      </c>
      <c r="T255" s="385" t="str">
        <f t="shared" si="23"/>
        <v/>
      </c>
      <c r="U255" s="385" t="str">
        <f t="shared" si="24"/>
        <v/>
      </c>
      <c r="V255" s="385" t="str">
        <f t="shared" si="25"/>
        <v/>
      </c>
      <c r="W255" s="385" t="str">
        <f t="shared" si="26"/>
        <v/>
      </c>
      <c r="X255" s="385" t="str">
        <f t="shared" si="27"/>
        <v/>
      </c>
      <c r="Y255" s="369" t="str">
        <f t="shared" si="28"/>
        <v/>
      </c>
      <c r="Z255" s="385" t="str">
        <f t="shared" si="29"/>
        <v/>
      </c>
      <c r="AA255" s="385" t="str">
        <f t="shared" si="30"/>
        <v/>
      </c>
      <c r="AB255" s="370" t="str">
        <f t="shared" si="31"/>
        <v/>
      </c>
      <c r="AC255" s="382" t="str">
        <f t="shared" si="32"/>
        <v/>
      </c>
      <c r="AD255" s="382" t="str">
        <f t="shared" si="33"/>
        <v/>
      </c>
    </row>
    <row r="256" spans="1:42" ht="15" customHeight="1" outlineLevel="1" x14ac:dyDescent="0.2">
      <c r="A256" s="388">
        <v>4</v>
      </c>
      <c r="B256" s="389" t="str">
        <f>IFERROR(IF('Rental Comps'!$A$10=0,"",'Rental Comps'!$A$10),"")</f>
        <v/>
      </c>
      <c r="C256" s="390" t="str">
        <f t="shared" si="7"/>
        <v/>
      </c>
      <c r="D256" s="390" t="str">
        <f t="shared" si="8"/>
        <v/>
      </c>
      <c r="E256" s="391" t="str">
        <f t="shared" si="9"/>
        <v/>
      </c>
      <c r="F256" s="390" t="str">
        <f t="shared" si="10"/>
        <v/>
      </c>
      <c r="G256" s="390" t="str">
        <f t="shared" si="11"/>
        <v/>
      </c>
      <c r="H256" s="392" t="str">
        <f t="shared" si="12"/>
        <v/>
      </c>
      <c r="I256" s="393" t="str">
        <f t="shared" si="13"/>
        <v/>
      </c>
      <c r="J256" s="393" t="str">
        <f t="shared" si="14"/>
        <v/>
      </c>
      <c r="K256" s="393" t="str">
        <f t="shared" si="15"/>
        <v/>
      </c>
      <c r="L256" s="394" t="str">
        <f t="shared" si="16"/>
        <v/>
      </c>
      <c r="M256" s="394" t="str">
        <f t="shared" si="17"/>
        <v/>
      </c>
      <c r="N256" s="395" t="str">
        <f>IF($B256="","",IFERROR('Rental Comps'!I10,0))</f>
        <v/>
      </c>
      <c r="O256" s="393" t="str">
        <f t="shared" si="18"/>
        <v/>
      </c>
      <c r="P256" s="392" t="str">
        <f t="shared" si="19"/>
        <v/>
      </c>
      <c r="Q256" s="390" t="str">
        <f t="shared" ca="1" si="20"/>
        <v/>
      </c>
      <c r="R256" s="393" t="str">
        <f t="shared" si="21"/>
        <v/>
      </c>
      <c r="S256" s="385" t="str">
        <f t="shared" si="22"/>
        <v/>
      </c>
      <c r="T256" s="385" t="str">
        <f t="shared" si="23"/>
        <v/>
      </c>
      <c r="U256" s="385" t="str">
        <f t="shared" si="24"/>
        <v/>
      </c>
      <c r="V256" s="385" t="str">
        <f t="shared" si="25"/>
        <v/>
      </c>
      <c r="W256" s="385" t="str">
        <f t="shared" si="26"/>
        <v/>
      </c>
      <c r="X256" s="385" t="str">
        <f t="shared" si="27"/>
        <v/>
      </c>
      <c r="Y256" s="369" t="str">
        <f t="shared" si="28"/>
        <v/>
      </c>
      <c r="Z256" s="385" t="str">
        <f t="shared" si="29"/>
        <v/>
      </c>
      <c r="AA256" s="385" t="str">
        <f t="shared" si="30"/>
        <v/>
      </c>
      <c r="AB256" s="370" t="str">
        <f t="shared" si="31"/>
        <v/>
      </c>
      <c r="AC256" s="382" t="str">
        <f t="shared" si="32"/>
        <v/>
      </c>
      <c r="AD256" s="382" t="str">
        <f t="shared" si="33"/>
        <v/>
      </c>
    </row>
    <row r="257" spans="1:37" ht="15" customHeight="1" outlineLevel="1" x14ac:dyDescent="0.2">
      <c r="A257" s="382">
        <v>5</v>
      </c>
      <c r="B257" s="383" t="str">
        <f>IFERROR(IF('Rental Comps'!$A$11=0,"",'Rental Comps'!$A$11),"")</f>
        <v/>
      </c>
      <c r="C257" s="369" t="str">
        <f t="shared" si="7"/>
        <v/>
      </c>
      <c r="D257" s="369" t="str">
        <f t="shared" si="8"/>
        <v/>
      </c>
      <c r="E257" s="384" t="str">
        <f t="shared" si="9"/>
        <v/>
      </c>
      <c r="F257" s="369" t="str">
        <f t="shared" si="10"/>
        <v/>
      </c>
      <c r="G257" s="369" t="str">
        <f t="shared" si="11"/>
        <v/>
      </c>
      <c r="H257" s="370" t="str">
        <f t="shared" si="12"/>
        <v/>
      </c>
      <c r="I257" s="385" t="str">
        <f t="shared" si="13"/>
        <v/>
      </c>
      <c r="J257" s="385" t="str">
        <f t="shared" si="14"/>
        <v/>
      </c>
      <c r="K257" s="385" t="str">
        <f t="shared" si="15"/>
        <v/>
      </c>
      <c r="L257" s="386" t="str">
        <f t="shared" si="16"/>
        <v/>
      </c>
      <c r="M257" s="386" t="str">
        <f t="shared" si="17"/>
        <v/>
      </c>
      <c r="N257" s="387" t="str">
        <f>IF($B257="","",IFERROR('Rental Comps'!I11,0))</f>
        <v/>
      </c>
      <c r="O257" s="385" t="str">
        <f t="shared" si="18"/>
        <v/>
      </c>
      <c r="P257" s="370" t="str">
        <f t="shared" si="19"/>
        <v/>
      </c>
      <c r="Q257" s="369" t="str">
        <f t="shared" ca="1" si="20"/>
        <v/>
      </c>
      <c r="R257" s="385" t="str">
        <f t="shared" si="21"/>
        <v/>
      </c>
      <c r="S257" s="385" t="str">
        <f t="shared" si="22"/>
        <v/>
      </c>
      <c r="T257" s="385" t="str">
        <f t="shared" si="23"/>
        <v/>
      </c>
      <c r="U257" s="385" t="str">
        <f t="shared" si="24"/>
        <v/>
      </c>
      <c r="V257" s="385" t="str">
        <f t="shared" si="25"/>
        <v/>
      </c>
      <c r="W257" s="385" t="str">
        <f t="shared" si="26"/>
        <v/>
      </c>
      <c r="X257" s="385" t="str">
        <f t="shared" si="27"/>
        <v/>
      </c>
      <c r="Y257" s="369" t="str">
        <f t="shared" si="28"/>
        <v/>
      </c>
      <c r="Z257" s="385" t="str">
        <f t="shared" si="29"/>
        <v/>
      </c>
      <c r="AA257" s="385" t="str">
        <f t="shared" si="30"/>
        <v/>
      </c>
      <c r="AB257" s="370" t="str">
        <f t="shared" si="31"/>
        <v/>
      </c>
      <c r="AC257" s="382" t="str">
        <f t="shared" si="32"/>
        <v/>
      </c>
      <c r="AD257" s="382" t="str">
        <f t="shared" si="33"/>
        <v/>
      </c>
    </row>
    <row r="258" spans="1:37" ht="15" customHeight="1" outlineLevel="1" x14ac:dyDescent="0.2">
      <c r="A258" s="388">
        <v>6</v>
      </c>
      <c r="B258" s="389" t="str">
        <f>IFERROR(IF('Rental Comps'!$A$12=0,"",'Rental Comps'!$A$12),"")</f>
        <v/>
      </c>
      <c r="C258" s="390" t="str">
        <f t="shared" si="7"/>
        <v/>
      </c>
      <c r="D258" s="390" t="str">
        <f t="shared" si="8"/>
        <v/>
      </c>
      <c r="E258" s="391" t="str">
        <f t="shared" si="9"/>
        <v/>
      </c>
      <c r="F258" s="390" t="str">
        <f t="shared" si="10"/>
        <v/>
      </c>
      <c r="G258" s="390" t="str">
        <f t="shared" si="11"/>
        <v/>
      </c>
      <c r="H258" s="392" t="str">
        <f t="shared" si="12"/>
        <v/>
      </c>
      <c r="I258" s="393" t="str">
        <f t="shared" si="13"/>
        <v/>
      </c>
      <c r="J258" s="393" t="str">
        <f t="shared" si="14"/>
        <v/>
      </c>
      <c r="K258" s="393" t="str">
        <f t="shared" si="15"/>
        <v/>
      </c>
      <c r="L258" s="394" t="str">
        <f t="shared" si="16"/>
        <v/>
      </c>
      <c r="M258" s="394" t="str">
        <f t="shared" si="17"/>
        <v/>
      </c>
      <c r="N258" s="395" t="str">
        <f>IF($B258="","",IFERROR('Rental Comps'!I12,0))</f>
        <v/>
      </c>
      <c r="O258" s="393" t="str">
        <f t="shared" si="18"/>
        <v/>
      </c>
      <c r="P258" s="392" t="str">
        <f t="shared" si="19"/>
        <v/>
      </c>
      <c r="Q258" s="390" t="str">
        <f t="shared" ca="1" si="20"/>
        <v/>
      </c>
      <c r="R258" s="393" t="str">
        <f t="shared" si="21"/>
        <v/>
      </c>
      <c r="S258" s="385" t="str">
        <f t="shared" si="22"/>
        <v/>
      </c>
      <c r="T258" s="385" t="str">
        <f t="shared" si="23"/>
        <v/>
      </c>
      <c r="U258" s="385" t="str">
        <f t="shared" si="24"/>
        <v/>
      </c>
      <c r="V258" s="385" t="str">
        <f t="shared" si="25"/>
        <v/>
      </c>
      <c r="W258" s="385" t="str">
        <f t="shared" si="26"/>
        <v/>
      </c>
      <c r="X258" s="385" t="str">
        <f t="shared" si="27"/>
        <v/>
      </c>
      <c r="Y258" s="369" t="str">
        <f t="shared" si="28"/>
        <v/>
      </c>
      <c r="Z258" s="385" t="str">
        <f t="shared" si="29"/>
        <v/>
      </c>
      <c r="AA258" s="385" t="str">
        <f t="shared" si="30"/>
        <v/>
      </c>
      <c r="AB258" s="370" t="str">
        <f t="shared" si="31"/>
        <v/>
      </c>
      <c r="AC258" s="382" t="str">
        <f t="shared" si="32"/>
        <v/>
      </c>
      <c r="AD258" s="382" t="str">
        <f t="shared" si="33"/>
        <v/>
      </c>
    </row>
    <row r="259" spans="1:37" ht="15" customHeight="1" outlineLevel="1" x14ac:dyDescent="0.2">
      <c r="A259" s="382">
        <v>7</v>
      </c>
      <c r="B259" s="383" t="str">
        <f>IFERROR(IF('Rental Comps'!$A$13=0,"",'Rental Comps'!$A$13),"")</f>
        <v/>
      </c>
      <c r="C259" s="369" t="str">
        <f t="shared" si="7"/>
        <v/>
      </c>
      <c r="D259" s="369" t="str">
        <f t="shared" si="8"/>
        <v/>
      </c>
      <c r="E259" s="384" t="str">
        <f t="shared" si="9"/>
        <v/>
      </c>
      <c r="F259" s="369" t="str">
        <f t="shared" si="10"/>
        <v/>
      </c>
      <c r="G259" s="369" t="str">
        <f t="shared" si="11"/>
        <v/>
      </c>
      <c r="H259" s="370" t="str">
        <f t="shared" si="12"/>
        <v/>
      </c>
      <c r="I259" s="385" t="str">
        <f t="shared" si="13"/>
        <v/>
      </c>
      <c r="J259" s="385" t="str">
        <f t="shared" si="14"/>
        <v/>
      </c>
      <c r="K259" s="385" t="str">
        <f t="shared" si="15"/>
        <v/>
      </c>
      <c r="L259" s="386" t="str">
        <f t="shared" si="16"/>
        <v/>
      </c>
      <c r="M259" s="386" t="str">
        <f t="shared" si="17"/>
        <v/>
      </c>
      <c r="N259" s="387" t="str">
        <f>IF($B259="","",IFERROR('Rental Comps'!I13,0))</f>
        <v/>
      </c>
      <c r="O259" s="385" t="str">
        <f t="shared" si="18"/>
        <v/>
      </c>
      <c r="P259" s="370" t="str">
        <f t="shared" si="19"/>
        <v/>
      </c>
      <c r="Q259" s="369" t="str">
        <f t="shared" ca="1" si="20"/>
        <v/>
      </c>
      <c r="R259" s="385" t="str">
        <f t="shared" si="21"/>
        <v/>
      </c>
      <c r="S259" s="385" t="str">
        <f t="shared" si="22"/>
        <v/>
      </c>
      <c r="T259" s="385" t="str">
        <f t="shared" si="23"/>
        <v/>
      </c>
      <c r="U259" s="385" t="str">
        <f t="shared" si="24"/>
        <v/>
      </c>
      <c r="V259" s="385" t="str">
        <f t="shared" si="25"/>
        <v/>
      </c>
      <c r="W259" s="385" t="str">
        <f t="shared" si="26"/>
        <v/>
      </c>
      <c r="X259" s="385" t="str">
        <f t="shared" si="27"/>
        <v/>
      </c>
      <c r="Y259" s="369" t="str">
        <f t="shared" si="28"/>
        <v/>
      </c>
      <c r="Z259" s="385" t="str">
        <f t="shared" si="29"/>
        <v/>
      </c>
      <c r="AA259" s="385" t="str">
        <f t="shared" si="30"/>
        <v/>
      </c>
      <c r="AB259" s="370" t="str">
        <f t="shared" si="31"/>
        <v/>
      </c>
      <c r="AC259" s="382" t="str">
        <f t="shared" si="32"/>
        <v/>
      </c>
      <c r="AD259" s="382" t="str">
        <f t="shared" si="33"/>
        <v/>
      </c>
    </row>
    <row r="260" spans="1:37" ht="15" customHeight="1" outlineLevel="1" x14ac:dyDescent="0.2">
      <c r="A260" s="388">
        <v>8</v>
      </c>
      <c r="B260" s="389" t="str">
        <f>IFERROR(IF('Rental Comps'!$A$14=0,"",'Rental Comps'!$A$14),"")</f>
        <v/>
      </c>
      <c r="C260" s="390" t="str">
        <f t="shared" si="7"/>
        <v/>
      </c>
      <c r="D260" s="390" t="str">
        <f t="shared" si="8"/>
        <v/>
      </c>
      <c r="E260" s="391" t="str">
        <f t="shared" si="9"/>
        <v/>
      </c>
      <c r="F260" s="390" t="str">
        <f t="shared" si="10"/>
        <v/>
      </c>
      <c r="G260" s="390" t="str">
        <f t="shared" si="11"/>
        <v/>
      </c>
      <c r="H260" s="392" t="str">
        <f t="shared" si="12"/>
        <v/>
      </c>
      <c r="I260" s="393" t="str">
        <f t="shared" si="13"/>
        <v/>
      </c>
      <c r="J260" s="393" t="str">
        <f t="shared" si="14"/>
        <v/>
      </c>
      <c r="K260" s="393" t="str">
        <f t="shared" si="15"/>
        <v/>
      </c>
      <c r="L260" s="394" t="str">
        <f t="shared" si="16"/>
        <v/>
      </c>
      <c r="M260" s="394" t="str">
        <f t="shared" si="17"/>
        <v/>
      </c>
      <c r="N260" s="395" t="str">
        <f>IF($B260="","",IFERROR('Rental Comps'!I14,0))</f>
        <v/>
      </c>
      <c r="O260" s="393" t="str">
        <f t="shared" si="18"/>
        <v/>
      </c>
      <c r="P260" s="392" t="str">
        <f t="shared" si="19"/>
        <v/>
      </c>
      <c r="Q260" s="390" t="str">
        <f t="shared" ca="1" si="20"/>
        <v/>
      </c>
      <c r="R260" s="393" t="str">
        <f t="shared" si="21"/>
        <v/>
      </c>
      <c r="S260" s="385" t="str">
        <f t="shared" si="22"/>
        <v/>
      </c>
      <c r="T260" s="385" t="str">
        <f t="shared" si="23"/>
        <v/>
      </c>
      <c r="U260" s="385" t="str">
        <f t="shared" si="24"/>
        <v/>
      </c>
      <c r="V260" s="385" t="str">
        <f t="shared" si="25"/>
        <v/>
      </c>
      <c r="W260" s="385" t="str">
        <f t="shared" si="26"/>
        <v/>
      </c>
      <c r="X260" s="385" t="str">
        <f t="shared" si="27"/>
        <v/>
      </c>
      <c r="Y260" s="369" t="str">
        <f t="shared" si="28"/>
        <v/>
      </c>
      <c r="Z260" s="385" t="str">
        <f t="shared" si="29"/>
        <v/>
      </c>
      <c r="AA260" s="385" t="str">
        <f t="shared" si="30"/>
        <v/>
      </c>
      <c r="AB260" s="370" t="str">
        <f t="shared" si="31"/>
        <v/>
      </c>
      <c r="AC260" s="382" t="str">
        <f t="shared" si="32"/>
        <v/>
      </c>
      <c r="AD260" s="382" t="str">
        <f t="shared" si="33"/>
        <v/>
      </c>
    </row>
    <row r="261" spans="1:37" ht="15" customHeight="1" outlineLevel="1" x14ac:dyDescent="0.2">
      <c r="A261" s="382">
        <v>9</v>
      </c>
      <c r="B261" s="383" t="str">
        <f>IFERROR(IF('Rental Comps'!$A$15=0,"",'Rental Comps'!$A$15),"")</f>
        <v/>
      </c>
      <c r="C261" s="369" t="str">
        <f t="shared" si="7"/>
        <v/>
      </c>
      <c r="D261" s="369" t="str">
        <f t="shared" si="8"/>
        <v/>
      </c>
      <c r="E261" s="384" t="str">
        <f t="shared" si="9"/>
        <v/>
      </c>
      <c r="F261" s="369" t="str">
        <f t="shared" si="10"/>
        <v/>
      </c>
      <c r="G261" s="369" t="str">
        <f t="shared" si="11"/>
        <v/>
      </c>
      <c r="H261" s="370" t="str">
        <f t="shared" si="12"/>
        <v/>
      </c>
      <c r="I261" s="385" t="str">
        <f t="shared" si="13"/>
        <v/>
      </c>
      <c r="J261" s="385" t="str">
        <f t="shared" si="14"/>
        <v/>
      </c>
      <c r="K261" s="385" t="str">
        <f t="shared" si="15"/>
        <v/>
      </c>
      <c r="L261" s="386" t="str">
        <f t="shared" si="16"/>
        <v/>
      </c>
      <c r="M261" s="386" t="str">
        <f t="shared" si="17"/>
        <v/>
      </c>
      <c r="N261" s="387" t="str">
        <f>IF($B261="","",IFERROR('Rental Comps'!I15,0))</f>
        <v/>
      </c>
      <c r="O261" s="385" t="str">
        <f t="shared" si="18"/>
        <v/>
      </c>
      <c r="P261" s="370" t="str">
        <f t="shared" si="19"/>
        <v/>
      </c>
      <c r="Q261" s="369" t="str">
        <f t="shared" ca="1" si="20"/>
        <v/>
      </c>
      <c r="R261" s="385" t="str">
        <f t="shared" si="21"/>
        <v/>
      </c>
      <c r="S261" s="385" t="str">
        <f t="shared" si="22"/>
        <v/>
      </c>
      <c r="T261" s="385" t="str">
        <f t="shared" si="23"/>
        <v/>
      </c>
      <c r="U261" s="385" t="str">
        <f t="shared" si="24"/>
        <v/>
      </c>
      <c r="V261" s="385" t="str">
        <f t="shared" si="25"/>
        <v/>
      </c>
      <c r="W261" s="385" t="str">
        <f t="shared" si="26"/>
        <v/>
      </c>
      <c r="X261" s="385" t="str">
        <f t="shared" si="27"/>
        <v/>
      </c>
      <c r="Y261" s="369" t="str">
        <f t="shared" si="28"/>
        <v/>
      </c>
      <c r="Z261" s="385" t="str">
        <f t="shared" si="29"/>
        <v/>
      </c>
      <c r="AA261" s="385" t="str">
        <f t="shared" si="30"/>
        <v/>
      </c>
      <c r="AB261" s="370" t="str">
        <f t="shared" si="31"/>
        <v/>
      </c>
      <c r="AC261" s="382" t="str">
        <f t="shared" si="32"/>
        <v/>
      </c>
      <c r="AD261" s="382" t="str">
        <f t="shared" si="33"/>
        <v/>
      </c>
    </row>
    <row r="262" spans="1:37" ht="15" customHeight="1" outlineLevel="1" x14ac:dyDescent="0.2">
      <c r="A262" s="388">
        <v>10</v>
      </c>
      <c r="B262" s="389" t="str">
        <f>IFERROR(IF('Rental Comps'!$A$16=0,"",'Rental Comps'!$A$16),"")</f>
        <v/>
      </c>
      <c r="C262" s="390" t="str">
        <f t="shared" si="7"/>
        <v/>
      </c>
      <c r="D262" s="390" t="str">
        <f t="shared" si="8"/>
        <v/>
      </c>
      <c r="E262" s="391" t="str">
        <f t="shared" si="9"/>
        <v/>
      </c>
      <c r="F262" s="390" t="str">
        <f t="shared" si="10"/>
        <v/>
      </c>
      <c r="G262" s="390" t="str">
        <f t="shared" si="11"/>
        <v/>
      </c>
      <c r="H262" s="392" t="str">
        <f t="shared" si="12"/>
        <v/>
      </c>
      <c r="I262" s="393" t="str">
        <f t="shared" si="13"/>
        <v/>
      </c>
      <c r="J262" s="393" t="str">
        <f t="shared" si="14"/>
        <v/>
      </c>
      <c r="K262" s="393" t="str">
        <f t="shared" si="15"/>
        <v/>
      </c>
      <c r="L262" s="394" t="str">
        <f t="shared" si="16"/>
        <v/>
      </c>
      <c r="M262" s="394" t="str">
        <f t="shared" si="17"/>
        <v/>
      </c>
      <c r="N262" s="395" t="str">
        <f>IF($B262="","",IFERROR('Rental Comps'!I16,0))</f>
        <v/>
      </c>
      <c r="O262" s="393" t="str">
        <f t="shared" si="18"/>
        <v/>
      </c>
      <c r="P262" s="392" t="str">
        <f t="shared" si="19"/>
        <v/>
      </c>
      <c r="Q262" s="390" t="str">
        <f t="shared" ca="1" si="20"/>
        <v/>
      </c>
      <c r="R262" s="393" t="str">
        <f t="shared" si="21"/>
        <v/>
      </c>
      <c r="S262" s="385" t="str">
        <f t="shared" si="22"/>
        <v/>
      </c>
      <c r="T262" s="385" t="str">
        <f t="shared" si="23"/>
        <v/>
      </c>
      <c r="U262" s="385" t="str">
        <f t="shared" si="24"/>
        <v/>
      </c>
      <c r="V262" s="385" t="str">
        <f t="shared" si="25"/>
        <v/>
      </c>
      <c r="W262" s="385" t="str">
        <f t="shared" si="26"/>
        <v/>
      </c>
      <c r="X262" s="385" t="str">
        <f t="shared" si="27"/>
        <v/>
      </c>
      <c r="Y262" s="369" t="str">
        <f t="shared" si="28"/>
        <v/>
      </c>
      <c r="Z262" s="385" t="str">
        <f t="shared" si="29"/>
        <v/>
      </c>
      <c r="AA262" s="385" t="str">
        <f t="shared" si="30"/>
        <v/>
      </c>
      <c r="AB262" s="370" t="str">
        <f t="shared" si="31"/>
        <v/>
      </c>
      <c r="AC262" s="382" t="str">
        <f t="shared" si="32"/>
        <v/>
      </c>
      <c r="AD262" s="382" t="str">
        <f t="shared" si="33"/>
        <v/>
      </c>
    </row>
    <row r="263" spans="1:37" ht="15.75" customHeight="1" outlineLevel="1" x14ac:dyDescent="0.2">
      <c r="A263" s="396"/>
      <c r="B263" s="397" t="s">
        <v>1411</v>
      </c>
      <c r="C263" s="398">
        <f>SUM(C253:C262)</f>
        <v>0</v>
      </c>
      <c r="D263" s="398">
        <f>IFERROR(SUMPRODUCT(D253:D262,C253:C262)/C263,0)</f>
        <v>0</v>
      </c>
      <c r="E263" s="399">
        <f>SUM(E253:E262)</f>
        <v>0</v>
      </c>
      <c r="F263" s="398">
        <f>SUM(F253:F262)</f>
        <v>0</v>
      </c>
      <c r="G263" s="398">
        <f>SUM(G253:G262)</f>
        <v>0</v>
      </c>
      <c r="H263" s="400">
        <f>IFERROR(G263/C263,0)</f>
        <v>0</v>
      </c>
      <c r="I263" s="401">
        <f>IFERROR(SUMPRODUCT(I253:I262,F253:F262)/F263,0)</f>
        <v>0</v>
      </c>
      <c r="J263" s="401">
        <f>IFERROR(SUMPRODUCT(J253:J262,C253:C262)/C263,0)</f>
        <v>0</v>
      </c>
      <c r="K263" s="401">
        <f>J263-I263</f>
        <v>0</v>
      </c>
      <c r="L263" s="402">
        <f>IFERROR(I263/D263,0)</f>
        <v>0</v>
      </c>
      <c r="M263" s="402">
        <f>IFERROR(J263/D263,0)</f>
        <v>0</v>
      </c>
      <c r="N263" s="402">
        <f>IFERROR(SUMPRODUCT(N253:N262,C253:C262)/C263,0)</f>
        <v>0</v>
      </c>
      <c r="O263" s="401">
        <f>SUM(O253:O262)</f>
        <v>0</v>
      </c>
      <c r="P263" s="400">
        <f>IFERROR(K263/J263,0)</f>
        <v>0</v>
      </c>
      <c r="Q263" s="398">
        <f ca="1">SUM(Q253:Q262)</f>
        <v>0</v>
      </c>
      <c r="R263" s="401">
        <f>SUM(R253:R262)</f>
        <v>0</v>
      </c>
      <c r="S263" s="385">
        <f>IFERROR(_xlfn.AGGREGATE(15,6,$N$273:$N$1772/(ISNUMBER(SEARCH("Occupied",$E$273:$E$1772))),1),0)</f>
        <v>0</v>
      </c>
      <c r="T263" s="385">
        <f>IFERROR(_xlfn.AGGREGATE(14,6,$N$273:$N$1772/(ISNUMBER(SEARCH("Occupied",$E$273:$E$1772))),1),0)</f>
        <v>0</v>
      </c>
      <c r="U263" s="385">
        <f>IFERROR(AVERAGEIFS($N$273:$N$1772,$E$273:$E$1772,"Occupied*",$N$273:$N$1772,"&gt;="&amp;X263),0)</f>
        <v>0</v>
      </c>
      <c r="V263" s="385">
        <f>U263-I263</f>
        <v>0</v>
      </c>
      <c r="W263" s="385">
        <f>SUM(W253:W262)</f>
        <v>0</v>
      </c>
      <c r="X263" s="385">
        <f>IFERROR(_xlfn.AGGREGATE(14,6,$N$273:$N$1772/(ISNUMBER(SEARCH("Occupied",$E$273:$E$1772))),MAX(1,ROUNDUP(F263*$T$250/100,0))),0)</f>
        <v>0</v>
      </c>
      <c r="Y263" s="369">
        <f>SUM(Y253:Y262)</f>
        <v>0</v>
      </c>
      <c r="Z263" s="385">
        <f>IFERROR(SUMPRODUCT(Z253:Z262,Y253:Y262)/Y263,0)</f>
        <v>0</v>
      </c>
      <c r="AA263" s="385">
        <f>Z263-I263</f>
        <v>0</v>
      </c>
      <c r="AB263" s="370">
        <f>IF(I263=0,0,(Z263-I263)/I263)</f>
        <v>0</v>
      </c>
      <c r="AC263" s="382" t="str">
        <f>IF(Z263=0,"-",IF(AA263&gt;0,"▲ up",IF(AA263&lt;0,"▼ down","flat")))</f>
        <v>-</v>
      </c>
    </row>
    <row r="264" spans="1:37" ht="24" customHeight="1" outlineLevel="1" x14ac:dyDescent="0.2">
      <c r="A264" s="936" t="s">
        <v>1412</v>
      </c>
      <c r="B264" s="936"/>
      <c r="C264" s="936"/>
      <c r="D264" s="936"/>
      <c r="E264" s="936"/>
      <c r="F264" s="936"/>
      <c r="G264" s="936"/>
      <c r="H264" s="936"/>
      <c r="I264" s="936"/>
      <c r="J264" s="936"/>
      <c r="K264" s="936"/>
      <c r="L264" s="936"/>
      <c r="M264" s="936"/>
      <c r="N264" s="936"/>
      <c r="O264" s="936"/>
      <c r="P264" s="936"/>
      <c r="Q264" s="936"/>
      <c r="R264" s="936"/>
    </row>
    <row r="265" spans="1:37" ht="15" customHeight="1" x14ac:dyDescent="0.2">
      <c r="A265" s="937" t="s">
        <v>1413</v>
      </c>
      <c r="B265" s="937"/>
      <c r="C265" s="937"/>
      <c r="D265" s="937"/>
      <c r="E265" s="937"/>
      <c r="F265" s="937"/>
      <c r="G265" s="937"/>
      <c r="H265" s="937"/>
      <c r="I265" s="937"/>
      <c r="J265" s="937"/>
      <c r="K265" s="937"/>
      <c r="L265" s="937"/>
      <c r="M265" s="937"/>
      <c r="N265" s="937"/>
      <c r="O265" s="937"/>
      <c r="P265" s="937"/>
      <c r="Q265" s="937"/>
      <c r="R265" s="937"/>
      <c r="S265" s="937"/>
      <c r="T265" s="937"/>
      <c r="U265" s="937"/>
      <c r="V265" s="937"/>
    </row>
    <row r="266" spans="1:37" ht="15" customHeight="1" x14ac:dyDescent="0.2"/>
    <row r="267" spans="1:37" ht="15" customHeight="1" x14ac:dyDescent="0.2"/>
    <row r="268" spans="1:37" ht="15" customHeight="1" x14ac:dyDescent="0.2"/>
    <row r="269" spans="1:37" ht="15" customHeight="1" x14ac:dyDescent="0.2"/>
    <row r="270" spans="1:37" ht="15" customHeight="1" x14ac:dyDescent="0.2">
      <c r="A270" s="931" t="s">
        <v>1414</v>
      </c>
      <c r="B270" s="931"/>
      <c r="C270" s="931"/>
      <c r="D270" s="931"/>
      <c r="E270" s="931"/>
      <c r="F270" s="931"/>
      <c r="G270" s="931"/>
      <c r="H270" s="931"/>
      <c r="I270" s="931"/>
      <c r="J270" s="931"/>
      <c r="K270" s="931"/>
      <c r="L270" s="931"/>
      <c r="M270" s="931"/>
      <c r="N270" s="931"/>
      <c r="O270" s="931"/>
      <c r="P270" s="931"/>
      <c r="Q270" s="931"/>
      <c r="R270" s="931"/>
      <c r="S270" s="931"/>
      <c r="T270" s="931"/>
      <c r="U270" s="931"/>
      <c r="V270" s="931"/>
    </row>
    <row r="271" spans="1:37" ht="15" customHeight="1" x14ac:dyDescent="0.2">
      <c r="A271" s="934" t="s">
        <v>1415</v>
      </c>
      <c r="B271" s="934"/>
      <c r="C271" s="934"/>
      <c r="D271" s="934"/>
      <c r="E271" s="934"/>
      <c r="F271" s="934"/>
      <c r="G271" s="934"/>
      <c r="H271" s="934"/>
      <c r="I271" s="934"/>
      <c r="J271" s="934"/>
      <c r="K271" s="934"/>
      <c r="L271" s="934"/>
      <c r="M271" s="934"/>
      <c r="N271" s="934"/>
      <c r="O271" s="934"/>
      <c r="P271" s="934"/>
      <c r="Q271" s="934"/>
      <c r="R271" s="934"/>
      <c r="S271" s="934"/>
      <c r="T271" s="934"/>
      <c r="U271" s="934"/>
      <c r="V271" s="934"/>
    </row>
    <row r="272" spans="1:37" ht="15" customHeight="1" x14ac:dyDescent="0.2">
      <c r="A272" s="116" t="s">
        <v>1208</v>
      </c>
      <c r="B272" s="116" t="s">
        <v>1416</v>
      </c>
      <c r="C272" s="116" t="s">
        <v>1417</v>
      </c>
      <c r="D272" s="116" t="s">
        <v>1418</v>
      </c>
      <c r="E272" s="116" t="s">
        <v>546</v>
      </c>
      <c r="F272" s="116" t="s">
        <v>1210</v>
      </c>
      <c r="G272" s="116" t="s">
        <v>712</v>
      </c>
      <c r="H272" s="116" t="s">
        <v>1419</v>
      </c>
      <c r="I272" s="116" t="s">
        <v>1420</v>
      </c>
      <c r="J272" s="116" t="s">
        <v>1421</v>
      </c>
      <c r="K272" s="116" t="s">
        <v>1422</v>
      </c>
      <c r="L272" s="116" t="s">
        <v>1423</v>
      </c>
      <c r="M272" s="116" t="s">
        <v>1424</v>
      </c>
      <c r="N272" s="116" t="s">
        <v>1425</v>
      </c>
      <c r="O272" s="116" t="s">
        <v>1212</v>
      </c>
      <c r="P272" s="116" t="s">
        <v>1213</v>
      </c>
      <c r="Q272" s="116" t="s">
        <v>1201</v>
      </c>
      <c r="R272" s="116" t="s">
        <v>1426</v>
      </c>
      <c r="S272" s="116" t="s">
        <v>1427</v>
      </c>
      <c r="T272" s="116" t="s">
        <v>1428</v>
      </c>
      <c r="U272" s="116" t="s">
        <v>1429</v>
      </c>
      <c r="V272" s="116" t="s">
        <v>55</v>
      </c>
      <c r="W272" s="116" t="s">
        <v>943</v>
      </c>
      <c r="X272" s="116" t="s">
        <v>944</v>
      </c>
      <c r="Y272" s="116" t="s">
        <v>945</v>
      </c>
      <c r="Z272" s="116" t="s">
        <v>946</v>
      </c>
      <c r="AA272" s="116" t="s">
        <v>947</v>
      </c>
      <c r="AB272" s="116" t="s">
        <v>948</v>
      </c>
      <c r="AC272" s="116" t="s">
        <v>949</v>
      </c>
      <c r="AD272" s="116" t="s">
        <v>950</v>
      </c>
      <c r="AE272" s="116" t="s">
        <v>951</v>
      </c>
      <c r="AF272" s="116" t="s">
        <v>952</v>
      </c>
      <c r="AG272" s="116" t="s">
        <v>324</v>
      </c>
      <c r="AH272" s="116" t="s">
        <v>323</v>
      </c>
      <c r="AI272" s="116" t="s">
        <v>325</v>
      </c>
      <c r="AJ272" s="116" t="s">
        <v>1430</v>
      </c>
      <c r="AK272" s="116" t="s">
        <v>336</v>
      </c>
    </row>
    <row r="273" spans="1:38" ht="15" customHeight="1" outlineLevel="1" x14ac:dyDescent="0.2">
      <c r="A273" s="403"/>
      <c r="B273" s="403"/>
      <c r="C273" s="403"/>
      <c r="D273" s="404"/>
      <c r="E273" s="405"/>
      <c r="F273" s="405"/>
      <c r="G273" s="403"/>
      <c r="H273" s="406"/>
      <c r="I273" s="406"/>
      <c r="J273" s="406"/>
      <c r="K273" s="304"/>
      <c r="L273" s="372"/>
      <c r="M273" s="372"/>
      <c r="N273" s="372"/>
      <c r="O273" s="372"/>
      <c r="P273" s="372"/>
      <c r="Q273" s="304"/>
      <c r="R273" s="304"/>
      <c r="S273" s="304"/>
      <c r="T273" s="304"/>
      <c r="U273" s="304"/>
      <c r="V273" s="304"/>
      <c r="AL273" s="372" t="str">
        <f t="shared" ref="AL273:AL336" si="34">IF(($C273=$AG$245)*($N273&gt;0)*ISNUMBER($I273),$I273*100000+ROW(),"")</f>
        <v/>
      </c>
    </row>
    <row r="274" spans="1:38" ht="15" customHeight="1" outlineLevel="1" x14ac:dyDescent="0.2">
      <c r="A274" s="403"/>
      <c r="B274" s="403"/>
      <c r="C274" s="403"/>
      <c r="D274" s="404"/>
      <c r="E274" s="405"/>
      <c r="F274" s="405"/>
      <c r="G274" s="403"/>
      <c r="H274" s="406"/>
      <c r="I274" s="406"/>
      <c r="J274" s="406"/>
      <c r="K274" s="304"/>
      <c r="L274" s="372"/>
      <c r="M274" s="372"/>
      <c r="N274" s="372"/>
      <c r="O274" s="372"/>
      <c r="P274" s="372"/>
      <c r="Q274" s="304"/>
      <c r="R274" s="304"/>
      <c r="S274" s="304"/>
      <c r="T274" s="304"/>
      <c r="U274" s="304"/>
      <c r="V274" s="304"/>
      <c r="AL274" s="372" t="str">
        <f t="shared" si="34"/>
        <v/>
      </c>
    </row>
    <row r="275" spans="1:38" ht="15" customHeight="1" outlineLevel="1" x14ac:dyDescent="0.2">
      <c r="A275" s="403"/>
      <c r="B275" s="403"/>
      <c r="C275" s="403"/>
      <c r="D275" s="404"/>
      <c r="E275" s="405"/>
      <c r="F275" s="405"/>
      <c r="G275" s="403"/>
      <c r="H275" s="406"/>
      <c r="I275" s="406"/>
      <c r="J275" s="406"/>
      <c r="K275" s="304"/>
      <c r="L275" s="372"/>
      <c r="M275" s="372"/>
      <c r="N275" s="372"/>
      <c r="O275" s="372"/>
      <c r="P275" s="372"/>
      <c r="Q275" s="304"/>
      <c r="R275" s="304"/>
      <c r="S275" s="304"/>
      <c r="T275" s="304"/>
      <c r="U275" s="304"/>
      <c r="V275" s="304"/>
      <c r="AL275" s="372" t="str">
        <f t="shared" si="34"/>
        <v/>
      </c>
    </row>
    <row r="276" spans="1:38" ht="15" customHeight="1" outlineLevel="1" x14ac:dyDescent="0.2">
      <c r="A276" s="403"/>
      <c r="B276" s="403"/>
      <c r="C276" s="403"/>
      <c r="D276" s="404"/>
      <c r="E276" s="405"/>
      <c r="F276" s="405"/>
      <c r="G276" s="403"/>
      <c r="H276" s="406"/>
      <c r="I276" s="406"/>
      <c r="J276" s="406"/>
      <c r="K276" s="304"/>
      <c r="L276" s="372"/>
      <c r="M276" s="372"/>
      <c r="N276" s="372"/>
      <c r="O276" s="372"/>
      <c r="P276" s="372"/>
      <c r="Q276" s="304"/>
      <c r="R276" s="304"/>
      <c r="S276" s="304"/>
      <c r="T276" s="304"/>
      <c r="U276" s="304"/>
      <c r="V276" s="304"/>
      <c r="AL276" s="372" t="str">
        <f t="shared" si="34"/>
        <v/>
      </c>
    </row>
    <row r="277" spans="1:38" ht="15" customHeight="1" outlineLevel="1" x14ac:dyDescent="0.2">
      <c r="A277" s="403"/>
      <c r="B277" s="403"/>
      <c r="C277" s="403"/>
      <c r="D277" s="404"/>
      <c r="E277" s="405"/>
      <c r="F277" s="405"/>
      <c r="G277" s="403"/>
      <c r="H277" s="406"/>
      <c r="I277" s="406"/>
      <c r="J277" s="406"/>
      <c r="K277" s="304"/>
      <c r="L277" s="372"/>
      <c r="M277" s="372"/>
      <c r="N277" s="372"/>
      <c r="O277" s="372"/>
      <c r="P277" s="372"/>
      <c r="Q277" s="304"/>
      <c r="R277" s="304"/>
      <c r="S277" s="304"/>
      <c r="T277" s="304"/>
      <c r="U277" s="304"/>
      <c r="V277" s="304"/>
      <c r="AL277" s="372" t="str">
        <f t="shared" si="34"/>
        <v/>
      </c>
    </row>
    <row r="278" spans="1:38" ht="15" customHeight="1" outlineLevel="1" x14ac:dyDescent="0.2">
      <c r="A278" s="403"/>
      <c r="B278" s="403"/>
      <c r="C278" s="403"/>
      <c r="D278" s="404"/>
      <c r="E278" s="405"/>
      <c r="F278" s="405"/>
      <c r="G278" s="403"/>
      <c r="H278" s="406"/>
      <c r="I278" s="406"/>
      <c r="J278" s="406"/>
      <c r="K278" s="304"/>
      <c r="L278" s="372"/>
      <c r="M278" s="372"/>
      <c r="N278" s="372"/>
      <c r="O278" s="372"/>
      <c r="P278" s="372"/>
      <c r="Q278" s="304"/>
      <c r="R278" s="304"/>
      <c r="S278" s="304"/>
      <c r="T278" s="304"/>
      <c r="U278" s="304"/>
      <c r="V278" s="304"/>
      <c r="AL278" s="372" t="str">
        <f t="shared" si="34"/>
        <v/>
      </c>
    </row>
    <row r="279" spans="1:38" ht="15" customHeight="1" outlineLevel="1" x14ac:dyDescent="0.2">
      <c r="A279" s="403"/>
      <c r="B279" s="403"/>
      <c r="C279" s="403"/>
      <c r="D279" s="404"/>
      <c r="E279" s="405"/>
      <c r="F279" s="405"/>
      <c r="G279" s="403"/>
      <c r="H279" s="406"/>
      <c r="I279" s="406"/>
      <c r="J279" s="406"/>
      <c r="K279" s="304"/>
      <c r="L279" s="372"/>
      <c r="M279" s="372"/>
      <c r="N279" s="372"/>
      <c r="O279" s="372"/>
      <c r="P279" s="372"/>
      <c r="Q279" s="304"/>
      <c r="R279" s="304"/>
      <c r="S279" s="304"/>
      <c r="T279" s="304"/>
      <c r="U279" s="304"/>
      <c r="V279" s="304"/>
      <c r="AL279" s="372" t="str">
        <f t="shared" si="34"/>
        <v/>
      </c>
    </row>
    <row r="280" spans="1:38" ht="15" customHeight="1" outlineLevel="1" x14ac:dyDescent="0.2">
      <c r="A280" s="403"/>
      <c r="B280" s="403"/>
      <c r="C280" s="403"/>
      <c r="D280" s="404"/>
      <c r="E280" s="405"/>
      <c r="F280" s="405"/>
      <c r="G280" s="403"/>
      <c r="H280" s="406"/>
      <c r="I280" s="406"/>
      <c r="J280" s="406"/>
      <c r="K280" s="304"/>
      <c r="L280" s="372"/>
      <c r="M280" s="372"/>
      <c r="N280" s="372"/>
      <c r="O280" s="372"/>
      <c r="P280" s="372"/>
      <c r="Q280" s="304"/>
      <c r="R280" s="304"/>
      <c r="S280" s="304"/>
      <c r="T280" s="304"/>
      <c r="U280" s="304"/>
      <c r="V280" s="304"/>
      <c r="AL280" s="372" t="str">
        <f t="shared" si="34"/>
        <v/>
      </c>
    </row>
    <row r="281" spans="1:38" ht="15" customHeight="1" outlineLevel="1" x14ac:dyDescent="0.2">
      <c r="A281" s="403"/>
      <c r="B281" s="403"/>
      <c r="C281" s="403"/>
      <c r="D281" s="404"/>
      <c r="E281" s="405"/>
      <c r="F281" s="405"/>
      <c r="G281" s="403"/>
      <c r="H281" s="406"/>
      <c r="I281" s="406"/>
      <c r="J281" s="406"/>
      <c r="K281" s="304"/>
      <c r="L281" s="372"/>
      <c r="M281" s="372"/>
      <c r="N281" s="372"/>
      <c r="O281" s="372"/>
      <c r="P281" s="372"/>
      <c r="Q281" s="304"/>
      <c r="R281" s="304"/>
      <c r="S281" s="304"/>
      <c r="T281" s="304"/>
      <c r="U281" s="304"/>
      <c r="V281" s="304"/>
      <c r="AL281" s="372" t="str">
        <f t="shared" si="34"/>
        <v/>
      </c>
    </row>
    <row r="282" spans="1:38" ht="15" customHeight="1" outlineLevel="1" x14ac:dyDescent="0.2">
      <c r="A282" s="403"/>
      <c r="B282" s="403"/>
      <c r="C282" s="403"/>
      <c r="D282" s="404"/>
      <c r="E282" s="405"/>
      <c r="F282" s="405"/>
      <c r="G282" s="403"/>
      <c r="H282" s="406"/>
      <c r="I282" s="406"/>
      <c r="J282" s="406"/>
      <c r="K282" s="304"/>
      <c r="L282" s="372"/>
      <c r="M282" s="372"/>
      <c r="N282" s="372"/>
      <c r="O282" s="372"/>
      <c r="P282" s="372"/>
      <c r="Q282" s="304"/>
      <c r="R282" s="304"/>
      <c r="S282" s="304"/>
      <c r="T282" s="304"/>
      <c r="U282" s="304"/>
      <c r="V282" s="304"/>
      <c r="AL282" s="372" t="str">
        <f t="shared" si="34"/>
        <v/>
      </c>
    </row>
    <row r="283" spans="1:38" ht="15" customHeight="1" outlineLevel="1" x14ac:dyDescent="0.2">
      <c r="A283" s="403"/>
      <c r="B283" s="403"/>
      <c r="C283" s="403"/>
      <c r="D283" s="404"/>
      <c r="E283" s="405"/>
      <c r="F283" s="405"/>
      <c r="G283" s="403"/>
      <c r="H283" s="406"/>
      <c r="I283" s="406"/>
      <c r="J283" s="406"/>
      <c r="K283" s="304"/>
      <c r="L283" s="372"/>
      <c r="M283" s="372"/>
      <c r="N283" s="372"/>
      <c r="O283" s="372"/>
      <c r="P283" s="372"/>
      <c r="Q283" s="304"/>
      <c r="R283" s="304"/>
      <c r="S283" s="304"/>
      <c r="T283" s="304"/>
      <c r="U283" s="304"/>
      <c r="V283" s="304"/>
      <c r="AL283" s="372" t="str">
        <f t="shared" si="34"/>
        <v/>
      </c>
    </row>
    <row r="284" spans="1:38" ht="15" customHeight="1" outlineLevel="1" x14ac:dyDescent="0.2">
      <c r="A284" s="403"/>
      <c r="B284" s="403"/>
      <c r="C284" s="403"/>
      <c r="D284" s="404"/>
      <c r="E284" s="405"/>
      <c r="F284" s="405"/>
      <c r="G284" s="403"/>
      <c r="H284" s="406"/>
      <c r="I284" s="406"/>
      <c r="J284" s="406"/>
      <c r="K284" s="304"/>
      <c r="L284" s="372"/>
      <c r="M284" s="372"/>
      <c r="N284" s="372"/>
      <c r="O284" s="372"/>
      <c r="P284" s="372"/>
      <c r="Q284" s="304"/>
      <c r="R284" s="304"/>
      <c r="S284" s="304"/>
      <c r="T284" s="304"/>
      <c r="U284" s="304"/>
      <c r="V284" s="304"/>
      <c r="AL284" s="372" t="str">
        <f t="shared" si="34"/>
        <v/>
      </c>
    </row>
    <row r="285" spans="1:38" ht="15" customHeight="1" outlineLevel="1" x14ac:dyDescent="0.2">
      <c r="A285" s="403"/>
      <c r="B285" s="403"/>
      <c r="C285" s="403"/>
      <c r="D285" s="404"/>
      <c r="E285" s="405"/>
      <c r="F285" s="405"/>
      <c r="G285" s="403"/>
      <c r="H285" s="406"/>
      <c r="I285" s="406"/>
      <c r="J285" s="406"/>
      <c r="K285" s="304"/>
      <c r="L285" s="372"/>
      <c r="M285" s="372"/>
      <c r="N285" s="372"/>
      <c r="O285" s="372"/>
      <c r="P285" s="372"/>
      <c r="Q285" s="304"/>
      <c r="R285" s="304"/>
      <c r="S285" s="304"/>
      <c r="T285" s="304"/>
      <c r="U285" s="304"/>
      <c r="V285" s="304"/>
      <c r="AL285" s="372" t="str">
        <f t="shared" si="34"/>
        <v/>
      </c>
    </row>
    <row r="286" spans="1:38" ht="15" customHeight="1" outlineLevel="1" x14ac:dyDescent="0.2">
      <c r="A286" s="403"/>
      <c r="B286" s="403"/>
      <c r="C286" s="403"/>
      <c r="D286" s="404"/>
      <c r="E286" s="405"/>
      <c r="F286" s="405"/>
      <c r="G286" s="403"/>
      <c r="H286" s="406"/>
      <c r="I286" s="406"/>
      <c r="J286" s="406"/>
      <c r="K286" s="304"/>
      <c r="L286" s="372"/>
      <c r="M286" s="372"/>
      <c r="N286" s="372"/>
      <c r="O286" s="372"/>
      <c r="P286" s="372"/>
      <c r="Q286" s="304"/>
      <c r="R286" s="304"/>
      <c r="S286" s="304"/>
      <c r="T286" s="304"/>
      <c r="U286" s="304"/>
      <c r="V286" s="304"/>
      <c r="AL286" s="372" t="str">
        <f t="shared" si="34"/>
        <v/>
      </c>
    </row>
    <row r="287" spans="1:38" ht="15" customHeight="1" outlineLevel="1" x14ac:dyDescent="0.2">
      <c r="A287" s="403"/>
      <c r="B287" s="403"/>
      <c r="C287" s="403"/>
      <c r="D287" s="404"/>
      <c r="E287" s="405"/>
      <c r="F287" s="405"/>
      <c r="G287" s="403"/>
      <c r="H287" s="406"/>
      <c r="I287" s="406"/>
      <c r="J287" s="406"/>
      <c r="K287" s="304"/>
      <c r="L287" s="372"/>
      <c r="M287" s="372"/>
      <c r="N287" s="372"/>
      <c r="O287" s="372"/>
      <c r="P287" s="372"/>
      <c r="Q287" s="304"/>
      <c r="R287" s="304"/>
      <c r="S287" s="304"/>
      <c r="T287" s="304"/>
      <c r="U287" s="304"/>
      <c r="V287" s="304"/>
      <c r="AL287" s="372" t="str">
        <f t="shared" si="34"/>
        <v/>
      </c>
    </row>
    <row r="288" spans="1:38" ht="15" customHeight="1" outlineLevel="1" x14ac:dyDescent="0.2">
      <c r="A288" s="403"/>
      <c r="B288" s="403"/>
      <c r="C288" s="403"/>
      <c r="D288" s="404"/>
      <c r="E288" s="405"/>
      <c r="F288" s="405"/>
      <c r="G288" s="403"/>
      <c r="H288" s="406"/>
      <c r="I288" s="406"/>
      <c r="J288" s="406"/>
      <c r="K288" s="304"/>
      <c r="L288" s="372"/>
      <c r="M288" s="372"/>
      <c r="N288" s="372"/>
      <c r="O288" s="372"/>
      <c r="P288" s="372"/>
      <c r="Q288" s="304"/>
      <c r="R288" s="304"/>
      <c r="S288" s="304"/>
      <c r="T288" s="304"/>
      <c r="U288" s="304"/>
      <c r="V288" s="304"/>
      <c r="AL288" s="372" t="str">
        <f t="shared" si="34"/>
        <v/>
      </c>
    </row>
    <row r="289" spans="1:38" ht="15" customHeight="1" outlineLevel="1" x14ac:dyDescent="0.2">
      <c r="A289" s="403"/>
      <c r="B289" s="403"/>
      <c r="C289" s="403"/>
      <c r="D289" s="404"/>
      <c r="E289" s="405"/>
      <c r="F289" s="405"/>
      <c r="G289" s="403"/>
      <c r="H289" s="406"/>
      <c r="I289" s="406"/>
      <c r="J289" s="406"/>
      <c r="K289" s="304"/>
      <c r="L289" s="372"/>
      <c r="M289" s="372"/>
      <c r="N289" s="372"/>
      <c r="O289" s="372"/>
      <c r="P289" s="372"/>
      <c r="Q289" s="304"/>
      <c r="R289" s="304"/>
      <c r="S289" s="304"/>
      <c r="T289" s="304"/>
      <c r="U289" s="304"/>
      <c r="V289" s="304"/>
      <c r="AL289" s="372" t="str">
        <f t="shared" si="34"/>
        <v/>
      </c>
    </row>
    <row r="290" spans="1:38" ht="15" customHeight="1" outlineLevel="1" x14ac:dyDescent="0.2">
      <c r="A290" s="403"/>
      <c r="B290" s="403"/>
      <c r="C290" s="403"/>
      <c r="D290" s="404"/>
      <c r="E290" s="405"/>
      <c r="F290" s="405"/>
      <c r="G290" s="403"/>
      <c r="H290" s="406"/>
      <c r="I290" s="406"/>
      <c r="J290" s="406"/>
      <c r="K290" s="304"/>
      <c r="L290" s="372"/>
      <c r="M290" s="372"/>
      <c r="N290" s="372"/>
      <c r="O290" s="372"/>
      <c r="P290" s="372"/>
      <c r="Q290" s="304"/>
      <c r="R290" s="304"/>
      <c r="S290" s="304"/>
      <c r="T290" s="304"/>
      <c r="U290" s="304"/>
      <c r="V290" s="304"/>
      <c r="AL290" s="372" t="str">
        <f t="shared" si="34"/>
        <v/>
      </c>
    </row>
    <row r="291" spans="1:38" ht="15" customHeight="1" outlineLevel="1" x14ac:dyDescent="0.2">
      <c r="A291" s="403"/>
      <c r="B291" s="403"/>
      <c r="C291" s="403"/>
      <c r="D291" s="404"/>
      <c r="E291" s="405"/>
      <c r="F291" s="405"/>
      <c r="G291" s="403"/>
      <c r="H291" s="406"/>
      <c r="I291" s="406"/>
      <c r="J291" s="406"/>
      <c r="K291" s="304"/>
      <c r="L291" s="372"/>
      <c r="M291" s="372"/>
      <c r="N291" s="372"/>
      <c r="O291" s="372"/>
      <c r="P291" s="372"/>
      <c r="Q291" s="304"/>
      <c r="R291" s="304"/>
      <c r="S291" s="304"/>
      <c r="T291" s="304"/>
      <c r="U291" s="304"/>
      <c r="V291" s="304"/>
      <c r="AL291" s="372" t="str">
        <f t="shared" si="34"/>
        <v/>
      </c>
    </row>
    <row r="292" spans="1:38" ht="15" customHeight="1" outlineLevel="1" x14ac:dyDescent="0.2">
      <c r="A292" s="403"/>
      <c r="B292" s="403"/>
      <c r="C292" s="403"/>
      <c r="D292" s="404"/>
      <c r="E292" s="405"/>
      <c r="F292" s="405"/>
      <c r="G292" s="403"/>
      <c r="H292" s="406"/>
      <c r="I292" s="406"/>
      <c r="J292" s="406"/>
      <c r="K292" s="304"/>
      <c r="L292" s="372"/>
      <c r="M292" s="372"/>
      <c r="N292" s="372"/>
      <c r="O292" s="372"/>
      <c r="P292" s="372"/>
      <c r="Q292" s="304"/>
      <c r="R292" s="304"/>
      <c r="S292" s="304"/>
      <c r="T292" s="304"/>
      <c r="U292" s="304"/>
      <c r="V292" s="304"/>
      <c r="AL292" s="372" t="str">
        <f t="shared" si="34"/>
        <v/>
      </c>
    </row>
    <row r="293" spans="1:38" ht="15" customHeight="1" outlineLevel="1" x14ac:dyDescent="0.2">
      <c r="A293" s="403"/>
      <c r="B293" s="403"/>
      <c r="C293" s="403"/>
      <c r="D293" s="404"/>
      <c r="E293" s="405"/>
      <c r="F293" s="405"/>
      <c r="G293" s="403"/>
      <c r="H293" s="406"/>
      <c r="I293" s="406"/>
      <c r="J293" s="406"/>
      <c r="K293" s="304"/>
      <c r="L293" s="372"/>
      <c r="M293" s="372"/>
      <c r="N293" s="372"/>
      <c r="O293" s="372"/>
      <c r="P293" s="372"/>
      <c r="Q293" s="304"/>
      <c r="R293" s="304"/>
      <c r="S293" s="304"/>
      <c r="T293" s="304"/>
      <c r="U293" s="304"/>
      <c r="V293" s="304"/>
      <c r="AL293" s="372" t="str">
        <f t="shared" si="34"/>
        <v/>
      </c>
    </row>
    <row r="294" spans="1:38" ht="15" customHeight="1" outlineLevel="1" x14ac:dyDescent="0.2">
      <c r="A294" s="403"/>
      <c r="B294" s="403"/>
      <c r="C294" s="403"/>
      <c r="D294" s="404"/>
      <c r="E294" s="405"/>
      <c r="F294" s="405"/>
      <c r="G294" s="403"/>
      <c r="H294" s="406"/>
      <c r="I294" s="406"/>
      <c r="J294" s="406"/>
      <c r="K294" s="304"/>
      <c r="L294" s="372"/>
      <c r="M294" s="372"/>
      <c r="N294" s="372"/>
      <c r="O294" s="372"/>
      <c r="P294" s="372"/>
      <c r="Q294" s="304"/>
      <c r="R294" s="304"/>
      <c r="S294" s="304"/>
      <c r="T294" s="304"/>
      <c r="U294" s="304"/>
      <c r="V294" s="304"/>
      <c r="AL294" s="372" t="str">
        <f t="shared" si="34"/>
        <v/>
      </c>
    </row>
    <row r="295" spans="1:38" ht="15" customHeight="1" outlineLevel="1" x14ac:dyDescent="0.2">
      <c r="A295" s="403"/>
      <c r="B295" s="403"/>
      <c r="C295" s="403"/>
      <c r="D295" s="404"/>
      <c r="E295" s="405"/>
      <c r="F295" s="405"/>
      <c r="G295" s="403"/>
      <c r="H295" s="406"/>
      <c r="I295" s="406"/>
      <c r="J295" s="406"/>
      <c r="K295" s="304"/>
      <c r="L295" s="372"/>
      <c r="M295" s="372"/>
      <c r="N295" s="372"/>
      <c r="O295" s="372"/>
      <c r="P295" s="372"/>
      <c r="Q295" s="304"/>
      <c r="R295" s="304"/>
      <c r="S295" s="304"/>
      <c r="T295" s="304"/>
      <c r="U295" s="304"/>
      <c r="V295" s="304"/>
      <c r="AL295" s="372" t="str">
        <f t="shared" si="34"/>
        <v/>
      </c>
    </row>
    <row r="296" spans="1:38" ht="15" customHeight="1" outlineLevel="1" x14ac:dyDescent="0.2">
      <c r="A296" s="403"/>
      <c r="B296" s="403"/>
      <c r="C296" s="403"/>
      <c r="D296" s="404"/>
      <c r="E296" s="405"/>
      <c r="F296" s="405"/>
      <c r="G296" s="403"/>
      <c r="H296" s="406"/>
      <c r="I296" s="406"/>
      <c r="J296" s="406"/>
      <c r="K296" s="304"/>
      <c r="L296" s="372"/>
      <c r="M296" s="372"/>
      <c r="N296" s="372"/>
      <c r="O296" s="372"/>
      <c r="P296" s="372"/>
      <c r="Q296" s="304"/>
      <c r="R296" s="304"/>
      <c r="S296" s="304"/>
      <c r="T296" s="304"/>
      <c r="U296" s="304"/>
      <c r="V296" s="304"/>
      <c r="AL296" s="372" t="str">
        <f t="shared" si="34"/>
        <v/>
      </c>
    </row>
    <row r="297" spans="1:38" ht="15" customHeight="1" outlineLevel="1" x14ac:dyDescent="0.2">
      <c r="A297" s="403"/>
      <c r="B297" s="403"/>
      <c r="C297" s="403"/>
      <c r="D297" s="404"/>
      <c r="E297" s="405"/>
      <c r="F297" s="405"/>
      <c r="G297" s="403"/>
      <c r="H297" s="406"/>
      <c r="I297" s="406"/>
      <c r="J297" s="406"/>
      <c r="K297" s="304"/>
      <c r="L297" s="372"/>
      <c r="M297" s="372"/>
      <c r="N297" s="372"/>
      <c r="O297" s="372"/>
      <c r="P297" s="372"/>
      <c r="Q297" s="304"/>
      <c r="R297" s="304"/>
      <c r="S297" s="304"/>
      <c r="T297" s="304"/>
      <c r="U297" s="304"/>
      <c r="V297" s="304"/>
      <c r="AL297" s="372" t="str">
        <f t="shared" si="34"/>
        <v/>
      </c>
    </row>
    <row r="298" spans="1:38" ht="15" customHeight="1" outlineLevel="1" x14ac:dyDescent="0.2">
      <c r="A298" s="403"/>
      <c r="B298" s="403"/>
      <c r="C298" s="403"/>
      <c r="D298" s="404"/>
      <c r="E298" s="405"/>
      <c r="F298" s="405"/>
      <c r="G298" s="403"/>
      <c r="H298" s="406"/>
      <c r="I298" s="406"/>
      <c r="J298" s="406"/>
      <c r="K298" s="304"/>
      <c r="L298" s="372"/>
      <c r="M298" s="372"/>
      <c r="N298" s="372"/>
      <c r="O298" s="372"/>
      <c r="P298" s="372"/>
      <c r="Q298" s="304"/>
      <c r="R298" s="304"/>
      <c r="S298" s="304"/>
      <c r="T298" s="304"/>
      <c r="U298" s="304"/>
      <c r="V298" s="304"/>
      <c r="AL298" s="372" t="str">
        <f t="shared" si="34"/>
        <v/>
      </c>
    </row>
    <row r="299" spans="1:38" ht="15" customHeight="1" outlineLevel="1" x14ac:dyDescent="0.2">
      <c r="A299" s="403"/>
      <c r="B299" s="403"/>
      <c r="C299" s="403"/>
      <c r="D299" s="404"/>
      <c r="E299" s="405"/>
      <c r="F299" s="405"/>
      <c r="G299" s="403"/>
      <c r="H299" s="406"/>
      <c r="I299" s="406"/>
      <c r="J299" s="406"/>
      <c r="K299" s="304"/>
      <c r="L299" s="372"/>
      <c r="M299" s="372"/>
      <c r="N299" s="372"/>
      <c r="O299" s="372"/>
      <c r="P299" s="372"/>
      <c r="Q299" s="304"/>
      <c r="R299" s="304"/>
      <c r="S299" s="304"/>
      <c r="T299" s="304"/>
      <c r="U299" s="304"/>
      <c r="V299" s="304"/>
      <c r="AL299" s="372" t="str">
        <f t="shared" si="34"/>
        <v/>
      </c>
    </row>
    <row r="300" spans="1:38" ht="15" customHeight="1" outlineLevel="1" x14ac:dyDescent="0.2">
      <c r="A300" s="403"/>
      <c r="B300" s="403"/>
      <c r="C300" s="403"/>
      <c r="D300" s="404"/>
      <c r="E300" s="405"/>
      <c r="F300" s="405"/>
      <c r="G300" s="403"/>
      <c r="H300" s="406"/>
      <c r="I300" s="406"/>
      <c r="J300" s="406"/>
      <c r="K300" s="304"/>
      <c r="L300" s="372"/>
      <c r="M300" s="372"/>
      <c r="N300" s="372"/>
      <c r="O300" s="372"/>
      <c r="P300" s="372"/>
      <c r="Q300" s="304"/>
      <c r="R300" s="304"/>
      <c r="S300" s="304"/>
      <c r="T300" s="304"/>
      <c r="U300" s="304"/>
      <c r="V300" s="304"/>
      <c r="AL300" s="372" t="str">
        <f t="shared" si="34"/>
        <v/>
      </c>
    </row>
    <row r="301" spans="1:38" ht="15" customHeight="1" outlineLevel="1" x14ac:dyDescent="0.2">
      <c r="A301" s="403"/>
      <c r="B301" s="403"/>
      <c r="C301" s="403"/>
      <c r="D301" s="404"/>
      <c r="E301" s="405"/>
      <c r="F301" s="405"/>
      <c r="G301" s="403"/>
      <c r="H301" s="406"/>
      <c r="I301" s="406"/>
      <c r="J301" s="406"/>
      <c r="K301" s="304"/>
      <c r="L301" s="372"/>
      <c r="M301" s="372"/>
      <c r="N301" s="372"/>
      <c r="O301" s="372"/>
      <c r="P301" s="372"/>
      <c r="Q301" s="304"/>
      <c r="R301" s="304"/>
      <c r="S301" s="304"/>
      <c r="T301" s="304"/>
      <c r="U301" s="304"/>
      <c r="V301" s="304"/>
      <c r="AL301" s="372" t="str">
        <f t="shared" si="34"/>
        <v/>
      </c>
    </row>
    <row r="302" spans="1:38" ht="15" customHeight="1" outlineLevel="1" x14ac:dyDescent="0.2">
      <c r="A302" s="403"/>
      <c r="B302" s="403"/>
      <c r="C302" s="403"/>
      <c r="D302" s="404"/>
      <c r="E302" s="405"/>
      <c r="F302" s="405"/>
      <c r="G302" s="403"/>
      <c r="H302" s="406"/>
      <c r="I302" s="406"/>
      <c r="J302" s="406"/>
      <c r="K302" s="304"/>
      <c r="L302" s="372"/>
      <c r="M302" s="372"/>
      <c r="N302" s="372"/>
      <c r="O302" s="372"/>
      <c r="P302" s="372"/>
      <c r="Q302" s="304"/>
      <c r="R302" s="304"/>
      <c r="S302" s="304"/>
      <c r="T302" s="304"/>
      <c r="U302" s="304"/>
      <c r="V302" s="304"/>
      <c r="AL302" s="372" t="str">
        <f t="shared" si="34"/>
        <v/>
      </c>
    </row>
    <row r="303" spans="1:38" ht="15" customHeight="1" outlineLevel="1" x14ac:dyDescent="0.2">
      <c r="A303" s="403"/>
      <c r="B303" s="403"/>
      <c r="C303" s="403"/>
      <c r="D303" s="404"/>
      <c r="E303" s="405"/>
      <c r="F303" s="405"/>
      <c r="G303" s="403"/>
      <c r="H303" s="406"/>
      <c r="I303" s="406"/>
      <c r="J303" s="406"/>
      <c r="K303" s="304"/>
      <c r="L303" s="372"/>
      <c r="M303" s="372"/>
      <c r="N303" s="372"/>
      <c r="O303" s="372"/>
      <c r="P303" s="372"/>
      <c r="Q303" s="304"/>
      <c r="R303" s="304"/>
      <c r="S303" s="304"/>
      <c r="T303" s="304"/>
      <c r="U303" s="304"/>
      <c r="V303" s="304"/>
      <c r="AL303" s="372" t="str">
        <f t="shared" si="34"/>
        <v/>
      </c>
    </row>
    <row r="304" spans="1:38" ht="15" customHeight="1" outlineLevel="1" x14ac:dyDescent="0.2">
      <c r="A304" s="403"/>
      <c r="B304" s="403"/>
      <c r="C304" s="403"/>
      <c r="D304" s="404"/>
      <c r="E304" s="405"/>
      <c r="F304" s="405"/>
      <c r="G304" s="403"/>
      <c r="H304" s="406"/>
      <c r="I304" s="406"/>
      <c r="J304" s="406"/>
      <c r="K304" s="304"/>
      <c r="L304" s="372"/>
      <c r="M304" s="372"/>
      <c r="N304" s="372"/>
      <c r="O304" s="372"/>
      <c r="P304" s="372"/>
      <c r="Q304" s="304"/>
      <c r="R304" s="304"/>
      <c r="S304" s="304"/>
      <c r="T304" s="304"/>
      <c r="U304" s="304"/>
      <c r="V304" s="304"/>
      <c r="AL304" s="372" t="str">
        <f t="shared" si="34"/>
        <v/>
      </c>
    </row>
    <row r="305" spans="1:38" ht="15" customHeight="1" outlineLevel="1" x14ac:dyDescent="0.2">
      <c r="A305" s="403"/>
      <c r="B305" s="403"/>
      <c r="C305" s="403"/>
      <c r="D305" s="404"/>
      <c r="E305" s="405"/>
      <c r="F305" s="405"/>
      <c r="G305" s="403"/>
      <c r="H305" s="406"/>
      <c r="I305" s="406"/>
      <c r="J305" s="406"/>
      <c r="K305" s="304"/>
      <c r="L305" s="372"/>
      <c r="M305" s="372"/>
      <c r="N305" s="372"/>
      <c r="O305" s="372"/>
      <c r="P305" s="372"/>
      <c r="Q305" s="304"/>
      <c r="R305" s="304"/>
      <c r="S305" s="304"/>
      <c r="T305" s="304"/>
      <c r="U305" s="304"/>
      <c r="V305" s="304"/>
      <c r="AL305" s="372" t="str">
        <f t="shared" si="34"/>
        <v/>
      </c>
    </row>
    <row r="306" spans="1:38" ht="15" customHeight="1" outlineLevel="1" x14ac:dyDescent="0.2">
      <c r="A306" s="403"/>
      <c r="B306" s="403"/>
      <c r="C306" s="403"/>
      <c r="D306" s="404"/>
      <c r="E306" s="405"/>
      <c r="F306" s="405"/>
      <c r="G306" s="403"/>
      <c r="H306" s="406"/>
      <c r="I306" s="406"/>
      <c r="J306" s="406"/>
      <c r="K306" s="304"/>
      <c r="L306" s="372"/>
      <c r="M306" s="372"/>
      <c r="N306" s="372"/>
      <c r="O306" s="372"/>
      <c r="P306" s="372"/>
      <c r="Q306" s="304"/>
      <c r="R306" s="304"/>
      <c r="S306" s="304"/>
      <c r="T306" s="304"/>
      <c r="U306" s="304"/>
      <c r="V306" s="304"/>
      <c r="AL306" s="372" t="str">
        <f t="shared" si="34"/>
        <v/>
      </c>
    </row>
    <row r="307" spans="1:38" ht="15" customHeight="1" outlineLevel="1" x14ac:dyDescent="0.2">
      <c r="A307" s="403"/>
      <c r="B307" s="403"/>
      <c r="C307" s="403"/>
      <c r="D307" s="404"/>
      <c r="E307" s="405"/>
      <c r="F307" s="405"/>
      <c r="G307" s="403"/>
      <c r="H307" s="406"/>
      <c r="I307" s="406"/>
      <c r="J307" s="406"/>
      <c r="K307" s="304"/>
      <c r="L307" s="372"/>
      <c r="M307" s="372"/>
      <c r="N307" s="372"/>
      <c r="O307" s="372"/>
      <c r="P307" s="372"/>
      <c r="Q307" s="304"/>
      <c r="R307" s="304"/>
      <c r="S307" s="304"/>
      <c r="T307" s="304"/>
      <c r="U307" s="304"/>
      <c r="V307" s="304"/>
      <c r="AL307" s="372" t="str">
        <f t="shared" si="34"/>
        <v/>
      </c>
    </row>
    <row r="308" spans="1:38" ht="15" customHeight="1" outlineLevel="1" x14ac:dyDescent="0.2">
      <c r="A308" s="403"/>
      <c r="B308" s="403"/>
      <c r="C308" s="403"/>
      <c r="D308" s="404"/>
      <c r="E308" s="405"/>
      <c r="F308" s="405"/>
      <c r="G308" s="403"/>
      <c r="H308" s="406"/>
      <c r="I308" s="406"/>
      <c r="J308" s="406"/>
      <c r="K308" s="304"/>
      <c r="L308" s="372"/>
      <c r="M308" s="372"/>
      <c r="N308" s="372"/>
      <c r="O308" s="372"/>
      <c r="P308" s="372"/>
      <c r="Q308" s="304"/>
      <c r="R308" s="304"/>
      <c r="S308" s="304"/>
      <c r="T308" s="304"/>
      <c r="U308" s="304"/>
      <c r="V308" s="304"/>
      <c r="AL308" s="372" t="str">
        <f t="shared" si="34"/>
        <v/>
      </c>
    </row>
    <row r="309" spans="1:38" ht="15" customHeight="1" outlineLevel="1" x14ac:dyDescent="0.2">
      <c r="A309" s="403"/>
      <c r="B309" s="403"/>
      <c r="C309" s="403"/>
      <c r="D309" s="404"/>
      <c r="E309" s="405"/>
      <c r="F309" s="405"/>
      <c r="G309" s="403"/>
      <c r="H309" s="406"/>
      <c r="I309" s="406"/>
      <c r="J309" s="406"/>
      <c r="K309" s="304"/>
      <c r="L309" s="372"/>
      <c r="M309" s="372"/>
      <c r="N309" s="372"/>
      <c r="O309" s="372"/>
      <c r="P309" s="372"/>
      <c r="Q309" s="304"/>
      <c r="R309" s="304"/>
      <c r="S309" s="304"/>
      <c r="T309" s="304"/>
      <c r="U309" s="304"/>
      <c r="V309" s="304"/>
      <c r="AL309" s="372" t="str">
        <f t="shared" si="34"/>
        <v/>
      </c>
    </row>
    <row r="310" spans="1:38" ht="15" customHeight="1" outlineLevel="1" x14ac:dyDescent="0.2">
      <c r="A310" s="403"/>
      <c r="B310" s="403"/>
      <c r="C310" s="403"/>
      <c r="D310" s="404"/>
      <c r="E310" s="405"/>
      <c r="F310" s="405"/>
      <c r="G310" s="403"/>
      <c r="H310" s="406"/>
      <c r="I310" s="406"/>
      <c r="J310" s="406"/>
      <c r="K310" s="304"/>
      <c r="L310" s="372"/>
      <c r="M310" s="372"/>
      <c r="N310" s="372"/>
      <c r="O310" s="372"/>
      <c r="P310" s="372"/>
      <c r="Q310" s="304"/>
      <c r="R310" s="304"/>
      <c r="S310" s="304"/>
      <c r="T310" s="304"/>
      <c r="U310" s="304"/>
      <c r="V310" s="304"/>
      <c r="AL310" s="372" t="str">
        <f t="shared" si="34"/>
        <v/>
      </c>
    </row>
    <row r="311" spans="1:38" ht="15" customHeight="1" outlineLevel="1" x14ac:dyDescent="0.2">
      <c r="A311" s="403"/>
      <c r="B311" s="403"/>
      <c r="C311" s="403"/>
      <c r="D311" s="404"/>
      <c r="E311" s="405"/>
      <c r="F311" s="405"/>
      <c r="G311" s="403"/>
      <c r="H311" s="406"/>
      <c r="I311" s="406"/>
      <c r="J311" s="406"/>
      <c r="K311" s="304"/>
      <c r="L311" s="372"/>
      <c r="M311" s="372"/>
      <c r="N311" s="372"/>
      <c r="O311" s="372"/>
      <c r="P311" s="372"/>
      <c r="Q311" s="304"/>
      <c r="R311" s="304"/>
      <c r="S311" s="304"/>
      <c r="T311" s="304"/>
      <c r="U311" s="304"/>
      <c r="V311" s="304"/>
      <c r="AL311" s="372" t="str">
        <f t="shared" si="34"/>
        <v/>
      </c>
    </row>
    <row r="312" spans="1:38" ht="15" customHeight="1" outlineLevel="1" x14ac:dyDescent="0.2">
      <c r="A312" s="403"/>
      <c r="B312" s="403"/>
      <c r="C312" s="403"/>
      <c r="D312" s="404"/>
      <c r="E312" s="405"/>
      <c r="F312" s="405"/>
      <c r="G312" s="403"/>
      <c r="H312" s="406"/>
      <c r="I312" s="406"/>
      <c r="J312" s="406"/>
      <c r="K312" s="304"/>
      <c r="L312" s="372"/>
      <c r="M312" s="372"/>
      <c r="N312" s="372"/>
      <c r="O312" s="372"/>
      <c r="P312" s="372"/>
      <c r="Q312" s="304"/>
      <c r="R312" s="304"/>
      <c r="S312" s="304"/>
      <c r="T312" s="304"/>
      <c r="U312" s="304"/>
      <c r="V312" s="304"/>
      <c r="AL312" s="372" t="str">
        <f t="shared" si="34"/>
        <v/>
      </c>
    </row>
    <row r="313" spans="1:38" ht="15" customHeight="1" outlineLevel="1" x14ac:dyDescent="0.2">
      <c r="A313" s="403"/>
      <c r="B313" s="403"/>
      <c r="C313" s="403"/>
      <c r="D313" s="404"/>
      <c r="E313" s="405"/>
      <c r="F313" s="405"/>
      <c r="G313" s="403"/>
      <c r="H313" s="406"/>
      <c r="I313" s="406"/>
      <c r="J313" s="406"/>
      <c r="K313" s="304"/>
      <c r="L313" s="372"/>
      <c r="M313" s="372"/>
      <c r="N313" s="372"/>
      <c r="O313" s="372"/>
      <c r="P313" s="372"/>
      <c r="Q313" s="304"/>
      <c r="R313" s="304"/>
      <c r="S313" s="304"/>
      <c r="T313" s="304"/>
      <c r="U313" s="304"/>
      <c r="V313" s="304"/>
      <c r="AL313" s="372" t="str">
        <f t="shared" si="34"/>
        <v/>
      </c>
    </row>
    <row r="314" spans="1:38" ht="15" customHeight="1" outlineLevel="1" x14ac:dyDescent="0.2">
      <c r="A314" s="403"/>
      <c r="B314" s="403"/>
      <c r="C314" s="403"/>
      <c r="D314" s="404"/>
      <c r="E314" s="405"/>
      <c r="F314" s="405"/>
      <c r="G314" s="403"/>
      <c r="H314" s="406"/>
      <c r="I314" s="406"/>
      <c r="J314" s="406"/>
      <c r="K314" s="304"/>
      <c r="L314" s="372"/>
      <c r="M314" s="372"/>
      <c r="N314" s="372"/>
      <c r="O314" s="372"/>
      <c r="P314" s="372"/>
      <c r="Q314" s="304"/>
      <c r="R314" s="304"/>
      <c r="S314" s="304"/>
      <c r="T314" s="304"/>
      <c r="U314" s="304"/>
      <c r="V314" s="304"/>
      <c r="AL314" s="372" t="str">
        <f t="shared" si="34"/>
        <v/>
      </c>
    </row>
    <row r="315" spans="1:38" ht="15" customHeight="1" outlineLevel="1" x14ac:dyDescent="0.2">
      <c r="A315" s="403"/>
      <c r="B315" s="403"/>
      <c r="C315" s="403"/>
      <c r="D315" s="404"/>
      <c r="E315" s="405"/>
      <c r="F315" s="405"/>
      <c r="G315" s="403"/>
      <c r="H315" s="406"/>
      <c r="I315" s="406"/>
      <c r="J315" s="406"/>
      <c r="K315" s="304"/>
      <c r="L315" s="372"/>
      <c r="M315" s="372"/>
      <c r="N315" s="372"/>
      <c r="O315" s="372"/>
      <c r="P315" s="372"/>
      <c r="Q315" s="304"/>
      <c r="R315" s="304"/>
      <c r="S315" s="304"/>
      <c r="T315" s="304"/>
      <c r="U315" s="304"/>
      <c r="V315" s="304"/>
      <c r="AL315" s="372" t="str">
        <f t="shared" si="34"/>
        <v/>
      </c>
    </row>
    <row r="316" spans="1:38" ht="15" customHeight="1" outlineLevel="1" x14ac:dyDescent="0.2">
      <c r="A316" s="403"/>
      <c r="B316" s="403"/>
      <c r="C316" s="403"/>
      <c r="D316" s="404"/>
      <c r="E316" s="405"/>
      <c r="F316" s="405"/>
      <c r="G316" s="403"/>
      <c r="H316" s="406"/>
      <c r="I316" s="406"/>
      <c r="J316" s="406"/>
      <c r="K316" s="304"/>
      <c r="L316" s="372"/>
      <c r="M316" s="372"/>
      <c r="N316" s="372"/>
      <c r="O316" s="372"/>
      <c r="P316" s="372"/>
      <c r="Q316" s="304"/>
      <c r="R316" s="304"/>
      <c r="S316" s="304"/>
      <c r="T316" s="304"/>
      <c r="U316" s="304"/>
      <c r="V316" s="304"/>
      <c r="AL316" s="372" t="str">
        <f t="shared" si="34"/>
        <v/>
      </c>
    </row>
    <row r="317" spans="1:38" ht="15" customHeight="1" outlineLevel="1" x14ac:dyDescent="0.2">
      <c r="A317" s="403"/>
      <c r="B317" s="403"/>
      <c r="C317" s="403"/>
      <c r="D317" s="404"/>
      <c r="E317" s="405"/>
      <c r="F317" s="405"/>
      <c r="G317" s="403"/>
      <c r="H317" s="406"/>
      <c r="I317" s="406"/>
      <c r="J317" s="406"/>
      <c r="K317" s="304"/>
      <c r="L317" s="372"/>
      <c r="M317" s="372"/>
      <c r="N317" s="372"/>
      <c r="O317" s="372"/>
      <c r="P317" s="372"/>
      <c r="Q317" s="304"/>
      <c r="R317" s="304"/>
      <c r="S317" s="304"/>
      <c r="T317" s="304"/>
      <c r="U317" s="304"/>
      <c r="V317" s="304"/>
      <c r="AL317" s="372" t="str">
        <f t="shared" si="34"/>
        <v/>
      </c>
    </row>
    <row r="318" spans="1:38" ht="15" customHeight="1" outlineLevel="1" x14ac:dyDescent="0.2">
      <c r="A318" s="403"/>
      <c r="B318" s="403"/>
      <c r="C318" s="403"/>
      <c r="D318" s="404"/>
      <c r="E318" s="405"/>
      <c r="F318" s="405"/>
      <c r="G318" s="403"/>
      <c r="H318" s="406"/>
      <c r="I318" s="406"/>
      <c r="J318" s="406"/>
      <c r="K318" s="304"/>
      <c r="L318" s="372"/>
      <c r="M318" s="372"/>
      <c r="N318" s="372"/>
      <c r="O318" s="372"/>
      <c r="P318" s="372"/>
      <c r="Q318" s="304"/>
      <c r="R318" s="304"/>
      <c r="S318" s="304"/>
      <c r="T318" s="304"/>
      <c r="U318" s="304"/>
      <c r="V318" s="304"/>
      <c r="AL318" s="372" t="str">
        <f t="shared" si="34"/>
        <v/>
      </c>
    </row>
    <row r="319" spans="1:38" ht="15" customHeight="1" outlineLevel="1" x14ac:dyDescent="0.2">
      <c r="A319" s="403"/>
      <c r="B319" s="403"/>
      <c r="C319" s="403"/>
      <c r="D319" s="404"/>
      <c r="E319" s="405"/>
      <c r="F319" s="405"/>
      <c r="G319" s="403"/>
      <c r="H319" s="406"/>
      <c r="I319" s="406"/>
      <c r="J319" s="406"/>
      <c r="K319" s="304"/>
      <c r="L319" s="372"/>
      <c r="M319" s="372"/>
      <c r="N319" s="372"/>
      <c r="O319" s="372"/>
      <c r="P319" s="372"/>
      <c r="Q319" s="304"/>
      <c r="R319" s="304"/>
      <c r="S319" s="304"/>
      <c r="T319" s="304"/>
      <c r="U319" s="304"/>
      <c r="V319" s="304"/>
      <c r="AL319" s="372" t="str">
        <f t="shared" si="34"/>
        <v/>
      </c>
    </row>
    <row r="320" spans="1:38" ht="15" customHeight="1" outlineLevel="1" x14ac:dyDescent="0.2">
      <c r="A320" s="403"/>
      <c r="B320" s="403"/>
      <c r="C320" s="403"/>
      <c r="D320" s="404"/>
      <c r="E320" s="405"/>
      <c r="F320" s="405"/>
      <c r="G320" s="403"/>
      <c r="H320" s="406"/>
      <c r="I320" s="406"/>
      <c r="J320" s="406"/>
      <c r="K320" s="304"/>
      <c r="L320" s="372"/>
      <c r="M320" s="372"/>
      <c r="N320" s="372"/>
      <c r="O320" s="372"/>
      <c r="P320" s="372"/>
      <c r="Q320" s="304"/>
      <c r="R320" s="304"/>
      <c r="S320" s="304"/>
      <c r="T320" s="304"/>
      <c r="U320" s="304"/>
      <c r="V320" s="304"/>
      <c r="AL320" s="372" t="str">
        <f t="shared" si="34"/>
        <v/>
      </c>
    </row>
    <row r="321" spans="1:38" ht="15" customHeight="1" outlineLevel="1" x14ac:dyDescent="0.2">
      <c r="A321" s="403"/>
      <c r="B321" s="403"/>
      <c r="C321" s="403"/>
      <c r="D321" s="404"/>
      <c r="E321" s="405"/>
      <c r="F321" s="405"/>
      <c r="G321" s="403"/>
      <c r="H321" s="406"/>
      <c r="I321" s="406"/>
      <c r="J321" s="406"/>
      <c r="K321" s="304"/>
      <c r="L321" s="372"/>
      <c r="M321" s="372"/>
      <c r="N321" s="372"/>
      <c r="O321" s="372"/>
      <c r="P321" s="372"/>
      <c r="Q321" s="304"/>
      <c r="R321" s="304"/>
      <c r="S321" s="304"/>
      <c r="T321" s="304"/>
      <c r="U321" s="304"/>
      <c r="V321" s="304"/>
      <c r="AL321" s="372" t="str">
        <f t="shared" si="34"/>
        <v/>
      </c>
    </row>
    <row r="322" spans="1:38" ht="15" customHeight="1" outlineLevel="1" x14ac:dyDescent="0.2">
      <c r="A322" s="403"/>
      <c r="B322" s="403"/>
      <c r="C322" s="403"/>
      <c r="D322" s="404"/>
      <c r="E322" s="405"/>
      <c r="F322" s="405"/>
      <c r="G322" s="403"/>
      <c r="H322" s="406"/>
      <c r="I322" s="406"/>
      <c r="J322" s="406"/>
      <c r="K322" s="304"/>
      <c r="L322" s="372"/>
      <c r="M322" s="372"/>
      <c r="N322" s="372"/>
      <c r="O322" s="372"/>
      <c r="P322" s="372"/>
      <c r="Q322" s="304"/>
      <c r="R322" s="304"/>
      <c r="S322" s="304"/>
      <c r="T322" s="304"/>
      <c r="U322" s="304"/>
      <c r="V322" s="304"/>
      <c r="AL322" s="372" t="str">
        <f t="shared" si="34"/>
        <v/>
      </c>
    </row>
    <row r="323" spans="1:38" ht="15" customHeight="1" outlineLevel="1" x14ac:dyDescent="0.2">
      <c r="A323" s="403"/>
      <c r="B323" s="403"/>
      <c r="C323" s="403"/>
      <c r="D323" s="404"/>
      <c r="E323" s="405"/>
      <c r="F323" s="405"/>
      <c r="G323" s="403"/>
      <c r="H323" s="406"/>
      <c r="I323" s="406"/>
      <c r="J323" s="406"/>
      <c r="K323" s="304"/>
      <c r="L323" s="372"/>
      <c r="M323" s="372"/>
      <c r="N323" s="372"/>
      <c r="O323" s="372"/>
      <c r="P323" s="372"/>
      <c r="Q323" s="304"/>
      <c r="R323" s="304"/>
      <c r="S323" s="304"/>
      <c r="T323" s="304"/>
      <c r="U323" s="304"/>
      <c r="V323" s="304"/>
      <c r="AL323" s="372" t="str">
        <f t="shared" si="34"/>
        <v/>
      </c>
    </row>
    <row r="324" spans="1:38" ht="15" customHeight="1" outlineLevel="1" x14ac:dyDescent="0.2">
      <c r="A324" s="403"/>
      <c r="B324" s="403"/>
      <c r="C324" s="403"/>
      <c r="D324" s="404"/>
      <c r="E324" s="405"/>
      <c r="F324" s="405"/>
      <c r="G324" s="403"/>
      <c r="H324" s="406"/>
      <c r="I324" s="406"/>
      <c r="J324" s="406"/>
      <c r="K324" s="304"/>
      <c r="L324" s="372"/>
      <c r="M324" s="372"/>
      <c r="N324" s="372"/>
      <c r="O324" s="372"/>
      <c r="P324" s="372"/>
      <c r="Q324" s="304"/>
      <c r="R324" s="304"/>
      <c r="S324" s="304"/>
      <c r="T324" s="304"/>
      <c r="U324" s="304"/>
      <c r="V324" s="304"/>
      <c r="AL324" s="372" t="str">
        <f t="shared" si="34"/>
        <v/>
      </c>
    </row>
    <row r="325" spans="1:38" ht="15" customHeight="1" outlineLevel="1" x14ac:dyDescent="0.2">
      <c r="A325" s="403"/>
      <c r="B325" s="403"/>
      <c r="C325" s="403"/>
      <c r="D325" s="404"/>
      <c r="E325" s="405"/>
      <c r="F325" s="405"/>
      <c r="G325" s="403"/>
      <c r="H325" s="406"/>
      <c r="I325" s="406"/>
      <c r="J325" s="406"/>
      <c r="K325" s="304"/>
      <c r="L325" s="372"/>
      <c r="M325" s="372"/>
      <c r="N325" s="372"/>
      <c r="O325" s="372"/>
      <c r="P325" s="372"/>
      <c r="Q325" s="304"/>
      <c r="R325" s="304"/>
      <c r="S325" s="304"/>
      <c r="T325" s="304"/>
      <c r="U325" s="304"/>
      <c r="V325" s="304"/>
      <c r="AL325" s="372" t="str">
        <f t="shared" si="34"/>
        <v/>
      </c>
    </row>
    <row r="326" spans="1:38" ht="15" customHeight="1" outlineLevel="1" x14ac:dyDescent="0.2">
      <c r="A326" s="403"/>
      <c r="B326" s="403"/>
      <c r="C326" s="403"/>
      <c r="D326" s="404"/>
      <c r="E326" s="405"/>
      <c r="F326" s="405"/>
      <c r="G326" s="403"/>
      <c r="H326" s="406"/>
      <c r="I326" s="406"/>
      <c r="J326" s="406"/>
      <c r="K326" s="304"/>
      <c r="L326" s="372"/>
      <c r="M326" s="372"/>
      <c r="N326" s="372"/>
      <c r="O326" s="372"/>
      <c r="P326" s="372"/>
      <c r="Q326" s="304"/>
      <c r="R326" s="304"/>
      <c r="S326" s="304"/>
      <c r="T326" s="304"/>
      <c r="U326" s="304"/>
      <c r="V326" s="304"/>
      <c r="AL326" s="372" t="str">
        <f t="shared" si="34"/>
        <v/>
      </c>
    </row>
    <row r="327" spans="1:38" ht="15" customHeight="1" outlineLevel="1" x14ac:dyDescent="0.2">
      <c r="A327" s="403"/>
      <c r="B327" s="403"/>
      <c r="C327" s="403"/>
      <c r="D327" s="404"/>
      <c r="E327" s="405"/>
      <c r="F327" s="405"/>
      <c r="G327" s="403"/>
      <c r="H327" s="406"/>
      <c r="I327" s="406"/>
      <c r="J327" s="406"/>
      <c r="K327" s="304"/>
      <c r="L327" s="372"/>
      <c r="M327" s="372"/>
      <c r="N327" s="372"/>
      <c r="O327" s="372"/>
      <c r="P327" s="372"/>
      <c r="Q327" s="304"/>
      <c r="R327" s="304"/>
      <c r="S327" s="304"/>
      <c r="T327" s="304"/>
      <c r="U327" s="304"/>
      <c r="V327" s="304"/>
      <c r="AL327" s="372" t="str">
        <f t="shared" si="34"/>
        <v/>
      </c>
    </row>
    <row r="328" spans="1:38" ht="15" customHeight="1" outlineLevel="1" x14ac:dyDescent="0.2">
      <c r="A328" s="403"/>
      <c r="B328" s="403"/>
      <c r="C328" s="403"/>
      <c r="D328" s="404"/>
      <c r="E328" s="405"/>
      <c r="F328" s="405"/>
      <c r="G328" s="403"/>
      <c r="H328" s="406"/>
      <c r="I328" s="406"/>
      <c r="J328" s="406"/>
      <c r="K328" s="304"/>
      <c r="L328" s="372"/>
      <c r="M328" s="372"/>
      <c r="N328" s="372"/>
      <c r="O328" s="372"/>
      <c r="P328" s="372"/>
      <c r="Q328" s="304"/>
      <c r="R328" s="304"/>
      <c r="S328" s="304"/>
      <c r="T328" s="304"/>
      <c r="U328" s="304"/>
      <c r="V328" s="304"/>
      <c r="AL328" s="372" t="str">
        <f t="shared" si="34"/>
        <v/>
      </c>
    </row>
    <row r="329" spans="1:38" ht="15" customHeight="1" outlineLevel="1" x14ac:dyDescent="0.2">
      <c r="A329" s="403"/>
      <c r="B329" s="403"/>
      <c r="C329" s="403"/>
      <c r="D329" s="404"/>
      <c r="E329" s="405"/>
      <c r="F329" s="405"/>
      <c r="G329" s="403"/>
      <c r="H329" s="406"/>
      <c r="I329" s="406"/>
      <c r="J329" s="406"/>
      <c r="K329" s="304"/>
      <c r="L329" s="372"/>
      <c r="M329" s="372"/>
      <c r="N329" s="372"/>
      <c r="O329" s="372"/>
      <c r="P329" s="372"/>
      <c r="Q329" s="304"/>
      <c r="R329" s="304"/>
      <c r="S329" s="304"/>
      <c r="T329" s="304"/>
      <c r="U329" s="304"/>
      <c r="V329" s="304"/>
      <c r="AL329" s="372" t="str">
        <f t="shared" si="34"/>
        <v/>
      </c>
    </row>
    <row r="330" spans="1:38" ht="15" customHeight="1" outlineLevel="1" x14ac:dyDescent="0.2">
      <c r="A330" s="403"/>
      <c r="B330" s="403"/>
      <c r="C330" s="403"/>
      <c r="D330" s="404"/>
      <c r="E330" s="405"/>
      <c r="F330" s="405"/>
      <c r="G330" s="403"/>
      <c r="H330" s="406"/>
      <c r="I330" s="406"/>
      <c r="J330" s="406"/>
      <c r="K330" s="304"/>
      <c r="L330" s="372"/>
      <c r="M330" s="372"/>
      <c r="N330" s="372"/>
      <c r="O330" s="372"/>
      <c r="P330" s="372"/>
      <c r="Q330" s="304"/>
      <c r="R330" s="304"/>
      <c r="S330" s="304"/>
      <c r="T330" s="304"/>
      <c r="U330" s="304"/>
      <c r="V330" s="304"/>
      <c r="AL330" s="372" t="str">
        <f t="shared" si="34"/>
        <v/>
      </c>
    </row>
    <row r="331" spans="1:38" ht="15" customHeight="1" outlineLevel="1" x14ac:dyDescent="0.2">
      <c r="A331" s="403"/>
      <c r="B331" s="403"/>
      <c r="C331" s="403"/>
      <c r="D331" s="404"/>
      <c r="E331" s="405"/>
      <c r="F331" s="405"/>
      <c r="G331" s="403"/>
      <c r="H331" s="406"/>
      <c r="I331" s="406"/>
      <c r="J331" s="406"/>
      <c r="K331" s="304"/>
      <c r="L331" s="372"/>
      <c r="M331" s="372"/>
      <c r="N331" s="372"/>
      <c r="O331" s="372"/>
      <c r="P331" s="372"/>
      <c r="Q331" s="304"/>
      <c r="R331" s="304"/>
      <c r="S331" s="304"/>
      <c r="T331" s="304"/>
      <c r="U331" s="304"/>
      <c r="V331" s="304"/>
      <c r="AL331" s="372" t="str">
        <f t="shared" si="34"/>
        <v/>
      </c>
    </row>
    <row r="332" spans="1:38" ht="15" customHeight="1" outlineLevel="1" x14ac:dyDescent="0.2">
      <c r="A332" s="403"/>
      <c r="B332" s="403"/>
      <c r="C332" s="403"/>
      <c r="D332" s="404"/>
      <c r="E332" s="405"/>
      <c r="F332" s="405"/>
      <c r="G332" s="403"/>
      <c r="H332" s="406"/>
      <c r="I332" s="406"/>
      <c r="J332" s="406"/>
      <c r="K332" s="304"/>
      <c r="L332" s="372"/>
      <c r="M332" s="372"/>
      <c r="N332" s="372"/>
      <c r="O332" s="372"/>
      <c r="P332" s="372"/>
      <c r="Q332" s="304"/>
      <c r="R332" s="304"/>
      <c r="S332" s="304"/>
      <c r="T332" s="304"/>
      <c r="U332" s="304"/>
      <c r="V332" s="304"/>
      <c r="AL332" s="372" t="str">
        <f t="shared" si="34"/>
        <v/>
      </c>
    </row>
    <row r="333" spans="1:38" ht="15" customHeight="1" outlineLevel="1" x14ac:dyDescent="0.2">
      <c r="A333" s="403"/>
      <c r="B333" s="403"/>
      <c r="C333" s="403"/>
      <c r="D333" s="404"/>
      <c r="E333" s="405"/>
      <c r="F333" s="405"/>
      <c r="G333" s="403"/>
      <c r="H333" s="406"/>
      <c r="I333" s="406"/>
      <c r="J333" s="406"/>
      <c r="K333" s="304"/>
      <c r="L333" s="372"/>
      <c r="M333" s="372"/>
      <c r="N333" s="372"/>
      <c r="O333" s="372"/>
      <c r="P333" s="372"/>
      <c r="Q333" s="304"/>
      <c r="R333" s="304"/>
      <c r="S333" s="304"/>
      <c r="T333" s="304"/>
      <c r="U333" s="304"/>
      <c r="V333" s="304"/>
      <c r="AL333" s="372" t="str">
        <f t="shared" si="34"/>
        <v/>
      </c>
    </row>
    <row r="334" spans="1:38" ht="15" customHeight="1" outlineLevel="1" x14ac:dyDescent="0.2">
      <c r="A334" s="403"/>
      <c r="B334" s="403"/>
      <c r="C334" s="403"/>
      <c r="D334" s="404"/>
      <c r="E334" s="405"/>
      <c r="F334" s="405"/>
      <c r="G334" s="403"/>
      <c r="H334" s="406"/>
      <c r="I334" s="406"/>
      <c r="J334" s="406"/>
      <c r="K334" s="304"/>
      <c r="L334" s="372"/>
      <c r="M334" s="372"/>
      <c r="N334" s="372"/>
      <c r="O334" s="372"/>
      <c r="P334" s="372"/>
      <c r="Q334" s="304"/>
      <c r="R334" s="304"/>
      <c r="S334" s="304"/>
      <c r="T334" s="304"/>
      <c r="U334" s="304"/>
      <c r="V334" s="304"/>
      <c r="AL334" s="372" t="str">
        <f t="shared" si="34"/>
        <v/>
      </c>
    </row>
    <row r="335" spans="1:38" ht="15" customHeight="1" outlineLevel="1" x14ac:dyDescent="0.2">
      <c r="A335" s="403"/>
      <c r="B335" s="403"/>
      <c r="C335" s="403"/>
      <c r="D335" s="404"/>
      <c r="E335" s="405"/>
      <c r="F335" s="405"/>
      <c r="G335" s="403"/>
      <c r="H335" s="406"/>
      <c r="I335" s="406"/>
      <c r="J335" s="406"/>
      <c r="K335" s="304"/>
      <c r="L335" s="372"/>
      <c r="M335" s="372"/>
      <c r="N335" s="372"/>
      <c r="O335" s="372"/>
      <c r="P335" s="372"/>
      <c r="Q335" s="304"/>
      <c r="R335" s="304"/>
      <c r="S335" s="304"/>
      <c r="T335" s="304"/>
      <c r="U335" s="304"/>
      <c r="V335" s="304"/>
      <c r="AL335" s="372" t="str">
        <f t="shared" si="34"/>
        <v/>
      </c>
    </row>
    <row r="336" spans="1:38" ht="15" customHeight="1" outlineLevel="1" x14ac:dyDescent="0.2">
      <c r="A336" s="403"/>
      <c r="B336" s="403"/>
      <c r="C336" s="403"/>
      <c r="D336" s="404"/>
      <c r="E336" s="405"/>
      <c r="F336" s="405"/>
      <c r="G336" s="403"/>
      <c r="H336" s="406"/>
      <c r="I336" s="406"/>
      <c r="J336" s="406"/>
      <c r="K336" s="304"/>
      <c r="L336" s="372"/>
      <c r="M336" s="372"/>
      <c r="N336" s="372"/>
      <c r="O336" s="372"/>
      <c r="P336" s="372"/>
      <c r="Q336" s="304"/>
      <c r="R336" s="304"/>
      <c r="S336" s="304"/>
      <c r="T336" s="304"/>
      <c r="U336" s="304"/>
      <c r="V336" s="304"/>
      <c r="AL336" s="372" t="str">
        <f t="shared" si="34"/>
        <v/>
      </c>
    </row>
    <row r="337" spans="1:38" ht="15" customHeight="1" outlineLevel="1" x14ac:dyDescent="0.2">
      <c r="A337" s="403"/>
      <c r="B337" s="403"/>
      <c r="C337" s="403"/>
      <c r="D337" s="404"/>
      <c r="E337" s="405"/>
      <c r="F337" s="405"/>
      <c r="G337" s="403"/>
      <c r="H337" s="406"/>
      <c r="I337" s="406"/>
      <c r="J337" s="406"/>
      <c r="K337" s="304"/>
      <c r="L337" s="372"/>
      <c r="M337" s="372"/>
      <c r="N337" s="372"/>
      <c r="O337" s="372"/>
      <c r="P337" s="372"/>
      <c r="Q337" s="304"/>
      <c r="R337" s="304"/>
      <c r="S337" s="304"/>
      <c r="T337" s="304"/>
      <c r="U337" s="304"/>
      <c r="V337" s="304"/>
      <c r="AL337" s="372" t="str">
        <f t="shared" ref="AL337:AL400" si="35">IF(($C337=$AG$245)*($N337&gt;0)*ISNUMBER($I337),$I337*100000+ROW(),"")</f>
        <v/>
      </c>
    </row>
    <row r="338" spans="1:38" ht="15" customHeight="1" outlineLevel="1" x14ac:dyDescent="0.2">
      <c r="A338" s="403"/>
      <c r="B338" s="403"/>
      <c r="C338" s="403"/>
      <c r="D338" s="404"/>
      <c r="E338" s="405"/>
      <c r="F338" s="405"/>
      <c r="G338" s="403"/>
      <c r="H338" s="406"/>
      <c r="I338" s="406"/>
      <c r="J338" s="406"/>
      <c r="K338" s="304"/>
      <c r="L338" s="372"/>
      <c r="M338" s="372"/>
      <c r="N338" s="372"/>
      <c r="O338" s="372"/>
      <c r="P338" s="372"/>
      <c r="Q338" s="304"/>
      <c r="R338" s="304"/>
      <c r="S338" s="304"/>
      <c r="T338" s="304"/>
      <c r="U338" s="304"/>
      <c r="V338" s="304"/>
      <c r="AL338" s="372" t="str">
        <f t="shared" si="35"/>
        <v/>
      </c>
    </row>
    <row r="339" spans="1:38" ht="15" customHeight="1" outlineLevel="1" x14ac:dyDescent="0.2">
      <c r="A339" s="403"/>
      <c r="B339" s="403"/>
      <c r="C339" s="403"/>
      <c r="D339" s="404"/>
      <c r="E339" s="405"/>
      <c r="F339" s="405"/>
      <c r="G339" s="403"/>
      <c r="H339" s="406"/>
      <c r="I339" s="406"/>
      <c r="J339" s="406"/>
      <c r="K339" s="304"/>
      <c r="L339" s="372"/>
      <c r="M339" s="372"/>
      <c r="N339" s="372"/>
      <c r="O339" s="372"/>
      <c r="P339" s="372"/>
      <c r="Q339" s="304"/>
      <c r="R339" s="304"/>
      <c r="S339" s="304"/>
      <c r="T339" s="304"/>
      <c r="U339" s="304"/>
      <c r="V339" s="304"/>
      <c r="AL339" s="372" t="str">
        <f t="shared" si="35"/>
        <v/>
      </c>
    </row>
    <row r="340" spans="1:38" ht="15" customHeight="1" outlineLevel="1" x14ac:dyDescent="0.2">
      <c r="A340" s="403"/>
      <c r="B340" s="403"/>
      <c r="C340" s="403"/>
      <c r="D340" s="404"/>
      <c r="E340" s="405"/>
      <c r="F340" s="405"/>
      <c r="G340" s="403"/>
      <c r="H340" s="406"/>
      <c r="I340" s="406"/>
      <c r="J340" s="406"/>
      <c r="K340" s="304"/>
      <c r="L340" s="372"/>
      <c r="M340" s="372"/>
      <c r="N340" s="372"/>
      <c r="O340" s="372"/>
      <c r="P340" s="372"/>
      <c r="Q340" s="304"/>
      <c r="R340" s="304"/>
      <c r="S340" s="304"/>
      <c r="T340" s="304"/>
      <c r="U340" s="304"/>
      <c r="V340" s="304"/>
      <c r="AL340" s="372" t="str">
        <f t="shared" si="35"/>
        <v/>
      </c>
    </row>
    <row r="341" spans="1:38" ht="15" customHeight="1" outlineLevel="1" x14ac:dyDescent="0.2">
      <c r="A341" s="403"/>
      <c r="B341" s="403"/>
      <c r="C341" s="403"/>
      <c r="D341" s="404"/>
      <c r="E341" s="405"/>
      <c r="F341" s="405"/>
      <c r="G341" s="403"/>
      <c r="H341" s="406"/>
      <c r="I341" s="406"/>
      <c r="J341" s="406"/>
      <c r="K341" s="304"/>
      <c r="L341" s="372"/>
      <c r="M341" s="372"/>
      <c r="N341" s="372"/>
      <c r="O341" s="372"/>
      <c r="P341" s="372"/>
      <c r="Q341" s="304"/>
      <c r="R341" s="304"/>
      <c r="S341" s="304"/>
      <c r="T341" s="304"/>
      <c r="U341" s="304"/>
      <c r="V341" s="304"/>
      <c r="AL341" s="372" t="str">
        <f t="shared" si="35"/>
        <v/>
      </c>
    </row>
    <row r="342" spans="1:38" ht="15" customHeight="1" outlineLevel="1" x14ac:dyDescent="0.2">
      <c r="A342" s="403"/>
      <c r="B342" s="403"/>
      <c r="C342" s="403"/>
      <c r="D342" s="404"/>
      <c r="E342" s="405"/>
      <c r="F342" s="405"/>
      <c r="G342" s="403"/>
      <c r="H342" s="406"/>
      <c r="I342" s="406"/>
      <c r="J342" s="406"/>
      <c r="K342" s="304"/>
      <c r="L342" s="372"/>
      <c r="M342" s="372"/>
      <c r="N342" s="372"/>
      <c r="O342" s="372"/>
      <c r="P342" s="372"/>
      <c r="Q342" s="304"/>
      <c r="R342" s="304"/>
      <c r="S342" s="304"/>
      <c r="T342" s="304"/>
      <c r="U342" s="304"/>
      <c r="V342" s="304"/>
      <c r="AL342" s="372" t="str">
        <f t="shared" si="35"/>
        <v/>
      </c>
    </row>
    <row r="343" spans="1:38" ht="15" customHeight="1" outlineLevel="1" x14ac:dyDescent="0.2">
      <c r="A343" s="403"/>
      <c r="B343" s="403"/>
      <c r="C343" s="403"/>
      <c r="D343" s="404"/>
      <c r="E343" s="405"/>
      <c r="F343" s="405"/>
      <c r="G343" s="403"/>
      <c r="H343" s="406"/>
      <c r="I343" s="406"/>
      <c r="J343" s="406"/>
      <c r="K343" s="304"/>
      <c r="L343" s="372"/>
      <c r="M343" s="372"/>
      <c r="N343" s="372"/>
      <c r="O343" s="372"/>
      <c r="P343" s="372"/>
      <c r="Q343" s="304"/>
      <c r="R343" s="304"/>
      <c r="S343" s="304"/>
      <c r="T343" s="304"/>
      <c r="U343" s="304"/>
      <c r="V343" s="304"/>
      <c r="AL343" s="372" t="str">
        <f t="shared" si="35"/>
        <v/>
      </c>
    </row>
    <row r="344" spans="1:38" ht="15" customHeight="1" outlineLevel="1" x14ac:dyDescent="0.2">
      <c r="A344" s="403"/>
      <c r="B344" s="403"/>
      <c r="C344" s="403"/>
      <c r="D344" s="404"/>
      <c r="E344" s="405"/>
      <c r="F344" s="405"/>
      <c r="G344" s="403"/>
      <c r="H344" s="406"/>
      <c r="I344" s="406"/>
      <c r="J344" s="406"/>
      <c r="K344" s="304"/>
      <c r="L344" s="372"/>
      <c r="M344" s="372"/>
      <c r="N344" s="372"/>
      <c r="O344" s="372"/>
      <c r="P344" s="372"/>
      <c r="Q344" s="304"/>
      <c r="R344" s="304"/>
      <c r="S344" s="304"/>
      <c r="T344" s="304"/>
      <c r="U344" s="304"/>
      <c r="V344" s="304"/>
      <c r="AL344" s="372" t="str">
        <f t="shared" si="35"/>
        <v/>
      </c>
    </row>
    <row r="345" spans="1:38" ht="15" customHeight="1" outlineLevel="1" x14ac:dyDescent="0.2">
      <c r="A345" s="403"/>
      <c r="B345" s="403"/>
      <c r="C345" s="403"/>
      <c r="D345" s="404"/>
      <c r="E345" s="405"/>
      <c r="F345" s="405"/>
      <c r="G345" s="403"/>
      <c r="H345" s="406"/>
      <c r="I345" s="406"/>
      <c r="J345" s="406"/>
      <c r="K345" s="304"/>
      <c r="L345" s="372"/>
      <c r="M345" s="372"/>
      <c r="N345" s="372"/>
      <c r="O345" s="372"/>
      <c r="P345" s="372"/>
      <c r="Q345" s="304"/>
      <c r="R345" s="304"/>
      <c r="S345" s="304"/>
      <c r="T345" s="304"/>
      <c r="U345" s="304"/>
      <c r="V345" s="304"/>
      <c r="AL345" s="372" t="str">
        <f t="shared" si="35"/>
        <v/>
      </c>
    </row>
    <row r="346" spans="1:38" ht="15" customHeight="1" outlineLevel="1" x14ac:dyDescent="0.2">
      <c r="A346" s="403"/>
      <c r="B346" s="403"/>
      <c r="C346" s="403"/>
      <c r="D346" s="404"/>
      <c r="E346" s="405"/>
      <c r="F346" s="405"/>
      <c r="G346" s="403"/>
      <c r="H346" s="406"/>
      <c r="I346" s="406"/>
      <c r="J346" s="406"/>
      <c r="K346" s="304"/>
      <c r="L346" s="372"/>
      <c r="M346" s="372"/>
      <c r="N346" s="372"/>
      <c r="O346" s="372"/>
      <c r="P346" s="372"/>
      <c r="Q346" s="304"/>
      <c r="R346" s="304"/>
      <c r="S346" s="304"/>
      <c r="T346" s="304"/>
      <c r="U346" s="304"/>
      <c r="V346" s="304"/>
      <c r="AL346" s="372" t="str">
        <f t="shared" si="35"/>
        <v/>
      </c>
    </row>
    <row r="347" spans="1:38" ht="15" customHeight="1" outlineLevel="1" x14ac:dyDescent="0.2">
      <c r="A347" s="403"/>
      <c r="B347" s="403"/>
      <c r="C347" s="403"/>
      <c r="D347" s="404"/>
      <c r="E347" s="405"/>
      <c r="F347" s="405"/>
      <c r="G347" s="403"/>
      <c r="H347" s="406"/>
      <c r="I347" s="406"/>
      <c r="J347" s="406"/>
      <c r="K347" s="304"/>
      <c r="L347" s="372"/>
      <c r="M347" s="372"/>
      <c r="N347" s="372"/>
      <c r="O347" s="372"/>
      <c r="P347" s="372"/>
      <c r="Q347" s="304"/>
      <c r="R347" s="304"/>
      <c r="S347" s="304"/>
      <c r="T347" s="304"/>
      <c r="U347" s="304"/>
      <c r="V347" s="304"/>
      <c r="AL347" s="372" t="str">
        <f t="shared" si="35"/>
        <v/>
      </c>
    </row>
    <row r="348" spans="1:38" ht="15" customHeight="1" outlineLevel="1" x14ac:dyDescent="0.2">
      <c r="A348" s="403"/>
      <c r="B348" s="403"/>
      <c r="C348" s="403"/>
      <c r="D348" s="404"/>
      <c r="E348" s="405"/>
      <c r="F348" s="405"/>
      <c r="G348" s="403"/>
      <c r="H348" s="406"/>
      <c r="I348" s="406"/>
      <c r="J348" s="406"/>
      <c r="K348" s="304"/>
      <c r="L348" s="372"/>
      <c r="M348" s="372"/>
      <c r="N348" s="372"/>
      <c r="O348" s="372"/>
      <c r="P348" s="372"/>
      <c r="Q348" s="304"/>
      <c r="R348" s="304"/>
      <c r="S348" s="304"/>
      <c r="T348" s="304"/>
      <c r="U348" s="304"/>
      <c r="V348" s="304"/>
      <c r="AL348" s="372" t="str">
        <f t="shared" si="35"/>
        <v/>
      </c>
    </row>
    <row r="349" spans="1:38" ht="15" customHeight="1" outlineLevel="1" x14ac:dyDescent="0.2">
      <c r="A349" s="403"/>
      <c r="B349" s="403"/>
      <c r="C349" s="403"/>
      <c r="D349" s="404"/>
      <c r="E349" s="405"/>
      <c r="F349" s="405"/>
      <c r="G349" s="403"/>
      <c r="H349" s="406"/>
      <c r="I349" s="406"/>
      <c r="J349" s="406"/>
      <c r="K349" s="304"/>
      <c r="L349" s="372"/>
      <c r="M349" s="372"/>
      <c r="N349" s="372"/>
      <c r="O349" s="372"/>
      <c r="P349" s="372"/>
      <c r="Q349" s="304"/>
      <c r="R349" s="304"/>
      <c r="S349" s="304"/>
      <c r="T349" s="304"/>
      <c r="U349" s="304"/>
      <c r="V349" s="304"/>
      <c r="AL349" s="372" t="str">
        <f t="shared" si="35"/>
        <v/>
      </c>
    </row>
    <row r="350" spans="1:38" ht="15" customHeight="1" outlineLevel="1" x14ac:dyDescent="0.2">
      <c r="A350" s="403"/>
      <c r="B350" s="403"/>
      <c r="C350" s="403"/>
      <c r="D350" s="404"/>
      <c r="E350" s="405"/>
      <c r="F350" s="405"/>
      <c r="G350" s="403"/>
      <c r="H350" s="406"/>
      <c r="I350" s="406"/>
      <c r="J350" s="406"/>
      <c r="K350" s="304"/>
      <c r="L350" s="372"/>
      <c r="M350" s="372"/>
      <c r="N350" s="372"/>
      <c r="O350" s="372"/>
      <c r="P350" s="372"/>
      <c r="Q350" s="304"/>
      <c r="R350" s="304"/>
      <c r="S350" s="304"/>
      <c r="T350" s="304"/>
      <c r="U350" s="304"/>
      <c r="V350" s="304"/>
      <c r="AL350" s="372" t="str">
        <f t="shared" si="35"/>
        <v/>
      </c>
    </row>
    <row r="351" spans="1:38" ht="15" customHeight="1" outlineLevel="1" x14ac:dyDescent="0.2">
      <c r="A351" s="403"/>
      <c r="B351" s="403"/>
      <c r="C351" s="403"/>
      <c r="D351" s="404"/>
      <c r="E351" s="405"/>
      <c r="F351" s="405"/>
      <c r="G351" s="403"/>
      <c r="H351" s="406"/>
      <c r="I351" s="406"/>
      <c r="J351" s="406"/>
      <c r="K351" s="304"/>
      <c r="L351" s="372"/>
      <c r="M351" s="372"/>
      <c r="N351" s="372"/>
      <c r="O351" s="372"/>
      <c r="P351" s="372"/>
      <c r="Q351" s="304"/>
      <c r="R351" s="304"/>
      <c r="S351" s="304"/>
      <c r="T351" s="304"/>
      <c r="U351" s="304"/>
      <c r="V351" s="304"/>
      <c r="AL351" s="372" t="str">
        <f t="shared" si="35"/>
        <v/>
      </c>
    </row>
    <row r="352" spans="1:38" ht="15" customHeight="1" outlineLevel="1" x14ac:dyDescent="0.2">
      <c r="A352" s="403"/>
      <c r="B352" s="403"/>
      <c r="C352" s="403"/>
      <c r="D352" s="404"/>
      <c r="E352" s="405"/>
      <c r="F352" s="405"/>
      <c r="G352" s="403"/>
      <c r="H352" s="406"/>
      <c r="I352" s="406"/>
      <c r="J352" s="406"/>
      <c r="K352" s="304"/>
      <c r="L352" s="372"/>
      <c r="M352" s="372"/>
      <c r="N352" s="372"/>
      <c r="O352" s="372"/>
      <c r="P352" s="372"/>
      <c r="Q352" s="304"/>
      <c r="R352" s="304"/>
      <c r="S352" s="304"/>
      <c r="T352" s="304"/>
      <c r="U352" s="304"/>
      <c r="V352" s="304"/>
      <c r="AL352" s="372" t="str">
        <f t="shared" si="35"/>
        <v/>
      </c>
    </row>
    <row r="353" spans="1:38" ht="15" customHeight="1" outlineLevel="1" x14ac:dyDescent="0.2">
      <c r="A353" s="403"/>
      <c r="B353" s="403"/>
      <c r="C353" s="403"/>
      <c r="D353" s="404"/>
      <c r="E353" s="405"/>
      <c r="F353" s="405"/>
      <c r="G353" s="403"/>
      <c r="H353" s="406"/>
      <c r="I353" s="406"/>
      <c r="J353" s="406"/>
      <c r="K353" s="304"/>
      <c r="L353" s="372"/>
      <c r="M353" s="372"/>
      <c r="N353" s="372"/>
      <c r="O353" s="372"/>
      <c r="P353" s="372"/>
      <c r="Q353" s="304"/>
      <c r="R353" s="304"/>
      <c r="S353" s="304"/>
      <c r="T353" s="304"/>
      <c r="U353" s="304"/>
      <c r="V353" s="304"/>
      <c r="AL353" s="372" t="str">
        <f t="shared" si="35"/>
        <v/>
      </c>
    </row>
    <row r="354" spans="1:38" ht="15" customHeight="1" outlineLevel="1" x14ac:dyDescent="0.2">
      <c r="A354" s="403"/>
      <c r="B354" s="403"/>
      <c r="C354" s="403"/>
      <c r="D354" s="404"/>
      <c r="E354" s="405"/>
      <c r="F354" s="405"/>
      <c r="G354" s="403"/>
      <c r="H354" s="406"/>
      <c r="I354" s="406"/>
      <c r="J354" s="406"/>
      <c r="K354" s="304"/>
      <c r="L354" s="372"/>
      <c r="M354" s="372"/>
      <c r="N354" s="372"/>
      <c r="O354" s="372"/>
      <c r="P354" s="372"/>
      <c r="Q354" s="304"/>
      <c r="R354" s="304"/>
      <c r="S354" s="304"/>
      <c r="T354" s="304"/>
      <c r="U354" s="304"/>
      <c r="V354" s="304"/>
      <c r="AL354" s="372" t="str">
        <f t="shared" si="35"/>
        <v/>
      </c>
    </row>
    <row r="355" spans="1:38" ht="15" customHeight="1" outlineLevel="1" x14ac:dyDescent="0.2">
      <c r="A355" s="403"/>
      <c r="B355" s="403"/>
      <c r="C355" s="403"/>
      <c r="D355" s="404"/>
      <c r="E355" s="405"/>
      <c r="F355" s="405"/>
      <c r="G355" s="403"/>
      <c r="H355" s="406"/>
      <c r="I355" s="406"/>
      <c r="J355" s="406"/>
      <c r="K355" s="304"/>
      <c r="L355" s="372"/>
      <c r="M355" s="372"/>
      <c r="N355" s="372"/>
      <c r="O355" s="372"/>
      <c r="P355" s="372"/>
      <c r="Q355" s="304"/>
      <c r="R355" s="304"/>
      <c r="S355" s="304"/>
      <c r="T355" s="304"/>
      <c r="U355" s="304"/>
      <c r="V355" s="304"/>
      <c r="AL355" s="372" t="str">
        <f t="shared" si="35"/>
        <v/>
      </c>
    </row>
    <row r="356" spans="1:38" ht="15" customHeight="1" outlineLevel="1" x14ac:dyDescent="0.2">
      <c r="A356" s="403"/>
      <c r="B356" s="403"/>
      <c r="C356" s="403"/>
      <c r="D356" s="404"/>
      <c r="E356" s="405"/>
      <c r="F356" s="405"/>
      <c r="G356" s="403"/>
      <c r="H356" s="406"/>
      <c r="I356" s="406"/>
      <c r="J356" s="406"/>
      <c r="K356" s="304"/>
      <c r="L356" s="372"/>
      <c r="M356" s="372"/>
      <c r="N356" s="372"/>
      <c r="O356" s="372"/>
      <c r="P356" s="372"/>
      <c r="Q356" s="304"/>
      <c r="R356" s="304"/>
      <c r="S356" s="304"/>
      <c r="T356" s="304"/>
      <c r="U356" s="304"/>
      <c r="V356" s="304"/>
      <c r="AL356" s="372" t="str">
        <f t="shared" si="35"/>
        <v/>
      </c>
    </row>
    <row r="357" spans="1:38" ht="15" customHeight="1" outlineLevel="1" x14ac:dyDescent="0.2">
      <c r="A357" s="403"/>
      <c r="B357" s="403"/>
      <c r="C357" s="403"/>
      <c r="D357" s="404"/>
      <c r="E357" s="405"/>
      <c r="F357" s="405"/>
      <c r="G357" s="403"/>
      <c r="H357" s="406"/>
      <c r="I357" s="406"/>
      <c r="J357" s="406"/>
      <c r="K357" s="304"/>
      <c r="L357" s="372"/>
      <c r="M357" s="372"/>
      <c r="N357" s="372"/>
      <c r="O357" s="372"/>
      <c r="P357" s="372"/>
      <c r="Q357" s="304"/>
      <c r="R357" s="304"/>
      <c r="S357" s="304"/>
      <c r="T357" s="304"/>
      <c r="U357" s="304"/>
      <c r="V357" s="304"/>
      <c r="AL357" s="372" t="str">
        <f t="shared" si="35"/>
        <v/>
      </c>
    </row>
    <row r="358" spans="1:38" ht="15" customHeight="1" outlineLevel="1" x14ac:dyDescent="0.2">
      <c r="A358" s="403"/>
      <c r="B358" s="403"/>
      <c r="C358" s="403"/>
      <c r="D358" s="404"/>
      <c r="E358" s="405"/>
      <c r="F358" s="405"/>
      <c r="G358" s="403"/>
      <c r="H358" s="406"/>
      <c r="I358" s="406"/>
      <c r="J358" s="406"/>
      <c r="K358" s="304"/>
      <c r="L358" s="372"/>
      <c r="M358" s="372"/>
      <c r="N358" s="372"/>
      <c r="O358" s="372"/>
      <c r="P358" s="372"/>
      <c r="Q358" s="304"/>
      <c r="R358" s="304"/>
      <c r="S358" s="304"/>
      <c r="T358" s="304"/>
      <c r="U358" s="304"/>
      <c r="V358" s="304"/>
      <c r="AL358" s="372" t="str">
        <f t="shared" si="35"/>
        <v/>
      </c>
    </row>
    <row r="359" spans="1:38" ht="15" customHeight="1" outlineLevel="1" x14ac:dyDescent="0.2">
      <c r="A359" s="403"/>
      <c r="B359" s="403"/>
      <c r="C359" s="403"/>
      <c r="D359" s="404"/>
      <c r="E359" s="405"/>
      <c r="F359" s="405"/>
      <c r="G359" s="403"/>
      <c r="H359" s="406"/>
      <c r="I359" s="406"/>
      <c r="J359" s="406"/>
      <c r="K359" s="304"/>
      <c r="L359" s="372"/>
      <c r="M359" s="372"/>
      <c r="N359" s="372"/>
      <c r="O359" s="372"/>
      <c r="P359" s="372"/>
      <c r="Q359" s="304"/>
      <c r="R359" s="304"/>
      <c r="S359" s="304"/>
      <c r="T359" s="304"/>
      <c r="U359" s="304"/>
      <c r="V359" s="304"/>
      <c r="AL359" s="372" t="str">
        <f t="shared" si="35"/>
        <v/>
      </c>
    </row>
    <row r="360" spans="1:38" ht="15" customHeight="1" outlineLevel="1" x14ac:dyDescent="0.2">
      <c r="A360" s="403"/>
      <c r="B360" s="403"/>
      <c r="C360" s="403"/>
      <c r="D360" s="404"/>
      <c r="E360" s="405"/>
      <c r="F360" s="405"/>
      <c r="G360" s="403"/>
      <c r="H360" s="406"/>
      <c r="I360" s="406"/>
      <c r="J360" s="406"/>
      <c r="K360" s="304"/>
      <c r="L360" s="372"/>
      <c r="M360" s="372"/>
      <c r="N360" s="372"/>
      <c r="O360" s="372"/>
      <c r="P360" s="372"/>
      <c r="Q360" s="304"/>
      <c r="R360" s="304"/>
      <c r="S360" s="304"/>
      <c r="T360" s="304"/>
      <c r="U360" s="304"/>
      <c r="V360" s="304"/>
      <c r="AL360" s="372" t="str">
        <f t="shared" si="35"/>
        <v/>
      </c>
    </row>
    <row r="361" spans="1:38" ht="15" customHeight="1" outlineLevel="1" x14ac:dyDescent="0.2">
      <c r="A361" s="403"/>
      <c r="B361" s="403"/>
      <c r="C361" s="403"/>
      <c r="D361" s="404"/>
      <c r="E361" s="405"/>
      <c r="F361" s="405"/>
      <c r="G361" s="403"/>
      <c r="H361" s="406"/>
      <c r="I361" s="406"/>
      <c r="J361" s="406"/>
      <c r="K361" s="304"/>
      <c r="L361" s="372"/>
      <c r="M361" s="372"/>
      <c r="N361" s="372"/>
      <c r="O361" s="372"/>
      <c r="P361" s="372"/>
      <c r="Q361" s="304"/>
      <c r="R361" s="304"/>
      <c r="S361" s="304"/>
      <c r="T361" s="304"/>
      <c r="U361" s="304"/>
      <c r="V361" s="304"/>
      <c r="AL361" s="372" t="str">
        <f t="shared" si="35"/>
        <v/>
      </c>
    </row>
    <row r="362" spans="1:38" ht="15" customHeight="1" outlineLevel="1" x14ac:dyDescent="0.2">
      <c r="A362" s="403"/>
      <c r="B362" s="403"/>
      <c r="C362" s="403"/>
      <c r="D362" s="404"/>
      <c r="E362" s="405"/>
      <c r="F362" s="405"/>
      <c r="G362" s="403"/>
      <c r="H362" s="406"/>
      <c r="I362" s="406"/>
      <c r="J362" s="406"/>
      <c r="K362" s="304"/>
      <c r="L362" s="372"/>
      <c r="M362" s="372"/>
      <c r="N362" s="372"/>
      <c r="O362" s="372"/>
      <c r="P362" s="372"/>
      <c r="Q362" s="304"/>
      <c r="R362" s="304"/>
      <c r="S362" s="304"/>
      <c r="T362" s="304"/>
      <c r="U362" s="304"/>
      <c r="V362" s="304"/>
      <c r="AL362" s="372" t="str">
        <f t="shared" si="35"/>
        <v/>
      </c>
    </row>
    <row r="363" spans="1:38" ht="15" customHeight="1" outlineLevel="1" x14ac:dyDescent="0.2">
      <c r="A363" s="403"/>
      <c r="B363" s="403"/>
      <c r="C363" s="403"/>
      <c r="D363" s="404"/>
      <c r="E363" s="405"/>
      <c r="F363" s="405"/>
      <c r="G363" s="403"/>
      <c r="H363" s="406"/>
      <c r="I363" s="406"/>
      <c r="J363" s="406"/>
      <c r="K363" s="304"/>
      <c r="L363" s="372"/>
      <c r="M363" s="372"/>
      <c r="N363" s="372"/>
      <c r="O363" s="372"/>
      <c r="P363" s="372"/>
      <c r="Q363" s="304"/>
      <c r="R363" s="304"/>
      <c r="S363" s="304"/>
      <c r="T363" s="304"/>
      <c r="U363" s="304"/>
      <c r="V363" s="304"/>
      <c r="AL363" s="372" t="str">
        <f t="shared" si="35"/>
        <v/>
      </c>
    </row>
    <row r="364" spans="1:38" ht="15" customHeight="1" outlineLevel="1" x14ac:dyDescent="0.2">
      <c r="A364" s="403"/>
      <c r="B364" s="403"/>
      <c r="C364" s="403"/>
      <c r="D364" s="404"/>
      <c r="E364" s="405"/>
      <c r="F364" s="405"/>
      <c r="G364" s="403"/>
      <c r="H364" s="406"/>
      <c r="I364" s="406"/>
      <c r="J364" s="406"/>
      <c r="K364" s="304"/>
      <c r="L364" s="372"/>
      <c r="M364" s="372"/>
      <c r="N364" s="372"/>
      <c r="O364" s="372"/>
      <c r="P364" s="372"/>
      <c r="Q364" s="304"/>
      <c r="R364" s="304"/>
      <c r="S364" s="304"/>
      <c r="T364" s="304"/>
      <c r="U364" s="304"/>
      <c r="V364" s="304"/>
      <c r="AL364" s="372" t="str">
        <f t="shared" si="35"/>
        <v/>
      </c>
    </row>
    <row r="365" spans="1:38" ht="15" customHeight="1" outlineLevel="1" x14ac:dyDescent="0.2">
      <c r="A365" s="403"/>
      <c r="B365" s="403"/>
      <c r="C365" s="403"/>
      <c r="D365" s="404"/>
      <c r="E365" s="405"/>
      <c r="F365" s="405"/>
      <c r="G365" s="403"/>
      <c r="H365" s="406"/>
      <c r="I365" s="406"/>
      <c r="J365" s="406"/>
      <c r="K365" s="304"/>
      <c r="L365" s="372"/>
      <c r="M365" s="372"/>
      <c r="N365" s="372"/>
      <c r="O365" s="372"/>
      <c r="P365" s="372"/>
      <c r="Q365" s="304"/>
      <c r="R365" s="304"/>
      <c r="S365" s="304"/>
      <c r="T365" s="304"/>
      <c r="U365" s="304"/>
      <c r="V365" s="304"/>
      <c r="AL365" s="372" t="str">
        <f t="shared" si="35"/>
        <v/>
      </c>
    </row>
    <row r="366" spans="1:38" ht="15" customHeight="1" outlineLevel="1" x14ac:dyDescent="0.2">
      <c r="A366" s="403"/>
      <c r="B366" s="403"/>
      <c r="C366" s="403"/>
      <c r="D366" s="404"/>
      <c r="E366" s="405"/>
      <c r="F366" s="405"/>
      <c r="G366" s="403"/>
      <c r="H366" s="406"/>
      <c r="I366" s="406"/>
      <c r="J366" s="406"/>
      <c r="K366" s="304"/>
      <c r="L366" s="372"/>
      <c r="M366" s="372"/>
      <c r="N366" s="372"/>
      <c r="O366" s="372"/>
      <c r="P366" s="372"/>
      <c r="Q366" s="304"/>
      <c r="R366" s="304"/>
      <c r="S366" s="304"/>
      <c r="T366" s="304"/>
      <c r="U366" s="304"/>
      <c r="V366" s="304"/>
      <c r="AL366" s="372" t="str">
        <f t="shared" si="35"/>
        <v/>
      </c>
    </row>
    <row r="367" spans="1:38" ht="15" customHeight="1" outlineLevel="1" x14ac:dyDescent="0.2">
      <c r="A367" s="403"/>
      <c r="B367" s="403"/>
      <c r="C367" s="403"/>
      <c r="D367" s="404"/>
      <c r="E367" s="405"/>
      <c r="F367" s="405"/>
      <c r="G367" s="403"/>
      <c r="H367" s="406"/>
      <c r="I367" s="406"/>
      <c r="J367" s="406"/>
      <c r="K367" s="304"/>
      <c r="L367" s="372"/>
      <c r="M367" s="372"/>
      <c r="N367" s="372"/>
      <c r="O367" s="372"/>
      <c r="P367" s="372"/>
      <c r="Q367" s="304"/>
      <c r="R367" s="304"/>
      <c r="S367" s="304"/>
      <c r="T367" s="304"/>
      <c r="U367" s="304"/>
      <c r="V367" s="304"/>
      <c r="AL367" s="372" t="str">
        <f t="shared" si="35"/>
        <v/>
      </c>
    </row>
    <row r="368" spans="1:38" ht="15" customHeight="1" outlineLevel="1" x14ac:dyDescent="0.2">
      <c r="A368" s="403"/>
      <c r="B368" s="403"/>
      <c r="C368" s="403"/>
      <c r="D368" s="404"/>
      <c r="E368" s="405"/>
      <c r="F368" s="405"/>
      <c r="G368" s="403"/>
      <c r="H368" s="406"/>
      <c r="I368" s="406"/>
      <c r="J368" s="406"/>
      <c r="K368" s="304"/>
      <c r="L368" s="372"/>
      <c r="M368" s="372"/>
      <c r="N368" s="372"/>
      <c r="O368" s="372"/>
      <c r="P368" s="372"/>
      <c r="Q368" s="304"/>
      <c r="R368" s="304"/>
      <c r="S368" s="304"/>
      <c r="T368" s="304"/>
      <c r="U368" s="304"/>
      <c r="V368" s="304"/>
      <c r="AL368" s="372" t="str">
        <f t="shared" si="35"/>
        <v/>
      </c>
    </row>
    <row r="369" spans="1:38" ht="15" customHeight="1" outlineLevel="1" x14ac:dyDescent="0.2">
      <c r="A369" s="403"/>
      <c r="B369" s="403"/>
      <c r="C369" s="403"/>
      <c r="D369" s="404"/>
      <c r="E369" s="405"/>
      <c r="F369" s="405"/>
      <c r="G369" s="403"/>
      <c r="H369" s="406"/>
      <c r="I369" s="406"/>
      <c r="J369" s="406"/>
      <c r="K369" s="304"/>
      <c r="L369" s="372"/>
      <c r="M369" s="372"/>
      <c r="N369" s="372"/>
      <c r="O369" s="372"/>
      <c r="P369" s="372"/>
      <c r="Q369" s="304"/>
      <c r="R369" s="304"/>
      <c r="S369" s="304"/>
      <c r="T369" s="304"/>
      <c r="U369" s="304"/>
      <c r="V369" s="304"/>
      <c r="AL369" s="372" t="str">
        <f t="shared" si="35"/>
        <v/>
      </c>
    </row>
    <row r="370" spans="1:38" ht="15" customHeight="1" outlineLevel="1" x14ac:dyDescent="0.2">
      <c r="A370" s="403"/>
      <c r="B370" s="403"/>
      <c r="C370" s="403"/>
      <c r="D370" s="404"/>
      <c r="E370" s="405"/>
      <c r="F370" s="405"/>
      <c r="G370" s="403"/>
      <c r="H370" s="406"/>
      <c r="I370" s="406"/>
      <c r="J370" s="406"/>
      <c r="K370" s="304"/>
      <c r="L370" s="372"/>
      <c r="M370" s="372"/>
      <c r="N370" s="372"/>
      <c r="O370" s="372"/>
      <c r="P370" s="372"/>
      <c r="Q370" s="304"/>
      <c r="R370" s="304"/>
      <c r="S370" s="304"/>
      <c r="T370" s="304"/>
      <c r="U370" s="304"/>
      <c r="V370" s="304"/>
      <c r="AL370" s="372" t="str">
        <f t="shared" si="35"/>
        <v/>
      </c>
    </row>
    <row r="371" spans="1:38" ht="15" customHeight="1" outlineLevel="1" x14ac:dyDescent="0.2">
      <c r="A371" s="403"/>
      <c r="B371" s="403"/>
      <c r="C371" s="403"/>
      <c r="D371" s="404"/>
      <c r="E371" s="405"/>
      <c r="F371" s="405"/>
      <c r="G371" s="403"/>
      <c r="H371" s="406"/>
      <c r="I371" s="406"/>
      <c r="J371" s="406"/>
      <c r="K371" s="304"/>
      <c r="L371" s="372"/>
      <c r="M371" s="372"/>
      <c r="N371" s="372"/>
      <c r="O371" s="372"/>
      <c r="P371" s="372"/>
      <c r="Q371" s="304"/>
      <c r="R371" s="304"/>
      <c r="S371" s="304"/>
      <c r="T371" s="304"/>
      <c r="U371" s="304"/>
      <c r="V371" s="304"/>
      <c r="AL371" s="372" t="str">
        <f t="shared" si="35"/>
        <v/>
      </c>
    </row>
    <row r="372" spans="1:38" ht="15" customHeight="1" outlineLevel="1" x14ac:dyDescent="0.2">
      <c r="A372" s="403"/>
      <c r="B372" s="403"/>
      <c r="C372" s="403"/>
      <c r="D372" s="404"/>
      <c r="E372" s="405"/>
      <c r="F372" s="405"/>
      <c r="G372" s="403"/>
      <c r="H372" s="406"/>
      <c r="I372" s="406"/>
      <c r="J372" s="406"/>
      <c r="K372" s="304"/>
      <c r="L372" s="372"/>
      <c r="M372" s="372"/>
      <c r="N372" s="372"/>
      <c r="O372" s="372"/>
      <c r="P372" s="372"/>
      <c r="Q372" s="304"/>
      <c r="R372" s="304"/>
      <c r="S372" s="304"/>
      <c r="T372" s="304"/>
      <c r="U372" s="304"/>
      <c r="V372" s="304"/>
      <c r="AL372" s="372" t="str">
        <f t="shared" si="35"/>
        <v/>
      </c>
    </row>
    <row r="373" spans="1:38" ht="15" customHeight="1" outlineLevel="1" x14ac:dyDescent="0.2">
      <c r="A373" s="403"/>
      <c r="B373" s="403"/>
      <c r="C373" s="403"/>
      <c r="D373" s="404"/>
      <c r="E373" s="405"/>
      <c r="F373" s="405"/>
      <c r="G373" s="403"/>
      <c r="H373" s="406"/>
      <c r="I373" s="406"/>
      <c r="J373" s="406"/>
      <c r="K373" s="304"/>
      <c r="L373" s="372"/>
      <c r="M373" s="372"/>
      <c r="N373" s="372"/>
      <c r="O373" s="372"/>
      <c r="P373" s="372"/>
      <c r="Q373" s="304"/>
      <c r="R373" s="304"/>
      <c r="S373" s="304"/>
      <c r="T373" s="304"/>
      <c r="U373" s="304"/>
      <c r="V373" s="304"/>
      <c r="AL373" s="372" t="str">
        <f t="shared" si="35"/>
        <v/>
      </c>
    </row>
    <row r="374" spans="1:38" ht="15" customHeight="1" outlineLevel="1" x14ac:dyDescent="0.2">
      <c r="A374" s="403"/>
      <c r="B374" s="403"/>
      <c r="C374" s="403"/>
      <c r="D374" s="404"/>
      <c r="E374" s="405"/>
      <c r="F374" s="405"/>
      <c r="G374" s="403"/>
      <c r="H374" s="406"/>
      <c r="I374" s="406"/>
      <c r="J374" s="406"/>
      <c r="K374" s="304"/>
      <c r="L374" s="372"/>
      <c r="M374" s="372"/>
      <c r="N374" s="372"/>
      <c r="O374" s="372"/>
      <c r="P374" s="372"/>
      <c r="Q374" s="304"/>
      <c r="R374" s="304"/>
      <c r="S374" s="304"/>
      <c r="T374" s="304"/>
      <c r="U374" s="304"/>
      <c r="V374" s="304"/>
      <c r="AL374" s="372" t="str">
        <f t="shared" si="35"/>
        <v/>
      </c>
    </row>
    <row r="375" spans="1:38" ht="15" customHeight="1" outlineLevel="1" x14ac:dyDescent="0.2">
      <c r="A375" s="403"/>
      <c r="B375" s="403"/>
      <c r="C375" s="403"/>
      <c r="D375" s="404"/>
      <c r="E375" s="405"/>
      <c r="F375" s="405"/>
      <c r="G375" s="403"/>
      <c r="H375" s="406"/>
      <c r="I375" s="406"/>
      <c r="J375" s="406"/>
      <c r="K375" s="304"/>
      <c r="L375" s="372"/>
      <c r="M375" s="372"/>
      <c r="N375" s="372"/>
      <c r="O375" s="372"/>
      <c r="P375" s="372"/>
      <c r="Q375" s="304"/>
      <c r="R375" s="304"/>
      <c r="S375" s="304"/>
      <c r="T375" s="304"/>
      <c r="U375" s="304"/>
      <c r="V375" s="304"/>
      <c r="AL375" s="372" t="str">
        <f t="shared" si="35"/>
        <v/>
      </c>
    </row>
    <row r="376" spans="1:38" ht="15" customHeight="1" outlineLevel="1" x14ac:dyDescent="0.2">
      <c r="A376" s="403"/>
      <c r="B376" s="403"/>
      <c r="C376" s="403"/>
      <c r="D376" s="404"/>
      <c r="E376" s="405"/>
      <c r="F376" s="405"/>
      <c r="G376" s="403"/>
      <c r="H376" s="406"/>
      <c r="I376" s="406"/>
      <c r="J376" s="406"/>
      <c r="K376" s="304"/>
      <c r="L376" s="372"/>
      <c r="M376" s="372"/>
      <c r="N376" s="372"/>
      <c r="O376" s="372"/>
      <c r="P376" s="372"/>
      <c r="Q376" s="304"/>
      <c r="R376" s="304"/>
      <c r="S376" s="304"/>
      <c r="T376" s="304"/>
      <c r="U376" s="304"/>
      <c r="V376" s="304"/>
      <c r="AL376" s="372" t="str">
        <f t="shared" si="35"/>
        <v/>
      </c>
    </row>
    <row r="377" spans="1:38" ht="15" customHeight="1" outlineLevel="1" x14ac:dyDescent="0.2">
      <c r="A377" s="403"/>
      <c r="B377" s="403"/>
      <c r="C377" s="403"/>
      <c r="D377" s="404"/>
      <c r="E377" s="405"/>
      <c r="F377" s="405"/>
      <c r="G377" s="403"/>
      <c r="H377" s="406"/>
      <c r="I377" s="406"/>
      <c r="J377" s="406"/>
      <c r="K377" s="304"/>
      <c r="L377" s="372"/>
      <c r="M377" s="372"/>
      <c r="N377" s="372"/>
      <c r="O377" s="372"/>
      <c r="P377" s="372"/>
      <c r="Q377" s="304"/>
      <c r="R377" s="304"/>
      <c r="S377" s="304"/>
      <c r="T377" s="304"/>
      <c r="U377" s="304"/>
      <c r="V377" s="304"/>
      <c r="AL377" s="372" t="str">
        <f t="shared" si="35"/>
        <v/>
      </c>
    </row>
    <row r="378" spans="1:38" ht="15" customHeight="1" outlineLevel="1" x14ac:dyDescent="0.2">
      <c r="A378" s="403"/>
      <c r="B378" s="403"/>
      <c r="C378" s="403"/>
      <c r="D378" s="404"/>
      <c r="E378" s="405"/>
      <c r="F378" s="405"/>
      <c r="G378" s="403"/>
      <c r="H378" s="406"/>
      <c r="I378" s="406"/>
      <c r="J378" s="406"/>
      <c r="K378" s="304"/>
      <c r="L378" s="372"/>
      <c r="M378" s="372"/>
      <c r="N378" s="372"/>
      <c r="O378" s="372"/>
      <c r="P378" s="372"/>
      <c r="Q378" s="304"/>
      <c r="R378" s="304"/>
      <c r="S378" s="304"/>
      <c r="T378" s="304"/>
      <c r="U378" s="304"/>
      <c r="V378" s="304"/>
      <c r="AL378" s="372" t="str">
        <f t="shared" si="35"/>
        <v/>
      </c>
    </row>
    <row r="379" spans="1:38" ht="15" customHeight="1" outlineLevel="1" x14ac:dyDescent="0.2">
      <c r="A379" s="403"/>
      <c r="B379" s="403"/>
      <c r="C379" s="403"/>
      <c r="D379" s="404"/>
      <c r="E379" s="405"/>
      <c r="F379" s="405"/>
      <c r="G379" s="403"/>
      <c r="H379" s="406"/>
      <c r="I379" s="406"/>
      <c r="J379" s="406"/>
      <c r="K379" s="304"/>
      <c r="L379" s="372"/>
      <c r="M379" s="372"/>
      <c r="N379" s="372"/>
      <c r="O379" s="372"/>
      <c r="P379" s="372"/>
      <c r="Q379" s="304"/>
      <c r="R379" s="304"/>
      <c r="S379" s="304"/>
      <c r="T379" s="304"/>
      <c r="U379" s="304"/>
      <c r="V379" s="304"/>
      <c r="AL379" s="372" t="str">
        <f t="shared" si="35"/>
        <v/>
      </c>
    </row>
    <row r="380" spans="1:38" ht="15" customHeight="1" outlineLevel="1" x14ac:dyDescent="0.2">
      <c r="A380" s="403"/>
      <c r="B380" s="403"/>
      <c r="C380" s="403"/>
      <c r="D380" s="404"/>
      <c r="E380" s="405"/>
      <c r="F380" s="405"/>
      <c r="G380" s="403"/>
      <c r="H380" s="406"/>
      <c r="I380" s="406"/>
      <c r="J380" s="406"/>
      <c r="K380" s="304"/>
      <c r="L380" s="372"/>
      <c r="M380" s="372"/>
      <c r="N380" s="372"/>
      <c r="O380" s="372"/>
      <c r="P380" s="372"/>
      <c r="Q380" s="304"/>
      <c r="R380" s="304"/>
      <c r="S380" s="304"/>
      <c r="T380" s="304"/>
      <c r="U380" s="304"/>
      <c r="V380" s="304"/>
      <c r="AL380" s="372" t="str">
        <f t="shared" si="35"/>
        <v/>
      </c>
    </row>
    <row r="381" spans="1:38" ht="15" customHeight="1" outlineLevel="1" x14ac:dyDescent="0.2">
      <c r="A381" s="403"/>
      <c r="B381" s="403"/>
      <c r="C381" s="403"/>
      <c r="D381" s="404"/>
      <c r="E381" s="405"/>
      <c r="F381" s="405"/>
      <c r="G381" s="403"/>
      <c r="H381" s="406"/>
      <c r="I381" s="406"/>
      <c r="J381" s="406"/>
      <c r="K381" s="304"/>
      <c r="L381" s="372"/>
      <c r="M381" s="372"/>
      <c r="N381" s="372"/>
      <c r="O381" s="372"/>
      <c r="P381" s="372"/>
      <c r="Q381" s="304"/>
      <c r="R381" s="304"/>
      <c r="S381" s="304"/>
      <c r="T381" s="304"/>
      <c r="U381" s="304"/>
      <c r="V381" s="304"/>
      <c r="AL381" s="372" t="str">
        <f t="shared" si="35"/>
        <v/>
      </c>
    </row>
    <row r="382" spans="1:38" ht="15" customHeight="1" outlineLevel="1" x14ac:dyDescent="0.2">
      <c r="A382" s="403"/>
      <c r="B382" s="403"/>
      <c r="C382" s="403"/>
      <c r="D382" s="404"/>
      <c r="E382" s="405"/>
      <c r="F382" s="405"/>
      <c r="G382" s="403"/>
      <c r="H382" s="406"/>
      <c r="I382" s="406"/>
      <c r="J382" s="406"/>
      <c r="K382" s="304"/>
      <c r="L382" s="372"/>
      <c r="M382" s="372"/>
      <c r="N382" s="372"/>
      <c r="O382" s="372"/>
      <c r="P382" s="372"/>
      <c r="Q382" s="304"/>
      <c r="R382" s="304"/>
      <c r="S382" s="304"/>
      <c r="T382" s="304"/>
      <c r="U382" s="304"/>
      <c r="V382" s="304"/>
      <c r="AL382" s="372" t="str">
        <f t="shared" si="35"/>
        <v/>
      </c>
    </row>
    <row r="383" spans="1:38" ht="15" customHeight="1" outlineLevel="1" x14ac:dyDescent="0.2">
      <c r="A383" s="403"/>
      <c r="B383" s="403"/>
      <c r="C383" s="403"/>
      <c r="D383" s="404"/>
      <c r="E383" s="405"/>
      <c r="F383" s="405"/>
      <c r="G383" s="403"/>
      <c r="H383" s="406"/>
      <c r="I383" s="406"/>
      <c r="J383" s="406"/>
      <c r="K383" s="304"/>
      <c r="L383" s="372"/>
      <c r="M383" s="372"/>
      <c r="N383" s="372"/>
      <c r="O383" s="372"/>
      <c r="P383" s="372"/>
      <c r="Q383" s="304"/>
      <c r="R383" s="304"/>
      <c r="S383" s="304"/>
      <c r="T383" s="304"/>
      <c r="U383" s="304"/>
      <c r="V383" s="304"/>
      <c r="AL383" s="372" t="str">
        <f t="shared" si="35"/>
        <v/>
      </c>
    </row>
    <row r="384" spans="1:38" ht="15" customHeight="1" outlineLevel="1" x14ac:dyDescent="0.2">
      <c r="A384" s="403"/>
      <c r="B384" s="403"/>
      <c r="C384" s="403"/>
      <c r="D384" s="404"/>
      <c r="E384" s="405"/>
      <c r="F384" s="405"/>
      <c r="G384" s="403"/>
      <c r="H384" s="406"/>
      <c r="I384" s="406"/>
      <c r="J384" s="406"/>
      <c r="K384" s="304"/>
      <c r="L384" s="372"/>
      <c r="M384" s="372"/>
      <c r="N384" s="372"/>
      <c r="O384" s="372"/>
      <c r="P384" s="372"/>
      <c r="Q384" s="304"/>
      <c r="R384" s="304"/>
      <c r="S384" s="304"/>
      <c r="T384" s="304"/>
      <c r="U384" s="304"/>
      <c r="V384" s="304"/>
      <c r="AL384" s="372" t="str">
        <f t="shared" si="35"/>
        <v/>
      </c>
    </row>
    <row r="385" spans="1:38" ht="15" customHeight="1" outlineLevel="1" x14ac:dyDescent="0.2">
      <c r="A385" s="403"/>
      <c r="B385" s="403"/>
      <c r="C385" s="403"/>
      <c r="D385" s="404"/>
      <c r="E385" s="405"/>
      <c r="F385" s="405"/>
      <c r="G385" s="403"/>
      <c r="H385" s="406"/>
      <c r="I385" s="406"/>
      <c r="J385" s="406"/>
      <c r="K385" s="304"/>
      <c r="L385" s="372"/>
      <c r="M385" s="372"/>
      <c r="N385" s="372"/>
      <c r="O385" s="372"/>
      <c r="P385" s="372"/>
      <c r="Q385" s="304"/>
      <c r="R385" s="304"/>
      <c r="S385" s="304"/>
      <c r="T385" s="304"/>
      <c r="U385" s="304"/>
      <c r="V385" s="304"/>
      <c r="AL385" s="372" t="str">
        <f t="shared" si="35"/>
        <v/>
      </c>
    </row>
    <row r="386" spans="1:38" ht="15" customHeight="1" outlineLevel="1" x14ac:dyDescent="0.2">
      <c r="A386" s="403"/>
      <c r="B386" s="403"/>
      <c r="C386" s="403"/>
      <c r="D386" s="404"/>
      <c r="E386" s="405"/>
      <c r="F386" s="405"/>
      <c r="G386" s="403"/>
      <c r="H386" s="406"/>
      <c r="I386" s="406"/>
      <c r="J386" s="406"/>
      <c r="K386" s="304"/>
      <c r="L386" s="372"/>
      <c r="M386" s="372"/>
      <c r="N386" s="372"/>
      <c r="O386" s="372"/>
      <c r="P386" s="372"/>
      <c r="Q386" s="304"/>
      <c r="R386" s="304"/>
      <c r="S386" s="304"/>
      <c r="T386" s="304"/>
      <c r="U386" s="304"/>
      <c r="V386" s="304"/>
      <c r="AL386" s="372" t="str">
        <f t="shared" si="35"/>
        <v/>
      </c>
    </row>
    <row r="387" spans="1:38" ht="15" customHeight="1" outlineLevel="1" x14ac:dyDescent="0.2">
      <c r="A387" s="403"/>
      <c r="B387" s="403"/>
      <c r="C387" s="403"/>
      <c r="D387" s="404"/>
      <c r="E387" s="405"/>
      <c r="F387" s="405"/>
      <c r="G387" s="403"/>
      <c r="H387" s="406"/>
      <c r="I387" s="406"/>
      <c r="J387" s="406"/>
      <c r="K387" s="304"/>
      <c r="L387" s="372"/>
      <c r="M387" s="372"/>
      <c r="N387" s="372"/>
      <c r="O387" s="372"/>
      <c r="P387" s="372"/>
      <c r="Q387" s="304"/>
      <c r="R387" s="304"/>
      <c r="S387" s="304"/>
      <c r="T387" s="304"/>
      <c r="U387" s="304"/>
      <c r="V387" s="304"/>
      <c r="AL387" s="372" t="str">
        <f t="shared" si="35"/>
        <v/>
      </c>
    </row>
    <row r="388" spans="1:38" ht="15" customHeight="1" outlineLevel="1" x14ac:dyDescent="0.2">
      <c r="A388" s="403"/>
      <c r="B388" s="403"/>
      <c r="C388" s="403"/>
      <c r="D388" s="404"/>
      <c r="E388" s="405"/>
      <c r="F388" s="405"/>
      <c r="G388" s="403"/>
      <c r="H388" s="406"/>
      <c r="I388" s="406"/>
      <c r="J388" s="406"/>
      <c r="K388" s="304"/>
      <c r="L388" s="372"/>
      <c r="M388" s="372"/>
      <c r="N388" s="372"/>
      <c r="O388" s="372"/>
      <c r="P388" s="372"/>
      <c r="Q388" s="304"/>
      <c r="R388" s="304"/>
      <c r="S388" s="304"/>
      <c r="T388" s="304"/>
      <c r="U388" s="304"/>
      <c r="V388" s="304"/>
      <c r="AL388" s="372" t="str">
        <f t="shared" si="35"/>
        <v/>
      </c>
    </row>
    <row r="389" spans="1:38" ht="15" customHeight="1" outlineLevel="1" x14ac:dyDescent="0.2">
      <c r="A389" s="403"/>
      <c r="B389" s="403"/>
      <c r="C389" s="403"/>
      <c r="D389" s="404"/>
      <c r="E389" s="405"/>
      <c r="F389" s="405"/>
      <c r="G389" s="403"/>
      <c r="H389" s="406"/>
      <c r="I389" s="406"/>
      <c r="J389" s="406"/>
      <c r="K389" s="304"/>
      <c r="L389" s="372"/>
      <c r="M389" s="372"/>
      <c r="N389" s="372"/>
      <c r="O389" s="372"/>
      <c r="P389" s="372"/>
      <c r="Q389" s="304"/>
      <c r="R389" s="304"/>
      <c r="S389" s="304"/>
      <c r="T389" s="304"/>
      <c r="U389" s="304"/>
      <c r="V389" s="304"/>
      <c r="AL389" s="372" t="str">
        <f t="shared" si="35"/>
        <v/>
      </c>
    </row>
    <row r="390" spans="1:38" ht="15" customHeight="1" outlineLevel="1" x14ac:dyDescent="0.2">
      <c r="A390" s="403"/>
      <c r="B390" s="403"/>
      <c r="C390" s="403"/>
      <c r="D390" s="404"/>
      <c r="E390" s="405"/>
      <c r="F390" s="405"/>
      <c r="G390" s="403"/>
      <c r="H390" s="406"/>
      <c r="I390" s="406"/>
      <c r="J390" s="406"/>
      <c r="K390" s="304"/>
      <c r="L390" s="372"/>
      <c r="M390" s="372"/>
      <c r="N390" s="372"/>
      <c r="O390" s="372"/>
      <c r="P390" s="372"/>
      <c r="Q390" s="304"/>
      <c r="R390" s="304"/>
      <c r="S390" s="304"/>
      <c r="T390" s="304"/>
      <c r="U390" s="304"/>
      <c r="V390" s="304"/>
      <c r="AL390" s="372" t="str">
        <f t="shared" si="35"/>
        <v/>
      </c>
    </row>
    <row r="391" spans="1:38" ht="15" customHeight="1" outlineLevel="1" x14ac:dyDescent="0.2">
      <c r="A391" s="403"/>
      <c r="B391" s="403"/>
      <c r="C391" s="403"/>
      <c r="D391" s="404"/>
      <c r="E391" s="405"/>
      <c r="F391" s="405"/>
      <c r="G391" s="403"/>
      <c r="H391" s="406"/>
      <c r="I391" s="406"/>
      <c r="J391" s="406"/>
      <c r="K391" s="304"/>
      <c r="L391" s="372"/>
      <c r="M391" s="372"/>
      <c r="N391" s="372"/>
      <c r="O391" s="372"/>
      <c r="P391" s="372"/>
      <c r="Q391" s="304"/>
      <c r="R391" s="304"/>
      <c r="S391" s="304"/>
      <c r="T391" s="304"/>
      <c r="U391" s="304"/>
      <c r="V391" s="304"/>
      <c r="AL391" s="372" t="str">
        <f t="shared" si="35"/>
        <v/>
      </c>
    </row>
    <row r="392" spans="1:38" ht="15" customHeight="1" outlineLevel="1" x14ac:dyDescent="0.2">
      <c r="A392" s="403"/>
      <c r="B392" s="403"/>
      <c r="C392" s="403"/>
      <c r="D392" s="404"/>
      <c r="E392" s="405"/>
      <c r="F392" s="405"/>
      <c r="G392" s="403"/>
      <c r="H392" s="406"/>
      <c r="I392" s="406"/>
      <c r="J392" s="406"/>
      <c r="K392" s="304"/>
      <c r="L392" s="372"/>
      <c r="M392" s="372"/>
      <c r="N392" s="372"/>
      <c r="O392" s="372"/>
      <c r="P392" s="372"/>
      <c r="Q392" s="304"/>
      <c r="R392" s="304"/>
      <c r="S392" s="304"/>
      <c r="T392" s="304"/>
      <c r="U392" s="304"/>
      <c r="V392" s="304"/>
      <c r="AL392" s="372" t="str">
        <f t="shared" si="35"/>
        <v/>
      </c>
    </row>
    <row r="393" spans="1:38" ht="15" customHeight="1" outlineLevel="1" x14ac:dyDescent="0.2">
      <c r="A393" s="403"/>
      <c r="B393" s="403"/>
      <c r="C393" s="403"/>
      <c r="D393" s="404"/>
      <c r="E393" s="405"/>
      <c r="F393" s="405"/>
      <c r="G393" s="403"/>
      <c r="H393" s="406"/>
      <c r="I393" s="406"/>
      <c r="J393" s="406"/>
      <c r="K393" s="304"/>
      <c r="L393" s="372"/>
      <c r="M393" s="372"/>
      <c r="N393" s="372"/>
      <c r="O393" s="372"/>
      <c r="P393" s="372"/>
      <c r="Q393" s="304"/>
      <c r="R393" s="304"/>
      <c r="S393" s="304"/>
      <c r="T393" s="304"/>
      <c r="U393" s="304"/>
      <c r="V393" s="304"/>
      <c r="AL393" s="372" t="str">
        <f t="shared" si="35"/>
        <v/>
      </c>
    </row>
    <row r="394" spans="1:38" ht="15" customHeight="1" outlineLevel="1" x14ac:dyDescent="0.2">
      <c r="A394" s="403"/>
      <c r="B394" s="403"/>
      <c r="C394" s="403"/>
      <c r="D394" s="404"/>
      <c r="E394" s="405"/>
      <c r="F394" s="405"/>
      <c r="G394" s="403"/>
      <c r="H394" s="406"/>
      <c r="I394" s="406"/>
      <c r="J394" s="406"/>
      <c r="K394" s="304"/>
      <c r="L394" s="372"/>
      <c r="M394" s="372"/>
      <c r="N394" s="372"/>
      <c r="O394" s="372"/>
      <c r="P394" s="372"/>
      <c r="Q394" s="304"/>
      <c r="R394" s="304"/>
      <c r="S394" s="304"/>
      <c r="T394" s="304"/>
      <c r="U394" s="304"/>
      <c r="V394" s="304"/>
      <c r="AL394" s="372" t="str">
        <f t="shared" si="35"/>
        <v/>
      </c>
    </row>
    <row r="395" spans="1:38" ht="15" customHeight="1" outlineLevel="1" x14ac:dyDescent="0.2">
      <c r="A395" s="403"/>
      <c r="B395" s="403"/>
      <c r="C395" s="403"/>
      <c r="D395" s="404"/>
      <c r="E395" s="405"/>
      <c r="F395" s="405"/>
      <c r="G395" s="403"/>
      <c r="H395" s="406"/>
      <c r="I395" s="406"/>
      <c r="J395" s="406"/>
      <c r="K395" s="304"/>
      <c r="L395" s="372"/>
      <c r="M395" s="372"/>
      <c r="N395" s="372"/>
      <c r="O395" s="372"/>
      <c r="P395" s="372"/>
      <c r="Q395" s="304"/>
      <c r="R395" s="304"/>
      <c r="S395" s="304"/>
      <c r="T395" s="304"/>
      <c r="U395" s="304"/>
      <c r="V395" s="304"/>
      <c r="AL395" s="372" t="str">
        <f t="shared" si="35"/>
        <v/>
      </c>
    </row>
    <row r="396" spans="1:38" ht="15" customHeight="1" outlineLevel="1" x14ac:dyDescent="0.2">
      <c r="A396" s="403"/>
      <c r="B396" s="403"/>
      <c r="C396" s="403"/>
      <c r="D396" s="404"/>
      <c r="E396" s="405"/>
      <c r="F396" s="405"/>
      <c r="G396" s="403"/>
      <c r="H396" s="406"/>
      <c r="I396" s="406"/>
      <c r="J396" s="406"/>
      <c r="K396" s="304"/>
      <c r="L396" s="372"/>
      <c r="M396" s="372"/>
      <c r="N396" s="372"/>
      <c r="O396" s="372"/>
      <c r="P396" s="372"/>
      <c r="Q396" s="304"/>
      <c r="R396" s="304"/>
      <c r="S396" s="304"/>
      <c r="T396" s="304"/>
      <c r="U396" s="304"/>
      <c r="V396" s="304"/>
      <c r="AL396" s="372" t="str">
        <f t="shared" si="35"/>
        <v/>
      </c>
    </row>
    <row r="397" spans="1:38" ht="15" customHeight="1" outlineLevel="1" x14ac:dyDescent="0.2">
      <c r="A397" s="403"/>
      <c r="B397" s="403"/>
      <c r="C397" s="403"/>
      <c r="D397" s="404"/>
      <c r="E397" s="405"/>
      <c r="F397" s="405"/>
      <c r="G397" s="403"/>
      <c r="H397" s="406"/>
      <c r="I397" s="406"/>
      <c r="J397" s="406"/>
      <c r="K397" s="304"/>
      <c r="L397" s="372"/>
      <c r="M397" s="372"/>
      <c r="N397" s="372"/>
      <c r="O397" s="372"/>
      <c r="P397" s="372"/>
      <c r="Q397" s="304"/>
      <c r="R397" s="304"/>
      <c r="S397" s="304"/>
      <c r="T397" s="304"/>
      <c r="U397" s="304"/>
      <c r="V397" s="304"/>
      <c r="AL397" s="372" t="str">
        <f t="shared" si="35"/>
        <v/>
      </c>
    </row>
    <row r="398" spans="1:38" ht="15" customHeight="1" outlineLevel="1" x14ac:dyDescent="0.2">
      <c r="A398" s="403"/>
      <c r="B398" s="403"/>
      <c r="C398" s="403"/>
      <c r="D398" s="404"/>
      <c r="E398" s="405"/>
      <c r="F398" s="405"/>
      <c r="G398" s="403"/>
      <c r="H398" s="406"/>
      <c r="I398" s="406"/>
      <c r="J398" s="406"/>
      <c r="K398" s="304"/>
      <c r="L398" s="372"/>
      <c r="M398" s="372"/>
      <c r="N398" s="372"/>
      <c r="O398" s="372"/>
      <c r="P398" s="372"/>
      <c r="Q398" s="304"/>
      <c r="R398" s="304"/>
      <c r="S398" s="304"/>
      <c r="T398" s="304"/>
      <c r="U398" s="304"/>
      <c r="V398" s="304"/>
      <c r="AL398" s="372" t="str">
        <f t="shared" si="35"/>
        <v/>
      </c>
    </row>
    <row r="399" spans="1:38" ht="15" customHeight="1" outlineLevel="1" x14ac:dyDescent="0.2">
      <c r="A399" s="403"/>
      <c r="B399" s="403"/>
      <c r="C399" s="403"/>
      <c r="D399" s="404"/>
      <c r="E399" s="405"/>
      <c r="F399" s="405"/>
      <c r="G399" s="403"/>
      <c r="H399" s="406"/>
      <c r="I399" s="406"/>
      <c r="J399" s="406"/>
      <c r="K399" s="304"/>
      <c r="L399" s="372"/>
      <c r="M399" s="372"/>
      <c r="N399" s="372"/>
      <c r="O399" s="372"/>
      <c r="P399" s="372"/>
      <c r="Q399" s="304"/>
      <c r="R399" s="304"/>
      <c r="S399" s="304"/>
      <c r="T399" s="304"/>
      <c r="U399" s="304"/>
      <c r="V399" s="304"/>
      <c r="AL399" s="372" t="str">
        <f t="shared" si="35"/>
        <v/>
      </c>
    </row>
    <row r="400" spans="1:38" ht="15" customHeight="1" outlineLevel="1" x14ac:dyDescent="0.2">
      <c r="A400" s="403"/>
      <c r="B400" s="403"/>
      <c r="C400" s="403"/>
      <c r="D400" s="404"/>
      <c r="E400" s="405"/>
      <c r="F400" s="405"/>
      <c r="G400" s="403"/>
      <c r="H400" s="406"/>
      <c r="I400" s="406"/>
      <c r="J400" s="406"/>
      <c r="K400" s="304"/>
      <c r="L400" s="372"/>
      <c r="M400" s="372"/>
      <c r="N400" s="372"/>
      <c r="O400" s="372"/>
      <c r="P400" s="372"/>
      <c r="Q400" s="304"/>
      <c r="R400" s="304"/>
      <c r="S400" s="304"/>
      <c r="T400" s="304"/>
      <c r="U400" s="304"/>
      <c r="V400" s="304"/>
      <c r="AL400" s="372" t="str">
        <f t="shared" si="35"/>
        <v/>
      </c>
    </row>
    <row r="401" spans="1:38" ht="15" customHeight="1" outlineLevel="1" x14ac:dyDescent="0.2">
      <c r="A401" s="403"/>
      <c r="B401" s="403"/>
      <c r="C401" s="403"/>
      <c r="D401" s="404"/>
      <c r="E401" s="405"/>
      <c r="F401" s="405"/>
      <c r="G401" s="403"/>
      <c r="H401" s="406"/>
      <c r="I401" s="406"/>
      <c r="J401" s="406"/>
      <c r="K401" s="304"/>
      <c r="L401" s="372"/>
      <c r="M401" s="372"/>
      <c r="N401" s="372"/>
      <c r="O401" s="372"/>
      <c r="P401" s="372"/>
      <c r="Q401" s="304"/>
      <c r="R401" s="304"/>
      <c r="S401" s="304"/>
      <c r="T401" s="304"/>
      <c r="U401" s="304"/>
      <c r="V401" s="304"/>
      <c r="AL401" s="372" t="str">
        <f t="shared" ref="AL401:AL464" si="36">IF(($C401=$AG$245)*($N401&gt;0)*ISNUMBER($I401),$I401*100000+ROW(),"")</f>
        <v/>
      </c>
    </row>
    <row r="402" spans="1:38" ht="15" customHeight="1" outlineLevel="1" x14ac:dyDescent="0.2">
      <c r="A402" s="403"/>
      <c r="B402" s="403"/>
      <c r="C402" s="403"/>
      <c r="D402" s="404"/>
      <c r="E402" s="405"/>
      <c r="F402" s="405"/>
      <c r="G402" s="403"/>
      <c r="H402" s="406"/>
      <c r="I402" s="406"/>
      <c r="J402" s="406"/>
      <c r="K402" s="304"/>
      <c r="L402" s="372"/>
      <c r="M402" s="372"/>
      <c r="N402" s="372"/>
      <c r="O402" s="372"/>
      <c r="P402" s="372"/>
      <c r="Q402" s="304"/>
      <c r="R402" s="304"/>
      <c r="S402" s="304"/>
      <c r="T402" s="304"/>
      <c r="U402" s="304"/>
      <c r="V402" s="304"/>
      <c r="AL402" s="372" t="str">
        <f t="shared" si="36"/>
        <v/>
      </c>
    </row>
    <row r="403" spans="1:38" ht="15" customHeight="1" outlineLevel="1" x14ac:dyDescent="0.2">
      <c r="A403" s="403"/>
      <c r="B403" s="403"/>
      <c r="C403" s="403"/>
      <c r="D403" s="404"/>
      <c r="E403" s="405"/>
      <c r="F403" s="405"/>
      <c r="G403" s="403"/>
      <c r="H403" s="406"/>
      <c r="I403" s="406"/>
      <c r="J403" s="406"/>
      <c r="K403" s="304"/>
      <c r="L403" s="372"/>
      <c r="M403" s="372"/>
      <c r="N403" s="372"/>
      <c r="O403" s="372"/>
      <c r="P403" s="372"/>
      <c r="Q403" s="304"/>
      <c r="R403" s="304"/>
      <c r="S403" s="304"/>
      <c r="T403" s="304"/>
      <c r="U403" s="304"/>
      <c r="V403" s="304"/>
      <c r="AL403" s="372" t="str">
        <f t="shared" si="36"/>
        <v/>
      </c>
    </row>
    <row r="404" spans="1:38" ht="15" customHeight="1" outlineLevel="1" x14ac:dyDescent="0.2">
      <c r="A404" s="403"/>
      <c r="B404" s="403"/>
      <c r="C404" s="403"/>
      <c r="D404" s="404"/>
      <c r="E404" s="405"/>
      <c r="F404" s="405"/>
      <c r="G404" s="403"/>
      <c r="H404" s="406"/>
      <c r="I404" s="406"/>
      <c r="J404" s="406"/>
      <c r="K404" s="304"/>
      <c r="L404" s="372"/>
      <c r="M404" s="372"/>
      <c r="N404" s="372"/>
      <c r="O404" s="372"/>
      <c r="P404" s="372"/>
      <c r="Q404" s="304"/>
      <c r="R404" s="304"/>
      <c r="S404" s="304"/>
      <c r="T404" s="304"/>
      <c r="U404" s="304"/>
      <c r="V404" s="304"/>
      <c r="AL404" s="372" t="str">
        <f t="shared" si="36"/>
        <v/>
      </c>
    </row>
    <row r="405" spans="1:38" ht="15" customHeight="1" outlineLevel="1" x14ac:dyDescent="0.2">
      <c r="A405" s="403"/>
      <c r="B405" s="403"/>
      <c r="C405" s="403"/>
      <c r="D405" s="404"/>
      <c r="E405" s="405"/>
      <c r="F405" s="405"/>
      <c r="G405" s="403"/>
      <c r="H405" s="406"/>
      <c r="I405" s="406"/>
      <c r="J405" s="406"/>
      <c r="K405" s="304"/>
      <c r="L405" s="372"/>
      <c r="M405" s="372"/>
      <c r="N405" s="372"/>
      <c r="O405" s="372"/>
      <c r="P405" s="372"/>
      <c r="Q405" s="304"/>
      <c r="R405" s="304"/>
      <c r="S405" s="304"/>
      <c r="T405" s="304"/>
      <c r="U405" s="304"/>
      <c r="V405" s="304"/>
      <c r="AL405" s="372" t="str">
        <f t="shared" si="36"/>
        <v/>
      </c>
    </row>
    <row r="406" spans="1:38" ht="15" customHeight="1" outlineLevel="1" x14ac:dyDescent="0.2">
      <c r="A406" s="403"/>
      <c r="B406" s="403"/>
      <c r="C406" s="403"/>
      <c r="D406" s="404"/>
      <c r="E406" s="405"/>
      <c r="F406" s="405"/>
      <c r="G406" s="403"/>
      <c r="H406" s="406"/>
      <c r="I406" s="406"/>
      <c r="J406" s="406"/>
      <c r="K406" s="304"/>
      <c r="L406" s="372"/>
      <c r="M406" s="372"/>
      <c r="N406" s="372"/>
      <c r="O406" s="372"/>
      <c r="P406" s="372"/>
      <c r="Q406" s="304"/>
      <c r="R406" s="304"/>
      <c r="S406" s="304"/>
      <c r="T406" s="304"/>
      <c r="U406" s="304"/>
      <c r="V406" s="304"/>
      <c r="AL406" s="372" t="str">
        <f t="shared" si="36"/>
        <v/>
      </c>
    </row>
    <row r="407" spans="1:38" ht="15" customHeight="1" outlineLevel="1" x14ac:dyDescent="0.2">
      <c r="A407" s="403"/>
      <c r="B407" s="403"/>
      <c r="C407" s="403"/>
      <c r="D407" s="404"/>
      <c r="E407" s="405"/>
      <c r="F407" s="405"/>
      <c r="G407" s="403"/>
      <c r="H407" s="406"/>
      <c r="I407" s="406"/>
      <c r="J407" s="406"/>
      <c r="K407" s="304"/>
      <c r="L407" s="372"/>
      <c r="M407" s="372"/>
      <c r="N407" s="372"/>
      <c r="O407" s="372"/>
      <c r="P407" s="372"/>
      <c r="Q407" s="304"/>
      <c r="R407" s="304"/>
      <c r="S407" s="304"/>
      <c r="T407" s="304"/>
      <c r="U407" s="304"/>
      <c r="V407" s="304"/>
      <c r="AL407" s="372" t="str">
        <f t="shared" si="36"/>
        <v/>
      </c>
    </row>
    <row r="408" spans="1:38" ht="15" customHeight="1" outlineLevel="1" x14ac:dyDescent="0.2">
      <c r="A408" s="403"/>
      <c r="B408" s="403"/>
      <c r="C408" s="403"/>
      <c r="D408" s="404"/>
      <c r="E408" s="405"/>
      <c r="F408" s="405"/>
      <c r="G408" s="403"/>
      <c r="H408" s="406"/>
      <c r="I408" s="406"/>
      <c r="J408" s="406"/>
      <c r="K408" s="304"/>
      <c r="L408" s="372"/>
      <c r="M408" s="372"/>
      <c r="N408" s="372"/>
      <c r="O408" s="372"/>
      <c r="P408" s="372"/>
      <c r="Q408" s="304"/>
      <c r="R408" s="304"/>
      <c r="S408" s="304"/>
      <c r="T408" s="304"/>
      <c r="U408" s="304"/>
      <c r="V408" s="304"/>
      <c r="AL408" s="372" t="str">
        <f t="shared" si="36"/>
        <v/>
      </c>
    </row>
    <row r="409" spans="1:38" ht="15" customHeight="1" outlineLevel="1" x14ac:dyDescent="0.2">
      <c r="A409" s="403"/>
      <c r="B409" s="403"/>
      <c r="C409" s="403"/>
      <c r="D409" s="404"/>
      <c r="E409" s="405"/>
      <c r="F409" s="405"/>
      <c r="G409" s="403"/>
      <c r="H409" s="406"/>
      <c r="I409" s="406"/>
      <c r="J409" s="406"/>
      <c r="K409" s="304"/>
      <c r="L409" s="372"/>
      <c r="M409" s="372"/>
      <c r="N409" s="372"/>
      <c r="O409" s="372"/>
      <c r="P409" s="372"/>
      <c r="Q409" s="304"/>
      <c r="R409" s="304"/>
      <c r="S409" s="304"/>
      <c r="T409" s="304"/>
      <c r="U409" s="304"/>
      <c r="V409" s="304"/>
      <c r="AL409" s="372" t="str">
        <f t="shared" si="36"/>
        <v/>
      </c>
    </row>
    <row r="410" spans="1:38" ht="15" customHeight="1" outlineLevel="1" x14ac:dyDescent="0.2">
      <c r="A410" s="403"/>
      <c r="B410" s="403"/>
      <c r="C410" s="403"/>
      <c r="D410" s="404"/>
      <c r="E410" s="405"/>
      <c r="F410" s="405"/>
      <c r="G410" s="403"/>
      <c r="H410" s="406"/>
      <c r="I410" s="406"/>
      <c r="J410" s="406"/>
      <c r="K410" s="304"/>
      <c r="L410" s="372"/>
      <c r="M410" s="372"/>
      <c r="N410" s="372"/>
      <c r="O410" s="372"/>
      <c r="P410" s="372"/>
      <c r="Q410" s="304"/>
      <c r="R410" s="304"/>
      <c r="S410" s="304"/>
      <c r="T410" s="304"/>
      <c r="U410" s="304"/>
      <c r="V410" s="304"/>
      <c r="AL410" s="372" t="str">
        <f t="shared" si="36"/>
        <v/>
      </c>
    </row>
    <row r="411" spans="1:38" ht="15" customHeight="1" outlineLevel="1" x14ac:dyDescent="0.2">
      <c r="A411" s="403"/>
      <c r="B411" s="403"/>
      <c r="C411" s="403"/>
      <c r="D411" s="404"/>
      <c r="E411" s="405"/>
      <c r="F411" s="405"/>
      <c r="G411" s="403"/>
      <c r="H411" s="406"/>
      <c r="I411" s="406"/>
      <c r="J411" s="406"/>
      <c r="K411" s="304"/>
      <c r="L411" s="372"/>
      <c r="M411" s="372"/>
      <c r="N411" s="372"/>
      <c r="O411" s="372"/>
      <c r="P411" s="372"/>
      <c r="Q411" s="304"/>
      <c r="R411" s="304"/>
      <c r="S411" s="304"/>
      <c r="T411" s="304"/>
      <c r="U411" s="304"/>
      <c r="V411" s="304"/>
      <c r="AL411" s="372" t="str">
        <f t="shared" si="36"/>
        <v/>
      </c>
    </row>
    <row r="412" spans="1:38" ht="15" customHeight="1" outlineLevel="1" x14ac:dyDescent="0.2">
      <c r="A412" s="403"/>
      <c r="B412" s="403"/>
      <c r="C412" s="403"/>
      <c r="D412" s="404"/>
      <c r="E412" s="405"/>
      <c r="F412" s="405"/>
      <c r="G412" s="403"/>
      <c r="H412" s="406"/>
      <c r="I412" s="406"/>
      <c r="J412" s="406"/>
      <c r="K412" s="304"/>
      <c r="L412" s="372"/>
      <c r="M412" s="372"/>
      <c r="N412" s="372"/>
      <c r="O412" s="372"/>
      <c r="P412" s="372"/>
      <c r="Q412" s="304"/>
      <c r="R412" s="304"/>
      <c r="S412" s="304"/>
      <c r="T412" s="304"/>
      <c r="U412" s="304"/>
      <c r="V412" s="304"/>
      <c r="AL412" s="372" t="str">
        <f t="shared" si="36"/>
        <v/>
      </c>
    </row>
    <row r="413" spans="1:38" ht="15" customHeight="1" outlineLevel="1" x14ac:dyDescent="0.2">
      <c r="A413" s="403"/>
      <c r="B413" s="403"/>
      <c r="C413" s="403"/>
      <c r="D413" s="404"/>
      <c r="E413" s="405"/>
      <c r="F413" s="405"/>
      <c r="G413" s="403"/>
      <c r="H413" s="406"/>
      <c r="I413" s="406"/>
      <c r="J413" s="406"/>
      <c r="K413" s="304"/>
      <c r="L413" s="372"/>
      <c r="M413" s="372"/>
      <c r="N413" s="372"/>
      <c r="O413" s="372"/>
      <c r="P413" s="372"/>
      <c r="Q413" s="304"/>
      <c r="R413" s="304"/>
      <c r="S413" s="304"/>
      <c r="T413" s="304"/>
      <c r="U413" s="304"/>
      <c r="V413" s="304"/>
      <c r="AL413" s="372" t="str">
        <f t="shared" si="36"/>
        <v/>
      </c>
    </row>
    <row r="414" spans="1:38" ht="15" customHeight="1" outlineLevel="1" x14ac:dyDescent="0.2">
      <c r="A414" s="403"/>
      <c r="B414" s="403"/>
      <c r="C414" s="403"/>
      <c r="D414" s="404"/>
      <c r="E414" s="405"/>
      <c r="F414" s="405"/>
      <c r="G414" s="403"/>
      <c r="H414" s="406"/>
      <c r="I414" s="406"/>
      <c r="J414" s="406"/>
      <c r="K414" s="304"/>
      <c r="L414" s="372"/>
      <c r="M414" s="372"/>
      <c r="N414" s="372"/>
      <c r="O414" s="372"/>
      <c r="P414" s="372"/>
      <c r="Q414" s="304"/>
      <c r="R414" s="304"/>
      <c r="S414" s="304"/>
      <c r="T414" s="304"/>
      <c r="U414" s="304"/>
      <c r="V414" s="304"/>
      <c r="AL414" s="372" t="str">
        <f t="shared" si="36"/>
        <v/>
      </c>
    </row>
    <row r="415" spans="1:38" ht="15" customHeight="1" outlineLevel="1" x14ac:dyDescent="0.2">
      <c r="A415" s="403"/>
      <c r="B415" s="403"/>
      <c r="C415" s="403"/>
      <c r="D415" s="404"/>
      <c r="E415" s="405"/>
      <c r="F415" s="405"/>
      <c r="G415" s="403"/>
      <c r="H415" s="406"/>
      <c r="I415" s="406"/>
      <c r="J415" s="406"/>
      <c r="K415" s="304"/>
      <c r="L415" s="372"/>
      <c r="M415" s="372"/>
      <c r="N415" s="372"/>
      <c r="O415" s="372"/>
      <c r="P415" s="372"/>
      <c r="Q415" s="304"/>
      <c r="R415" s="304"/>
      <c r="S415" s="304"/>
      <c r="T415" s="304"/>
      <c r="U415" s="304"/>
      <c r="V415" s="304"/>
      <c r="AL415" s="372" t="str">
        <f t="shared" si="36"/>
        <v/>
      </c>
    </row>
    <row r="416" spans="1:38" ht="15" customHeight="1" outlineLevel="1" x14ac:dyDescent="0.2">
      <c r="A416" s="403"/>
      <c r="B416" s="403"/>
      <c r="C416" s="403"/>
      <c r="D416" s="404"/>
      <c r="E416" s="405"/>
      <c r="F416" s="405"/>
      <c r="G416" s="403"/>
      <c r="H416" s="406"/>
      <c r="I416" s="406"/>
      <c r="J416" s="406"/>
      <c r="K416" s="304"/>
      <c r="L416" s="372"/>
      <c r="M416" s="372"/>
      <c r="N416" s="372"/>
      <c r="O416" s="372"/>
      <c r="P416" s="372"/>
      <c r="Q416" s="304"/>
      <c r="R416" s="304"/>
      <c r="S416" s="304"/>
      <c r="T416" s="304"/>
      <c r="U416" s="304"/>
      <c r="V416" s="304"/>
      <c r="AL416" s="372" t="str">
        <f t="shared" si="36"/>
        <v/>
      </c>
    </row>
    <row r="417" spans="1:38" ht="15" customHeight="1" outlineLevel="1" x14ac:dyDescent="0.2">
      <c r="A417" s="403"/>
      <c r="B417" s="403"/>
      <c r="C417" s="403"/>
      <c r="D417" s="404"/>
      <c r="E417" s="405"/>
      <c r="F417" s="405"/>
      <c r="G417" s="403"/>
      <c r="H417" s="406"/>
      <c r="I417" s="406"/>
      <c r="J417" s="406"/>
      <c r="K417" s="304"/>
      <c r="L417" s="372"/>
      <c r="M417" s="372"/>
      <c r="N417" s="372"/>
      <c r="O417" s="372"/>
      <c r="P417" s="372"/>
      <c r="Q417" s="304"/>
      <c r="R417" s="304"/>
      <c r="S417" s="304"/>
      <c r="T417" s="304"/>
      <c r="U417" s="304"/>
      <c r="V417" s="304"/>
      <c r="AL417" s="372" t="str">
        <f t="shared" si="36"/>
        <v/>
      </c>
    </row>
    <row r="418" spans="1:38" ht="15" customHeight="1" outlineLevel="1" x14ac:dyDescent="0.2">
      <c r="A418" s="403"/>
      <c r="B418" s="403"/>
      <c r="C418" s="403"/>
      <c r="D418" s="404"/>
      <c r="E418" s="405"/>
      <c r="F418" s="405"/>
      <c r="G418" s="403"/>
      <c r="H418" s="406"/>
      <c r="I418" s="406"/>
      <c r="J418" s="406"/>
      <c r="K418" s="304"/>
      <c r="L418" s="372"/>
      <c r="M418" s="372"/>
      <c r="N418" s="372"/>
      <c r="O418" s="372"/>
      <c r="P418" s="372"/>
      <c r="Q418" s="304"/>
      <c r="R418" s="304"/>
      <c r="S418" s="304"/>
      <c r="T418" s="304"/>
      <c r="U418" s="304"/>
      <c r="V418" s="304"/>
      <c r="AL418" s="372" t="str">
        <f t="shared" si="36"/>
        <v/>
      </c>
    </row>
    <row r="419" spans="1:38" ht="15" customHeight="1" outlineLevel="1" x14ac:dyDescent="0.2">
      <c r="A419" s="403"/>
      <c r="B419" s="403"/>
      <c r="C419" s="403"/>
      <c r="D419" s="404"/>
      <c r="E419" s="405"/>
      <c r="F419" s="405"/>
      <c r="G419" s="403"/>
      <c r="H419" s="406"/>
      <c r="I419" s="406"/>
      <c r="J419" s="406"/>
      <c r="K419" s="304"/>
      <c r="L419" s="372"/>
      <c r="M419" s="372"/>
      <c r="N419" s="372"/>
      <c r="O419" s="372"/>
      <c r="P419" s="372"/>
      <c r="Q419" s="304"/>
      <c r="R419" s="304"/>
      <c r="S419" s="304"/>
      <c r="T419" s="304"/>
      <c r="U419" s="304"/>
      <c r="V419" s="304"/>
      <c r="AL419" s="372" t="str">
        <f t="shared" si="36"/>
        <v/>
      </c>
    </row>
    <row r="420" spans="1:38" ht="15" customHeight="1" outlineLevel="1" x14ac:dyDescent="0.2">
      <c r="A420" s="403"/>
      <c r="B420" s="403"/>
      <c r="C420" s="403"/>
      <c r="D420" s="404"/>
      <c r="E420" s="405"/>
      <c r="F420" s="405"/>
      <c r="G420" s="403"/>
      <c r="H420" s="406"/>
      <c r="I420" s="406"/>
      <c r="J420" s="406"/>
      <c r="K420" s="304"/>
      <c r="L420" s="372"/>
      <c r="M420" s="372"/>
      <c r="N420" s="372"/>
      <c r="O420" s="372"/>
      <c r="P420" s="372"/>
      <c r="Q420" s="304"/>
      <c r="R420" s="304"/>
      <c r="S420" s="304"/>
      <c r="T420" s="304"/>
      <c r="U420" s="304"/>
      <c r="V420" s="304"/>
      <c r="AL420" s="372" t="str">
        <f t="shared" si="36"/>
        <v/>
      </c>
    </row>
    <row r="421" spans="1:38" ht="15" customHeight="1" outlineLevel="1" x14ac:dyDescent="0.2">
      <c r="A421" s="403"/>
      <c r="B421" s="403"/>
      <c r="C421" s="403"/>
      <c r="D421" s="404"/>
      <c r="E421" s="405"/>
      <c r="F421" s="405"/>
      <c r="G421" s="403"/>
      <c r="H421" s="406"/>
      <c r="I421" s="406"/>
      <c r="J421" s="406"/>
      <c r="K421" s="304"/>
      <c r="L421" s="372"/>
      <c r="M421" s="372"/>
      <c r="N421" s="372"/>
      <c r="O421" s="372"/>
      <c r="P421" s="372"/>
      <c r="Q421" s="304"/>
      <c r="R421" s="304"/>
      <c r="S421" s="304"/>
      <c r="T421" s="304"/>
      <c r="U421" s="304"/>
      <c r="V421" s="304"/>
      <c r="AL421" s="372" t="str">
        <f t="shared" si="36"/>
        <v/>
      </c>
    </row>
    <row r="422" spans="1:38" ht="15" customHeight="1" outlineLevel="1" x14ac:dyDescent="0.2">
      <c r="A422" s="403"/>
      <c r="B422" s="403"/>
      <c r="C422" s="403"/>
      <c r="D422" s="404"/>
      <c r="E422" s="405"/>
      <c r="F422" s="405"/>
      <c r="G422" s="403"/>
      <c r="H422" s="406"/>
      <c r="I422" s="406"/>
      <c r="J422" s="406"/>
      <c r="K422" s="304"/>
      <c r="L422" s="372"/>
      <c r="M422" s="372"/>
      <c r="N422" s="372"/>
      <c r="O422" s="372"/>
      <c r="P422" s="372"/>
      <c r="Q422" s="304"/>
      <c r="R422" s="304"/>
      <c r="S422" s="304"/>
      <c r="T422" s="304"/>
      <c r="U422" s="304"/>
      <c r="V422" s="304"/>
      <c r="AL422" s="372" t="str">
        <f t="shared" si="36"/>
        <v/>
      </c>
    </row>
    <row r="423" spans="1:38" ht="15" customHeight="1" outlineLevel="1" x14ac:dyDescent="0.2">
      <c r="A423" s="403"/>
      <c r="B423" s="403"/>
      <c r="C423" s="403"/>
      <c r="D423" s="404"/>
      <c r="E423" s="405"/>
      <c r="F423" s="405"/>
      <c r="G423" s="403"/>
      <c r="H423" s="406"/>
      <c r="I423" s="406"/>
      <c r="J423" s="406"/>
      <c r="K423" s="304"/>
      <c r="L423" s="372"/>
      <c r="M423" s="372"/>
      <c r="N423" s="372"/>
      <c r="O423" s="372"/>
      <c r="P423" s="372"/>
      <c r="Q423" s="304"/>
      <c r="R423" s="304"/>
      <c r="S423" s="304"/>
      <c r="T423" s="304"/>
      <c r="U423" s="304"/>
      <c r="V423" s="304"/>
      <c r="AL423" s="372" t="str">
        <f t="shared" si="36"/>
        <v/>
      </c>
    </row>
    <row r="424" spans="1:38" ht="15" customHeight="1" outlineLevel="1" x14ac:dyDescent="0.2">
      <c r="A424" s="403"/>
      <c r="B424" s="403"/>
      <c r="C424" s="403"/>
      <c r="D424" s="404"/>
      <c r="E424" s="405"/>
      <c r="F424" s="405"/>
      <c r="G424" s="403"/>
      <c r="H424" s="406"/>
      <c r="I424" s="406"/>
      <c r="J424" s="406"/>
      <c r="K424" s="304"/>
      <c r="L424" s="372"/>
      <c r="M424" s="372"/>
      <c r="N424" s="372"/>
      <c r="O424" s="372"/>
      <c r="P424" s="372"/>
      <c r="Q424" s="304"/>
      <c r="R424" s="304"/>
      <c r="S424" s="304"/>
      <c r="T424" s="304"/>
      <c r="U424" s="304"/>
      <c r="V424" s="304"/>
      <c r="AL424" s="372" t="str">
        <f t="shared" si="36"/>
        <v/>
      </c>
    </row>
    <row r="425" spans="1:38" ht="15" customHeight="1" outlineLevel="1" x14ac:dyDescent="0.2">
      <c r="A425" s="403"/>
      <c r="B425" s="403"/>
      <c r="C425" s="403"/>
      <c r="D425" s="404"/>
      <c r="E425" s="405"/>
      <c r="F425" s="405"/>
      <c r="G425" s="403"/>
      <c r="H425" s="406"/>
      <c r="I425" s="406"/>
      <c r="J425" s="406"/>
      <c r="K425" s="304"/>
      <c r="L425" s="372"/>
      <c r="M425" s="372"/>
      <c r="N425" s="372"/>
      <c r="O425" s="372"/>
      <c r="P425" s="372"/>
      <c r="Q425" s="304"/>
      <c r="R425" s="304"/>
      <c r="S425" s="304"/>
      <c r="T425" s="304"/>
      <c r="U425" s="304"/>
      <c r="V425" s="304"/>
      <c r="AL425" s="372" t="str">
        <f t="shared" si="36"/>
        <v/>
      </c>
    </row>
    <row r="426" spans="1:38" ht="15" customHeight="1" outlineLevel="1" x14ac:dyDescent="0.2">
      <c r="A426" s="403"/>
      <c r="B426" s="403"/>
      <c r="C426" s="403"/>
      <c r="D426" s="404"/>
      <c r="E426" s="405"/>
      <c r="F426" s="405"/>
      <c r="G426" s="403"/>
      <c r="H426" s="406"/>
      <c r="I426" s="406"/>
      <c r="J426" s="406"/>
      <c r="K426" s="304"/>
      <c r="L426" s="372"/>
      <c r="M426" s="372"/>
      <c r="N426" s="372"/>
      <c r="O426" s="372"/>
      <c r="P426" s="372"/>
      <c r="Q426" s="304"/>
      <c r="R426" s="304"/>
      <c r="S426" s="304"/>
      <c r="T426" s="304"/>
      <c r="U426" s="304"/>
      <c r="V426" s="304"/>
      <c r="AL426" s="372" t="str">
        <f t="shared" si="36"/>
        <v/>
      </c>
    </row>
    <row r="427" spans="1:38" ht="15" customHeight="1" outlineLevel="1" x14ac:dyDescent="0.2">
      <c r="A427" s="403"/>
      <c r="B427" s="403"/>
      <c r="C427" s="403"/>
      <c r="D427" s="404"/>
      <c r="E427" s="405"/>
      <c r="F427" s="405"/>
      <c r="G427" s="403"/>
      <c r="H427" s="406"/>
      <c r="I427" s="406"/>
      <c r="J427" s="406"/>
      <c r="K427" s="304"/>
      <c r="L427" s="372"/>
      <c r="M427" s="372"/>
      <c r="N427" s="372"/>
      <c r="O427" s="372"/>
      <c r="P427" s="372"/>
      <c r="Q427" s="304"/>
      <c r="R427" s="304"/>
      <c r="S427" s="304"/>
      <c r="T427" s="304"/>
      <c r="U427" s="304"/>
      <c r="V427" s="304"/>
      <c r="AL427" s="372" t="str">
        <f t="shared" si="36"/>
        <v/>
      </c>
    </row>
    <row r="428" spans="1:38" ht="15" customHeight="1" outlineLevel="1" x14ac:dyDescent="0.2">
      <c r="A428" s="403"/>
      <c r="B428" s="403"/>
      <c r="C428" s="403"/>
      <c r="D428" s="404"/>
      <c r="E428" s="405"/>
      <c r="F428" s="405"/>
      <c r="G428" s="403"/>
      <c r="H428" s="406"/>
      <c r="I428" s="406"/>
      <c r="J428" s="406"/>
      <c r="K428" s="304"/>
      <c r="L428" s="372"/>
      <c r="M428" s="372"/>
      <c r="N428" s="372"/>
      <c r="O428" s="372"/>
      <c r="P428" s="372"/>
      <c r="Q428" s="304"/>
      <c r="R428" s="304"/>
      <c r="S428" s="304"/>
      <c r="T428" s="304"/>
      <c r="U428" s="304"/>
      <c r="V428" s="304"/>
      <c r="AL428" s="372" t="str">
        <f t="shared" si="36"/>
        <v/>
      </c>
    </row>
    <row r="429" spans="1:38" ht="15" customHeight="1" outlineLevel="1" x14ac:dyDescent="0.2">
      <c r="A429" s="403"/>
      <c r="B429" s="403"/>
      <c r="C429" s="403"/>
      <c r="D429" s="404"/>
      <c r="E429" s="405"/>
      <c r="F429" s="405"/>
      <c r="G429" s="403"/>
      <c r="H429" s="406"/>
      <c r="I429" s="406"/>
      <c r="J429" s="406"/>
      <c r="K429" s="304"/>
      <c r="L429" s="372"/>
      <c r="M429" s="372"/>
      <c r="N429" s="372"/>
      <c r="O429" s="372"/>
      <c r="P429" s="372"/>
      <c r="Q429" s="304"/>
      <c r="R429" s="304"/>
      <c r="S429" s="304"/>
      <c r="T429" s="304"/>
      <c r="U429" s="304"/>
      <c r="V429" s="304"/>
      <c r="AL429" s="372" t="str">
        <f t="shared" si="36"/>
        <v/>
      </c>
    </row>
    <row r="430" spans="1:38" ht="15" customHeight="1" outlineLevel="1" x14ac:dyDescent="0.2">
      <c r="A430" s="403"/>
      <c r="B430" s="403"/>
      <c r="C430" s="403"/>
      <c r="D430" s="404"/>
      <c r="E430" s="405"/>
      <c r="F430" s="405"/>
      <c r="G430" s="403"/>
      <c r="H430" s="406"/>
      <c r="I430" s="406"/>
      <c r="J430" s="406"/>
      <c r="K430" s="304"/>
      <c r="L430" s="372"/>
      <c r="M430" s="372"/>
      <c r="N430" s="372"/>
      <c r="O430" s="372"/>
      <c r="P430" s="372"/>
      <c r="Q430" s="304"/>
      <c r="R430" s="304"/>
      <c r="S430" s="304"/>
      <c r="T430" s="304"/>
      <c r="U430" s="304"/>
      <c r="V430" s="304"/>
      <c r="AL430" s="372" t="str">
        <f t="shared" si="36"/>
        <v/>
      </c>
    </row>
    <row r="431" spans="1:38" ht="15" customHeight="1" outlineLevel="1" x14ac:dyDescent="0.2">
      <c r="A431" s="403"/>
      <c r="B431" s="403"/>
      <c r="C431" s="403"/>
      <c r="D431" s="404"/>
      <c r="E431" s="405"/>
      <c r="F431" s="405"/>
      <c r="G431" s="403"/>
      <c r="H431" s="406"/>
      <c r="I431" s="406"/>
      <c r="J431" s="406"/>
      <c r="K431" s="304"/>
      <c r="L431" s="372"/>
      <c r="M431" s="372"/>
      <c r="N431" s="372"/>
      <c r="O431" s="372"/>
      <c r="P431" s="372"/>
      <c r="Q431" s="304"/>
      <c r="R431" s="304"/>
      <c r="S431" s="304"/>
      <c r="T431" s="304"/>
      <c r="U431" s="304"/>
      <c r="V431" s="304"/>
      <c r="AL431" s="372" t="str">
        <f t="shared" si="36"/>
        <v/>
      </c>
    </row>
    <row r="432" spans="1:38" ht="15" customHeight="1" outlineLevel="1" x14ac:dyDescent="0.2">
      <c r="A432" s="403"/>
      <c r="B432" s="403"/>
      <c r="C432" s="403"/>
      <c r="D432" s="404"/>
      <c r="E432" s="405"/>
      <c r="F432" s="405"/>
      <c r="G432" s="403"/>
      <c r="H432" s="406"/>
      <c r="I432" s="406"/>
      <c r="J432" s="406"/>
      <c r="K432" s="304"/>
      <c r="L432" s="372"/>
      <c r="M432" s="372"/>
      <c r="N432" s="372"/>
      <c r="O432" s="372"/>
      <c r="P432" s="372"/>
      <c r="Q432" s="304"/>
      <c r="R432" s="304"/>
      <c r="S432" s="304"/>
      <c r="T432" s="304"/>
      <c r="U432" s="304"/>
      <c r="V432" s="304"/>
      <c r="AL432" s="372" t="str">
        <f t="shared" si="36"/>
        <v/>
      </c>
    </row>
    <row r="433" spans="1:38" ht="15" customHeight="1" outlineLevel="1" x14ac:dyDescent="0.2">
      <c r="A433" s="403"/>
      <c r="B433" s="403"/>
      <c r="C433" s="403"/>
      <c r="D433" s="404"/>
      <c r="E433" s="405"/>
      <c r="F433" s="405"/>
      <c r="G433" s="403"/>
      <c r="H433" s="406"/>
      <c r="I433" s="406"/>
      <c r="J433" s="406"/>
      <c r="K433" s="304"/>
      <c r="L433" s="372"/>
      <c r="M433" s="372"/>
      <c r="N433" s="372"/>
      <c r="O433" s="372"/>
      <c r="P433" s="372"/>
      <c r="Q433" s="304"/>
      <c r="R433" s="304"/>
      <c r="S433" s="304"/>
      <c r="T433" s="304"/>
      <c r="U433" s="304"/>
      <c r="V433" s="304"/>
      <c r="AL433" s="372" t="str">
        <f t="shared" si="36"/>
        <v/>
      </c>
    </row>
    <row r="434" spans="1:38" ht="15" customHeight="1" outlineLevel="1" x14ac:dyDescent="0.2">
      <c r="A434" s="403"/>
      <c r="B434" s="403"/>
      <c r="C434" s="403"/>
      <c r="D434" s="404"/>
      <c r="E434" s="405"/>
      <c r="F434" s="405"/>
      <c r="G434" s="403"/>
      <c r="H434" s="406"/>
      <c r="I434" s="406"/>
      <c r="J434" s="406"/>
      <c r="K434" s="304"/>
      <c r="L434" s="372"/>
      <c r="M434" s="372"/>
      <c r="N434" s="372"/>
      <c r="O434" s="372"/>
      <c r="P434" s="372"/>
      <c r="Q434" s="304"/>
      <c r="R434" s="304"/>
      <c r="S434" s="304"/>
      <c r="T434" s="304"/>
      <c r="U434" s="304"/>
      <c r="V434" s="304"/>
      <c r="AL434" s="372" t="str">
        <f t="shared" si="36"/>
        <v/>
      </c>
    </row>
    <row r="435" spans="1:38" ht="15" customHeight="1" outlineLevel="1" x14ac:dyDescent="0.2">
      <c r="A435" s="403"/>
      <c r="B435" s="403"/>
      <c r="C435" s="403"/>
      <c r="D435" s="404"/>
      <c r="E435" s="405"/>
      <c r="F435" s="405"/>
      <c r="G435" s="403"/>
      <c r="H435" s="406"/>
      <c r="I435" s="406"/>
      <c r="J435" s="406"/>
      <c r="K435" s="304"/>
      <c r="L435" s="372"/>
      <c r="M435" s="372"/>
      <c r="N435" s="372"/>
      <c r="O435" s="372"/>
      <c r="P435" s="372"/>
      <c r="Q435" s="304"/>
      <c r="R435" s="304"/>
      <c r="S435" s="304"/>
      <c r="T435" s="304"/>
      <c r="U435" s="304"/>
      <c r="V435" s="304"/>
      <c r="AL435" s="372" t="str">
        <f t="shared" si="36"/>
        <v/>
      </c>
    </row>
    <row r="436" spans="1:38" ht="15" customHeight="1" outlineLevel="1" x14ac:dyDescent="0.2">
      <c r="A436" s="403"/>
      <c r="B436" s="403"/>
      <c r="C436" s="403"/>
      <c r="D436" s="404"/>
      <c r="E436" s="405"/>
      <c r="F436" s="405"/>
      <c r="G436" s="403"/>
      <c r="H436" s="406"/>
      <c r="I436" s="406"/>
      <c r="J436" s="406"/>
      <c r="K436" s="304"/>
      <c r="L436" s="372"/>
      <c r="M436" s="372"/>
      <c r="N436" s="372"/>
      <c r="O436" s="372"/>
      <c r="P436" s="372"/>
      <c r="Q436" s="304"/>
      <c r="R436" s="304"/>
      <c r="S436" s="304"/>
      <c r="T436" s="304"/>
      <c r="U436" s="304"/>
      <c r="V436" s="304"/>
      <c r="AL436" s="372" t="str">
        <f t="shared" si="36"/>
        <v/>
      </c>
    </row>
    <row r="437" spans="1:38" ht="15" customHeight="1" outlineLevel="1" x14ac:dyDescent="0.2">
      <c r="A437" s="403"/>
      <c r="B437" s="403"/>
      <c r="C437" s="403"/>
      <c r="D437" s="404"/>
      <c r="E437" s="405"/>
      <c r="F437" s="405"/>
      <c r="G437" s="403"/>
      <c r="H437" s="406"/>
      <c r="I437" s="406"/>
      <c r="J437" s="406"/>
      <c r="K437" s="304"/>
      <c r="L437" s="372"/>
      <c r="M437" s="372"/>
      <c r="N437" s="372"/>
      <c r="O437" s="372"/>
      <c r="P437" s="372"/>
      <c r="Q437" s="304"/>
      <c r="R437" s="304"/>
      <c r="S437" s="304"/>
      <c r="T437" s="304"/>
      <c r="U437" s="304"/>
      <c r="V437" s="304"/>
      <c r="AL437" s="372" t="str">
        <f t="shared" si="36"/>
        <v/>
      </c>
    </row>
    <row r="438" spans="1:38" ht="15" customHeight="1" outlineLevel="1" x14ac:dyDescent="0.2">
      <c r="A438" s="403"/>
      <c r="B438" s="403"/>
      <c r="C438" s="403"/>
      <c r="D438" s="404"/>
      <c r="E438" s="405"/>
      <c r="F438" s="405"/>
      <c r="G438" s="403"/>
      <c r="H438" s="406"/>
      <c r="I438" s="406"/>
      <c r="J438" s="406"/>
      <c r="K438" s="304"/>
      <c r="L438" s="372"/>
      <c r="M438" s="372"/>
      <c r="N438" s="372"/>
      <c r="O438" s="372"/>
      <c r="P438" s="372"/>
      <c r="Q438" s="304"/>
      <c r="R438" s="304"/>
      <c r="S438" s="304"/>
      <c r="T438" s="304"/>
      <c r="U438" s="304"/>
      <c r="V438" s="304"/>
      <c r="AL438" s="372" t="str">
        <f t="shared" si="36"/>
        <v/>
      </c>
    </row>
    <row r="439" spans="1:38" ht="15" customHeight="1" outlineLevel="1" x14ac:dyDescent="0.2">
      <c r="A439" s="403"/>
      <c r="B439" s="403"/>
      <c r="C439" s="403"/>
      <c r="D439" s="404"/>
      <c r="E439" s="405"/>
      <c r="F439" s="405"/>
      <c r="G439" s="403"/>
      <c r="H439" s="406"/>
      <c r="I439" s="406"/>
      <c r="J439" s="406"/>
      <c r="K439" s="304"/>
      <c r="L439" s="372"/>
      <c r="M439" s="372"/>
      <c r="N439" s="372"/>
      <c r="O439" s="372"/>
      <c r="P439" s="372"/>
      <c r="Q439" s="304"/>
      <c r="R439" s="304"/>
      <c r="S439" s="304"/>
      <c r="T439" s="304"/>
      <c r="U439" s="304"/>
      <c r="V439" s="304"/>
      <c r="AL439" s="372" t="str">
        <f t="shared" si="36"/>
        <v/>
      </c>
    </row>
    <row r="440" spans="1:38" ht="15" customHeight="1" outlineLevel="1" x14ac:dyDescent="0.2">
      <c r="A440" s="403"/>
      <c r="B440" s="403"/>
      <c r="C440" s="403"/>
      <c r="D440" s="404"/>
      <c r="E440" s="405"/>
      <c r="F440" s="405"/>
      <c r="G440" s="403"/>
      <c r="H440" s="406"/>
      <c r="I440" s="406"/>
      <c r="J440" s="406"/>
      <c r="K440" s="304"/>
      <c r="L440" s="372"/>
      <c r="M440" s="372"/>
      <c r="N440" s="372"/>
      <c r="O440" s="372"/>
      <c r="P440" s="372"/>
      <c r="Q440" s="304"/>
      <c r="R440" s="304"/>
      <c r="S440" s="304"/>
      <c r="T440" s="304"/>
      <c r="U440" s="304"/>
      <c r="V440" s="304"/>
      <c r="AL440" s="372" t="str">
        <f t="shared" si="36"/>
        <v/>
      </c>
    </row>
    <row r="441" spans="1:38" ht="15" customHeight="1" outlineLevel="1" x14ac:dyDescent="0.2">
      <c r="A441" s="403"/>
      <c r="B441" s="403"/>
      <c r="C441" s="403"/>
      <c r="D441" s="404"/>
      <c r="E441" s="405"/>
      <c r="F441" s="405"/>
      <c r="G441" s="403"/>
      <c r="H441" s="406"/>
      <c r="I441" s="406"/>
      <c r="J441" s="406"/>
      <c r="K441" s="304"/>
      <c r="L441" s="372"/>
      <c r="M441" s="372"/>
      <c r="N441" s="372"/>
      <c r="O441" s="372"/>
      <c r="P441" s="372"/>
      <c r="Q441" s="304"/>
      <c r="R441" s="304"/>
      <c r="S441" s="304"/>
      <c r="T441" s="304"/>
      <c r="U441" s="304"/>
      <c r="V441" s="304"/>
      <c r="AL441" s="372" t="str">
        <f t="shared" si="36"/>
        <v/>
      </c>
    </row>
    <row r="442" spans="1:38" ht="15" customHeight="1" outlineLevel="1" x14ac:dyDescent="0.2">
      <c r="A442" s="403"/>
      <c r="B442" s="403"/>
      <c r="C442" s="403"/>
      <c r="D442" s="404"/>
      <c r="E442" s="405"/>
      <c r="F442" s="405"/>
      <c r="G442" s="403"/>
      <c r="H442" s="406"/>
      <c r="I442" s="406"/>
      <c r="J442" s="406"/>
      <c r="K442" s="304"/>
      <c r="L442" s="372"/>
      <c r="M442" s="372"/>
      <c r="N442" s="372"/>
      <c r="O442" s="372"/>
      <c r="P442" s="372"/>
      <c r="Q442" s="304"/>
      <c r="R442" s="304"/>
      <c r="S442" s="304"/>
      <c r="T442" s="304"/>
      <c r="U442" s="304"/>
      <c r="V442" s="304"/>
      <c r="AL442" s="372" t="str">
        <f t="shared" si="36"/>
        <v/>
      </c>
    </row>
    <row r="443" spans="1:38" ht="15" customHeight="1" outlineLevel="1" x14ac:dyDescent="0.2">
      <c r="A443" s="403"/>
      <c r="B443" s="403"/>
      <c r="C443" s="403"/>
      <c r="D443" s="404"/>
      <c r="E443" s="405"/>
      <c r="F443" s="405"/>
      <c r="G443" s="403"/>
      <c r="H443" s="406"/>
      <c r="I443" s="406"/>
      <c r="J443" s="406"/>
      <c r="K443" s="304"/>
      <c r="L443" s="372"/>
      <c r="M443" s="372"/>
      <c r="N443" s="372"/>
      <c r="O443" s="372"/>
      <c r="P443" s="372"/>
      <c r="Q443" s="304"/>
      <c r="R443" s="304"/>
      <c r="S443" s="304"/>
      <c r="T443" s="304"/>
      <c r="U443" s="304"/>
      <c r="V443" s="304"/>
      <c r="AL443" s="372" t="str">
        <f t="shared" si="36"/>
        <v/>
      </c>
    </row>
    <row r="444" spans="1:38" ht="15" customHeight="1" outlineLevel="1" x14ac:dyDescent="0.2">
      <c r="A444" s="403"/>
      <c r="B444" s="403"/>
      <c r="C444" s="403"/>
      <c r="D444" s="404"/>
      <c r="E444" s="405"/>
      <c r="F444" s="405"/>
      <c r="G444" s="403"/>
      <c r="H444" s="406"/>
      <c r="I444" s="406"/>
      <c r="J444" s="406"/>
      <c r="K444" s="304"/>
      <c r="L444" s="372"/>
      <c r="M444" s="372"/>
      <c r="N444" s="372"/>
      <c r="O444" s="372"/>
      <c r="P444" s="372"/>
      <c r="Q444" s="304"/>
      <c r="R444" s="304"/>
      <c r="S444" s="304"/>
      <c r="T444" s="304"/>
      <c r="U444" s="304"/>
      <c r="V444" s="304"/>
      <c r="AL444" s="372" t="str">
        <f t="shared" si="36"/>
        <v/>
      </c>
    </row>
    <row r="445" spans="1:38" ht="15" customHeight="1" outlineLevel="1" x14ac:dyDescent="0.2">
      <c r="A445" s="403"/>
      <c r="B445" s="403"/>
      <c r="C445" s="403"/>
      <c r="D445" s="404"/>
      <c r="E445" s="405"/>
      <c r="F445" s="405"/>
      <c r="G445" s="403"/>
      <c r="H445" s="406"/>
      <c r="I445" s="406"/>
      <c r="J445" s="406"/>
      <c r="K445" s="304"/>
      <c r="L445" s="372"/>
      <c r="M445" s="372"/>
      <c r="N445" s="372"/>
      <c r="O445" s="372"/>
      <c r="P445" s="372"/>
      <c r="Q445" s="304"/>
      <c r="R445" s="304"/>
      <c r="S445" s="304"/>
      <c r="T445" s="304"/>
      <c r="U445" s="304"/>
      <c r="V445" s="304"/>
      <c r="AL445" s="372" t="str">
        <f t="shared" si="36"/>
        <v/>
      </c>
    </row>
    <row r="446" spans="1:38" ht="15" customHeight="1" outlineLevel="1" x14ac:dyDescent="0.2">
      <c r="A446" s="403"/>
      <c r="B446" s="403"/>
      <c r="C446" s="403"/>
      <c r="D446" s="404"/>
      <c r="E446" s="405"/>
      <c r="F446" s="405"/>
      <c r="G446" s="403"/>
      <c r="H446" s="406"/>
      <c r="I446" s="406"/>
      <c r="J446" s="406"/>
      <c r="K446" s="304"/>
      <c r="L446" s="372"/>
      <c r="M446" s="372"/>
      <c r="N446" s="372"/>
      <c r="O446" s="372"/>
      <c r="P446" s="372"/>
      <c r="Q446" s="304"/>
      <c r="R446" s="304"/>
      <c r="S446" s="304"/>
      <c r="T446" s="304"/>
      <c r="U446" s="304"/>
      <c r="V446" s="304"/>
      <c r="AL446" s="372" t="str">
        <f t="shared" si="36"/>
        <v/>
      </c>
    </row>
    <row r="447" spans="1:38" ht="15" customHeight="1" outlineLevel="1" x14ac:dyDescent="0.2">
      <c r="A447" s="403"/>
      <c r="B447" s="403"/>
      <c r="C447" s="403"/>
      <c r="D447" s="404"/>
      <c r="E447" s="405"/>
      <c r="F447" s="405"/>
      <c r="G447" s="403"/>
      <c r="H447" s="406"/>
      <c r="I447" s="406"/>
      <c r="J447" s="406"/>
      <c r="K447" s="304"/>
      <c r="L447" s="372"/>
      <c r="M447" s="372"/>
      <c r="N447" s="372"/>
      <c r="O447" s="372"/>
      <c r="P447" s="372"/>
      <c r="Q447" s="304"/>
      <c r="R447" s="304"/>
      <c r="S447" s="304"/>
      <c r="T447" s="304"/>
      <c r="U447" s="304"/>
      <c r="V447" s="304"/>
      <c r="AL447" s="372" t="str">
        <f t="shared" si="36"/>
        <v/>
      </c>
    </row>
    <row r="448" spans="1:38" ht="15" customHeight="1" outlineLevel="1" x14ac:dyDescent="0.2">
      <c r="A448" s="403"/>
      <c r="B448" s="403"/>
      <c r="C448" s="403"/>
      <c r="D448" s="404"/>
      <c r="E448" s="405"/>
      <c r="F448" s="405"/>
      <c r="G448" s="403"/>
      <c r="H448" s="406"/>
      <c r="I448" s="406"/>
      <c r="J448" s="406"/>
      <c r="K448" s="304"/>
      <c r="L448" s="372"/>
      <c r="M448" s="372"/>
      <c r="N448" s="372"/>
      <c r="O448" s="372"/>
      <c r="P448" s="372"/>
      <c r="Q448" s="304"/>
      <c r="R448" s="304"/>
      <c r="S448" s="304"/>
      <c r="T448" s="304"/>
      <c r="U448" s="304"/>
      <c r="V448" s="304"/>
      <c r="AL448" s="372" t="str">
        <f t="shared" si="36"/>
        <v/>
      </c>
    </row>
    <row r="449" spans="1:38" ht="15" customHeight="1" outlineLevel="1" x14ac:dyDescent="0.2">
      <c r="A449" s="403"/>
      <c r="B449" s="403"/>
      <c r="C449" s="403"/>
      <c r="D449" s="404"/>
      <c r="E449" s="405"/>
      <c r="F449" s="405"/>
      <c r="G449" s="403"/>
      <c r="H449" s="406"/>
      <c r="I449" s="406"/>
      <c r="J449" s="406"/>
      <c r="K449" s="304"/>
      <c r="L449" s="372"/>
      <c r="M449" s="372"/>
      <c r="N449" s="372"/>
      <c r="O449" s="372"/>
      <c r="P449" s="372"/>
      <c r="Q449" s="304"/>
      <c r="R449" s="304"/>
      <c r="S449" s="304"/>
      <c r="T449" s="304"/>
      <c r="U449" s="304"/>
      <c r="V449" s="304"/>
      <c r="AL449" s="372" t="str">
        <f t="shared" si="36"/>
        <v/>
      </c>
    </row>
    <row r="450" spans="1:38" ht="15" customHeight="1" outlineLevel="1" x14ac:dyDescent="0.2">
      <c r="A450" s="403"/>
      <c r="B450" s="403"/>
      <c r="C450" s="403"/>
      <c r="D450" s="404"/>
      <c r="E450" s="405"/>
      <c r="F450" s="405"/>
      <c r="G450" s="403"/>
      <c r="H450" s="406"/>
      <c r="I450" s="406"/>
      <c r="J450" s="406"/>
      <c r="K450" s="304"/>
      <c r="L450" s="372"/>
      <c r="M450" s="372"/>
      <c r="N450" s="372"/>
      <c r="O450" s="372"/>
      <c r="P450" s="372"/>
      <c r="Q450" s="304"/>
      <c r="R450" s="304"/>
      <c r="S450" s="304"/>
      <c r="T450" s="304"/>
      <c r="U450" s="304"/>
      <c r="V450" s="304"/>
      <c r="AL450" s="372" t="str">
        <f t="shared" si="36"/>
        <v/>
      </c>
    </row>
    <row r="451" spans="1:38" ht="15" customHeight="1" outlineLevel="1" x14ac:dyDescent="0.2">
      <c r="A451" s="403"/>
      <c r="B451" s="403"/>
      <c r="C451" s="403"/>
      <c r="D451" s="404"/>
      <c r="E451" s="405"/>
      <c r="F451" s="405"/>
      <c r="G451" s="403"/>
      <c r="H451" s="406"/>
      <c r="I451" s="406"/>
      <c r="J451" s="406"/>
      <c r="K451" s="304"/>
      <c r="L451" s="372"/>
      <c r="M451" s="372"/>
      <c r="N451" s="372"/>
      <c r="O451" s="372"/>
      <c r="P451" s="372"/>
      <c r="Q451" s="304"/>
      <c r="R451" s="304"/>
      <c r="S451" s="304"/>
      <c r="T451" s="304"/>
      <c r="U451" s="304"/>
      <c r="V451" s="304"/>
      <c r="AL451" s="372" t="str">
        <f t="shared" si="36"/>
        <v/>
      </c>
    </row>
    <row r="452" spans="1:38" ht="15" customHeight="1" outlineLevel="1" x14ac:dyDescent="0.2">
      <c r="A452" s="403"/>
      <c r="B452" s="403"/>
      <c r="C452" s="403"/>
      <c r="D452" s="404"/>
      <c r="E452" s="405"/>
      <c r="F452" s="405"/>
      <c r="G452" s="403"/>
      <c r="H452" s="406"/>
      <c r="I452" s="406"/>
      <c r="J452" s="406"/>
      <c r="K452" s="304"/>
      <c r="L452" s="372"/>
      <c r="M452" s="372"/>
      <c r="N452" s="372"/>
      <c r="O452" s="372"/>
      <c r="P452" s="372"/>
      <c r="Q452" s="304"/>
      <c r="R452" s="304"/>
      <c r="S452" s="304"/>
      <c r="T452" s="304"/>
      <c r="U452" s="304"/>
      <c r="V452" s="304"/>
      <c r="AL452" s="372" t="str">
        <f t="shared" si="36"/>
        <v/>
      </c>
    </row>
    <row r="453" spans="1:38" ht="15" customHeight="1" outlineLevel="1" x14ac:dyDescent="0.2">
      <c r="A453" s="403"/>
      <c r="B453" s="403"/>
      <c r="C453" s="403"/>
      <c r="D453" s="404"/>
      <c r="E453" s="405"/>
      <c r="F453" s="405"/>
      <c r="G453" s="403"/>
      <c r="H453" s="406"/>
      <c r="I453" s="406"/>
      <c r="J453" s="406"/>
      <c r="K453" s="304"/>
      <c r="L453" s="372"/>
      <c r="M453" s="372"/>
      <c r="N453" s="372"/>
      <c r="O453" s="372"/>
      <c r="P453" s="372"/>
      <c r="Q453" s="304"/>
      <c r="R453" s="304"/>
      <c r="S453" s="304"/>
      <c r="T453" s="304"/>
      <c r="U453" s="304"/>
      <c r="V453" s="304"/>
      <c r="AL453" s="372" t="str">
        <f t="shared" si="36"/>
        <v/>
      </c>
    </row>
    <row r="454" spans="1:38" ht="15" customHeight="1" outlineLevel="1" x14ac:dyDescent="0.2">
      <c r="A454" s="403"/>
      <c r="B454" s="403"/>
      <c r="C454" s="403"/>
      <c r="D454" s="404"/>
      <c r="E454" s="405"/>
      <c r="F454" s="405"/>
      <c r="G454" s="403"/>
      <c r="H454" s="406"/>
      <c r="I454" s="406"/>
      <c r="J454" s="406"/>
      <c r="K454" s="304"/>
      <c r="L454" s="372"/>
      <c r="M454" s="372"/>
      <c r="N454" s="372"/>
      <c r="O454" s="372"/>
      <c r="P454" s="372"/>
      <c r="Q454" s="304"/>
      <c r="R454" s="304"/>
      <c r="S454" s="304"/>
      <c r="T454" s="304"/>
      <c r="U454" s="304"/>
      <c r="V454" s="304"/>
      <c r="AL454" s="372" t="str">
        <f t="shared" si="36"/>
        <v/>
      </c>
    </row>
    <row r="455" spans="1:38" ht="15" customHeight="1" outlineLevel="1" x14ac:dyDescent="0.2">
      <c r="A455" s="403"/>
      <c r="B455" s="403"/>
      <c r="C455" s="403"/>
      <c r="D455" s="404"/>
      <c r="E455" s="405"/>
      <c r="F455" s="405"/>
      <c r="G455" s="403"/>
      <c r="H455" s="406"/>
      <c r="I455" s="406"/>
      <c r="J455" s="406"/>
      <c r="K455" s="304"/>
      <c r="L455" s="372"/>
      <c r="M455" s="372"/>
      <c r="N455" s="372"/>
      <c r="O455" s="372"/>
      <c r="P455" s="372"/>
      <c r="Q455" s="304"/>
      <c r="R455" s="304"/>
      <c r="S455" s="304"/>
      <c r="T455" s="304"/>
      <c r="U455" s="304"/>
      <c r="V455" s="304"/>
      <c r="AL455" s="372" t="str">
        <f t="shared" si="36"/>
        <v/>
      </c>
    </row>
    <row r="456" spans="1:38" ht="15" customHeight="1" outlineLevel="1" x14ac:dyDescent="0.2">
      <c r="A456" s="403"/>
      <c r="B456" s="403"/>
      <c r="C456" s="403"/>
      <c r="D456" s="404"/>
      <c r="E456" s="405"/>
      <c r="F456" s="405"/>
      <c r="G456" s="403"/>
      <c r="H456" s="406"/>
      <c r="I456" s="406"/>
      <c r="J456" s="406"/>
      <c r="K456" s="304"/>
      <c r="L456" s="372"/>
      <c r="M456" s="372"/>
      <c r="N456" s="372"/>
      <c r="O456" s="372"/>
      <c r="P456" s="372"/>
      <c r="Q456" s="304"/>
      <c r="R456" s="304"/>
      <c r="S456" s="304"/>
      <c r="T456" s="304"/>
      <c r="U456" s="304"/>
      <c r="V456" s="304"/>
      <c r="AL456" s="372" t="str">
        <f t="shared" si="36"/>
        <v/>
      </c>
    </row>
    <row r="457" spans="1:38" ht="15" customHeight="1" outlineLevel="1" x14ac:dyDescent="0.2">
      <c r="A457" s="403"/>
      <c r="B457" s="403"/>
      <c r="C457" s="403"/>
      <c r="D457" s="404"/>
      <c r="E457" s="405"/>
      <c r="F457" s="405"/>
      <c r="G457" s="403"/>
      <c r="H457" s="406"/>
      <c r="I457" s="406"/>
      <c r="J457" s="406"/>
      <c r="K457" s="304"/>
      <c r="L457" s="372"/>
      <c r="M457" s="372"/>
      <c r="N457" s="372"/>
      <c r="O457" s="372"/>
      <c r="P457" s="372"/>
      <c r="Q457" s="304"/>
      <c r="R457" s="304"/>
      <c r="S457" s="304"/>
      <c r="T457" s="304"/>
      <c r="U457" s="304"/>
      <c r="V457" s="304"/>
      <c r="AL457" s="372" t="str">
        <f t="shared" si="36"/>
        <v/>
      </c>
    </row>
    <row r="458" spans="1:38" ht="15" customHeight="1" outlineLevel="1" x14ac:dyDescent="0.2">
      <c r="A458" s="403"/>
      <c r="B458" s="403"/>
      <c r="C458" s="403"/>
      <c r="D458" s="404"/>
      <c r="E458" s="405"/>
      <c r="F458" s="405"/>
      <c r="G458" s="403"/>
      <c r="H458" s="406"/>
      <c r="I458" s="406"/>
      <c r="J458" s="406"/>
      <c r="K458" s="304"/>
      <c r="L458" s="372"/>
      <c r="M458" s="372"/>
      <c r="N458" s="372"/>
      <c r="O458" s="372"/>
      <c r="P458" s="372"/>
      <c r="Q458" s="304"/>
      <c r="R458" s="304"/>
      <c r="S458" s="304"/>
      <c r="T458" s="304"/>
      <c r="U458" s="304"/>
      <c r="V458" s="304"/>
      <c r="AL458" s="372" t="str">
        <f t="shared" si="36"/>
        <v/>
      </c>
    </row>
    <row r="459" spans="1:38" ht="15" customHeight="1" outlineLevel="1" x14ac:dyDescent="0.2">
      <c r="A459" s="403"/>
      <c r="B459" s="403"/>
      <c r="C459" s="403"/>
      <c r="D459" s="404"/>
      <c r="E459" s="405"/>
      <c r="F459" s="405"/>
      <c r="G459" s="403"/>
      <c r="H459" s="406"/>
      <c r="I459" s="406"/>
      <c r="J459" s="406"/>
      <c r="K459" s="304"/>
      <c r="L459" s="372"/>
      <c r="M459" s="372"/>
      <c r="N459" s="372"/>
      <c r="O459" s="372"/>
      <c r="P459" s="372"/>
      <c r="Q459" s="304"/>
      <c r="R459" s="304"/>
      <c r="S459" s="304"/>
      <c r="T459" s="304"/>
      <c r="U459" s="304"/>
      <c r="V459" s="304"/>
      <c r="AL459" s="372" t="str">
        <f t="shared" si="36"/>
        <v/>
      </c>
    </row>
    <row r="460" spans="1:38" ht="15" customHeight="1" outlineLevel="1" x14ac:dyDescent="0.2">
      <c r="A460" s="403"/>
      <c r="B460" s="403"/>
      <c r="C460" s="403"/>
      <c r="D460" s="404"/>
      <c r="E460" s="405"/>
      <c r="F460" s="405"/>
      <c r="G460" s="403"/>
      <c r="H460" s="406"/>
      <c r="I460" s="406"/>
      <c r="J460" s="406"/>
      <c r="K460" s="304"/>
      <c r="L460" s="372"/>
      <c r="M460" s="372"/>
      <c r="N460" s="372"/>
      <c r="O460" s="372"/>
      <c r="P460" s="372"/>
      <c r="Q460" s="304"/>
      <c r="R460" s="304"/>
      <c r="S460" s="304"/>
      <c r="T460" s="304"/>
      <c r="U460" s="304"/>
      <c r="V460" s="304"/>
      <c r="AL460" s="372" t="str">
        <f t="shared" si="36"/>
        <v/>
      </c>
    </row>
    <row r="461" spans="1:38" ht="15" customHeight="1" outlineLevel="1" x14ac:dyDescent="0.2">
      <c r="A461" s="403"/>
      <c r="B461" s="403"/>
      <c r="C461" s="403"/>
      <c r="D461" s="404"/>
      <c r="E461" s="405"/>
      <c r="F461" s="405"/>
      <c r="G461" s="403"/>
      <c r="H461" s="406"/>
      <c r="I461" s="406"/>
      <c r="J461" s="406"/>
      <c r="K461" s="304"/>
      <c r="L461" s="372"/>
      <c r="M461" s="372"/>
      <c r="N461" s="372"/>
      <c r="O461" s="372"/>
      <c r="P461" s="372"/>
      <c r="Q461" s="304"/>
      <c r="R461" s="304"/>
      <c r="S461" s="304"/>
      <c r="T461" s="304"/>
      <c r="U461" s="304"/>
      <c r="V461" s="304"/>
      <c r="AL461" s="372" t="str">
        <f t="shared" si="36"/>
        <v/>
      </c>
    </row>
    <row r="462" spans="1:38" ht="15" customHeight="1" outlineLevel="1" x14ac:dyDescent="0.2">
      <c r="A462" s="403"/>
      <c r="B462" s="403"/>
      <c r="C462" s="403"/>
      <c r="D462" s="404"/>
      <c r="E462" s="405"/>
      <c r="F462" s="405"/>
      <c r="G462" s="403"/>
      <c r="H462" s="406"/>
      <c r="I462" s="406"/>
      <c r="J462" s="406"/>
      <c r="K462" s="304"/>
      <c r="L462" s="372"/>
      <c r="M462" s="372"/>
      <c r="N462" s="372"/>
      <c r="O462" s="372"/>
      <c r="P462" s="372"/>
      <c r="Q462" s="304"/>
      <c r="R462" s="304"/>
      <c r="S462" s="304"/>
      <c r="T462" s="304"/>
      <c r="U462" s="304"/>
      <c r="V462" s="304"/>
      <c r="AL462" s="372" t="str">
        <f t="shared" si="36"/>
        <v/>
      </c>
    </row>
    <row r="463" spans="1:38" ht="15" customHeight="1" outlineLevel="1" x14ac:dyDescent="0.2">
      <c r="A463" s="403"/>
      <c r="B463" s="403"/>
      <c r="C463" s="403"/>
      <c r="D463" s="404"/>
      <c r="E463" s="405"/>
      <c r="F463" s="405"/>
      <c r="G463" s="403"/>
      <c r="H463" s="406"/>
      <c r="I463" s="406"/>
      <c r="J463" s="406"/>
      <c r="K463" s="304"/>
      <c r="L463" s="372"/>
      <c r="M463" s="372"/>
      <c r="N463" s="372"/>
      <c r="O463" s="372"/>
      <c r="P463" s="372"/>
      <c r="Q463" s="304"/>
      <c r="R463" s="304"/>
      <c r="S463" s="304"/>
      <c r="T463" s="304"/>
      <c r="U463" s="304"/>
      <c r="V463" s="304"/>
      <c r="AL463" s="372" t="str">
        <f t="shared" si="36"/>
        <v/>
      </c>
    </row>
    <row r="464" spans="1:38" ht="15" customHeight="1" outlineLevel="1" x14ac:dyDescent="0.2">
      <c r="A464" s="403"/>
      <c r="B464" s="403"/>
      <c r="C464" s="403"/>
      <c r="D464" s="404"/>
      <c r="E464" s="405"/>
      <c r="F464" s="405"/>
      <c r="G464" s="403"/>
      <c r="H464" s="406"/>
      <c r="I464" s="406"/>
      <c r="J464" s="406"/>
      <c r="K464" s="304"/>
      <c r="L464" s="372"/>
      <c r="M464" s="372"/>
      <c r="N464" s="372"/>
      <c r="O464" s="372"/>
      <c r="P464" s="372"/>
      <c r="Q464" s="304"/>
      <c r="R464" s="304"/>
      <c r="S464" s="304"/>
      <c r="T464" s="304"/>
      <c r="U464" s="304"/>
      <c r="V464" s="304"/>
      <c r="AL464" s="372" t="str">
        <f t="shared" si="36"/>
        <v/>
      </c>
    </row>
    <row r="465" spans="1:38" ht="15" customHeight="1" outlineLevel="1" x14ac:dyDescent="0.2">
      <c r="A465" s="403"/>
      <c r="B465" s="403"/>
      <c r="C465" s="403"/>
      <c r="D465" s="404"/>
      <c r="E465" s="405"/>
      <c r="F465" s="405"/>
      <c r="G465" s="403"/>
      <c r="H465" s="406"/>
      <c r="I465" s="406"/>
      <c r="J465" s="406"/>
      <c r="K465" s="304"/>
      <c r="L465" s="372"/>
      <c r="M465" s="372"/>
      <c r="N465" s="372"/>
      <c r="O465" s="372"/>
      <c r="P465" s="372"/>
      <c r="Q465" s="304"/>
      <c r="R465" s="304"/>
      <c r="S465" s="304"/>
      <c r="T465" s="304"/>
      <c r="U465" s="304"/>
      <c r="V465" s="304"/>
      <c r="AL465" s="372" t="str">
        <f t="shared" ref="AL465:AL528" si="37">IF(($C465=$AG$245)*($N465&gt;0)*ISNUMBER($I465),$I465*100000+ROW(),"")</f>
        <v/>
      </c>
    </row>
    <row r="466" spans="1:38" ht="15" customHeight="1" outlineLevel="1" x14ac:dyDescent="0.2">
      <c r="A466" s="403"/>
      <c r="B466" s="403"/>
      <c r="C466" s="403"/>
      <c r="D466" s="404"/>
      <c r="E466" s="405"/>
      <c r="F466" s="405"/>
      <c r="G466" s="403"/>
      <c r="H466" s="406"/>
      <c r="I466" s="406"/>
      <c r="J466" s="406"/>
      <c r="K466" s="304"/>
      <c r="L466" s="372"/>
      <c r="M466" s="372"/>
      <c r="N466" s="372"/>
      <c r="O466" s="372"/>
      <c r="P466" s="372"/>
      <c r="Q466" s="304"/>
      <c r="R466" s="304"/>
      <c r="S466" s="304"/>
      <c r="T466" s="304"/>
      <c r="U466" s="304"/>
      <c r="V466" s="304"/>
      <c r="AL466" s="372" t="str">
        <f t="shared" si="37"/>
        <v/>
      </c>
    </row>
    <row r="467" spans="1:38" ht="15" customHeight="1" outlineLevel="1" x14ac:dyDescent="0.2">
      <c r="A467" s="403"/>
      <c r="B467" s="403"/>
      <c r="C467" s="403"/>
      <c r="D467" s="404"/>
      <c r="E467" s="405"/>
      <c r="F467" s="405"/>
      <c r="G467" s="403"/>
      <c r="H467" s="406"/>
      <c r="I467" s="406"/>
      <c r="J467" s="406"/>
      <c r="K467" s="304"/>
      <c r="L467" s="372"/>
      <c r="M467" s="372"/>
      <c r="N467" s="372"/>
      <c r="O467" s="372"/>
      <c r="P467" s="372"/>
      <c r="Q467" s="304"/>
      <c r="R467" s="304"/>
      <c r="S467" s="304"/>
      <c r="T467" s="304"/>
      <c r="U467" s="304"/>
      <c r="V467" s="304"/>
      <c r="AL467" s="372" t="str">
        <f t="shared" si="37"/>
        <v/>
      </c>
    </row>
    <row r="468" spans="1:38" ht="15" customHeight="1" outlineLevel="1" x14ac:dyDescent="0.2">
      <c r="A468" s="403"/>
      <c r="B468" s="403"/>
      <c r="C468" s="403"/>
      <c r="D468" s="404"/>
      <c r="E468" s="405"/>
      <c r="F468" s="405"/>
      <c r="G468" s="403"/>
      <c r="H468" s="406"/>
      <c r="I468" s="406"/>
      <c r="J468" s="406"/>
      <c r="K468" s="304"/>
      <c r="L468" s="372"/>
      <c r="M468" s="372"/>
      <c r="N468" s="372"/>
      <c r="O468" s="372"/>
      <c r="P468" s="372"/>
      <c r="Q468" s="304"/>
      <c r="R468" s="304"/>
      <c r="S468" s="304"/>
      <c r="T468" s="304"/>
      <c r="U468" s="304"/>
      <c r="V468" s="304"/>
      <c r="AL468" s="372" t="str">
        <f t="shared" si="37"/>
        <v/>
      </c>
    </row>
    <row r="469" spans="1:38" ht="15" customHeight="1" outlineLevel="1" x14ac:dyDescent="0.2">
      <c r="A469" s="403"/>
      <c r="B469" s="403"/>
      <c r="C469" s="403"/>
      <c r="D469" s="404"/>
      <c r="E469" s="405"/>
      <c r="F469" s="405"/>
      <c r="G469" s="403"/>
      <c r="H469" s="406"/>
      <c r="I469" s="406"/>
      <c r="J469" s="406"/>
      <c r="K469" s="304"/>
      <c r="L469" s="372"/>
      <c r="M469" s="372"/>
      <c r="N469" s="372"/>
      <c r="O469" s="372"/>
      <c r="P469" s="372"/>
      <c r="Q469" s="304"/>
      <c r="R469" s="304"/>
      <c r="S469" s="304"/>
      <c r="T469" s="304"/>
      <c r="U469" s="304"/>
      <c r="V469" s="304"/>
      <c r="AL469" s="372" t="str">
        <f t="shared" si="37"/>
        <v/>
      </c>
    </row>
    <row r="470" spans="1:38" ht="15" customHeight="1" outlineLevel="1" x14ac:dyDescent="0.2">
      <c r="A470" s="403"/>
      <c r="B470" s="403"/>
      <c r="C470" s="403"/>
      <c r="D470" s="404"/>
      <c r="E470" s="405"/>
      <c r="F470" s="405"/>
      <c r="G470" s="403"/>
      <c r="H470" s="406"/>
      <c r="I470" s="406"/>
      <c r="J470" s="406"/>
      <c r="K470" s="304"/>
      <c r="L470" s="372"/>
      <c r="M470" s="372"/>
      <c r="N470" s="372"/>
      <c r="O470" s="372"/>
      <c r="P470" s="372"/>
      <c r="Q470" s="304"/>
      <c r="R470" s="304"/>
      <c r="S470" s="304"/>
      <c r="T470" s="304"/>
      <c r="U470" s="304"/>
      <c r="V470" s="304"/>
      <c r="AL470" s="372" t="str">
        <f t="shared" si="37"/>
        <v/>
      </c>
    </row>
    <row r="471" spans="1:38" ht="15" customHeight="1" outlineLevel="1" x14ac:dyDescent="0.2">
      <c r="A471" s="403"/>
      <c r="B471" s="403"/>
      <c r="C471" s="403"/>
      <c r="D471" s="404"/>
      <c r="E471" s="405"/>
      <c r="F471" s="405"/>
      <c r="G471" s="403"/>
      <c r="H471" s="406"/>
      <c r="I471" s="406"/>
      <c r="J471" s="406"/>
      <c r="K471" s="304"/>
      <c r="L471" s="372"/>
      <c r="M471" s="372"/>
      <c r="N471" s="372"/>
      <c r="O471" s="372"/>
      <c r="P471" s="372"/>
      <c r="Q471" s="304"/>
      <c r="R471" s="304"/>
      <c r="S471" s="304"/>
      <c r="T471" s="304"/>
      <c r="U471" s="304"/>
      <c r="V471" s="304"/>
      <c r="AL471" s="372" t="str">
        <f t="shared" si="37"/>
        <v/>
      </c>
    </row>
    <row r="472" spans="1:38" ht="15" customHeight="1" outlineLevel="1" x14ac:dyDescent="0.2">
      <c r="A472" s="403"/>
      <c r="B472" s="403"/>
      <c r="C472" s="403"/>
      <c r="D472" s="404"/>
      <c r="E472" s="405"/>
      <c r="F472" s="405"/>
      <c r="G472" s="403"/>
      <c r="H472" s="406"/>
      <c r="I472" s="406"/>
      <c r="J472" s="406"/>
      <c r="K472" s="304"/>
      <c r="L472" s="372"/>
      <c r="M472" s="372"/>
      <c r="N472" s="372"/>
      <c r="O472" s="372"/>
      <c r="P472" s="372"/>
      <c r="Q472" s="304"/>
      <c r="R472" s="304"/>
      <c r="S472" s="304"/>
      <c r="T472" s="304"/>
      <c r="U472" s="304"/>
      <c r="V472" s="304"/>
      <c r="AL472" s="372" t="str">
        <f t="shared" si="37"/>
        <v/>
      </c>
    </row>
    <row r="473" spans="1:38" ht="15" customHeight="1" outlineLevel="1" x14ac:dyDescent="0.2">
      <c r="A473" s="403"/>
      <c r="B473" s="403"/>
      <c r="C473" s="403"/>
      <c r="D473" s="404"/>
      <c r="E473" s="405"/>
      <c r="F473" s="405"/>
      <c r="G473" s="403"/>
      <c r="H473" s="406"/>
      <c r="I473" s="406"/>
      <c r="J473" s="406"/>
      <c r="K473" s="304"/>
      <c r="L473" s="372"/>
      <c r="M473" s="372"/>
      <c r="N473" s="372"/>
      <c r="O473" s="372"/>
      <c r="P473" s="372"/>
      <c r="Q473" s="304"/>
      <c r="R473" s="304"/>
      <c r="S473" s="304"/>
      <c r="T473" s="304"/>
      <c r="U473" s="304"/>
      <c r="V473" s="304"/>
      <c r="AL473" s="372" t="str">
        <f t="shared" si="37"/>
        <v/>
      </c>
    </row>
    <row r="474" spans="1:38" ht="15" customHeight="1" outlineLevel="1" x14ac:dyDescent="0.2">
      <c r="A474" s="403"/>
      <c r="B474" s="403"/>
      <c r="C474" s="403"/>
      <c r="D474" s="404"/>
      <c r="E474" s="405"/>
      <c r="F474" s="405"/>
      <c r="G474" s="403"/>
      <c r="H474" s="406"/>
      <c r="I474" s="406"/>
      <c r="J474" s="406"/>
      <c r="K474" s="304"/>
      <c r="L474" s="372"/>
      <c r="M474" s="372"/>
      <c r="N474" s="372"/>
      <c r="O474" s="372"/>
      <c r="P474" s="372"/>
      <c r="Q474" s="304"/>
      <c r="R474" s="304"/>
      <c r="S474" s="304"/>
      <c r="T474" s="304"/>
      <c r="U474" s="304"/>
      <c r="V474" s="304"/>
      <c r="AL474" s="372" t="str">
        <f t="shared" si="37"/>
        <v/>
      </c>
    </row>
    <row r="475" spans="1:38" ht="15" customHeight="1" outlineLevel="1" x14ac:dyDescent="0.2">
      <c r="A475" s="403"/>
      <c r="B475" s="403"/>
      <c r="C475" s="403"/>
      <c r="D475" s="404"/>
      <c r="E475" s="405"/>
      <c r="F475" s="405"/>
      <c r="G475" s="403"/>
      <c r="H475" s="406"/>
      <c r="I475" s="406"/>
      <c r="J475" s="406"/>
      <c r="K475" s="304"/>
      <c r="L475" s="372"/>
      <c r="M475" s="372"/>
      <c r="N475" s="372"/>
      <c r="O475" s="372"/>
      <c r="P475" s="372"/>
      <c r="Q475" s="304"/>
      <c r="R475" s="304"/>
      <c r="S475" s="304"/>
      <c r="T475" s="304"/>
      <c r="U475" s="304"/>
      <c r="V475" s="304"/>
      <c r="AL475" s="372" t="str">
        <f t="shared" si="37"/>
        <v/>
      </c>
    </row>
    <row r="476" spans="1:38" ht="15" customHeight="1" outlineLevel="1" x14ac:dyDescent="0.2">
      <c r="A476" s="403"/>
      <c r="B476" s="403"/>
      <c r="C476" s="403"/>
      <c r="D476" s="404"/>
      <c r="E476" s="405"/>
      <c r="F476" s="405"/>
      <c r="G476" s="403"/>
      <c r="H476" s="406"/>
      <c r="I476" s="406"/>
      <c r="J476" s="406"/>
      <c r="K476" s="304"/>
      <c r="L476" s="372"/>
      <c r="M476" s="372"/>
      <c r="N476" s="372"/>
      <c r="O476" s="372"/>
      <c r="P476" s="372"/>
      <c r="Q476" s="304"/>
      <c r="R476" s="304"/>
      <c r="S476" s="304"/>
      <c r="T476" s="304"/>
      <c r="U476" s="304"/>
      <c r="V476" s="304"/>
      <c r="AL476" s="372" t="str">
        <f t="shared" si="37"/>
        <v/>
      </c>
    </row>
    <row r="477" spans="1:38" ht="15" customHeight="1" outlineLevel="1" x14ac:dyDescent="0.2">
      <c r="A477" s="403"/>
      <c r="B477" s="403"/>
      <c r="C477" s="403"/>
      <c r="D477" s="404"/>
      <c r="E477" s="405"/>
      <c r="F477" s="405"/>
      <c r="G477" s="403"/>
      <c r="H477" s="406"/>
      <c r="I477" s="406"/>
      <c r="J477" s="406"/>
      <c r="K477" s="304"/>
      <c r="L477" s="372"/>
      <c r="M477" s="372"/>
      <c r="N477" s="372"/>
      <c r="O477" s="372"/>
      <c r="P477" s="372"/>
      <c r="Q477" s="304"/>
      <c r="R477" s="304"/>
      <c r="S477" s="304"/>
      <c r="T477" s="304"/>
      <c r="U477" s="304"/>
      <c r="V477" s="304"/>
      <c r="AL477" s="372" t="str">
        <f t="shared" si="37"/>
        <v/>
      </c>
    </row>
    <row r="478" spans="1:38" ht="15" customHeight="1" outlineLevel="1" x14ac:dyDescent="0.2">
      <c r="A478" s="403"/>
      <c r="B478" s="403"/>
      <c r="C478" s="403"/>
      <c r="D478" s="404"/>
      <c r="E478" s="405"/>
      <c r="F478" s="405"/>
      <c r="G478" s="403"/>
      <c r="H478" s="406"/>
      <c r="I478" s="406"/>
      <c r="J478" s="406"/>
      <c r="K478" s="304"/>
      <c r="L478" s="372"/>
      <c r="M478" s="372"/>
      <c r="N478" s="372"/>
      <c r="O478" s="372"/>
      <c r="P478" s="372"/>
      <c r="Q478" s="304"/>
      <c r="R478" s="304"/>
      <c r="S478" s="304"/>
      <c r="T478" s="304"/>
      <c r="U478" s="304"/>
      <c r="V478" s="304"/>
      <c r="AL478" s="372" t="str">
        <f t="shared" si="37"/>
        <v/>
      </c>
    </row>
    <row r="479" spans="1:38" ht="15" customHeight="1" outlineLevel="1" x14ac:dyDescent="0.2">
      <c r="A479" s="403"/>
      <c r="B479" s="403"/>
      <c r="C479" s="403"/>
      <c r="D479" s="404"/>
      <c r="E479" s="405"/>
      <c r="F479" s="405"/>
      <c r="G479" s="403"/>
      <c r="H479" s="406"/>
      <c r="I479" s="406"/>
      <c r="J479" s="406"/>
      <c r="K479" s="304"/>
      <c r="L479" s="372"/>
      <c r="M479" s="372"/>
      <c r="N479" s="372"/>
      <c r="O479" s="372"/>
      <c r="P479" s="372"/>
      <c r="Q479" s="304"/>
      <c r="R479" s="304"/>
      <c r="S479" s="304"/>
      <c r="T479" s="304"/>
      <c r="U479" s="304"/>
      <c r="V479" s="304"/>
      <c r="AL479" s="372" t="str">
        <f t="shared" si="37"/>
        <v/>
      </c>
    </row>
    <row r="480" spans="1:38" ht="15" customHeight="1" outlineLevel="1" x14ac:dyDescent="0.2">
      <c r="A480" s="403"/>
      <c r="B480" s="403"/>
      <c r="C480" s="403"/>
      <c r="D480" s="404"/>
      <c r="E480" s="405"/>
      <c r="F480" s="405"/>
      <c r="G480" s="403"/>
      <c r="H480" s="406"/>
      <c r="I480" s="406"/>
      <c r="J480" s="406"/>
      <c r="K480" s="304"/>
      <c r="L480" s="372"/>
      <c r="M480" s="372"/>
      <c r="N480" s="372"/>
      <c r="O480" s="372"/>
      <c r="P480" s="372"/>
      <c r="Q480" s="304"/>
      <c r="R480" s="304"/>
      <c r="S480" s="304"/>
      <c r="T480" s="304"/>
      <c r="U480" s="304"/>
      <c r="V480" s="304"/>
      <c r="AL480" s="372" t="str">
        <f t="shared" si="37"/>
        <v/>
      </c>
    </row>
    <row r="481" spans="1:38" ht="15" customHeight="1" outlineLevel="1" x14ac:dyDescent="0.2">
      <c r="A481" s="403"/>
      <c r="B481" s="403"/>
      <c r="C481" s="403"/>
      <c r="D481" s="404"/>
      <c r="E481" s="405"/>
      <c r="F481" s="405"/>
      <c r="G481" s="403"/>
      <c r="H481" s="406"/>
      <c r="I481" s="406"/>
      <c r="J481" s="406"/>
      <c r="K481" s="304"/>
      <c r="L481" s="372"/>
      <c r="M481" s="372"/>
      <c r="N481" s="372"/>
      <c r="O481" s="372"/>
      <c r="P481" s="372"/>
      <c r="Q481" s="304"/>
      <c r="R481" s="304"/>
      <c r="S481" s="304"/>
      <c r="T481" s="304"/>
      <c r="U481" s="304"/>
      <c r="V481" s="304"/>
      <c r="AL481" s="372" t="str">
        <f t="shared" si="37"/>
        <v/>
      </c>
    </row>
    <row r="482" spans="1:38" ht="15" customHeight="1" outlineLevel="1" x14ac:dyDescent="0.2">
      <c r="A482" s="403"/>
      <c r="B482" s="403"/>
      <c r="C482" s="403"/>
      <c r="D482" s="404"/>
      <c r="E482" s="405"/>
      <c r="F482" s="405"/>
      <c r="G482" s="403"/>
      <c r="H482" s="406"/>
      <c r="I482" s="406"/>
      <c r="J482" s="406"/>
      <c r="K482" s="304"/>
      <c r="L482" s="372"/>
      <c r="M482" s="372"/>
      <c r="N482" s="372"/>
      <c r="O482" s="372"/>
      <c r="P482" s="372"/>
      <c r="Q482" s="304"/>
      <c r="R482" s="304"/>
      <c r="S482" s="304"/>
      <c r="T482" s="304"/>
      <c r="U482" s="304"/>
      <c r="V482" s="304"/>
      <c r="AL482" s="372" t="str">
        <f t="shared" si="37"/>
        <v/>
      </c>
    </row>
    <row r="483" spans="1:38" ht="15" customHeight="1" outlineLevel="1" x14ac:dyDescent="0.2">
      <c r="A483" s="403"/>
      <c r="B483" s="403"/>
      <c r="C483" s="403"/>
      <c r="D483" s="404"/>
      <c r="E483" s="405"/>
      <c r="F483" s="405"/>
      <c r="G483" s="403"/>
      <c r="H483" s="406"/>
      <c r="I483" s="406"/>
      <c r="J483" s="406"/>
      <c r="K483" s="304"/>
      <c r="L483" s="372"/>
      <c r="M483" s="372"/>
      <c r="N483" s="372"/>
      <c r="O483" s="372"/>
      <c r="P483" s="372"/>
      <c r="Q483" s="304"/>
      <c r="R483" s="304"/>
      <c r="S483" s="304"/>
      <c r="T483" s="304"/>
      <c r="U483" s="304"/>
      <c r="V483" s="304"/>
      <c r="AL483" s="372" t="str">
        <f t="shared" si="37"/>
        <v/>
      </c>
    </row>
    <row r="484" spans="1:38" ht="15" customHeight="1" outlineLevel="1" x14ac:dyDescent="0.2">
      <c r="A484" s="403"/>
      <c r="B484" s="403"/>
      <c r="C484" s="403"/>
      <c r="D484" s="404"/>
      <c r="E484" s="405"/>
      <c r="F484" s="405"/>
      <c r="G484" s="403"/>
      <c r="H484" s="406"/>
      <c r="I484" s="406"/>
      <c r="J484" s="406"/>
      <c r="K484" s="304"/>
      <c r="L484" s="372"/>
      <c r="M484" s="372"/>
      <c r="N484" s="372"/>
      <c r="O484" s="372"/>
      <c r="P484" s="372"/>
      <c r="Q484" s="304"/>
      <c r="R484" s="304"/>
      <c r="S484" s="304"/>
      <c r="T484" s="304"/>
      <c r="U484" s="304"/>
      <c r="V484" s="304"/>
      <c r="AL484" s="372" t="str">
        <f t="shared" si="37"/>
        <v/>
      </c>
    </row>
    <row r="485" spans="1:38" ht="15" customHeight="1" outlineLevel="1" x14ac:dyDescent="0.2">
      <c r="A485" s="403"/>
      <c r="B485" s="403"/>
      <c r="C485" s="403"/>
      <c r="D485" s="404"/>
      <c r="E485" s="405"/>
      <c r="F485" s="405"/>
      <c r="G485" s="403"/>
      <c r="H485" s="406"/>
      <c r="I485" s="406"/>
      <c r="J485" s="406"/>
      <c r="K485" s="304"/>
      <c r="L485" s="372"/>
      <c r="M485" s="372"/>
      <c r="N485" s="372"/>
      <c r="O485" s="372"/>
      <c r="P485" s="372"/>
      <c r="Q485" s="304"/>
      <c r="R485" s="304"/>
      <c r="S485" s="304"/>
      <c r="T485" s="304"/>
      <c r="U485" s="304"/>
      <c r="V485" s="304"/>
      <c r="AL485" s="372" t="str">
        <f t="shared" si="37"/>
        <v/>
      </c>
    </row>
    <row r="486" spans="1:38" ht="15" customHeight="1" outlineLevel="1" x14ac:dyDescent="0.2">
      <c r="A486" s="403"/>
      <c r="B486" s="403"/>
      <c r="C486" s="403"/>
      <c r="D486" s="404"/>
      <c r="E486" s="405"/>
      <c r="F486" s="405"/>
      <c r="G486" s="403"/>
      <c r="H486" s="406"/>
      <c r="I486" s="406"/>
      <c r="J486" s="406"/>
      <c r="K486" s="304"/>
      <c r="L486" s="372"/>
      <c r="M486" s="372"/>
      <c r="N486" s="372"/>
      <c r="O486" s="372"/>
      <c r="P486" s="372"/>
      <c r="Q486" s="304"/>
      <c r="R486" s="304"/>
      <c r="S486" s="304"/>
      <c r="T486" s="304"/>
      <c r="U486" s="304"/>
      <c r="V486" s="304"/>
      <c r="AL486" s="372" t="str">
        <f t="shared" si="37"/>
        <v/>
      </c>
    </row>
    <row r="487" spans="1:38" ht="15" customHeight="1" outlineLevel="1" x14ac:dyDescent="0.2">
      <c r="A487" s="403"/>
      <c r="B487" s="403"/>
      <c r="C487" s="403"/>
      <c r="D487" s="404"/>
      <c r="E487" s="405"/>
      <c r="F487" s="405"/>
      <c r="G487" s="403"/>
      <c r="H487" s="406"/>
      <c r="I487" s="406"/>
      <c r="J487" s="406"/>
      <c r="K487" s="304"/>
      <c r="L487" s="372"/>
      <c r="M487" s="372"/>
      <c r="N487" s="372"/>
      <c r="O487" s="372"/>
      <c r="P487" s="372"/>
      <c r="Q487" s="304"/>
      <c r="R487" s="304"/>
      <c r="S487" s="304"/>
      <c r="T487" s="304"/>
      <c r="U487" s="304"/>
      <c r="V487" s="304"/>
      <c r="AL487" s="372" t="str">
        <f t="shared" si="37"/>
        <v/>
      </c>
    </row>
    <row r="488" spans="1:38" ht="15" customHeight="1" outlineLevel="1" x14ac:dyDescent="0.2">
      <c r="A488" s="403"/>
      <c r="B488" s="403"/>
      <c r="C488" s="403"/>
      <c r="D488" s="404"/>
      <c r="E488" s="405"/>
      <c r="F488" s="405"/>
      <c r="G488" s="403"/>
      <c r="H488" s="406"/>
      <c r="I488" s="406"/>
      <c r="J488" s="406"/>
      <c r="K488" s="304"/>
      <c r="L488" s="372"/>
      <c r="M488" s="372"/>
      <c r="N488" s="372"/>
      <c r="O488" s="372"/>
      <c r="P488" s="372"/>
      <c r="Q488" s="304"/>
      <c r="R488" s="304"/>
      <c r="S488" s="304"/>
      <c r="T488" s="304"/>
      <c r="U488" s="304"/>
      <c r="V488" s="304"/>
      <c r="AL488" s="372" t="str">
        <f t="shared" si="37"/>
        <v/>
      </c>
    </row>
    <row r="489" spans="1:38" ht="15" customHeight="1" outlineLevel="1" x14ac:dyDescent="0.2">
      <c r="A489" s="403"/>
      <c r="B489" s="403"/>
      <c r="C489" s="403"/>
      <c r="D489" s="404"/>
      <c r="E489" s="405"/>
      <c r="F489" s="405"/>
      <c r="G489" s="403"/>
      <c r="H489" s="406"/>
      <c r="I489" s="406"/>
      <c r="J489" s="406"/>
      <c r="K489" s="304"/>
      <c r="L489" s="372"/>
      <c r="M489" s="372"/>
      <c r="N489" s="372"/>
      <c r="O489" s="372"/>
      <c r="P489" s="372"/>
      <c r="Q489" s="304"/>
      <c r="R489" s="304"/>
      <c r="S489" s="304"/>
      <c r="T489" s="304"/>
      <c r="U489" s="304"/>
      <c r="V489" s="304"/>
      <c r="AL489" s="372" t="str">
        <f t="shared" si="37"/>
        <v/>
      </c>
    </row>
    <row r="490" spans="1:38" ht="15" customHeight="1" outlineLevel="1" x14ac:dyDescent="0.2">
      <c r="A490" s="403"/>
      <c r="B490" s="403"/>
      <c r="C490" s="403"/>
      <c r="D490" s="404"/>
      <c r="E490" s="405"/>
      <c r="F490" s="405"/>
      <c r="G490" s="403"/>
      <c r="H490" s="406"/>
      <c r="I490" s="406"/>
      <c r="J490" s="406"/>
      <c r="K490" s="304"/>
      <c r="L490" s="372"/>
      <c r="M490" s="372"/>
      <c r="N490" s="372"/>
      <c r="O490" s="372"/>
      <c r="P490" s="372"/>
      <c r="Q490" s="304"/>
      <c r="R490" s="304"/>
      <c r="S490" s="304"/>
      <c r="T490" s="304"/>
      <c r="U490" s="304"/>
      <c r="V490" s="304"/>
      <c r="AL490" s="372" t="str">
        <f t="shared" si="37"/>
        <v/>
      </c>
    </row>
    <row r="491" spans="1:38" ht="15" customHeight="1" outlineLevel="1" x14ac:dyDescent="0.2">
      <c r="A491" s="403"/>
      <c r="B491" s="403"/>
      <c r="C491" s="403"/>
      <c r="D491" s="404"/>
      <c r="E491" s="405"/>
      <c r="F491" s="405"/>
      <c r="G491" s="403"/>
      <c r="H491" s="406"/>
      <c r="I491" s="406"/>
      <c r="J491" s="406"/>
      <c r="K491" s="304"/>
      <c r="L491" s="372"/>
      <c r="M491" s="372"/>
      <c r="N491" s="372"/>
      <c r="O491" s="372"/>
      <c r="P491" s="372"/>
      <c r="Q491" s="304"/>
      <c r="R491" s="304"/>
      <c r="S491" s="304"/>
      <c r="T491" s="304"/>
      <c r="U491" s="304"/>
      <c r="V491" s="304"/>
      <c r="AL491" s="372" t="str">
        <f t="shared" si="37"/>
        <v/>
      </c>
    </row>
    <row r="492" spans="1:38" ht="15" customHeight="1" outlineLevel="1" x14ac:dyDescent="0.2">
      <c r="A492" s="403"/>
      <c r="B492" s="403"/>
      <c r="C492" s="403"/>
      <c r="D492" s="404"/>
      <c r="E492" s="405"/>
      <c r="F492" s="405"/>
      <c r="G492" s="403"/>
      <c r="H492" s="406"/>
      <c r="I492" s="406"/>
      <c r="J492" s="406"/>
      <c r="K492" s="304"/>
      <c r="L492" s="372"/>
      <c r="M492" s="372"/>
      <c r="N492" s="372"/>
      <c r="O492" s="372"/>
      <c r="P492" s="372"/>
      <c r="Q492" s="304"/>
      <c r="R492" s="304"/>
      <c r="S492" s="304"/>
      <c r="T492" s="304"/>
      <c r="U492" s="304"/>
      <c r="V492" s="304"/>
      <c r="AL492" s="372" t="str">
        <f t="shared" si="37"/>
        <v/>
      </c>
    </row>
    <row r="493" spans="1:38" ht="15" customHeight="1" outlineLevel="1" x14ac:dyDescent="0.2">
      <c r="A493" s="403"/>
      <c r="B493" s="403"/>
      <c r="C493" s="403"/>
      <c r="D493" s="404"/>
      <c r="E493" s="405"/>
      <c r="F493" s="405"/>
      <c r="G493" s="403"/>
      <c r="H493" s="406"/>
      <c r="I493" s="406"/>
      <c r="J493" s="406"/>
      <c r="K493" s="304"/>
      <c r="L493" s="372"/>
      <c r="M493" s="372"/>
      <c r="N493" s="372"/>
      <c r="O493" s="372"/>
      <c r="P493" s="372"/>
      <c r="Q493" s="304"/>
      <c r="R493" s="304"/>
      <c r="S493" s="304"/>
      <c r="T493" s="304"/>
      <c r="U493" s="304"/>
      <c r="V493" s="304"/>
      <c r="AL493" s="372" t="str">
        <f t="shared" si="37"/>
        <v/>
      </c>
    </row>
    <row r="494" spans="1:38" ht="15" customHeight="1" outlineLevel="1" x14ac:dyDescent="0.2">
      <c r="A494" s="403"/>
      <c r="B494" s="403"/>
      <c r="C494" s="403"/>
      <c r="D494" s="404"/>
      <c r="E494" s="405"/>
      <c r="F494" s="405"/>
      <c r="G494" s="403"/>
      <c r="H494" s="406"/>
      <c r="I494" s="406"/>
      <c r="J494" s="406"/>
      <c r="K494" s="304"/>
      <c r="L494" s="372"/>
      <c r="M494" s="372"/>
      <c r="N494" s="372"/>
      <c r="O494" s="372"/>
      <c r="P494" s="372"/>
      <c r="Q494" s="304"/>
      <c r="R494" s="304"/>
      <c r="S494" s="304"/>
      <c r="T494" s="304"/>
      <c r="U494" s="304"/>
      <c r="V494" s="304"/>
      <c r="AL494" s="372" t="str">
        <f t="shared" si="37"/>
        <v/>
      </c>
    </row>
    <row r="495" spans="1:38" ht="15" customHeight="1" outlineLevel="1" x14ac:dyDescent="0.2">
      <c r="A495" s="403"/>
      <c r="B495" s="403"/>
      <c r="C495" s="403"/>
      <c r="D495" s="404"/>
      <c r="E495" s="405"/>
      <c r="F495" s="405"/>
      <c r="G495" s="403"/>
      <c r="H495" s="406"/>
      <c r="I495" s="406"/>
      <c r="J495" s="406"/>
      <c r="K495" s="304"/>
      <c r="L495" s="372"/>
      <c r="M495" s="372"/>
      <c r="N495" s="372"/>
      <c r="O495" s="372"/>
      <c r="P495" s="372"/>
      <c r="Q495" s="304"/>
      <c r="R495" s="304"/>
      <c r="S495" s="304"/>
      <c r="T495" s="304"/>
      <c r="U495" s="304"/>
      <c r="V495" s="304"/>
      <c r="AL495" s="372" t="str">
        <f t="shared" si="37"/>
        <v/>
      </c>
    </row>
    <row r="496" spans="1:38" ht="15" customHeight="1" outlineLevel="1" x14ac:dyDescent="0.2">
      <c r="A496" s="403"/>
      <c r="B496" s="403"/>
      <c r="C496" s="403"/>
      <c r="D496" s="404"/>
      <c r="E496" s="405"/>
      <c r="F496" s="405"/>
      <c r="G496" s="403"/>
      <c r="H496" s="406"/>
      <c r="I496" s="406"/>
      <c r="J496" s="406"/>
      <c r="K496" s="304"/>
      <c r="L496" s="372"/>
      <c r="M496" s="372"/>
      <c r="N496" s="372"/>
      <c r="O496" s="372"/>
      <c r="P496" s="372"/>
      <c r="Q496" s="304"/>
      <c r="R496" s="304"/>
      <c r="S496" s="304"/>
      <c r="T496" s="304"/>
      <c r="U496" s="304"/>
      <c r="V496" s="304"/>
      <c r="AL496" s="372" t="str">
        <f t="shared" si="37"/>
        <v/>
      </c>
    </row>
    <row r="497" spans="1:38" ht="15" customHeight="1" outlineLevel="1" x14ac:dyDescent="0.2">
      <c r="A497" s="403"/>
      <c r="B497" s="403"/>
      <c r="C497" s="403"/>
      <c r="D497" s="404"/>
      <c r="E497" s="405"/>
      <c r="F497" s="405"/>
      <c r="G497" s="403"/>
      <c r="H497" s="406"/>
      <c r="I497" s="406"/>
      <c r="J497" s="406"/>
      <c r="K497" s="304"/>
      <c r="L497" s="372"/>
      <c r="M497" s="372"/>
      <c r="N497" s="372"/>
      <c r="O497" s="372"/>
      <c r="P497" s="372"/>
      <c r="Q497" s="304"/>
      <c r="R497" s="304"/>
      <c r="S497" s="304"/>
      <c r="T497" s="304"/>
      <c r="U497" s="304"/>
      <c r="V497" s="304"/>
      <c r="AL497" s="372" t="str">
        <f t="shared" si="37"/>
        <v/>
      </c>
    </row>
    <row r="498" spans="1:38" ht="15" customHeight="1" outlineLevel="1" x14ac:dyDescent="0.2">
      <c r="A498" s="403"/>
      <c r="B498" s="403"/>
      <c r="C498" s="403"/>
      <c r="D498" s="404"/>
      <c r="E498" s="405"/>
      <c r="F498" s="405"/>
      <c r="G498" s="403"/>
      <c r="H498" s="406"/>
      <c r="I498" s="406"/>
      <c r="J498" s="406"/>
      <c r="K498" s="304"/>
      <c r="L498" s="372"/>
      <c r="M498" s="372"/>
      <c r="N498" s="372"/>
      <c r="O498" s="372"/>
      <c r="P498" s="372"/>
      <c r="Q498" s="304"/>
      <c r="R498" s="304"/>
      <c r="S498" s="304"/>
      <c r="T498" s="304"/>
      <c r="U498" s="304"/>
      <c r="V498" s="304"/>
      <c r="AL498" s="372" t="str">
        <f t="shared" si="37"/>
        <v/>
      </c>
    </row>
    <row r="499" spans="1:38" ht="15" customHeight="1" outlineLevel="1" x14ac:dyDescent="0.2">
      <c r="A499" s="403"/>
      <c r="B499" s="403"/>
      <c r="C499" s="403"/>
      <c r="D499" s="404"/>
      <c r="E499" s="405"/>
      <c r="F499" s="405"/>
      <c r="G499" s="403"/>
      <c r="H499" s="406"/>
      <c r="I499" s="406"/>
      <c r="J499" s="406"/>
      <c r="K499" s="304"/>
      <c r="L499" s="372"/>
      <c r="M499" s="372"/>
      <c r="N499" s="372"/>
      <c r="O499" s="372"/>
      <c r="P499" s="372"/>
      <c r="Q499" s="304"/>
      <c r="R499" s="304"/>
      <c r="S499" s="304"/>
      <c r="T499" s="304"/>
      <c r="U499" s="304"/>
      <c r="V499" s="304"/>
      <c r="AL499" s="372" t="str">
        <f t="shared" si="37"/>
        <v/>
      </c>
    </row>
    <row r="500" spans="1:38" ht="15" customHeight="1" outlineLevel="1" x14ac:dyDescent="0.2">
      <c r="A500" s="403"/>
      <c r="B500" s="403"/>
      <c r="C500" s="403"/>
      <c r="D500" s="404"/>
      <c r="E500" s="405"/>
      <c r="F500" s="405"/>
      <c r="G500" s="403"/>
      <c r="H500" s="406"/>
      <c r="I500" s="406"/>
      <c r="J500" s="406"/>
      <c r="K500" s="304"/>
      <c r="L500" s="372"/>
      <c r="M500" s="372"/>
      <c r="N500" s="372"/>
      <c r="O500" s="372"/>
      <c r="P500" s="372"/>
      <c r="Q500" s="304"/>
      <c r="R500" s="304"/>
      <c r="S500" s="304"/>
      <c r="T500" s="304"/>
      <c r="U500" s="304"/>
      <c r="V500" s="304"/>
      <c r="AL500" s="372" t="str">
        <f t="shared" si="37"/>
        <v/>
      </c>
    </row>
    <row r="501" spans="1:38" ht="15" customHeight="1" outlineLevel="1" x14ac:dyDescent="0.2">
      <c r="A501" s="403"/>
      <c r="B501" s="403"/>
      <c r="C501" s="403"/>
      <c r="D501" s="404"/>
      <c r="E501" s="405"/>
      <c r="F501" s="405"/>
      <c r="G501" s="403"/>
      <c r="H501" s="406"/>
      <c r="I501" s="406"/>
      <c r="J501" s="406"/>
      <c r="K501" s="304"/>
      <c r="L501" s="372"/>
      <c r="M501" s="372"/>
      <c r="N501" s="372"/>
      <c r="O501" s="372"/>
      <c r="P501" s="372"/>
      <c r="Q501" s="304"/>
      <c r="R501" s="304"/>
      <c r="S501" s="304"/>
      <c r="T501" s="304"/>
      <c r="U501" s="304"/>
      <c r="V501" s="304"/>
      <c r="AL501" s="372" t="str">
        <f t="shared" si="37"/>
        <v/>
      </c>
    </row>
    <row r="502" spans="1:38" ht="15" customHeight="1" outlineLevel="1" x14ac:dyDescent="0.2">
      <c r="A502" s="403"/>
      <c r="B502" s="403"/>
      <c r="C502" s="403"/>
      <c r="D502" s="404"/>
      <c r="E502" s="405"/>
      <c r="F502" s="405"/>
      <c r="G502" s="403"/>
      <c r="H502" s="406"/>
      <c r="I502" s="406"/>
      <c r="J502" s="406"/>
      <c r="K502" s="304"/>
      <c r="L502" s="372"/>
      <c r="M502" s="372"/>
      <c r="N502" s="372"/>
      <c r="O502" s="372"/>
      <c r="P502" s="372"/>
      <c r="Q502" s="304"/>
      <c r="R502" s="304"/>
      <c r="S502" s="304"/>
      <c r="T502" s="304"/>
      <c r="U502" s="304"/>
      <c r="V502" s="304"/>
      <c r="AL502" s="372" t="str">
        <f t="shared" si="37"/>
        <v/>
      </c>
    </row>
    <row r="503" spans="1:38" ht="15" customHeight="1" outlineLevel="1" x14ac:dyDescent="0.2">
      <c r="A503" s="403"/>
      <c r="B503" s="403"/>
      <c r="C503" s="403"/>
      <c r="D503" s="404"/>
      <c r="E503" s="405"/>
      <c r="F503" s="405"/>
      <c r="G503" s="403"/>
      <c r="H503" s="406"/>
      <c r="I503" s="406"/>
      <c r="J503" s="406"/>
      <c r="K503" s="304"/>
      <c r="L503" s="372"/>
      <c r="M503" s="372"/>
      <c r="N503" s="372"/>
      <c r="O503" s="372"/>
      <c r="P503" s="372"/>
      <c r="Q503" s="304"/>
      <c r="R503" s="304"/>
      <c r="S503" s="304"/>
      <c r="T503" s="304"/>
      <c r="U503" s="304"/>
      <c r="V503" s="304"/>
      <c r="AL503" s="372" t="str">
        <f t="shared" si="37"/>
        <v/>
      </c>
    </row>
    <row r="504" spans="1:38" ht="15" customHeight="1" outlineLevel="1" x14ac:dyDescent="0.2">
      <c r="A504" s="403"/>
      <c r="B504" s="403"/>
      <c r="C504" s="403"/>
      <c r="D504" s="404"/>
      <c r="E504" s="405"/>
      <c r="F504" s="405"/>
      <c r="G504" s="403"/>
      <c r="H504" s="406"/>
      <c r="I504" s="406"/>
      <c r="J504" s="406"/>
      <c r="K504" s="304"/>
      <c r="L504" s="372"/>
      <c r="M504" s="372"/>
      <c r="N504" s="372"/>
      <c r="O504" s="372"/>
      <c r="P504" s="372"/>
      <c r="Q504" s="304"/>
      <c r="R504" s="304"/>
      <c r="S504" s="304"/>
      <c r="T504" s="304"/>
      <c r="U504" s="304"/>
      <c r="V504" s="304"/>
      <c r="AL504" s="372" t="str">
        <f t="shared" si="37"/>
        <v/>
      </c>
    </row>
    <row r="505" spans="1:38" ht="15" customHeight="1" outlineLevel="1" x14ac:dyDescent="0.2">
      <c r="A505" s="403"/>
      <c r="B505" s="403"/>
      <c r="C505" s="403"/>
      <c r="D505" s="404"/>
      <c r="E505" s="405"/>
      <c r="F505" s="405"/>
      <c r="G505" s="403"/>
      <c r="H505" s="406"/>
      <c r="I505" s="406"/>
      <c r="J505" s="406"/>
      <c r="K505" s="304"/>
      <c r="L505" s="372"/>
      <c r="M505" s="372"/>
      <c r="N505" s="372"/>
      <c r="O505" s="372"/>
      <c r="P505" s="372"/>
      <c r="Q505" s="304"/>
      <c r="R505" s="304"/>
      <c r="S505" s="304"/>
      <c r="T505" s="304"/>
      <c r="U505" s="304"/>
      <c r="V505" s="304"/>
      <c r="AL505" s="372" t="str">
        <f t="shared" si="37"/>
        <v/>
      </c>
    </row>
    <row r="506" spans="1:38" ht="15" customHeight="1" outlineLevel="1" x14ac:dyDescent="0.2">
      <c r="A506" s="403"/>
      <c r="B506" s="403"/>
      <c r="C506" s="403"/>
      <c r="D506" s="404"/>
      <c r="E506" s="405"/>
      <c r="F506" s="405"/>
      <c r="G506" s="403"/>
      <c r="H506" s="406"/>
      <c r="I506" s="406"/>
      <c r="J506" s="406"/>
      <c r="K506" s="304"/>
      <c r="L506" s="372"/>
      <c r="M506" s="372"/>
      <c r="N506" s="372"/>
      <c r="O506" s="372"/>
      <c r="P506" s="372"/>
      <c r="Q506" s="304"/>
      <c r="R506" s="304"/>
      <c r="S506" s="304"/>
      <c r="T506" s="304"/>
      <c r="U506" s="304"/>
      <c r="V506" s="304"/>
      <c r="AL506" s="372" t="str">
        <f t="shared" si="37"/>
        <v/>
      </c>
    </row>
    <row r="507" spans="1:38" ht="15" customHeight="1" outlineLevel="1" x14ac:dyDescent="0.2">
      <c r="A507" s="403"/>
      <c r="B507" s="403"/>
      <c r="C507" s="403"/>
      <c r="D507" s="404"/>
      <c r="E507" s="405"/>
      <c r="F507" s="405"/>
      <c r="G507" s="403"/>
      <c r="H507" s="406"/>
      <c r="I507" s="406"/>
      <c r="J507" s="406"/>
      <c r="K507" s="304"/>
      <c r="L507" s="372"/>
      <c r="M507" s="372"/>
      <c r="N507" s="372"/>
      <c r="O507" s="372"/>
      <c r="P507" s="372"/>
      <c r="Q507" s="304"/>
      <c r="R507" s="304"/>
      <c r="S507" s="304"/>
      <c r="T507" s="304"/>
      <c r="U507" s="304"/>
      <c r="V507" s="304"/>
      <c r="AL507" s="372" t="str">
        <f t="shared" si="37"/>
        <v/>
      </c>
    </row>
    <row r="508" spans="1:38" ht="15" customHeight="1" outlineLevel="1" x14ac:dyDescent="0.2">
      <c r="A508" s="403"/>
      <c r="B508" s="403"/>
      <c r="C508" s="403"/>
      <c r="D508" s="404"/>
      <c r="E508" s="405"/>
      <c r="F508" s="405"/>
      <c r="G508" s="403"/>
      <c r="H508" s="406"/>
      <c r="I508" s="406"/>
      <c r="J508" s="406"/>
      <c r="K508" s="304"/>
      <c r="L508" s="372"/>
      <c r="M508" s="372"/>
      <c r="N508" s="372"/>
      <c r="O508" s="372"/>
      <c r="P508" s="372"/>
      <c r="Q508" s="304"/>
      <c r="R508" s="304"/>
      <c r="S508" s="304"/>
      <c r="T508" s="304"/>
      <c r="U508" s="304"/>
      <c r="V508" s="304"/>
      <c r="AL508" s="372" t="str">
        <f t="shared" si="37"/>
        <v/>
      </c>
    </row>
    <row r="509" spans="1:38" ht="15" customHeight="1" outlineLevel="1" x14ac:dyDescent="0.2">
      <c r="A509" s="403"/>
      <c r="B509" s="403"/>
      <c r="C509" s="403"/>
      <c r="D509" s="404"/>
      <c r="E509" s="405"/>
      <c r="F509" s="405"/>
      <c r="G509" s="403"/>
      <c r="H509" s="406"/>
      <c r="I509" s="406"/>
      <c r="J509" s="406"/>
      <c r="K509" s="304"/>
      <c r="L509" s="372"/>
      <c r="M509" s="372"/>
      <c r="N509" s="372"/>
      <c r="O509" s="372"/>
      <c r="P509" s="372"/>
      <c r="Q509" s="304"/>
      <c r="R509" s="304"/>
      <c r="S509" s="304"/>
      <c r="T509" s="304"/>
      <c r="U509" s="304"/>
      <c r="V509" s="304"/>
      <c r="AL509" s="372" t="str">
        <f t="shared" si="37"/>
        <v/>
      </c>
    </row>
    <row r="510" spans="1:38" ht="15" customHeight="1" outlineLevel="1" x14ac:dyDescent="0.2">
      <c r="A510" s="403"/>
      <c r="B510" s="403"/>
      <c r="C510" s="403"/>
      <c r="D510" s="404"/>
      <c r="E510" s="405"/>
      <c r="F510" s="405"/>
      <c r="G510" s="403"/>
      <c r="H510" s="406"/>
      <c r="I510" s="406"/>
      <c r="J510" s="406"/>
      <c r="K510" s="304"/>
      <c r="L510" s="372"/>
      <c r="M510" s="372"/>
      <c r="N510" s="372"/>
      <c r="O510" s="372"/>
      <c r="P510" s="372"/>
      <c r="Q510" s="304"/>
      <c r="R510" s="304"/>
      <c r="S510" s="304"/>
      <c r="T510" s="304"/>
      <c r="U510" s="304"/>
      <c r="V510" s="304"/>
      <c r="AL510" s="372" t="str">
        <f t="shared" si="37"/>
        <v/>
      </c>
    </row>
    <row r="511" spans="1:38" ht="15" customHeight="1" outlineLevel="1" x14ac:dyDescent="0.2">
      <c r="A511" s="403"/>
      <c r="B511" s="403"/>
      <c r="C511" s="403"/>
      <c r="D511" s="404"/>
      <c r="E511" s="405"/>
      <c r="F511" s="405"/>
      <c r="G511" s="403"/>
      <c r="H511" s="406"/>
      <c r="I511" s="406"/>
      <c r="J511" s="406"/>
      <c r="K511" s="304"/>
      <c r="L511" s="372"/>
      <c r="M511" s="372"/>
      <c r="N511" s="372"/>
      <c r="O511" s="372"/>
      <c r="P511" s="372"/>
      <c r="Q511" s="304"/>
      <c r="R511" s="304"/>
      <c r="S511" s="304"/>
      <c r="T511" s="304"/>
      <c r="U511" s="304"/>
      <c r="V511" s="304"/>
      <c r="AL511" s="372" t="str">
        <f t="shared" si="37"/>
        <v/>
      </c>
    </row>
    <row r="512" spans="1:38" ht="15" customHeight="1" outlineLevel="1" x14ac:dyDescent="0.2">
      <c r="A512" s="403"/>
      <c r="B512" s="403"/>
      <c r="C512" s="403"/>
      <c r="D512" s="404"/>
      <c r="E512" s="405"/>
      <c r="F512" s="405"/>
      <c r="G512" s="403"/>
      <c r="H512" s="406"/>
      <c r="I512" s="406"/>
      <c r="J512" s="406"/>
      <c r="K512" s="304"/>
      <c r="L512" s="372"/>
      <c r="M512" s="372"/>
      <c r="N512" s="372"/>
      <c r="O512" s="372"/>
      <c r="P512" s="372"/>
      <c r="Q512" s="304"/>
      <c r="R512" s="304"/>
      <c r="S512" s="304"/>
      <c r="T512" s="304"/>
      <c r="U512" s="304"/>
      <c r="V512" s="304"/>
      <c r="AL512" s="372" t="str">
        <f t="shared" si="37"/>
        <v/>
      </c>
    </row>
    <row r="513" spans="1:38" ht="15" customHeight="1" outlineLevel="1" x14ac:dyDescent="0.2">
      <c r="A513" s="403"/>
      <c r="B513" s="403"/>
      <c r="C513" s="403"/>
      <c r="D513" s="404"/>
      <c r="E513" s="405"/>
      <c r="F513" s="405"/>
      <c r="G513" s="403"/>
      <c r="H513" s="406"/>
      <c r="I513" s="406"/>
      <c r="J513" s="406"/>
      <c r="K513" s="304"/>
      <c r="L513" s="372"/>
      <c r="M513" s="372"/>
      <c r="N513" s="372"/>
      <c r="O513" s="372"/>
      <c r="P513" s="372"/>
      <c r="Q513" s="304"/>
      <c r="R513" s="304"/>
      <c r="S513" s="304"/>
      <c r="T513" s="304"/>
      <c r="U513" s="304"/>
      <c r="V513" s="304"/>
      <c r="AL513" s="372" t="str">
        <f t="shared" si="37"/>
        <v/>
      </c>
    </row>
    <row r="514" spans="1:38" ht="15" customHeight="1" outlineLevel="1" x14ac:dyDescent="0.2">
      <c r="A514" s="403"/>
      <c r="B514" s="403"/>
      <c r="C514" s="403"/>
      <c r="D514" s="404"/>
      <c r="E514" s="405"/>
      <c r="F514" s="405"/>
      <c r="G514" s="403"/>
      <c r="H514" s="406"/>
      <c r="I514" s="406"/>
      <c r="J514" s="406"/>
      <c r="K514" s="304"/>
      <c r="L514" s="372"/>
      <c r="M514" s="372"/>
      <c r="N514" s="372"/>
      <c r="O514" s="372"/>
      <c r="P514" s="372"/>
      <c r="Q514" s="304"/>
      <c r="R514" s="304"/>
      <c r="S514" s="304"/>
      <c r="T514" s="304"/>
      <c r="U514" s="304"/>
      <c r="V514" s="304"/>
      <c r="AL514" s="372" t="str">
        <f t="shared" si="37"/>
        <v/>
      </c>
    </row>
    <row r="515" spans="1:38" ht="15" customHeight="1" outlineLevel="1" x14ac:dyDescent="0.2">
      <c r="A515" s="403"/>
      <c r="B515" s="403"/>
      <c r="C515" s="403"/>
      <c r="D515" s="404"/>
      <c r="E515" s="405"/>
      <c r="F515" s="405"/>
      <c r="G515" s="403"/>
      <c r="H515" s="406"/>
      <c r="I515" s="406"/>
      <c r="J515" s="406"/>
      <c r="K515" s="304"/>
      <c r="L515" s="372"/>
      <c r="M515" s="372"/>
      <c r="N515" s="372"/>
      <c r="O515" s="372"/>
      <c r="P515" s="372"/>
      <c r="Q515" s="304"/>
      <c r="R515" s="304"/>
      <c r="S515" s="304"/>
      <c r="T515" s="304"/>
      <c r="U515" s="304"/>
      <c r="V515" s="304"/>
      <c r="AL515" s="372" t="str">
        <f t="shared" si="37"/>
        <v/>
      </c>
    </row>
    <row r="516" spans="1:38" ht="15" customHeight="1" outlineLevel="1" x14ac:dyDescent="0.2">
      <c r="A516" s="403"/>
      <c r="B516" s="403"/>
      <c r="C516" s="403"/>
      <c r="D516" s="404"/>
      <c r="E516" s="405"/>
      <c r="F516" s="405"/>
      <c r="G516" s="403"/>
      <c r="H516" s="406"/>
      <c r="I516" s="406"/>
      <c r="J516" s="406"/>
      <c r="K516" s="304"/>
      <c r="L516" s="372"/>
      <c r="M516" s="372"/>
      <c r="N516" s="372"/>
      <c r="O516" s="372"/>
      <c r="P516" s="372"/>
      <c r="Q516" s="304"/>
      <c r="R516" s="304"/>
      <c r="S516" s="304"/>
      <c r="T516" s="304"/>
      <c r="U516" s="304"/>
      <c r="V516" s="304"/>
      <c r="AL516" s="372" t="str">
        <f t="shared" si="37"/>
        <v/>
      </c>
    </row>
    <row r="517" spans="1:38" ht="15" customHeight="1" outlineLevel="1" x14ac:dyDescent="0.2">
      <c r="A517" s="403"/>
      <c r="B517" s="403"/>
      <c r="C517" s="403"/>
      <c r="D517" s="404"/>
      <c r="E517" s="405"/>
      <c r="F517" s="405"/>
      <c r="G517" s="403"/>
      <c r="H517" s="406"/>
      <c r="I517" s="406"/>
      <c r="J517" s="406"/>
      <c r="K517" s="304"/>
      <c r="L517" s="372"/>
      <c r="M517" s="372"/>
      <c r="N517" s="372"/>
      <c r="O517" s="372"/>
      <c r="P517" s="372"/>
      <c r="Q517" s="304"/>
      <c r="R517" s="304"/>
      <c r="S517" s="304"/>
      <c r="T517" s="304"/>
      <c r="U517" s="304"/>
      <c r="V517" s="304"/>
      <c r="AL517" s="372" t="str">
        <f t="shared" si="37"/>
        <v/>
      </c>
    </row>
    <row r="518" spans="1:38" ht="15" customHeight="1" outlineLevel="1" x14ac:dyDescent="0.2">
      <c r="A518" s="403"/>
      <c r="B518" s="403"/>
      <c r="C518" s="403"/>
      <c r="D518" s="404"/>
      <c r="E518" s="405"/>
      <c r="F518" s="405"/>
      <c r="G518" s="403"/>
      <c r="H518" s="406"/>
      <c r="I518" s="406"/>
      <c r="J518" s="406"/>
      <c r="K518" s="304"/>
      <c r="L518" s="372"/>
      <c r="M518" s="372"/>
      <c r="N518" s="372"/>
      <c r="O518" s="372"/>
      <c r="P518" s="372"/>
      <c r="Q518" s="304"/>
      <c r="R518" s="304"/>
      <c r="S518" s="304"/>
      <c r="T518" s="304"/>
      <c r="U518" s="304"/>
      <c r="V518" s="304"/>
      <c r="AL518" s="372" t="str">
        <f t="shared" si="37"/>
        <v/>
      </c>
    </row>
    <row r="519" spans="1:38" ht="15" customHeight="1" outlineLevel="1" x14ac:dyDescent="0.2">
      <c r="A519" s="403"/>
      <c r="B519" s="403"/>
      <c r="C519" s="403"/>
      <c r="D519" s="404"/>
      <c r="E519" s="405"/>
      <c r="F519" s="405"/>
      <c r="G519" s="403"/>
      <c r="H519" s="406"/>
      <c r="I519" s="406"/>
      <c r="J519" s="406"/>
      <c r="K519" s="304"/>
      <c r="L519" s="372"/>
      <c r="M519" s="372"/>
      <c r="N519" s="372"/>
      <c r="O519" s="372"/>
      <c r="P519" s="372"/>
      <c r="Q519" s="304"/>
      <c r="R519" s="304"/>
      <c r="S519" s="304"/>
      <c r="T519" s="304"/>
      <c r="U519" s="304"/>
      <c r="V519" s="304"/>
      <c r="AL519" s="372" t="str">
        <f t="shared" si="37"/>
        <v/>
      </c>
    </row>
    <row r="520" spans="1:38" ht="15" customHeight="1" outlineLevel="1" x14ac:dyDescent="0.2">
      <c r="A520" s="403"/>
      <c r="B520" s="403"/>
      <c r="C520" s="403"/>
      <c r="D520" s="404"/>
      <c r="E520" s="405"/>
      <c r="F520" s="405"/>
      <c r="G520" s="403"/>
      <c r="H520" s="406"/>
      <c r="I520" s="406"/>
      <c r="J520" s="406"/>
      <c r="K520" s="304"/>
      <c r="L520" s="372"/>
      <c r="M520" s="372"/>
      <c r="N520" s="372"/>
      <c r="O520" s="372"/>
      <c r="P520" s="372"/>
      <c r="Q520" s="304"/>
      <c r="R520" s="304"/>
      <c r="S520" s="304"/>
      <c r="T520" s="304"/>
      <c r="U520" s="304"/>
      <c r="V520" s="304"/>
      <c r="AL520" s="372" t="str">
        <f t="shared" si="37"/>
        <v/>
      </c>
    </row>
    <row r="521" spans="1:38" ht="15" customHeight="1" outlineLevel="1" x14ac:dyDescent="0.2">
      <c r="A521" s="403"/>
      <c r="B521" s="403"/>
      <c r="C521" s="403"/>
      <c r="D521" s="404"/>
      <c r="E521" s="405"/>
      <c r="F521" s="405"/>
      <c r="G521" s="403"/>
      <c r="H521" s="406"/>
      <c r="I521" s="406"/>
      <c r="J521" s="406"/>
      <c r="K521" s="304"/>
      <c r="L521" s="372"/>
      <c r="M521" s="372"/>
      <c r="N521" s="372"/>
      <c r="O521" s="372"/>
      <c r="P521" s="372"/>
      <c r="Q521" s="304"/>
      <c r="R521" s="304"/>
      <c r="S521" s="304"/>
      <c r="T521" s="304"/>
      <c r="U521" s="304"/>
      <c r="V521" s="304"/>
      <c r="AL521" s="372" t="str">
        <f t="shared" si="37"/>
        <v/>
      </c>
    </row>
    <row r="522" spans="1:38" ht="15" customHeight="1" outlineLevel="1" x14ac:dyDescent="0.2">
      <c r="A522" s="403"/>
      <c r="B522" s="403"/>
      <c r="C522" s="403"/>
      <c r="D522" s="404"/>
      <c r="E522" s="405"/>
      <c r="F522" s="405"/>
      <c r="G522" s="403"/>
      <c r="H522" s="406"/>
      <c r="I522" s="406"/>
      <c r="J522" s="406"/>
      <c r="K522" s="304"/>
      <c r="L522" s="372"/>
      <c r="M522" s="372"/>
      <c r="N522" s="372"/>
      <c r="O522" s="372"/>
      <c r="P522" s="372"/>
      <c r="Q522" s="304"/>
      <c r="R522" s="304"/>
      <c r="S522" s="304"/>
      <c r="T522" s="304"/>
      <c r="U522" s="304"/>
      <c r="V522" s="304"/>
      <c r="AL522" s="372" t="str">
        <f t="shared" si="37"/>
        <v/>
      </c>
    </row>
    <row r="523" spans="1:38" ht="15" customHeight="1" outlineLevel="1" x14ac:dyDescent="0.2">
      <c r="A523" s="403"/>
      <c r="B523" s="403"/>
      <c r="C523" s="403"/>
      <c r="D523" s="404"/>
      <c r="E523" s="405"/>
      <c r="F523" s="405"/>
      <c r="G523" s="403"/>
      <c r="H523" s="406"/>
      <c r="I523" s="406"/>
      <c r="J523" s="406"/>
      <c r="K523" s="304"/>
      <c r="L523" s="372"/>
      <c r="M523" s="372"/>
      <c r="N523" s="372"/>
      <c r="O523" s="372"/>
      <c r="P523" s="372"/>
      <c r="Q523" s="304"/>
      <c r="R523" s="304"/>
      <c r="S523" s="304"/>
      <c r="T523" s="304"/>
      <c r="U523" s="304"/>
      <c r="V523" s="304"/>
      <c r="AL523" s="372" t="str">
        <f t="shared" si="37"/>
        <v/>
      </c>
    </row>
    <row r="524" spans="1:38" ht="15" customHeight="1" outlineLevel="1" x14ac:dyDescent="0.2">
      <c r="A524" s="403"/>
      <c r="B524" s="403"/>
      <c r="C524" s="403"/>
      <c r="D524" s="404"/>
      <c r="E524" s="405"/>
      <c r="F524" s="405"/>
      <c r="G524" s="403"/>
      <c r="H524" s="406"/>
      <c r="I524" s="406"/>
      <c r="J524" s="406"/>
      <c r="K524" s="304"/>
      <c r="L524" s="372"/>
      <c r="M524" s="372"/>
      <c r="N524" s="372"/>
      <c r="O524" s="372"/>
      <c r="P524" s="372"/>
      <c r="Q524" s="304"/>
      <c r="R524" s="304"/>
      <c r="S524" s="304"/>
      <c r="T524" s="304"/>
      <c r="U524" s="304"/>
      <c r="V524" s="304"/>
      <c r="AL524" s="372" t="str">
        <f t="shared" si="37"/>
        <v/>
      </c>
    </row>
    <row r="525" spans="1:38" ht="15" customHeight="1" outlineLevel="1" x14ac:dyDescent="0.2">
      <c r="A525" s="403"/>
      <c r="B525" s="403"/>
      <c r="C525" s="403"/>
      <c r="D525" s="404"/>
      <c r="E525" s="405"/>
      <c r="F525" s="405"/>
      <c r="G525" s="403"/>
      <c r="H525" s="406"/>
      <c r="I525" s="406"/>
      <c r="J525" s="406"/>
      <c r="K525" s="304"/>
      <c r="L525" s="372"/>
      <c r="M525" s="372"/>
      <c r="N525" s="372"/>
      <c r="O525" s="372"/>
      <c r="P525" s="372"/>
      <c r="Q525" s="304"/>
      <c r="R525" s="304"/>
      <c r="S525" s="304"/>
      <c r="T525" s="304"/>
      <c r="U525" s="304"/>
      <c r="V525" s="304"/>
      <c r="AL525" s="372" t="str">
        <f t="shared" si="37"/>
        <v/>
      </c>
    </row>
    <row r="526" spans="1:38" ht="15" customHeight="1" outlineLevel="1" x14ac:dyDescent="0.2">
      <c r="A526" s="403"/>
      <c r="B526" s="403"/>
      <c r="C526" s="403"/>
      <c r="D526" s="404"/>
      <c r="E526" s="405"/>
      <c r="F526" s="405"/>
      <c r="G526" s="403"/>
      <c r="H526" s="406"/>
      <c r="I526" s="406"/>
      <c r="J526" s="406"/>
      <c r="K526" s="304"/>
      <c r="L526" s="372"/>
      <c r="M526" s="372"/>
      <c r="N526" s="372"/>
      <c r="O526" s="372"/>
      <c r="P526" s="372"/>
      <c r="Q526" s="304"/>
      <c r="R526" s="304"/>
      <c r="S526" s="304"/>
      <c r="T526" s="304"/>
      <c r="U526" s="304"/>
      <c r="V526" s="304"/>
      <c r="AL526" s="372" t="str">
        <f t="shared" si="37"/>
        <v/>
      </c>
    </row>
    <row r="527" spans="1:38" ht="15" customHeight="1" outlineLevel="1" x14ac:dyDescent="0.2">
      <c r="A527" s="403"/>
      <c r="B527" s="403"/>
      <c r="C527" s="403"/>
      <c r="D527" s="404"/>
      <c r="E527" s="405"/>
      <c r="F527" s="405"/>
      <c r="G527" s="403"/>
      <c r="H527" s="406"/>
      <c r="I527" s="406"/>
      <c r="J527" s="406"/>
      <c r="K527" s="304"/>
      <c r="L527" s="372"/>
      <c r="M527" s="372"/>
      <c r="N527" s="372"/>
      <c r="O527" s="372"/>
      <c r="P527" s="372"/>
      <c r="Q527" s="304"/>
      <c r="R527" s="304"/>
      <c r="S527" s="304"/>
      <c r="T527" s="304"/>
      <c r="U527" s="304"/>
      <c r="V527" s="304"/>
      <c r="AL527" s="372" t="str">
        <f t="shared" si="37"/>
        <v/>
      </c>
    </row>
    <row r="528" spans="1:38" ht="15" customHeight="1" outlineLevel="1" x14ac:dyDescent="0.2">
      <c r="A528" s="403"/>
      <c r="B528" s="403"/>
      <c r="C528" s="403"/>
      <c r="D528" s="404"/>
      <c r="E528" s="405"/>
      <c r="F528" s="405"/>
      <c r="G528" s="403"/>
      <c r="H528" s="406"/>
      <c r="I528" s="406"/>
      <c r="J528" s="406"/>
      <c r="K528" s="304"/>
      <c r="L528" s="372"/>
      <c r="M528" s="372"/>
      <c r="N528" s="372"/>
      <c r="O528" s="372"/>
      <c r="P528" s="372"/>
      <c r="Q528" s="304"/>
      <c r="R528" s="304"/>
      <c r="S528" s="304"/>
      <c r="T528" s="304"/>
      <c r="U528" s="304"/>
      <c r="V528" s="304"/>
      <c r="AL528" s="372" t="str">
        <f t="shared" si="37"/>
        <v/>
      </c>
    </row>
    <row r="529" spans="1:38" ht="15" customHeight="1" outlineLevel="1" x14ac:dyDescent="0.2">
      <c r="A529" s="403"/>
      <c r="B529" s="403"/>
      <c r="C529" s="403"/>
      <c r="D529" s="404"/>
      <c r="E529" s="405"/>
      <c r="F529" s="405"/>
      <c r="G529" s="403"/>
      <c r="H529" s="406"/>
      <c r="I529" s="406"/>
      <c r="J529" s="406"/>
      <c r="K529" s="304"/>
      <c r="L529" s="372"/>
      <c r="M529" s="372"/>
      <c r="N529" s="372"/>
      <c r="O529" s="372"/>
      <c r="P529" s="372"/>
      <c r="Q529" s="304"/>
      <c r="R529" s="304"/>
      <c r="S529" s="304"/>
      <c r="T529" s="304"/>
      <c r="U529" s="304"/>
      <c r="V529" s="304"/>
      <c r="AL529" s="372" t="str">
        <f t="shared" ref="AL529:AL592" si="38">IF(($C529=$AG$245)*($N529&gt;0)*ISNUMBER($I529),$I529*100000+ROW(),"")</f>
        <v/>
      </c>
    </row>
    <row r="530" spans="1:38" ht="15" customHeight="1" outlineLevel="1" x14ac:dyDescent="0.2">
      <c r="A530" s="403"/>
      <c r="B530" s="403"/>
      <c r="C530" s="403"/>
      <c r="D530" s="404"/>
      <c r="E530" s="405"/>
      <c r="F530" s="405"/>
      <c r="G530" s="403"/>
      <c r="H530" s="406"/>
      <c r="I530" s="406"/>
      <c r="J530" s="406"/>
      <c r="K530" s="304"/>
      <c r="L530" s="372"/>
      <c r="M530" s="372"/>
      <c r="N530" s="372"/>
      <c r="O530" s="372"/>
      <c r="P530" s="372"/>
      <c r="Q530" s="304"/>
      <c r="R530" s="304"/>
      <c r="S530" s="304"/>
      <c r="T530" s="304"/>
      <c r="U530" s="304"/>
      <c r="V530" s="304"/>
      <c r="AL530" s="372" t="str">
        <f t="shared" si="38"/>
        <v/>
      </c>
    </row>
    <row r="531" spans="1:38" ht="15" customHeight="1" outlineLevel="1" x14ac:dyDescent="0.2">
      <c r="A531" s="403"/>
      <c r="B531" s="403"/>
      <c r="C531" s="403"/>
      <c r="D531" s="404"/>
      <c r="E531" s="405"/>
      <c r="F531" s="405"/>
      <c r="G531" s="403"/>
      <c r="H531" s="406"/>
      <c r="I531" s="406"/>
      <c r="J531" s="406"/>
      <c r="K531" s="304"/>
      <c r="L531" s="372"/>
      <c r="M531" s="372"/>
      <c r="N531" s="372"/>
      <c r="O531" s="372"/>
      <c r="P531" s="372"/>
      <c r="Q531" s="304"/>
      <c r="R531" s="304"/>
      <c r="S531" s="304"/>
      <c r="T531" s="304"/>
      <c r="U531" s="304"/>
      <c r="V531" s="304"/>
      <c r="AL531" s="372" t="str">
        <f t="shared" si="38"/>
        <v/>
      </c>
    </row>
    <row r="532" spans="1:38" ht="15" customHeight="1" outlineLevel="1" x14ac:dyDescent="0.2">
      <c r="A532" s="403"/>
      <c r="B532" s="403"/>
      <c r="C532" s="403"/>
      <c r="D532" s="404"/>
      <c r="E532" s="405"/>
      <c r="F532" s="405"/>
      <c r="G532" s="403"/>
      <c r="H532" s="406"/>
      <c r="I532" s="406"/>
      <c r="J532" s="406"/>
      <c r="K532" s="304"/>
      <c r="L532" s="372"/>
      <c r="M532" s="372"/>
      <c r="N532" s="372"/>
      <c r="O532" s="372"/>
      <c r="P532" s="372"/>
      <c r="Q532" s="304"/>
      <c r="R532" s="304"/>
      <c r="S532" s="304"/>
      <c r="T532" s="304"/>
      <c r="U532" s="304"/>
      <c r="V532" s="304"/>
      <c r="AL532" s="372" t="str">
        <f t="shared" si="38"/>
        <v/>
      </c>
    </row>
    <row r="533" spans="1:38" ht="15" customHeight="1" outlineLevel="1" x14ac:dyDescent="0.2">
      <c r="A533" s="403"/>
      <c r="B533" s="403"/>
      <c r="C533" s="403"/>
      <c r="D533" s="404"/>
      <c r="E533" s="405"/>
      <c r="F533" s="405"/>
      <c r="G533" s="403"/>
      <c r="H533" s="406"/>
      <c r="I533" s="406"/>
      <c r="J533" s="406"/>
      <c r="K533" s="304"/>
      <c r="L533" s="372"/>
      <c r="M533" s="372"/>
      <c r="N533" s="372"/>
      <c r="O533" s="372"/>
      <c r="P533" s="372"/>
      <c r="Q533" s="304"/>
      <c r="R533" s="304"/>
      <c r="S533" s="304"/>
      <c r="T533" s="304"/>
      <c r="U533" s="304"/>
      <c r="V533" s="304"/>
      <c r="AL533" s="372" t="str">
        <f t="shared" si="38"/>
        <v/>
      </c>
    </row>
    <row r="534" spans="1:38" ht="15" customHeight="1" outlineLevel="1" x14ac:dyDescent="0.2">
      <c r="A534" s="403"/>
      <c r="B534" s="403"/>
      <c r="C534" s="403"/>
      <c r="D534" s="404"/>
      <c r="E534" s="405"/>
      <c r="F534" s="405"/>
      <c r="G534" s="403"/>
      <c r="H534" s="406"/>
      <c r="I534" s="406"/>
      <c r="J534" s="406"/>
      <c r="K534" s="304"/>
      <c r="L534" s="372"/>
      <c r="M534" s="372"/>
      <c r="N534" s="372"/>
      <c r="O534" s="372"/>
      <c r="P534" s="372"/>
      <c r="Q534" s="304"/>
      <c r="R534" s="304"/>
      <c r="S534" s="304"/>
      <c r="T534" s="304"/>
      <c r="U534" s="304"/>
      <c r="V534" s="304"/>
      <c r="AL534" s="372" t="str">
        <f t="shared" si="38"/>
        <v/>
      </c>
    </row>
    <row r="535" spans="1:38" ht="15" customHeight="1" outlineLevel="1" x14ac:dyDescent="0.2">
      <c r="A535" s="403"/>
      <c r="B535" s="403"/>
      <c r="C535" s="403"/>
      <c r="D535" s="404"/>
      <c r="E535" s="405"/>
      <c r="F535" s="405"/>
      <c r="G535" s="403"/>
      <c r="H535" s="406"/>
      <c r="I535" s="406"/>
      <c r="J535" s="406"/>
      <c r="K535" s="304"/>
      <c r="L535" s="372"/>
      <c r="M535" s="372"/>
      <c r="N535" s="372"/>
      <c r="O535" s="372"/>
      <c r="P535" s="372"/>
      <c r="Q535" s="304"/>
      <c r="R535" s="304"/>
      <c r="S535" s="304"/>
      <c r="T535" s="304"/>
      <c r="U535" s="304"/>
      <c r="V535" s="304"/>
      <c r="AL535" s="372" t="str">
        <f t="shared" si="38"/>
        <v/>
      </c>
    </row>
    <row r="536" spans="1:38" ht="15" customHeight="1" outlineLevel="1" x14ac:dyDescent="0.2">
      <c r="A536" s="403"/>
      <c r="B536" s="403"/>
      <c r="C536" s="403"/>
      <c r="D536" s="404"/>
      <c r="E536" s="405"/>
      <c r="F536" s="405"/>
      <c r="G536" s="403"/>
      <c r="H536" s="406"/>
      <c r="I536" s="406"/>
      <c r="J536" s="406"/>
      <c r="K536" s="304"/>
      <c r="L536" s="372"/>
      <c r="M536" s="372"/>
      <c r="N536" s="372"/>
      <c r="O536" s="372"/>
      <c r="P536" s="372"/>
      <c r="Q536" s="304"/>
      <c r="R536" s="304"/>
      <c r="S536" s="304"/>
      <c r="T536" s="304"/>
      <c r="U536" s="304"/>
      <c r="V536" s="304"/>
      <c r="AL536" s="372" t="str">
        <f t="shared" si="38"/>
        <v/>
      </c>
    </row>
    <row r="537" spans="1:38" ht="15" customHeight="1" outlineLevel="1" x14ac:dyDescent="0.2">
      <c r="A537" s="403"/>
      <c r="B537" s="403"/>
      <c r="C537" s="403"/>
      <c r="D537" s="404"/>
      <c r="E537" s="405"/>
      <c r="F537" s="405"/>
      <c r="G537" s="403"/>
      <c r="H537" s="406"/>
      <c r="I537" s="406"/>
      <c r="J537" s="406"/>
      <c r="K537" s="304"/>
      <c r="L537" s="372"/>
      <c r="M537" s="372"/>
      <c r="N537" s="372"/>
      <c r="O537" s="372"/>
      <c r="P537" s="372"/>
      <c r="Q537" s="304"/>
      <c r="R537" s="304"/>
      <c r="S537" s="304"/>
      <c r="T537" s="304"/>
      <c r="U537" s="304"/>
      <c r="V537" s="304"/>
      <c r="AL537" s="372" t="str">
        <f t="shared" si="38"/>
        <v/>
      </c>
    </row>
    <row r="538" spans="1:38" ht="15" customHeight="1" outlineLevel="1" x14ac:dyDescent="0.2">
      <c r="A538" s="403"/>
      <c r="B538" s="403"/>
      <c r="C538" s="403"/>
      <c r="D538" s="404"/>
      <c r="E538" s="405"/>
      <c r="F538" s="405"/>
      <c r="G538" s="403"/>
      <c r="H538" s="406"/>
      <c r="I538" s="406"/>
      <c r="J538" s="406"/>
      <c r="K538" s="304"/>
      <c r="L538" s="372"/>
      <c r="M538" s="372"/>
      <c r="N538" s="372"/>
      <c r="O538" s="372"/>
      <c r="P538" s="372"/>
      <c r="Q538" s="304"/>
      <c r="R538" s="304"/>
      <c r="S538" s="304"/>
      <c r="T538" s="304"/>
      <c r="U538" s="304"/>
      <c r="V538" s="304"/>
      <c r="AL538" s="372" t="str">
        <f t="shared" si="38"/>
        <v/>
      </c>
    </row>
    <row r="539" spans="1:38" ht="15" customHeight="1" outlineLevel="1" x14ac:dyDescent="0.2">
      <c r="A539" s="403"/>
      <c r="B539" s="403"/>
      <c r="C539" s="403"/>
      <c r="D539" s="404"/>
      <c r="E539" s="405"/>
      <c r="F539" s="405"/>
      <c r="G539" s="403"/>
      <c r="H539" s="406"/>
      <c r="I539" s="406"/>
      <c r="J539" s="406"/>
      <c r="K539" s="304"/>
      <c r="L539" s="372"/>
      <c r="M539" s="372"/>
      <c r="N539" s="372"/>
      <c r="O539" s="372"/>
      <c r="P539" s="372"/>
      <c r="Q539" s="304"/>
      <c r="R539" s="304"/>
      <c r="S539" s="304"/>
      <c r="T539" s="304"/>
      <c r="U539" s="304"/>
      <c r="V539" s="304"/>
      <c r="AL539" s="372" t="str">
        <f t="shared" si="38"/>
        <v/>
      </c>
    </row>
    <row r="540" spans="1:38" ht="15" customHeight="1" outlineLevel="1" x14ac:dyDescent="0.2">
      <c r="A540" s="403"/>
      <c r="B540" s="403"/>
      <c r="C540" s="403"/>
      <c r="D540" s="404"/>
      <c r="E540" s="405"/>
      <c r="F540" s="405"/>
      <c r="G540" s="403"/>
      <c r="H540" s="406"/>
      <c r="I540" s="406"/>
      <c r="J540" s="406"/>
      <c r="K540" s="304"/>
      <c r="L540" s="372"/>
      <c r="M540" s="372"/>
      <c r="N540" s="372"/>
      <c r="O540" s="372"/>
      <c r="P540" s="372"/>
      <c r="Q540" s="304"/>
      <c r="R540" s="304"/>
      <c r="S540" s="304"/>
      <c r="T540" s="304"/>
      <c r="U540" s="304"/>
      <c r="V540" s="304"/>
      <c r="AL540" s="372" t="str">
        <f t="shared" si="38"/>
        <v/>
      </c>
    </row>
    <row r="541" spans="1:38" ht="15" customHeight="1" outlineLevel="1" x14ac:dyDescent="0.2">
      <c r="A541" s="403"/>
      <c r="B541" s="403"/>
      <c r="C541" s="403"/>
      <c r="D541" s="404"/>
      <c r="E541" s="405"/>
      <c r="F541" s="405"/>
      <c r="G541" s="403"/>
      <c r="H541" s="406"/>
      <c r="I541" s="406"/>
      <c r="J541" s="406"/>
      <c r="K541" s="304"/>
      <c r="L541" s="372"/>
      <c r="M541" s="372"/>
      <c r="N541" s="372"/>
      <c r="O541" s="372"/>
      <c r="P541" s="372"/>
      <c r="Q541" s="304"/>
      <c r="R541" s="304"/>
      <c r="S541" s="304"/>
      <c r="T541" s="304"/>
      <c r="U541" s="304"/>
      <c r="V541" s="304"/>
      <c r="AL541" s="372" t="str">
        <f t="shared" si="38"/>
        <v/>
      </c>
    </row>
    <row r="542" spans="1:38" ht="15" customHeight="1" outlineLevel="1" x14ac:dyDescent="0.2">
      <c r="A542" s="403"/>
      <c r="B542" s="403"/>
      <c r="C542" s="403"/>
      <c r="D542" s="404"/>
      <c r="E542" s="405"/>
      <c r="F542" s="405"/>
      <c r="G542" s="403"/>
      <c r="H542" s="406"/>
      <c r="I542" s="406"/>
      <c r="J542" s="406"/>
      <c r="K542" s="304"/>
      <c r="L542" s="372"/>
      <c r="M542" s="372"/>
      <c r="N542" s="372"/>
      <c r="O542" s="372"/>
      <c r="P542" s="372"/>
      <c r="Q542" s="304"/>
      <c r="R542" s="304"/>
      <c r="S542" s="304"/>
      <c r="T542" s="304"/>
      <c r="U542" s="304"/>
      <c r="V542" s="304"/>
      <c r="AL542" s="372" t="str">
        <f t="shared" si="38"/>
        <v/>
      </c>
    </row>
    <row r="543" spans="1:38" ht="15" customHeight="1" outlineLevel="1" x14ac:dyDescent="0.2">
      <c r="A543" s="403"/>
      <c r="B543" s="403"/>
      <c r="C543" s="403"/>
      <c r="D543" s="404"/>
      <c r="E543" s="405"/>
      <c r="F543" s="405"/>
      <c r="G543" s="403"/>
      <c r="H543" s="406"/>
      <c r="I543" s="406"/>
      <c r="J543" s="406"/>
      <c r="K543" s="304"/>
      <c r="L543" s="372"/>
      <c r="M543" s="372"/>
      <c r="N543" s="372"/>
      <c r="O543" s="372"/>
      <c r="P543" s="372"/>
      <c r="Q543" s="304"/>
      <c r="R543" s="304"/>
      <c r="S543" s="304"/>
      <c r="T543" s="304"/>
      <c r="U543" s="304"/>
      <c r="V543" s="304"/>
      <c r="AL543" s="372" t="str">
        <f t="shared" si="38"/>
        <v/>
      </c>
    </row>
    <row r="544" spans="1:38" ht="15" customHeight="1" outlineLevel="1" x14ac:dyDescent="0.2">
      <c r="A544" s="403"/>
      <c r="B544" s="403"/>
      <c r="C544" s="403"/>
      <c r="D544" s="404"/>
      <c r="E544" s="405"/>
      <c r="F544" s="405"/>
      <c r="G544" s="403"/>
      <c r="H544" s="406"/>
      <c r="I544" s="406"/>
      <c r="J544" s="406"/>
      <c r="K544" s="304"/>
      <c r="L544" s="372"/>
      <c r="M544" s="372"/>
      <c r="N544" s="372"/>
      <c r="O544" s="372"/>
      <c r="P544" s="372"/>
      <c r="Q544" s="304"/>
      <c r="R544" s="304"/>
      <c r="S544" s="304"/>
      <c r="T544" s="304"/>
      <c r="U544" s="304"/>
      <c r="V544" s="304"/>
      <c r="AL544" s="372" t="str">
        <f t="shared" si="38"/>
        <v/>
      </c>
    </row>
    <row r="545" spans="1:38" ht="15" customHeight="1" outlineLevel="1" x14ac:dyDescent="0.2">
      <c r="A545" s="403"/>
      <c r="B545" s="403"/>
      <c r="C545" s="403"/>
      <c r="D545" s="404"/>
      <c r="E545" s="405"/>
      <c r="F545" s="405"/>
      <c r="G545" s="403"/>
      <c r="H545" s="406"/>
      <c r="I545" s="406"/>
      <c r="J545" s="406"/>
      <c r="K545" s="304"/>
      <c r="L545" s="372"/>
      <c r="M545" s="372"/>
      <c r="N545" s="372"/>
      <c r="O545" s="372"/>
      <c r="P545" s="372"/>
      <c r="Q545" s="304"/>
      <c r="R545" s="304"/>
      <c r="S545" s="304"/>
      <c r="T545" s="304"/>
      <c r="U545" s="304"/>
      <c r="V545" s="304"/>
      <c r="AL545" s="372" t="str">
        <f t="shared" si="38"/>
        <v/>
      </c>
    </row>
    <row r="546" spans="1:38" ht="15" customHeight="1" outlineLevel="1" x14ac:dyDescent="0.2">
      <c r="A546" s="403"/>
      <c r="B546" s="403"/>
      <c r="C546" s="403"/>
      <c r="D546" s="404"/>
      <c r="E546" s="405"/>
      <c r="F546" s="405"/>
      <c r="G546" s="403"/>
      <c r="H546" s="406"/>
      <c r="I546" s="406"/>
      <c r="J546" s="406"/>
      <c r="K546" s="304"/>
      <c r="L546" s="372"/>
      <c r="M546" s="372"/>
      <c r="N546" s="372"/>
      <c r="O546" s="372"/>
      <c r="P546" s="372"/>
      <c r="Q546" s="304"/>
      <c r="R546" s="304"/>
      <c r="S546" s="304"/>
      <c r="T546" s="304"/>
      <c r="U546" s="304"/>
      <c r="V546" s="304"/>
      <c r="AL546" s="372" t="str">
        <f t="shared" si="38"/>
        <v/>
      </c>
    </row>
    <row r="547" spans="1:38" ht="15" customHeight="1" outlineLevel="1" x14ac:dyDescent="0.2">
      <c r="A547" s="403"/>
      <c r="B547" s="403"/>
      <c r="C547" s="403"/>
      <c r="D547" s="404"/>
      <c r="E547" s="405"/>
      <c r="F547" s="405"/>
      <c r="G547" s="403"/>
      <c r="H547" s="406"/>
      <c r="I547" s="406"/>
      <c r="J547" s="406"/>
      <c r="K547" s="304"/>
      <c r="L547" s="372"/>
      <c r="M547" s="372"/>
      <c r="N547" s="372"/>
      <c r="O547" s="372"/>
      <c r="P547" s="372"/>
      <c r="Q547" s="304"/>
      <c r="R547" s="304"/>
      <c r="S547" s="304"/>
      <c r="T547" s="304"/>
      <c r="U547" s="304"/>
      <c r="V547" s="304"/>
      <c r="AL547" s="372" t="str">
        <f t="shared" si="38"/>
        <v/>
      </c>
    </row>
    <row r="548" spans="1:38" ht="15" customHeight="1" outlineLevel="1" x14ac:dyDescent="0.2">
      <c r="A548" s="403"/>
      <c r="B548" s="403"/>
      <c r="C548" s="403"/>
      <c r="D548" s="404"/>
      <c r="E548" s="405"/>
      <c r="F548" s="405"/>
      <c r="G548" s="403"/>
      <c r="H548" s="406"/>
      <c r="I548" s="406"/>
      <c r="J548" s="406"/>
      <c r="K548" s="304"/>
      <c r="L548" s="372"/>
      <c r="M548" s="372"/>
      <c r="N548" s="372"/>
      <c r="O548" s="372"/>
      <c r="P548" s="372"/>
      <c r="Q548" s="304"/>
      <c r="R548" s="304"/>
      <c r="S548" s="304"/>
      <c r="T548" s="304"/>
      <c r="U548" s="304"/>
      <c r="V548" s="304"/>
      <c r="AL548" s="372" t="str">
        <f t="shared" si="38"/>
        <v/>
      </c>
    </row>
    <row r="549" spans="1:38" ht="15" customHeight="1" outlineLevel="1" x14ac:dyDescent="0.2">
      <c r="A549" s="403"/>
      <c r="B549" s="403"/>
      <c r="C549" s="403"/>
      <c r="D549" s="404"/>
      <c r="E549" s="405"/>
      <c r="F549" s="405"/>
      <c r="G549" s="403"/>
      <c r="H549" s="406"/>
      <c r="I549" s="406"/>
      <c r="J549" s="406"/>
      <c r="K549" s="304"/>
      <c r="L549" s="372"/>
      <c r="M549" s="372"/>
      <c r="N549" s="372"/>
      <c r="O549" s="372"/>
      <c r="P549" s="372"/>
      <c r="Q549" s="304"/>
      <c r="R549" s="304"/>
      <c r="S549" s="304"/>
      <c r="T549" s="304"/>
      <c r="U549" s="304"/>
      <c r="V549" s="304"/>
      <c r="AL549" s="372" t="str">
        <f t="shared" si="38"/>
        <v/>
      </c>
    </row>
    <row r="550" spans="1:38" ht="15" customHeight="1" outlineLevel="1" x14ac:dyDescent="0.2">
      <c r="A550" s="403"/>
      <c r="B550" s="403"/>
      <c r="C550" s="403"/>
      <c r="D550" s="404"/>
      <c r="E550" s="405"/>
      <c r="F550" s="405"/>
      <c r="G550" s="403"/>
      <c r="H550" s="406"/>
      <c r="I550" s="406"/>
      <c r="J550" s="406"/>
      <c r="K550" s="304"/>
      <c r="L550" s="372"/>
      <c r="M550" s="372"/>
      <c r="N550" s="372"/>
      <c r="O550" s="372"/>
      <c r="P550" s="372"/>
      <c r="Q550" s="304"/>
      <c r="R550" s="304"/>
      <c r="S550" s="304"/>
      <c r="T550" s="304"/>
      <c r="U550" s="304"/>
      <c r="V550" s="304"/>
      <c r="AL550" s="372" t="str">
        <f t="shared" si="38"/>
        <v/>
      </c>
    </row>
    <row r="551" spans="1:38" ht="15" customHeight="1" outlineLevel="1" x14ac:dyDescent="0.2">
      <c r="A551" s="403"/>
      <c r="B551" s="403"/>
      <c r="C551" s="403"/>
      <c r="D551" s="404"/>
      <c r="E551" s="405"/>
      <c r="F551" s="405"/>
      <c r="G551" s="403"/>
      <c r="H551" s="406"/>
      <c r="I551" s="406"/>
      <c r="J551" s="406"/>
      <c r="K551" s="304"/>
      <c r="L551" s="372"/>
      <c r="M551" s="372"/>
      <c r="N551" s="372"/>
      <c r="O551" s="372"/>
      <c r="P551" s="372"/>
      <c r="Q551" s="304"/>
      <c r="R551" s="304"/>
      <c r="S551" s="304"/>
      <c r="T551" s="304"/>
      <c r="U551" s="304"/>
      <c r="V551" s="304"/>
      <c r="AL551" s="372" t="str">
        <f t="shared" si="38"/>
        <v/>
      </c>
    </row>
    <row r="552" spans="1:38" ht="15" customHeight="1" outlineLevel="1" x14ac:dyDescent="0.2">
      <c r="A552" s="403"/>
      <c r="B552" s="403"/>
      <c r="C552" s="403"/>
      <c r="D552" s="404"/>
      <c r="E552" s="405"/>
      <c r="F552" s="405"/>
      <c r="G552" s="403"/>
      <c r="H552" s="406"/>
      <c r="I552" s="406"/>
      <c r="J552" s="406"/>
      <c r="K552" s="304"/>
      <c r="L552" s="372"/>
      <c r="M552" s="372"/>
      <c r="N552" s="372"/>
      <c r="O552" s="372"/>
      <c r="P552" s="372"/>
      <c r="Q552" s="304"/>
      <c r="R552" s="304"/>
      <c r="S552" s="304"/>
      <c r="T552" s="304"/>
      <c r="U552" s="304"/>
      <c r="V552" s="304"/>
      <c r="AL552" s="372" t="str">
        <f t="shared" si="38"/>
        <v/>
      </c>
    </row>
    <row r="553" spans="1:38" ht="15" customHeight="1" outlineLevel="1" x14ac:dyDescent="0.2">
      <c r="A553" s="403"/>
      <c r="B553" s="403"/>
      <c r="C553" s="403"/>
      <c r="D553" s="404"/>
      <c r="E553" s="405"/>
      <c r="F553" s="405"/>
      <c r="G553" s="403"/>
      <c r="H553" s="406"/>
      <c r="I553" s="406"/>
      <c r="J553" s="406"/>
      <c r="K553" s="304"/>
      <c r="L553" s="372"/>
      <c r="M553" s="372"/>
      <c r="N553" s="372"/>
      <c r="O553" s="372"/>
      <c r="P553" s="372"/>
      <c r="Q553" s="304"/>
      <c r="R553" s="304"/>
      <c r="S553" s="304"/>
      <c r="T553" s="304"/>
      <c r="U553" s="304"/>
      <c r="V553" s="304"/>
      <c r="AL553" s="372" t="str">
        <f t="shared" si="38"/>
        <v/>
      </c>
    </row>
    <row r="554" spans="1:38" ht="15" customHeight="1" outlineLevel="1" x14ac:dyDescent="0.2">
      <c r="A554" s="403"/>
      <c r="B554" s="403"/>
      <c r="C554" s="403"/>
      <c r="D554" s="404"/>
      <c r="E554" s="405"/>
      <c r="F554" s="405"/>
      <c r="G554" s="403"/>
      <c r="H554" s="406"/>
      <c r="I554" s="406"/>
      <c r="J554" s="406"/>
      <c r="K554" s="304"/>
      <c r="L554" s="372"/>
      <c r="M554" s="372"/>
      <c r="N554" s="372"/>
      <c r="O554" s="372"/>
      <c r="P554" s="372"/>
      <c r="Q554" s="304"/>
      <c r="R554" s="304"/>
      <c r="S554" s="304"/>
      <c r="T554" s="304"/>
      <c r="U554" s="304"/>
      <c r="V554" s="304"/>
      <c r="AL554" s="372" t="str">
        <f t="shared" si="38"/>
        <v/>
      </c>
    </row>
    <row r="555" spans="1:38" ht="15" customHeight="1" outlineLevel="1" x14ac:dyDescent="0.2">
      <c r="A555" s="403"/>
      <c r="B555" s="403"/>
      <c r="C555" s="403"/>
      <c r="D555" s="404"/>
      <c r="E555" s="405"/>
      <c r="F555" s="405"/>
      <c r="G555" s="403"/>
      <c r="H555" s="406"/>
      <c r="I555" s="406"/>
      <c r="J555" s="406"/>
      <c r="K555" s="304"/>
      <c r="L555" s="372"/>
      <c r="M555" s="372"/>
      <c r="N555" s="372"/>
      <c r="O555" s="372"/>
      <c r="P555" s="372"/>
      <c r="Q555" s="304"/>
      <c r="R555" s="304"/>
      <c r="S555" s="304"/>
      <c r="T555" s="304"/>
      <c r="U555" s="304"/>
      <c r="V555" s="304"/>
      <c r="AL555" s="372" t="str">
        <f t="shared" si="38"/>
        <v/>
      </c>
    </row>
    <row r="556" spans="1:38" ht="15" customHeight="1" outlineLevel="1" x14ac:dyDescent="0.2">
      <c r="A556" s="403"/>
      <c r="B556" s="403"/>
      <c r="C556" s="403"/>
      <c r="D556" s="404"/>
      <c r="E556" s="405"/>
      <c r="F556" s="405"/>
      <c r="G556" s="403"/>
      <c r="H556" s="406"/>
      <c r="I556" s="406"/>
      <c r="J556" s="406"/>
      <c r="K556" s="304"/>
      <c r="L556" s="372"/>
      <c r="M556" s="372"/>
      <c r="N556" s="372"/>
      <c r="O556" s="372"/>
      <c r="P556" s="372"/>
      <c r="Q556" s="304"/>
      <c r="R556" s="304"/>
      <c r="S556" s="304"/>
      <c r="T556" s="304"/>
      <c r="U556" s="304"/>
      <c r="V556" s="304"/>
      <c r="AL556" s="372" t="str">
        <f t="shared" si="38"/>
        <v/>
      </c>
    </row>
    <row r="557" spans="1:38" ht="15" customHeight="1" outlineLevel="1" x14ac:dyDescent="0.2">
      <c r="A557" s="403"/>
      <c r="B557" s="403"/>
      <c r="C557" s="403"/>
      <c r="D557" s="404"/>
      <c r="E557" s="405"/>
      <c r="F557" s="405"/>
      <c r="G557" s="403"/>
      <c r="H557" s="406"/>
      <c r="I557" s="406"/>
      <c r="J557" s="406"/>
      <c r="K557" s="304"/>
      <c r="L557" s="372"/>
      <c r="M557" s="372"/>
      <c r="N557" s="372"/>
      <c r="O557" s="372"/>
      <c r="P557" s="372"/>
      <c r="Q557" s="304"/>
      <c r="R557" s="304"/>
      <c r="S557" s="304"/>
      <c r="T557" s="304"/>
      <c r="U557" s="304"/>
      <c r="V557" s="304"/>
      <c r="AL557" s="372" t="str">
        <f t="shared" si="38"/>
        <v/>
      </c>
    </row>
    <row r="558" spans="1:38" ht="15" customHeight="1" outlineLevel="1" x14ac:dyDescent="0.2">
      <c r="A558" s="403"/>
      <c r="B558" s="403"/>
      <c r="C558" s="403"/>
      <c r="D558" s="404"/>
      <c r="E558" s="405"/>
      <c r="F558" s="405"/>
      <c r="G558" s="403"/>
      <c r="H558" s="406"/>
      <c r="I558" s="406"/>
      <c r="J558" s="406"/>
      <c r="K558" s="304"/>
      <c r="L558" s="372"/>
      <c r="M558" s="372"/>
      <c r="N558" s="372"/>
      <c r="O558" s="372"/>
      <c r="P558" s="372"/>
      <c r="Q558" s="304"/>
      <c r="R558" s="304"/>
      <c r="S558" s="304"/>
      <c r="T558" s="304"/>
      <c r="U558" s="304"/>
      <c r="V558" s="304"/>
      <c r="AL558" s="372" t="str">
        <f t="shared" si="38"/>
        <v/>
      </c>
    </row>
    <row r="559" spans="1:38" ht="15" customHeight="1" outlineLevel="1" x14ac:dyDescent="0.2">
      <c r="A559" s="403"/>
      <c r="B559" s="403"/>
      <c r="C559" s="403"/>
      <c r="D559" s="404"/>
      <c r="E559" s="405"/>
      <c r="F559" s="405"/>
      <c r="G559" s="403"/>
      <c r="H559" s="406"/>
      <c r="I559" s="406"/>
      <c r="J559" s="406"/>
      <c r="K559" s="304"/>
      <c r="L559" s="372"/>
      <c r="M559" s="372"/>
      <c r="N559" s="372"/>
      <c r="O559" s="372"/>
      <c r="P559" s="372"/>
      <c r="Q559" s="304"/>
      <c r="R559" s="304"/>
      <c r="S559" s="304"/>
      <c r="T559" s="304"/>
      <c r="U559" s="304"/>
      <c r="V559" s="304"/>
      <c r="AL559" s="372" t="str">
        <f t="shared" si="38"/>
        <v/>
      </c>
    </row>
    <row r="560" spans="1:38" ht="15" customHeight="1" outlineLevel="1" x14ac:dyDescent="0.2">
      <c r="A560" s="403"/>
      <c r="B560" s="403"/>
      <c r="C560" s="403"/>
      <c r="D560" s="404"/>
      <c r="E560" s="405"/>
      <c r="F560" s="405"/>
      <c r="G560" s="403"/>
      <c r="H560" s="406"/>
      <c r="I560" s="406"/>
      <c r="J560" s="406"/>
      <c r="K560" s="304"/>
      <c r="L560" s="372"/>
      <c r="M560" s="372"/>
      <c r="N560" s="372"/>
      <c r="O560" s="372"/>
      <c r="P560" s="372"/>
      <c r="Q560" s="304"/>
      <c r="R560" s="304"/>
      <c r="S560" s="304"/>
      <c r="T560" s="304"/>
      <c r="U560" s="304"/>
      <c r="V560" s="304"/>
      <c r="AL560" s="372" t="str">
        <f t="shared" si="38"/>
        <v/>
      </c>
    </row>
    <row r="561" spans="1:38" ht="15" customHeight="1" outlineLevel="1" x14ac:dyDescent="0.2">
      <c r="A561" s="403"/>
      <c r="B561" s="403"/>
      <c r="C561" s="403"/>
      <c r="D561" s="404"/>
      <c r="E561" s="405"/>
      <c r="F561" s="405"/>
      <c r="G561" s="403"/>
      <c r="H561" s="406"/>
      <c r="I561" s="406"/>
      <c r="J561" s="406"/>
      <c r="K561" s="304"/>
      <c r="L561" s="372"/>
      <c r="M561" s="372"/>
      <c r="N561" s="372"/>
      <c r="O561" s="372"/>
      <c r="P561" s="372"/>
      <c r="Q561" s="304"/>
      <c r="R561" s="304"/>
      <c r="S561" s="304"/>
      <c r="T561" s="304"/>
      <c r="U561" s="304"/>
      <c r="V561" s="304"/>
      <c r="AL561" s="372" t="str">
        <f t="shared" si="38"/>
        <v/>
      </c>
    </row>
    <row r="562" spans="1:38" ht="15" customHeight="1" outlineLevel="1" x14ac:dyDescent="0.2">
      <c r="A562" s="403"/>
      <c r="B562" s="403"/>
      <c r="C562" s="403"/>
      <c r="D562" s="404"/>
      <c r="E562" s="405"/>
      <c r="F562" s="405"/>
      <c r="G562" s="403"/>
      <c r="H562" s="406"/>
      <c r="I562" s="406"/>
      <c r="J562" s="406"/>
      <c r="K562" s="304"/>
      <c r="L562" s="372"/>
      <c r="M562" s="372"/>
      <c r="N562" s="372"/>
      <c r="O562" s="372"/>
      <c r="P562" s="372"/>
      <c r="Q562" s="304"/>
      <c r="R562" s="304"/>
      <c r="S562" s="304"/>
      <c r="T562" s="304"/>
      <c r="U562" s="304"/>
      <c r="V562" s="304"/>
      <c r="AL562" s="372" t="str">
        <f t="shared" si="38"/>
        <v/>
      </c>
    </row>
    <row r="563" spans="1:38" ht="15" customHeight="1" outlineLevel="1" x14ac:dyDescent="0.2">
      <c r="A563" s="403"/>
      <c r="B563" s="403"/>
      <c r="C563" s="403"/>
      <c r="D563" s="404"/>
      <c r="E563" s="405"/>
      <c r="F563" s="405"/>
      <c r="G563" s="403"/>
      <c r="H563" s="406"/>
      <c r="I563" s="406"/>
      <c r="J563" s="406"/>
      <c r="K563" s="304"/>
      <c r="L563" s="372"/>
      <c r="M563" s="372"/>
      <c r="N563" s="372"/>
      <c r="O563" s="372"/>
      <c r="P563" s="372"/>
      <c r="Q563" s="304"/>
      <c r="R563" s="304"/>
      <c r="S563" s="304"/>
      <c r="T563" s="304"/>
      <c r="U563" s="304"/>
      <c r="V563" s="304"/>
      <c r="AL563" s="372" t="str">
        <f t="shared" si="38"/>
        <v/>
      </c>
    </row>
    <row r="564" spans="1:38" ht="15" customHeight="1" outlineLevel="1" x14ac:dyDescent="0.2">
      <c r="A564" s="403"/>
      <c r="B564" s="403"/>
      <c r="C564" s="403"/>
      <c r="D564" s="404"/>
      <c r="E564" s="405"/>
      <c r="F564" s="405"/>
      <c r="G564" s="403"/>
      <c r="H564" s="406"/>
      <c r="I564" s="406"/>
      <c r="J564" s="406"/>
      <c r="K564" s="304"/>
      <c r="L564" s="372"/>
      <c r="M564" s="372"/>
      <c r="N564" s="372"/>
      <c r="O564" s="372"/>
      <c r="P564" s="372"/>
      <c r="Q564" s="304"/>
      <c r="R564" s="304"/>
      <c r="S564" s="304"/>
      <c r="T564" s="304"/>
      <c r="U564" s="304"/>
      <c r="V564" s="304"/>
      <c r="AL564" s="372" t="str">
        <f t="shared" si="38"/>
        <v/>
      </c>
    </row>
    <row r="565" spans="1:38" ht="15" customHeight="1" outlineLevel="1" x14ac:dyDescent="0.2">
      <c r="A565" s="403"/>
      <c r="B565" s="403"/>
      <c r="C565" s="403"/>
      <c r="D565" s="404"/>
      <c r="E565" s="405"/>
      <c r="F565" s="405"/>
      <c r="G565" s="403"/>
      <c r="H565" s="406"/>
      <c r="I565" s="406"/>
      <c r="J565" s="406"/>
      <c r="K565" s="304"/>
      <c r="L565" s="372"/>
      <c r="M565" s="372"/>
      <c r="N565" s="372"/>
      <c r="O565" s="372"/>
      <c r="P565" s="372"/>
      <c r="Q565" s="304"/>
      <c r="R565" s="304"/>
      <c r="S565" s="304"/>
      <c r="T565" s="304"/>
      <c r="U565" s="304"/>
      <c r="V565" s="304"/>
      <c r="AL565" s="372" t="str">
        <f t="shared" si="38"/>
        <v/>
      </c>
    </row>
    <row r="566" spans="1:38" ht="15" customHeight="1" outlineLevel="1" x14ac:dyDescent="0.2">
      <c r="A566" s="403"/>
      <c r="B566" s="403"/>
      <c r="C566" s="403"/>
      <c r="D566" s="404"/>
      <c r="E566" s="405"/>
      <c r="F566" s="405"/>
      <c r="G566" s="403"/>
      <c r="H566" s="406"/>
      <c r="I566" s="406"/>
      <c r="J566" s="406"/>
      <c r="K566" s="304"/>
      <c r="L566" s="372"/>
      <c r="M566" s="372"/>
      <c r="N566" s="372"/>
      <c r="O566" s="372"/>
      <c r="P566" s="372"/>
      <c r="Q566" s="304"/>
      <c r="R566" s="304"/>
      <c r="S566" s="304"/>
      <c r="T566" s="304"/>
      <c r="U566" s="304"/>
      <c r="V566" s="304"/>
      <c r="AL566" s="372" t="str">
        <f t="shared" si="38"/>
        <v/>
      </c>
    </row>
    <row r="567" spans="1:38" ht="15" customHeight="1" outlineLevel="1" x14ac:dyDescent="0.2">
      <c r="A567" s="403"/>
      <c r="B567" s="403"/>
      <c r="C567" s="403"/>
      <c r="D567" s="404"/>
      <c r="E567" s="405"/>
      <c r="F567" s="405"/>
      <c r="G567" s="403"/>
      <c r="H567" s="406"/>
      <c r="I567" s="406"/>
      <c r="J567" s="406"/>
      <c r="K567" s="304"/>
      <c r="L567" s="372"/>
      <c r="M567" s="372"/>
      <c r="N567" s="372"/>
      <c r="O567" s="372"/>
      <c r="P567" s="372"/>
      <c r="Q567" s="304"/>
      <c r="R567" s="304"/>
      <c r="S567" s="304"/>
      <c r="T567" s="304"/>
      <c r="U567" s="304"/>
      <c r="V567" s="304"/>
      <c r="AL567" s="372" t="str">
        <f t="shared" si="38"/>
        <v/>
      </c>
    </row>
    <row r="568" spans="1:38" ht="15" customHeight="1" outlineLevel="1" x14ac:dyDescent="0.2">
      <c r="A568" s="403"/>
      <c r="B568" s="403"/>
      <c r="C568" s="403"/>
      <c r="D568" s="404"/>
      <c r="E568" s="405"/>
      <c r="F568" s="405"/>
      <c r="G568" s="403"/>
      <c r="H568" s="406"/>
      <c r="I568" s="406"/>
      <c r="J568" s="406"/>
      <c r="K568" s="304"/>
      <c r="L568" s="372"/>
      <c r="M568" s="372"/>
      <c r="N568" s="372"/>
      <c r="O568" s="372"/>
      <c r="P568" s="372"/>
      <c r="Q568" s="304"/>
      <c r="R568" s="304"/>
      <c r="S568" s="304"/>
      <c r="T568" s="304"/>
      <c r="U568" s="304"/>
      <c r="V568" s="304"/>
      <c r="AL568" s="372" t="str">
        <f t="shared" si="38"/>
        <v/>
      </c>
    </row>
    <row r="569" spans="1:38" ht="15" customHeight="1" outlineLevel="1" x14ac:dyDescent="0.2">
      <c r="A569" s="403"/>
      <c r="B569" s="403"/>
      <c r="C569" s="403"/>
      <c r="D569" s="404"/>
      <c r="E569" s="405"/>
      <c r="F569" s="405"/>
      <c r="G569" s="403"/>
      <c r="H569" s="406"/>
      <c r="I569" s="406"/>
      <c r="J569" s="406"/>
      <c r="K569" s="304"/>
      <c r="L569" s="372"/>
      <c r="M569" s="372"/>
      <c r="N569" s="372"/>
      <c r="O569" s="372"/>
      <c r="P569" s="372"/>
      <c r="Q569" s="304"/>
      <c r="R569" s="304"/>
      <c r="S569" s="304"/>
      <c r="T569" s="304"/>
      <c r="U569" s="304"/>
      <c r="V569" s="304"/>
      <c r="AL569" s="372" t="str">
        <f t="shared" si="38"/>
        <v/>
      </c>
    </row>
    <row r="570" spans="1:38" ht="15" customHeight="1" outlineLevel="1" x14ac:dyDescent="0.2">
      <c r="A570" s="403"/>
      <c r="B570" s="403"/>
      <c r="C570" s="403"/>
      <c r="D570" s="404"/>
      <c r="E570" s="405"/>
      <c r="F570" s="405"/>
      <c r="G570" s="403"/>
      <c r="H570" s="406"/>
      <c r="I570" s="406"/>
      <c r="J570" s="406"/>
      <c r="K570" s="304"/>
      <c r="L570" s="372"/>
      <c r="M570" s="372"/>
      <c r="N570" s="372"/>
      <c r="O570" s="372"/>
      <c r="P570" s="372"/>
      <c r="Q570" s="304"/>
      <c r="R570" s="304"/>
      <c r="S570" s="304"/>
      <c r="T570" s="304"/>
      <c r="U570" s="304"/>
      <c r="V570" s="304"/>
      <c r="AL570" s="372" t="str">
        <f t="shared" si="38"/>
        <v/>
      </c>
    </row>
    <row r="571" spans="1:38" ht="15" customHeight="1" outlineLevel="1" x14ac:dyDescent="0.2">
      <c r="A571" s="403"/>
      <c r="B571" s="403"/>
      <c r="C571" s="403"/>
      <c r="D571" s="404"/>
      <c r="E571" s="405"/>
      <c r="F571" s="405"/>
      <c r="G571" s="403"/>
      <c r="H571" s="406"/>
      <c r="I571" s="406"/>
      <c r="J571" s="406"/>
      <c r="K571" s="304"/>
      <c r="L571" s="372"/>
      <c r="M571" s="372"/>
      <c r="N571" s="372"/>
      <c r="O571" s="372"/>
      <c r="P571" s="372"/>
      <c r="Q571" s="304"/>
      <c r="R571" s="304"/>
      <c r="S571" s="304"/>
      <c r="T571" s="304"/>
      <c r="U571" s="304"/>
      <c r="V571" s="304"/>
      <c r="AL571" s="372" t="str">
        <f t="shared" si="38"/>
        <v/>
      </c>
    </row>
    <row r="572" spans="1:38" ht="15" customHeight="1" outlineLevel="1" x14ac:dyDescent="0.2">
      <c r="A572" s="403"/>
      <c r="B572" s="403"/>
      <c r="C572" s="403"/>
      <c r="D572" s="404"/>
      <c r="E572" s="405"/>
      <c r="F572" s="405"/>
      <c r="G572" s="403"/>
      <c r="H572" s="406"/>
      <c r="I572" s="406"/>
      <c r="J572" s="406"/>
      <c r="K572" s="304"/>
      <c r="L572" s="372"/>
      <c r="M572" s="372"/>
      <c r="N572" s="372"/>
      <c r="O572" s="372"/>
      <c r="P572" s="372"/>
      <c r="Q572" s="304"/>
      <c r="R572" s="304"/>
      <c r="S572" s="304"/>
      <c r="T572" s="304"/>
      <c r="U572" s="304"/>
      <c r="V572" s="304"/>
      <c r="AL572" s="372" t="str">
        <f t="shared" si="38"/>
        <v/>
      </c>
    </row>
    <row r="573" spans="1:38" ht="15" customHeight="1" outlineLevel="1" x14ac:dyDescent="0.2">
      <c r="A573" s="403"/>
      <c r="B573" s="403"/>
      <c r="C573" s="403"/>
      <c r="D573" s="404"/>
      <c r="E573" s="405"/>
      <c r="F573" s="405"/>
      <c r="G573" s="403"/>
      <c r="H573" s="406"/>
      <c r="I573" s="406"/>
      <c r="J573" s="406"/>
      <c r="K573" s="304"/>
      <c r="L573" s="372"/>
      <c r="M573" s="372"/>
      <c r="N573" s="372"/>
      <c r="O573" s="372"/>
      <c r="P573" s="372"/>
      <c r="Q573" s="304"/>
      <c r="R573" s="304"/>
      <c r="S573" s="304"/>
      <c r="T573" s="304"/>
      <c r="U573" s="304"/>
      <c r="V573" s="304"/>
      <c r="AL573" s="372" t="str">
        <f t="shared" si="38"/>
        <v/>
      </c>
    </row>
    <row r="574" spans="1:38" ht="15" customHeight="1" outlineLevel="1" x14ac:dyDescent="0.2">
      <c r="A574" s="403"/>
      <c r="B574" s="403"/>
      <c r="C574" s="403"/>
      <c r="D574" s="404"/>
      <c r="E574" s="405"/>
      <c r="F574" s="405"/>
      <c r="G574" s="403"/>
      <c r="H574" s="406"/>
      <c r="I574" s="406"/>
      <c r="J574" s="406"/>
      <c r="K574" s="304"/>
      <c r="L574" s="372"/>
      <c r="M574" s="372"/>
      <c r="N574" s="372"/>
      <c r="O574" s="372"/>
      <c r="P574" s="372"/>
      <c r="Q574" s="304"/>
      <c r="R574" s="304"/>
      <c r="S574" s="304"/>
      <c r="T574" s="304"/>
      <c r="U574" s="304"/>
      <c r="V574" s="304"/>
      <c r="AL574" s="372" t="str">
        <f t="shared" si="38"/>
        <v/>
      </c>
    </row>
    <row r="575" spans="1:38" ht="15" customHeight="1" outlineLevel="1" x14ac:dyDescent="0.2">
      <c r="A575" s="403"/>
      <c r="B575" s="403"/>
      <c r="C575" s="403"/>
      <c r="D575" s="404"/>
      <c r="E575" s="405"/>
      <c r="F575" s="405"/>
      <c r="G575" s="403"/>
      <c r="H575" s="406"/>
      <c r="I575" s="406"/>
      <c r="J575" s="406"/>
      <c r="K575" s="304"/>
      <c r="L575" s="372"/>
      <c r="M575" s="372"/>
      <c r="N575" s="372"/>
      <c r="O575" s="372"/>
      <c r="P575" s="372"/>
      <c r="Q575" s="304"/>
      <c r="R575" s="304"/>
      <c r="S575" s="304"/>
      <c r="T575" s="304"/>
      <c r="U575" s="304"/>
      <c r="V575" s="304"/>
      <c r="AL575" s="372" t="str">
        <f t="shared" si="38"/>
        <v/>
      </c>
    </row>
    <row r="576" spans="1:38" ht="15" customHeight="1" outlineLevel="1" x14ac:dyDescent="0.2">
      <c r="A576" s="403"/>
      <c r="B576" s="403"/>
      <c r="C576" s="403"/>
      <c r="D576" s="404"/>
      <c r="E576" s="405"/>
      <c r="F576" s="405"/>
      <c r="G576" s="403"/>
      <c r="H576" s="406"/>
      <c r="I576" s="406"/>
      <c r="J576" s="406"/>
      <c r="K576" s="304"/>
      <c r="L576" s="372"/>
      <c r="M576" s="372"/>
      <c r="N576" s="372"/>
      <c r="O576" s="372"/>
      <c r="P576" s="372"/>
      <c r="Q576" s="304"/>
      <c r="R576" s="304"/>
      <c r="S576" s="304"/>
      <c r="T576" s="304"/>
      <c r="U576" s="304"/>
      <c r="V576" s="304"/>
      <c r="AL576" s="372" t="str">
        <f t="shared" si="38"/>
        <v/>
      </c>
    </row>
    <row r="577" spans="1:38" ht="15" customHeight="1" outlineLevel="1" x14ac:dyDescent="0.2">
      <c r="A577" s="403"/>
      <c r="B577" s="403"/>
      <c r="C577" s="403"/>
      <c r="D577" s="404"/>
      <c r="E577" s="405"/>
      <c r="F577" s="405"/>
      <c r="G577" s="403"/>
      <c r="H577" s="406"/>
      <c r="I577" s="406"/>
      <c r="J577" s="406"/>
      <c r="K577" s="304"/>
      <c r="L577" s="372"/>
      <c r="M577" s="372"/>
      <c r="N577" s="372"/>
      <c r="O577" s="372"/>
      <c r="P577" s="372"/>
      <c r="Q577" s="304"/>
      <c r="R577" s="304"/>
      <c r="S577" s="304"/>
      <c r="T577" s="304"/>
      <c r="U577" s="304"/>
      <c r="V577" s="304"/>
      <c r="AL577" s="372" t="str">
        <f t="shared" si="38"/>
        <v/>
      </c>
    </row>
    <row r="578" spans="1:38" ht="15" customHeight="1" outlineLevel="1" x14ac:dyDescent="0.2">
      <c r="A578" s="403"/>
      <c r="B578" s="403"/>
      <c r="C578" s="403"/>
      <c r="D578" s="404"/>
      <c r="E578" s="405"/>
      <c r="F578" s="405"/>
      <c r="G578" s="403"/>
      <c r="H578" s="406"/>
      <c r="I578" s="406"/>
      <c r="J578" s="406"/>
      <c r="K578" s="304"/>
      <c r="L578" s="372"/>
      <c r="M578" s="372"/>
      <c r="N578" s="372"/>
      <c r="O578" s="372"/>
      <c r="P578" s="372"/>
      <c r="Q578" s="304"/>
      <c r="R578" s="304"/>
      <c r="S578" s="304"/>
      <c r="T578" s="304"/>
      <c r="U578" s="304"/>
      <c r="V578" s="304"/>
      <c r="AL578" s="372" t="str">
        <f t="shared" si="38"/>
        <v/>
      </c>
    </row>
    <row r="579" spans="1:38" ht="15" customHeight="1" outlineLevel="1" x14ac:dyDescent="0.2">
      <c r="A579" s="403"/>
      <c r="B579" s="403"/>
      <c r="C579" s="403"/>
      <c r="D579" s="404"/>
      <c r="E579" s="405"/>
      <c r="F579" s="405"/>
      <c r="G579" s="403"/>
      <c r="H579" s="406"/>
      <c r="I579" s="406"/>
      <c r="J579" s="406"/>
      <c r="K579" s="304"/>
      <c r="L579" s="372"/>
      <c r="M579" s="372"/>
      <c r="N579" s="372"/>
      <c r="O579" s="372"/>
      <c r="P579" s="372"/>
      <c r="Q579" s="304"/>
      <c r="R579" s="304"/>
      <c r="S579" s="304"/>
      <c r="T579" s="304"/>
      <c r="U579" s="304"/>
      <c r="V579" s="304"/>
      <c r="AL579" s="372" t="str">
        <f t="shared" si="38"/>
        <v/>
      </c>
    </row>
    <row r="580" spans="1:38" ht="15" customHeight="1" outlineLevel="1" x14ac:dyDescent="0.2">
      <c r="A580" s="403"/>
      <c r="B580" s="403"/>
      <c r="C580" s="403"/>
      <c r="D580" s="404"/>
      <c r="E580" s="405"/>
      <c r="F580" s="405"/>
      <c r="G580" s="403"/>
      <c r="H580" s="406"/>
      <c r="I580" s="406"/>
      <c r="J580" s="406"/>
      <c r="K580" s="304"/>
      <c r="L580" s="372"/>
      <c r="M580" s="372"/>
      <c r="N580" s="372"/>
      <c r="O580" s="372"/>
      <c r="P580" s="372"/>
      <c r="Q580" s="304"/>
      <c r="R580" s="304"/>
      <c r="S580" s="304"/>
      <c r="T580" s="304"/>
      <c r="U580" s="304"/>
      <c r="V580" s="304"/>
      <c r="AL580" s="372" t="str">
        <f t="shared" si="38"/>
        <v/>
      </c>
    </row>
    <row r="581" spans="1:38" ht="15" customHeight="1" outlineLevel="1" x14ac:dyDescent="0.2">
      <c r="A581" s="403"/>
      <c r="B581" s="403"/>
      <c r="C581" s="403"/>
      <c r="D581" s="404"/>
      <c r="E581" s="405"/>
      <c r="F581" s="405"/>
      <c r="G581" s="403"/>
      <c r="H581" s="406"/>
      <c r="I581" s="406"/>
      <c r="J581" s="406"/>
      <c r="K581" s="304"/>
      <c r="L581" s="372"/>
      <c r="M581" s="372"/>
      <c r="N581" s="372"/>
      <c r="O581" s="372"/>
      <c r="P581" s="372"/>
      <c r="Q581" s="304"/>
      <c r="R581" s="304"/>
      <c r="S581" s="304"/>
      <c r="T581" s="304"/>
      <c r="U581" s="304"/>
      <c r="V581" s="304"/>
      <c r="AL581" s="372" t="str">
        <f t="shared" si="38"/>
        <v/>
      </c>
    </row>
    <row r="582" spans="1:38" ht="15" customHeight="1" outlineLevel="1" x14ac:dyDescent="0.2">
      <c r="A582" s="403"/>
      <c r="B582" s="403"/>
      <c r="C582" s="403"/>
      <c r="D582" s="404"/>
      <c r="E582" s="405"/>
      <c r="F582" s="405"/>
      <c r="G582" s="403"/>
      <c r="H582" s="406"/>
      <c r="I582" s="406"/>
      <c r="J582" s="406"/>
      <c r="K582" s="304"/>
      <c r="L582" s="372"/>
      <c r="M582" s="372"/>
      <c r="N582" s="372"/>
      <c r="O582" s="372"/>
      <c r="P582" s="372"/>
      <c r="Q582" s="304"/>
      <c r="R582" s="304"/>
      <c r="S582" s="304"/>
      <c r="T582" s="304"/>
      <c r="U582" s="304"/>
      <c r="V582" s="304"/>
      <c r="AL582" s="372" t="str">
        <f t="shared" si="38"/>
        <v/>
      </c>
    </row>
    <row r="583" spans="1:38" ht="15" customHeight="1" outlineLevel="1" x14ac:dyDescent="0.2">
      <c r="A583" s="403"/>
      <c r="B583" s="403"/>
      <c r="C583" s="403"/>
      <c r="D583" s="404"/>
      <c r="E583" s="405"/>
      <c r="F583" s="405"/>
      <c r="G583" s="403"/>
      <c r="H583" s="406"/>
      <c r="I583" s="406"/>
      <c r="J583" s="406"/>
      <c r="K583" s="304"/>
      <c r="L583" s="372"/>
      <c r="M583" s="372"/>
      <c r="N583" s="372"/>
      <c r="O583" s="372"/>
      <c r="P583" s="372"/>
      <c r="Q583" s="304"/>
      <c r="R583" s="304"/>
      <c r="S583" s="304"/>
      <c r="T583" s="304"/>
      <c r="U583" s="304"/>
      <c r="V583" s="304"/>
      <c r="AL583" s="372" t="str">
        <f t="shared" si="38"/>
        <v/>
      </c>
    </row>
    <row r="584" spans="1:38" ht="15" customHeight="1" outlineLevel="1" x14ac:dyDescent="0.2">
      <c r="A584" s="403"/>
      <c r="B584" s="403"/>
      <c r="C584" s="403"/>
      <c r="D584" s="404"/>
      <c r="E584" s="405"/>
      <c r="F584" s="405"/>
      <c r="G584" s="403"/>
      <c r="H584" s="406"/>
      <c r="I584" s="406"/>
      <c r="J584" s="406"/>
      <c r="K584" s="304"/>
      <c r="L584" s="372"/>
      <c r="M584" s="372"/>
      <c r="N584" s="372"/>
      <c r="O584" s="372"/>
      <c r="P584" s="372"/>
      <c r="Q584" s="304"/>
      <c r="R584" s="304"/>
      <c r="S584" s="304"/>
      <c r="T584" s="304"/>
      <c r="U584" s="304"/>
      <c r="V584" s="304"/>
      <c r="AL584" s="372" t="str">
        <f t="shared" si="38"/>
        <v/>
      </c>
    </row>
    <row r="585" spans="1:38" ht="15" customHeight="1" outlineLevel="1" x14ac:dyDescent="0.2">
      <c r="A585" s="403"/>
      <c r="B585" s="403"/>
      <c r="C585" s="403"/>
      <c r="D585" s="404"/>
      <c r="E585" s="405"/>
      <c r="F585" s="405"/>
      <c r="G585" s="403"/>
      <c r="H585" s="406"/>
      <c r="I585" s="406"/>
      <c r="J585" s="406"/>
      <c r="K585" s="304"/>
      <c r="L585" s="372"/>
      <c r="M585" s="372"/>
      <c r="N585" s="372"/>
      <c r="O585" s="372"/>
      <c r="P585" s="372"/>
      <c r="Q585" s="304"/>
      <c r="R585" s="304"/>
      <c r="S585" s="304"/>
      <c r="T585" s="304"/>
      <c r="U585" s="304"/>
      <c r="V585" s="304"/>
      <c r="AL585" s="372" t="str">
        <f t="shared" si="38"/>
        <v/>
      </c>
    </row>
    <row r="586" spans="1:38" ht="15" customHeight="1" outlineLevel="1" x14ac:dyDescent="0.2">
      <c r="A586" s="403"/>
      <c r="B586" s="403"/>
      <c r="C586" s="403"/>
      <c r="D586" s="404"/>
      <c r="E586" s="405"/>
      <c r="F586" s="405"/>
      <c r="G586" s="403"/>
      <c r="H586" s="406"/>
      <c r="I586" s="406"/>
      <c r="J586" s="406"/>
      <c r="K586" s="304"/>
      <c r="L586" s="372"/>
      <c r="M586" s="372"/>
      <c r="N586" s="372"/>
      <c r="O586" s="372"/>
      <c r="P586" s="372"/>
      <c r="Q586" s="304"/>
      <c r="R586" s="304"/>
      <c r="S586" s="304"/>
      <c r="T586" s="304"/>
      <c r="U586" s="304"/>
      <c r="V586" s="304"/>
      <c r="AL586" s="372" t="str">
        <f t="shared" si="38"/>
        <v/>
      </c>
    </row>
    <row r="587" spans="1:38" ht="15" customHeight="1" outlineLevel="1" x14ac:dyDescent="0.2">
      <c r="A587" s="403"/>
      <c r="B587" s="403"/>
      <c r="C587" s="403"/>
      <c r="D587" s="404"/>
      <c r="E587" s="405"/>
      <c r="F587" s="405"/>
      <c r="G587" s="403"/>
      <c r="H587" s="406"/>
      <c r="I587" s="406"/>
      <c r="J587" s="406"/>
      <c r="K587" s="304"/>
      <c r="L587" s="372"/>
      <c r="M587" s="372"/>
      <c r="N587" s="372"/>
      <c r="O587" s="372"/>
      <c r="P587" s="372"/>
      <c r="Q587" s="304"/>
      <c r="R587" s="304"/>
      <c r="S587" s="304"/>
      <c r="T587" s="304"/>
      <c r="U587" s="304"/>
      <c r="V587" s="304"/>
      <c r="AL587" s="372" t="str">
        <f t="shared" si="38"/>
        <v/>
      </c>
    </row>
    <row r="588" spans="1:38" ht="15" customHeight="1" outlineLevel="1" x14ac:dyDescent="0.2">
      <c r="A588" s="403"/>
      <c r="B588" s="403"/>
      <c r="C588" s="403"/>
      <c r="D588" s="404"/>
      <c r="E588" s="405"/>
      <c r="F588" s="405"/>
      <c r="G588" s="403"/>
      <c r="H588" s="406"/>
      <c r="I588" s="406"/>
      <c r="J588" s="406"/>
      <c r="K588" s="304"/>
      <c r="L588" s="372"/>
      <c r="M588" s="372"/>
      <c r="N588" s="372"/>
      <c r="O588" s="372"/>
      <c r="P588" s="372"/>
      <c r="Q588" s="304"/>
      <c r="R588" s="304"/>
      <c r="S588" s="304"/>
      <c r="T588" s="304"/>
      <c r="U588" s="304"/>
      <c r="V588" s="304"/>
      <c r="AL588" s="372" t="str">
        <f t="shared" si="38"/>
        <v/>
      </c>
    </row>
    <row r="589" spans="1:38" ht="15" customHeight="1" outlineLevel="1" x14ac:dyDescent="0.2">
      <c r="A589" s="403"/>
      <c r="B589" s="403"/>
      <c r="C589" s="403"/>
      <c r="D589" s="404"/>
      <c r="E589" s="405"/>
      <c r="F589" s="405"/>
      <c r="G589" s="403"/>
      <c r="H589" s="406"/>
      <c r="I589" s="406"/>
      <c r="J589" s="406"/>
      <c r="K589" s="304"/>
      <c r="L589" s="372"/>
      <c r="M589" s="372"/>
      <c r="N589" s="372"/>
      <c r="O589" s="372"/>
      <c r="P589" s="372"/>
      <c r="Q589" s="304"/>
      <c r="R589" s="304"/>
      <c r="S589" s="304"/>
      <c r="T589" s="304"/>
      <c r="U589" s="304"/>
      <c r="V589" s="304"/>
      <c r="AL589" s="372" t="str">
        <f t="shared" si="38"/>
        <v/>
      </c>
    </row>
    <row r="590" spans="1:38" ht="15" customHeight="1" outlineLevel="1" x14ac:dyDescent="0.2">
      <c r="A590" s="403"/>
      <c r="B590" s="403"/>
      <c r="C590" s="403"/>
      <c r="D590" s="404"/>
      <c r="E590" s="405"/>
      <c r="F590" s="405"/>
      <c r="G590" s="403"/>
      <c r="H590" s="406"/>
      <c r="I590" s="406"/>
      <c r="J590" s="406"/>
      <c r="K590" s="304"/>
      <c r="L590" s="372"/>
      <c r="M590" s="372"/>
      <c r="N590" s="372"/>
      <c r="O590" s="372"/>
      <c r="P590" s="372"/>
      <c r="Q590" s="304"/>
      <c r="R590" s="304"/>
      <c r="S590" s="304"/>
      <c r="T590" s="304"/>
      <c r="U590" s="304"/>
      <c r="V590" s="304"/>
      <c r="AL590" s="372" t="str">
        <f t="shared" si="38"/>
        <v/>
      </c>
    </row>
    <row r="591" spans="1:38" ht="15" customHeight="1" outlineLevel="1" x14ac:dyDescent="0.2">
      <c r="A591" s="403"/>
      <c r="B591" s="403"/>
      <c r="C591" s="403"/>
      <c r="D591" s="404"/>
      <c r="E591" s="405"/>
      <c r="F591" s="405"/>
      <c r="G591" s="403"/>
      <c r="H591" s="406"/>
      <c r="I591" s="406"/>
      <c r="J591" s="406"/>
      <c r="K591" s="304"/>
      <c r="L591" s="372"/>
      <c r="M591" s="372"/>
      <c r="N591" s="372"/>
      <c r="O591" s="372"/>
      <c r="P591" s="372"/>
      <c r="Q591" s="304"/>
      <c r="R591" s="304"/>
      <c r="S591" s="304"/>
      <c r="T591" s="304"/>
      <c r="U591" s="304"/>
      <c r="V591" s="304"/>
      <c r="AL591" s="372" t="str">
        <f t="shared" si="38"/>
        <v/>
      </c>
    </row>
    <row r="592" spans="1:38" ht="15" customHeight="1" outlineLevel="1" x14ac:dyDescent="0.2">
      <c r="A592" s="403"/>
      <c r="B592" s="403"/>
      <c r="C592" s="403"/>
      <c r="D592" s="404"/>
      <c r="E592" s="405"/>
      <c r="F592" s="405"/>
      <c r="G592" s="403"/>
      <c r="H592" s="406"/>
      <c r="I592" s="406"/>
      <c r="J592" s="406"/>
      <c r="K592" s="304"/>
      <c r="L592" s="372"/>
      <c r="M592" s="372"/>
      <c r="N592" s="372"/>
      <c r="O592" s="372"/>
      <c r="P592" s="372"/>
      <c r="Q592" s="304"/>
      <c r="R592" s="304"/>
      <c r="S592" s="304"/>
      <c r="T592" s="304"/>
      <c r="U592" s="304"/>
      <c r="V592" s="304"/>
      <c r="AL592" s="372" t="str">
        <f t="shared" si="38"/>
        <v/>
      </c>
    </row>
    <row r="593" spans="1:38" ht="15" customHeight="1" outlineLevel="1" x14ac:dyDescent="0.2">
      <c r="A593" s="403"/>
      <c r="B593" s="403"/>
      <c r="C593" s="403"/>
      <c r="D593" s="404"/>
      <c r="E593" s="405"/>
      <c r="F593" s="405"/>
      <c r="G593" s="403"/>
      <c r="H593" s="406"/>
      <c r="I593" s="406"/>
      <c r="J593" s="406"/>
      <c r="K593" s="304"/>
      <c r="L593" s="372"/>
      <c r="M593" s="372"/>
      <c r="N593" s="372"/>
      <c r="O593" s="372"/>
      <c r="P593" s="372"/>
      <c r="Q593" s="304"/>
      <c r="R593" s="304"/>
      <c r="S593" s="304"/>
      <c r="T593" s="304"/>
      <c r="U593" s="304"/>
      <c r="V593" s="304"/>
      <c r="AL593" s="372" t="str">
        <f t="shared" ref="AL593:AL656" si="39">IF(($C593=$AG$245)*($N593&gt;0)*ISNUMBER($I593),$I593*100000+ROW(),"")</f>
        <v/>
      </c>
    </row>
    <row r="594" spans="1:38" ht="15" customHeight="1" outlineLevel="1" x14ac:dyDescent="0.2">
      <c r="A594" s="403"/>
      <c r="B594" s="403"/>
      <c r="C594" s="403"/>
      <c r="D594" s="404"/>
      <c r="E594" s="405"/>
      <c r="F594" s="405"/>
      <c r="G594" s="403"/>
      <c r="H594" s="406"/>
      <c r="I594" s="406"/>
      <c r="J594" s="406"/>
      <c r="K594" s="304"/>
      <c r="L594" s="372"/>
      <c r="M594" s="372"/>
      <c r="N594" s="372"/>
      <c r="O594" s="372"/>
      <c r="P594" s="372"/>
      <c r="Q594" s="304"/>
      <c r="R594" s="304"/>
      <c r="S594" s="304"/>
      <c r="T594" s="304"/>
      <c r="U594" s="304"/>
      <c r="V594" s="304"/>
      <c r="AL594" s="372" t="str">
        <f t="shared" si="39"/>
        <v/>
      </c>
    </row>
    <row r="595" spans="1:38" ht="15" customHeight="1" outlineLevel="1" x14ac:dyDescent="0.2">
      <c r="A595" s="403"/>
      <c r="B595" s="403"/>
      <c r="C595" s="403"/>
      <c r="D595" s="404"/>
      <c r="E595" s="405"/>
      <c r="F595" s="405"/>
      <c r="G595" s="403"/>
      <c r="H595" s="406"/>
      <c r="I595" s="406"/>
      <c r="J595" s="406"/>
      <c r="K595" s="304"/>
      <c r="L595" s="372"/>
      <c r="M595" s="372"/>
      <c r="N595" s="372"/>
      <c r="O595" s="372"/>
      <c r="P595" s="372"/>
      <c r="Q595" s="304"/>
      <c r="R595" s="304"/>
      <c r="S595" s="304"/>
      <c r="T595" s="304"/>
      <c r="U595" s="304"/>
      <c r="V595" s="304"/>
      <c r="AL595" s="372" t="str">
        <f t="shared" si="39"/>
        <v/>
      </c>
    </row>
    <row r="596" spans="1:38" ht="15" customHeight="1" outlineLevel="1" x14ac:dyDescent="0.2">
      <c r="A596" s="403"/>
      <c r="B596" s="403"/>
      <c r="C596" s="403"/>
      <c r="D596" s="404"/>
      <c r="E596" s="405"/>
      <c r="F596" s="405"/>
      <c r="G596" s="403"/>
      <c r="H596" s="406"/>
      <c r="I596" s="406"/>
      <c r="J596" s="406"/>
      <c r="K596" s="304"/>
      <c r="L596" s="372"/>
      <c r="M596" s="372"/>
      <c r="N596" s="372"/>
      <c r="O596" s="372"/>
      <c r="P596" s="372"/>
      <c r="Q596" s="304"/>
      <c r="R596" s="304"/>
      <c r="S596" s="304"/>
      <c r="T596" s="304"/>
      <c r="U596" s="304"/>
      <c r="V596" s="304"/>
      <c r="AL596" s="372" t="str">
        <f t="shared" si="39"/>
        <v/>
      </c>
    </row>
    <row r="597" spans="1:38" ht="15" customHeight="1" outlineLevel="1" x14ac:dyDescent="0.2">
      <c r="A597" s="403"/>
      <c r="B597" s="403"/>
      <c r="C597" s="403"/>
      <c r="D597" s="404"/>
      <c r="E597" s="405"/>
      <c r="F597" s="405"/>
      <c r="G597" s="403"/>
      <c r="H597" s="406"/>
      <c r="I597" s="406"/>
      <c r="J597" s="406"/>
      <c r="K597" s="304"/>
      <c r="L597" s="372"/>
      <c r="M597" s="372"/>
      <c r="N597" s="372"/>
      <c r="O597" s="372"/>
      <c r="P597" s="372"/>
      <c r="Q597" s="304"/>
      <c r="R597" s="304"/>
      <c r="S597" s="304"/>
      <c r="T597" s="304"/>
      <c r="U597" s="304"/>
      <c r="V597" s="304"/>
      <c r="AL597" s="372" t="str">
        <f t="shared" si="39"/>
        <v/>
      </c>
    </row>
    <row r="598" spans="1:38" ht="15" customHeight="1" outlineLevel="1" x14ac:dyDescent="0.2">
      <c r="A598" s="403"/>
      <c r="B598" s="403"/>
      <c r="C598" s="403"/>
      <c r="D598" s="404"/>
      <c r="E598" s="405"/>
      <c r="F598" s="405"/>
      <c r="G598" s="403"/>
      <c r="H598" s="406"/>
      <c r="I598" s="406"/>
      <c r="J598" s="406"/>
      <c r="K598" s="304"/>
      <c r="L598" s="372"/>
      <c r="M598" s="372"/>
      <c r="N598" s="372"/>
      <c r="O598" s="372"/>
      <c r="P598" s="372"/>
      <c r="Q598" s="304"/>
      <c r="R598" s="304"/>
      <c r="S598" s="304"/>
      <c r="T598" s="304"/>
      <c r="U598" s="304"/>
      <c r="V598" s="304"/>
      <c r="AL598" s="372" t="str">
        <f t="shared" si="39"/>
        <v/>
      </c>
    </row>
    <row r="599" spans="1:38" ht="15" customHeight="1" outlineLevel="1" x14ac:dyDescent="0.2">
      <c r="A599" s="403"/>
      <c r="B599" s="403"/>
      <c r="C599" s="403"/>
      <c r="D599" s="404"/>
      <c r="E599" s="405"/>
      <c r="F599" s="405"/>
      <c r="G599" s="403"/>
      <c r="H599" s="406"/>
      <c r="I599" s="406"/>
      <c r="J599" s="406"/>
      <c r="K599" s="304"/>
      <c r="L599" s="372"/>
      <c r="M599" s="372"/>
      <c r="N599" s="372"/>
      <c r="O599" s="372"/>
      <c r="P599" s="372"/>
      <c r="Q599" s="304"/>
      <c r="R599" s="304"/>
      <c r="S599" s="304"/>
      <c r="T599" s="304"/>
      <c r="U599" s="304"/>
      <c r="V599" s="304"/>
      <c r="AL599" s="372" t="str">
        <f t="shared" si="39"/>
        <v/>
      </c>
    </row>
    <row r="600" spans="1:38" ht="15" customHeight="1" outlineLevel="1" x14ac:dyDescent="0.2">
      <c r="A600" s="403"/>
      <c r="B600" s="403"/>
      <c r="C600" s="403"/>
      <c r="D600" s="404"/>
      <c r="E600" s="405"/>
      <c r="F600" s="405"/>
      <c r="G600" s="403"/>
      <c r="H600" s="406"/>
      <c r="I600" s="406"/>
      <c r="J600" s="406"/>
      <c r="K600" s="304"/>
      <c r="L600" s="372"/>
      <c r="M600" s="372"/>
      <c r="N600" s="372"/>
      <c r="O600" s="372"/>
      <c r="P600" s="372"/>
      <c r="Q600" s="304"/>
      <c r="R600" s="304"/>
      <c r="S600" s="304"/>
      <c r="T600" s="304"/>
      <c r="U600" s="304"/>
      <c r="V600" s="304"/>
      <c r="AL600" s="372" t="str">
        <f t="shared" si="39"/>
        <v/>
      </c>
    </row>
    <row r="601" spans="1:38" ht="15" customHeight="1" outlineLevel="1" x14ac:dyDescent="0.2">
      <c r="A601" s="403"/>
      <c r="B601" s="403"/>
      <c r="C601" s="403"/>
      <c r="D601" s="404"/>
      <c r="E601" s="405"/>
      <c r="F601" s="405"/>
      <c r="G601" s="403"/>
      <c r="H601" s="406"/>
      <c r="I601" s="406"/>
      <c r="J601" s="406"/>
      <c r="K601" s="304"/>
      <c r="L601" s="372"/>
      <c r="M601" s="372"/>
      <c r="N601" s="372"/>
      <c r="O601" s="372"/>
      <c r="P601" s="372"/>
      <c r="Q601" s="304"/>
      <c r="R601" s="304"/>
      <c r="S601" s="304"/>
      <c r="T601" s="304"/>
      <c r="U601" s="304"/>
      <c r="V601" s="304"/>
      <c r="AL601" s="372" t="str">
        <f t="shared" si="39"/>
        <v/>
      </c>
    </row>
    <row r="602" spans="1:38" ht="15" customHeight="1" outlineLevel="1" x14ac:dyDescent="0.2">
      <c r="A602" s="403"/>
      <c r="B602" s="403"/>
      <c r="C602" s="403"/>
      <c r="D602" s="404"/>
      <c r="E602" s="405"/>
      <c r="F602" s="405"/>
      <c r="G602" s="403"/>
      <c r="H602" s="406"/>
      <c r="I602" s="406"/>
      <c r="J602" s="406"/>
      <c r="K602" s="304"/>
      <c r="L602" s="372"/>
      <c r="M602" s="372"/>
      <c r="N602" s="372"/>
      <c r="O602" s="372"/>
      <c r="P602" s="372"/>
      <c r="Q602" s="304"/>
      <c r="R602" s="304"/>
      <c r="S602" s="304"/>
      <c r="T602" s="304"/>
      <c r="U602" s="304"/>
      <c r="V602" s="304"/>
      <c r="AL602" s="372" t="str">
        <f t="shared" si="39"/>
        <v/>
      </c>
    </row>
    <row r="603" spans="1:38" ht="15" customHeight="1" outlineLevel="1" x14ac:dyDescent="0.2">
      <c r="A603" s="403"/>
      <c r="B603" s="403"/>
      <c r="C603" s="403"/>
      <c r="D603" s="404"/>
      <c r="E603" s="405"/>
      <c r="F603" s="405"/>
      <c r="G603" s="403"/>
      <c r="H603" s="406"/>
      <c r="I603" s="406"/>
      <c r="J603" s="406"/>
      <c r="K603" s="304"/>
      <c r="L603" s="372"/>
      <c r="M603" s="372"/>
      <c r="N603" s="372"/>
      <c r="O603" s="372"/>
      <c r="P603" s="372"/>
      <c r="Q603" s="304"/>
      <c r="R603" s="304"/>
      <c r="S603" s="304"/>
      <c r="T603" s="304"/>
      <c r="U603" s="304"/>
      <c r="V603" s="304"/>
      <c r="AL603" s="372" t="str">
        <f t="shared" si="39"/>
        <v/>
      </c>
    </row>
    <row r="604" spans="1:38" ht="15" customHeight="1" outlineLevel="1" x14ac:dyDescent="0.2">
      <c r="A604" s="403"/>
      <c r="B604" s="403"/>
      <c r="C604" s="403"/>
      <c r="D604" s="404"/>
      <c r="E604" s="405"/>
      <c r="F604" s="405"/>
      <c r="G604" s="403"/>
      <c r="H604" s="406"/>
      <c r="I604" s="406"/>
      <c r="J604" s="406"/>
      <c r="K604" s="304"/>
      <c r="L604" s="372"/>
      <c r="M604" s="372"/>
      <c r="N604" s="372"/>
      <c r="O604" s="372"/>
      <c r="P604" s="372"/>
      <c r="Q604" s="304"/>
      <c r="R604" s="304"/>
      <c r="S604" s="304"/>
      <c r="T604" s="304"/>
      <c r="U604" s="304"/>
      <c r="V604" s="304"/>
      <c r="AL604" s="372" t="str">
        <f t="shared" si="39"/>
        <v/>
      </c>
    </row>
    <row r="605" spans="1:38" ht="15" customHeight="1" outlineLevel="1" x14ac:dyDescent="0.2">
      <c r="A605" s="403"/>
      <c r="B605" s="403"/>
      <c r="C605" s="403"/>
      <c r="D605" s="404"/>
      <c r="E605" s="405"/>
      <c r="F605" s="405"/>
      <c r="G605" s="403"/>
      <c r="H605" s="406"/>
      <c r="I605" s="406"/>
      <c r="J605" s="406"/>
      <c r="K605" s="304"/>
      <c r="L605" s="372"/>
      <c r="M605" s="372"/>
      <c r="N605" s="372"/>
      <c r="O605" s="372"/>
      <c r="P605" s="372"/>
      <c r="Q605" s="304"/>
      <c r="R605" s="304"/>
      <c r="S605" s="304"/>
      <c r="T605" s="304"/>
      <c r="U605" s="304"/>
      <c r="V605" s="304"/>
      <c r="AL605" s="372" t="str">
        <f t="shared" si="39"/>
        <v/>
      </c>
    </row>
    <row r="606" spans="1:38" ht="15" customHeight="1" outlineLevel="1" x14ac:dyDescent="0.2">
      <c r="A606" s="403"/>
      <c r="B606" s="403"/>
      <c r="C606" s="403"/>
      <c r="D606" s="404"/>
      <c r="E606" s="405"/>
      <c r="F606" s="405"/>
      <c r="G606" s="403"/>
      <c r="H606" s="406"/>
      <c r="I606" s="406"/>
      <c r="J606" s="406"/>
      <c r="K606" s="304"/>
      <c r="L606" s="372"/>
      <c r="M606" s="372"/>
      <c r="N606" s="372"/>
      <c r="O606" s="372"/>
      <c r="P606" s="372"/>
      <c r="Q606" s="304"/>
      <c r="R606" s="304"/>
      <c r="S606" s="304"/>
      <c r="T606" s="304"/>
      <c r="U606" s="304"/>
      <c r="V606" s="304"/>
      <c r="AL606" s="372" t="str">
        <f t="shared" si="39"/>
        <v/>
      </c>
    </row>
    <row r="607" spans="1:38" ht="15" customHeight="1" outlineLevel="1" x14ac:dyDescent="0.2">
      <c r="A607" s="403"/>
      <c r="B607" s="403"/>
      <c r="C607" s="403"/>
      <c r="D607" s="404"/>
      <c r="E607" s="405"/>
      <c r="F607" s="405"/>
      <c r="G607" s="403"/>
      <c r="H607" s="406"/>
      <c r="I607" s="406"/>
      <c r="J607" s="406"/>
      <c r="K607" s="304"/>
      <c r="L607" s="372"/>
      <c r="M607" s="372"/>
      <c r="N607" s="372"/>
      <c r="O607" s="372"/>
      <c r="P607" s="372"/>
      <c r="Q607" s="304"/>
      <c r="R607" s="304"/>
      <c r="S607" s="304"/>
      <c r="T607" s="304"/>
      <c r="U607" s="304"/>
      <c r="V607" s="304"/>
      <c r="AL607" s="372" t="str">
        <f t="shared" si="39"/>
        <v/>
      </c>
    </row>
    <row r="608" spans="1:38" ht="15" customHeight="1" outlineLevel="1" x14ac:dyDescent="0.2">
      <c r="A608" s="403"/>
      <c r="B608" s="403"/>
      <c r="C608" s="403"/>
      <c r="D608" s="404"/>
      <c r="E608" s="405"/>
      <c r="F608" s="405"/>
      <c r="G608" s="403"/>
      <c r="H608" s="406"/>
      <c r="I608" s="406"/>
      <c r="J608" s="406"/>
      <c r="K608" s="304"/>
      <c r="L608" s="372"/>
      <c r="M608" s="372"/>
      <c r="N608" s="372"/>
      <c r="O608" s="372"/>
      <c r="P608" s="372"/>
      <c r="Q608" s="304"/>
      <c r="R608" s="304"/>
      <c r="S608" s="304"/>
      <c r="T608" s="304"/>
      <c r="U608" s="304"/>
      <c r="V608" s="304"/>
      <c r="AL608" s="372" t="str">
        <f t="shared" si="39"/>
        <v/>
      </c>
    </row>
    <row r="609" spans="1:38" ht="15" customHeight="1" outlineLevel="1" x14ac:dyDescent="0.2">
      <c r="A609" s="403"/>
      <c r="B609" s="403"/>
      <c r="C609" s="403"/>
      <c r="D609" s="404"/>
      <c r="E609" s="405"/>
      <c r="F609" s="405"/>
      <c r="G609" s="403"/>
      <c r="H609" s="406"/>
      <c r="I609" s="406"/>
      <c r="J609" s="406"/>
      <c r="K609" s="304"/>
      <c r="L609" s="372"/>
      <c r="M609" s="372"/>
      <c r="N609" s="372"/>
      <c r="O609" s="372"/>
      <c r="P609" s="372"/>
      <c r="Q609" s="304"/>
      <c r="R609" s="304"/>
      <c r="S609" s="304"/>
      <c r="T609" s="304"/>
      <c r="U609" s="304"/>
      <c r="V609" s="304"/>
      <c r="AL609" s="372" t="str">
        <f t="shared" si="39"/>
        <v/>
      </c>
    </row>
    <row r="610" spans="1:38" ht="15" customHeight="1" outlineLevel="1" x14ac:dyDescent="0.2">
      <c r="A610" s="403"/>
      <c r="B610" s="403"/>
      <c r="C610" s="403"/>
      <c r="D610" s="404"/>
      <c r="E610" s="405"/>
      <c r="F610" s="405"/>
      <c r="G610" s="403"/>
      <c r="H610" s="406"/>
      <c r="I610" s="406"/>
      <c r="J610" s="406"/>
      <c r="K610" s="304"/>
      <c r="L610" s="372"/>
      <c r="M610" s="372"/>
      <c r="N610" s="372"/>
      <c r="O610" s="372"/>
      <c r="P610" s="372"/>
      <c r="Q610" s="304"/>
      <c r="R610" s="304"/>
      <c r="S610" s="304"/>
      <c r="T610" s="304"/>
      <c r="U610" s="304"/>
      <c r="V610" s="304"/>
      <c r="AL610" s="372" t="str">
        <f t="shared" si="39"/>
        <v/>
      </c>
    </row>
    <row r="611" spans="1:38" ht="15" customHeight="1" outlineLevel="1" x14ac:dyDescent="0.2">
      <c r="A611" s="403"/>
      <c r="B611" s="403"/>
      <c r="C611" s="403"/>
      <c r="D611" s="404"/>
      <c r="E611" s="405"/>
      <c r="F611" s="405"/>
      <c r="G611" s="403"/>
      <c r="H611" s="406"/>
      <c r="I611" s="406"/>
      <c r="J611" s="406"/>
      <c r="K611" s="304"/>
      <c r="L611" s="372"/>
      <c r="M611" s="372"/>
      <c r="N611" s="372"/>
      <c r="O611" s="372"/>
      <c r="P611" s="372"/>
      <c r="Q611" s="304"/>
      <c r="R611" s="304"/>
      <c r="S611" s="304"/>
      <c r="T611" s="304"/>
      <c r="U611" s="304"/>
      <c r="V611" s="304"/>
      <c r="AL611" s="372" t="str">
        <f t="shared" si="39"/>
        <v/>
      </c>
    </row>
    <row r="612" spans="1:38" ht="15" customHeight="1" outlineLevel="1" x14ac:dyDescent="0.2">
      <c r="A612" s="403"/>
      <c r="B612" s="403"/>
      <c r="C612" s="403"/>
      <c r="D612" s="404"/>
      <c r="E612" s="405"/>
      <c r="F612" s="405"/>
      <c r="G612" s="403"/>
      <c r="H612" s="406"/>
      <c r="I612" s="406"/>
      <c r="J612" s="406"/>
      <c r="K612" s="304"/>
      <c r="L612" s="372"/>
      <c r="M612" s="372"/>
      <c r="N612" s="372"/>
      <c r="O612" s="372"/>
      <c r="P612" s="372"/>
      <c r="Q612" s="304"/>
      <c r="R612" s="304"/>
      <c r="S612" s="304"/>
      <c r="T612" s="304"/>
      <c r="U612" s="304"/>
      <c r="V612" s="304"/>
      <c r="AL612" s="372" t="str">
        <f t="shared" si="39"/>
        <v/>
      </c>
    </row>
    <row r="613" spans="1:38" ht="15" customHeight="1" outlineLevel="1" x14ac:dyDescent="0.2">
      <c r="A613" s="403"/>
      <c r="B613" s="403"/>
      <c r="C613" s="403"/>
      <c r="D613" s="404"/>
      <c r="E613" s="405"/>
      <c r="F613" s="405"/>
      <c r="G613" s="403"/>
      <c r="H613" s="406"/>
      <c r="I613" s="406"/>
      <c r="J613" s="406"/>
      <c r="K613" s="304"/>
      <c r="L613" s="372"/>
      <c r="M613" s="372"/>
      <c r="N613" s="372"/>
      <c r="O613" s="372"/>
      <c r="P613" s="372"/>
      <c r="Q613" s="304"/>
      <c r="R613" s="304"/>
      <c r="S613" s="304"/>
      <c r="T613" s="304"/>
      <c r="U613" s="304"/>
      <c r="V613" s="304"/>
      <c r="AL613" s="372" t="str">
        <f t="shared" si="39"/>
        <v/>
      </c>
    </row>
    <row r="614" spans="1:38" ht="15" customHeight="1" outlineLevel="1" x14ac:dyDescent="0.2">
      <c r="A614" s="403"/>
      <c r="B614" s="403"/>
      <c r="C614" s="403"/>
      <c r="D614" s="404"/>
      <c r="E614" s="405"/>
      <c r="F614" s="405"/>
      <c r="G614" s="403"/>
      <c r="H614" s="406"/>
      <c r="I614" s="406"/>
      <c r="J614" s="406"/>
      <c r="K614" s="304"/>
      <c r="L614" s="372"/>
      <c r="M614" s="372"/>
      <c r="N614" s="372"/>
      <c r="O614" s="372"/>
      <c r="P614" s="372"/>
      <c r="Q614" s="304"/>
      <c r="R614" s="304"/>
      <c r="S614" s="304"/>
      <c r="T614" s="304"/>
      <c r="U614" s="304"/>
      <c r="V614" s="304"/>
      <c r="AL614" s="372" t="str">
        <f t="shared" si="39"/>
        <v/>
      </c>
    </row>
    <row r="615" spans="1:38" ht="15" customHeight="1" outlineLevel="1" x14ac:dyDescent="0.2">
      <c r="A615" s="403"/>
      <c r="B615" s="403"/>
      <c r="C615" s="403"/>
      <c r="D615" s="404"/>
      <c r="E615" s="405"/>
      <c r="F615" s="405"/>
      <c r="G615" s="403"/>
      <c r="H615" s="406"/>
      <c r="I615" s="406"/>
      <c r="J615" s="406"/>
      <c r="K615" s="304"/>
      <c r="L615" s="372"/>
      <c r="M615" s="372"/>
      <c r="N615" s="372"/>
      <c r="O615" s="372"/>
      <c r="P615" s="372"/>
      <c r="Q615" s="304"/>
      <c r="R615" s="304"/>
      <c r="S615" s="304"/>
      <c r="T615" s="304"/>
      <c r="U615" s="304"/>
      <c r="V615" s="304"/>
      <c r="AL615" s="372" t="str">
        <f t="shared" si="39"/>
        <v/>
      </c>
    </row>
    <row r="616" spans="1:38" ht="15" customHeight="1" outlineLevel="1" x14ac:dyDescent="0.2">
      <c r="A616" s="403"/>
      <c r="B616" s="403"/>
      <c r="C616" s="403"/>
      <c r="D616" s="404"/>
      <c r="E616" s="405"/>
      <c r="F616" s="405"/>
      <c r="G616" s="403"/>
      <c r="H616" s="406"/>
      <c r="I616" s="406"/>
      <c r="J616" s="406"/>
      <c r="K616" s="304"/>
      <c r="L616" s="372"/>
      <c r="M616" s="372"/>
      <c r="N616" s="372"/>
      <c r="O616" s="372"/>
      <c r="P616" s="372"/>
      <c r="Q616" s="304"/>
      <c r="R616" s="304"/>
      <c r="S616" s="304"/>
      <c r="T616" s="304"/>
      <c r="U616" s="304"/>
      <c r="V616" s="304"/>
      <c r="AL616" s="372" t="str">
        <f t="shared" si="39"/>
        <v/>
      </c>
    </row>
    <row r="617" spans="1:38" ht="15" customHeight="1" outlineLevel="1" x14ac:dyDescent="0.2">
      <c r="A617" s="403"/>
      <c r="B617" s="403"/>
      <c r="C617" s="403"/>
      <c r="D617" s="404"/>
      <c r="E617" s="405"/>
      <c r="F617" s="405"/>
      <c r="G617" s="403"/>
      <c r="H617" s="406"/>
      <c r="I617" s="406"/>
      <c r="J617" s="406"/>
      <c r="K617" s="304"/>
      <c r="L617" s="372"/>
      <c r="M617" s="372"/>
      <c r="N617" s="372"/>
      <c r="O617" s="372"/>
      <c r="P617" s="372"/>
      <c r="Q617" s="304"/>
      <c r="R617" s="304"/>
      <c r="S617" s="304"/>
      <c r="T617" s="304"/>
      <c r="U617" s="304"/>
      <c r="V617" s="304"/>
      <c r="AL617" s="372" t="str">
        <f t="shared" si="39"/>
        <v/>
      </c>
    </row>
    <row r="618" spans="1:38" ht="15" customHeight="1" outlineLevel="1" x14ac:dyDescent="0.2">
      <c r="A618" s="403"/>
      <c r="B618" s="403"/>
      <c r="C618" s="403"/>
      <c r="D618" s="404"/>
      <c r="E618" s="405"/>
      <c r="F618" s="405"/>
      <c r="G618" s="403"/>
      <c r="H618" s="406"/>
      <c r="I618" s="406"/>
      <c r="J618" s="406"/>
      <c r="K618" s="304"/>
      <c r="L618" s="372"/>
      <c r="M618" s="372"/>
      <c r="N618" s="372"/>
      <c r="O618" s="372"/>
      <c r="P618" s="372"/>
      <c r="Q618" s="304"/>
      <c r="R618" s="304"/>
      <c r="S618" s="304"/>
      <c r="T618" s="304"/>
      <c r="U618" s="304"/>
      <c r="V618" s="304"/>
      <c r="AL618" s="372" t="str">
        <f t="shared" si="39"/>
        <v/>
      </c>
    </row>
    <row r="619" spans="1:38" ht="15" customHeight="1" outlineLevel="1" x14ac:dyDescent="0.2">
      <c r="A619" s="403"/>
      <c r="B619" s="403"/>
      <c r="C619" s="403"/>
      <c r="D619" s="404"/>
      <c r="E619" s="405"/>
      <c r="F619" s="405"/>
      <c r="G619" s="403"/>
      <c r="H619" s="406"/>
      <c r="I619" s="406"/>
      <c r="J619" s="406"/>
      <c r="K619" s="304"/>
      <c r="L619" s="372"/>
      <c r="M619" s="372"/>
      <c r="N619" s="372"/>
      <c r="O619" s="372"/>
      <c r="P619" s="372"/>
      <c r="Q619" s="304"/>
      <c r="R619" s="304"/>
      <c r="S619" s="304"/>
      <c r="T619" s="304"/>
      <c r="U619" s="304"/>
      <c r="V619" s="304"/>
      <c r="AL619" s="372" t="str">
        <f t="shared" si="39"/>
        <v/>
      </c>
    </row>
    <row r="620" spans="1:38" ht="15" customHeight="1" outlineLevel="1" x14ac:dyDescent="0.2">
      <c r="A620" s="403"/>
      <c r="B620" s="403"/>
      <c r="C620" s="403"/>
      <c r="D620" s="404"/>
      <c r="E620" s="405"/>
      <c r="F620" s="405"/>
      <c r="G620" s="403"/>
      <c r="H620" s="406"/>
      <c r="I620" s="406"/>
      <c r="J620" s="406"/>
      <c r="K620" s="304"/>
      <c r="L620" s="372"/>
      <c r="M620" s="372"/>
      <c r="N620" s="372"/>
      <c r="O620" s="372"/>
      <c r="P620" s="372"/>
      <c r="Q620" s="304"/>
      <c r="R620" s="304"/>
      <c r="S620" s="304"/>
      <c r="T620" s="304"/>
      <c r="U620" s="304"/>
      <c r="V620" s="304"/>
      <c r="AL620" s="372" t="str">
        <f t="shared" si="39"/>
        <v/>
      </c>
    </row>
    <row r="621" spans="1:38" ht="15" customHeight="1" outlineLevel="1" x14ac:dyDescent="0.2">
      <c r="A621" s="403"/>
      <c r="B621" s="403"/>
      <c r="C621" s="403"/>
      <c r="D621" s="404"/>
      <c r="E621" s="405"/>
      <c r="F621" s="405"/>
      <c r="G621" s="403"/>
      <c r="H621" s="406"/>
      <c r="I621" s="406"/>
      <c r="J621" s="406"/>
      <c r="K621" s="304"/>
      <c r="L621" s="372"/>
      <c r="M621" s="372"/>
      <c r="N621" s="372"/>
      <c r="O621" s="372"/>
      <c r="P621" s="372"/>
      <c r="Q621" s="304"/>
      <c r="R621" s="304"/>
      <c r="S621" s="304"/>
      <c r="T621" s="304"/>
      <c r="U621" s="304"/>
      <c r="V621" s="304"/>
      <c r="AL621" s="372" t="str">
        <f t="shared" si="39"/>
        <v/>
      </c>
    </row>
    <row r="622" spans="1:38" ht="15" customHeight="1" outlineLevel="1" x14ac:dyDescent="0.2">
      <c r="A622" s="403"/>
      <c r="B622" s="403"/>
      <c r="C622" s="403"/>
      <c r="D622" s="404"/>
      <c r="E622" s="405"/>
      <c r="F622" s="405"/>
      <c r="G622" s="403"/>
      <c r="H622" s="406"/>
      <c r="I622" s="406"/>
      <c r="J622" s="406"/>
      <c r="K622" s="304"/>
      <c r="L622" s="372"/>
      <c r="M622" s="372"/>
      <c r="N622" s="372"/>
      <c r="O622" s="372"/>
      <c r="P622" s="372"/>
      <c r="Q622" s="304"/>
      <c r="R622" s="304"/>
      <c r="S622" s="304"/>
      <c r="T622" s="304"/>
      <c r="U622" s="304"/>
      <c r="V622" s="304"/>
      <c r="AL622" s="372" t="str">
        <f t="shared" si="39"/>
        <v/>
      </c>
    </row>
    <row r="623" spans="1:38" ht="15" customHeight="1" outlineLevel="1" x14ac:dyDescent="0.2">
      <c r="A623" s="403"/>
      <c r="B623" s="403"/>
      <c r="C623" s="403"/>
      <c r="D623" s="404"/>
      <c r="E623" s="405"/>
      <c r="F623" s="405"/>
      <c r="G623" s="403"/>
      <c r="H623" s="406"/>
      <c r="I623" s="406"/>
      <c r="J623" s="406"/>
      <c r="K623" s="304"/>
      <c r="L623" s="372"/>
      <c r="M623" s="372"/>
      <c r="N623" s="372"/>
      <c r="O623" s="372"/>
      <c r="P623" s="372"/>
      <c r="Q623" s="304"/>
      <c r="R623" s="304"/>
      <c r="S623" s="304"/>
      <c r="T623" s="304"/>
      <c r="U623" s="304"/>
      <c r="V623" s="304"/>
      <c r="AL623" s="372" t="str">
        <f t="shared" si="39"/>
        <v/>
      </c>
    </row>
    <row r="624" spans="1:38" ht="15" customHeight="1" outlineLevel="1" x14ac:dyDescent="0.2">
      <c r="A624" s="403"/>
      <c r="B624" s="403"/>
      <c r="C624" s="403"/>
      <c r="D624" s="404"/>
      <c r="E624" s="405"/>
      <c r="F624" s="405"/>
      <c r="G624" s="403"/>
      <c r="H624" s="406"/>
      <c r="I624" s="406"/>
      <c r="J624" s="406"/>
      <c r="K624" s="304"/>
      <c r="L624" s="372"/>
      <c r="M624" s="372"/>
      <c r="N624" s="372"/>
      <c r="O624" s="372"/>
      <c r="P624" s="372"/>
      <c r="Q624" s="304"/>
      <c r="R624" s="304"/>
      <c r="S624" s="304"/>
      <c r="T624" s="304"/>
      <c r="U624" s="304"/>
      <c r="V624" s="304"/>
      <c r="AL624" s="372" t="str">
        <f t="shared" si="39"/>
        <v/>
      </c>
    </row>
    <row r="625" spans="1:38" ht="15" customHeight="1" outlineLevel="1" x14ac:dyDescent="0.2">
      <c r="A625" s="403"/>
      <c r="B625" s="403"/>
      <c r="C625" s="403"/>
      <c r="D625" s="404"/>
      <c r="E625" s="405"/>
      <c r="F625" s="405"/>
      <c r="G625" s="403"/>
      <c r="H625" s="406"/>
      <c r="I625" s="406"/>
      <c r="J625" s="406"/>
      <c r="K625" s="304"/>
      <c r="L625" s="372"/>
      <c r="M625" s="372"/>
      <c r="N625" s="372"/>
      <c r="O625" s="372"/>
      <c r="P625" s="372"/>
      <c r="Q625" s="304"/>
      <c r="R625" s="304"/>
      <c r="S625" s="304"/>
      <c r="T625" s="304"/>
      <c r="U625" s="304"/>
      <c r="V625" s="304"/>
      <c r="AL625" s="372" t="str">
        <f t="shared" si="39"/>
        <v/>
      </c>
    </row>
    <row r="626" spans="1:38" ht="15" customHeight="1" outlineLevel="1" x14ac:dyDescent="0.2">
      <c r="A626" s="403"/>
      <c r="B626" s="403"/>
      <c r="C626" s="403"/>
      <c r="D626" s="404"/>
      <c r="E626" s="405"/>
      <c r="F626" s="405"/>
      <c r="G626" s="403"/>
      <c r="H626" s="406"/>
      <c r="I626" s="406"/>
      <c r="J626" s="406"/>
      <c r="K626" s="304"/>
      <c r="L626" s="372"/>
      <c r="M626" s="372"/>
      <c r="N626" s="372"/>
      <c r="O626" s="372"/>
      <c r="P626" s="372"/>
      <c r="Q626" s="304"/>
      <c r="R626" s="304"/>
      <c r="S626" s="304"/>
      <c r="T626" s="304"/>
      <c r="U626" s="304"/>
      <c r="V626" s="304"/>
      <c r="AL626" s="372" t="str">
        <f t="shared" si="39"/>
        <v/>
      </c>
    </row>
    <row r="627" spans="1:38" ht="15" customHeight="1" outlineLevel="1" x14ac:dyDescent="0.2">
      <c r="A627" s="403"/>
      <c r="B627" s="403"/>
      <c r="C627" s="403"/>
      <c r="D627" s="404"/>
      <c r="E627" s="405"/>
      <c r="F627" s="405"/>
      <c r="G627" s="403"/>
      <c r="H627" s="406"/>
      <c r="I627" s="406"/>
      <c r="J627" s="406"/>
      <c r="K627" s="304"/>
      <c r="L627" s="372"/>
      <c r="M627" s="372"/>
      <c r="N627" s="372"/>
      <c r="O627" s="372"/>
      <c r="P627" s="372"/>
      <c r="Q627" s="304"/>
      <c r="R627" s="304"/>
      <c r="S627" s="304"/>
      <c r="T627" s="304"/>
      <c r="U627" s="304"/>
      <c r="V627" s="304"/>
      <c r="AL627" s="372" t="str">
        <f t="shared" si="39"/>
        <v/>
      </c>
    </row>
    <row r="628" spans="1:38" ht="15" customHeight="1" outlineLevel="1" x14ac:dyDescent="0.2">
      <c r="A628" s="403"/>
      <c r="B628" s="403"/>
      <c r="C628" s="403"/>
      <c r="D628" s="404"/>
      <c r="E628" s="405"/>
      <c r="F628" s="405"/>
      <c r="G628" s="403"/>
      <c r="H628" s="406"/>
      <c r="I628" s="406"/>
      <c r="J628" s="406"/>
      <c r="K628" s="304"/>
      <c r="L628" s="372"/>
      <c r="M628" s="372"/>
      <c r="N628" s="372"/>
      <c r="O628" s="372"/>
      <c r="P628" s="372"/>
      <c r="Q628" s="304"/>
      <c r="R628" s="304"/>
      <c r="S628" s="304"/>
      <c r="T628" s="304"/>
      <c r="U628" s="304"/>
      <c r="V628" s="304"/>
      <c r="AL628" s="372" t="str">
        <f t="shared" si="39"/>
        <v/>
      </c>
    </row>
    <row r="629" spans="1:38" ht="15" customHeight="1" outlineLevel="1" x14ac:dyDescent="0.2">
      <c r="A629" s="403"/>
      <c r="B629" s="403"/>
      <c r="C629" s="403"/>
      <c r="D629" s="404"/>
      <c r="E629" s="405"/>
      <c r="F629" s="405"/>
      <c r="G629" s="403"/>
      <c r="H629" s="406"/>
      <c r="I629" s="406"/>
      <c r="J629" s="406"/>
      <c r="K629" s="304"/>
      <c r="L629" s="372"/>
      <c r="M629" s="372"/>
      <c r="N629" s="372"/>
      <c r="O629" s="372"/>
      <c r="P629" s="372"/>
      <c r="Q629" s="304"/>
      <c r="R629" s="304"/>
      <c r="S629" s="304"/>
      <c r="T629" s="304"/>
      <c r="U629" s="304"/>
      <c r="V629" s="304"/>
      <c r="AL629" s="372" t="str">
        <f t="shared" si="39"/>
        <v/>
      </c>
    </row>
    <row r="630" spans="1:38" ht="15" customHeight="1" outlineLevel="1" x14ac:dyDescent="0.2">
      <c r="A630" s="403"/>
      <c r="B630" s="403"/>
      <c r="C630" s="403"/>
      <c r="D630" s="404"/>
      <c r="E630" s="405"/>
      <c r="F630" s="405"/>
      <c r="G630" s="403"/>
      <c r="H630" s="406"/>
      <c r="I630" s="406"/>
      <c r="J630" s="406"/>
      <c r="K630" s="304"/>
      <c r="L630" s="372"/>
      <c r="M630" s="372"/>
      <c r="N630" s="372"/>
      <c r="O630" s="372"/>
      <c r="P630" s="372"/>
      <c r="Q630" s="304"/>
      <c r="R630" s="304"/>
      <c r="S630" s="304"/>
      <c r="T630" s="304"/>
      <c r="U630" s="304"/>
      <c r="V630" s="304"/>
      <c r="AL630" s="372" t="str">
        <f t="shared" si="39"/>
        <v/>
      </c>
    </row>
    <row r="631" spans="1:38" ht="15" customHeight="1" outlineLevel="1" x14ac:dyDescent="0.2">
      <c r="A631" s="403"/>
      <c r="B631" s="403"/>
      <c r="C631" s="403"/>
      <c r="D631" s="404"/>
      <c r="E631" s="405"/>
      <c r="F631" s="405"/>
      <c r="G631" s="403"/>
      <c r="H631" s="406"/>
      <c r="I631" s="406"/>
      <c r="J631" s="406"/>
      <c r="K631" s="304"/>
      <c r="L631" s="372"/>
      <c r="M631" s="372"/>
      <c r="N631" s="372"/>
      <c r="O631" s="372"/>
      <c r="P631" s="372"/>
      <c r="Q631" s="304"/>
      <c r="R631" s="304"/>
      <c r="S631" s="304"/>
      <c r="T631" s="304"/>
      <c r="U631" s="304"/>
      <c r="V631" s="304"/>
      <c r="AL631" s="372" t="str">
        <f t="shared" si="39"/>
        <v/>
      </c>
    </row>
    <row r="632" spans="1:38" ht="15" customHeight="1" outlineLevel="1" x14ac:dyDescent="0.2">
      <c r="A632" s="403"/>
      <c r="B632" s="403"/>
      <c r="C632" s="403"/>
      <c r="D632" s="404"/>
      <c r="E632" s="405"/>
      <c r="F632" s="405"/>
      <c r="G632" s="403"/>
      <c r="H632" s="406"/>
      <c r="I632" s="406"/>
      <c r="J632" s="406"/>
      <c r="K632" s="304"/>
      <c r="L632" s="372"/>
      <c r="M632" s="372"/>
      <c r="N632" s="372"/>
      <c r="O632" s="372"/>
      <c r="P632" s="372"/>
      <c r="Q632" s="304"/>
      <c r="R632" s="304"/>
      <c r="S632" s="304"/>
      <c r="T632" s="304"/>
      <c r="U632" s="304"/>
      <c r="V632" s="304"/>
      <c r="AL632" s="372" t="str">
        <f t="shared" si="39"/>
        <v/>
      </c>
    </row>
    <row r="633" spans="1:38" ht="15" customHeight="1" outlineLevel="1" x14ac:dyDescent="0.2">
      <c r="A633" s="403"/>
      <c r="B633" s="403"/>
      <c r="C633" s="403"/>
      <c r="D633" s="404"/>
      <c r="E633" s="405"/>
      <c r="F633" s="405"/>
      <c r="G633" s="403"/>
      <c r="H633" s="406"/>
      <c r="I633" s="406"/>
      <c r="J633" s="406"/>
      <c r="K633" s="304"/>
      <c r="L633" s="372"/>
      <c r="M633" s="372"/>
      <c r="N633" s="372"/>
      <c r="O633" s="372"/>
      <c r="P633" s="372"/>
      <c r="Q633" s="304"/>
      <c r="R633" s="304"/>
      <c r="S633" s="304"/>
      <c r="T633" s="304"/>
      <c r="U633" s="304"/>
      <c r="V633" s="304"/>
      <c r="AL633" s="372" t="str">
        <f t="shared" si="39"/>
        <v/>
      </c>
    </row>
    <row r="634" spans="1:38" ht="15" customHeight="1" outlineLevel="1" x14ac:dyDescent="0.2">
      <c r="A634" s="403"/>
      <c r="B634" s="403"/>
      <c r="C634" s="403"/>
      <c r="D634" s="404"/>
      <c r="E634" s="405"/>
      <c r="F634" s="405"/>
      <c r="G634" s="403"/>
      <c r="H634" s="406"/>
      <c r="I634" s="406"/>
      <c r="J634" s="406"/>
      <c r="K634" s="304"/>
      <c r="L634" s="372"/>
      <c r="M634" s="372"/>
      <c r="N634" s="372"/>
      <c r="O634" s="372"/>
      <c r="P634" s="372"/>
      <c r="Q634" s="304"/>
      <c r="R634" s="304"/>
      <c r="S634" s="304"/>
      <c r="T634" s="304"/>
      <c r="U634" s="304"/>
      <c r="V634" s="304"/>
      <c r="AL634" s="372" t="str">
        <f t="shared" si="39"/>
        <v/>
      </c>
    </row>
    <row r="635" spans="1:38" ht="15" customHeight="1" outlineLevel="1" x14ac:dyDescent="0.2">
      <c r="A635" s="403"/>
      <c r="B635" s="403"/>
      <c r="C635" s="403"/>
      <c r="D635" s="404"/>
      <c r="E635" s="405"/>
      <c r="F635" s="405"/>
      <c r="G635" s="403"/>
      <c r="H635" s="406"/>
      <c r="I635" s="406"/>
      <c r="J635" s="406"/>
      <c r="K635" s="304"/>
      <c r="L635" s="372"/>
      <c r="M635" s="372"/>
      <c r="N635" s="372"/>
      <c r="O635" s="372"/>
      <c r="P635" s="372"/>
      <c r="Q635" s="304"/>
      <c r="R635" s="304"/>
      <c r="S635" s="304"/>
      <c r="T635" s="304"/>
      <c r="U635" s="304"/>
      <c r="V635" s="304"/>
      <c r="AL635" s="372" t="str">
        <f t="shared" si="39"/>
        <v/>
      </c>
    </row>
    <row r="636" spans="1:38" ht="15" customHeight="1" outlineLevel="1" x14ac:dyDescent="0.2">
      <c r="A636" s="403"/>
      <c r="B636" s="403"/>
      <c r="C636" s="403"/>
      <c r="D636" s="404"/>
      <c r="E636" s="405"/>
      <c r="F636" s="405"/>
      <c r="G636" s="403"/>
      <c r="H636" s="406"/>
      <c r="I636" s="406"/>
      <c r="J636" s="406"/>
      <c r="K636" s="304"/>
      <c r="L636" s="372"/>
      <c r="M636" s="372"/>
      <c r="N636" s="372"/>
      <c r="O636" s="372"/>
      <c r="P636" s="372"/>
      <c r="Q636" s="304"/>
      <c r="R636" s="304"/>
      <c r="S636" s="304"/>
      <c r="T636" s="304"/>
      <c r="U636" s="304"/>
      <c r="V636" s="304"/>
      <c r="AL636" s="372" t="str">
        <f t="shared" si="39"/>
        <v/>
      </c>
    </row>
    <row r="637" spans="1:38" ht="15" customHeight="1" outlineLevel="1" x14ac:dyDescent="0.2">
      <c r="A637" s="403"/>
      <c r="B637" s="403"/>
      <c r="C637" s="403"/>
      <c r="D637" s="404"/>
      <c r="E637" s="405"/>
      <c r="F637" s="405"/>
      <c r="G637" s="403"/>
      <c r="H637" s="406"/>
      <c r="I637" s="406"/>
      <c r="J637" s="406"/>
      <c r="K637" s="304"/>
      <c r="L637" s="372"/>
      <c r="M637" s="372"/>
      <c r="N637" s="372"/>
      <c r="O637" s="372"/>
      <c r="P637" s="372"/>
      <c r="Q637" s="304"/>
      <c r="R637" s="304"/>
      <c r="S637" s="304"/>
      <c r="T637" s="304"/>
      <c r="U637" s="304"/>
      <c r="V637" s="304"/>
      <c r="AL637" s="372" t="str">
        <f t="shared" si="39"/>
        <v/>
      </c>
    </row>
    <row r="638" spans="1:38" ht="15" customHeight="1" outlineLevel="1" x14ac:dyDescent="0.2">
      <c r="A638" s="403"/>
      <c r="B638" s="403"/>
      <c r="C638" s="403"/>
      <c r="D638" s="404"/>
      <c r="E638" s="405"/>
      <c r="F638" s="405"/>
      <c r="G638" s="403"/>
      <c r="H638" s="406"/>
      <c r="I638" s="406"/>
      <c r="J638" s="406"/>
      <c r="K638" s="304"/>
      <c r="L638" s="372"/>
      <c r="M638" s="372"/>
      <c r="N638" s="372"/>
      <c r="O638" s="372"/>
      <c r="P638" s="372"/>
      <c r="Q638" s="304"/>
      <c r="R638" s="304"/>
      <c r="S638" s="304"/>
      <c r="T638" s="304"/>
      <c r="U638" s="304"/>
      <c r="V638" s="304"/>
      <c r="AL638" s="372" t="str">
        <f t="shared" si="39"/>
        <v/>
      </c>
    </row>
    <row r="639" spans="1:38" ht="15" customHeight="1" outlineLevel="1" x14ac:dyDescent="0.2">
      <c r="A639" s="403"/>
      <c r="B639" s="403"/>
      <c r="C639" s="403"/>
      <c r="D639" s="404"/>
      <c r="E639" s="405"/>
      <c r="F639" s="405"/>
      <c r="G639" s="403"/>
      <c r="H639" s="406"/>
      <c r="I639" s="406"/>
      <c r="J639" s="406"/>
      <c r="K639" s="304"/>
      <c r="L639" s="372"/>
      <c r="M639" s="372"/>
      <c r="N639" s="372"/>
      <c r="O639" s="372"/>
      <c r="P639" s="372"/>
      <c r="Q639" s="304"/>
      <c r="R639" s="304"/>
      <c r="S639" s="304"/>
      <c r="T639" s="304"/>
      <c r="U639" s="304"/>
      <c r="V639" s="304"/>
      <c r="AL639" s="372" t="str">
        <f t="shared" si="39"/>
        <v/>
      </c>
    </row>
    <row r="640" spans="1:38" ht="15" customHeight="1" outlineLevel="1" x14ac:dyDescent="0.2">
      <c r="A640" s="403"/>
      <c r="B640" s="403"/>
      <c r="C640" s="403"/>
      <c r="D640" s="404"/>
      <c r="E640" s="405"/>
      <c r="F640" s="405"/>
      <c r="G640" s="403"/>
      <c r="H640" s="406"/>
      <c r="I640" s="406"/>
      <c r="J640" s="406"/>
      <c r="K640" s="304"/>
      <c r="L640" s="372"/>
      <c r="M640" s="372"/>
      <c r="N640" s="372"/>
      <c r="O640" s="372"/>
      <c r="P640" s="372"/>
      <c r="Q640" s="304"/>
      <c r="R640" s="304"/>
      <c r="S640" s="304"/>
      <c r="T640" s="304"/>
      <c r="U640" s="304"/>
      <c r="V640" s="304"/>
      <c r="AL640" s="372" t="str">
        <f t="shared" si="39"/>
        <v/>
      </c>
    </row>
    <row r="641" spans="1:38" ht="15" customHeight="1" outlineLevel="1" x14ac:dyDescent="0.2">
      <c r="A641" s="403"/>
      <c r="B641" s="403"/>
      <c r="C641" s="403"/>
      <c r="D641" s="404"/>
      <c r="E641" s="405"/>
      <c r="F641" s="405"/>
      <c r="G641" s="403"/>
      <c r="H641" s="406"/>
      <c r="I641" s="406"/>
      <c r="J641" s="406"/>
      <c r="K641" s="304"/>
      <c r="L641" s="372"/>
      <c r="M641" s="372"/>
      <c r="N641" s="372"/>
      <c r="O641" s="372"/>
      <c r="P641" s="372"/>
      <c r="Q641" s="304"/>
      <c r="R641" s="304"/>
      <c r="S641" s="304"/>
      <c r="T641" s="304"/>
      <c r="U641" s="304"/>
      <c r="V641" s="304"/>
      <c r="AL641" s="372" t="str">
        <f t="shared" si="39"/>
        <v/>
      </c>
    </row>
    <row r="642" spans="1:38" ht="15" customHeight="1" outlineLevel="1" x14ac:dyDescent="0.2">
      <c r="A642" s="403"/>
      <c r="B642" s="403"/>
      <c r="C642" s="403"/>
      <c r="D642" s="404"/>
      <c r="E642" s="405"/>
      <c r="F642" s="405"/>
      <c r="G642" s="403"/>
      <c r="H642" s="406"/>
      <c r="I642" s="406"/>
      <c r="J642" s="406"/>
      <c r="K642" s="304"/>
      <c r="L642" s="372"/>
      <c r="M642" s="372"/>
      <c r="N642" s="372"/>
      <c r="O642" s="372"/>
      <c r="P642" s="372"/>
      <c r="Q642" s="304"/>
      <c r="R642" s="304"/>
      <c r="S642" s="304"/>
      <c r="T642" s="304"/>
      <c r="U642" s="304"/>
      <c r="V642" s="304"/>
      <c r="AL642" s="372" t="str">
        <f t="shared" si="39"/>
        <v/>
      </c>
    </row>
    <row r="643" spans="1:38" ht="15" customHeight="1" outlineLevel="1" x14ac:dyDescent="0.2">
      <c r="A643" s="403"/>
      <c r="B643" s="403"/>
      <c r="C643" s="403"/>
      <c r="D643" s="404"/>
      <c r="E643" s="405"/>
      <c r="F643" s="405"/>
      <c r="G643" s="403"/>
      <c r="H643" s="406"/>
      <c r="I643" s="406"/>
      <c r="J643" s="406"/>
      <c r="K643" s="304"/>
      <c r="L643" s="372"/>
      <c r="M643" s="372"/>
      <c r="N643" s="372"/>
      <c r="O643" s="372"/>
      <c r="P643" s="372"/>
      <c r="Q643" s="304"/>
      <c r="R643" s="304"/>
      <c r="S643" s="304"/>
      <c r="T643" s="304"/>
      <c r="U643" s="304"/>
      <c r="V643" s="304"/>
      <c r="AL643" s="372" t="str">
        <f t="shared" si="39"/>
        <v/>
      </c>
    </row>
    <row r="644" spans="1:38" ht="15" customHeight="1" outlineLevel="1" x14ac:dyDescent="0.2">
      <c r="A644" s="403"/>
      <c r="B644" s="403"/>
      <c r="C644" s="403"/>
      <c r="D644" s="404"/>
      <c r="E644" s="405"/>
      <c r="F644" s="405"/>
      <c r="G644" s="403"/>
      <c r="H644" s="406"/>
      <c r="I644" s="406"/>
      <c r="J644" s="406"/>
      <c r="K644" s="304"/>
      <c r="L644" s="372"/>
      <c r="M644" s="372"/>
      <c r="N644" s="372"/>
      <c r="O644" s="372"/>
      <c r="P644" s="372"/>
      <c r="Q644" s="304"/>
      <c r="R644" s="304"/>
      <c r="S644" s="304"/>
      <c r="T644" s="304"/>
      <c r="U644" s="304"/>
      <c r="V644" s="304"/>
      <c r="AL644" s="372" t="str">
        <f t="shared" si="39"/>
        <v/>
      </c>
    </row>
    <row r="645" spans="1:38" ht="15" customHeight="1" outlineLevel="1" x14ac:dyDescent="0.2">
      <c r="A645" s="403"/>
      <c r="B645" s="403"/>
      <c r="C645" s="403"/>
      <c r="D645" s="404"/>
      <c r="E645" s="405"/>
      <c r="F645" s="405"/>
      <c r="G645" s="403"/>
      <c r="H645" s="406"/>
      <c r="I645" s="406"/>
      <c r="J645" s="406"/>
      <c r="K645" s="304"/>
      <c r="L645" s="372"/>
      <c r="M645" s="372"/>
      <c r="N645" s="372"/>
      <c r="O645" s="372"/>
      <c r="P645" s="372"/>
      <c r="Q645" s="304"/>
      <c r="R645" s="304"/>
      <c r="S645" s="304"/>
      <c r="T645" s="304"/>
      <c r="U645" s="304"/>
      <c r="V645" s="304"/>
      <c r="AL645" s="372" t="str">
        <f t="shared" si="39"/>
        <v/>
      </c>
    </row>
    <row r="646" spans="1:38" ht="15" customHeight="1" outlineLevel="1" x14ac:dyDescent="0.2">
      <c r="A646" s="403"/>
      <c r="B646" s="403"/>
      <c r="C646" s="403"/>
      <c r="D646" s="404"/>
      <c r="E646" s="405"/>
      <c r="F646" s="405"/>
      <c r="G646" s="403"/>
      <c r="H646" s="406"/>
      <c r="I646" s="406"/>
      <c r="J646" s="406"/>
      <c r="K646" s="304"/>
      <c r="L646" s="372"/>
      <c r="M646" s="372"/>
      <c r="N646" s="372"/>
      <c r="O646" s="372"/>
      <c r="P646" s="372"/>
      <c r="Q646" s="304"/>
      <c r="R646" s="304"/>
      <c r="S646" s="304"/>
      <c r="T646" s="304"/>
      <c r="U646" s="304"/>
      <c r="V646" s="304"/>
      <c r="AL646" s="372" t="str">
        <f t="shared" si="39"/>
        <v/>
      </c>
    </row>
    <row r="647" spans="1:38" ht="15" customHeight="1" outlineLevel="1" x14ac:dyDescent="0.2">
      <c r="A647" s="403"/>
      <c r="B647" s="403"/>
      <c r="C647" s="403"/>
      <c r="D647" s="404"/>
      <c r="E647" s="405"/>
      <c r="F647" s="405"/>
      <c r="G647" s="403"/>
      <c r="H647" s="406"/>
      <c r="I647" s="406"/>
      <c r="J647" s="406"/>
      <c r="K647" s="304"/>
      <c r="L647" s="372"/>
      <c r="M647" s="372"/>
      <c r="N647" s="372"/>
      <c r="O647" s="372"/>
      <c r="P647" s="372"/>
      <c r="Q647" s="304"/>
      <c r="R647" s="304"/>
      <c r="S647" s="304"/>
      <c r="T647" s="304"/>
      <c r="U647" s="304"/>
      <c r="V647" s="304"/>
      <c r="AL647" s="372" t="str">
        <f t="shared" si="39"/>
        <v/>
      </c>
    </row>
    <row r="648" spans="1:38" ht="15" customHeight="1" outlineLevel="1" x14ac:dyDescent="0.2">
      <c r="A648" s="403"/>
      <c r="B648" s="403"/>
      <c r="C648" s="403"/>
      <c r="D648" s="404"/>
      <c r="E648" s="405"/>
      <c r="F648" s="405"/>
      <c r="G648" s="403"/>
      <c r="H648" s="406"/>
      <c r="I648" s="406"/>
      <c r="J648" s="406"/>
      <c r="K648" s="304"/>
      <c r="L648" s="372"/>
      <c r="M648" s="372"/>
      <c r="N648" s="372"/>
      <c r="O648" s="372"/>
      <c r="P648" s="372"/>
      <c r="Q648" s="304"/>
      <c r="R648" s="304"/>
      <c r="S648" s="304"/>
      <c r="T648" s="304"/>
      <c r="U648" s="304"/>
      <c r="V648" s="304"/>
      <c r="AL648" s="372" t="str">
        <f t="shared" si="39"/>
        <v/>
      </c>
    </row>
    <row r="649" spans="1:38" ht="15" customHeight="1" outlineLevel="1" x14ac:dyDescent="0.2">
      <c r="A649" s="403"/>
      <c r="B649" s="403"/>
      <c r="C649" s="403"/>
      <c r="D649" s="404"/>
      <c r="E649" s="405"/>
      <c r="F649" s="405"/>
      <c r="G649" s="403"/>
      <c r="H649" s="406"/>
      <c r="I649" s="406"/>
      <c r="J649" s="406"/>
      <c r="K649" s="304"/>
      <c r="L649" s="372"/>
      <c r="M649" s="372"/>
      <c r="N649" s="372"/>
      <c r="O649" s="372"/>
      <c r="P649" s="372"/>
      <c r="Q649" s="304"/>
      <c r="R649" s="304"/>
      <c r="S649" s="304"/>
      <c r="T649" s="304"/>
      <c r="U649" s="304"/>
      <c r="V649" s="304"/>
      <c r="AL649" s="372" t="str">
        <f t="shared" si="39"/>
        <v/>
      </c>
    </row>
    <row r="650" spans="1:38" ht="15" customHeight="1" outlineLevel="1" x14ac:dyDescent="0.2">
      <c r="A650" s="403"/>
      <c r="B650" s="403"/>
      <c r="C650" s="403"/>
      <c r="D650" s="404"/>
      <c r="E650" s="405"/>
      <c r="F650" s="405"/>
      <c r="G650" s="403"/>
      <c r="H650" s="406"/>
      <c r="I650" s="406"/>
      <c r="J650" s="406"/>
      <c r="K650" s="304"/>
      <c r="L650" s="372"/>
      <c r="M650" s="372"/>
      <c r="N650" s="372"/>
      <c r="O650" s="372"/>
      <c r="P650" s="372"/>
      <c r="Q650" s="304"/>
      <c r="R650" s="304"/>
      <c r="S650" s="304"/>
      <c r="T650" s="304"/>
      <c r="U650" s="304"/>
      <c r="V650" s="304"/>
      <c r="AL650" s="372" t="str">
        <f t="shared" si="39"/>
        <v/>
      </c>
    </row>
    <row r="651" spans="1:38" ht="15" customHeight="1" outlineLevel="1" x14ac:dyDescent="0.2">
      <c r="A651" s="403"/>
      <c r="B651" s="403"/>
      <c r="C651" s="403"/>
      <c r="D651" s="404"/>
      <c r="E651" s="405"/>
      <c r="F651" s="405"/>
      <c r="G651" s="403"/>
      <c r="H651" s="406"/>
      <c r="I651" s="406"/>
      <c r="J651" s="406"/>
      <c r="K651" s="304"/>
      <c r="L651" s="372"/>
      <c r="M651" s="372"/>
      <c r="N651" s="372"/>
      <c r="O651" s="372"/>
      <c r="P651" s="372"/>
      <c r="Q651" s="304"/>
      <c r="R651" s="304"/>
      <c r="S651" s="304"/>
      <c r="T651" s="304"/>
      <c r="U651" s="304"/>
      <c r="V651" s="304"/>
      <c r="AL651" s="372" t="str">
        <f t="shared" si="39"/>
        <v/>
      </c>
    </row>
    <row r="652" spans="1:38" ht="15" customHeight="1" outlineLevel="1" x14ac:dyDescent="0.2">
      <c r="A652" s="403"/>
      <c r="B652" s="403"/>
      <c r="C652" s="403"/>
      <c r="D652" s="404"/>
      <c r="E652" s="405"/>
      <c r="F652" s="405"/>
      <c r="G652" s="403"/>
      <c r="H652" s="406"/>
      <c r="I652" s="406"/>
      <c r="J652" s="406"/>
      <c r="K652" s="304"/>
      <c r="L652" s="372"/>
      <c r="M652" s="372"/>
      <c r="N652" s="372"/>
      <c r="O652" s="372"/>
      <c r="P652" s="372"/>
      <c r="Q652" s="304"/>
      <c r="R652" s="304"/>
      <c r="S652" s="304"/>
      <c r="T652" s="304"/>
      <c r="U652" s="304"/>
      <c r="V652" s="304"/>
      <c r="AL652" s="372" t="str">
        <f t="shared" si="39"/>
        <v/>
      </c>
    </row>
    <row r="653" spans="1:38" ht="15" customHeight="1" outlineLevel="1" x14ac:dyDescent="0.2">
      <c r="A653" s="403"/>
      <c r="B653" s="403"/>
      <c r="C653" s="403"/>
      <c r="D653" s="404"/>
      <c r="E653" s="405"/>
      <c r="F653" s="405"/>
      <c r="G653" s="403"/>
      <c r="H653" s="406"/>
      <c r="I653" s="406"/>
      <c r="J653" s="406"/>
      <c r="K653" s="304"/>
      <c r="L653" s="372"/>
      <c r="M653" s="372"/>
      <c r="N653" s="372"/>
      <c r="O653" s="372"/>
      <c r="P653" s="372"/>
      <c r="Q653" s="304"/>
      <c r="R653" s="304"/>
      <c r="S653" s="304"/>
      <c r="T653" s="304"/>
      <c r="U653" s="304"/>
      <c r="V653" s="304"/>
      <c r="AL653" s="372" t="str">
        <f t="shared" si="39"/>
        <v/>
      </c>
    </row>
    <row r="654" spans="1:38" ht="15" customHeight="1" outlineLevel="1" x14ac:dyDescent="0.2">
      <c r="A654" s="403"/>
      <c r="B654" s="403"/>
      <c r="C654" s="403"/>
      <c r="D654" s="404"/>
      <c r="E654" s="405"/>
      <c r="F654" s="405"/>
      <c r="G654" s="403"/>
      <c r="H654" s="406"/>
      <c r="I654" s="406"/>
      <c r="J654" s="406"/>
      <c r="K654" s="304"/>
      <c r="L654" s="372"/>
      <c r="M654" s="372"/>
      <c r="N654" s="372"/>
      <c r="O654" s="372"/>
      <c r="P654" s="372"/>
      <c r="Q654" s="304"/>
      <c r="R654" s="304"/>
      <c r="S654" s="304"/>
      <c r="T654" s="304"/>
      <c r="U654" s="304"/>
      <c r="V654" s="304"/>
      <c r="AL654" s="372" t="str">
        <f t="shared" si="39"/>
        <v/>
      </c>
    </row>
    <row r="655" spans="1:38" ht="15" customHeight="1" outlineLevel="1" x14ac:dyDescent="0.2">
      <c r="A655" s="403"/>
      <c r="B655" s="403"/>
      <c r="C655" s="403"/>
      <c r="D655" s="404"/>
      <c r="E655" s="405"/>
      <c r="F655" s="405"/>
      <c r="G655" s="403"/>
      <c r="H655" s="406"/>
      <c r="I655" s="406"/>
      <c r="J655" s="406"/>
      <c r="K655" s="304"/>
      <c r="L655" s="372"/>
      <c r="M655" s="372"/>
      <c r="N655" s="372"/>
      <c r="O655" s="372"/>
      <c r="P655" s="372"/>
      <c r="Q655" s="304"/>
      <c r="R655" s="304"/>
      <c r="S655" s="304"/>
      <c r="T655" s="304"/>
      <c r="U655" s="304"/>
      <c r="V655" s="304"/>
      <c r="AL655" s="372" t="str">
        <f t="shared" si="39"/>
        <v/>
      </c>
    </row>
    <row r="656" spans="1:38" ht="15" customHeight="1" outlineLevel="1" x14ac:dyDescent="0.2">
      <c r="A656" s="403"/>
      <c r="B656" s="403"/>
      <c r="C656" s="403"/>
      <c r="D656" s="404"/>
      <c r="E656" s="405"/>
      <c r="F656" s="405"/>
      <c r="G656" s="403"/>
      <c r="H656" s="406"/>
      <c r="I656" s="406"/>
      <c r="J656" s="406"/>
      <c r="K656" s="304"/>
      <c r="L656" s="372"/>
      <c r="M656" s="372"/>
      <c r="N656" s="372"/>
      <c r="O656" s="372"/>
      <c r="P656" s="372"/>
      <c r="Q656" s="304"/>
      <c r="R656" s="304"/>
      <c r="S656" s="304"/>
      <c r="T656" s="304"/>
      <c r="U656" s="304"/>
      <c r="V656" s="304"/>
      <c r="AL656" s="372" t="str">
        <f t="shared" si="39"/>
        <v/>
      </c>
    </row>
    <row r="657" spans="1:38" ht="15" customHeight="1" outlineLevel="1" x14ac:dyDescent="0.2">
      <c r="A657" s="403"/>
      <c r="B657" s="403"/>
      <c r="C657" s="403"/>
      <c r="D657" s="404"/>
      <c r="E657" s="405"/>
      <c r="F657" s="405"/>
      <c r="G657" s="403"/>
      <c r="H657" s="406"/>
      <c r="I657" s="406"/>
      <c r="J657" s="406"/>
      <c r="K657" s="304"/>
      <c r="L657" s="372"/>
      <c r="M657" s="372"/>
      <c r="N657" s="372"/>
      <c r="O657" s="372"/>
      <c r="P657" s="372"/>
      <c r="Q657" s="304"/>
      <c r="R657" s="304"/>
      <c r="S657" s="304"/>
      <c r="T657" s="304"/>
      <c r="U657" s="304"/>
      <c r="V657" s="304"/>
      <c r="AL657" s="372" t="str">
        <f t="shared" ref="AL657:AL720" si="40">IF(($C657=$AG$245)*($N657&gt;0)*ISNUMBER($I657),$I657*100000+ROW(),"")</f>
        <v/>
      </c>
    </row>
    <row r="658" spans="1:38" ht="15" customHeight="1" outlineLevel="1" x14ac:dyDescent="0.2">
      <c r="A658" s="403"/>
      <c r="B658" s="403"/>
      <c r="C658" s="403"/>
      <c r="D658" s="404"/>
      <c r="E658" s="405"/>
      <c r="F658" s="405"/>
      <c r="G658" s="403"/>
      <c r="H658" s="406"/>
      <c r="I658" s="406"/>
      <c r="J658" s="406"/>
      <c r="K658" s="304"/>
      <c r="L658" s="372"/>
      <c r="M658" s="372"/>
      <c r="N658" s="372"/>
      <c r="O658" s="372"/>
      <c r="P658" s="372"/>
      <c r="Q658" s="304"/>
      <c r="R658" s="304"/>
      <c r="S658" s="304"/>
      <c r="T658" s="304"/>
      <c r="U658" s="304"/>
      <c r="V658" s="304"/>
      <c r="AL658" s="372" t="str">
        <f t="shared" si="40"/>
        <v/>
      </c>
    </row>
    <row r="659" spans="1:38" ht="15" customHeight="1" outlineLevel="1" x14ac:dyDescent="0.2">
      <c r="A659" s="403"/>
      <c r="B659" s="403"/>
      <c r="C659" s="403"/>
      <c r="D659" s="404"/>
      <c r="E659" s="405"/>
      <c r="F659" s="405"/>
      <c r="G659" s="403"/>
      <c r="H659" s="406"/>
      <c r="I659" s="406"/>
      <c r="J659" s="406"/>
      <c r="K659" s="304"/>
      <c r="L659" s="372"/>
      <c r="M659" s="372"/>
      <c r="N659" s="372"/>
      <c r="O659" s="372"/>
      <c r="P659" s="372"/>
      <c r="Q659" s="304"/>
      <c r="R659" s="304"/>
      <c r="S659" s="304"/>
      <c r="T659" s="304"/>
      <c r="U659" s="304"/>
      <c r="V659" s="304"/>
      <c r="AL659" s="372" t="str">
        <f t="shared" si="40"/>
        <v/>
      </c>
    </row>
    <row r="660" spans="1:38" ht="15" customHeight="1" outlineLevel="1" x14ac:dyDescent="0.2">
      <c r="A660" s="403"/>
      <c r="B660" s="403"/>
      <c r="C660" s="403"/>
      <c r="D660" s="404"/>
      <c r="E660" s="405"/>
      <c r="F660" s="405"/>
      <c r="G660" s="403"/>
      <c r="H660" s="406"/>
      <c r="I660" s="406"/>
      <c r="J660" s="406"/>
      <c r="K660" s="304"/>
      <c r="L660" s="372"/>
      <c r="M660" s="372"/>
      <c r="N660" s="372"/>
      <c r="O660" s="372"/>
      <c r="P660" s="372"/>
      <c r="Q660" s="304"/>
      <c r="R660" s="304"/>
      <c r="S660" s="304"/>
      <c r="T660" s="304"/>
      <c r="U660" s="304"/>
      <c r="V660" s="304"/>
      <c r="AL660" s="372" t="str">
        <f t="shared" si="40"/>
        <v/>
      </c>
    </row>
    <row r="661" spans="1:38" ht="15" customHeight="1" outlineLevel="1" x14ac:dyDescent="0.2">
      <c r="A661" s="403"/>
      <c r="B661" s="403"/>
      <c r="C661" s="403"/>
      <c r="D661" s="404"/>
      <c r="E661" s="405"/>
      <c r="F661" s="405"/>
      <c r="G661" s="403"/>
      <c r="H661" s="406"/>
      <c r="I661" s="406"/>
      <c r="J661" s="406"/>
      <c r="K661" s="304"/>
      <c r="L661" s="372"/>
      <c r="M661" s="372"/>
      <c r="N661" s="372"/>
      <c r="O661" s="372"/>
      <c r="P661" s="372"/>
      <c r="Q661" s="304"/>
      <c r="R661" s="304"/>
      <c r="S661" s="304"/>
      <c r="T661" s="304"/>
      <c r="U661" s="304"/>
      <c r="V661" s="304"/>
      <c r="AL661" s="372" t="str">
        <f t="shared" si="40"/>
        <v/>
      </c>
    </row>
    <row r="662" spans="1:38" ht="15" customHeight="1" outlineLevel="1" x14ac:dyDescent="0.2">
      <c r="A662" s="403"/>
      <c r="B662" s="403"/>
      <c r="C662" s="403"/>
      <c r="D662" s="404"/>
      <c r="E662" s="405"/>
      <c r="F662" s="405"/>
      <c r="G662" s="403"/>
      <c r="H662" s="406"/>
      <c r="I662" s="406"/>
      <c r="J662" s="406"/>
      <c r="K662" s="304"/>
      <c r="L662" s="372"/>
      <c r="M662" s="372"/>
      <c r="N662" s="372"/>
      <c r="O662" s="372"/>
      <c r="P662" s="372"/>
      <c r="Q662" s="304"/>
      <c r="R662" s="304"/>
      <c r="S662" s="304"/>
      <c r="T662" s="304"/>
      <c r="U662" s="304"/>
      <c r="V662" s="304"/>
      <c r="AL662" s="372" t="str">
        <f t="shared" si="40"/>
        <v/>
      </c>
    </row>
    <row r="663" spans="1:38" ht="15" customHeight="1" outlineLevel="1" x14ac:dyDescent="0.2">
      <c r="A663" s="403"/>
      <c r="B663" s="403"/>
      <c r="C663" s="403"/>
      <c r="D663" s="404"/>
      <c r="E663" s="405"/>
      <c r="F663" s="405"/>
      <c r="G663" s="403"/>
      <c r="H663" s="406"/>
      <c r="I663" s="406"/>
      <c r="J663" s="406"/>
      <c r="K663" s="304"/>
      <c r="L663" s="372"/>
      <c r="M663" s="372"/>
      <c r="N663" s="372"/>
      <c r="O663" s="372"/>
      <c r="P663" s="372"/>
      <c r="Q663" s="304"/>
      <c r="R663" s="304"/>
      <c r="S663" s="304"/>
      <c r="T663" s="304"/>
      <c r="U663" s="304"/>
      <c r="V663" s="304"/>
      <c r="AL663" s="372" t="str">
        <f t="shared" si="40"/>
        <v/>
      </c>
    </row>
    <row r="664" spans="1:38" ht="15" customHeight="1" outlineLevel="1" x14ac:dyDescent="0.2">
      <c r="A664" s="403"/>
      <c r="B664" s="403"/>
      <c r="C664" s="403"/>
      <c r="D664" s="404"/>
      <c r="E664" s="405"/>
      <c r="F664" s="405"/>
      <c r="G664" s="403"/>
      <c r="H664" s="406"/>
      <c r="I664" s="406"/>
      <c r="J664" s="406"/>
      <c r="K664" s="304"/>
      <c r="L664" s="372"/>
      <c r="M664" s="372"/>
      <c r="N664" s="372"/>
      <c r="O664" s="372"/>
      <c r="P664" s="372"/>
      <c r="Q664" s="304"/>
      <c r="R664" s="304"/>
      <c r="S664" s="304"/>
      <c r="T664" s="304"/>
      <c r="U664" s="304"/>
      <c r="V664" s="304"/>
      <c r="AL664" s="372" t="str">
        <f t="shared" si="40"/>
        <v/>
      </c>
    </row>
    <row r="665" spans="1:38" ht="15" customHeight="1" outlineLevel="1" x14ac:dyDescent="0.2">
      <c r="A665" s="403"/>
      <c r="B665" s="403"/>
      <c r="C665" s="403"/>
      <c r="D665" s="404"/>
      <c r="E665" s="405"/>
      <c r="F665" s="405"/>
      <c r="G665" s="403"/>
      <c r="H665" s="406"/>
      <c r="I665" s="406"/>
      <c r="J665" s="406"/>
      <c r="K665" s="304"/>
      <c r="L665" s="372"/>
      <c r="M665" s="372"/>
      <c r="N665" s="372"/>
      <c r="O665" s="372"/>
      <c r="P665" s="372"/>
      <c r="Q665" s="304"/>
      <c r="R665" s="304"/>
      <c r="S665" s="304"/>
      <c r="T665" s="304"/>
      <c r="U665" s="304"/>
      <c r="V665" s="304"/>
      <c r="AL665" s="372" t="str">
        <f t="shared" si="40"/>
        <v/>
      </c>
    </row>
    <row r="666" spans="1:38" ht="15" customHeight="1" outlineLevel="1" x14ac:dyDescent="0.2">
      <c r="A666" s="403"/>
      <c r="B666" s="403"/>
      <c r="C666" s="403"/>
      <c r="D666" s="404"/>
      <c r="E666" s="405"/>
      <c r="F666" s="405"/>
      <c r="G666" s="403"/>
      <c r="H666" s="406"/>
      <c r="I666" s="406"/>
      <c r="J666" s="406"/>
      <c r="K666" s="304"/>
      <c r="L666" s="372"/>
      <c r="M666" s="372"/>
      <c r="N666" s="372"/>
      <c r="O666" s="372"/>
      <c r="P666" s="372"/>
      <c r="Q666" s="304"/>
      <c r="R666" s="304"/>
      <c r="S666" s="304"/>
      <c r="T666" s="304"/>
      <c r="U666" s="304"/>
      <c r="V666" s="304"/>
      <c r="AL666" s="372" t="str">
        <f t="shared" si="40"/>
        <v/>
      </c>
    </row>
    <row r="667" spans="1:38" ht="15" customHeight="1" outlineLevel="1" x14ac:dyDescent="0.2">
      <c r="A667" s="403"/>
      <c r="B667" s="403"/>
      <c r="C667" s="403"/>
      <c r="D667" s="404"/>
      <c r="E667" s="405"/>
      <c r="F667" s="405"/>
      <c r="G667" s="403"/>
      <c r="H667" s="406"/>
      <c r="I667" s="406"/>
      <c r="J667" s="406"/>
      <c r="K667" s="304"/>
      <c r="L667" s="372"/>
      <c r="M667" s="372"/>
      <c r="N667" s="372"/>
      <c r="O667" s="372"/>
      <c r="P667" s="372"/>
      <c r="Q667" s="304"/>
      <c r="R667" s="304"/>
      <c r="S667" s="304"/>
      <c r="T667" s="304"/>
      <c r="U667" s="304"/>
      <c r="V667" s="304"/>
      <c r="AL667" s="372" t="str">
        <f t="shared" si="40"/>
        <v/>
      </c>
    </row>
    <row r="668" spans="1:38" ht="15" customHeight="1" outlineLevel="1" x14ac:dyDescent="0.2">
      <c r="A668" s="403"/>
      <c r="B668" s="403"/>
      <c r="C668" s="403"/>
      <c r="D668" s="404"/>
      <c r="E668" s="405"/>
      <c r="F668" s="405"/>
      <c r="G668" s="403"/>
      <c r="H668" s="406"/>
      <c r="I668" s="406"/>
      <c r="J668" s="406"/>
      <c r="K668" s="304"/>
      <c r="L668" s="372"/>
      <c r="M668" s="372"/>
      <c r="N668" s="372"/>
      <c r="O668" s="372"/>
      <c r="P668" s="372"/>
      <c r="Q668" s="304"/>
      <c r="R668" s="304"/>
      <c r="S668" s="304"/>
      <c r="T668" s="304"/>
      <c r="U668" s="304"/>
      <c r="V668" s="304"/>
      <c r="AL668" s="372" t="str">
        <f t="shared" si="40"/>
        <v/>
      </c>
    </row>
    <row r="669" spans="1:38" ht="15" customHeight="1" outlineLevel="1" x14ac:dyDescent="0.2">
      <c r="A669" s="403"/>
      <c r="B669" s="403"/>
      <c r="C669" s="403"/>
      <c r="D669" s="404"/>
      <c r="E669" s="405"/>
      <c r="F669" s="405"/>
      <c r="G669" s="403"/>
      <c r="H669" s="406"/>
      <c r="I669" s="406"/>
      <c r="J669" s="406"/>
      <c r="K669" s="304"/>
      <c r="L669" s="372"/>
      <c r="M669" s="372"/>
      <c r="N669" s="372"/>
      <c r="O669" s="372"/>
      <c r="P669" s="372"/>
      <c r="Q669" s="304"/>
      <c r="R669" s="304"/>
      <c r="S669" s="304"/>
      <c r="T669" s="304"/>
      <c r="U669" s="304"/>
      <c r="V669" s="304"/>
      <c r="AL669" s="372" t="str">
        <f t="shared" si="40"/>
        <v/>
      </c>
    </row>
    <row r="670" spans="1:38" ht="15" customHeight="1" outlineLevel="1" x14ac:dyDescent="0.2">
      <c r="A670" s="403"/>
      <c r="B670" s="403"/>
      <c r="C670" s="403"/>
      <c r="D670" s="404"/>
      <c r="E670" s="405"/>
      <c r="F670" s="405"/>
      <c r="G670" s="403"/>
      <c r="H670" s="406"/>
      <c r="I670" s="406"/>
      <c r="J670" s="406"/>
      <c r="K670" s="304"/>
      <c r="L670" s="372"/>
      <c r="M670" s="372"/>
      <c r="N670" s="372"/>
      <c r="O670" s="372"/>
      <c r="P670" s="372"/>
      <c r="Q670" s="304"/>
      <c r="R670" s="304"/>
      <c r="S670" s="304"/>
      <c r="T670" s="304"/>
      <c r="U670" s="304"/>
      <c r="V670" s="304"/>
      <c r="AL670" s="372" t="str">
        <f t="shared" si="40"/>
        <v/>
      </c>
    </row>
    <row r="671" spans="1:38" ht="15" customHeight="1" outlineLevel="1" x14ac:dyDescent="0.2">
      <c r="A671" s="403"/>
      <c r="B671" s="403"/>
      <c r="C671" s="403"/>
      <c r="D671" s="404"/>
      <c r="E671" s="405"/>
      <c r="F671" s="405"/>
      <c r="G671" s="403"/>
      <c r="H671" s="406"/>
      <c r="I671" s="406"/>
      <c r="J671" s="406"/>
      <c r="K671" s="304"/>
      <c r="L671" s="372"/>
      <c r="M671" s="372"/>
      <c r="N671" s="372"/>
      <c r="O671" s="372"/>
      <c r="P671" s="372"/>
      <c r="Q671" s="304"/>
      <c r="R671" s="304"/>
      <c r="S671" s="304"/>
      <c r="T671" s="304"/>
      <c r="U671" s="304"/>
      <c r="V671" s="304"/>
      <c r="AL671" s="372" t="str">
        <f t="shared" si="40"/>
        <v/>
      </c>
    </row>
    <row r="672" spans="1:38" ht="15" customHeight="1" outlineLevel="1" x14ac:dyDescent="0.2">
      <c r="A672" s="403"/>
      <c r="B672" s="403"/>
      <c r="C672" s="403"/>
      <c r="D672" s="404"/>
      <c r="E672" s="405"/>
      <c r="F672" s="405"/>
      <c r="G672" s="403"/>
      <c r="H672" s="406"/>
      <c r="I672" s="406"/>
      <c r="J672" s="406"/>
      <c r="K672" s="304"/>
      <c r="L672" s="372"/>
      <c r="M672" s="372"/>
      <c r="N672" s="372"/>
      <c r="O672" s="372"/>
      <c r="P672" s="372"/>
      <c r="Q672" s="304"/>
      <c r="R672" s="304"/>
      <c r="S672" s="304"/>
      <c r="T672" s="304"/>
      <c r="U672" s="304"/>
      <c r="V672" s="304"/>
      <c r="AL672" s="372" t="str">
        <f t="shared" si="40"/>
        <v/>
      </c>
    </row>
    <row r="673" spans="1:38" ht="15" customHeight="1" outlineLevel="1" x14ac:dyDescent="0.2">
      <c r="A673" s="403"/>
      <c r="B673" s="403"/>
      <c r="C673" s="403"/>
      <c r="D673" s="404"/>
      <c r="E673" s="405"/>
      <c r="F673" s="405"/>
      <c r="G673" s="403"/>
      <c r="H673" s="406"/>
      <c r="I673" s="406"/>
      <c r="J673" s="406"/>
      <c r="K673" s="304"/>
      <c r="L673" s="372"/>
      <c r="M673" s="372"/>
      <c r="N673" s="372"/>
      <c r="O673" s="372"/>
      <c r="P673" s="372"/>
      <c r="Q673" s="304"/>
      <c r="R673" s="304"/>
      <c r="S673" s="304"/>
      <c r="T673" s="304"/>
      <c r="U673" s="304"/>
      <c r="V673" s="304"/>
      <c r="AL673" s="372" t="str">
        <f t="shared" si="40"/>
        <v/>
      </c>
    </row>
    <row r="674" spans="1:38" ht="15" customHeight="1" outlineLevel="1" x14ac:dyDescent="0.2">
      <c r="A674" s="403"/>
      <c r="B674" s="403"/>
      <c r="C674" s="403"/>
      <c r="D674" s="404"/>
      <c r="E674" s="405"/>
      <c r="F674" s="405"/>
      <c r="G674" s="403"/>
      <c r="H674" s="406"/>
      <c r="I674" s="406"/>
      <c r="J674" s="406"/>
      <c r="K674" s="304"/>
      <c r="L674" s="372"/>
      <c r="M674" s="372"/>
      <c r="N674" s="372"/>
      <c r="O674" s="372"/>
      <c r="P674" s="372"/>
      <c r="Q674" s="304"/>
      <c r="R674" s="304"/>
      <c r="S674" s="304"/>
      <c r="T674" s="304"/>
      <c r="U674" s="304"/>
      <c r="V674" s="304"/>
      <c r="AL674" s="372" t="str">
        <f t="shared" si="40"/>
        <v/>
      </c>
    </row>
    <row r="675" spans="1:38" ht="15" customHeight="1" outlineLevel="1" x14ac:dyDescent="0.2">
      <c r="A675" s="403"/>
      <c r="B675" s="403"/>
      <c r="C675" s="403"/>
      <c r="D675" s="404"/>
      <c r="E675" s="405"/>
      <c r="F675" s="405"/>
      <c r="G675" s="403"/>
      <c r="H675" s="406"/>
      <c r="I675" s="406"/>
      <c r="J675" s="406"/>
      <c r="K675" s="304"/>
      <c r="L675" s="372"/>
      <c r="M675" s="372"/>
      <c r="N675" s="372"/>
      <c r="O675" s="372"/>
      <c r="P675" s="372"/>
      <c r="Q675" s="304"/>
      <c r="R675" s="304"/>
      <c r="S675" s="304"/>
      <c r="T675" s="304"/>
      <c r="U675" s="304"/>
      <c r="V675" s="304"/>
      <c r="AL675" s="372" t="str">
        <f t="shared" si="40"/>
        <v/>
      </c>
    </row>
    <row r="676" spans="1:38" ht="15" customHeight="1" outlineLevel="1" x14ac:dyDescent="0.2">
      <c r="A676" s="403"/>
      <c r="B676" s="403"/>
      <c r="C676" s="403"/>
      <c r="D676" s="404"/>
      <c r="E676" s="405"/>
      <c r="F676" s="405"/>
      <c r="G676" s="403"/>
      <c r="H676" s="406"/>
      <c r="I676" s="406"/>
      <c r="J676" s="406"/>
      <c r="K676" s="304"/>
      <c r="L676" s="372"/>
      <c r="M676" s="372"/>
      <c r="N676" s="372"/>
      <c r="O676" s="372"/>
      <c r="P676" s="372"/>
      <c r="Q676" s="304"/>
      <c r="R676" s="304"/>
      <c r="S676" s="304"/>
      <c r="T676" s="304"/>
      <c r="U676" s="304"/>
      <c r="V676" s="304"/>
      <c r="AL676" s="372" t="str">
        <f t="shared" si="40"/>
        <v/>
      </c>
    </row>
    <row r="677" spans="1:38" ht="15" customHeight="1" outlineLevel="1" x14ac:dyDescent="0.2">
      <c r="A677" s="403"/>
      <c r="B677" s="403"/>
      <c r="C677" s="403"/>
      <c r="D677" s="404"/>
      <c r="E677" s="405"/>
      <c r="F677" s="405"/>
      <c r="G677" s="403"/>
      <c r="H677" s="406"/>
      <c r="I677" s="406"/>
      <c r="J677" s="406"/>
      <c r="K677" s="304"/>
      <c r="L677" s="372"/>
      <c r="M677" s="372"/>
      <c r="N677" s="372"/>
      <c r="O677" s="372"/>
      <c r="P677" s="372"/>
      <c r="Q677" s="304"/>
      <c r="R677" s="304"/>
      <c r="S677" s="304"/>
      <c r="T677" s="304"/>
      <c r="U677" s="304"/>
      <c r="V677" s="304"/>
      <c r="AL677" s="372" t="str">
        <f t="shared" si="40"/>
        <v/>
      </c>
    </row>
    <row r="678" spans="1:38" ht="15" customHeight="1" outlineLevel="1" x14ac:dyDescent="0.2">
      <c r="A678" s="403"/>
      <c r="B678" s="403"/>
      <c r="C678" s="403"/>
      <c r="D678" s="404"/>
      <c r="E678" s="405"/>
      <c r="F678" s="405"/>
      <c r="G678" s="403"/>
      <c r="H678" s="406"/>
      <c r="I678" s="406"/>
      <c r="J678" s="406"/>
      <c r="K678" s="304"/>
      <c r="L678" s="372"/>
      <c r="M678" s="372"/>
      <c r="N678" s="372"/>
      <c r="O678" s="372"/>
      <c r="P678" s="372"/>
      <c r="Q678" s="304"/>
      <c r="R678" s="304"/>
      <c r="S678" s="304"/>
      <c r="T678" s="304"/>
      <c r="U678" s="304"/>
      <c r="V678" s="304"/>
      <c r="AL678" s="372" t="str">
        <f t="shared" si="40"/>
        <v/>
      </c>
    </row>
    <row r="679" spans="1:38" ht="15" customHeight="1" outlineLevel="1" x14ac:dyDescent="0.2">
      <c r="A679" s="403"/>
      <c r="B679" s="403"/>
      <c r="C679" s="403"/>
      <c r="D679" s="404"/>
      <c r="E679" s="405"/>
      <c r="F679" s="405"/>
      <c r="G679" s="403"/>
      <c r="H679" s="406"/>
      <c r="I679" s="406"/>
      <c r="J679" s="406"/>
      <c r="K679" s="304"/>
      <c r="L679" s="372"/>
      <c r="M679" s="372"/>
      <c r="N679" s="372"/>
      <c r="O679" s="372"/>
      <c r="P679" s="372"/>
      <c r="Q679" s="304"/>
      <c r="R679" s="304"/>
      <c r="S679" s="304"/>
      <c r="T679" s="304"/>
      <c r="U679" s="304"/>
      <c r="V679" s="304"/>
      <c r="AL679" s="372" t="str">
        <f t="shared" si="40"/>
        <v/>
      </c>
    </row>
    <row r="680" spans="1:38" ht="15" customHeight="1" outlineLevel="1" x14ac:dyDescent="0.2">
      <c r="A680" s="403"/>
      <c r="B680" s="403"/>
      <c r="C680" s="403"/>
      <c r="D680" s="404"/>
      <c r="E680" s="405"/>
      <c r="F680" s="405"/>
      <c r="G680" s="403"/>
      <c r="H680" s="406"/>
      <c r="I680" s="406"/>
      <c r="J680" s="406"/>
      <c r="K680" s="304"/>
      <c r="L680" s="372"/>
      <c r="M680" s="372"/>
      <c r="N680" s="372"/>
      <c r="O680" s="372"/>
      <c r="P680" s="372"/>
      <c r="Q680" s="304"/>
      <c r="R680" s="304"/>
      <c r="S680" s="304"/>
      <c r="T680" s="304"/>
      <c r="U680" s="304"/>
      <c r="V680" s="304"/>
      <c r="AL680" s="372" t="str">
        <f t="shared" si="40"/>
        <v/>
      </c>
    </row>
    <row r="681" spans="1:38" ht="15" customHeight="1" outlineLevel="1" x14ac:dyDescent="0.2">
      <c r="A681" s="403"/>
      <c r="B681" s="403"/>
      <c r="C681" s="403"/>
      <c r="D681" s="404"/>
      <c r="E681" s="405"/>
      <c r="F681" s="405"/>
      <c r="G681" s="403"/>
      <c r="H681" s="406"/>
      <c r="I681" s="406"/>
      <c r="J681" s="406"/>
      <c r="K681" s="304"/>
      <c r="L681" s="372"/>
      <c r="M681" s="372"/>
      <c r="N681" s="372"/>
      <c r="O681" s="372"/>
      <c r="P681" s="372"/>
      <c r="Q681" s="304"/>
      <c r="R681" s="304"/>
      <c r="S681" s="304"/>
      <c r="T681" s="304"/>
      <c r="U681" s="304"/>
      <c r="V681" s="304"/>
      <c r="AL681" s="372" t="str">
        <f t="shared" si="40"/>
        <v/>
      </c>
    </row>
    <row r="682" spans="1:38" ht="15" customHeight="1" outlineLevel="1" x14ac:dyDescent="0.2">
      <c r="A682" s="403"/>
      <c r="B682" s="403"/>
      <c r="C682" s="403"/>
      <c r="D682" s="404"/>
      <c r="E682" s="405"/>
      <c r="F682" s="405"/>
      <c r="G682" s="403"/>
      <c r="H682" s="406"/>
      <c r="I682" s="406"/>
      <c r="J682" s="406"/>
      <c r="K682" s="304"/>
      <c r="L682" s="372"/>
      <c r="M682" s="372"/>
      <c r="N682" s="372"/>
      <c r="O682" s="372"/>
      <c r="P682" s="372"/>
      <c r="Q682" s="304"/>
      <c r="R682" s="304"/>
      <c r="S682" s="304"/>
      <c r="T682" s="304"/>
      <c r="U682" s="304"/>
      <c r="V682" s="304"/>
      <c r="AL682" s="372" t="str">
        <f t="shared" si="40"/>
        <v/>
      </c>
    </row>
    <row r="683" spans="1:38" ht="15" customHeight="1" outlineLevel="1" x14ac:dyDescent="0.2">
      <c r="A683" s="403"/>
      <c r="B683" s="403"/>
      <c r="C683" s="403"/>
      <c r="D683" s="404"/>
      <c r="E683" s="405"/>
      <c r="F683" s="405"/>
      <c r="G683" s="403"/>
      <c r="H683" s="406"/>
      <c r="I683" s="406"/>
      <c r="J683" s="406"/>
      <c r="K683" s="304"/>
      <c r="L683" s="372"/>
      <c r="M683" s="372"/>
      <c r="N683" s="372"/>
      <c r="O683" s="372"/>
      <c r="P683" s="372"/>
      <c r="Q683" s="304"/>
      <c r="R683" s="304"/>
      <c r="S683" s="304"/>
      <c r="T683" s="304"/>
      <c r="U683" s="304"/>
      <c r="V683" s="304"/>
      <c r="AL683" s="372" t="str">
        <f t="shared" si="40"/>
        <v/>
      </c>
    </row>
    <row r="684" spans="1:38" ht="15" customHeight="1" outlineLevel="1" x14ac:dyDescent="0.2">
      <c r="A684" s="403"/>
      <c r="B684" s="403"/>
      <c r="C684" s="403"/>
      <c r="D684" s="404"/>
      <c r="E684" s="405"/>
      <c r="F684" s="405"/>
      <c r="G684" s="403"/>
      <c r="H684" s="406"/>
      <c r="I684" s="406"/>
      <c r="J684" s="406"/>
      <c r="K684" s="304"/>
      <c r="L684" s="372"/>
      <c r="M684" s="372"/>
      <c r="N684" s="372"/>
      <c r="O684" s="372"/>
      <c r="P684" s="372"/>
      <c r="Q684" s="304"/>
      <c r="R684" s="304"/>
      <c r="S684" s="304"/>
      <c r="T684" s="304"/>
      <c r="U684" s="304"/>
      <c r="V684" s="304"/>
      <c r="AL684" s="372" t="str">
        <f t="shared" si="40"/>
        <v/>
      </c>
    </row>
    <row r="685" spans="1:38" ht="15" customHeight="1" outlineLevel="1" x14ac:dyDescent="0.2">
      <c r="A685" s="403"/>
      <c r="B685" s="403"/>
      <c r="C685" s="403"/>
      <c r="D685" s="404"/>
      <c r="E685" s="405"/>
      <c r="F685" s="405"/>
      <c r="G685" s="403"/>
      <c r="H685" s="406"/>
      <c r="I685" s="406"/>
      <c r="J685" s="406"/>
      <c r="K685" s="304"/>
      <c r="L685" s="372"/>
      <c r="M685" s="372"/>
      <c r="N685" s="372"/>
      <c r="O685" s="372"/>
      <c r="P685" s="372"/>
      <c r="Q685" s="304"/>
      <c r="R685" s="304"/>
      <c r="S685" s="304"/>
      <c r="T685" s="304"/>
      <c r="U685" s="304"/>
      <c r="V685" s="304"/>
      <c r="AL685" s="372" t="str">
        <f t="shared" si="40"/>
        <v/>
      </c>
    </row>
    <row r="686" spans="1:38" ht="15" customHeight="1" outlineLevel="1" x14ac:dyDescent="0.2">
      <c r="A686" s="403"/>
      <c r="B686" s="403"/>
      <c r="C686" s="403"/>
      <c r="D686" s="404"/>
      <c r="E686" s="405"/>
      <c r="F686" s="405"/>
      <c r="G686" s="403"/>
      <c r="H686" s="406"/>
      <c r="I686" s="406"/>
      <c r="J686" s="406"/>
      <c r="K686" s="304"/>
      <c r="L686" s="372"/>
      <c r="M686" s="372"/>
      <c r="N686" s="372"/>
      <c r="O686" s="372"/>
      <c r="P686" s="372"/>
      <c r="Q686" s="304"/>
      <c r="R686" s="304"/>
      <c r="S686" s="304"/>
      <c r="T686" s="304"/>
      <c r="U686" s="304"/>
      <c r="V686" s="304"/>
      <c r="AL686" s="372" t="str">
        <f t="shared" si="40"/>
        <v/>
      </c>
    </row>
    <row r="687" spans="1:38" ht="15" customHeight="1" outlineLevel="1" x14ac:dyDescent="0.2">
      <c r="A687" s="403"/>
      <c r="B687" s="403"/>
      <c r="C687" s="403"/>
      <c r="D687" s="404"/>
      <c r="E687" s="405"/>
      <c r="F687" s="405"/>
      <c r="G687" s="403"/>
      <c r="H687" s="406"/>
      <c r="I687" s="406"/>
      <c r="J687" s="406"/>
      <c r="K687" s="304"/>
      <c r="L687" s="372"/>
      <c r="M687" s="372"/>
      <c r="N687" s="372"/>
      <c r="O687" s="372"/>
      <c r="P687" s="372"/>
      <c r="Q687" s="304"/>
      <c r="R687" s="304"/>
      <c r="S687" s="304"/>
      <c r="T687" s="304"/>
      <c r="U687" s="304"/>
      <c r="V687" s="304"/>
      <c r="AL687" s="372" t="str">
        <f t="shared" si="40"/>
        <v/>
      </c>
    </row>
    <row r="688" spans="1:38" ht="15" customHeight="1" outlineLevel="1" x14ac:dyDescent="0.2">
      <c r="A688" s="403"/>
      <c r="B688" s="403"/>
      <c r="C688" s="403"/>
      <c r="D688" s="404"/>
      <c r="E688" s="405"/>
      <c r="F688" s="405"/>
      <c r="G688" s="403"/>
      <c r="H688" s="406"/>
      <c r="I688" s="406"/>
      <c r="J688" s="406"/>
      <c r="K688" s="304"/>
      <c r="L688" s="372"/>
      <c r="M688" s="372"/>
      <c r="N688" s="372"/>
      <c r="O688" s="372"/>
      <c r="P688" s="372"/>
      <c r="Q688" s="304"/>
      <c r="R688" s="304"/>
      <c r="S688" s="304"/>
      <c r="T688" s="304"/>
      <c r="U688" s="304"/>
      <c r="V688" s="304"/>
      <c r="AL688" s="372" t="str">
        <f t="shared" si="40"/>
        <v/>
      </c>
    </row>
    <row r="689" spans="1:38" ht="15" customHeight="1" outlineLevel="1" x14ac:dyDescent="0.2">
      <c r="A689" s="403"/>
      <c r="B689" s="403"/>
      <c r="C689" s="403"/>
      <c r="D689" s="404"/>
      <c r="E689" s="405"/>
      <c r="F689" s="405"/>
      <c r="G689" s="403"/>
      <c r="H689" s="406"/>
      <c r="I689" s="406"/>
      <c r="J689" s="406"/>
      <c r="K689" s="304"/>
      <c r="L689" s="372"/>
      <c r="M689" s="372"/>
      <c r="N689" s="372"/>
      <c r="O689" s="372"/>
      <c r="P689" s="372"/>
      <c r="Q689" s="304"/>
      <c r="R689" s="304"/>
      <c r="S689" s="304"/>
      <c r="T689" s="304"/>
      <c r="U689" s="304"/>
      <c r="V689" s="304"/>
      <c r="AL689" s="372" t="str">
        <f t="shared" si="40"/>
        <v/>
      </c>
    </row>
    <row r="690" spans="1:38" ht="15" customHeight="1" outlineLevel="1" x14ac:dyDescent="0.2">
      <c r="A690" s="403"/>
      <c r="B690" s="403"/>
      <c r="C690" s="403"/>
      <c r="D690" s="404"/>
      <c r="E690" s="405"/>
      <c r="F690" s="405"/>
      <c r="G690" s="403"/>
      <c r="H690" s="406"/>
      <c r="I690" s="406"/>
      <c r="J690" s="406"/>
      <c r="K690" s="304"/>
      <c r="L690" s="372"/>
      <c r="M690" s="372"/>
      <c r="N690" s="372"/>
      <c r="O690" s="372"/>
      <c r="P690" s="372"/>
      <c r="Q690" s="304"/>
      <c r="R690" s="304"/>
      <c r="S690" s="304"/>
      <c r="T690" s="304"/>
      <c r="U690" s="304"/>
      <c r="V690" s="304"/>
      <c r="AL690" s="372" t="str">
        <f t="shared" si="40"/>
        <v/>
      </c>
    </row>
    <row r="691" spans="1:38" ht="15" customHeight="1" outlineLevel="1" x14ac:dyDescent="0.2">
      <c r="A691" s="403"/>
      <c r="B691" s="403"/>
      <c r="C691" s="403"/>
      <c r="D691" s="404"/>
      <c r="E691" s="405"/>
      <c r="F691" s="405"/>
      <c r="G691" s="403"/>
      <c r="H691" s="406"/>
      <c r="I691" s="406"/>
      <c r="J691" s="406"/>
      <c r="K691" s="304"/>
      <c r="L691" s="372"/>
      <c r="M691" s="372"/>
      <c r="N691" s="372"/>
      <c r="O691" s="372"/>
      <c r="P691" s="372"/>
      <c r="Q691" s="304"/>
      <c r="R691" s="304"/>
      <c r="S691" s="304"/>
      <c r="T691" s="304"/>
      <c r="U691" s="304"/>
      <c r="V691" s="304"/>
      <c r="AL691" s="372" t="str">
        <f t="shared" si="40"/>
        <v/>
      </c>
    </row>
    <row r="692" spans="1:38" ht="15" customHeight="1" outlineLevel="1" x14ac:dyDescent="0.2">
      <c r="A692" s="403"/>
      <c r="B692" s="403"/>
      <c r="C692" s="403"/>
      <c r="D692" s="404"/>
      <c r="E692" s="405"/>
      <c r="F692" s="405"/>
      <c r="G692" s="403"/>
      <c r="H692" s="406"/>
      <c r="I692" s="406"/>
      <c r="J692" s="406"/>
      <c r="K692" s="304"/>
      <c r="L692" s="372"/>
      <c r="M692" s="372"/>
      <c r="N692" s="372"/>
      <c r="O692" s="372"/>
      <c r="P692" s="372"/>
      <c r="Q692" s="304"/>
      <c r="R692" s="304"/>
      <c r="S692" s="304"/>
      <c r="T692" s="304"/>
      <c r="U692" s="304"/>
      <c r="V692" s="304"/>
      <c r="AL692" s="372" t="str">
        <f t="shared" si="40"/>
        <v/>
      </c>
    </row>
    <row r="693" spans="1:38" ht="15" customHeight="1" outlineLevel="1" x14ac:dyDescent="0.2">
      <c r="A693" s="403"/>
      <c r="B693" s="403"/>
      <c r="C693" s="403"/>
      <c r="D693" s="404"/>
      <c r="E693" s="405"/>
      <c r="F693" s="405"/>
      <c r="G693" s="403"/>
      <c r="H693" s="406"/>
      <c r="I693" s="406"/>
      <c r="J693" s="406"/>
      <c r="K693" s="304"/>
      <c r="L693" s="372"/>
      <c r="M693" s="372"/>
      <c r="N693" s="372"/>
      <c r="O693" s="372"/>
      <c r="P693" s="372"/>
      <c r="Q693" s="304"/>
      <c r="R693" s="304"/>
      <c r="S693" s="304"/>
      <c r="T693" s="304"/>
      <c r="U693" s="304"/>
      <c r="V693" s="304"/>
      <c r="AL693" s="372" t="str">
        <f t="shared" si="40"/>
        <v/>
      </c>
    </row>
    <row r="694" spans="1:38" ht="15" customHeight="1" outlineLevel="1" x14ac:dyDescent="0.2">
      <c r="A694" s="403"/>
      <c r="B694" s="403"/>
      <c r="C694" s="403"/>
      <c r="D694" s="404"/>
      <c r="E694" s="405"/>
      <c r="F694" s="405"/>
      <c r="G694" s="403"/>
      <c r="H694" s="406"/>
      <c r="I694" s="406"/>
      <c r="J694" s="406"/>
      <c r="K694" s="304"/>
      <c r="L694" s="372"/>
      <c r="M694" s="372"/>
      <c r="N694" s="372"/>
      <c r="O694" s="372"/>
      <c r="P694" s="372"/>
      <c r="Q694" s="304"/>
      <c r="R694" s="304"/>
      <c r="S694" s="304"/>
      <c r="T694" s="304"/>
      <c r="U694" s="304"/>
      <c r="V694" s="304"/>
      <c r="AL694" s="372" t="str">
        <f t="shared" si="40"/>
        <v/>
      </c>
    </row>
    <row r="695" spans="1:38" ht="15" customHeight="1" outlineLevel="1" x14ac:dyDescent="0.2">
      <c r="A695" s="403"/>
      <c r="B695" s="403"/>
      <c r="C695" s="403"/>
      <c r="D695" s="404"/>
      <c r="E695" s="405"/>
      <c r="F695" s="405"/>
      <c r="G695" s="403"/>
      <c r="H695" s="406"/>
      <c r="I695" s="406"/>
      <c r="J695" s="406"/>
      <c r="K695" s="304"/>
      <c r="L695" s="372"/>
      <c r="M695" s="372"/>
      <c r="N695" s="372"/>
      <c r="O695" s="372"/>
      <c r="P695" s="372"/>
      <c r="Q695" s="304"/>
      <c r="R695" s="304"/>
      <c r="S695" s="304"/>
      <c r="T695" s="304"/>
      <c r="U695" s="304"/>
      <c r="V695" s="304"/>
      <c r="AL695" s="372" t="str">
        <f t="shared" si="40"/>
        <v/>
      </c>
    </row>
    <row r="696" spans="1:38" ht="15" customHeight="1" outlineLevel="1" x14ac:dyDescent="0.2">
      <c r="A696" s="403"/>
      <c r="B696" s="403"/>
      <c r="C696" s="403"/>
      <c r="D696" s="404"/>
      <c r="E696" s="405"/>
      <c r="F696" s="405"/>
      <c r="G696" s="403"/>
      <c r="H696" s="406"/>
      <c r="I696" s="406"/>
      <c r="J696" s="406"/>
      <c r="K696" s="304"/>
      <c r="L696" s="372"/>
      <c r="M696" s="372"/>
      <c r="N696" s="372"/>
      <c r="O696" s="372"/>
      <c r="P696" s="372"/>
      <c r="Q696" s="304"/>
      <c r="R696" s="304"/>
      <c r="S696" s="304"/>
      <c r="T696" s="304"/>
      <c r="U696" s="304"/>
      <c r="V696" s="304"/>
      <c r="AL696" s="372" t="str">
        <f t="shared" si="40"/>
        <v/>
      </c>
    </row>
    <row r="697" spans="1:38" ht="15" customHeight="1" outlineLevel="1" x14ac:dyDescent="0.2">
      <c r="A697" s="403"/>
      <c r="B697" s="403"/>
      <c r="C697" s="403"/>
      <c r="D697" s="404"/>
      <c r="E697" s="405"/>
      <c r="F697" s="405"/>
      <c r="G697" s="403"/>
      <c r="H697" s="406"/>
      <c r="I697" s="406"/>
      <c r="J697" s="406"/>
      <c r="K697" s="304"/>
      <c r="L697" s="372"/>
      <c r="M697" s="372"/>
      <c r="N697" s="372"/>
      <c r="O697" s="372"/>
      <c r="P697" s="372"/>
      <c r="Q697" s="304"/>
      <c r="R697" s="304"/>
      <c r="S697" s="304"/>
      <c r="T697" s="304"/>
      <c r="U697" s="304"/>
      <c r="V697" s="304"/>
      <c r="AL697" s="372" t="str">
        <f t="shared" si="40"/>
        <v/>
      </c>
    </row>
    <row r="698" spans="1:38" ht="15" customHeight="1" outlineLevel="1" x14ac:dyDescent="0.2">
      <c r="A698" s="403"/>
      <c r="B698" s="403"/>
      <c r="C698" s="403"/>
      <c r="D698" s="404"/>
      <c r="E698" s="405"/>
      <c r="F698" s="405"/>
      <c r="G698" s="403"/>
      <c r="H698" s="406"/>
      <c r="I698" s="406"/>
      <c r="J698" s="406"/>
      <c r="K698" s="304"/>
      <c r="L698" s="372"/>
      <c r="M698" s="372"/>
      <c r="N698" s="372"/>
      <c r="O698" s="372"/>
      <c r="P698" s="372"/>
      <c r="Q698" s="304"/>
      <c r="R698" s="304"/>
      <c r="S698" s="304"/>
      <c r="T698" s="304"/>
      <c r="U698" s="304"/>
      <c r="V698" s="304"/>
      <c r="AL698" s="372" t="str">
        <f t="shared" si="40"/>
        <v/>
      </c>
    </row>
    <row r="699" spans="1:38" ht="15" customHeight="1" outlineLevel="1" x14ac:dyDescent="0.2">
      <c r="A699" s="403"/>
      <c r="B699" s="403"/>
      <c r="C699" s="403"/>
      <c r="D699" s="404"/>
      <c r="E699" s="405"/>
      <c r="F699" s="405"/>
      <c r="G699" s="403"/>
      <c r="H699" s="406"/>
      <c r="I699" s="406"/>
      <c r="J699" s="406"/>
      <c r="K699" s="304"/>
      <c r="L699" s="372"/>
      <c r="M699" s="372"/>
      <c r="N699" s="372"/>
      <c r="O699" s="372"/>
      <c r="P699" s="372"/>
      <c r="Q699" s="304"/>
      <c r="R699" s="304"/>
      <c r="S699" s="304"/>
      <c r="T699" s="304"/>
      <c r="U699" s="304"/>
      <c r="V699" s="304"/>
      <c r="AL699" s="372" t="str">
        <f t="shared" si="40"/>
        <v/>
      </c>
    </row>
    <row r="700" spans="1:38" ht="15" customHeight="1" outlineLevel="1" x14ac:dyDescent="0.2">
      <c r="A700" s="403"/>
      <c r="B700" s="403"/>
      <c r="C700" s="403"/>
      <c r="D700" s="404"/>
      <c r="E700" s="405"/>
      <c r="F700" s="405"/>
      <c r="G700" s="403"/>
      <c r="H700" s="406"/>
      <c r="I700" s="406"/>
      <c r="J700" s="406"/>
      <c r="K700" s="304"/>
      <c r="L700" s="372"/>
      <c r="M700" s="372"/>
      <c r="N700" s="372"/>
      <c r="O700" s="372"/>
      <c r="P700" s="372"/>
      <c r="Q700" s="304"/>
      <c r="R700" s="304"/>
      <c r="S700" s="304"/>
      <c r="T700" s="304"/>
      <c r="U700" s="304"/>
      <c r="V700" s="304"/>
      <c r="AL700" s="372" t="str">
        <f t="shared" si="40"/>
        <v/>
      </c>
    </row>
    <row r="701" spans="1:38" ht="15" customHeight="1" outlineLevel="1" x14ac:dyDescent="0.2">
      <c r="A701" s="403"/>
      <c r="B701" s="403"/>
      <c r="C701" s="403"/>
      <c r="D701" s="404"/>
      <c r="E701" s="405"/>
      <c r="F701" s="405"/>
      <c r="G701" s="403"/>
      <c r="H701" s="406"/>
      <c r="I701" s="406"/>
      <c r="J701" s="406"/>
      <c r="K701" s="304"/>
      <c r="L701" s="372"/>
      <c r="M701" s="372"/>
      <c r="N701" s="372"/>
      <c r="O701" s="372"/>
      <c r="P701" s="372"/>
      <c r="Q701" s="304"/>
      <c r="R701" s="304"/>
      <c r="S701" s="304"/>
      <c r="T701" s="304"/>
      <c r="U701" s="304"/>
      <c r="V701" s="304"/>
      <c r="AL701" s="372" t="str">
        <f t="shared" si="40"/>
        <v/>
      </c>
    </row>
    <row r="702" spans="1:38" ht="15" customHeight="1" outlineLevel="1" x14ac:dyDescent="0.2">
      <c r="A702" s="403"/>
      <c r="B702" s="403"/>
      <c r="C702" s="403"/>
      <c r="D702" s="404"/>
      <c r="E702" s="405"/>
      <c r="F702" s="405"/>
      <c r="G702" s="403"/>
      <c r="H702" s="406"/>
      <c r="I702" s="406"/>
      <c r="J702" s="406"/>
      <c r="K702" s="304"/>
      <c r="L702" s="372"/>
      <c r="M702" s="372"/>
      <c r="N702" s="372"/>
      <c r="O702" s="372"/>
      <c r="P702" s="372"/>
      <c r="Q702" s="304"/>
      <c r="R702" s="304"/>
      <c r="S702" s="304"/>
      <c r="T702" s="304"/>
      <c r="U702" s="304"/>
      <c r="V702" s="304"/>
      <c r="AL702" s="372" t="str">
        <f t="shared" si="40"/>
        <v/>
      </c>
    </row>
    <row r="703" spans="1:38" ht="15" customHeight="1" outlineLevel="1" x14ac:dyDescent="0.2">
      <c r="A703" s="403"/>
      <c r="B703" s="403"/>
      <c r="C703" s="403"/>
      <c r="D703" s="404"/>
      <c r="E703" s="405"/>
      <c r="F703" s="405"/>
      <c r="G703" s="403"/>
      <c r="H703" s="406"/>
      <c r="I703" s="406"/>
      <c r="J703" s="406"/>
      <c r="K703" s="304"/>
      <c r="L703" s="372"/>
      <c r="M703" s="372"/>
      <c r="N703" s="372"/>
      <c r="O703" s="372"/>
      <c r="P703" s="372"/>
      <c r="Q703" s="304"/>
      <c r="R703" s="304"/>
      <c r="S703" s="304"/>
      <c r="T703" s="304"/>
      <c r="U703" s="304"/>
      <c r="V703" s="304"/>
      <c r="AL703" s="372" t="str">
        <f t="shared" si="40"/>
        <v/>
      </c>
    </row>
    <row r="704" spans="1:38" ht="15" customHeight="1" outlineLevel="1" x14ac:dyDescent="0.2">
      <c r="A704" s="403"/>
      <c r="B704" s="403"/>
      <c r="C704" s="403"/>
      <c r="D704" s="404"/>
      <c r="E704" s="405"/>
      <c r="F704" s="405"/>
      <c r="G704" s="403"/>
      <c r="H704" s="406"/>
      <c r="I704" s="406"/>
      <c r="J704" s="406"/>
      <c r="K704" s="304"/>
      <c r="L704" s="372"/>
      <c r="M704" s="372"/>
      <c r="N704" s="372"/>
      <c r="O704" s="372"/>
      <c r="P704" s="372"/>
      <c r="Q704" s="304"/>
      <c r="R704" s="304"/>
      <c r="S704" s="304"/>
      <c r="T704" s="304"/>
      <c r="U704" s="304"/>
      <c r="V704" s="304"/>
      <c r="AL704" s="372" t="str">
        <f t="shared" si="40"/>
        <v/>
      </c>
    </row>
    <row r="705" spans="1:38" ht="15" customHeight="1" outlineLevel="1" x14ac:dyDescent="0.2">
      <c r="A705" s="403"/>
      <c r="B705" s="403"/>
      <c r="C705" s="403"/>
      <c r="D705" s="404"/>
      <c r="E705" s="405"/>
      <c r="F705" s="405"/>
      <c r="G705" s="403"/>
      <c r="H705" s="406"/>
      <c r="I705" s="406"/>
      <c r="J705" s="406"/>
      <c r="K705" s="304"/>
      <c r="L705" s="372"/>
      <c r="M705" s="372"/>
      <c r="N705" s="372"/>
      <c r="O705" s="372"/>
      <c r="P705" s="372"/>
      <c r="Q705" s="304"/>
      <c r="R705" s="304"/>
      <c r="S705" s="304"/>
      <c r="T705" s="304"/>
      <c r="U705" s="304"/>
      <c r="V705" s="304"/>
      <c r="AL705" s="372" t="str">
        <f t="shared" si="40"/>
        <v/>
      </c>
    </row>
    <row r="706" spans="1:38" ht="15" customHeight="1" outlineLevel="1" x14ac:dyDescent="0.2">
      <c r="A706" s="403"/>
      <c r="B706" s="403"/>
      <c r="C706" s="403"/>
      <c r="D706" s="404"/>
      <c r="E706" s="405"/>
      <c r="F706" s="405"/>
      <c r="G706" s="403"/>
      <c r="H706" s="406"/>
      <c r="I706" s="406"/>
      <c r="J706" s="406"/>
      <c r="K706" s="304"/>
      <c r="L706" s="372"/>
      <c r="M706" s="372"/>
      <c r="N706" s="372"/>
      <c r="O706" s="372"/>
      <c r="P706" s="372"/>
      <c r="Q706" s="304"/>
      <c r="R706" s="304"/>
      <c r="S706" s="304"/>
      <c r="T706" s="304"/>
      <c r="U706" s="304"/>
      <c r="V706" s="304"/>
      <c r="AL706" s="372" t="str">
        <f t="shared" si="40"/>
        <v/>
      </c>
    </row>
    <row r="707" spans="1:38" ht="15" customHeight="1" outlineLevel="1" x14ac:dyDescent="0.2">
      <c r="A707" s="403"/>
      <c r="B707" s="403"/>
      <c r="C707" s="403"/>
      <c r="D707" s="404"/>
      <c r="E707" s="405"/>
      <c r="F707" s="405"/>
      <c r="G707" s="403"/>
      <c r="H707" s="406"/>
      <c r="I707" s="406"/>
      <c r="J707" s="406"/>
      <c r="K707" s="304"/>
      <c r="L707" s="372"/>
      <c r="M707" s="372"/>
      <c r="N707" s="372"/>
      <c r="O707" s="372"/>
      <c r="P707" s="372"/>
      <c r="Q707" s="304"/>
      <c r="R707" s="304"/>
      <c r="S707" s="304"/>
      <c r="T707" s="304"/>
      <c r="U707" s="304"/>
      <c r="V707" s="304"/>
      <c r="AL707" s="372" t="str">
        <f t="shared" si="40"/>
        <v/>
      </c>
    </row>
    <row r="708" spans="1:38" ht="15" customHeight="1" outlineLevel="1" x14ac:dyDescent="0.2">
      <c r="A708" s="403"/>
      <c r="B708" s="403"/>
      <c r="C708" s="403"/>
      <c r="D708" s="404"/>
      <c r="E708" s="405"/>
      <c r="F708" s="405"/>
      <c r="G708" s="403"/>
      <c r="H708" s="406"/>
      <c r="I708" s="406"/>
      <c r="J708" s="406"/>
      <c r="K708" s="304"/>
      <c r="L708" s="372"/>
      <c r="M708" s="372"/>
      <c r="N708" s="372"/>
      <c r="O708" s="372"/>
      <c r="P708" s="372"/>
      <c r="Q708" s="304"/>
      <c r="R708" s="304"/>
      <c r="S708" s="304"/>
      <c r="T708" s="304"/>
      <c r="U708" s="304"/>
      <c r="V708" s="304"/>
      <c r="AL708" s="372" t="str">
        <f t="shared" si="40"/>
        <v/>
      </c>
    </row>
    <row r="709" spans="1:38" ht="15" customHeight="1" outlineLevel="1" x14ac:dyDescent="0.2">
      <c r="A709" s="403"/>
      <c r="B709" s="403"/>
      <c r="C709" s="403"/>
      <c r="D709" s="404"/>
      <c r="E709" s="405"/>
      <c r="F709" s="405"/>
      <c r="G709" s="403"/>
      <c r="H709" s="406"/>
      <c r="I709" s="406"/>
      <c r="J709" s="406"/>
      <c r="K709" s="304"/>
      <c r="L709" s="372"/>
      <c r="M709" s="372"/>
      <c r="N709" s="372"/>
      <c r="O709" s="372"/>
      <c r="P709" s="372"/>
      <c r="Q709" s="304"/>
      <c r="R709" s="304"/>
      <c r="S709" s="304"/>
      <c r="T709" s="304"/>
      <c r="U709" s="304"/>
      <c r="V709" s="304"/>
      <c r="AL709" s="372" t="str">
        <f t="shared" si="40"/>
        <v/>
      </c>
    </row>
    <row r="710" spans="1:38" ht="15" customHeight="1" outlineLevel="1" x14ac:dyDescent="0.2">
      <c r="A710" s="403"/>
      <c r="B710" s="403"/>
      <c r="C710" s="403"/>
      <c r="D710" s="404"/>
      <c r="E710" s="405"/>
      <c r="F710" s="405"/>
      <c r="G710" s="403"/>
      <c r="H710" s="406"/>
      <c r="I710" s="406"/>
      <c r="J710" s="406"/>
      <c r="K710" s="304"/>
      <c r="L710" s="372"/>
      <c r="M710" s="372"/>
      <c r="N710" s="372"/>
      <c r="O710" s="372"/>
      <c r="P710" s="372"/>
      <c r="Q710" s="304"/>
      <c r="R710" s="304"/>
      <c r="S710" s="304"/>
      <c r="T710" s="304"/>
      <c r="U710" s="304"/>
      <c r="V710" s="304"/>
      <c r="AL710" s="372" t="str">
        <f t="shared" si="40"/>
        <v/>
      </c>
    </row>
    <row r="711" spans="1:38" ht="15" customHeight="1" outlineLevel="1" x14ac:dyDescent="0.2">
      <c r="A711" s="403"/>
      <c r="B711" s="403"/>
      <c r="C711" s="403"/>
      <c r="D711" s="404"/>
      <c r="E711" s="405"/>
      <c r="F711" s="405"/>
      <c r="G711" s="403"/>
      <c r="H711" s="406"/>
      <c r="I711" s="406"/>
      <c r="J711" s="406"/>
      <c r="K711" s="304"/>
      <c r="L711" s="372"/>
      <c r="M711" s="372"/>
      <c r="N711" s="372"/>
      <c r="O711" s="372"/>
      <c r="P711" s="372"/>
      <c r="Q711" s="304"/>
      <c r="R711" s="304"/>
      <c r="S711" s="304"/>
      <c r="T711" s="304"/>
      <c r="U711" s="304"/>
      <c r="V711" s="304"/>
      <c r="AL711" s="372" t="str">
        <f t="shared" si="40"/>
        <v/>
      </c>
    </row>
    <row r="712" spans="1:38" ht="15" customHeight="1" outlineLevel="1" x14ac:dyDescent="0.2">
      <c r="A712" s="403"/>
      <c r="B712" s="403"/>
      <c r="C712" s="403"/>
      <c r="D712" s="404"/>
      <c r="E712" s="405"/>
      <c r="F712" s="405"/>
      <c r="G712" s="403"/>
      <c r="H712" s="406"/>
      <c r="I712" s="406"/>
      <c r="J712" s="406"/>
      <c r="K712" s="304"/>
      <c r="L712" s="372"/>
      <c r="M712" s="372"/>
      <c r="N712" s="372"/>
      <c r="O712" s="372"/>
      <c r="P712" s="372"/>
      <c r="Q712" s="304"/>
      <c r="R712" s="304"/>
      <c r="S712" s="304"/>
      <c r="T712" s="304"/>
      <c r="U712" s="304"/>
      <c r="V712" s="304"/>
      <c r="AL712" s="372" t="str">
        <f t="shared" si="40"/>
        <v/>
      </c>
    </row>
    <row r="713" spans="1:38" ht="15" customHeight="1" outlineLevel="1" x14ac:dyDescent="0.2">
      <c r="A713" s="403"/>
      <c r="B713" s="403"/>
      <c r="C713" s="403"/>
      <c r="D713" s="404"/>
      <c r="E713" s="405"/>
      <c r="F713" s="405"/>
      <c r="G713" s="403"/>
      <c r="H713" s="406"/>
      <c r="I713" s="406"/>
      <c r="J713" s="406"/>
      <c r="K713" s="304"/>
      <c r="L713" s="372"/>
      <c r="M713" s="372"/>
      <c r="N713" s="372"/>
      <c r="O713" s="372"/>
      <c r="P713" s="372"/>
      <c r="Q713" s="304"/>
      <c r="R713" s="304"/>
      <c r="S713" s="304"/>
      <c r="T713" s="304"/>
      <c r="U713" s="304"/>
      <c r="V713" s="304"/>
      <c r="AL713" s="372" t="str">
        <f t="shared" si="40"/>
        <v/>
      </c>
    </row>
    <row r="714" spans="1:38" ht="15" customHeight="1" outlineLevel="1" x14ac:dyDescent="0.2">
      <c r="A714" s="403"/>
      <c r="B714" s="403"/>
      <c r="C714" s="403"/>
      <c r="D714" s="404"/>
      <c r="E714" s="405"/>
      <c r="F714" s="405"/>
      <c r="G714" s="403"/>
      <c r="H714" s="406"/>
      <c r="I714" s="406"/>
      <c r="J714" s="406"/>
      <c r="K714" s="304"/>
      <c r="L714" s="372"/>
      <c r="M714" s="372"/>
      <c r="N714" s="372"/>
      <c r="O714" s="372"/>
      <c r="P714" s="372"/>
      <c r="Q714" s="304"/>
      <c r="R714" s="304"/>
      <c r="S714" s="304"/>
      <c r="T714" s="304"/>
      <c r="U714" s="304"/>
      <c r="V714" s="304"/>
      <c r="AL714" s="372" t="str">
        <f t="shared" si="40"/>
        <v/>
      </c>
    </row>
    <row r="715" spans="1:38" ht="15" customHeight="1" outlineLevel="1" x14ac:dyDescent="0.2">
      <c r="A715" s="403"/>
      <c r="B715" s="403"/>
      <c r="C715" s="403"/>
      <c r="D715" s="404"/>
      <c r="E715" s="405"/>
      <c r="F715" s="405"/>
      <c r="G715" s="403"/>
      <c r="H715" s="406"/>
      <c r="I715" s="406"/>
      <c r="J715" s="406"/>
      <c r="K715" s="304"/>
      <c r="L715" s="372"/>
      <c r="M715" s="372"/>
      <c r="N715" s="372"/>
      <c r="O715" s="372"/>
      <c r="P715" s="372"/>
      <c r="Q715" s="304"/>
      <c r="R715" s="304"/>
      <c r="S715" s="304"/>
      <c r="T715" s="304"/>
      <c r="U715" s="304"/>
      <c r="V715" s="304"/>
      <c r="AL715" s="372" t="str">
        <f t="shared" si="40"/>
        <v/>
      </c>
    </row>
    <row r="716" spans="1:38" ht="15" customHeight="1" outlineLevel="1" x14ac:dyDescent="0.2">
      <c r="A716" s="403"/>
      <c r="B716" s="403"/>
      <c r="C716" s="403"/>
      <c r="D716" s="404"/>
      <c r="E716" s="405"/>
      <c r="F716" s="405"/>
      <c r="G716" s="403"/>
      <c r="H716" s="406"/>
      <c r="I716" s="406"/>
      <c r="J716" s="406"/>
      <c r="K716" s="304"/>
      <c r="L716" s="372"/>
      <c r="M716" s="372"/>
      <c r="N716" s="372"/>
      <c r="O716" s="372"/>
      <c r="P716" s="372"/>
      <c r="Q716" s="304"/>
      <c r="R716" s="304"/>
      <c r="S716" s="304"/>
      <c r="T716" s="304"/>
      <c r="U716" s="304"/>
      <c r="V716" s="304"/>
      <c r="AL716" s="372" t="str">
        <f t="shared" si="40"/>
        <v/>
      </c>
    </row>
    <row r="717" spans="1:38" ht="15" customHeight="1" outlineLevel="1" x14ac:dyDescent="0.2">
      <c r="A717" s="403"/>
      <c r="B717" s="403"/>
      <c r="C717" s="403"/>
      <c r="D717" s="404"/>
      <c r="E717" s="405"/>
      <c r="F717" s="405"/>
      <c r="G717" s="403"/>
      <c r="H717" s="406"/>
      <c r="I717" s="406"/>
      <c r="J717" s="406"/>
      <c r="K717" s="304"/>
      <c r="L717" s="372"/>
      <c r="M717" s="372"/>
      <c r="N717" s="372"/>
      <c r="O717" s="372"/>
      <c r="P717" s="372"/>
      <c r="Q717" s="304"/>
      <c r="R717" s="304"/>
      <c r="S717" s="304"/>
      <c r="T717" s="304"/>
      <c r="U717" s="304"/>
      <c r="V717" s="304"/>
      <c r="AL717" s="372" t="str">
        <f t="shared" si="40"/>
        <v/>
      </c>
    </row>
    <row r="718" spans="1:38" ht="15" customHeight="1" outlineLevel="1" x14ac:dyDescent="0.2">
      <c r="A718" s="403"/>
      <c r="B718" s="403"/>
      <c r="C718" s="403"/>
      <c r="D718" s="404"/>
      <c r="E718" s="405"/>
      <c r="F718" s="405"/>
      <c r="G718" s="403"/>
      <c r="H718" s="406"/>
      <c r="I718" s="406"/>
      <c r="J718" s="406"/>
      <c r="K718" s="304"/>
      <c r="L718" s="372"/>
      <c r="M718" s="372"/>
      <c r="N718" s="372"/>
      <c r="O718" s="372"/>
      <c r="P718" s="372"/>
      <c r="Q718" s="304"/>
      <c r="R718" s="304"/>
      <c r="S718" s="304"/>
      <c r="T718" s="304"/>
      <c r="U718" s="304"/>
      <c r="V718" s="304"/>
      <c r="AL718" s="372" t="str">
        <f t="shared" si="40"/>
        <v/>
      </c>
    </row>
    <row r="719" spans="1:38" ht="15" customHeight="1" outlineLevel="1" x14ac:dyDescent="0.2">
      <c r="A719" s="403"/>
      <c r="B719" s="403"/>
      <c r="C719" s="403"/>
      <c r="D719" s="404"/>
      <c r="E719" s="405"/>
      <c r="F719" s="405"/>
      <c r="G719" s="403"/>
      <c r="H719" s="406"/>
      <c r="I719" s="406"/>
      <c r="J719" s="406"/>
      <c r="K719" s="304"/>
      <c r="L719" s="372"/>
      <c r="M719" s="372"/>
      <c r="N719" s="372"/>
      <c r="O719" s="372"/>
      <c r="P719" s="372"/>
      <c r="Q719" s="304"/>
      <c r="R719" s="304"/>
      <c r="S719" s="304"/>
      <c r="T719" s="304"/>
      <c r="U719" s="304"/>
      <c r="V719" s="304"/>
      <c r="AL719" s="372" t="str">
        <f t="shared" si="40"/>
        <v/>
      </c>
    </row>
    <row r="720" spans="1:38" ht="15" customHeight="1" outlineLevel="1" x14ac:dyDescent="0.2">
      <c r="A720" s="403"/>
      <c r="B720" s="403"/>
      <c r="C720" s="403"/>
      <c r="D720" s="404"/>
      <c r="E720" s="405"/>
      <c r="F720" s="405"/>
      <c r="G720" s="403"/>
      <c r="H720" s="406"/>
      <c r="I720" s="406"/>
      <c r="J720" s="406"/>
      <c r="K720" s="304"/>
      <c r="L720" s="372"/>
      <c r="M720" s="372"/>
      <c r="N720" s="372"/>
      <c r="O720" s="372"/>
      <c r="P720" s="372"/>
      <c r="Q720" s="304"/>
      <c r="R720" s="304"/>
      <c r="S720" s="304"/>
      <c r="T720" s="304"/>
      <c r="U720" s="304"/>
      <c r="V720" s="304"/>
      <c r="AL720" s="372" t="str">
        <f t="shared" si="40"/>
        <v/>
      </c>
    </row>
    <row r="721" spans="1:38" ht="15" customHeight="1" outlineLevel="1" x14ac:dyDescent="0.2">
      <c r="A721" s="403"/>
      <c r="B721" s="403"/>
      <c r="C721" s="403"/>
      <c r="D721" s="404"/>
      <c r="E721" s="405"/>
      <c r="F721" s="405"/>
      <c r="G721" s="403"/>
      <c r="H721" s="406"/>
      <c r="I721" s="406"/>
      <c r="J721" s="406"/>
      <c r="K721" s="304"/>
      <c r="L721" s="372"/>
      <c r="M721" s="372"/>
      <c r="N721" s="372"/>
      <c r="O721" s="372"/>
      <c r="P721" s="372"/>
      <c r="Q721" s="304"/>
      <c r="R721" s="304"/>
      <c r="S721" s="304"/>
      <c r="T721" s="304"/>
      <c r="U721" s="304"/>
      <c r="V721" s="304"/>
      <c r="AL721" s="372" t="str">
        <f t="shared" ref="AL721:AL784" si="41">IF(($C721=$AG$245)*($N721&gt;0)*ISNUMBER($I721),$I721*100000+ROW(),"")</f>
        <v/>
      </c>
    </row>
    <row r="722" spans="1:38" ht="15" customHeight="1" outlineLevel="1" x14ac:dyDescent="0.2">
      <c r="A722" s="403"/>
      <c r="B722" s="403"/>
      <c r="C722" s="403"/>
      <c r="D722" s="404"/>
      <c r="E722" s="405"/>
      <c r="F722" s="405"/>
      <c r="G722" s="403"/>
      <c r="H722" s="406"/>
      <c r="I722" s="406"/>
      <c r="J722" s="406"/>
      <c r="K722" s="304"/>
      <c r="L722" s="372"/>
      <c r="M722" s="372"/>
      <c r="N722" s="372"/>
      <c r="O722" s="372"/>
      <c r="P722" s="372"/>
      <c r="Q722" s="304"/>
      <c r="R722" s="304"/>
      <c r="S722" s="304"/>
      <c r="T722" s="304"/>
      <c r="U722" s="304"/>
      <c r="V722" s="304"/>
      <c r="AL722" s="372" t="str">
        <f t="shared" si="41"/>
        <v/>
      </c>
    </row>
    <row r="723" spans="1:38" ht="15" customHeight="1" outlineLevel="1" x14ac:dyDescent="0.2">
      <c r="A723" s="403"/>
      <c r="B723" s="403"/>
      <c r="C723" s="403"/>
      <c r="D723" s="404"/>
      <c r="E723" s="405"/>
      <c r="F723" s="405"/>
      <c r="G723" s="403"/>
      <c r="H723" s="406"/>
      <c r="I723" s="406"/>
      <c r="J723" s="406"/>
      <c r="K723" s="304"/>
      <c r="L723" s="372"/>
      <c r="M723" s="372"/>
      <c r="N723" s="372"/>
      <c r="O723" s="372"/>
      <c r="P723" s="372"/>
      <c r="Q723" s="304"/>
      <c r="R723" s="304"/>
      <c r="S723" s="304"/>
      <c r="T723" s="304"/>
      <c r="U723" s="304"/>
      <c r="V723" s="304"/>
      <c r="AL723" s="372" t="str">
        <f t="shared" si="41"/>
        <v/>
      </c>
    </row>
    <row r="724" spans="1:38" ht="15" customHeight="1" outlineLevel="1" x14ac:dyDescent="0.2">
      <c r="A724" s="403"/>
      <c r="B724" s="403"/>
      <c r="C724" s="403"/>
      <c r="D724" s="404"/>
      <c r="E724" s="405"/>
      <c r="F724" s="405"/>
      <c r="G724" s="403"/>
      <c r="H724" s="406"/>
      <c r="I724" s="406"/>
      <c r="J724" s="406"/>
      <c r="K724" s="304"/>
      <c r="L724" s="372"/>
      <c r="M724" s="372"/>
      <c r="N724" s="372"/>
      <c r="O724" s="372"/>
      <c r="P724" s="372"/>
      <c r="Q724" s="304"/>
      <c r="R724" s="304"/>
      <c r="S724" s="304"/>
      <c r="T724" s="304"/>
      <c r="U724" s="304"/>
      <c r="V724" s="304"/>
      <c r="AL724" s="372" t="str">
        <f t="shared" si="41"/>
        <v/>
      </c>
    </row>
    <row r="725" spans="1:38" ht="15" customHeight="1" outlineLevel="1" x14ac:dyDescent="0.2">
      <c r="A725" s="403"/>
      <c r="B725" s="403"/>
      <c r="C725" s="403"/>
      <c r="D725" s="404"/>
      <c r="E725" s="405"/>
      <c r="F725" s="405"/>
      <c r="G725" s="403"/>
      <c r="H725" s="406"/>
      <c r="I725" s="406"/>
      <c r="J725" s="406"/>
      <c r="K725" s="304"/>
      <c r="L725" s="372"/>
      <c r="M725" s="372"/>
      <c r="N725" s="372"/>
      <c r="O725" s="372"/>
      <c r="P725" s="372"/>
      <c r="Q725" s="304"/>
      <c r="R725" s="304"/>
      <c r="S725" s="304"/>
      <c r="T725" s="304"/>
      <c r="U725" s="304"/>
      <c r="V725" s="304"/>
      <c r="AL725" s="372" t="str">
        <f t="shared" si="41"/>
        <v/>
      </c>
    </row>
    <row r="726" spans="1:38" ht="15" customHeight="1" outlineLevel="1" x14ac:dyDescent="0.2">
      <c r="A726" s="403"/>
      <c r="B726" s="403"/>
      <c r="C726" s="403"/>
      <c r="D726" s="404"/>
      <c r="E726" s="405"/>
      <c r="F726" s="405"/>
      <c r="G726" s="403"/>
      <c r="H726" s="406"/>
      <c r="I726" s="406"/>
      <c r="J726" s="406"/>
      <c r="K726" s="304"/>
      <c r="L726" s="372"/>
      <c r="M726" s="372"/>
      <c r="N726" s="372"/>
      <c r="O726" s="372"/>
      <c r="P726" s="372"/>
      <c r="Q726" s="304"/>
      <c r="R726" s="304"/>
      <c r="S726" s="304"/>
      <c r="T726" s="304"/>
      <c r="U726" s="304"/>
      <c r="V726" s="304"/>
      <c r="AL726" s="372" t="str">
        <f t="shared" si="41"/>
        <v/>
      </c>
    </row>
    <row r="727" spans="1:38" ht="15" customHeight="1" outlineLevel="1" x14ac:dyDescent="0.2">
      <c r="A727" s="403"/>
      <c r="B727" s="403"/>
      <c r="C727" s="403"/>
      <c r="D727" s="404"/>
      <c r="E727" s="405"/>
      <c r="F727" s="405"/>
      <c r="G727" s="403"/>
      <c r="H727" s="406"/>
      <c r="I727" s="406"/>
      <c r="J727" s="406"/>
      <c r="K727" s="304"/>
      <c r="L727" s="372"/>
      <c r="M727" s="372"/>
      <c r="N727" s="372"/>
      <c r="O727" s="372"/>
      <c r="P727" s="372"/>
      <c r="Q727" s="304"/>
      <c r="R727" s="304"/>
      <c r="S727" s="304"/>
      <c r="T727" s="304"/>
      <c r="U727" s="304"/>
      <c r="V727" s="304"/>
      <c r="AL727" s="372" t="str">
        <f t="shared" si="41"/>
        <v/>
      </c>
    </row>
    <row r="728" spans="1:38" ht="15" customHeight="1" outlineLevel="1" x14ac:dyDescent="0.2">
      <c r="A728" s="403"/>
      <c r="B728" s="403"/>
      <c r="C728" s="403"/>
      <c r="D728" s="404"/>
      <c r="E728" s="405"/>
      <c r="F728" s="405"/>
      <c r="G728" s="403"/>
      <c r="H728" s="406"/>
      <c r="I728" s="406"/>
      <c r="J728" s="406"/>
      <c r="K728" s="304"/>
      <c r="L728" s="372"/>
      <c r="M728" s="372"/>
      <c r="N728" s="372"/>
      <c r="O728" s="372"/>
      <c r="P728" s="372"/>
      <c r="Q728" s="304"/>
      <c r="R728" s="304"/>
      <c r="S728" s="304"/>
      <c r="T728" s="304"/>
      <c r="U728" s="304"/>
      <c r="V728" s="304"/>
      <c r="AL728" s="372" t="str">
        <f t="shared" si="41"/>
        <v/>
      </c>
    </row>
    <row r="729" spans="1:38" ht="15" customHeight="1" outlineLevel="1" x14ac:dyDescent="0.2">
      <c r="A729" s="403"/>
      <c r="B729" s="403"/>
      <c r="C729" s="403"/>
      <c r="D729" s="404"/>
      <c r="E729" s="405"/>
      <c r="F729" s="405"/>
      <c r="G729" s="403"/>
      <c r="H729" s="406"/>
      <c r="I729" s="406"/>
      <c r="J729" s="406"/>
      <c r="K729" s="304"/>
      <c r="L729" s="372"/>
      <c r="M729" s="372"/>
      <c r="N729" s="372"/>
      <c r="O729" s="372"/>
      <c r="P729" s="372"/>
      <c r="Q729" s="304"/>
      <c r="R729" s="304"/>
      <c r="S729" s="304"/>
      <c r="T729" s="304"/>
      <c r="U729" s="304"/>
      <c r="V729" s="304"/>
      <c r="AL729" s="372" t="str">
        <f t="shared" si="41"/>
        <v/>
      </c>
    </row>
    <row r="730" spans="1:38" ht="15" customHeight="1" outlineLevel="1" x14ac:dyDescent="0.2">
      <c r="A730" s="403"/>
      <c r="B730" s="403"/>
      <c r="C730" s="403"/>
      <c r="D730" s="404"/>
      <c r="E730" s="405"/>
      <c r="F730" s="405"/>
      <c r="G730" s="403"/>
      <c r="H730" s="406"/>
      <c r="I730" s="406"/>
      <c r="J730" s="406"/>
      <c r="K730" s="304"/>
      <c r="L730" s="372"/>
      <c r="M730" s="372"/>
      <c r="N730" s="372"/>
      <c r="O730" s="372"/>
      <c r="P730" s="372"/>
      <c r="Q730" s="304"/>
      <c r="R730" s="304"/>
      <c r="S730" s="304"/>
      <c r="T730" s="304"/>
      <c r="U730" s="304"/>
      <c r="V730" s="304"/>
      <c r="AL730" s="372" t="str">
        <f t="shared" si="41"/>
        <v/>
      </c>
    </row>
    <row r="731" spans="1:38" ht="15" customHeight="1" outlineLevel="1" x14ac:dyDescent="0.2">
      <c r="A731" s="403"/>
      <c r="B731" s="403"/>
      <c r="C731" s="403"/>
      <c r="D731" s="404"/>
      <c r="E731" s="405"/>
      <c r="F731" s="405"/>
      <c r="G731" s="403"/>
      <c r="H731" s="406"/>
      <c r="I731" s="406"/>
      <c r="J731" s="406"/>
      <c r="K731" s="304"/>
      <c r="L731" s="372"/>
      <c r="M731" s="372"/>
      <c r="N731" s="372"/>
      <c r="O731" s="372"/>
      <c r="P731" s="372"/>
      <c r="Q731" s="304"/>
      <c r="R731" s="304"/>
      <c r="S731" s="304"/>
      <c r="T731" s="304"/>
      <c r="U731" s="304"/>
      <c r="V731" s="304"/>
      <c r="AL731" s="372" t="str">
        <f t="shared" si="41"/>
        <v/>
      </c>
    </row>
    <row r="732" spans="1:38" ht="15" customHeight="1" outlineLevel="1" x14ac:dyDescent="0.2">
      <c r="A732" s="403"/>
      <c r="B732" s="403"/>
      <c r="C732" s="403"/>
      <c r="D732" s="404"/>
      <c r="E732" s="405"/>
      <c r="F732" s="405"/>
      <c r="G732" s="403"/>
      <c r="H732" s="406"/>
      <c r="I732" s="406"/>
      <c r="J732" s="406"/>
      <c r="K732" s="304"/>
      <c r="L732" s="372"/>
      <c r="M732" s="372"/>
      <c r="N732" s="372"/>
      <c r="O732" s="372"/>
      <c r="P732" s="372"/>
      <c r="Q732" s="304"/>
      <c r="R732" s="304"/>
      <c r="S732" s="304"/>
      <c r="T732" s="304"/>
      <c r="U732" s="304"/>
      <c r="V732" s="304"/>
      <c r="AL732" s="372" t="str">
        <f t="shared" si="41"/>
        <v/>
      </c>
    </row>
    <row r="733" spans="1:38" ht="15" customHeight="1" outlineLevel="1" x14ac:dyDescent="0.2">
      <c r="A733" s="403"/>
      <c r="B733" s="403"/>
      <c r="C733" s="403"/>
      <c r="D733" s="404"/>
      <c r="E733" s="405"/>
      <c r="F733" s="405"/>
      <c r="G733" s="403"/>
      <c r="H733" s="406"/>
      <c r="I733" s="406"/>
      <c r="J733" s="406"/>
      <c r="K733" s="304"/>
      <c r="L733" s="372"/>
      <c r="M733" s="372"/>
      <c r="N733" s="372"/>
      <c r="O733" s="372"/>
      <c r="P733" s="372"/>
      <c r="Q733" s="304"/>
      <c r="R733" s="304"/>
      <c r="S733" s="304"/>
      <c r="T733" s="304"/>
      <c r="U733" s="304"/>
      <c r="V733" s="304"/>
      <c r="AL733" s="372" t="str">
        <f t="shared" si="41"/>
        <v/>
      </c>
    </row>
    <row r="734" spans="1:38" ht="15" customHeight="1" outlineLevel="1" x14ac:dyDescent="0.2">
      <c r="A734" s="403"/>
      <c r="B734" s="403"/>
      <c r="C734" s="403"/>
      <c r="D734" s="404"/>
      <c r="E734" s="405"/>
      <c r="F734" s="405"/>
      <c r="G734" s="403"/>
      <c r="H734" s="406"/>
      <c r="I734" s="406"/>
      <c r="J734" s="406"/>
      <c r="K734" s="304"/>
      <c r="L734" s="372"/>
      <c r="M734" s="372"/>
      <c r="N734" s="372"/>
      <c r="O734" s="372"/>
      <c r="P734" s="372"/>
      <c r="Q734" s="304"/>
      <c r="R734" s="304"/>
      <c r="S734" s="304"/>
      <c r="T734" s="304"/>
      <c r="U734" s="304"/>
      <c r="V734" s="304"/>
      <c r="AL734" s="372" t="str">
        <f t="shared" si="41"/>
        <v/>
      </c>
    </row>
    <row r="735" spans="1:38" ht="15" customHeight="1" outlineLevel="1" x14ac:dyDescent="0.2">
      <c r="A735" s="403"/>
      <c r="B735" s="403"/>
      <c r="C735" s="403"/>
      <c r="D735" s="404"/>
      <c r="E735" s="405"/>
      <c r="F735" s="405"/>
      <c r="G735" s="403"/>
      <c r="H735" s="406"/>
      <c r="I735" s="406"/>
      <c r="J735" s="406"/>
      <c r="K735" s="304"/>
      <c r="L735" s="372"/>
      <c r="M735" s="372"/>
      <c r="N735" s="372"/>
      <c r="O735" s="372"/>
      <c r="P735" s="372"/>
      <c r="Q735" s="304"/>
      <c r="R735" s="304"/>
      <c r="S735" s="304"/>
      <c r="T735" s="304"/>
      <c r="U735" s="304"/>
      <c r="V735" s="304"/>
      <c r="AL735" s="372" t="str">
        <f t="shared" si="41"/>
        <v/>
      </c>
    </row>
    <row r="736" spans="1:38" ht="15" customHeight="1" outlineLevel="1" x14ac:dyDescent="0.2">
      <c r="A736" s="403"/>
      <c r="B736" s="403"/>
      <c r="C736" s="403"/>
      <c r="D736" s="404"/>
      <c r="E736" s="405"/>
      <c r="F736" s="405"/>
      <c r="G736" s="403"/>
      <c r="H736" s="406"/>
      <c r="I736" s="406"/>
      <c r="J736" s="406"/>
      <c r="K736" s="304"/>
      <c r="L736" s="372"/>
      <c r="M736" s="372"/>
      <c r="N736" s="372"/>
      <c r="O736" s="372"/>
      <c r="P736" s="372"/>
      <c r="Q736" s="304"/>
      <c r="R736" s="304"/>
      <c r="S736" s="304"/>
      <c r="T736" s="304"/>
      <c r="U736" s="304"/>
      <c r="V736" s="304"/>
      <c r="AL736" s="372" t="str">
        <f t="shared" si="41"/>
        <v/>
      </c>
    </row>
    <row r="737" spans="1:38" ht="15" customHeight="1" outlineLevel="1" x14ac:dyDescent="0.2">
      <c r="A737" s="403"/>
      <c r="B737" s="403"/>
      <c r="C737" s="403"/>
      <c r="D737" s="404"/>
      <c r="E737" s="405"/>
      <c r="F737" s="405"/>
      <c r="G737" s="403"/>
      <c r="H737" s="406"/>
      <c r="I737" s="406"/>
      <c r="J737" s="406"/>
      <c r="K737" s="304"/>
      <c r="L737" s="372"/>
      <c r="M737" s="372"/>
      <c r="N737" s="372"/>
      <c r="O737" s="372"/>
      <c r="P737" s="372"/>
      <c r="Q737" s="304"/>
      <c r="R737" s="304"/>
      <c r="S737" s="304"/>
      <c r="T737" s="304"/>
      <c r="U737" s="304"/>
      <c r="V737" s="304"/>
      <c r="AL737" s="372" t="str">
        <f t="shared" si="41"/>
        <v/>
      </c>
    </row>
    <row r="738" spans="1:38" ht="15" customHeight="1" outlineLevel="1" x14ac:dyDescent="0.2">
      <c r="A738" s="403"/>
      <c r="B738" s="403"/>
      <c r="C738" s="403"/>
      <c r="D738" s="404"/>
      <c r="E738" s="405"/>
      <c r="F738" s="405"/>
      <c r="G738" s="403"/>
      <c r="H738" s="406"/>
      <c r="I738" s="406"/>
      <c r="J738" s="406"/>
      <c r="K738" s="304"/>
      <c r="L738" s="372"/>
      <c r="M738" s="372"/>
      <c r="N738" s="372"/>
      <c r="O738" s="372"/>
      <c r="P738" s="372"/>
      <c r="Q738" s="304"/>
      <c r="R738" s="304"/>
      <c r="S738" s="304"/>
      <c r="T738" s="304"/>
      <c r="U738" s="304"/>
      <c r="V738" s="304"/>
      <c r="AL738" s="372" t="str">
        <f t="shared" si="41"/>
        <v/>
      </c>
    </row>
    <row r="739" spans="1:38" ht="15" customHeight="1" outlineLevel="1" x14ac:dyDescent="0.2">
      <c r="A739" s="403"/>
      <c r="B739" s="403"/>
      <c r="C739" s="403"/>
      <c r="D739" s="404"/>
      <c r="E739" s="405"/>
      <c r="F739" s="405"/>
      <c r="G739" s="403"/>
      <c r="H739" s="406"/>
      <c r="I739" s="406"/>
      <c r="J739" s="406"/>
      <c r="K739" s="304"/>
      <c r="L739" s="372"/>
      <c r="M739" s="372"/>
      <c r="N739" s="372"/>
      <c r="O739" s="372"/>
      <c r="P739" s="372"/>
      <c r="Q739" s="304"/>
      <c r="R739" s="304"/>
      <c r="S739" s="304"/>
      <c r="T739" s="304"/>
      <c r="U739" s="304"/>
      <c r="V739" s="304"/>
      <c r="AL739" s="372" t="str">
        <f t="shared" si="41"/>
        <v/>
      </c>
    </row>
    <row r="740" spans="1:38" ht="15" customHeight="1" outlineLevel="1" x14ac:dyDescent="0.2">
      <c r="A740" s="403"/>
      <c r="B740" s="403"/>
      <c r="C740" s="403"/>
      <c r="D740" s="404"/>
      <c r="E740" s="405"/>
      <c r="F740" s="405"/>
      <c r="G740" s="403"/>
      <c r="H740" s="406"/>
      <c r="I740" s="406"/>
      <c r="J740" s="406"/>
      <c r="K740" s="304"/>
      <c r="L740" s="372"/>
      <c r="M740" s="372"/>
      <c r="N740" s="372"/>
      <c r="O740" s="372"/>
      <c r="P740" s="372"/>
      <c r="Q740" s="304"/>
      <c r="R740" s="304"/>
      <c r="S740" s="304"/>
      <c r="T740" s="304"/>
      <c r="U740" s="304"/>
      <c r="V740" s="304"/>
      <c r="AL740" s="372" t="str">
        <f t="shared" si="41"/>
        <v/>
      </c>
    </row>
    <row r="741" spans="1:38" ht="15" customHeight="1" outlineLevel="1" x14ac:dyDescent="0.2">
      <c r="A741" s="403"/>
      <c r="B741" s="403"/>
      <c r="C741" s="403"/>
      <c r="D741" s="404"/>
      <c r="E741" s="405"/>
      <c r="F741" s="405"/>
      <c r="G741" s="403"/>
      <c r="H741" s="406"/>
      <c r="I741" s="406"/>
      <c r="J741" s="406"/>
      <c r="K741" s="304"/>
      <c r="L741" s="372"/>
      <c r="M741" s="372"/>
      <c r="N741" s="372"/>
      <c r="O741" s="372"/>
      <c r="P741" s="372"/>
      <c r="Q741" s="304"/>
      <c r="R741" s="304"/>
      <c r="S741" s="304"/>
      <c r="T741" s="304"/>
      <c r="U741" s="304"/>
      <c r="V741" s="304"/>
      <c r="AL741" s="372" t="str">
        <f t="shared" si="41"/>
        <v/>
      </c>
    </row>
    <row r="742" spans="1:38" ht="15" customHeight="1" outlineLevel="1" x14ac:dyDescent="0.2">
      <c r="A742" s="403"/>
      <c r="B742" s="403"/>
      <c r="C742" s="403"/>
      <c r="D742" s="404"/>
      <c r="E742" s="405"/>
      <c r="F742" s="405"/>
      <c r="G742" s="403"/>
      <c r="H742" s="406"/>
      <c r="I742" s="406"/>
      <c r="J742" s="406"/>
      <c r="K742" s="304"/>
      <c r="L742" s="372"/>
      <c r="M742" s="372"/>
      <c r="N742" s="372"/>
      <c r="O742" s="372"/>
      <c r="P742" s="372"/>
      <c r="Q742" s="304"/>
      <c r="R742" s="304"/>
      <c r="S742" s="304"/>
      <c r="T742" s="304"/>
      <c r="U742" s="304"/>
      <c r="V742" s="304"/>
      <c r="AL742" s="372" t="str">
        <f t="shared" si="41"/>
        <v/>
      </c>
    </row>
    <row r="743" spans="1:38" ht="15" customHeight="1" outlineLevel="1" x14ac:dyDescent="0.2">
      <c r="A743" s="403"/>
      <c r="B743" s="403"/>
      <c r="C743" s="403"/>
      <c r="D743" s="404"/>
      <c r="E743" s="405"/>
      <c r="F743" s="405"/>
      <c r="G743" s="403"/>
      <c r="H743" s="406"/>
      <c r="I743" s="406"/>
      <c r="J743" s="406"/>
      <c r="K743" s="304"/>
      <c r="L743" s="372"/>
      <c r="M743" s="372"/>
      <c r="N743" s="372"/>
      <c r="O743" s="372"/>
      <c r="P743" s="372"/>
      <c r="Q743" s="304"/>
      <c r="R743" s="304"/>
      <c r="S743" s="304"/>
      <c r="T743" s="304"/>
      <c r="U743" s="304"/>
      <c r="V743" s="304"/>
      <c r="AL743" s="372" t="str">
        <f t="shared" si="41"/>
        <v/>
      </c>
    </row>
    <row r="744" spans="1:38" ht="15" customHeight="1" outlineLevel="1" x14ac:dyDescent="0.2">
      <c r="A744" s="403"/>
      <c r="B744" s="403"/>
      <c r="C744" s="403"/>
      <c r="D744" s="404"/>
      <c r="E744" s="405"/>
      <c r="F744" s="405"/>
      <c r="G744" s="403"/>
      <c r="H744" s="406"/>
      <c r="I744" s="406"/>
      <c r="J744" s="406"/>
      <c r="K744" s="304"/>
      <c r="L744" s="372"/>
      <c r="M744" s="372"/>
      <c r="N744" s="372"/>
      <c r="O744" s="372"/>
      <c r="P744" s="372"/>
      <c r="Q744" s="304"/>
      <c r="R744" s="304"/>
      <c r="S744" s="304"/>
      <c r="T744" s="304"/>
      <c r="U744" s="304"/>
      <c r="V744" s="304"/>
      <c r="AL744" s="372" t="str">
        <f t="shared" si="41"/>
        <v/>
      </c>
    </row>
    <row r="745" spans="1:38" ht="15" customHeight="1" outlineLevel="1" x14ac:dyDescent="0.2">
      <c r="A745" s="403"/>
      <c r="B745" s="403"/>
      <c r="C745" s="403"/>
      <c r="D745" s="404"/>
      <c r="E745" s="405"/>
      <c r="F745" s="405"/>
      <c r="G745" s="403"/>
      <c r="H745" s="406"/>
      <c r="I745" s="406"/>
      <c r="J745" s="406"/>
      <c r="K745" s="304"/>
      <c r="L745" s="372"/>
      <c r="M745" s="372"/>
      <c r="N745" s="372"/>
      <c r="O745" s="372"/>
      <c r="P745" s="372"/>
      <c r="Q745" s="304"/>
      <c r="R745" s="304"/>
      <c r="S745" s="304"/>
      <c r="T745" s="304"/>
      <c r="U745" s="304"/>
      <c r="V745" s="304"/>
      <c r="AL745" s="372" t="str">
        <f t="shared" si="41"/>
        <v/>
      </c>
    </row>
    <row r="746" spans="1:38" ht="15" customHeight="1" outlineLevel="1" x14ac:dyDescent="0.2">
      <c r="A746" s="403"/>
      <c r="B746" s="403"/>
      <c r="C746" s="403"/>
      <c r="D746" s="404"/>
      <c r="E746" s="405"/>
      <c r="F746" s="405"/>
      <c r="G746" s="403"/>
      <c r="H746" s="406"/>
      <c r="I746" s="406"/>
      <c r="J746" s="406"/>
      <c r="K746" s="304"/>
      <c r="L746" s="372"/>
      <c r="M746" s="372"/>
      <c r="N746" s="372"/>
      <c r="O746" s="372"/>
      <c r="P746" s="372"/>
      <c r="Q746" s="304"/>
      <c r="R746" s="304"/>
      <c r="S746" s="304"/>
      <c r="T746" s="304"/>
      <c r="U746" s="304"/>
      <c r="V746" s="304"/>
      <c r="AL746" s="372" t="str">
        <f t="shared" si="41"/>
        <v/>
      </c>
    </row>
    <row r="747" spans="1:38" ht="15" customHeight="1" outlineLevel="1" x14ac:dyDescent="0.2">
      <c r="A747" s="403"/>
      <c r="B747" s="403"/>
      <c r="C747" s="403"/>
      <c r="D747" s="404"/>
      <c r="E747" s="405"/>
      <c r="F747" s="405"/>
      <c r="G747" s="403"/>
      <c r="H747" s="406"/>
      <c r="I747" s="406"/>
      <c r="J747" s="406"/>
      <c r="K747" s="304"/>
      <c r="L747" s="372"/>
      <c r="M747" s="372"/>
      <c r="N747" s="372"/>
      <c r="O747" s="372"/>
      <c r="P747" s="372"/>
      <c r="Q747" s="304"/>
      <c r="R747" s="304"/>
      <c r="S747" s="304"/>
      <c r="T747" s="304"/>
      <c r="U747" s="304"/>
      <c r="V747" s="304"/>
      <c r="AL747" s="372" t="str">
        <f t="shared" si="41"/>
        <v/>
      </c>
    </row>
    <row r="748" spans="1:38" ht="15" customHeight="1" outlineLevel="1" x14ac:dyDescent="0.2">
      <c r="A748" s="403"/>
      <c r="B748" s="403"/>
      <c r="C748" s="403"/>
      <c r="D748" s="404"/>
      <c r="E748" s="405"/>
      <c r="F748" s="405"/>
      <c r="G748" s="403"/>
      <c r="H748" s="406"/>
      <c r="I748" s="406"/>
      <c r="J748" s="406"/>
      <c r="K748" s="304"/>
      <c r="L748" s="372"/>
      <c r="M748" s="372"/>
      <c r="N748" s="372"/>
      <c r="O748" s="372"/>
      <c r="P748" s="372"/>
      <c r="Q748" s="304"/>
      <c r="R748" s="304"/>
      <c r="S748" s="304"/>
      <c r="T748" s="304"/>
      <c r="U748" s="304"/>
      <c r="V748" s="304"/>
      <c r="AL748" s="372" t="str">
        <f t="shared" si="41"/>
        <v/>
      </c>
    </row>
    <row r="749" spans="1:38" ht="15" customHeight="1" outlineLevel="1" x14ac:dyDescent="0.2">
      <c r="A749" s="403"/>
      <c r="B749" s="403"/>
      <c r="C749" s="403"/>
      <c r="D749" s="404"/>
      <c r="E749" s="405"/>
      <c r="F749" s="405"/>
      <c r="G749" s="403"/>
      <c r="H749" s="406"/>
      <c r="I749" s="406"/>
      <c r="J749" s="406"/>
      <c r="K749" s="304"/>
      <c r="L749" s="372"/>
      <c r="M749" s="372"/>
      <c r="N749" s="372"/>
      <c r="O749" s="372"/>
      <c r="P749" s="372"/>
      <c r="Q749" s="304"/>
      <c r="R749" s="304"/>
      <c r="S749" s="304"/>
      <c r="T749" s="304"/>
      <c r="U749" s="304"/>
      <c r="V749" s="304"/>
      <c r="AL749" s="372" t="str">
        <f t="shared" si="41"/>
        <v/>
      </c>
    </row>
    <row r="750" spans="1:38" ht="15" customHeight="1" outlineLevel="1" x14ac:dyDescent="0.2">
      <c r="A750" s="403"/>
      <c r="B750" s="403"/>
      <c r="C750" s="403"/>
      <c r="D750" s="404"/>
      <c r="E750" s="405"/>
      <c r="F750" s="405"/>
      <c r="G750" s="403"/>
      <c r="H750" s="406"/>
      <c r="I750" s="406"/>
      <c r="J750" s="406"/>
      <c r="K750" s="304"/>
      <c r="L750" s="372"/>
      <c r="M750" s="372"/>
      <c r="N750" s="372"/>
      <c r="O750" s="372"/>
      <c r="P750" s="372"/>
      <c r="Q750" s="304"/>
      <c r="R750" s="304"/>
      <c r="S750" s="304"/>
      <c r="T750" s="304"/>
      <c r="U750" s="304"/>
      <c r="V750" s="304"/>
      <c r="AL750" s="372" t="str">
        <f t="shared" si="41"/>
        <v/>
      </c>
    </row>
    <row r="751" spans="1:38" ht="15" customHeight="1" outlineLevel="1" x14ac:dyDescent="0.2">
      <c r="A751" s="403"/>
      <c r="B751" s="403"/>
      <c r="C751" s="403"/>
      <c r="D751" s="404"/>
      <c r="E751" s="405"/>
      <c r="F751" s="405"/>
      <c r="G751" s="403"/>
      <c r="H751" s="406"/>
      <c r="I751" s="406"/>
      <c r="J751" s="406"/>
      <c r="K751" s="304"/>
      <c r="L751" s="372"/>
      <c r="M751" s="372"/>
      <c r="N751" s="372"/>
      <c r="O751" s="372"/>
      <c r="P751" s="372"/>
      <c r="Q751" s="304"/>
      <c r="R751" s="304"/>
      <c r="S751" s="304"/>
      <c r="T751" s="304"/>
      <c r="U751" s="304"/>
      <c r="V751" s="304"/>
      <c r="AL751" s="372" t="str">
        <f t="shared" si="41"/>
        <v/>
      </c>
    </row>
    <row r="752" spans="1:38" ht="15" customHeight="1" outlineLevel="1" x14ac:dyDescent="0.2">
      <c r="A752" s="403"/>
      <c r="B752" s="403"/>
      <c r="C752" s="403"/>
      <c r="D752" s="404"/>
      <c r="E752" s="405"/>
      <c r="F752" s="405"/>
      <c r="G752" s="403"/>
      <c r="H752" s="406"/>
      <c r="I752" s="406"/>
      <c r="J752" s="406"/>
      <c r="K752" s="304"/>
      <c r="L752" s="372"/>
      <c r="M752" s="372"/>
      <c r="N752" s="372"/>
      <c r="O752" s="372"/>
      <c r="P752" s="372"/>
      <c r="Q752" s="304"/>
      <c r="R752" s="304"/>
      <c r="S752" s="304"/>
      <c r="T752" s="304"/>
      <c r="U752" s="304"/>
      <c r="V752" s="304"/>
      <c r="AL752" s="372" t="str">
        <f t="shared" si="41"/>
        <v/>
      </c>
    </row>
    <row r="753" spans="1:38" ht="15" customHeight="1" outlineLevel="1" x14ac:dyDescent="0.2">
      <c r="A753" s="403"/>
      <c r="B753" s="403"/>
      <c r="C753" s="403"/>
      <c r="D753" s="404"/>
      <c r="E753" s="405"/>
      <c r="F753" s="405"/>
      <c r="G753" s="403"/>
      <c r="H753" s="406"/>
      <c r="I753" s="406"/>
      <c r="J753" s="406"/>
      <c r="K753" s="304"/>
      <c r="L753" s="372"/>
      <c r="M753" s="372"/>
      <c r="N753" s="372"/>
      <c r="O753" s="372"/>
      <c r="P753" s="372"/>
      <c r="Q753" s="304"/>
      <c r="R753" s="304"/>
      <c r="S753" s="304"/>
      <c r="T753" s="304"/>
      <c r="U753" s="304"/>
      <c r="V753" s="304"/>
      <c r="AL753" s="372" t="str">
        <f t="shared" si="41"/>
        <v/>
      </c>
    </row>
    <row r="754" spans="1:38" ht="15" customHeight="1" outlineLevel="1" x14ac:dyDescent="0.2">
      <c r="A754" s="403"/>
      <c r="B754" s="403"/>
      <c r="C754" s="403"/>
      <c r="D754" s="404"/>
      <c r="E754" s="405"/>
      <c r="F754" s="405"/>
      <c r="G754" s="403"/>
      <c r="H754" s="406"/>
      <c r="I754" s="406"/>
      <c r="J754" s="406"/>
      <c r="K754" s="304"/>
      <c r="L754" s="372"/>
      <c r="M754" s="372"/>
      <c r="N754" s="372"/>
      <c r="O754" s="372"/>
      <c r="P754" s="372"/>
      <c r="Q754" s="304"/>
      <c r="R754" s="304"/>
      <c r="S754" s="304"/>
      <c r="T754" s="304"/>
      <c r="U754" s="304"/>
      <c r="V754" s="304"/>
      <c r="AL754" s="372" t="str">
        <f t="shared" si="41"/>
        <v/>
      </c>
    </row>
    <row r="755" spans="1:38" ht="15" customHeight="1" outlineLevel="1" x14ac:dyDescent="0.2">
      <c r="A755" s="403"/>
      <c r="B755" s="403"/>
      <c r="C755" s="403"/>
      <c r="D755" s="404"/>
      <c r="E755" s="405"/>
      <c r="F755" s="405"/>
      <c r="G755" s="403"/>
      <c r="H755" s="406"/>
      <c r="I755" s="406"/>
      <c r="J755" s="406"/>
      <c r="K755" s="304"/>
      <c r="L755" s="372"/>
      <c r="M755" s="372"/>
      <c r="N755" s="372"/>
      <c r="O755" s="372"/>
      <c r="P755" s="372"/>
      <c r="Q755" s="304"/>
      <c r="R755" s="304"/>
      <c r="S755" s="304"/>
      <c r="T755" s="304"/>
      <c r="U755" s="304"/>
      <c r="V755" s="304"/>
      <c r="AL755" s="372" t="str">
        <f t="shared" si="41"/>
        <v/>
      </c>
    </row>
    <row r="756" spans="1:38" ht="15" customHeight="1" outlineLevel="1" x14ac:dyDescent="0.2">
      <c r="A756" s="403"/>
      <c r="B756" s="403"/>
      <c r="C756" s="403"/>
      <c r="D756" s="404"/>
      <c r="E756" s="405"/>
      <c r="F756" s="405"/>
      <c r="G756" s="403"/>
      <c r="H756" s="406"/>
      <c r="I756" s="406"/>
      <c r="J756" s="406"/>
      <c r="K756" s="304"/>
      <c r="L756" s="372"/>
      <c r="M756" s="372"/>
      <c r="N756" s="372"/>
      <c r="O756" s="372"/>
      <c r="P756" s="372"/>
      <c r="Q756" s="304"/>
      <c r="R756" s="304"/>
      <c r="S756" s="304"/>
      <c r="T756" s="304"/>
      <c r="U756" s="304"/>
      <c r="V756" s="304"/>
      <c r="AL756" s="372" t="str">
        <f t="shared" si="41"/>
        <v/>
      </c>
    </row>
    <row r="757" spans="1:38" ht="15" customHeight="1" outlineLevel="1" x14ac:dyDescent="0.2">
      <c r="A757" s="403"/>
      <c r="B757" s="403"/>
      <c r="C757" s="403"/>
      <c r="D757" s="404"/>
      <c r="E757" s="405"/>
      <c r="F757" s="405"/>
      <c r="G757" s="403"/>
      <c r="H757" s="406"/>
      <c r="I757" s="406"/>
      <c r="J757" s="406"/>
      <c r="K757" s="304"/>
      <c r="L757" s="372"/>
      <c r="M757" s="372"/>
      <c r="N757" s="372"/>
      <c r="O757" s="372"/>
      <c r="P757" s="372"/>
      <c r="Q757" s="304"/>
      <c r="R757" s="304"/>
      <c r="S757" s="304"/>
      <c r="T757" s="304"/>
      <c r="U757" s="304"/>
      <c r="V757" s="304"/>
      <c r="AL757" s="372" t="str">
        <f t="shared" si="41"/>
        <v/>
      </c>
    </row>
    <row r="758" spans="1:38" ht="15" customHeight="1" outlineLevel="1" x14ac:dyDescent="0.2">
      <c r="A758" s="403"/>
      <c r="B758" s="403"/>
      <c r="C758" s="403"/>
      <c r="D758" s="404"/>
      <c r="E758" s="405"/>
      <c r="F758" s="405"/>
      <c r="G758" s="403"/>
      <c r="H758" s="406"/>
      <c r="I758" s="406"/>
      <c r="J758" s="406"/>
      <c r="K758" s="304"/>
      <c r="L758" s="372"/>
      <c r="M758" s="372"/>
      <c r="N758" s="372"/>
      <c r="O758" s="372"/>
      <c r="P758" s="372"/>
      <c r="Q758" s="304"/>
      <c r="R758" s="304"/>
      <c r="S758" s="304"/>
      <c r="T758" s="304"/>
      <c r="U758" s="304"/>
      <c r="V758" s="304"/>
      <c r="AL758" s="372" t="str">
        <f t="shared" si="41"/>
        <v/>
      </c>
    </row>
    <row r="759" spans="1:38" ht="15" customHeight="1" outlineLevel="1" x14ac:dyDescent="0.2">
      <c r="A759" s="403"/>
      <c r="B759" s="403"/>
      <c r="C759" s="403"/>
      <c r="D759" s="404"/>
      <c r="E759" s="405"/>
      <c r="F759" s="405"/>
      <c r="G759" s="403"/>
      <c r="H759" s="406"/>
      <c r="I759" s="406"/>
      <c r="J759" s="406"/>
      <c r="K759" s="304"/>
      <c r="L759" s="372"/>
      <c r="M759" s="372"/>
      <c r="N759" s="372"/>
      <c r="O759" s="372"/>
      <c r="P759" s="372"/>
      <c r="Q759" s="304"/>
      <c r="R759" s="304"/>
      <c r="S759" s="304"/>
      <c r="T759" s="304"/>
      <c r="U759" s="304"/>
      <c r="V759" s="304"/>
      <c r="AL759" s="372" t="str">
        <f t="shared" si="41"/>
        <v/>
      </c>
    </row>
    <row r="760" spans="1:38" ht="15" customHeight="1" outlineLevel="1" x14ac:dyDescent="0.2">
      <c r="A760" s="403"/>
      <c r="B760" s="403"/>
      <c r="C760" s="403"/>
      <c r="D760" s="404"/>
      <c r="E760" s="405"/>
      <c r="F760" s="405"/>
      <c r="G760" s="403"/>
      <c r="H760" s="406"/>
      <c r="I760" s="406"/>
      <c r="J760" s="406"/>
      <c r="K760" s="304"/>
      <c r="L760" s="372"/>
      <c r="M760" s="372"/>
      <c r="N760" s="372"/>
      <c r="O760" s="372"/>
      <c r="P760" s="372"/>
      <c r="Q760" s="304"/>
      <c r="R760" s="304"/>
      <c r="S760" s="304"/>
      <c r="T760" s="304"/>
      <c r="U760" s="304"/>
      <c r="V760" s="304"/>
      <c r="AL760" s="372" t="str">
        <f t="shared" si="41"/>
        <v/>
      </c>
    </row>
    <row r="761" spans="1:38" ht="15" customHeight="1" outlineLevel="1" x14ac:dyDescent="0.2">
      <c r="A761" s="403"/>
      <c r="B761" s="403"/>
      <c r="C761" s="403"/>
      <c r="D761" s="404"/>
      <c r="E761" s="405"/>
      <c r="F761" s="405"/>
      <c r="G761" s="403"/>
      <c r="H761" s="406"/>
      <c r="I761" s="406"/>
      <c r="J761" s="406"/>
      <c r="K761" s="304"/>
      <c r="L761" s="372"/>
      <c r="M761" s="372"/>
      <c r="N761" s="372"/>
      <c r="O761" s="372"/>
      <c r="P761" s="372"/>
      <c r="Q761" s="304"/>
      <c r="R761" s="304"/>
      <c r="S761" s="304"/>
      <c r="T761" s="304"/>
      <c r="U761" s="304"/>
      <c r="V761" s="304"/>
      <c r="AL761" s="372" t="str">
        <f t="shared" si="41"/>
        <v/>
      </c>
    </row>
    <row r="762" spans="1:38" ht="15" customHeight="1" outlineLevel="1" x14ac:dyDescent="0.2">
      <c r="A762" s="403"/>
      <c r="B762" s="403"/>
      <c r="C762" s="403"/>
      <c r="D762" s="404"/>
      <c r="E762" s="405"/>
      <c r="F762" s="405"/>
      <c r="G762" s="403"/>
      <c r="H762" s="406"/>
      <c r="I762" s="406"/>
      <c r="J762" s="406"/>
      <c r="K762" s="304"/>
      <c r="L762" s="372"/>
      <c r="M762" s="372"/>
      <c r="N762" s="372"/>
      <c r="O762" s="372"/>
      <c r="P762" s="372"/>
      <c r="Q762" s="304"/>
      <c r="R762" s="304"/>
      <c r="S762" s="304"/>
      <c r="T762" s="304"/>
      <c r="U762" s="304"/>
      <c r="V762" s="304"/>
      <c r="AL762" s="372" t="str">
        <f t="shared" si="41"/>
        <v/>
      </c>
    </row>
    <row r="763" spans="1:38" ht="15" customHeight="1" outlineLevel="1" x14ac:dyDescent="0.2">
      <c r="A763" s="403"/>
      <c r="B763" s="403"/>
      <c r="C763" s="403"/>
      <c r="D763" s="404"/>
      <c r="E763" s="405"/>
      <c r="F763" s="405"/>
      <c r="G763" s="403"/>
      <c r="H763" s="406"/>
      <c r="I763" s="406"/>
      <c r="J763" s="406"/>
      <c r="K763" s="304"/>
      <c r="L763" s="372"/>
      <c r="M763" s="372"/>
      <c r="N763" s="372"/>
      <c r="O763" s="372"/>
      <c r="P763" s="372"/>
      <c r="Q763" s="304"/>
      <c r="R763" s="304"/>
      <c r="S763" s="304"/>
      <c r="T763" s="304"/>
      <c r="U763" s="304"/>
      <c r="V763" s="304"/>
      <c r="AL763" s="372" t="str">
        <f t="shared" si="41"/>
        <v/>
      </c>
    </row>
    <row r="764" spans="1:38" ht="15" customHeight="1" outlineLevel="1" x14ac:dyDescent="0.2">
      <c r="A764" s="403"/>
      <c r="B764" s="403"/>
      <c r="C764" s="403"/>
      <c r="D764" s="404"/>
      <c r="E764" s="405"/>
      <c r="F764" s="405"/>
      <c r="G764" s="403"/>
      <c r="H764" s="406"/>
      <c r="I764" s="406"/>
      <c r="J764" s="406"/>
      <c r="K764" s="304"/>
      <c r="L764" s="372"/>
      <c r="M764" s="372"/>
      <c r="N764" s="372"/>
      <c r="O764" s="372"/>
      <c r="P764" s="372"/>
      <c r="Q764" s="304"/>
      <c r="R764" s="304"/>
      <c r="S764" s="304"/>
      <c r="T764" s="304"/>
      <c r="U764" s="304"/>
      <c r="V764" s="304"/>
      <c r="AL764" s="372" t="str">
        <f t="shared" si="41"/>
        <v/>
      </c>
    </row>
    <row r="765" spans="1:38" ht="15" customHeight="1" outlineLevel="1" x14ac:dyDescent="0.2">
      <c r="A765" s="403"/>
      <c r="B765" s="403"/>
      <c r="C765" s="403"/>
      <c r="D765" s="404"/>
      <c r="E765" s="405"/>
      <c r="F765" s="405"/>
      <c r="G765" s="403"/>
      <c r="H765" s="406"/>
      <c r="I765" s="406"/>
      <c r="J765" s="406"/>
      <c r="K765" s="304"/>
      <c r="L765" s="372"/>
      <c r="M765" s="372"/>
      <c r="N765" s="372"/>
      <c r="O765" s="372"/>
      <c r="P765" s="372"/>
      <c r="Q765" s="304"/>
      <c r="R765" s="304"/>
      <c r="S765" s="304"/>
      <c r="T765" s="304"/>
      <c r="U765" s="304"/>
      <c r="V765" s="304"/>
      <c r="AL765" s="372" t="str">
        <f t="shared" si="41"/>
        <v/>
      </c>
    </row>
    <row r="766" spans="1:38" ht="15" customHeight="1" outlineLevel="1" x14ac:dyDescent="0.2">
      <c r="A766" s="403"/>
      <c r="B766" s="403"/>
      <c r="C766" s="403"/>
      <c r="D766" s="404"/>
      <c r="E766" s="405"/>
      <c r="F766" s="405"/>
      <c r="G766" s="403"/>
      <c r="H766" s="406"/>
      <c r="I766" s="406"/>
      <c r="J766" s="406"/>
      <c r="K766" s="304"/>
      <c r="L766" s="372"/>
      <c r="M766" s="372"/>
      <c r="N766" s="372"/>
      <c r="O766" s="372"/>
      <c r="P766" s="372"/>
      <c r="Q766" s="304"/>
      <c r="R766" s="304"/>
      <c r="S766" s="304"/>
      <c r="T766" s="304"/>
      <c r="U766" s="304"/>
      <c r="V766" s="304"/>
      <c r="AL766" s="372" t="str">
        <f t="shared" si="41"/>
        <v/>
      </c>
    </row>
    <row r="767" spans="1:38" ht="15" customHeight="1" outlineLevel="1" x14ac:dyDescent="0.2">
      <c r="A767" s="403"/>
      <c r="B767" s="403"/>
      <c r="C767" s="403"/>
      <c r="D767" s="404"/>
      <c r="E767" s="405"/>
      <c r="F767" s="405"/>
      <c r="G767" s="403"/>
      <c r="H767" s="406"/>
      <c r="I767" s="406"/>
      <c r="J767" s="406"/>
      <c r="K767" s="304"/>
      <c r="L767" s="372"/>
      <c r="M767" s="372"/>
      <c r="N767" s="372"/>
      <c r="O767" s="372"/>
      <c r="P767" s="372"/>
      <c r="Q767" s="304"/>
      <c r="R767" s="304"/>
      <c r="S767" s="304"/>
      <c r="T767" s="304"/>
      <c r="U767" s="304"/>
      <c r="V767" s="304"/>
      <c r="AL767" s="372" t="str">
        <f t="shared" si="41"/>
        <v/>
      </c>
    </row>
    <row r="768" spans="1:38" ht="15" customHeight="1" outlineLevel="1" x14ac:dyDescent="0.2">
      <c r="A768" s="403"/>
      <c r="B768" s="403"/>
      <c r="C768" s="403"/>
      <c r="D768" s="404"/>
      <c r="E768" s="405"/>
      <c r="F768" s="405"/>
      <c r="G768" s="403"/>
      <c r="H768" s="406"/>
      <c r="I768" s="406"/>
      <c r="J768" s="406"/>
      <c r="K768" s="304"/>
      <c r="L768" s="372"/>
      <c r="M768" s="372"/>
      <c r="N768" s="372"/>
      <c r="O768" s="372"/>
      <c r="P768" s="372"/>
      <c r="Q768" s="304"/>
      <c r="R768" s="304"/>
      <c r="S768" s="304"/>
      <c r="T768" s="304"/>
      <c r="U768" s="304"/>
      <c r="V768" s="304"/>
      <c r="AL768" s="372" t="str">
        <f t="shared" si="41"/>
        <v/>
      </c>
    </row>
    <row r="769" spans="1:38" ht="15" customHeight="1" outlineLevel="1" x14ac:dyDescent="0.2">
      <c r="A769" s="403"/>
      <c r="B769" s="403"/>
      <c r="C769" s="403"/>
      <c r="D769" s="404"/>
      <c r="E769" s="405"/>
      <c r="F769" s="405"/>
      <c r="G769" s="403"/>
      <c r="H769" s="406"/>
      <c r="I769" s="406"/>
      <c r="J769" s="406"/>
      <c r="K769" s="304"/>
      <c r="L769" s="372"/>
      <c r="M769" s="372"/>
      <c r="N769" s="372"/>
      <c r="O769" s="372"/>
      <c r="P769" s="372"/>
      <c r="Q769" s="304"/>
      <c r="R769" s="304"/>
      <c r="S769" s="304"/>
      <c r="T769" s="304"/>
      <c r="U769" s="304"/>
      <c r="V769" s="304"/>
      <c r="AL769" s="372" t="str">
        <f t="shared" si="41"/>
        <v/>
      </c>
    </row>
    <row r="770" spans="1:38" ht="15" customHeight="1" outlineLevel="1" x14ac:dyDescent="0.2">
      <c r="A770" s="403"/>
      <c r="B770" s="403"/>
      <c r="C770" s="403"/>
      <c r="D770" s="404"/>
      <c r="E770" s="405"/>
      <c r="F770" s="405"/>
      <c r="G770" s="403"/>
      <c r="H770" s="406"/>
      <c r="I770" s="406"/>
      <c r="J770" s="406"/>
      <c r="K770" s="304"/>
      <c r="L770" s="372"/>
      <c r="M770" s="372"/>
      <c r="N770" s="372"/>
      <c r="O770" s="372"/>
      <c r="P770" s="372"/>
      <c r="Q770" s="304"/>
      <c r="R770" s="304"/>
      <c r="S770" s="304"/>
      <c r="T770" s="304"/>
      <c r="U770" s="304"/>
      <c r="V770" s="304"/>
      <c r="AL770" s="372" t="str">
        <f t="shared" si="41"/>
        <v/>
      </c>
    </row>
    <row r="771" spans="1:38" ht="15" customHeight="1" outlineLevel="1" x14ac:dyDescent="0.2">
      <c r="A771" s="403"/>
      <c r="B771" s="403"/>
      <c r="C771" s="403"/>
      <c r="D771" s="404"/>
      <c r="E771" s="405"/>
      <c r="F771" s="405"/>
      <c r="G771" s="403"/>
      <c r="H771" s="406"/>
      <c r="I771" s="406"/>
      <c r="J771" s="406"/>
      <c r="K771" s="304"/>
      <c r="L771" s="372"/>
      <c r="M771" s="372"/>
      <c r="N771" s="372"/>
      <c r="O771" s="372"/>
      <c r="P771" s="372"/>
      <c r="Q771" s="304"/>
      <c r="R771" s="304"/>
      <c r="S771" s="304"/>
      <c r="T771" s="304"/>
      <c r="U771" s="304"/>
      <c r="V771" s="304"/>
      <c r="AL771" s="372" t="str">
        <f t="shared" si="41"/>
        <v/>
      </c>
    </row>
    <row r="772" spans="1:38" ht="15" customHeight="1" outlineLevel="1" x14ac:dyDescent="0.2">
      <c r="A772" s="403"/>
      <c r="B772" s="403"/>
      <c r="C772" s="403"/>
      <c r="D772" s="404"/>
      <c r="E772" s="405"/>
      <c r="F772" s="405"/>
      <c r="G772" s="403"/>
      <c r="H772" s="406"/>
      <c r="I772" s="406"/>
      <c r="J772" s="406"/>
      <c r="K772" s="304"/>
      <c r="L772" s="372"/>
      <c r="M772" s="372"/>
      <c r="N772" s="372"/>
      <c r="O772" s="372"/>
      <c r="P772" s="372"/>
      <c r="Q772" s="304"/>
      <c r="R772" s="304"/>
      <c r="S772" s="304"/>
      <c r="T772" s="304"/>
      <c r="U772" s="304"/>
      <c r="V772" s="304"/>
      <c r="AL772" s="372" t="str">
        <f t="shared" si="41"/>
        <v/>
      </c>
    </row>
    <row r="773" spans="1:38" ht="15" customHeight="1" outlineLevel="1" x14ac:dyDescent="0.2">
      <c r="A773" s="403"/>
      <c r="B773" s="403"/>
      <c r="C773" s="403"/>
      <c r="D773" s="404"/>
      <c r="E773" s="405"/>
      <c r="F773" s="405"/>
      <c r="G773" s="403"/>
      <c r="H773" s="406"/>
      <c r="I773" s="406"/>
      <c r="J773" s="406"/>
      <c r="K773" s="304"/>
      <c r="L773" s="372"/>
      <c r="M773" s="372"/>
      <c r="N773" s="372"/>
      <c r="O773" s="372"/>
      <c r="P773" s="372"/>
      <c r="Q773" s="304"/>
      <c r="R773" s="304"/>
      <c r="S773" s="304"/>
      <c r="T773" s="304"/>
      <c r="U773" s="304"/>
      <c r="V773" s="304"/>
      <c r="AL773" s="372" t="str">
        <f t="shared" si="41"/>
        <v/>
      </c>
    </row>
    <row r="774" spans="1:38" ht="15" customHeight="1" outlineLevel="1" x14ac:dyDescent="0.2">
      <c r="A774" s="403"/>
      <c r="B774" s="403"/>
      <c r="C774" s="403"/>
      <c r="D774" s="404"/>
      <c r="E774" s="405"/>
      <c r="F774" s="405"/>
      <c r="G774" s="403"/>
      <c r="H774" s="406"/>
      <c r="I774" s="406"/>
      <c r="J774" s="406"/>
      <c r="K774" s="304"/>
      <c r="L774" s="372"/>
      <c r="M774" s="372"/>
      <c r="N774" s="372"/>
      <c r="O774" s="372"/>
      <c r="P774" s="372"/>
      <c r="Q774" s="304"/>
      <c r="R774" s="304"/>
      <c r="S774" s="304"/>
      <c r="T774" s="304"/>
      <c r="U774" s="304"/>
      <c r="V774" s="304"/>
      <c r="AL774" s="372" t="str">
        <f t="shared" si="41"/>
        <v/>
      </c>
    </row>
    <row r="775" spans="1:38" ht="15" customHeight="1" outlineLevel="1" x14ac:dyDescent="0.2">
      <c r="A775" s="403"/>
      <c r="B775" s="403"/>
      <c r="C775" s="403"/>
      <c r="D775" s="404"/>
      <c r="E775" s="405"/>
      <c r="F775" s="405"/>
      <c r="G775" s="403"/>
      <c r="H775" s="406"/>
      <c r="I775" s="406"/>
      <c r="J775" s="406"/>
      <c r="K775" s="304"/>
      <c r="L775" s="372"/>
      <c r="M775" s="372"/>
      <c r="N775" s="372"/>
      <c r="O775" s="372"/>
      <c r="P775" s="372"/>
      <c r="Q775" s="304"/>
      <c r="R775" s="304"/>
      <c r="S775" s="304"/>
      <c r="T775" s="304"/>
      <c r="U775" s="304"/>
      <c r="V775" s="304"/>
      <c r="AL775" s="372" t="str">
        <f t="shared" si="41"/>
        <v/>
      </c>
    </row>
    <row r="776" spans="1:38" ht="15" customHeight="1" outlineLevel="1" x14ac:dyDescent="0.2">
      <c r="A776" s="403"/>
      <c r="B776" s="403"/>
      <c r="C776" s="403"/>
      <c r="D776" s="404"/>
      <c r="E776" s="405"/>
      <c r="F776" s="405"/>
      <c r="G776" s="403"/>
      <c r="H776" s="406"/>
      <c r="I776" s="406"/>
      <c r="J776" s="406"/>
      <c r="K776" s="304"/>
      <c r="L776" s="372"/>
      <c r="M776" s="372"/>
      <c r="N776" s="372"/>
      <c r="O776" s="372"/>
      <c r="P776" s="372"/>
      <c r="Q776" s="304"/>
      <c r="R776" s="304"/>
      <c r="S776" s="304"/>
      <c r="T776" s="304"/>
      <c r="U776" s="304"/>
      <c r="V776" s="304"/>
      <c r="AL776" s="372" t="str">
        <f t="shared" si="41"/>
        <v/>
      </c>
    </row>
    <row r="777" spans="1:38" ht="15" customHeight="1" outlineLevel="1" x14ac:dyDescent="0.2">
      <c r="A777" s="403"/>
      <c r="B777" s="403"/>
      <c r="C777" s="403"/>
      <c r="D777" s="404"/>
      <c r="E777" s="405"/>
      <c r="F777" s="405"/>
      <c r="G777" s="403"/>
      <c r="H777" s="406"/>
      <c r="I777" s="406"/>
      <c r="J777" s="406"/>
      <c r="K777" s="304"/>
      <c r="L777" s="372"/>
      <c r="M777" s="372"/>
      <c r="N777" s="372"/>
      <c r="O777" s="372"/>
      <c r="P777" s="372"/>
      <c r="Q777" s="304"/>
      <c r="R777" s="304"/>
      <c r="S777" s="304"/>
      <c r="T777" s="304"/>
      <c r="U777" s="304"/>
      <c r="V777" s="304"/>
      <c r="AL777" s="372" t="str">
        <f t="shared" si="41"/>
        <v/>
      </c>
    </row>
    <row r="778" spans="1:38" ht="15" customHeight="1" outlineLevel="1" x14ac:dyDescent="0.2">
      <c r="A778" s="403"/>
      <c r="B778" s="403"/>
      <c r="C778" s="403"/>
      <c r="D778" s="404"/>
      <c r="E778" s="405"/>
      <c r="F778" s="405"/>
      <c r="G778" s="403"/>
      <c r="H778" s="406"/>
      <c r="I778" s="406"/>
      <c r="J778" s="406"/>
      <c r="K778" s="304"/>
      <c r="L778" s="372"/>
      <c r="M778" s="372"/>
      <c r="N778" s="372"/>
      <c r="O778" s="372"/>
      <c r="P778" s="372"/>
      <c r="Q778" s="304"/>
      <c r="R778" s="304"/>
      <c r="S778" s="304"/>
      <c r="T778" s="304"/>
      <c r="U778" s="304"/>
      <c r="V778" s="304"/>
      <c r="AL778" s="372" t="str">
        <f t="shared" si="41"/>
        <v/>
      </c>
    </row>
    <row r="779" spans="1:38" ht="15" customHeight="1" outlineLevel="1" x14ac:dyDescent="0.2">
      <c r="A779" s="403"/>
      <c r="B779" s="403"/>
      <c r="C779" s="403"/>
      <c r="D779" s="404"/>
      <c r="E779" s="405"/>
      <c r="F779" s="405"/>
      <c r="G779" s="403"/>
      <c r="H779" s="406"/>
      <c r="I779" s="406"/>
      <c r="J779" s="406"/>
      <c r="K779" s="304"/>
      <c r="L779" s="372"/>
      <c r="M779" s="372"/>
      <c r="N779" s="372"/>
      <c r="O779" s="372"/>
      <c r="P779" s="372"/>
      <c r="Q779" s="304"/>
      <c r="R779" s="304"/>
      <c r="S779" s="304"/>
      <c r="T779" s="304"/>
      <c r="U779" s="304"/>
      <c r="V779" s="304"/>
      <c r="AL779" s="372" t="str">
        <f t="shared" si="41"/>
        <v/>
      </c>
    </row>
    <row r="780" spans="1:38" ht="15" customHeight="1" outlineLevel="1" x14ac:dyDescent="0.2">
      <c r="A780" s="403"/>
      <c r="B780" s="403"/>
      <c r="C780" s="403"/>
      <c r="D780" s="404"/>
      <c r="E780" s="405"/>
      <c r="F780" s="405"/>
      <c r="G780" s="403"/>
      <c r="H780" s="406"/>
      <c r="I780" s="406"/>
      <c r="J780" s="406"/>
      <c r="K780" s="304"/>
      <c r="L780" s="372"/>
      <c r="M780" s="372"/>
      <c r="N780" s="372"/>
      <c r="O780" s="372"/>
      <c r="P780" s="372"/>
      <c r="Q780" s="304"/>
      <c r="R780" s="304"/>
      <c r="S780" s="304"/>
      <c r="T780" s="304"/>
      <c r="U780" s="304"/>
      <c r="V780" s="304"/>
      <c r="AL780" s="372" t="str">
        <f t="shared" si="41"/>
        <v/>
      </c>
    </row>
    <row r="781" spans="1:38" ht="15" customHeight="1" outlineLevel="1" x14ac:dyDescent="0.2">
      <c r="A781" s="403"/>
      <c r="B781" s="403"/>
      <c r="C781" s="403"/>
      <c r="D781" s="404"/>
      <c r="E781" s="405"/>
      <c r="F781" s="405"/>
      <c r="G781" s="403"/>
      <c r="H781" s="406"/>
      <c r="I781" s="406"/>
      <c r="J781" s="406"/>
      <c r="K781" s="304"/>
      <c r="L781" s="372"/>
      <c r="M781" s="372"/>
      <c r="N781" s="372"/>
      <c r="O781" s="372"/>
      <c r="P781" s="372"/>
      <c r="Q781" s="304"/>
      <c r="R781" s="304"/>
      <c r="S781" s="304"/>
      <c r="T781" s="304"/>
      <c r="U781" s="304"/>
      <c r="V781" s="304"/>
      <c r="AL781" s="372" t="str">
        <f t="shared" si="41"/>
        <v/>
      </c>
    </row>
    <row r="782" spans="1:38" ht="15" customHeight="1" outlineLevel="1" x14ac:dyDescent="0.2">
      <c r="A782" s="403"/>
      <c r="B782" s="403"/>
      <c r="C782" s="403"/>
      <c r="D782" s="404"/>
      <c r="E782" s="405"/>
      <c r="F782" s="405"/>
      <c r="G782" s="403"/>
      <c r="H782" s="406"/>
      <c r="I782" s="406"/>
      <c r="J782" s="406"/>
      <c r="K782" s="304"/>
      <c r="L782" s="372"/>
      <c r="M782" s="372"/>
      <c r="N782" s="372"/>
      <c r="O782" s="372"/>
      <c r="P782" s="372"/>
      <c r="Q782" s="304"/>
      <c r="R782" s="304"/>
      <c r="S782" s="304"/>
      <c r="T782" s="304"/>
      <c r="U782" s="304"/>
      <c r="V782" s="304"/>
      <c r="AL782" s="372" t="str">
        <f t="shared" si="41"/>
        <v/>
      </c>
    </row>
    <row r="783" spans="1:38" ht="15" customHeight="1" outlineLevel="1" x14ac:dyDescent="0.2">
      <c r="A783" s="403"/>
      <c r="B783" s="403"/>
      <c r="C783" s="403"/>
      <c r="D783" s="404"/>
      <c r="E783" s="405"/>
      <c r="F783" s="405"/>
      <c r="G783" s="403"/>
      <c r="H783" s="406"/>
      <c r="I783" s="406"/>
      <c r="J783" s="406"/>
      <c r="K783" s="304"/>
      <c r="L783" s="372"/>
      <c r="M783" s="372"/>
      <c r="N783" s="372"/>
      <c r="O783" s="372"/>
      <c r="P783" s="372"/>
      <c r="Q783" s="304"/>
      <c r="R783" s="304"/>
      <c r="S783" s="304"/>
      <c r="T783" s="304"/>
      <c r="U783" s="304"/>
      <c r="V783" s="304"/>
      <c r="AL783" s="372" t="str">
        <f t="shared" si="41"/>
        <v/>
      </c>
    </row>
    <row r="784" spans="1:38" ht="15" customHeight="1" outlineLevel="1" x14ac:dyDescent="0.2">
      <c r="A784" s="403"/>
      <c r="B784" s="403"/>
      <c r="C784" s="403"/>
      <c r="D784" s="404"/>
      <c r="E784" s="405"/>
      <c r="F784" s="405"/>
      <c r="G784" s="403"/>
      <c r="H784" s="406"/>
      <c r="I784" s="406"/>
      <c r="J784" s="406"/>
      <c r="K784" s="304"/>
      <c r="L784" s="372"/>
      <c r="M784" s="372"/>
      <c r="N784" s="372"/>
      <c r="O784" s="372"/>
      <c r="P784" s="372"/>
      <c r="Q784" s="304"/>
      <c r="R784" s="304"/>
      <c r="S784" s="304"/>
      <c r="T784" s="304"/>
      <c r="U784" s="304"/>
      <c r="V784" s="304"/>
      <c r="AL784" s="372" t="str">
        <f t="shared" si="41"/>
        <v/>
      </c>
    </row>
    <row r="785" spans="1:38" ht="15" customHeight="1" outlineLevel="1" x14ac:dyDescent="0.2">
      <c r="A785" s="403"/>
      <c r="B785" s="403"/>
      <c r="C785" s="403"/>
      <c r="D785" s="404"/>
      <c r="E785" s="405"/>
      <c r="F785" s="405"/>
      <c r="G785" s="403"/>
      <c r="H785" s="406"/>
      <c r="I785" s="406"/>
      <c r="J785" s="406"/>
      <c r="K785" s="304"/>
      <c r="L785" s="372"/>
      <c r="M785" s="372"/>
      <c r="N785" s="372"/>
      <c r="O785" s="372"/>
      <c r="P785" s="372"/>
      <c r="Q785" s="304"/>
      <c r="R785" s="304"/>
      <c r="S785" s="304"/>
      <c r="T785" s="304"/>
      <c r="U785" s="304"/>
      <c r="V785" s="304"/>
      <c r="AL785" s="372" t="str">
        <f t="shared" ref="AL785:AL848" si="42">IF(($C785=$AG$245)*($N785&gt;0)*ISNUMBER($I785),$I785*100000+ROW(),"")</f>
        <v/>
      </c>
    </row>
    <row r="786" spans="1:38" ht="15" customHeight="1" outlineLevel="1" x14ac:dyDescent="0.2">
      <c r="A786" s="403"/>
      <c r="B786" s="403"/>
      <c r="C786" s="403"/>
      <c r="D786" s="404"/>
      <c r="E786" s="405"/>
      <c r="F786" s="405"/>
      <c r="G786" s="403"/>
      <c r="H786" s="406"/>
      <c r="I786" s="406"/>
      <c r="J786" s="406"/>
      <c r="K786" s="304"/>
      <c r="L786" s="372"/>
      <c r="M786" s="372"/>
      <c r="N786" s="372"/>
      <c r="O786" s="372"/>
      <c r="P786" s="372"/>
      <c r="Q786" s="304"/>
      <c r="R786" s="304"/>
      <c r="S786" s="304"/>
      <c r="T786" s="304"/>
      <c r="U786" s="304"/>
      <c r="V786" s="304"/>
      <c r="AL786" s="372" t="str">
        <f t="shared" si="42"/>
        <v/>
      </c>
    </row>
    <row r="787" spans="1:38" ht="15" customHeight="1" outlineLevel="1" x14ac:dyDescent="0.2">
      <c r="A787" s="403"/>
      <c r="B787" s="403"/>
      <c r="C787" s="403"/>
      <c r="D787" s="404"/>
      <c r="E787" s="405"/>
      <c r="F787" s="405"/>
      <c r="G787" s="403"/>
      <c r="H787" s="406"/>
      <c r="I787" s="406"/>
      <c r="J787" s="406"/>
      <c r="K787" s="304"/>
      <c r="L787" s="372"/>
      <c r="M787" s="372"/>
      <c r="N787" s="372"/>
      <c r="O787" s="372"/>
      <c r="P787" s="372"/>
      <c r="Q787" s="304"/>
      <c r="R787" s="304"/>
      <c r="S787" s="304"/>
      <c r="T787" s="304"/>
      <c r="U787" s="304"/>
      <c r="V787" s="304"/>
      <c r="AL787" s="372" t="str">
        <f t="shared" si="42"/>
        <v/>
      </c>
    </row>
    <row r="788" spans="1:38" ht="15" customHeight="1" outlineLevel="1" x14ac:dyDescent="0.2">
      <c r="A788" s="403"/>
      <c r="B788" s="403"/>
      <c r="C788" s="403"/>
      <c r="D788" s="404"/>
      <c r="E788" s="405"/>
      <c r="F788" s="405"/>
      <c r="G788" s="403"/>
      <c r="H788" s="406"/>
      <c r="I788" s="406"/>
      <c r="J788" s="406"/>
      <c r="K788" s="304"/>
      <c r="L788" s="372"/>
      <c r="M788" s="372"/>
      <c r="N788" s="372"/>
      <c r="O788" s="372"/>
      <c r="P788" s="372"/>
      <c r="Q788" s="304"/>
      <c r="R788" s="304"/>
      <c r="S788" s="304"/>
      <c r="T788" s="304"/>
      <c r="U788" s="304"/>
      <c r="V788" s="304"/>
      <c r="AL788" s="372" t="str">
        <f t="shared" si="42"/>
        <v/>
      </c>
    </row>
    <row r="789" spans="1:38" ht="15" customHeight="1" outlineLevel="1" x14ac:dyDescent="0.2">
      <c r="A789" s="403"/>
      <c r="B789" s="403"/>
      <c r="C789" s="403"/>
      <c r="D789" s="404"/>
      <c r="E789" s="405"/>
      <c r="F789" s="405"/>
      <c r="G789" s="403"/>
      <c r="H789" s="406"/>
      <c r="I789" s="406"/>
      <c r="J789" s="406"/>
      <c r="K789" s="304"/>
      <c r="L789" s="372"/>
      <c r="M789" s="372"/>
      <c r="N789" s="372"/>
      <c r="O789" s="372"/>
      <c r="P789" s="372"/>
      <c r="Q789" s="304"/>
      <c r="R789" s="304"/>
      <c r="S789" s="304"/>
      <c r="T789" s="304"/>
      <c r="U789" s="304"/>
      <c r="V789" s="304"/>
      <c r="AL789" s="372" t="str">
        <f t="shared" si="42"/>
        <v/>
      </c>
    </row>
    <row r="790" spans="1:38" ht="15" customHeight="1" outlineLevel="1" x14ac:dyDescent="0.2">
      <c r="A790" s="403"/>
      <c r="B790" s="403"/>
      <c r="C790" s="403"/>
      <c r="D790" s="404"/>
      <c r="E790" s="405"/>
      <c r="F790" s="405"/>
      <c r="G790" s="403"/>
      <c r="H790" s="406"/>
      <c r="I790" s="406"/>
      <c r="J790" s="406"/>
      <c r="K790" s="304"/>
      <c r="L790" s="372"/>
      <c r="M790" s="372"/>
      <c r="N790" s="372"/>
      <c r="O790" s="372"/>
      <c r="P790" s="372"/>
      <c r="Q790" s="304"/>
      <c r="R790" s="304"/>
      <c r="S790" s="304"/>
      <c r="T790" s="304"/>
      <c r="U790" s="304"/>
      <c r="V790" s="304"/>
      <c r="AL790" s="372" t="str">
        <f t="shared" si="42"/>
        <v/>
      </c>
    </row>
    <row r="791" spans="1:38" ht="15" customHeight="1" outlineLevel="1" x14ac:dyDescent="0.2">
      <c r="A791" s="403"/>
      <c r="B791" s="403"/>
      <c r="C791" s="403"/>
      <c r="D791" s="404"/>
      <c r="E791" s="405"/>
      <c r="F791" s="405"/>
      <c r="G791" s="403"/>
      <c r="H791" s="406"/>
      <c r="I791" s="406"/>
      <c r="J791" s="406"/>
      <c r="K791" s="304"/>
      <c r="L791" s="372"/>
      <c r="M791" s="372"/>
      <c r="N791" s="372"/>
      <c r="O791" s="372"/>
      <c r="P791" s="372"/>
      <c r="Q791" s="304"/>
      <c r="R791" s="304"/>
      <c r="S791" s="304"/>
      <c r="T791" s="304"/>
      <c r="U791" s="304"/>
      <c r="V791" s="304"/>
      <c r="AL791" s="372" t="str">
        <f t="shared" si="42"/>
        <v/>
      </c>
    </row>
    <row r="792" spans="1:38" ht="15" customHeight="1" outlineLevel="1" x14ac:dyDescent="0.2">
      <c r="A792" s="403"/>
      <c r="B792" s="403"/>
      <c r="C792" s="403"/>
      <c r="D792" s="404"/>
      <c r="E792" s="405"/>
      <c r="F792" s="405"/>
      <c r="G792" s="403"/>
      <c r="H792" s="406"/>
      <c r="I792" s="406"/>
      <c r="J792" s="406"/>
      <c r="K792" s="304"/>
      <c r="L792" s="372"/>
      <c r="M792" s="372"/>
      <c r="N792" s="372"/>
      <c r="O792" s="372"/>
      <c r="P792" s="372"/>
      <c r="Q792" s="304"/>
      <c r="R792" s="304"/>
      <c r="S792" s="304"/>
      <c r="T792" s="304"/>
      <c r="U792" s="304"/>
      <c r="V792" s="304"/>
      <c r="AL792" s="372" t="str">
        <f t="shared" si="42"/>
        <v/>
      </c>
    </row>
    <row r="793" spans="1:38" ht="15" customHeight="1" outlineLevel="1" x14ac:dyDescent="0.2">
      <c r="A793" s="403"/>
      <c r="B793" s="403"/>
      <c r="C793" s="403"/>
      <c r="D793" s="404"/>
      <c r="E793" s="405"/>
      <c r="F793" s="405"/>
      <c r="G793" s="403"/>
      <c r="H793" s="406"/>
      <c r="I793" s="406"/>
      <c r="J793" s="406"/>
      <c r="K793" s="304"/>
      <c r="L793" s="372"/>
      <c r="M793" s="372"/>
      <c r="N793" s="372"/>
      <c r="O793" s="372"/>
      <c r="P793" s="372"/>
      <c r="Q793" s="304"/>
      <c r="R793" s="304"/>
      <c r="S793" s="304"/>
      <c r="T793" s="304"/>
      <c r="U793" s="304"/>
      <c r="V793" s="304"/>
      <c r="AL793" s="372" t="str">
        <f t="shared" si="42"/>
        <v/>
      </c>
    </row>
    <row r="794" spans="1:38" ht="15" customHeight="1" outlineLevel="1" x14ac:dyDescent="0.2">
      <c r="A794" s="403"/>
      <c r="B794" s="403"/>
      <c r="C794" s="403"/>
      <c r="D794" s="404"/>
      <c r="E794" s="405"/>
      <c r="F794" s="405"/>
      <c r="G794" s="403"/>
      <c r="H794" s="406"/>
      <c r="I794" s="406"/>
      <c r="J794" s="406"/>
      <c r="K794" s="304"/>
      <c r="L794" s="372"/>
      <c r="M794" s="372"/>
      <c r="N794" s="372"/>
      <c r="O794" s="372"/>
      <c r="P794" s="372"/>
      <c r="Q794" s="304"/>
      <c r="R794" s="304"/>
      <c r="S794" s="304"/>
      <c r="T794" s="304"/>
      <c r="U794" s="304"/>
      <c r="V794" s="304"/>
      <c r="AL794" s="372" t="str">
        <f t="shared" si="42"/>
        <v/>
      </c>
    </row>
    <row r="795" spans="1:38" ht="15" customHeight="1" outlineLevel="1" x14ac:dyDescent="0.2">
      <c r="A795" s="403"/>
      <c r="B795" s="403"/>
      <c r="C795" s="403"/>
      <c r="D795" s="404"/>
      <c r="E795" s="405"/>
      <c r="F795" s="405"/>
      <c r="G795" s="403"/>
      <c r="H795" s="406"/>
      <c r="I795" s="406"/>
      <c r="J795" s="406"/>
      <c r="K795" s="304"/>
      <c r="L795" s="372"/>
      <c r="M795" s="372"/>
      <c r="N795" s="372"/>
      <c r="O795" s="372"/>
      <c r="P795" s="372"/>
      <c r="Q795" s="304"/>
      <c r="R795" s="304"/>
      <c r="S795" s="304"/>
      <c r="T795" s="304"/>
      <c r="U795" s="304"/>
      <c r="V795" s="304"/>
      <c r="AL795" s="372" t="str">
        <f t="shared" si="42"/>
        <v/>
      </c>
    </row>
    <row r="796" spans="1:38" ht="15" customHeight="1" outlineLevel="1" x14ac:dyDescent="0.2">
      <c r="A796" s="403"/>
      <c r="B796" s="403"/>
      <c r="C796" s="403"/>
      <c r="D796" s="404"/>
      <c r="E796" s="405"/>
      <c r="F796" s="405"/>
      <c r="G796" s="403"/>
      <c r="H796" s="406"/>
      <c r="I796" s="406"/>
      <c r="J796" s="406"/>
      <c r="K796" s="304"/>
      <c r="L796" s="372"/>
      <c r="M796" s="372"/>
      <c r="N796" s="372"/>
      <c r="O796" s="372"/>
      <c r="P796" s="372"/>
      <c r="Q796" s="304"/>
      <c r="R796" s="304"/>
      <c r="S796" s="304"/>
      <c r="T796" s="304"/>
      <c r="U796" s="304"/>
      <c r="V796" s="304"/>
      <c r="AL796" s="372" t="str">
        <f t="shared" si="42"/>
        <v/>
      </c>
    </row>
    <row r="797" spans="1:38" ht="15" customHeight="1" outlineLevel="1" x14ac:dyDescent="0.2">
      <c r="A797" s="403"/>
      <c r="B797" s="403"/>
      <c r="C797" s="403"/>
      <c r="D797" s="404"/>
      <c r="E797" s="405"/>
      <c r="F797" s="405"/>
      <c r="G797" s="403"/>
      <c r="H797" s="406"/>
      <c r="I797" s="406"/>
      <c r="J797" s="406"/>
      <c r="K797" s="304"/>
      <c r="L797" s="372"/>
      <c r="M797" s="372"/>
      <c r="N797" s="372"/>
      <c r="O797" s="372"/>
      <c r="P797" s="372"/>
      <c r="Q797" s="304"/>
      <c r="R797" s="304"/>
      <c r="S797" s="304"/>
      <c r="T797" s="304"/>
      <c r="U797" s="304"/>
      <c r="V797" s="304"/>
      <c r="AL797" s="372" t="str">
        <f t="shared" si="42"/>
        <v/>
      </c>
    </row>
    <row r="798" spans="1:38" ht="15" customHeight="1" outlineLevel="1" x14ac:dyDescent="0.2">
      <c r="A798" s="403"/>
      <c r="B798" s="403"/>
      <c r="C798" s="403"/>
      <c r="D798" s="404"/>
      <c r="E798" s="405"/>
      <c r="F798" s="405"/>
      <c r="G798" s="403"/>
      <c r="H798" s="406"/>
      <c r="I798" s="406"/>
      <c r="J798" s="406"/>
      <c r="K798" s="304"/>
      <c r="L798" s="372"/>
      <c r="M798" s="372"/>
      <c r="N798" s="372"/>
      <c r="O798" s="372"/>
      <c r="P798" s="372"/>
      <c r="Q798" s="304"/>
      <c r="R798" s="304"/>
      <c r="S798" s="304"/>
      <c r="T798" s="304"/>
      <c r="U798" s="304"/>
      <c r="V798" s="304"/>
      <c r="AL798" s="372" t="str">
        <f t="shared" si="42"/>
        <v/>
      </c>
    </row>
    <row r="799" spans="1:38" ht="15" customHeight="1" outlineLevel="1" x14ac:dyDescent="0.2">
      <c r="A799" s="403"/>
      <c r="B799" s="403"/>
      <c r="C799" s="403"/>
      <c r="D799" s="404"/>
      <c r="E799" s="405"/>
      <c r="F799" s="405"/>
      <c r="G799" s="403"/>
      <c r="H799" s="406"/>
      <c r="I799" s="406"/>
      <c r="J799" s="406"/>
      <c r="K799" s="304"/>
      <c r="L799" s="372"/>
      <c r="M799" s="372"/>
      <c r="N799" s="372"/>
      <c r="O799" s="372"/>
      <c r="P799" s="372"/>
      <c r="Q799" s="304"/>
      <c r="R799" s="304"/>
      <c r="S799" s="304"/>
      <c r="T799" s="304"/>
      <c r="U799" s="304"/>
      <c r="V799" s="304"/>
      <c r="AL799" s="372" t="str">
        <f t="shared" si="42"/>
        <v/>
      </c>
    </row>
    <row r="800" spans="1:38" ht="15" customHeight="1" outlineLevel="1" x14ac:dyDescent="0.2">
      <c r="A800" s="403"/>
      <c r="B800" s="403"/>
      <c r="C800" s="403"/>
      <c r="D800" s="404"/>
      <c r="E800" s="405"/>
      <c r="F800" s="405"/>
      <c r="G800" s="403"/>
      <c r="H800" s="406"/>
      <c r="I800" s="406"/>
      <c r="J800" s="406"/>
      <c r="K800" s="304"/>
      <c r="L800" s="372"/>
      <c r="M800" s="372"/>
      <c r="N800" s="372"/>
      <c r="O800" s="372"/>
      <c r="P800" s="372"/>
      <c r="Q800" s="304"/>
      <c r="R800" s="304"/>
      <c r="S800" s="304"/>
      <c r="T800" s="304"/>
      <c r="U800" s="304"/>
      <c r="V800" s="304"/>
      <c r="AL800" s="372" t="str">
        <f t="shared" si="42"/>
        <v/>
      </c>
    </row>
    <row r="801" spans="1:38" ht="15" customHeight="1" outlineLevel="1" x14ac:dyDescent="0.2">
      <c r="A801" s="403"/>
      <c r="B801" s="403"/>
      <c r="C801" s="403"/>
      <c r="D801" s="404"/>
      <c r="E801" s="405"/>
      <c r="F801" s="405"/>
      <c r="G801" s="403"/>
      <c r="H801" s="406"/>
      <c r="I801" s="406"/>
      <c r="J801" s="406"/>
      <c r="K801" s="304"/>
      <c r="L801" s="372"/>
      <c r="M801" s="372"/>
      <c r="N801" s="372"/>
      <c r="O801" s="372"/>
      <c r="P801" s="372"/>
      <c r="Q801" s="304"/>
      <c r="R801" s="304"/>
      <c r="S801" s="304"/>
      <c r="T801" s="304"/>
      <c r="U801" s="304"/>
      <c r="V801" s="304"/>
      <c r="AL801" s="372" t="str">
        <f t="shared" si="42"/>
        <v/>
      </c>
    </row>
    <row r="802" spans="1:38" ht="15" customHeight="1" outlineLevel="1" x14ac:dyDescent="0.2">
      <c r="A802" s="403"/>
      <c r="B802" s="403"/>
      <c r="C802" s="403"/>
      <c r="D802" s="404"/>
      <c r="E802" s="405"/>
      <c r="F802" s="405"/>
      <c r="G802" s="403"/>
      <c r="H802" s="406"/>
      <c r="I802" s="406"/>
      <c r="J802" s="406"/>
      <c r="K802" s="304"/>
      <c r="L802" s="372"/>
      <c r="M802" s="372"/>
      <c r="N802" s="372"/>
      <c r="O802" s="372"/>
      <c r="P802" s="372"/>
      <c r="Q802" s="304"/>
      <c r="R802" s="304"/>
      <c r="S802" s="304"/>
      <c r="T802" s="304"/>
      <c r="U802" s="304"/>
      <c r="V802" s="304"/>
      <c r="AL802" s="372" t="str">
        <f t="shared" si="42"/>
        <v/>
      </c>
    </row>
    <row r="803" spans="1:38" ht="15" customHeight="1" outlineLevel="1" x14ac:dyDescent="0.2">
      <c r="A803" s="403"/>
      <c r="B803" s="403"/>
      <c r="C803" s="403"/>
      <c r="D803" s="404"/>
      <c r="E803" s="405"/>
      <c r="F803" s="405"/>
      <c r="G803" s="403"/>
      <c r="H803" s="406"/>
      <c r="I803" s="406"/>
      <c r="J803" s="406"/>
      <c r="K803" s="304"/>
      <c r="L803" s="372"/>
      <c r="M803" s="372"/>
      <c r="N803" s="372"/>
      <c r="O803" s="372"/>
      <c r="P803" s="372"/>
      <c r="Q803" s="304"/>
      <c r="R803" s="304"/>
      <c r="S803" s="304"/>
      <c r="T803" s="304"/>
      <c r="U803" s="304"/>
      <c r="V803" s="304"/>
      <c r="AL803" s="372" t="str">
        <f t="shared" si="42"/>
        <v/>
      </c>
    </row>
    <row r="804" spans="1:38" ht="15" customHeight="1" outlineLevel="1" x14ac:dyDescent="0.2">
      <c r="A804" s="403"/>
      <c r="B804" s="403"/>
      <c r="C804" s="403"/>
      <c r="D804" s="404"/>
      <c r="E804" s="405"/>
      <c r="F804" s="405"/>
      <c r="G804" s="403"/>
      <c r="H804" s="406"/>
      <c r="I804" s="406"/>
      <c r="J804" s="406"/>
      <c r="K804" s="304"/>
      <c r="L804" s="372"/>
      <c r="M804" s="372"/>
      <c r="N804" s="372"/>
      <c r="O804" s="372"/>
      <c r="P804" s="372"/>
      <c r="Q804" s="304"/>
      <c r="R804" s="304"/>
      <c r="S804" s="304"/>
      <c r="T804" s="304"/>
      <c r="U804" s="304"/>
      <c r="V804" s="304"/>
      <c r="AL804" s="372" t="str">
        <f t="shared" si="42"/>
        <v/>
      </c>
    </row>
    <row r="805" spans="1:38" ht="15" customHeight="1" outlineLevel="1" x14ac:dyDescent="0.2">
      <c r="A805" s="403"/>
      <c r="B805" s="403"/>
      <c r="C805" s="403"/>
      <c r="D805" s="404"/>
      <c r="E805" s="405"/>
      <c r="F805" s="405"/>
      <c r="G805" s="403"/>
      <c r="H805" s="406"/>
      <c r="I805" s="406"/>
      <c r="J805" s="406"/>
      <c r="K805" s="304"/>
      <c r="L805" s="372"/>
      <c r="M805" s="372"/>
      <c r="N805" s="372"/>
      <c r="O805" s="372"/>
      <c r="P805" s="372"/>
      <c r="Q805" s="304"/>
      <c r="R805" s="304"/>
      <c r="S805" s="304"/>
      <c r="T805" s="304"/>
      <c r="U805" s="304"/>
      <c r="V805" s="304"/>
      <c r="AL805" s="372" t="str">
        <f t="shared" si="42"/>
        <v/>
      </c>
    </row>
    <row r="806" spans="1:38" ht="15" customHeight="1" outlineLevel="1" x14ac:dyDescent="0.2">
      <c r="A806" s="403"/>
      <c r="B806" s="403"/>
      <c r="C806" s="403"/>
      <c r="D806" s="404"/>
      <c r="E806" s="405"/>
      <c r="F806" s="405"/>
      <c r="G806" s="403"/>
      <c r="H806" s="406"/>
      <c r="I806" s="406"/>
      <c r="J806" s="406"/>
      <c r="K806" s="304"/>
      <c r="L806" s="372"/>
      <c r="M806" s="372"/>
      <c r="N806" s="372"/>
      <c r="O806" s="372"/>
      <c r="P806" s="372"/>
      <c r="Q806" s="304"/>
      <c r="R806" s="304"/>
      <c r="S806" s="304"/>
      <c r="T806" s="304"/>
      <c r="U806" s="304"/>
      <c r="V806" s="304"/>
      <c r="AL806" s="372" t="str">
        <f t="shared" si="42"/>
        <v/>
      </c>
    </row>
    <row r="807" spans="1:38" ht="15" customHeight="1" outlineLevel="1" x14ac:dyDescent="0.2">
      <c r="A807" s="403"/>
      <c r="B807" s="403"/>
      <c r="C807" s="403"/>
      <c r="D807" s="404"/>
      <c r="E807" s="405"/>
      <c r="F807" s="405"/>
      <c r="G807" s="403"/>
      <c r="H807" s="406"/>
      <c r="I807" s="406"/>
      <c r="J807" s="406"/>
      <c r="K807" s="304"/>
      <c r="L807" s="372"/>
      <c r="M807" s="372"/>
      <c r="N807" s="372"/>
      <c r="O807" s="372"/>
      <c r="P807" s="372"/>
      <c r="Q807" s="304"/>
      <c r="R807" s="304"/>
      <c r="S807" s="304"/>
      <c r="T807" s="304"/>
      <c r="U807" s="304"/>
      <c r="V807" s="304"/>
      <c r="AL807" s="372" t="str">
        <f t="shared" si="42"/>
        <v/>
      </c>
    </row>
    <row r="808" spans="1:38" ht="15" customHeight="1" outlineLevel="1" x14ac:dyDescent="0.2">
      <c r="A808" s="403"/>
      <c r="B808" s="403"/>
      <c r="C808" s="403"/>
      <c r="D808" s="404"/>
      <c r="E808" s="405"/>
      <c r="F808" s="405"/>
      <c r="G808" s="403"/>
      <c r="H808" s="406"/>
      <c r="I808" s="406"/>
      <c r="J808" s="406"/>
      <c r="K808" s="304"/>
      <c r="L808" s="372"/>
      <c r="M808" s="372"/>
      <c r="N808" s="372"/>
      <c r="O808" s="372"/>
      <c r="P808" s="372"/>
      <c r="Q808" s="304"/>
      <c r="R808" s="304"/>
      <c r="S808" s="304"/>
      <c r="T808" s="304"/>
      <c r="U808" s="304"/>
      <c r="V808" s="304"/>
      <c r="AL808" s="372" t="str">
        <f t="shared" si="42"/>
        <v/>
      </c>
    </row>
    <row r="809" spans="1:38" ht="15" customHeight="1" outlineLevel="1" x14ac:dyDescent="0.2">
      <c r="A809" s="403"/>
      <c r="B809" s="403"/>
      <c r="C809" s="403"/>
      <c r="D809" s="404"/>
      <c r="E809" s="405"/>
      <c r="F809" s="405"/>
      <c r="G809" s="403"/>
      <c r="H809" s="406"/>
      <c r="I809" s="406"/>
      <c r="J809" s="406"/>
      <c r="K809" s="304"/>
      <c r="L809" s="372"/>
      <c r="M809" s="372"/>
      <c r="N809" s="372"/>
      <c r="O809" s="372"/>
      <c r="P809" s="372"/>
      <c r="Q809" s="304"/>
      <c r="R809" s="304"/>
      <c r="S809" s="304"/>
      <c r="T809" s="304"/>
      <c r="U809" s="304"/>
      <c r="V809" s="304"/>
      <c r="AL809" s="372" t="str">
        <f t="shared" si="42"/>
        <v/>
      </c>
    </row>
    <row r="810" spans="1:38" ht="15" customHeight="1" outlineLevel="1" x14ac:dyDescent="0.2">
      <c r="A810" s="403"/>
      <c r="B810" s="403"/>
      <c r="C810" s="403"/>
      <c r="D810" s="404"/>
      <c r="E810" s="405"/>
      <c r="F810" s="405"/>
      <c r="G810" s="403"/>
      <c r="H810" s="406"/>
      <c r="I810" s="406"/>
      <c r="J810" s="406"/>
      <c r="K810" s="304"/>
      <c r="L810" s="372"/>
      <c r="M810" s="372"/>
      <c r="N810" s="372"/>
      <c r="O810" s="372"/>
      <c r="P810" s="372"/>
      <c r="Q810" s="304"/>
      <c r="R810" s="304"/>
      <c r="S810" s="304"/>
      <c r="T810" s="304"/>
      <c r="U810" s="304"/>
      <c r="V810" s="304"/>
      <c r="AL810" s="372" t="str">
        <f t="shared" si="42"/>
        <v/>
      </c>
    </row>
    <row r="811" spans="1:38" ht="15" customHeight="1" outlineLevel="1" x14ac:dyDescent="0.2">
      <c r="A811" s="403"/>
      <c r="B811" s="403"/>
      <c r="C811" s="403"/>
      <c r="D811" s="404"/>
      <c r="E811" s="405"/>
      <c r="F811" s="405"/>
      <c r="G811" s="403"/>
      <c r="H811" s="406"/>
      <c r="I811" s="406"/>
      <c r="J811" s="406"/>
      <c r="K811" s="304"/>
      <c r="L811" s="372"/>
      <c r="M811" s="372"/>
      <c r="N811" s="372"/>
      <c r="O811" s="372"/>
      <c r="P811" s="372"/>
      <c r="Q811" s="304"/>
      <c r="R811" s="304"/>
      <c r="S811" s="304"/>
      <c r="T811" s="304"/>
      <c r="U811" s="304"/>
      <c r="V811" s="304"/>
      <c r="AL811" s="372" t="str">
        <f t="shared" si="42"/>
        <v/>
      </c>
    </row>
    <row r="812" spans="1:38" ht="15" customHeight="1" outlineLevel="1" x14ac:dyDescent="0.2">
      <c r="A812" s="403"/>
      <c r="B812" s="403"/>
      <c r="C812" s="403"/>
      <c r="D812" s="404"/>
      <c r="E812" s="405"/>
      <c r="F812" s="405"/>
      <c r="G812" s="403"/>
      <c r="H812" s="406"/>
      <c r="I812" s="406"/>
      <c r="J812" s="406"/>
      <c r="K812" s="304"/>
      <c r="L812" s="372"/>
      <c r="M812" s="372"/>
      <c r="N812" s="372"/>
      <c r="O812" s="372"/>
      <c r="P812" s="372"/>
      <c r="Q812" s="304"/>
      <c r="R812" s="304"/>
      <c r="S812" s="304"/>
      <c r="T812" s="304"/>
      <c r="U812" s="304"/>
      <c r="V812" s="304"/>
      <c r="AL812" s="372" t="str">
        <f t="shared" si="42"/>
        <v/>
      </c>
    </row>
    <row r="813" spans="1:38" ht="15" customHeight="1" outlineLevel="1" x14ac:dyDescent="0.2">
      <c r="A813" s="403"/>
      <c r="B813" s="403"/>
      <c r="C813" s="403"/>
      <c r="D813" s="404"/>
      <c r="E813" s="405"/>
      <c r="F813" s="405"/>
      <c r="G813" s="403"/>
      <c r="H813" s="406"/>
      <c r="I813" s="406"/>
      <c r="J813" s="406"/>
      <c r="K813" s="304"/>
      <c r="L813" s="372"/>
      <c r="M813" s="372"/>
      <c r="N813" s="372"/>
      <c r="O813" s="372"/>
      <c r="P813" s="372"/>
      <c r="Q813" s="304"/>
      <c r="R813" s="304"/>
      <c r="S813" s="304"/>
      <c r="T813" s="304"/>
      <c r="U813" s="304"/>
      <c r="V813" s="304"/>
      <c r="AL813" s="372" t="str">
        <f t="shared" si="42"/>
        <v/>
      </c>
    </row>
    <row r="814" spans="1:38" ht="15" customHeight="1" outlineLevel="1" x14ac:dyDescent="0.2">
      <c r="A814" s="403"/>
      <c r="B814" s="403"/>
      <c r="C814" s="403"/>
      <c r="D814" s="404"/>
      <c r="E814" s="405"/>
      <c r="F814" s="405"/>
      <c r="G814" s="403"/>
      <c r="H814" s="406"/>
      <c r="I814" s="406"/>
      <c r="J814" s="406"/>
      <c r="K814" s="304"/>
      <c r="L814" s="372"/>
      <c r="M814" s="372"/>
      <c r="N814" s="372"/>
      <c r="O814" s="372"/>
      <c r="P814" s="372"/>
      <c r="Q814" s="304"/>
      <c r="R814" s="304"/>
      <c r="S814" s="304"/>
      <c r="T814" s="304"/>
      <c r="U814" s="304"/>
      <c r="V814" s="304"/>
      <c r="AL814" s="372" t="str">
        <f t="shared" si="42"/>
        <v/>
      </c>
    </row>
    <row r="815" spans="1:38" ht="15" customHeight="1" outlineLevel="1" x14ac:dyDescent="0.2">
      <c r="A815" s="403"/>
      <c r="B815" s="403"/>
      <c r="C815" s="403"/>
      <c r="D815" s="404"/>
      <c r="E815" s="405"/>
      <c r="F815" s="405"/>
      <c r="G815" s="403"/>
      <c r="H815" s="406"/>
      <c r="I815" s="406"/>
      <c r="J815" s="406"/>
      <c r="K815" s="304"/>
      <c r="L815" s="372"/>
      <c r="M815" s="372"/>
      <c r="N815" s="372"/>
      <c r="O815" s="372"/>
      <c r="P815" s="372"/>
      <c r="Q815" s="304"/>
      <c r="R815" s="304"/>
      <c r="S815" s="304"/>
      <c r="T815" s="304"/>
      <c r="U815" s="304"/>
      <c r="V815" s="304"/>
      <c r="AL815" s="372" t="str">
        <f t="shared" si="42"/>
        <v/>
      </c>
    </row>
    <row r="816" spans="1:38" ht="15" customHeight="1" outlineLevel="1" x14ac:dyDescent="0.2">
      <c r="A816" s="403"/>
      <c r="B816" s="403"/>
      <c r="C816" s="403"/>
      <c r="D816" s="404"/>
      <c r="E816" s="405"/>
      <c r="F816" s="405"/>
      <c r="G816" s="403"/>
      <c r="H816" s="406"/>
      <c r="I816" s="406"/>
      <c r="J816" s="406"/>
      <c r="K816" s="304"/>
      <c r="L816" s="372"/>
      <c r="M816" s="372"/>
      <c r="N816" s="372"/>
      <c r="O816" s="372"/>
      <c r="P816" s="372"/>
      <c r="Q816" s="304"/>
      <c r="R816" s="304"/>
      <c r="S816" s="304"/>
      <c r="T816" s="304"/>
      <c r="U816" s="304"/>
      <c r="V816" s="304"/>
      <c r="AL816" s="372" t="str">
        <f t="shared" si="42"/>
        <v/>
      </c>
    </row>
    <row r="817" spans="1:38" ht="15" customHeight="1" outlineLevel="1" x14ac:dyDescent="0.2">
      <c r="A817" s="403"/>
      <c r="B817" s="403"/>
      <c r="C817" s="403"/>
      <c r="D817" s="404"/>
      <c r="E817" s="405"/>
      <c r="F817" s="405"/>
      <c r="G817" s="403"/>
      <c r="H817" s="406"/>
      <c r="I817" s="406"/>
      <c r="J817" s="406"/>
      <c r="K817" s="304"/>
      <c r="L817" s="372"/>
      <c r="M817" s="372"/>
      <c r="N817" s="372"/>
      <c r="O817" s="372"/>
      <c r="P817" s="372"/>
      <c r="Q817" s="304"/>
      <c r="R817" s="304"/>
      <c r="S817" s="304"/>
      <c r="T817" s="304"/>
      <c r="U817" s="304"/>
      <c r="V817" s="304"/>
      <c r="AL817" s="372" t="str">
        <f t="shared" si="42"/>
        <v/>
      </c>
    </row>
    <row r="818" spans="1:38" ht="15" customHeight="1" outlineLevel="1" x14ac:dyDescent="0.2">
      <c r="A818" s="403"/>
      <c r="B818" s="403"/>
      <c r="C818" s="403"/>
      <c r="D818" s="404"/>
      <c r="E818" s="405"/>
      <c r="F818" s="405"/>
      <c r="G818" s="403"/>
      <c r="H818" s="406"/>
      <c r="I818" s="406"/>
      <c r="J818" s="406"/>
      <c r="K818" s="304"/>
      <c r="L818" s="372"/>
      <c r="M818" s="372"/>
      <c r="N818" s="372"/>
      <c r="O818" s="372"/>
      <c r="P818" s="372"/>
      <c r="Q818" s="304"/>
      <c r="R818" s="304"/>
      <c r="S818" s="304"/>
      <c r="T818" s="304"/>
      <c r="U818" s="304"/>
      <c r="V818" s="304"/>
      <c r="AL818" s="372" t="str">
        <f t="shared" si="42"/>
        <v/>
      </c>
    </row>
    <row r="819" spans="1:38" ht="15" customHeight="1" outlineLevel="1" x14ac:dyDescent="0.2">
      <c r="A819" s="403"/>
      <c r="B819" s="403"/>
      <c r="C819" s="403"/>
      <c r="D819" s="404"/>
      <c r="E819" s="405"/>
      <c r="F819" s="405"/>
      <c r="G819" s="403"/>
      <c r="H819" s="406"/>
      <c r="I819" s="406"/>
      <c r="J819" s="406"/>
      <c r="K819" s="304"/>
      <c r="L819" s="372"/>
      <c r="M819" s="372"/>
      <c r="N819" s="372"/>
      <c r="O819" s="372"/>
      <c r="P819" s="372"/>
      <c r="Q819" s="304"/>
      <c r="R819" s="304"/>
      <c r="S819" s="304"/>
      <c r="T819" s="304"/>
      <c r="U819" s="304"/>
      <c r="V819" s="304"/>
      <c r="AL819" s="372" t="str">
        <f t="shared" si="42"/>
        <v/>
      </c>
    </row>
    <row r="820" spans="1:38" ht="15" customHeight="1" outlineLevel="1" x14ac:dyDescent="0.2">
      <c r="A820" s="403"/>
      <c r="B820" s="403"/>
      <c r="C820" s="403"/>
      <c r="D820" s="404"/>
      <c r="E820" s="405"/>
      <c r="F820" s="405"/>
      <c r="G820" s="403"/>
      <c r="H820" s="406"/>
      <c r="I820" s="406"/>
      <c r="J820" s="406"/>
      <c r="K820" s="304"/>
      <c r="L820" s="372"/>
      <c r="M820" s="372"/>
      <c r="N820" s="372"/>
      <c r="O820" s="372"/>
      <c r="P820" s="372"/>
      <c r="Q820" s="304"/>
      <c r="R820" s="304"/>
      <c r="S820" s="304"/>
      <c r="T820" s="304"/>
      <c r="U820" s="304"/>
      <c r="V820" s="304"/>
      <c r="AL820" s="372" t="str">
        <f t="shared" si="42"/>
        <v/>
      </c>
    </row>
    <row r="821" spans="1:38" ht="15" customHeight="1" outlineLevel="1" x14ac:dyDescent="0.2">
      <c r="A821" s="403"/>
      <c r="B821" s="403"/>
      <c r="C821" s="403"/>
      <c r="D821" s="404"/>
      <c r="E821" s="405"/>
      <c r="F821" s="405"/>
      <c r="G821" s="403"/>
      <c r="H821" s="406"/>
      <c r="I821" s="406"/>
      <c r="J821" s="406"/>
      <c r="K821" s="304"/>
      <c r="L821" s="372"/>
      <c r="M821" s="372"/>
      <c r="N821" s="372"/>
      <c r="O821" s="372"/>
      <c r="P821" s="372"/>
      <c r="Q821" s="304"/>
      <c r="R821" s="304"/>
      <c r="S821" s="304"/>
      <c r="T821" s="304"/>
      <c r="U821" s="304"/>
      <c r="V821" s="304"/>
      <c r="AL821" s="372" t="str">
        <f t="shared" si="42"/>
        <v/>
      </c>
    </row>
    <row r="822" spans="1:38" ht="15" customHeight="1" outlineLevel="1" x14ac:dyDescent="0.2">
      <c r="A822" s="403"/>
      <c r="B822" s="403"/>
      <c r="C822" s="403"/>
      <c r="D822" s="404"/>
      <c r="E822" s="405"/>
      <c r="F822" s="405"/>
      <c r="G822" s="403"/>
      <c r="H822" s="406"/>
      <c r="I822" s="406"/>
      <c r="J822" s="406"/>
      <c r="K822" s="304"/>
      <c r="L822" s="372"/>
      <c r="M822" s="372"/>
      <c r="N822" s="372"/>
      <c r="O822" s="372"/>
      <c r="P822" s="372"/>
      <c r="Q822" s="304"/>
      <c r="R822" s="304"/>
      <c r="S822" s="304"/>
      <c r="T822" s="304"/>
      <c r="U822" s="304"/>
      <c r="V822" s="304"/>
      <c r="AL822" s="372" t="str">
        <f t="shared" si="42"/>
        <v/>
      </c>
    </row>
    <row r="823" spans="1:38" ht="15" customHeight="1" outlineLevel="1" x14ac:dyDescent="0.2">
      <c r="A823" s="403"/>
      <c r="B823" s="403"/>
      <c r="C823" s="403"/>
      <c r="D823" s="404"/>
      <c r="E823" s="405"/>
      <c r="F823" s="405"/>
      <c r="G823" s="403"/>
      <c r="H823" s="406"/>
      <c r="I823" s="406"/>
      <c r="J823" s="406"/>
      <c r="K823" s="304"/>
      <c r="L823" s="372"/>
      <c r="M823" s="372"/>
      <c r="N823" s="372"/>
      <c r="O823" s="372"/>
      <c r="P823" s="372"/>
      <c r="Q823" s="304"/>
      <c r="R823" s="304"/>
      <c r="S823" s="304"/>
      <c r="T823" s="304"/>
      <c r="U823" s="304"/>
      <c r="V823" s="304"/>
      <c r="AL823" s="372" t="str">
        <f t="shared" si="42"/>
        <v/>
      </c>
    </row>
    <row r="824" spans="1:38" ht="15" customHeight="1" outlineLevel="1" x14ac:dyDescent="0.2">
      <c r="A824" s="403"/>
      <c r="B824" s="403"/>
      <c r="C824" s="403"/>
      <c r="D824" s="404"/>
      <c r="E824" s="405"/>
      <c r="F824" s="405"/>
      <c r="G824" s="403"/>
      <c r="H824" s="406"/>
      <c r="I824" s="406"/>
      <c r="J824" s="406"/>
      <c r="K824" s="304"/>
      <c r="L824" s="372"/>
      <c r="M824" s="372"/>
      <c r="N824" s="372"/>
      <c r="O824" s="372"/>
      <c r="P824" s="372"/>
      <c r="Q824" s="304"/>
      <c r="R824" s="304"/>
      <c r="S824" s="304"/>
      <c r="T824" s="304"/>
      <c r="U824" s="304"/>
      <c r="V824" s="304"/>
      <c r="AL824" s="372" t="str">
        <f t="shared" si="42"/>
        <v/>
      </c>
    </row>
    <row r="825" spans="1:38" ht="15" customHeight="1" outlineLevel="1" x14ac:dyDescent="0.2">
      <c r="A825" s="403"/>
      <c r="B825" s="403"/>
      <c r="C825" s="403"/>
      <c r="D825" s="404"/>
      <c r="E825" s="405"/>
      <c r="F825" s="405"/>
      <c r="G825" s="403"/>
      <c r="H825" s="406"/>
      <c r="I825" s="406"/>
      <c r="J825" s="406"/>
      <c r="K825" s="304"/>
      <c r="L825" s="372"/>
      <c r="M825" s="372"/>
      <c r="N825" s="372"/>
      <c r="O825" s="372"/>
      <c r="P825" s="372"/>
      <c r="Q825" s="304"/>
      <c r="R825" s="304"/>
      <c r="S825" s="304"/>
      <c r="T825" s="304"/>
      <c r="U825" s="304"/>
      <c r="V825" s="304"/>
      <c r="AL825" s="372" t="str">
        <f t="shared" si="42"/>
        <v/>
      </c>
    </row>
    <row r="826" spans="1:38" ht="15" customHeight="1" outlineLevel="1" x14ac:dyDescent="0.2">
      <c r="A826" s="403"/>
      <c r="B826" s="403"/>
      <c r="C826" s="403"/>
      <c r="D826" s="404"/>
      <c r="E826" s="405"/>
      <c r="F826" s="405"/>
      <c r="G826" s="403"/>
      <c r="H826" s="406"/>
      <c r="I826" s="406"/>
      <c r="J826" s="406"/>
      <c r="K826" s="304"/>
      <c r="L826" s="372"/>
      <c r="M826" s="372"/>
      <c r="N826" s="372"/>
      <c r="O826" s="372"/>
      <c r="P826" s="372"/>
      <c r="Q826" s="304"/>
      <c r="R826" s="304"/>
      <c r="S826" s="304"/>
      <c r="T826" s="304"/>
      <c r="U826" s="304"/>
      <c r="V826" s="304"/>
      <c r="AL826" s="372" t="str">
        <f t="shared" si="42"/>
        <v/>
      </c>
    </row>
    <row r="827" spans="1:38" ht="15" customHeight="1" outlineLevel="1" x14ac:dyDescent="0.2">
      <c r="A827" s="403"/>
      <c r="B827" s="403"/>
      <c r="C827" s="403"/>
      <c r="D827" s="404"/>
      <c r="E827" s="405"/>
      <c r="F827" s="405"/>
      <c r="G827" s="403"/>
      <c r="H827" s="406"/>
      <c r="I827" s="406"/>
      <c r="J827" s="406"/>
      <c r="K827" s="304"/>
      <c r="L827" s="372"/>
      <c r="M827" s="372"/>
      <c r="N827" s="372"/>
      <c r="O827" s="372"/>
      <c r="P827" s="372"/>
      <c r="Q827" s="304"/>
      <c r="R827" s="304"/>
      <c r="S827" s="304"/>
      <c r="T827" s="304"/>
      <c r="U827" s="304"/>
      <c r="V827" s="304"/>
      <c r="AL827" s="372" t="str">
        <f t="shared" si="42"/>
        <v/>
      </c>
    </row>
    <row r="828" spans="1:38" ht="15" customHeight="1" outlineLevel="1" x14ac:dyDescent="0.2">
      <c r="A828" s="403"/>
      <c r="B828" s="403"/>
      <c r="C828" s="403"/>
      <c r="D828" s="404"/>
      <c r="E828" s="405"/>
      <c r="F828" s="405"/>
      <c r="G828" s="403"/>
      <c r="H828" s="406"/>
      <c r="I828" s="406"/>
      <c r="J828" s="406"/>
      <c r="K828" s="304"/>
      <c r="L828" s="372"/>
      <c r="M828" s="372"/>
      <c r="N828" s="372"/>
      <c r="O828" s="372"/>
      <c r="P828" s="372"/>
      <c r="Q828" s="304"/>
      <c r="R828" s="304"/>
      <c r="S828" s="304"/>
      <c r="T828" s="304"/>
      <c r="U828" s="304"/>
      <c r="V828" s="304"/>
      <c r="AL828" s="372" t="str">
        <f t="shared" si="42"/>
        <v/>
      </c>
    </row>
    <row r="829" spans="1:38" ht="15" customHeight="1" outlineLevel="1" x14ac:dyDescent="0.2">
      <c r="A829" s="403"/>
      <c r="B829" s="403"/>
      <c r="C829" s="403"/>
      <c r="D829" s="404"/>
      <c r="E829" s="405"/>
      <c r="F829" s="405"/>
      <c r="G829" s="403"/>
      <c r="H829" s="406"/>
      <c r="I829" s="406"/>
      <c r="J829" s="406"/>
      <c r="K829" s="304"/>
      <c r="L829" s="372"/>
      <c r="M829" s="372"/>
      <c r="N829" s="372"/>
      <c r="O829" s="372"/>
      <c r="P829" s="372"/>
      <c r="Q829" s="304"/>
      <c r="R829" s="304"/>
      <c r="S829" s="304"/>
      <c r="T829" s="304"/>
      <c r="U829" s="304"/>
      <c r="V829" s="304"/>
      <c r="AL829" s="372" t="str">
        <f t="shared" si="42"/>
        <v/>
      </c>
    </row>
    <row r="830" spans="1:38" ht="15" customHeight="1" outlineLevel="1" x14ac:dyDescent="0.2">
      <c r="A830" s="403"/>
      <c r="B830" s="403"/>
      <c r="C830" s="403"/>
      <c r="D830" s="404"/>
      <c r="E830" s="405"/>
      <c r="F830" s="405"/>
      <c r="G830" s="403"/>
      <c r="H830" s="406"/>
      <c r="I830" s="406"/>
      <c r="J830" s="406"/>
      <c r="K830" s="304"/>
      <c r="L830" s="372"/>
      <c r="M830" s="372"/>
      <c r="N830" s="372"/>
      <c r="O830" s="372"/>
      <c r="P830" s="372"/>
      <c r="Q830" s="304"/>
      <c r="R830" s="304"/>
      <c r="S830" s="304"/>
      <c r="T830" s="304"/>
      <c r="U830" s="304"/>
      <c r="V830" s="304"/>
      <c r="AL830" s="372" t="str">
        <f t="shared" si="42"/>
        <v/>
      </c>
    </row>
    <row r="831" spans="1:38" ht="15" customHeight="1" outlineLevel="1" x14ac:dyDescent="0.2">
      <c r="A831" s="403"/>
      <c r="B831" s="403"/>
      <c r="C831" s="403"/>
      <c r="D831" s="404"/>
      <c r="E831" s="405"/>
      <c r="F831" s="405"/>
      <c r="G831" s="403"/>
      <c r="H831" s="406"/>
      <c r="I831" s="406"/>
      <c r="J831" s="406"/>
      <c r="K831" s="304"/>
      <c r="L831" s="372"/>
      <c r="M831" s="372"/>
      <c r="N831" s="372"/>
      <c r="O831" s="372"/>
      <c r="P831" s="372"/>
      <c r="Q831" s="304"/>
      <c r="R831" s="304"/>
      <c r="S831" s="304"/>
      <c r="T831" s="304"/>
      <c r="U831" s="304"/>
      <c r="V831" s="304"/>
      <c r="AL831" s="372" t="str">
        <f t="shared" si="42"/>
        <v/>
      </c>
    </row>
    <row r="832" spans="1:38" ht="15" customHeight="1" outlineLevel="1" x14ac:dyDescent="0.2">
      <c r="A832" s="403"/>
      <c r="B832" s="403"/>
      <c r="C832" s="403"/>
      <c r="D832" s="404"/>
      <c r="E832" s="405"/>
      <c r="F832" s="405"/>
      <c r="G832" s="403"/>
      <c r="H832" s="406"/>
      <c r="I832" s="406"/>
      <c r="J832" s="406"/>
      <c r="K832" s="304"/>
      <c r="L832" s="372"/>
      <c r="M832" s="372"/>
      <c r="N832" s="372"/>
      <c r="O832" s="372"/>
      <c r="P832" s="372"/>
      <c r="Q832" s="304"/>
      <c r="R832" s="304"/>
      <c r="S832" s="304"/>
      <c r="T832" s="304"/>
      <c r="U832" s="304"/>
      <c r="V832" s="304"/>
      <c r="AL832" s="372" t="str">
        <f t="shared" si="42"/>
        <v/>
      </c>
    </row>
    <row r="833" spans="1:38" ht="15" customHeight="1" outlineLevel="1" x14ac:dyDescent="0.2">
      <c r="A833" s="403"/>
      <c r="B833" s="403"/>
      <c r="C833" s="403"/>
      <c r="D833" s="404"/>
      <c r="E833" s="405"/>
      <c r="F833" s="405"/>
      <c r="G833" s="403"/>
      <c r="H833" s="406"/>
      <c r="I833" s="406"/>
      <c r="J833" s="406"/>
      <c r="K833" s="304"/>
      <c r="L833" s="372"/>
      <c r="M833" s="372"/>
      <c r="N833" s="372"/>
      <c r="O833" s="372"/>
      <c r="P833" s="372"/>
      <c r="Q833" s="304"/>
      <c r="R833" s="304"/>
      <c r="S833" s="304"/>
      <c r="T833" s="304"/>
      <c r="U833" s="304"/>
      <c r="V833" s="304"/>
      <c r="AL833" s="372" t="str">
        <f t="shared" si="42"/>
        <v/>
      </c>
    </row>
    <row r="834" spans="1:38" ht="15" customHeight="1" outlineLevel="1" x14ac:dyDescent="0.2">
      <c r="A834" s="403"/>
      <c r="B834" s="403"/>
      <c r="C834" s="403"/>
      <c r="D834" s="404"/>
      <c r="E834" s="405"/>
      <c r="F834" s="405"/>
      <c r="G834" s="403"/>
      <c r="H834" s="406"/>
      <c r="I834" s="406"/>
      <c r="J834" s="406"/>
      <c r="K834" s="304"/>
      <c r="L834" s="372"/>
      <c r="M834" s="372"/>
      <c r="N834" s="372"/>
      <c r="O834" s="372"/>
      <c r="P834" s="372"/>
      <c r="Q834" s="304"/>
      <c r="R834" s="304"/>
      <c r="S834" s="304"/>
      <c r="T834" s="304"/>
      <c r="U834" s="304"/>
      <c r="V834" s="304"/>
      <c r="AL834" s="372" t="str">
        <f t="shared" si="42"/>
        <v/>
      </c>
    </row>
    <row r="835" spans="1:38" ht="15" customHeight="1" outlineLevel="1" x14ac:dyDescent="0.2">
      <c r="A835" s="403"/>
      <c r="B835" s="403"/>
      <c r="C835" s="403"/>
      <c r="D835" s="404"/>
      <c r="E835" s="405"/>
      <c r="F835" s="405"/>
      <c r="G835" s="403"/>
      <c r="H835" s="406"/>
      <c r="I835" s="406"/>
      <c r="J835" s="406"/>
      <c r="K835" s="304"/>
      <c r="L835" s="372"/>
      <c r="M835" s="372"/>
      <c r="N835" s="372"/>
      <c r="O835" s="372"/>
      <c r="P835" s="372"/>
      <c r="Q835" s="304"/>
      <c r="R835" s="304"/>
      <c r="S835" s="304"/>
      <c r="T835" s="304"/>
      <c r="U835" s="304"/>
      <c r="V835" s="304"/>
      <c r="AL835" s="372" t="str">
        <f t="shared" si="42"/>
        <v/>
      </c>
    </row>
    <row r="836" spans="1:38" ht="15" customHeight="1" outlineLevel="1" x14ac:dyDescent="0.2">
      <c r="A836" s="403"/>
      <c r="B836" s="403"/>
      <c r="C836" s="403"/>
      <c r="D836" s="404"/>
      <c r="E836" s="405"/>
      <c r="F836" s="405"/>
      <c r="G836" s="403"/>
      <c r="H836" s="406"/>
      <c r="I836" s="406"/>
      <c r="J836" s="406"/>
      <c r="K836" s="304"/>
      <c r="L836" s="372"/>
      <c r="M836" s="372"/>
      <c r="N836" s="372"/>
      <c r="O836" s="372"/>
      <c r="P836" s="372"/>
      <c r="Q836" s="304"/>
      <c r="R836" s="304"/>
      <c r="S836" s="304"/>
      <c r="T836" s="304"/>
      <c r="U836" s="304"/>
      <c r="V836" s="304"/>
      <c r="AL836" s="372" t="str">
        <f t="shared" si="42"/>
        <v/>
      </c>
    </row>
    <row r="837" spans="1:38" ht="15" customHeight="1" outlineLevel="1" x14ac:dyDescent="0.2">
      <c r="A837" s="403"/>
      <c r="B837" s="403"/>
      <c r="C837" s="403"/>
      <c r="D837" s="404"/>
      <c r="E837" s="405"/>
      <c r="F837" s="405"/>
      <c r="G837" s="403"/>
      <c r="H837" s="406"/>
      <c r="I837" s="406"/>
      <c r="J837" s="406"/>
      <c r="K837" s="304"/>
      <c r="L837" s="372"/>
      <c r="M837" s="372"/>
      <c r="N837" s="372"/>
      <c r="O837" s="372"/>
      <c r="P837" s="372"/>
      <c r="Q837" s="304"/>
      <c r="R837" s="304"/>
      <c r="S837" s="304"/>
      <c r="T837" s="304"/>
      <c r="U837" s="304"/>
      <c r="V837" s="304"/>
      <c r="AL837" s="372" t="str">
        <f t="shared" si="42"/>
        <v/>
      </c>
    </row>
    <row r="838" spans="1:38" ht="15" customHeight="1" outlineLevel="1" x14ac:dyDescent="0.2">
      <c r="A838" s="403"/>
      <c r="B838" s="403"/>
      <c r="C838" s="403"/>
      <c r="D838" s="404"/>
      <c r="E838" s="405"/>
      <c r="F838" s="405"/>
      <c r="G838" s="403"/>
      <c r="H838" s="406"/>
      <c r="I838" s="406"/>
      <c r="J838" s="406"/>
      <c r="K838" s="304"/>
      <c r="L838" s="372"/>
      <c r="M838" s="372"/>
      <c r="N838" s="372"/>
      <c r="O838" s="372"/>
      <c r="P838" s="372"/>
      <c r="Q838" s="304"/>
      <c r="R838" s="304"/>
      <c r="S838" s="304"/>
      <c r="T838" s="304"/>
      <c r="U838" s="304"/>
      <c r="V838" s="304"/>
      <c r="AL838" s="372" t="str">
        <f t="shared" si="42"/>
        <v/>
      </c>
    </row>
    <row r="839" spans="1:38" ht="15" customHeight="1" outlineLevel="1" x14ac:dyDescent="0.2">
      <c r="A839" s="403"/>
      <c r="B839" s="403"/>
      <c r="C839" s="403"/>
      <c r="D839" s="404"/>
      <c r="E839" s="405"/>
      <c r="F839" s="405"/>
      <c r="G839" s="403"/>
      <c r="H839" s="406"/>
      <c r="I839" s="406"/>
      <c r="J839" s="406"/>
      <c r="K839" s="304"/>
      <c r="L839" s="372"/>
      <c r="M839" s="372"/>
      <c r="N839" s="372"/>
      <c r="O839" s="372"/>
      <c r="P839" s="372"/>
      <c r="Q839" s="304"/>
      <c r="R839" s="304"/>
      <c r="S839" s="304"/>
      <c r="T839" s="304"/>
      <c r="U839" s="304"/>
      <c r="V839" s="304"/>
      <c r="AL839" s="372" t="str">
        <f t="shared" si="42"/>
        <v/>
      </c>
    </row>
    <row r="840" spans="1:38" ht="15" customHeight="1" outlineLevel="1" x14ac:dyDescent="0.2">
      <c r="A840" s="403"/>
      <c r="B840" s="403"/>
      <c r="C840" s="403"/>
      <c r="D840" s="404"/>
      <c r="E840" s="405"/>
      <c r="F840" s="405"/>
      <c r="G840" s="403"/>
      <c r="H840" s="406"/>
      <c r="I840" s="406"/>
      <c r="J840" s="406"/>
      <c r="K840" s="304"/>
      <c r="L840" s="372"/>
      <c r="M840" s="372"/>
      <c r="N840" s="372"/>
      <c r="O840" s="372"/>
      <c r="P840" s="372"/>
      <c r="Q840" s="304"/>
      <c r="R840" s="304"/>
      <c r="S840" s="304"/>
      <c r="T840" s="304"/>
      <c r="U840" s="304"/>
      <c r="V840" s="304"/>
      <c r="AL840" s="372" t="str">
        <f t="shared" si="42"/>
        <v/>
      </c>
    </row>
    <row r="841" spans="1:38" ht="15" customHeight="1" outlineLevel="1" x14ac:dyDescent="0.2">
      <c r="A841" s="403"/>
      <c r="B841" s="403"/>
      <c r="C841" s="403"/>
      <c r="D841" s="404"/>
      <c r="E841" s="405"/>
      <c r="F841" s="405"/>
      <c r="G841" s="403"/>
      <c r="H841" s="406"/>
      <c r="I841" s="406"/>
      <c r="J841" s="406"/>
      <c r="K841" s="304"/>
      <c r="L841" s="372"/>
      <c r="M841" s="372"/>
      <c r="N841" s="372"/>
      <c r="O841" s="372"/>
      <c r="P841" s="372"/>
      <c r="Q841" s="304"/>
      <c r="R841" s="304"/>
      <c r="S841" s="304"/>
      <c r="T841" s="304"/>
      <c r="U841" s="304"/>
      <c r="V841" s="304"/>
      <c r="AL841" s="372" t="str">
        <f t="shared" si="42"/>
        <v/>
      </c>
    </row>
    <row r="842" spans="1:38" ht="15" customHeight="1" outlineLevel="1" x14ac:dyDescent="0.2">
      <c r="A842" s="403"/>
      <c r="B842" s="403"/>
      <c r="C842" s="403"/>
      <c r="D842" s="404"/>
      <c r="E842" s="405"/>
      <c r="F842" s="405"/>
      <c r="G842" s="403"/>
      <c r="H842" s="406"/>
      <c r="I842" s="406"/>
      <c r="J842" s="406"/>
      <c r="K842" s="304"/>
      <c r="L842" s="372"/>
      <c r="M842" s="372"/>
      <c r="N842" s="372"/>
      <c r="O842" s="372"/>
      <c r="P842" s="372"/>
      <c r="Q842" s="304"/>
      <c r="R842" s="304"/>
      <c r="S842" s="304"/>
      <c r="T842" s="304"/>
      <c r="U842" s="304"/>
      <c r="V842" s="304"/>
      <c r="AL842" s="372" t="str">
        <f t="shared" si="42"/>
        <v/>
      </c>
    </row>
    <row r="843" spans="1:38" ht="15" customHeight="1" outlineLevel="1" x14ac:dyDescent="0.2">
      <c r="A843" s="403"/>
      <c r="B843" s="403"/>
      <c r="C843" s="403"/>
      <c r="D843" s="404"/>
      <c r="E843" s="405"/>
      <c r="F843" s="405"/>
      <c r="G843" s="403"/>
      <c r="H843" s="406"/>
      <c r="I843" s="406"/>
      <c r="J843" s="406"/>
      <c r="K843" s="304"/>
      <c r="L843" s="372"/>
      <c r="M843" s="372"/>
      <c r="N843" s="372"/>
      <c r="O843" s="372"/>
      <c r="P843" s="372"/>
      <c r="Q843" s="304"/>
      <c r="R843" s="304"/>
      <c r="S843" s="304"/>
      <c r="T843" s="304"/>
      <c r="U843" s="304"/>
      <c r="V843" s="304"/>
      <c r="AL843" s="372" t="str">
        <f t="shared" si="42"/>
        <v/>
      </c>
    </row>
    <row r="844" spans="1:38" ht="15" customHeight="1" outlineLevel="1" x14ac:dyDescent="0.2">
      <c r="A844" s="403"/>
      <c r="B844" s="403"/>
      <c r="C844" s="403"/>
      <c r="D844" s="404"/>
      <c r="E844" s="405"/>
      <c r="F844" s="405"/>
      <c r="G844" s="403"/>
      <c r="H844" s="406"/>
      <c r="I844" s="406"/>
      <c r="J844" s="406"/>
      <c r="K844" s="304"/>
      <c r="L844" s="372"/>
      <c r="M844" s="372"/>
      <c r="N844" s="372"/>
      <c r="O844" s="372"/>
      <c r="P844" s="372"/>
      <c r="Q844" s="304"/>
      <c r="R844" s="304"/>
      <c r="S844" s="304"/>
      <c r="T844" s="304"/>
      <c r="U844" s="304"/>
      <c r="V844" s="304"/>
      <c r="AL844" s="372" t="str">
        <f t="shared" si="42"/>
        <v/>
      </c>
    </row>
    <row r="845" spans="1:38" ht="15" customHeight="1" outlineLevel="1" x14ac:dyDescent="0.2">
      <c r="A845" s="403"/>
      <c r="B845" s="403"/>
      <c r="C845" s="403"/>
      <c r="D845" s="404"/>
      <c r="E845" s="405"/>
      <c r="F845" s="405"/>
      <c r="G845" s="403"/>
      <c r="H845" s="406"/>
      <c r="I845" s="406"/>
      <c r="J845" s="406"/>
      <c r="K845" s="304"/>
      <c r="L845" s="372"/>
      <c r="M845" s="372"/>
      <c r="N845" s="372"/>
      <c r="O845" s="372"/>
      <c r="P845" s="372"/>
      <c r="Q845" s="304"/>
      <c r="R845" s="304"/>
      <c r="S845" s="304"/>
      <c r="T845" s="304"/>
      <c r="U845" s="304"/>
      <c r="V845" s="304"/>
      <c r="AL845" s="372" t="str">
        <f t="shared" si="42"/>
        <v/>
      </c>
    </row>
    <row r="846" spans="1:38" ht="15" customHeight="1" outlineLevel="1" x14ac:dyDescent="0.2">
      <c r="A846" s="403"/>
      <c r="B846" s="403"/>
      <c r="C846" s="403"/>
      <c r="D846" s="404"/>
      <c r="E846" s="405"/>
      <c r="F846" s="405"/>
      <c r="G846" s="403"/>
      <c r="H846" s="406"/>
      <c r="I846" s="406"/>
      <c r="J846" s="406"/>
      <c r="K846" s="304"/>
      <c r="L846" s="372"/>
      <c r="M846" s="372"/>
      <c r="N846" s="372"/>
      <c r="O846" s="372"/>
      <c r="P846" s="372"/>
      <c r="Q846" s="304"/>
      <c r="R846" s="304"/>
      <c r="S846" s="304"/>
      <c r="T846" s="304"/>
      <c r="U846" s="304"/>
      <c r="V846" s="304"/>
      <c r="AL846" s="372" t="str">
        <f t="shared" si="42"/>
        <v/>
      </c>
    </row>
    <row r="847" spans="1:38" ht="15" customHeight="1" outlineLevel="1" x14ac:dyDescent="0.2">
      <c r="A847" s="403"/>
      <c r="B847" s="403"/>
      <c r="C847" s="403"/>
      <c r="D847" s="404"/>
      <c r="E847" s="405"/>
      <c r="F847" s="405"/>
      <c r="G847" s="403"/>
      <c r="H847" s="406"/>
      <c r="I847" s="406"/>
      <c r="J847" s="406"/>
      <c r="K847" s="304"/>
      <c r="L847" s="372"/>
      <c r="M847" s="372"/>
      <c r="N847" s="372"/>
      <c r="O847" s="372"/>
      <c r="P847" s="372"/>
      <c r="Q847" s="304"/>
      <c r="R847" s="304"/>
      <c r="S847" s="304"/>
      <c r="T847" s="304"/>
      <c r="U847" s="304"/>
      <c r="V847" s="304"/>
      <c r="AL847" s="372" t="str">
        <f t="shared" si="42"/>
        <v/>
      </c>
    </row>
    <row r="848" spans="1:38" ht="15" customHeight="1" outlineLevel="1" x14ac:dyDescent="0.2">
      <c r="A848" s="403"/>
      <c r="B848" s="403"/>
      <c r="C848" s="403"/>
      <c r="D848" s="404"/>
      <c r="E848" s="405"/>
      <c r="F848" s="405"/>
      <c r="G848" s="403"/>
      <c r="H848" s="406"/>
      <c r="I848" s="406"/>
      <c r="J848" s="406"/>
      <c r="K848" s="304"/>
      <c r="L848" s="372"/>
      <c r="M848" s="372"/>
      <c r="N848" s="372"/>
      <c r="O848" s="372"/>
      <c r="P848" s="372"/>
      <c r="Q848" s="304"/>
      <c r="R848" s="304"/>
      <c r="S848" s="304"/>
      <c r="T848" s="304"/>
      <c r="U848" s="304"/>
      <c r="V848" s="304"/>
      <c r="AL848" s="372" t="str">
        <f t="shared" si="42"/>
        <v/>
      </c>
    </row>
    <row r="849" spans="1:38" ht="15" customHeight="1" outlineLevel="1" x14ac:dyDescent="0.2">
      <c r="A849" s="403"/>
      <c r="B849" s="403"/>
      <c r="C849" s="403"/>
      <c r="D849" s="404"/>
      <c r="E849" s="405"/>
      <c r="F849" s="405"/>
      <c r="G849" s="403"/>
      <c r="H849" s="406"/>
      <c r="I849" s="406"/>
      <c r="J849" s="406"/>
      <c r="K849" s="304"/>
      <c r="L849" s="372"/>
      <c r="M849" s="372"/>
      <c r="N849" s="372"/>
      <c r="O849" s="372"/>
      <c r="P849" s="372"/>
      <c r="Q849" s="304"/>
      <c r="R849" s="304"/>
      <c r="S849" s="304"/>
      <c r="T849" s="304"/>
      <c r="U849" s="304"/>
      <c r="V849" s="304"/>
      <c r="AL849" s="372" t="str">
        <f t="shared" ref="AL849:AL912" si="43">IF(($C849=$AG$245)*($N849&gt;0)*ISNUMBER($I849),$I849*100000+ROW(),"")</f>
        <v/>
      </c>
    </row>
    <row r="850" spans="1:38" ht="15" customHeight="1" outlineLevel="1" x14ac:dyDescent="0.2">
      <c r="A850" s="403"/>
      <c r="B850" s="403"/>
      <c r="C850" s="403"/>
      <c r="D850" s="404"/>
      <c r="E850" s="405"/>
      <c r="F850" s="405"/>
      <c r="G850" s="403"/>
      <c r="H850" s="406"/>
      <c r="I850" s="406"/>
      <c r="J850" s="406"/>
      <c r="K850" s="304"/>
      <c r="L850" s="372"/>
      <c r="M850" s="372"/>
      <c r="N850" s="372"/>
      <c r="O850" s="372"/>
      <c r="P850" s="372"/>
      <c r="Q850" s="304"/>
      <c r="R850" s="304"/>
      <c r="S850" s="304"/>
      <c r="T850" s="304"/>
      <c r="U850" s="304"/>
      <c r="V850" s="304"/>
      <c r="AL850" s="372" t="str">
        <f t="shared" si="43"/>
        <v/>
      </c>
    </row>
    <row r="851" spans="1:38" ht="15" customHeight="1" outlineLevel="1" x14ac:dyDescent="0.2">
      <c r="A851" s="403"/>
      <c r="B851" s="403"/>
      <c r="C851" s="403"/>
      <c r="D851" s="404"/>
      <c r="E851" s="405"/>
      <c r="F851" s="405"/>
      <c r="G851" s="403"/>
      <c r="H851" s="406"/>
      <c r="I851" s="406"/>
      <c r="J851" s="406"/>
      <c r="K851" s="304"/>
      <c r="L851" s="372"/>
      <c r="M851" s="372"/>
      <c r="N851" s="372"/>
      <c r="O851" s="372"/>
      <c r="P851" s="372"/>
      <c r="Q851" s="304"/>
      <c r="R851" s="304"/>
      <c r="S851" s="304"/>
      <c r="T851" s="304"/>
      <c r="U851" s="304"/>
      <c r="V851" s="304"/>
      <c r="AL851" s="372" t="str">
        <f t="shared" si="43"/>
        <v/>
      </c>
    </row>
    <row r="852" spans="1:38" ht="15" customHeight="1" outlineLevel="1" x14ac:dyDescent="0.2">
      <c r="A852" s="403"/>
      <c r="B852" s="403"/>
      <c r="C852" s="403"/>
      <c r="D852" s="404"/>
      <c r="E852" s="405"/>
      <c r="F852" s="405"/>
      <c r="G852" s="403"/>
      <c r="H852" s="406"/>
      <c r="I852" s="406"/>
      <c r="J852" s="406"/>
      <c r="K852" s="304"/>
      <c r="L852" s="372"/>
      <c r="M852" s="372"/>
      <c r="N852" s="372"/>
      <c r="O852" s="372"/>
      <c r="P852" s="372"/>
      <c r="Q852" s="304"/>
      <c r="R852" s="304"/>
      <c r="S852" s="304"/>
      <c r="T852" s="304"/>
      <c r="U852" s="304"/>
      <c r="V852" s="304"/>
      <c r="AL852" s="372" t="str">
        <f t="shared" si="43"/>
        <v/>
      </c>
    </row>
    <row r="853" spans="1:38" ht="15" customHeight="1" outlineLevel="1" x14ac:dyDescent="0.2">
      <c r="A853" s="403"/>
      <c r="B853" s="403"/>
      <c r="C853" s="403"/>
      <c r="D853" s="404"/>
      <c r="E853" s="405"/>
      <c r="F853" s="405"/>
      <c r="G853" s="403"/>
      <c r="H853" s="406"/>
      <c r="I853" s="406"/>
      <c r="J853" s="406"/>
      <c r="K853" s="304"/>
      <c r="L853" s="372"/>
      <c r="M853" s="372"/>
      <c r="N853" s="372"/>
      <c r="O853" s="372"/>
      <c r="P853" s="372"/>
      <c r="Q853" s="304"/>
      <c r="R853" s="304"/>
      <c r="S853" s="304"/>
      <c r="T853" s="304"/>
      <c r="U853" s="304"/>
      <c r="V853" s="304"/>
      <c r="AL853" s="372" t="str">
        <f t="shared" si="43"/>
        <v/>
      </c>
    </row>
    <row r="854" spans="1:38" ht="15" customHeight="1" outlineLevel="1" x14ac:dyDescent="0.2">
      <c r="A854" s="403"/>
      <c r="B854" s="403"/>
      <c r="C854" s="403"/>
      <c r="D854" s="404"/>
      <c r="E854" s="405"/>
      <c r="F854" s="405"/>
      <c r="G854" s="403"/>
      <c r="H854" s="406"/>
      <c r="I854" s="406"/>
      <c r="J854" s="406"/>
      <c r="K854" s="304"/>
      <c r="L854" s="372"/>
      <c r="M854" s="372"/>
      <c r="N854" s="372"/>
      <c r="O854" s="372"/>
      <c r="P854" s="372"/>
      <c r="Q854" s="304"/>
      <c r="R854" s="304"/>
      <c r="S854" s="304"/>
      <c r="T854" s="304"/>
      <c r="U854" s="304"/>
      <c r="V854" s="304"/>
      <c r="AL854" s="372" t="str">
        <f t="shared" si="43"/>
        <v/>
      </c>
    </row>
    <row r="855" spans="1:38" ht="15" customHeight="1" outlineLevel="1" x14ac:dyDescent="0.2">
      <c r="A855" s="403"/>
      <c r="B855" s="403"/>
      <c r="C855" s="403"/>
      <c r="D855" s="404"/>
      <c r="E855" s="405"/>
      <c r="F855" s="405"/>
      <c r="G855" s="403"/>
      <c r="H855" s="406"/>
      <c r="I855" s="406"/>
      <c r="J855" s="406"/>
      <c r="K855" s="304"/>
      <c r="L855" s="372"/>
      <c r="M855" s="372"/>
      <c r="N855" s="372"/>
      <c r="O855" s="372"/>
      <c r="P855" s="372"/>
      <c r="Q855" s="304"/>
      <c r="R855" s="304"/>
      <c r="S855" s="304"/>
      <c r="T855" s="304"/>
      <c r="U855" s="304"/>
      <c r="V855" s="304"/>
      <c r="AL855" s="372" t="str">
        <f t="shared" si="43"/>
        <v/>
      </c>
    </row>
    <row r="856" spans="1:38" ht="15" customHeight="1" outlineLevel="1" x14ac:dyDescent="0.2">
      <c r="A856" s="403"/>
      <c r="B856" s="403"/>
      <c r="C856" s="403"/>
      <c r="D856" s="404"/>
      <c r="E856" s="405"/>
      <c r="F856" s="405"/>
      <c r="G856" s="403"/>
      <c r="H856" s="406"/>
      <c r="I856" s="406"/>
      <c r="J856" s="406"/>
      <c r="K856" s="304"/>
      <c r="L856" s="372"/>
      <c r="M856" s="372"/>
      <c r="N856" s="372"/>
      <c r="O856" s="372"/>
      <c r="P856" s="372"/>
      <c r="Q856" s="304"/>
      <c r="R856" s="304"/>
      <c r="S856" s="304"/>
      <c r="T856" s="304"/>
      <c r="U856" s="304"/>
      <c r="V856" s="304"/>
      <c r="AL856" s="372" t="str">
        <f t="shared" si="43"/>
        <v/>
      </c>
    </row>
    <row r="857" spans="1:38" ht="15" customHeight="1" outlineLevel="1" x14ac:dyDescent="0.2">
      <c r="A857" s="403"/>
      <c r="B857" s="403"/>
      <c r="C857" s="403"/>
      <c r="D857" s="404"/>
      <c r="E857" s="405"/>
      <c r="F857" s="405"/>
      <c r="G857" s="403"/>
      <c r="H857" s="406"/>
      <c r="I857" s="406"/>
      <c r="J857" s="406"/>
      <c r="K857" s="304"/>
      <c r="L857" s="372"/>
      <c r="M857" s="372"/>
      <c r="N857" s="372"/>
      <c r="O857" s="372"/>
      <c r="P857" s="372"/>
      <c r="Q857" s="304"/>
      <c r="R857" s="304"/>
      <c r="S857" s="304"/>
      <c r="T857" s="304"/>
      <c r="U857" s="304"/>
      <c r="V857" s="304"/>
      <c r="AL857" s="372" t="str">
        <f t="shared" si="43"/>
        <v/>
      </c>
    </row>
    <row r="858" spans="1:38" ht="15" customHeight="1" outlineLevel="1" x14ac:dyDescent="0.2">
      <c r="A858" s="403"/>
      <c r="B858" s="403"/>
      <c r="C858" s="403"/>
      <c r="D858" s="404"/>
      <c r="E858" s="405"/>
      <c r="F858" s="405"/>
      <c r="G858" s="403"/>
      <c r="H858" s="406"/>
      <c r="I858" s="406"/>
      <c r="J858" s="406"/>
      <c r="K858" s="304"/>
      <c r="L858" s="372"/>
      <c r="M858" s="372"/>
      <c r="N858" s="372"/>
      <c r="O858" s="372"/>
      <c r="P858" s="372"/>
      <c r="Q858" s="304"/>
      <c r="R858" s="304"/>
      <c r="S858" s="304"/>
      <c r="T858" s="304"/>
      <c r="U858" s="304"/>
      <c r="V858" s="304"/>
      <c r="AL858" s="372" t="str">
        <f t="shared" si="43"/>
        <v/>
      </c>
    </row>
    <row r="859" spans="1:38" ht="15" customHeight="1" outlineLevel="1" x14ac:dyDescent="0.2">
      <c r="A859" s="403"/>
      <c r="B859" s="403"/>
      <c r="C859" s="403"/>
      <c r="D859" s="404"/>
      <c r="E859" s="405"/>
      <c r="F859" s="405"/>
      <c r="G859" s="403"/>
      <c r="H859" s="406"/>
      <c r="I859" s="406"/>
      <c r="J859" s="406"/>
      <c r="K859" s="304"/>
      <c r="L859" s="372"/>
      <c r="M859" s="372"/>
      <c r="N859" s="372"/>
      <c r="O859" s="372"/>
      <c r="P859" s="372"/>
      <c r="Q859" s="304"/>
      <c r="R859" s="304"/>
      <c r="S859" s="304"/>
      <c r="T859" s="304"/>
      <c r="U859" s="304"/>
      <c r="V859" s="304"/>
      <c r="AL859" s="372" t="str">
        <f t="shared" si="43"/>
        <v/>
      </c>
    </row>
    <row r="860" spans="1:38" ht="15" customHeight="1" outlineLevel="1" x14ac:dyDescent="0.2">
      <c r="A860" s="403"/>
      <c r="B860" s="403"/>
      <c r="C860" s="403"/>
      <c r="D860" s="404"/>
      <c r="E860" s="405"/>
      <c r="F860" s="405"/>
      <c r="G860" s="403"/>
      <c r="H860" s="406"/>
      <c r="I860" s="406"/>
      <c r="J860" s="406"/>
      <c r="K860" s="304"/>
      <c r="L860" s="372"/>
      <c r="M860" s="372"/>
      <c r="N860" s="372"/>
      <c r="O860" s="372"/>
      <c r="P860" s="372"/>
      <c r="Q860" s="304"/>
      <c r="R860" s="304"/>
      <c r="S860" s="304"/>
      <c r="T860" s="304"/>
      <c r="U860" s="304"/>
      <c r="V860" s="304"/>
      <c r="AL860" s="372" t="str">
        <f t="shared" si="43"/>
        <v/>
      </c>
    </row>
    <row r="861" spans="1:38" ht="15" customHeight="1" outlineLevel="1" x14ac:dyDescent="0.2">
      <c r="A861" s="403"/>
      <c r="B861" s="403"/>
      <c r="C861" s="403"/>
      <c r="D861" s="404"/>
      <c r="E861" s="405"/>
      <c r="F861" s="405"/>
      <c r="G861" s="403"/>
      <c r="H861" s="406"/>
      <c r="I861" s="406"/>
      <c r="J861" s="406"/>
      <c r="K861" s="304"/>
      <c r="L861" s="372"/>
      <c r="M861" s="372"/>
      <c r="N861" s="372"/>
      <c r="O861" s="372"/>
      <c r="P861" s="372"/>
      <c r="Q861" s="304"/>
      <c r="R861" s="304"/>
      <c r="S861" s="304"/>
      <c r="T861" s="304"/>
      <c r="U861" s="304"/>
      <c r="V861" s="304"/>
      <c r="AL861" s="372" t="str">
        <f t="shared" si="43"/>
        <v/>
      </c>
    </row>
    <row r="862" spans="1:38" ht="15" customHeight="1" outlineLevel="1" x14ac:dyDescent="0.2">
      <c r="A862" s="403"/>
      <c r="B862" s="403"/>
      <c r="C862" s="403"/>
      <c r="D862" s="404"/>
      <c r="E862" s="405"/>
      <c r="F862" s="405"/>
      <c r="G862" s="403"/>
      <c r="H862" s="406"/>
      <c r="I862" s="406"/>
      <c r="J862" s="406"/>
      <c r="K862" s="304"/>
      <c r="L862" s="372"/>
      <c r="M862" s="372"/>
      <c r="N862" s="372"/>
      <c r="O862" s="372"/>
      <c r="P862" s="372"/>
      <c r="Q862" s="304"/>
      <c r="R862" s="304"/>
      <c r="S862" s="304"/>
      <c r="T862" s="304"/>
      <c r="U862" s="304"/>
      <c r="V862" s="304"/>
      <c r="AL862" s="372" t="str">
        <f t="shared" si="43"/>
        <v/>
      </c>
    </row>
    <row r="863" spans="1:38" ht="15" customHeight="1" outlineLevel="1" x14ac:dyDescent="0.2">
      <c r="A863" s="403"/>
      <c r="B863" s="403"/>
      <c r="C863" s="403"/>
      <c r="D863" s="404"/>
      <c r="E863" s="405"/>
      <c r="F863" s="405"/>
      <c r="G863" s="403"/>
      <c r="H863" s="406"/>
      <c r="I863" s="406"/>
      <c r="J863" s="406"/>
      <c r="K863" s="304"/>
      <c r="L863" s="372"/>
      <c r="M863" s="372"/>
      <c r="N863" s="372"/>
      <c r="O863" s="372"/>
      <c r="P863" s="372"/>
      <c r="Q863" s="304"/>
      <c r="R863" s="304"/>
      <c r="S863" s="304"/>
      <c r="T863" s="304"/>
      <c r="U863" s="304"/>
      <c r="V863" s="304"/>
      <c r="AL863" s="372" t="str">
        <f t="shared" si="43"/>
        <v/>
      </c>
    </row>
    <row r="864" spans="1:38" ht="15" customHeight="1" outlineLevel="1" x14ac:dyDescent="0.2">
      <c r="A864" s="403"/>
      <c r="B864" s="403"/>
      <c r="C864" s="403"/>
      <c r="D864" s="404"/>
      <c r="E864" s="405"/>
      <c r="F864" s="405"/>
      <c r="G864" s="403"/>
      <c r="H864" s="406"/>
      <c r="I864" s="406"/>
      <c r="J864" s="406"/>
      <c r="K864" s="304"/>
      <c r="L864" s="372"/>
      <c r="M864" s="372"/>
      <c r="N864" s="372"/>
      <c r="O864" s="372"/>
      <c r="P864" s="372"/>
      <c r="Q864" s="304"/>
      <c r="R864" s="304"/>
      <c r="S864" s="304"/>
      <c r="T864" s="304"/>
      <c r="U864" s="304"/>
      <c r="V864" s="304"/>
      <c r="AL864" s="372" t="str">
        <f t="shared" si="43"/>
        <v/>
      </c>
    </row>
    <row r="865" spans="1:38" ht="15" customHeight="1" outlineLevel="1" x14ac:dyDescent="0.2">
      <c r="A865" s="403"/>
      <c r="B865" s="403"/>
      <c r="C865" s="403"/>
      <c r="D865" s="404"/>
      <c r="E865" s="405"/>
      <c r="F865" s="405"/>
      <c r="G865" s="403"/>
      <c r="H865" s="406"/>
      <c r="I865" s="406"/>
      <c r="J865" s="406"/>
      <c r="K865" s="304"/>
      <c r="L865" s="372"/>
      <c r="M865" s="372"/>
      <c r="N865" s="372"/>
      <c r="O865" s="372"/>
      <c r="P865" s="372"/>
      <c r="Q865" s="304"/>
      <c r="R865" s="304"/>
      <c r="S865" s="304"/>
      <c r="T865" s="304"/>
      <c r="U865" s="304"/>
      <c r="V865" s="304"/>
      <c r="AL865" s="372" t="str">
        <f t="shared" si="43"/>
        <v/>
      </c>
    </row>
    <row r="866" spans="1:38" ht="15" customHeight="1" outlineLevel="1" x14ac:dyDescent="0.2">
      <c r="A866" s="403"/>
      <c r="B866" s="403"/>
      <c r="C866" s="403"/>
      <c r="D866" s="404"/>
      <c r="E866" s="405"/>
      <c r="F866" s="405"/>
      <c r="G866" s="403"/>
      <c r="H866" s="406"/>
      <c r="I866" s="406"/>
      <c r="J866" s="406"/>
      <c r="K866" s="304"/>
      <c r="L866" s="372"/>
      <c r="M866" s="372"/>
      <c r="N866" s="372"/>
      <c r="O866" s="372"/>
      <c r="P866" s="372"/>
      <c r="Q866" s="304"/>
      <c r="R866" s="304"/>
      <c r="S866" s="304"/>
      <c r="T866" s="304"/>
      <c r="U866" s="304"/>
      <c r="V866" s="304"/>
      <c r="AL866" s="372" t="str">
        <f t="shared" si="43"/>
        <v/>
      </c>
    </row>
    <row r="867" spans="1:38" ht="15" customHeight="1" outlineLevel="1" x14ac:dyDescent="0.2">
      <c r="A867" s="403"/>
      <c r="B867" s="403"/>
      <c r="C867" s="403"/>
      <c r="D867" s="404"/>
      <c r="E867" s="405"/>
      <c r="F867" s="405"/>
      <c r="G867" s="403"/>
      <c r="H867" s="406"/>
      <c r="I867" s="406"/>
      <c r="J867" s="406"/>
      <c r="K867" s="304"/>
      <c r="L867" s="372"/>
      <c r="M867" s="372"/>
      <c r="N867" s="372"/>
      <c r="O867" s="372"/>
      <c r="P867" s="372"/>
      <c r="Q867" s="304"/>
      <c r="R867" s="304"/>
      <c r="S867" s="304"/>
      <c r="T867" s="304"/>
      <c r="U867" s="304"/>
      <c r="V867" s="304"/>
      <c r="AL867" s="372" t="str">
        <f t="shared" si="43"/>
        <v/>
      </c>
    </row>
    <row r="868" spans="1:38" ht="15" customHeight="1" outlineLevel="1" x14ac:dyDescent="0.2">
      <c r="A868" s="403"/>
      <c r="B868" s="403"/>
      <c r="C868" s="403"/>
      <c r="D868" s="404"/>
      <c r="E868" s="405"/>
      <c r="F868" s="405"/>
      <c r="G868" s="403"/>
      <c r="H868" s="406"/>
      <c r="I868" s="406"/>
      <c r="J868" s="406"/>
      <c r="K868" s="304"/>
      <c r="L868" s="372"/>
      <c r="M868" s="372"/>
      <c r="N868" s="372"/>
      <c r="O868" s="372"/>
      <c r="P868" s="372"/>
      <c r="Q868" s="304"/>
      <c r="R868" s="304"/>
      <c r="S868" s="304"/>
      <c r="T868" s="304"/>
      <c r="U868" s="304"/>
      <c r="V868" s="304"/>
      <c r="AL868" s="372" t="str">
        <f t="shared" si="43"/>
        <v/>
      </c>
    </row>
    <row r="869" spans="1:38" ht="15" customHeight="1" outlineLevel="1" x14ac:dyDescent="0.2">
      <c r="A869" s="403"/>
      <c r="B869" s="403"/>
      <c r="C869" s="403"/>
      <c r="D869" s="404"/>
      <c r="E869" s="405"/>
      <c r="F869" s="405"/>
      <c r="G869" s="403"/>
      <c r="H869" s="406"/>
      <c r="I869" s="406"/>
      <c r="J869" s="406"/>
      <c r="K869" s="304"/>
      <c r="L869" s="372"/>
      <c r="M869" s="372"/>
      <c r="N869" s="372"/>
      <c r="O869" s="372"/>
      <c r="P869" s="372"/>
      <c r="Q869" s="304"/>
      <c r="R869" s="304"/>
      <c r="S869" s="304"/>
      <c r="T869" s="304"/>
      <c r="U869" s="304"/>
      <c r="V869" s="304"/>
      <c r="AL869" s="372" t="str">
        <f t="shared" si="43"/>
        <v/>
      </c>
    </row>
    <row r="870" spans="1:38" ht="15" customHeight="1" outlineLevel="1" x14ac:dyDescent="0.2">
      <c r="A870" s="403"/>
      <c r="B870" s="403"/>
      <c r="C870" s="403"/>
      <c r="D870" s="404"/>
      <c r="E870" s="405"/>
      <c r="F870" s="405"/>
      <c r="G870" s="403"/>
      <c r="H870" s="406"/>
      <c r="I870" s="406"/>
      <c r="J870" s="406"/>
      <c r="K870" s="304"/>
      <c r="L870" s="372"/>
      <c r="M870" s="372"/>
      <c r="N870" s="372"/>
      <c r="O870" s="372"/>
      <c r="P870" s="372"/>
      <c r="Q870" s="304"/>
      <c r="R870" s="304"/>
      <c r="S870" s="304"/>
      <c r="T870" s="304"/>
      <c r="U870" s="304"/>
      <c r="V870" s="304"/>
      <c r="AL870" s="372" t="str">
        <f t="shared" si="43"/>
        <v/>
      </c>
    </row>
    <row r="871" spans="1:38" ht="15" customHeight="1" outlineLevel="1" x14ac:dyDescent="0.2">
      <c r="A871" s="403"/>
      <c r="B871" s="403"/>
      <c r="C871" s="403"/>
      <c r="D871" s="404"/>
      <c r="E871" s="405"/>
      <c r="F871" s="405"/>
      <c r="G871" s="403"/>
      <c r="H871" s="406"/>
      <c r="I871" s="406"/>
      <c r="J871" s="406"/>
      <c r="K871" s="304"/>
      <c r="L871" s="372"/>
      <c r="M871" s="372"/>
      <c r="N871" s="372"/>
      <c r="O871" s="372"/>
      <c r="P871" s="372"/>
      <c r="Q871" s="304"/>
      <c r="R871" s="304"/>
      <c r="S871" s="304"/>
      <c r="T871" s="304"/>
      <c r="U871" s="304"/>
      <c r="V871" s="304"/>
      <c r="AL871" s="372" t="str">
        <f t="shared" si="43"/>
        <v/>
      </c>
    </row>
    <row r="872" spans="1:38" ht="15" customHeight="1" outlineLevel="1" x14ac:dyDescent="0.2">
      <c r="A872" s="403"/>
      <c r="B872" s="403"/>
      <c r="C872" s="403"/>
      <c r="D872" s="404"/>
      <c r="E872" s="405"/>
      <c r="F872" s="405"/>
      <c r="G872" s="403"/>
      <c r="H872" s="406"/>
      <c r="I872" s="406"/>
      <c r="J872" s="406"/>
      <c r="K872" s="304"/>
      <c r="L872" s="372"/>
      <c r="M872" s="372"/>
      <c r="N872" s="372"/>
      <c r="O872" s="372"/>
      <c r="P872" s="372"/>
      <c r="Q872" s="304"/>
      <c r="R872" s="304"/>
      <c r="S872" s="304"/>
      <c r="T872" s="304"/>
      <c r="U872" s="304"/>
      <c r="V872" s="304"/>
      <c r="AL872" s="372" t="str">
        <f t="shared" si="43"/>
        <v/>
      </c>
    </row>
    <row r="873" spans="1:38" ht="15" customHeight="1" outlineLevel="1" x14ac:dyDescent="0.2">
      <c r="A873" s="403"/>
      <c r="B873" s="403"/>
      <c r="C873" s="403"/>
      <c r="D873" s="404"/>
      <c r="E873" s="405"/>
      <c r="F873" s="405"/>
      <c r="G873" s="403"/>
      <c r="H873" s="406"/>
      <c r="I873" s="406"/>
      <c r="J873" s="406"/>
      <c r="K873" s="304"/>
      <c r="L873" s="372"/>
      <c r="M873" s="372"/>
      <c r="N873" s="372"/>
      <c r="O873" s="372"/>
      <c r="P873" s="372"/>
      <c r="Q873" s="304"/>
      <c r="R873" s="304"/>
      <c r="S873" s="304"/>
      <c r="T873" s="304"/>
      <c r="U873" s="304"/>
      <c r="V873" s="304"/>
      <c r="AL873" s="372" t="str">
        <f t="shared" si="43"/>
        <v/>
      </c>
    </row>
    <row r="874" spans="1:38" ht="15" customHeight="1" outlineLevel="1" x14ac:dyDescent="0.2">
      <c r="A874" s="403"/>
      <c r="B874" s="403"/>
      <c r="C874" s="403"/>
      <c r="D874" s="404"/>
      <c r="E874" s="405"/>
      <c r="F874" s="405"/>
      <c r="G874" s="403"/>
      <c r="H874" s="406"/>
      <c r="I874" s="406"/>
      <c r="J874" s="406"/>
      <c r="K874" s="304"/>
      <c r="L874" s="372"/>
      <c r="M874" s="372"/>
      <c r="N874" s="372"/>
      <c r="O874" s="372"/>
      <c r="P874" s="372"/>
      <c r="Q874" s="304"/>
      <c r="R874" s="304"/>
      <c r="S874" s="304"/>
      <c r="T874" s="304"/>
      <c r="U874" s="304"/>
      <c r="V874" s="304"/>
      <c r="AL874" s="372" t="str">
        <f t="shared" si="43"/>
        <v/>
      </c>
    </row>
    <row r="875" spans="1:38" ht="15" customHeight="1" outlineLevel="1" x14ac:dyDescent="0.2">
      <c r="A875" s="403"/>
      <c r="B875" s="403"/>
      <c r="C875" s="403"/>
      <c r="D875" s="404"/>
      <c r="E875" s="405"/>
      <c r="F875" s="405"/>
      <c r="G875" s="403"/>
      <c r="H875" s="406"/>
      <c r="I875" s="406"/>
      <c r="J875" s="406"/>
      <c r="K875" s="304"/>
      <c r="L875" s="372"/>
      <c r="M875" s="372"/>
      <c r="N875" s="372"/>
      <c r="O875" s="372"/>
      <c r="P875" s="372"/>
      <c r="Q875" s="304"/>
      <c r="R875" s="304"/>
      <c r="S875" s="304"/>
      <c r="T875" s="304"/>
      <c r="U875" s="304"/>
      <c r="V875" s="304"/>
      <c r="AL875" s="372" t="str">
        <f t="shared" si="43"/>
        <v/>
      </c>
    </row>
    <row r="876" spans="1:38" ht="15" customHeight="1" outlineLevel="1" x14ac:dyDescent="0.2">
      <c r="A876" s="403"/>
      <c r="B876" s="403"/>
      <c r="C876" s="403"/>
      <c r="D876" s="404"/>
      <c r="E876" s="405"/>
      <c r="F876" s="405"/>
      <c r="G876" s="403"/>
      <c r="H876" s="406"/>
      <c r="I876" s="406"/>
      <c r="J876" s="406"/>
      <c r="K876" s="304"/>
      <c r="L876" s="372"/>
      <c r="M876" s="372"/>
      <c r="N876" s="372"/>
      <c r="O876" s="372"/>
      <c r="P876" s="372"/>
      <c r="Q876" s="304"/>
      <c r="R876" s="304"/>
      <c r="S876" s="304"/>
      <c r="T876" s="304"/>
      <c r="U876" s="304"/>
      <c r="V876" s="304"/>
      <c r="AL876" s="372" t="str">
        <f t="shared" si="43"/>
        <v/>
      </c>
    </row>
    <row r="877" spans="1:38" ht="15" customHeight="1" outlineLevel="1" x14ac:dyDescent="0.2">
      <c r="A877" s="403"/>
      <c r="B877" s="403"/>
      <c r="C877" s="403"/>
      <c r="D877" s="404"/>
      <c r="E877" s="405"/>
      <c r="F877" s="405"/>
      <c r="G877" s="403"/>
      <c r="H877" s="406"/>
      <c r="I877" s="406"/>
      <c r="J877" s="406"/>
      <c r="K877" s="304"/>
      <c r="L877" s="372"/>
      <c r="M877" s="372"/>
      <c r="N877" s="372"/>
      <c r="O877" s="372"/>
      <c r="P877" s="372"/>
      <c r="Q877" s="304"/>
      <c r="R877" s="304"/>
      <c r="S877" s="304"/>
      <c r="T877" s="304"/>
      <c r="U877" s="304"/>
      <c r="V877" s="304"/>
      <c r="AL877" s="372" t="str">
        <f t="shared" si="43"/>
        <v/>
      </c>
    </row>
    <row r="878" spans="1:38" ht="15" customHeight="1" outlineLevel="1" x14ac:dyDescent="0.2">
      <c r="A878" s="403"/>
      <c r="B878" s="403"/>
      <c r="C878" s="403"/>
      <c r="D878" s="404"/>
      <c r="E878" s="405"/>
      <c r="F878" s="405"/>
      <c r="G878" s="403"/>
      <c r="H878" s="406"/>
      <c r="I878" s="406"/>
      <c r="J878" s="406"/>
      <c r="K878" s="304"/>
      <c r="L878" s="372"/>
      <c r="M878" s="372"/>
      <c r="N878" s="372"/>
      <c r="O878" s="372"/>
      <c r="P878" s="372"/>
      <c r="Q878" s="304"/>
      <c r="R878" s="304"/>
      <c r="S878" s="304"/>
      <c r="T878" s="304"/>
      <c r="U878" s="304"/>
      <c r="V878" s="304"/>
      <c r="AL878" s="372" t="str">
        <f t="shared" si="43"/>
        <v/>
      </c>
    </row>
    <row r="879" spans="1:38" ht="15" customHeight="1" outlineLevel="1" x14ac:dyDescent="0.2">
      <c r="A879" s="403"/>
      <c r="B879" s="403"/>
      <c r="C879" s="403"/>
      <c r="D879" s="404"/>
      <c r="E879" s="405"/>
      <c r="F879" s="405"/>
      <c r="G879" s="403"/>
      <c r="H879" s="406"/>
      <c r="I879" s="406"/>
      <c r="J879" s="406"/>
      <c r="K879" s="304"/>
      <c r="L879" s="372"/>
      <c r="M879" s="372"/>
      <c r="N879" s="372"/>
      <c r="O879" s="372"/>
      <c r="P879" s="372"/>
      <c r="Q879" s="304"/>
      <c r="R879" s="304"/>
      <c r="S879" s="304"/>
      <c r="T879" s="304"/>
      <c r="U879" s="304"/>
      <c r="V879" s="304"/>
      <c r="AL879" s="372" t="str">
        <f t="shared" si="43"/>
        <v/>
      </c>
    </row>
    <row r="880" spans="1:38" ht="15" customHeight="1" outlineLevel="1" x14ac:dyDescent="0.2">
      <c r="A880" s="403"/>
      <c r="B880" s="403"/>
      <c r="C880" s="403"/>
      <c r="D880" s="404"/>
      <c r="E880" s="405"/>
      <c r="F880" s="405"/>
      <c r="G880" s="403"/>
      <c r="H880" s="406"/>
      <c r="I880" s="406"/>
      <c r="J880" s="406"/>
      <c r="K880" s="304"/>
      <c r="L880" s="372"/>
      <c r="M880" s="372"/>
      <c r="N880" s="372"/>
      <c r="O880" s="372"/>
      <c r="P880" s="372"/>
      <c r="Q880" s="304"/>
      <c r="R880" s="304"/>
      <c r="S880" s="304"/>
      <c r="T880" s="304"/>
      <c r="U880" s="304"/>
      <c r="V880" s="304"/>
      <c r="AL880" s="372" t="str">
        <f t="shared" si="43"/>
        <v/>
      </c>
    </row>
    <row r="881" spans="1:38" ht="15" customHeight="1" outlineLevel="1" x14ac:dyDescent="0.2">
      <c r="A881" s="403"/>
      <c r="B881" s="403"/>
      <c r="C881" s="403"/>
      <c r="D881" s="404"/>
      <c r="E881" s="405"/>
      <c r="F881" s="405"/>
      <c r="G881" s="403"/>
      <c r="H881" s="406"/>
      <c r="I881" s="406"/>
      <c r="J881" s="406"/>
      <c r="K881" s="304"/>
      <c r="L881" s="372"/>
      <c r="M881" s="372"/>
      <c r="N881" s="372"/>
      <c r="O881" s="372"/>
      <c r="P881" s="372"/>
      <c r="Q881" s="304"/>
      <c r="R881" s="304"/>
      <c r="S881" s="304"/>
      <c r="T881" s="304"/>
      <c r="U881" s="304"/>
      <c r="V881" s="304"/>
      <c r="AL881" s="372" t="str">
        <f t="shared" si="43"/>
        <v/>
      </c>
    </row>
    <row r="882" spans="1:38" ht="15" customHeight="1" outlineLevel="1" x14ac:dyDescent="0.2">
      <c r="A882" s="403"/>
      <c r="B882" s="403"/>
      <c r="C882" s="403"/>
      <c r="D882" s="404"/>
      <c r="E882" s="405"/>
      <c r="F882" s="405"/>
      <c r="G882" s="403"/>
      <c r="H882" s="406"/>
      <c r="I882" s="406"/>
      <c r="J882" s="406"/>
      <c r="K882" s="304"/>
      <c r="L882" s="372"/>
      <c r="M882" s="372"/>
      <c r="N882" s="372"/>
      <c r="O882" s="372"/>
      <c r="P882" s="372"/>
      <c r="Q882" s="304"/>
      <c r="R882" s="304"/>
      <c r="S882" s="304"/>
      <c r="T882" s="304"/>
      <c r="U882" s="304"/>
      <c r="V882" s="304"/>
      <c r="AL882" s="372" t="str">
        <f t="shared" si="43"/>
        <v/>
      </c>
    </row>
    <row r="883" spans="1:38" ht="15" customHeight="1" outlineLevel="1" x14ac:dyDescent="0.2">
      <c r="A883" s="403"/>
      <c r="B883" s="403"/>
      <c r="C883" s="403"/>
      <c r="D883" s="404"/>
      <c r="E883" s="405"/>
      <c r="F883" s="405"/>
      <c r="G883" s="403"/>
      <c r="H883" s="406"/>
      <c r="I883" s="406"/>
      <c r="J883" s="406"/>
      <c r="K883" s="304"/>
      <c r="L883" s="372"/>
      <c r="M883" s="372"/>
      <c r="N883" s="372"/>
      <c r="O883" s="372"/>
      <c r="P883" s="372"/>
      <c r="Q883" s="304"/>
      <c r="R883" s="304"/>
      <c r="S883" s="304"/>
      <c r="T883" s="304"/>
      <c r="U883" s="304"/>
      <c r="V883" s="304"/>
      <c r="AL883" s="372" t="str">
        <f t="shared" si="43"/>
        <v/>
      </c>
    </row>
    <row r="884" spans="1:38" ht="15" customHeight="1" outlineLevel="1" x14ac:dyDescent="0.2">
      <c r="A884" s="403"/>
      <c r="B884" s="403"/>
      <c r="C884" s="403"/>
      <c r="D884" s="404"/>
      <c r="E884" s="405"/>
      <c r="F884" s="405"/>
      <c r="G884" s="403"/>
      <c r="H884" s="406"/>
      <c r="I884" s="406"/>
      <c r="J884" s="406"/>
      <c r="K884" s="304"/>
      <c r="L884" s="372"/>
      <c r="M884" s="372"/>
      <c r="N884" s="372"/>
      <c r="O884" s="372"/>
      <c r="P884" s="372"/>
      <c r="Q884" s="304"/>
      <c r="R884" s="304"/>
      <c r="S884" s="304"/>
      <c r="T884" s="304"/>
      <c r="U884" s="304"/>
      <c r="V884" s="304"/>
      <c r="AL884" s="372" t="str">
        <f t="shared" si="43"/>
        <v/>
      </c>
    </row>
    <row r="885" spans="1:38" ht="15" customHeight="1" outlineLevel="1" x14ac:dyDescent="0.2">
      <c r="A885" s="403"/>
      <c r="B885" s="403"/>
      <c r="C885" s="403"/>
      <c r="D885" s="404"/>
      <c r="E885" s="405"/>
      <c r="F885" s="405"/>
      <c r="G885" s="403"/>
      <c r="H885" s="406"/>
      <c r="I885" s="406"/>
      <c r="J885" s="406"/>
      <c r="K885" s="304"/>
      <c r="L885" s="372"/>
      <c r="M885" s="372"/>
      <c r="N885" s="372"/>
      <c r="O885" s="372"/>
      <c r="P885" s="372"/>
      <c r="Q885" s="304"/>
      <c r="R885" s="304"/>
      <c r="S885" s="304"/>
      <c r="T885" s="304"/>
      <c r="U885" s="304"/>
      <c r="V885" s="304"/>
      <c r="AL885" s="372" t="str">
        <f t="shared" si="43"/>
        <v/>
      </c>
    </row>
    <row r="886" spans="1:38" ht="15" customHeight="1" outlineLevel="1" x14ac:dyDescent="0.2">
      <c r="A886" s="403"/>
      <c r="B886" s="403"/>
      <c r="C886" s="403"/>
      <c r="D886" s="404"/>
      <c r="E886" s="405"/>
      <c r="F886" s="405"/>
      <c r="G886" s="403"/>
      <c r="H886" s="406"/>
      <c r="I886" s="406"/>
      <c r="J886" s="406"/>
      <c r="K886" s="304"/>
      <c r="L886" s="372"/>
      <c r="M886" s="372"/>
      <c r="N886" s="372"/>
      <c r="O886" s="372"/>
      <c r="P886" s="372"/>
      <c r="Q886" s="304"/>
      <c r="R886" s="304"/>
      <c r="S886" s="304"/>
      <c r="T886" s="304"/>
      <c r="U886" s="304"/>
      <c r="V886" s="304"/>
      <c r="AL886" s="372" t="str">
        <f t="shared" si="43"/>
        <v/>
      </c>
    </row>
    <row r="887" spans="1:38" ht="15" customHeight="1" outlineLevel="1" x14ac:dyDescent="0.2">
      <c r="A887" s="403"/>
      <c r="B887" s="403"/>
      <c r="C887" s="403"/>
      <c r="D887" s="404"/>
      <c r="E887" s="405"/>
      <c r="F887" s="405"/>
      <c r="G887" s="403"/>
      <c r="H887" s="406"/>
      <c r="I887" s="406"/>
      <c r="J887" s="406"/>
      <c r="K887" s="304"/>
      <c r="L887" s="372"/>
      <c r="M887" s="372"/>
      <c r="N887" s="372"/>
      <c r="O887" s="372"/>
      <c r="P887" s="372"/>
      <c r="Q887" s="304"/>
      <c r="R887" s="304"/>
      <c r="S887" s="304"/>
      <c r="T887" s="304"/>
      <c r="U887" s="304"/>
      <c r="V887" s="304"/>
      <c r="AL887" s="372" t="str">
        <f t="shared" si="43"/>
        <v/>
      </c>
    </row>
    <row r="888" spans="1:38" ht="15" customHeight="1" outlineLevel="1" x14ac:dyDescent="0.2">
      <c r="A888" s="403"/>
      <c r="B888" s="403"/>
      <c r="C888" s="403"/>
      <c r="D888" s="404"/>
      <c r="E888" s="405"/>
      <c r="F888" s="405"/>
      <c r="G888" s="403"/>
      <c r="H888" s="406"/>
      <c r="I888" s="406"/>
      <c r="J888" s="406"/>
      <c r="K888" s="304"/>
      <c r="L888" s="372"/>
      <c r="M888" s="372"/>
      <c r="N888" s="372"/>
      <c r="O888" s="372"/>
      <c r="P888" s="372"/>
      <c r="Q888" s="304"/>
      <c r="R888" s="304"/>
      <c r="S888" s="304"/>
      <c r="T888" s="304"/>
      <c r="U888" s="304"/>
      <c r="V888" s="304"/>
      <c r="AL888" s="372" t="str">
        <f t="shared" si="43"/>
        <v/>
      </c>
    </row>
    <row r="889" spans="1:38" ht="15" customHeight="1" outlineLevel="1" x14ac:dyDescent="0.2">
      <c r="A889" s="403"/>
      <c r="B889" s="403"/>
      <c r="C889" s="403"/>
      <c r="D889" s="404"/>
      <c r="E889" s="405"/>
      <c r="F889" s="405"/>
      <c r="G889" s="403"/>
      <c r="H889" s="406"/>
      <c r="I889" s="406"/>
      <c r="J889" s="406"/>
      <c r="K889" s="304"/>
      <c r="L889" s="372"/>
      <c r="M889" s="372"/>
      <c r="N889" s="372"/>
      <c r="O889" s="372"/>
      <c r="P889" s="372"/>
      <c r="Q889" s="304"/>
      <c r="R889" s="304"/>
      <c r="S889" s="304"/>
      <c r="T889" s="304"/>
      <c r="U889" s="304"/>
      <c r="V889" s="304"/>
      <c r="AL889" s="372" t="str">
        <f t="shared" si="43"/>
        <v/>
      </c>
    </row>
    <row r="890" spans="1:38" ht="15" customHeight="1" outlineLevel="1" x14ac:dyDescent="0.2">
      <c r="A890" s="403"/>
      <c r="B890" s="403"/>
      <c r="C890" s="403"/>
      <c r="D890" s="404"/>
      <c r="E890" s="405"/>
      <c r="F890" s="405"/>
      <c r="G890" s="403"/>
      <c r="H890" s="406"/>
      <c r="I890" s="406"/>
      <c r="J890" s="406"/>
      <c r="K890" s="304"/>
      <c r="L890" s="372"/>
      <c r="M890" s="372"/>
      <c r="N890" s="372"/>
      <c r="O890" s="372"/>
      <c r="P890" s="372"/>
      <c r="Q890" s="304"/>
      <c r="R890" s="304"/>
      <c r="S890" s="304"/>
      <c r="T890" s="304"/>
      <c r="U890" s="304"/>
      <c r="V890" s="304"/>
      <c r="AL890" s="372" t="str">
        <f t="shared" si="43"/>
        <v/>
      </c>
    </row>
    <row r="891" spans="1:38" ht="15" customHeight="1" outlineLevel="1" x14ac:dyDescent="0.2">
      <c r="A891" s="403"/>
      <c r="B891" s="403"/>
      <c r="C891" s="403"/>
      <c r="D891" s="404"/>
      <c r="E891" s="405"/>
      <c r="F891" s="405"/>
      <c r="G891" s="403"/>
      <c r="H891" s="406"/>
      <c r="I891" s="406"/>
      <c r="J891" s="406"/>
      <c r="K891" s="304"/>
      <c r="L891" s="372"/>
      <c r="M891" s="372"/>
      <c r="N891" s="372"/>
      <c r="O891" s="372"/>
      <c r="P891" s="372"/>
      <c r="Q891" s="304"/>
      <c r="R891" s="304"/>
      <c r="S891" s="304"/>
      <c r="T891" s="304"/>
      <c r="U891" s="304"/>
      <c r="V891" s="304"/>
      <c r="AL891" s="372" t="str">
        <f t="shared" si="43"/>
        <v/>
      </c>
    </row>
    <row r="892" spans="1:38" ht="15" customHeight="1" outlineLevel="1" x14ac:dyDescent="0.2">
      <c r="A892" s="403"/>
      <c r="B892" s="403"/>
      <c r="C892" s="403"/>
      <c r="D892" s="404"/>
      <c r="E892" s="405"/>
      <c r="F892" s="405"/>
      <c r="G892" s="403"/>
      <c r="H892" s="406"/>
      <c r="I892" s="406"/>
      <c r="J892" s="406"/>
      <c r="K892" s="304"/>
      <c r="L892" s="372"/>
      <c r="M892" s="372"/>
      <c r="N892" s="372"/>
      <c r="O892" s="372"/>
      <c r="P892" s="372"/>
      <c r="Q892" s="304"/>
      <c r="R892" s="304"/>
      <c r="S892" s="304"/>
      <c r="T892" s="304"/>
      <c r="U892" s="304"/>
      <c r="V892" s="304"/>
      <c r="AL892" s="372" t="str">
        <f t="shared" si="43"/>
        <v/>
      </c>
    </row>
    <row r="893" spans="1:38" ht="15" customHeight="1" outlineLevel="1" x14ac:dyDescent="0.2">
      <c r="A893" s="403"/>
      <c r="B893" s="403"/>
      <c r="C893" s="403"/>
      <c r="D893" s="404"/>
      <c r="E893" s="405"/>
      <c r="F893" s="405"/>
      <c r="G893" s="403"/>
      <c r="H893" s="406"/>
      <c r="I893" s="406"/>
      <c r="J893" s="406"/>
      <c r="K893" s="304"/>
      <c r="L893" s="372"/>
      <c r="M893" s="372"/>
      <c r="N893" s="372"/>
      <c r="O893" s="372"/>
      <c r="P893" s="372"/>
      <c r="Q893" s="304"/>
      <c r="R893" s="304"/>
      <c r="S893" s="304"/>
      <c r="T893" s="304"/>
      <c r="U893" s="304"/>
      <c r="V893" s="304"/>
      <c r="AL893" s="372" t="str">
        <f t="shared" si="43"/>
        <v/>
      </c>
    </row>
    <row r="894" spans="1:38" ht="15" customHeight="1" outlineLevel="1" x14ac:dyDescent="0.2">
      <c r="A894" s="403"/>
      <c r="B894" s="403"/>
      <c r="C894" s="403"/>
      <c r="D894" s="404"/>
      <c r="E894" s="405"/>
      <c r="F894" s="405"/>
      <c r="G894" s="403"/>
      <c r="H894" s="406"/>
      <c r="I894" s="406"/>
      <c r="J894" s="406"/>
      <c r="K894" s="304"/>
      <c r="L894" s="372"/>
      <c r="M894" s="372"/>
      <c r="N894" s="372"/>
      <c r="O894" s="372"/>
      <c r="P894" s="372"/>
      <c r="Q894" s="304"/>
      <c r="R894" s="304"/>
      <c r="S894" s="304"/>
      <c r="T894" s="304"/>
      <c r="U894" s="304"/>
      <c r="V894" s="304"/>
      <c r="AL894" s="372" t="str">
        <f t="shared" si="43"/>
        <v/>
      </c>
    </row>
    <row r="895" spans="1:38" ht="15" customHeight="1" outlineLevel="1" x14ac:dyDescent="0.2">
      <c r="A895" s="403"/>
      <c r="B895" s="403"/>
      <c r="C895" s="403"/>
      <c r="D895" s="404"/>
      <c r="E895" s="405"/>
      <c r="F895" s="405"/>
      <c r="G895" s="403"/>
      <c r="H895" s="406"/>
      <c r="I895" s="406"/>
      <c r="J895" s="406"/>
      <c r="K895" s="304"/>
      <c r="L895" s="372"/>
      <c r="M895" s="372"/>
      <c r="N895" s="372"/>
      <c r="O895" s="372"/>
      <c r="P895" s="372"/>
      <c r="Q895" s="304"/>
      <c r="R895" s="304"/>
      <c r="S895" s="304"/>
      <c r="T895" s="304"/>
      <c r="U895" s="304"/>
      <c r="V895" s="304"/>
      <c r="AL895" s="372" t="str">
        <f t="shared" si="43"/>
        <v/>
      </c>
    </row>
    <row r="896" spans="1:38" ht="15" customHeight="1" outlineLevel="1" x14ac:dyDescent="0.2">
      <c r="A896" s="403"/>
      <c r="B896" s="403"/>
      <c r="C896" s="403"/>
      <c r="D896" s="404"/>
      <c r="E896" s="405"/>
      <c r="F896" s="405"/>
      <c r="G896" s="403"/>
      <c r="H896" s="406"/>
      <c r="I896" s="406"/>
      <c r="J896" s="406"/>
      <c r="K896" s="304"/>
      <c r="L896" s="372"/>
      <c r="M896" s="372"/>
      <c r="N896" s="372"/>
      <c r="O896" s="372"/>
      <c r="P896" s="372"/>
      <c r="Q896" s="304"/>
      <c r="R896" s="304"/>
      <c r="S896" s="304"/>
      <c r="T896" s="304"/>
      <c r="U896" s="304"/>
      <c r="V896" s="304"/>
      <c r="AL896" s="372" t="str">
        <f t="shared" si="43"/>
        <v/>
      </c>
    </row>
    <row r="897" spans="1:38" ht="15" customHeight="1" outlineLevel="1" x14ac:dyDescent="0.2">
      <c r="A897" s="403"/>
      <c r="B897" s="403"/>
      <c r="C897" s="403"/>
      <c r="D897" s="404"/>
      <c r="E897" s="405"/>
      <c r="F897" s="405"/>
      <c r="G897" s="403"/>
      <c r="H897" s="406"/>
      <c r="I897" s="406"/>
      <c r="J897" s="406"/>
      <c r="K897" s="304"/>
      <c r="L897" s="372"/>
      <c r="M897" s="372"/>
      <c r="N897" s="372"/>
      <c r="O897" s="372"/>
      <c r="P897" s="372"/>
      <c r="Q897" s="304"/>
      <c r="R897" s="304"/>
      <c r="S897" s="304"/>
      <c r="T897" s="304"/>
      <c r="U897" s="304"/>
      <c r="V897" s="304"/>
      <c r="AL897" s="372" t="str">
        <f t="shared" si="43"/>
        <v/>
      </c>
    </row>
    <row r="898" spans="1:38" ht="15" customHeight="1" outlineLevel="1" x14ac:dyDescent="0.2">
      <c r="A898" s="403"/>
      <c r="B898" s="403"/>
      <c r="C898" s="403"/>
      <c r="D898" s="404"/>
      <c r="E898" s="405"/>
      <c r="F898" s="405"/>
      <c r="G898" s="403"/>
      <c r="H898" s="406"/>
      <c r="I898" s="406"/>
      <c r="J898" s="406"/>
      <c r="K898" s="304"/>
      <c r="L898" s="372"/>
      <c r="M898" s="372"/>
      <c r="N898" s="372"/>
      <c r="O898" s="372"/>
      <c r="P898" s="372"/>
      <c r="Q898" s="304"/>
      <c r="R898" s="304"/>
      <c r="S898" s="304"/>
      <c r="T898" s="304"/>
      <c r="U898" s="304"/>
      <c r="V898" s="304"/>
      <c r="AL898" s="372" t="str">
        <f t="shared" si="43"/>
        <v/>
      </c>
    </row>
    <row r="899" spans="1:38" ht="15" customHeight="1" outlineLevel="1" x14ac:dyDescent="0.2">
      <c r="A899" s="403"/>
      <c r="B899" s="403"/>
      <c r="C899" s="403"/>
      <c r="D899" s="404"/>
      <c r="E899" s="405"/>
      <c r="F899" s="405"/>
      <c r="G899" s="403"/>
      <c r="H899" s="406"/>
      <c r="I899" s="406"/>
      <c r="J899" s="406"/>
      <c r="K899" s="304"/>
      <c r="L899" s="372"/>
      <c r="M899" s="372"/>
      <c r="N899" s="372"/>
      <c r="O899" s="372"/>
      <c r="P899" s="372"/>
      <c r="Q899" s="304"/>
      <c r="R899" s="304"/>
      <c r="S899" s="304"/>
      <c r="T899" s="304"/>
      <c r="U899" s="304"/>
      <c r="V899" s="304"/>
      <c r="AL899" s="372" t="str">
        <f t="shared" si="43"/>
        <v/>
      </c>
    </row>
    <row r="900" spans="1:38" ht="15" customHeight="1" outlineLevel="1" x14ac:dyDescent="0.2">
      <c r="A900" s="403"/>
      <c r="B900" s="403"/>
      <c r="C900" s="403"/>
      <c r="D900" s="404"/>
      <c r="E900" s="405"/>
      <c r="F900" s="405"/>
      <c r="G900" s="403"/>
      <c r="H900" s="406"/>
      <c r="I900" s="406"/>
      <c r="J900" s="406"/>
      <c r="K900" s="304"/>
      <c r="L900" s="372"/>
      <c r="M900" s="372"/>
      <c r="N900" s="372"/>
      <c r="O900" s="372"/>
      <c r="P900" s="372"/>
      <c r="Q900" s="304"/>
      <c r="R900" s="304"/>
      <c r="S900" s="304"/>
      <c r="T900" s="304"/>
      <c r="U900" s="304"/>
      <c r="V900" s="304"/>
      <c r="AL900" s="372" t="str">
        <f t="shared" si="43"/>
        <v/>
      </c>
    </row>
    <row r="901" spans="1:38" ht="15" customHeight="1" outlineLevel="1" x14ac:dyDescent="0.2">
      <c r="A901" s="403"/>
      <c r="B901" s="403"/>
      <c r="C901" s="403"/>
      <c r="D901" s="404"/>
      <c r="E901" s="405"/>
      <c r="F901" s="405"/>
      <c r="G901" s="403"/>
      <c r="H901" s="406"/>
      <c r="I901" s="406"/>
      <c r="J901" s="406"/>
      <c r="K901" s="304"/>
      <c r="L901" s="372"/>
      <c r="M901" s="372"/>
      <c r="N901" s="372"/>
      <c r="O901" s="372"/>
      <c r="P901" s="372"/>
      <c r="Q901" s="304"/>
      <c r="R901" s="304"/>
      <c r="S901" s="304"/>
      <c r="T901" s="304"/>
      <c r="U901" s="304"/>
      <c r="V901" s="304"/>
      <c r="AL901" s="372" t="str">
        <f t="shared" si="43"/>
        <v/>
      </c>
    </row>
    <row r="902" spans="1:38" ht="15" customHeight="1" outlineLevel="1" x14ac:dyDescent="0.2">
      <c r="A902" s="403"/>
      <c r="B902" s="403"/>
      <c r="C902" s="403"/>
      <c r="D902" s="404"/>
      <c r="E902" s="405"/>
      <c r="F902" s="405"/>
      <c r="G902" s="403"/>
      <c r="H902" s="406"/>
      <c r="I902" s="406"/>
      <c r="J902" s="406"/>
      <c r="K902" s="304"/>
      <c r="L902" s="372"/>
      <c r="M902" s="372"/>
      <c r="N902" s="372"/>
      <c r="O902" s="372"/>
      <c r="P902" s="372"/>
      <c r="Q902" s="304"/>
      <c r="R902" s="304"/>
      <c r="S902" s="304"/>
      <c r="T902" s="304"/>
      <c r="U902" s="304"/>
      <c r="V902" s="304"/>
      <c r="AL902" s="372" t="str">
        <f t="shared" si="43"/>
        <v/>
      </c>
    </row>
    <row r="903" spans="1:38" ht="15" customHeight="1" outlineLevel="1" x14ac:dyDescent="0.2">
      <c r="A903" s="403"/>
      <c r="B903" s="403"/>
      <c r="C903" s="403"/>
      <c r="D903" s="404"/>
      <c r="E903" s="405"/>
      <c r="F903" s="405"/>
      <c r="G903" s="403"/>
      <c r="H903" s="406"/>
      <c r="I903" s="406"/>
      <c r="J903" s="406"/>
      <c r="K903" s="304"/>
      <c r="L903" s="372"/>
      <c r="M903" s="372"/>
      <c r="N903" s="372"/>
      <c r="O903" s="372"/>
      <c r="P903" s="372"/>
      <c r="Q903" s="304"/>
      <c r="R903" s="304"/>
      <c r="S903" s="304"/>
      <c r="T903" s="304"/>
      <c r="U903" s="304"/>
      <c r="V903" s="304"/>
      <c r="AL903" s="372" t="str">
        <f t="shared" si="43"/>
        <v/>
      </c>
    </row>
    <row r="904" spans="1:38" ht="15" customHeight="1" outlineLevel="1" x14ac:dyDescent="0.2">
      <c r="A904" s="403"/>
      <c r="B904" s="403"/>
      <c r="C904" s="403"/>
      <c r="D904" s="404"/>
      <c r="E904" s="405"/>
      <c r="F904" s="405"/>
      <c r="G904" s="403"/>
      <c r="H904" s="406"/>
      <c r="I904" s="406"/>
      <c r="J904" s="406"/>
      <c r="K904" s="304"/>
      <c r="L904" s="372"/>
      <c r="M904" s="372"/>
      <c r="N904" s="372"/>
      <c r="O904" s="372"/>
      <c r="P904" s="372"/>
      <c r="Q904" s="304"/>
      <c r="R904" s="304"/>
      <c r="S904" s="304"/>
      <c r="T904" s="304"/>
      <c r="U904" s="304"/>
      <c r="V904" s="304"/>
      <c r="AL904" s="372" t="str">
        <f t="shared" si="43"/>
        <v/>
      </c>
    </row>
    <row r="905" spans="1:38" ht="15" customHeight="1" outlineLevel="1" x14ac:dyDescent="0.2">
      <c r="A905" s="403"/>
      <c r="B905" s="403"/>
      <c r="C905" s="403"/>
      <c r="D905" s="404"/>
      <c r="E905" s="405"/>
      <c r="F905" s="405"/>
      <c r="G905" s="403"/>
      <c r="H905" s="406"/>
      <c r="I905" s="406"/>
      <c r="J905" s="406"/>
      <c r="K905" s="304"/>
      <c r="L905" s="372"/>
      <c r="M905" s="372"/>
      <c r="N905" s="372"/>
      <c r="O905" s="372"/>
      <c r="P905" s="372"/>
      <c r="Q905" s="304"/>
      <c r="R905" s="304"/>
      <c r="S905" s="304"/>
      <c r="T905" s="304"/>
      <c r="U905" s="304"/>
      <c r="V905" s="304"/>
      <c r="AL905" s="372" t="str">
        <f t="shared" si="43"/>
        <v/>
      </c>
    </row>
    <row r="906" spans="1:38" ht="15" customHeight="1" outlineLevel="1" x14ac:dyDescent="0.2">
      <c r="A906" s="403"/>
      <c r="B906" s="403"/>
      <c r="C906" s="403"/>
      <c r="D906" s="404"/>
      <c r="E906" s="405"/>
      <c r="F906" s="405"/>
      <c r="G906" s="403"/>
      <c r="H906" s="406"/>
      <c r="I906" s="406"/>
      <c r="J906" s="406"/>
      <c r="K906" s="304"/>
      <c r="L906" s="372"/>
      <c r="M906" s="372"/>
      <c r="N906" s="372"/>
      <c r="O906" s="372"/>
      <c r="P906" s="372"/>
      <c r="Q906" s="304"/>
      <c r="R906" s="304"/>
      <c r="S906" s="304"/>
      <c r="T906" s="304"/>
      <c r="U906" s="304"/>
      <c r="V906" s="304"/>
      <c r="AL906" s="372" t="str">
        <f t="shared" si="43"/>
        <v/>
      </c>
    </row>
    <row r="907" spans="1:38" ht="15" customHeight="1" outlineLevel="1" x14ac:dyDescent="0.2">
      <c r="A907" s="403"/>
      <c r="B907" s="403"/>
      <c r="C907" s="403"/>
      <c r="D907" s="404"/>
      <c r="E907" s="405"/>
      <c r="F907" s="405"/>
      <c r="G907" s="403"/>
      <c r="H907" s="406"/>
      <c r="I907" s="406"/>
      <c r="J907" s="406"/>
      <c r="K907" s="304"/>
      <c r="L907" s="372"/>
      <c r="M907" s="372"/>
      <c r="N907" s="372"/>
      <c r="O907" s="372"/>
      <c r="P907" s="372"/>
      <c r="Q907" s="304"/>
      <c r="R907" s="304"/>
      <c r="S907" s="304"/>
      <c r="T907" s="304"/>
      <c r="U907" s="304"/>
      <c r="V907" s="304"/>
      <c r="AL907" s="372" t="str">
        <f t="shared" si="43"/>
        <v/>
      </c>
    </row>
    <row r="908" spans="1:38" ht="15" customHeight="1" outlineLevel="1" x14ac:dyDescent="0.2">
      <c r="A908" s="403"/>
      <c r="B908" s="403"/>
      <c r="C908" s="403"/>
      <c r="D908" s="404"/>
      <c r="E908" s="405"/>
      <c r="F908" s="405"/>
      <c r="G908" s="403"/>
      <c r="H908" s="406"/>
      <c r="I908" s="406"/>
      <c r="J908" s="406"/>
      <c r="K908" s="304"/>
      <c r="L908" s="372"/>
      <c r="M908" s="372"/>
      <c r="N908" s="372"/>
      <c r="O908" s="372"/>
      <c r="P908" s="372"/>
      <c r="Q908" s="304"/>
      <c r="R908" s="304"/>
      <c r="S908" s="304"/>
      <c r="T908" s="304"/>
      <c r="U908" s="304"/>
      <c r="V908" s="304"/>
      <c r="AL908" s="372" t="str">
        <f t="shared" si="43"/>
        <v/>
      </c>
    </row>
    <row r="909" spans="1:38" ht="15" customHeight="1" outlineLevel="1" x14ac:dyDescent="0.2">
      <c r="A909" s="403"/>
      <c r="B909" s="403"/>
      <c r="C909" s="403"/>
      <c r="D909" s="404"/>
      <c r="E909" s="405"/>
      <c r="F909" s="405"/>
      <c r="G909" s="403"/>
      <c r="H909" s="406"/>
      <c r="I909" s="406"/>
      <c r="J909" s="406"/>
      <c r="K909" s="304"/>
      <c r="L909" s="372"/>
      <c r="M909" s="372"/>
      <c r="N909" s="372"/>
      <c r="O909" s="372"/>
      <c r="P909" s="372"/>
      <c r="Q909" s="304"/>
      <c r="R909" s="304"/>
      <c r="S909" s="304"/>
      <c r="T909" s="304"/>
      <c r="U909" s="304"/>
      <c r="V909" s="304"/>
      <c r="AL909" s="372" t="str">
        <f t="shared" si="43"/>
        <v/>
      </c>
    </row>
    <row r="910" spans="1:38" ht="15" customHeight="1" outlineLevel="1" x14ac:dyDescent="0.2">
      <c r="A910" s="403"/>
      <c r="B910" s="403"/>
      <c r="C910" s="403"/>
      <c r="D910" s="404"/>
      <c r="E910" s="405"/>
      <c r="F910" s="405"/>
      <c r="G910" s="403"/>
      <c r="H910" s="406"/>
      <c r="I910" s="406"/>
      <c r="J910" s="406"/>
      <c r="K910" s="304"/>
      <c r="L910" s="372"/>
      <c r="M910" s="372"/>
      <c r="N910" s="372"/>
      <c r="O910" s="372"/>
      <c r="P910" s="372"/>
      <c r="Q910" s="304"/>
      <c r="R910" s="304"/>
      <c r="S910" s="304"/>
      <c r="T910" s="304"/>
      <c r="U910" s="304"/>
      <c r="V910" s="304"/>
      <c r="AL910" s="372" t="str">
        <f t="shared" si="43"/>
        <v/>
      </c>
    </row>
    <row r="911" spans="1:38" ht="15" customHeight="1" outlineLevel="1" x14ac:dyDescent="0.2">
      <c r="A911" s="403"/>
      <c r="B911" s="403"/>
      <c r="C911" s="403"/>
      <c r="D911" s="404"/>
      <c r="E911" s="405"/>
      <c r="F911" s="405"/>
      <c r="G911" s="403"/>
      <c r="H911" s="406"/>
      <c r="I911" s="406"/>
      <c r="J911" s="406"/>
      <c r="K911" s="304"/>
      <c r="L911" s="372"/>
      <c r="M911" s="372"/>
      <c r="N911" s="372"/>
      <c r="O911" s="372"/>
      <c r="P911" s="372"/>
      <c r="Q911" s="304"/>
      <c r="R911" s="304"/>
      <c r="S911" s="304"/>
      <c r="T911" s="304"/>
      <c r="U911" s="304"/>
      <c r="V911" s="304"/>
      <c r="AL911" s="372" t="str">
        <f t="shared" si="43"/>
        <v/>
      </c>
    </row>
    <row r="912" spans="1:38" ht="15" customHeight="1" outlineLevel="1" x14ac:dyDescent="0.2">
      <c r="A912" s="403"/>
      <c r="B912" s="403"/>
      <c r="C912" s="403"/>
      <c r="D912" s="404"/>
      <c r="E912" s="405"/>
      <c r="F912" s="405"/>
      <c r="G912" s="403"/>
      <c r="H912" s="406"/>
      <c r="I912" s="406"/>
      <c r="J912" s="406"/>
      <c r="K912" s="304"/>
      <c r="L912" s="372"/>
      <c r="M912" s="372"/>
      <c r="N912" s="372"/>
      <c r="O912" s="372"/>
      <c r="P912" s="372"/>
      <c r="Q912" s="304"/>
      <c r="R912" s="304"/>
      <c r="S912" s="304"/>
      <c r="T912" s="304"/>
      <c r="U912" s="304"/>
      <c r="V912" s="304"/>
      <c r="AL912" s="372" t="str">
        <f t="shared" si="43"/>
        <v/>
      </c>
    </row>
    <row r="913" spans="1:38" ht="15" customHeight="1" outlineLevel="1" x14ac:dyDescent="0.2">
      <c r="A913" s="403"/>
      <c r="B913" s="403"/>
      <c r="C913" s="403"/>
      <c r="D913" s="404"/>
      <c r="E913" s="405"/>
      <c r="F913" s="405"/>
      <c r="G913" s="403"/>
      <c r="H913" s="406"/>
      <c r="I913" s="406"/>
      <c r="J913" s="406"/>
      <c r="K913" s="304"/>
      <c r="L913" s="372"/>
      <c r="M913" s="372"/>
      <c r="N913" s="372"/>
      <c r="O913" s="372"/>
      <c r="P913" s="372"/>
      <c r="Q913" s="304"/>
      <c r="R913" s="304"/>
      <c r="S913" s="304"/>
      <c r="T913" s="304"/>
      <c r="U913" s="304"/>
      <c r="V913" s="304"/>
      <c r="AL913" s="372" t="str">
        <f t="shared" ref="AL913:AL976" si="44">IF(($C913=$AG$245)*($N913&gt;0)*ISNUMBER($I913),$I913*100000+ROW(),"")</f>
        <v/>
      </c>
    </row>
    <row r="914" spans="1:38" ht="15" customHeight="1" outlineLevel="1" x14ac:dyDescent="0.2">
      <c r="A914" s="403"/>
      <c r="B914" s="403"/>
      <c r="C914" s="403"/>
      <c r="D914" s="404"/>
      <c r="E914" s="405"/>
      <c r="F914" s="405"/>
      <c r="G914" s="403"/>
      <c r="H914" s="406"/>
      <c r="I914" s="406"/>
      <c r="J914" s="406"/>
      <c r="K914" s="304"/>
      <c r="L914" s="372"/>
      <c r="M914" s="372"/>
      <c r="N914" s="372"/>
      <c r="O914" s="372"/>
      <c r="P914" s="372"/>
      <c r="Q914" s="304"/>
      <c r="R914" s="304"/>
      <c r="S914" s="304"/>
      <c r="T914" s="304"/>
      <c r="U914" s="304"/>
      <c r="V914" s="304"/>
      <c r="AL914" s="372" t="str">
        <f t="shared" si="44"/>
        <v/>
      </c>
    </row>
    <row r="915" spans="1:38" ht="15" customHeight="1" outlineLevel="1" x14ac:dyDescent="0.2">
      <c r="A915" s="403"/>
      <c r="B915" s="403"/>
      <c r="C915" s="403"/>
      <c r="D915" s="404"/>
      <c r="E915" s="405"/>
      <c r="F915" s="405"/>
      <c r="G915" s="403"/>
      <c r="H915" s="406"/>
      <c r="I915" s="406"/>
      <c r="J915" s="406"/>
      <c r="K915" s="304"/>
      <c r="L915" s="372"/>
      <c r="M915" s="372"/>
      <c r="N915" s="372"/>
      <c r="O915" s="372"/>
      <c r="P915" s="372"/>
      <c r="Q915" s="304"/>
      <c r="R915" s="304"/>
      <c r="S915" s="304"/>
      <c r="T915" s="304"/>
      <c r="U915" s="304"/>
      <c r="V915" s="304"/>
      <c r="AL915" s="372" t="str">
        <f t="shared" si="44"/>
        <v/>
      </c>
    </row>
    <row r="916" spans="1:38" ht="15" customHeight="1" outlineLevel="1" x14ac:dyDescent="0.2">
      <c r="A916" s="403"/>
      <c r="B916" s="403"/>
      <c r="C916" s="403"/>
      <c r="D916" s="404"/>
      <c r="E916" s="405"/>
      <c r="F916" s="405"/>
      <c r="G916" s="403"/>
      <c r="H916" s="406"/>
      <c r="I916" s="406"/>
      <c r="J916" s="406"/>
      <c r="K916" s="304"/>
      <c r="L916" s="372"/>
      <c r="M916" s="372"/>
      <c r="N916" s="372"/>
      <c r="O916" s="372"/>
      <c r="P916" s="372"/>
      <c r="Q916" s="304"/>
      <c r="R916" s="304"/>
      <c r="S916" s="304"/>
      <c r="T916" s="304"/>
      <c r="U916" s="304"/>
      <c r="V916" s="304"/>
      <c r="AL916" s="372" t="str">
        <f t="shared" si="44"/>
        <v/>
      </c>
    </row>
    <row r="917" spans="1:38" ht="15" customHeight="1" outlineLevel="1" x14ac:dyDescent="0.2">
      <c r="A917" s="403"/>
      <c r="B917" s="403"/>
      <c r="C917" s="403"/>
      <c r="D917" s="404"/>
      <c r="E917" s="405"/>
      <c r="F917" s="405"/>
      <c r="G917" s="403"/>
      <c r="H917" s="406"/>
      <c r="I917" s="406"/>
      <c r="J917" s="406"/>
      <c r="K917" s="304"/>
      <c r="L917" s="372"/>
      <c r="M917" s="372"/>
      <c r="N917" s="372"/>
      <c r="O917" s="372"/>
      <c r="P917" s="372"/>
      <c r="Q917" s="304"/>
      <c r="R917" s="304"/>
      <c r="S917" s="304"/>
      <c r="T917" s="304"/>
      <c r="U917" s="304"/>
      <c r="V917" s="304"/>
      <c r="AL917" s="372" t="str">
        <f t="shared" si="44"/>
        <v/>
      </c>
    </row>
    <row r="918" spans="1:38" ht="15" customHeight="1" outlineLevel="1" x14ac:dyDescent="0.2">
      <c r="A918" s="403"/>
      <c r="B918" s="403"/>
      <c r="C918" s="403"/>
      <c r="D918" s="404"/>
      <c r="E918" s="405"/>
      <c r="F918" s="405"/>
      <c r="G918" s="403"/>
      <c r="H918" s="406"/>
      <c r="I918" s="406"/>
      <c r="J918" s="406"/>
      <c r="K918" s="304"/>
      <c r="L918" s="372"/>
      <c r="M918" s="372"/>
      <c r="N918" s="372"/>
      <c r="O918" s="372"/>
      <c r="P918" s="372"/>
      <c r="Q918" s="304"/>
      <c r="R918" s="304"/>
      <c r="S918" s="304"/>
      <c r="T918" s="304"/>
      <c r="U918" s="304"/>
      <c r="V918" s="304"/>
      <c r="AL918" s="372" t="str">
        <f t="shared" si="44"/>
        <v/>
      </c>
    </row>
    <row r="919" spans="1:38" ht="15" customHeight="1" outlineLevel="1" x14ac:dyDescent="0.2">
      <c r="A919" s="403"/>
      <c r="B919" s="403"/>
      <c r="C919" s="403"/>
      <c r="D919" s="404"/>
      <c r="E919" s="405"/>
      <c r="F919" s="405"/>
      <c r="G919" s="403"/>
      <c r="H919" s="406"/>
      <c r="I919" s="406"/>
      <c r="J919" s="406"/>
      <c r="K919" s="304"/>
      <c r="L919" s="372"/>
      <c r="M919" s="372"/>
      <c r="N919" s="372"/>
      <c r="O919" s="372"/>
      <c r="P919" s="372"/>
      <c r="Q919" s="304"/>
      <c r="R919" s="304"/>
      <c r="S919" s="304"/>
      <c r="T919" s="304"/>
      <c r="U919" s="304"/>
      <c r="V919" s="304"/>
      <c r="AL919" s="372" t="str">
        <f t="shared" si="44"/>
        <v/>
      </c>
    </row>
    <row r="920" spans="1:38" ht="15" customHeight="1" outlineLevel="1" x14ac:dyDescent="0.2">
      <c r="A920" s="403"/>
      <c r="B920" s="403"/>
      <c r="C920" s="403"/>
      <c r="D920" s="404"/>
      <c r="E920" s="405"/>
      <c r="F920" s="405"/>
      <c r="G920" s="403"/>
      <c r="H920" s="406"/>
      <c r="I920" s="406"/>
      <c r="J920" s="406"/>
      <c r="K920" s="304"/>
      <c r="L920" s="372"/>
      <c r="M920" s="372"/>
      <c r="N920" s="372"/>
      <c r="O920" s="372"/>
      <c r="P920" s="372"/>
      <c r="Q920" s="304"/>
      <c r="R920" s="304"/>
      <c r="S920" s="304"/>
      <c r="T920" s="304"/>
      <c r="U920" s="304"/>
      <c r="V920" s="304"/>
      <c r="AL920" s="372" t="str">
        <f t="shared" si="44"/>
        <v/>
      </c>
    </row>
    <row r="921" spans="1:38" ht="15" customHeight="1" outlineLevel="1" x14ac:dyDescent="0.2">
      <c r="A921" s="403"/>
      <c r="B921" s="403"/>
      <c r="C921" s="403"/>
      <c r="D921" s="404"/>
      <c r="E921" s="405"/>
      <c r="F921" s="405"/>
      <c r="G921" s="403"/>
      <c r="H921" s="406"/>
      <c r="I921" s="406"/>
      <c r="J921" s="406"/>
      <c r="K921" s="304"/>
      <c r="L921" s="372"/>
      <c r="M921" s="372"/>
      <c r="N921" s="372"/>
      <c r="O921" s="372"/>
      <c r="P921" s="372"/>
      <c r="Q921" s="304"/>
      <c r="R921" s="304"/>
      <c r="S921" s="304"/>
      <c r="T921" s="304"/>
      <c r="U921" s="304"/>
      <c r="V921" s="304"/>
      <c r="AL921" s="372" t="str">
        <f t="shared" si="44"/>
        <v/>
      </c>
    </row>
    <row r="922" spans="1:38" ht="15" customHeight="1" outlineLevel="1" x14ac:dyDescent="0.2">
      <c r="A922" s="403"/>
      <c r="B922" s="403"/>
      <c r="C922" s="403"/>
      <c r="D922" s="404"/>
      <c r="E922" s="405"/>
      <c r="F922" s="405"/>
      <c r="G922" s="403"/>
      <c r="H922" s="406"/>
      <c r="I922" s="406"/>
      <c r="J922" s="406"/>
      <c r="K922" s="304"/>
      <c r="L922" s="372"/>
      <c r="M922" s="372"/>
      <c r="N922" s="372"/>
      <c r="O922" s="372"/>
      <c r="P922" s="372"/>
      <c r="Q922" s="304"/>
      <c r="R922" s="304"/>
      <c r="S922" s="304"/>
      <c r="T922" s="304"/>
      <c r="U922" s="304"/>
      <c r="V922" s="304"/>
      <c r="AL922" s="372" t="str">
        <f t="shared" si="44"/>
        <v/>
      </c>
    </row>
    <row r="923" spans="1:38" ht="15" customHeight="1" outlineLevel="1" x14ac:dyDescent="0.2">
      <c r="A923" s="403"/>
      <c r="B923" s="403"/>
      <c r="C923" s="403"/>
      <c r="D923" s="404"/>
      <c r="E923" s="405"/>
      <c r="F923" s="405"/>
      <c r="G923" s="403"/>
      <c r="H923" s="406"/>
      <c r="I923" s="406"/>
      <c r="J923" s="406"/>
      <c r="K923" s="304"/>
      <c r="L923" s="372"/>
      <c r="M923" s="372"/>
      <c r="N923" s="372"/>
      <c r="O923" s="372"/>
      <c r="P923" s="372"/>
      <c r="Q923" s="304"/>
      <c r="R923" s="304"/>
      <c r="S923" s="304"/>
      <c r="T923" s="304"/>
      <c r="U923" s="304"/>
      <c r="V923" s="304"/>
      <c r="AL923" s="372" t="str">
        <f t="shared" si="44"/>
        <v/>
      </c>
    </row>
    <row r="924" spans="1:38" ht="15" customHeight="1" outlineLevel="1" x14ac:dyDescent="0.2">
      <c r="A924" s="403"/>
      <c r="B924" s="403"/>
      <c r="C924" s="403"/>
      <c r="D924" s="404"/>
      <c r="E924" s="405"/>
      <c r="F924" s="405"/>
      <c r="G924" s="403"/>
      <c r="H924" s="406"/>
      <c r="I924" s="406"/>
      <c r="J924" s="406"/>
      <c r="K924" s="304"/>
      <c r="L924" s="372"/>
      <c r="M924" s="372"/>
      <c r="N924" s="372"/>
      <c r="O924" s="372"/>
      <c r="P924" s="372"/>
      <c r="Q924" s="304"/>
      <c r="R924" s="304"/>
      <c r="S924" s="304"/>
      <c r="T924" s="304"/>
      <c r="U924" s="304"/>
      <c r="V924" s="304"/>
      <c r="AL924" s="372" t="str">
        <f t="shared" si="44"/>
        <v/>
      </c>
    </row>
    <row r="925" spans="1:38" ht="15" customHeight="1" outlineLevel="1" x14ac:dyDescent="0.2">
      <c r="A925" s="403"/>
      <c r="B925" s="403"/>
      <c r="C925" s="403"/>
      <c r="D925" s="404"/>
      <c r="E925" s="405"/>
      <c r="F925" s="405"/>
      <c r="G925" s="403"/>
      <c r="H925" s="406"/>
      <c r="I925" s="406"/>
      <c r="J925" s="406"/>
      <c r="K925" s="304"/>
      <c r="L925" s="372"/>
      <c r="M925" s="372"/>
      <c r="N925" s="372"/>
      <c r="O925" s="372"/>
      <c r="P925" s="372"/>
      <c r="Q925" s="304"/>
      <c r="R925" s="304"/>
      <c r="S925" s="304"/>
      <c r="T925" s="304"/>
      <c r="U925" s="304"/>
      <c r="V925" s="304"/>
      <c r="AL925" s="372" t="str">
        <f t="shared" si="44"/>
        <v/>
      </c>
    </row>
    <row r="926" spans="1:38" ht="15" customHeight="1" outlineLevel="1" x14ac:dyDescent="0.2">
      <c r="A926" s="403"/>
      <c r="B926" s="403"/>
      <c r="C926" s="403"/>
      <c r="D926" s="404"/>
      <c r="E926" s="405"/>
      <c r="F926" s="405"/>
      <c r="G926" s="403"/>
      <c r="H926" s="406"/>
      <c r="I926" s="406"/>
      <c r="J926" s="406"/>
      <c r="K926" s="304"/>
      <c r="L926" s="372"/>
      <c r="M926" s="372"/>
      <c r="N926" s="372"/>
      <c r="O926" s="372"/>
      <c r="P926" s="372"/>
      <c r="Q926" s="304"/>
      <c r="R926" s="304"/>
      <c r="S926" s="304"/>
      <c r="T926" s="304"/>
      <c r="U926" s="304"/>
      <c r="V926" s="304"/>
      <c r="AL926" s="372" t="str">
        <f t="shared" si="44"/>
        <v/>
      </c>
    </row>
    <row r="927" spans="1:38" ht="15" customHeight="1" outlineLevel="1" x14ac:dyDescent="0.2">
      <c r="A927" s="403"/>
      <c r="B927" s="403"/>
      <c r="C927" s="403"/>
      <c r="D927" s="404"/>
      <c r="E927" s="405"/>
      <c r="F927" s="405"/>
      <c r="G927" s="403"/>
      <c r="H927" s="406"/>
      <c r="I927" s="406"/>
      <c r="J927" s="406"/>
      <c r="K927" s="304"/>
      <c r="L927" s="372"/>
      <c r="M927" s="372"/>
      <c r="N927" s="372"/>
      <c r="O927" s="372"/>
      <c r="P927" s="372"/>
      <c r="Q927" s="304"/>
      <c r="R927" s="304"/>
      <c r="S927" s="304"/>
      <c r="T927" s="304"/>
      <c r="U927" s="304"/>
      <c r="V927" s="304"/>
      <c r="AL927" s="372" t="str">
        <f t="shared" si="44"/>
        <v/>
      </c>
    </row>
    <row r="928" spans="1:38" ht="15" customHeight="1" outlineLevel="1" x14ac:dyDescent="0.2">
      <c r="A928" s="403"/>
      <c r="B928" s="403"/>
      <c r="C928" s="403"/>
      <c r="D928" s="404"/>
      <c r="E928" s="405"/>
      <c r="F928" s="405"/>
      <c r="G928" s="403"/>
      <c r="H928" s="406"/>
      <c r="I928" s="406"/>
      <c r="J928" s="406"/>
      <c r="K928" s="304"/>
      <c r="L928" s="372"/>
      <c r="M928" s="372"/>
      <c r="N928" s="372"/>
      <c r="O928" s="372"/>
      <c r="P928" s="372"/>
      <c r="Q928" s="304"/>
      <c r="R928" s="304"/>
      <c r="S928" s="304"/>
      <c r="T928" s="304"/>
      <c r="U928" s="304"/>
      <c r="V928" s="304"/>
      <c r="AL928" s="372" t="str">
        <f t="shared" si="44"/>
        <v/>
      </c>
    </row>
    <row r="929" spans="1:38" ht="15" customHeight="1" outlineLevel="1" x14ac:dyDescent="0.2">
      <c r="A929" s="403"/>
      <c r="B929" s="403"/>
      <c r="C929" s="403"/>
      <c r="D929" s="404"/>
      <c r="E929" s="405"/>
      <c r="F929" s="405"/>
      <c r="G929" s="403"/>
      <c r="H929" s="406"/>
      <c r="I929" s="406"/>
      <c r="J929" s="406"/>
      <c r="K929" s="304"/>
      <c r="L929" s="372"/>
      <c r="M929" s="372"/>
      <c r="N929" s="372"/>
      <c r="O929" s="372"/>
      <c r="P929" s="372"/>
      <c r="Q929" s="304"/>
      <c r="R929" s="304"/>
      <c r="S929" s="304"/>
      <c r="T929" s="304"/>
      <c r="U929" s="304"/>
      <c r="V929" s="304"/>
      <c r="AL929" s="372" t="str">
        <f t="shared" si="44"/>
        <v/>
      </c>
    </row>
    <row r="930" spans="1:38" ht="15" customHeight="1" outlineLevel="1" x14ac:dyDescent="0.2">
      <c r="A930" s="403"/>
      <c r="B930" s="403"/>
      <c r="C930" s="403"/>
      <c r="D930" s="404"/>
      <c r="E930" s="405"/>
      <c r="F930" s="405"/>
      <c r="G930" s="403"/>
      <c r="H930" s="406"/>
      <c r="I930" s="406"/>
      <c r="J930" s="406"/>
      <c r="K930" s="304"/>
      <c r="L930" s="372"/>
      <c r="M930" s="372"/>
      <c r="N930" s="372"/>
      <c r="O930" s="372"/>
      <c r="P930" s="372"/>
      <c r="Q930" s="304"/>
      <c r="R930" s="304"/>
      <c r="S930" s="304"/>
      <c r="T930" s="304"/>
      <c r="U930" s="304"/>
      <c r="V930" s="304"/>
      <c r="AL930" s="372" t="str">
        <f t="shared" si="44"/>
        <v/>
      </c>
    </row>
    <row r="931" spans="1:38" ht="15" customHeight="1" outlineLevel="1" x14ac:dyDescent="0.2">
      <c r="A931" s="403"/>
      <c r="B931" s="403"/>
      <c r="C931" s="403"/>
      <c r="D931" s="404"/>
      <c r="E931" s="405"/>
      <c r="F931" s="405"/>
      <c r="G931" s="403"/>
      <c r="H931" s="406"/>
      <c r="I931" s="406"/>
      <c r="J931" s="406"/>
      <c r="K931" s="304"/>
      <c r="L931" s="372"/>
      <c r="M931" s="372"/>
      <c r="N931" s="372"/>
      <c r="O931" s="372"/>
      <c r="P931" s="372"/>
      <c r="Q931" s="304"/>
      <c r="R931" s="304"/>
      <c r="S931" s="304"/>
      <c r="T931" s="304"/>
      <c r="U931" s="304"/>
      <c r="V931" s="304"/>
      <c r="AL931" s="372" t="str">
        <f t="shared" si="44"/>
        <v/>
      </c>
    </row>
    <row r="932" spans="1:38" ht="15" customHeight="1" outlineLevel="1" x14ac:dyDescent="0.2">
      <c r="A932" s="403"/>
      <c r="B932" s="403"/>
      <c r="C932" s="403"/>
      <c r="D932" s="404"/>
      <c r="E932" s="405"/>
      <c r="F932" s="405"/>
      <c r="G932" s="403"/>
      <c r="H932" s="406"/>
      <c r="I932" s="406"/>
      <c r="J932" s="406"/>
      <c r="K932" s="304"/>
      <c r="L932" s="372"/>
      <c r="M932" s="372"/>
      <c r="N932" s="372"/>
      <c r="O932" s="372"/>
      <c r="P932" s="372"/>
      <c r="Q932" s="304"/>
      <c r="R932" s="304"/>
      <c r="S932" s="304"/>
      <c r="T932" s="304"/>
      <c r="U932" s="304"/>
      <c r="V932" s="304"/>
      <c r="AL932" s="372" t="str">
        <f t="shared" si="44"/>
        <v/>
      </c>
    </row>
    <row r="933" spans="1:38" ht="15" customHeight="1" outlineLevel="1" x14ac:dyDescent="0.2">
      <c r="A933" s="403"/>
      <c r="B933" s="403"/>
      <c r="C933" s="403"/>
      <c r="D933" s="404"/>
      <c r="E933" s="405"/>
      <c r="F933" s="405"/>
      <c r="G933" s="403"/>
      <c r="H933" s="406"/>
      <c r="I933" s="406"/>
      <c r="J933" s="406"/>
      <c r="K933" s="304"/>
      <c r="L933" s="372"/>
      <c r="M933" s="372"/>
      <c r="N933" s="372"/>
      <c r="O933" s="372"/>
      <c r="P933" s="372"/>
      <c r="Q933" s="304"/>
      <c r="R933" s="304"/>
      <c r="S933" s="304"/>
      <c r="T933" s="304"/>
      <c r="U933" s="304"/>
      <c r="V933" s="304"/>
      <c r="AL933" s="372" t="str">
        <f t="shared" si="44"/>
        <v/>
      </c>
    </row>
    <row r="934" spans="1:38" ht="15" customHeight="1" outlineLevel="1" x14ac:dyDescent="0.2">
      <c r="A934" s="403"/>
      <c r="B934" s="403"/>
      <c r="C934" s="403"/>
      <c r="D934" s="404"/>
      <c r="E934" s="405"/>
      <c r="F934" s="405"/>
      <c r="G934" s="403"/>
      <c r="H934" s="406"/>
      <c r="I934" s="406"/>
      <c r="J934" s="406"/>
      <c r="K934" s="304"/>
      <c r="L934" s="372"/>
      <c r="M934" s="372"/>
      <c r="N934" s="372"/>
      <c r="O934" s="372"/>
      <c r="P934" s="372"/>
      <c r="Q934" s="304"/>
      <c r="R934" s="304"/>
      <c r="S934" s="304"/>
      <c r="T934" s="304"/>
      <c r="U934" s="304"/>
      <c r="V934" s="304"/>
      <c r="AL934" s="372" t="str">
        <f t="shared" si="44"/>
        <v/>
      </c>
    </row>
    <row r="935" spans="1:38" ht="15" customHeight="1" outlineLevel="1" x14ac:dyDescent="0.2">
      <c r="A935" s="403"/>
      <c r="B935" s="403"/>
      <c r="C935" s="403"/>
      <c r="D935" s="404"/>
      <c r="E935" s="405"/>
      <c r="F935" s="405"/>
      <c r="G935" s="403"/>
      <c r="H935" s="406"/>
      <c r="I935" s="406"/>
      <c r="J935" s="406"/>
      <c r="K935" s="304"/>
      <c r="L935" s="372"/>
      <c r="M935" s="372"/>
      <c r="N935" s="372"/>
      <c r="O935" s="372"/>
      <c r="P935" s="372"/>
      <c r="Q935" s="304"/>
      <c r="R935" s="304"/>
      <c r="S935" s="304"/>
      <c r="T935" s="304"/>
      <c r="U935" s="304"/>
      <c r="V935" s="304"/>
      <c r="AL935" s="372" t="str">
        <f t="shared" si="44"/>
        <v/>
      </c>
    </row>
    <row r="936" spans="1:38" ht="15" customHeight="1" outlineLevel="1" x14ac:dyDescent="0.2">
      <c r="A936" s="403"/>
      <c r="B936" s="403"/>
      <c r="C936" s="403"/>
      <c r="D936" s="404"/>
      <c r="E936" s="405"/>
      <c r="F936" s="405"/>
      <c r="G936" s="403"/>
      <c r="H936" s="406"/>
      <c r="I936" s="406"/>
      <c r="J936" s="406"/>
      <c r="K936" s="304"/>
      <c r="L936" s="372"/>
      <c r="M936" s="372"/>
      <c r="N936" s="372"/>
      <c r="O936" s="372"/>
      <c r="P936" s="372"/>
      <c r="Q936" s="304"/>
      <c r="R936" s="304"/>
      <c r="S936" s="304"/>
      <c r="T936" s="304"/>
      <c r="U936" s="304"/>
      <c r="V936" s="304"/>
      <c r="AL936" s="372" t="str">
        <f t="shared" si="44"/>
        <v/>
      </c>
    </row>
    <row r="937" spans="1:38" ht="15" customHeight="1" outlineLevel="1" x14ac:dyDescent="0.2">
      <c r="A937" s="403"/>
      <c r="B937" s="403"/>
      <c r="C937" s="403"/>
      <c r="D937" s="404"/>
      <c r="E937" s="405"/>
      <c r="F937" s="405"/>
      <c r="G937" s="403"/>
      <c r="H937" s="406"/>
      <c r="I937" s="406"/>
      <c r="J937" s="406"/>
      <c r="K937" s="304"/>
      <c r="L937" s="372"/>
      <c r="M937" s="372"/>
      <c r="N937" s="372"/>
      <c r="O937" s="372"/>
      <c r="P937" s="372"/>
      <c r="Q937" s="304"/>
      <c r="R937" s="304"/>
      <c r="S937" s="304"/>
      <c r="T937" s="304"/>
      <c r="U937" s="304"/>
      <c r="V937" s="304"/>
      <c r="AL937" s="372" t="str">
        <f t="shared" si="44"/>
        <v/>
      </c>
    </row>
    <row r="938" spans="1:38" ht="15" customHeight="1" outlineLevel="1" x14ac:dyDescent="0.2">
      <c r="A938" s="403"/>
      <c r="B938" s="403"/>
      <c r="C938" s="403"/>
      <c r="D938" s="404"/>
      <c r="E938" s="405"/>
      <c r="F938" s="405"/>
      <c r="G938" s="403"/>
      <c r="H938" s="406"/>
      <c r="I938" s="406"/>
      <c r="J938" s="406"/>
      <c r="K938" s="304"/>
      <c r="L938" s="372"/>
      <c r="M938" s="372"/>
      <c r="N938" s="372"/>
      <c r="O938" s="372"/>
      <c r="P938" s="372"/>
      <c r="Q938" s="304"/>
      <c r="R938" s="304"/>
      <c r="S938" s="304"/>
      <c r="T938" s="304"/>
      <c r="U938" s="304"/>
      <c r="V938" s="304"/>
      <c r="AL938" s="372" t="str">
        <f t="shared" si="44"/>
        <v/>
      </c>
    </row>
    <row r="939" spans="1:38" ht="15" customHeight="1" outlineLevel="1" x14ac:dyDescent="0.2">
      <c r="A939" s="403"/>
      <c r="B939" s="403"/>
      <c r="C939" s="403"/>
      <c r="D939" s="404"/>
      <c r="E939" s="405"/>
      <c r="F939" s="405"/>
      <c r="G939" s="403"/>
      <c r="H939" s="406"/>
      <c r="I939" s="406"/>
      <c r="J939" s="406"/>
      <c r="K939" s="304"/>
      <c r="L939" s="372"/>
      <c r="M939" s="372"/>
      <c r="N939" s="372"/>
      <c r="O939" s="372"/>
      <c r="P939" s="372"/>
      <c r="Q939" s="304"/>
      <c r="R939" s="304"/>
      <c r="S939" s="304"/>
      <c r="T939" s="304"/>
      <c r="U939" s="304"/>
      <c r="V939" s="304"/>
      <c r="AL939" s="372" t="str">
        <f t="shared" si="44"/>
        <v/>
      </c>
    </row>
    <row r="940" spans="1:38" ht="15" customHeight="1" outlineLevel="1" x14ac:dyDescent="0.2">
      <c r="A940" s="403"/>
      <c r="B940" s="403"/>
      <c r="C940" s="403"/>
      <c r="D940" s="404"/>
      <c r="E940" s="405"/>
      <c r="F940" s="405"/>
      <c r="G940" s="403"/>
      <c r="H940" s="406"/>
      <c r="I940" s="406"/>
      <c r="J940" s="406"/>
      <c r="K940" s="304"/>
      <c r="L940" s="372"/>
      <c r="M940" s="372"/>
      <c r="N940" s="372"/>
      <c r="O940" s="372"/>
      <c r="P940" s="372"/>
      <c r="Q940" s="304"/>
      <c r="R940" s="304"/>
      <c r="S940" s="304"/>
      <c r="T940" s="304"/>
      <c r="U940" s="304"/>
      <c r="V940" s="304"/>
      <c r="AL940" s="372" t="str">
        <f t="shared" si="44"/>
        <v/>
      </c>
    </row>
    <row r="941" spans="1:38" ht="15" customHeight="1" outlineLevel="1" x14ac:dyDescent="0.2">
      <c r="A941" s="403"/>
      <c r="B941" s="403"/>
      <c r="C941" s="403"/>
      <c r="D941" s="404"/>
      <c r="E941" s="405"/>
      <c r="F941" s="405"/>
      <c r="G941" s="403"/>
      <c r="H941" s="406"/>
      <c r="I941" s="406"/>
      <c r="J941" s="406"/>
      <c r="K941" s="304"/>
      <c r="L941" s="372"/>
      <c r="M941" s="372"/>
      <c r="N941" s="372"/>
      <c r="O941" s="372"/>
      <c r="P941" s="372"/>
      <c r="Q941" s="304"/>
      <c r="R941" s="304"/>
      <c r="S941" s="304"/>
      <c r="T941" s="304"/>
      <c r="U941" s="304"/>
      <c r="V941" s="304"/>
      <c r="AL941" s="372" t="str">
        <f t="shared" si="44"/>
        <v/>
      </c>
    </row>
    <row r="942" spans="1:38" ht="15" customHeight="1" outlineLevel="1" x14ac:dyDescent="0.2">
      <c r="A942" s="403"/>
      <c r="B942" s="403"/>
      <c r="C942" s="403"/>
      <c r="D942" s="404"/>
      <c r="E942" s="405"/>
      <c r="F942" s="405"/>
      <c r="G942" s="403"/>
      <c r="H942" s="406"/>
      <c r="I942" s="406"/>
      <c r="J942" s="406"/>
      <c r="K942" s="304"/>
      <c r="L942" s="372"/>
      <c r="M942" s="372"/>
      <c r="N942" s="372"/>
      <c r="O942" s="372"/>
      <c r="P942" s="372"/>
      <c r="Q942" s="304"/>
      <c r="R942" s="304"/>
      <c r="S942" s="304"/>
      <c r="T942" s="304"/>
      <c r="U942" s="304"/>
      <c r="V942" s="304"/>
      <c r="AL942" s="372" t="str">
        <f t="shared" si="44"/>
        <v/>
      </c>
    </row>
    <row r="943" spans="1:38" ht="15" customHeight="1" outlineLevel="1" x14ac:dyDescent="0.2">
      <c r="A943" s="403"/>
      <c r="B943" s="403"/>
      <c r="C943" s="403"/>
      <c r="D943" s="404"/>
      <c r="E943" s="405"/>
      <c r="F943" s="405"/>
      <c r="G943" s="403"/>
      <c r="H943" s="406"/>
      <c r="I943" s="406"/>
      <c r="J943" s="406"/>
      <c r="K943" s="304"/>
      <c r="L943" s="372"/>
      <c r="M943" s="372"/>
      <c r="N943" s="372"/>
      <c r="O943" s="372"/>
      <c r="P943" s="372"/>
      <c r="Q943" s="304"/>
      <c r="R943" s="304"/>
      <c r="S943" s="304"/>
      <c r="T943" s="304"/>
      <c r="U943" s="304"/>
      <c r="V943" s="304"/>
      <c r="AL943" s="372" t="str">
        <f t="shared" si="44"/>
        <v/>
      </c>
    </row>
    <row r="944" spans="1:38" ht="15" customHeight="1" outlineLevel="1" x14ac:dyDescent="0.2">
      <c r="A944" s="403"/>
      <c r="B944" s="403"/>
      <c r="C944" s="403"/>
      <c r="D944" s="404"/>
      <c r="E944" s="405"/>
      <c r="F944" s="405"/>
      <c r="G944" s="403"/>
      <c r="H944" s="406"/>
      <c r="I944" s="406"/>
      <c r="J944" s="406"/>
      <c r="K944" s="304"/>
      <c r="L944" s="372"/>
      <c r="M944" s="372"/>
      <c r="N944" s="372"/>
      <c r="O944" s="372"/>
      <c r="P944" s="372"/>
      <c r="Q944" s="304"/>
      <c r="R944" s="304"/>
      <c r="S944" s="304"/>
      <c r="T944" s="304"/>
      <c r="U944" s="304"/>
      <c r="V944" s="304"/>
      <c r="AL944" s="372" t="str">
        <f t="shared" si="44"/>
        <v/>
      </c>
    </row>
    <row r="945" spans="1:38" ht="15" customHeight="1" outlineLevel="1" x14ac:dyDescent="0.2">
      <c r="A945" s="403"/>
      <c r="B945" s="403"/>
      <c r="C945" s="403"/>
      <c r="D945" s="404"/>
      <c r="E945" s="405"/>
      <c r="F945" s="405"/>
      <c r="G945" s="403"/>
      <c r="H945" s="406"/>
      <c r="I945" s="406"/>
      <c r="J945" s="406"/>
      <c r="K945" s="304"/>
      <c r="L945" s="372"/>
      <c r="M945" s="372"/>
      <c r="N945" s="372"/>
      <c r="O945" s="372"/>
      <c r="P945" s="372"/>
      <c r="Q945" s="304"/>
      <c r="R945" s="304"/>
      <c r="S945" s="304"/>
      <c r="T945" s="304"/>
      <c r="U945" s="304"/>
      <c r="V945" s="304"/>
      <c r="AL945" s="372" t="str">
        <f t="shared" si="44"/>
        <v/>
      </c>
    </row>
    <row r="946" spans="1:38" ht="15" customHeight="1" outlineLevel="1" x14ac:dyDescent="0.2">
      <c r="A946" s="403"/>
      <c r="B946" s="403"/>
      <c r="C946" s="403"/>
      <c r="D946" s="404"/>
      <c r="E946" s="405"/>
      <c r="F946" s="405"/>
      <c r="G946" s="403"/>
      <c r="H946" s="406"/>
      <c r="I946" s="406"/>
      <c r="J946" s="406"/>
      <c r="K946" s="304"/>
      <c r="L946" s="372"/>
      <c r="M946" s="372"/>
      <c r="N946" s="372"/>
      <c r="O946" s="372"/>
      <c r="P946" s="372"/>
      <c r="Q946" s="304"/>
      <c r="R946" s="304"/>
      <c r="S946" s="304"/>
      <c r="T946" s="304"/>
      <c r="U946" s="304"/>
      <c r="V946" s="304"/>
      <c r="AL946" s="372" t="str">
        <f t="shared" si="44"/>
        <v/>
      </c>
    </row>
    <row r="947" spans="1:38" ht="15" customHeight="1" outlineLevel="1" x14ac:dyDescent="0.2">
      <c r="A947" s="403"/>
      <c r="B947" s="403"/>
      <c r="C947" s="403"/>
      <c r="D947" s="404"/>
      <c r="E947" s="405"/>
      <c r="F947" s="405"/>
      <c r="G947" s="403"/>
      <c r="H947" s="406"/>
      <c r="I947" s="406"/>
      <c r="J947" s="406"/>
      <c r="K947" s="304"/>
      <c r="L947" s="372"/>
      <c r="M947" s="372"/>
      <c r="N947" s="372"/>
      <c r="O947" s="372"/>
      <c r="P947" s="372"/>
      <c r="Q947" s="304"/>
      <c r="R947" s="304"/>
      <c r="S947" s="304"/>
      <c r="T947" s="304"/>
      <c r="U947" s="304"/>
      <c r="V947" s="304"/>
      <c r="AL947" s="372" t="str">
        <f t="shared" si="44"/>
        <v/>
      </c>
    </row>
    <row r="948" spans="1:38" ht="15" customHeight="1" outlineLevel="1" x14ac:dyDescent="0.2">
      <c r="A948" s="403"/>
      <c r="B948" s="403"/>
      <c r="C948" s="403"/>
      <c r="D948" s="404"/>
      <c r="E948" s="405"/>
      <c r="F948" s="405"/>
      <c r="G948" s="403"/>
      <c r="H948" s="406"/>
      <c r="I948" s="406"/>
      <c r="J948" s="406"/>
      <c r="K948" s="304"/>
      <c r="L948" s="372"/>
      <c r="M948" s="372"/>
      <c r="N948" s="372"/>
      <c r="O948" s="372"/>
      <c r="P948" s="372"/>
      <c r="Q948" s="304"/>
      <c r="R948" s="304"/>
      <c r="S948" s="304"/>
      <c r="T948" s="304"/>
      <c r="U948" s="304"/>
      <c r="V948" s="304"/>
      <c r="AL948" s="372" t="str">
        <f t="shared" si="44"/>
        <v/>
      </c>
    </row>
    <row r="949" spans="1:38" ht="15" customHeight="1" outlineLevel="1" x14ac:dyDescent="0.2">
      <c r="A949" s="403"/>
      <c r="B949" s="403"/>
      <c r="C949" s="403"/>
      <c r="D949" s="404"/>
      <c r="E949" s="405"/>
      <c r="F949" s="405"/>
      <c r="G949" s="403"/>
      <c r="H949" s="406"/>
      <c r="I949" s="406"/>
      <c r="J949" s="406"/>
      <c r="K949" s="304"/>
      <c r="L949" s="372"/>
      <c r="M949" s="372"/>
      <c r="N949" s="372"/>
      <c r="O949" s="372"/>
      <c r="P949" s="372"/>
      <c r="Q949" s="304"/>
      <c r="R949" s="304"/>
      <c r="S949" s="304"/>
      <c r="T949" s="304"/>
      <c r="U949" s="304"/>
      <c r="V949" s="304"/>
      <c r="AL949" s="372" t="str">
        <f t="shared" si="44"/>
        <v/>
      </c>
    </row>
    <row r="950" spans="1:38" ht="15" customHeight="1" outlineLevel="1" x14ac:dyDescent="0.2">
      <c r="A950" s="403"/>
      <c r="B950" s="403"/>
      <c r="C950" s="403"/>
      <c r="D950" s="404"/>
      <c r="E950" s="405"/>
      <c r="F950" s="405"/>
      <c r="G950" s="403"/>
      <c r="H950" s="406"/>
      <c r="I950" s="406"/>
      <c r="J950" s="406"/>
      <c r="K950" s="304"/>
      <c r="L950" s="372"/>
      <c r="M950" s="372"/>
      <c r="N950" s="372"/>
      <c r="O950" s="372"/>
      <c r="P950" s="372"/>
      <c r="Q950" s="304"/>
      <c r="R950" s="304"/>
      <c r="S950" s="304"/>
      <c r="T950" s="304"/>
      <c r="U950" s="304"/>
      <c r="V950" s="304"/>
      <c r="AL950" s="372" t="str">
        <f t="shared" si="44"/>
        <v/>
      </c>
    </row>
    <row r="951" spans="1:38" ht="15" customHeight="1" outlineLevel="1" x14ac:dyDescent="0.2">
      <c r="A951" s="403"/>
      <c r="B951" s="403"/>
      <c r="C951" s="403"/>
      <c r="D951" s="404"/>
      <c r="E951" s="405"/>
      <c r="F951" s="405"/>
      <c r="G951" s="403"/>
      <c r="H951" s="406"/>
      <c r="I951" s="406"/>
      <c r="J951" s="406"/>
      <c r="K951" s="304"/>
      <c r="L951" s="372"/>
      <c r="M951" s="372"/>
      <c r="N951" s="372"/>
      <c r="O951" s="372"/>
      <c r="P951" s="372"/>
      <c r="Q951" s="304"/>
      <c r="R951" s="304"/>
      <c r="S951" s="304"/>
      <c r="T951" s="304"/>
      <c r="U951" s="304"/>
      <c r="V951" s="304"/>
      <c r="AL951" s="372" t="str">
        <f t="shared" si="44"/>
        <v/>
      </c>
    </row>
    <row r="952" spans="1:38" ht="15" customHeight="1" outlineLevel="1" x14ac:dyDescent="0.2">
      <c r="A952" s="403"/>
      <c r="B952" s="403"/>
      <c r="C952" s="403"/>
      <c r="D952" s="404"/>
      <c r="E952" s="405"/>
      <c r="F952" s="405"/>
      <c r="G952" s="403"/>
      <c r="H952" s="406"/>
      <c r="I952" s="406"/>
      <c r="J952" s="406"/>
      <c r="K952" s="304"/>
      <c r="L952" s="372"/>
      <c r="M952" s="372"/>
      <c r="N952" s="372"/>
      <c r="O952" s="372"/>
      <c r="P952" s="372"/>
      <c r="Q952" s="304"/>
      <c r="R952" s="304"/>
      <c r="S952" s="304"/>
      <c r="T952" s="304"/>
      <c r="U952" s="304"/>
      <c r="V952" s="304"/>
      <c r="AL952" s="372" t="str">
        <f t="shared" si="44"/>
        <v/>
      </c>
    </row>
    <row r="953" spans="1:38" ht="15" customHeight="1" outlineLevel="1" x14ac:dyDescent="0.2">
      <c r="A953" s="403"/>
      <c r="B953" s="403"/>
      <c r="C953" s="403"/>
      <c r="D953" s="404"/>
      <c r="E953" s="405"/>
      <c r="F953" s="405"/>
      <c r="G953" s="403"/>
      <c r="H953" s="406"/>
      <c r="I953" s="406"/>
      <c r="J953" s="406"/>
      <c r="K953" s="304"/>
      <c r="L953" s="372"/>
      <c r="M953" s="372"/>
      <c r="N953" s="372"/>
      <c r="O953" s="372"/>
      <c r="P953" s="372"/>
      <c r="Q953" s="304"/>
      <c r="R953" s="304"/>
      <c r="S953" s="304"/>
      <c r="T953" s="304"/>
      <c r="U953" s="304"/>
      <c r="V953" s="304"/>
      <c r="AL953" s="372" t="str">
        <f t="shared" si="44"/>
        <v/>
      </c>
    </row>
    <row r="954" spans="1:38" ht="15" customHeight="1" outlineLevel="1" x14ac:dyDescent="0.2">
      <c r="A954" s="403"/>
      <c r="B954" s="403"/>
      <c r="C954" s="403"/>
      <c r="D954" s="404"/>
      <c r="E954" s="405"/>
      <c r="F954" s="405"/>
      <c r="G954" s="403"/>
      <c r="H954" s="406"/>
      <c r="I954" s="406"/>
      <c r="J954" s="406"/>
      <c r="K954" s="304"/>
      <c r="L954" s="372"/>
      <c r="M954" s="372"/>
      <c r="N954" s="372"/>
      <c r="O954" s="372"/>
      <c r="P954" s="372"/>
      <c r="Q954" s="304"/>
      <c r="R954" s="304"/>
      <c r="S954" s="304"/>
      <c r="T954" s="304"/>
      <c r="U954" s="304"/>
      <c r="V954" s="304"/>
      <c r="AL954" s="372" t="str">
        <f t="shared" si="44"/>
        <v/>
      </c>
    </row>
    <row r="955" spans="1:38" ht="15" customHeight="1" outlineLevel="1" x14ac:dyDescent="0.2">
      <c r="A955" s="403"/>
      <c r="B955" s="403"/>
      <c r="C955" s="403"/>
      <c r="D955" s="404"/>
      <c r="E955" s="405"/>
      <c r="F955" s="405"/>
      <c r="G955" s="403"/>
      <c r="H955" s="406"/>
      <c r="I955" s="406"/>
      <c r="J955" s="406"/>
      <c r="K955" s="304"/>
      <c r="L955" s="372"/>
      <c r="M955" s="372"/>
      <c r="N955" s="372"/>
      <c r="O955" s="372"/>
      <c r="P955" s="372"/>
      <c r="Q955" s="304"/>
      <c r="R955" s="304"/>
      <c r="S955" s="304"/>
      <c r="T955" s="304"/>
      <c r="U955" s="304"/>
      <c r="V955" s="304"/>
      <c r="AL955" s="372" t="str">
        <f t="shared" si="44"/>
        <v/>
      </c>
    </row>
    <row r="956" spans="1:38" ht="15" customHeight="1" outlineLevel="1" x14ac:dyDescent="0.2">
      <c r="A956" s="403"/>
      <c r="B956" s="403"/>
      <c r="C956" s="403"/>
      <c r="D956" s="404"/>
      <c r="E956" s="405"/>
      <c r="F956" s="405"/>
      <c r="G956" s="403"/>
      <c r="H956" s="406"/>
      <c r="I956" s="406"/>
      <c r="J956" s="406"/>
      <c r="K956" s="304"/>
      <c r="L956" s="372"/>
      <c r="M956" s="372"/>
      <c r="N956" s="372"/>
      <c r="O956" s="372"/>
      <c r="P956" s="372"/>
      <c r="Q956" s="304"/>
      <c r="R956" s="304"/>
      <c r="S956" s="304"/>
      <c r="T956" s="304"/>
      <c r="U956" s="304"/>
      <c r="V956" s="304"/>
      <c r="AL956" s="372" t="str">
        <f t="shared" si="44"/>
        <v/>
      </c>
    </row>
    <row r="957" spans="1:38" ht="15" customHeight="1" outlineLevel="1" x14ac:dyDescent="0.2">
      <c r="A957" s="403"/>
      <c r="B957" s="403"/>
      <c r="C957" s="403"/>
      <c r="D957" s="404"/>
      <c r="E957" s="405"/>
      <c r="F957" s="405"/>
      <c r="G957" s="403"/>
      <c r="H957" s="406"/>
      <c r="I957" s="406"/>
      <c r="J957" s="406"/>
      <c r="K957" s="304"/>
      <c r="L957" s="372"/>
      <c r="M957" s="372"/>
      <c r="N957" s="372"/>
      <c r="O957" s="372"/>
      <c r="P957" s="372"/>
      <c r="Q957" s="304"/>
      <c r="R957" s="304"/>
      <c r="S957" s="304"/>
      <c r="T957" s="304"/>
      <c r="U957" s="304"/>
      <c r="V957" s="304"/>
      <c r="AL957" s="372" t="str">
        <f t="shared" si="44"/>
        <v/>
      </c>
    </row>
    <row r="958" spans="1:38" ht="15" customHeight="1" outlineLevel="1" x14ac:dyDescent="0.2">
      <c r="A958" s="403"/>
      <c r="B958" s="403"/>
      <c r="C958" s="403"/>
      <c r="D958" s="404"/>
      <c r="E958" s="405"/>
      <c r="F958" s="405"/>
      <c r="G958" s="403"/>
      <c r="H958" s="406"/>
      <c r="I958" s="406"/>
      <c r="J958" s="406"/>
      <c r="K958" s="304"/>
      <c r="L958" s="372"/>
      <c r="M958" s="372"/>
      <c r="N958" s="372"/>
      <c r="O958" s="372"/>
      <c r="P958" s="372"/>
      <c r="Q958" s="304"/>
      <c r="R958" s="304"/>
      <c r="S958" s="304"/>
      <c r="T958" s="304"/>
      <c r="U958" s="304"/>
      <c r="V958" s="304"/>
      <c r="AL958" s="372" t="str">
        <f t="shared" si="44"/>
        <v/>
      </c>
    </row>
    <row r="959" spans="1:38" ht="15" customHeight="1" outlineLevel="1" x14ac:dyDescent="0.2">
      <c r="A959" s="403"/>
      <c r="B959" s="403"/>
      <c r="C959" s="403"/>
      <c r="D959" s="404"/>
      <c r="E959" s="405"/>
      <c r="F959" s="405"/>
      <c r="G959" s="403"/>
      <c r="H959" s="406"/>
      <c r="I959" s="406"/>
      <c r="J959" s="406"/>
      <c r="K959" s="304"/>
      <c r="L959" s="372"/>
      <c r="M959" s="372"/>
      <c r="N959" s="372"/>
      <c r="O959" s="372"/>
      <c r="P959" s="372"/>
      <c r="Q959" s="304"/>
      <c r="R959" s="304"/>
      <c r="S959" s="304"/>
      <c r="T959" s="304"/>
      <c r="U959" s="304"/>
      <c r="V959" s="304"/>
      <c r="AL959" s="372" t="str">
        <f t="shared" si="44"/>
        <v/>
      </c>
    </row>
    <row r="960" spans="1:38" ht="15" customHeight="1" outlineLevel="1" x14ac:dyDescent="0.2">
      <c r="A960" s="403"/>
      <c r="B960" s="403"/>
      <c r="C960" s="403"/>
      <c r="D960" s="404"/>
      <c r="E960" s="405"/>
      <c r="F960" s="405"/>
      <c r="G960" s="403"/>
      <c r="H960" s="406"/>
      <c r="I960" s="406"/>
      <c r="J960" s="406"/>
      <c r="K960" s="304"/>
      <c r="L960" s="372"/>
      <c r="M960" s="372"/>
      <c r="N960" s="372"/>
      <c r="O960" s="372"/>
      <c r="P960" s="372"/>
      <c r="Q960" s="304"/>
      <c r="R960" s="304"/>
      <c r="S960" s="304"/>
      <c r="T960" s="304"/>
      <c r="U960" s="304"/>
      <c r="V960" s="304"/>
      <c r="AL960" s="372" t="str">
        <f t="shared" si="44"/>
        <v/>
      </c>
    </row>
    <row r="961" spans="1:38" ht="15" customHeight="1" outlineLevel="1" x14ac:dyDescent="0.2">
      <c r="A961" s="403"/>
      <c r="B961" s="403"/>
      <c r="C961" s="403"/>
      <c r="D961" s="404"/>
      <c r="E961" s="405"/>
      <c r="F961" s="405"/>
      <c r="G961" s="403"/>
      <c r="H961" s="406"/>
      <c r="I961" s="406"/>
      <c r="J961" s="406"/>
      <c r="K961" s="304"/>
      <c r="L961" s="372"/>
      <c r="M961" s="372"/>
      <c r="N961" s="372"/>
      <c r="O961" s="372"/>
      <c r="P961" s="372"/>
      <c r="Q961" s="304"/>
      <c r="R961" s="304"/>
      <c r="S961" s="304"/>
      <c r="T961" s="304"/>
      <c r="U961" s="304"/>
      <c r="V961" s="304"/>
      <c r="AL961" s="372" t="str">
        <f t="shared" si="44"/>
        <v/>
      </c>
    </row>
    <row r="962" spans="1:38" ht="15" customHeight="1" outlineLevel="1" x14ac:dyDescent="0.2">
      <c r="A962" s="403"/>
      <c r="B962" s="403"/>
      <c r="C962" s="403"/>
      <c r="D962" s="404"/>
      <c r="E962" s="405"/>
      <c r="F962" s="405"/>
      <c r="G962" s="403"/>
      <c r="H962" s="406"/>
      <c r="I962" s="406"/>
      <c r="J962" s="406"/>
      <c r="K962" s="304"/>
      <c r="L962" s="372"/>
      <c r="M962" s="372"/>
      <c r="N962" s="372"/>
      <c r="O962" s="372"/>
      <c r="P962" s="372"/>
      <c r="Q962" s="304"/>
      <c r="R962" s="304"/>
      <c r="S962" s="304"/>
      <c r="T962" s="304"/>
      <c r="U962" s="304"/>
      <c r="V962" s="304"/>
      <c r="AL962" s="372" t="str">
        <f t="shared" si="44"/>
        <v/>
      </c>
    </row>
    <row r="963" spans="1:38" ht="15" customHeight="1" outlineLevel="1" x14ac:dyDescent="0.2">
      <c r="A963" s="403"/>
      <c r="B963" s="403"/>
      <c r="C963" s="403"/>
      <c r="D963" s="404"/>
      <c r="E963" s="405"/>
      <c r="F963" s="405"/>
      <c r="G963" s="403"/>
      <c r="H963" s="406"/>
      <c r="I963" s="406"/>
      <c r="J963" s="406"/>
      <c r="K963" s="304"/>
      <c r="L963" s="372"/>
      <c r="M963" s="372"/>
      <c r="N963" s="372"/>
      <c r="O963" s="372"/>
      <c r="P963" s="372"/>
      <c r="Q963" s="304"/>
      <c r="R963" s="304"/>
      <c r="S963" s="304"/>
      <c r="T963" s="304"/>
      <c r="U963" s="304"/>
      <c r="V963" s="304"/>
      <c r="AL963" s="372" t="str">
        <f t="shared" si="44"/>
        <v/>
      </c>
    </row>
    <row r="964" spans="1:38" ht="15" customHeight="1" outlineLevel="1" x14ac:dyDescent="0.2">
      <c r="A964" s="403"/>
      <c r="B964" s="403"/>
      <c r="C964" s="403"/>
      <c r="D964" s="404"/>
      <c r="E964" s="405"/>
      <c r="F964" s="405"/>
      <c r="G964" s="403"/>
      <c r="H964" s="406"/>
      <c r="I964" s="406"/>
      <c r="J964" s="406"/>
      <c r="K964" s="304"/>
      <c r="L964" s="372"/>
      <c r="M964" s="372"/>
      <c r="N964" s="372"/>
      <c r="O964" s="372"/>
      <c r="P964" s="372"/>
      <c r="Q964" s="304"/>
      <c r="R964" s="304"/>
      <c r="S964" s="304"/>
      <c r="T964" s="304"/>
      <c r="U964" s="304"/>
      <c r="V964" s="304"/>
      <c r="AL964" s="372" t="str">
        <f t="shared" si="44"/>
        <v/>
      </c>
    </row>
    <row r="965" spans="1:38" ht="15" customHeight="1" outlineLevel="1" x14ac:dyDescent="0.2">
      <c r="A965" s="403"/>
      <c r="B965" s="403"/>
      <c r="C965" s="403"/>
      <c r="D965" s="404"/>
      <c r="E965" s="405"/>
      <c r="F965" s="405"/>
      <c r="G965" s="403"/>
      <c r="H965" s="406"/>
      <c r="I965" s="406"/>
      <c r="J965" s="406"/>
      <c r="K965" s="304"/>
      <c r="L965" s="372"/>
      <c r="M965" s="372"/>
      <c r="N965" s="372"/>
      <c r="O965" s="372"/>
      <c r="P965" s="372"/>
      <c r="Q965" s="304"/>
      <c r="R965" s="304"/>
      <c r="S965" s="304"/>
      <c r="T965" s="304"/>
      <c r="U965" s="304"/>
      <c r="V965" s="304"/>
      <c r="AL965" s="372" t="str">
        <f t="shared" si="44"/>
        <v/>
      </c>
    </row>
    <row r="966" spans="1:38" ht="15" customHeight="1" outlineLevel="1" x14ac:dyDescent="0.2">
      <c r="A966" s="403"/>
      <c r="B966" s="403"/>
      <c r="C966" s="403"/>
      <c r="D966" s="404"/>
      <c r="E966" s="405"/>
      <c r="F966" s="405"/>
      <c r="G966" s="403"/>
      <c r="H966" s="406"/>
      <c r="I966" s="406"/>
      <c r="J966" s="406"/>
      <c r="K966" s="304"/>
      <c r="L966" s="372"/>
      <c r="M966" s="372"/>
      <c r="N966" s="372"/>
      <c r="O966" s="372"/>
      <c r="P966" s="372"/>
      <c r="Q966" s="304"/>
      <c r="R966" s="304"/>
      <c r="S966" s="304"/>
      <c r="T966" s="304"/>
      <c r="U966" s="304"/>
      <c r="V966" s="304"/>
      <c r="AL966" s="372" t="str">
        <f t="shared" si="44"/>
        <v/>
      </c>
    </row>
    <row r="967" spans="1:38" ht="15" customHeight="1" outlineLevel="1" x14ac:dyDescent="0.2">
      <c r="A967" s="403"/>
      <c r="B967" s="403"/>
      <c r="C967" s="403"/>
      <c r="D967" s="404"/>
      <c r="E967" s="405"/>
      <c r="F967" s="405"/>
      <c r="G967" s="403"/>
      <c r="H967" s="406"/>
      <c r="I967" s="406"/>
      <c r="J967" s="406"/>
      <c r="K967" s="304"/>
      <c r="L967" s="372"/>
      <c r="M967" s="372"/>
      <c r="N967" s="372"/>
      <c r="O967" s="372"/>
      <c r="P967" s="372"/>
      <c r="Q967" s="304"/>
      <c r="R967" s="304"/>
      <c r="S967" s="304"/>
      <c r="T967" s="304"/>
      <c r="U967" s="304"/>
      <c r="V967" s="304"/>
      <c r="AL967" s="372" t="str">
        <f t="shared" si="44"/>
        <v/>
      </c>
    </row>
    <row r="968" spans="1:38" ht="15" customHeight="1" outlineLevel="1" x14ac:dyDescent="0.2">
      <c r="A968" s="403"/>
      <c r="B968" s="403"/>
      <c r="C968" s="403"/>
      <c r="D968" s="404"/>
      <c r="E968" s="405"/>
      <c r="F968" s="405"/>
      <c r="G968" s="403"/>
      <c r="H968" s="406"/>
      <c r="I968" s="406"/>
      <c r="J968" s="406"/>
      <c r="K968" s="304"/>
      <c r="L968" s="372"/>
      <c r="M968" s="372"/>
      <c r="N968" s="372"/>
      <c r="O968" s="372"/>
      <c r="P968" s="372"/>
      <c r="Q968" s="304"/>
      <c r="R968" s="304"/>
      <c r="S968" s="304"/>
      <c r="T968" s="304"/>
      <c r="U968" s="304"/>
      <c r="V968" s="304"/>
      <c r="AL968" s="372" t="str">
        <f t="shared" si="44"/>
        <v/>
      </c>
    </row>
    <row r="969" spans="1:38" ht="15" customHeight="1" outlineLevel="1" x14ac:dyDescent="0.2">
      <c r="A969" s="403"/>
      <c r="B969" s="403"/>
      <c r="C969" s="403"/>
      <c r="D969" s="404"/>
      <c r="E969" s="405"/>
      <c r="F969" s="405"/>
      <c r="G969" s="403"/>
      <c r="H969" s="406"/>
      <c r="I969" s="406"/>
      <c r="J969" s="406"/>
      <c r="K969" s="304"/>
      <c r="L969" s="372"/>
      <c r="M969" s="372"/>
      <c r="N969" s="372"/>
      <c r="O969" s="372"/>
      <c r="P969" s="372"/>
      <c r="Q969" s="304"/>
      <c r="R969" s="304"/>
      <c r="S969" s="304"/>
      <c r="T969" s="304"/>
      <c r="U969" s="304"/>
      <c r="V969" s="304"/>
      <c r="AL969" s="372" t="str">
        <f t="shared" si="44"/>
        <v/>
      </c>
    </row>
    <row r="970" spans="1:38" ht="15" customHeight="1" outlineLevel="1" x14ac:dyDescent="0.2">
      <c r="A970" s="403"/>
      <c r="B970" s="403"/>
      <c r="C970" s="403"/>
      <c r="D970" s="404"/>
      <c r="E970" s="405"/>
      <c r="F970" s="405"/>
      <c r="G970" s="403"/>
      <c r="H970" s="406"/>
      <c r="I970" s="406"/>
      <c r="J970" s="406"/>
      <c r="K970" s="304"/>
      <c r="L970" s="372"/>
      <c r="M970" s="372"/>
      <c r="N970" s="372"/>
      <c r="O970" s="372"/>
      <c r="P970" s="372"/>
      <c r="Q970" s="304"/>
      <c r="R970" s="304"/>
      <c r="S970" s="304"/>
      <c r="T970" s="304"/>
      <c r="U970" s="304"/>
      <c r="V970" s="304"/>
      <c r="AL970" s="372" t="str">
        <f t="shared" si="44"/>
        <v/>
      </c>
    </row>
    <row r="971" spans="1:38" ht="15" customHeight="1" outlineLevel="1" x14ac:dyDescent="0.2">
      <c r="A971" s="403"/>
      <c r="B971" s="403"/>
      <c r="C971" s="403"/>
      <c r="D971" s="404"/>
      <c r="E971" s="405"/>
      <c r="F971" s="405"/>
      <c r="G971" s="403"/>
      <c r="H971" s="406"/>
      <c r="I971" s="406"/>
      <c r="J971" s="406"/>
      <c r="K971" s="304"/>
      <c r="L971" s="372"/>
      <c r="M971" s="372"/>
      <c r="N971" s="372"/>
      <c r="O971" s="372"/>
      <c r="P971" s="372"/>
      <c r="Q971" s="304"/>
      <c r="R971" s="304"/>
      <c r="S971" s="304"/>
      <c r="T971" s="304"/>
      <c r="U971" s="304"/>
      <c r="V971" s="304"/>
      <c r="AL971" s="372" t="str">
        <f t="shared" si="44"/>
        <v/>
      </c>
    </row>
    <row r="972" spans="1:38" ht="15" customHeight="1" outlineLevel="1" x14ac:dyDescent="0.2">
      <c r="A972" s="403"/>
      <c r="B972" s="403"/>
      <c r="C972" s="403"/>
      <c r="D972" s="404"/>
      <c r="E972" s="405"/>
      <c r="F972" s="405"/>
      <c r="G972" s="403"/>
      <c r="H972" s="406"/>
      <c r="I972" s="406"/>
      <c r="J972" s="406"/>
      <c r="K972" s="304"/>
      <c r="L972" s="372"/>
      <c r="M972" s="372"/>
      <c r="N972" s="372"/>
      <c r="O972" s="372"/>
      <c r="P972" s="372"/>
      <c r="Q972" s="304"/>
      <c r="R972" s="304"/>
      <c r="S972" s="304"/>
      <c r="T972" s="304"/>
      <c r="U972" s="304"/>
      <c r="V972" s="304"/>
      <c r="AL972" s="372" t="str">
        <f t="shared" si="44"/>
        <v/>
      </c>
    </row>
    <row r="973" spans="1:38" ht="15" customHeight="1" outlineLevel="1" x14ac:dyDescent="0.2">
      <c r="A973" s="403"/>
      <c r="B973" s="403"/>
      <c r="C973" s="403"/>
      <c r="D973" s="404"/>
      <c r="E973" s="405"/>
      <c r="F973" s="405"/>
      <c r="G973" s="403"/>
      <c r="H973" s="406"/>
      <c r="I973" s="406"/>
      <c r="J973" s="406"/>
      <c r="K973" s="304"/>
      <c r="L973" s="372"/>
      <c r="M973" s="372"/>
      <c r="N973" s="372"/>
      <c r="O973" s="372"/>
      <c r="P973" s="372"/>
      <c r="Q973" s="304"/>
      <c r="R973" s="304"/>
      <c r="S973" s="304"/>
      <c r="T973" s="304"/>
      <c r="U973" s="304"/>
      <c r="V973" s="304"/>
      <c r="AL973" s="372" t="str">
        <f t="shared" si="44"/>
        <v/>
      </c>
    </row>
    <row r="974" spans="1:38" ht="15" customHeight="1" outlineLevel="1" x14ac:dyDescent="0.2">
      <c r="A974" s="403"/>
      <c r="B974" s="403"/>
      <c r="C974" s="403"/>
      <c r="D974" s="404"/>
      <c r="E974" s="405"/>
      <c r="F974" s="405"/>
      <c r="G974" s="403"/>
      <c r="H974" s="406"/>
      <c r="I974" s="406"/>
      <c r="J974" s="406"/>
      <c r="K974" s="304"/>
      <c r="L974" s="372"/>
      <c r="M974" s="372"/>
      <c r="N974" s="372"/>
      <c r="O974" s="372"/>
      <c r="P974" s="372"/>
      <c r="Q974" s="304"/>
      <c r="R974" s="304"/>
      <c r="S974" s="304"/>
      <c r="T974" s="304"/>
      <c r="U974" s="304"/>
      <c r="V974" s="304"/>
      <c r="AL974" s="372" t="str">
        <f t="shared" si="44"/>
        <v/>
      </c>
    </row>
    <row r="975" spans="1:38" ht="15" customHeight="1" outlineLevel="1" x14ac:dyDescent="0.2">
      <c r="A975" s="403"/>
      <c r="B975" s="403"/>
      <c r="C975" s="403"/>
      <c r="D975" s="404"/>
      <c r="E975" s="405"/>
      <c r="F975" s="405"/>
      <c r="G975" s="403"/>
      <c r="H975" s="406"/>
      <c r="I975" s="406"/>
      <c r="J975" s="406"/>
      <c r="K975" s="304"/>
      <c r="L975" s="372"/>
      <c r="M975" s="372"/>
      <c r="N975" s="372"/>
      <c r="O975" s="372"/>
      <c r="P975" s="372"/>
      <c r="Q975" s="304"/>
      <c r="R975" s="304"/>
      <c r="S975" s="304"/>
      <c r="T975" s="304"/>
      <c r="U975" s="304"/>
      <c r="V975" s="304"/>
      <c r="AL975" s="372" t="str">
        <f t="shared" si="44"/>
        <v/>
      </c>
    </row>
    <row r="976" spans="1:38" ht="15" customHeight="1" outlineLevel="1" x14ac:dyDescent="0.2">
      <c r="A976" s="403"/>
      <c r="B976" s="403"/>
      <c r="C976" s="403"/>
      <c r="D976" s="404"/>
      <c r="E976" s="405"/>
      <c r="F976" s="405"/>
      <c r="G976" s="403"/>
      <c r="H976" s="406"/>
      <c r="I976" s="406"/>
      <c r="J976" s="406"/>
      <c r="K976" s="304"/>
      <c r="L976" s="372"/>
      <c r="M976" s="372"/>
      <c r="N976" s="372"/>
      <c r="O976" s="372"/>
      <c r="P976" s="372"/>
      <c r="Q976" s="304"/>
      <c r="R976" s="304"/>
      <c r="S976" s="304"/>
      <c r="T976" s="304"/>
      <c r="U976" s="304"/>
      <c r="V976" s="304"/>
      <c r="AL976" s="372" t="str">
        <f t="shared" si="44"/>
        <v/>
      </c>
    </row>
    <row r="977" spans="1:38" ht="15" customHeight="1" outlineLevel="1" x14ac:dyDescent="0.2">
      <c r="A977" s="403"/>
      <c r="B977" s="403"/>
      <c r="C977" s="403"/>
      <c r="D977" s="404"/>
      <c r="E977" s="405"/>
      <c r="F977" s="405"/>
      <c r="G977" s="403"/>
      <c r="H977" s="406"/>
      <c r="I977" s="406"/>
      <c r="J977" s="406"/>
      <c r="K977" s="304"/>
      <c r="L977" s="372"/>
      <c r="M977" s="372"/>
      <c r="N977" s="372"/>
      <c r="O977" s="372"/>
      <c r="P977" s="372"/>
      <c r="Q977" s="304"/>
      <c r="R977" s="304"/>
      <c r="S977" s="304"/>
      <c r="T977" s="304"/>
      <c r="U977" s="304"/>
      <c r="V977" s="304"/>
      <c r="AL977" s="372" t="str">
        <f t="shared" ref="AL977:AL1040" si="45">IF(($C977=$AG$245)*($N977&gt;0)*ISNUMBER($I977),$I977*100000+ROW(),"")</f>
        <v/>
      </c>
    </row>
    <row r="978" spans="1:38" ht="15" customHeight="1" outlineLevel="1" x14ac:dyDescent="0.2">
      <c r="A978" s="403"/>
      <c r="B978" s="403"/>
      <c r="C978" s="403"/>
      <c r="D978" s="404"/>
      <c r="E978" s="405"/>
      <c r="F978" s="405"/>
      <c r="G978" s="403"/>
      <c r="H978" s="406"/>
      <c r="I978" s="406"/>
      <c r="J978" s="406"/>
      <c r="K978" s="304"/>
      <c r="L978" s="372"/>
      <c r="M978" s="372"/>
      <c r="N978" s="372"/>
      <c r="O978" s="372"/>
      <c r="P978" s="372"/>
      <c r="Q978" s="304"/>
      <c r="R978" s="304"/>
      <c r="S978" s="304"/>
      <c r="T978" s="304"/>
      <c r="U978" s="304"/>
      <c r="V978" s="304"/>
      <c r="AL978" s="372" t="str">
        <f t="shared" si="45"/>
        <v/>
      </c>
    </row>
    <row r="979" spans="1:38" ht="15" customHeight="1" outlineLevel="1" x14ac:dyDescent="0.2">
      <c r="A979" s="403"/>
      <c r="B979" s="403"/>
      <c r="C979" s="403"/>
      <c r="D979" s="404"/>
      <c r="E979" s="405"/>
      <c r="F979" s="405"/>
      <c r="G979" s="403"/>
      <c r="H979" s="406"/>
      <c r="I979" s="406"/>
      <c r="J979" s="406"/>
      <c r="K979" s="304"/>
      <c r="L979" s="372"/>
      <c r="M979" s="372"/>
      <c r="N979" s="372"/>
      <c r="O979" s="372"/>
      <c r="P979" s="372"/>
      <c r="Q979" s="304"/>
      <c r="R979" s="304"/>
      <c r="S979" s="304"/>
      <c r="T979" s="304"/>
      <c r="U979" s="304"/>
      <c r="V979" s="304"/>
      <c r="AL979" s="372" t="str">
        <f t="shared" si="45"/>
        <v/>
      </c>
    </row>
    <row r="980" spans="1:38" ht="15" customHeight="1" outlineLevel="1" x14ac:dyDescent="0.2">
      <c r="A980" s="403"/>
      <c r="B980" s="403"/>
      <c r="C980" s="403"/>
      <c r="D980" s="404"/>
      <c r="E980" s="405"/>
      <c r="F980" s="405"/>
      <c r="G980" s="403"/>
      <c r="H980" s="406"/>
      <c r="I980" s="406"/>
      <c r="J980" s="406"/>
      <c r="K980" s="304"/>
      <c r="L980" s="372"/>
      <c r="M980" s="372"/>
      <c r="N980" s="372"/>
      <c r="O980" s="372"/>
      <c r="P980" s="372"/>
      <c r="Q980" s="304"/>
      <c r="R980" s="304"/>
      <c r="S980" s="304"/>
      <c r="T980" s="304"/>
      <c r="U980" s="304"/>
      <c r="V980" s="304"/>
      <c r="AL980" s="372" t="str">
        <f t="shared" si="45"/>
        <v/>
      </c>
    </row>
    <row r="981" spans="1:38" ht="15" customHeight="1" outlineLevel="1" x14ac:dyDescent="0.2">
      <c r="A981" s="403"/>
      <c r="B981" s="403"/>
      <c r="C981" s="403"/>
      <c r="D981" s="404"/>
      <c r="E981" s="405"/>
      <c r="F981" s="405"/>
      <c r="G981" s="403"/>
      <c r="H981" s="406"/>
      <c r="I981" s="406"/>
      <c r="J981" s="406"/>
      <c r="K981" s="304"/>
      <c r="L981" s="372"/>
      <c r="M981" s="372"/>
      <c r="N981" s="372"/>
      <c r="O981" s="372"/>
      <c r="P981" s="372"/>
      <c r="Q981" s="304"/>
      <c r="R981" s="304"/>
      <c r="S981" s="304"/>
      <c r="T981" s="304"/>
      <c r="U981" s="304"/>
      <c r="V981" s="304"/>
      <c r="AL981" s="372" t="str">
        <f t="shared" si="45"/>
        <v/>
      </c>
    </row>
    <row r="982" spans="1:38" ht="15" customHeight="1" outlineLevel="1" x14ac:dyDescent="0.2">
      <c r="A982" s="403"/>
      <c r="B982" s="403"/>
      <c r="C982" s="403"/>
      <c r="D982" s="404"/>
      <c r="E982" s="405"/>
      <c r="F982" s="405"/>
      <c r="G982" s="403"/>
      <c r="H982" s="406"/>
      <c r="I982" s="406"/>
      <c r="J982" s="406"/>
      <c r="K982" s="304"/>
      <c r="L982" s="372"/>
      <c r="M982" s="372"/>
      <c r="N982" s="372"/>
      <c r="O982" s="372"/>
      <c r="P982" s="372"/>
      <c r="Q982" s="304"/>
      <c r="R982" s="304"/>
      <c r="S982" s="304"/>
      <c r="T982" s="304"/>
      <c r="U982" s="304"/>
      <c r="V982" s="304"/>
      <c r="AL982" s="372" t="str">
        <f t="shared" si="45"/>
        <v/>
      </c>
    </row>
    <row r="983" spans="1:38" ht="15" customHeight="1" outlineLevel="1" x14ac:dyDescent="0.2">
      <c r="A983" s="403"/>
      <c r="B983" s="403"/>
      <c r="C983" s="403"/>
      <c r="D983" s="404"/>
      <c r="E983" s="405"/>
      <c r="F983" s="405"/>
      <c r="G983" s="403"/>
      <c r="H983" s="406"/>
      <c r="I983" s="406"/>
      <c r="J983" s="406"/>
      <c r="K983" s="304"/>
      <c r="L983" s="372"/>
      <c r="M983" s="372"/>
      <c r="N983" s="372"/>
      <c r="O983" s="372"/>
      <c r="P983" s="372"/>
      <c r="Q983" s="304"/>
      <c r="R983" s="304"/>
      <c r="S983" s="304"/>
      <c r="T983" s="304"/>
      <c r="U983" s="304"/>
      <c r="V983" s="304"/>
      <c r="AL983" s="372" t="str">
        <f t="shared" si="45"/>
        <v/>
      </c>
    </row>
    <row r="984" spans="1:38" ht="15" customHeight="1" outlineLevel="1" x14ac:dyDescent="0.2">
      <c r="A984" s="403"/>
      <c r="B984" s="403"/>
      <c r="C984" s="403"/>
      <c r="D984" s="404"/>
      <c r="E984" s="405"/>
      <c r="F984" s="405"/>
      <c r="G984" s="403"/>
      <c r="H984" s="406"/>
      <c r="I984" s="406"/>
      <c r="J984" s="406"/>
      <c r="K984" s="304"/>
      <c r="L984" s="372"/>
      <c r="M984" s="372"/>
      <c r="N984" s="372"/>
      <c r="O984" s="372"/>
      <c r="P984" s="372"/>
      <c r="Q984" s="304"/>
      <c r="R984" s="304"/>
      <c r="S984" s="304"/>
      <c r="T984" s="304"/>
      <c r="U984" s="304"/>
      <c r="V984" s="304"/>
      <c r="AL984" s="372" t="str">
        <f t="shared" si="45"/>
        <v/>
      </c>
    </row>
    <row r="985" spans="1:38" ht="15" customHeight="1" outlineLevel="1" x14ac:dyDescent="0.2">
      <c r="A985" s="403"/>
      <c r="B985" s="403"/>
      <c r="C985" s="403"/>
      <c r="D985" s="404"/>
      <c r="E985" s="405"/>
      <c r="F985" s="405"/>
      <c r="G985" s="403"/>
      <c r="H985" s="406"/>
      <c r="I985" s="406"/>
      <c r="J985" s="406"/>
      <c r="K985" s="304"/>
      <c r="L985" s="372"/>
      <c r="M985" s="372"/>
      <c r="N985" s="372"/>
      <c r="O985" s="372"/>
      <c r="P985" s="372"/>
      <c r="Q985" s="304"/>
      <c r="R985" s="304"/>
      <c r="S985" s="304"/>
      <c r="T985" s="304"/>
      <c r="U985" s="304"/>
      <c r="V985" s="304"/>
      <c r="AL985" s="372" t="str">
        <f t="shared" si="45"/>
        <v/>
      </c>
    </row>
    <row r="986" spans="1:38" ht="15" customHeight="1" outlineLevel="1" x14ac:dyDescent="0.2">
      <c r="A986" s="403"/>
      <c r="B986" s="403"/>
      <c r="C986" s="403"/>
      <c r="D986" s="404"/>
      <c r="E986" s="405"/>
      <c r="F986" s="405"/>
      <c r="G986" s="403"/>
      <c r="H986" s="406"/>
      <c r="I986" s="406"/>
      <c r="J986" s="406"/>
      <c r="K986" s="304"/>
      <c r="L986" s="372"/>
      <c r="M986" s="372"/>
      <c r="N986" s="372"/>
      <c r="O986" s="372"/>
      <c r="P986" s="372"/>
      <c r="Q986" s="304"/>
      <c r="R986" s="304"/>
      <c r="S986" s="304"/>
      <c r="T986" s="304"/>
      <c r="U986" s="304"/>
      <c r="V986" s="304"/>
      <c r="AL986" s="372" t="str">
        <f t="shared" si="45"/>
        <v/>
      </c>
    </row>
    <row r="987" spans="1:38" ht="15" customHeight="1" outlineLevel="1" x14ac:dyDescent="0.2">
      <c r="A987" s="403"/>
      <c r="B987" s="403"/>
      <c r="C987" s="403"/>
      <c r="D987" s="404"/>
      <c r="E987" s="405"/>
      <c r="F987" s="405"/>
      <c r="G987" s="403"/>
      <c r="H987" s="406"/>
      <c r="I987" s="406"/>
      <c r="J987" s="406"/>
      <c r="K987" s="304"/>
      <c r="L987" s="372"/>
      <c r="M987" s="372"/>
      <c r="N987" s="372"/>
      <c r="O987" s="372"/>
      <c r="P987" s="372"/>
      <c r="Q987" s="304"/>
      <c r="R987" s="304"/>
      <c r="S987" s="304"/>
      <c r="T987" s="304"/>
      <c r="U987" s="304"/>
      <c r="V987" s="304"/>
      <c r="AL987" s="372" t="str">
        <f t="shared" si="45"/>
        <v/>
      </c>
    </row>
    <row r="988" spans="1:38" ht="15" customHeight="1" outlineLevel="1" x14ac:dyDescent="0.2">
      <c r="A988" s="403"/>
      <c r="B988" s="403"/>
      <c r="C988" s="403"/>
      <c r="D988" s="404"/>
      <c r="E988" s="405"/>
      <c r="F988" s="405"/>
      <c r="G988" s="403"/>
      <c r="H988" s="406"/>
      <c r="I988" s="406"/>
      <c r="J988" s="406"/>
      <c r="K988" s="304"/>
      <c r="L988" s="372"/>
      <c r="M988" s="372"/>
      <c r="N988" s="372"/>
      <c r="O988" s="372"/>
      <c r="P988" s="372"/>
      <c r="Q988" s="304"/>
      <c r="R988" s="304"/>
      <c r="S988" s="304"/>
      <c r="T988" s="304"/>
      <c r="U988" s="304"/>
      <c r="V988" s="304"/>
      <c r="AL988" s="372" t="str">
        <f t="shared" si="45"/>
        <v/>
      </c>
    </row>
    <row r="989" spans="1:38" ht="15" customHeight="1" outlineLevel="1" x14ac:dyDescent="0.2">
      <c r="A989" s="403"/>
      <c r="B989" s="403"/>
      <c r="C989" s="403"/>
      <c r="D989" s="404"/>
      <c r="E989" s="405"/>
      <c r="F989" s="405"/>
      <c r="G989" s="403"/>
      <c r="H989" s="406"/>
      <c r="I989" s="406"/>
      <c r="J989" s="406"/>
      <c r="K989" s="304"/>
      <c r="L989" s="372"/>
      <c r="M989" s="372"/>
      <c r="N989" s="372"/>
      <c r="O989" s="372"/>
      <c r="P989" s="372"/>
      <c r="Q989" s="304"/>
      <c r="R989" s="304"/>
      <c r="S989" s="304"/>
      <c r="T989" s="304"/>
      <c r="U989" s="304"/>
      <c r="V989" s="304"/>
      <c r="AL989" s="372" t="str">
        <f t="shared" si="45"/>
        <v/>
      </c>
    </row>
    <row r="990" spans="1:38" ht="15" customHeight="1" outlineLevel="1" x14ac:dyDescent="0.2">
      <c r="A990" s="403"/>
      <c r="B990" s="403"/>
      <c r="C990" s="403"/>
      <c r="D990" s="404"/>
      <c r="E990" s="405"/>
      <c r="F990" s="405"/>
      <c r="G990" s="403"/>
      <c r="H990" s="406"/>
      <c r="I990" s="406"/>
      <c r="J990" s="406"/>
      <c r="K990" s="304"/>
      <c r="L990" s="372"/>
      <c r="M990" s="372"/>
      <c r="N990" s="372"/>
      <c r="O990" s="372"/>
      <c r="P990" s="372"/>
      <c r="Q990" s="304"/>
      <c r="R990" s="304"/>
      <c r="S990" s="304"/>
      <c r="T990" s="304"/>
      <c r="U990" s="304"/>
      <c r="V990" s="304"/>
      <c r="AL990" s="372" t="str">
        <f t="shared" si="45"/>
        <v/>
      </c>
    </row>
    <row r="991" spans="1:38" ht="15" customHeight="1" outlineLevel="1" x14ac:dyDescent="0.2">
      <c r="A991" s="403"/>
      <c r="B991" s="403"/>
      <c r="C991" s="403"/>
      <c r="D991" s="404"/>
      <c r="E991" s="405"/>
      <c r="F991" s="405"/>
      <c r="G991" s="403"/>
      <c r="H991" s="406"/>
      <c r="I991" s="406"/>
      <c r="J991" s="406"/>
      <c r="K991" s="304"/>
      <c r="L991" s="372"/>
      <c r="M991" s="372"/>
      <c r="N991" s="372"/>
      <c r="O991" s="372"/>
      <c r="P991" s="372"/>
      <c r="Q991" s="304"/>
      <c r="R991" s="304"/>
      <c r="S991" s="304"/>
      <c r="T991" s="304"/>
      <c r="U991" s="304"/>
      <c r="V991" s="304"/>
      <c r="AL991" s="372" t="str">
        <f t="shared" si="45"/>
        <v/>
      </c>
    </row>
    <row r="992" spans="1:38" ht="15" customHeight="1" outlineLevel="1" x14ac:dyDescent="0.2">
      <c r="A992" s="403"/>
      <c r="B992" s="403"/>
      <c r="C992" s="403"/>
      <c r="D992" s="404"/>
      <c r="E992" s="405"/>
      <c r="F992" s="405"/>
      <c r="G992" s="403"/>
      <c r="H992" s="406"/>
      <c r="I992" s="406"/>
      <c r="J992" s="406"/>
      <c r="K992" s="304"/>
      <c r="L992" s="372"/>
      <c r="M992" s="372"/>
      <c r="N992" s="372"/>
      <c r="O992" s="372"/>
      <c r="P992" s="372"/>
      <c r="Q992" s="304"/>
      <c r="R992" s="304"/>
      <c r="S992" s="304"/>
      <c r="T992" s="304"/>
      <c r="U992" s="304"/>
      <c r="V992" s="304"/>
      <c r="AL992" s="372" t="str">
        <f t="shared" si="45"/>
        <v/>
      </c>
    </row>
    <row r="993" spans="1:38" ht="15" customHeight="1" outlineLevel="1" x14ac:dyDescent="0.2">
      <c r="A993" s="403"/>
      <c r="B993" s="403"/>
      <c r="C993" s="403"/>
      <c r="D993" s="404"/>
      <c r="E993" s="405"/>
      <c r="F993" s="405"/>
      <c r="G993" s="403"/>
      <c r="H993" s="406"/>
      <c r="I993" s="406"/>
      <c r="J993" s="406"/>
      <c r="K993" s="304"/>
      <c r="L993" s="372"/>
      <c r="M993" s="372"/>
      <c r="N993" s="372"/>
      <c r="O993" s="372"/>
      <c r="P993" s="372"/>
      <c r="Q993" s="304"/>
      <c r="R993" s="304"/>
      <c r="S993" s="304"/>
      <c r="T993" s="304"/>
      <c r="U993" s="304"/>
      <c r="V993" s="304"/>
      <c r="AL993" s="372" t="str">
        <f t="shared" si="45"/>
        <v/>
      </c>
    </row>
    <row r="994" spans="1:38" ht="15" customHeight="1" outlineLevel="1" x14ac:dyDescent="0.2">
      <c r="A994" s="403"/>
      <c r="B994" s="403"/>
      <c r="C994" s="403"/>
      <c r="D994" s="404"/>
      <c r="E994" s="405"/>
      <c r="F994" s="405"/>
      <c r="G994" s="403"/>
      <c r="H994" s="406"/>
      <c r="I994" s="406"/>
      <c r="J994" s="406"/>
      <c r="K994" s="304"/>
      <c r="L994" s="372"/>
      <c r="M994" s="372"/>
      <c r="N994" s="372"/>
      <c r="O994" s="372"/>
      <c r="P994" s="372"/>
      <c r="Q994" s="304"/>
      <c r="R994" s="304"/>
      <c r="S994" s="304"/>
      <c r="T994" s="304"/>
      <c r="U994" s="304"/>
      <c r="V994" s="304"/>
      <c r="AL994" s="372" t="str">
        <f t="shared" si="45"/>
        <v/>
      </c>
    </row>
    <row r="995" spans="1:38" ht="15" customHeight="1" outlineLevel="1" x14ac:dyDescent="0.2">
      <c r="A995" s="403"/>
      <c r="B995" s="403"/>
      <c r="C995" s="403"/>
      <c r="D995" s="404"/>
      <c r="E995" s="405"/>
      <c r="F995" s="405"/>
      <c r="G995" s="403"/>
      <c r="H995" s="406"/>
      <c r="I995" s="406"/>
      <c r="J995" s="406"/>
      <c r="K995" s="304"/>
      <c r="L995" s="372"/>
      <c r="M995" s="372"/>
      <c r="N995" s="372"/>
      <c r="O995" s="372"/>
      <c r="P995" s="372"/>
      <c r="Q995" s="304"/>
      <c r="R995" s="304"/>
      <c r="S995" s="304"/>
      <c r="T995" s="304"/>
      <c r="U995" s="304"/>
      <c r="V995" s="304"/>
      <c r="AL995" s="372" t="str">
        <f t="shared" si="45"/>
        <v/>
      </c>
    </row>
    <row r="996" spans="1:38" ht="15" customHeight="1" outlineLevel="1" x14ac:dyDescent="0.2">
      <c r="A996" s="403"/>
      <c r="B996" s="403"/>
      <c r="C996" s="403"/>
      <c r="D996" s="404"/>
      <c r="E996" s="405"/>
      <c r="F996" s="405"/>
      <c r="G996" s="403"/>
      <c r="H996" s="406"/>
      <c r="I996" s="406"/>
      <c r="J996" s="406"/>
      <c r="K996" s="304"/>
      <c r="L996" s="372"/>
      <c r="M996" s="372"/>
      <c r="N996" s="372"/>
      <c r="O996" s="372"/>
      <c r="P996" s="372"/>
      <c r="Q996" s="304"/>
      <c r="R996" s="304"/>
      <c r="S996" s="304"/>
      <c r="T996" s="304"/>
      <c r="U996" s="304"/>
      <c r="V996" s="304"/>
      <c r="AL996" s="372" t="str">
        <f t="shared" si="45"/>
        <v/>
      </c>
    </row>
    <row r="997" spans="1:38" ht="15" customHeight="1" outlineLevel="1" x14ac:dyDescent="0.2">
      <c r="A997" s="403"/>
      <c r="B997" s="403"/>
      <c r="C997" s="403"/>
      <c r="D997" s="404"/>
      <c r="E997" s="405"/>
      <c r="F997" s="405"/>
      <c r="G997" s="403"/>
      <c r="H997" s="406"/>
      <c r="I997" s="406"/>
      <c r="J997" s="406"/>
      <c r="K997" s="304"/>
      <c r="L997" s="372"/>
      <c r="M997" s="372"/>
      <c r="N997" s="372"/>
      <c r="O997" s="372"/>
      <c r="P997" s="372"/>
      <c r="Q997" s="304"/>
      <c r="R997" s="304"/>
      <c r="S997" s="304"/>
      <c r="T997" s="304"/>
      <c r="U997" s="304"/>
      <c r="V997" s="304"/>
      <c r="AL997" s="372" t="str">
        <f t="shared" si="45"/>
        <v/>
      </c>
    </row>
    <row r="998" spans="1:38" ht="15" customHeight="1" outlineLevel="1" x14ac:dyDescent="0.2">
      <c r="A998" s="403"/>
      <c r="B998" s="403"/>
      <c r="C998" s="403"/>
      <c r="D998" s="404"/>
      <c r="E998" s="405"/>
      <c r="F998" s="405"/>
      <c r="G998" s="403"/>
      <c r="H998" s="406"/>
      <c r="I998" s="406"/>
      <c r="J998" s="406"/>
      <c r="K998" s="304"/>
      <c r="L998" s="372"/>
      <c r="M998" s="372"/>
      <c r="N998" s="372"/>
      <c r="O998" s="372"/>
      <c r="P998" s="372"/>
      <c r="Q998" s="304"/>
      <c r="R998" s="304"/>
      <c r="S998" s="304"/>
      <c r="T998" s="304"/>
      <c r="U998" s="304"/>
      <c r="V998" s="304"/>
      <c r="AL998" s="372" t="str">
        <f t="shared" si="45"/>
        <v/>
      </c>
    </row>
    <row r="999" spans="1:38" ht="15" customHeight="1" outlineLevel="1" x14ac:dyDescent="0.2">
      <c r="A999" s="403"/>
      <c r="B999" s="403"/>
      <c r="C999" s="403"/>
      <c r="D999" s="404"/>
      <c r="E999" s="405"/>
      <c r="F999" s="405"/>
      <c r="G999" s="403"/>
      <c r="H999" s="406"/>
      <c r="I999" s="406"/>
      <c r="J999" s="406"/>
      <c r="K999" s="304"/>
      <c r="L999" s="372"/>
      <c r="M999" s="372"/>
      <c r="N999" s="372"/>
      <c r="O999" s="372"/>
      <c r="P999" s="372"/>
      <c r="Q999" s="304"/>
      <c r="R999" s="304"/>
      <c r="S999" s="304"/>
      <c r="T999" s="304"/>
      <c r="U999" s="304"/>
      <c r="V999" s="304"/>
      <c r="AL999" s="372" t="str">
        <f t="shared" si="45"/>
        <v/>
      </c>
    </row>
    <row r="1000" spans="1:38" ht="15" customHeight="1" outlineLevel="1" x14ac:dyDescent="0.2">
      <c r="A1000" s="403"/>
      <c r="B1000" s="403"/>
      <c r="C1000" s="403"/>
      <c r="D1000" s="404"/>
      <c r="E1000" s="405"/>
      <c r="F1000" s="405"/>
      <c r="G1000" s="403"/>
      <c r="H1000" s="406"/>
      <c r="I1000" s="406"/>
      <c r="J1000" s="406"/>
      <c r="K1000" s="304"/>
      <c r="L1000" s="372"/>
      <c r="M1000" s="372"/>
      <c r="N1000" s="372"/>
      <c r="O1000" s="372"/>
      <c r="P1000" s="372"/>
      <c r="Q1000" s="304"/>
      <c r="R1000" s="304"/>
      <c r="S1000" s="304"/>
      <c r="T1000" s="304"/>
      <c r="U1000" s="304"/>
      <c r="V1000" s="304"/>
      <c r="AL1000" s="372" t="str">
        <f t="shared" si="45"/>
        <v/>
      </c>
    </row>
    <row r="1001" spans="1:38" ht="15" customHeight="1" outlineLevel="1" x14ac:dyDescent="0.2">
      <c r="A1001" s="403"/>
      <c r="B1001" s="403"/>
      <c r="C1001" s="403"/>
      <c r="D1001" s="404"/>
      <c r="E1001" s="405"/>
      <c r="F1001" s="405"/>
      <c r="G1001" s="403"/>
      <c r="H1001" s="406"/>
      <c r="I1001" s="406"/>
      <c r="J1001" s="406"/>
      <c r="K1001" s="304"/>
      <c r="L1001" s="372"/>
      <c r="M1001" s="372"/>
      <c r="N1001" s="372"/>
      <c r="O1001" s="372"/>
      <c r="P1001" s="372"/>
      <c r="Q1001" s="304"/>
      <c r="R1001" s="304"/>
      <c r="S1001" s="304"/>
      <c r="T1001" s="304"/>
      <c r="U1001" s="304"/>
      <c r="V1001" s="304"/>
      <c r="AL1001" s="372" t="str">
        <f t="shared" si="45"/>
        <v/>
      </c>
    </row>
    <row r="1002" spans="1:38" ht="15" customHeight="1" outlineLevel="1" x14ac:dyDescent="0.2">
      <c r="A1002" s="403"/>
      <c r="B1002" s="403"/>
      <c r="C1002" s="403"/>
      <c r="D1002" s="404"/>
      <c r="E1002" s="405"/>
      <c r="F1002" s="405"/>
      <c r="G1002" s="403"/>
      <c r="H1002" s="406"/>
      <c r="I1002" s="406"/>
      <c r="J1002" s="406"/>
      <c r="K1002" s="304"/>
      <c r="L1002" s="372"/>
      <c r="M1002" s="372"/>
      <c r="N1002" s="372"/>
      <c r="O1002" s="372"/>
      <c r="P1002" s="372"/>
      <c r="Q1002" s="304"/>
      <c r="R1002" s="304"/>
      <c r="S1002" s="304"/>
      <c r="T1002" s="304"/>
      <c r="U1002" s="304"/>
      <c r="V1002" s="304"/>
      <c r="AL1002" s="372" t="str">
        <f t="shared" si="45"/>
        <v/>
      </c>
    </row>
    <row r="1003" spans="1:38" ht="15" customHeight="1" outlineLevel="1" x14ac:dyDescent="0.2">
      <c r="A1003" s="403"/>
      <c r="B1003" s="403"/>
      <c r="C1003" s="403"/>
      <c r="D1003" s="404"/>
      <c r="E1003" s="405"/>
      <c r="F1003" s="405"/>
      <c r="G1003" s="403"/>
      <c r="H1003" s="406"/>
      <c r="I1003" s="406"/>
      <c r="J1003" s="406"/>
      <c r="K1003" s="304"/>
      <c r="L1003" s="372"/>
      <c r="M1003" s="372"/>
      <c r="N1003" s="372"/>
      <c r="O1003" s="372"/>
      <c r="P1003" s="372"/>
      <c r="Q1003" s="304"/>
      <c r="R1003" s="304"/>
      <c r="S1003" s="304"/>
      <c r="T1003" s="304"/>
      <c r="U1003" s="304"/>
      <c r="V1003" s="304"/>
      <c r="AL1003" s="372" t="str">
        <f t="shared" si="45"/>
        <v/>
      </c>
    </row>
    <row r="1004" spans="1:38" ht="15" customHeight="1" outlineLevel="1" x14ac:dyDescent="0.2">
      <c r="A1004" s="403"/>
      <c r="B1004" s="403"/>
      <c r="C1004" s="403"/>
      <c r="D1004" s="404"/>
      <c r="E1004" s="405"/>
      <c r="F1004" s="405"/>
      <c r="G1004" s="403"/>
      <c r="H1004" s="406"/>
      <c r="I1004" s="406"/>
      <c r="J1004" s="406"/>
      <c r="K1004" s="304"/>
      <c r="L1004" s="372"/>
      <c r="M1004" s="372"/>
      <c r="N1004" s="372"/>
      <c r="O1004" s="372"/>
      <c r="P1004" s="372"/>
      <c r="Q1004" s="304"/>
      <c r="R1004" s="304"/>
      <c r="S1004" s="304"/>
      <c r="T1004" s="304"/>
      <c r="U1004" s="304"/>
      <c r="V1004" s="304"/>
      <c r="AL1004" s="372" t="str">
        <f t="shared" si="45"/>
        <v/>
      </c>
    </row>
    <row r="1005" spans="1:38" ht="15" customHeight="1" outlineLevel="1" x14ac:dyDescent="0.2">
      <c r="A1005" s="403"/>
      <c r="B1005" s="403"/>
      <c r="C1005" s="403"/>
      <c r="D1005" s="404"/>
      <c r="E1005" s="405"/>
      <c r="F1005" s="405"/>
      <c r="G1005" s="403"/>
      <c r="H1005" s="406"/>
      <c r="I1005" s="406"/>
      <c r="J1005" s="406"/>
      <c r="K1005" s="304"/>
      <c r="L1005" s="372"/>
      <c r="M1005" s="372"/>
      <c r="N1005" s="372"/>
      <c r="O1005" s="372"/>
      <c r="P1005" s="372"/>
      <c r="Q1005" s="304"/>
      <c r="R1005" s="304"/>
      <c r="S1005" s="304"/>
      <c r="T1005" s="304"/>
      <c r="U1005" s="304"/>
      <c r="V1005" s="304"/>
      <c r="AL1005" s="372" t="str">
        <f t="shared" si="45"/>
        <v/>
      </c>
    </row>
    <row r="1006" spans="1:38" ht="15" customHeight="1" outlineLevel="1" x14ac:dyDescent="0.2">
      <c r="A1006" s="403"/>
      <c r="B1006" s="403"/>
      <c r="C1006" s="403"/>
      <c r="D1006" s="404"/>
      <c r="E1006" s="405"/>
      <c r="F1006" s="405"/>
      <c r="G1006" s="403"/>
      <c r="H1006" s="406"/>
      <c r="I1006" s="406"/>
      <c r="J1006" s="406"/>
      <c r="K1006" s="304"/>
      <c r="L1006" s="372"/>
      <c r="M1006" s="372"/>
      <c r="N1006" s="372"/>
      <c r="O1006" s="372"/>
      <c r="P1006" s="372"/>
      <c r="Q1006" s="304"/>
      <c r="R1006" s="304"/>
      <c r="S1006" s="304"/>
      <c r="T1006" s="304"/>
      <c r="U1006" s="304"/>
      <c r="V1006" s="304"/>
      <c r="AL1006" s="372" t="str">
        <f t="shared" si="45"/>
        <v/>
      </c>
    </row>
    <row r="1007" spans="1:38" ht="15" customHeight="1" outlineLevel="1" x14ac:dyDescent="0.2">
      <c r="A1007" s="403"/>
      <c r="B1007" s="403"/>
      <c r="C1007" s="403"/>
      <c r="D1007" s="404"/>
      <c r="E1007" s="405"/>
      <c r="F1007" s="405"/>
      <c r="G1007" s="403"/>
      <c r="H1007" s="406"/>
      <c r="I1007" s="406"/>
      <c r="J1007" s="406"/>
      <c r="K1007" s="304"/>
      <c r="L1007" s="372"/>
      <c r="M1007" s="372"/>
      <c r="N1007" s="372"/>
      <c r="O1007" s="372"/>
      <c r="P1007" s="372"/>
      <c r="Q1007" s="304"/>
      <c r="R1007" s="304"/>
      <c r="S1007" s="304"/>
      <c r="T1007" s="304"/>
      <c r="U1007" s="304"/>
      <c r="V1007" s="304"/>
      <c r="AL1007" s="372" t="str">
        <f t="shared" si="45"/>
        <v/>
      </c>
    </row>
    <row r="1008" spans="1:38" ht="15" customHeight="1" outlineLevel="1" x14ac:dyDescent="0.2">
      <c r="A1008" s="403"/>
      <c r="B1008" s="403"/>
      <c r="C1008" s="403"/>
      <c r="D1008" s="404"/>
      <c r="E1008" s="405"/>
      <c r="F1008" s="405"/>
      <c r="G1008" s="403"/>
      <c r="H1008" s="406"/>
      <c r="I1008" s="406"/>
      <c r="J1008" s="406"/>
      <c r="K1008" s="304"/>
      <c r="L1008" s="372"/>
      <c r="M1008" s="372"/>
      <c r="N1008" s="372"/>
      <c r="O1008" s="372"/>
      <c r="P1008" s="372"/>
      <c r="Q1008" s="304"/>
      <c r="R1008" s="304"/>
      <c r="S1008" s="304"/>
      <c r="T1008" s="304"/>
      <c r="U1008" s="304"/>
      <c r="V1008" s="304"/>
      <c r="AL1008" s="372" t="str">
        <f t="shared" si="45"/>
        <v/>
      </c>
    </row>
    <row r="1009" spans="1:38" ht="15" customHeight="1" outlineLevel="1" x14ac:dyDescent="0.2">
      <c r="A1009" s="403"/>
      <c r="B1009" s="403"/>
      <c r="C1009" s="403"/>
      <c r="D1009" s="404"/>
      <c r="E1009" s="405"/>
      <c r="F1009" s="405"/>
      <c r="G1009" s="403"/>
      <c r="H1009" s="406"/>
      <c r="I1009" s="406"/>
      <c r="J1009" s="406"/>
      <c r="K1009" s="304"/>
      <c r="L1009" s="372"/>
      <c r="M1009" s="372"/>
      <c r="N1009" s="372"/>
      <c r="O1009" s="372"/>
      <c r="P1009" s="372"/>
      <c r="Q1009" s="304"/>
      <c r="R1009" s="304"/>
      <c r="S1009" s="304"/>
      <c r="T1009" s="304"/>
      <c r="U1009" s="304"/>
      <c r="V1009" s="304"/>
      <c r="AL1009" s="372" t="str">
        <f t="shared" si="45"/>
        <v/>
      </c>
    </row>
    <row r="1010" spans="1:38" ht="15" customHeight="1" outlineLevel="1" x14ac:dyDescent="0.2">
      <c r="A1010" s="403"/>
      <c r="B1010" s="403"/>
      <c r="C1010" s="403"/>
      <c r="D1010" s="404"/>
      <c r="E1010" s="405"/>
      <c r="F1010" s="405"/>
      <c r="G1010" s="403"/>
      <c r="H1010" s="406"/>
      <c r="I1010" s="406"/>
      <c r="J1010" s="406"/>
      <c r="K1010" s="304"/>
      <c r="L1010" s="372"/>
      <c r="M1010" s="372"/>
      <c r="N1010" s="372"/>
      <c r="O1010" s="372"/>
      <c r="P1010" s="372"/>
      <c r="Q1010" s="304"/>
      <c r="R1010" s="304"/>
      <c r="S1010" s="304"/>
      <c r="T1010" s="304"/>
      <c r="U1010" s="304"/>
      <c r="V1010" s="304"/>
      <c r="AL1010" s="372" t="str">
        <f t="shared" si="45"/>
        <v/>
      </c>
    </row>
    <row r="1011" spans="1:38" ht="15" customHeight="1" outlineLevel="1" x14ac:dyDescent="0.2">
      <c r="A1011" s="403"/>
      <c r="B1011" s="403"/>
      <c r="C1011" s="403"/>
      <c r="D1011" s="404"/>
      <c r="E1011" s="405"/>
      <c r="F1011" s="405"/>
      <c r="G1011" s="403"/>
      <c r="H1011" s="406"/>
      <c r="I1011" s="406"/>
      <c r="J1011" s="406"/>
      <c r="K1011" s="304"/>
      <c r="L1011" s="372"/>
      <c r="M1011" s="372"/>
      <c r="N1011" s="372"/>
      <c r="O1011" s="372"/>
      <c r="P1011" s="372"/>
      <c r="Q1011" s="304"/>
      <c r="R1011" s="304"/>
      <c r="S1011" s="304"/>
      <c r="T1011" s="304"/>
      <c r="U1011" s="304"/>
      <c r="V1011" s="304"/>
      <c r="AL1011" s="372" t="str">
        <f t="shared" si="45"/>
        <v/>
      </c>
    </row>
    <row r="1012" spans="1:38" ht="15" customHeight="1" outlineLevel="1" x14ac:dyDescent="0.2">
      <c r="A1012" s="403"/>
      <c r="B1012" s="403"/>
      <c r="C1012" s="403"/>
      <c r="D1012" s="404"/>
      <c r="E1012" s="405"/>
      <c r="F1012" s="405"/>
      <c r="G1012" s="403"/>
      <c r="H1012" s="406"/>
      <c r="I1012" s="406"/>
      <c r="J1012" s="406"/>
      <c r="K1012" s="304"/>
      <c r="L1012" s="372"/>
      <c r="M1012" s="372"/>
      <c r="N1012" s="372"/>
      <c r="O1012" s="372"/>
      <c r="P1012" s="372"/>
      <c r="Q1012" s="304"/>
      <c r="R1012" s="304"/>
      <c r="S1012" s="304"/>
      <c r="T1012" s="304"/>
      <c r="U1012" s="304"/>
      <c r="V1012" s="304"/>
      <c r="AL1012" s="372" t="str">
        <f t="shared" si="45"/>
        <v/>
      </c>
    </row>
    <row r="1013" spans="1:38" ht="15" customHeight="1" outlineLevel="1" x14ac:dyDescent="0.2">
      <c r="A1013" s="403"/>
      <c r="B1013" s="403"/>
      <c r="C1013" s="403"/>
      <c r="D1013" s="404"/>
      <c r="E1013" s="405"/>
      <c r="F1013" s="405"/>
      <c r="G1013" s="403"/>
      <c r="H1013" s="406"/>
      <c r="I1013" s="406"/>
      <c r="J1013" s="406"/>
      <c r="K1013" s="304"/>
      <c r="L1013" s="372"/>
      <c r="M1013" s="372"/>
      <c r="N1013" s="372"/>
      <c r="O1013" s="372"/>
      <c r="P1013" s="372"/>
      <c r="Q1013" s="304"/>
      <c r="R1013" s="304"/>
      <c r="S1013" s="304"/>
      <c r="T1013" s="304"/>
      <c r="U1013" s="304"/>
      <c r="V1013" s="304"/>
      <c r="AL1013" s="372" t="str">
        <f t="shared" si="45"/>
        <v/>
      </c>
    </row>
    <row r="1014" spans="1:38" ht="15" customHeight="1" outlineLevel="1" x14ac:dyDescent="0.2">
      <c r="A1014" s="403"/>
      <c r="B1014" s="403"/>
      <c r="C1014" s="403"/>
      <c r="D1014" s="404"/>
      <c r="E1014" s="405"/>
      <c r="F1014" s="405"/>
      <c r="G1014" s="403"/>
      <c r="H1014" s="406"/>
      <c r="I1014" s="406"/>
      <c r="J1014" s="406"/>
      <c r="K1014" s="304"/>
      <c r="L1014" s="372"/>
      <c r="M1014" s="372"/>
      <c r="N1014" s="372"/>
      <c r="O1014" s="372"/>
      <c r="P1014" s="372"/>
      <c r="Q1014" s="304"/>
      <c r="R1014" s="304"/>
      <c r="S1014" s="304"/>
      <c r="T1014" s="304"/>
      <c r="U1014" s="304"/>
      <c r="V1014" s="304"/>
      <c r="AL1014" s="372" t="str">
        <f t="shared" si="45"/>
        <v/>
      </c>
    </row>
    <row r="1015" spans="1:38" ht="15" customHeight="1" outlineLevel="1" x14ac:dyDescent="0.2">
      <c r="A1015" s="403"/>
      <c r="B1015" s="403"/>
      <c r="C1015" s="403"/>
      <c r="D1015" s="404"/>
      <c r="E1015" s="405"/>
      <c r="F1015" s="405"/>
      <c r="G1015" s="403"/>
      <c r="H1015" s="406"/>
      <c r="I1015" s="406"/>
      <c r="J1015" s="406"/>
      <c r="K1015" s="304"/>
      <c r="L1015" s="372"/>
      <c r="M1015" s="372"/>
      <c r="N1015" s="372"/>
      <c r="O1015" s="372"/>
      <c r="P1015" s="372"/>
      <c r="Q1015" s="304"/>
      <c r="R1015" s="304"/>
      <c r="S1015" s="304"/>
      <c r="T1015" s="304"/>
      <c r="U1015" s="304"/>
      <c r="V1015" s="304"/>
      <c r="AL1015" s="372" t="str">
        <f t="shared" si="45"/>
        <v/>
      </c>
    </row>
    <row r="1016" spans="1:38" ht="15" customHeight="1" outlineLevel="1" x14ac:dyDescent="0.2">
      <c r="A1016" s="403"/>
      <c r="B1016" s="403"/>
      <c r="C1016" s="403"/>
      <c r="D1016" s="404"/>
      <c r="E1016" s="405"/>
      <c r="F1016" s="405"/>
      <c r="G1016" s="403"/>
      <c r="H1016" s="406"/>
      <c r="I1016" s="406"/>
      <c r="J1016" s="406"/>
      <c r="K1016" s="304"/>
      <c r="L1016" s="372"/>
      <c r="M1016" s="372"/>
      <c r="N1016" s="372"/>
      <c r="O1016" s="372"/>
      <c r="P1016" s="372"/>
      <c r="Q1016" s="304"/>
      <c r="R1016" s="304"/>
      <c r="S1016" s="304"/>
      <c r="T1016" s="304"/>
      <c r="U1016" s="304"/>
      <c r="V1016" s="304"/>
      <c r="AL1016" s="372" t="str">
        <f t="shared" si="45"/>
        <v/>
      </c>
    </row>
    <row r="1017" spans="1:38" ht="15" customHeight="1" outlineLevel="1" x14ac:dyDescent="0.2">
      <c r="A1017" s="403"/>
      <c r="B1017" s="403"/>
      <c r="C1017" s="403"/>
      <c r="D1017" s="404"/>
      <c r="E1017" s="405"/>
      <c r="F1017" s="405"/>
      <c r="G1017" s="403"/>
      <c r="H1017" s="406"/>
      <c r="I1017" s="406"/>
      <c r="J1017" s="406"/>
      <c r="K1017" s="304"/>
      <c r="L1017" s="372"/>
      <c r="M1017" s="372"/>
      <c r="N1017" s="372"/>
      <c r="O1017" s="372"/>
      <c r="P1017" s="372"/>
      <c r="Q1017" s="304"/>
      <c r="R1017" s="304"/>
      <c r="S1017" s="304"/>
      <c r="T1017" s="304"/>
      <c r="U1017" s="304"/>
      <c r="V1017" s="304"/>
      <c r="AL1017" s="372" t="str">
        <f t="shared" si="45"/>
        <v/>
      </c>
    </row>
    <row r="1018" spans="1:38" ht="15" customHeight="1" outlineLevel="1" x14ac:dyDescent="0.2">
      <c r="A1018" s="403"/>
      <c r="B1018" s="403"/>
      <c r="C1018" s="403"/>
      <c r="D1018" s="404"/>
      <c r="E1018" s="405"/>
      <c r="F1018" s="405"/>
      <c r="G1018" s="403"/>
      <c r="H1018" s="406"/>
      <c r="I1018" s="406"/>
      <c r="J1018" s="406"/>
      <c r="K1018" s="304"/>
      <c r="L1018" s="372"/>
      <c r="M1018" s="372"/>
      <c r="N1018" s="372"/>
      <c r="O1018" s="372"/>
      <c r="P1018" s="372"/>
      <c r="Q1018" s="304"/>
      <c r="R1018" s="304"/>
      <c r="S1018" s="304"/>
      <c r="T1018" s="304"/>
      <c r="U1018" s="304"/>
      <c r="V1018" s="304"/>
      <c r="AL1018" s="372" t="str">
        <f t="shared" si="45"/>
        <v/>
      </c>
    </row>
    <row r="1019" spans="1:38" ht="15" customHeight="1" outlineLevel="1" x14ac:dyDescent="0.2">
      <c r="A1019" s="403"/>
      <c r="B1019" s="403"/>
      <c r="C1019" s="403"/>
      <c r="D1019" s="404"/>
      <c r="E1019" s="405"/>
      <c r="F1019" s="405"/>
      <c r="G1019" s="403"/>
      <c r="H1019" s="406"/>
      <c r="I1019" s="406"/>
      <c r="J1019" s="406"/>
      <c r="K1019" s="304"/>
      <c r="L1019" s="372"/>
      <c r="M1019" s="372"/>
      <c r="N1019" s="372"/>
      <c r="O1019" s="372"/>
      <c r="P1019" s="372"/>
      <c r="Q1019" s="304"/>
      <c r="R1019" s="304"/>
      <c r="S1019" s="304"/>
      <c r="T1019" s="304"/>
      <c r="U1019" s="304"/>
      <c r="V1019" s="304"/>
      <c r="AL1019" s="372" t="str">
        <f t="shared" si="45"/>
        <v/>
      </c>
    </row>
    <row r="1020" spans="1:38" ht="15" customHeight="1" outlineLevel="1" x14ac:dyDescent="0.2">
      <c r="A1020" s="403"/>
      <c r="B1020" s="403"/>
      <c r="C1020" s="403"/>
      <c r="D1020" s="404"/>
      <c r="E1020" s="405"/>
      <c r="F1020" s="405"/>
      <c r="G1020" s="403"/>
      <c r="H1020" s="406"/>
      <c r="I1020" s="406"/>
      <c r="J1020" s="406"/>
      <c r="K1020" s="304"/>
      <c r="L1020" s="372"/>
      <c r="M1020" s="372"/>
      <c r="N1020" s="372"/>
      <c r="O1020" s="372"/>
      <c r="P1020" s="372"/>
      <c r="Q1020" s="304"/>
      <c r="R1020" s="304"/>
      <c r="S1020" s="304"/>
      <c r="T1020" s="304"/>
      <c r="U1020" s="304"/>
      <c r="V1020" s="304"/>
      <c r="AL1020" s="372" t="str">
        <f t="shared" si="45"/>
        <v/>
      </c>
    </row>
    <row r="1021" spans="1:38" ht="15" customHeight="1" outlineLevel="1" x14ac:dyDescent="0.2">
      <c r="A1021" s="403"/>
      <c r="B1021" s="403"/>
      <c r="C1021" s="403"/>
      <c r="D1021" s="404"/>
      <c r="E1021" s="405"/>
      <c r="F1021" s="405"/>
      <c r="G1021" s="403"/>
      <c r="H1021" s="406"/>
      <c r="I1021" s="406"/>
      <c r="J1021" s="406"/>
      <c r="K1021" s="304"/>
      <c r="L1021" s="372"/>
      <c r="M1021" s="372"/>
      <c r="N1021" s="372"/>
      <c r="O1021" s="372"/>
      <c r="P1021" s="372"/>
      <c r="Q1021" s="304"/>
      <c r="R1021" s="304"/>
      <c r="S1021" s="304"/>
      <c r="T1021" s="304"/>
      <c r="U1021" s="304"/>
      <c r="V1021" s="304"/>
      <c r="AL1021" s="372" t="str">
        <f t="shared" si="45"/>
        <v/>
      </c>
    </row>
    <row r="1022" spans="1:38" ht="15" customHeight="1" outlineLevel="1" x14ac:dyDescent="0.2">
      <c r="A1022" s="403"/>
      <c r="B1022" s="403"/>
      <c r="C1022" s="403"/>
      <c r="D1022" s="404"/>
      <c r="E1022" s="405"/>
      <c r="F1022" s="405"/>
      <c r="G1022" s="403"/>
      <c r="H1022" s="406"/>
      <c r="I1022" s="406"/>
      <c r="J1022" s="406"/>
      <c r="K1022" s="304"/>
      <c r="L1022" s="372"/>
      <c r="M1022" s="372"/>
      <c r="N1022" s="372"/>
      <c r="O1022" s="372"/>
      <c r="P1022" s="372"/>
      <c r="Q1022" s="304"/>
      <c r="R1022" s="304"/>
      <c r="S1022" s="304"/>
      <c r="T1022" s="304"/>
      <c r="U1022" s="304"/>
      <c r="V1022" s="304"/>
      <c r="AL1022" s="372" t="str">
        <f t="shared" si="45"/>
        <v/>
      </c>
    </row>
    <row r="1023" spans="1:38" ht="15" customHeight="1" outlineLevel="1" x14ac:dyDescent="0.2">
      <c r="A1023" s="403"/>
      <c r="B1023" s="403"/>
      <c r="C1023" s="403"/>
      <c r="D1023" s="404"/>
      <c r="E1023" s="405"/>
      <c r="F1023" s="405"/>
      <c r="G1023" s="403"/>
      <c r="H1023" s="406"/>
      <c r="I1023" s="406"/>
      <c r="J1023" s="406"/>
      <c r="K1023" s="304"/>
      <c r="L1023" s="372"/>
      <c r="M1023" s="372"/>
      <c r="N1023" s="372"/>
      <c r="O1023" s="372"/>
      <c r="P1023" s="372"/>
      <c r="Q1023" s="304"/>
      <c r="R1023" s="304"/>
      <c r="S1023" s="304"/>
      <c r="T1023" s="304"/>
      <c r="U1023" s="304"/>
      <c r="V1023" s="304"/>
      <c r="AL1023" s="372" t="str">
        <f t="shared" si="45"/>
        <v/>
      </c>
    </row>
    <row r="1024" spans="1:38" ht="15" customHeight="1" outlineLevel="1" x14ac:dyDescent="0.2">
      <c r="A1024" s="403"/>
      <c r="B1024" s="403"/>
      <c r="C1024" s="403"/>
      <c r="D1024" s="404"/>
      <c r="E1024" s="405"/>
      <c r="F1024" s="405"/>
      <c r="G1024" s="403"/>
      <c r="H1024" s="406"/>
      <c r="I1024" s="406"/>
      <c r="J1024" s="406"/>
      <c r="K1024" s="304"/>
      <c r="L1024" s="372"/>
      <c r="M1024" s="372"/>
      <c r="N1024" s="372"/>
      <c r="O1024" s="372"/>
      <c r="P1024" s="372"/>
      <c r="Q1024" s="304"/>
      <c r="R1024" s="304"/>
      <c r="S1024" s="304"/>
      <c r="T1024" s="304"/>
      <c r="U1024" s="304"/>
      <c r="V1024" s="304"/>
      <c r="AL1024" s="372" t="str">
        <f t="shared" si="45"/>
        <v/>
      </c>
    </row>
    <row r="1025" spans="1:38" ht="15" customHeight="1" outlineLevel="1" x14ac:dyDescent="0.2">
      <c r="A1025" s="403"/>
      <c r="B1025" s="403"/>
      <c r="C1025" s="403"/>
      <c r="D1025" s="404"/>
      <c r="E1025" s="405"/>
      <c r="F1025" s="405"/>
      <c r="G1025" s="403"/>
      <c r="H1025" s="406"/>
      <c r="I1025" s="406"/>
      <c r="J1025" s="406"/>
      <c r="K1025" s="304"/>
      <c r="L1025" s="372"/>
      <c r="M1025" s="372"/>
      <c r="N1025" s="372"/>
      <c r="O1025" s="372"/>
      <c r="P1025" s="372"/>
      <c r="Q1025" s="304"/>
      <c r="R1025" s="304"/>
      <c r="S1025" s="304"/>
      <c r="T1025" s="304"/>
      <c r="U1025" s="304"/>
      <c r="V1025" s="304"/>
      <c r="AL1025" s="372" t="str">
        <f t="shared" si="45"/>
        <v/>
      </c>
    </row>
    <row r="1026" spans="1:38" ht="15" customHeight="1" outlineLevel="1" x14ac:dyDescent="0.2">
      <c r="A1026" s="403"/>
      <c r="B1026" s="403"/>
      <c r="C1026" s="403"/>
      <c r="D1026" s="404"/>
      <c r="E1026" s="405"/>
      <c r="F1026" s="405"/>
      <c r="G1026" s="403"/>
      <c r="H1026" s="406"/>
      <c r="I1026" s="406"/>
      <c r="J1026" s="406"/>
      <c r="K1026" s="304"/>
      <c r="L1026" s="372"/>
      <c r="M1026" s="372"/>
      <c r="N1026" s="372"/>
      <c r="O1026" s="372"/>
      <c r="P1026" s="372"/>
      <c r="Q1026" s="304"/>
      <c r="R1026" s="304"/>
      <c r="S1026" s="304"/>
      <c r="T1026" s="304"/>
      <c r="U1026" s="304"/>
      <c r="V1026" s="304"/>
      <c r="AL1026" s="372" t="str">
        <f t="shared" si="45"/>
        <v/>
      </c>
    </row>
    <row r="1027" spans="1:38" ht="15" customHeight="1" outlineLevel="1" x14ac:dyDescent="0.2">
      <c r="A1027" s="403"/>
      <c r="B1027" s="403"/>
      <c r="C1027" s="403"/>
      <c r="D1027" s="404"/>
      <c r="E1027" s="405"/>
      <c r="F1027" s="405"/>
      <c r="G1027" s="403"/>
      <c r="H1027" s="406"/>
      <c r="I1027" s="406"/>
      <c r="J1027" s="406"/>
      <c r="K1027" s="304"/>
      <c r="L1027" s="372"/>
      <c r="M1027" s="372"/>
      <c r="N1027" s="372"/>
      <c r="O1027" s="372"/>
      <c r="P1027" s="372"/>
      <c r="Q1027" s="304"/>
      <c r="R1027" s="304"/>
      <c r="S1027" s="304"/>
      <c r="T1027" s="304"/>
      <c r="U1027" s="304"/>
      <c r="V1027" s="304"/>
      <c r="AL1027" s="372" t="str">
        <f t="shared" si="45"/>
        <v/>
      </c>
    </row>
    <row r="1028" spans="1:38" ht="15" customHeight="1" outlineLevel="1" x14ac:dyDescent="0.2">
      <c r="A1028" s="403"/>
      <c r="B1028" s="403"/>
      <c r="C1028" s="403"/>
      <c r="D1028" s="404"/>
      <c r="E1028" s="405"/>
      <c r="F1028" s="405"/>
      <c r="G1028" s="403"/>
      <c r="H1028" s="406"/>
      <c r="I1028" s="406"/>
      <c r="J1028" s="406"/>
      <c r="K1028" s="304"/>
      <c r="L1028" s="372"/>
      <c r="M1028" s="372"/>
      <c r="N1028" s="372"/>
      <c r="O1028" s="372"/>
      <c r="P1028" s="372"/>
      <c r="Q1028" s="304"/>
      <c r="R1028" s="304"/>
      <c r="S1028" s="304"/>
      <c r="T1028" s="304"/>
      <c r="U1028" s="304"/>
      <c r="V1028" s="304"/>
      <c r="AL1028" s="372" t="str">
        <f t="shared" si="45"/>
        <v/>
      </c>
    </row>
    <row r="1029" spans="1:38" ht="15" customHeight="1" outlineLevel="1" x14ac:dyDescent="0.2">
      <c r="A1029" s="403"/>
      <c r="B1029" s="403"/>
      <c r="C1029" s="403"/>
      <c r="D1029" s="404"/>
      <c r="E1029" s="405"/>
      <c r="F1029" s="405"/>
      <c r="G1029" s="403"/>
      <c r="H1029" s="406"/>
      <c r="I1029" s="406"/>
      <c r="J1029" s="406"/>
      <c r="K1029" s="304"/>
      <c r="L1029" s="372"/>
      <c r="M1029" s="372"/>
      <c r="N1029" s="372"/>
      <c r="O1029" s="372"/>
      <c r="P1029" s="372"/>
      <c r="Q1029" s="304"/>
      <c r="R1029" s="304"/>
      <c r="S1029" s="304"/>
      <c r="T1029" s="304"/>
      <c r="U1029" s="304"/>
      <c r="V1029" s="304"/>
      <c r="AL1029" s="372" t="str">
        <f t="shared" si="45"/>
        <v/>
      </c>
    </row>
    <row r="1030" spans="1:38" ht="15" customHeight="1" outlineLevel="1" x14ac:dyDescent="0.2">
      <c r="A1030" s="403"/>
      <c r="B1030" s="403"/>
      <c r="C1030" s="403"/>
      <c r="D1030" s="404"/>
      <c r="E1030" s="405"/>
      <c r="F1030" s="405"/>
      <c r="G1030" s="403"/>
      <c r="H1030" s="406"/>
      <c r="I1030" s="406"/>
      <c r="J1030" s="406"/>
      <c r="K1030" s="304"/>
      <c r="L1030" s="372"/>
      <c r="M1030" s="372"/>
      <c r="N1030" s="372"/>
      <c r="O1030" s="372"/>
      <c r="P1030" s="372"/>
      <c r="Q1030" s="304"/>
      <c r="R1030" s="304"/>
      <c r="S1030" s="304"/>
      <c r="T1030" s="304"/>
      <c r="U1030" s="304"/>
      <c r="V1030" s="304"/>
      <c r="AL1030" s="372" t="str">
        <f t="shared" si="45"/>
        <v/>
      </c>
    </row>
    <row r="1031" spans="1:38" ht="15" customHeight="1" outlineLevel="1" x14ac:dyDescent="0.2">
      <c r="A1031" s="403"/>
      <c r="B1031" s="403"/>
      <c r="C1031" s="403"/>
      <c r="D1031" s="404"/>
      <c r="E1031" s="405"/>
      <c r="F1031" s="405"/>
      <c r="G1031" s="403"/>
      <c r="H1031" s="406"/>
      <c r="I1031" s="406"/>
      <c r="J1031" s="406"/>
      <c r="K1031" s="304"/>
      <c r="L1031" s="372"/>
      <c r="M1031" s="372"/>
      <c r="N1031" s="372"/>
      <c r="O1031" s="372"/>
      <c r="P1031" s="372"/>
      <c r="Q1031" s="304"/>
      <c r="R1031" s="304"/>
      <c r="S1031" s="304"/>
      <c r="T1031" s="304"/>
      <c r="U1031" s="304"/>
      <c r="V1031" s="304"/>
      <c r="AL1031" s="372" t="str">
        <f t="shared" si="45"/>
        <v/>
      </c>
    </row>
    <row r="1032" spans="1:38" ht="15" customHeight="1" outlineLevel="1" x14ac:dyDescent="0.2">
      <c r="A1032" s="403"/>
      <c r="B1032" s="403"/>
      <c r="C1032" s="403"/>
      <c r="D1032" s="404"/>
      <c r="E1032" s="405"/>
      <c r="F1032" s="405"/>
      <c r="G1032" s="403"/>
      <c r="H1032" s="406"/>
      <c r="I1032" s="406"/>
      <c r="J1032" s="406"/>
      <c r="K1032" s="304"/>
      <c r="L1032" s="372"/>
      <c r="M1032" s="372"/>
      <c r="N1032" s="372"/>
      <c r="O1032" s="372"/>
      <c r="P1032" s="372"/>
      <c r="Q1032" s="304"/>
      <c r="R1032" s="304"/>
      <c r="S1032" s="304"/>
      <c r="T1032" s="304"/>
      <c r="U1032" s="304"/>
      <c r="V1032" s="304"/>
      <c r="AL1032" s="372" t="str">
        <f t="shared" si="45"/>
        <v/>
      </c>
    </row>
    <row r="1033" spans="1:38" ht="15" customHeight="1" outlineLevel="1" x14ac:dyDescent="0.2">
      <c r="A1033" s="403"/>
      <c r="B1033" s="403"/>
      <c r="C1033" s="403"/>
      <c r="D1033" s="404"/>
      <c r="E1033" s="405"/>
      <c r="F1033" s="405"/>
      <c r="G1033" s="403"/>
      <c r="H1033" s="406"/>
      <c r="I1033" s="406"/>
      <c r="J1033" s="406"/>
      <c r="K1033" s="304"/>
      <c r="L1033" s="372"/>
      <c r="M1033" s="372"/>
      <c r="N1033" s="372"/>
      <c r="O1033" s="372"/>
      <c r="P1033" s="372"/>
      <c r="Q1033" s="304"/>
      <c r="R1033" s="304"/>
      <c r="S1033" s="304"/>
      <c r="T1033" s="304"/>
      <c r="U1033" s="304"/>
      <c r="V1033" s="304"/>
      <c r="AL1033" s="372" t="str">
        <f t="shared" si="45"/>
        <v/>
      </c>
    </row>
    <row r="1034" spans="1:38" ht="15" customHeight="1" outlineLevel="1" x14ac:dyDescent="0.2">
      <c r="A1034" s="403"/>
      <c r="B1034" s="403"/>
      <c r="C1034" s="403"/>
      <c r="D1034" s="404"/>
      <c r="E1034" s="405"/>
      <c r="F1034" s="405"/>
      <c r="G1034" s="403"/>
      <c r="H1034" s="406"/>
      <c r="I1034" s="406"/>
      <c r="J1034" s="406"/>
      <c r="K1034" s="304"/>
      <c r="L1034" s="372"/>
      <c r="M1034" s="372"/>
      <c r="N1034" s="372"/>
      <c r="O1034" s="372"/>
      <c r="P1034" s="372"/>
      <c r="Q1034" s="304"/>
      <c r="R1034" s="304"/>
      <c r="S1034" s="304"/>
      <c r="T1034" s="304"/>
      <c r="U1034" s="304"/>
      <c r="V1034" s="304"/>
      <c r="AL1034" s="372" t="str">
        <f t="shared" si="45"/>
        <v/>
      </c>
    </row>
    <row r="1035" spans="1:38" ht="15" customHeight="1" outlineLevel="1" x14ac:dyDescent="0.2">
      <c r="A1035" s="403"/>
      <c r="B1035" s="403"/>
      <c r="C1035" s="403"/>
      <c r="D1035" s="404"/>
      <c r="E1035" s="405"/>
      <c r="F1035" s="405"/>
      <c r="G1035" s="403"/>
      <c r="H1035" s="406"/>
      <c r="I1035" s="406"/>
      <c r="J1035" s="406"/>
      <c r="K1035" s="304"/>
      <c r="L1035" s="372"/>
      <c r="M1035" s="372"/>
      <c r="N1035" s="372"/>
      <c r="O1035" s="372"/>
      <c r="P1035" s="372"/>
      <c r="Q1035" s="304"/>
      <c r="R1035" s="304"/>
      <c r="S1035" s="304"/>
      <c r="T1035" s="304"/>
      <c r="U1035" s="304"/>
      <c r="V1035" s="304"/>
      <c r="AL1035" s="372" t="str">
        <f t="shared" si="45"/>
        <v/>
      </c>
    </row>
    <row r="1036" spans="1:38" ht="15" customHeight="1" outlineLevel="1" x14ac:dyDescent="0.2">
      <c r="A1036" s="403"/>
      <c r="B1036" s="403"/>
      <c r="C1036" s="403"/>
      <c r="D1036" s="404"/>
      <c r="E1036" s="405"/>
      <c r="F1036" s="405"/>
      <c r="G1036" s="403"/>
      <c r="H1036" s="406"/>
      <c r="I1036" s="406"/>
      <c r="J1036" s="406"/>
      <c r="K1036" s="304"/>
      <c r="L1036" s="372"/>
      <c r="M1036" s="372"/>
      <c r="N1036" s="372"/>
      <c r="O1036" s="372"/>
      <c r="P1036" s="372"/>
      <c r="Q1036" s="304"/>
      <c r="R1036" s="304"/>
      <c r="S1036" s="304"/>
      <c r="T1036" s="304"/>
      <c r="U1036" s="304"/>
      <c r="V1036" s="304"/>
      <c r="AL1036" s="372" t="str">
        <f t="shared" si="45"/>
        <v/>
      </c>
    </row>
    <row r="1037" spans="1:38" ht="15" customHeight="1" outlineLevel="1" x14ac:dyDescent="0.2">
      <c r="A1037" s="403"/>
      <c r="B1037" s="403"/>
      <c r="C1037" s="403"/>
      <c r="D1037" s="404"/>
      <c r="E1037" s="405"/>
      <c r="F1037" s="405"/>
      <c r="G1037" s="403"/>
      <c r="H1037" s="406"/>
      <c r="I1037" s="406"/>
      <c r="J1037" s="406"/>
      <c r="K1037" s="304"/>
      <c r="L1037" s="372"/>
      <c r="M1037" s="372"/>
      <c r="N1037" s="372"/>
      <c r="O1037" s="372"/>
      <c r="P1037" s="372"/>
      <c r="Q1037" s="304"/>
      <c r="R1037" s="304"/>
      <c r="S1037" s="304"/>
      <c r="T1037" s="304"/>
      <c r="U1037" s="304"/>
      <c r="V1037" s="304"/>
      <c r="AL1037" s="372" t="str">
        <f t="shared" si="45"/>
        <v/>
      </c>
    </row>
    <row r="1038" spans="1:38" ht="15" customHeight="1" outlineLevel="1" x14ac:dyDescent="0.2">
      <c r="A1038" s="403"/>
      <c r="B1038" s="403"/>
      <c r="C1038" s="403"/>
      <c r="D1038" s="404"/>
      <c r="E1038" s="405"/>
      <c r="F1038" s="405"/>
      <c r="G1038" s="403"/>
      <c r="H1038" s="406"/>
      <c r="I1038" s="406"/>
      <c r="J1038" s="406"/>
      <c r="K1038" s="304"/>
      <c r="L1038" s="372"/>
      <c r="M1038" s="372"/>
      <c r="N1038" s="372"/>
      <c r="O1038" s="372"/>
      <c r="P1038" s="372"/>
      <c r="Q1038" s="304"/>
      <c r="R1038" s="304"/>
      <c r="S1038" s="304"/>
      <c r="T1038" s="304"/>
      <c r="U1038" s="304"/>
      <c r="V1038" s="304"/>
      <c r="AL1038" s="372" t="str">
        <f t="shared" si="45"/>
        <v/>
      </c>
    </row>
    <row r="1039" spans="1:38" ht="15" customHeight="1" outlineLevel="1" x14ac:dyDescent="0.2">
      <c r="A1039" s="403"/>
      <c r="B1039" s="403"/>
      <c r="C1039" s="403"/>
      <c r="D1039" s="404"/>
      <c r="E1039" s="405"/>
      <c r="F1039" s="405"/>
      <c r="G1039" s="403"/>
      <c r="H1039" s="406"/>
      <c r="I1039" s="406"/>
      <c r="J1039" s="406"/>
      <c r="K1039" s="304"/>
      <c r="L1039" s="372"/>
      <c r="M1039" s="372"/>
      <c r="N1039" s="372"/>
      <c r="O1039" s="372"/>
      <c r="P1039" s="372"/>
      <c r="Q1039" s="304"/>
      <c r="R1039" s="304"/>
      <c r="S1039" s="304"/>
      <c r="T1039" s="304"/>
      <c r="U1039" s="304"/>
      <c r="V1039" s="304"/>
      <c r="AL1039" s="372" t="str">
        <f t="shared" si="45"/>
        <v/>
      </c>
    </row>
    <row r="1040" spans="1:38" ht="15" customHeight="1" outlineLevel="1" x14ac:dyDescent="0.2">
      <c r="A1040" s="403"/>
      <c r="B1040" s="403"/>
      <c r="C1040" s="403"/>
      <c r="D1040" s="404"/>
      <c r="E1040" s="405"/>
      <c r="F1040" s="405"/>
      <c r="G1040" s="403"/>
      <c r="H1040" s="406"/>
      <c r="I1040" s="406"/>
      <c r="J1040" s="406"/>
      <c r="K1040" s="304"/>
      <c r="L1040" s="372"/>
      <c r="M1040" s="372"/>
      <c r="N1040" s="372"/>
      <c r="O1040" s="372"/>
      <c r="P1040" s="372"/>
      <c r="Q1040" s="304"/>
      <c r="R1040" s="304"/>
      <c r="S1040" s="304"/>
      <c r="T1040" s="304"/>
      <c r="U1040" s="304"/>
      <c r="V1040" s="304"/>
      <c r="AL1040" s="372" t="str">
        <f t="shared" si="45"/>
        <v/>
      </c>
    </row>
    <row r="1041" spans="1:38" ht="15" customHeight="1" outlineLevel="1" x14ac:dyDescent="0.2">
      <c r="A1041" s="403"/>
      <c r="B1041" s="403"/>
      <c r="C1041" s="403"/>
      <c r="D1041" s="404"/>
      <c r="E1041" s="405"/>
      <c r="F1041" s="405"/>
      <c r="G1041" s="403"/>
      <c r="H1041" s="406"/>
      <c r="I1041" s="406"/>
      <c r="J1041" s="406"/>
      <c r="K1041" s="304"/>
      <c r="L1041" s="372"/>
      <c r="M1041" s="372"/>
      <c r="N1041" s="372"/>
      <c r="O1041" s="372"/>
      <c r="P1041" s="372"/>
      <c r="Q1041" s="304"/>
      <c r="R1041" s="304"/>
      <c r="S1041" s="304"/>
      <c r="T1041" s="304"/>
      <c r="U1041" s="304"/>
      <c r="V1041" s="304"/>
      <c r="AL1041" s="372" t="str">
        <f t="shared" ref="AL1041:AL1104" si="46">IF(($C1041=$AG$245)*($N1041&gt;0)*ISNUMBER($I1041),$I1041*100000+ROW(),"")</f>
        <v/>
      </c>
    </row>
    <row r="1042" spans="1:38" ht="15" customHeight="1" outlineLevel="1" x14ac:dyDescent="0.2">
      <c r="A1042" s="403"/>
      <c r="B1042" s="403"/>
      <c r="C1042" s="403"/>
      <c r="D1042" s="404"/>
      <c r="E1042" s="405"/>
      <c r="F1042" s="405"/>
      <c r="G1042" s="403"/>
      <c r="H1042" s="406"/>
      <c r="I1042" s="406"/>
      <c r="J1042" s="406"/>
      <c r="K1042" s="304"/>
      <c r="L1042" s="372"/>
      <c r="M1042" s="372"/>
      <c r="N1042" s="372"/>
      <c r="O1042" s="372"/>
      <c r="P1042" s="372"/>
      <c r="Q1042" s="304"/>
      <c r="R1042" s="304"/>
      <c r="S1042" s="304"/>
      <c r="T1042" s="304"/>
      <c r="U1042" s="304"/>
      <c r="V1042" s="304"/>
      <c r="AL1042" s="372" t="str">
        <f t="shared" si="46"/>
        <v/>
      </c>
    </row>
    <row r="1043" spans="1:38" ht="15" customHeight="1" outlineLevel="1" x14ac:dyDescent="0.2">
      <c r="A1043" s="403"/>
      <c r="B1043" s="403"/>
      <c r="C1043" s="403"/>
      <c r="D1043" s="404"/>
      <c r="E1043" s="405"/>
      <c r="F1043" s="405"/>
      <c r="G1043" s="403"/>
      <c r="H1043" s="406"/>
      <c r="I1043" s="406"/>
      <c r="J1043" s="406"/>
      <c r="K1043" s="304"/>
      <c r="L1043" s="372"/>
      <c r="M1043" s="372"/>
      <c r="N1043" s="372"/>
      <c r="O1043" s="372"/>
      <c r="P1043" s="372"/>
      <c r="Q1043" s="304"/>
      <c r="R1043" s="304"/>
      <c r="S1043" s="304"/>
      <c r="T1043" s="304"/>
      <c r="U1043" s="304"/>
      <c r="V1043" s="304"/>
      <c r="AL1043" s="372" t="str">
        <f t="shared" si="46"/>
        <v/>
      </c>
    </row>
    <row r="1044" spans="1:38" ht="15" customHeight="1" outlineLevel="1" x14ac:dyDescent="0.2">
      <c r="A1044" s="403"/>
      <c r="B1044" s="403"/>
      <c r="C1044" s="403"/>
      <c r="D1044" s="404"/>
      <c r="E1044" s="405"/>
      <c r="F1044" s="405"/>
      <c r="G1044" s="403"/>
      <c r="H1044" s="406"/>
      <c r="I1044" s="406"/>
      <c r="J1044" s="406"/>
      <c r="K1044" s="304"/>
      <c r="L1044" s="372"/>
      <c r="M1044" s="372"/>
      <c r="N1044" s="372"/>
      <c r="O1044" s="372"/>
      <c r="P1044" s="372"/>
      <c r="Q1044" s="304"/>
      <c r="R1044" s="304"/>
      <c r="S1044" s="304"/>
      <c r="T1044" s="304"/>
      <c r="U1044" s="304"/>
      <c r="V1044" s="304"/>
      <c r="AL1044" s="372" t="str">
        <f t="shared" si="46"/>
        <v/>
      </c>
    </row>
    <row r="1045" spans="1:38" ht="15" customHeight="1" outlineLevel="1" x14ac:dyDescent="0.2">
      <c r="A1045" s="403"/>
      <c r="B1045" s="403"/>
      <c r="C1045" s="403"/>
      <c r="D1045" s="404"/>
      <c r="E1045" s="405"/>
      <c r="F1045" s="405"/>
      <c r="G1045" s="403"/>
      <c r="H1045" s="406"/>
      <c r="I1045" s="406"/>
      <c r="J1045" s="406"/>
      <c r="K1045" s="304"/>
      <c r="L1045" s="372"/>
      <c r="M1045" s="372"/>
      <c r="N1045" s="372"/>
      <c r="O1045" s="372"/>
      <c r="P1045" s="372"/>
      <c r="Q1045" s="304"/>
      <c r="R1045" s="304"/>
      <c r="S1045" s="304"/>
      <c r="T1045" s="304"/>
      <c r="U1045" s="304"/>
      <c r="V1045" s="304"/>
      <c r="AL1045" s="372" t="str">
        <f t="shared" si="46"/>
        <v/>
      </c>
    </row>
    <row r="1046" spans="1:38" ht="15" customHeight="1" outlineLevel="1" x14ac:dyDescent="0.2">
      <c r="A1046" s="403"/>
      <c r="B1046" s="403"/>
      <c r="C1046" s="403"/>
      <c r="D1046" s="404"/>
      <c r="E1046" s="405"/>
      <c r="F1046" s="405"/>
      <c r="G1046" s="403"/>
      <c r="H1046" s="406"/>
      <c r="I1046" s="406"/>
      <c r="J1046" s="406"/>
      <c r="K1046" s="304"/>
      <c r="L1046" s="372"/>
      <c r="M1046" s="372"/>
      <c r="N1046" s="372"/>
      <c r="O1046" s="372"/>
      <c r="P1046" s="372"/>
      <c r="Q1046" s="304"/>
      <c r="R1046" s="304"/>
      <c r="S1046" s="304"/>
      <c r="T1046" s="304"/>
      <c r="U1046" s="304"/>
      <c r="V1046" s="304"/>
      <c r="AL1046" s="372" t="str">
        <f t="shared" si="46"/>
        <v/>
      </c>
    </row>
    <row r="1047" spans="1:38" ht="15" customHeight="1" outlineLevel="1" x14ac:dyDescent="0.2">
      <c r="A1047" s="403"/>
      <c r="B1047" s="403"/>
      <c r="C1047" s="403"/>
      <c r="D1047" s="404"/>
      <c r="E1047" s="405"/>
      <c r="F1047" s="405"/>
      <c r="G1047" s="403"/>
      <c r="H1047" s="406"/>
      <c r="I1047" s="406"/>
      <c r="J1047" s="406"/>
      <c r="K1047" s="304"/>
      <c r="L1047" s="372"/>
      <c r="M1047" s="372"/>
      <c r="N1047" s="372"/>
      <c r="O1047" s="372"/>
      <c r="P1047" s="372"/>
      <c r="Q1047" s="304"/>
      <c r="R1047" s="304"/>
      <c r="S1047" s="304"/>
      <c r="T1047" s="304"/>
      <c r="U1047" s="304"/>
      <c r="V1047" s="304"/>
      <c r="AL1047" s="372" t="str">
        <f t="shared" si="46"/>
        <v/>
      </c>
    </row>
    <row r="1048" spans="1:38" ht="15" customHeight="1" outlineLevel="1" x14ac:dyDescent="0.2">
      <c r="A1048" s="403"/>
      <c r="B1048" s="403"/>
      <c r="C1048" s="403"/>
      <c r="D1048" s="404"/>
      <c r="E1048" s="405"/>
      <c r="F1048" s="405"/>
      <c r="G1048" s="403"/>
      <c r="H1048" s="406"/>
      <c r="I1048" s="406"/>
      <c r="J1048" s="406"/>
      <c r="K1048" s="304"/>
      <c r="L1048" s="372"/>
      <c r="M1048" s="372"/>
      <c r="N1048" s="372"/>
      <c r="O1048" s="372"/>
      <c r="P1048" s="372"/>
      <c r="Q1048" s="304"/>
      <c r="R1048" s="304"/>
      <c r="S1048" s="304"/>
      <c r="T1048" s="304"/>
      <c r="U1048" s="304"/>
      <c r="V1048" s="304"/>
      <c r="AL1048" s="372" t="str">
        <f t="shared" si="46"/>
        <v/>
      </c>
    </row>
    <row r="1049" spans="1:38" ht="15" customHeight="1" outlineLevel="1" x14ac:dyDescent="0.2">
      <c r="A1049" s="403"/>
      <c r="B1049" s="403"/>
      <c r="C1049" s="403"/>
      <c r="D1049" s="404"/>
      <c r="E1049" s="405"/>
      <c r="F1049" s="405"/>
      <c r="G1049" s="403"/>
      <c r="H1049" s="406"/>
      <c r="I1049" s="406"/>
      <c r="J1049" s="406"/>
      <c r="K1049" s="304"/>
      <c r="L1049" s="372"/>
      <c r="M1049" s="372"/>
      <c r="N1049" s="372"/>
      <c r="O1049" s="372"/>
      <c r="P1049" s="372"/>
      <c r="Q1049" s="304"/>
      <c r="R1049" s="304"/>
      <c r="S1049" s="304"/>
      <c r="T1049" s="304"/>
      <c r="U1049" s="304"/>
      <c r="V1049" s="304"/>
      <c r="AL1049" s="372" t="str">
        <f t="shared" si="46"/>
        <v/>
      </c>
    </row>
    <row r="1050" spans="1:38" ht="15" customHeight="1" outlineLevel="1" x14ac:dyDescent="0.2">
      <c r="A1050" s="403"/>
      <c r="B1050" s="403"/>
      <c r="C1050" s="403"/>
      <c r="D1050" s="404"/>
      <c r="E1050" s="405"/>
      <c r="F1050" s="405"/>
      <c r="G1050" s="403"/>
      <c r="H1050" s="406"/>
      <c r="I1050" s="406"/>
      <c r="J1050" s="406"/>
      <c r="K1050" s="304"/>
      <c r="L1050" s="372"/>
      <c r="M1050" s="372"/>
      <c r="N1050" s="372"/>
      <c r="O1050" s="372"/>
      <c r="P1050" s="372"/>
      <c r="Q1050" s="304"/>
      <c r="R1050" s="304"/>
      <c r="S1050" s="304"/>
      <c r="T1050" s="304"/>
      <c r="U1050" s="304"/>
      <c r="V1050" s="304"/>
      <c r="AL1050" s="372" t="str">
        <f t="shared" si="46"/>
        <v/>
      </c>
    </row>
    <row r="1051" spans="1:38" ht="15" customHeight="1" outlineLevel="1" x14ac:dyDescent="0.2">
      <c r="A1051" s="403"/>
      <c r="B1051" s="403"/>
      <c r="C1051" s="403"/>
      <c r="D1051" s="404"/>
      <c r="E1051" s="405"/>
      <c r="F1051" s="405"/>
      <c r="G1051" s="403"/>
      <c r="H1051" s="406"/>
      <c r="I1051" s="406"/>
      <c r="J1051" s="406"/>
      <c r="K1051" s="304"/>
      <c r="L1051" s="372"/>
      <c r="M1051" s="372"/>
      <c r="N1051" s="372"/>
      <c r="O1051" s="372"/>
      <c r="P1051" s="372"/>
      <c r="Q1051" s="304"/>
      <c r="R1051" s="304"/>
      <c r="S1051" s="304"/>
      <c r="T1051" s="304"/>
      <c r="U1051" s="304"/>
      <c r="V1051" s="304"/>
      <c r="AL1051" s="372" t="str">
        <f t="shared" si="46"/>
        <v/>
      </c>
    </row>
    <row r="1052" spans="1:38" ht="15" customHeight="1" outlineLevel="1" x14ac:dyDescent="0.2">
      <c r="A1052" s="403"/>
      <c r="B1052" s="403"/>
      <c r="C1052" s="403"/>
      <c r="D1052" s="404"/>
      <c r="E1052" s="405"/>
      <c r="F1052" s="405"/>
      <c r="G1052" s="403"/>
      <c r="H1052" s="406"/>
      <c r="I1052" s="406"/>
      <c r="J1052" s="406"/>
      <c r="K1052" s="304"/>
      <c r="L1052" s="372"/>
      <c r="M1052" s="372"/>
      <c r="N1052" s="372"/>
      <c r="O1052" s="372"/>
      <c r="P1052" s="372"/>
      <c r="Q1052" s="304"/>
      <c r="R1052" s="304"/>
      <c r="S1052" s="304"/>
      <c r="T1052" s="304"/>
      <c r="U1052" s="304"/>
      <c r="V1052" s="304"/>
      <c r="AL1052" s="372" t="str">
        <f t="shared" si="46"/>
        <v/>
      </c>
    </row>
    <row r="1053" spans="1:38" ht="15" customHeight="1" outlineLevel="1" x14ac:dyDescent="0.2">
      <c r="A1053" s="403"/>
      <c r="B1053" s="403"/>
      <c r="C1053" s="403"/>
      <c r="D1053" s="404"/>
      <c r="E1053" s="405"/>
      <c r="F1053" s="405"/>
      <c r="G1053" s="403"/>
      <c r="H1053" s="406"/>
      <c r="I1053" s="406"/>
      <c r="J1053" s="406"/>
      <c r="K1053" s="304"/>
      <c r="L1053" s="372"/>
      <c r="M1053" s="372"/>
      <c r="N1053" s="372"/>
      <c r="O1053" s="372"/>
      <c r="P1053" s="372"/>
      <c r="Q1053" s="304"/>
      <c r="R1053" s="304"/>
      <c r="S1053" s="304"/>
      <c r="T1053" s="304"/>
      <c r="U1053" s="304"/>
      <c r="V1053" s="304"/>
      <c r="AL1053" s="372" t="str">
        <f t="shared" si="46"/>
        <v/>
      </c>
    </row>
    <row r="1054" spans="1:38" ht="15" customHeight="1" outlineLevel="1" x14ac:dyDescent="0.2">
      <c r="A1054" s="403"/>
      <c r="B1054" s="403"/>
      <c r="C1054" s="403"/>
      <c r="D1054" s="404"/>
      <c r="E1054" s="405"/>
      <c r="F1054" s="405"/>
      <c r="G1054" s="403"/>
      <c r="H1054" s="406"/>
      <c r="I1054" s="406"/>
      <c r="J1054" s="406"/>
      <c r="K1054" s="304"/>
      <c r="L1054" s="372"/>
      <c r="M1054" s="372"/>
      <c r="N1054" s="372"/>
      <c r="O1054" s="372"/>
      <c r="P1054" s="372"/>
      <c r="Q1054" s="304"/>
      <c r="R1054" s="304"/>
      <c r="S1054" s="304"/>
      <c r="T1054" s="304"/>
      <c r="U1054" s="304"/>
      <c r="V1054" s="304"/>
      <c r="AL1054" s="372" t="str">
        <f t="shared" si="46"/>
        <v/>
      </c>
    </row>
    <row r="1055" spans="1:38" ht="15" customHeight="1" outlineLevel="1" x14ac:dyDescent="0.2">
      <c r="A1055" s="403"/>
      <c r="B1055" s="403"/>
      <c r="C1055" s="403"/>
      <c r="D1055" s="404"/>
      <c r="E1055" s="405"/>
      <c r="F1055" s="405"/>
      <c r="G1055" s="403"/>
      <c r="H1055" s="406"/>
      <c r="I1055" s="406"/>
      <c r="J1055" s="406"/>
      <c r="K1055" s="304"/>
      <c r="L1055" s="372"/>
      <c r="M1055" s="372"/>
      <c r="N1055" s="372"/>
      <c r="O1055" s="372"/>
      <c r="P1055" s="372"/>
      <c r="Q1055" s="304"/>
      <c r="R1055" s="304"/>
      <c r="S1055" s="304"/>
      <c r="T1055" s="304"/>
      <c r="U1055" s="304"/>
      <c r="V1055" s="304"/>
      <c r="AL1055" s="372" t="str">
        <f t="shared" si="46"/>
        <v/>
      </c>
    </row>
    <row r="1056" spans="1:38" ht="15" customHeight="1" outlineLevel="1" x14ac:dyDescent="0.2">
      <c r="A1056" s="403"/>
      <c r="B1056" s="403"/>
      <c r="C1056" s="403"/>
      <c r="D1056" s="404"/>
      <c r="E1056" s="405"/>
      <c r="F1056" s="405"/>
      <c r="G1056" s="403"/>
      <c r="H1056" s="406"/>
      <c r="I1056" s="406"/>
      <c r="J1056" s="406"/>
      <c r="K1056" s="304"/>
      <c r="L1056" s="372"/>
      <c r="M1056" s="372"/>
      <c r="N1056" s="372"/>
      <c r="O1056" s="372"/>
      <c r="P1056" s="372"/>
      <c r="Q1056" s="304"/>
      <c r="R1056" s="304"/>
      <c r="S1056" s="304"/>
      <c r="T1056" s="304"/>
      <c r="U1056" s="304"/>
      <c r="V1056" s="304"/>
      <c r="AL1056" s="372" t="str">
        <f t="shared" si="46"/>
        <v/>
      </c>
    </row>
    <row r="1057" spans="1:38" ht="15" customHeight="1" outlineLevel="1" x14ac:dyDescent="0.2">
      <c r="A1057" s="403"/>
      <c r="B1057" s="403"/>
      <c r="C1057" s="403"/>
      <c r="D1057" s="404"/>
      <c r="E1057" s="405"/>
      <c r="F1057" s="405"/>
      <c r="G1057" s="403"/>
      <c r="H1057" s="406"/>
      <c r="I1057" s="406"/>
      <c r="J1057" s="406"/>
      <c r="K1057" s="304"/>
      <c r="L1057" s="372"/>
      <c r="M1057" s="372"/>
      <c r="N1057" s="372"/>
      <c r="O1057" s="372"/>
      <c r="P1057" s="372"/>
      <c r="Q1057" s="304"/>
      <c r="R1057" s="304"/>
      <c r="S1057" s="304"/>
      <c r="T1057" s="304"/>
      <c r="U1057" s="304"/>
      <c r="V1057" s="304"/>
      <c r="AL1057" s="372" t="str">
        <f t="shared" si="46"/>
        <v/>
      </c>
    </row>
    <row r="1058" spans="1:38" ht="15" customHeight="1" outlineLevel="1" x14ac:dyDescent="0.2">
      <c r="A1058" s="403"/>
      <c r="B1058" s="403"/>
      <c r="C1058" s="403"/>
      <c r="D1058" s="404"/>
      <c r="E1058" s="405"/>
      <c r="F1058" s="405"/>
      <c r="G1058" s="403"/>
      <c r="H1058" s="406"/>
      <c r="I1058" s="406"/>
      <c r="J1058" s="406"/>
      <c r="K1058" s="304"/>
      <c r="L1058" s="372"/>
      <c r="M1058" s="372"/>
      <c r="N1058" s="372"/>
      <c r="O1058" s="372"/>
      <c r="P1058" s="372"/>
      <c r="Q1058" s="304"/>
      <c r="R1058" s="304"/>
      <c r="S1058" s="304"/>
      <c r="T1058" s="304"/>
      <c r="U1058" s="304"/>
      <c r="V1058" s="304"/>
      <c r="AL1058" s="372" t="str">
        <f t="shared" si="46"/>
        <v/>
      </c>
    </row>
    <row r="1059" spans="1:38" ht="15" customHeight="1" outlineLevel="1" x14ac:dyDescent="0.2">
      <c r="A1059" s="403"/>
      <c r="B1059" s="403"/>
      <c r="C1059" s="403"/>
      <c r="D1059" s="404"/>
      <c r="E1059" s="405"/>
      <c r="F1059" s="405"/>
      <c r="G1059" s="403"/>
      <c r="H1059" s="406"/>
      <c r="I1059" s="406"/>
      <c r="J1059" s="406"/>
      <c r="K1059" s="304"/>
      <c r="L1059" s="372"/>
      <c r="M1059" s="372"/>
      <c r="N1059" s="372"/>
      <c r="O1059" s="372"/>
      <c r="P1059" s="372"/>
      <c r="Q1059" s="304"/>
      <c r="R1059" s="304"/>
      <c r="S1059" s="304"/>
      <c r="T1059" s="304"/>
      <c r="U1059" s="304"/>
      <c r="V1059" s="304"/>
      <c r="AL1059" s="372" t="str">
        <f t="shared" si="46"/>
        <v/>
      </c>
    </row>
    <row r="1060" spans="1:38" ht="15" customHeight="1" outlineLevel="1" x14ac:dyDescent="0.2">
      <c r="A1060" s="403"/>
      <c r="B1060" s="403"/>
      <c r="C1060" s="403"/>
      <c r="D1060" s="404"/>
      <c r="E1060" s="405"/>
      <c r="F1060" s="405"/>
      <c r="G1060" s="403"/>
      <c r="H1060" s="406"/>
      <c r="I1060" s="406"/>
      <c r="J1060" s="406"/>
      <c r="K1060" s="304"/>
      <c r="L1060" s="372"/>
      <c r="M1060" s="372"/>
      <c r="N1060" s="372"/>
      <c r="O1060" s="372"/>
      <c r="P1060" s="372"/>
      <c r="Q1060" s="304"/>
      <c r="R1060" s="304"/>
      <c r="S1060" s="304"/>
      <c r="T1060" s="304"/>
      <c r="U1060" s="304"/>
      <c r="V1060" s="304"/>
      <c r="AL1060" s="372" t="str">
        <f t="shared" si="46"/>
        <v/>
      </c>
    </row>
    <row r="1061" spans="1:38" ht="15" customHeight="1" outlineLevel="1" x14ac:dyDescent="0.2">
      <c r="A1061" s="403"/>
      <c r="B1061" s="403"/>
      <c r="C1061" s="403"/>
      <c r="D1061" s="404"/>
      <c r="E1061" s="405"/>
      <c r="F1061" s="405"/>
      <c r="G1061" s="403"/>
      <c r="H1061" s="406"/>
      <c r="I1061" s="406"/>
      <c r="J1061" s="406"/>
      <c r="K1061" s="304"/>
      <c r="L1061" s="372"/>
      <c r="M1061" s="372"/>
      <c r="N1061" s="372"/>
      <c r="O1061" s="372"/>
      <c r="P1061" s="372"/>
      <c r="Q1061" s="304"/>
      <c r="R1061" s="304"/>
      <c r="S1061" s="304"/>
      <c r="T1061" s="304"/>
      <c r="U1061" s="304"/>
      <c r="V1061" s="304"/>
      <c r="AL1061" s="372" t="str">
        <f t="shared" si="46"/>
        <v/>
      </c>
    </row>
    <row r="1062" spans="1:38" ht="15" customHeight="1" outlineLevel="1" x14ac:dyDescent="0.2">
      <c r="A1062" s="403"/>
      <c r="B1062" s="403"/>
      <c r="C1062" s="403"/>
      <c r="D1062" s="404"/>
      <c r="E1062" s="405"/>
      <c r="F1062" s="405"/>
      <c r="G1062" s="403"/>
      <c r="H1062" s="406"/>
      <c r="I1062" s="406"/>
      <c r="J1062" s="406"/>
      <c r="K1062" s="304"/>
      <c r="L1062" s="372"/>
      <c r="M1062" s="372"/>
      <c r="N1062" s="372"/>
      <c r="O1062" s="372"/>
      <c r="P1062" s="372"/>
      <c r="Q1062" s="304"/>
      <c r="R1062" s="304"/>
      <c r="S1062" s="304"/>
      <c r="T1062" s="304"/>
      <c r="U1062" s="304"/>
      <c r="V1062" s="304"/>
      <c r="AL1062" s="372" t="str">
        <f t="shared" si="46"/>
        <v/>
      </c>
    </row>
    <row r="1063" spans="1:38" ht="15" customHeight="1" outlineLevel="1" x14ac:dyDescent="0.2">
      <c r="A1063" s="403"/>
      <c r="B1063" s="403"/>
      <c r="C1063" s="403"/>
      <c r="D1063" s="404"/>
      <c r="E1063" s="405"/>
      <c r="F1063" s="405"/>
      <c r="G1063" s="403"/>
      <c r="H1063" s="406"/>
      <c r="I1063" s="406"/>
      <c r="J1063" s="406"/>
      <c r="K1063" s="304"/>
      <c r="L1063" s="372"/>
      <c r="M1063" s="372"/>
      <c r="N1063" s="372"/>
      <c r="O1063" s="372"/>
      <c r="P1063" s="372"/>
      <c r="Q1063" s="304"/>
      <c r="R1063" s="304"/>
      <c r="S1063" s="304"/>
      <c r="T1063" s="304"/>
      <c r="U1063" s="304"/>
      <c r="V1063" s="304"/>
      <c r="AL1063" s="372" t="str">
        <f t="shared" si="46"/>
        <v/>
      </c>
    </row>
    <row r="1064" spans="1:38" ht="15" customHeight="1" outlineLevel="1" x14ac:dyDescent="0.2">
      <c r="A1064" s="403"/>
      <c r="B1064" s="403"/>
      <c r="C1064" s="403"/>
      <c r="D1064" s="404"/>
      <c r="E1064" s="405"/>
      <c r="F1064" s="405"/>
      <c r="G1064" s="403"/>
      <c r="H1064" s="406"/>
      <c r="I1064" s="406"/>
      <c r="J1064" s="406"/>
      <c r="K1064" s="304"/>
      <c r="L1064" s="372"/>
      <c r="M1064" s="372"/>
      <c r="N1064" s="372"/>
      <c r="O1064" s="372"/>
      <c r="P1064" s="372"/>
      <c r="Q1064" s="304"/>
      <c r="R1064" s="304"/>
      <c r="S1064" s="304"/>
      <c r="T1064" s="304"/>
      <c r="U1064" s="304"/>
      <c r="V1064" s="304"/>
      <c r="AL1064" s="372" t="str">
        <f t="shared" si="46"/>
        <v/>
      </c>
    </row>
    <row r="1065" spans="1:38" ht="15" customHeight="1" outlineLevel="1" x14ac:dyDescent="0.2">
      <c r="A1065" s="403"/>
      <c r="B1065" s="403"/>
      <c r="C1065" s="403"/>
      <c r="D1065" s="404"/>
      <c r="E1065" s="405"/>
      <c r="F1065" s="405"/>
      <c r="G1065" s="403"/>
      <c r="H1065" s="406"/>
      <c r="I1065" s="406"/>
      <c r="J1065" s="406"/>
      <c r="K1065" s="304"/>
      <c r="L1065" s="372"/>
      <c r="M1065" s="372"/>
      <c r="N1065" s="372"/>
      <c r="O1065" s="372"/>
      <c r="P1065" s="372"/>
      <c r="Q1065" s="304"/>
      <c r="R1065" s="304"/>
      <c r="S1065" s="304"/>
      <c r="T1065" s="304"/>
      <c r="U1065" s="304"/>
      <c r="V1065" s="304"/>
      <c r="AL1065" s="372" t="str">
        <f t="shared" si="46"/>
        <v/>
      </c>
    </row>
    <row r="1066" spans="1:38" ht="15" customHeight="1" outlineLevel="1" x14ac:dyDescent="0.2">
      <c r="A1066" s="403"/>
      <c r="B1066" s="403"/>
      <c r="C1066" s="403"/>
      <c r="D1066" s="404"/>
      <c r="E1066" s="405"/>
      <c r="F1066" s="405"/>
      <c r="G1066" s="403"/>
      <c r="H1066" s="406"/>
      <c r="I1066" s="406"/>
      <c r="J1066" s="406"/>
      <c r="K1066" s="304"/>
      <c r="L1066" s="372"/>
      <c r="M1066" s="372"/>
      <c r="N1066" s="372"/>
      <c r="O1066" s="372"/>
      <c r="P1066" s="372"/>
      <c r="Q1066" s="304"/>
      <c r="R1066" s="304"/>
      <c r="S1066" s="304"/>
      <c r="T1066" s="304"/>
      <c r="U1066" s="304"/>
      <c r="V1066" s="304"/>
      <c r="AL1066" s="372" t="str">
        <f t="shared" si="46"/>
        <v/>
      </c>
    </row>
    <row r="1067" spans="1:38" ht="15" customHeight="1" outlineLevel="1" x14ac:dyDescent="0.2">
      <c r="A1067" s="403"/>
      <c r="B1067" s="403"/>
      <c r="C1067" s="403"/>
      <c r="D1067" s="404"/>
      <c r="E1067" s="405"/>
      <c r="F1067" s="405"/>
      <c r="G1067" s="403"/>
      <c r="H1067" s="406"/>
      <c r="I1067" s="406"/>
      <c r="J1067" s="406"/>
      <c r="K1067" s="304"/>
      <c r="L1067" s="372"/>
      <c r="M1067" s="372"/>
      <c r="N1067" s="372"/>
      <c r="O1067" s="372"/>
      <c r="P1067" s="372"/>
      <c r="Q1067" s="304"/>
      <c r="R1067" s="304"/>
      <c r="S1067" s="304"/>
      <c r="T1067" s="304"/>
      <c r="U1067" s="304"/>
      <c r="V1067" s="304"/>
      <c r="AL1067" s="372" t="str">
        <f t="shared" si="46"/>
        <v/>
      </c>
    </row>
    <row r="1068" spans="1:38" ht="15" customHeight="1" outlineLevel="1" x14ac:dyDescent="0.2">
      <c r="A1068" s="403"/>
      <c r="B1068" s="403"/>
      <c r="C1068" s="403"/>
      <c r="D1068" s="404"/>
      <c r="E1068" s="405"/>
      <c r="F1068" s="405"/>
      <c r="G1068" s="403"/>
      <c r="H1068" s="406"/>
      <c r="I1068" s="406"/>
      <c r="J1068" s="406"/>
      <c r="K1068" s="304"/>
      <c r="L1068" s="372"/>
      <c r="M1068" s="372"/>
      <c r="N1068" s="372"/>
      <c r="O1068" s="372"/>
      <c r="P1068" s="372"/>
      <c r="Q1068" s="304"/>
      <c r="R1068" s="304"/>
      <c r="S1068" s="304"/>
      <c r="T1068" s="304"/>
      <c r="U1068" s="304"/>
      <c r="V1068" s="304"/>
      <c r="AL1068" s="372" t="str">
        <f t="shared" si="46"/>
        <v/>
      </c>
    </row>
    <row r="1069" spans="1:38" ht="15" customHeight="1" outlineLevel="1" x14ac:dyDescent="0.2">
      <c r="A1069" s="403"/>
      <c r="B1069" s="403"/>
      <c r="C1069" s="403"/>
      <c r="D1069" s="404"/>
      <c r="E1069" s="405"/>
      <c r="F1069" s="405"/>
      <c r="G1069" s="403"/>
      <c r="H1069" s="406"/>
      <c r="I1069" s="406"/>
      <c r="J1069" s="406"/>
      <c r="K1069" s="304"/>
      <c r="L1069" s="372"/>
      <c r="M1069" s="372"/>
      <c r="N1069" s="372"/>
      <c r="O1069" s="372"/>
      <c r="P1069" s="372"/>
      <c r="Q1069" s="304"/>
      <c r="R1069" s="304"/>
      <c r="S1069" s="304"/>
      <c r="T1069" s="304"/>
      <c r="U1069" s="304"/>
      <c r="V1069" s="304"/>
      <c r="AL1069" s="372" t="str">
        <f t="shared" si="46"/>
        <v/>
      </c>
    </row>
    <row r="1070" spans="1:38" ht="15" customHeight="1" outlineLevel="1" x14ac:dyDescent="0.2">
      <c r="A1070" s="403"/>
      <c r="B1070" s="403"/>
      <c r="C1070" s="403"/>
      <c r="D1070" s="404"/>
      <c r="E1070" s="405"/>
      <c r="F1070" s="405"/>
      <c r="G1070" s="403"/>
      <c r="H1070" s="406"/>
      <c r="I1070" s="406"/>
      <c r="J1070" s="406"/>
      <c r="K1070" s="304"/>
      <c r="L1070" s="372"/>
      <c r="M1070" s="372"/>
      <c r="N1070" s="372"/>
      <c r="O1070" s="372"/>
      <c r="P1070" s="372"/>
      <c r="Q1070" s="304"/>
      <c r="R1070" s="304"/>
      <c r="S1070" s="304"/>
      <c r="T1070" s="304"/>
      <c r="U1070" s="304"/>
      <c r="V1070" s="304"/>
      <c r="AL1070" s="372" t="str">
        <f t="shared" si="46"/>
        <v/>
      </c>
    </row>
    <row r="1071" spans="1:38" ht="15" customHeight="1" outlineLevel="1" x14ac:dyDescent="0.2">
      <c r="A1071" s="403"/>
      <c r="B1071" s="403"/>
      <c r="C1071" s="403"/>
      <c r="D1071" s="404"/>
      <c r="E1071" s="405"/>
      <c r="F1071" s="405"/>
      <c r="G1071" s="403"/>
      <c r="H1071" s="406"/>
      <c r="I1071" s="406"/>
      <c r="J1071" s="406"/>
      <c r="K1071" s="304"/>
      <c r="L1071" s="372"/>
      <c r="M1071" s="372"/>
      <c r="N1071" s="372"/>
      <c r="O1071" s="372"/>
      <c r="P1071" s="372"/>
      <c r="Q1071" s="304"/>
      <c r="R1071" s="304"/>
      <c r="S1071" s="304"/>
      <c r="T1071" s="304"/>
      <c r="U1071" s="304"/>
      <c r="V1071" s="304"/>
      <c r="AL1071" s="372" t="str">
        <f t="shared" si="46"/>
        <v/>
      </c>
    </row>
    <row r="1072" spans="1:38" ht="15" customHeight="1" outlineLevel="1" x14ac:dyDescent="0.2">
      <c r="A1072" s="403"/>
      <c r="B1072" s="403"/>
      <c r="C1072" s="403"/>
      <c r="D1072" s="404"/>
      <c r="E1072" s="405"/>
      <c r="F1072" s="405"/>
      <c r="G1072" s="403"/>
      <c r="H1072" s="406"/>
      <c r="I1072" s="406"/>
      <c r="J1072" s="406"/>
      <c r="K1072" s="304"/>
      <c r="L1072" s="372"/>
      <c r="M1072" s="372"/>
      <c r="N1072" s="372"/>
      <c r="O1072" s="372"/>
      <c r="P1072" s="372"/>
      <c r="Q1072" s="304"/>
      <c r="R1072" s="304"/>
      <c r="S1072" s="304"/>
      <c r="T1072" s="304"/>
      <c r="U1072" s="304"/>
      <c r="V1072" s="304"/>
      <c r="AL1072" s="372" t="str">
        <f t="shared" si="46"/>
        <v/>
      </c>
    </row>
    <row r="1073" spans="1:38" ht="15" customHeight="1" outlineLevel="1" x14ac:dyDescent="0.2">
      <c r="A1073" s="403"/>
      <c r="B1073" s="403"/>
      <c r="C1073" s="403"/>
      <c r="D1073" s="404"/>
      <c r="E1073" s="405"/>
      <c r="F1073" s="405"/>
      <c r="G1073" s="403"/>
      <c r="H1073" s="406"/>
      <c r="I1073" s="406"/>
      <c r="J1073" s="406"/>
      <c r="K1073" s="304"/>
      <c r="L1073" s="372"/>
      <c r="M1073" s="372"/>
      <c r="N1073" s="372"/>
      <c r="O1073" s="372"/>
      <c r="P1073" s="372"/>
      <c r="Q1073" s="304"/>
      <c r="R1073" s="304"/>
      <c r="S1073" s="304"/>
      <c r="T1073" s="304"/>
      <c r="U1073" s="304"/>
      <c r="V1073" s="304"/>
      <c r="AL1073" s="372" t="str">
        <f t="shared" si="46"/>
        <v/>
      </c>
    </row>
    <row r="1074" spans="1:38" ht="15" customHeight="1" outlineLevel="1" x14ac:dyDescent="0.2">
      <c r="A1074" s="403"/>
      <c r="B1074" s="403"/>
      <c r="C1074" s="403"/>
      <c r="D1074" s="404"/>
      <c r="E1074" s="405"/>
      <c r="F1074" s="405"/>
      <c r="G1074" s="403"/>
      <c r="H1074" s="406"/>
      <c r="I1074" s="406"/>
      <c r="J1074" s="406"/>
      <c r="K1074" s="304"/>
      <c r="L1074" s="372"/>
      <c r="M1074" s="372"/>
      <c r="N1074" s="372"/>
      <c r="O1074" s="372"/>
      <c r="P1074" s="372"/>
      <c r="Q1074" s="304"/>
      <c r="R1074" s="304"/>
      <c r="S1074" s="304"/>
      <c r="T1074" s="304"/>
      <c r="U1074" s="304"/>
      <c r="V1074" s="304"/>
      <c r="AL1074" s="372" t="str">
        <f t="shared" si="46"/>
        <v/>
      </c>
    </row>
    <row r="1075" spans="1:38" ht="15" customHeight="1" outlineLevel="1" x14ac:dyDescent="0.2">
      <c r="A1075" s="403"/>
      <c r="B1075" s="403"/>
      <c r="C1075" s="403"/>
      <c r="D1075" s="404"/>
      <c r="E1075" s="405"/>
      <c r="F1075" s="405"/>
      <c r="G1075" s="403"/>
      <c r="H1075" s="406"/>
      <c r="I1075" s="406"/>
      <c r="J1075" s="406"/>
      <c r="K1075" s="304"/>
      <c r="L1075" s="372"/>
      <c r="M1075" s="372"/>
      <c r="N1075" s="372"/>
      <c r="O1075" s="372"/>
      <c r="P1075" s="372"/>
      <c r="Q1075" s="304"/>
      <c r="R1075" s="304"/>
      <c r="S1075" s="304"/>
      <c r="T1075" s="304"/>
      <c r="U1075" s="304"/>
      <c r="V1075" s="304"/>
      <c r="AL1075" s="372" t="str">
        <f t="shared" si="46"/>
        <v/>
      </c>
    </row>
    <row r="1076" spans="1:38" ht="15" customHeight="1" outlineLevel="1" x14ac:dyDescent="0.2">
      <c r="A1076" s="403"/>
      <c r="B1076" s="403"/>
      <c r="C1076" s="403"/>
      <c r="D1076" s="404"/>
      <c r="E1076" s="405"/>
      <c r="F1076" s="405"/>
      <c r="G1076" s="403"/>
      <c r="H1076" s="406"/>
      <c r="I1076" s="406"/>
      <c r="J1076" s="406"/>
      <c r="K1076" s="304"/>
      <c r="L1076" s="372"/>
      <c r="M1076" s="372"/>
      <c r="N1076" s="372"/>
      <c r="O1076" s="372"/>
      <c r="P1076" s="372"/>
      <c r="Q1076" s="304"/>
      <c r="R1076" s="304"/>
      <c r="S1076" s="304"/>
      <c r="T1076" s="304"/>
      <c r="U1076" s="304"/>
      <c r="V1076" s="304"/>
      <c r="AL1076" s="372" t="str">
        <f t="shared" si="46"/>
        <v/>
      </c>
    </row>
    <row r="1077" spans="1:38" ht="15" customHeight="1" outlineLevel="1" x14ac:dyDescent="0.2">
      <c r="A1077" s="403"/>
      <c r="B1077" s="403"/>
      <c r="C1077" s="403"/>
      <c r="D1077" s="404"/>
      <c r="E1077" s="405"/>
      <c r="F1077" s="405"/>
      <c r="G1077" s="403"/>
      <c r="H1077" s="406"/>
      <c r="I1077" s="406"/>
      <c r="J1077" s="406"/>
      <c r="K1077" s="304"/>
      <c r="L1077" s="372"/>
      <c r="M1077" s="372"/>
      <c r="N1077" s="372"/>
      <c r="O1077" s="372"/>
      <c r="P1077" s="372"/>
      <c r="Q1077" s="304"/>
      <c r="R1077" s="304"/>
      <c r="S1077" s="304"/>
      <c r="T1077" s="304"/>
      <c r="U1077" s="304"/>
      <c r="V1077" s="304"/>
      <c r="AL1077" s="372" t="str">
        <f t="shared" si="46"/>
        <v/>
      </c>
    </row>
    <row r="1078" spans="1:38" ht="15" customHeight="1" outlineLevel="1" x14ac:dyDescent="0.2">
      <c r="A1078" s="403"/>
      <c r="B1078" s="403"/>
      <c r="C1078" s="403"/>
      <c r="D1078" s="404"/>
      <c r="E1078" s="405"/>
      <c r="F1078" s="405"/>
      <c r="G1078" s="403"/>
      <c r="H1078" s="406"/>
      <c r="I1078" s="406"/>
      <c r="J1078" s="406"/>
      <c r="K1078" s="304"/>
      <c r="L1078" s="372"/>
      <c r="M1078" s="372"/>
      <c r="N1078" s="372"/>
      <c r="O1078" s="372"/>
      <c r="P1078" s="372"/>
      <c r="Q1078" s="304"/>
      <c r="R1078" s="304"/>
      <c r="S1078" s="304"/>
      <c r="T1078" s="304"/>
      <c r="U1078" s="304"/>
      <c r="V1078" s="304"/>
      <c r="AL1078" s="372" t="str">
        <f t="shared" si="46"/>
        <v/>
      </c>
    </row>
    <row r="1079" spans="1:38" ht="15" customHeight="1" outlineLevel="1" x14ac:dyDescent="0.2">
      <c r="A1079" s="403"/>
      <c r="B1079" s="403"/>
      <c r="C1079" s="403"/>
      <c r="D1079" s="404"/>
      <c r="E1079" s="405"/>
      <c r="F1079" s="405"/>
      <c r="G1079" s="403"/>
      <c r="H1079" s="406"/>
      <c r="I1079" s="406"/>
      <c r="J1079" s="406"/>
      <c r="K1079" s="304"/>
      <c r="L1079" s="372"/>
      <c r="M1079" s="372"/>
      <c r="N1079" s="372"/>
      <c r="O1079" s="372"/>
      <c r="P1079" s="372"/>
      <c r="Q1079" s="304"/>
      <c r="R1079" s="304"/>
      <c r="S1079" s="304"/>
      <c r="T1079" s="304"/>
      <c r="U1079" s="304"/>
      <c r="V1079" s="304"/>
      <c r="AL1079" s="372" t="str">
        <f t="shared" si="46"/>
        <v/>
      </c>
    </row>
    <row r="1080" spans="1:38" ht="15" customHeight="1" outlineLevel="1" x14ac:dyDescent="0.2">
      <c r="A1080" s="403"/>
      <c r="B1080" s="403"/>
      <c r="C1080" s="403"/>
      <c r="D1080" s="404"/>
      <c r="E1080" s="405"/>
      <c r="F1080" s="405"/>
      <c r="G1080" s="403"/>
      <c r="H1080" s="406"/>
      <c r="I1080" s="406"/>
      <c r="J1080" s="406"/>
      <c r="K1080" s="304"/>
      <c r="L1080" s="372"/>
      <c r="M1080" s="372"/>
      <c r="N1080" s="372"/>
      <c r="O1080" s="372"/>
      <c r="P1080" s="372"/>
      <c r="Q1080" s="304"/>
      <c r="R1080" s="304"/>
      <c r="S1080" s="304"/>
      <c r="T1080" s="304"/>
      <c r="U1080" s="304"/>
      <c r="V1080" s="304"/>
      <c r="AL1080" s="372" t="str">
        <f t="shared" si="46"/>
        <v/>
      </c>
    </row>
    <row r="1081" spans="1:38" ht="15" customHeight="1" outlineLevel="1" x14ac:dyDescent="0.2">
      <c r="A1081" s="403"/>
      <c r="B1081" s="403"/>
      <c r="C1081" s="403"/>
      <c r="D1081" s="404"/>
      <c r="E1081" s="405"/>
      <c r="F1081" s="405"/>
      <c r="G1081" s="403"/>
      <c r="H1081" s="406"/>
      <c r="I1081" s="406"/>
      <c r="J1081" s="406"/>
      <c r="K1081" s="304"/>
      <c r="L1081" s="372"/>
      <c r="M1081" s="372"/>
      <c r="N1081" s="372"/>
      <c r="O1081" s="372"/>
      <c r="P1081" s="372"/>
      <c r="Q1081" s="304"/>
      <c r="R1081" s="304"/>
      <c r="S1081" s="304"/>
      <c r="T1081" s="304"/>
      <c r="U1081" s="304"/>
      <c r="V1081" s="304"/>
      <c r="AL1081" s="372" t="str">
        <f t="shared" si="46"/>
        <v/>
      </c>
    </row>
    <row r="1082" spans="1:38" ht="15" customHeight="1" outlineLevel="1" x14ac:dyDescent="0.2">
      <c r="A1082" s="403"/>
      <c r="B1082" s="403"/>
      <c r="C1082" s="403"/>
      <c r="D1082" s="404"/>
      <c r="E1082" s="405"/>
      <c r="F1082" s="405"/>
      <c r="G1082" s="403"/>
      <c r="H1082" s="406"/>
      <c r="I1082" s="406"/>
      <c r="J1082" s="406"/>
      <c r="K1082" s="304"/>
      <c r="L1082" s="372"/>
      <c r="M1082" s="372"/>
      <c r="N1082" s="372"/>
      <c r="O1082" s="372"/>
      <c r="P1082" s="372"/>
      <c r="Q1082" s="304"/>
      <c r="R1082" s="304"/>
      <c r="S1082" s="304"/>
      <c r="T1082" s="304"/>
      <c r="U1082" s="304"/>
      <c r="V1082" s="304"/>
      <c r="AL1082" s="372" t="str">
        <f t="shared" si="46"/>
        <v/>
      </c>
    </row>
    <row r="1083" spans="1:38" ht="15" customHeight="1" outlineLevel="1" x14ac:dyDescent="0.2">
      <c r="A1083" s="403"/>
      <c r="B1083" s="403"/>
      <c r="C1083" s="403"/>
      <c r="D1083" s="404"/>
      <c r="E1083" s="405"/>
      <c r="F1083" s="405"/>
      <c r="G1083" s="403"/>
      <c r="H1083" s="406"/>
      <c r="I1083" s="406"/>
      <c r="J1083" s="406"/>
      <c r="K1083" s="304"/>
      <c r="L1083" s="372"/>
      <c r="M1083" s="372"/>
      <c r="N1083" s="372"/>
      <c r="O1083" s="372"/>
      <c r="P1083" s="372"/>
      <c r="Q1083" s="304"/>
      <c r="R1083" s="304"/>
      <c r="S1083" s="304"/>
      <c r="T1083" s="304"/>
      <c r="U1083" s="304"/>
      <c r="V1083" s="304"/>
      <c r="AL1083" s="372" t="str">
        <f t="shared" si="46"/>
        <v/>
      </c>
    </row>
    <row r="1084" spans="1:38" ht="15" customHeight="1" outlineLevel="1" x14ac:dyDescent="0.2">
      <c r="A1084" s="403"/>
      <c r="B1084" s="403"/>
      <c r="C1084" s="403"/>
      <c r="D1084" s="404"/>
      <c r="E1084" s="405"/>
      <c r="F1084" s="405"/>
      <c r="G1084" s="403"/>
      <c r="H1084" s="406"/>
      <c r="I1084" s="406"/>
      <c r="J1084" s="406"/>
      <c r="K1084" s="304"/>
      <c r="L1084" s="372"/>
      <c r="M1084" s="372"/>
      <c r="N1084" s="372"/>
      <c r="O1084" s="372"/>
      <c r="P1084" s="372"/>
      <c r="Q1084" s="304"/>
      <c r="R1084" s="304"/>
      <c r="S1084" s="304"/>
      <c r="T1084" s="304"/>
      <c r="U1084" s="304"/>
      <c r="V1084" s="304"/>
      <c r="AL1084" s="372" t="str">
        <f t="shared" si="46"/>
        <v/>
      </c>
    </row>
    <row r="1085" spans="1:38" ht="15" customHeight="1" outlineLevel="1" x14ac:dyDescent="0.2">
      <c r="A1085" s="403"/>
      <c r="B1085" s="403"/>
      <c r="C1085" s="403"/>
      <c r="D1085" s="404"/>
      <c r="E1085" s="405"/>
      <c r="F1085" s="405"/>
      <c r="G1085" s="403"/>
      <c r="H1085" s="406"/>
      <c r="I1085" s="406"/>
      <c r="J1085" s="406"/>
      <c r="K1085" s="304"/>
      <c r="L1085" s="372"/>
      <c r="M1085" s="372"/>
      <c r="N1085" s="372"/>
      <c r="O1085" s="372"/>
      <c r="P1085" s="372"/>
      <c r="Q1085" s="304"/>
      <c r="R1085" s="304"/>
      <c r="S1085" s="304"/>
      <c r="T1085" s="304"/>
      <c r="U1085" s="304"/>
      <c r="V1085" s="304"/>
      <c r="AL1085" s="372" t="str">
        <f t="shared" si="46"/>
        <v/>
      </c>
    </row>
    <row r="1086" spans="1:38" ht="15" customHeight="1" outlineLevel="1" x14ac:dyDescent="0.2">
      <c r="A1086" s="403"/>
      <c r="B1086" s="403"/>
      <c r="C1086" s="403"/>
      <c r="D1086" s="404"/>
      <c r="E1086" s="405"/>
      <c r="F1086" s="405"/>
      <c r="G1086" s="403"/>
      <c r="H1086" s="406"/>
      <c r="I1086" s="406"/>
      <c r="J1086" s="406"/>
      <c r="K1086" s="304"/>
      <c r="L1086" s="372"/>
      <c r="M1086" s="372"/>
      <c r="N1086" s="372"/>
      <c r="O1086" s="372"/>
      <c r="P1086" s="372"/>
      <c r="Q1086" s="304"/>
      <c r="R1086" s="304"/>
      <c r="S1086" s="304"/>
      <c r="T1086" s="304"/>
      <c r="U1086" s="304"/>
      <c r="V1086" s="304"/>
      <c r="AL1086" s="372" t="str">
        <f t="shared" si="46"/>
        <v/>
      </c>
    </row>
    <row r="1087" spans="1:38" ht="15" customHeight="1" outlineLevel="1" x14ac:dyDescent="0.2">
      <c r="A1087" s="403"/>
      <c r="B1087" s="403"/>
      <c r="C1087" s="403"/>
      <c r="D1087" s="404"/>
      <c r="E1087" s="405"/>
      <c r="F1087" s="405"/>
      <c r="G1087" s="403"/>
      <c r="H1087" s="406"/>
      <c r="I1087" s="406"/>
      <c r="J1087" s="406"/>
      <c r="K1087" s="304"/>
      <c r="L1087" s="372"/>
      <c r="M1087" s="372"/>
      <c r="N1087" s="372"/>
      <c r="O1087" s="372"/>
      <c r="P1087" s="372"/>
      <c r="Q1087" s="304"/>
      <c r="R1087" s="304"/>
      <c r="S1087" s="304"/>
      <c r="T1087" s="304"/>
      <c r="U1087" s="304"/>
      <c r="V1087" s="304"/>
      <c r="AL1087" s="372" t="str">
        <f t="shared" si="46"/>
        <v/>
      </c>
    </row>
    <row r="1088" spans="1:38" ht="15" customHeight="1" outlineLevel="1" x14ac:dyDescent="0.2">
      <c r="A1088" s="403"/>
      <c r="B1088" s="403"/>
      <c r="C1088" s="403"/>
      <c r="D1088" s="404"/>
      <c r="E1088" s="405"/>
      <c r="F1088" s="405"/>
      <c r="G1088" s="403"/>
      <c r="H1088" s="406"/>
      <c r="I1088" s="406"/>
      <c r="J1088" s="406"/>
      <c r="K1088" s="304"/>
      <c r="L1088" s="372"/>
      <c r="M1088" s="372"/>
      <c r="N1088" s="372"/>
      <c r="O1088" s="372"/>
      <c r="P1088" s="372"/>
      <c r="Q1088" s="304"/>
      <c r="R1088" s="304"/>
      <c r="S1088" s="304"/>
      <c r="T1088" s="304"/>
      <c r="U1088" s="304"/>
      <c r="V1088" s="304"/>
      <c r="AL1088" s="372" t="str">
        <f t="shared" si="46"/>
        <v/>
      </c>
    </row>
    <row r="1089" spans="1:38" ht="15" customHeight="1" outlineLevel="1" x14ac:dyDescent="0.2">
      <c r="A1089" s="403"/>
      <c r="B1089" s="403"/>
      <c r="C1089" s="403"/>
      <c r="D1089" s="404"/>
      <c r="E1089" s="405"/>
      <c r="F1089" s="405"/>
      <c r="G1089" s="403"/>
      <c r="H1089" s="406"/>
      <c r="I1089" s="406"/>
      <c r="J1089" s="406"/>
      <c r="K1089" s="304"/>
      <c r="L1089" s="372"/>
      <c r="M1089" s="372"/>
      <c r="N1089" s="372"/>
      <c r="O1089" s="372"/>
      <c r="P1089" s="372"/>
      <c r="Q1089" s="304"/>
      <c r="R1089" s="304"/>
      <c r="S1089" s="304"/>
      <c r="T1089" s="304"/>
      <c r="U1089" s="304"/>
      <c r="V1089" s="304"/>
      <c r="AL1089" s="372" t="str">
        <f t="shared" si="46"/>
        <v/>
      </c>
    </row>
    <row r="1090" spans="1:38" ht="15" customHeight="1" outlineLevel="1" x14ac:dyDescent="0.2">
      <c r="A1090" s="403"/>
      <c r="B1090" s="403"/>
      <c r="C1090" s="403"/>
      <c r="D1090" s="404"/>
      <c r="E1090" s="405"/>
      <c r="F1090" s="405"/>
      <c r="G1090" s="403"/>
      <c r="H1090" s="406"/>
      <c r="I1090" s="406"/>
      <c r="J1090" s="406"/>
      <c r="K1090" s="304"/>
      <c r="L1090" s="372"/>
      <c r="M1090" s="372"/>
      <c r="N1090" s="372"/>
      <c r="O1090" s="372"/>
      <c r="P1090" s="372"/>
      <c r="Q1090" s="304"/>
      <c r="R1090" s="304"/>
      <c r="S1090" s="304"/>
      <c r="T1090" s="304"/>
      <c r="U1090" s="304"/>
      <c r="V1090" s="304"/>
      <c r="AL1090" s="372" t="str">
        <f t="shared" si="46"/>
        <v/>
      </c>
    </row>
    <row r="1091" spans="1:38" ht="15" customHeight="1" outlineLevel="1" x14ac:dyDescent="0.2">
      <c r="A1091" s="403"/>
      <c r="B1091" s="403"/>
      <c r="C1091" s="403"/>
      <c r="D1091" s="404"/>
      <c r="E1091" s="405"/>
      <c r="F1091" s="405"/>
      <c r="G1091" s="403"/>
      <c r="H1091" s="406"/>
      <c r="I1091" s="406"/>
      <c r="J1091" s="406"/>
      <c r="K1091" s="304"/>
      <c r="L1091" s="372"/>
      <c r="M1091" s="372"/>
      <c r="N1091" s="372"/>
      <c r="O1091" s="372"/>
      <c r="P1091" s="372"/>
      <c r="Q1091" s="304"/>
      <c r="R1091" s="304"/>
      <c r="S1091" s="304"/>
      <c r="T1091" s="304"/>
      <c r="U1091" s="304"/>
      <c r="V1091" s="304"/>
      <c r="AL1091" s="372" t="str">
        <f t="shared" si="46"/>
        <v/>
      </c>
    </row>
    <row r="1092" spans="1:38" ht="15" customHeight="1" outlineLevel="1" x14ac:dyDescent="0.2">
      <c r="A1092" s="403"/>
      <c r="B1092" s="403"/>
      <c r="C1092" s="403"/>
      <c r="D1092" s="404"/>
      <c r="E1092" s="405"/>
      <c r="F1092" s="405"/>
      <c r="G1092" s="403"/>
      <c r="H1092" s="406"/>
      <c r="I1092" s="406"/>
      <c r="J1092" s="406"/>
      <c r="K1092" s="304"/>
      <c r="L1092" s="372"/>
      <c r="M1092" s="372"/>
      <c r="N1092" s="372"/>
      <c r="O1092" s="372"/>
      <c r="P1092" s="372"/>
      <c r="Q1092" s="304"/>
      <c r="R1092" s="304"/>
      <c r="S1092" s="304"/>
      <c r="T1092" s="304"/>
      <c r="U1092" s="304"/>
      <c r="V1092" s="304"/>
      <c r="AL1092" s="372" t="str">
        <f t="shared" si="46"/>
        <v/>
      </c>
    </row>
    <row r="1093" spans="1:38" ht="15" customHeight="1" outlineLevel="1" x14ac:dyDescent="0.2">
      <c r="A1093" s="403"/>
      <c r="B1093" s="403"/>
      <c r="C1093" s="403"/>
      <c r="D1093" s="404"/>
      <c r="E1093" s="405"/>
      <c r="F1093" s="405"/>
      <c r="G1093" s="403"/>
      <c r="H1093" s="406"/>
      <c r="I1093" s="406"/>
      <c r="J1093" s="406"/>
      <c r="K1093" s="304"/>
      <c r="L1093" s="372"/>
      <c r="M1093" s="372"/>
      <c r="N1093" s="372"/>
      <c r="O1093" s="372"/>
      <c r="P1093" s="372"/>
      <c r="Q1093" s="304"/>
      <c r="R1093" s="304"/>
      <c r="S1093" s="304"/>
      <c r="T1093" s="304"/>
      <c r="U1093" s="304"/>
      <c r="V1093" s="304"/>
      <c r="AL1093" s="372" t="str">
        <f t="shared" si="46"/>
        <v/>
      </c>
    </row>
    <row r="1094" spans="1:38" ht="15" customHeight="1" outlineLevel="1" x14ac:dyDescent="0.2">
      <c r="A1094" s="403"/>
      <c r="B1094" s="403"/>
      <c r="C1094" s="403"/>
      <c r="D1094" s="404"/>
      <c r="E1094" s="405"/>
      <c r="F1094" s="405"/>
      <c r="G1094" s="403"/>
      <c r="H1094" s="406"/>
      <c r="I1094" s="406"/>
      <c r="J1094" s="406"/>
      <c r="K1094" s="304"/>
      <c r="L1094" s="372"/>
      <c r="M1094" s="372"/>
      <c r="N1094" s="372"/>
      <c r="O1094" s="372"/>
      <c r="P1094" s="372"/>
      <c r="Q1094" s="304"/>
      <c r="R1094" s="304"/>
      <c r="S1094" s="304"/>
      <c r="T1094" s="304"/>
      <c r="U1094" s="304"/>
      <c r="V1094" s="304"/>
      <c r="AL1094" s="372" t="str">
        <f t="shared" si="46"/>
        <v/>
      </c>
    </row>
    <row r="1095" spans="1:38" ht="15" customHeight="1" outlineLevel="1" x14ac:dyDescent="0.2">
      <c r="A1095" s="403"/>
      <c r="B1095" s="403"/>
      <c r="C1095" s="403"/>
      <c r="D1095" s="404"/>
      <c r="E1095" s="405"/>
      <c r="F1095" s="405"/>
      <c r="G1095" s="403"/>
      <c r="H1095" s="406"/>
      <c r="I1095" s="406"/>
      <c r="J1095" s="406"/>
      <c r="K1095" s="304"/>
      <c r="L1095" s="372"/>
      <c r="M1095" s="372"/>
      <c r="N1095" s="372"/>
      <c r="O1095" s="372"/>
      <c r="P1095" s="372"/>
      <c r="Q1095" s="304"/>
      <c r="R1095" s="304"/>
      <c r="S1095" s="304"/>
      <c r="T1095" s="304"/>
      <c r="U1095" s="304"/>
      <c r="V1095" s="304"/>
      <c r="AL1095" s="372" t="str">
        <f t="shared" si="46"/>
        <v/>
      </c>
    </row>
    <row r="1096" spans="1:38" ht="15" customHeight="1" outlineLevel="1" x14ac:dyDescent="0.2">
      <c r="A1096" s="403"/>
      <c r="B1096" s="403"/>
      <c r="C1096" s="403"/>
      <c r="D1096" s="404"/>
      <c r="E1096" s="405"/>
      <c r="F1096" s="405"/>
      <c r="G1096" s="403"/>
      <c r="H1096" s="406"/>
      <c r="I1096" s="406"/>
      <c r="J1096" s="406"/>
      <c r="K1096" s="304"/>
      <c r="L1096" s="372"/>
      <c r="M1096" s="372"/>
      <c r="N1096" s="372"/>
      <c r="O1096" s="372"/>
      <c r="P1096" s="372"/>
      <c r="Q1096" s="304"/>
      <c r="R1096" s="304"/>
      <c r="S1096" s="304"/>
      <c r="T1096" s="304"/>
      <c r="U1096" s="304"/>
      <c r="V1096" s="304"/>
      <c r="AL1096" s="372" t="str">
        <f t="shared" si="46"/>
        <v/>
      </c>
    </row>
    <row r="1097" spans="1:38" ht="15" customHeight="1" outlineLevel="1" x14ac:dyDescent="0.2">
      <c r="A1097" s="403"/>
      <c r="B1097" s="403"/>
      <c r="C1097" s="403"/>
      <c r="D1097" s="404"/>
      <c r="E1097" s="405"/>
      <c r="F1097" s="405"/>
      <c r="G1097" s="403"/>
      <c r="H1097" s="406"/>
      <c r="I1097" s="406"/>
      <c r="J1097" s="406"/>
      <c r="K1097" s="304"/>
      <c r="L1097" s="372"/>
      <c r="M1097" s="372"/>
      <c r="N1097" s="372"/>
      <c r="O1097" s="372"/>
      <c r="P1097" s="372"/>
      <c r="Q1097" s="304"/>
      <c r="R1097" s="304"/>
      <c r="S1097" s="304"/>
      <c r="T1097" s="304"/>
      <c r="U1097" s="304"/>
      <c r="V1097" s="304"/>
      <c r="AL1097" s="372" t="str">
        <f t="shared" si="46"/>
        <v/>
      </c>
    </row>
    <row r="1098" spans="1:38" ht="15" customHeight="1" outlineLevel="1" x14ac:dyDescent="0.2">
      <c r="A1098" s="403"/>
      <c r="B1098" s="403"/>
      <c r="C1098" s="403"/>
      <c r="D1098" s="404"/>
      <c r="E1098" s="405"/>
      <c r="F1098" s="405"/>
      <c r="G1098" s="403"/>
      <c r="H1098" s="406"/>
      <c r="I1098" s="406"/>
      <c r="J1098" s="406"/>
      <c r="K1098" s="304"/>
      <c r="L1098" s="372"/>
      <c r="M1098" s="372"/>
      <c r="N1098" s="372"/>
      <c r="O1098" s="372"/>
      <c r="P1098" s="372"/>
      <c r="Q1098" s="304"/>
      <c r="R1098" s="304"/>
      <c r="S1098" s="304"/>
      <c r="T1098" s="304"/>
      <c r="U1098" s="304"/>
      <c r="V1098" s="304"/>
      <c r="AL1098" s="372" t="str">
        <f t="shared" si="46"/>
        <v/>
      </c>
    </row>
    <row r="1099" spans="1:38" ht="15" customHeight="1" outlineLevel="1" x14ac:dyDescent="0.2">
      <c r="A1099" s="403"/>
      <c r="B1099" s="403"/>
      <c r="C1099" s="403"/>
      <c r="D1099" s="404"/>
      <c r="E1099" s="405"/>
      <c r="F1099" s="405"/>
      <c r="G1099" s="403"/>
      <c r="H1099" s="406"/>
      <c r="I1099" s="406"/>
      <c r="J1099" s="406"/>
      <c r="K1099" s="304"/>
      <c r="L1099" s="372"/>
      <c r="M1099" s="372"/>
      <c r="N1099" s="372"/>
      <c r="O1099" s="372"/>
      <c r="P1099" s="372"/>
      <c r="Q1099" s="304"/>
      <c r="R1099" s="304"/>
      <c r="S1099" s="304"/>
      <c r="T1099" s="304"/>
      <c r="U1099" s="304"/>
      <c r="V1099" s="304"/>
      <c r="AL1099" s="372" t="str">
        <f t="shared" si="46"/>
        <v/>
      </c>
    </row>
    <row r="1100" spans="1:38" ht="15" customHeight="1" outlineLevel="1" x14ac:dyDescent="0.2">
      <c r="A1100" s="403"/>
      <c r="B1100" s="403"/>
      <c r="C1100" s="403"/>
      <c r="D1100" s="404"/>
      <c r="E1100" s="405"/>
      <c r="F1100" s="405"/>
      <c r="G1100" s="403"/>
      <c r="H1100" s="406"/>
      <c r="I1100" s="406"/>
      <c r="J1100" s="406"/>
      <c r="K1100" s="304"/>
      <c r="L1100" s="372"/>
      <c r="M1100" s="372"/>
      <c r="N1100" s="372"/>
      <c r="O1100" s="372"/>
      <c r="P1100" s="372"/>
      <c r="Q1100" s="304"/>
      <c r="R1100" s="304"/>
      <c r="S1100" s="304"/>
      <c r="T1100" s="304"/>
      <c r="U1100" s="304"/>
      <c r="V1100" s="304"/>
      <c r="AL1100" s="372" t="str">
        <f t="shared" si="46"/>
        <v/>
      </c>
    </row>
    <row r="1101" spans="1:38" ht="15" customHeight="1" outlineLevel="1" x14ac:dyDescent="0.2">
      <c r="A1101" s="403"/>
      <c r="B1101" s="403"/>
      <c r="C1101" s="403"/>
      <c r="D1101" s="404"/>
      <c r="E1101" s="405"/>
      <c r="F1101" s="405"/>
      <c r="G1101" s="403"/>
      <c r="H1101" s="406"/>
      <c r="I1101" s="406"/>
      <c r="J1101" s="406"/>
      <c r="K1101" s="304"/>
      <c r="L1101" s="372"/>
      <c r="M1101" s="372"/>
      <c r="N1101" s="372"/>
      <c r="O1101" s="372"/>
      <c r="P1101" s="372"/>
      <c r="Q1101" s="304"/>
      <c r="R1101" s="304"/>
      <c r="S1101" s="304"/>
      <c r="T1101" s="304"/>
      <c r="U1101" s="304"/>
      <c r="V1101" s="304"/>
      <c r="AL1101" s="372" t="str">
        <f t="shared" si="46"/>
        <v/>
      </c>
    </row>
    <row r="1102" spans="1:38" ht="15" customHeight="1" outlineLevel="1" x14ac:dyDescent="0.2">
      <c r="A1102" s="403"/>
      <c r="B1102" s="403"/>
      <c r="C1102" s="403"/>
      <c r="D1102" s="404"/>
      <c r="E1102" s="405"/>
      <c r="F1102" s="405"/>
      <c r="G1102" s="403"/>
      <c r="H1102" s="406"/>
      <c r="I1102" s="406"/>
      <c r="J1102" s="406"/>
      <c r="K1102" s="304"/>
      <c r="L1102" s="372"/>
      <c r="M1102" s="372"/>
      <c r="N1102" s="372"/>
      <c r="O1102" s="372"/>
      <c r="P1102" s="372"/>
      <c r="Q1102" s="304"/>
      <c r="R1102" s="304"/>
      <c r="S1102" s="304"/>
      <c r="T1102" s="304"/>
      <c r="U1102" s="304"/>
      <c r="V1102" s="304"/>
      <c r="AL1102" s="372" t="str">
        <f t="shared" si="46"/>
        <v/>
      </c>
    </row>
    <row r="1103" spans="1:38" ht="15" customHeight="1" outlineLevel="1" x14ac:dyDescent="0.2">
      <c r="A1103" s="403"/>
      <c r="B1103" s="403"/>
      <c r="C1103" s="403"/>
      <c r="D1103" s="404"/>
      <c r="E1103" s="405"/>
      <c r="F1103" s="405"/>
      <c r="G1103" s="403"/>
      <c r="H1103" s="406"/>
      <c r="I1103" s="406"/>
      <c r="J1103" s="406"/>
      <c r="K1103" s="304"/>
      <c r="L1103" s="372"/>
      <c r="M1103" s="372"/>
      <c r="N1103" s="372"/>
      <c r="O1103" s="372"/>
      <c r="P1103" s="372"/>
      <c r="Q1103" s="304"/>
      <c r="R1103" s="304"/>
      <c r="S1103" s="304"/>
      <c r="T1103" s="304"/>
      <c r="U1103" s="304"/>
      <c r="V1103" s="304"/>
      <c r="AL1103" s="372" t="str">
        <f t="shared" si="46"/>
        <v/>
      </c>
    </row>
    <row r="1104" spans="1:38" ht="15" customHeight="1" outlineLevel="1" x14ac:dyDescent="0.2">
      <c r="A1104" s="403"/>
      <c r="B1104" s="403"/>
      <c r="C1104" s="403"/>
      <c r="D1104" s="404"/>
      <c r="E1104" s="405"/>
      <c r="F1104" s="405"/>
      <c r="G1104" s="403"/>
      <c r="H1104" s="406"/>
      <c r="I1104" s="406"/>
      <c r="J1104" s="406"/>
      <c r="K1104" s="304"/>
      <c r="L1104" s="372"/>
      <c r="M1104" s="372"/>
      <c r="N1104" s="372"/>
      <c r="O1104" s="372"/>
      <c r="P1104" s="372"/>
      <c r="Q1104" s="304"/>
      <c r="R1104" s="304"/>
      <c r="S1104" s="304"/>
      <c r="T1104" s="304"/>
      <c r="U1104" s="304"/>
      <c r="V1104" s="304"/>
      <c r="AL1104" s="372" t="str">
        <f t="shared" si="46"/>
        <v/>
      </c>
    </row>
    <row r="1105" spans="1:38" ht="15" customHeight="1" outlineLevel="1" x14ac:dyDescent="0.2">
      <c r="A1105" s="403"/>
      <c r="B1105" s="403"/>
      <c r="C1105" s="403"/>
      <c r="D1105" s="404"/>
      <c r="E1105" s="405"/>
      <c r="F1105" s="405"/>
      <c r="G1105" s="403"/>
      <c r="H1105" s="406"/>
      <c r="I1105" s="406"/>
      <c r="J1105" s="406"/>
      <c r="K1105" s="304"/>
      <c r="L1105" s="372"/>
      <c r="M1105" s="372"/>
      <c r="N1105" s="372"/>
      <c r="O1105" s="372"/>
      <c r="P1105" s="372"/>
      <c r="Q1105" s="304"/>
      <c r="R1105" s="304"/>
      <c r="S1105" s="304"/>
      <c r="T1105" s="304"/>
      <c r="U1105" s="304"/>
      <c r="V1105" s="304"/>
      <c r="AL1105" s="372" t="str">
        <f t="shared" ref="AL1105:AL1168" si="47">IF(($C1105=$AG$245)*($N1105&gt;0)*ISNUMBER($I1105),$I1105*100000+ROW(),"")</f>
        <v/>
      </c>
    </row>
    <row r="1106" spans="1:38" ht="15" customHeight="1" outlineLevel="1" x14ac:dyDescent="0.2">
      <c r="A1106" s="403"/>
      <c r="B1106" s="403"/>
      <c r="C1106" s="403"/>
      <c r="D1106" s="404"/>
      <c r="E1106" s="405"/>
      <c r="F1106" s="405"/>
      <c r="G1106" s="403"/>
      <c r="H1106" s="406"/>
      <c r="I1106" s="406"/>
      <c r="J1106" s="406"/>
      <c r="K1106" s="304"/>
      <c r="L1106" s="372"/>
      <c r="M1106" s="372"/>
      <c r="N1106" s="372"/>
      <c r="O1106" s="372"/>
      <c r="P1106" s="372"/>
      <c r="Q1106" s="304"/>
      <c r="R1106" s="304"/>
      <c r="S1106" s="304"/>
      <c r="T1106" s="304"/>
      <c r="U1106" s="304"/>
      <c r="V1106" s="304"/>
      <c r="AL1106" s="372" t="str">
        <f t="shared" si="47"/>
        <v/>
      </c>
    </row>
    <row r="1107" spans="1:38" ht="15" customHeight="1" outlineLevel="1" x14ac:dyDescent="0.2">
      <c r="A1107" s="403"/>
      <c r="B1107" s="403"/>
      <c r="C1107" s="403"/>
      <c r="D1107" s="404"/>
      <c r="E1107" s="405"/>
      <c r="F1107" s="405"/>
      <c r="G1107" s="403"/>
      <c r="H1107" s="406"/>
      <c r="I1107" s="406"/>
      <c r="J1107" s="406"/>
      <c r="K1107" s="304"/>
      <c r="L1107" s="372"/>
      <c r="M1107" s="372"/>
      <c r="N1107" s="372"/>
      <c r="O1107" s="372"/>
      <c r="P1107" s="372"/>
      <c r="Q1107" s="304"/>
      <c r="R1107" s="304"/>
      <c r="S1107" s="304"/>
      <c r="T1107" s="304"/>
      <c r="U1107" s="304"/>
      <c r="V1107" s="304"/>
      <c r="AL1107" s="372" t="str">
        <f t="shared" si="47"/>
        <v/>
      </c>
    </row>
    <row r="1108" spans="1:38" ht="15" customHeight="1" outlineLevel="1" x14ac:dyDescent="0.2">
      <c r="A1108" s="403"/>
      <c r="B1108" s="403"/>
      <c r="C1108" s="403"/>
      <c r="D1108" s="404"/>
      <c r="E1108" s="405"/>
      <c r="F1108" s="405"/>
      <c r="G1108" s="403"/>
      <c r="H1108" s="406"/>
      <c r="I1108" s="406"/>
      <c r="J1108" s="406"/>
      <c r="K1108" s="304"/>
      <c r="L1108" s="372"/>
      <c r="M1108" s="372"/>
      <c r="N1108" s="372"/>
      <c r="O1108" s="372"/>
      <c r="P1108" s="372"/>
      <c r="Q1108" s="304"/>
      <c r="R1108" s="304"/>
      <c r="S1108" s="304"/>
      <c r="T1108" s="304"/>
      <c r="U1108" s="304"/>
      <c r="V1108" s="304"/>
      <c r="AL1108" s="372" t="str">
        <f t="shared" si="47"/>
        <v/>
      </c>
    </row>
    <row r="1109" spans="1:38" ht="15" customHeight="1" outlineLevel="1" x14ac:dyDescent="0.2">
      <c r="A1109" s="403"/>
      <c r="B1109" s="403"/>
      <c r="C1109" s="403"/>
      <c r="D1109" s="404"/>
      <c r="E1109" s="405"/>
      <c r="F1109" s="405"/>
      <c r="G1109" s="403"/>
      <c r="H1109" s="406"/>
      <c r="I1109" s="406"/>
      <c r="J1109" s="406"/>
      <c r="K1109" s="304"/>
      <c r="L1109" s="372"/>
      <c r="M1109" s="372"/>
      <c r="N1109" s="372"/>
      <c r="O1109" s="372"/>
      <c r="P1109" s="372"/>
      <c r="Q1109" s="304"/>
      <c r="R1109" s="304"/>
      <c r="S1109" s="304"/>
      <c r="T1109" s="304"/>
      <c r="U1109" s="304"/>
      <c r="V1109" s="304"/>
      <c r="AL1109" s="372" t="str">
        <f t="shared" si="47"/>
        <v/>
      </c>
    </row>
    <row r="1110" spans="1:38" ht="15" customHeight="1" outlineLevel="1" x14ac:dyDescent="0.2">
      <c r="A1110" s="403"/>
      <c r="B1110" s="403"/>
      <c r="C1110" s="403"/>
      <c r="D1110" s="404"/>
      <c r="E1110" s="405"/>
      <c r="F1110" s="405"/>
      <c r="G1110" s="403"/>
      <c r="H1110" s="406"/>
      <c r="I1110" s="406"/>
      <c r="J1110" s="406"/>
      <c r="K1110" s="304"/>
      <c r="L1110" s="372"/>
      <c r="M1110" s="372"/>
      <c r="N1110" s="372"/>
      <c r="O1110" s="372"/>
      <c r="P1110" s="372"/>
      <c r="Q1110" s="304"/>
      <c r="R1110" s="304"/>
      <c r="S1110" s="304"/>
      <c r="T1110" s="304"/>
      <c r="U1110" s="304"/>
      <c r="V1110" s="304"/>
      <c r="AL1110" s="372" t="str">
        <f t="shared" si="47"/>
        <v/>
      </c>
    </row>
    <row r="1111" spans="1:38" ht="15" customHeight="1" outlineLevel="1" x14ac:dyDescent="0.2">
      <c r="A1111" s="403"/>
      <c r="B1111" s="403"/>
      <c r="C1111" s="403"/>
      <c r="D1111" s="404"/>
      <c r="E1111" s="405"/>
      <c r="F1111" s="405"/>
      <c r="G1111" s="403"/>
      <c r="H1111" s="406"/>
      <c r="I1111" s="406"/>
      <c r="J1111" s="406"/>
      <c r="K1111" s="304"/>
      <c r="L1111" s="372"/>
      <c r="M1111" s="372"/>
      <c r="N1111" s="372"/>
      <c r="O1111" s="372"/>
      <c r="P1111" s="372"/>
      <c r="Q1111" s="304"/>
      <c r="R1111" s="304"/>
      <c r="S1111" s="304"/>
      <c r="T1111" s="304"/>
      <c r="U1111" s="304"/>
      <c r="V1111" s="304"/>
      <c r="AL1111" s="372" t="str">
        <f t="shared" si="47"/>
        <v/>
      </c>
    </row>
    <row r="1112" spans="1:38" ht="15" customHeight="1" outlineLevel="1" x14ac:dyDescent="0.2">
      <c r="A1112" s="403"/>
      <c r="B1112" s="403"/>
      <c r="C1112" s="403"/>
      <c r="D1112" s="404"/>
      <c r="E1112" s="405"/>
      <c r="F1112" s="405"/>
      <c r="G1112" s="403"/>
      <c r="H1112" s="406"/>
      <c r="I1112" s="406"/>
      <c r="J1112" s="406"/>
      <c r="K1112" s="304"/>
      <c r="L1112" s="372"/>
      <c r="M1112" s="372"/>
      <c r="N1112" s="372"/>
      <c r="O1112" s="372"/>
      <c r="P1112" s="372"/>
      <c r="Q1112" s="304"/>
      <c r="R1112" s="304"/>
      <c r="S1112" s="304"/>
      <c r="T1112" s="304"/>
      <c r="U1112" s="304"/>
      <c r="V1112" s="304"/>
      <c r="AL1112" s="372" t="str">
        <f t="shared" si="47"/>
        <v/>
      </c>
    </row>
    <row r="1113" spans="1:38" ht="15" customHeight="1" outlineLevel="1" x14ac:dyDescent="0.2">
      <c r="A1113" s="403"/>
      <c r="B1113" s="403"/>
      <c r="C1113" s="403"/>
      <c r="D1113" s="404"/>
      <c r="E1113" s="405"/>
      <c r="F1113" s="405"/>
      <c r="G1113" s="403"/>
      <c r="H1113" s="406"/>
      <c r="I1113" s="406"/>
      <c r="J1113" s="406"/>
      <c r="K1113" s="304"/>
      <c r="L1113" s="372"/>
      <c r="M1113" s="372"/>
      <c r="N1113" s="372"/>
      <c r="O1113" s="372"/>
      <c r="P1113" s="372"/>
      <c r="Q1113" s="304"/>
      <c r="R1113" s="304"/>
      <c r="S1113" s="304"/>
      <c r="T1113" s="304"/>
      <c r="U1113" s="304"/>
      <c r="V1113" s="304"/>
      <c r="AL1113" s="372" t="str">
        <f t="shared" si="47"/>
        <v/>
      </c>
    </row>
    <row r="1114" spans="1:38" ht="15" customHeight="1" outlineLevel="1" x14ac:dyDescent="0.2">
      <c r="A1114" s="403"/>
      <c r="B1114" s="403"/>
      <c r="C1114" s="403"/>
      <c r="D1114" s="404"/>
      <c r="E1114" s="405"/>
      <c r="F1114" s="405"/>
      <c r="G1114" s="403"/>
      <c r="H1114" s="406"/>
      <c r="I1114" s="406"/>
      <c r="J1114" s="406"/>
      <c r="K1114" s="304"/>
      <c r="L1114" s="372"/>
      <c r="M1114" s="372"/>
      <c r="N1114" s="372"/>
      <c r="O1114" s="372"/>
      <c r="P1114" s="372"/>
      <c r="Q1114" s="304"/>
      <c r="R1114" s="304"/>
      <c r="S1114" s="304"/>
      <c r="T1114" s="304"/>
      <c r="U1114" s="304"/>
      <c r="V1114" s="304"/>
      <c r="AL1114" s="372" t="str">
        <f t="shared" si="47"/>
        <v/>
      </c>
    </row>
    <row r="1115" spans="1:38" ht="15" customHeight="1" outlineLevel="1" x14ac:dyDescent="0.2">
      <c r="A1115" s="403"/>
      <c r="B1115" s="403"/>
      <c r="C1115" s="403"/>
      <c r="D1115" s="404"/>
      <c r="E1115" s="405"/>
      <c r="F1115" s="405"/>
      <c r="G1115" s="403"/>
      <c r="H1115" s="406"/>
      <c r="I1115" s="406"/>
      <c r="J1115" s="406"/>
      <c r="K1115" s="304"/>
      <c r="L1115" s="372"/>
      <c r="M1115" s="372"/>
      <c r="N1115" s="372"/>
      <c r="O1115" s="372"/>
      <c r="P1115" s="372"/>
      <c r="Q1115" s="304"/>
      <c r="R1115" s="304"/>
      <c r="S1115" s="304"/>
      <c r="T1115" s="304"/>
      <c r="U1115" s="304"/>
      <c r="V1115" s="304"/>
      <c r="AL1115" s="372" t="str">
        <f t="shared" si="47"/>
        <v/>
      </c>
    </row>
    <row r="1116" spans="1:38" ht="15" customHeight="1" outlineLevel="1" x14ac:dyDescent="0.2">
      <c r="A1116" s="403"/>
      <c r="B1116" s="403"/>
      <c r="C1116" s="403"/>
      <c r="D1116" s="404"/>
      <c r="E1116" s="405"/>
      <c r="F1116" s="405"/>
      <c r="G1116" s="403"/>
      <c r="H1116" s="406"/>
      <c r="I1116" s="406"/>
      <c r="J1116" s="406"/>
      <c r="K1116" s="304"/>
      <c r="L1116" s="372"/>
      <c r="M1116" s="372"/>
      <c r="N1116" s="372"/>
      <c r="O1116" s="372"/>
      <c r="P1116" s="372"/>
      <c r="Q1116" s="304"/>
      <c r="R1116" s="304"/>
      <c r="S1116" s="304"/>
      <c r="T1116" s="304"/>
      <c r="U1116" s="304"/>
      <c r="V1116" s="304"/>
      <c r="AL1116" s="372" t="str">
        <f t="shared" si="47"/>
        <v/>
      </c>
    </row>
    <row r="1117" spans="1:38" ht="15" customHeight="1" outlineLevel="1" x14ac:dyDescent="0.2">
      <c r="A1117" s="403"/>
      <c r="B1117" s="403"/>
      <c r="C1117" s="403"/>
      <c r="D1117" s="404"/>
      <c r="E1117" s="405"/>
      <c r="F1117" s="405"/>
      <c r="G1117" s="403"/>
      <c r="H1117" s="406"/>
      <c r="I1117" s="406"/>
      <c r="J1117" s="406"/>
      <c r="K1117" s="304"/>
      <c r="L1117" s="372"/>
      <c r="M1117" s="372"/>
      <c r="N1117" s="372"/>
      <c r="O1117" s="372"/>
      <c r="P1117" s="372"/>
      <c r="Q1117" s="304"/>
      <c r="R1117" s="304"/>
      <c r="S1117" s="304"/>
      <c r="T1117" s="304"/>
      <c r="U1117" s="304"/>
      <c r="V1117" s="304"/>
      <c r="AL1117" s="372" t="str">
        <f t="shared" si="47"/>
        <v/>
      </c>
    </row>
    <row r="1118" spans="1:38" ht="15" customHeight="1" outlineLevel="1" x14ac:dyDescent="0.2">
      <c r="A1118" s="403"/>
      <c r="B1118" s="403"/>
      <c r="C1118" s="403"/>
      <c r="D1118" s="404"/>
      <c r="E1118" s="405"/>
      <c r="F1118" s="405"/>
      <c r="G1118" s="403"/>
      <c r="H1118" s="406"/>
      <c r="I1118" s="406"/>
      <c r="J1118" s="406"/>
      <c r="K1118" s="304"/>
      <c r="L1118" s="372"/>
      <c r="M1118" s="372"/>
      <c r="N1118" s="372"/>
      <c r="O1118" s="372"/>
      <c r="P1118" s="372"/>
      <c r="Q1118" s="304"/>
      <c r="R1118" s="304"/>
      <c r="S1118" s="304"/>
      <c r="T1118" s="304"/>
      <c r="U1118" s="304"/>
      <c r="V1118" s="304"/>
      <c r="AL1118" s="372" t="str">
        <f t="shared" si="47"/>
        <v/>
      </c>
    </row>
    <row r="1119" spans="1:38" ht="15" customHeight="1" outlineLevel="1" x14ac:dyDescent="0.2">
      <c r="A1119" s="403"/>
      <c r="B1119" s="403"/>
      <c r="C1119" s="403"/>
      <c r="D1119" s="404"/>
      <c r="E1119" s="405"/>
      <c r="F1119" s="405"/>
      <c r="G1119" s="403"/>
      <c r="H1119" s="406"/>
      <c r="I1119" s="406"/>
      <c r="J1119" s="406"/>
      <c r="K1119" s="304"/>
      <c r="L1119" s="372"/>
      <c r="M1119" s="372"/>
      <c r="N1119" s="372"/>
      <c r="O1119" s="372"/>
      <c r="P1119" s="372"/>
      <c r="Q1119" s="304"/>
      <c r="R1119" s="304"/>
      <c r="S1119" s="304"/>
      <c r="T1119" s="304"/>
      <c r="U1119" s="304"/>
      <c r="V1119" s="304"/>
      <c r="AL1119" s="372" t="str">
        <f t="shared" si="47"/>
        <v/>
      </c>
    </row>
    <row r="1120" spans="1:38" ht="15" customHeight="1" outlineLevel="1" x14ac:dyDescent="0.2">
      <c r="A1120" s="403"/>
      <c r="B1120" s="403"/>
      <c r="C1120" s="403"/>
      <c r="D1120" s="404"/>
      <c r="E1120" s="405"/>
      <c r="F1120" s="405"/>
      <c r="G1120" s="403"/>
      <c r="H1120" s="406"/>
      <c r="I1120" s="406"/>
      <c r="J1120" s="406"/>
      <c r="K1120" s="304"/>
      <c r="L1120" s="372"/>
      <c r="M1120" s="372"/>
      <c r="N1120" s="372"/>
      <c r="O1120" s="372"/>
      <c r="P1120" s="372"/>
      <c r="Q1120" s="304"/>
      <c r="R1120" s="304"/>
      <c r="S1120" s="304"/>
      <c r="T1120" s="304"/>
      <c r="U1120" s="304"/>
      <c r="V1120" s="304"/>
      <c r="AL1120" s="372" t="str">
        <f t="shared" si="47"/>
        <v/>
      </c>
    </row>
    <row r="1121" spans="1:38" ht="15" customHeight="1" outlineLevel="1" x14ac:dyDescent="0.2">
      <c r="A1121" s="403"/>
      <c r="B1121" s="403"/>
      <c r="C1121" s="403"/>
      <c r="D1121" s="404"/>
      <c r="E1121" s="405"/>
      <c r="F1121" s="405"/>
      <c r="G1121" s="403"/>
      <c r="H1121" s="406"/>
      <c r="I1121" s="406"/>
      <c r="J1121" s="406"/>
      <c r="K1121" s="304"/>
      <c r="L1121" s="372"/>
      <c r="M1121" s="372"/>
      <c r="N1121" s="372"/>
      <c r="O1121" s="372"/>
      <c r="P1121" s="372"/>
      <c r="Q1121" s="304"/>
      <c r="R1121" s="304"/>
      <c r="S1121" s="304"/>
      <c r="T1121" s="304"/>
      <c r="U1121" s="304"/>
      <c r="V1121" s="304"/>
      <c r="AL1121" s="372" t="str">
        <f t="shared" si="47"/>
        <v/>
      </c>
    </row>
    <row r="1122" spans="1:38" ht="15" customHeight="1" outlineLevel="1" x14ac:dyDescent="0.2">
      <c r="A1122" s="403"/>
      <c r="B1122" s="403"/>
      <c r="C1122" s="403"/>
      <c r="D1122" s="404"/>
      <c r="E1122" s="405"/>
      <c r="F1122" s="405"/>
      <c r="G1122" s="403"/>
      <c r="H1122" s="406"/>
      <c r="I1122" s="406"/>
      <c r="J1122" s="406"/>
      <c r="K1122" s="304"/>
      <c r="L1122" s="372"/>
      <c r="M1122" s="372"/>
      <c r="N1122" s="372"/>
      <c r="O1122" s="372"/>
      <c r="P1122" s="372"/>
      <c r="Q1122" s="304"/>
      <c r="R1122" s="304"/>
      <c r="S1122" s="304"/>
      <c r="T1122" s="304"/>
      <c r="U1122" s="304"/>
      <c r="V1122" s="304"/>
      <c r="AL1122" s="372" t="str">
        <f t="shared" si="47"/>
        <v/>
      </c>
    </row>
    <row r="1123" spans="1:38" ht="15" customHeight="1" outlineLevel="1" x14ac:dyDescent="0.2">
      <c r="A1123" s="403"/>
      <c r="B1123" s="403"/>
      <c r="C1123" s="403"/>
      <c r="D1123" s="404"/>
      <c r="E1123" s="405"/>
      <c r="F1123" s="405"/>
      <c r="G1123" s="403"/>
      <c r="H1123" s="406"/>
      <c r="I1123" s="406"/>
      <c r="J1123" s="406"/>
      <c r="K1123" s="304"/>
      <c r="L1123" s="372"/>
      <c r="M1123" s="372"/>
      <c r="N1123" s="372"/>
      <c r="O1123" s="372"/>
      <c r="P1123" s="372"/>
      <c r="Q1123" s="304"/>
      <c r="R1123" s="304"/>
      <c r="S1123" s="304"/>
      <c r="T1123" s="304"/>
      <c r="U1123" s="304"/>
      <c r="V1123" s="304"/>
      <c r="AL1123" s="372" t="str">
        <f t="shared" si="47"/>
        <v/>
      </c>
    </row>
    <row r="1124" spans="1:38" ht="15" customHeight="1" outlineLevel="1" x14ac:dyDescent="0.2">
      <c r="A1124" s="403"/>
      <c r="B1124" s="403"/>
      <c r="C1124" s="403"/>
      <c r="D1124" s="404"/>
      <c r="E1124" s="405"/>
      <c r="F1124" s="405"/>
      <c r="G1124" s="403"/>
      <c r="H1124" s="406"/>
      <c r="I1124" s="406"/>
      <c r="J1124" s="406"/>
      <c r="K1124" s="304"/>
      <c r="L1124" s="372"/>
      <c r="M1124" s="372"/>
      <c r="N1124" s="372"/>
      <c r="O1124" s="372"/>
      <c r="P1124" s="372"/>
      <c r="Q1124" s="304"/>
      <c r="R1124" s="304"/>
      <c r="S1124" s="304"/>
      <c r="T1124" s="304"/>
      <c r="U1124" s="304"/>
      <c r="V1124" s="304"/>
      <c r="AL1124" s="372" t="str">
        <f t="shared" si="47"/>
        <v/>
      </c>
    </row>
    <row r="1125" spans="1:38" ht="15" customHeight="1" outlineLevel="1" x14ac:dyDescent="0.2">
      <c r="A1125" s="403"/>
      <c r="B1125" s="403"/>
      <c r="C1125" s="403"/>
      <c r="D1125" s="404"/>
      <c r="E1125" s="405"/>
      <c r="F1125" s="405"/>
      <c r="G1125" s="403"/>
      <c r="H1125" s="406"/>
      <c r="I1125" s="406"/>
      <c r="J1125" s="406"/>
      <c r="K1125" s="304"/>
      <c r="L1125" s="372"/>
      <c r="M1125" s="372"/>
      <c r="N1125" s="372"/>
      <c r="O1125" s="372"/>
      <c r="P1125" s="372"/>
      <c r="Q1125" s="304"/>
      <c r="R1125" s="304"/>
      <c r="S1125" s="304"/>
      <c r="T1125" s="304"/>
      <c r="U1125" s="304"/>
      <c r="V1125" s="304"/>
      <c r="AL1125" s="372" t="str">
        <f t="shared" si="47"/>
        <v/>
      </c>
    </row>
    <row r="1126" spans="1:38" ht="15" customHeight="1" outlineLevel="1" x14ac:dyDescent="0.2">
      <c r="A1126" s="403"/>
      <c r="B1126" s="403"/>
      <c r="C1126" s="403"/>
      <c r="D1126" s="404"/>
      <c r="E1126" s="405"/>
      <c r="F1126" s="405"/>
      <c r="G1126" s="403"/>
      <c r="H1126" s="406"/>
      <c r="I1126" s="406"/>
      <c r="J1126" s="406"/>
      <c r="K1126" s="304"/>
      <c r="L1126" s="372"/>
      <c r="M1126" s="372"/>
      <c r="N1126" s="372"/>
      <c r="O1126" s="372"/>
      <c r="P1126" s="372"/>
      <c r="Q1126" s="304"/>
      <c r="R1126" s="304"/>
      <c r="S1126" s="304"/>
      <c r="T1126" s="304"/>
      <c r="U1126" s="304"/>
      <c r="V1126" s="304"/>
      <c r="AL1126" s="372" t="str">
        <f t="shared" si="47"/>
        <v/>
      </c>
    </row>
    <row r="1127" spans="1:38" ht="15" customHeight="1" outlineLevel="1" x14ac:dyDescent="0.2">
      <c r="A1127" s="403"/>
      <c r="B1127" s="403"/>
      <c r="C1127" s="403"/>
      <c r="D1127" s="404"/>
      <c r="E1127" s="405"/>
      <c r="F1127" s="405"/>
      <c r="G1127" s="403"/>
      <c r="H1127" s="406"/>
      <c r="I1127" s="406"/>
      <c r="J1127" s="406"/>
      <c r="K1127" s="304"/>
      <c r="L1127" s="372"/>
      <c r="M1127" s="372"/>
      <c r="N1127" s="372"/>
      <c r="O1127" s="372"/>
      <c r="P1127" s="372"/>
      <c r="Q1127" s="304"/>
      <c r="R1127" s="304"/>
      <c r="S1127" s="304"/>
      <c r="T1127" s="304"/>
      <c r="U1127" s="304"/>
      <c r="V1127" s="304"/>
      <c r="AL1127" s="372" t="str">
        <f t="shared" si="47"/>
        <v/>
      </c>
    </row>
    <row r="1128" spans="1:38" ht="15" customHeight="1" outlineLevel="1" x14ac:dyDescent="0.2">
      <c r="A1128" s="403"/>
      <c r="B1128" s="403"/>
      <c r="C1128" s="403"/>
      <c r="D1128" s="404"/>
      <c r="E1128" s="405"/>
      <c r="F1128" s="405"/>
      <c r="G1128" s="403"/>
      <c r="H1128" s="406"/>
      <c r="I1128" s="406"/>
      <c r="J1128" s="406"/>
      <c r="K1128" s="304"/>
      <c r="L1128" s="372"/>
      <c r="M1128" s="372"/>
      <c r="N1128" s="372"/>
      <c r="O1128" s="372"/>
      <c r="P1128" s="372"/>
      <c r="Q1128" s="304"/>
      <c r="R1128" s="304"/>
      <c r="S1128" s="304"/>
      <c r="T1128" s="304"/>
      <c r="U1128" s="304"/>
      <c r="V1128" s="304"/>
      <c r="AL1128" s="372" t="str">
        <f t="shared" si="47"/>
        <v/>
      </c>
    </row>
    <row r="1129" spans="1:38" ht="15" customHeight="1" outlineLevel="1" x14ac:dyDescent="0.2">
      <c r="A1129" s="403"/>
      <c r="B1129" s="403"/>
      <c r="C1129" s="403"/>
      <c r="D1129" s="404"/>
      <c r="E1129" s="405"/>
      <c r="F1129" s="405"/>
      <c r="G1129" s="403"/>
      <c r="H1129" s="406"/>
      <c r="I1129" s="406"/>
      <c r="J1129" s="406"/>
      <c r="K1129" s="304"/>
      <c r="L1129" s="372"/>
      <c r="M1129" s="372"/>
      <c r="N1129" s="372"/>
      <c r="O1129" s="372"/>
      <c r="P1129" s="372"/>
      <c r="Q1129" s="304"/>
      <c r="R1129" s="304"/>
      <c r="S1129" s="304"/>
      <c r="T1129" s="304"/>
      <c r="U1129" s="304"/>
      <c r="V1129" s="304"/>
      <c r="AL1129" s="372" t="str">
        <f t="shared" si="47"/>
        <v/>
      </c>
    </row>
    <row r="1130" spans="1:38" ht="15" customHeight="1" outlineLevel="1" x14ac:dyDescent="0.2">
      <c r="A1130" s="403"/>
      <c r="B1130" s="403"/>
      <c r="C1130" s="403"/>
      <c r="D1130" s="404"/>
      <c r="E1130" s="405"/>
      <c r="F1130" s="405"/>
      <c r="G1130" s="403"/>
      <c r="H1130" s="406"/>
      <c r="I1130" s="406"/>
      <c r="J1130" s="406"/>
      <c r="K1130" s="304"/>
      <c r="L1130" s="372"/>
      <c r="M1130" s="372"/>
      <c r="N1130" s="372"/>
      <c r="O1130" s="372"/>
      <c r="P1130" s="372"/>
      <c r="Q1130" s="304"/>
      <c r="R1130" s="304"/>
      <c r="S1130" s="304"/>
      <c r="T1130" s="304"/>
      <c r="U1130" s="304"/>
      <c r="V1130" s="304"/>
      <c r="AL1130" s="372" t="str">
        <f t="shared" si="47"/>
        <v/>
      </c>
    </row>
    <row r="1131" spans="1:38" ht="15" customHeight="1" outlineLevel="1" x14ac:dyDescent="0.2">
      <c r="A1131" s="403"/>
      <c r="B1131" s="403"/>
      <c r="C1131" s="403"/>
      <c r="D1131" s="404"/>
      <c r="E1131" s="405"/>
      <c r="F1131" s="405"/>
      <c r="G1131" s="403"/>
      <c r="H1131" s="406"/>
      <c r="I1131" s="406"/>
      <c r="J1131" s="406"/>
      <c r="K1131" s="304"/>
      <c r="L1131" s="372"/>
      <c r="M1131" s="372"/>
      <c r="N1131" s="372"/>
      <c r="O1131" s="372"/>
      <c r="P1131" s="372"/>
      <c r="Q1131" s="304"/>
      <c r="R1131" s="304"/>
      <c r="S1131" s="304"/>
      <c r="T1131" s="304"/>
      <c r="U1131" s="304"/>
      <c r="V1131" s="304"/>
      <c r="AL1131" s="372" t="str">
        <f t="shared" si="47"/>
        <v/>
      </c>
    </row>
    <row r="1132" spans="1:38" ht="15" customHeight="1" outlineLevel="1" x14ac:dyDescent="0.2">
      <c r="A1132" s="403"/>
      <c r="B1132" s="403"/>
      <c r="C1132" s="403"/>
      <c r="D1132" s="404"/>
      <c r="E1132" s="405"/>
      <c r="F1132" s="405"/>
      <c r="G1132" s="403"/>
      <c r="H1132" s="406"/>
      <c r="I1132" s="406"/>
      <c r="J1132" s="406"/>
      <c r="K1132" s="304"/>
      <c r="L1132" s="372"/>
      <c r="M1132" s="372"/>
      <c r="N1132" s="372"/>
      <c r="O1132" s="372"/>
      <c r="P1132" s="372"/>
      <c r="Q1132" s="304"/>
      <c r="R1132" s="304"/>
      <c r="S1132" s="304"/>
      <c r="T1132" s="304"/>
      <c r="U1132" s="304"/>
      <c r="V1132" s="304"/>
      <c r="AL1132" s="372" t="str">
        <f t="shared" si="47"/>
        <v/>
      </c>
    </row>
    <row r="1133" spans="1:38" ht="15" customHeight="1" outlineLevel="1" x14ac:dyDescent="0.2">
      <c r="A1133" s="403"/>
      <c r="B1133" s="403"/>
      <c r="C1133" s="403"/>
      <c r="D1133" s="404"/>
      <c r="E1133" s="405"/>
      <c r="F1133" s="405"/>
      <c r="G1133" s="403"/>
      <c r="H1133" s="406"/>
      <c r="I1133" s="406"/>
      <c r="J1133" s="406"/>
      <c r="K1133" s="304"/>
      <c r="L1133" s="372"/>
      <c r="M1133" s="372"/>
      <c r="N1133" s="372"/>
      <c r="O1133" s="372"/>
      <c r="P1133" s="372"/>
      <c r="Q1133" s="304"/>
      <c r="R1133" s="304"/>
      <c r="S1133" s="304"/>
      <c r="T1133" s="304"/>
      <c r="U1133" s="304"/>
      <c r="V1133" s="304"/>
      <c r="AL1133" s="372" t="str">
        <f t="shared" si="47"/>
        <v/>
      </c>
    </row>
    <row r="1134" spans="1:38" ht="15" customHeight="1" outlineLevel="1" x14ac:dyDescent="0.2">
      <c r="A1134" s="403"/>
      <c r="B1134" s="403"/>
      <c r="C1134" s="403"/>
      <c r="D1134" s="404"/>
      <c r="E1134" s="405"/>
      <c r="F1134" s="405"/>
      <c r="G1134" s="403"/>
      <c r="H1134" s="406"/>
      <c r="I1134" s="406"/>
      <c r="J1134" s="406"/>
      <c r="K1134" s="304"/>
      <c r="L1134" s="372"/>
      <c r="M1134" s="372"/>
      <c r="N1134" s="372"/>
      <c r="O1134" s="372"/>
      <c r="P1134" s="372"/>
      <c r="Q1134" s="304"/>
      <c r="R1134" s="304"/>
      <c r="S1134" s="304"/>
      <c r="T1134" s="304"/>
      <c r="U1134" s="304"/>
      <c r="V1134" s="304"/>
      <c r="AL1134" s="372" t="str">
        <f t="shared" si="47"/>
        <v/>
      </c>
    </row>
    <row r="1135" spans="1:38" ht="15" customHeight="1" outlineLevel="1" x14ac:dyDescent="0.2">
      <c r="A1135" s="403"/>
      <c r="B1135" s="403"/>
      <c r="C1135" s="403"/>
      <c r="D1135" s="404"/>
      <c r="E1135" s="405"/>
      <c r="F1135" s="405"/>
      <c r="G1135" s="403"/>
      <c r="H1135" s="406"/>
      <c r="I1135" s="406"/>
      <c r="J1135" s="406"/>
      <c r="K1135" s="304"/>
      <c r="L1135" s="372"/>
      <c r="M1135" s="372"/>
      <c r="N1135" s="372"/>
      <c r="O1135" s="372"/>
      <c r="P1135" s="372"/>
      <c r="Q1135" s="304"/>
      <c r="R1135" s="304"/>
      <c r="S1135" s="304"/>
      <c r="T1135" s="304"/>
      <c r="U1135" s="304"/>
      <c r="V1135" s="304"/>
      <c r="AL1135" s="372" t="str">
        <f t="shared" si="47"/>
        <v/>
      </c>
    </row>
    <row r="1136" spans="1:38" ht="15" customHeight="1" outlineLevel="1" x14ac:dyDescent="0.2">
      <c r="A1136" s="403"/>
      <c r="B1136" s="403"/>
      <c r="C1136" s="403"/>
      <c r="D1136" s="404"/>
      <c r="E1136" s="405"/>
      <c r="F1136" s="405"/>
      <c r="G1136" s="403"/>
      <c r="H1136" s="406"/>
      <c r="I1136" s="406"/>
      <c r="J1136" s="406"/>
      <c r="K1136" s="304"/>
      <c r="L1136" s="372"/>
      <c r="M1136" s="372"/>
      <c r="N1136" s="372"/>
      <c r="O1136" s="372"/>
      <c r="P1136" s="372"/>
      <c r="Q1136" s="304"/>
      <c r="R1136" s="304"/>
      <c r="S1136" s="304"/>
      <c r="T1136" s="304"/>
      <c r="U1136" s="304"/>
      <c r="V1136" s="304"/>
      <c r="AL1136" s="372" t="str">
        <f t="shared" si="47"/>
        <v/>
      </c>
    </row>
    <row r="1137" spans="1:38" ht="15" customHeight="1" outlineLevel="1" x14ac:dyDescent="0.2">
      <c r="A1137" s="403"/>
      <c r="B1137" s="403"/>
      <c r="C1137" s="403"/>
      <c r="D1137" s="404"/>
      <c r="E1137" s="405"/>
      <c r="F1137" s="405"/>
      <c r="G1137" s="403"/>
      <c r="H1137" s="406"/>
      <c r="I1137" s="406"/>
      <c r="J1137" s="406"/>
      <c r="K1137" s="304"/>
      <c r="L1137" s="372"/>
      <c r="M1137" s="372"/>
      <c r="N1137" s="372"/>
      <c r="O1137" s="372"/>
      <c r="P1137" s="372"/>
      <c r="Q1137" s="304"/>
      <c r="R1137" s="304"/>
      <c r="S1137" s="304"/>
      <c r="T1137" s="304"/>
      <c r="U1137" s="304"/>
      <c r="V1137" s="304"/>
      <c r="AL1137" s="372" t="str">
        <f t="shared" si="47"/>
        <v/>
      </c>
    </row>
    <row r="1138" spans="1:38" ht="15" customHeight="1" outlineLevel="1" x14ac:dyDescent="0.2">
      <c r="A1138" s="403"/>
      <c r="B1138" s="403"/>
      <c r="C1138" s="403"/>
      <c r="D1138" s="404"/>
      <c r="E1138" s="405"/>
      <c r="F1138" s="405"/>
      <c r="G1138" s="403"/>
      <c r="H1138" s="406"/>
      <c r="I1138" s="406"/>
      <c r="J1138" s="406"/>
      <c r="K1138" s="304"/>
      <c r="L1138" s="372"/>
      <c r="M1138" s="372"/>
      <c r="N1138" s="372"/>
      <c r="O1138" s="372"/>
      <c r="P1138" s="372"/>
      <c r="Q1138" s="304"/>
      <c r="R1138" s="304"/>
      <c r="S1138" s="304"/>
      <c r="T1138" s="304"/>
      <c r="U1138" s="304"/>
      <c r="V1138" s="304"/>
      <c r="AL1138" s="372" t="str">
        <f t="shared" si="47"/>
        <v/>
      </c>
    </row>
    <row r="1139" spans="1:38" ht="15" customHeight="1" outlineLevel="1" x14ac:dyDescent="0.2">
      <c r="A1139" s="403"/>
      <c r="B1139" s="403"/>
      <c r="C1139" s="403"/>
      <c r="D1139" s="404"/>
      <c r="E1139" s="405"/>
      <c r="F1139" s="405"/>
      <c r="G1139" s="403"/>
      <c r="H1139" s="406"/>
      <c r="I1139" s="406"/>
      <c r="J1139" s="406"/>
      <c r="K1139" s="304"/>
      <c r="L1139" s="372"/>
      <c r="M1139" s="372"/>
      <c r="N1139" s="372"/>
      <c r="O1139" s="372"/>
      <c r="P1139" s="372"/>
      <c r="Q1139" s="304"/>
      <c r="R1139" s="304"/>
      <c r="S1139" s="304"/>
      <c r="T1139" s="304"/>
      <c r="U1139" s="304"/>
      <c r="V1139" s="304"/>
      <c r="AL1139" s="372" t="str">
        <f t="shared" si="47"/>
        <v/>
      </c>
    </row>
    <row r="1140" spans="1:38" ht="15" customHeight="1" outlineLevel="1" x14ac:dyDescent="0.2">
      <c r="A1140" s="403"/>
      <c r="B1140" s="403"/>
      <c r="C1140" s="403"/>
      <c r="D1140" s="404"/>
      <c r="E1140" s="405"/>
      <c r="F1140" s="405"/>
      <c r="G1140" s="403"/>
      <c r="H1140" s="406"/>
      <c r="I1140" s="406"/>
      <c r="J1140" s="406"/>
      <c r="K1140" s="304"/>
      <c r="L1140" s="372"/>
      <c r="M1140" s="372"/>
      <c r="N1140" s="372"/>
      <c r="O1140" s="372"/>
      <c r="P1140" s="372"/>
      <c r="Q1140" s="304"/>
      <c r="R1140" s="304"/>
      <c r="S1140" s="304"/>
      <c r="T1140" s="304"/>
      <c r="U1140" s="304"/>
      <c r="V1140" s="304"/>
      <c r="AL1140" s="372" t="str">
        <f t="shared" si="47"/>
        <v/>
      </c>
    </row>
    <row r="1141" spans="1:38" ht="15" customHeight="1" outlineLevel="1" x14ac:dyDescent="0.2">
      <c r="A1141" s="403"/>
      <c r="B1141" s="403"/>
      <c r="C1141" s="403"/>
      <c r="D1141" s="404"/>
      <c r="E1141" s="405"/>
      <c r="F1141" s="405"/>
      <c r="G1141" s="403"/>
      <c r="H1141" s="406"/>
      <c r="I1141" s="406"/>
      <c r="J1141" s="406"/>
      <c r="K1141" s="304"/>
      <c r="L1141" s="372"/>
      <c r="M1141" s="372"/>
      <c r="N1141" s="372"/>
      <c r="O1141" s="372"/>
      <c r="P1141" s="372"/>
      <c r="Q1141" s="304"/>
      <c r="R1141" s="304"/>
      <c r="S1141" s="304"/>
      <c r="T1141" s="304"/>
      <c r="U1141" s="304"/>
      <c r="V1141" s="304"/>
      <c r="AL1141" s="372" t="str">
        <f t="shared" si="47"/>
        <v/>
      </c>
    </row>
    <row r="1142" spans="1:38" ht="15" customHeight="1" outlineLevel="1" x14ac:dyDescent="0.2">
      <c r="A1142" s="403"/>
      <c r="B1142" s="403"/>
      <c r="C1142" s="403"/>
      <c r="D1142" s="404"/>
      <c r="E1142" s="405"/>
      <c r="F1142" s="405"/>
      <c r="G1142" s="403"/>
      <c r="H1142" s="406"/>
      <c r="I1142" s="406"/>
      <c r="J1142" s="406"/>
      <c r="K1142" s="304"/>
      <c r="L1142" s="372"/>
      <c r="M1142" s="372"/>
      <c r="N1142" s="372"/>
      <c r="O1142" s="372"/>
      <c r="P1142" s="372"/>
      <c r="Q1142" s="304"/>
      <c r="R1142" s="304"/>
      <c r="S1142" s="304"/>
      <c r="T1142" s="304"/>
      <c r="U1142" s="304"/>
      <c r="V1142" s="304"/>
      <c r="AL1142" s="372" t="str">
        <f t="shared" si="47"/>
        <v/>
      </c>
    </row>
    <row r="1143" spans="1:38" ht="15" customHeight="1" outlineLevel="1" x14ac:dyDescent="0.2">
      <c r="A1143" s="403"/>
      <c r="B1143" s="403"/>
      <c r="C1143" s="403"/>
      <c r="D1143" s="404"/>
      <c r="E1143" s="405"/>
      <c r="F1143" s="405"/>
      <c r="G1143" s="403"/>
      <c r="H1143" s="406"/>
      <c r="I1143" s="406"/>
      <c r="J1143" s="406"/>
      <c r="K1143" s="304"/>
      <c r="L1143" s="372"/>
      <c r="M1143" s="372"/>
      <c r="N1143" s="372"/>
      <c r="O1143" s="372"/>
      <c r="P1143" s="372"/>
      <c r="Q1143" s="304"/>
      <c r="R1143" s="304"/>
      <c r="S1143" s="304"/>
      <c r="T1143" s="304"/>
      <c r="U1143" s="304"/>
      <c r="V1143" s="304"/>
      <c r="AL1143" s="372" t="str">
        <f t="shared" si="47"/>
        <v/>
      </c>
    </row>
    <row r="1144" spans="1:38" ht="15" customHeight="1" outlineLevel="1" x14ac:dyDescent="0.2">
      <c r="A1144" s="403"/>
      <c r="B1144" s="403"/>
      <c r="C1144" s="403"/>
      <c r="D1144" s="404"/>
      <c r="E1144" s="405"/>
      <c r="F1144" s="405"/>
      <c r="G1144" s="403"/>
      <c r="H1144" s="406"/>
      <c r="I1144" s="406"/>
      <c r="J1144" s="406"/>
      <c r="K1144" s="304"/>
      <c r="L1144" s="372"/>
      <c r="M1144" s="372"/>
      <c r="N1144" s="372"/>
      <c r="O1144" s="372"/>
      <c r="P1144" s="372"/>
      <c r="Q1144" s="304"/>
      <c r="R1144" s="304"/>
      <c r="S1144" s="304"/>
      <c r="T1144" s="304"/>
      <c r="U1144" s="304"/>
      <c r="V1144" s="304"/>
      <c r="AL1144" s="372" t="str">
        <f t="shared" si="47"/>
        <v/>
      </c>
    </row>
    <row r="1145" spans="1:38" ht="15" customHeight="1" outlineLevel="1" x14ac:dyDescent="0.2">
      <c r="A1145" s="403"/>
      <c r="B1145" s="403"/>
      <c r="C1145" s="403"/>
      <c r="D1145" s="404"/>
      <c r="E1145" s="405"/>
      <c r="F1145" s="405"/>
      <c r="G1145" s="403"/>
      <c r="H1145" s="406"/>
      <c r="I1145" s="406"/>
      <c r="J1145" s="406"/>
      <c r="K1145" s="304"/>
      <c r="L1145" s="372"/>
      <c r="M1145" s="372"/>
      <c r="N1145" s="372"/>
      <c r="O1145" s="372"/>
      <c r="P1145" s="372"/>
      <c r="Q1145" s="304"/>
      <c r="R1145" s="304"/>
      <c r="S1145" s="304"/>
      <c r="T1145" s="304"/>
      <c r="U1145" s="304"/>
      <c r="V1145" s="304"/>
      <c r="AL1145" s="372" t="str">
        <f t="shared" si="47"/>
        <v/>
      </c>
    </row>
    <row r="1146" spans="1:38" ht="15" customHeight="1" outlineLevel="1" x14ac:dyDescent="0.2">
      <c r="A1146" s="403"/>
      <c r="B1146" s="403"/>
      <c r="C1146" s="403"/>
      <c r="D1146" s="404"/>
      <c r="E1146" s="405"/>
      <c r="F1146" s="405"/>
      <c r="G1146" s="403"/>
      <c r="H1146" s="406"/>
      <c r="I1146" s="406"/>
      <c r="J1146" s="406"/>
      <c r="K1146" s="304"/>
      <c r="L1146" s="372"/>
      <c r="M1146" s="372"/>
      <c r="N1146" s="372"/>
      <c r="O1146" s="372"/>
      <c r="P1146" s="372"/>
      <c r="Q1146" s="304"/>
      <c r="R1146" s="304"/>
      <c r="S1146" s="304"/>
      <c r="T1146" s="304"/>
      <c r="U1146" s="304"/>
      <c r="V1146" s="304"/>
      <c r="AL1146" s="372" t="str">
        <f t="shared" si="47"/>
        <v/>
      </c>
    </row>
    <row r="1147" spans="1:38" ht="15" customHeight="1" outlineLevel="1" x14ac:dyDescent="0.2">
      <c r="A1147" s="403"/>
      <c r="B1147" s="403"/>
      <c r="C1147" s="403"/>
      <c r="D1147" s="404"/>
      <c r="E1147" s="405"/>
      <c r="F1147" s="405"/>
      <c r="G1147" s="403"/>
      <c r="H1147" s="406"/>
      <c r="I1147" s="406"/>
      <c r="J1147" s="406"/>
      <c r="K1147" s="304"/>
      <c r="L1147" s="372"/>
      <c r="M1147" s="372"/>
      <c r="N1147" s="372"/>
      <c r="O1147" s="372"/>
      <c r="P1147" s="372"/>
      <c r="Q1147" s="304"/>
      <c r="R1147" s="304"/>
      <c r="S1147" s="304"/>
      <c r="T1147" s="304"/>
      <c r="U1147" s="304"/>
      <c r="V1147" s="304"/>
      <c r="AL1147" s="372" t="str">
        <f t="shared" si="47"/>
        <v/>
      </c>
    </row>
    <row r="1148" spans="1:38" ht="15" customHeight="1" outlineLevel="1" x14ac:dyDescent="0.2">
      <c r="A1148" s="403"/>
      <c r="B1148" s="403"/>
      <c r="C1148" s="403"/>
      <c r="D1148" s="404"/>
      <c r="E1148" s="405"/>
      <c r="F1148" s="405"/>
      <c r="G1148" s="403"/>
      <c r="H1148" s="406"/>
      <c r="I1148" s="406"/>
      <c r="J1148" s="406"/>
      <c r="K1148" s="304"/>
      <c r="L1148" s="372"/>
      <c r="M1148" s="372"/>
      <c r="N1148" s="372"/>
      <c r="O1148" s="372"/>
      <c r="P1148" s="372"/>
      <c r="Q1148" s="304"/>
      <c r="R1148" s="304"/>
      <c r="S1148" s="304"/>
      <c r="T1148" s="304"/>
      <c r="U1148" s="304"/>
      <c r="V1148" s="304"/>
      <c r="AL1148" s="372" t="str">
        <f t="shared" si="47"/>
        <v/>
      </c>
    </row>
    <row r="1149" spans="1:38" ht="15" customHeight="1" outlineLevel="1" x14ac:dyDescent="0.2">
      <c r="A1149" s="403"/>
      <c r="B1149" s="403"/>
      <c r="C1149" s="403"/>
      <c r="D1149" s="404"/>
      <c r="E1149" s="405"/>
      <c r="F1149" s="405"/>
      <c r="G1149" s="403"/>
      <c r="H1149" s="406"/>
      <c r="I1149" s="406"/>
      <c r="J1149" s="406"/>
      <c r="K1149" s="304"/>
      <c r="L1149" s="372"/>
      <c r="M1149" s="372"/>
      <c r="N1149" s="372"/>
      <c r="O1149" s="372"/>
      <c r="P1149" s="372"/>
      <c r="Q1149" s="304"/>
      <c r="R1149" s="304"/>
      <c r="S1149" s="304"/>
      <c r="T1149" s="304"/>
      <c r="U1149" s="304"/>
      <c r="V1149" s="304"/>
      <c r="AL1149" s="372" t="str">
        <f t="shared" si="47"/>
        <v/>
      </c>
    </row>
    <row r="1150" spans="1:38" ht="15" customHeight="1" outlineLevel="1" x14ac:dyDescent="0.2">
      <c r="A1150" s="403"/>
      <c r="B1150" s="403"/>
      <c r="C1150" s="403"/>
      <c r="D1150" s="404"/>
      <c r="E1150" s="405"/>
      <c r="F1150" s="405"/>
      <c r="G1150" s="403"/>
      <c r="H1150" s="406"/>
      <c r="I1150" s="406"/>
      <c r="J1150" s="406"/>
      <c r="K1150" s="304"/>
      <c r="L1150" s="372"/>
      <c r="M1150" s="372"/>
      <c r="N1150" s="372"/>
      <c r="O1150" s="372"/>
      <c r="P1150" s="372"/>
      <c r="Q1150" s="304"/>
      <c r="R1150" s="304"/>
      <c r="S1150" s="304"/>
      <c r="T1150" s="304"/>
      <c r="U1150" s="304"/>
      <c r="V1150" s="304"/>
      <c r="AL1150" s="372" t="str">
        <f t="shared" si="47"/>
        <v/>
      </c>
    </row>
    <row r="1151" spans="1:38" ht="15" customHeight="1" outlineLevel="1" x14ac:dyDescent="0.2">
      <c r="A1151" s="403"/>
      <c r="B1151" s="403"/>
      <c r="C1151" s="403"/>
      <c r="D1151" s="404"/>
      <c r="E1151" s="405"/>
      <c r="F1151" s="405"/>
      <c r="G1151" s="403"/>
      <c r="H1151" s="406"/>
      <c r="I1151" s="406"/>
      <c r="J1151" s="406"/>
      <c r="K1151" s="304"/>
      <c r="L1151" s="372"/>
      <c r="M1151" s="372"/>
      <c r="N1151" s="372"/>
      <c r="O1151" s="372"/>
      <c r="P1151" s="372"/>
      <c r="Q1151" s="304"/>
      <c r="R1151" s="304"/>
      <c r="S1151" s="304"/>
      <c r="T1151" s="304"/>
      <c r="U1151" s="304"/>
      <c r="V1151" s="304"/>
      <c r="AL1151" s="372" t="str">
        <f t="shared" si="47"/>
        <v/>
      </c>
    </row>
    <row r="1152" spans="1:38" ht="15" customHeight="1" outlineLevel="1" x14ac:dyDescent="0.2">
      <c r="A1152" s="403"/>
      <c r="B1152" s="403"/>
      <c r="C1152" s="403"/>
      <c r="D1152" s="404"/>
      <c r="E1152" s="405"/>
      <c r="F1152" s="405"/>
      <c r="G1152" s="403"/>
      <c r="H1152" s="406"/>
      <c r="I1152" s="406"/>
      <c r="J1152" s="406"/>
      <c r="K1152" s="304"/>
      <c r="L1152" s="372"/>
      <c r="M1152" s="372"/>
      <c r="N1152" s="372"/>
      <c r="O1152" s="372"/>
      <c r="P1152" s="372"/>
      <c r="Q1152" s="304"/>
      <c r="R1152" s="304"/>
      <c r="S1152" s="304"/>
      <c r="T1152" s="304"/>
      <c r="U1152" s="304"/>
      <c r="V1152" s="304"/>
      <c r="AL1152" s="372" t="str">
        <f t="shared" si="47"/>
        <v/>
      </c>
    </row>
    <row r="1153" spans="1:38" ht="15" customHeight="1" outlineLevel="1" x14ac:dyDescent="0.2">
      <c r="A1153" s="403"/>
      <c r="B1153" s="403"/>
      <c r="C1153" s="403"/>
      <c r="D1153" s="404"/>
      <c r="E1153" s="405"/>
      <c r="F1153" s="405"/>
      <c r="G1153" s="403"/>
      <c r="H1153" s="406"/>
      <c r="I1153" s="406"/>
      <c r="J1153" s="406"/>
      <c r="K1153" s="304"/>
      <c r="L1153" s="372"/>
      <c r="M1153" s="372"/>
      <c r="N1153" s="372"/>
      <c r="O1153" s="372"/>
      <c r="P1153" s="372"/>
      <c r="Q1153" s="304"/>
      <c r="R1153" s="304"/>
      <c r="S1153" s="304"/>
      <c r="T1153" s="304"/>
      <c r="U1153" s="304"/>
      <c r="V1153" s="304"/>
      <c r="AL1153" s="372" t="str">
        <f t="shared" si="47"/>
        <v/>
      </c>
    </row>
    <row r="1154" spans="1:38" ht="15" customHeight="1" outlineLevel="1" x14ac:dyDescent="0.2">
      <c r="A1154" s="403"/>
      <c r="B1154" s="403"/>
      <c r="C1154" s="403"/>
      <c r="D1154" s="404"/>
      <c r="E1154" s="405"/>
      <c r="F1154" s="405"/>
      <c r="G1154" s="403"/>
      <c r="H1154" s="406"/>
      <c r="I1154" s="406"/>
      <c r="J1154" s="406"/>
      <c r="K1154" s="304"/>
      <c r="L1154" s="372"/>
      <c r="M1154" s="372"/>
      <c r="N1154" s="372"/>
      <c r="O1154" s="372"/>
      <c r="P1154" s="372"/>
      <c r="Q1154" s="304"/>
      <c r="R1154" s="304"/>
      <c r="S1154" s="304"/>
      <c r="T1154" s="304"/>
      <c r="U1154" s="304"/>
      <c r="V1154" s="304"/>
      <c r="AL1154" s="372" t="str">
        <f t="shared" si="47"/>
        <v/>
      </c>
    </row>
    <row r="1155" spans="1:38" ht="15" customHeight="1" outlineLevel="1" x14ac:dyDescent="0.2">
      <c r="A1155" s="403"/>
      <c r="B1155" s="403"/>
      <c r="C1155" s="403"/>
      <c r="D1155" s="404"/>
      <c r="E1155" s="405"/>
      <c r="F1155" s="405"/>
      <c r="G1155" s="403"/>
      <c r="H1155" s="406"/>
      <c r="I1155" s="406"/>
      <c r="J1155" s="406"/>
      <c r="K1155" s="304"/>
      <c r="L1155" s="372"/>
      <c r="M1155" s="372"/>
      <c r="N1155" s="372"/>
      <c r="O1155" s="372"/>
      <c r="P1155" s="372"/>
      <c r="Q1155" s="304"/>
      <c r="R1155" s="304"/>
      <c r="S1155" s="304"/>
      <c r="T1155" s="304"/>
      <c r="U1155" s="304"/>
      <c r="V1155" s="304"/>
      <c r="AL1155" s="372" t="str">
        <f t="shared" si="47"/>
        <v/>
      </c>
    </row>
    <row r="1156" spans="1:38" ht="15" customHeight="1" outlineLevel="1" x14ac:dyDescent="0.2">
      <c r="A1156" s="403"/>
      <c r="B1156" s="403"/>
      <c r="C1156" s="403"/>
      <c r="D1156" s="404"/>
      <c r="E1156" s="405"/>
      <c r="F1156" s="405"/>
      <c r="G1156" s="403"/>
      <c r="H1156" s="406"/>
      <c r="I1156" s="406"/>
      <c r="J1156" s="406"/>
      <c r="K1156" s="304"/>
      <c r="L1156" s="372"/>
      <c r="M1156" s="372"/>
      <c r="N1156" s="372"/>
      <c r="O1156" s="372"/>
      <c r="P1156" s="372"/>
      <c r="Q1156" s="304"/>
      <c r="R1156" s="304"/>
      <c r="S1156" s="304"/>
      <c r="T1156" s="304"/>
      <c r="U1156" s="304"/>
      <c r="V1156" s="304"/>
      <c r="AL1156" s="372" t="str">
        <f t="shared" si="47"/>
        <v/>
      </c>
    </row>
    <row r="1157" spans="1:38" ht="15" customHeight="1" outlineLevel="1" x14ac:dyDescent="0.2">
      <c r="A1157" s="403"/>
      <c r="B1157" s="403"/>
      <c r="C1157" s="403"/>
      <c r="D1157" s="404"/>
      <c r="E1157" s="405"/>
      <c r="F1157" s="405"/>
      <c r="G1157" s="403"/>
      <c r="H1157" s="406"/>
      <c r="I1157" s="406"/>
      <c r="J1157" s="406"/>
      <c r="K1157" s="304"/>
      <c r="L1157" s="372"/>
      <c r="M1157" s="372"/>
      <c r="N1157" s="372"/>
      <c r="O1157" s="372"/>
      <c r="P1157" s="372"/>
      <c r="Q1157" s="304"/>
      <c r="R1157" s="304"/>
      <c r="S1157" s="304"/>
      <c r="T1157" s="304"/>
      <c r="U1157" s="304"/>
      <c r="V1157" s="304"/>
      <c r="AL1157" s="372" t="str">
        <f t="shared" si="47"/>
        <v/>
      </c>
    </row>
    <row r="1158" spans="1:38" ht="15" customHeight="1" outlineLevel="1" x14ac:dyDescent="0.2">
      <c r="A1158" s="403"/>
      <c r="B1158" s="403"/>
      <c r="C1158" s="403"/>
      <c r="D1158" s="404"/>
      <c r="E1158" s="405"/>
      <c r="F1158" s="405"/>
      <c r="G1158" s="403"/>
      <c r="H1158" s="406"/>
      <c r="I1158" s="406"/>
      <c r="J1158" s="406"/>
      <c r="K1158" s="304"/>
      <c r="L1158" s="372"/>
      <c r="M1158" s="372"/>
      <c r="N1158" s="372"/>
      <c r="O1158" s="372"/>
      <c r="P1158" s="372"/>
      <c r="Q1158" s="304"/>
      <c r="R1158" s="304"/>
      <c r="S1158" s="304"/>
      <c r="T1158" s="304"/>
      <c r="U1158" s="304"/>
      <c r="V1158" s="304"/>
      <c r="AL1158" s="372" t="str">
        <f t="shared" si="47"/>
        <v/>
      </c>
    </row>
    <row r="1159" spans="1:38" ht="15" customHeight="1" outlineLevel="1" x14ac:dyDescent="0.2">
      <c r="A1159" s="403"/>
      <c r="B1159" s="403"/>
      <c r="C1159" s="403"/>
      <c r="D1159" s="404"/>
      <c r="E1159" s="405"/>
      <c r="F1159" s="405"/>
      <c r="G1159" s="403"/>
      <c r="H1159" s="406"/>
      <c r="I1159" s="406"/>
      <c r="J1159" s="406"/>
      <c r="K1159" s="304"/>
      <c r="L1159" s="372"/>
      <c r="M1159" s="372"/>
      <c r="N1159" s="372"/>
      <c r="O1159" s="372"/>
      <c r="P1159" s="372"/>
      <c r="Q1159" s="304"/>
      <c r="R1159" s="304"/>
      <c r="S1159" s="304"/>
      <c r="T1159" s="304"/>
      <c r="U1159" s="304"/>
      <c r="V1159" s="304"/>
      <c r="AL1159" s="372" t="str">
        <f t="shared" si="47"/>
        <v/>
      </c>
    </row>
    <row r="1160" spans="1:38" ht="15" customHeight="1" outlineLevel="1" x14ac:dyDescent="0.2">
      <c r="A1160" s="403"/>
      <c r="B1160" s="403"/>
      <c r="C1160" s="403"/>
      <c r="D1160" s="404"/>
      <c r="E1160" s="405"/>
      <c r="F1160" s="405"/>
      <c r="G1160" s="403"/>
      <c r="H1160" s="406"/>
      <c r="I1160" s="406"/>
      <c r="J1160" s="406"/>
      <c r="K1160" s="304"/>
      <c r="L1160" s="372"/>
      <c r="M1160" s="372"/>
      <c r="N1160" s="372"/>
      <c r="O1160" s="372"/>
      <c r="P1160" s="372"/>
      <c r="Q1160" s="304"/>
      <c r="R1160" s="304"/>
      <c r="S1160" s="304"/>
      <c r="T1160" s="304"/>
      <c r="U1160" s="304"/>
      <c r="V1160" s="304"/>
      <c r="AL1160" s="372" t="str">
        <f t="shared" si="47"/>
        <v/>
      </c>
    </row>
    <row r="1161" spans="1:38" ht="15" customHeight="1" outlineLevel="1" x14ac:dyDescent="0.2">
      <c r="A1161" s="403"/>
      <c r="B1161" s="403"/>
      <c r="C1161" s="403"/>
      <c r="D1161" s="404"/>
      <c r="E1161" s="405"/>
      <c r="F1161" s="405"/>
      <c r="G1161" s="403"/>
      <c r="H1161" s="406"/>
      <c r="I1161" s="406"/>
      <c r="J1161" s="406"/>
      <c r="K1161" s="304"/>
      <c r="L1161" s="372"/>
      <c r="M1161" s="372"/>
      <c r="N1161" s="372"/>
      <c r="O1161" s="372"/>
      <c r="P1161" s="372"/>
      <c r="Q1161" s="304"/>
      <c r="R1161" s="304"/>
      <c r="S1161" s="304"/>
      <c r="T1161" s="304"/>
      <c r="U1161" s="304"/>
      <c r="V1161" s="304"/>
      <c r="AL1161" s="372" t="str">
        <f t="shared" si="47"/>
        <v/>
      </c>
    </row>
    <row r="1162" spans="1:38" ht="15" customHeight="1" outlineLevel="1" x14ac:dyDescent="0.2">
      <c r="A1162" s="403"/>
      <c r="B1162" s="403"/>
      <c r="C1162" s="403"/>
      <c r="D1162" s="404"/>
      <c r="E1162" s="405"/>
      <c r="F1162" s="405"/>
      <c r="G1162" s="403"/>
      <c r="H1162" s="406"/>
      <c r="I1162" s="406"/>
      <c r="J1162" s="406"/>
      <c r="K1162" s="304"/>
      <c r="L1162" s="372"/>
      <c r="M1162" s="372"/>
      <c r="N1162" s="372"/>
      <c r="O1162" s="372"/>
      <c r="P1162" s="372"/>
      <c r="Q1162" s="304"/>
      <c r="R1162" s="304"/>
      <c r="S1162" s="304"/>
      <c r="T1162" s="304"/>
      <c r="U1162" s="304"/>
      <c r="V1162" s="304"/>
      <c r="AL1162" s="372" t="str">
        <f t="shared" si="47"/>
        <v/>
      </c>
    </row>
    <row r="1163" spans="1:38" ht="15" customHeight="1" outlineLevel="1" x14ac:dyDescent="0.2">
      <c r="A1163" s="403"/>
      <c r="B1163" s="403"/>
      <c r="C1163" s="403"/>
      <c r="D1163" s="404"/>
      <c r="E1163" s="405"/>
      <c r="F1163" s="405"/>
      <c r="G1163" s="403"/>
      <c r="H1163" s="406"/>
      <c r="I1163" s="406"/>
      <c r="J1163" s="406"/>
      <c r="K1163" s="304"/>
      <c r="L1163" s="372"/>
      <c r="M1163" s="372"/>
      <c r="N1163" s="372"/>
      <c r="O1163" s="372"/>
      <c r="P1163" s="372"/>
      <c r="Q1163" s="304"/>
      <c r="R1163" s="304"/>
      <c r="S1163" s="304"/>
      <c r="T1163" s="304"/>
      <c r="U1163" s="304"/>
      <c r="V1163" s="304"/>
      <c r="AL1163" s="372" t="str">
        <f t="shared" si="47"/>
        <v/>
      </c>
    </row>
    <row r="1164" spans="1:38" ht="15" customHeight="1" outlineLevel="1" x14ac:dyDescent="0.2">
      <c r="A1164" s="403"/>
      <c r="B1164" s="403"/>
      <c r="C1164" s="403"/>
      <c r="D1164" s="404"/>
      <c r="E1164" s="405"/>
      <c r="F1164" s="405"/>
      <c r="G1164" s="403"/>
      <c r="H1164" s="406"/>
      <c r="I1164" s="406"/>
      <c r="J1164" s="406"/>
      <c r="K1164" s="304"/>
      <c r="L1164" s="372"/>
      <c r="M1164" s="372"/>
      <c r="N1164" s="372"/>
      <c r="O1164" s="372"/>
      <c r="P1164" s="372"/>
      <c r="Q1164" s="304"/>
      <c r="R1164" s="304"/>
      <c r="S1164" s="304"/>
      <c r="T1164" s="304"/>
      <c r="U1164" s="304"/>
      <c r="V1164" s="304"/>
      <c r="AL1164" s="372" t="str">
        <f t="shared" si="47"/>
        <v/>
      </c>
    </row>
    <row r="1165" spans="1:38" ht="15" customHeight="1" outlineLevel="1" x14ac:dyDescent="0.2">
      <c r="A1165" s="403"/>
      <c r="B1165" s="403"/>
      <c r="C1165" s="403"/>
      <c r="D1165" s="404"/>
      <c r="E1165" s="405"/>
      <c r="F1165" s="405"/>
      <c r="G1165" s="403"/>
      <c r="H1165" s="406"/>
      <c r="I1165" s="406"/>
      <c r="J1165" s="406"/>
      <c r="K1165" s="304"/>
      <c r="L1165" s="372"/>
      <c r="M1165" s="372"/>
      <c r="N1165" s="372"/>
      <c r="O1165" s="372"/>
      <c r="P1165" s="372"/>
      <c r="Q1165" s="304"/>
      <c r="R1165" s="304"/>
      <c r="S1165" s="304"/>
      <c r="T1165" s="304"/>
      <c r="U1165" s="304"/>
      <c r="V1165" s="304"/>
      <c r="AL1165" s="372" t="str">
        <f t="shared" si="47"/>
        <v/>
      </c>
    </row>
    <row r="1166" spans="1:38" ht="15" customHeight="1" outlineLevel="1" x14ac:dyDescent="0.2">
      <c r="A1166" s="403"/>
      <c r="B1166" s="403"/>
      <c r="C1166" s="403"/>
      <c r="D1166" s="404"/>
      <c r="E1166" s="405"/>
      <c r="F1166" s="405"/>
      <c r="G1166" s="403"/>
      <c r="H1166" s="406"/>
      <c r="I1166" s="406"/>
      <c r="J1166" s="406"/>
      <c r="K1166" s="304"/>
      <c r="L1166" s="372"/>
      <c r="M1166" s="372"/>
      <c r="N1166" s="372"/>
      <c r="O1166" s="372"/>
      <c r="P1166" s="372"/>
      <c r="Q1166" s="304"/>
      <c r="R1166" s="304"/>
      <c r="S1166" s="304"/>
      <c r="T1166" s="304"/>
      <c r="U1166" s="304"/>
      <c r="V1166" s="304"/>
      <c r="AL1166" s="372" t="str">
        <f t="shared" si="47"/>
        <v/>
      </c>
    </row>
    <row r="1167" spans="1:38" ht="15" customHeight="1" outlineLevel="1" x14ac:dyDescent="0.2">
      <c r="A1167" s="403"/>
      <c r="B1167" s="403"/>
      <c r="C1167" s="403"/>
      <c r="D1167" s="404"/>
      <c r="E1167" s="405"/>
      <c r="F1167" s="405"/>
      <c r="G1167" s="403"/>
      <c r="H1167" s="406"/>
      <c r="I1167" s="406"/>
      <c r="J1167" s="406"/>
      <c r="K1167" s="304"/>
      <c r="L1167" s="372"/>
      <c r="M1167" s="372"/>
      <c r="N1167" s="372"/>
      <c r="O1167" s="372"/>
      <c r="P1167" s="372"/>
      <c r="Q1167" s="304"/>
      <c r="R1167" s="304"/>
      <c r="S1167" s="304"/>
      <c r="T1167" s="304"/>
      <c r="U1167" s="304"/>
      <c r="V1167" s="304"/>
      <c r="AL1167" s="372" t="str">
        <f t="shared" si="47"/>
        <v/>
      </c>
    </row>
    <row r="1168" spans="1:38" ht="15" customHeight="1" outlineLevel="1" x14ac:dyDescent="0.2">
      <c r="A1168" s="403"/>
      <c r="B1168" s="403"/>
      <c r="C1168" s="403"/>
      <c r="D1168" s="404"/>
      <c r="E1168" s="405"/>
      <c r="F1168" s="405"/>
      <c r="G1168" s="403"/>
      <c r="H1168" s="406"/>
      <c r="I1168" s="406"/>
      <c r="J1168" s="406"/>
      <c r="K1168" s="304"/>
      <c r="L1168" s="372"/>
      <c r="M1168" s="372"/>
      <c r="N1168" s="372"/>
      <c r="O1168" s="372"/>
      <c r="P1168" s="372"/>
      <c r="Q1168" s="304"/>
      <c r="R1168" s="304"/>
      <c r="S1168" s="304"/>
      <c r="T1168" s="304"/>
      <c r="U1168" s="304"/>
      <c r="V1168" s="304"/>
      <c r="AL1168" s="372" t="str">
        <f t="shared" si="47"/>
        <v/>
      </c>
    </row>
    <row r="1169" spans="1:38" ht="15" customHeight="1" outlineLevel="1" x14ac:dyDescent="0.2">
      <c r="A1169" s="403"/>
      <c r="B1169" s="403"/>
      <c r="C1169" s="403"/>
      <c r="D1169" s="404"/>
      <c r="E1169" s="405"/>
      <c r="F1169" s="405"/>
      <c r="G1169" s="403"/>
      <c r="H1169" s="406"/>
      <c r="I1169" s="406"/>
      <c r="J1169" s="406"/>
      <c r="K1169" s="304"/>
      <c r="L1169" s="372"/>
      <c r="M1169" s="372"/>
      <c r="N1169" s="372"/>
      <c r="O1169" s="372"/>
      <c r="P1169" s="372"/>
      <c r="Q1169" s="304"/>
      <c r="R1169" s="304"/>
      <c r="S1169" s="304"/>
      <c r="T1169" s="304"/>
      <c r="U1169" s="304"/>
      <c r="V1169" s="304"/>
      <c r="AL1169" s="372" t="str">
        <f t="shared" ref="AL1169:AL1232" si="48">IF(($C1169=$AG$245)*($N1169&gt;0)*ISNUMBER($I1169),$I1169*100000+ROW(),"")</f>
        <v/>
      </c>
    </row>
    <row r="1170" spans="1:38" ht="15" customHeight="1" outlineLevel="1" x14ac:dyDescent="0.2">
      <c r="A1170" s="403"/>
      <c r="B1170" s="403"/>
      <c r="C1170" s="403"/>
      <c r="D1170" s="404"/>
      <c r="E1170" s="405"/>
      <c r="F1170" s="405"/>
      <c r="G1170" s="403"/>
      <c r="H1170" s="406"/>
      <c r="I1170" s="406"/>
      <c r="J1170" s="406"/>
      <c r="K1170" s="304"/>
      <c r="L1170" s="372"/>
      <c r="M1170" s="372"/>
      <c r="N1170" s="372"/>
      <c r="O1170" s="372"/>
      <c r="P1170" s="372"/>
      <c r="Q1170" s="304"/>
      <c r="R1170" s="304"/>
      <c r="S1170" s="304"/>
      <c r="T1170" s="304"/>
      <c r="U1170" s="304"/>
      <c r="V1170" s="304"/>
      <c r="AL1170" s="372" t="str">
        <f t="shared" si="48"/>
        <v/>
      </c>
    </row>
    <row r="1171" spans="1:38" ht="15" customHeight="1" outlineLevel="1" x14ac:dyDescent="0.2">
      <c r="A1171" s="403"/>
      <c r="B1171" s="403"/>
      <c r="C1171" s="403"/>
      <c r="D1171" s="404"/>
      <c r="E1171" s="405"/>
      <c r="F1171" s="405"/>
      <c r="G1171" s="403"/>
      <c r="H1171" s="406"/>
      <c r="I1171" s="406"/>
      <c r="J1171" s="406"/>
      <c r="K1171" s="304"/>
      <c r="L1171" s="372"/>
      <c r="M1171" s="372"/>
      <c r="N1171" s="372"/>
      <c r="O1171" s="372"/>
      <c r="P1171" s="372"/>
      <c r="Q1171" s="304"/>
      <c r="R1171" s="304"/>
      <c r="S1171" s="304"/>
      <c r="T1171" s="304"/>
      <c r="U1171" s="304"/>
      <c r="V1171" s="304"/>
      <c r="AL1171" s="372" t="str">
        <f t="shared" si="48"/>
        <v/>
      </c>
    </row>
    <row r="1172" spans="1:38" ht="15" customHeight="1" outlineLevel="1" x14ac:dyDescent="0.2">
      <c r="A1172" s="403"/>
      <c r="B1172" s="403"/>
      <c r="C1172" s="403"/>
      <c r="D1172" s="404"/>
      <c r="E1172" s="405"/>
      <c r="F1172" s="405"/>
      <c r="G1172" s="403"/>
      <c r="H1172" s="406"/>
      <c r="I1172" s="406"/>
      <c r="J1172" s="406"/>
      <c r="K1172" s="304"/>
      <c r="L1172" s="372"/>
      <c r="M1172" s="372"/>
      <c r="N1172" s="372"/>
      <c r="O1172" s="372"/>
      <c r="P1172" s="372"/>
      <c r="Q1172" s="304"/>
      <c r="R1172" s="304"/>
      <c r="S1172" s="304"/>
      <c r="T1172" s="304"/>
      <c r="U1172" s="304"/>
      <c r="V1172" s="304"/>
      <c r="AL1172" s="372" t="str">
        <f t="shared" si="48"/>
        <v/>
      </c>
    </row>
    <row r="1173" spans="1:38" ht="15" customHeight="1" outlineLevel="1" x14ac:dyDescent="0.2">
      <c r="A1173" s="403"/>
      <c r="B1173" s="403"/>
      <c r="C1173" s="403"/>
      <c r="D1173" s="404"/>
      <c r="E1173" s="405"/>
      <c r="F1173" s="405"/>
      <c r="G1173" s="403"/>
      <c r="H1173" s="406"/>
      <c r="I1173" s="406"/>
      <c r="J1173" s="406"/>
      <c r="K1173" s="304"/>
      <c r="L1173" s="372"/>
      <c r="M1173" s="372"/>
      <c r="N1173" s="372"/>
      <c r="O1173" s="372"/>
      <c r="P1173" s="372"/>
      <c r="Q1173" s="304"/>
      <c r="R1173" s="304"/>
      <c r="S1173" s="304"/>
      <c r="T1173" s="304"/>
      <c r="U1173" s="304"/>
      <c r="V1173" s="304"/>
      <c r="AL1173" s="372" t="str">
        <f t="shared" si="48"/>
        <v/>
      </c>
    </row>
    <row r="1174" spans="1:38" ht="15" customHeight="1" outlineLevel="1" x14ac:dyDescent="0.2">
      <c r="A1174" s="403"/>
      <c r="B1174" s="403"/>
      <c r="C1174" s="403"/>
      <c r="D1174" s="404"/>
      <c r="E1174" s="405"/>
      <c r="F1174" s="405"/>
      <c r="G1174" s="403"/>
      <c r="H1174" s="406"/>
      <c r="I1174" s="406"/>
      <c r="J1174" s="406"/>
      <c r="K1174" s="304"/>
      <c r="L1174" s="372"/>
      <c r="M1174" s="372"/>
      <c r="N1174" s="372"/>
      <c r="O1174" s="372"/>
      <c r="P1174" s="372"/>
      <c r="Q1174" s="304"/>
      <c r="R1174" s="304"/>
      <c r="S1174" s="304"/>
      <c r="T1174" s="304"/>
      <c r="U1174" s="304"/>
      <c r="V1174" s="304"/>
      <c r="AL1174" s="372" t="str">
        <f t="shared" si="48"/>
        <v/>
      </c>
    </row>
    <row r="1175" spans="1:38" ht="15" customHeight="1" outlineLevel="1" x14ac:dyDescent="0.2">
      <c r="A1175" s="403"/>
      <c r="B1175" s="403"/>
      <c r="C1175" s="403"/>
      <c r="D1175" s="404"/>
      <c r="E1175" s="405"/>
      <c r="F1175" s="405"/>
      <c r="G1175" s="403"/>
      <c r="H1175" s="406"/>
      <c r="I1175" s="406"/>
      <c r="J1175" s="406"/>
      <c r="K1175" s="304"/>
      <c r="L1175" s="372"/>
      <c r="M1175" s="372"/>
      <c r="N1175" s="372"/>
      <c r="O1175" s="372"/>
      <c r="P1175" s="372"/>
      <c r="Q1175" s="304"/>
      <c r="R1175" s="304"/>
      <c r="S1175" s="304"/>
      <c r="T1175" s="304"/>
      <c r="U1175" s="304"/>
      <c r="V1175" s="304"/>
      <c r="AL1175" s="372" t="str">
        <f t="shared" si="48"/>
        <v/>
      </c>
    </row>
    <row r="1176" spans="1:38" ht="15" customHeight="1" outlineLevel="1" x14ac:dyDescent="0.2">
      <c r="A1176" s="403"/>
      <c r="B1176" s="403"/>
      <c r="C1176" s="403"/>
      <c r="D1176" s="404"/>
      <c r="E1176" s="405"/>
      <c r="F1176" s="405"/>
      <c r="G1176" s="403"/>
      <c r="H1176" s="406"/>
      <c r="I1176" s="406"/>
      <c r="J1176" s="406"/>
      <c r="K1176" s="304"/>
      <c r="L1176" s="372"/>
      <c r="M1176" s="372"/>
      <c r="N1176" s="372"/>
      <c r="O1176" s="372"/>
      <c r="P1176" s="372"/>
      <c r="Q1176" s="304"/>
      <c r="R1176" s="304"/>
      <c r="S1176" s="304"/>
      <c r="T1176" s="304"/>
      <c r="U1176" s="304"/>
      <c r="V1176" s="304"/>
      <c r="AL1176" s="372" t="str">
        <f t="shared" si="48"/>
        <v/>
      </c>
    </row>
    <row r="1177" spans="1:38" ht="15" customHeight="1" outlineLevel="1" x14ac:dyDescent="0.2">
      <c r="A1177" s="403"/>
      <c r="B1177" s="403"/>
      <c r="C1177" s="403"/>
      <c r="D1177" s="404"/>
      <c r="E1177" s="405"/>
      <c r="F1177" s="405"/>
      <c r="G1177" s="403"/>
      <c r="H1177" s="406"/>
      <c r="I1177" s="406"/>
      <c r="J1177" s="406"/>
      <c r="K1177" s="304"/>
      <c r="L1177" s="372"/>
      <c r="M1177" s="372"/>
      <c r="N1177" s="372"/>
      <c r="O1177" s="372"/>
      <c r="P1177" s="372"/>
      <c r="Q1177" s="304"/>
      <c r="R1177" s="304"/>
      <c r="S1177" s="304"/>
      <c r="T1177" s="304"/>
      <c r="U1177" s="304"/>
      <c r="V1177" s="304"/>
      <c r="AL1177" s="372" t="str">
        <f t="shared" si="48"/>
        <v/>
      </c>
    </row>
    <row r="1178" spans="1:38" ht="15" customHeight="1" outlineLevel="1" x14ac:dyDescent="0.2">
      <c r="A1178" s="403"/>
      <c r="B1178" s="403"/>
      <c r="C1178" s="403"/>
      <c r="D1178" s="404"/>
      <c r="E1178" s="405"/>
      <c r="F1178" s="405"/>
      <c r="G1178" s="403"/>
      <c r="H1178" s="406"/>
      <c r="I1178" s="406"/>
      <c r="J1178" s="406"/>
      <c r="K1178" s="304"/>
      <c r="L1178" s="372"/>
      <c r="M1178" s="372"/>
      <c r="N1178" s="372"/>
      <c r="O1178" s="372"/>
      <c r="P1178" s="372"/>
      <c r="Q1178" s="304"/>
      <c r="R1178" s="304"/>
      <c r="S1178" s="304"/>
      <c r="T1178" s="304"/>
      <c r="U1178" s="304"/>
      <c r="V1178" s="304"/>
      <c r="AL1178" s="372" t="str">
        <f t="shared" si="48"/>
        <v/>
      </c>
    </row>
    <row r="1179" spans="1:38" ht="15" customHeight="1" outlineLevel="1" x14ac:dyDescent="0.2">
      <c r="A1179" s="403"/>
      <c r="B1179" s="403"/>
      <c r="C1179" s="403"/>
      <c r="D1179" s="404"/>
      <c r="E1179" s="405"/>
      <c r="F1179" s="405"/>
      <c r="G1179" s="403"/>
      <c r="H1179" s="406"/>
      <c r="I1179" s="406"/>
      <c r="J1179" s="406"/>
      <c r="K1179" s="304"/>
      <c r="L1179" s="372"/>
      <c r="M1179" s="372"/>
      <c r="N1179" s="372"/>
      <c r="O1179" s="372"/>
      <c r="P1179" s="372"/>
      <c r="Q1179" s="304"/>
      <c r="R1179" s="304"/>
      <c r="S1179" s="304"/>
      <c r="T1179" s="304"/>
      <c r="U1179" s="304"/>
      <c r="V1179" s="304"/>
      <c r="AL1179" s="372" t="str">
        <f t="shared" si="48"/>
        <v/>
      </c>
    </row>
    <row r="1180" spans="1:38" ht="15" customHeight="1" outlineLevel="1" x14ac:dyDescent="0.2">
      <c r="A1180" s="403"/>
      <c r="B1180" s="403"/>
      <c r="C1180" s="403"/>
      <c r="D1180" s="404"/>
      <c r="E1180" s="405"/>
      <c r="F1180" s="405"/>
      <c r="G1180" s="403"/>
      <c r="H1180" s="406"/>
      <c r="I1180" s="406"/>
      <c r="J1180" s="406"/>
      <c r="K1180" s="304"/>
      <c r="L1180" s="372"/>
      <c r="M1180" s="372"/>
      <c r="N1180" s="372"/>
      <c r="O1180" s="372"/>
      <c r="P1180" s="372"/>
      <c r="Q1180" s="304"/>
      <c r="R1180" s="304"/>
      <c r="S1180" s="304"/>
      <c r="T1180" s="304"/>
      <c r="U1180" s="304"/>
      <c r="V1180" s="304"/>
      <c r="AL1180" s="372" t="str">
        <f t="shared" si="48"/>
        <v/>
      </c>
    </row>
    <row r="1181" spans="1:38" ht="15" customHeight="1" outlineLevel="1" x14ac:dyDescent="0.2">
      <c r="A1181" s="403"/>
      <c r="B1181" s="403"/>
      <c r="C1181" s="403"/>
      <c r="D1181" s="404"/>
      <c r="E1181" s="405"/>
      <c r="F1181" s="405"/>
      <c r="G1181" s="403"/>
      <c r="H1181" s="406"/>
      <c r="I1181" s="406"/>
      <c r="J1181" s="406"/>
      <c r="K1181" s="304"/>
      <c r="L1181" s="372"/>
      <c r="M1181" s="372"/>
      <c r="N1181" s="372"/>
      <c r="O1181" s="372"/>
      <c r="P1181" s="372"/>
      <c r="Q1181" s="304"/>
      <c r="R1181" s="304"/>
      <c r="S1181" s="304"/>
      <c r="T1181" s="304"/>
      <c r="U1181" s="304"/>
      <c r="V1181" s="304"/>
      <c r="AL1181" s="372" t="str">
        <f t="shared" si="48"/>
        <v/>
      </c>
    </row>
    <row r="1182" spans="1:38" ht="15" customHeight="1" outlineLevel="1" x14ac:dyDescent="0.2">
      <c r="A1182" s="403"/>
      <c r="B1182" s="403"/>
      <c r="C1182" s="403"/>
      <c r="D1182" s="404"/>
      <c r="E1182" s="405"/>
      <c r="F1182" s="405"/>
      <c r="G1182" s="403"/>
      <c r="H1182" s="406"/>
      <c r="I1182" s="406"/>
      <c r="J1182" s="406"/>
      <c r="K1182" s="304"/>
      <c r="L1182" s="372"/>
      <c r="M1182" s="372"/>
      <c r="N1182" s="372"/>
      <c r="O1182" s="372"/>
      <c r="P1182" s="372"/>
      <c r="Q1182" s="304"/>
      <c r="R1182" s="304"/>
      <c r="S1182" s="304"/>
      <c r="T1182" s="304"/>
      <c r="U1182" s="304"/>
      <c r="V1182" s="304"/>
      <c r="AL1182" s="372" t="str">
        <f t="shared" si="48"/>
        <v/>
      </c>
    </row>
    <row r="1183" spans="1:38" ht="15" customHeight="1" outlineLevel="1" x14ac:dyDescent="0.2">
      <c r="A1183" s="403"/>
      <c r="B1183" s="403"/>
      <c r="C1183" s="403"/>
      <c r="D1183" s="404"/>
      <c r="E1183" s="405"/>
      <c r="F1183" s="405"/>
      <c r="G1183" s="403"/>
      <c r="H1183" s="406"/>
      <c r="I1183" s="406"/>
      <c r="J1183" s="406"/>
      <c r="K1183" s="304"/>
      <c r="L1183" s="372"/>
      <c r="M1183" s="372"/>
      <c r="N1183" s="372"/>
      <c r="O1183" s="372"/>
      <c r="P1183" s="372"/>
      <c r="Q1183" s="304"/>
      <c r="R1183" s="304"/>
      <c r="S1183" s="304"/>
      <c r="T1183" s="304"/>
      <c r="U1183" s="304"/>
      <c r="V1183" s="304"/>
      <c r="AL1183" s="372" t="str">
        <f t="shared" si="48"/>
        <v/>
      </c>
    </row>
    <row r="1184" spans="1:38" ht="15" customHeight="1" outlineLevel="1" x14ac:dyDescent="0.2">
      <c r="A1184" s="403"/>
      <c r="B1184" s="403"/>
      <c r="C1184" s="403"/>
      <c r="D1184" s="404"/>
      <c r="E1184" s="405"/>
      <c r="F1184" s="405"/>
      <c r="G1184" s="403"/>
      <c r="H1184" s="406"/>
      <c r="I1184" s="406"/>
      <c r="J1184" s="406"/>
      <c r="K1184" s="304"/>
      <c r="L1184" s="372"/>
      <c r="M1184" s="372"/>
      <c r="N1184" s="372"/>
      <c r="O1184" s="372"/>
      <c r="P1184" s="372"/>
      <c r="Q1184" s="304"/>
      <c r="R1184" s="304"/>
      <c r="S1184" s="304"/>
      <c r="T1184" s="304"/>
      <c r="U1184" s="304"/>
      <c r="V1184" s="304"/>
      <c r="AL1184" s="372" t="str">
        <f t="shared" si="48"/>
        <v/>
      </c>
    </row>
    <row r="1185" spans="1:38" ht="15" customHeight="1" outlineLevel="1" x14ac:dyDescent="0.2">
      <c r="A1185" s="403"/>
      <c r="B1185" s="403"/>
      <c r="C1185" s="403"/>
      <c r="D1185" s="404"/>
      <c r="E1185" s="405"/>
      <c r="F1185" s="405"/>
      <c r="G1185" s="403"/>
      <c r="H1185" s="406"/>
      <c r="I1185" s="406"/>
      <c r="J1185" s="406"/>
      <c r="K1185" s="304"/>
      <c r="L1185" s="372"/>
      <c r="M1185" s="372"/>
      <c r="N1185" s="372"/>
      <c r="O1185" s="372"/>
      <c r="P1185" s="372"/>
      <c r="Q1185" s="304"/>
      <c r="R1185" s="304"/>
      <c r="S1185" s="304"/>
      <c r="T1185" s="304"/>
      <c r="U1185" s="304"/>
      <c r="V1185" s="304"/>
      <c r="AL1185" s="372" t="str">
        <f t="shared" si="48"/>
        <v/>
      </c>
    </row>
    <row r="1186" spans="1:38" ht="15" customHeight="1" outlineLevel="1" x14ac:dyDescent="0.2">
      <c r="A1186" s="403"/>
      <c r="B1186" s="403"/>
      <c r="C1186" s="403"/>
      <c r="D1186" s="404"/>
      <c r="E1186" s="405"/>
      <c r="F1186" s="405"/>
      <c r="G1186" s="403"/>
      <c r="H1186" s="406"/>
      <c r="I1186" s="406"/>
      <c r="J1186" s="406"/>
      <c r="K1186" s="304"/>
      <c r="L1186" s="372"/>
      <c r="M1186" s="372"/>
      <c r="N1186" s="372"/>
      <c r="O1186" s="372"/>
      <c r="P1186" s="372"/>
      <c r="Q1186" s="304"/>
      <c r="R1186" s="304"/>
      <c r="S1186" s="304"/>
      <c r="T1186" s="304"/>
      <c r="U1186" s="304"/>
      <c r="V1186" s="304"/>
      <c r="AL1186" s="372" t="str">
        <f t="shared" si="48"/>
        <v/>
      </c>
    </row>
    <row r="1187" spans="1:38" ht="15" customHeight="1" outlineLevel="1" x14ac:dyDescent="0.2">
      <c r="A1187" s="403"/>
      <c r="B1187" s="403"/>
      <c r="C1187" s="403"/>
      <c r="D1187" s="404"/>
      <c r="E1187" s="405"/>
      <c r="F1187" s="405"/>
      <c r="G1187" s="403"/>
      <c r="H1187" s="406"/>
      <c r="I1187" s="406"/>
      <c r="J1187" s="406"/>
      <c r="K1187" s="304"/>
      <c r="L1187" s="372"/>
      <c r="M1187" s="372"/>
      <c r="N1187" s="372"/>
      <c r="O1187" s="372"/>
      <c r="P1187" s="372"/>
      <c r="Q1187" s="304"/>
      <c r="R1187" s="304"/>
      <c r="S1187" s="304"/>
      <c r="T1187" s="304"/>
      <c r="U1187" s="304"/>
      <c r="V1187" s="304"/>
      <c r="AL1187" s="372" t="str">
        <f t="shared" si="48"/>
        <v/>
      </c>
    </row>
    <row r="1188" spans="1:38" ht="15" customHeight="1" outlineLevel="1" x14ac:dyDescent="0.2">
      <c r="A1188" s="403"/>
      <c r="B1188" s="403"/>
      <c r="C1188" s="403"/>
      <c r="D1188" s="404"/>
      <c r="E1188" s="405"/>
      <c r="F1188" s="405"/>
      <c r="G1188" s="403"/>
      <c r="H1188" s="406"/>
      <c r="I1188" s="406"/>
      <c r="J1188" s="406"/>
      <c r="K1188" s="304"/>
      <c r="L1188" s="372"/>
      <c r="M1188" s="372"/>
      <c r="N1188" s="372"/>
      <c r="O1188" s="372"/>
      <c r="P1188" s="372"/>
      <c r="Q1188" s="304"/>
      <c r="R1188" s="304"/>
      <c r="S1188" s="304"/>
      <c r="T1188" s="304"/>
      <c r="U1188" s="304"/>
      <c r="V1188" s="304"/>
      <c r="AL1188" s="372" t="str">
        <f t="shared" si="48"/>
        <v/>
      </c>
    </row>
    <row r="1189" spans="1:38" ht="15" customHeight="1" outlineLevel="1" x14ac:dyDescent="0.2">
      <c r="A1189" s="403"/>
      <c r="B1189" s="403"/>
      <c r="C1189" s="403"/>
      <c r="D1189" s="404"/>
      <c r="E1189" s="405"/>
      <c r="F1189" s="405"/>
      <c r="G1189" s="403"/>
      <c r="H1189" s="406"/>
      <c r="I1189" s="406"/>
      <c r="J1189" s="406"/>
      <c r="K1189" s="304"/>
      <c r="L1189" s="372"/>
      <c r="M1189" s="372"/>
      <c r="N1189" s="372"/>
      <c r="O1189" s="372"/>
      <c r="P1189" s="372"/>
      <c r="Q1189" s="304"/>
      <c r="R1189" s="304"/>
      <c r="S1189" s="304"/>
      <c r="T1189" s="304"/>
      <c r="U1189" s="304"/>
      <c r="V1189" s="304"/>
      <c r="AL1189" s="372" t="str">
        <f t="shared" si="48"/>
        <v/>
      </c>
    </row>
    <row r="1190" spans="1:38" ht="15" customHeight="1" outlineLevel="1" x14ac:dyDescent="0.2">
      <c r="A1190" s="403"/>
      <c r="B1190" s="403"/>
      <c r="C1190" s="403"/>
      <c r="D1190" s="404"/>
      <c r="E1190" s="405"/>
      <c r="F1190" s="405"/>
      <c r="G1190" s="403"/>
      <c r="H1190" s="406"/>
      <c r="I1190" s="406"/>
      <c r="J1190" s="406"/>
      <c r="K1190" s="304"/>
      <c r="L1190" s="372"/>
      <c r="M1190" s="372"/>
      <c r="N1190" s="372"/>
      <c r="O1190" s="372"/>
      <c r="P1190" s="372"/>
      <c r="Q1190" s="304"/>
      <c r="R1190" s="304"/>
      <c r="S1190" s="304"/>
      <c r="T1190" s="304"/>
      <c r="U1190" s="304"/>
      <c r="V1190" s="304"/>
      <c r="AL1190" s="372" t="str">
        <f t="shared" si="48"/>
        <v/>
      </c>
    </row>
    <row r="1191" spans="1:38" ht="15" customHeight="1" outlineLevel="1" x14ac:dyDescent="0.2">
      <c r="A1191" s="403"/>
      <c r="B1191" s="403"/>
      <c r="C1191" s="403"/>
      <c r="D1191" s="404"/>
      <c r="E1191" s="405"/>
      <c r="F1191" s="405"/>
      <c r="G1191" s="403"/>
      <c r="H1191" s="406"/>
      <c r="I1191" s="406"/>
      <c r="J1191" s="406"/>
      <c r="K1191" s="304"/>
      <c r="L1191" s="372"/>
      <c r="M1191" s="372"/>
      <c r="N1191" s="372"/>
      <c r="O1191" s="372"/>
      <c r="P1191" s="372"/>
      <c r="Q1191" s="304"/>
      <c r="R1191" s="304"/>
      <c r="S1191" s="304"/>
      <c r="T1191" s="304"/>
      <c r="U1191" s="304"/>
      <c r="V1191" s="304"/>
      <c r="AL1191" s="372" t="str">
        <f t="shared" si="48"/>
        <v/>
      </c>
    </row>
    <row r="1192" spans="1:38" ht="15" customHeight="1" outlineLevel="1" x14ac:dyDescent="0.2">
      <c r="A1192" s="403"/>
      <c r="B1192" s="403"/>
      <c r="C1192" s="403"/>
      <c r="D1192" s="404"/>
      <c r="E1192" s="405"/>
      <c r="F1192" s="405"/>
      <c r="G1192" s="403"/>
      <c r="H1192" s="406"/>
      <c r="I1192" s="406"/>
      <c r="J1192" s="406"/>
      <c r="K1192" s="304"/>
      <c r="L1192" s="372"/>
      <c r="M1192" s="372"/>
      <c r="N1192" s="372"/>
      <c r="O1192" s="372"/>
      <c r="P1192" s="372"/>
      <c r="Q1192" s="304"/>
      <c r="R1192" s="304"/>
      <c r="S1192" s="304"/>
      <c r="T1192" s="304"/>
      <c r="U1192" s="304"/>
      <c r="V1192" s="304"/>
      <c r="AL1192" s="372" t="str">
        <f t="shared" si="48"/>
        <v/>
      </c>
    </row>
    <row r="1193" spans="1:38" ht="15" customHeight="1" outlineLevel="1" x14ac:dyDescent="0.2">
      <c r="A1193" s="403"/>
      <c r="B1193" s="403"/>
      <c r="C1193" s="403"/>
      <c r="D1193" s="404"/>
      <c r="E1193" s="405"/>
      <c r="F1193" s="405"/>
      <c r="G1193" s="403"/>
      <c r="H1193" s="406"/>
      <c r="I1193" s="406"/>
      <c r="J1193" s="406"/>
      <c r="K1193" s="304"/>
      <c r="L1193" s="372"/>
      <c r="M1193" s="372"/>
      <c r="N1193" s="372"/>
      <c r="O1193" s="372"/>
      <c r="P1193" s="372"/>
      <c r="Q1193" s="304"/>
      <c r="R1193" s="304"/>
      <c r="S1193" s="304"/>
      <c r="T1193" s="304"/>
      <c r="U1193" s="304"/>
      <c r="V1193" s="304"/>
      <c r="AL1193" s="372" t="str">
        <f t="shared" si="48"/>
        <v/>
      </c>
    </row>
    <row r="1194" spans="1:38" ht="15" customHeight="1" outlineLevel="1" x14ac:dyDescent="0.2">
      <c r="A1194" s="403"/>
      <c r="B1194" s="403"/>
      <c r="C1194" s="403"/>
      <c r="D1194" s="404"/>
      <c r="E1194" s="405"/>
      <c r="F1194" s="405"/>
      <c r="G1194" s="403"/>
      <c r="H1194" s="406"/>
      <c r="I1194" s="406"/>
      <c r="J1194" s="406"/>
      <c r="K1194" s="304"/>
      <c r="L1194" s="372"/>
      <c r="M1194" s="372"/>
      <c r="N1194" s="372"/>
      <c r="O1194" s="372"/>
      <c r="P1194" s="372"/>
      <c r="Q1194" s="304"/>
      <c r="R1194" s="304"/>
      <c r="S1194" s="304"/>
      <c r="T1194" s="304"/>
      <c r="U1194" s="304"/>
      <c r="V1194" s="304"/>
      <c r="AL1194" s="372" t="str">
        <f t="shared" si="48"/>
        <v/>
      </c>
    </row>
    <row r="1195" spans="1:38" ht="15" customHeight="1" outlineLevel="1" x14ac:dyDescent="0.2">
      <c r="A1195" s="403"/>
      <c r="B1195" s="403"/>
      <c r="C1195" s="403"/>
      <c r="D1195" s="404"/>
      <c r="E1195" s="405"/>
      <c r="F1195" s="405"/>
      <c r="G1195" s="403"/>
      <c r="H1195" s="406"/>
      <c r="I1195" s="406"/>
      <c r="J1195" s="406"/>
      <c r="K1195" s="304"/>
      <c r="L1195" s="372"/>
      <c r="M1195" s="372"/>
      <c r="N1195" s="372"/>
      <c r="O1195" s="372"/>
      <c r="P1195" s="372"/>
      <c r="Q1195" s="304"/>
      <c r="R1195" s="304"/>
      <c r="S1195" s="304"/>
      <c r="T1195" s="304"/>
      <c r="U1195" s="304"/>
      <c r="V1195" s="304"/>
      <c r="AL1195" s="372" t="str">
        <f t="shared" si="48"/>
        <v/>
      </c>
    </row>
    <row r="1196" spans="1:38" ht="15" customHeight="1" outlineLevel="1" x14ac:dyDescent="0.2">
      <c r="A1196" s="403"/>
      <c r="B1196" s="403"/>
      <c r="C1196" s="403"/>
      <c r="D1196" s="404"/>
      <c r="E1196" s="405"/>
      <c r="F1196" s="405"/>
      <c r="G1196" s="403"/>
      <c r="H1196" s="406"/>
      <c r="I1196" s="406"/>
      <c r="J1196" s="406"/>
      <c r="K1196" s="304"/>
      <c r="L1196" s="372"/>
      <c r="M1196" s="372"/>
      <c r="N1196" s="372"/>
      <c r="O1196" s="372"/>
      <c r="P1196" s="372"/>
      <c r="Q1196" s="304"/>
      <c r="R1196" s="304"/>
      <c r="S1196" s="304"/>
      <c r="T1196" s="304"/>
      <c r="U1196" s="304"/>
      <c r="V1196" s="304"/>
      <c r="AL1196" s="372" t="str">
        <f t="shared" si="48"/>
        <v/>
      </c>
    </row>
    <row r="1197" spans="1:38" ht="15" customHeight="1" outlineLevel="1" x14ac:dyDescent="0.2">
      <c r="A1197" s="403"/>
      <c r="B1197" s="403"/>
      <c r="C1197" s="403"/>
      <c r="D1197" s="404"/>
      <c r="E1197" s="405"/>
      <c r="F1197" s="405"/>
      <c r="G1197" s="403"/>
      <c r="H1197" s="406"/>
      <c r="I1197" s="406"/>
      <c r="J1197" s="406"/>
      <c r="K1197" s="304"/>
      <c r="L1197" s="372"/>
      <c r="M1197" s="372"/>
      <c r="N1197" s="372"/>
      <c r="O1197" s="372"/>
      <c r="P1197" s="372"/>
      <c r="Q1197" s="304"/>
      <c r="R1197" s="304"/>
      <c r="S1197" s="304"/>
      <c r="T1197" s="304"/>
      <c r="U1197" s="304"/>
      <c r="V1197" s="304"/>
      <c r="AL1197" s="372" t="str">
        <f t="shared" si="48"/>
        <v/>
      </c>
    </row>
    <row r="1198" spans="1:38" ht="15" customHeight="1" outlineLevel="1" x14ac:dyDescent="0.2">
      <c r="A1198" s="403"/>
      <c r="B1198" s="403"/>
      <c r="C1198" s="403"/>
      <c r="D1198" s="404"/>
      <c r="E1198" s="405"/>
      <c r="F1198" s="405"/>
      <c r="G1198" s="403"/>
      <c r="H1198" s="406"/>
      <c r="I1198" s="406"/>
      <c r="J1198" s="406"/>
      <c r="K1198" s="304"/>
      <c r="L1198" s="372"/>
      <c r="M1198" s="372"/>
      <c r="N1198" s="372"/>
      <c r="O1198" s="372"/>
      <c r="P1198" s="372"/>
      <c r="Q1198" s="304"/>
      <c r="R1198" s="304"/>
      <c r="S1198" s="304"/>
      <c r="T1198" s="304"/>
      <c r="U1198" s="304"/>
      <c r="V1198" s="304"/>
      <c r="AL1198" s="372" t="str">
        <f t="shared" si="48"/>
        <v/>
      </c>
    </row>
    <row r="1199" spans="1:38" ht="15" customHeight="1" outlineLevel="1" x14ac:dyDescent="0.2">
      <c r="A1199" s="403"/>
      <c r="B1199" s="403"/>
      <c r="C1199" s="403"/>
      <c r="D1199" s="404"/>
      <c r="E1199" s="405"/>
      <c r="F1199" s="405"/>
      <c r="G1199" s="403"/>
      <c r="H1199" s="406"/>
      <c r="I1199" s="406"/>
      <c r="J1199" s="406"/>
      <c r="K1199" s="304"/>
      <c r="L1199" s="372"/>
      <c r="M1199" s="372"/>
      <c r="N1199" s="372"/>
      <c r="O1199" s="372"/>
      <c r="P1199" s="372"/>
      <c r="Q1199" s="304"/>
      <c r="R1199" s="304"/>
      <c r="S1199" s="304"/>
      <c r="T1199" s="304"/>
      <c r="U1199" s="304"/>
      <c r="V1199" s="304"/>
      <c r="AL1199" s="372" t="str">
        <f t="shared" si="48"/>
        <v/>
      </c>
    </row>
    <row r="1200" spans="1:38" ht="15" customHeight="1" outlineLevel="1" x14ac:dyDescent="0.2">
      <c r="A1200" s="403"/>
      <c r="B1200" s="403"/>
      <c r="C1200" s="403"/>
      <c r="D1200" s="404"/>
      <c r="E1200" s="405"/>
      <c r="F1200" s="405"/>
      <c r="G1200" s="403"/>
      <c r="H1200" s="406"/>
      <c r="I1200" s="406"/>
      <c r="J1200" s="406"/>
      <c r="K1200" s="304"/>
      <c r="L1200" s="372"/>
      <c r="M1200" s="372"/>
      <c r="N1200" s="372"/>
      <c r="O1200" s="372"/>
      <c r="P1200" s="372"/>
      <c r="Q1200" s="304"/>
      <c r="R1200" s="304"/>
      <c r="S1200" s="304"/>
      <c r="T1200" s="304"/>
      <c r="U1200" s="304"/>
      <c r="V1200" s="304"/>
      <c r="AL1200" s="372" t="str">
        <f t="shared" si="48"/>
        <v/>
      </c>
    </row>
    <row r="1201" spans="1:38" ht="15" customHeight="1" outlineLevel="1" x14ac:dyDescent="0.2">
      <c r="A1201" s="403"/>
      <c r="B1201" s="403"/>
      <c r="C1201" s="403"/>
      <c r="D1201" s="404"/>
      <c r="E1201" s="405"/>
      <c r="F1201" s="405"/>
      <c r="G1201" s="403"/>
      <c r="H1201" s="406"/>
      <c r="I1201" s="406"/>
      <c r="J1201" s="406"/>
      <c r="K1201" s="304"/>
      <c r="L1201" s="372"/>
      <c r="M1201" s="372"/>
      <c r="N1201" s="372"/>
      <c r="O1201" s="372"/>
      <c r="P1201" s="372"/>
      <c r="Q1201" s="304"/>
      <c r="R1201" s="304"/>
      <c r="S1201" s="304"/>
      <c r="T1201" s="304"/>
      <c r="U1201" s="304"/>
      <c r="V1201" s="304"/>
      <c r="AL1201" s="372" t="str">
        <f t="shared" si="48"/>
        <v/>
      </c>
    </row>
    <row r="1202" spans="1:38" ht="15" customHeight="1" outlineLevel="1" x14ac:dyDescent="0.2">
      <c r="A1202" s="403"/>
      <c r="B1202" s="403"/>
      <c r="C1202" s="403"/>
      <c r="D1202" s="404"/>
      <c r="E1202" s="405"/>
      <c r="F1202" s="405"/>
      <c r="G1202" s="403"/>
      <c r="H1202" s="406"/>
      <c r="I1202" s="406"/>
      <c r="J1202" s="406"/>
      <c r="K1202" s="304"/>
      <c r="L1202" s="372"/>
      <c r="M1202" s="372"/>
      <c r="N1202" s="372"/>
      <c r="O1202" s="372"/>
      <c r="P1202" s="372"/>
      <c r="Q1202" s="304"/>
      <c r="R1202" s="304"/>
      <c r="S1202" s="304"/>
      <c r="T1202" s="304"/>
      <c r="U1202" s="304"/>
      <c r="V1202" s="304"/>
      <c r="AL1202" s="372" t="str">
        <f t="shared" si="48"/>
        <v/>
      </c>
    </row>
    <row r="1203" spans="1:38" ht="15" customHeight="1" outlineLevel="1" x14ac:dyDescent="0.2">
      <c r="A1203" s="403"/>
      <c r="B1203" s="403"/>
      <c r="C1203" s="403"/>
      <c r="D1203" s="404"/>
      <c r="E1203" s="405"/>
      <c r="F1203" s="405"/>
      <c r="G1203" s="403"/>
      <c r="H1203" s="406"/>
      <c r="I1203" s="406"/>
      <c r="J1203" s="406"/>
      <c r="K1203" s="304"/>
      <c r="L1203" s="372"/>
      <c r="M1203" s="372"/>
      <c r="N1203" s="372"/>
      <c r="O1203" s="372"/>
      <c r="P1203" s="372"/>
      <c r="Q1203" s="304"/>
      <c r="R1203" s="304"/>
      <c r="S1203" s="304"/>
      <c r="T1203" s="304"/>
      <c r="U1203" s="304"/>
      <c r="V1203" s="304"/>
      <c r="AL1203" s="372" t="str">
        <f t="shared" si="48"/>
        <v/>
      </c>
    </row>
    <row r="1204" spans="1:38" ht="15" customHeight="1" outlineLevel="1" x14ac:dyDescent="0.2">
      <c r="A1204" s="403"/>
      <c r="B1204" s="403"/>
      <c r="C1204" s="403"/>
      <c r="D1204" s="404"/>
      <c r="E1204" s="405"/>
      <c r="F1204" s="405"/>
      <c r="G1204" s="403"/>
      <c r="H1204" s="406"/>
      <c r="I1204" s="406"/>
      <c r="J1204" s="406"/>
      <c r="K1204" s="304"/>
      <c r="L1204" s="372"/>
      <c r="M1204" s="372"/>
      <c r="N1204" s="372"/>
      <c r="O1204" s="372"/>
      <c r="P1204" s="372"/>
      <c r="Q1204" s="304"/>
      <c r="R1204" s="304"/>
      <c r="S1204" s="304"/>
      <c r="T1204" s="304"/>
      <c r="U1204" s="304"/>
      <c r="V1204" s="304"/>
      <c r="AL1204" s="372" t="str">
        <f t="shared" si="48"/>
        <v/>
      </c>
    </row>
    <row r="1205" spans="1:38" ht="15" customHeight="1" outlineLevel="1" x14ac:dyDescent="0.2">
      <c r="A1205" s="403"/>
      <c r="B1205" s="403"/>
      <c r="C1205" s="403"/>
      <c r="D1205" s="404"/>
      <c r="E1205" s="405"/>
      <c r="F1205" s="405"/>
      <c r="G1205" s="403"/>
      <c r="H1205" s="406"/>
      <c r="I1205" s="406"/>
      <c r="J1205" s="406"/>
      <c r="K1205" s="304"/>
      <c r="L1205" s="372"/>
      <c r="M1205" s="372"/>
      <c r="N1205" s="372"/>
      <c r="O1205" s="372"/>
      <c r="P1205" s="372"/>
      <c r="Q1205" s="304"/>
      <c r="R1205" s="304"/>
      <c r="S1205" s="304"/>
      <c r="T1205" s="304"/>
      <c r="U1205" s="304"/>
      <c r="V1205" s="304"/>
      <c r="AL1205" s="372" t="str">
        <f t="shared" si="48"/>
        <v/>
      </c>
    </row>
    <row r="1206" spans="1:38" ht="15" customHeight="1" outlineLevel="1" x14ac:dyDescent="0.2">
      <c r="A1206" s="403"/>
      <c r="B1206" s="403"/>
      <c r="C1206" s="403"/>
      <c r="D1206" s="404"/>
      <c r="E1206" s="405"/>
      <c r="F1206" s="405"/>
      <c r="G1206" s="403"/>
      <c r="H1206" s="406"/>
      <c r="I1206" s="406"/>
      <c r="J1206" s="406"/>
      <c r="K1206" s="304"/>
      <c r="L1206" s="372"/>
      <c r="M1206" s="372"/>
      <c r="N1206" s="372"/>
      <c r="O1206" s="372"/>
      <c r="P1206" s="372"/>
      <c r="Q1206" s="304"/>
      <c r="R1206" s="304"/>
      <c r="S1206" s="304"/>
      <c r="T1206" s="304"/>
      <c r="U1206" s="304"/>
      <c r="V1206" s="304"/>
      <c r="AL1206" s="372" t="str">
        <f t="shared" si="48"/>
        <v/>
      </c>
    </row>
    <row r="1207" spans="1:38" ht="15" customHeight="1" outlineLevel="1" x14ac:dyDescent="0.2">
      <c r="A1207" s="403"/>
      <c r="B1207" s="403"/>
      <c r="C1207" s="403"/>
      <c r="D1207" s="404"/>
      <c r="E1207" s="405"/>
      <c r="F1207" s="405"/>
      <c r="G1207" s="403"/>
      <c r="H1207" s="406"/>
      <c r="I1207" s="406"/>
      <c r="J1207" s="406"/>
      <c r="K1207" s="304"/>
      <c r="L1207" s="372"/>
      <c r="M1207" s="372"/>
      <c r="N1207" s="372"/>
      <c r="O1207" s="372"/>
      <c r="P1207" s="372"/>
      <c r="Q1207" s="304"/>
      <c r="R1207" s="304"/>
      <c r="S1207" s="304"/>
      <c r="T1207" s="304"/>
      <c r="U1207" s="304"/>
      <c r="V1207" s="304"/>
      <c r="AL1207" s="372" t="str">
        <f t="shared" si="48"/>
        <v/>
      </c>
    </row>
    <row r="1208" spans="1:38" ht="15" customHeight="1" outlineLevel="1" x14ac:dyDescent="0.2">
      <c r="A1208" s="403"/>
      <c r="B1208" s="403"/>
      <c r="C1208" s="403"/>
      <c r="D1208" s="404"/>
      <c r="E1208" s="405"/>
      <c r="F1208" s="405"/>
      <c r="G1208" s="403"/>
      <c r="H1208" s="406"/>
      <c r="I1208" s="406"/>
      <c r="J1208" s="406"/>
      <c r="K1208" s="304"/>
      <c r="L1208" s="372"/>
      <c r="M1208" s="372"/>
      <c r="N1208" s="372"/>
      <c r="O1208" s="372"/>
      <c r="P1208" s="372"/>
      <c r="Q1208" s="304"/>
      <c r="R1208" s="304"/>
      <c r="S1208" s="304"/>
      <c r="T1208" s="304"/>
      <c r="U1208" s="304"/>
      <c r="V1208" s="304"/>
      <c r="AL1208" s="372" t="str">
        <f t="shared" si="48"/>
        <v/>
      </c>
    </row>
    <row r="1209" spans="1:38" ht="15" customHeight="1" outlineLevel="1" x14ac:dyDescent="0.2">
      <c r="A1209" s="403"/>
      <c r="B1209" s="403"/>
      <c r="C1209" s="403"/>
      <c r="D1209" s="404"/>
      <c r="E1209" s="405"/>
      <c r="F1209" s="405"/>
      <c r="G1209" s="403"/>
      <c r="H1209" s="406"/>
      <c r="I1209" s="406"/>
      <c r="J1209" s="406"/>
      <c r="K1209" s="304"/>
      <c r="L1209" s="372"/>
      <c r="M1209" s="372"/>
      <c r="N1209" s="372"/>
      <c r="O1209" s="372"/>
      <c r="P1209" s="372"/>
      <c r="Q1209" s="304"/>
      <c r="R1209" s="304"/>
      <c r="S1209" s="304"/>
      <c r="T1209" s="304"/>
      <c r="U1209" s="304"/>
      <c r="V1209" s="304"/>
      <c r="AL1209" s="372" t="str">
        <f t="shared" si="48"/>
        <v/>
      </c>
    </row>
    <row r="1210" spans="1:38" ht="15" customHeight="1" outlineLevel="1" x14ac:dyDescent="0.2">
      <c r="A1210" s="403"/>
      <c r="B1210" s="403"/>
      <c r="C1210" s="403"/>
      <c r="D1210" s="404"/>
      <c r="E1210" s="405"/>
      <c r="F1210" s="405"/>
      <c r="G1210" s="403"/>
      <c r="H1210" s="406"/>
      <c r="I1210" s="406"/>
      <c r="J1210" s="406"/>
      <c r="K1210" s="304"/>
      <c r="L1210" s="372"/>
      <c r="M1210" s="372"/>
      <c r="N1210" s="372"/>
      <c r="O1210" s="372"/>
      <c r="P1210" s="372"/>
      <c r="Q1210" s="304"/>
      <c r="R1210" s="304"/>
      <c r="S1210" s="304"/>
      <c r="T1210" s="304"/>
      <c r="U1210" s="304"/>
      <c r="V1210" s="304"/>
      <c r="AL1210" s="372" t="str">
        <f t="shared" si="48"/>
        <v/>
      </c>
    </row>
    <row r="1211" spans="1:38" ht="15" customHeight="1" outlineLevel="1" x14ac:dyDescent="0.2">
      <c r="A1211" s="403"/>
      <c r="B1211" s="403"/>
      <c r="C1211" s="403"/>
      <c r="D1211" s="404"/>
      <c r="E1211" s="405"/>
      <c r="F1211" s="405"/>
      <c r="G1211" s="403"/>
      <c r="H1211" s="406"/>
      <c r="I1211" s="406"/>
      <c r="J1211" s="406"/>
      <c r="K1211" s="304"/>
      <c r="L1211" s="372"/>
      <c r="M1211" s="372"/>
      <c r="N1211" s="372"/>
      <c r="O1211" s="372"/>
      <c r="P1211" s="372"/>
      <c r="Q1211" s="304"/>
      <c r="R1211" s="304"/>
      <c r="S1211" s="304"/>
      <c r="T1211" s="304"/>
      <c r="U1211" s="304"/>
      <c r="V1211" s="304"/>
      <c r="AL1211" s="372" t="str">
        <f t="shared" si="48"/>
        <v/>
      </c>
    </row>
    <row r="1212" spans="1:38" ht="15" customHeight="1" outlineLevel="1" x14ac:dyDescent="0.2">
      <c r="A1212" s="403"/>
      <c r="B1212" s="403"/>
      <c r="C1212" s="403"/>
      <c r="D1212" s="404"/>
      <c r="E1212" s="405"/>
      <c r="F1212" s="405"/>
      <c r="G1212" s="403"/>
      <c r="H1212" s="406"/>
      <c r="I1212" s="406"/>
      <c r="J1212" s="406"/>
      <c r="K1212" s="304"/>
      <c r="L1212" s="372"/>
      <c r="M1212" s="372"/>
      <c r="N1212" s="372"/>
      <c r="O1212" s="372"/>
      <c r="P1212" s="372"/>
      <c r="Q1212" s="304"/>
      <c r="R1212" s="304"/>
      <c r="S1212" s="304"/>
      <c r="T1212" s="304"/>
      <c r="U1212" s="304"/>
      <c r="V1212" s="304"/>
      <c r="AL1212" s="372" t="str">
        <f t="shared" si="48"/>
        <v/>
      </c>
    </row>
    <row r="1213" spans="1:38" ht="15" customHeight="1" outlineLevel="1" x14ac:dyDescent="0.2">
      <c r="A1213" s="403"/>
      <c r="B1213" s="403"/>
      <c r="C1213" s="403"/>
      <c r="D1213" s="404"/>
      <c r="E1213" s="405"/>
      <c r="F1213" s="405"/>
      <c r="G1213" s="403"/>
      <c r="H1213" s="406"/>
      <c r="I1213" s="406"/>
      <c r="J1213" s="406"/>
      <c r="K1213" s="304"/>
      <c r="L1213" s="372"/>
      <c r="M1213" s="372"/>
      <c r="N1213" s="372"/>
      <c r="O1213" s="372"/>
      <c r="P1213" s="372"/>
      <c r="Q1213" s="304"/>
      <c r="R1213" s="304"/>
      <c r="S1213" s="304"/>
      <c r="T1213" s="304"/>
      <c r="U1213" s="304"/>
      <c r="V1213" s="304"/>
      <c r="AL1213" s="372" t="str">
        <f t="shared" si="48"/>
        <v/>
      </c>
    </row>
    <row r="1214" spans="1:38" ht="15" customHeight="1" outlineLevel="1" x14ac:dyDescent="0.2">
      <c r="A1214" s="403"/>
      <c r="B1214" s="403"/>
      <c r="C1214" s="403"/>
      <c r="D1214" s="404"/>
      <c r="E1214" s="405"/>
      <c r="F1214" s="405"/>
      <c r="G1214" s="403"/>
      <c r="H1214" s="406"/>
      <c r="I1214" s="406"/>
      <c r="J1214" s="406"/>
      <c r="K1214" s="304"/>
      <c r="L1214" s="372"/>
      <c r="M1214" s="372"/>
      <c r="N1214" s="372"/>
      <c r="O1214" s="372"/>
      <c r="P1214" s="372"/>
      <c r="Q1214" s="304"/>
      <c r="R1214" s="304"/>
      <c r="S1214" s="304"/>
      <c r="T1214" s="304"/>
      <c r="U1214" s="304"/>
      <c r="V1214" s="304"/>
      <c r="AL1214" s="372" t="str">
        <f t="shared" si="48"/>
        <v/>
      </c>
    </row>
    <row r="1215" spans="1:38" ht="15" customHeight="1" outlineLevel="1" x14ac:dyDescent="0.2">
      <c r="A1215" s="403"/>
      <c r="B1215" s="403"/>
      <c r="C1215" s="403"/>
      <c r="D1215" s="404"/>
      <c r="E1215" s="405"/>
      <c r="F1215" s="405"/>
      <c r="G1215" s="403"/>
      <c r="H1215" s="406"/>
      <c r="I1215" s="406"/>
      <c r="J1215" s="406"/>
      <c r="K1215" s="304"/>
      <c r="L1215" s="372"/>
      <c r="M1215" s="372"/>
      <c r="N1215" s="372"/>
      <c r="O1215" s="372"/>
      <c r="P1215" s="372"/>
      <c r="Q1215" s="304"/>
      <c r="R1215" s="304"/>
      <c r="S1215" s="304"/>
      <c r="T1215" s="304"/>
      <c r="U1215" s="304"/>
      <c r="V1215" s="304"/>
      <c r="AL1215" s="372" t="str">
        <f t="shared" si="48"/>
        <v/>
      </c>
    </row>
    <row r="1216" spans="1:38" ht="15" customHeight="1" outlineLevel="1" x14ac:dyDescent="0.2">
      <c r="A1216" s="403"/>
      <c r="B1216" s="403"/>
      <c r="C1216" s="403"/>
      <c r="D1216" s="404"/>
      <c r="E1216" s="405"/>
      <c r="F1216" s="405"/>
      <c r="G1216" s="403"/>
      <c r="H1216" s="406"/>
      <c r="I1216" s="406"/>
      <c r="J1216" s="406"/>
      <c r="K1216" s="304"/>
      <c r="L1216" s="372"/>
      <c r="M1216" s="372"/>
      <c r="N1216" s="372"/>
      <c r="O1216" s="372"/>
      <c r="P1216" s="372"/>
      <c r="Q1216" s="304"/>
      <c r="R1216" s="304"/>
      <c r="S1216" s="304"/>
      <c r="T1216" s="304"/>
      <c r="U1216" s="304"/>
      <c r="V1216" s="304"/>
      <c r="AL1216" s="372" t="str">
        <f t="shared" si="48"/>
        <v/>
      </c>
    </row>
    <row r="1217" spans="1:38" ht="15" customHeight="1" outlineLevel="1" x14ac:dyDescent="0.2">
      <c r="A1217" s="403"/>
      <c r="B1217" s="403"/>
      <c r="C1217" s="403"/>
      <c r="D1217" s="404"/>
      <c r="E1217" s="405"/>
      <c r="F1217" s="405"/>
      <c r="G1217" s="403"/>
      <c r="H1217" s="406"/>
      <c r="I1217" s="406"/>
      <c r="J1217" s="406"/>
      <c r="K1217" s="304"/>
      <c r="L1217" s="372"/>
      <c r="M1217" s="372"/>
      <c r="N1217" s="372"/>
      <c r="O1217" s="372"/>
      <c r="P1217" s="372"/>
      <c r="Q1217" s="304"/>
      <c r="R1217" s="304"/>
      <c r="S1217" s="304"/>
      <c r="T1217" s="304"/>
      <c r="U1217" s="304"/>
      <c r="V1217" s="304"/>
      <c r="AL1217" s="372" t="str">
        <f t="shared" si="48"/>
        <v/>
      </c>
    </row>
    <row r="1218" spans="1:38" ht="15" customHeight="1" outlineLevel="1" x14ac:dyDescent="0.2">
      <c r="A1218" s="403"/>
      <c r="B1218" s="403"/>
      <c r="C1218" s="403"/>
      <c r="D1218" s="404"/>
      <c r="E1218" s="405"/>
      <c r="F1218" s="405"/>
      <c r="G1218" s="403"/>
      <c r="H1218" s="406"/>
      <c r="I1218" s="406"/>
      <c r="J1218" s="406"/>
      <c r="K1218" s="304"/>
      <c r="L1218" s="372"/>
      <c r="M1218" s="372"/>
      <c r="N1218" s="372"/>
      <c r="O1218" s="372"/>
      <c r="P1218" s="372"/>
      <c r="Q1218" s="304"/>
      <c r="R1218" s="304"/>
      <c r="S1218" s="304"/>
      <c r="T1218" s="304"/>
      <c r="U1218" s="304"/>
      <c r="V1218" s="304"/>
      <c r="AL1218" s="372" t="str">
        <f t="shared" si="48"/>
        <v/>
      </c>
    </row>
    <row r="1219" spans="1:38" ht="15" customHeight="1" outlineLevel="1" x14ac:dyDescent="0.2">
      <c r="A1219" s="403"/>
      <c r="B1219" s="403"/>
      <c r="C1219" s="403"/>
      <c r="D1219" s="404"/>
      <c r="E1219" s="405"/>
      <c r="F1219" s="405"/>
      <c r="G1219" s="403"/>
      <c r="H1219" s="406"/>
      <c r="I1219" s="406"/>
      <c r="J1219" s="406"/>
      <c r="K1219" s="304"/>
      <c r="L1219" s="372"/>
      <c r="M1219" s="372"/>
      <c r="N1219" s="372"/>
      <c r="O1219" s="372"/>
      <c r="P1219" s="372"/>
      <c r="Q1219" s="304"/>
      <c r="R1219" s="304"/>
      <c r="S1219" s="304"/>
      <c r="T1219" s="304"/>
      <c r="U1219" s="304"/>
      <c r="V1219" s="304"/>
      <c r="AL1219" s="372" t="str">
        <f t="shared" si="48"/>
        <v/>
      </c>
    </row>
    <row r="1220" spans="1:38" ht="15" customHeight="1" outlineLevel="1" x14ac:dyDescent="0.2">
      <c r="A1220" s="403"/>
      <c r="B1220" s="403"/>
      <c r="C1220" s="403"/>
      <c r="D1220" s="404"/>
      <c r="E1220" s="405"/>
      <c r="F1220" s="405"/>
      <c r="G1220" s="403"/>
      <c r="H1220" s="406"/>
      <c r="I1220" s="406"/>
      <c r="J1220" s="406"/>
      <c r="K1220" s="304"/>
      <c r="L1220" s="372"/>
      <c r="M1220" s="372"/>
      <c r="N1220" s="372"/>
      <c r="O1220" s="372"/>
      <c r="P1220" s="372"/>
      <c r="Q1220" s="304"/>
      <c r="R1220" s="304"/>
      <c r="S1220" s="304"/>
      <c r="T1220" s="304"/>
      <c r="U1220" s="304"/>
      <c r="V1220" s="304"/>
      <c r="AL1220" s="372" t="str">
        <f t="shared" si="48"/>
        <v/>
      </c>
    </row>
    <row r="1221" spans="1:38" ht="15" customHeight="1" outlineLevel="1" x14ac:dyDescent="0.2">
      <c r="A1221" s="403"/>
      <c r="B1221" s="403"/>
      <c r="C1221" s="403"/>
      <c r="D1221" s="404"/>
      <c r="E1221" s="405"/>
      <c r="F1221" s="405"/>
      <c r="G1221" s="403"/>
      <c r="H1221" s="406"/>
      <c r="I1221" s="406"/>
      <c r="J1221" s="406"/>
      <c r="K1221" s="304"/>
      <c r="L1221" s="372"/>
      <c r="M1221" s="372"/>
      <c r="N1221" s="372"/>
      <c r="O1221" s="372"/>
      <c r="P1221" s="372"/>
      <c r="Q1221" s="304"/>
      <c r="R1221" s="304"/>
      <c r="S1221" s="304"/>
      <c r="T1221" s="304"/>
      <c r="U1221" s="304"/>
      <c r="V1221" s="304"/>
      <c r="AL1221" s="372" t="str">
        <f t="shared" si="48"/>
        <v/>
      </c>
    </row>
    <row r="1222" spans="1:38" ht="15" customHeight="1" outlineLevel="1" x14ac:dyDescent="0.2">
      <c r="A1222" s="403"/>
      <c r="B1222" s="403"/>
      <c r="C1222" s="403"/>
      <c r="D1222" s="404"/>
      <c r="E1222" s="405"/>
      <c r="F1222" s="405"/>
      <c r="G1222" s="403"/>
      <c r="H1222" s="406"/>
      <c r="I1222" s="406"/>
      <c r="J1222" s="406"/>
      <c r="K1222" s="304"/>
      <c r="L1222" s="372"/>
      <c r="M1222" s="372"/>
      <c r="N1222" s="372"/>
      <c r="O1222" s="372"/>
      <c r="P1222" s="372"/>
      <c r="Q1222" s="304"/>
      <c r="R1222" s="304"/>
      <c r="S1222" s="304"/>
      <c r="T1222" s="304"/>
      <c r="U1222" s="304"/>
      <c r="V1222" s="304"/>
      <c r="AL1222" s="372" t="str">
        <f t="shared" si="48"/>
        <v/>
      </c>
    </row>
    <row r="1223" spans="1:38" ht="15" customHeight="1" outlineLevel="1" x14ac:dyDescent="0.2">
      <c r="A1223" s="403"/>
      <c r="B1223" s="403"/>
      <c r="C1223" s="403"/>
      <c r="D1223" s="404"/>
      <c r="E1223" s="405"/>
      <c r="F1223" s="405"/>
      <c r="G1223" s="403"/>
      <c r="H1223" s="406"/>
      <c r="I1223" s="406"/>
      <c r="J1223" s="406"/>
      <c r="K1223" s="304"/>
      <c r="L1223" s="372"/>
      <c r="M1223" s="372"/>
      <c r="N1223" s="372"/>
      <c r="O1223" s="372"/>
      <c r="P1223" s="372"/>
      <c r="Q1223" s="304"/>
      <c r="R1223" s="304"/>
      <c r="S1223" s="304"/>
      <c r="T1223" s="304"/>
      <c r="U1223" s="304"/>
      <c r="V1223" s="304"/>
      <c r="AL1223" s="372" t="str">
        <f t="shared" si="48"/>
        <v/>
      </c>
    </row>
    <row r="1224" spans="1:38" ht="15" customHeight="1" outlineLevel="1" x14ac:dyDescent="0.2">
      <c r="A1224" s="403"/>
      <c r="B1224" s="403"/>
      <c r="C1224" s="403"/>
      <c r="D1224" s="404"/>
      <c r="E1224" s="405"/>
      <c r="F1224" s="405"/>
      <c r="G1224" s="403"/>
      <c r="H1224" s="406"/>
      <c r="I1224" s="406"/>
      <c r="J1224" s="406"/>
      <c r="K1224" s="304"/>
      <c r="L1224" s="372"/>
      <c r="M1224" s="372"/>
      <c r="N1224" s="372"/>
      <c r="O1224" s="372"/>
      <c r="P1224" s="372"/>
      <c r="Q1224" s="304"/>
      <c r="R1224" s="304"/>
      <c r="S1224" s="304"/>
      <c r="T1224" s="304"/>
      <c r="U1224" s="304"/>
      <c r="V1224" s="304"/>
      <c r="AL1224" s="372" t="str">
        <f t="shared" si="48"/>
        <v/>
      </c>
    </row>
    <row r="1225" spans="1:38" ht="15" customHeight="1" outlineLevel="1" x14ac:dyDescent="0.2">
      <c r="A1225" s="403"/>
      <c r="B1225" s="403"/>
      <c r="C1225" s="403"/>
      <c r="D1225" s="404"/>
      <c r="E1225" s="405"/>
      <c r="F1225" s="405"/>
      <c r="G1225" s="403"/>
      <c r="H1225" s="406"/>
      <c r="I1225" s="406"/>
      <c r="J1225" s="406"/>
      <c r="K1225" s="304"/>
      <c r="L1225" s="372"/>
      <c r="M1225" s="372"/>
      <c r="N1225" s="372"/>
      <c r="O1225" s="372"/>
      <c r="P1225" s="372"/>
      <c r="Q1225" s="304"/>
      <c r="R1225" s="304"/>
      <c r="S1225" s="304"/>
      <c r="T1225" s="304"/>
      <c r="U1225" s="304"/>
      <c r="V1225" s="304"/>
      <c r="AL1225" s="372" t="str">
        <f t="shared" si="48"/>
        <v/>
      </c>
    </row>
    <row r="1226" spans="1:38" ht="15" customHeight="1" outlineLevel="1" x14ac:dyDescent="0.2">
      <c r="A1226" s="403"/>
      <c r="B1226" s="403"/>
      <c r="C1226" s="403"/>
      <c r="D1226" s="404"/>
      <c r="E1226" s="405"/>
      <c r="F1226" s="405"/>
      <c r="G1226" s="403"/>
      <c r="H1226" s="406"/>
      <c r="I1226" s="406"/>
      <c r="J1226" s="406"/>
      <c r="K1226" s="304"/>
      <c r="L1226" s="372"/>
      <c r="M1226" s="372"/>
      <c r="N1226" s="372"/>
      <c r="O1226" s="372"/>
      <c r="P1226" s="372"/>
      <c r="Q1226" s="304"/>
      <c r="R1226" s="304"/>
      <c r="S1226" s="304"/>
      <c r="T1226" s="304"/>
      <c r="U1226" s="304"/>
      <c r="V1226" s="304"/>
      <c r="AL1226" s="372" t="str">
        <f t="shared" si="48"/>
        <v/>
      </c>
    </row>
    <row r="1227" spans="1:38" ht="15" customHeight="1" outlineLevel="1" x14ac:dyDescent="0.2">
      <c r="A1227" s="403"/>
      <c r="B1227" s="403"/>
      <c r="C1227" s="403"/>
      <c r="D1227" s="404"/>
      <c r="E1227" s="405"/>
      <c r="F1227" s="405"/>
      <c r="G1227" s="403"/>
      <c r="H1227" s="406"/>
      <c r="I1227" s="406"/>
      <c r="J1227" s="406"/>
      <c r="K1227" s="304"/>
      <c r="L1227" s="372"/>
      <c r="M1227" s="372"/>
      <c r="N1227" s="372"/>
      <c r="O1227" s="372"/>
      <c r="P1227" s="372"/>
      <c r="Q1227" s="304"/>
      <c r="R1227" s="304"/>
      <c r="S1227" s="304"/>
      <c r="T1227" s="304"/>
      <c r="U1227" s="304"/>
      <c r="V1227" s="304"/>
      <c r="AL1227" s="372" t="str">
        <f t="shared" si="48"/>
        <v/>
      </c>
    </row>
    <row r="1228" spans="1:38" ht="15" customHeight="1" outlineLevel="1" x14ac:dyDescent="0.2">
      <c r="A1228" s="403"/>
      <c r="B1228" s="403"/>
      <c r="C1228" s="403"/>
      <c r="D1228" s="404"/>
      <c r="E1228" s="405"/>
      <c r="F1228" s="405"/>
      <c r="G1228" s="403"/>
      <c r="H1228" s="406"/>
      <c r="I1228" s="406"/>
      <c r="J1228" s="406"/>
      <c r="K1228" s="304"/>
      <c r="L1228" s="372"/>
      <c r="M1228" s="372"/>
      <c r="N1228" s="372"/>
      <c r="O1228" s="372"/>
      <c r="P1228" s="372"/>
      <c r="Q1228" s="304"/>
      <c r="R1228" s="304"/>
      <c r="S1228" s="304"/>
      <c r="T1228" s="304"/>
      <c r="U1228" s="304"/>
      <c r="V1228" s="304"/>
      <c r="AL1228" s="372" t="str">
        <f t="shared" si="48"/>
        <v/>
      </c>
    </row>
    <row r="1229" spans="1:38" ht="15" customHeight="1" outlineLevel="1" x14ac:dyDescent="0.2">
      <c r="A1229" s="403"/>
      <c r="B1229" s="403"/>
      <c r="C1229" s="403"/>
      <c r="D1229" s="404"/>
      <c r="E1229" s="405"/>
      <c r="F1229" s="405"/>
      <c r="G1229" s="403"/>
      <c r="H1229" s="406"/>
      <c r="I1229" s="406"/>
      <c r="J1229" s="406"/>
      <c r="K1229" s="304"/>
      <c r="L1229" s="372"/>
      <c r="M1229" s="372"/>
      <c r="N1229" s="372"/>
      <c r="O1229" s="372"/>
      <c r="P1229" s="372"/>
      <c r="Q1229" s="304"/>
      <c r="R1229" s="304"/>
      <c r="S1229" s="304"/>
      <c r="T1229" s="304"/>
      <c r="U1229" s="304"/>
      <c r="V1229" s="304"/>
      <c r="AL1229" s="372" t="str">
        <f t="shared" si="48"/>
        <v/>
      </c>
    </row>
    <row r="1230" spans="1:38" ht="15" customHeight="1" outlineLevel="1" x14ac:dyDescent="0.2">
      <c r="A1230" s="403"/>
      <c r="B1230" s="403"/>
      <c r="C1230" s="403"/>
      <c r="D1230" s="404"/>
      <c r="E1230" s="405"/>
      <c r="F1230" s="405"/>
      <c r="G1230" s="403"/>
      <c r="H1230" s="406"/>
      <c r="I1230" s="406"/>
      <c r="J1230" s="406"/>
      <c r="K1230" s="304"/>
      <c r="L1230" s="372"/>
      <c r="M1230" s="372"/>
      <c r="N1230" s="372"/>
      <c r="O1230" s="372"/>
      <c r="P1230" s="372"/>
      <c r="Q1230" s="304"/>
      <c r="R1230" s="304"/>
      <c r="S1230" s="304"/>
      <c r="T1230" s="304"/>
      <c r="U1230" s="304"/>
      <c r="V1230" s="304"/>
      <c r="AL1230" s="372" t="str">
        <f t="shared" si="48"/>
        <v/>
      </c>
    </row>
    <row r="1231" spans="1:38" ht="15" customHeight="1" outlineLevel="1" x14ac:dyDescent="0.2">
      <c r="A1231" s="403"/>
      <c r="B1231" s="403"/>
      <c r="C1231" s="403"/>
      <c r="D1231" s="404"/>
      <c r="E1231" s="405"/>
      <c r="F1231" s="405"/>
      <c r="G1231" s="403"/>
      <c r="H1231" s="406"/>
      <c r="I1231" s="406"/>
      <c r="J1231" s="406"/>
      <c r="K1231" s="304"/>
      <c r="L1231" s="372"/>
      <c r="M1231" s="372"/>
      <c r="N1231" s="372"/>
      <c r="O1231" s="372"/>
      <c r="P1231" s="372"/>
      <c r="Q1231" s="304"/>
      <c r="R1231" s="304"/>
      <c r="S1231" s="304"/>
      <c r="T1231" s="304"/>
      <c r="U1231" s="304"/>
      <c r="V1231" s="304"/>
      <c r="AL1231" s="372" t="str">
        <f t="shared" si="48"/>
        <v/>
      </c>
    </row>
    <row r="1232" spans="1:38" ht="15" customHeight="1" outlineLevel="1" x14ac:dyDescent="0.2">
      <c r="A1232" s="403"/>
      <c r="B1232" s="403"/>
      <c r="C1232" s="403"/>
      <c r="D1232" s="404"/>
      <c r="E1232" s="405"/>
      <c r="F1232" s="405"/>
      <c r="G1232" s="403"/>
      <c r="H1232" s="406"/>
      <c r="I1232" s="406"/>
      <c r="J1232" s="406"/>
      <c r="K1232" s="304"/>
      <c r="L1232" s="372"/>
      <c r="M1232" s="372"/>
      <c r="N1232" s="372"/>
      <c r="O1232" s="372"/>
      <c r="P1232" s="372"/>
      <c r="Q1232" s="304"/>
      <c r="R1232" s="304"/>
      <c r="S1232" s="304"/>
      <c r="T1232" s="304"/>
      <c r="U1232" s="304"/>
      <c r="V1232" s="304"/>
      <c r="AL1232" s="372" t="str">
        <f t="shared" si="48"/>
        <v/>
      </c>
    </row>
    <row r="1233" spans="1:38" ht="15" customHeight="1" outlineLevel="1" x14ac:dyDescent="0.2">
      <c r="A1233" s="403"/>
      <c r="B1233" s="403"/>
      <c r="C1233" s="403"/>
      <c r="D1233" s="404"/>
      <c r="E1233" s="405"/>
      <c r="F1233" s="405"/>
      <c r="G1233" s="403"/>
      <c r="H1233" s="406"/>
      <c r="I1233" s="406"/>
      <c r="J1233" s="406"/>
      <c r="K1233" s="304"/>
      <c r="L1233" s="372"/>
      <c r="M1233" s="372"/>
      <c r="N1233" s="372"/>
      <c r="O1233" s="372"/>
      <c r="P1233" s="372"/>
      <c r="Q1233" s="304"/>
      <c r="R1233" s="304"/>
      <c r="S1233" s="304"/>
      <c r="T1233" s="304"/>
      <c r="U1233" s="304"/>
      <c r="V1233" s="304"/>
      <c r="AL1233" s="372" t="str">
        <f t="shared" ref="AL1233:AL1296" si="49">IF(($C1233=$AG$245)*($N1233&gt;0)*ISNUMBER($I1233),$I1233*100000+ROW(),"")</f>
        <v/>
      </c>
    </row>
    <row r="1234" spans="1:38" ht="15" customHeight="1" outlineLevel="1" x14ac:dyDescent="0.2">
      <c r="A1234" s="403"/>
      <c r="B1234" s="403"/>
      <c r="C1234" s="403"/>
      <c r="D1234" s="404"/>
      <c r="E1234" s="405"/>
      <c r="F1234" s="405"/>
      <c r="G1234" s="403"/>
      <c r="H1234" s="406"/>
      <c r="I1234" s="406"/>
      <c r="J1234" s="406"/>
      <c r="K1234" s="304"/>
      <c r="L1234" s="372"/>
      <c r="M1234" s="372"/>
      <c r="N1234" s="372"/>
      <c r="O1234" s="372"/>
      <c r="P1234" s="372"/>
      <c r="Q1234" s="304"/>
      <c r="R1234" s="304"/>
      <c r="S1234" s="304"/>
      <c r="T1234" s="304"/>
      <c r="U1234" s="304"/>
      <c r="V1234" s="304"/>
      <c r="AL1234" s="372" t="str">
        <f t="shared" si="49"/>
        <v/>
      </c>
    </row>
    <row r="1235" spans="1:38" ht="15" customHeight="1" outlineLevel="1" x14ac:dyDescent="0.2">
      <c r="A1235" s="403"/>
      <c r="B1235" s="403"/>
      <c r="C1235" s="403"/>
      <c r="D1235" s="404"/>
      <c r="E1235" s="405"/>
      <c r="F1235" s="405"/>
      <c r="G1235" s="403"/>
      <c r="H1235" s="406"/>
      <c r="I1235" s="406"/>
      <c r="J1235" s="406"/>
      <c r="K1235" s="304"/>
      <c r="L1235" s="372"/>
      <c r="M1235" s="372"/>
      <c r="N1235" s="372"/>
      <c r="O1235" s="372"/>
      <c r="P1235" s="372"/>
      <c r="Q1235" s="304"/>
      <c r="R1235" s="304"/>
      <c r="S1235" s="304"/>
      <c r="T1235" s="304"/>
      <c r="U1235" s="304"/>
      <c r="V1235" s="304"/>
      <c r="AL1235" s="372" t="str">
        <f t="shared" si="49"/>
        <v/>
      </c>
    </row>
    <row r="1236" spans="1:38" ht="15" customHeight="1" outlineLevel="1" x14ac:dyDescent="0.2">
      <c r="A1236" s="403"/>
      <c r="B1236" s="403"/>
      <c r="C1236" s="403"/>
      <c r="D1236" s="404"/>
      <c r="E1236" s="405"/>
      <c r="F1236" s="405"/>
      <c r="G1236" s="403"/>
      <c r="H1236" s="406"/>
      <c r="I1236" s="406"/>
      <c r="J1236" s="406"/>
      <c r="K1236" s="304"/>
      <c r="L1236" s="372"/>
      <c r="M1236" s="372"/>
      <c r="N1236" s="372"/>
      <c r="O1236" s="372"/>
      <c r="P1236" s="372"/>
      <c r="Q1236" s="304"/>
      <c r="R1236" s="304"/>
      <c r="S1236" s="304"/>
      <c r="T1236" s="304"/>
      <c r="U1236" s="304"/>
      <c r="V1236" s="304"/>
      <c r="AL1236" s="372" t="str">
        <f t="shared" si="49"/>
        <v/>
      </c>
    </row>
    <row r="1237" spans="1:38" ht="15" customHeight="1" outlineLevel="1" x14ac:dyDescent="0.2">
      <c r="A1237" s="403"/>
      <c r="B1237" s="403"/>
      <c r="C1237" s="403"/>
      <c r="D1237" s="404"/>
      <c r="E1237" s="405"/>
      <c r="F1237" s="405"/>
      <c r="G1237" s="403"/>
      <c r="H1237" s="406"/>
      <c r="I1237" s="406"/>
      <c r="J1237" s="406"/>
      <c r="K1237" s="304"/>
      <c r="L1237" s="372"/>
      <c r="M1237" s="372"/>
      <c r="N1237" s="372"/>
      <c r="O1237" s="372"/>
      <c r="P1237" s="372"/>
      <c r="Q1237" s="304"/>
      <c r="R1237" s="304"/>
      <c r="S1237" s="304"/>
      <c r="T1237" s="304"/>
      <c r="U1237" s="304"/>
      <c r="V1237" s="304"/>
      <c r="AL1237" s="372" t="str">
        <f t="shared" si="49"/>
        <v/>
      </c>
    </row>
    <row r="1238" spans="1:38" ht="15" customHeight="1" outlineLevel="1" x14ac:dyDescent="0.2">
      <c r="A1238" s="403"/>
      <c r="B1238" s="403"/>
      <c r="C1238" s="403"/>
      <c r="D1238" s="404"/>
      <c r="E1238" s="405"/>
      <c r="F1238" s="405"/>
      <c r="G1238" s="403"/>
      <c r="H1238" s="406"/>
      <c r="I1238" s="406"/>
      <c r="J1238" s="406"/>
      <c r="K1238" s="304"/>
      <c r="L1238" s="372"/>
      <c r="M1238" s="372"/>
      <c r="N1238" s="372"/>
      <c r="O1238" s="372"/>
      <c r="P1238" s="372"/>
      <c r="Q1238" s="304"/>
      <c r="R1238" s="304"/>
      <c r="S1238" s="304"/>
      <c r="T1238" s="304"/>
      <c r="U1238" s="304"/>
      <c r="V1238" s="304"/>
      <c r="AL1238" s="372" t="str">
        <f t="shared" si="49"/>
        <v/>
      </c>
    </row>
    <row r="1239" spans="1:38" ht="15" customHeight="1" outlineLevel="1" x14ac:dyDescent="0.2">
      <c r="A1239" s="403"/>
      <c r="B1239" s="403"/>
      <c r="C1239" s="403"/>
      <c r="D1239" s="404"/>
      <c r="E1239" s="405"/>
      <c r="F1239" s="405"/>
      <c r="G1239" s="403"/>
      <c r="H1239" s="406"/>
      <c r="I1239" s="406"/>
      <c r="J1239" s="406"/>
      <c r="K1239" s="304"/>
      <c r="L1239" s="372"/>
      <c r="M1239" s="372"/>
      <c r="N1239" s="372"/>
      <c r="O1239" s="372"/>
      <c r="P1239" s="372"/>
      <c r="Q1239" s="304"/>
      <c r="R1239" s="304"/>
      <c r="S1239" s="304"/>
      <c r="T1239" s="304"/>
      <c r="U1239" s="304"/>
      <c r="V1239" s="304"/>
      <c r="AL1239" s="372" t="str">
        <f t="shared" si="49"/>
        <v/>
      </c>
    </row>
    <row r="1240" spans="1:38" ht="15" customHeight="1" outlineLevel="1" x14ac:dyDescent="0.2">
      <c r="A1240" s="403"/>
      <c r="B1240" s="403"/>
      <c r="C1240" s="403"/>
      <c r="D1240" s="404"/>
      <c r="E1240" s="405"/>
      <c r="F1240" s="405"/>
      <c r="G1240" s="403"/>
      <c r="H1240" s="406"/>
      <c r="I1240" s="406"/>
      <c r="J1240" s="406"/>
      <c r="K1240" s="304"/>
      <c r="L1240" s="372"/>
      <c r="M1240" s="372"/>
      <c r="N1240" s="372"/>
      <c r="O1240" s="372"/>
      <c r="P1240" s="372"/>
      <c r="Q1240" s="304"/>
      <c r="R1240" s="304"/>
      <c r="S1240" s="304"/>
      <c r="T1240" s="304"/>
      <c r="U1240" s="304"/>
      <c r="V1240" s="304"/>
      <c r="AL1240" s="372" t="str">
        <f t="shared" si="49"/>
        <v/>
      </c>
    </row>
    <row r="1241" spans="1:38" ht="15" customHeight="1" outlineLevel="1" x14ac:dyDescent="0.2">
      <c r="A1241" s="403"/>
      <c r="B1241" s="403"/>
      <c r="C1241" s="403"/>
      <c r="D1241" s="404"/>
      <c r="E1241" s="405"/>
      <c r="F1241" s="405"/>
      <c r="G1241" s="403"/>
      <c r="H1241" s="406"/>
      <c r="I1241" s="406"/>
      <c r="J1241" s="406"/>
      <c r="K1241" s="304"/>
      <c r="L1241" s="372"/>
      <c r="M1241" s="372"/>
      <c r="N1241" s="372"/>
      <c r="O1241" s="372"/>
      <c r="P1241" s="372"/>
      <c r="Q1241" s="304"/>
      <c r="R1241" s="304"/>
      <c r="S1241" s="304"/>
      <c r="T1241" s="304"/>
      <c r="U1241" s="304"/>
      <c r="V1241" s="304"/>
      <c r="AL1241" s="372" t="str">
        <f t="shared" si="49"/>
        <v/>
      </c>
    </row>
    <row r="1242" spans="1:38" ht="15" customHeight="1" outlineLevel="1" x14ac:dyDescent="0.2">
      <c r="A1242" s="403"/>
      <c r="B1242" s="403"/>
      <c r="C1242" s="403"/>
      <c r="D1242" s="404"/>
      <c r="E1242" s="405"/>
      <c r="F1242" s="405"/>
      <c r="G1242" s="403"/>
      <c r="H1242" s="406"/>
      <c r="I1242" s="406"/>
      <c r="J1242" s="406"/>
      <c r="K1242" s="304"/>
      <c r="L1242" s="372"/>
      <c r="M1242" s="372"/>
      <c r="N1242" s="372"/>
      <c r="O1242" s="372"/>
      <c r="P1242" s="372"/>
      <c r="Q1242" s="304"/>
      <c r="R1242" s="304"/>
      <c r="S1242" s="304"/>
      <c r="T1242" s="304"/>
      <c r="U1242" s="304"/>
      <c r="V1242" s="304"/>
      <c r="AL1242" s="372" t="str">
        <f t="shared" si="49"/>
        <v/>
      </c>
    </row>
    <row r="1243" spans="1:38" ht="15" customHeight="1" outlineLevel="1" x14ac:dyDescent="0.2">
      <c r="A1243" s="403"/>
      <c r="B1243" s="403"/>
      <c r="C1243" s="403"/>
      <c r="D1243" s="404"/>
      <c r="E1243" s="405"/>
      <c r="F1243" s="405"/>
      <c r="G1243" s="403"/>
      <c r="H1243" s="406"/>
      <c r="I1243" s="406"/>
      <c r="J1243" s="406"/>
      <c r="K1243" s="304"/>
      <c r="L1243" s="372"/>
      <c r="M1243" s="372"/>
      <c r="N1243" s="372"/>
      <c r="O1243" s="372"/>
      <c r="P1243" s="372"/>
      <c r="Q1243" s="304"/>
      <c r="R1243" s="304"/>
      <c r="S1243" s="304"/>
      <c r="T1243" s="304"/>
      <c r="U1243" s="304"/>
      <c r="V1243" s="304"/>
      <c r="AL1243" s="372" t="str">
        <f t="shared" si="49"/>
        <v/>
      </c>
    </row>
    <row r="1244" spans="1:38" ht="15" customHeight="1" outlineLevel="1" x14ac:dyDescent="0.2">
      <c r="A1244" s="403"/>
      <c r="B1244" s="403"/>
      <c r="C1244" s="403"/>
      <c r="D1244" s="404"/>
      <c r="E1244" s="405"/>
      <c r="F1244" s="405"/>
      <c r="G1244" s="403"/>
      <c r="H1244" s="406"/>
      <c r="I1244" s="406"/>
      <c r="J1244" s="406"/>
      <c r="K1244" s="304"/>
      <c r="L1244" s="372"/>
      <c r="M1244" s="372"/>
      <c r="N1244" s="372"/>
      <c r="O1244" s="372"/>
      <c r="P1244" s="372"/>
      <c r="Q1244" s="304"/>
      <c r="R1244" s="304"/>
      <c r="S1244" s="304"/>
      <c r="T1244" s="304"/>
      <c r="U1244" s="304"/>
      <c r="V1244" s="304"/>
      <c r="AL1244" s="372" t="str">
        <f t="shared" si="49"/>
        <v/>
      </c>
    </row>
    <row r="1245" spans="1:38" ht="15" customHeight="1" outlineLevel="1" x14ac:dyDescent="0.2">
      <c r="A1245" s="403"/>
      <c r="B1245" s="403"/>
      <c r="C1245" s="403"/>
      <c r="D1245" s="404"/>
      <c r="E1245" s="405"/>
      <c r="F1245" s="405"/>
      <c r="G1245" s="403"/>
      <c r="H1245" s="406"/>
      <c r="I1245" s="406"/>
      <c r="J1245" s="406"/>
      <c r="K1245" s="304"/>
      <c r="L1245" s="372"/>
      <c r="M1245" s="372"/>
      <c r="N1245" s="372"/>
      <c r="O1245" s="372"/>
      <c r="P1245" s="372"/>
      <c r="Q1245" s="304"/>
      <c r="R1245" s="304"/>
      <c r="S1245" s="304"/>
      <c r="T1245" s="304"/>
      <c r="U1245" s="304"/>
      <c r="V1245" s="304"/>
      <c r="AL1245" s="372" t="str">
        <f t="shared" si="49"/>
        <v/>
      </c>
    </row>
    <row r="1246" spans="1:38" ht="15" customHeight="1" outlineLevel="1" x14ac:dyDescent="0.2">
      <c r="A1246" s="403"/>
      <c r="B1246" s="403"/>
      <c r="C1246" s="403"/>
      <c r="D1246" s="404"/>
      <c r="E1246" s="405"/>
      <c r="F1246" s="405"/>
      <c r="G1246" s="403"/>
      <c r="H1246" s="406"/>
      <c r="I1246" s="406"/>
      <c r="J1246" s="406"/>
      <c r="K1246" s="304"/>
      <c r="L1246" s="372"/>
      <c r="M1246" s="372"/>
      <c r="N1246" s="372"/>
      <c r="O1246" s="372"/>
      <c r="P1246" s="372"/>
      <c r="Q1246" s="304"/>
      <c r="R1246" s="304"/>
      <c r="S1246" s="304"/>
      <c r="T1246" s="304"/>
      <c r="U1246" s="304"/>
      <c r="V1246" s="304"/>
      <c r="AL1246" s="372" t="str">
        <f t="shared" si="49"/>
        <v/>
      </c>
    </row>
    <row r="1247" spans="1:38" ht="15" customHeight="1" outlineLevel="1" x14ac:dyDescent="0.2">
      <c r="A1247" s="403"/>
      <c r="B1247" s="403"/>
      <c r="C1247" s="403"/>
      <c r="D1247" s="404"/>
      <c r="E1247" s="405"/>
      <c r="F1247" s="405"/>
      <c r="G1247" s="403"/>
      <c r="H1247" s="406"/>
      <c r="I1247" s="406"/>
      <c r="J1247" s="406"/>
      <c r="K1247" s="304"/>
      <c r="L1247" s="372"/>
      <c r="M1247" s="372"/>
      <c r="N1247" s="372"/>
      <c r="O1247" s="372"/>
      <c r="P1247" s="372"/>
      <c r="Q1247" s="304"/>
      <c r="R1247" s="304"/>
      <c r="S1247" s="304"/>
      <c r="T1247" s="304"/>
      <c r="U1247" s="304"/>
      <c r="V1247" s="304"/>
      <c r="AL1247" s="372" t="str">
        <f t="shared" si="49"/>
        <v/>
      </c>
    </row>
    <row r="1248" spans="1:38" ht="15" customHeight="1" outlineLevel="1" x14ac:dyDescent="0.2">
      <c r="A1248" s="403"/>
      <c r="B1248" s="403"/>
      <c r="C1248" s="403"/>
      <c r="D1248" s="404"/>
      <c r="E1248" s="405"/>
      <c r="F1248" s="405"/>
      <c r="G1248" s="403"/>
      <c r="H1248" s="406"/>
      <c r="I1248" s="406"/>
      <c r="J1248" s="406"/>
      <c r="K1248" s="304"/>
      <c r="L1248" s="372"/>
      <c r="M1248" s="372"/>
      <c r="N1248" s="372"/>
      <c r="O1248" s="372"/>
      <c r="P1248" s="372"/>
      <c r="Q1248" s="304"/>
      <c r="R1248" s="304"/>
      <c r="S1248" s="304"/>
      <c r="T1248" s="304"/>
      <c r="U1248" s="304"/>
      <c r="V1248" s="304"/>
      <c r="AL1248" s="372" t="str">
        <f t="shared" si="49"/>
        <v/>
      </c>
    </row>
    <row r="1249" spans="1:38" ht="15" customHeight="1" outlineLevel="1" x14ac:dyDescent="0.2">
      <c r="A1249" s="403"/>
      <c r="B1249" s="403"/>
      <c r="C1249" s="403"/>
      <c r="D1249" s="404"/>
      <c r="E1249" s="405"/>
      <c r="F1249" s="405"/>
      <c r="G1249" s="403"/>
      <c r="H1249" s="406"/>
      <c r="I1249" s="406"/>
      <c r="J1249" s="406"/>
      <c r="K1249" s="304"/>
      <c r="L1249" s="372"/>
      <c r="M1249" s="372"/>
      <c r="N1249" s="372"/>
      <c r="O1249" s="372"/>
      <c r="P1249" s="372"/>
      <c r="Q1249" s="304"/>
      <c r="R1249" s="304"/>
      <c r="S1249" s="304"/>
      <c r="T1249" s="304"/>
      <c r="U1249" s="304"/>
      <c r="V1249" s="304"/>
      <c r="AL1249" s="372" t="str">
        <f t="shared" si="49"/>
        <v/>
      </c>
    </row>
    <row r="1250" spans="1:38" ht="15" customHeight="1" outlineLevel="1" x14ac:dyDescent="0.2">
      <c r="A1250" s="403"/>
      <c r="B1250" s="403"/>
      <c r="C1250" s="403"/>
      <c r="D1250" s="404"/>
      <c r="E1250" s="405"/>
      <c r="F1250" s="405"/>
      <c r="G1250" s="403"/>
      <c r="H1250" s="406"/>
      <c r="I1250" s="406"/>
      <c r="J1250" s="406"/>
      <c r="K1250" s="304"/>
      <c r="L1250" s="372"/>
      <c r="M1250" s="372"/>
      <c r="N1250" s="372"/>
      <c r="O1250" s="372"/>
      <c r="P1250" s="372"/>
      <c r="Q1250" s="304"/>
      <c r="R1250" s="304"/>
      <c r="S1250" s="304"/>
      <c r="T1250" s="304"/>
      <c r="U1250" s="304"/>
      <c r="V1250" s="304"/>
      <c r="AL1250" s="372" t="str">
        <f t="shared" si="49"/>
        <v/>
      </c>
    </row>
    <row r="1251" spans="1:38" ht="15" customHeight="1" outlineLevel="1" x14ac:dyDescent="0.2">
      <c r="A1251" s="403"/>
      <c r="B1251" s="403"/>
      <c r="C1251" s="403"/>
      <c r="D1251" s="404"/>
      <c r="E1251" s="405"/>
      <c r="F1251" s="405"/>
      <c r="G1251" s="403"/>
      <c r="H1251" s="406"/>
      <c r="I1251" s="406"/>
      <c r="J1251" s="406"/>
      <c r="K1251" s="304"/>
      <c r="L1251" s="372"/>
      <c r="M1251" s="372"/>
      <c r="N1251" s="372"/>
      <c r="O1251" s="372"/>
      <c r="P1251" s="372"/>
      <c r="Q1251" s="304"/>
      <c r="R1251" s="304"/>
      <c r="S1251" s="304"/>
      <c r="T1251" s="304"/>
      <c r="U1251" s="304"/>
      <c r="V1251" s="304"/>
      <c r="AL1251" s="372" t="str">
        <f t="shared" si="49"/>
        <v/>
      </c>
    </row>
    <row r="1252" spans="1:38" ht="15" customHeight="1" outlineLevel="1" x14ac:dyDescent="0.2">
      <c r="A1252" s="403"/>
      <c r="B1252" s="403"/>
      <c r="C1252" s="403"/>
      <c r="D1252" s="404"/>
      <c r="E1252" s="405"/>
      <c r="F1252" s="405"/>
      <c r="G1252" s="403"/>
      <c r="H1252" s="406"/>
      <c r="I1252" s="406"/>
      <c r="J1252" s="406"/>
      <c r="K1252" s="304"/>
      <c r="L1252" s="372"/>
      <c r="M1252" s="372"/>
      <c r="N1252" s="372"/>
      <c r="O1252" s="372"/>
      <c r="P1252" s="372"/>
      <c r="Q1252" s="304"/>
      <c r="R1252" s="304"/>
      <c r="S1252" s="304"/>
      <c r="T1252" s="304"/>
      <c r="U1252" s="304"/>
      <c r="V1252" s="304"/>
      <c r="AL1252" s="372" t="str">
        <f t="shared" si="49"/>
        <v/>
      </c>
    </row>
    <row r="1253" spans="1:38" ht="15" customHeight="1" outlineLevel="1" x14ac:dyDescent="0.2">
      <c r="A1253" s="403"/>
      <c r="B1253" s="403"/>
      <c r="C1253" s="403"/>
      <c r="D1253" s="404"/>
      <c r="E1253" s="405"/>
      <c r="F1253" s="405"/>
      <c r="G1253" s="403"/>
      <c r="H1253" s="406"/>
      <c r="I1253" s="406"/>
      <c r="J1253" s="406"/>
      <c r="K1253" s="304"/>
      <c r="L1253" s="372"/>
      <c r="M1253" s="372"/>
      <c r="N1253" s="372"/>
      <c r="O1253" s="372"/>
      <c r="P1253" s="372"/>
      <c r="Q1253" s="304"/>
      <c r="R1253" s="304"/>
      <c r="S1253" s="304"/>
      <c r="T1253" s="304"/>
      <c r="U1253" s="304"/>
      <c r="V1253" s="304"/>
      <c r="AL1253" s="372" t="str">
        <f t="shared" si="49"/>
        <v/>
      </c>
    </row>
    <row r="1254" spans="1:38" ht="15" customHeight="1" outlineLevel="1" x14ac:dyDescent="0.2">
      <c r="A1254" s="403"/>
      <c r="B1254" s="403"/>
      <c r="C1254" s="403"/>
      <c r="D1254" s="404"/>
      <c r="E1254" s="405"/>
      <c r="F1254" s="405"/>
      <c r="G1254" s="403"/>
      <c r="H1254" s="406"/>
      <c r="I1254" s="406"/>
      <c r="J1254" s="406"/>
      <c r="K1254" s="304"/>
      <c r="L1254" s="372"/>
      <c r="M1254" s="372"/>
      <c r="N1254" s="372"/>
      <c r="O1254" s="372"/>
      <c r="P1254" s="372"/>
      <c r="Q1254" s="304"/>
      <c r="R1254" s="304"/>
      <c r="S1254" s="304"/>
      <c r="T1254" s="304"/>
      <c r="U1254" s="304"/>
      <c r="V1254" s="304"/>
      <c r="AL1254" s="372" t="str">
        <f t="shared" si="49"/>
        <v/>
      </c>
    </row>
    <row r="1255" spans="1:38" ht="15" customHeight="1" outlineLevel="1" x14ac:dyDescent="0.2">
      <c r="A1255" s="403"/>
      <c r="B1255" s="403"/>
      <c r="C1255" s="403"/>
      <c r="D1255" s="404"/>
      <c r="E1255" s="405"/>
      <c r="F1255" s="405"/>
      <c r="G1255" s="403"/>
      <c r="H1255" s="406"/>
      <c r="I1255" s="406"/>
      <c r="J1255" s="406"/>
      <c r="K1255" s="304"/>
      <c r="L1255" s="372"/>
      <c r="M1255" s="372"/>
      <c r="N1255" s="372"/>
      <c r="O1255" s="372"/>
      <c r="P1255" s="372"/>
      <c r="Q1255" s="304"/>
      <c r="R1255" s="304"/>
      <c r="S1255" s="304"/>
      <c r="T1255" s="304"/>
      <c r="U1255" s="304"/>
      <c r="V1255" s="304"/>
      <c r="AL1255" s="372" t="str">
        <f t="shared" si="49"/>
        <v/>
      </c>
    </row>
    <row r="1256" spans="1:38" ht="15" customHeight="1" outlineLevel="1" x14ac:dyDescent="0.2">
      <c r="A1256" s="403"/>
      <c r="B1256" s="403"/>
      <c r="C1256" s="403"/>
      <c r="D1256" s="404"/>
      <c r="E1256" s="405"/>
      <c r="F1256" s="405"/>
      <c r="G1256" s="403"/>
      <c r="H1256" s="406"/>
      <c r="I1256" s="406"/>
      <c r="J1256" s="406"/>
      <c r="K1256" s="304"/>
      <c r="L1256" s="372"/>
      <c r="M1256" s="372"/>
      <c r="N1256" s="372"/>
      <c r="O1256" s="372"/>
      <c r="P1256" s="372"/>
      <c r="Q1256" s="304"/>
      <c r="R1256" s="304"/>
      <c r="S1256" s="304"/>
      <c r="T1256" s="304"/>
      <c r="U1256" s="304"/>
      <c r="V1256" s="304"/>
      <c r="AL1256" s="372" t="str">
        <f t="shared" si="49"/>
        <v/>
      </c>
    </row>
    <row r="1257" spans="1:38" ht="15" customHeight="1" outlineLevel="1" x14ac:dyDescent="0.2">
      <c r="A1257" s="403"/>
      <c r="B1257" s="403"/>
      <c r="C1257" s="403"/>
      <c r="D1257" s="404"/>
      <c r="E1257" s="405"/>
      <c r="F1257" s="405"/>
      <c r="G1257" s="403"/>
      <c r="H1257" s="406"/>
      <c r="I1257" s="406"/>
      <c r="J1257" s="406"/>
      <c r="K1257" s="304"/>
      <c r="L1257" s="372"/>
      <c r="M1257" s="372"/>
      <c r="N1257" s="372"/>
      <c r="O1257" s="372"/>
      <c r="P1257" s="372"/>
      <c r="Q1257" s="304"/>
      <c r="R1257" s="304"/>
      <c r="S1257" s="304"/>
      <c r="T1257" s="304"/>
      <c r="U1257" s="304"/>
      <c r="V1257" s="304"/>
      <c r="AL1257" s="372" t="str">
        <f t="shared" si="49"/>
        <v/>
      </c>
    </row>
    <row r="1258" spans="1:38" ht="15" customHeight="1" outlineLevel="1" x14ac:dyDescent="0.2">
      <c r="A1258" s="403"/>
      <c r="B1258" s="403"/>
      <c r="C1258" s="403"/>
      <c r="D1258" s="404"/>
      <c r="E1258" s="405"/>
      <c r="F1258" s="405"/>
      <c r="G1258" s="403"/>
      <c r="H1258" s="406"/>
      <c r="I1258" s="406"/>
      <c r="J1258" s="406"/>
      <c r="K1258" s="304"/>
      <c r="L1258" s="372"/>
      <c r="M1258" s="372"/>
      <c r="N1258" s="372"/>
      <c r="O1258" s="372"/>
      <c r="P1258" s="372"/>
      <c r="Q1258" s="304"/>
      <c r="R1258" s="304"/>
      <c r="S1258" s="304"/>
      <c r="T1258" s="304"/>
      <c r="U1258" s="304"/>
      <c r="V1258" s="304"/>
      <c r="AL1258" s="372" t="str">
        <f t="shared" si="49"/>
        <v/>
      </c>
    </row>
    <row r="1259" spans="1:38" ht="15" customHeight="1" outlineLevel="1" x14ac:dyDescent="0.2">
      <c r="A1259" s="403"/>
      <c r="B1259" s="403"/>
      <c r="C1259" s="403"/>
      <c r="D1259" s="404"/>
      <c r="E1259" s="405"/>
      <c r="F1259" s="405"/>
      <c r="G1259" s="403"/>
      <c r="H1259" s="406"/>
      <c r="I1259" s="406"/>
      <c r="J1259" s="406"/>
      <c r="K1259" s="304"/>
      <c r="L1259" s="372"/>
      <c r="M1259" s="372"/>
      <c r="N1259" s="372"/>
      <c r="O1259" s="372"/>
      <c r="P1259" s="372"/>
      <c r="Q1259" s="304"/>
      <c r="R1259" s="304"/>
      <c r="S1259" s="304"/>
      <c r="T1259" s="304"/>
      <c r="U1259" s="304"/>
      <c r="V1259" s="304"/>
      <c r="AL1259" s="372" t="str">
        <f t="shared" si="49"/>
        <v/>
      </c>
    </row>
    <row r="1260" spans="1:38" ht="15" customHeight="1" outlineLevel="1" x14ac:dyDescent="0.2">
      <c r="A1260" s="403"/>
      <c r="B1260" s="403"/>
      <c r="C1260" s="403"/>
      <c r="D1260" s="404"/>
      <c r="E1260" s="405"/>
      <c r="F1260" s="405"/>
      <c r="G1260" s="403"/>
      <c r="H1260" s="406"/>
      <c r="I1260" s="406"/>
      <c r="J1260" s="406"/>
      <c r="K1260" s="304"/>
      <c r="L1260" s="372"/>
      <c r="M1260" s="372"/>
      <c r="N1260" s="372"/>
      <c r="O1260" s="372"/>
      <c r="P1260" s="372"/>
      <c r="Q1260" s="304"/>
      <c r="R1260" s="304"/>
      <c r="S1260" s="304"/>
      <c r="T1260" s="304"/>
      <c r="U1260" s="304"/>
      <c r="V1260" s="304"/>
      <c r="AL1260" s="372" t="str">
        <f t="shared" si="49"/>
        <v/>
      </c>
    </row>
    <row r="1261" spans="1:38" ht="15" customHeight="1" outlineLevel="1" x14ac:dyDescent="0.2">
      <c r="A1261" s="403"/>
      <c r="B1261" s="403"/>
      <c r="C1261" s="403"/>
      <c r="D1261" s="404"/>
      <c r="E1261" s="405"/>
      <c r="F1261" s="405"/>
      <c r="G1261" s="403"/>
      <c r="H1261" s="406"/>
      <c r="I1261" s="406"/>
      <c r="J1261" s="406"/>
      <c r="K1261" s="304"/>
      <c r="L1261" s="372"/>
      <c r="M1261" s="372"/>
      <c r="N1261" s="372"/>
      <c r="O1261" s="372"/>
      <c r="P1261" s="372"/>
      <c r="Q1261" s="304"/>
      <c r="R1261" s="304"/>
      <c r="S1261" s="304"/>
      <c r="T1261" s="304"/>
      <c r="U1261" s="304"/>
      <c r="V1261" s="304"/>
      <c r="AL1261" s="372" t="str">
        <f t="shared" si="49"/>
        <v/>
      </c>
    </row>
    <row r="1262" spans="1:38" ht="15" customHeight="1" outlineLevel="1" x14ac:dyDescent="0.2">
      <c r="A1262" s="403"/>
      <c r="B1262" s="403"/>
      <c r="C1262" s="403"/>
      <c r="D1262" s="404"/>
      <c r="E1262" s="405"/>
      <c r="F1262" s="405"/>
      <c r="G1262" s="403"/>
      <c r="H1262" s="406"/>
      <c r="I1262" s="406"/>
      <c r="J1262" s="406"/>
      <c r="K1262" s="304"/>
      <c r="L1262" s="372"/>
      <c r="M1262" s="372"/>
      <c r="N1262" s="372"/>
      <c r="O1262" s="372"/>
      <c r="P1262" s="372"/>
      <c r="Q1262" s="304"/>
      <c r="R1262" s="304"/>
      <c r="S1262" s="304"/>
      <c r="T1262" s="304"/>
      <c r="U1262" s="304"/>
      <c r="V1262" s="304"/>
      <c r="AL1262" s="372" t="str">
        <f t="shared" si="49"/>
        <v/>
      </c>
    </row>
    <row r="1263" spans="1:38" ht="15" customHeight="1" outlineLevel="1" x14ac:dyDescent="0.2">
      <c r="A1263" s="403"/>
      <c r="B1263" s="403"/>
      <c r="C1263" s="403"/>
      <c r="D1263" s="404"/>
      <c r="E1263" s="405"/>
      <c r="F1263" s="405"/>
      <c r="G1263" s="403"/>
      <c r="H1263" s="406"/>
      <c r="I1263" s="406"/>
      <c r="J1263" s="406"/>
      <c r="K1263" s="304"/>
      <c r="L1263" s="372"/>
      <c r="M1263" s="372"/>
      <c r="N1263" s="372"/>
      <c r="O1263" s="372"/>
      <c r="P1263" s="372"/>
      <c r="Q1263" s="304"/>
      <c r="R1263" s="304"/>
      <c r="S1263" s="304"/>
      <c r="T1263" s="304"/>
      <c r="U1263" s="304"/>
      <c r="V1263" s="304"/>
      <c r="AL1263" s="372" t="str">
        <f t="shared" si="49"/>
        <v/>
      </c>
    </row>
    <row r="1264" spans="1:38" ht="15" customHeight="1" outlineLevel="1" x14ac:dyDescent="0.2">
      <c r="A1264" s="403"/>
      <c r="B1264" s="403"/>
      <c r="C1264" s="403"/>
      <c r="D1264" s="404"/>
      <c r="E1264" s="405"/>
      <c r="F1264" s="405"/>
      <c r="G1264" s="403"/>
      <c r="H1264" s="406"/>
      <c r="I1264" s="406"/>
      <c r="J1264" s="406"/>
      <c r="K1264" s="304"/>
      <c r="L1264" s="372"/>
      <c r="M1264" s="372"/>
      <c r="N1264" s="372"/>
      <c r="O1264" s="372"/>
      <c r="P1264" s="372"/>
      <c r="Q1264" s="304"/>
      <c r="R1264" s="304"/>
      <c r="S1264" s="304"/>
      <c r="T1264" s="304"/>
      <c r="U1264" s="304"/>
      <c r="V1264" s="304"/>
      <c r="AL1264" s="372" t="str">
        <f t="shared" si="49"/>
        <v/>
      </c>
    </row>
    <row r="1265" spans="1:38" ht="15" customHeight="1" outlineLevel="1" x14ac:dyDescent="0.2">
      <c r="A1265" s="403"/>
      <c r="B1265" s="403"/>
      <c r="C1265" s="403"/>
      <c r="D1265" s="404"/>
      <c r="E1265" s="405"/>
      <c r="F1265" s="405"/>
      <c r="G1265" s="403"/>
      <c r="H1265" s="406"/>
      <c r="I1265" s="406"/>
      <c r="J1265" s="406"/>
      <c r="K1265" s="304"/>
      <c r="L1265" s="372"/>
      <c r="M1265" s="372"/>
      <c r="N1265" s="372"/>
      <c r="O1265" s="372"/>
      <c r="P1265" s="372"/>
      <c r="Q1265" s="304"/>
      <c r="R1265" s="304"/>
      <c r="S1265" s="304"/>
      <c r="T1265" s="304"/>
      <c r="U1265" s="304"/>
      <c r="V1265" s="304"/>
      <c r="AL1265" s="372" t="str">
        <f t="shared" si="49"/>
        <v/>
      </c>
    </row>
    <row r="1266" spans="1:38" ht="15" customHeight="1" outlineLevel="1" x14ac:dyDescent="0.2">
      <c r="A1266" s="403"/>
      <c r="B1266" s="403"/>
      <c r="C1266" s="403"/>
      <c r="D1266" s="404"/>
      <c r="E1266" s="405"/>
      <c r="F1266" s="405"/>
      <c r="G1266" s="403"/>
      <c r="H1266" s="406"/>
      <c r="I1266" s="406"/>
      <c r="J1266" s="406"/>
      <c r="K1266" s="304"/>
      <c r="L1266" s="372"/>
      <c r="M1266" s="372"/>
      <c r="N1266" s="372"/>
      <c r="O1266" s="372"/>
      <c r="P1266" s="372"/>
      <c r="Q1266" s="304"/>
      <c r="R1266" s="304"/>
      <c r="S1266" s="304"/>
      <c r="T1266" s="304"/>
      <c r="U1266" s="304"/>
      <c r="V1266" s="304"/>
      <c r="AL1266" s="372" t="str">
        <f t="shared" si="49"/>
        <v/>
      </c>
    </row>
    <row r="1267" spans="1:38" ht="15" customHeight="1" outlineLevel="1" x14ac:dyDescent="0.2">
      <c r="A1267" s="403"/>
      <c r="B1267" s="403"/>
      <c r="C1267" s="403"/>
      <c r="D1267" s="404"/>
      <c r="E1267" s="405"/>
      <c r="F1267" s="405"/>
      <c r="G1267" s="403"/>
      <c r="H1267" s="406"/>
      <c r="I1267" s="406"/>
      <c r="J1267" s="406"/>
      <c r="K1267" s="304"/>
      <c r="L1267" s="372"/>
      <c r="M1267" s="372"/>
      <c r="N1267" s="372"/>
      <c r="O1267" s="372"/>
      <c r="P1267" s="372"/>
      <c r="Q1267" s="304"/>
      <c r="R1267" s="304"/>
      <c r="S1267" s="304"/>
      <c r="T1267" s="304"/>
      <c r="U1267" s="304"/>
      <c r="V1267" s="304"/>
      <c r="AL1267" s="372" t="str">
        <f t="shared" si="49"/>
        <v/>
      </c>
    </row>
    <row r="1268" spans="1:38" ht="15" customHeight="1" outlineLevel="1" x14ac:dyDescent="0.2">
      <c r="A1268" s="403"/>
      <c r="B1268" s="403"/>
      <c r="C1268" s="403"/>
      <c r="D1268" s="404"/>
      <c r="E1268" s="405"/>
      <c r="F1268" s="405"/>
      <c r="G1268" s="403"/>
      <c r="H1268" s="406"/>
      <c r="I1268" s="406"/>
      <c r="J1268" s="406"/>
      <c r="K1268" s="304"/>
      <c r="L1268" s="372"/>
      <c r="M1268" s="372"/>
      <c r="N1268" s="372"/>
      <c r="O1268" s="372"/>
      <c r="P1268" s="372"/>
      <c r="Q1268" s="304"/>
      <c r="R1268" s="304"/>
      <c r="S1268" s="304"/>
      <c r="T1268" s="304"/>
      <c r="U1268" s="304"/>
      <c r="V1268" s="304"/>
      <c r="AL1268" s="372" t="str">
        <f t="shared" si="49"/>
        <v/>
      </c>
    </row>
    <row r="1269" spans="1:38" ht="15" customHeight="1" outlineLevel="1" x14ac:dyDescent="0.2">
      <c r="A1269" s="403"/>
      <c r="B1269" s="403"/>
      <c r="C1269" s="403"/>
      <c r="D1269" s="404"/>
      <c r="E1269" s="405"/>
      <c r="F1269" s="405"/>
      <c r="G1269" s="403"/>
      <c r="H1269" s="406"/>
      <c r="I1269" s="406"/>
      <c r="J1269" s="406"/>
      <c r="K1269" s="304"/>
      <c r="L1269" s="372"/>
      <c r="M1269" s="372"/>
      <c r="N1269" s="372"/>
      <c r="O1269" s="372"/>
      <c r="P1269" s="372"/>
      <c r="Q1269" s="304"/>
      <c r="R1269" s="304"/>
      <c r="S1269" s="304"/>
      <c r="T1269" s="304"/>
      <c r="U1269" s="304"/>
      <c r="V1269" s="304"/>
      <c r="AL1269" s="372" t="str">
        <f t="shared" si="49"/>
        <v/>
      </c>
    </row>
    <row r="1270" spans="1:38" ht="15" customHeight="1" outlineLevel="1" x14ac:dyDescent="0.2">
      <c r="A1270" s="403"/>
      <c r="B1270" s="403"/>
      <c r="C1270" s="403"/>
      <c r="D1270" s="404"/>
      <c r="E1270" s="405"/>
      <c r="F1270" s="405"/>
      <c r="G1270" s="403"/>
      <c r="H1270" s="406"/>
      <c r="I1270" s="406"/>
      <c r="J1270" s="406"/>
      <c r="K1270" s="304"/>
      <c r="L1270" s="372"/>
      <c r="M1270" s="372"/>
      <c r="N1270" s="372"/>
      <c r="O1270" s="372"/>
      <c r="P1270" s="372"/>
      <c r="Q1270" s="304"/>
      <c r="R1270" s="304"/>
      <c r="S1270" s="304"/>
      <c r="T1270" s="304"/>
      <c r="U1270" s="304"/>
      <c r="V1270" s="304"/>
      <c r="AL1270" s="372" t="str">
        <f t="shared" si="49"/>
        <v/>
      </c>
    </row>
    <row r="1271" spans="1:38" ht="15" customHeight="1" outlineLevel="1" x14ac:dyDescent="0.2">
      <c r="A1271" s="403"/>
      <c r="B1271" s="403"/>
      <c r="C1271" s="403"/>
      <c r="D1271" s="404"/>
      <c r="E1271" s="405"/>
      <c r="F1271" s="405"/>
      <c r="G1271" s="403"/>
      <c r="H1271" s="406"/>
      <c r="I1271" s="406"/>
      <c r="J1271" s="406"/>
      <c r="K1271" s="304"/>
      <c r="L1271" s="372"/>
      <c r="M1271" s="372"/>
      <c r="N1271" s="372"/>
      <c r="O1271" s="372"/>
      <c r="P1271" s="372"/>
      <c r="Q1271" s="304"/>
      <c r="R1271" s="304"/>
      <c r="S1271" s="304"/>
      <c r="T1271" s="304"/>
      <c r="U1271" s="304"/>
      <c r="V1271" s="304"/>
      <c r="AL1271" s="372" t="str">
        <f t="shared" si="49"/>
        <v/>
      </c>
    </row>
    <row r="1272" spans="1:38" ht="15" customHeight="1" outlineLevel="1" x14ac:dyDescent="0.2">
      <c r="A1272" s="403"/>
      <c r="B1272" s="403"/>
      <c r="C1272" s="403"/>
      <c r="D1272" s="404"/>
      <c r="E1272" s="405"/>
      <c r="F1272" s="405"/>
      <c r="G1272" s="403"/>
      <c r="H1272" s="406"/>
      <c r="I1272" s="406"/>
      <c r="J1272" s="406"/>
      <c r="K1272" s="304"/>
      <c r="L1272" s="372"/>
      <c r="M1272" s="372"/>
      <c r="N1272" s="372"/>
      <c r="O1272" s="372"/>
      <c r="P1272" s="372"/>
      <c r="Q1272" s="304"/>
      <c r="R1272" s="304"/>
      <c r="S1272" s="304"/>
      <c r="T1272" s="304"/>
      <c r="U1272" s="304"/>
      <c r="V1272" s="304"/>
      <c r="AL1272" s="372" t="str">
        <f t="shared" si="49"/>
        <v/>
      </c>
    </row>
    <row r="1273" spans="1:38" ht="15" customHeight="1" outlineLevel="1" x14ac:dyDescent="0.2">
      <c r="A1273" s="403"/>
      <c r="B1273" s="403"/>
      <c r="C1273" s="403"/>
      <c r="D1273" s="404"/>
      <c r="E1273" s="405"/>
      <c r="F1273" s="405"/>
      <c r="G1273" s="403"/>
      <c r="H1273" s="406"/>
      <c r="I1273" s="406"/>
      <c r="J1273" s="406"/>
      <c r="K1273" s="304"/>
      <c r="L1273" s="372"/>
      <c r="M1273" s="372"/>
      <c r="N1273" s="372"/>
      <c r="O1273" s="372"/>
      <c r="P1273" s="372"/>
      <c r="Q1273" s="304"/>
      <c r="R1273" s="304"/>
      <c r="S1273" s="304"/>
      <c r="T1273" s="304"/>
      <c r="U1273" s="304"/>
      <c r="V1273" s="304"/>
      <c r="AL1273" s="372" t="str">
        <f t="shared" si="49"/>
        <v/>
      </c>
    </row>
    <row r="1274" spans="1:38" ht="15" customHeight="1" outlineLevel="1" x14ac:dyDescent="0.2">
      <c r="A1274" s="403"/>
      <c r="B1274" s="403"/>
      <c r="C1274" s="403"/>
      <c r="D1274" s="404"/>
      <c r="E1274" s="405"/>
      <c r="F1274" s="405"/>
      <c r="G1274" s="403"/>
      <c r="H1274" s="406"/>
      <c r="I1274" s="406"/>
      <c r="J1274" s="406"/>
      <c r="K1274" s="304"/>
      <c r="L1274" s="372"/>
      <c r="M1274" s="372"/>
      <c r="N1274" s="372"/>
      <c r="O1274" s="372"/>
      <c r="P1274" s="372"/>
      <c r="Q1274" s="304"/>
      <c r="R1274" s="304"/>
      <c r="S1274" s="304"/>
      <c r="T1274" s="304"/>
      <c r="U1274" s="304"/>
      <c r="V1274" s="304"/>
      <c r="AL1274" s="372" t="str">
        <f t="shared" si="49"/>
        <v/>
      </c>
    </row>
    <row r="1275" spans="1:38" ht="15" customHeight="1" outlineLevel="1" x14ac:dyDescent="0.2">
      <c r="A1275" s="403"/>
      <c r="B1275" s="403"/>
      <c r="C1275" s="403"/>
      <c r="D1275" s="404"/>
      <c r="E1275" s="405"/>
      <c r="F1275" s="405"/>
      <c r="G1275" s="403"/>
      <c r="H1275" s="406"/>
      <c r="I1275" s="406"/>
      <c r="J1275" s="406"/>
      <c r="K1275" s="304"/>
      <c r="L1275" s="372"/>
      <c r="M1275" s="372"/>
      <c r="N1275" s="372"/>
      <c r="O1275" s="372"/>
      <c r="P1275" s="372"/>
      <c r="Q1275" s="304"/>
      <c r="R1275" s="304"/>
      <c r="S1275" s="304"/>
      <c r="T1275" s="304"/>
      <c r="U1275" s="304"/>
      <c r="V1275" s="304"/>
      <c r="AL1275" s="372" t="str">
        <f t="shared" si="49"/>
        <v/>
      </c>
    </row>
    <row r="1276" spans="1:38" ht="15" customHeight="1" outlineLevel="1" x14ac:dyDescent="0.2">
      <c r="A1276" s="403"/>
      <c r="B1276" s="403"/>
      <c r="C1276" s="403"/>
      <c r="D1276" s="404"/>
      <c r="E1276" s="405"/>
      <c r="F1276" s="405"/>
      <c r="G1276" s="403"/>
      <c r="H1276" s="406"/>
      <c r="I1276" s="406"/>
      <c r="J1276" s="406"/>
      <c r="K1276" s="304"/>
      <c r="L1276" s="372"/>
      <c r="M1276" s="372"/>
      <c r="N1276" s="372"/>
      <c r="O1276" s="372"/>
      <c r="P1276" s="372"/>
      <c r="Q1276" s="304"/>
      <c r="R1276" s="304"/>
      <c r="S1276" s="304"/>
      <c r="T1276" s="304"/>
      <c r="U1276" s="304"/>
      <c r="V1276" s="304"/>
      <c r="AL1276" s="372" t="str">
        <f t="shared" si="49"/>
        <v/>
      </c>
    </row>
    <row r="1277" spans="1:38" ht="15" customHeight="1" outlineLevel="1" x14ac:dyDescent="0.2">
      <c r="A1277" s="403"/>
      <c r="B1277" s="403"/>
      <c r="C1277" s="403"/>
      <c r="D1277" s="404"/>
      <c r="E1277" s="405"/>
      <c r="F1277" s="405"/>
      <c r="G1277" s="403"/>
      <c r="H1277" s="406"/>
      <c r="I1277" s="406"/>
      <c r="J1277" s="406"/>
      <c r="K1277" s="304"/>
      <c r="L1277" s="372"/>
      <c r="M1277" s="372"/>
      <c r="N1277" s="372"/>
      <c r="O1277" s="372"/>
      <c r="P1277" s="372"/>
      <c r="Q1277" s="304"/>
      <c r="R1277" s="304"/>
      <c r="S1277" s="304"/>
      <c r="T1277" s="304"/>
      <c r="U1277" s="304"/>
      <c r="V1277" s="304"/>
      <c r="AL1277" s="372" t="str">
        <f t="shared" si="49"/>
        <v/>
      </c>
    </row>
    <row r="1278" spans="1:38" ht="15" customHeight="1" outlineLevel="1" x14ac:dyDescent="0.2">
      <c r="A1278" s="403"/>
      <c r="B1278" s="403"/>
      <c r="C1278" s="403"/>
      <c r="D1278" s="404"/>
      <c r="E1278" s="405"/>
      <c r="F1278" s="405"/>
      <c r="G1278" s="403"/>
      <c r="H1278" s="406"/>
      <c r="I1278" s="406"/>
      <c r="J1278" s="406"/>
      <c r="K1278" s="304"/>
      <c r="L1278" s="372"/>
      <c r="M1278" s="372"/>
      <c r="N1278" s="372"/>
      <c r="O1278" s="372"/>
      <c r="P1278" s="372"/>
      <c r="Q1278" s="304"/>
      <c r="R1278" s="304"/>
      <c r="S1278" s="304"/>
      <c r="T1278" s="304"/>
      <c r="U1278" s="304"/>
      <c r="V1278" s="304"/>
      <c r="AL1278" s="372" t="str">
        <f t="shared" si="49"/>
        <v/>
      </c>
    </row>
    <row r="1279" spans="1:38" ht="15" customHeight="1" outlineLevel="1" x14ac:dyDescent="0.2">
      <c r="A1279" s="403"/>
      <c r="B1279" s="403"/>
      <c r="C1279" s="403"/>
      <c r="D1279" s="404"/>
      <c r="E1279" s="405"/>
      <c r="F1279" s="405"/>
      <c r="G1279" s="403"/>
      <c r="H1279" s="406"/>
      <c r="I1279" s="406"/>
      <c r="J1279" s="406"/>
      <c r="K1279" s="304"/>
      <c r="L1279" s="372"/>
      <c r="M1279" s="372"/>
      <c r="N1279" s="372"/>
      <c r="O1279" s="372"/>
      <c r="P1279" s="372"/>
      <c r="Q1279" s="304"/>
      <c r="R1279" s="304"/>
      <c r="S1279" s="304"/>
      <c r="T1279" s="304"/>
      <c r="U1279" s="304"/>
      <c r="V1279" s="304"/>
      <c r="AL1279" s="372" t="str">
        <f t="shared" si="49"/>
        <v/>
      </c>
    </row>
    <row r="1280" spans="1:38" ht="15" customHeight="1" outlineLevel="1" x14ac:dyDescent="0.2">
      <c r="A1280" s="403"/>
      <c r="B1280" s="403"/>
      <c r="C1280" s="403"/>
      <c r="D1280" s="404"/>
      <c r="E1280" s="405"/>
      <c r="F1280" s="405"/>
      <c r="G1280" s="403"/>
      <c r="H1280" s="406"/>
      <c r="I1280" s="406"/>
      <c r="J1280" s="406"/>
      <c r="K1280" s="304"/>
      <c r="L1280" s="372"/>
      <c r="M1280" s="372"/>
      <c r="N1280" s="372"/>
      <c r="O1280" s="372"/>
      <c r="P1280" s="372"/>
      <c r="Q1280" s="304"/>
      <c r="R1280" s="304"/>
      <c r="S1280" s="304"/>
      <c r="T1280" s="304"/>
      <c r="U1280" s="304"/>
      <c r="V1280" s="304"/>
      <c r="AL1280" s="372" t="str">
        <f t="shared" si="49"/>
        <v/>
      </c>
    </row>
    <row r="1281" spans="1:38" ht="15" customHeight="1" outlineLevel="1" x14ac:dyDescent="0.2">
      <c r="A1281" s="403"/>
      <c r="B1281" s="403"/>
      <c r="C1281" s="403"/>
      <c r="D1281" s="404"/>
      <c r="E1281" s="405"/>
      <c r="F1281" s="405"/>
      <c r="G1281" s="403"/>
      <c r="H1281" s="406"/>
      <c r="I1281" s="406"/>
      <c r="J1281" s="406"/>
      <c r="K1281" s="304"/>
      <c r="L1281" s="372"/>
      <c r="M1281" s="372"/>
      <c r="N1281" s="372"/>
      <c r="O1281" s="372"/>
      <c r="P1281" s="372"/>
      <c r="Q1281" s="304"/>
      <c r="R1281" s="304"/>
      <c r="S1281" s="304"/>
      <c r="T1281" s="304"/>
      <c r="U1281" s="304"/>
      <c r="V1281" s="304"/>
      <c r="AL1281" s="372" t="str">
        <f t="shared" si="49"/>
        <v/>
      </c>
    </row>
    <row r="1282" spans="1:38" ht="15" customHeight="1" outlineLevel="1" x14ac:dyDescent="0.2">
      <c r="A1282" s="403"/>
      <c r="B1282" s="403"/>
      <c r="C1282" s="403"/>
      <c r="D1282" s="404"/>
      <c r="E1282" s="405"/>
      <c r="F1282" s="405"/>
      <c r="G1282" s="403"/>
      <c r="H1282" s="406"/>
      <c r="I1282" s="406"/>
      <c r="J1282" s="406"/>
      <c r="K1282" s="304"/>
      <c r="L1282" s="372"/>
      <c r="M1282" s="372"/>
      <c r="N1282" s="372"/>
      <c r="O1282" s="372"/>
      <c r="P1282" s="372"/>
      <c r="Q1282" s="304"/>
      <c r="R1282" s="304"/>
      <c r="S1282" s="304"/>
      <c r="T1282" s="304"/>
      <c r="U1282" s="304"/>
      <c r="V1282" s="304"/>
      <c r="AL1282" s="372" t="str">
        <f t="shared" si="49"/>
        <v/>
      </c>
    </row>
    <row r="1283" spans="1:38" ht="15" customHeight="1" outlineLevel="1" x14ac:dyDescent="0.2">
      <c r="A1283" s="403"/>
      <c r="B1283" s="403"/>
      <c r="C1283" s="403"/>
      <c r="D1283" s="404"/>
      <c r="E1283" s="405"/>
      <c r="F1283" s="405"/>
      <c r="G1283" s="403"/>
      <c r="H1283" s="406"/>
      <c r="I1283" s="406"/>
      <c r="J1283" s="406"/>
      <c r="K1283" s="304"/>
      <c r="L1283" s="372"/>
      <c r="M1283" s="372"/>
      <c r="N1283" s="372"/>
      <c r="O1283" s="372"/>
      <c r="P1283" s="372"/>
      <c r="Q1283" s="304"/>
      <c r="R1283" s="304"/>
      <c r="S1283" s="304"/>
      <c r="T1283" s="304"/>
      <c r="U1283" s="304"/>
      <c r="V1283" s="304"/>
      <c r="AL1283" s="372" t="str">
        <f t="shared" si="49"/>
        <v/>
      </c>
    </row>
    <row r="1284" spans="1:38" ht="15" customHeight="1" outlineLevel="1" x14ac:dyDescent="0.2">
      <c r="A1284" s="403"/>
      <c r="B1284" s="403"/>
      <c r="C1284" s="403"/>
      <c r="D1284" s="404"/>
      <c r="E1284" s="405"/>
      <c r="F1284" s="405"/>
      <c r="G1284" s="403"/>
      <c r="H1284" s="406"/>
      <c r="I1284" s="406"/>
      <c r="J1284" s="406"/>
      <c r="K1284" s="304"/>
      <c r="L1284" s="372"/>
      <c r="M1284" s="372"/>
      <c r="N1284" s="372"/>
      <c r="O1284" s="372"/>
      <c r="P1284" s="372"/>
      <c r="Q1284" s="304"/>
      <c r="R1284" s="304"/>
      <c r="S1284" s="304"/>
      <c r="T1284" s="304"/>
      <c r="U1284" s="304"/>
      <c r="V1284" s="304"/>
      <c r="AL1284" s="372" t="str">
        <f t="shared" si="49"/>
        <v/>
      </c>
    </row>
    <row r="1285" spans="1:38" ht="15" customHeight="1" outlineLevel="1" x14ac:dyDescent="0.2">
      <c r="A1285" s="403"/>
      <c r="B1285" s="403"/>
      <c r="C1285" s="403"/>
      <c r="D1285" s="404"/>
      <c r="E1285" s="405"/>
      <c r="F1285" s="405"/>
      <c r="G1285" s="403"/>
      <c r="H1285" s="406"/>
      <c r="I1285" s="406"/>
      <c r="J1285" s="406"/>
      <c r="K1285" s="304"/>
      <c r="L1285" s="372"/>
      <c r="M1285" s="372"/>
      <c r="N1285" s="372"/>
      <c r="O1285" s="372"/>
      <c r="P1285" s="372"/>
      <c r="Q1285" s="304"/>
      <c r="R1285" s="304"/>
      <c r="S1285" s="304"/>
      <c r="T1285" s="304"/>
      <c r="U1285" s="304"/>
      <c r="V1285" s="304"/>
      <c r="AL1285" s="372" t="str">
        <f t="shared" si="49"/>
        <v/>
      </c>
    </row>
    <row r="1286" spans="1:38" ht="15" customHeight="1" outlineLevel="1" x14ac:dyDescent="0.2">
      <c r="A1286" s="403"/>
      <c r="B1286" s="403"/>
      <c r="C1286" s="403"/>
      <c r="D1286" s="404"/>
      <c r="E1286" s="405"/>
      <c r="F1286" s="405"/>
      <c r="G1286" s="403"/>
      <c r="H1286" s="406"/>
      <c r="I1286" s="406"/>
      <c r="J1286" s="406"/>
      <c r="K1286" s="304"/>
      <c r="L1286" s="372"/>
      <c r="M1286" s="372"/>
      <c r="N1286" s="372"/>
      <c r="O1286" s="372"/>
      <c r="P1286" s="372"/>
      <c r="Q1286" s="304"/>
      <c r="R1286" s="304"/>
      <c r="S1286" s="304"/>
      <c r="T1286" s="304"/>
      <c r="U1286" s="304"/>
      <c r="V1286" s="304"/>
      <c r="AL1286" s="372" t="str">
        <f t="shared" si="49"/>
        <v/>
      </c>
    </row>
    <row r="1287" spans="1:38" ht="15" customHeight="1" outlineLevel="1" x14ac:dyDescent="0.2">
      <c r="A1287" s="403"/>
      <c r="B1287" s="403"/>
      <c r="C1287" s="403"/>
      <c r="D1287" s="404"/>
      <c r="E1287" s="405"/>
      <c r="F1287" s="405"/>
      <c r="G1287" s="403"/>
      <c r="H1287" s="406"/>
      <c r="I1287" s="406"/>
      <c r="J1287" s="406"/>
      <c r="K1287" s="304"/>
      <c r="L1287" s="372"/>
      <c r="M1287" s="372"/>
      <c r="N1287" s="372"/>
      <c r="O1287" s="372"/>
      <c r="P1287" s="372"/>
      <c r="Q1287" s="304"/>
      <c r="R1287" s="304"/>
      <c r="S1287" s="304"/>
      <c r="T1287" s="304"/>
      <c r="U1287" s="304"/>
      <c r="V1287" s="304"/>
      <c r="AL1287" s="372" t="str">
        <f t="shared" si="49"/>
        <v/>
      </c>
    </row>
    <row r="1288" spans="1:38" ht="15" customHeight="1" outlineLevel="1" x14ac:dyDescent="0.2">
      <c r="A1288" s="403"/>
      <c r="B1288" s="403"/>
      <c r="C1288" s="403"/>
      <c r="D1288" s="404"/>
      <c r="E1288" s="405"/>
      <c r="F1288" s="405"/>
      <c r="G1288" s="403"/>
      <c r="H1288" s="406"/>
      <c r="I1288" s="406"/>
      <c r="J1288" s="406"/>
      <c r="K1288" s="304"/>
      <c r="L1288" s="372"/>
      <c r="M1288" s="372"/>
      <c r="N1288" s="372"/>
      <c r="O1288" s="372"/>
      <c r="P1288" s="372"/>
      <c r="Q1288" s="304"/>
      <c r="R1288" s="304"/>
      <c r="S1288" s="304"/>
      <c r="T1288" s="304"/>
      <c r="U1288" s="304"/>
      <c r="V1288" s="304"/>
      <c r="AL1288" s="372" t="str">
        <f t="shared" si="49"/>
        <v/>
      </c>
    </row>
    <row r="1289" spans="1:38" ht="15" customHeight="1" outlineLevel="1" x14ac:dyDescent="0.2">
      <c r="A1289" s="403"/>
      <c r="B1289" s="403"/>
      <c r="C1289" s="403"/>
      <c r="D1289" s="404"/>
      <c r="E1289" s="405"/>
      <c r="F1289" s="405"/>
      <c r="G1289" s="403"/>
      <c r="H1289" s="406"/>
      <c r="I1289" s="406"/>
      <c r="J1289" s="406"/>
      <c r="K1289" s="304"/>
      <c r="L1289" s="372"/>
      <c r="M1289" s="372"/>
      <c r="N1289" s="372"/>
      <c r="O1289" s="372"/>
      <c r="P1289" s="372"/>
      <c r="Q1289" s="304"/>
      <c r="R1289" s="304"/>
      <c r="S1289" s="304"/>
      <c r="T1289" s="304"/>
      <c r="U1289" s="304"/>
      <c r="V1289" s="304"/>
      <c r="AL1289" s="372" t="str">
        <f t="shared" si="49"/>
        <v/>
      </c>
    </row>
    <row r="1290" spans="1:38" ht="15" customHeight="1" outlineLevel="1" x14ac:dyDescent="0.2">
      <c r="A1290" s="403"/>
      <c r="B1290" s="403"/>
      <c r="C1290" s="403"/>
      <c r="D1290" s="404"/>
      <c r="E1290" s="405"/>
      <c r="F1290" s="405"/>
      <c r="G1290" s="403"/>
      <c r="H1290" s="406"/>
      <c r="I1290" s="406"/>
      <c r="J1290" s="406"/>
      <c r="K1290" s="304"/>
      <c r="L1290" s="372"/>
      <c r="M1290" s="372"/>
      <c r="N1290" s="372"/>
      <c r="O1290" s="372"/>
      <c r="P1290" s="372"/>
      <c r="Q1290" s="304"/>
      <c r="R1290" s="304"/>
      <c r="S1290" s="304"/>
      <c r="T1290" s="304"/>
      <c r="U1290" s="304"/>
      <c r="V1290" s="304"/>
      <c r="AL1290" s="372" t="str">
        <f t="shared" si="49"/>
        <v/>
      </c>
    </row>
    <row r="1291" spans="1:38" ht="15" customHeight="1" outlineLevel="1" x14ac:dyDescent="0.2">
      <c r="A1291" s="403"/>
      <c r="B1291" s="403"/>
      <c r="C1291" s="403"/>
      <c r="D1291" s="404"/>
      <c r="E1291" s="405"/>
      <c r="F1291" s="405"/>
      <c r="G1291" s="403"/>
      <c r="H1291" s="406"/>
      <c r="I1291" s="406"/>
      <c r="J1291" s="406"/>
      <c r="K1291" s="304"/>
      <c r="L1291" s="372"/>
      <c r="M1291" s="372"/>
      <c r="N1291" s="372"/>
      <c r="O1291" s="372"/>
      <c r="P1291" s="372"/>
      <c r="Q1291" s="304"/>
      <c r="R1291" s="304"/>
      <c r="S1291" s="304"/>
      <c r="T1291" s="304"/>
      <c r="U1291" s="304"/>
      <c r="V1291" s="304"/>
      <c r="AL1291" s="372" t="str">
        <f t="shared" si="49"/>
        <v/>
      </c>
    </row>
    <row r="1292" spans="1:38" ht="15" customHeight="1" outlineLevel="1" x14ac:dyDescent="0.2">
      <c r="A1292" s="403"/>
      <c r="B1292" s="403"/>
      <c r="C1292" s="403"/>
      <c r="D1292" s="404"/>
      <c r="E1292" s="405"/>
      <c r="F1292" s="405"/>
      <c r="G1292" s="403"/>
      <c r="H1292" s="406"/>
      <c r="I1292" s="406"/>
      <c r="J1292" s="406"/>
      <c r="K1292" s="304"/>
      <c r="L1292" s="372"/>
      <c r="M1292" s="372"/>
      <c r="N1292" s="372"/>
      <c r="O1292" s="372"/>
      <c r="P1292" s="372"/>
      <c r="Q1292" s="304"/>
      <c r="R1292" s="304"/>
      <c r="S1292" s="304"/>
      <c r="T1292" s="304"/>
      <c r="U1292" s="304"/>
      <c r="V1292" s="304"/>
      <c r="AL1292" s="372" t="str">
        <f t="shared" si="49"/>
        <v/>
      </c>
    </row>
    <row r="1293" spans="1:38" ht="15" customHeight="1" outlineLevel="1" x14ac:dyDescent="0.2">
      <c r="A1293" s="403"/>
      <c r="B1293" s="403"/>
      <c r="C1293" s="403"/>
      <c r="D1293" s="404"/>
      <c r="E1293" s="405"/>
      <c r="F1293" s="405"/>
      <c r="G1293" s="403"/>
      <c r="H1293" s="406"/>
      <c r="I1293" s="406"/>
      <c r="J1293" s="406"/>
      <c r="K1293" s="304"/>
      <c r="L1293" s="372"/>
      <c r="M1293" s="372"/>
      <c r="N1293" s="372"/>
      <c r="O1293" s="372"/>
      <c r="P1293" s="372"/>
      <c r="Q1293" s="304"/>
      <c r="R1293" s="304"/>
      <c r="S1293" s="304"/>
      <c r="T1293" s="304"/>
      <c r="U1293" s="304"/>
      <c r="V1293" s="304"/>
      <c r="AL1293" s="372" t="str">
        <f t="shared" si="49"/>
        <v/>
      </c>
    </row>
    <row r="1294" spans="1:38" ht="15" customHeight="1" outlineLevel="1" x14ac:dyDescent="0.2">
      <c r="A1294" s="403"/>
      <c r="B1294" s="403"/>
      <c r="C1294" s="403"/>
      <c r="D1294" s="404"/>
      <c r="E1294" s="405"/>
      <c r="F1294" s="405"/>
      <c r="G1294" s="403"/>
      <c r="H1294" s="406"/>
      <c r="I1294" s="406"/>
      <c r="J1294" s="406"/>
      <c r="K1294" s="304"/>
      <c r="L1294" s="372"/>
      <c r="M1294" s="372"/>
      <c r="N1294" s="372"/>
      <c r="O1294" s="372"/>
      <c r="P1294" s="372"/>
      <c r="Q1294" s="304"/>
      <c r="R1294" s="304"/>
      <c r="S1294" s="304"/>
      <c r="T1294" s="304"/>
      <c r="U1294" s="304"/>
      <c r="V1294" s="304"/>
      <c r="AL1294" s="372" t="str">
        <f t="shared" si="49"/>
        <v/>
      </c>
    </row>
    <row r="1295" spans="1:38" ht="15" customHeight="1" outlineLevel="1" x14ac:dyDescent="0.2">
      <c r="A1295" s="403"/>
      <c r="B1295" s="403"/>
      <c r="C1295" s="403"/>
      <c r="D1295" s="404"/>
      <c r="E1295" s="405"/>
      <c r="F1295" s="405"/>
      <c r="G1295" s="403"/>
      <c r="H1295" s="406"/>
      <c r="I1295" s="406"/>
      <c r="J1295" s="406"/>
      <c r="K1295" s="304"/>
      <c r="L1295" s="372"/>
      <c r="M1295" s="372"/>
      <c r="N1295" s="372"/>
      <c r="O1295" s="372"/>
      <c r="P1295" s="372"/>
      <c r="Q1295" s="304"/>
      <c r="R1295" s="304"/>
      <c r="S1295" s="304"/>
      <c r="T1295" s="304"/>
      <c r="U1295" s="304"/>
      <c r="V1295" s="304"/>
      <c r="AL1295" s="372" t="str">
        <f t="shared" si="49"/>
        <v/>
      </c>
    </row>
    <row r="1296" spans="1:38" ht="15" customHeight="1" outlineLevel="1" x14ac:dyDescent="0.2">
      <c r="A1296" s="403"/>
      <c r="B1296" s="403"/>
      <c r="C1296" s="403"/>
      <c r="D1296" s="404"/>
      <c r="E1296" s="405"/>
      <c r="F1296" s="405"/>
      <c r="G1296" s="403"/>
      <c r="H1296" s="406"/>
      <c r="I1296" s="406"/>
      <c r="J1296" s="406"/>
      <c r="K1296" s="304"/>
      <c r="L1296" s="372"/>
      <c r="M1296" s="372"/>
      <c r="N1296" s="372"/>
      <c r="O1296" s="372"/>
      <c r="P1296" s="372"/>
      <c r="Q1296" s="304"/>
      <c r="R1296" s="304"/>
      <c r="S1296" s="304"/>
      <c r="T1296" s="304"/>
      <c r="U1296" s="304"/>
      <c r="V1296" s="304"/>
      <c r="AL1296" s="372" t="str">
        <f t="shared" si="49"/>
        <v/>
      </c>
    </row>
    <row r="1297" spans="1:38" ht="15" customHeight="1" outlineLevel="1" x14ac:dyDescent="0.2">
      <c r="A1297" s="403"/>
      <c r="B1297" s="403"/>
      <c r="C1297" s="403"/>
      <c r="D1297" s="404"/>
      <c r="E1297" s="405"/>
      <c r="F1297" s="405"/>
      <c r="G1297" s="403"/>
      <c r="H1297" s="406"/>
      <c r="I1297" s="406"/>
      <c r="J1297" s="406"/>
      <c r="K1297" s="304"/>
      <c r="L1297" s="372"/>
      <c r="M1297" s="372"/>
      <c r="N1297" s="372"/>
      <c r="O1297" s="372"/>
      <c r="P1297" s="372"/>
      <c r="Q1297" s="304"/>
      <c r="R1297" s="304"/>
      <c r="S1297" s="304"/>
      <c r="T1297" s="304"/>
      <c r="U1297" s="304"/>
      <c r="V1297" s="304"/>
      <c r="AL1297" s="372" t="str">
        <f t="shared" ref="AL1297:AL1360" si="50">IF(($C1297=$AG$245)*($N1297&gt;0)*ISNUMBER($I1297),$I1297*100000+ROW(),"")</f>
        <v/>
      </c>
    </row>
    <row r="1298" spans="1:38" ht="15" customHeight="1" outlineLevel="1" x14ac:dyDescent="0.2">
      <c r="A1298" s="403"/>
      <c r="B1298" s="403"/>
      <c r="C1298" s="403"/>
      <c r="D1298" s="404"/>
      <c r="E1298" s="405"/>
      <c r="F1298" s="405"/>
      <c r="G1298" s="403"/>
      <c r="H1298" s="406"/>
      <c r="I1298" s="406"/>
      <c r="J1298" s="406"/>
      <c r="K1298" s="304"/>
      <c r="L1298" s="372"/>
      <c r="M1298" s="372"/>
      <c r="N1298" s="372"/>
      <c r="O1298" s="372"/>
      <c r="P1298" s="372"/>
      <c r="Q1298" s="304"/>
      <c r="R1298" s="304"/>
      <c r="S1298" s="304"/>
      <c r="T1298" s="304"/>
      <c r="U1298" s="304"/>
      <c r="V1298" s="304"/>
      <c r="AL1298" s="372" t="str">
        <f t="shared" si="50"/>
        <v/>
      </c>
    </row>
    <row r="1299" spans="1:38" ht="15" customHeight="1" outlineLevel="1" x14ac:dyDescent="0.2">
      <c r="A1299" s="403"/>
      <c r="B1299" s="403"/>
      <c r="C1299" s="403"/>
      <c r="D1299" s="404"/>
      <c r="E1299" s="405"/>
      <c r="F1299" s="405"/>
      <c r="G1299" s="403"/>
      <c r="H1299" s="406"/>
      <c r="I1299" s="406"/>
      <c r="J1299" s="406"/>
      <c r="K1299" s="304"/>
      <c r="L1299" s="372"/>
      <c r="M1299" s="372"/>
      <c r="N1299" s="372"/>
      <c r="O1299" s="372"/>
      <c r="P1299" s="372"/>
      <c r="Q1299" s="304"/>
      <c r="R1299" s="304"/>
      <c r="S1299" s="304"/>
      <c r="T1299" s="304"/>
      <c r="U1299" s="304"/>
      <c r="V1299" s="304"/>
      <c r="AL1299" s="372" t="str">
        <f t="shared" si="50"/>
        <v/>
      </c>
    </row>
    <row r="1300" spans="1:38" ht="15" customHeight="1" outlineLevel="1" x14ac:dyDescent="0.2">
      <c r="A1300" s="403"/>
      <c r="B1300" s="403"/>
      <c r="C1300" s="403"/>
      <c r="D1300" s="404"/>
      <c r="E1300" s="405"/>
      <c r="F1300" s="405"/>
      <c r="G1300" s="403"/>
      <c r="H1300" s="406"/>
      <c r="I1300" s="406"/>
      <c r="J1300" s="406"/>
      <c r="K1300" s="304"/>
      <c r="L1300" s="372"/>
      <c r="M1300" s="372"/>
      <c r="N1300" s="372"/>
      <c r="O1300" s="372"/>
      <c r="P1300" s="372"/>
      <c r="Q1300" s="304"/>
      <c r="R1300" s="304"/>
      <c r="S1300" s="304"/>
      <c r="T1300" s="304"/>
      <c r="U1300" s="304"/>
      <c r="V1300" s="304"/>
      <c r="AL1300" s="372" t="str">
        <f t="shared" si="50"/>
        <v/>
      </c>
    </row>
    <row r="1301" spans="1:38" ht="15" customHeight="1" outlineLevel="1" x14ac:dyDescent="0.2">
      <c r="A1301" s="403"/>
      <c r="B1301" s="403"/>
      <c r="C1301" s="403"/>
      <c r="D1301" s="404"/>
      <c r="E1301" s="405"/>
      <c r="F1301" s="405"/>
      <c r="G1301" s="403"/>
      <c r="H1301" s="406"/>
      <c r="I1301" s="406"/>
      <c r="J1301" s="406"/>
      <c r="K1301" s="304"/>
      <c r="L1301" s="372"/>
      <c r="M1301" s="372"/>
      <c r="N1301" s="372"/>
      <c r="O1301" s="372"/>
      <c r="P1301" s="372"/>
      <c r="Q1301" s="304"/>
      <c r="R1301" s="304"/>
      <c r="S1301" s="304"/>
      <c r="T1301" s="304"/>
      <c r="U1301" s="304"/>
      <c r="V1301" s="304"/>
      <c r="AL1301" s="372" t="str">
        <f t="shared" si="50"/>
        <v/>
      </c>
    </row>
    <row r="1302" spans="1:38" ht="15" customHeight="1" outlineLevel="1" x14ac:dyDescent="0.2">
      <c r="A1302" s="403"/>
      <c r="B1302" s="403"/>
      <c r="C1302" s="403"/>
      <c r="D1302" s="404"/>
      <c r="E1302" s="405"/>
      <c r="F1302" s="405"/>
      <c r="G1302" s="403"/>
      <c r="H1302" s="406"/>
      <c r="I1302" s="406"/>
      <c r="J1302" s="406"/>
      <c r="K1302" s="304"/>
      <c r="L1302" s="372"/>
      <c r="M1302" s="372"/>
      <c r="N1302" s="372"/>
      <c r="O1302" s="372"/>
      <c r="P1302" s="372"/>
      <c r="Q1302" s="304"/>
      <c r="R1302" s="304"/>
      <c r="S1302" s="304"/>
      <c r="T1302" s="304"/>
      <c r="U1302" s="304"/>
      <c r="V1302" s="304"/>
      <c r="AL1302" s="372" t="str">
        <f t="shared" si="50"/>
        <v/>
      </c>
    </row>
    <row r="1303" spans="1:38" ht="15" customHeight="1" outlineLevel="1" x14ac:dyDescent="0.2">
      <c r="A1303" s="403"/>
      <c r="B1303" s="403"/>
      <c r="C1303" s="403"/>
      <c r="D1303" s="404"/>
      <c r="E1303" s="405"/>
      <c r="F1303" s="405"/>
      <c r="G1303" s="403"/>
      <c r="H1303" s="406"/>
      <c r="I1303" s="406"/>
      <c r="J1303" s="406"/>
      <c r="K1303" s="304"/>
      <c r="L1303" s="372"/>
      <c r="M1303" s="372"/>
      <c r="N1303" s="372"/>
      <c r="O1303" s="372"/>
      <c r="P1303" s="372"/>
      <c r="Q1303" s="304"/>
      <c r="R1303" s="304"/>
      <c r="S1303" s="304"/>
      <c r="T1303" s="304"/>
      <c r="U1303" s="304"/>
      <c r="V1303" s="304"/>
      <c r="AL1303" s="372" t="str">
        <f t="shared" si="50"/>
        <v/>
      </c>
    </row>
    <row r="1304" spans="1:38" ht="15" customHeight="1" outlineLevel="1" x14ac:dyDescent="0.2">
      <c r="A1304" s="403"/>
      <c r="B1304" s="403"/>
      <c r="C1304" s="403"/>
      <c r="D1304" s="404"/>
      <c r="E1304" s="405"/>
      <c r="F1304" s="405"/>
      <c r="G1304" s="403"/>
      <c r="H1304" s="406"/>
      <c r="I1304" s="406"/>
      <c r="J1304" s="406"/>
      <c r="K1304" s="304"/>
      <c r="L1304" s="372"/>
      <c r="M1304" s="372"/>
      <c r="N1304" s="372"/>
      <c r="O1304" s="372"/>
      <c r="P1304" s="372"/>
      <c r="Q1304" s="304"/>
      <c r="R1304" s="304"/>
      <c r="S1304" s="304"/>
      <c r="T1304" s="304"/>
      <c r="U1304" s="304"/>
      <c r="V1304" s="304"/>
      <c r="AL1304" s="372" t="str">
        <f t="shared" si="50"/>
        <v/>
      </c>
    </row>
    <row r="1305" spans="1:38" ht="15" customHeight="1" outlineLevel="1" x14ac:dyDescent="0.2">
      <c r="A1305" s="403"/>
      <c r="B1305" s="403"/>
      <c r="C1305" s="403"/>
      <c r="D1305" s="404"/>
      <c r="E1305" s="405"/>
      <c r="F1305" s="405"/>
      <c r="G1305" s="403"/>
      <c r="H1305" s="406"/>
      <c r="I1305" s="406"/>
      <c r="J1305" s="406"/>
      <c r="K1305" s="304"/>
      <c r="L1305" s="372"/>
      <c r="M1305" s="372"/>
      <c r="N1305" s="372"/>
      <c r="O1305" s="372"/>
      <c r="P1305" s="372"/>
      <c r="Q1305" s="304"/>
      <c r="R1305" s="304"/>
      <c r="S1305" s="304"/>
      <c r="T1305" s="304"/>
      <c r="U1305" s="304"/>
      <c r="V1305" s="304"/>
      <c r="AL1305" s="372" t="str">
        <f t="shared" si="50"/>
        <v/>
      </c>
    </row>
    <row r="1306" spans="1:38" ht="15" customHeight="1" outlineLevel="1" x14ac:dyDescent="0.2">
      <c r="A1306" s="403"/>
      <c r="B1306" s="403"/>
      <c r="C1306" s="403"/>
      <c r="D1306" s="404"/>
      <c r="E1306" s="405"/>
      <c r="F1306" s="405"/>
      <c r="G1306" s="403"/>
      <c r="H1306" s="406"/>
      <c r="I1306" s="406"/>
      <c r="J1306" s="406"/>
      <c r="K1306" s="304"/>
      <c r="L1306" s="372"/>
      <c r="M1306" s="372"/>
      <c r="N1306" s="372"/>
      <c r="O1306" s="372"/>
      <c r="P1306" s="372"/>
      <c r="Q1306" s="304"/>
      <c r="R1306" s="304"/>
      <c r="S1306" s="304"/>
      <c r="T1306" s="304"/>
      <c r="U1306" s="304"/>
      <c r="V1306" s="304"/>
      <c r="AL1306" s="372" t="str">
        <f t="shared" si="50"/>
        <v/>
      </c>
    </row>
    <row r="1307" spans="1:38" ht="15" customHeight="1" outlineLevel="1" x14ac:dyDescent="0.2">
      <c r="A1307" s="403"/>
      <c r="B1307" s="403"/>
      <c r="C1307" s="403"/>
      <c r="D1307" s="404"/>
      <c r="E1307" s="405"/>
      <c r="F1307" s="405"/>
      <c r="G1307" s="403"/>
      <c r="H1307" s="406"/>
      <c r="I1307" s="406"/>
      <c r="J1307" s="406"/>
      <c r="K1307" s="304"/>
      <c r="L1307" s="372"/>
      <c r="M1307" s="372"/>
      <c r="N1307" s="372"/>
      <c r="O1307" s="372"/>
      <c r="P1307" s="372"/>
      <c r="Q1307" s="304"/>
      <c r="R1307" s="304"/>
      <c r="S1307" s="304"/>
      <c r="T1307" s="304"/>
      <c r="U1307" s="304"/>
      <c r="V1307" s="304"/>
      <c r="AL1307" s="372" t="str">
        <f t="shared" si="50"/>
        <v/>
      </c>
    </row>
    <row r="1308" spans="1:38" ht="15" customHeight="1" outlineLevel="1" x14ac:dyDescent="0.2">
      <c r="A1308" s="403"/>
      <c r="B1308" s="403"/>
      <c r="C1308" s="403"/>
      <c r="D1308" s="404"/>
      <c r="E1308" s="405"/>
      <c r="F1308" s="405"/>
      <c r="G1308" s="403"/>
      <c r="H1308" s="406"/>
      <c r="I1308" s="406"/>
      <c r="J1308" s="406"/>
      <c r="K1308" s="304"/>
      <c r="L1308" s="372"/>
      <c r="M1308" s="372"/>
      <c r="N1308" s="372"/>
      <c r="O1308" s="372"/>
      <c r="P1308" s="372"/>
      <c r="Q1308" s="304"/>
      <c r="R1308" s="304"/>
      <c r="S1308" s="304"/>
      <c r="T1308" s="304"/>
      <c r="U1308" s="304"/>
      <c r="V1308" s="304"/>
      <c r="AL1308" s="372" t="str">
        <f t="shared" si="50"/>
        <v/>
      </c>
    </row>
    <row r="1309" spans="1:38" ht="15" customHeight="1" outlineLevel="1" x14ac:dyDescent="0.2">
      <c r="A1309" s="403"/>
      <c r="B1309" s="403"/>
      <c r="C1309" s="403"/>
      <c r="D1309" s="404"/>
      <c r="E1309" s="405"/>
      <c r="F1309" s="405"/>
      <c r="G1309" s="403"/>
      <c r="H1309" s="406"/>
      <c r="I1309" s="406"/>
      <c r="J1309" s="406"/>
      <c r="K1309" s="304"/>
      <c r="L1309" s="372"/>
      <c r="M1309" s="372"/>
      <c r="N1309" s="372"/>
      <c r="O1309" s="372"/>
      <c r="P1309" s="372"/>
      <c r="Q1309" s="304"/>
      <c r="R1309" s="304"/>
      <c r="S1309" s="304"/>
      <c r="T1309" s="304"/>
      <c r="U1309" s="304"/>
      <c r="V1309" s="304"/>
      <c r="AL1309" s="372" t="str">
        <f t="shared" si="50"/>
        <v/>
      </c>
    </row>
    <row r="1310" spans="1:38" ht="15" customHeight="1" outlineLevel="1" x14ac:dyDescent="0.2">
      <c r="A1310" s="403"/>
      <c r="B1310" s="403"/>
      <c r="C1310" s="403"/>
      <c r="D1310" s="404"/>
      <c r="E1310" s="405"/>
      <c r="F1310" s="405"/>
      <c r="G1310" s="403"/>
      <c r="H1310" s="406"/>
      <c r="I1310" s="406"/>
      <c r="J1310" s="406"/>
      <c r="K1310" s="304"/>
      <c r="L1310" s="372"/>
      <c r="M1310" s="372"/>
      <c r="N1310" s="372"/>
      <c r="O1310" s="372"/>
      <c r="P1310" s="372"/>
      <c r="Q1310" s="304"/>
      <c r="R1310" s="304"/>
      <c r="S1310" s="304"/>
      <c r="T1310" s="304"/>
      <c r="U1310" s="304"/>
      <c r="V1310" s="304"/>
      <c r="AL1310" s="372" t="str">
        <f t="shared" si="50"/>
        <v/>
      </c>
    </row>
    <row r="1311" spans="1:38" ht="15" customHeight="1" outlineLevel="1" x14ac:dyDescent="0.2">
      <c r="A1311" s="403"/>
      <c r="B1311" s="403"/>
      <c r="C1311" s="403"/>
      <c r="D1311" s="404"/>
      <c r="E1311" s="405"/>
      <c r="F1311" s="405"/>
      <c r="G1311" s="403"/>
      <c r="H1311" s="406"/>
      <c r="I1311" s="406"/>
      <c r="J1311" s="406"/>
      <c r="K1311" s="304"/>
      <c r="L1311" s="372"/>
      <c r="M1311" s="372"/>
      <c r="N1311" s="372"/>
      <c r="O1311" s="372"/>
      <c r="P1311" s="372"/>
      <c r="Q1311" s="304"/>
      <c r="R1311" s="304"/>
      <c r="S1311" s="304"/>
      <c r="T1311" s="304"/>
      <c r="U1311" s="304"/>
      <c r="V1311" s="304"/>
      <c r="AL1311" s="372" t="str">
        <f t="shared" si="50"/>
        <v/>
      </c>
    </row>
    <row r="1312" spans="1:38" ht="15" customHeight="1" outlineLevel="1" x14ac:dyDescent="0.2">
      <c r="A1312" s="403"/>
      <c r="B1312" s="403"/>
      <c r="C1312" s="403"/>
      <c r="D1312" s="404"/>
      <c r="E1312" s="405"/>
      <c r="F1312" s="405"/>
      <c r="G1312" s="403"/>
      <c r="H1312" s="406"/>
      <c r="I1312" s="406"/>
      <c r="J1312" s="406"/>
      <c r="K1312" s="304"/>
      <c r="L1312" s="372"/>
      <c r="M1312" s="372"/>
      <c r="N1312" s="372"/>
      <c r="O1312" s="372"/>
      <c r="P1312" s="372"/>
      <c r="Q1312" s="304"/>
      <c r="R1312" s="304"/>
      <c r="S1312" s="304"/>
      <c r="T1312" s="304"/>
      <c r="U1312" s="304"/>
      <c r="V1312" s="304"/>
      <c r="AL1312" s="372" t="str">
        <f t="shared" si="50"/>
        <v/>
      </c>
    </row>
    <row r="1313" spans="1:38" ht="15" customHeight="1" outlineLevel="1" x14ac:dyDescent="0.2">
      <c r="A1313" s="403"/>
      <c r="B1313" s="403"/>
      <c r="C1313" s="403"/>
      <c r="D1313" s="404"/>
      <c r="E1313" s="405"/>
      <c r="F1313" s="405"/>
      <c r="G1313" s="403"/>
      <c r="H1313" s="406"/>
      <c r="I1313" s="406"/>
      <c r="J1313" s="406"/>
      <c r="K1313" s="304"/>
      <c r="L1313" s="372"/>
      <c r="M1313" s="372"/>
      <c r="N1313" s="372"/>
      <c r="O1313" s="372"/>
      <c r="P1313" s="372"/>
      <c r="Q1313" s="304"/>
      <c r="R1313" s="304"/>
      <c r="S1313" s="304"/>
      <c r="T1313" s="304"/>
      <c r="U1313" s="304"/>
      <c r="V1313" s="304"/>
      <c r="AL1313" s="372" t="str">
        <f t="shared" si="50"/>
        <v/>
      </c>
    </row>
    <row r="1314" spans="1:38" ht="15" customHeight="1" outlineLevel="1" x14ac:dyDescent="0.2">
      <c r="A1314" s="403"/>
      <c r="B1314" s="403"/>
      <c r="C1314" s="403"/>
      <c r="D1314" s="404"/>
      <c r="E1314" s="405"/>
      <c r="F1314" s="405"/>
      <c r="G1314" s="403"/>
      <c r="H1314" s="406"/>
      <c r="I1314" s="406"/>
      <c r="J1314" s="406"/>
      <c r="K1314" s="304"/>
      <c r="L1314" s="372"/>
      <c r="M1314" s="372"/>
      <c r="N1314" s="372"/>
      <c r="O1314" s="372"/>
      <c r="P1314" s="372"/>
      <c r="Q1314" s="304"/>
      <c r="R1314" s="304"/>
      <c r="S1314" s="304"/>
      <c r="T1314" s="304"/>
      <c r="U1314" s="304"/>
      <c r="V1314" s="304"/>
      <c r="AL1314" s="372" t="str">
        <f t="shared" si="50"/>
        <v/>
      </c>
    </row>
    <row r="1315" spans="1:38" ht="15" customHeight="1" outlineLevel="1" x14ac:dyDescent="0.2">
      <c r="A1315" s="403"/>
      <c r="B1315" s="403"/>
      <c r="C1315" s="403"/>
      <c r="D1315" s="404"/>
      <c r="E1315" s="405"/>
      <c r="F1315" s="405"/>
      <c r="G1315" s="403"/>
      <c r="H1315" s="406"/>
      <c r="I1315" s="406"/>
      <c r="J1315" s="406"/>
      <c r="K1315" s="304"/>
      <c r="L1315" s="372"/>
      <c r="M1315" s="372"/>
      <c r="N1315" s="372"/>
      <c r="O1315" s="372"/>
      <c r="P1315" s="372"/>
      <c r="Q1315" s="304"/>
      <c r="R1315" s="304"/>
      <c r="S1315" s="304"/>
      <c r="T1315" s="304"/>
      <c r="U1315" s="304"/>
      <c r="V1315" s="304"/>
      <c r="AL1315" s="372" t="str">
        <f t="shared" si="50"/>
        <v/>
      </c>
    </row>
    <row r="1316" spans="1:38" ht="15" customHeight="1" outlineLevel="1" x14ac:dyDescent="0.2">
      <c r="A1316" s="403"/>
      <c r="B1316" s="403"/>
      <c r="C1316" s="403"/>
      <c r="D1316" s="404"/>
      <c r="E1316" s="405"/>
      <c r="F1316" s="405"/>
      <c r="G1316" s="403"/>
      <c r="H1316" s="406"/>
      <c r="I1316" s="406"/>
      <c r="J1316" s="406"/>
      <c r="K1316" s="304"/>
      <c r="L1316" s="372"/>
      <c r="M1316" s="372"/>
      <c r="N1316" s="372"/>
      <c r="O1316" s="372"/>
      <c r="P1316" s="372"/>
      <c r="Q1316" s="304"/>
      <c r="R1316" s="304"/>
      <c r="S1316" s="304"/>
      <c r="T1316" s="304"/>
      <c r="U1316" s="304"/>
      <c r="V1316" s="304"/>
      <c r="AL1316" s="372" t="str">
        <f t="shared" si="50"/>
        <v/>
      </c>
    </row>
    <row r="1317" spans="1:38" ht="15" customHeight="1" outlineLevel="1" x14ac:dyDescent="0.2">
      <c r="A1317" s="403"/>
      <c r="B1317" s="403"/>
      <c r="C1317" s="403"/>
      <c r="D1317" s="404"/>
      <c r="E1317" s="405"/>
      <c r="F1317" s="405"/>
      <c r="G1317" s="403"/>
      <c r="H1317" s="406"/>
      <c r="I1317" s="406"/>
      <c r="J1317" s="406"/>
      <c r="K1317" s="304"/>
      <c r="L1317" s="372"/>
      <c r="M1317" s="372"/>
      <c r="N1317" s="372"/>
      <c r="O1317" s="372"/>
      <c r="P1317" s="372"/>
      <c r="Q1317" s="304"/>
      <c r="R1317" s="304"/>
      <c r="S1317" s="304"/>
      <c r="T1317" s="304"/>
      <c r="U1317" s="304"/>
      <c r="V1317" s="304"/>
      <c r="AL1317" s="372" t="str">
        <f t="shared" si="50"/>
        <v/>
      </c>
    </row>
    <row r="1318" spans="1:38" ht="15" customHeight="1" outlineLevel="1" x14ac:dyDescent="0.2">
      <c r="A1318" s="403"/>
      <c r="B1318" s="403"/>
      <c r="C1318" s="403"/>
      <c r="D1318" s="404"/>
      <c r="E1318" s="405"/>
      <c r="F1318" s="405"/>
      <c r="G1318" s="403"/>
      <c r="H1318" s="406"/>
      <c r="I1318" s="406"/>
      <c r="J1318" s="406"/>
      <c r="K1318" s="304"/>
      <c r="L1318" s="372"/>
      <c r="M1318" s="372"/>
      <c r="N1318" s="372"/>
      <c r="O1318" s="372"/>
      <c r="P1318" s="372"/>
      <c r="Q1318" s="304"/>
      <c r="R1318" s="304"/>
      <c r="S1318" s="304"/>
      <c r="T1318" s="304"/>
      <c r="U1318" s="304"/>
      <c r="V1318" s="304"/>
      <c r="AL1318" s="372" t="str">
        <f t="shared" si="50"/>
        <v/>
      </c>
    </row>
    <row r="1319" spans="1:38" ht="15" customHeight="1" outlineLevel="1" x14ac:dyDescent="0.2">
      <c r="A1319" s="403"/>
      <c r="B1319" s="403"/>
      <c r="C1319" s="403"/>
      <c r="D1319" s="404"/>
      <c r="E1319" s="405"/>
      <c r="F1319" s="405"/>
      <c r="G1319" s="403"/>
      <c r="H1319" s="406"/>
      <c r="I1319" s="406"/>
      <c r="J1319" s="406"/>
      <c r="K1319" s="304"/>
      <c r="L1319" s="372"/>
      <c r="M1319" s="372"/>
      <c r="N1319" s="372"/>
      <c r="O1319" s="372"/>
      <c r="P1319" s="372"/>
      <c r="Q1319" s="304"/>
      <c r="R1319" s="304"/>
      <c r="S1319" s="304"/>
      <c r="T1319" s="304"/>
      <c r="U1319" s="304"/>
      <c r="V1319" s="304"/>
      <c r="AL1319" s="372" t="str">
        <f t="shared" si="50"/>
        <v/>
      </c>
    </row>
    <row r="1320" spans="1:38" ht="15" customHeight="1" outlineLevel="1" x14ac:dyDescent="0.2">
      <c r="A1320" s="403"/>
      <c r="B1320" s="403"/>
      <c r="C1320" s="403"/>
      <c r="D1320" s="404"/>
      <c r="E1320" s="405"/>
      <c r="F1320" s="405"/>
      <c r="G1320" s="403"/>
      <c r="H1320" s="406"/>
      <c r="I1320" s="406"/>
      <c r="J1320" s="406"/>
      <c r="K1320" s="304"/>
      <c r="L1320" s="372"/>
      <c r="M1320" s="372"/>
      <c r="N1320" s="372"/>
      <c r="O1320" s="372"/>
      <c r="P1320" s="372"/>
      <c r="Q1320" s="304"/>
      <c r="R1320" s="304"/>
      <c r="S1320" s="304"/>
      <c r="T1320" s="304"/>
      <c r="U1320" s="304"/>
      <c r="V1320" s="304"/>
      <c r="AL1320" s="372" t="str">
        <f t="shared" si="50"/>
        <v/>
      </c>
    </row>
    <row r="1321" spans="1:38" ht="15" customHeight="1" outlineLevel="1" x14ac:dyDescent="0.2">
      <c r="A1321" s="403"/>
      <c r="B1321" s="403"/>
      <c r="C1321" s="403"/>
      <c r="D1321" s="404"/>
      <c r="E1321" s="405"/>
      <c r="F1321" s="405"/>
      <c r="G1321" s="403"/>
      <c r="H1321" s="406"/>
      <c r="I1321" s="406"/>
      <c r="J1321" s="406"/>
      <c r="K1321" s="304"/>
      <c r="L1321" s="372"/>
      <c r="M1321" s="372"/>
      <c r="N1321" s="372"/>
      <c r="O1321" s="372"/>
      <c r="P1321" s="372"/>
      <c r="Q1321" s="304"/>
      <c r="R1321" s="304"/>
      <c r="S1321" s="304"/>
      <c r="T1321" s="304"/>
      <c r="U1321" s="304"/>
      <c r="V1321" s="304"/>
      <c r="AL1321" s="372" t="str">
        <f t="shared" si="50"/>
        <v/>
      </c>
    </row>
    <row r="1322" spans="1:38" ht="15" customHeight="1" outlineLevel="1" x14ac:dyDescent="0.2">
      <c r="A1322" s="403"/>
      <c r="B1322" s="403"/>
      <c r="C1322" s="403"/>
      <c r="D1322" s="404"/>
      <c r="E1322" s="405"/>
      <c r="F1322" s="405"/>
      <c r="G1322" s="403"/>
      <c r="H1322" s="406"/>
      <c r="I1322" s="406"/>
      <c r="J1322" s="406"/>
      <c r="K1322" s="304"/>
      <c r="L1322" s="372"/>
      <c r="M1322" s="372"/>
      <c r="N1322" s="372"/>
      <c r="O1322" s="372"/>
      <c r="P1322" s="372"/>
      <c r="Q1322" s="304"/>
      <c r="R1322" s="304"/>
      <c r="S1322" s="304"/>
      <c r="T1322" s="304"/>
      <c r="U1322" s="304"/>
      <c r="V1322" s="304"/>
      <c r="AL1322" s="372" t="str">
        <f t="shared" si="50"/>
        <v/>
      </c>
    </row>
    <row r="1323" spans="1:38" ht="15" customHeight="1" outlineLevel="1" x14ac:dyDescent="0.2">
      <c r="A1323" s="403"/>
      <c r="B1323" s="403"/>
      <c r="C1323" s="403"/>
      <c r="D1323" s="404"/>
      <c r="E1323" s="405"/>
      <c r="F1323" s="405"/>
      <c r="G1323" s="403"/>
      <c r="H1323" s="406"/>
      <c r="I1323" s="406"/>
      <c r="J1323" s="406"/>
      <c r="K1323" s="304"/>
      <c r="L1323" s="372"/>
      <c r="M1323" s="372"/>
      <c r="N1323" s="372"/>
      <c r="O1323" s="372"/>
      <c r="P1323" s="372"/>
      <c r="Q1323" s="304"/>
      <c r="R1323" s="304"/>
      <c r="S1323" s="304"/>
      <c r="T1323" s="304"/>
      <c r="U1323" s="304"/>
      <c r="V1323" s="304"/>
      <c r="AL1323" s="372" t="str">
        <f t="shared" si="50"/>
        <v/>
      </c>
    </row>
    <row r="1324" spans="1:38" ht="15" customHeight="1" outlineLevel="1" x14ac:dyDescent="0.2">
      <c r="A1324" s="403"/>
      <c r="B1324" s="403"/>
      <c r="C1324" s="403"/>
      <c r="D1324" s="404"/>
      <c r="E1324" s="405"/>
      <c r="F1324" s="405"/>
      <c r="G1324" s="403"/>
      <c r="H1324" s="406"/>
      <c r="I1324" s="406"/>
      <c r="J1324" s="406"/>
      <c r="K1324" s="304"/>
      <c r="L1324" s="372"/>
      <c r="M1324" s="372"/>
      <c r="N1324" s="372"/>
      <c r="O1324" s="372"/>
      <c r="P1324" s="372"/>
      <c r="Q1324" s="304"/>
      <c r="R1324" s="304"/>
      <c r="S1324" s="304"/>
      <c r="T1324" s="304"/>
      <c r="U1324" s="304"/>
      <c r="V1324" s="304"/>
      <c r="AL1324" s="372" t="str">
        <f t="shared" si="50"/>
        <v/>
      </c>
    </row>
    <row r="1325" spans="1:38" ht="15" customHeight="1" outlineLevel="1" x14ac:dyDescent="0.2">
      <c r="A1325" s="403"/>
      <c r="B1325" s="403"/>
      <c r="C1325" s="403"/>
      <c r="D1325" s="404"/>
      <c r="E1325" s="405"/>
      <c r="F1325" s="405"/>
      <c r="G1325" s="403"/>
      <c r="H1325" s="406"/>
      <c r="I1325" s="406"/>
      <c r="J1325" s="406"/>
      <c r="K1325" s="304"/>
      <c r="L1325" s="372"/>
      <c r="M1325" s="372"/>
      <c r="N1325" s="372"/>
      <c r="O1325" s="372"/>
      <c r="P1325" s="372"/>
      <c r="Q1325" s="304"/>
      <c r="R1325" s="304"/>
      <c r="S1325" s="304"/>
      <c r="T1325" s="304"/>
      <c r="U1325" s="304"/>
      <c r="V1325" s="304"/>
      <c r="AL1325" s="372" t="str">
        <f t="shared" si="50"/>
        <v/>
      </c>
    </row>
    <row r="1326" spans="1:38" ht="15" customHeight="1" outlineLevel="1" x14ac:dyDescent="0.2">
      <c r="A1326" s="403"/>
      <c r="B1326" s="403"/>
      <c r="C1326" s="403"/>
      <c r="D1326" s="404"/>
      <c r="E1326" s="405"/>
      <c r="F1326" s="405"/>
      <c r="G1326" s="403"/>
      <c r="H1326" s="406"/>
      <c r="I1326" s="406"/>
      <c r="J1326" s="406"/>
      <c r="K1326" s="304"/>
      <c r="L1326" s="372"/>
      <c r="M1326" s="372"/>
      <c r="N1326" s="372"/>
      <c r="O1326" s="372"/>
      <c r="P1326" s="372"/>
      <c r="Q1326" s="304"/>
      <c r="R1326" s="304"/>
      <c r="S1326" s="304"/>
      <c r="T1326" s="304"/>
      <c r="U1326" s="304"/>
      <c r="V1326" s="304"/>
      <c r="AL1326" s="372" t="str">
        <f t="shared" si="50"/>
        <v/>
      </c>
    </row>
    <row r="1327" spans="1:38" ht="15" customHeight="1" outlineLevel="1" x14ac:dyDescent="0.2">
      <c r="A1327" s="403"/>
      <c r="B1327" s="403"/>
      <c r="C1327" s="403"/>
      <c r="D1327" s="404"/>
      <c r="E1327" s="405"/>
      <c r="F1327" s="405"/>
      <c r="G1327" s="403"/>
      <c r="H1327" s="406"/>
      <c r="I1327" s="406"/>
      <c r="J1327" s="406"/>
      <c r="K1327" s="304"/>
      <c r="L1327" s="372"/>
      <c r="M1327" s="372"/>
      <c r="N1327" s="372"/>
      <c r="O1327" s="372"/>
      <c r="P1327" s="372"/>
      <c r="Q1327" s="304"/>
      <c r="R1327" s="304"/>
      <c r="S1327" s="304"/>
      <c r="T1327" s="304"/>
      <c r="U1327" s="304"/>
      <c r="V1327" s="304"/>
      <c r="AL1327" s="372" t="str">
        <f t="shared" si="50"/>
        <v/>
      </c>
    </row>
    <row r="1328" spans="1:38" ht="15" customHeight="1" outlineLevel="1" x14ac:dyDescent="0.2">
      <c r="A1328" s="403"/>
      <c r="B1328" s="403"/>
      <c r="C1328" s="403"/>
      <c r="D1328" s="404"/>
      <c r="E1328" s="405"/>
      <c r="F1328" s="405"/>
      <c r="G1328" s="403"/>
      <c r="H1328" s="406"/>
      <c r="I1328" s="406"/>
      <c r="J1328" s="406"/>
      <c r="K1328" s="304"/>
      <c r="L1328" s="372"/>
      <c r="M1328" s="372"/>
      <c r="N1328" s="372"/>
      <c r="O1328" s="372"/>
      <c r="P1328" s="372"/>
      <c r="Q1328" s="304"/>
      <c r="R1328" s="304"/>
      <c r="S1328" s="304"/>
      <c r="T1328" s="304"/>
      <c r="U1328" s="304"/>
      <c r="V1328" s="304"/>
      <c r="AL1328" s="372" t="str">
        <f t="shared" si="50"/>
        <v/>
      </c>
    </row>
    <row r="1329" spans="1:38" ht="15" customHeight="1" outlineLevel="1" x14ac:dyDescent="0.2">
      <c r="A1329" s="403"/>
      <c r="B1329" s="403"/>
      <c r="C1329" s="403"/>
      <c r="D1329" s="404"/>
      <c r="E1329" s="405"/>
      <c r="F1329" s="405"/>
      <c r="G1329" s="403"/>
      <c r="H1329" s="406"/>
      <c r="I1329" s="406"/>
      <c r="J1329" s="406"/>
      <c r="K1329" s="304"/>
      <c r="L1329" s="372"/>
      <c r="M1329" s="372"/>
      <c r="N1329" s="372"/>
      <c r="O1329" s="372"/>
      <c r="P1329" s="372"/>
      <c r="Q1329" s="304"/>
      <c r="R1329" s="304"/>
      <c r="S1329" s="304"/>
      <c r="T1329" s="304"/>
      <c r="U1329" s="304"/>
      <c r="V1329" s="304"/>
      <c r="AL1329" s="372" t="str">
        <f t="shared" si="50"/>
        <v/>
      </c>
    </row>
    <row r="1330" spans="1:38" ht="15" customHeight="1" outlineLevel="1" x14ac:dyDescent="0.2">
      <c r="A1330" s="403"/>
      <c r="B1330" s="403"/>
      <c r="C1330" s="403"/>
      <c r="D1330" s="404"/>
      <c r="E1330" s="405"/>
      <c r="F1330" s="405"/>
      <c r="G1330" s="403"/>
      <c r="H1330" s="406"/>
      <c r="I1330" s="406"/>
      <c r="J1330" s="406"/>
      <c r="K1330" s="304"/>
      <c r="L1330" s="372"/>
      <c r="M1330" s="372"/>
      <c r="N1330" s="372"/>
      <c r="O1330" s="372"/>
      <c r="P1330" s="372"/>
      <c r="Q1330" s="304"/>
      <c r="R1330" s="304"/>
      <c r="S1330" s="304"/>
      <c r="T1330" s="304"/>
      <c r="U1330" s="304"/>
      <c r="V1330" s="304"/>
      <c r="AL1330" s="372" t="str">
        <f t="shared" si="50"/>
        <v/>
      </c>
    </row>
    <row r="1331" spans="1:38" ht="15" customHeight="1" outlineLevel="1" x14ac:dyDescent="0.2">
      <c r="A1331" s="403"/>
      <c r="B1331" s="403"/>
      <c r="C1331" s="403"/>
      <c r="D1331" s="404"/>
      <c r="E1331" s="405"/>
      <c r="F1331" s="405"/>
      <c r="G1331" s="403"/>
      <c r="H1331" s="406"/>
      <c r="I1331" s="406"/>
      <c r="J1331" s="406"/>
      <c r="K1331" s="304"/>
      <c r="L1331" s="372"/>
      <c r="M1331" s="372"/>
      <c r="N1331" s="372"/>
      <c r="O1331" s="372"/>
      <c r="P1331" s="372"/>
      <c r="Q1331" s="304"/>
      <c r="R1331" s="304"/>
      <c r="S1331" s="304"/>
      <c r="T1331" s="304"/>
      <c r="U1331" s="304"/>
      <c r="V1331" s="304"/>
      <c r="AL1331" s="372" t="str">
        <f t="shared" si="50"/>
        <v/>
      </c>
    </row>
    <row r="1332" spans="1:38" ht="15" customHeight="1" outlineLevel="1" x14ac:dyDescent="0.2">
      <c r="A1332" s="403"/>
      <c r="B1332" s="403"/>
      <c r="C1332" s="403"/>
      <c r="D1332" s="404"/>
      <c r="E1332" s="405"/>
      <c r="F1332" s="405"/>
      <c r="G1332" s="403"/>
      <c r="H1332" s="406"/>
      <c r="I1332" s="406"/>
      <c r="J1332" s="406"/>
      <c r="K1332" s="304"/>
      <c r="L1332" s="372"/>
      <c r="M1332" s="372"/>
      <c r="N1332" s="372"/>
      <c r="O1332" s="372"/>
      <c r="P1332" s="372"/>
      <c r="Q1332" s="304"/>
      <c r="R1332" s="304"/>
      <c r="S1332" s="304"/>
      <c r="T1332" s="304"/>
      <c r="U1332" s="304"/>
      <c r="V1332" s="304"/>
      <c r="AL1332" s="372" t="str">
        <f t="shared" si="50"/>
        <v/>
      </c>
    </row>
    <row r="1333" spans="1:38" ht="15" customHeight="1" outlineLevel="1" x14ac:dyDescent="0.2">
      <c r="A1333" s="403"/>
      <c r="B1333" s="403"/>
      <c r="C1333" s="403"/>
      <c r="D1333" s="404"/>
      <c r="E1333" s="405"/>
      <c r="F1333" s="405"/>
      <c r="G1333" s="403"/>
      <c r="H1333" s="406"/>
      <c r="I1333" s="406"/>
      <c r="J1333" s="406"/>
      <c r="K1333" s="304"/>
      <c r="L1333" s="372"/>
      <c r="M1333" s="372"/>
      <c r="N1333" s="372"/>
      <c r="O1333" s="372"/>
      <c r="P1333" s="372"/>
      <c r="Q1333" s="304"/>
      <c r="R1333" s="304"/>
      <c r="S1333" s="304"/>
      <c r="T1333" s="304"/>
      <c r="U1333" s="304"/>
      <c r="V1333" s="304"/>
      <c r="AL1333" s="372" t="str">
        <f t="shared" si="50"/>
        <v/>
      </c>
    </row>
    <row r="1334" spans="1:38" ht="15" customHeight="1" outlineLevel="1" x14ac:dyDescent="0.2">
      <c r="A1334" s="403"/>
      <c r="B1334" s="403"/>
      <c r="C1334" s="403"/>
      <c r="D1334" s="404"/>
      <c r="E1334" s="405"/>
      <c r="F1334" s="405"/>
      <c r="G1334" s="403"/>
      <c r="H1334" s="406"/>
      <c r="I1334" s="406"/>
      <c r="J1334" s="406"/>
      <c r="K1334" s="304"/>
      <c r="L1334" s="372"/>
      <c r="M1334" s="372"/>
      <c r="N1334" s="372"/>
      <c r="O1334" s="372"/>
      <c r="P1334" s="372"/>
      <c r="Q1334" s="304"/>
      <c r="R1334" s="304"/>
      <c r="S1334" s="304"/>
      <c r="T1334" s="304"/>
      <c r="U1334" s="304"/>
      <c r="V1334" s="304"/>
      <c r="AL1334" s="372" t="str">
        <f t="shared" si="50"/>
        <v/>
      </c>
    </row>
    <row r="1335" spans="1:38" ht="15" customHeight="1" outlineLevel="1" x14ac:dyDescent="0.2">
      <c r="A1335" s="403"/>
      <c r="B1335" s="403"/>
      <c r="C1335" s="403"/>
      <c r="D1335" s="404"/>
      <c r="E1335" s="405"/>
      <c r="F1335" s="405"/>
      <c r="G1335" s="403"/>
      <c r="H1335" s="406"/>
      <c r="I1335" s="406"/>
      <c r="J1335" s="406"/>
      <c r="K1335" s="304"/>
      <c r="L1335" s="372"/>
      <c r="M1335" s="372"/>
      <c r="N1335" s="372"/>
      <c r="O1335" s="372"/>
      <c r="P1335" s="372"/>
      <c r="Q1335" s="304"/>
      <c r="R1335" s="304"/>
      <c r="S1335" s="304"/>
      <c r="T1335" s="304"/>
      <c r="U1335" s="304"/>
      <c r="V1335" s="304"/>
      <c r="AL1335" s="372" t="str">
        <f t="shared" si="50"/>
        <v/>
      </c>
    </row>
    <row r="1336" spans="1:38" ht="15" customHeight="1" outlineLevel="1" x14ac:dyDescent="0.2">
      <c r="A1336" s="403"/>
      <c r="B1336" s="403"/>
      <c r="C1336" s="403"/>
      <c r="D1336" s="404"/>
      <c r="E1336" s="405"/>
      <c r="F1336" s="405"/>
      <c r="G1336" s="403"/>
      <c r="H1336" s="406"/>
      <c r="I1336" s="406"/>
      <c r="J1336" s="406"/>
      <c r="K1336" s="304"/>
      <c r="L1336" s="372"/>
      <c r="M1336" s="372"/>
      <c r="N1336" s="372"/>
      <c r="O1336" s="372"/>
      <c r="P1336" s="372"/>
      <c r="Q1336" s="304"/>
      <c r="R1336" s="304"/>
      <c r="S1336" s="304"/>
      <c r="T1336" s="304"/>
      <c r="U1336" s="304"/>
      <c r="V1336" s="304"/>
      <c r="AL1336" s="372" t="str">
        <f t="shared" si="50"/>
        <v/>
      </c>
    </row>
    <row r="1337" spans="1:38" ht="15" customHeight="1" outlineLevel="1" x14ac:dyDescent="0.2">
      <c r="A1337" s="403"/>
      <c r="B1337" s="403"/>
      <c r="C1337" s="403"/>
      <c r="D1337" s="404"/>
      <c r="E1337" s="405"/>
      <c r="F1337" s="405"/>
      <c r="G1337" s="403"/>
      <c r="H1337" s="406"/>
      <c r="I1337" s="406"/>
      <c r="J1337" s="406"/>
      <c r="K1337" s="304"/>
      <c r="L1337" s="372"/>
      <c r="M1337" s="372"/>
      <c r="N1337" s="372"/>
      <c r="O1337" s="372"/>
      <c r="P1337" s="372"/>
      <c r="Q1337" s="304"/>
      <c r="R1337" s="304"/>
      <c r="S1337" s="304"/>
      <c r="T1337" s="304"/>
      <c r="U1337" s="304"/>
      <c r="V1337" s="304"/>
      <c r="AL1337" s="372" t="str">
        <f t="shared" si="50"/>
        <v/>
      </c>
    </row>
    <row r="1338" spans="1:38" ht="15" customHeight="1" outlineLevel="1" x14ac:dyDescent="0.2">
      <c r="A1338" s="403"/>
      <c r="B1338" s="403"/>
      <c r="C1338" s="403"/>
      <c r="D1338" s="404"/>
      <c r="E1338" s="405"/>
      <c r="F1338" s="405"/>
      <c r="G1338" s="403"/>
      <c r="H1338" s="406"/>
      <c r="I1338" s="406"/>
      <c r="J1338" s="406"/>
      <c r="K1338" s="304"/>
      <c r="L1338" s="372"/>
      <c r="M1338" s="372"/>
      <c r="N1338" s="372"/>
      <c r="O1338" s="372"/>
      <c r="P1338" s="372"/>
      <c r="Q1338" s="304"/>
      <c r="R1338" s="304"/>
      <c r="S1338" s="304"/>
      <c r="T1338" s="304"/>
      <c r="U1338" s="304"/>
      <c r="V1338" s="304"/>
      <c r="AL1338" s="372" t="str">
        <f t="shared" si="50"/>
        <v/>
      </c>
    </row>
    <row r="1339" spans="1:38" ht="15" customHeight="1" outlineLevel="1" x14ac:dyDescent="0.2">
      <c r="A1339" s="403"/>
      <c r="B1339" s="403"/>
      <c r="C1339" s="403"/>
      <c r="D1339" s="404"/>
      <c r="E1339" s="405"/>
      <c r="F1339" s="405"/>
      <c r="G1339" s="403"/>
      <c r="H1339" s="406"/>
      <c r="I1339" s="406"/>
      <c r="J1339" s="406"/>
      <c r="K1339" s="304"/>
      <c r="L1339" s="372"/>
      <c r="M1339" s="372"/>
      <c r="N1339" s="372"/>
      <c r="O1339" s="372"/>
      <c r="P1339" s="372"/>
      <c r="Q1339" s="304"/>
      <c r="R1339" s="304"/>
      <c r="S1339" s="304"/>
      <c r="T1339" s="304"/>
      <c r="U1339" s="304"/>
      <c r="V1339" s="304"/>
      <c r="AL1339" s="372" t="str">
        <f t="shared" si="50"/>
        <v/>
      </c>
    </row>
    <row r="1340" spans="1:38" ht="15" customHeight="1" outlineLevel="1" x14ac:dyDescent="0.2">
      <c r="A1340" s="403"/>
      <c r="B1340" s="403"/>
      <c r="C1340" s="403"/>
      <c r="D1340" s="404"/>
      <c r="E1340" s="405"/>
      <c r="F1340" s="405"/>
      <c r="G1340" s="403"/>
      <c r="H1340" s="406"/>
      <c r="I1340" s="406"/>
      <c r="J1340" s="406"/>
      <c r="K1340" s="304"/>
      <c r="L1340" s="372"/>
      <c r="M1340" s="372"/>
      <c r="N1340" s="372"/>
      <c r="O1340" s="372"/>
      <c r="P1340" s="372"/>
      <c r="Q1340" s="304"/>
      <c r="R1340" s="304"/>
      <c r="S1340" s="304"/>
      <c r="T1340" s="304"/>
      <c r="U1340" s="304"/>
      <c r="V1340" s="304"/>
      <c r="AL1340" s="372" t="str">
        <f t="shared" si="50"/>
        <v/>
      </c>
    </row>
    <row r="1341" spans="1:38" ht="15" customHeight="1" outlineLevel="1" x14ac:dyDescent="0.2">
      <c r="A1341" s="403"/>
      <c r="B1341" s="403"/>
      <c r="C1341" s="403"/>
      <c r="D1341" s="404"/>
      <c r="E1341" s="405"/>
      <c r="F1341" s="405"/>
      <c r="G1341" s="403"/>
      <c r="H1341" s="406"/>
      <c r="I1341" s="406"/>
      <c r="J1341" s="406"/>
      <c r="K1341" s="304"/>
      <c r="L1341" s="372"/>
      <c r="M1341" s="372"/>
      <c r="N1341" s="372"/>
      <c r="O1341" s="372"/>
      <c r="P1341" s="372"/>
      <c r="Q1341" s="304"/>
      <c r="R1341" s="304"/>
      <c r="S1341" s="304"/>
      <c r="T1341" s="304"/>
      <c r="U1341" s="304"/>
      <c r="V1341" s="304"/>
      <c r="AL1341" s="372" t="str">
        <f t="shared" si="50"/>
        <v/>
      </c>
    </row>
    <row r="1342" spans="1:38" ht="15" customHeight="1" outlineLevel="1" x14ac:dyDescent="0.2">
      <c r="A1342" s="403"/>
      <c r="B1342" s="403"/>
      <c r="C1342" s="403"/>
      <c r="D1342" s="404"/>
      <c r="E1342" s="405"/>
      <c r="F1342" s="405"/>
      <c r="G1342" s="403"/>
      <c r="H1342" s="406"/>
      <c r="I1342" s="406"/>
      <c r="J1342" s="406"/>
      <c r="K1342" s="304"/>
      <c r="L1342" s="372"/>
      <c r="M1342" s="372"/>
      <c r="N1342" s="372"/>
      <c r="O1342" s="372"/>
      <c r="P1342" s="372"/>
      <c r="Q1342" s="304"/>
      <c r="R1342" s="304"/>
      <c r="S1342" s="304"/>
      <c r="T1342" s="304"/>
      <c r="U1342" s="304"/>
      <c r="V1342" s="304"/>
      <c r="AL1342" s="372" t="str">
        <f t="shared" si="50"/>
        <v/>
      </c>
    </row>
    <row r="1343" spans="1:38" ht="15" customHeight="1" outlineLevel="1" x14ac:dyDescent="0.2">
      <c r="A1343" s="403"/>
      <c r="B1343" s="403"/>
      <c r="C1343" s="403"/>
      <c r="D1343" s="404"/>
      <c r="E1343" s="405"/>
      <c r="F1343" s="405"/>
      <c r="G1343" s="403"/>
      <c r="H1343" s="406"/>
      <c r="I1343" s="406"/>
      <c r="J1343" s="406"/>
      <c r="K1343" s="304"/>
      <c r="L1343" s="372"/>
      <c r="M1343" s="372"/>
      <c r="N1343" s="372"/>
      <c r="O1343" s="372"/>
      <c r="P1343" s="372"/>
      <c r="Q1343" s="304"/>
      <c r="R1343" s="304"/>
      <c r="S1343" s="304"/>
      <c r="T1343" s="304"/>
      <c r="U1343" s="304"/>
      <c r="V1343" s="304"/>
      <c r="AL1343" s="372" t="str">
        <f t="shared" si="50"/>
        <v/>
      </c>
    </row>
    <row r="1344" spans="1:38" ht="15" customHeight="1" outlineLevel="1" x14ac:dyDescent="0.2">
      <c r="A1344" s="403"/>
      <c r="B1344" s="403"/>
      <c r="C1344" s="403"/>
      <c r="D1344" s="404"/>
      <c r="E1344" s="405"/>
      <c r="F1344" s="405"/>
      <c r="G1344" s="403"/>
      <c r="H1344" s="406"/>
      <c r="I1344" s="406"/>
      <c r="J1344" s="406"/>
      <c r="K1344" s="304"/>
      <c r="L1344" s="372"/>
      <c r="M1344" s="372"/>
      <c r="N1344" s="372"/>
      <c r="O1344" s="372"/>
      <c r="P1344" s="372"/>
      <c r="Q1344" s="304"/>
      <c r="R1344" s="304"/>
      <c r="S1344" s="304"/>
      <c r="T1344" s="304"/>
      <c r="U1344" s="304"/>
      <c r="V1344" s="304"/>
      <c r="AL1344" s="372" t="str">
        <f t="shared" si="50"/>
        <v/>
      </c>
    </row>
    <row r="1345" spans="1:38" ht="15" customHeight="1" outlineLevel="1" x14ac:dyDescent="0.2">
      <c r="A1345" s="403"/>
      <c r="B1345" s="403"/>
      <c r="C1345" s="403"/>
      <c r="D1345" s="404"/>
      <c r="E1345" s="405"/>
      <c r="F1345" s="405"/>
      <c r="G1345" s="403"/>
      <c r="H1345" s="406"/>
      <c r="I1345" s="406"/>
      <c r="J1345" s="406"/>
      <c r="K1345" s="304"/>
      <c r="L1345" s="372"/>
      <c r="M1345" s="372"/>
      <c r="N1345" s="372"/>
      <c r="O1345" s="372"/>
      <c r="P1345" s="372"/>
      <c r="Q1345" s="304"/>
      <c r="R1345" s="304"/>
      <c r="S1345" s="304"/>
      <c r="T1345" s="304"/>
      <c r="U1345" s="304"/>
      <c r="V1345" s="304"/>
      <c r="AL1345" s="372" t="str">
        <f t="shared" si="50"/>
        <v/>
      </c>
    </row>
    <row r="1346" spans="1:38" ht="15" customHeight="1" outlineLevel="1" x14ac:dyDescent="0.2">
      <c r="A1346" s="403"/>
      <c r="B1346" s="403"/>
      <c r="C1346" s="403"/>
      <c r="D1346" s="404"/>
      <c r="E1346" s="405"/>
      <c r="F1346" s="405"/>
      <c r="G1346" s="403"/>
      <c r="H1346" s="406"/>
      <c r="I1346" s="406"/>
      <c r="J1346" s="406"/>
      <c r="K1346" s="304"/>
      <c r="L1346" s="372"/>
      <c r="M1346" s="372"/>
      <c r="N1346" s="372"/>
      <c r="O1346" s="372"/>
      <c r="P1346" s="372"/>
      <c r="Q1346" s="304"/>
      <c r="R1346" s="304"/>
      <c r="S1346" s="304"/>
      <c r="T1346" s="304"/>
      <c r="U1346" s="304"/>
      <c r="V1346" s="304"/>
      <c r="AL1346" s="372" t="str">
        <f t="shared" si="50"/>
        <v/>
      </c>
    </row>
    <row r="1347" spans="1:38" ht="15" customHeight="1" outlineLevel="1" x14ac:dyDescent="0.2">
      <c r="A1347" s="403"/>
      <c r="B1347" s="403"/>
      <c r="C1347" s="403"/>
      <c r="D1347" s="404"/>
      <c r="E1347" s="405"/>
      <c r="F1347" s="405"/>
      <c r="G1347" s="403"/>
      <c r="H1347" s="406"/>
      <c r="I1347" s="406"/>
      <c r="J1347" s="406"/>
      <c r="K1347" s="304"/>
      <c r="L1347" s="372"/>
      <c r="M1347" s="372"/>
      <c r="N1347" s="372"/>
      <c r="O1347" s="372"/>
      <c r="P1347" s="372"/>
      <c r="Q1347" s="304"/>
      <c r="R1347" s="304"/>
      <c r="S1347" s="304"/>
      <c r="T1347" s="304"/>
      <c r="U1347" s="304"/>
      <c r="V1347" s="304"/>
      <c r="AL1347" s="372" t="str">
        <f t="shared" si="50"/>
        <v/>
      </c>
    </row>
    <row r="1348" spans="1:38" ht="15" customHeight="1" outlineLevel="1" x14ac:dyDescent="0.2">
      <c r="A1348" s="403"/>
      <c r="B1348" s="403"/>
      <c r="C1348" s="403"/>
      <c r="D1348" s="404"/>
      <c r="E1348" s="405"/>
      <c r="F1348" s="405"/>
      <c r="G1348" s="403"/>
      <c r="H1348" s="406"/>
      <c r="I1348" s="406"/>
      <c r="J1348" s="406"/>
      <c r="K1348" s="304"/>
      <c r="L1348" s="372"/>
      <c r="M1348" s="372"/>
      <c r="N1348" s="372"/>
      <c r="O1348" s="372"/>
      <c r="P1348" s="372"/>
      <c r="Q1348" s="304"/>
      <c r="R1348" s="304"/>
      <c r="S1348" s="304"/>
      <c r="T1348" s="304"/>
      <c r="U1348" s="304"/>
      <c r="V1348" s="304"/>
      <c r="AL1348" s="372" t="str">
        <f t="shared" si="50"/>
        <v/>
      </c>
    </row>
    <row r="1349" spans="1:38" ht="15" customHeight="1" outlineLevel="1" x14ac:dyDescent="0.2">
      <c r="A1349" s="403"/>
      <c r="B1349" s="403"/>
      <c r="C1349" s="403"/>
      <c r="D1349" s="404"/>
      <c r="E1349" s="405"/>
      <c r="F1349" s="405"/>
      <c r="G1349" s="403"/>
      <c r="H1349" s="406"/>
      <c r="I1349" s="406"/>
      <c r="J1349" s="406"/>
      <c r="K1349" s="304"/>
      <c r="L1349" s="372"/>
      <c r="M1349" s="372"/>
      <c r="N1349" s="372"/>
      <c r="O1349" s="372"/>
      <c r="P1349" s="372"/>
      <c r="Q1349" s="304"/>
      <c r="R1349" s="304"/>
      <c r="S1349" s="304"/>
      <c r="T1349" s="304"/>
      <c r="U1349" s="304"/>
      <c r="V1349" s="304"/>
      <c r="AL1349" s="372" t="str">
        <f t="shared" si="50"/>
        <v/>
      </c>
    </row>
    <row r="1350" spans="1:38" ht="15" customHeight="1" outlineLevel="1" x14ac:dyDescent="0.2">
      <c r="A1350" s="403"/>
      <c r="B1350" s="403"/>
      <c r="C1350" s="403"/>
      <c r="D1350" s="404"/>
      <c r="E1350" s="405"/>
      <c r="F1350" s="405"/>
      <c r="G1350" s="403"/>
      <c r="H1350" s="406"/>
      <c r="I1350" s="406"/>
      <c r="J1350" s="406"/>
      <c r="K1350" s="304"/>
      <c r="L1350" s="372"/>
      <c r="M1350" s="372"/>
      <c r="N1350" s="372"/>
      <c r="O1350" s="372"/>
      <c r="P1350" s="372"/>
      <c r="Q1350" s="304"/>
      <c r="R1350" s="304"/>
      <c r="S1350" s="304"/>
      <c r="T1350" s="304"/>
      <c r="U1350" s="304"/>
      <c r="V1350" s="304"/>
      <c r="AL1350" s="372" t="str">
        <f t="shared" si="50"/>
        <v/>
      </c>
    </row>
    <row r="1351" spans="1:38" ht="15" customHeight="1" outlineLevel="1" x14ac:dyDescent="0.2">
      <c r="A1351" s="403"/>
      <c r="B1351" s="403"/>
      <c r="C1351" s="403"/>
      <c r="D1351" s="404"/>
      <c r="E1351" s="405"/>
      <c r="F1351" s="405"/>
      <c r="G1351" s="403"/>
      <c r="H1351" s="406"/>
      <c r="I1351" s="406"/>
      <c r="J1351" s="406"/>
      <c r="K1351" s="304"/>
      <c r="L1351" s="372"/>
      <c r="M1351" s="372"/>
      <c r="N1351" s="372"/>
      <c r="O1351" s="372"/>
      <c r="P1351" s="372"/>
      <c r="Q1351" s="304"/>
      <c r="R1351" s="304"/>
      <c r="S1351" s="304"/>
      <c r="T1351" s="304"/>
      <c r="U1351" s="304"/>
      <c r="V1351" s="304"/>
      <c r="AL1351" s="372" t="str">
        <f t="shared" si="50"/>
        <v/>
      </c>
    </row>
    <row r="1352" spans="1:38" ht="15" customHeight="1" outlineLevel="1" x14ac:dyDescent="0.2">
      <c r="A1352" s="403"/>
      <c r="B1352" s="403"/>
      <c r="C1352" s="403"/>
      <c r="D1352" s="404"/>
      <c r="E1352" s="405"/>
      <c r="F1352" s="405"/>
      <c r="G1352" s="403"/>
      <c r="H1352" s="406"/>
      <c r="I1352" s="406"/>
      <c r="J1352" s="406"/>
      <c r="K1352" s="304"/>
      <c r="L1352" s="372"/>
      <c r="M1352" s="372"/>
      <c r="N1352" s="372"/>
      <c r="O1352" s="372"/>
      <c r="P1352" s="372"/>
      <c r="Q1352" s="304"/>
      <c r="R1352" s="304"/>
      <c r="S1352" s="304"/>
      <c r="T1352" s="304"/>
      <c r="U1352" s="304"/>
      <c r="V1352" s="304"/>
      <c r="AL1352" s="372" t="str">
        <f t="shared" si="50"/>
        <v/>
      </c>
    </row>
    <row r="1353" spans="1:38" ht="15" customHeight="1" outlineLevel="1" x14ac:dyDescent="0.2">
      <c r="A1353" s="403"/>
      <c r="B1353" s="403"/>
      <c r="C1353" s="403"/>
      <c r="D1353" s="404"/>
      <c r="E1353" s="405"/>
      <c r="F1353" s="405"/>
      <c r="G1353" s="403"/>
      <c r="H1353" s="406"/>
      <c r="I1353" s="406"/>
      <c r="J1353" s="406"/>
      <c r="K1353" s="304"/>
      <c r="L1353" s="372"/>
      <c r="M1353" s="372"/>
      <c r="N1353" s="372"/>
      <c r="O1353" s="372"/>
      <c r="P1353" s="372"/>
      <c r="Q1353" s="304"/>
      <c r="R1353" s="304"/>
      <c r="S1353" s="304"/>
      <c r="T1353" s="304"/>
      <c r="U1353" s="304"/>
      <c r="V1353" s="304"/>
      <c r="AL1353" s="372" t="str">
        <f t="shared" si="50"/>
        <v/>
      </c>
    </row>
    <row r="1354" spans="1:38" ht="15" customHeight="1" outlineLevel="1" x14ac:dyDescent="0.2">
      <c r="A1354" s="403"/>
      <c r="B1354" s="403"/>
      <c r="C1354" s="403"/>
      <c r="D1354" s="404"/>
      <c r="E1354" s="405"/>
      <c r="F1354" s="405"/>
      <c r="G1354" s="403"/>
      <c r="H1354" s="406"/>
      <c r="I1354" s="406"/>
      <c r="J1354" s="406"/>
      <c r="K1354" s="304"/>
      <c r="L1354" s="372"/>
      <c r="M1354" s="372"/>
      <c r="N1354" s="372"/>
      <c r="O1354" s="372"/>
      <c r="P1354" s="372"/>
      <c r="Q1354" s="304"/>
      <c r="R1354" s="304"/>
      <c r="S1354" s="304"/>
      <c r="T1354" s="304"/>
      <c r="U1354" s="304"/>
      <c r="V1354" s="304"/>
      <c r="AL1354" s="372" t="str">
        <f t="shared" si="50"/>
        <v/>
      </c>
    </row>
    <row r="1355" spans="1:38" ht="15" customHeight="1" outlineLevel="1" x14ac:dyDescent="0.2">
      <c r="A1355" s="403"/>
      <c r="B1355" s="403"/>
      <c r="C1355" s="403"/>
      <c r="D1355" s="404"/>
      <c r="E1355" s="405"/>
      <c r="F1355" s="405"/>
      <c r="G1355" s="403"/>
      <c r="H1355" s="406"/>
      <c r="I1355" s="406"/>
      <c r="J1355" s="406"/>
      <c r="K1355" s="304"/>
      <c r="L1355" s="372"/>
      <c r="M1355" s="372"/>
      <c r="N1355" s="372"/>
      <c r="O1355" s="372"/>
      <c r="P1355" s="372"/>
      <c r="Q1355" s="304"/>
      <c r="R1355" s="304"/>
      <c r="S1355" s="304"/>
      <c r="T1355" s="304"/>
      <c r="U1355" s="304"/>
      <c r="V1355" s="304"/>
      <c r="AL1355" s="372" t="str">
        <f t="shared" si="50"/>
        <v/>
      </c>
    </row>
    <row r="1356" spans="1:38" ht="15" customHeight="1" outlineLevel="1" x14ac:dyDescent="0.2">
      <c r="A1356" s="403"/>
      <c r="B1356" s="403"/>
      <c r="C1356" s="403"/>
      <c r="D1356" s="404"/>
      <c r="E1356" s="405"/>
      <c r="F1356" s="405"/>
      <c r="G1356" s="403"/>
      <c r="H1356" s="406"/>
      <c r="I1356" s="406"/>
      <c r="J1356" s="406"/>
      <c r="K1356" s="304"/>
      <c r="L1356" s="372"/>
      <c r="M1356" s="372"/>
      <c r="N1356" s="372"/>
      <c r="O1356" s="372"/>
      <c r="P1356" s="372"/>
      <c r="Q1356" s="304"/>
      <c r="R1356" s="304"/>
      <c r="S1356" s="304"/>
      <c r="T1356" s="304"/>
      <c r="U1356" s="304"/>
      <c r="V1356" s="304"/>
      <c r="AL1356" s="372" t="str">
        <f t="shared" si="50"/>
        <v/>
      </c>
    </row>
    <row r="1357" spans="1:38" ht="15" customHeight="1" outlineLevel="1" x14ac:dyDescent="0.2">
      <c r="A1357" s="403"/>
      <c r="B1357" s="403"/>
      <c r="C1357" s="403"/>
      <c r="D1357" s="404"/>
      <c r="E1357" s="405"/>
      <c r="F1357" s="405"/>
      <c r="G1357" s="403"/>
      <c r="H1357" s="406"/>
      <c r="I1357" s="406"/>
      <c r="J1357" s="406"/>
      <c r="K1357" s="304"/>
      <c r="L1357" s="372"/>
      <c r="M1357" s="372"/>
      <c r="N1357" s="372"/>
      <c r="O1357" s="372"/>
      <c r="P1357" s="372"/>
      <c r="Q1357" s="304"/>
      <c r="R1357" s="304"/>
      <c r="S1357" s="304"/>
      <c r="T1357" s="304"/>
      <c r="U1357" s="304"/>
      <c r="V1357" s="304"/>
      <c r="AL1357" s="372" t="str">
        <f t="shared" si="50"/>
        <v/>
      </c>
    </row>
    <row r="1358" spans="1:38" ht="15" customHeight="1" outlineLevel="1" x14ac:dyDescent="0.2">
      <c r="A1358" s="403"/>
      <c r="B1358" s="403"/>
      <c r="C1358" s="403"/>
      <c r="D1358" s="404"/>
      <c r="E1358" s="405"/>
      <c r="F1358" s="405"/>
      <c r="G1358" s="403"/>
      <c r="H1358" s="406"/>
      <c r="I1358" s="406"/>
      <c r="J1358" s="406"/>
      <c r="K1358" s="304"/>
      <c r="L1358" s="372"/>
      <c r="M1358" s="372"/>
      <c r="N1358" s="372"/>
      <c r="O1358" s="372"/>
      <c r="P1358" s="372"/>
      <c r="Q1358" s="304"/>
      <c r="R1358" s="304"/>
      <c r="S1358" s="304"/>
      <c r="T1358" s="304"/>
      <c r="U1358" s="304"/>
      <c r="V1358" s="304"/>
      <c r="AL1358" s="372" t="str">
        <f t="shared" si="50"/>
        <v/>
      </c>
    </row>
    <row r="1359" spans="1:38" ht="15" customHeight="1" outlineLevel="1" x14ac:dyDescent="0.2">
      <c r="A1359" s="403"/>
      <c r="B1359" s="403"/>
      <c r="C1359" s="403"/>
      <c r="D1359" s="404"/>
      <c r="E1359" s="405"/>
      <c r="F1359" s="405"/>
      <c r="G1359" s="403"/>
      <c r="H1359" s="406"/>
      <c r="I1359" s="406"/>
      <c r="J1359" s="406"/>
      <c r="K1359" s="304"/>
      <c r="L1359" s="372"/>
      <c r="M1359" s="372"/>
      <c r="N1359" s="372"/>
      <c r="O1359" s="372"/>
      <c r="P1359" s="372"/>
      <c r="Q1359" s="304"/>
      <c r="R1359" s="304"/>
      <c r="S1359" s="304"/>
      <c r="T1359" s="304"/>
      <c r="U1359" s="304"/>
      <c r="V1359" s="304"/>
      <c r="AL1359" s="372" t="str">
        <f t="shared" si="50"/>
        <v/>
      </c>
    </row>
    <row r="1360" spans="1:38" ht="15" customHeight="1" outlineLevel="1" x14ac:dyDescent="0.2">
      <c r="A1360" s="403"/>
      <c r="B1360" s="403"/>
      <c r="C1360" s="403"/>
      <c r="D1360" s="404"/>
      <c r="E1360" s="405"/>
      <c r="F1360" s="405"/>
      <c r="G1360" s="403"/>
      <c r="H1360" s="406"/>
      <c r="I1360" s="406"/>
      <c r="J1360" s="406"/>
      <c r="K1360" s="304"/>
      <c r="L1360" s="372"/>
      <c r="M1360" s="372"/>
      <c r="N1360" s="372"/>
      <c r="O1360" s="372"/>
      <c r="P1360" s="372"/>
      <c r="Q1360" s="304"/>
      <c r="R1360" s="304"/>
      <c r="S1360" s="304"/>
      <c r="T1360" s="304"/>
      <c r="U1360" s="304"/>
      <c r="V1360" s="304"/>
      <c r="AL1360" s="372" t="str">
        <f t="shared" si="50"/>
        <v/>
      </c>
    </row>
    <row r="1361" spans="1:38" ht="15" customHeight="1" outlineLevel="1" x14ac:dyDescent="0.2">
      <c r="A1361" s="403"/>
      <c r="B1361" s="403"/>
      <c r="C1361" s="403"/>
      <c r="D1361" s="404"/>
      <c r="E1361" s="405"/>
      <c r="F1361" s="405"/>
      <c r="G1361" s="403"/>
      <c r="H1361" s="406"/>
      <c r="I1361" s="406"/>
      <c r="J1361" s="406"/>
      <c r="K1361" s="304"/>
      <c r="L1361" s="372"/>
      <c r="M1361" s="372"/>
      <c r="N1361" s="372"/>
      <c r="O1361" s="372"/>
      <c r="P1361" s="372"/>
      <c r="Q1361" s="304"/>
      <c r="R1361" s="304"/>
      <c r="S1361" s="304"/>
      <c r="T1361" s="304"/>
      <c r="U1361" s="304"/>
      <c r="V1361" s="304"/>
      <c r="AL1361" s="372" t="str">
        <f t="shared" ref="AL1361:AL1424" si="51">IF(($C1361=$AG$245)*($N1361&gt;0)*ISNUMBER($I1361),$I1361*100000+ROW(),"")</f>
        <v/>
      </c>
    </row>
    <row r="1362" spans="1:38" ht="15" customHeight="1" outlineLevel="1" x14ac:dyDescent="0.2">
      <c r="A1362" s="403"/>
      <c r="B1362" s="403"/>
      <c r="C1362" s="403"/>
      <c r="D1362" s="404"/>
      <c r="E1362" s="405"/>
      <c r="F1362" s="405"/>
      <c r="G1362" s="403"/>
      <c r="H1362" s="406"/>
      <c r="I1362" s="406"/>
      <c r="J1362" s="406"/>
      <c r="K1362" s="304"/>
      <c r="L1362" s="372"/>
      <c r="M1362" s="372"/>
      <c r="N1362" s="372"/>
      <c r="O1362" s="372"/>
      <c r="P1362" s="372"/>
      <c r="Q1362" s="304"/>
      <c r="R1362" s="304"/>
      <c r="S1362" s="304"/>
      <c r="T1362" s="304"/>
      <c r="U1362" s="304"/>
      <c r="V1362" s="304"/>
      <c r="AL1362" s="372" t="str">
        <f t="shared" si="51"/>
        <v/>
      </c>
    </row>
    <row r="1363" spans="1:38" ht="15" customHeight="1" outlineLevel="1" x14ac:dyDescent="0.2">
      <c r="A1363" s="403"/>
      <c r="B1363" s="403"/>
      <c r="C1363" s="403"/>
      <c r="D1363" s="404"/>
      <c r="E1363" s="405"/>
      <c r="F1363" s="405"/>
      <c r="G1363" s="403"/>
      <c r="H1363" s="406"/>
      <c r="I1363" s="406"/>
      <c r="J1363" s="406"/>
      <c r="K1363" s="304"/>
      <c r="L1363" s="372"/>
      <c r="M1363" s="372"/>
      <c r="N1363" s="372"/>
      <c r="O1363" s="372"/>
      <c r="P1363" s="372"/>
      <c r="Q1363" s="304"/>
      <c r="R1363" s="304"/>
      <c r="S1363" s="304"/>
      <c r="T1363" s="304"/>
      <c r="U1363" s="304"/>
      <c r="V1363" s="304"/>
      <c r="AL1363" s="372" t="str">
        <f t="shared" si="51"/>
        <v/>
      </c>
    </row>
    <row r="1364" spans="1:38" ht="15" customHeight="1" outlineLevel="1" x14ac:dyDescent="0.2">
      <c r="A1364" s="403"/>
      <c r="B1364" s="403"/>
      <c r="C1364" s="403"/>
      <c r="D1364" s="404"/>
      <c r="E1364" s="405"/>
      <c r="F1364" s="405"/>
      <c r="G1364" s="403"/>
      <c r="H1364" s="406"/>
      <c r="I1364" s="406"/>
      <c r="J1364" s="406"/>
      <c r="K1364" s="304"/>
      <c r="L1364" s="372"/>
      <c r="M1364" s="372"/>
      <c r="N1364" s="372"/>
      <c r="O1364" s="372"/>
      <c r="P1364" s="372"/>
      <c r="Q1364" s="304"/>
      <c r="R1364" s="304"/>
      <c r="S1364" s="304"/>
      <c r="T1364" s="304"/>
      <c r="U1364" s="304"/>
      <c r="V1364" s="304"/>
      <c r="AL1364" s="372" t="str">
        <f t="shared" si="51"/>
        <v/>
      </c>
    </row>
    <row r="1365" spans="1:38" ht="15" customHeight="1" outlineLevel="1" x14ac:dyDescent="0.2">
      <c r="A1365" s="403"/>
      <c r="B1365" s="403"/>
      <c r="C1365" s="403"/>
      <c r="D1365" s="404"/>
      <c r="E1365" s="405"/>
      <c r="F1365" s="405"/>
      <c r="G1365" s="403"/>
      <c r="H1365" s="406"/>
      <c r="I1365" s="406"/>
      <c r="J1365" s="406"/>
      <c r="K1365" s="304"/>
      <c r="L1365" s="372"/>
      <c r="M1365" s="372"/>
      <c r="N1365" s="372"/>
      <c r="O1365" s="372"/>
      <c r="P1365" s="372"/>
      <c r="Q1365" s="304"/>
      <c r="R1365" s="304"/>
      <c r="S1365" s="304"/>
      <c r="T1365" s="304"/>
      <c r="U1365" s="304"/>
      <c r="V1365" s="304"/>
      <c r="AL1365" s="372" t="str">
        <f t="shared" si="51"/>
        <v/>
      </c>
    </row>
    <row r="1366" spans="1:38" ht="15" customHeight="1" outlineLevel="1" x14ac:dyDescent="0.2">
      <c r="A1366" s="403"/>
      <c r="B1366" s="403"/>
      <c r="C1366" s="403"/>
      <c r="D1366" s="404"/>
      <c r="E1366" s="405"/>
      <c r="F1366" s="405"/>
      <c r="G1366" s="403"/>
      <c r="H1366" s="406"/>
      <c r="I1366" s="406"/>
      <c r="J1366" s="406"/>
      <c r="K1366" s="304"/>
      <c r="L1366" s="372"/>
      <c r="M1366" s="372"/>
      <c r="N1366" s="372"/>
      <c r="O1366" s="372"/>
      <c r="P1366" s="372"/>
      <c r="Q1366" s="304"/>
      <c r="R1366" s="304"/>
      <c r="S1366" s="304"/>
      <c r="T1366" s="304"/>
      <c r="U1366" s="304"/>
      <c r="V1366" s="304"/>
      <c r="AL1366" s="372" t="str">
        <f t="shared" si="51"/>
        <v/>
      </c>
    </row>
    <row r="1367" spans="1:38" ht="15" customHeight="1" outlineLevel="1" x14ac:dyDescent="0.2">
      <c r="A1367" s="403"/>
      <c r="B1367" s="403"/>
      <c r="C1367" s="403"/>
      <c r="D1367" s="404"/>
      <c r="E1367" s="405"/>
      <c r="F1367" s="405"/>
      <c r="G1367" s="403"/>
      <c r="H1367" s="406"/>
      <c r="I1367" s="406"/>
      <c r="J1367" s="406"/>
      <c r="K1367" s="304"/>
      <c r="L1367" s="372"/>
      <c r="M1367" s="372"/>
      <c r="N1367" s="372"/>
      <c r="O1367" s="372"/>
      <c r="P1367" s="372"/>
      <c r="Q1367" s="304"/>
      <c r="R1367" s="304"/>
      <c r="S1367" s="304"/>
      <c r="T1367" s="304"/>
      <c r="U1367" s="304"/>
      <c r="V1367" s="304"/>
      <c r="AL1367" s="372" t="str">
        <f t="shared" si="51"/>
        <v/>
      </c>
    </row>
    <row r="1368" spans="1:38" ht="15" customHeight="1" outlineLevel="1" x14ac:dyDescent="0.2">
      <c r="A1368" s="403"/>
      <c r="B1368" s="403"/>
      <c r="C1368" s="403"/>
      <c r="D1368" s="404"/>
      <c r="E1368" s="405"/>
      <c r="F1368" s="405"/>
      <c r="G1368" s="403"/>
      <c r="H1368" s="406"/>
      <c r="I1368" s="406"/>
      <c r="J1368" s="406"/>
      <c r="K1368" s="304"/>
      <c r="L1368" s="372"/>
      <c r="M1368" s="372"/>
      <c r="N1368" s="372"/>
      <c r="O1368" s="372"/>
      <c r="P1368" s="372"/>
      <c r="Q1368" s="304"/>
      <c r="R1368" s="304"/>
      <c r="S1368" s="304"/>
      <c r="T1368" s="304"/>
      <c r="U1368" s="304"/>
      <c r="V1368" s="304"/>
      <c r="AL1368" s="372" t="str">
        <f t="shared" si="51"/>
        <v/>
      </c>
    </row>
    <row r="1369" spans="1:38" ht="15" customHeight="1" outlineLevel="1" x14ac:dyDescent="0.2">
      <c r="A1369" s="403"/>
      <c r="B1369" s="403"/>
      <c r="C1369" s="403"/>
      <c r="D1369" s="404"/>
      <c r="E1369" s="405"/>
      <c r="F1369" s="405"/>
      <c r="G1369" s="403"/>
      <c r="H1369" s="406"/>
      <c r="I1369" s="406"/>
      <c r="J1369" s="406"/>
      <c r="K1369" s="304"/>
      <c r="L1369" s="372"/>
      <c r="M1369" s="372"/>
      <c r="N1369" s="372"/>
      <c r="O1369" s="372"/>
      <c r="P1369" s="372"/>
      <c r="Q1369" s="304"/>
      <c r="R1369" s="304"/>
      <c r="S1369" s="304"/>
      <c r="T1369" s="304"/>
      <c r="U1369" s="304"/>
      <c r="V1369" s="304"/>
      <c r="AL1369" s="372" t="str">
        <f t="shared" si="51"/>
        <v/>
      </c>
    </row>
    <row r="1370" spans="1:38" ht="15" customHeight="1" outlineLevel="1" x14ac:dyDescent="0.2">
      <c r="A1370" s="403"/>
      <c r="B1370" s="403"/>
      <c r="C1370" s="403"/>
      <c r="D1370" s="404"/>
      <c r="E1370" s="405"/>
      <c r="F1370" s="405"/>
      <c r="G1370" s="403"/>
      <c r="H1370" s="406"/>
      <c r="I1370" s="406"/>
      <c r="J1370" s="406"/>
      <c r="K1370" s="304"/>
      <c r="L1370" s="372"/>
      <c r="M1370" s="372"/>
      <c r="N1370" s="372"/>
      <c r="O1370" s="372"/>
      <c r="P1370" s="372"/>
      <c r="Q1370" s="304"/>
      <c r="R1370" s="304"/>
      <c r="S1370" s="304"/>
      <c r="T1370" s="304"/>
      <c r="U1370" s="304"/>
      <c r="V1370" s="304"/>
      <c r="AL1370" s="372" t="str">
        <f t="shared" si="51"/>
        <v/>
      </c>
    </row>
    <row r="1371" spans="1:38" ht="15" customHeight="1" outlineLevel="1" x14ac:dyDescent="0.2">
      <c r="A1371" s="403"/>
      <c r="B1371" s="403"/>
      <c r="C1371" s="403"/>
      <c r="D1371" s="404"/>
      <c r="E1371" s="405"/>
      <c r="F1371" s="405"/>
      <c r="G1371" s="403"/>
      <c r="H1371" s="406"/>
      <c r="I1371" s="406"/>
      <c r="J1371" s="406"/>
      <c r="K1371" s="304"/>
      <c r="L1371" s="372"/>
      <c r="M1371" s="372"/>
      <c r="N1371" s="372"/>
      <c r="O1371" s="372"/>
      <c r="P1371" s="372"/>
      <c r="Q1371" s="304"/>
      <c r="R1371" s="304"/>
      <c r="S1371" s="304"/>
      <c r="T1371" s="304"/>
      <c r="U1371" s="304"/>
      <c r="V1371" s="304"/>
      <c r="AL1371" s="372" t="str">
        <f t="shared" si="51"/>
        <v/>
      </c>
    </row>
    <row r="1372" spans="1:38" ht="15" customHeight="1" outlineLevel="1" x14ac:dyDescent="0.2">
      <c r="A1372" s="403"/>
      <c r="B1372" s="403"/>
      <c r="C1372" s="403"/>
      <c r="D1372" s="404"/>
      <c r="E1372" s="405"/>
      <c r="F1372" s="405"/>
      <c r="G1372" s="403"/>
      <c r="H1372" s="406"/>
      <c r="I1372" s="406"/>
      <c r="J1372" s="406"/>
      <c r="K1372" s="304"/>
      <c r="L1372" s="372"/>
      <c r="M1372" s="372"/>
      <c r="N1372" s="372"/>
      <c r="O1372" s="372"/>
      <c r="P1372" s="372"/>
      <c r="Q1372" s="304"/>
      <c r="R1372" s="304"/>
      <c r="S1372" s="304"/>
      <c r="T1372" s="304"/>
      <c r="U1372" s="304"/>
      <c r="V1372" s="304"/>
      <c r="AL1372" s="372" t="str">
        <f t="shared" si="51"/>
        <v/>
      </c>
    </row>
    <row r="1373" spans="1:38" ht="15" customHeight="1" outlineLevel="1" x14ac:dyDescent="0.2">
      <c r="A1373" s="403"/>
      <c r="B1373" s="403"/>
      <c r="C1373" s="403"/>
      <c r="D1373" s="404"/>
      <c r="E1373" s="405"/>
      <c r="F1373" s="405"/>
      <c r="G1373" s="403"/>
      <c r="H1373" s="406"/>
      <c r="I1373" s="406"/>
      <c r="J1373" s="406"/>
      <c r="K1373" s="304"/>
      <c r="L1373" s="372"/>
      <c r="M1373" s="372"/>
      <c r="N1373" s="372"/>
      <c r="O1373" s="372"/>
      <c r="P1373" s="372"/>
      <c r="Q1373" s="304"/>
      <c r="R1373" s="304"/>
      <c r="S1373" s="304"/>
      <c r="T1373" s="304"/>
      <c r="U1373" s="304"/>
      <c r="V1373" s="304"/>
      <c r="AL1373" s="372" t="str">
        <f t="shared" si="51"/>
        <v/>
      </c>
    </row>
    <row r="1374" spans="1:38" ht="15" customHeight="1" outlineLevel="1" x14ac:dyDescent="0.2">
      <c r="A1374" s="403"/>
      <c r="B1374" s="403"/>
      <c r="C1374" s="403"/>
      <c r="D1374" s="404"/>
      <c r="E1374" s="405"/>
      <c r="F1374" s="405"/>
      <c r="G1374" s="403"/>
      <c r="H1374" s="406"/>
      <c r="I1374" s="406"/>
      <c r="J1374" s="406"/>
      <c r="K1374" s="304"/>
      <c r="L1374" s="372"/>
      <c r="M1374" s="372"/>
      <c r="N1374" s="372"/>
      <c r="O1374" s="372"/>
      <c r="P1374" s="372"/>
      <c r="Q1374" s="304"/>
      <c r="R1374" s="304"/>
      <c r="S1374" s="304"/>
      <c r="T1374" s="304"/>
      <c r="U1374" s="304"/>
      <c r="V1374" s="304"/>
      <c r="AL1374" s="372" t="str">
        <f t="shared" si="51"/>
        <v/>
      </c>
    </row>
    <row r="1375" spans="1:38" ht="15" customHeight="1" outlineLevel="1" x14ac:dyDescent="0.2">
      <c r="A1375" s="403"/>
      <c r="B1375" s="403"/>
      <c r="C1375" s="403"/>
      <c r="D1375" s="404"/>
      <c r="E1375" s="405"/>
      <c r="F1375" s="405"/>
      <c r="G1375" s="403"/>
      <c r="H1375" s="406"/>
      <c r="I1375" s="406"/>
      <c r="J1375" s="406"/>
      <c r="K1375" s="304"/>
      <c r="L1375" s="372"/>
      <c r="M1375" s="372"/>
      <c r="N1375" s="372"/>
      <c r="O1375" s="372"/>
      <c r="P1375" s="372"/>
      <c r="Q1375" s="304"/>
      <c r="R1375" s="304"/>
      <c r="S1375" s="304"/>
      <c r="T1375" s="304"/>
      <c r="U1375" s="304"/>
      <c r="V1375" s="304"/>
      <c r="AL1375" s="372" t="str">
        <f t="shared" si="51"/>
        <v/>
      </c>
    </row>
    <row r="1376" spans="1:38" ht="15" customHeight="1" outlineLevel="1" x14ac:dyDescent="0.2">
      <c r="A1376" s="403"/>
      <c r="B1376" s="403"/>
      <c r="C1376" s="403"/>
      <c r="D1376" s="404"/>
      <c r="E1376" s="405"/>
      <c r="F1376" s="405"/>
      <c r="G1376" s="403"/>
      <c r="H1376" s="406"/>
      <c r="I1376" s="406"/>
      <c r="J1376" s="406"/>
      <c r="K1376" s="304"/>
      <c r="L1376" s="372"/>
      <c r="M1376" s="372"/>
      <c r="N1376" s="372"/>
      <c r="O1376" s="372"/>
      <c r="P1376" s="372"/>
      <c r="Q1376" s="304"/>
      <c r="R1376" s="304"/>
      <c r="S1376" s="304"/>
      <c r="T1376" s="304"/>
      <c r="U1376" s="304"/>
      <c r="V1376" s="304"/>
      <c r="AL1376" s="372" t="str">
        <f t="shared" si="51"/>
        <v/>
      </c>
    </row>
    <row r="1377" spans="1:38" ht="15" customHeight="1" outlineLevel="1" x14ac:dyDescent="0.2">
      <c r="A1377" s="403"/>
      <c r="B1377" s="403"/>
      <c r="C1377" s="403"/>
      <c r="D1377" s="404"/>
      <c r="E1377" s="405"/>
      <c r="F1377" s="405"/>
      <c r="G1377" s="403"/>
      <c r="H1377" s="406"/>
      <c r="I1377" s="406"/>
      <c r="J1377" s="406"/>
      <c r="K1377" s="304"/>
      <c r="L1377" s="372"/>
      <c r="M1377" s="372"/>
      <c r="N1377" s="372"/>
      <c r="O1377" s="372"/>
      <c r="P1377" s="372"/>
      <c r="Q1377" s="304"/>
      <c r="R1377" s="304"/>
      <c r="S1377" s="304"/>
      <c r="T1377" s="304"/>
      <c r="U1377" s="304"/>
      <c r="V1377" s="304"/>
      <c r="AL1377" s="372" t="str">
        <f t="shared" si="51"/>
        <v/>
      </c>
    </row>
    <row r="1378" spans="1:38" ht="15" customHeight="1" outlineLevel="1" x14ac:dyDescent="0.2">
      <c r="A1378" s="403"/>
      <c r="B1378" s="403"/>
      <c r="C1378" s="403"/>
      <c r="D1378" s="404"/>
      <c r="E1378" s="405"/>
      <c r="F1378" s="405"/>
      <c r="G1378" s="403"/>
      <c r="H1378" s="406"/>
      <c r="I1378" s="406"/>
      <c r="J1378" s="406"/>
      <c r="K1378" s="304"/>
      <c r="L1378" s="372"/>
      <c r="M1378" s="372"/>
      <c r="N1378" s="372"/>
      <c r="O1378" s="372"/>
      <c r="P1378" s="372"/>
      <c r="Q1378" s="304"/>
      <c r="R1378" s="304"/>
      <c r="S1378" s="304"/>
      <c r="T1378" s="304"/>
      <c r="U1378" s="304"/>
      <c r="V1378" s="304"/>
      <c r="AL1378" s="372" t="str">
        <f t="shared" si="51"/>
        <v/>
      </c>
    </row>
    <row r="1379" spans="1:38" ht="15" customHeight="1" outlineLevel="1" x14ac:dyDescent="0.2">
      <c r="A1379" s="403"/>
      <c r="B1379" s="403"/>
      <c r="C1379" s="403"/>
      <c r="D1379" s="404"/>
      <c r="E1379" s="405"/>
      <c r="F1379" s="405"/>
      <c r="G1379" s="403"/>
      <c r="H1379" s="406"/>
      <c r="I1379" s="406"/>
      <c r="J1379" s="406"/>
      <c r="K1379" s="304"/>
      <c r="L1379" s="372"/>
      <c r="M1379" s="372"/>
      <c r="N1379" s="372"/>
      <c r="O1379" s="372"/>
      <c r="P1379" s="372"/>
      <c r="Q1379" s="304"/>
      <c r="R1379" s="304"/>
      <c r="S1379" s="304"/>
      <c r="T1379" s="304"/>
      <c r="U1379" s="304"/>
      <c r="V1379" s="304"/>
      <c r="AL1379" s="372" t="str">
        <f t="shared" si="51"/>
        <v/>
      </c>
    </row>
    <row r="1380" spans="1:38" ht="15" customHeight="1" outlineLevel="1" x14ac:dyDescent="0.2">
      <c r="A1380" s="403"/>
      <c r="B1380" s="403"/>
      <c r="C1380" s="403"/>
      <c r="D1380" s="404"/>
      <c r="E1380" s="405"/>
      <c r="F1380" s="405"/>
      <c r="G1380" s="403"/>
      <c r="H1380" s="406"/>
      <c r="I1380" s="406"/>
      <c r="J1380" s="406"/>
      <c r="K1380" s="304"/>
      <c r="L1380" s="372"/>
      <c r="M1380" s="372"/>
      <c r="N1380" s="372"/>
      <c r="O1380" s="372"/>
      <c r="P1380" s="372"/>
      <c r="Q1380" s="304"/>
      <c r="R1380" s="304"/>
      <c r="S1380" s="304"/>
      <c r="T1380" s="304"/>
      <c r="U1380" s="304"/>
      <c r="V1380" s="304"/>
      <c r="AL1380" s="372" t="str">
        <f t="shared" si="51"/>
        <v/>
      </c>
    </row>
    <row r="1381" spans="1:38" ht="15" customHeight="1" outlineLevel="1" x14ac:dyDescent="0.2">
      <c r="A1381" s="403"/>
      <c r="B1381" s="403"/>
      <c r="C1381" s="403"/>
      <c r="D1381" s="404"/>
      <c r="E1381" s="405"/>
      <c r="F1381" s="405"/>
      <c r="G1381" s="403"/>
      <c r="H1381" s="406"/>
      <c r="I1381" s="406"/>
      <c r="J1381" s="406"/>
      <c r="K1381" s="304"/>
      <c r="L1381" s="372"/>
      <c r="M1381" s="372"/>
      <c r="N1381" s="372"/>
      <c r="O1381" s="372"/>
      <c r="P1381" s="372"/>
      <c r="Q1381" s="304"/>
      <c r="R1381" s="304"/>
      <c r="S1381" s="304"/>
      <c r="T1381" s="304"/>
      <c r="U1381" s="304"/>
      <c r="V1381" s="304"/>
      <c r="AL1381" s="372" t="str">
        <f t="shared" si="51"/>
        <v/>
      </c>
    </row>
    <row r="1382" spans="1:38" ht="15" customHeight="1" outlineLevel="1" x14ac:dyDescent="0.2">
      <c r="A1382" s="403"/>
      <c r="B1382" s="403"/>
      <c r="C1382" s="403"/>
      <c r="D1382" s="404"/>
      <c r="E1382" s="405"/>
      <c r="F1382" s="405"/>
      <c r="G1382" s="403"/>
      <c r="H1382" s="406"/>
      <c r="I1382" s="406"/>
      <c r="J1382" s="406"/>
      <c r="K1382" s="304"/>
      <c r="L1382" s="372"/>
      <c r="M1382" s="372"/>
      <c r="N1382" s="372"/>
      <c r="O1382" s="372"/>
      <c r="P1382" s="372"/>
      <c r="Q1382" s="304"/>
      <c r="R1382" s="304"/>
      <c r="S1382" s="304"/>
      <c r="T1382" s="304"/>
      <c r="U1382" s="304"/>
      <c r="V1382" s="304"/>
      <c r="AL1382" s="372" t="str">
        <f t="shared" si="51"/>
        <v/>
      </c>
    </row>
    <row r="1383" spans="1:38" ht="15" customHeight="1" outlineLevel="1" x14ac:dyDescent="0.2">
      <c r="A1383" s="403"/>
      <c r="B1383" s="403"/>
      <c r="C1383" s="403"/>
      <c r="D1383" s="404"/>
      <c r="E1383" s="405"/>
      <c r="F1383" s="405"/>
      <c r="G1383" s="403"/>
      <c r="H1383" s="406"/>
      <c r="I1383" s="406"/>
      <c r="J1383" s="406"/>
      <c r="K1383" s="304"/>
      <c r="L1383" s="372"/>
      <c r="M1383" s="372"/>
      <c r="N1383" s="372"/>
      <c r="O1383" s="372"/>
      <c r="P1383" s="372"/>
      <c r="Q1383" s="304"/>
      <c r="R1383" s="304"/>
      <c r="S1383" s="304"/>
      <c r="T1383" s="304"/>
      <c r="U1383" s="304"/>
      <c r="V1383" s="304"/>
      <c r="AL1383" s="372" t="str">
        <f t="shared" si="51"/>
        <v/>
      </c>
    </row>
    <row r="1384" spans="1:38" ht="15" customHeight="1" outlineLevel="1" x14ac:dyDescent="0.2">
      <c r="A1384" s="403"/>
      <c r="B1384" s="403"/>
      <c r="C1384" s="403"/>
      <c r="D1384" s="404"/>
      <c r="E1384" s="405"/>
      <c r="F1384" s="405"/>
      <c r="G1384" s="403"/>
      <c r="H1384" s="406"/>
      <c r="I1384" s="406"/>
      <c r="J1384" s="406"/>
      <c r="K1384" s="304"/>
      <c r="L1384" s="372"/>
      <c r="M1384" s="372"/>
      <c r="N1384" s="372"/>
      <c r="O1384" s="372"/>
      <c r="P1384" s="372"/>
      <c r="Q1384" s="304"/>
      <c r="R1384" s="304"/>
      <c r="S1384" s="304"/>
      <c r="T1384" s="304"/>
      <c r="U1384" s="304"/>
      <c r="V1384" s="304"/>
      <c r="AL1384" s="372" t="str">
        <f t="shared" si="51"/>
        <v/>
      </c>
    </row>
    <row r="1385" spans="1:38" ht="15" customHeight="1" outlineLevel="1" x14ac:dyDescent="0.2">
      <c r="A1385" s="403"/>
      <c r="B1385" s="403"/>
      <c r="C1385" s="403"/>
      <c r="D1385" s="404"/>
      <c r="E1385" s="405"/>
      <c r="F1385" s="405"/>
      <c r="G1385" s="403"/>
      <c r="H1385" s="406"/>
      <c r="I1385" s="406"/>
      <c r="J1385" s="406"/>
      <c r="K1385" s="304"/>
      <c r="L1385" s="372"/>
      <c r="M1385" s="372"/>
      <c r="N1385" s="372"/>
      <c r="O1385" s="372"/>
      <c r="P1385" s="372"/>
      <c r="Q1385" s="304"/>
      <c r="R1385" s="304"/>
      <c r="S1385" s="304"/>
      <c r="T1385" s="304"/>
      <c r="U1385" s="304"/>
      <c r="V1385" s="304"/>
      <c r="AL1385" s="372" t="str">
        <f t="shared" si="51"/>
        <v/>
      </c>
    </row>
    <row r="1386" spans="1:38" ht="15" customHeight="1" outlineLevel="1" x14ac:dyDescent="0.2">
      <c r="A1386" s="403"/>
      <c r="B1386" s="403"/>
      <c r="C1386" s="403"/>
      <c r="D1386" s="404"/>
      <c r="E1386" s="405"/>
      <c r="F1386" s="405"/>
      <c r="G1386" s="403"/>
      <c r="H1386" s="406"/>
      <c r="I1386" s="406"/>
      <c r="J1386" s="406"/>
      <c r="K1386" s="304"/>
      <c r="L1386" s="372"/>
      <c r="M1386" s="372"/>
      <c r="N1386" s="372"/>
      <c r="O1386" s="372"/>
      <c r="P1386" s="372"/>
      <c r="Q1386" s="304"/>
      <c r="R1386" s="304"/>
      <c r="S1386" s="304"/>
      <c r="T1386" s="304"/>
      <c r="U1386" s="304"/>
      <c r="V1386" s="304"/>
      <c r="AL1386" s="372" t="str">
        <f t="shared" si="51"/>
        <v/>
      </c>
    </row>
    <row r="1387" spans="1:38" ht="15" customHeight="1" outlineLevel="1" x14ac:dyDescent="0.2">
      <c r="A1387" s="403"/>
      <c r="B1387" s="403"/>
      <c r="C1387" s="403"/>
      <c r="D1387" s="404"/>
      <c r="E1387" s="405"/>
      <c r="F1387" s="405"/>
      <c r="G1387" s="403"/>
      <c r="H1387" s="406"/>
      <c r="I1387" s="406"/>
      <c r="J1387" s="406"/>
      <c r="K1387" s="304"/>
      <c r="L1387" s="372"/>
      <c r="M1387" s="372"/>
      <c r="N1387" s="372"/>
      <c r="O1387" s="372"/>
      <c r="P1387" s="372"/>
      <c r="Q1387" s="304"/>
      <c r="R1387" s="304"/>
      <c r="S1387" s="304"/>
      <c r="T1387" s="304"/>
      <c r="U1387" s="304"/>
      <c r="V1387" s="304"/>
      <c r="AL1387" s="372" t="str">
        <f t="shared" si="51"/>
        <v/>
      </c>
    </row>
    <row r="1388" spans="1:38" ht="15" customHeight="1" outlineLevel="1" x14ac:dyDescent="0.2">
      <c r="A1388" s="403"/>
      <c r="B1388" s="403"/>
      <c r="C1388" s="403"/>
      <c r="D1388" s="404"/>
      <c r="E1388" s="405"/>
      <c r="F1388" s="405"/>
      <c r="G1388" s="403"/>
      <c r="H1388" s="406"/>
      <c r="I1388" s="406"/>
      <c r="J1388" s="406"/>
      <c r="K1388" s="304"/>
      <c r="L1388" s="372"/>
      <c r="M1388" s="372"/>
      <c r="N1388" s="372"/>
      <c r="O1388" s="372"/>
      <c r="P1388" s="372"/>
      <c r="Q1388" s="304"/>
      <c r="R1388" s="304"/>
      <c r="S1388" s="304"/>
      <c r="T1388" s="304"/>
      <c r="U1388" s="304"/>
      <c r="V1388" s="304"/>
      <c r="AL1388" s="372" t="str">
        <f t="shared" si="51"/>
        <v/>
      </c>
    </row>
    <row r="1389" spans="1:38" ht="15" customHeight="1" outlineLevel="1" x14ac:dyDescent="0.2">
      <c r="A1389" s="403"/>
      <c r="B1389" s="403"/>
      <c r="C1389" s="403"/>
      <c r="D1389" s="404"/>
      <c r="E1389" s="405"/>
      <c r="F1389" s="405"/>
      <c r="G1389" s="403"/>
      <c r="H1389" s="406"/>
      <c r="I1389" s="406"/>
      <c r="J1389" s="406"/>
      <c r="K1389" s="304"/>
      <c r="L1389" s="372"/>
      <c r="M1389" s="372"/>
      <c r="N1389" s="372"/>
      <c r="O1389" s="372"/>
      <c r="P1389" s="372"/>
      <c r="Q1389" s="304"/>
      <c r="R1389" s="304"/>
      <c r="S1389" s="304"/>
      <c r="T1389" s="304"/>
      <c r="U1389" s="304"/>
      <c r="V1389" s="304"/>
      <c r="AL1389" s="372" t="str">
        <f t="shared" si="51"/>
        <v/>
      </c>
    </row>
    <row r="1390" spans="1:38" ht="15" customHeight="1" outlineLevel="1" x14ac:dyDescent="0.2">
      <c r="A1390" s="403"/>
      <c r="B1390" s="403"/>
      <c r="C1390" s="403"/>
      <c r="D1390" s="404"/>
      <c r="E1390" s="405"/>
      <c r="F1390" s="405"/>
      <c r="G1390" s="403"/>
      <c r="H1390" s="406"/>
      <c r="I1390" s="406"/>
      <c r="J1390" s="406"/>
      <c r="K1390" s="304"/>
      <c r="L1390" s="372"/>
      <c r="M1390" s="372"/>
      <c r="N1390" s="372"/>
      <c r="O1390" s="372"/>
      <c r="P1390" s="372"/>
      <c r="Q1390" s="304"/>
      <c r="R1390" s="304"/>
      <c r="S1390" s="304"/>
      <c r="T1390" s="304"/>
      <c r="U1390" s="304"/>
      <c r="V1390" s="304"/>
      <c r="AL1390" s="372" t="str">
        <f t="shared" si="51"/>
        <v/>
      </c>
    </row>
    <row r="1391" spans="1:38" ht="15" customHeight="1" outlineLevel="1" x14ac:dyDescent="0.2">
      <c r="A1391" s="403"/>
      <c r="B1391" s="403"/>
      <c r="C1391" s="403"/>
      <c r="D1391" s="404"/>
      <c r="E1391" s="405"/>
      <c r="F1391" s="405"/>
      <c r="G1391" s="403"/>
      <c r="H1391" s="406"/>
      <c r="I1391" s="406"/>
      <c r="J1391" s="406"/>
      <c r="K1391" s="304"/>
      <c r="L1391" s="372"/>
      <c r="M1391" s="372"/>
      <c r="N1391" s="372"/>
      <c r="O1391" s="372"/>
      <c r="P1391" s="372"/>
      <c r="Q1391" s="304"/>
      <c r="R1391" s="304"/>
      <c r="S1391" s="304"/>
      <c r="T1391" s="304"/>
      <c r="U1391" s="304"/>
      <c r="V1391" s="304"/>
      <c r="AL1391" s="372" t="str">
        <f t="shared" si="51"/>
        <v/>
      </c>
    </row>
    <row r="1392" spans="1:38" ht="15" customHeight="1" outlineLevel="1" x14ac:dyDescent="0.2">
      <c r="A1392" s="403"/>
      <c r="B1392" s="403"/>
      <c r="C1392" s="403"/>
      <c r="D1392" s="404"/>
      <c r="E1392" s="405"/>
      <c r="F1392" s="405"/>
      <c r="G1392" s="403"/>
      <c r="H1392" s="406"/>
      <c r="I1392" s="406"/>
      <c r="J1392" s="406"/>
      <c r="K1392" s="304"/>
      <c r="L1392" s="372"/>
      <c r="M1392" s="372"/>
      <c r="N1392" s="372"/>
      <c r="O1392" s="372"/>
      <c r="P1392" s="372"/>
      <c r="Q1392" s="304"/>
      <c r="R1392" s="304"/>
      <c r="S1392" s="304"/>
      <c r="T1392" s="304"/>
      <c r="U1392" s="304"/>
      <c r="V1392" s="304"/>
      <c r="AL1392" s="372" t="str">
        <f t="shared" si="51"/>
        <v/>
      </c>
    </row>
    <row r="1393" spans="1:38" ht="15" customHeight="1" outlineLevel="1" x14ac:dyDescent="0.2">
      <c r="A1393" s="403"/>
      <c r="B1393" s="403"/>
      <c r="C1393" s="403"/>
      <c r="D1393" s="404"/>
      <c r="E1393" s="405"/>
      <c r="F1393" s="405"/>
      <c r="G1393" s="403"/>
      <c r="H1393" s="406"/>
      <c r="I1393" s="406"/>
      <c r="J1393" s="406"/>
      <c r="K1393" s="304"/>
      <c r="L1393" s="372"/>
      <c r="M1393" s="372"/>
      <c r="N1393" s="372"/>
      <c r="O1393" s="372"/>
      <c r="P1393" s="372"/>
      <c r="Q1393" s="304"/>
      <c r="R1393" s="304"/>
      <c r="S1393" s="304"/>
      <c r="T1393" s="304"/>
      <c r="U1393" s="304"/>
      <c r="V1393" s="304"/>
      <c r="AL1393" s="372" t="str">
        <f t="shared" si="51"/>
        <v/>
      </c>
    </row>
    <row r="1394" spans="1:38" ht="15" customHeight="1" outlineLevel="1" x14ac:dyDescent="0.2">
      <c r="A1394" s="403"/>
      <c r="B1394" s="403"/>
      <c r="C1394" s="403"/>
      <c r="D1394" s="404"/>
      <c r="E1394" s="405"/>
      <c r="F1394" s="405"/>
      <c r="G1394" s="403"/>
      <c r="H1394" s="406"/>
      <c r="I1394" s="406"/>
      <c r="J1394" s="406"/>
      <c r="K1394" s="304"/>
      <c r="L1394" s="372"/>
      <c r="M1394" s="372"/>
      <c r="N1394" s="372"/>
      <c r="O1394" s="372"/>
      <c r="P1394" s="372"/>
      <c r="Q1394" s="304"/>
      <c r="R1394" s="304"/>
      <c r="S1394" s="304"/>
      <c r="T1394" s="304"/>
      <c r="U1394" s="304"/>
      <c r="V1394" s="304"/>
      <c r="AL1394" s="372" t="str">
        <f t="shared" si="51"/>
        <v/>
      </c>
    </row>
    <row r="1395" spans="1:38" ht="15" customHeight="1" outlineLevel="1" x14ac:dyDescent="0.2">
      <c r="A1395" s="403"/>
      <c r="B1395" s="403"/>
      <c r="C1395" s="403"/>
      <c r="D1395" s="404"/>
      <c r="E1395" s="405"/>
      <c r="F1395" s="405"/>
      <c r="G1395" s="403"/>
      <c r="H1395" s="406"/>
      <c r="I1395" s="406"/>
      <c r="J1395" s="406"/>
      <c r="K1395" s="304"/>
      <c r="L1395" s="372"/>
      <c r="M1395" s="372"/>
      <c r="N1395" s="372"/>
      <c r="O1395" s="372"/>
      <c r="P1395" s="372"/>
      <c r="Q1395" s="304"/>
      <c r="R1395" s="304"/>
      <c r="S1395" s="304"/>
      <c r="T1395" s="304"/>
      <c r="U1395" s="304"/>
      <c r="V1395" s="304"/>
      <c r="AL1395" s="372" t="str">
        <f t="shared" si="51"/>
        <v/>
      </c>
    </row>
    <row r="1396" spans="1:38" ht="15" customHeight="1" outlineLevel="1" x14ac:dyDescent="0.2">
      <c r="A1396" s="403"/>
      <c r="B1396" s="403"/>
      <c r="C1396" s="403"/>
      <c r="D1396" s="404"/>
      <c r="E1396" s="405"/>
      <c r="F1396" s="405"/>
      <c r="G1396" s="403"/>
      <c r="H1396" s="406"/>
      <c r="I1396" s="406"/>
      <c r="J1396" s="406"/>
      <c r="K1396" s="304"/>
      <c r="L1396" s="372"/>
      <c r="M1396" s="372"/>
      <c r="N1396" s="372"/>
      <c r="O1396" s="372"/>
      <c r="P1396" s="372"/>
      <c r="Q1396" s="304"/>
      <c r="R1396" s="304"/>
      <c r="S1396" s="304"/>
      <c r="T1396" s="304"/>
      <c r="U1396" s="304"/>
      <c r="V1396" s="304"/>
      <c r="AL1396" s="372" t="str">
        <f t="shared" si="51"/>
        <v/>
      </c>
    </row>
    <row r="1397" spans="1:38" ht="15" customHeight="1" outlineLevel="1" x14ac:dyDescent="0.2">
      <c r="A1397" s="403"/>
      <c r="B1397" s="403"/>
      <c r="C1397" s="403"/>
      <c r="D1397" s="404"/>
      <c r="E1397" s="405"/>
      <c r="F1397" s="405"/>
      <c r="G1397" s="403"/>
      <c r="H1397" s="406"/>
      <c r="I1397" s="406"/>
      <c r="J1397" s="406"/>
      <c r="K1397" s="304"/>
      <c r="L1397" s="372"/>
      <c r="M1397" s="372"/>
      <c r="N1397" s="372"/>
      <c r="O1397" s="372"/>
      <c r="P1397" s="372"/>
      <c r="Q1397" s="304"/>
      <c r="R1397" s="304"/>
      <c r="S1397" s="304"/>
      <c r="T1397" s="304"/>
      <c r="U1397" s="304"/>
      <c r="V1397" s="304"/>
      <c r="AL1397" s="372" t="str">
        <f t="shared" si="51"/>
        <v/>
      </c>
    </row>
    <row r="1398" spans="1:38" ht="15" customHeight="1" outlineLevel="1" x14ac:dyDescent="0.2">
      <c r="A1398" s="403"/>
      <c r="B1398" s="403"/>
      <c r="C1398" s="403"/>
      <c r="D1398" s="404"/>
      <c r="E1398" s="405"/>
      <c r="F1398" s="405"/>
      <c r="G1398" s="403"/>
      <c r="H1398" s="406"/>
      <c r="I1398" s="406"/>
      <c r="J1398" s="406"/>
      <c r="K1398" s="304"/>
      <c r="L1398" s="372"/>
      <c r="M1398" s="372"/>
      <c r="N1398" s="372"/>
      <c r="O1398" s="372"/>
      <c r="P1398" s="372"/>
      <c r="Q1398" s="304"/>
      <c r="R1398" s="304"/>
      <c r="S1398" s="304"/>
      <c r="T1398" s="304"/>
      <c r="U1398" s="304"/>
      <c r="V1398" s="304"/>
      <c r="AL1398" s="372" t="str">
        <f t="shared" si="51"/>
        <v/>
      </c>
    </row>
    <row r="1399" spans="1:38" ht="15" customHeight="1" outlineLevel="1" x14ac:dyDescent="0.2">
      <c r="A1399" s="403"/>
      <c r="B1399" s="403"/>
      <c r="C1399" s="403"/>
      <c r="D1399" s="404"/>
      <c r="E1399" s="405"/>
      <c r="F1399" s="405"/>
      <c r="G1399" s="403"/>
      <c r="H1399" s="406"/>
      <c r="I1399" s="406"/>
      <c r="J1399" s="406"/>
      <c r="K1399" s="304"/>
      <c r="L1399" s="372"/>
      <c r="M1399" s="372"/>
      <c r="N1399" s="372"/>
      <c r="O1399" s="372"/>
      <c r="P1399" s="372"/>
      <c r="Q1399" s="304"/>
      <c r="R1399" s="304"/>
      <c r="S1399" s="304"/>
      <c r="T1399" s="304"/>
      <c r="U1399" s="304"/>
      <c r="V1399" s="304"/>
      <c r="AL1399" s="372" t="str">
        <f t="shared" si="51"/>
        <v/>
      </c>
    </row>
    <row r="1400" spans="1:38" ht="15" customHeight="1" outlineLevel="1" x14ac:dyDescent="0.2">
      <c r="A1400" s="403"/>
      <c r="B1400" s="403"/>
      <c r="C1400" s="403"/>
      <c r="D1400" s="404"/>
      <c r="E1400" s="405"/>
      <c r="F1400" s="405"/>
      <c r="G1400" s="403"/>
      <c r="H1400" s="406"/>
      <c r="I1400" s="406"/>
      <c r="J1400" s="406"/>
      <c r="K1400" s="304"/>
      <c r="L1400" s="372"/>
      <c r="M1400" s="372"/>
      <c r="N1400" s="372"/>
      <c r="O1400" s="372"/>
      <c r="P1400" s="372"/>
      <c r="Q1400" s="304"/>
      <c r="R1400" s="304"/>
      <c r="S1400" s="304"/>
      <c r="T1400" s="304"/>
      <c r="U1400" s="304"/>
      <c r="V1400" s="304"/>
      <c r="AL1400" s="372" t="str">
        <f t="shared" si="51"/>
        <v/>
      </c>
    </row>
    <row r="1401" spans="1:38" ht="15" customHeight="1" outlineLevel="1" x14ac:dyDescent="0.2">
      <c r="A1401" s="403"/>
      <c r="B1401" s="403"/>
      <c r="C1401" s="403"/>
      <c r="D1401" s="404"/>
      <c r="E1401" s="405"/>
      <c r="F1401" s="405"/>
      <c r="G1401" s="403"/>
      <c r="H1401" s="406"/>
      <c r="I1401" s="406"/>
      <c r="J1401" s="406"/>
      <c r="K1401" s="304"/>
      <c r="L1401" s="372"/>
      <c r="M1401" s="372"/>
      <c r="N1401" s="372"/>
      <c r="O1401" s="372"/>
      <c r="P1401" s="372"/>
      <c r="Q1401" s="304"/>
      <c r="R1401" s="304"/>
      <c r="S1401" s="304"/>
      <c r="T1401" s="304"/>
      <c r="U1401" s="304"/>
      <c r="V1401" s="304"/>
      <c r="AL1401" s="372" t="str">
        <f t="shared" si="51"/>
        <v/>
      </c>
    </row>
    <row r="1402" spans="1:38" ht="15" customHeight="1" outlineLevel="1" x14ac:dyDescent="0.2">
      <c r="A1402" s="403"/>
      <c r="B1402" s="403"/>
      <c r="C1402" s="403"/>
      <c r="D1402" s="404"/>
      <c r="E1402" s="405"/>
      <c r="F1402" s="405"/>
      <c r="G1402" s="403"/>
      <c r="H1402" s="406"/>
      <c r="I1402" s="406"/>
      <c r="J1402" s="406"/>
      <c r="K1402" s="304"/>
      <c r="L1402" s="372"/>
      <c r="M1402" s="372"/>
      <c r="N1402" s="372"/>
      <c r="O1402" s="372"/>
      <c r="P1402" s="372"/>
      <c r="Q1402" s="304"/>
      <c r="R1402" s="304"/>
      <c r="S1402" s="304"/>
      <c r="T1402" s="304"/>
      <c r="U1402" s="304"/>
      <c r="V1402" s="304"/>
      <c r="AL1402" s="372" t="str">
        <f t="shared" si="51"/>
        <v/>
      </c>
    </row>
    <row r="1403" spans="1:38" ht="15" customHeight="1" outlineLevel="1" x14ac:dyDescent="0.2">
      <c r="A1403" s="403"/>
      <c r="B1403" s="403"/>
      <c r="C1403" s="403"/>
      <c r="D1403" s="404"/>
      <c r="E1403" s="405"/>
      <c r="F1403" s="405"/>
      <c r="G1403" s="403"/>
      <c r="H1403" s="406"/>
      <c r="I1403" s="406"/>
      <c r="J1403" s="406"/>
      <c r="K1403" s="304"/>
      <c r="L1403" s="372"/>
      <c r="M1403" s="372"/>
      <c r="N1403" s="372"/>
      <c r="O1403" s="372"/>
      <c r="P1403" s="372"/>
      <c r="Q1403" s="304"/>
      <c r="R1403" s="304"/>
      <c r="S1403" s="304"/>
      <c r="T1403" s="304"/>
      <c r="U1403" s="304"/>
      <c r="V1403" s="304"/>
      <c r="AL1403" s="372" t="str">
        <f t="shared" si="51"/>
        <v/>
      </c>
    </row>
    <row r="1404" spans="1:38" ht="15" customHeight="1" outlineLevel="1" x14ac:dyDescent="0.2">
      <c r="A1404" s="403"/>
      <c r="B1404" s="403"/>
      <c r="C1404" s="403"/>
      <c r="D1404" s="404"/>
      <c r="E1404" s="405"/>
      <c r="F1404" s="405"/>
      <c r="G1404" s="403"/>
      <c r="H1404" s="406"/>
      <c r="I1404" s="406"/>
      <c r="J1404" s="406"/>
      <c r="K1404" s="304"/>
      <c r="L1404" s="372"/>
      <c r="M1404" s="372"/>
      <c r="N1404" s="372"/>
      <c r="O1404" s="372"/>
      <c r="P1404" s="372"/>
      <c r="Q1404" s="304"/>
      <c r="R1404" s="304"/>
      <c r="S1404" s="304"/>
      <c r="T1404" s="304"/>
      <c r="U1404" s="304"/>
      <c r="V1404" s="304"/>
      <c r="AL1404" s="372" t="str">
        <f t="shared" si="51"/>
        <v/>
      </c>
    </row>
    <row r="1405" spans="1:38" ht="15" customHeight="1" outlineLevel="1" x14ac:dyDescent="0.2">
      <c r="A1405" s="403"/>
      <c r="B1405" s="403"/>
      <c r="C1405" s="403"/>
      <c r="D1405" s="404"/>
      <c r="E1405" s="405"/>
      <c r="F1405" s="405"/>
      <c r="G1405" s="403"/>
      <c r="H1405" s="406"/>
      <c r="I1405" s="406"/>
      <c r="J1405" s="406"/>
      <c r="K1405" s="304"/>
      <c r="L1405" s="372"/>
      <c r="M1405" s="372"/>
      <c r="N1405" s="372"/>
      <c r="O1405" s="372"/>
      <c r="P1405" s="372"/>
      <c r="Q1405" s="304"/>
      <c r="R1405" s="304"/>
      <c r="S1405" s="304"/>
      <c r="T1405" s="304"/>
      <c r="U1405" s="304"/>
      <c r="V1405" s="304"/>
      <c r="AL1405" s="372" t="str">
        <f t="shared" si="51"/>
        <v/>
      </c>
    </row>
    <row r="1406" spans="1:38" ht="15" customHeight="1" outlineLevel="1" x14ac:dyDescent="0.2">
      <c r="A1406" s="403"/>
      <c r="B1406" s="403"/>
      <c r="C1406" s="403"/>
      <c r="D1406" s="404"/>
      <c r="E1406" s="405"/>
      <c r="F1406" s="405"/>
      <c r="G1406" s="403"/>
      <c r="H1406" s="406"/>
      <c r="I1406" s="406"/>
      <c r="J1406" s="406"/>
      <c r="K1406" s="304"/>
      <c r="L1406" s="372"/>
      <c r="M1406" s="372"/>
      <c r="N1406" s="372"/>
      <c r="O1406" s="372"/>
      <c r="P1406" s="372"/>
      <c r="Q1406" s="304"/>
      <c r="R1406" s="304"/>
      <c r="S1406" s="304"/>
      <c r="T1406" s="304"/>
      <c r="U1406" s="304"/>
      <c r="V1406" s="304"/>
      <c r="AL1406" s="372" t="str">
        <f t="shared" si="51"/>
        <v/>
      </c>
    </row>
    <row r="1407" spans="1:38" ht="15" customHeight="1" outlineLevel="1" x14ac:dyDescent="0.2">
      <c r="A1407" s="403"/>
      <c r="B1407" s="403"/>
      <c r="C1407" s="403"/>
      <c r="D1407" s="404"/>
      <c r="E1407" s="405"/>
      <c r="F1407" s="405"/>
      <c r="G1407" s="403"/>
      <c r="H1407" s="406"/>
      <c r="I1407" s="406"/>
      <c r="J1407" s="406"/>
      <c r="K1407" s="304"/>
      <c r="L1407" s="372"/>
      <c r="M1407" s="372"/>
      <c r="N1407" s="372"/>
      <c r="O1407" s="372"/>
      <c r="P1407" s="372"/>
      <c r="Q1407" s="304"/>
      <c r="R1407" s="304"/>
      <c r="S1407" s="304"/>
      <c r="T1407" s="304"/>
      <c r="U1407" s="304"/>
      <c r="V1407" s="304"/>
      <c r="AL1407" s="372" t="str">
        <f t="shared" si="51"/>
        <v/>
      </c>
    </row>
    <row r="1408" spans="1:38" ht="15" customHeight="1" outlineLevel="1" x14ac:dyDescent="0.2">
      <c r="A1408" s="403"/>
      <c r="B1408" s="403"/>
      <c r="C1408" s="403"/>
      <c r="D1408" s="404"/>
      <c r="E1408" s="405"/>
      <c r="F1408" s="405"/>
      <c r="G1408" s="403"/>
      <c r="H1408" s="406"/>
      <c r="I1408" s="406"/>
      <c r="J1408" s="406"/>
      <c r="K1408" s="304"/>
      <c r="L1408" s="372"/>
      <c r="M1408" s="372"/>
      <c r="N1408" s="372"/>
      <c r="O1408" s="372"/>
      <c r="P1408" s="372"/>
      <c r="Q1408" s="304"/>
      <c r="R1408" s="304"/>
      <c r="S1408" s="304"/>
      <c r="T1408" s="304"/>
      <c r="U1408" s="304"/>
      <c r="V1408" s="304"/>
      <c r="AL1408" s="372" t="str">
        <f t="shared" si="51"/>
        <v/>
      </c>
    </row>
    <row r="1409" spans="1:38" ht="15" customHeight="1" outlineLevel="1" x14ac:dyDescent="0.2">
      <c r="A1409" s="403"/>
      <c r="B1409" s="403"/>
      <c r="C1409" s="403"/>
      <c r="D1409" s="404"/>
      <c r="E1409" s="405"/>
      <c r="F1409" s="405"/>
      <c r="G1409" s="403"/>
      <c r="H1409" s="406"/>
      <c r="I1409" s="406"/>
      <c r="J1409" s="406"/>
      <c r="K1409" s="304"/>
      <c r="L1409" s="372"/>
      <c r="M1409" s="372"/>
      <c r="N1409" s="372"/>
      <c r="O1409" s="372"/>
      <c r="P1409" s="372"/>
      <c r="Q1409" s="304"/>
      <c r="R1409" s="304"/>
      <c r="S1409" s="304"/>
      <c r="T1409" s="304"/>
      <c r="U1409" s="304"/>
      <c r="V1409" s="304"/>
      <c r="AL1409" s="372" t="str">
        <f t="shared" si="51"/>
        <v/>
      </c>
    </row>
    <row r="1410" spans="1:38" ht="15" customHeight="1" outlineLevel="1" x14ac:dyDescent="0.2">
      <c r="A1410" s="403"/>
      <c r="B1410" s="403"/>
      <c r="C1410" s="403"/>
      <c r="D1410" s="404"/>
      <c r="E1410" s="405"/>
      <c r="F1410" s="405"/>
      <c r="G1410" s="403"/>
      <c r="H1410" s="406"/>
      <c r="I1410" s="406"/>
      <c r="J1410" s="406"/>
      <c r="K1410" s="304"/>
      <c r="L1410" s="372"/>
      <c r="M1410" s="372"/>
      <c r="N1410" s="372"/>
      <c r="O1410" s="372"/>
      <c r="P1410" s="372"/>
      <c r="Q1410" s="304"/>
      <c r="R1410" s="304"/>
      <c r="S1410" s="304"/>
      <c r="T1410" s="304"/>
      <c r="U1410" s="304"/>
      <c r="V1410" s="304"/>
      <c r="AL1410" s="372" t="str">
        <f t="shared" si="51"/>
        <v/>
      </c>
    </row>
    <row r="1411" spans="1:38" ht="15" customHeight="1" outlineLevel="1" x14ac:dyDescent="0.2">
      <c r="A1411" s="403"/>
      <c r="B1411" s="403"/>
      <c r="C1411" s="403"/>
      <c r="D1411" s="404"/>
      <c r="E1411" s="405"/>
      <c r="F1411" s="405"/>
      <c r="G1411" s="403"/>
      <c r="H1411" s="406"/>
      <c r="I1411" s="406"/>
      <c r="J1411" s="406"/>
      <c r="K1411" s="304"/>
      <c r="L1411" s="372"/>
      <c r="M1411" s="372"/>
      <c r="N1411" s="372"/>
      <c r="O1411" s="372"/>
      <c r="P1411" s="372"/>
      <c r="Q1411" s="304"/>
      <c r="R1411" s="304"/>
      <c r="S1411" s="304"/>
      <c r="T1411" s="304"/>
      <c r="U1411" s="304"/>
      <c r="V1411" s="304"/>
      <c r="AL1411" s="372" t="str">
        <f t="shared" si="51"/>
        <v/>
      </c>
    </row>
    <row r="1412" spans="1:38" ht="15" customHeight="1" outlineLevel="1" x14ac:dyDescent="0.2">
      <c r="A1412" s="403"/>
      <c r="B1412" s="403"/>
      <c r="C1412" s="403"/>
      <c r="D1412" s="404"/>
      <c r="E1412" s="405"/>
      <c r="F1412" s="405"/>
      <c r="G1412" s="403"/>
      <c r="H1412" s="406"/>
      <c r="I1412" s="406"/>
      <c r="J1412" s="406"/>
      <c r="K1412" s="304"/>
      <c r="L1412" s="372"/>
      <c r="M1412" s="372"/>
      <c r="N1412" s="372"/>
      <c r="O1412" s="372"/>
      <c r="P1412" s="372"/>
      <c r="Q1412" s="304"/>
      <c r="R1412" s="304"/>
      <c r="S1412" s="304"/>
      <c r="T1412" s="304"/>
      <c r="U1412" s="304"/>
      <c r="V1412" s="304"/>
      <c r="AL1412" s="372" t="str">
        <f t="shared" si="51"/>
        <v/>
      </c>
    </row>
    <row r="1413" spans="1:38" ht="15" customHeight="1" outlineLevel="1" x14ac:dyDescent="0.2">
      <c r="A1413" s="403"/>
      <c r="B1413" s="403"/>
      <c r="C1413" s="403"/>
      <c r="D1413" s="404"/>
      <c r="E1413" s="405"/>
      <c r="F1413" s="405"/>
      <c r="G1413" s="403"/>
      <c r="H1413" s="406"/>
      <c r="I1413" s="406"/>
      <c r="J1413" s="406"/>
      <c r="K1413" s="304"/>
      <c r="L1413" s="372"/>
      <c r="M1413" s="372"/>
      <c r="N1413" s="372"/>
      <c r="O1413" s="372"/>
      <c r="P1413" s="372"/>
      <c r="Q1413" s="304"/>
      <c r="R1413" s="304"/>
      <c r="S1413" s="304"/>
      <c r="T1413" s="304"/>
      <c r="U1413" s="304"/>
      <c r="V1413" s="304"/>
      <c r="AL1413" s="372" t="str">
        <f t="shared" si="51"/>
        <v/>
      </c>
    </row>
    <row r="1414" spans="1:38" ht="15" customHeight="1" outlineLevel="1" x14ac:dyDescent="0.2">
      <c r="A1414" s="403"/>
      <c r="B1414" s="403"/>
      <c r="C1414" s="403"/>
      <c r="D1414" s="404"/>
      <c r="E1414" s="405"/>
      <c r="F1414" s="405"/>
      <c r="G1414" s="403"/>
      <c r="H1414" s="406"/>
      <c r="I1414" s="406"/>
      <c r="J1414" s="406"/>
      <c r="K1414" s="304"/>
      <c r="L1414" s="372"/>
      <c r="M1414" s="372"/>
      <c r="N1414" s="372"/>
      <c r="O1414" s="372"/>
      <c r="P1414" s="372"/>
      <c r="Q1414" s="304"/>
      <c r="R1414" s="304"/>
      <c r="S1414" s="304"/>
      <c r="T1414" s="304"/>
      <c r="U1414" s="304"/>
      <c r="V1414" s="304"/>
      <c r="AL1414" s="372" t="str">
        <f t="shared" si="51"/>
        <v/>
      </c>
    </row>
    <row r="1415" spans="1:38" ht="15" customHeight="1" outlineLevel="1" x14ac:dyDescent="0.2">
      <c r="A1415" s="403"/>
      <c r="B1415" s="403"/>
      <c r="C1415" s="403"/>
      <c r="D1415" s="404"/>
      <c r="E1415" s="405"/>
      <c r="F1415" s="405"/>
      <c r="G1415" s="403"/>
      <c r="H1415" s="406"/>
      <c r="I1415" s="406"/>
      <c r="J1415" s="406"/>
      <c r="K1415" s="304"/>
      <c r="L1415" s="372"/>
      <c r="M1415" s="372"/>
      <c r="N1415" s="372"/>
      <c r="O1415" s="372"/>
      <c r="P1415" s="372"/>
      <c r="Q1415" s="304"/>
      <c r="R1415" s="304"/>
      <c r="S1415" s="304"/>
      <c r="T1415" s="304"/>
      <c r="U1415" s="304"/>
      <c r="V1415" s="304"/>
      <c r="AL1415" s="372" t="str">
        <f t="shared" si="51"/>
        <v/>
      </c>
    </row>
    <row r="1416" spans="1:38" ht="15" customHeight="1" outlineLevel="1" x14ac:dyDescent="0.2">
      <c r="A1416" s="403"/>
      <c r="B1416" s="403"/>
      <c r="C1416" s="403"/>
      <c r="D1416" s="404"/>
      <c r="E1416" s="405"/>
      <c r="F1416" s="405"/>
      <c r="G1416" s="403"/>
      <c r="H1416" s="406"/>
      <c r="I1416" s="406"/>
      <c r="J1416" s="406"/>
      <c r="K1416" s="304"/>
      <c r="L1416" s="372"/>
      <c r="M1416" s="372"/>
      <c r="N1416" s="372"/>
      <c r="O1416" s="372"/>
      <c r="P1416" s="372"/>
      <c r="Q1416" s="304"/>
      <c r="R1416" s="304"/>
      <c r="S1416" s="304"/>
      <c r="T1416" s="304"/>
      <c r="U1416" s="304"/>
      <c r="V1416" s="304"/>
      <c r="AL1416" s="372" t="str">
        <f t="shared" si="51"/>
        <v/>
      </c>
    </row>
    <row r="1417" spans="1:38" ht="15" customHeight="1" outlineLevel="1" x14ac:dyDescent="0.2">
      <c r="A1417" s="403"/>
      <c r="B1417" s="403"/>
      <c r="C1417" s="403"/>
      <c r="D1417" s="404"/>
      <c r="E1417" s="405"/>
      <c r="F1417" s="405"/>
      <c r="G1417" s="403"/>
      <c r="H1417" s="406"/>
      <c r="I1417" s="406"/>
      <c r="J1417" s="406"/>
      <c r="K1417" s="304"/>
      <c r="L1417" s="372"/>
      <c r="M1417" s="372"/>
      <c r="N1417" s="372"/>
      <c r="O1417" s="372"/>
      <c r="P1417" s="372"/>
      <c r="Q1417" s="304"/>
      <c r="R1417" s="304"/>
      <c r="S1417" s="304"/>
      <c r="T1417" s="304"/>
      <c r="U1417" s="304"/>
      <c r="V1417" s="304"/>
      <c r="AL1417" s="372" t="str">
        <f t="shared" si="51"/>
        <v/>
      </c>
    </row>
    <row r="1418" spans="1:38" ht="15" customHeight="1" outlineLevel="1" x14ac:dyDescent="0.2">
      <c r="A1418" s="403"/>
      <c r="B1418" s="403"/>
      <c r="C1418" s="403"/>
      <c r="D1418" s="404"/>
      <c r="E1418" s="405"/>
      <c r="F1418" s="405"/>
      <c r="G1418" s="403"/>
      <c r="H1418" s="406"/>
      <c r="I1418" s="406"/>
      <c r="J1418" s="406"/>
      <c r="K1418" s="304"/>
      <c r="L1418" s="372"/>
      <c r="M1418" s="372"/>
      <c r="N1418" s="372"/>
      <c r="O1418" s="372"/>
      <c r="P1418" s="372"/>
      <c r="Q1418" s="304"/>
      <c r="R1418" s="304"/>
      <c r="S1418" s="304"/>
      <c r="T1418" s="304"/>
      <c r="U1418" s="304"/>
      <c r="V1418" s="304"/>
      <c r="AL1418" s="372" t="str">
        <f t="shared" si="51"/>
        <v/>
      </c>
    </row>
    <row r="1419" spans="1:38" ht="15" customHeight="1" outlineLevel="1" x14ac:dyDescent="0.2">
      <c r="A1419" s="403"/>
      <c r="B1419" s="403"/>
      <c r="C1419" s="403"/>
      <c r="D1419" s="404"/>
      <c r="E1419" s="405"/>
      <c r="F1419" s="405"/>
      <c r="G1419" s="403"/>
      <c r="H1419" s="406"/>
      <c r="I1419" s="406"/>
      <c r="J1419" s="406"/>
      <c r="K1419" s="304"/>
      <c r="L1419" s="372"/>
      <c r="M1419" s="372"/>
      <c r="N1419" s="372"/>
      <c r="O1419" s="372"/>
      <c r="P1419" s="372"/>
      <c r="Q1419" s="304"/>
      <c r="R1419" s="304"/>
      <c r="S1419" s="304"/>
      <c r="T1419" s="304"/>
      <c r="U1419" s="304"/>
      <c r="V1419" s="304"/>
      <c r="AL1419" s="372" t="str">
        <f t="shared" si="51"/>
        <v/>
      </c>
    </row>
    <row r="1420" spans="1:38" ht="15" customHeight="1" outlineLevel="1" x14ac:dyDescent="0.2">
      <c r="A1420" s="403"/>
      <c r="B1420" s="403"/>
      <c r="C1420" s="403"/>
      <c r="D1420" s="404"/>
      <c r="E1420" s="405"/>
      <c r="F1420" s="405"/>
      <c r="G1420" s="403"/>
      <c r="H1420" s="406"/>
      <c r="I1420" s="406"/>
      <c r="J1420" s="406"/>
      <c r="K1420" s="304"/>
      <c r="L1420" s="372"/>
      <c r="M1420" s="372"/>
      <c r="N1420" s="372"/>
      <c r="O1420" s="372"/>
      <c r="P1420" s="372"/>
      <c r="Q1420" s="304"/>
      <c r="R1420" s="304"/>
      <c r="S1420" s="304"/>
      <c r="T1420" s="304"/>
      <c r="U1420" s="304"/>
      <c r="V1420" s="304"/>
      <c r="AL1420" s="372" t="str">
        <f t="shared" si="51"/>
        <v/>
      </c>
    </row>
    <row r="1421" spans="1:38" ht="15" customHeight="1" outlineLevel="1" x14ac:dyDescent="0.2">
      <c r="A1421" s="403"/>
      <c r="B1421" s="403"/>
      <c r="C1421" s="403"/>
      <c r="D1421" s="404"/>
      <c r="E1421" s="405"/>
      <c r="F1421" s="405"/>
      <c r="G1421" s="403"/>
      <c r="H1421" s="406"/>
      <c r="I1421" s="406"/>
      <c r="J1421" s="406"/>
      <c r="K1421" s="304"/>
      <c r="L1421" s="372"/>
      <c r="M1421" s="372"/>
      <c r="N1421" s="372"/>
      <c r="O1421" s="372"/>
      <c r="P1421" s="372"/>
      <c r="Q1421" s="304"/>
      <c r="R1421" s="304"/>
      <c r="S1421" s="304"/>
      <c r="T1421" s="304"/>
      <c r="U1421" s="304"/>
      <c r="V1421" s="304"/>
      <c r="AL1421" s="372" t="str">
        <f t="shared" si="51"/>
        <v/>
      </c>
    </row>
    <row r="1422" spans="1:38" ht="15" customHeight="1" outlineLevel="1" x14ac:dyDescent="0.2">
      <c r="A1422" s="403"/>
      <c r="B1422" s="403"/>
      <c r="C1422" s="403"/>
      <c r="D1422" s="404"/>
      <c r="E1422" s="405"/>
      <c r="F1422" s="405"/>
      <c r="G1422" s="403"/>
      <c r="H1422" s="406"/>
      <c r="I1422" s="406"/>
      <c r="J1422" s="406"/>
      <c r="K1422" s="304"/>
      <c r="L1422" s="372"/>
      <c r="M1422" s="372"/>
      <c r="N1422" s="372"/>
      <c r="O1422" s="372"/>
      <c r="P1422" s="372"/>
      <c r="Q1422" s="304"/>
      <c r="R1422" s="304"/>
      <c r="S1422" s="304"/>
      <c r="T1422" s="304"/>
      <c r="U1422" s="304"/>
      <c r="V1422" s="304"/>
      <c r="AL1422" s="372" t="str">
        <f t="shared" si="51"/>
        <v/>
      </c>
    </row>
    <row r="1423" spans="1:38" ht="15" customHeight="1" outlineLevel="1" x14ac:dyDescent="0.2">
      <c r="A1423" s="403"/>
      <c r="B1423" s="403"/>
      <c r="C1423" s="403"/>
      <c r="D1423" s="404"/>
      <c r="E1423" s="405"/>
      <c r="F1423" s="405"/>
      <c r="G1423" s="403"/>
      <c r="H1423" s="406"/>
      <c r="I1423" s="406"/>
      <c r="J1423" s="406"/>
      <c r="K1423" s="304"/>
      <c r="L1423" s="372"/>
      <c r="M1423" s="372"/>
      <c r="N1423" s="372"/>
      <c r="O1423" s="372"/>
      <c r="P1423" s="372"/>
      <c r="Q1423" s="304"/>
      <c r="R1423" s="304"/>
      <c r="S1423" s="304"/>
      <c r="T1423" s="304"/>
      <c r="U1423" s="304"/>
      <c r="V1423" s="304"/>
      <c r="AL1423" s="372" t="str">
        <f t="shared" si="51"/>
        <v/>
      </c>
    </row>
    <row r="1424" spans="1:38" ht="15" customHeight="1" outlineLevel="1" x14ac:dyDescent="0.2">
      <c r="A1424" s="403"/>
      <c r="B1424" s="403"/>
      <c r="C1424" s="403"/>
      <c r="D1424" s="404"/>
      <c r="E1424" s="405"/>
      <c r="F1424" s="405"/>
      <c r="G1424" s="403"/>
      <c r="H1424" s="406"/>
      <c r="I1424" s="406"/>
      <c r="J1424" s="406"/>
      <c r="K1424" s="304"/>
      <c r="L1424" s="372"/>
      <c r="M1424" s="372"/>
      <c r="N1424" s="372"/>
      <c r="O1424" s="372"/>
      <c r="P1424" s="372"/>
      <c r="Q1424" s="304"/>
      <c r="R1424" s="304"/>
      <c r="S1424" s="304"/>
      <c r="T1424" s="304"/>
      <c r="U1424" s="304"/>
      <c r="V1424" s="304"/>
      <c r="AL1424" s="372" t="str">
        <f t="shared" si="51"/>
        <v/>
      </c>
    </row>
    <row r="1425" spans="1:38" ht="15" customHeight="1" outlineLevel="1" x14ac:dyDescent="0.2">
      <c r="A1425" s="403"/>
      <c r="B1425" s="403"/>
      <c r="C1425" s="403"/>
      <c r="D1425" s="404"/>
      <c r="E1425" s="405"/>
      <c r="F1425" s="405"/>
      <c r="G1425" s="403"/>
      <c r="H1425" s="406"/>
      <c r="I1425" s="406"/>
      <c r="J1425" s="406"/>
      <c r="K1425" s="304"/>
      <c r="L1425" s="372"/>
      <c r="M1425" s="372"/>
      <c r="N1425" s="372"/>
      <c r="O1425" s="372"/>
      <c r="P1425" s="372"/>
      <c r="Q1425" s="304"/>
      <c r="R1425" s="304"/>
      <c r="S1425" s="304"/>
      <c r="T1425" s="304"/>
      <c r="U1425" s="304"/>
      <c r="V1425" s="304"/>
      <c r="AL1425" s="372" t="str">
        <f t="shared" ref="AL1425:AL1488" si="52">IF(($C1425=$AG$245)*($N1425&gt;0)*ISNUMBER($I1425),$I1425*100000+ROW(),"")</f>
        <v/>
      </c>
    </row>
    <row r="1426" spans="1:38" ht="15" customHeight="1" outlineLevel="1" x14ac:dyDescent="0.2">
      <c r="A1426" s="403"/>
      <c r="B1426" s="403"/>
      <c r="C1426" s="403"/>
      <c r="D1426" s="404"/>
      <c r="E1426" s="405"/>
      <c r="F1426" s="405"/>
      <c r="G1426" s="403"/>
      <c r="H1426" s="406"/>
      <c r="I1426" s="406"/>
      <c r="J1426" s="406"/>
      <c r="K1426" s="304"/>
      <c r="L1426" s="372"/>
      <c r="M1426" s="372"/>
      <c r="N1426" s="372"/>
      <c r="O1426" s="372"/>
      <c r="P1426" s="372"/>
      <c r="Q1426" s="304"/>
      <c r="R1426" s="304"/>
      <c r="S1426" s="304"/>
      <c r="T1426" s="304"/>
      <c r="U1426" s="304"/>
      <c r="V1426" s="304"/>
      <c r="AL1426" s="372" t="str">
        <f t="shared" si="52"/>
        <v/>
      </c>
    </row>
    <row r="1427" spans="1:38" ht="15" customHeight="1" outlineLevel="1" x14ac:dyDescent="0.2">
      <c r="A1427" s="403"/>
      <c r="B1427" s="403"/>
      <c r="C1427" s="403"/>
      <c r="D1427" s="404"/>
      <c r="E1427" s="405"/>
      <c r="F1427" s="405"/>
      <c r="G1427" s="403"/>
      <c r="H1427" s="406"/>
      <c r="I1427" s="406"/>
      <c r="J1427" s="406"/>
      <c r="K1427" s="304"/>
      <c r="L1427" s="372"/>
      <c r="M1427" s="372"/>
      <c r="N1427" s="372"/>
      <c r="O1427" s="372"/>
      <c r="P1427" s="372"/>
      <c r="Q1427" s="304"/>
      <c r="R1427" s="304"/>
      <c r="S1427" s="304"/>
      <c r="T1427" s="304"/>
      <c r="U1427" s="304"/>
      <c r="V1427" s="304"/>
      <c r="AL1427" s="372" t="str">
        <f t="shared" si="52"/>
        <v/>
      </c>
    </row>
    <row r="1428" spans="1:38" ht="15" customHeight="1" outlineLevel="1" x14ac:dyDescent="0.2">
      <c r="A1428" s="403"/>
      <c r="B1428" s="403"/>
      <c r="C1428" s="403"/>
      <c r="D1428" s="404"/>
      <c r="E1428" s="405"/>
      <c r="F1428" s="405"/>
      <c r="G1428" s="403"/>
      <c r="H1428" s="406"/>
      <c r="I1428" s="406"/>
      <c r="J1428" s="406"/>
      <c r="K1428" s="304"/>
      <c r="L1428" s="372"/>
      <c r="M1428" s="372"/>
      <c r="N1428" s="372"/>
      <c r="O1428" s="372"/>
      <c r="P1428" s="372"/>
      <c r="Q1428" s="304"/>
      <c r="R1428" s="304"/>
      <c r="S1428" s="304"/>
      <c r="T1428" s="304"/>
      <c r="U1428" s="304"/>
      <c r="V1428" s="304"/>
      <c r="AL1428" s="372" t="str">
        <f t="shared" si="52"/>
        <v/>
      </c>
    </row>
    <row r="1429" spans="1:38" ht="15" customHeight="1" outlineLevel="1" x14ac:dyDescent="0.2">
      <c r="A1429" s="403"/>
      <c r="B1429" s="403"/>
      <c r="C1429" s="403"/>
      <c r="D1429" s="404"/>
      <c r="E1429" s="405"/>
      <c r="F1429" s="405"/>
      <c r="G1429" s="403"/>
      <c r="H1429" s="406"/>
      <c r="I1429" s="406"/>
      <c r="J1429" s="406"/>
      <c r="K1429" s="304"/>
      <c r="L1429" s="372"/>
      <c r="M1429" s="372"/>
      <c r="N1429" s="372"/>
      <c r="O1429" s="372"/>
      <c r="P1429" s="372"/>
      <c r="Q1429" s="304"/>
      <c r="R1429" s="304"/>
      <c r="S1429" s="304"/>
      <c r="T1429" s="304"/>
      <c r="U1429" s="304"/>
      <c r="V1429" s="304"/>
      <c r="AL1429" s="372" t="str">
        <f t="shared" si="52"/>
        <v/>
      </c>
    </row>
    <row r="1430" spans="1:38" ht="15" customHeight="1" outlineLevel="1" x14ac:dyDescent="0.2">
      <c r="A1430" s="403"/>
      <c r="B1430" s="403"/>
      <c r="C1430" s="403"/>
      <c r="D1430" s="404"/>
      <c r="E1430" s="405"/>
      <c r="F1430" s="405"/>
      <c r="G1430" s="403"/>
      <c r="H1430" s="406"/>
      <c r="I1430" s="406"/>
      <c r="J1430" s="406"/>
      <c r="K1430" s="304"/>
      <c r="L1430" s="372"/>
      <c r="M1430" s="372"/>
      <c r="N1430" s="372"/>
      <c r="O1430" s="372"/>
      <c r="P1430" s="372"/>
      <c r="Q1430" s="304"/>
      <c r="R1430" s="304"/>
      <c r="S1430" s="304"/>
      <c r="T1430" s="304"/>
      <c r="U1430" s="304"/>
      <c r="V1430" s="304"/>
      <c r="AL1430" s="372" t="str">
        <f t="shared" si="52"/>
        <v/>
      </c>
    </row>
    <row r="1431" spans="1:38" ht="15" customHeight="1" outlineLevel="1" x14ac:dyDescent="0.2">
      <c r="A1431" s="403"/>
      <c r="B1431" s="403"/>
      <c r="C1431" s="403"/>
      <c r="D1431" s="404"/>
      <c r="E1431" s="405"/>
      <c r="F1431" s="405"/>
      <c r="G1431" s="403"/>
      <c r="H1431" s="406"/>
      <c r="I1431" s="406"/>
      <c r="J1431" s="406"/>
      <c r="K1431" s="304"/>
      <c r="L1431" s="372"/>
      <c r="M1431" s="372"/>
      <c r="N1431" s="372"/>
      <c r="O1431" s="372"/>
      <c r="P1431" s="372"/>
      <c r="Q1431" s="304"/>
      <c r="R1431" s="304"/>
      <c r="S1431" s="304"/>
      <c r="T1431" s="304"/>
      <c r="U1431" s="304"/>
      <c r="V1431" s="304"/>
      <c r="AL1431" s="372" t="str">
        <f t="shared" si="52"/>
        <v/>
      </c>
    </row>
    <row r="1432" spans="1:38" ht="15" customHeight="1" outlineLevel="1" x14ac:dyDescent="0.2">
      <c r="A1432" s="403"/>
      <c r="B1432" s="403"/>
      <c r="C1432" s="403"/>
      <c r="D1432" s="404"/>
      <c r="E1432" s="405"/>
      <c r="F1432" s="405"/>
      <c r="G1432" s="403"/>
      <c r="H1432" s="406"/>
      <c r="I1432" s="406"/>
      <c r="J1432" s="406"/>
      <c r="K1432" s="304"/>
      <c r="L1432" s="372"/>
      <c r="M1432" s="372"/>
      <c r="N1432" s="372"/>
      <c r="O1432" s="372"/>
      <c r="P1432" s="372"/>
      <c r="Q1432" s="304"/>
      <c r="R1432" s="304"/>
      <c r="S1432" s="304"/>
      <c r="T1432" s="304"/>
      <c r="U1432" s="304"/>
      <c r="V1432" s="304"/>
      <c r="AL1432" s="372" t="str">
        <f t="shared" si="52"/>
        <v/>
      </c>
    </row>
    <row r="1433" spans="1:38" ht="15" customHeight="1" outlineLevel="1" x14ac:dyDescent="0.2">
      <c r="A1433" s="403"/>
      <c r="B1433" s="403"/>
      <c r="C1433" s="403"/>
      <c r="D1433" s="404"/>
      <c r="E1433" s="405"/>
      <c r="F1433" s="405"/>
      <c r="G1433" s="403"/>
      <c r="H1433" s="406"/>
      <c r="I1433" s="406"/>
      <c r="J1433" s="406"/>
      <c r="K1433" s="304"/>
      <c r="L1433" s="372"/>
      <c r="M1433" s="372"/>
      <c r="N1433" s="372"/>
      <c r="O1433" s="372"/>
      <c r="P1433" s="372"/>
      <c r="Q1433" s="304"/>
      <c r="R1433" s="304"/>
      <c r="S1433" s="304"/>
      <c r="T1433" s="304"/>
      <c r="U1433" s="304"/>
      <c r="V1433" s="304"/>
      <c r="AL1433" s="372" t="str">
        <f t="shared" si="52"/>
        <v/>
      </c>
    </row>
    <row r="1434" spans="1:38" ht="15" customHeight="1" outlineLevel="1" x14ac:dyDescent="0.2">
      <c r="A1434" s="403"/>
      <c r="B1434" s="403"/>
      <c r="C1434" s="403"/>
      <c r="D1434" s="404"/>
      <c r="E1434" s="405"/>
      <c r="F1434" s="405"/>
      <c r="G1434" s="403"/>
      <c r="H1434" s="406"/>
      <c r="I1434" s="406"/>
      <c r="J1434" s="406"/>
      <c r="K1434" s="304"/>
      <c r="L1434" s="372"/>
      <c r="M1434" s="372"/>
      <c r="N1434" s="372"/>
      <c r="O1434" s="372"/>
      <c r="P1434" s="372"/>
      <c r="Q1434" s="304"/>
      <c r="R1434" s="304"/>
      <c r="S1434" s="304"/>
      <c r="T1434" s="304"/>
      <c r="U1434" s="304"/>
      <c r="V1434" s="304"/>
      <c r="AL1434" s="372" t="str">
        <f t="shared" si="52"/>
        <v/>
      </c>
    </row>
    <row r="1435" spans="1:38" ht="15" customHeight="1" outlineLevel="1" x14ac:dyDescent="0.2">
      <c r="A1435" s="403"/>
      <c r="B1435" s="403"/>
      <c r="C1435" s="403"/>
      <c r="D1435" s="404"/>
      <c r="E1435" s="405"/>
      <c r="F1435" s="405"/>
      <c r="G1435" s="403"/>
      <c r="H1435" s="406"/>
      <c r="I1435" s="406"/>
      <c r="J1435" s="406"/>
      <c r="K1435" s="304"/>
      <c r="L1435" s="372"/>
      <c r="M1435" s="372"/>
      <c r="N1435" s="372"/>
      <c r="O1435" s="372"/>
      <c r="P1435" s="372"/>
      <c r="Q1435" s="304"/>
      <c r="R1435" s="304"/>
      <c r="S1435" s="304"/>
      <c r="T1435" s="304"/>
      <c r="U1435" s="304"/>
      <c r="V1435" s="304"/>
      <c r="AL1435" s="372" t="str">
        <f t="shared" si="52"/>
        <v/>
      </c>
    </row>
    <row r="1436" spans="1:38" ht="15" customHeight="1" outlineLevel="1" x14ac:dyDescent="0.2">
      <c r="A1436" s="403"/>
      <c r="B1436" s="403"/>
      <c r="C1436" s="403"/>
      <c r="D1436" s="404"/>
      <c r="E1436" s="405"/>
      <c r="F1436" s="405"/>
      <c r="G1436" s="403"/>
      <c r="H1436" s="406"/>
      <c r="I1436" s="406"/>
      <c r="J1436" s="406"/>
      <c r="K1436" s="304"/>
      <c r="L1436" s="372"/>
      <c r="M1436" s="372"/>
      <c r="N1436" s="372"/>
      <c r="O1436" s="372"/>
      <c r="P1436" s="372"/>
      <c r="Q1436" s="304"/>
      <c r="R1436" s="304"/>
      <c r="S1436" s="304"/>
      <c r="T1436" s="304"/>
      <c r="U1436" s="304"/>
      <c r="V1436" s="304"/>
      <c r="AL1436" s="372" t="str">
        <f t="shared" si="52"/>
        <v/>
      </c>
    </row>
    <row r="1437" spans="1:38" ht="15" customHeight="1" outlineLevel="1" x14ac:dyDescent="0.2">
      <c r="A1437" s="403"/>
      <c r="B1437" s="403"/>
      <c r="C1437" s="403"/>
      <c r="D1437" s="404"/>
      <c r="E1437" s="405"/>
      <c r="F1437" s="405"/>
      <c r="G1437" s="403"/>
      <c r="H1437" s="406"/>
      <c r="I1437" s="406"/>
      <c r="J1437" s="406"/>
      <c r="K1437" s="304"/>
      <c r="L1437" s="372"/>
      <c r="M1437" s="372"/>
      <c r="N1437" s="372"/>
      <c r="O1437" s="372"/>
      <c r="P1437" s="372"/>
      <c r="Q1437" s="304"/>
      <c r="R1437" s="304"/>
      <c r="S1437" s="304"/>
      <c r="T1437" s="304"/>
      <c r="U1437" s="304"/>
      <c r="V1437" s="304"/>
      <c r="AL1437" s="372" t="str">
        <f t="shared" si="52"/>
        <v/>
      </c>
    </row>
    <row r="1438" spans="1:38" ht="15" customHeight="1" outlineLevel="1" x14ac:dyDescent="0.2">
      <c r="A1438" s="403"/>
      <c r="B1438" s="403"/>
      <c r="C1438" s="403"/>
      <c r="D1438" s="404"/>
      <c r="E1438" s="405"/>
      <c r="F1438" s="405"/>
      <c r="G1438" s="403"/>
      <c r="H1438" s="406"/>
      <c r="I1438" s="406"/>
      <c r="J1438" s="406"/>
      <c r="K1438" s="304"/>
      <c r="L1438" s="372"/>
      <c r="M1438" s="372"/>
      <c r="N1438" s="372"/>
      <c r="O1438" s="372"/>
      <c r="P1438" s="372"/>
      <c r="Q1438" s="304"/>
      <c r="R1438" s="304"/>
      <c r="S1438" s="304"/>
      <c r="T1438" s="304"/>
      <c r="U1438" s="304"/>
      <c r="V1438" s="304"/>
      <c r="AL1438" s="372" t="str">
        <f t="shared" si="52"/>
        <v/>
      </c>
    </row>
    <row r="1439" spans="1:38" ht="15" customHeight="1" outlineLevel="1" x14ac:dyDescent="0.2">
      <c r="A1439" s="403"/>
      <c r="B1439" s="403"/>
      <c r="C1439" s="403"/>
      <c r="D1439" s="404"/>
      <c r="E1439" s="405"/>
      <c r="F1439" s="405"/>
      <c r="G1439" s="403"/>
      <c r="H1439" s="406"/>
      <c r="I1439" s="406"/>
      <c r="J1439" s="406"/>
      <c r="K1439" s="304"/>
      <c r="L1439" s="372"/>
      <c r="M1439" s="372"/>
      <c r="N1439" s="372"/>
      <c r="O1439" s="372"/>
      <c r="P1439" s="372"/>
      <c r="Q1439" s="304"/>
      <c r="R1439" s="304"/>
      <c r="S1439" s="304"/>
      <c r="T1439" s="304"/>
      <c r="U1439" s="304"/>
      <c r="V1439" s="304"/>
      <c r="AL1439" s="372" t="str">
        <f t="shared" si="52"/>
        <v/>
      </c>
    </row>
    <row r="1440" spans="1:38" ht="15" customHeight="1" outlineLevel="1" x14ac:dyDescent="0.2">
      <c r="A1440" s="403"/>
      <c r="B1440" s="403"/>
      <c r="C1440" s="403"/>
      <c r="D1440" s="404"/>
      <c r="E1440" s="405"/>
      <c r="F1440" s="405"/>
      <c r="G1440" s="403"/>
      <c r="H1440" s="406"/>
      <c r="I1440" s="406"/>
      <c r="J1440" s="406"/>
      <c r="K1440" s="304"/>
      <c r="L1440" s="372"/>
      <c r="M1440" s="372"/>
      <c r="N1440" s="372"/>
      <c r="O1440" s="372"/>
      <c r="P1440" s="372"/>
      <c r="Q1440" s="304"/>
      <c r="R1440" s="304"/>
      <c r="S1440" s="304"/>
      <c r="T1440" s="304"/>
      <c r="U1440" s="304"/>
      <c r="V1440" s="304"/>
      <c r="AL1440" s="372" t="str">
        <f t="shared" si="52"/>
        <v/>
      </c>
    </row>
    <row r="1441" spans="1:38" ht="15" customHeight="1" outlineLevel="1" x14ac:dyDescent="0.2">
      <c r="A1441" s="403"/>
      <c r="B1441" s="403"/>
      <c r="C1441" s="403"/>
      <c r="D1441" s="404"/>
      <c r="E1441" s="405"/>
      <c r="F1441" s="405"/>
      <c r="G1441" s="403"/>
      <c r="H1441" s="406"/>
      <c r="I1441" s="406"/>
      <c r="J1441" s="406"/>
      <c r="K1441" s="304"/>
      <c r="L1441" s="372"/>
      <c r="M1441" s="372"/>
      <c r="N1441" s="372"/>
      <c r="O1441" s="372"/>
      <c r="P1441" s="372"/>
      <c r="Q1441" s="304"/>
      <c r="R1441" s="304"/>
      <c r="S1441" s="304"/>
      <c r="T1441" s="304"/>
      <c r="U1441" s="304"/>
      <c r="V1441" s="304"/>
      <c r="AL1441" s="372" t="str">
        <f t="shared" si="52"/>
        <v/>
      </c>
    </row>
    <row r="1442" spans="1:38" ht="15" customHeight="1" outlineLevel="1" x14ac:dyDescent="0.2">
      <c r="A1442" s="403"/>
      <c r="B1442" s="403"/>
      <c r="C1442" s="403"/>
      <c r="D1442" s="404"/>
      <c r="E1442" s="405"/>
      <c r="F1442" s="405"/>
      <c r="G1442" s="403"/>
      <c r="H1442" s="406"/>
      <c r="I1442" s="406"/>
      <c r="J1442" s="406"/>
      <c r="K1442" s="304"/>
      <c r="L1442" s="372"/>
      <c r="M1442" s="372"/>
      <c r="N1442" s="372"/>
      <c r="O1442" s="372"/>
      <c r="P1442" s="372"/>
      <c r="Q1442" s="304"/>
      <c r="R1442" s="304"/>
      <c r="S1442" s="304"/>
      <c r="T1442" s="304"/>
      <c r="U1442" s="304"/>
      <c r="V1442" s="304"/>
      <c r="AL1442" s="372" t="str">
        <f t="shared" si="52"/>
        <v/>
      </c>
    </row>
    <row r="1443" spans="1:38" ht="15" customHeight="1" outlineLevel="1" x14ac:dyDescent="0.2">
      <c r="A1443" s="403"/>
      <c r="B1443" s="403"/>
      <c r="C1443" s="403"/>
      <c r="D1443" s="404"/>
      <c r="E1443" s="405"/>
      <c r="F1443" s="405"/>
      <c r="G1443" s="403"/>
      <c r="H1443" s="406"/>
      <c r="I1443" s="406"/>
      <c r="J1443" s="406"/>
      <c r="K1443" s="304"/>
      <c r="L1443" s="372"/>
      <c r="M1443" s="372"/>
      <c r="N1443" s="372"/>
      <c r="O1443" s="372"/>
      <c r="P1443" s="372"/>
      <c r="Q1443" s="304"/>
      <c r="R1443" s="304"/>
      <c r="S1443" s="304"/>
      <c r="T1443" s="304"/>
      <c r="U1443" s="304"/>
      <c r="V1443" s="304"/>
      <c r="AL1443" s="372" t="str">
        <f t="shared" si="52"/>
        <v/>
      </c>
    </row>
    <row r="1444" spans="1:38" ht="15" customHeight="1" outlineLevel="1" x14ac:dyDescent="0.2">
      <c r="A1444" s="403"/>
      <c r="B1444" s="403"/>
      <c r="C1444" s="403"/>
      <c r="D1444" s="404"/>
      <c r="E1444" s="405"/>
      <c r="F1444" s="405"/>
      <c r="G1444" s="403"/>
      <c r="H1444" s="406"/>
      <c r="I1444" s="406"/>
      <c r="J1444" s="406"/>
      <c r="K1444" s="304"/>
      <c r="L1444" s="372"/>
      <c r="M1444" s="372"/>
      <c r="N1444" s="372"/>
      <c r="O1444" s="372"/>
      <c r="P1444" s="372"/>
      <c r="Q1444" s="304"/>
      <c r="R1444" s="304"/>
      <c r="S1444" s="304"/>
      <c r="T1444" s="304"/>
      <c r="U1444" s="304"/>
      <c r="V1444" s="304"/>
      <c r="AL1444" s="372" t="str">
        <f t="shared" si="52"/>
        <v/>
      </c>
    </row>
    <row r="1445" spans="1:38" ht="15" customHeight="1" outlineLevel="1" x14ac:dyDescent="0.2">
      <c r="A1445" s="403"/>
      <c r="B1445" s="403"/>
      <c r="C1445" s="403"/>
      <c r="D1445" s="404"/>
      <c r="E1445" s="405"/>
      <c r="F1445" s="405"/>
      <c r="G1445" s="403"/>
      <c r="H1445" s="406"/>
      <c r="I1445" s="406"/>
      <c r="J1445" s="406"/>
      <c r="K1445" s="304"/>
      <c r="L1445" s="372"/>
      <c r="M1445" s="372"/>
      <c r="N1445" s="372"/>
      <c r="O1445" s="372"/>
      <c r="P1445" s="372"/>
      <c r="Q1445" s="304"/>
      <c r="R1445" s="304"/>
      <c r="S1445" s="304"/>
      <c r="T1445" s="304"/>
      <c r="U1445" s="304"/>
      <c r="V1445" s="304"/>
      <c r="AL1445" s="372" t="str">
        <f t="shared" si="52"/>
        <v/>
      </c>
    </row>
    <row r="1446" spans="1:38" ht="15" customHeight="1" outlineLevel="1" x14ac:dyDescent="0.2">
      <c r="A1446" s="403"/>
      <c r="B1446" s="403"/>
      <c r="C1446" s="403"/>
      <c r="D1446" s="404"/>
      <c r="E1446" s="405"/>
      <c r="F1446" s="405"/>
      <c r="G1446" s="403"/>
      <c r="H1446" s="406"/>
      <c r="I1446" s="406"/>
      <c r="J1446" s="406"/>
      <c r="K1446" s="304"/>
      <c r="L1446" s="372"/>
      <c r="M1446" s="372"/>
      <c r="N1446" s="372"/>
      <c r="O1446" s="372"/>
      <c r="P1446" s="372"/>
      <c r="Q1446" s="304"/>
      <c r="R1446" s="304"/>
      <c r="S1446" s="304"/>
      <c r="T1446" s="304"/>
      <c r="U1446" s="304"/>
      <c r="V1446" s="304"/>
      <c r="AL1446" s="372" t="str">
        <f t="shared" si="52"/>
        <v/>
      </c>
    </row>
    <row r="1447" spans="1:38" ht="15" customHeight="1" outlineLevel="1" x14ac:dyDescent="0.2">
      <c r="A1447" s="403"/>
      <c r="B1447" s="403"/>
      <c r="C1447" s="403"/>
      <c r="D1447" s="404"/>
      <c r="E1447" s="405"/>
      <c r="F1447" s="405"/>
      <c r="G1447" s="403"/>
      <c r="H1447" s="406"/>
      <c r="I1447" s="406"/>
      <c r="J1447" s="406"/>
      <c r="K1447" s="304"/>
      <c r="L1447" s="372"/>
      <c r="M1447" s="372"/>
      <c r="N1447" s="372"/>
      <c r="O1447" s="372"/>
      <c r="P1447" s="372"/>
      <c r="Q1447" s="304"/>
      <c r="R1447" s="304"/>
      <c r="S1447" s="304"/>
      <c r="T1447" s="304"/>
      <c r="U1447" s="304"/>
      <c r="V1447" s="304"/>
      <c r="AL1447" s="372" t="str">
        <f t="shared" si="52"/>
        <v/>
      </c>
    </row>
    <row r="1448" spans="1:38" ht="15" customHeight="1" outlineLevel="1" x14ac:dyDescent="0.2">
      <c r="A1448" s="403"/>
      <c r="B1448" s="403"/>
      <c r="C1448" s="403"/>
      <c r="D1448" s="404"/>
      <c r="E1448" s="405"/>
      <c r="F1448" s="405"/>
      <c r="G1448" s="403"/>
      <c r="H1448" s="406"/>
      <c r="I1448" s="406"/>
      <c r="J1448" s="406"/>
      <c r="K1448" s="304"/>
      <c r="L1448" s="372"/>
      <c r="M1448" s="372"/>
      <c r="N1448" s="372"/>
      <c r="O1448" s="372"/>
      <c r="P1448" s="372"/>
      <c r="Q1448" s="304"/>
      <c r="R1448" s="304"/>
      <c r="S1448" s="304"/>
      <c r="T1448" s="304"/>
      <c r="U1448" s="304"/>
      <c r="V1448" s="304"/>
      <c r="AL1448" s="372" t="str">
        <f t="shared" si="52"/>
        <v/>
      </c>
    </row>
    <row r="1449" spans="1:38" ht="15" customHeight="1" outlineLevel="1" x14ac:dyDescent="0.2">
      <c r="A1449" s="403"/>
      <c r="B1449" s="403"/>
      <c r="C1449" s="403"/>
      <c r="D1449" s="404"/>
      <c r="E1449" s="405"/>
      <c r="F1449" s="405"/>
      <c r="G1449" s="403"/>
      <c r="H1449" s="406"/>
      <c r="I1449" s="406"/>
      <c r="J1449" s="406"/>
      <c r="K1449" s="304"/>
      <c r="L1449" s="372"/>
      <c r="M1449" s="372"/>
      <c r="N1449" s="372"/>
      <c r="O1449" s="372"/>
      <c r="P1449" s="372"/>
      <c r="Q1449" s="304"/>
      <c r="R1449" s="304"/>
      <c r="S1449" s="304"/>
      <c r="T1449" s="304"/>
      <c r="U1449" s="304"/>
      <c r="V1449" s="304"/>
      <c r="AL1449" s="372" t="str">
        <f t="shared" si="52"/>
        <v/>
      </c>
    </row>
    <row r="1450" spans="1:38" ht="15" customHeight="1" outlineLevel="1" x14ac:dyDescent="0.2">
      <c r="A1450" s="403"/>
      <c r="B1450" s="403"/>
      <c r="C1450" s="403"/>
      <c r="D1450" s="404"/>
      <c r="E1450" s="405"/>
      <c r="F1450" s="405"/>
      <c r="G1450" s="403"/>
      <c r="H1450" s="406"/>
      <c r="I1450" s="406"/>
      <c r="J1450" s="406"/>
      <c r="K1450" s="304"/>
      <c r="L1450" s="372"/>
      <c r="M1450" s="372"/>
      <c r="N1450" s="372"/>
      <c r="O1450" s="372"/>
      <c r="P1450" s="372"/>
      <c r="Q1450" s="304"/>
      <c r="R1450" s="304"/>
      <c r="S1450" s="304"/>
      <c r="T1450" s="304"/>
      <c r="U1450" s="304"/>
      <c r="V1450" s="304"/>
      <c r="AL1450" s="372" t="str">
        <f t="shared" si="52"/>
        <v/>
      </c>
    </row>
    <row r="1451" spans="1:38" ht="15" customHeight="1" outlineLevel="1" x14ac:dyDescent="0.2">
      <c r="A1451" s="403"/>
      <c r="B1451" s="403"/>
      <c r="C1451" s="403"/>
      <c r="D1451" s="404"/>
      <c r="E1451" s="405"/>
      <c r="F1451" s="405"/>
      <c r="G1451" s="403"/>
      <c r="H1451" s="406"/>
      <c r="I1451" s="406"/>
      <c r="J1451" s="406"/>
      <c r="K1451" s="304"/>
      <c r="L1451" s="372"/>
      <c r="M1451" s="372"/>
      <c r="N1451" s="372"/>
      <c r="O1451" s="372"/>
      <c r="P1451" s="372"/>
      <c r="Q1451" s="304"/>
      <c r="R1451" s="304"/>
      <c r="S1451" s="304"/>
      <c r="T1451" s="304"/>
      <c r="U1451" s="304"/>
      <c r="V1451" s="304"/>
      <c r="AL1451" s="372" t="str">
        <f t="shared" si="52"/>
        <v/>
      </c>
    </row>
    <row r="1452" spans="1:38" ht="15" customHeight="1" outlineLevel="1" x14ac:dyDescent="0.2">
      <c r="A1452" s="403"/>
      <c r="B1452" s="403"/>
      <c r="C1452" s="403"/>
      <c r="D1452" s="404"/>
      <c r="E1452" s="405"/>
      <c r="F1452" s="405"/>
      <c r="G1452" s="403"/>
      <c r="H1452" s="406"/>
      <c r="I1452" s="406"/>
      <c r="J1452" s="406"/>
      <c r="K1452" s="304"/>
      <c r="L1452" s="372"/>
      <c r="M1452" s="372"/>
      <c r="N1452" s="372"/>
      <c r="O1452" s="372"/>
      <c r="P1452" s="372"/>
      <c r="Q1452" s="304"/>
      <c r="R1452" s="304"/>
      <c r="S1452" s="304"/>
      <c r="T1452" s="304"/>
      <c r="U1452" s="304"/>
      <c r="V1452" s="304"/>
      <c r="AL1452" s="372" t="str">
        <f t="shared" si="52"/>
        <v/>
      </c>
    </row>
    <row r="1453" spans="1:38" ht="15" customHeight="1" outlineLevel="1" x14ac:dyDescent="0.2">
      <c r="A1453" s="403"/>
      <c r="B1453" s="403"/>
      <c r="C1453" s="403"/>
      <c r="D1453" s="404"/>
      <c r="E1453" s="405"/>
      <c r="F1453" s="405"/>
      <c r="G1453" s="403"/>
      <c r="H1453" s="406"/>
      <c r="I1453" s="406"/>
      <c r="J1453" s="406"/>
      <c r="K1453" s="304"/>
      <c r="L1453" s="372"/>
      <c r="M1453" s="372"/>
      <c r="N1453" s="372"/>
      <c r="O1453" s="372"/>
      <c r="P1453" s="372"/>
      <c r="Q1453" s="304"/>
      <c r="R1453" s="304"/>
      <c r="S1453" s="304"/>
      <c r="T1453" s="304"/>
      <c r="U1453" s="304"/>
      <c r="V1453" s="304"/>
      <c r="AL1453" s="372" t="str">
        <f t="shared" si="52"/>
        <v/>
      </c>
    </row>
    <row r="1454" spans="1:38" ht="15" customHeight="1" outlineLevel="1" x14ac:dyDescent="0.2">
      <c r="A1454" s="403"/>
      <c r="B1454" s="403"/>
      <c r="C1454" s="403"/>
      <c r="D1454" s="404"/>
      <c r="E1454" s="405"/>
      <c r="F1454" s="405"/>
      <c r="G1454" s="403"/>
      <c r="H1454" s="406"/>
      <c r="I1454" s="406"/>
      <c r="J1454" s="406"/>
      <c r="K1454" s="304"/>
      <c r="L1454" s="372"/>
      <c r="M1454" s="372"/>
      <c r="N1454" s="372"/>
      <c r="O1454" s="372"/>
      <c r="P1454" s="372"/>
      <c r="Q1454" s="304"/>
      <c r="R1454" s="304"/>
      <c r="S1454" s="304"/>
      <c r="T1454" s="304"/>
      <c r="U1454" s="304"/>
      <c r="V1454" s="304"/>
      <c r="AL1454" s="372" t="str">
        <f t="shared" si="52"/>
        <v/>
      </c>
    </row>
    <row r="1455" spans="1:38" ht="15" customHeight="1" outlineLevel="1" x14ac:dyDescent="0.2">
      <c r="A1455" s="403"/>
      <c r="B1455" s="403"/>
      <c r="C1455" s="403"/>
      <c r="D1455" s="404"/>
      <c r="E1455" s="405"/>
      <c r="F1455" s="405"/>
      <c r="G1455" s="403"/>
      <c r="H1455" s="406"/>
      <c r="I1455" s="406"/>
      <c r="J1455" s="406"/>
      <c r="K1455" s="304"/>
      <c r="L1455" s="372"/>
      <c r="M1455" s="372"/>
      <c r="N1455" s="372"/>
      <c r="O1455" s="372"/>
      <c r="P1455" s="372"/>
      <c r="Q1455" s="304"/>
      <c r="R1455" s="304"/>
      <c r="S1455" s="304"/>
      <c r="T1455" s="304"/>
      <c r="U1455" s="304"/>
      <c r="V1455" s="304"/>
      <c r="AL1455" s="372" t="str">
        <f t="shared" si="52"/>
        <v/>
      </c>
    </row>
    <row r="1456" spans="1:38" ht="15" customHeight="1" outlineLevel="1" x14ac:dyDescent="0.2">
      <c r="A1456" s="403"/>
      <c r="B1456" s="403"/>
      <c r="C1456" s="403"/>
      <c r="D1456" s="404"/>
      <c r="E1456" s="405"/>
      <c r="F1456" s="405"/>
      <c r="G1456" s="403"/>
      <c r="H1456" s="406"/>
      <c r="I1456" s="406"/>
      <c r="J1456" s="406"/>
      <c r="K1456" s="304"/>
      <c r="L1456" s="372"/>
      <c r="M1456" s="372"/>
      <c r="N1456" s="372"/>
      <c r="O1456" s="372"/>
      <c r="P1456" s="372"/>
      <c r="Q1456" s="304"/>
      <c r="R1456" s="304"/>
      <c r="S1456" s="304"/>
      <c r="T1456" s="304"/>
      <c r="U1456" s="304"/>
      <c r="V1456" s="304"/>
      <c r="AL1456" s="372" t="str">
        <f t="shared" si="52"/>
        <v/>
      </c>
    </row>
    <row r="1457" spans="1:38" ht="15" customHeight="1" outlineLevel="1" x14ac:dyDescent="0.2">
      <c r="A1457" s="403"/>
      <c r="B1457" s="403"/>
      <c r="C1457" s="403"/>
      <c r="D1457" s="404"/>
      <c r="E1457" s="405"/>
      <c r="F1457" s="405"/>
      <c r="G1457" s="403"/>
      <c r="H1457" s="406"/>
      <c r="I1457" s="406"/>
      <c r="J1457" s="406"/>
      <c r="K1457" s="304"/>
      <c r="L1457" s="372"/>
      <c r="M1457" s="372"/>
      <c r="N1457" s="372"/>
      <c r="O1457" s="372"/>
      <c r="P1457" s="372"/>
      <c r="Q1457" s="304"/>
      <c r="R1457" s="304"/>
      <c r="S1457" s="304"/>
      <c r="T1457" s="304"/>
      <c r="U1457" s="304"/>
      <c r="V1457" s="304"/>
      <c r="AL1457" s="372" t="str">
        <f t="shared" si="52"/>
        <v/>
      </c>
    </row>
    <row r="1458" spans="1:38" ht="15" customHeight="1" outlineLevel="1" x14ac:dyDescent="0.2">
      <c r="A1458" s="403"/>
      <c r="B1458" s="403"/>
      <c r="C1458" s="403"/>
      <c r="D1458" s="404"/>
      <c r="E1458" s="405"/>
      <c r="F1458" s="405"/>
      <c r="G1458" s="403"/>
      <c r="H1458" s="406"/>
      <c r="I1458" s="406"/>
      <c r="J1458" s="406"/>
      <c r="K1458" s="304"/>
      <c r="L1458" s="372"/>
      <c r="M1458" s="372"/>
      <c r="N1458" s="372"/>
      <c r="O1458" s="372"/>
      <c r="P1458" s="372"/>
      <c r="Q1458" s="304"/>
      <c r="R1458" s="304"/>
      <c r="S1458" s="304"/>
      <c r="T1458" s="304"/>
      <c r="U1458" s="304"/>
      <c r="V1458" s="304"/>
      <c r="AL1458" s="372" t="str">
        <f t="shared" si="52"/>
        <v/>
      </c>
    </row>
    <row r="1459" spans="1:38" ht="15" customHeight="1" outlineLevel="1" x14ac:dyDescent="0.2">
      <c r="A1459" s="403"/>
      <c r="B1459" s="403"/>
      <c r="C1459" s="403"/>
      <c r="D1459" s="404"/>
      <c r="E1459" s="405"/>
      <c r="F1459" s="405"/>
      <c r="G1459" s="403"/>
      <c r="H1459" s="406"/>
      <c r="I1459" s="406"/>
      <c r="J1459" s="406"/>
      <c r="K1459" s="304"/>
      <c r="L1459" s="372"/>
      <c r="M1459" s="372"/>
      <c r="N1459" s="372"/>
      <c r="O1459" s="372"/>
      <c r="P1459" s="372"/>
      <c r="Q1459" s="304"/>
      <c r="R1459" s="304"/>
      <c r="S1459" s="304"/>
      <c r="T1459" s="304"/>
      <c r="U1459" s="304"/>
      <c r="V1459" s="304"/>
      <c r="AL1459" s="372" t="str">
        <f t="shared" si="52"/>
        <v/>
      </c>
    </row>
    <row r="1460" spans="1:38" ht="15" customHeight="1" outlineLevel="1" x14ac:dyDescent="0.2">
      <c r="A1460" s="403"/>
      <c r="B1460" s="403"/>
      <c r="C1460" s="403"/>
      <c r="D1460" s="404"/>
      <c r="E1460" s="405"/>
      <c r="F1460" s="405"/>
      <c r="G1460" s="403"/>
      <c r="H1460" s="406"/>
      <c r="I1460" s="406"/>
      <c r="J1460" s="406"/>
      <c r="K1460" s="304"/>
      <c r="L1460" s="372"/>
      <c r="M1460" s="372"/>
      <c r="N1460" s="372"/>
      <c r="O1460" s="372"/>
      <c r="P1460" s="372"/>
      <c r="Q1460" s="304"/>
      <c r="R1460" s="304"/>
      <c r="S1460" s="304"/>
      <c r="T1460" s="304"/>
      <c r="U1460" s="304"/>
      <c r="V1460" s="304"/>
      <c r="AL1460" s="372" t="str">
        <f t="shared" si="52"/>
        <v/>
      </c>
    </row>
    <row r="1461" spans="1:38" ht="15" customHeight="1" outlineLevel="1" x14ac:dyDescent="0.2">
      <c r="A1461" s="403"/>
      <c r="B1461" s="403"/>
      <c r="C1461" s="403"/>
      <c r="D1461" s="404"/>
      <c r="E1461" s="405"/>
      <c r="F1461" s="405"/>
      <c r="G1461" s="403"/>
      <c r="H1461" s="406"/>
      <c r="I1461" s="406"/>
      <c r="J1461" s="406"/>
      <c r="K1461" s="304"/>
      <c r="L1461" s="372"/>
      <c r="M1461" s="372"/>
      <c r="N1461" s="372"/>
      <c r="O1461" s="372"/>
      <c r="P1461" s="372"/>
      <c r="Q1461" s="304"/>
      <c r="R1461" s="304"/>
      <c r="S1461" s="304"/>
      <c r="T1461" s="304"/>
      <c r="U1461" s="304"/>
      <c r="V1461" s="304"/>
      <c r="AL1461" s="372" t="str">
        <f t="shared" si="52"/>
        <v/>
      </c>
    </row>
    <row r="1462" spans="1:38" ht="15" customHeight="1" outlineLevel="1" x14ac:dyDescent="0.2">
      <c r="A1462" s="403"/>
      <c r="B1462" s="403"/>
      <c r="C1462" s="403"/>
      <c r="D1462" s="404"/>
      <c r="E1462" s="405"/>
      <c r="F1462" s="405"/>
      <c r="G1462" s="403"/>
      <c r="H1462" s="406"/>
      <c r="I1462" s="406"/>
      <c r="J1462" s="406"/>
      <c r="K1462" s="304"/>
      <c r="L1462" s="372"/>
      <c r="M1462" s="372"/>
      <c r="N1462" s="372"/>
      <c r="O1462" s="372"/>
      <c r="P1462" s="372"/>
      <c r="Q1462" s="304"/>
      <c r="R1462" s="304"/>
      <c r="S1462" s="304"/>
      <c r="T1462" s="304"/>
      <c r="U1462" s="304"/>
      <c r="V1462" s="304"/>
      <c r="AL1462" s="372" t="str">
        <f t="shared" si="52"/>
        <v/>
      </c>
    </row>
    <row r="1463" spans="1:38" ht="15" customHeight="1" outlineLevel="1" x14ac:dyDescent="0.2">
      <c r="A1463" s="403"/>
      <c r="B1463" s="403"/>
      <c r="C1463" s="403"/>
      <c r="D1463" s="404"/>
      <c r="E1463" s="405"/>
      <c r="F1463" s="405"/>
      <c r="G1463" s="403"/>
      <c r="H1463" s="406"/>
      <c r="I1463" s="406"/>
      <c r="J1463" s="406"/>
      <c r="K1463" s="304"/>
      <c r="L1463" s="372"/>
      <c r="M1463" s="372"/>
      <c r="N1463" s="372"/>
      <c r="O1463" s="372"/>
      <c r="P1463" s="372"/>
      <c r="Q1463" s="304"/>
      <c r="R1463" s="304"/>
      <c r="S1463" s="304"/>
      <c r="T1463" s="304"/>
      <c r="U1463" s="304"/>
      <c r="V1463" s="304"/>
      <c r="AL1463" s="372" t="str">
        <f t="shared" si="52"/>
        <v/>
      </c>
    </row>
    <row r="1464" spans="1:38" ht="15" customHeight="1" outlineLevel="1" x14ac:dyDescent="0.2">
      <c r="A1464" s="403"/>
      <c r="B1464" s="403"/>
      <c r="C1464" s="403"/>
      <c r="D1464" s="404"/>
      <c r="E1464" s="405"/>
      <c r="F1464" s="405"/>
      <c r="G1464" s="403"/>
      <c r="H1464" s="406"/>
      <c r="I1464" s="406"/>
      <c r="J1464" s="406"/>
      <c r="K1464" s="304"/>
      <c r="L1464" s="372"/>
      <c r="M1464" s="372"/>
      <c r="N1464" s="372"/>
      <c r="O1464" s="372"/>
      <c r="P1464" s="372"/>
      <c r="Q1464" s="304"/>
      <c r="R1464" s="304"/>
      <c r="S1464" s="304"/>
      <c r="T1464" s="304"/>
      <c r="U1464" s="304"/>
      <c r="V1464" s="304"/>
      <c r="AL1464" s="372" t="str">
        <f t="shared" si="52"/>
        <v/>
      </c>
    </row>
    <row r="1465" spans="1:38" ht="15" customHeight="1" outlineLevel="1" x14ac:dyDescent="0.2">
      <c r="A1465" s="403"/>
      <c r="B1465" s="403"/>
      <c r="C1465" s="403"/>
      <c r="D1465" s="404"/>
      <c r="E1465" s="405"/>
      <c r="F1465" s="405"/>
      <c r="G1465" s="403"/>
      <c r="H1465" s="406"/>
      <c r="I1465" s="406"/>
      <c r="J1465" s="406"/>
      <c r="K1465" s="304"/>
      <c r="L1465" s="372"/>
      <c r="M1465" s="372"/>
      <c r="N1465" s="372"/>
      <c r="O1465" s="372"/>
      <c r="P1465" s="372"/>
      <c r="Q1465" s="304"/>
      <c r="R1465" s="304"/>
      <c r="S1465" s="304"/>
      <c r="T1465" s="304"/>
      <c r="U1465" s="304"/>
      <c r="V1465" s="304"/>
      <c r="AL1465" s="372" t="str">
        <f t="shared" si="52"/>
        <v/>
      </c>
    </row>
    <row r="1466" spans="1:38" ht="15" customHeight="1" outlineLevel="1" x14ac:dyDescent="0.2">
      <c r="A1466" s="403"/>
      <c r="B1466" s="403"/>
      <c r="C1466" s="403"/>
      <c r="D1466" s="404"/>
      <c r="E1466" s="405"/>
      <c r="F1466" s="405"/>
      <c r="G1466" s="403"/>
      <c r="H1466" s="406"/>
      <c r="I1466" s="406"/>
      <c r="J1466" s="406"/>
      <c r="K1466" s="304"/>
      <c r="L1466" s="372"/>
      <c r="M1466" s="372"/>
      <c r="N1466" s="372"/>
      <c r="O1466" s="372"/>
      <c r="P1466" s="372"/>
      <c r="Q1466" s="304"/>
      <c r="R1466" s="304"/>
      <c r="S1466" s="304"/>
      <c r="T1466" s="304"/>
      <c r="U1466" s="304"/>
      <c r="V1466" s="304"/>
      <c r="AL1466" s="372" t="str">
        <f t="shared" si="52"/>
        <v/>
      </c>
    </row>
    <row r="1467" spans="1:38" ht="15" customHeight="1" outlineLevel="1" x14ac:dyDescent="0.2">
      <c r="A1467" s="403"/>
      <c r="B1467" s="403"/>
      <c r="C1467" s="403"/>
      <c r="D1467" s="404"/>
      <c r="E1467" s="405"/>
      <c r="F1467" s="405"/>
      <c r="G1467" s="403"/>
      <c r="H1467" s="406"/>
      <c r="I1467" s="406"/>
      <c r="J1467" s="406"/>
      <c r="K1467" s="304"/>
      <c r="L1467" s="372"/>
      <c r="M1467" s="372"/>
      <c r="N1467" s="372"/>
      <c r="O1467" s="372"/>
      <c r="P1467" s="372"/>
      <c r="Q1467" s="304"/>
      <c r="R1467" s="304"/>
      <c r="S1467" s="304"/>
      <c r="T1467" s="304"/>
      <c r="U1467" s="304"/>
      <c r="V1467" s="304"/>
      <c r="AL1467" s="372" t="str">
        <f t="shared" si="52"/>
        <v/>
      </c>
    </row>
    <row r="1468" spans="1:38" ht="15" customHeight="1" outlineLevel="1" x14ac:dyDescent="0.2">
      <c r="A1468" s="403"/>
      <c r="B1468" s="403"/>
      <c r="C1468" s="403"/>
      <c r="D1468" s="404"/>
      <c r="E1468" s="405"/>
      <c r="F1468" s="405"/>
      <c r="G1468" s="403"/>
      <c r="H1468" s="406"/>
      <c r="I1468" s="406"/>
      <c r="J1468" s="406"/>
      <c r="K1468" s="304"/>
      <c r="L1468" s="372"/>
      <c r="M1468" s="372"/>
      <c r="N1468" s="372"/>
      <c r="O1468" s="372"/>
      <c r="P1468" s="372"/>
      <c r="Q1468" s="304"/>
      <c r="R1468" s="304"/>
      <c r="S1468" s="304"/>
      <c r="T1468" s="304"/>
      <c r="U1468" s="304"/>
      <c r="V1468" s="304"/>
      <c r="AL1468" s="372" t="str">
        <f t="shared" si="52"/>
        <v/>
      </c>
    </row>
    <row r="1469" spans="1:38" ht="15" customHeight="1" outlineLevel="1" x14ac:dyDescent="0.2">
      <c r="A1469" s="403"/>
      <c r="B1469" s="403"/>
      <c r="C1469" s="403"/>
      <c r="D1469" s="404"/>
      <c r="E1469" s="405"/>
      <c r="F1469" s="405"/>
      <c r="G1469" s="403"/>
      <c r="H1469" s="406"/>
      <c r="I1469" s="406"/>
      <c r="J1469" s="406"/>
      <c r="K1469" s="304"/>
      <c r="L1469" s="372"/>
      <c r="M1469" s="372"/>
      <c r="N1469" s="372"/>
      <c r="O1469" s="372"/>
      <c r="P1469" s="372"/>
      <c r="Q1469" s="304"/>
      <c r="R1469" s="304"/>
      <c r="S1469" s="304"/>
      <c r="T1469" s="304"/>
      <c r="U1469" s="304"/>
      <c r="V1469" s="304"/>
      <c r="AL1469" s="372" t="str">
        <f t="shared" si="52"/>
        <v/>
      </c>
    </row>
    <row r="1470" spans="1:38" ht="15" customHeight="1" outlineLevel="1" x14ac:dyDescent="0.2">
      <c r="A1470" s="403"/>
      <c r="B1470" s="403"/>
      <c r="C1470" s="403"/>
      <c r="D1470" s="404"/>
      <c r="E1470" s="405"/>
      <c r="F1470" s="405"/>
      <c r="G1470" s="403"/>
      <c r="H1470" s="406"/>
      <c r="I1470" s="406"/>
      <c r="J1470" s="406"/>
      <c r="K1470" s="304"/>
      <c r="L1470" s="372"/>
      <c r="M1470" s="372"/>
      <c r="N1470" s="372"/>
      <c r="O1470" s="372"/>
      <c r="P1470" s="372"/>
      <c r="Q1470" s="304"/>
      <c r="R1470" s="304"/>
      <c r="S1470" s="304"/>
      <c r="T1470" s="304"/>
      <c r="U1470" s="304"/>
      <c r="V1470" s="304"/>
      <c r="AL1470" s="372" t="str">
        <f t="shared" si="52"/>
        <v/>
      </c>
    </row>
    <row r="1471" spans="1:38" ht="15" customHeight="1" outlineLevel="1" x14ac:dyDescent="0.2">
      <c r="A1471" s="403"/>
      <c r="B1471" s="403"/>
      <c r="C1471" s="403"/>
      <c r="D1471" s="404"/>
      <c r="E1471" s="405"/>
      <c r="F1471" s="405"/>
      <c r="G1471" s="403"/>
      <c r="H1471" s="406"/>
      <c r="I1471" s="406"/>
      <c r="J1471" s="406"/>
      <c r="K1471" s="304"/>
      <c r="L1471" s="372"/>
      <c r="M1471" s="372"/>
      <c r="N1471" s="372"/>
      <c r="O1471" s="372"/>
      <c r="P1471" s="372"/>
      <c r="Q1471" s="304"/>
      <c r="R1471" s="304"/>
      <c r="S1471" s="304"/>
      <c r="T1471" s="304"/>
      <c r="U1471" s="304"/>
      <c r="V1471" s="304"/>
      <c r="AL1471" s="372" t="str">
        <f t="shared" si="52"/>
        <v/>
      </c>
    </row>
    <row r="1472" spans="1:38" ht="15" customHeight="1" outlineLevel="1" x14ac:dyDescent="0.2">
      <c r="A1472" s="403"/>
      <c r="B1472" s="403"/>
      <c r="C1472" s="403"/>
      <c r="D1472" s="404"/>
      <c r="E1472" s="405"/>
      <c r="F1472" s="405"/>
      <c r="G1472" s="403"/>
      <c r="H1472" s="406"/>
      <c r="I1472" s="406"/>
      <c r="J1472" s="406"/>
      <c r="K1472" s="304"/>
      <c r="L1472" s="372"/>
      <c r="M1472" s="372"/>
      <c r="N1472" s="372"/>
      <c r="O1472" s="372"/>
      <c r="P1472" s="372"/>
      <c r="Q1472" s="304"/>
      <c r="R1472" s="304"/>
      <c r="S1472" s="304"/>
      <c r="T1472" s="304"/>
      <c r="U1472" s="304"/>
      <c r="V1472" s="304"/>
      <c r="AL1472" s="372" t="str">
        <f t="shared" si="52"/>
        <v/>
      </c>
    </row>
    <row r="1473" spans="1:38" ht="15" customHeight="1" outlineLevel="1" x14ac:dyDescent="0.2">
      <c r="A1473" s="403"/>
      <c r="B1473" s="403"/>
      <c r="C1473" s="403"/>
      <c r="D1473" s="404"/>
      <c r="E1473" s="405"/>
      <c r="F1473" s="405"/>
      <c r="G1473" s="403"/>
      <c r="H1473" s="406"/>
      <c r="I1473" s="406"/>
      <c r="J1473" s="406"/>
      <c r="K1473" s="304"/>
      <c r="L1473" s="372"/>
      <c r="M1473" s="372"/>
      <c r="N1473" s="372"/>
      <c r="O1473" s="372"/>
      <c r="P1473" s="372"/>
      <c r="Q1473" s="304"/>
      <c r="R1473" s="304"/>
      <c r="S1473" s="304"/>
      <c r="T1473" s="304"/>
      <c r="U1473" s="304"/>
      <c r="V1473" s="304"/>
      <c r="AL1473" s="372" t="str">
        <f t="shared" si="52"/>
        <v/>
      </c>
    </row>
    <row r="1474" spans="1:38" ht="15" customHeight="1" outlineLevel="1" x14ac:dyDescent="0.2">
      <c r="A1474" s="403"/>
      <c r="B1474" s="403"/>
      <c r="C1474" s="403"/>
      <c r="D1474" s="404"/>
      <c r="E1474" s="405"/>
      <c r="F1474" s="405"/>
      <c r="G1474" s="403"/>
      <c r="H1474" s="406"/>
      <c r="I1474" s="406"/>
      <c r="J1474" s="406"/>
      <c r="K1474" s="304"/>
      <c r="L1474" s="372"/>
      <c r="M1474" s="372"/>
      <c r="N1474" s="372"/>
      <c r="O1474" s="372"/>
      <c r="P1474" s="372"/>
      <c r="Q1474" s="304"/>
      <c r="R1474" s="304"/>
      <c r="S1474" s="304"/>
      <c r="T1474" s="304"/>
      <c r="U1474" s="304"/>
      <c r="V1474" s="304"/>
      <c r="AL1474" s="372" t="str">
        <f t="shared" si="52"/>
        <v/>
      </c>
    </row>
    <row r="1475" spans="1:38" ht="15" customHeight="1" outlineLevel="1" x14ac:dyDescent="0.2">
      <c r="A1475" s="403"/>
      <c r="B1475" s="403"/>
      <c r="C1475" s="403"/>
      <c r="D1475" s="404"/>
      <c r="E1475" s="405"/>
      <c r="F1475" s="405"/>
      <c r="G1475" s="403"/>
      <c r="H1475" s="406"/>
      <c r="I1475" s="406"/>
      <c r="J1475" s="406"/>
      <c r="K1475" s="304"/>
      <c r="L1475" s="372"/>
      <c r="M1475" s="372"/>
      <c r="N1475" s="372"/>
      <c r="O1475" s="372"/>
      <c r="P1475" s="372"/>
      <c r="Q1475" s="304"/>
      <c r="R1475" s="304"/>
      <c r="S1475" s="304"/>
      <c r="T1475" s="304"/>
      <c r="U1475" s="304"/>
      <c r="V1475" s="304"/>
      <c r="AL1475" s="372" t="str">
        <f t="shared" si="52"/>
        <v/>
      </c>
    </row>
    <row r="1476" spans="1:38" ht="15" customHeight="1" outlineLevel="1" x14ac:dyDescent="0.2">
      <c r="A1476" s="403"/>
      <c r="B1476" s="403"/>
      <c r="C1476" s="403"/>
      <c r="D1476" s="404"/>
      <c r="E1476" s="405"/>
      <c r="F1476" s="405"/>
      <c r="G1476" s="403"/>
      <c r="H1476" s="406"/>
      <c r="I1476" s="406"/>
      <c r="J1476" s="406"/>
      <c r="K1476" s="304"/>
      <c r="L1476" s="372"/>
      <c r="M1476" s="372"/>
      <c r="N1476" s="372"/>
      <c r="O1476" s="372"/>
      <c r="P1476" s="372"/>
      <c r="Q1476" s="304"/>
      <c r="R1476" s="304"/>
      <c r="S1476" s="304"/>
      <c r="T1476" s="304"/>
      <c r="U1476" s="304"/>
      <c r="V1476" s="304"/>
      <c r="AL1476" s="372" t="str">
        <f t="shared" si="52"/>
        <v/>
      </c>
    </row>
    <row r="1477" spans="1:38" ht="15" customHeight="1" outlineLevel="1" x14ac:dyDescent="0.2">
      <c r="A1477" s="403"/>
      <c r="B1477" s="403"/>
      <c r="C1477" s="403"/>
      <c r="D1477" s="404"/>
      <c r="E1477" s="405"/>
      <c r="F1477" s="405"/>
      <c r="G1477" s="403"/>
      <c r="H1477" s="406"/>
      <c r="I1477" s="406"/>
      <c r="J1477" s="406"/>
      <c r="K1477" s="304"/>
      <c r="L1477" s="372"/>
      <c r="M1477" s="372"/>
      <c r="N1477" s="372"/>
      <c r="O1477" s="372"/>
      <c r="P1477" s="372"/>
      <c r="Q1477" s="304"/>
      <c r="R1477" s="304"/>
      <c r="S1477" s="304"/>
      <c r="T1477" s="304"/>
      <c r="U1477" s="304"/>
      <c r="V1477" s="304"/>
      <c r="AL1477" s="372" t="str">
        <f t="shared" si="52"/>
        <v/>
      </c>
    </row>
    <row r="1478" spans="1:38" ht="15" customHeight="1" outlineLevel="1" x14ac:dyDescent="0.2">
      <c r="A1478" s="403"/>
      <c r="B1478" s="403"/>
      <c r="C1478" s="403"/>
      <c r="D1478" s="404"/>
      <c r="E1478" s="405"/>
      <c r="F1478" s="405"/>
      <c r="G1478" s="403"/>
      <c r="H1478" s="406"/>
      <c r="I1478" s="406"/>
      <c r="J1478" s="406"/>
      <c r="K1478" s="304"/>
      <c r="L1478" s="372"/>
      <c r="M1478" s="372"/>
      <c r="N1478" s="372"/>
      <c r="O1478" s="372"/>
      <c r="P1478" s="372"/>
      <c r="Q1478" s="304"/>
      <c r="R1478" s="304"/>
      <c r="S1478" s="304"/>
      <c r="T1478" s="304"/>
      <c r="U1478" s="304"/>
      <c r="V1478" s="304"/>
      <c r="AL1478" s="372" t="str">
        <f t="shared" si="52"/>
        <v/>
      </c>
    </row>
    <row r="1479" spans="1:38" ht="15" customHeight="1" outlineLevel="1" x14ac:dyDescent="0.2">
      <c r="A1479" s="403"/>
      <c r="B1479" s="403"/>
      <c r="C1479" s="403"/>
      <c r="D1479" s="404"/>
      <c r="E1479" s="405"/>
      <c r="F1479" s="405"/>
      <c r="G1479" s="403"/>
      <c r="H1479" s="406"/>
      <c r="I1479" s="406"/>
      <c r="J1479" s="406"/>
      <c r="K1479" s="304"/>
      <c r="L1479" s="372"/>
      <c r="M1479" s="372"/>
      <c r="N1479" s="372"/>
      <c r="O1479" s="372"/>
      <c r="P1479" s="372"/>
      <c r="Q1479" s="304"/>
      <c r="R1479" s="304"/>
      <c r="S1479" s="304"/>
      <c r="T1479" s="304"/>
      <c r="U1479" s="304"/>
      <c r="V1479" s="304"/>
      <c r="AL1479" s="372" t="str">
        <f t="shared" si="52"/>
        <v/>
      </c>
    </row>
    <row r="1480" spans="1:38" ht="15" customHeight="1" outlineLevel="1" x14ac:dyDescent="0.2">
      <c r="A1480" s="403"/>
      <c r="B1480" s="403"/>
      <c r="C1480" s="403"/>
      <c r="D1480" s="404"/>
      <c r="E1480" s="405"/>
      <c r="F1480" s="405"/>
      <c r="G1480" s="403"/>
      <c r="H1480" s="406"/>
      <c r="I1480" s="406"/>
      <c r="J1480" s="406"/>
      <c r="K1480" s="304"/>
      <c r="L1480" s="372"/>
      <c r="M1480" s="372"/>
      <c r="N1480" s="372"/>
      <c r="O1480" s="372"/>
      <c r="P1480" s="372"/>
      <c r="Q1480" s="304"/>
      <c r="R1480" s="304"/>
      <c r="S1480" s="304"/>
      <c r="T1480" s="304"/>
      <c r="U1480" s="304"/>
      <c r="V1480" s="304"/>
      <c r="AL1480" s="372" t="str">
        <f t="shared" si="52"/>
        <v/>
      </c>
    </row>
    <row r="1481" spans="1:38" ht="15" customHeight="1" outlineLevel="1" x14ac:dyDescent="0.2">
      <c r="A1481" s="403"/>
      <c r="B1481" s="403"/>
      <c r="C1481" s="403"/>
      <c r="D1481" s="404"/>
      <c r="E1481" s="405"/>
      <c r="F1481" s="405"/>
      <c r="G1481" s="403"/>
      <c r="H1481" s="406"/>
      <c r="I1481" s="406"/>
      <c r="J1481" s="406"/>
      <c r="K1481" s="304"/>
      <c r="L1481" s="372"/>
      <c r="M1481" s="372"/>
      <c r="N1481" s="372"/>
      <c r="O1481" s="372"/>
      <c r="P1481" s="372"/>
      <c r="Q1481" s="304"/>
      <c r="R1481" s="304"/>
      <c r="S1481" s="304"/>
      <c r="T1481" s="304"/>
      <c r="U1481" s="304"/>
      <c r="V1481" s="304"/>
      <c r="AL1481" s="372" t="str">
        <f t="shared" si="52"/>
        <v/>
      </c>
    </row>
    <row r="1482" spans="1:38" ht="15" customHeight="1" outlineLevel="1" x14ac:dyDescent="0.2">
      <c r="A1482" s="403"/>
      <c r="B1482" s="403"/>
      <c r="C1482" s="403"/>
      <c r="D1482" s="404"/>
      <c r="E1482" s="405"/>
      <c r="F1482" s="405"/>
      <c r="G1482" s="403"/>
      <c r="H1482" s="406"/>
      <c r="I1482" s="406"/>
      <c r="J1482" s="406"/>
      <c r="K1482" s="304"/>
      <c r="L1482" s="372"/>
      <c r="M1482" s="372"/>
      <c r="N1482" s="372"/>
      <c r="O1482" s="372"/>
      <c r="P1482" s="372"/>
      <c r="Q1482" s="304"/>
      <c r="R1482" s="304"/>
      <c r="S1482" s="304"/>
      <c r="T1482" s="304"/>
      <c r="U1482" s="304"/>
      <c r="V1482" s="304"/>
      <c r="AL1482" s="372" t="str">
        <f t="shared" si="52"/>
        <v/>
      </c>
    </row>
    <row r="1483" spans="1:38" ht="15" customHeight="1" outlineLevel="1" x14ac:dyDescent="0.2">
      <c r="A1483" s="403"/>
      <c r="B1483" s="403"/>
      <c r="C1483" s="403"/>
      <c r="D1483" s="404"/>
      <c r="E1483" s="405"/>
      <c r="F1483" s="405"/>
      <c r="G1483" s="403"/>
      <c r="H1483" s="406"/>
      <c r="I1483" s="406"/>
      <c r="J1483" s="406"/>
      <c r="K1483" s="304"/>
      <c r="L1483" s="372"/>
      <c r="M1483" s="372"/>
      <c r="N1483" s="372"/>
      <c r="O1483" s="372"/>
      <c r="P1483" s="372"/>
      <c r="Q1483" s="304"/>
      <c r="R1483" s="304"/>
      <c r="S1483" s="304"/>
      <c r="T1483" s="304"/>
      <c r="U1483" s="304"/>
      <c r="V1483" s="304"/>
      <c r="AL1483" s="372" t="str">
        <f t="shared" si="52"/>
        <v/>
      </c>
    </row>
    <row r="1484" spans="1:38" ht="15" customHeight="1" outlineLevel="1" x14ac:dyDescent="0.2">
      <c r="A1484" s="403"/>
      <c r="B1484" s="403"/>
      <c r="C1484" s="403"/>
      <c r="D1484" s="404"/>
      <c r="E1484" s="405"/>
      <c r="F1484" s="405"/>
      <c r="G1484" s="403"/>
      <c r="H1484" s="406"/>
      <c r="I1484" s="406"/>
      <c r="J1484" s="406"/>
      <c r="K1484" s="304"/>
      <c r="L1484" s="372"/>
      <c r="M1484" s="372"/>
      <c r="N1484" s="372"/>
      <c r="O1484" s="372"/>
      <c r="P1484" s="372"/>
      <c r="Q1484" s="304"/>
      <c r="R1484" s="304"/>
      <c r="S1484" s="304"/>
      <c r="T1484" s="304"/>
      <c r="U1484" s="304"/>
      <c r="V1484" s="304"/>
      <c r="AL1484" s="372" t="str">
        <f t="shared" si="52"/>
        <v/>
      </c>
    </row>
    <row r="1485" spans="1:38" ht="15" customHeight="1" outlineLevel="1" x14ac:dyDescent="0.2">
      <c r="A1485" s="403"/>
      <c r="B1485" s="403"/>
      <c r="C1485" s="403"/>
      <c r="D1485" s="404"/>
      <c r="E1485" s="405"/>
      <c r="F1485" s="405"/>
      <c r="G1485" s="403"/>
      <c r="H1485" s="406"/>
      <c r="I1485" s="406"/>
      <c r="J1485" s="406"/>
      <c r="K1485" s="304"/>
      <c r="L1485" s="372"/>
      <c r="M1485" s="372"/>
      <c r="N1485" s="372"/>
      <c r="O1485" s="372"/>
      <c r="P1485" s="372"/>
      <c r="Q1485" s="304"/>
      <c r="R1485" s="304"/>
      <c r="S1485" s="304"/>
      <c r="T1485" s="304"/>
      <c r="U1485" s="304"/>
      <c r="V1485" s="304"/>
      <c r="AL1485" s="372" t="str">
        <f t="shared" si="52"/>
        <v/>
      </c>
    </row>
    <row r="1486" spans="1:38" ht="15" customHeight="1" outlineLevel="1" x14ac:dyDescent="0.2">
      <c r="A1486" s="403"/>
      <c r="B1486" s="403"/>
      <c r="C1486" s="403"/>
      <c r="D1486" s="404"/>
      <c r="E1486" s="405"/>
      <c r="F1486" s="405"/>
      <c r="G1486" s="403"/>
      <c r="H1486" s="406"/>
      <c r="I1486" s="406"/>
      <c r="J1486" s="406"/>
      <c r="K1486" s="304"/>
      <c r="L1486" s="372"/>
      <c r="M1486" s="372"/>
      <c r="N1486" s="372"/>
      <c r="O1486" s="372"/>
      <c r="P1486" s="372"/>
      <c r="Q1486" s="304"/>
      <c r="R1486" s="304"/>
      <c r="S1486" s="304"/>
      <c r="T1486" s="304"/>
      <c r="U1486" s="304"/>
      <c r="V1486" s="304"/>
      <c r="AL1486" s="372" t="str">
        <f t="shared" si="52"/>
        <v/>
      </c>
    </row>
    <row r="1487" spans="1:38" ht="15" customHeight="1" outlineLevel="1" x14ac:dyDescent="0.2">
      <c r="A1487" s="403"/>
      <c r="B1487" s="403"/>
      <c r="C1487" s="403"/>
      <c r="D1487" s="404"/>
      <c r="E1487" s="405"/>
      <c r="F1487" s="405"/>
      <c r="G1487" s="403"/>
      <c r="H1487" s="406"/>
      <c r="I1487" s="406"/>
      <c r="J1487" s="406"/>
      <c r="K1487" s="304"/>
      <c r="L1487" s="372"/>
      <c r="M1487" s="372"/>
      <c r="N1487" s="372"/>
      <c r="O1487" s="372"/>
      <c r="P1487" s="372"/>
      <c r="Q1487" s="304"/>
      <c r="R1487" s="304"/>
      <c r="S1487" s="304"/>
      <c r="T1487" s="304"/>
      <c r="U1487" s="304"/>
      <c r="V1487" s="304"/>
      <c r="AL1487" s="372" t="str">
        <f t="shared" si="52"/>
        <v/>
      </c>
    </row>
    <row r="1488" spans="1:38" ht="15" customHeight="1" outlineLevel="1" x14ac:dyDescent="0.2">
      <c r="A1488" s="403"/>
      <c r="B1488" s="403"/>
      <c r="C1488" s="403"/>
      <c r="D1488" s="404"/>
      <c r="E1488" s="405"/>
      <c r="F1488" s="405"/>
      <c r="G1488" s="403"/>
      <c r="H1488" s="406"/>
      <c r="I1488" s="406"/>
      <c r="J1488" s="406"/>
      <c r="K1488" s="304"/>
      <c r="L1488" s="372"/>
      <c r="M1488" s="372"/>
      <c r="N1488" s="372"/>
      <c r="O1488" s="372"/>
      <c r="P1488" s="372"/>
      <c r="Q1488" s="304"/>
      <c r="R1488" s="304"/>
      <c r="S1488" s="304"/>
      <c r="T1488" s="304"/>
      <c r="U1488" s="304"/>
      <c r="V1488" s="304"/>
      <c r="AL1488" s="372" t="str">
        <f t="shared" si="52"/>
        <v/>
      </c>
    </row>
    <row r="1489" spans="1:38" ht="15" customHeight="1" outlineLevel="1" x14ac:dyDescent="0.2">
      <c r="A1489" s="403"/>
      <c r="B1489" s="403"/>
      <c r="C1489" s="403"/>
      <c r="D1489" s="404"/>
      <c r="E1489" s="405"/>
      <c r="F1489" s="405"/>
      <c r="G1489" s="403"/>
      <c r="H1489" s="406"/>
      <c r="I1489" s="406"/>
      <c r="J1489" s="406"/>
      <c r="K1489" s="304"/>
      <c r="L1489" s="372"/>
      <c r="M1489" s="372"/>
      <c r="N1489" s="372"/>
      <c r="O1489" s="372"/>
      <c r="P1489" s="372"/>
      <c r="Q1489" s="304"/>
      <c r="R1489" s="304"/>
      <c r="S1489" s="304"/>
      <c r="T1489" s="304"/>
      <c r="U1489" s="304"/>
      <c r="V1489" s="304"/>
      <c r="AL1489" s="372" t="str">
        <f t="shared" ref="AL1489:AL1552" si="53">IF(($C1489=$AG$245)*($N1489&gt;0)*ISNUMBER($I1489),$I1489*100000+ROW(),"")</f>
        <v/>
      </c>
    </row>
    <row r="1490" spans="1:38" ht="15" customHeight="1" outlineLevel="1" x14ac:dyDescent="0.2">
      <c r="A1490" s="403"/>
      <c r="B1490" s="403"/>
      <c r="C1490" s="403"/>
      <c r="D1490" s="404"/>
      <c r="E1490" s="405"/>
      <c r="F1490" s="405"/>
      <c r="G1490" s="403"/>
      <c r="H1490" s="406"/>
      <c r="I1490" s="406"/>
      <c r="J1490" s="406"/>
      <c r="K1490" s="304"/>
      <c r="L1490" s="372"/>
      <c r="M1490" s="372"/>
      <c r="N1490" s="372"/>
      <c r="O1490" s="372"/>
      <c r="P1490" s="372"/>
      <c r="Q1490" s="304"/>
      <c r="R1490" s="304"/>
      <c r="S1490" s="304"/>
      <c r="T1490" s="304"/>
      <c r="U1490" s="304"/>
      <c r="V1490" s="304"/>
      <c r="AL1490" s="372" t="str">
        <f t="shared" si="53"/>
        <v/>
      </c>
    </row>
    <row r="1491" spans="1:38" ht="15" customHeight="1" outlineLevel="1" x14ac:dyDescent="0.2">
      <c r="A1491" s="403"/>
      <c r="B1491" s="403"/>
      <c r="C1491" s="403"/>
      <c r="D1491" s="404"/>
      <c r="E1491" s="405"/>
      <c r="F1491" s="405"/>
      <c r="G1491" s="403"/>
      <c r="H1491" s="406"/>
      <c r="I1491" s="406"/>
      <c r="J1491" s="406"/>
      <c r="K1491" s="304"/>
      <c r="L1491" s="372"/>
      <c r="M1491" s="372"/>
      <c r="N1491" s="372"/>
      <c r="O1491" s="372"/>
      <c r="P1491" s="372"/>
      <c r="Q1491" s="304"/>
      <c r="R1491" s="304"/>
      <c r="S1491" s="304"/>
      <c r="T1491" s="304"/>
      <c r="U1491" s="304"/>
      <c r="V1491" s="304"/>
      <c r="AL1491" s="372" t="str">
        <f t="shared" si="53"/>
        <v/>
      </c>
    </row>
    <row r="1492" spans="1:38" ht="15" customHeight="1" outlineLevel="1" x14ac:dyDescent="0.2">
      <c r="A1492" s="403"/>
      <c r="B1492" s="403"/>
      <c r="C1492" s="403"/>
      <c r="D1492" s="404"/>
      <c r="E1492" s="405"/>
      <c r="F1492" s="405"/>
      <c r="G1492" s="403"/>
      <c r="H1492" s="406"/>
      <c r="I1492" s="406"/>
      <c r="J1492" s="406"/>
      <c r="K1492" s="304"/>
      <c r="L1492" s="372"/>
      <c r="M1492" s="372"/>
      <c r="N1492" s="372"/>
      <c r="O1492" s="372"/>
      <c r="P1492" s="372"/>
      <c r="Q1492" s="304"/>
      <c r="R1492" s="304"/>
      <c r="S1492" s="304"/>
      <c r="T1492" s="304"/>
      <c r="U1492" s="304"/>
      <c r="V1492" s="304"/>
      <c r="AL1492" s="372" t="str">
        <f t="shared" si="53"/>
        <v/>
      </c>
    </row>
    <row r="1493" spans="1:38" ht="15" customHeight="1" outlineLevel="1" x14ac:dyDescent="0.2">
      <c r="A1493" s="403"/>
      <c r="B1493" s="403"/>
      <c r="C1493" s="403"/>
      <c r="D1493" s="404"/>
      <c r="E1493" s="405"/>
      <c r="F1493" s="405"/>
      <c r="G1493" s="403"/>
      <c r="H1493" s="406"/>
      <c r="I1493" s="406"/>
      <c r="J1493" s="406"/>
      <c r="K1493" s="304"/>
      <c r="L1493" s="372"/>
      <c r="M1493" s="372"/>
      <c r="N1493" s="372"/>
      <c r="O1493" s="372"/>
      <c r="P1493" s="372"/>
      <c r="Q1493" s="304"/>
      <c r="R1493" s="304"/>
      <c r="S1493" s="304"/>
      <c r="T1493" s="304"/>
      <c r="U1493" s="304"/>
      <c r="V1493" s="304"/>
      <c r="AL1493" s="372" t="str">
        <f t="shared" si="53"/>
        <v/>
      </c>
    </row>
    <row r="1494" spans="1:38" ht="15" customHeight="1" outlineLevel="1" x14ac:dyDescent="0.2">
      <c r="A1494" s="403"/>
      <c r="B1494" s="403"/>
      <c r="C1494" s="403"/>
      <c r="D1494" s="404"/>
      <c r="E1494" s="405"/>
      <c r="F1494" s="405"/>
      <c r="G1494" s="403"/>
      <c r="H1494" s="406"/>
      <c r="I1494" s="406"/>
      <c r="J1494" s="406"/>
      <c r="K1494" s="304"/>
      <c r="L1494" s="372"/>
      <c r="M1494" s="372"/>
      <c r="N1494" s="372"/>
      <c r="O1494" s="372"/>
      <c r="P1494" s="372"/>
      <c r="Q1494" s="304"/>
      <c r="R1494" s="304"/>
      <c r="S1494" s="304"/>
      <c r="T1494" s="304"/>
      <c r="U1494" s="304"/>
      <c r="V1494" s="304"/>
      <c r="AL1494" s="372" t="str">
        <f t="shared" si="53"/>
        <v/>
      </c>
    </row>
    <row r="1495" spans="1:38" ht="15" customHeight="1" outlineLevel="1" x14ac:dyDescent="0.2">
      <c r="A1495" s="403"/>
      <c r="B1495" s="403"/>
      <c r="C1495" s="403"/>
      <c r="D1495" s="404"/>
      <c r="E1495" s="405"/>
      <c r="F1495" s="405"/>
      <c r="G1495" s="403"/>
      <c r="H1495" s="406"/>
      <c r="I1495" s="406"/>
      <c r="J1495" s="406"/>
      <c r="K1495" s="304"/>
      <c r="L1495" s="372"/>
      <c r="M1495" s="372"/>
      <c r="N1495" s="372"/>
      <c r="O1495" s="372"/>
      <c r="P1495" s="372"/>
      <c r="Q1495" s="304"/>
      <c r="R1495" s="304"/>
      <c r="S1495" s="304"/>
      <c r="T1495" s="304"/>
      <c r="U1495" s="304"/>
      <c r="V1495" s="304"/>
      <c r="AL1495" s="372" t="str">
        <f t="shared" si="53"/>
        <v/>
      </c>
    </row>
    <row r="1496" spans="1:38" ht="15" customHeight="1" outlineLevel="1" x14ac:dyDescent="0.2">
      <c r="A1496" s="403"/>
      <c r="B1496" s="403"/>
      <c r="C1496" s="403"/>
      <c r="D1496" s="404"/>
      <c r="E1496" s="405"/>
      <c r="F1496" s="405"/>
      <c r="G1496" s="403"/>
      <c r="H1496" s="406"/>
      <c r="I1496" s="406"/>
      <c r="J1496" s="406"/>
      <c r="K1496" s="304"/>
      <c r="L1496" s="372"/>
      <c r="M1496" s="372"/>
      <c r="N1496" s="372"/>
      <c r="O1496" s="372"/>
      <c r="P1496" s="372"/>
      <c r="Q1496" s="304"/>
      <c r="R1496" s="304"/>
      <c r="S1496" s="304"/>
      <c r="T1496" s="304"/>
      <c r="U1496" s="304"/>
      <c r="V1496" s="304"/>
      <c r="AL1496" s="372" t="str">
        <f t="shared" si="53"/>
        <v/>
      </c>
    </row>
    <row r="1497" spans="1:38" ht="15" customHeight="1" outlineLevel="1" x14ac:dyDescent="0.2">
      <c r="A1497" s="403"/>
      <c r="B1497" s="403"/>
      <c r="C1497" s="403"/>
      <c r="D1497" s="404"/>
      <c r="E1497" s="405"/>
      <c r="F1497" s="405"/>
      <c r="G1497" s="403"/>
      <c r="H1497" s="406"/>
      <c r="I1497" s="406"/>
      <c r="J1497" s="406"/>
      <c r="K1497" s="304"/>
      <c r="L1497" s="372"/>
      <c r="M1497" s="372"/>
      <c r="N1497" s="372"/>
      <c r="O1497" s="372"/>
      <c r="P1497" s="372"/>
      <c r="Q1497" s="304"/>
      <c r="R1497" s="304"/>
      <c r="S1497" s="304"/>
      <c r="T1497" s="304"/>
      <c r="U1497" s="304"/>
      <c r="V1497" s="304"/>
      <c r="AL1497" s="372" t="str">
        <f t="shared" si="53"/>
        <v/>
      </c>
    </row>
    <row r="1498" spans="1:38" ht="15" customHeight="1" outlineLevel="1" x14ac:dyDescent="0.2">
      <c r="A1498" s="403"/>
      <c r="B1498" s="403"/>
      <c r="C1498" s="403"/>
      <c r="D1498" s="404"/>
      <c r="E1498" s="405"/>
      <c r="F1498" s="405"/>
      <c r="G1498" s="403"/>
      <c r="H1498" s="406"/>
      <c r="I1498" s="406"/>
      <c r="J1498" s="406"/>
      <c r="K1498" s="304"/>
      <c r="L1498" s="372"/>
      <c r="M1498" s="372"/>
      <c r="N1498" s="372"/>
      <c r="O1498" s="372"/>
      <c r="P1498" s="372"/>
      <c r="Q1498" s="304"/>
      <c r="R1498" s="304"/>
      <c r="S1498" s="304"/>
      <c r="T1498" s="304"/>
      <c r="U1498" s="304"/>
      <c r="V1498" s="304"/>
      <c r="AL1498" s="372" t="str">
        <f t="shared" si="53"/>
        <v/>
      </c>
    </row>
    <row r="1499" spans="1:38" ht="15" customHeight="1" outlineLevel="1" x14ac:dyDescent="0.2">
      <c r="A1499" s="403"/>
      <c r="B1499" s="403"/>
      <c r="C1499" s="403"/>
      <c r="D1499" s="404"/>
      <c r="E1499" s="405"/>
      <c r="F1499" s="405"/>
      <c r="G1499" s="403"/>
      <c r="H1499" s="406"/>
      <c r="I1499" s="406"/>
      <c r="J1499" s="406"/>
      <c r="K1499" s="304"/>
      <c r="L1499" s="372"/>
      <c r="M1499" s="372"/>
      <c r="N1499" s="372"/>
      <c r="O1499" s="372"/>
      <c r="P1499" s="372"/>
      <c r="Q1499" s="304"/>
      <c r="R1499" s="304"/>
      <c r="S1499" s="304"/>
      <c r="T1499" s="304"/>
      <c r="U1499" s="304"/>
      <c r="V1499" s="304"/>
      <c r="AL1499" s="372" t="str">
        <f t="shared" si="53"/>
        <v/>
      </c>
    </row>
    <row r="1500" spans="1:38" ht="15" customHeight="1" outlineLevel="1" x14ac:dyDescent="0.2">
      <c r="A1500" s="403"/>
      <c r="B1500" s="403"/>
      <c r="C1500" s="403"/>
      <c r="D1500" s="404"/>
      <c r="E1500" s="405"/>
      <c r="F1500" s="405"/>
      <c r="G1500" s="403"/>
      <c r="H1500" s="406"/>
      <c r="I1500" s="406"/>
      <c r="J1500" s="406"/>
      <c r="K1500" s="304"/>
      <c r="L1500" s="372"/>
      <c r="M1500" s="372"/>
      <c r="N1500" s="372"/>
      <c r="O1500" s="372"/>
      <c r="P1500" s="372"/>
      <c r="Q1500" s="304"/>
      <c r="R1500" s="304"/>
      <c r="S1500" s="304"/>
      <c r="T1500" s="304"/>
      <c r="U1500" s="304"/>
      <c r="V1500" s="304"/>
      <c r="AL1500" s="372" t="str">
        <f t="shared" si="53"/>
        <v/>
      </c>
    </row>
    <row r="1501" spans="1:38" ht="15" customHeight="1" outlineLevel="1" x14ac:dyDescent="0.2">
      <c r="A1501" s="403"/>
      <c r="B1501" s="403"/>
      <c r="C1501" s="403"/>
      <c r="D1501" s="404"/>
      <c r="E1501" s="405"/>
      <c r="F1501" s="405"/>
      <c r="G1501" s="403"/>
      <c r="H1501" s="406"/>
      <c r="I1501" s="406"/>
      <c r="J1501" s="406"/>
      <c r="K1501" s="304"/>
      <c r="L1501" s="372"/>
      <c r="M1501" s="372"/>
      <c r="N1501" s="372"/>
      <c r="O1501" s="372"/>
      <c r="P1501" s="372"/>
      <c r="Q1501" s="304"/>
      <c r="R1501" s="304"/>
      <c r="S1501" s="304"/>
      <c r="T1501" s="304"/>
      <c r="U1501" s="304"/>
      <c r="V1501" s="304"/>
      <c r="AL1501" s="372" t="str">
        <f t="shared" si="53"/>
        <v/>
      </c>
    </row>
    <row r="1502" spans="1:38" ht="15" customHeight="1" outlineLevel="1" x14ac:dyDescent="0.2">
      <c r="A1502" s="403"/>
      <c r="B1502" s="403"/>
      <c r="C1502" s="403"/>
      <c r="D1502" s="404"/>
      <c r="E1502" s="405"/>
      <c r="F1502" s="405"/>
      <c r="G1502" s="403"/>
      <c r="H1502" s="406"/>
      <c r="I1502" s="406"/>
      <c r="J1502" s="406"/>
      <c r="K1502" s="304"/>
      <c r="L1502" s="372"/>
      <c r="M1502" s="372"/>
      <c r="N1502" s="372"/>
      <c r="O1502" s="372"/>
      <c r="P1502" s="372"/>
      <c r="Q1502" s="304"/>
      <c r="R1502" s="304"/>
      <c r="S1502" s="304"/>
      <c r="T1502" s="304"/>
      <c r="U1502" s="304"/>
      <c r="V1502" s="304"/>
      <c r="AL1502" s="372" t="str">
        <f t="shared" si="53"/>
        <v/>
      </c>
    </row>
    <row r="1503" spans="1:38" ht="15" customHeight="1" outlineLevel="1" x14ac:dyDescent="0.2">
      <c r="A1503" s="403"/>
      <c r="B1503" s="403"/>
      <c r="C1503" s="403"/>
      <c r="D1503" s="404"/>
      <c r="E1503" s="405"/>
      <c r="F1503" s="405"/>
      <c r="G1503" s="403"/>
      <c r="H1503" s="406"/>
      <c r="I1503" s="406"/>
      <c r="J1503" s="406"/>
      <c r="K1503" s="304"/>
      <c r="L1503" s="372"/>
      <c r="M1503" s="372"/>
      <c r="N1503" s="372"/>
      <c r="O1503" s="372"/>
      <c r="P1503" s="372"/>
      <c r="Q1503" s="304"/>
      <c r="R1503" s="304"/>
      <c r="S1503" s="304"/>
      <c r="T1503" s="304"/>
      <c r="U1503" s="304"/>
      <c r="V1503" s="304"/>
      <c r="AL1503" s="372" t="str">
        <f t="shared" si="53"/>
        <v/>
      </c>
    </row>
    <row r="1504" spans="1:38" ht="15" customHeight="1" outlineLevel="1" x14ac:dyDescent="0.2">
      <c r="A1504" s="403"/>
      <c r="B1504" s="403"/>
      <c r="C1504" s="403"/>
      <c r="D1504" s="404"/>
      <c r="E1504" s="405"/>
      <c r="F1504" s="405"/>
      <c r="G1504" s="403"/>
      <c r="H1504" s="406"/>
      <c r="I1504" s="406"/>
      <c r="J1504" s="406"/>
      <c r="K1504" s="304"/>
      <c r="L1504" s="372"/>
      <c r="M1504" s="372"/>
      <c r="N1504" s="372"/>
      <c r="O1504" s="372"/>
      <c r="P1504" s="372"/>
      <c r="Q1504" s="304"/>
      <c r="R1504" s="304"/>
      <c r="S1504" s="304"/>
      <c r="T1504" s="304"/>
      <c r="U1504" s="304"/>
      <c r="V1504" s="304"/>
      <c r="AL1504" s="372" t="str">
        <f t="shared" si="53"/>
        <v/>
      </c>
    </row>
    <row r="1505" spans="1:38" ht="15" customHeight="1" outlineLevel="1" x14ac:dyDescent="0.2">
      <c r="A1505" s="403"/>
      <c r="B1505" s="403"/>
      <c r="C1505" s="403"/>
      <c r="D1505" s="404"/>
      <c r="E1505" s="405"/>
      <c r="F1505" s="405"/>
      <c r="G1505" s="403"/>
      <c r="H1505" s="406"/>
      <c r="I1505" s="406"/>
      <c r="J1505" s="406"/>
      <c r="K1505" s="304"/>
      <c r="L1505" s="372"/>
      <c r="M1505" s="372"/>
      <c r="N1505" s="372"/>
      <c r="O1505" s="372"/>
      <c r="P1505" s="372"/>
      <c r="Q1505" s="304"/>
      <c r="R1505" s="304"/>
      <c r="S1505" s="304"/>
      <c r="T1505" s="304"/>
      <c r="U1505" s="304"/>
      <c r="V1505" s="304"/>
      <c r="AL1505" s="372" t="str">
        <f t="shared" si="53"/>
        <v/>
      </c>
    </row>
    <row r="1506" spans="1:38" ht="15" customHeight="1" outlineLevel="1" x14ac:dyDescent="0.2">
      <c r="A1506" s="403"/>
      <c r="B1506" s="403"/>
      <c r="C1506" s="403"/>
      <c r="D1506" s="404"/>
      <c r="E1506" s="405"/>
      <c r="F1506" s="405"/>
      <c r="G1506" s="403"/>
      <c r="H1506" s="406"/>
      <c r="I1506" s="406"/>
      <c r="J1506" s="406"/>
      <c r="K1506" s="304"/>
      <c r="L1506" s="372"/>
      <c r="M1506" s="372"/>
      <c r="N1506" s="372"/>
      <c r="O1506" s="372"/>
      <c r="P1506" s="372"/>
      <c r="Q1506" s="304"/>
      <c r="R1506" s="304"/>
      <c r="S1506" s="304"/>
      <c r="T1506" s="304"/>
      <c r="U1506" s="304"/>
      <c r="V1506" s="304"/>
      <c r="AL1506" s="372" t="str">
        <f t="shared" si="53"/>
        <v/>
      </c>
    </row>
    <row r="1507" spans="1:38" ht="15" customHeight="1" outlineLevel="1" x14ac:dyDescent="0.2">
      <c r="A1507" s="403"/>
      <c r="B1507" s="403"/>
      <c r="C1507" s="403"/>
      <c r="D1507" s="404"/>
      <c r="E1507" s="405"/>
      <c r="F1507" s="405"/>
      <c r="G1507" s="403"/>
      <c r="H1507" s="406"/>
      <c r="I1507" s="406"/>
      <c r="J1507" s="406"/>
      <c r="K1507" s="304"/>
      <c r="L1507" s="372"/>
      <c r="M1507" s="372"/>
      <c r="N1507" s="372"/>
      <c r="O1507" s="372"/>
      <c r="P1507" s="372"/>
      <c r="Q1507" s="304"/>
      <c r="R1507" s="304"/>
      <c r="S1507" s="304"/>
      <c r="T1507" s="304"/>
      <c r="U1507" s="304"/>
      <c r="V1507" s="304"/>
      <c r="AL1507" s="372" t="str">
        <f t="shared" si="53"/>
        <v/>
      </c>
    </row>
    <row r="1508" spans="1:38" ht="15" customHeight="1" outlineLevel="1" x14ac:dyDescent="0.2">
      <c r="A1508" s="403"/>
      <c r="B1508" s="403"/>
      <c r="C1508" s="403"/>
      <c r="D1508" s="404"/>
      <c r="E1508" s="405"/>
      <c r="F1508" s="405"/>
      <c r="G1508" s="403"/>
      <c r="H1508" s="406"/>
      <c r="I1508" s="406"/>
      <c r="J1508" s="406"/>
      <c r="K1508" s="304"/>
      <c r="L1508" s="372"/>
      <c r="M1508" s="372"/>
      <c r="N1508" s="372"/>
      <c r="O1508" s="372"/>
      <c r="P1508" s="372"/>
      <c r="Q1508" s="304"/>
      <c r="R1508" s="304"/>
      <c r="S1508" s="304"/>
      <c r="T1508" s="304"/>
      <c r="U1508" s="304"/>
      <c r="V1508" s="304"/>
      <c r="AL1508" s="372" t="str">
        <f t="shared" si="53"/>
        <v/>
      </c>
    </row>
    <row r="1509" spans="1:38" ht="15" customHeight="1" outlineLevel="1" x14ac:dyDescent="0.2">
      <c r="A1509" s="403"/>
      <c r="B1509" s="403"/>
      <c r="C1509" s="403"/>
      <c r="D1509" s="404"/>
      <c r="E1509" s="405"/>
      <c r="F1509" s="405"/>
      <c r="G1509" s="403"/>
      <c r="H1509" s="406"/>
      <c r="I1509" s="406"/>
      <c r="J1509" s="406"/>
      <c r="K1509" s="304"/>
      <c r="L1509" s="372"/>
      <c r="M1509" s="372"/>
      <c r="N1509" s="372"/>
      <c r="O1509" s="372"/>
      <c r="P1509" s="372"/>
      <c r="Q1509" s="304"/>
      <c r="R1509" s="304"/>
      <c r="S1509" s="304"/>
      <c r="T1509" s="304"/>
      <c r="U1509" s="304"/>
      <c r="V1509" s="304"/>
      <c r="AL1509" s="372" t="str">
        <f t="shared" si="53"/>
        <v/>
      </c>
    </row>
    <row r="1510" spans="1:38" ht="15" customHeight="1" outlineLevel="1" x14ac:dyDescent="0.2">
      <c r="A1510" s="403"/>
      <c r="B1510" s="403"/>
      <c r="C1510" s="403"/>
      <c r="D1510" s="404"/>
      <c r="E1510" s="405"/>
      <c r="F1510" s="405"/>
      <c r="G1510" s="403"/>
      <c r="H1510" s="406"/>
      <c r="I1510" s="406"/>
      <c r="J1510" s="406"/>
      <c r="K1510" s="304"/>
      <c r="L1510" s="372"/>
      <c r="M1510" s="372"/>
      <c r="N1510" s="372"/>
      <c r="O1510" s="372"/>
      <c r="P1510" s="372"/>
      <c r="Q1510" s="304"/>
      <c r="R1510" s="304"/>
      <c r="S1510" s="304"/>
      <c r="T1510" s="304"/>
      <c r="U1510" s="304"/>
      <c r="V1510" s="304"/>
      <c r="AL1510" s="372" t="str">
        <f t="shared" si="53"/>
        <v/>
      </c>
    </row>
    <row r="1511" spans="1:38" ht="15" customHeight="1" outlineLevel="1" x14ac:dyDescent="0.2">
      <c r="A1511" s="403"/>
      <c r="B1511" s="403"/>
      <c r="C1511" s="403"/>
      <c r="D1511" s="404"/>
      <c r="E1511" s="405"/>
      <c r="F1511" s="405"/>
      <c r="G1511" s="403"/>
      <c r="H1511" s="406"/>
      <c r="I1511" s="406"/>
      <c r="J1511" s="406"/>
      <c r="K1511" s="304"/>
      <c r="L1511" s="372"/>
      <c r="M1511" s="372"/>
      <c r="N1511" s="372"/>
      <c r="O1511" s="372"/>
      <c r="P1511" s="372"/>
      <c r="Q1511" s="304"/>
      <c r="R1511" s="304"/>
      <c r="S1511" s="304"/>
      <c r="T1511" s="304"/>
      <c r="U1511" s="304"/>
      <c r="V1511" s="304"/>
      <c r="AL1511" s="372" t="str">
        <f t="shared" si="53"/>
        <v/>
      </c>
    </row>
    <row r="1512" spans="1:38" ht="15" customHeight="1" outlineLevel="1" x14ac:dyDescent="0.2">
      <c r="A1512" s="403"/>
      <c r="B1512" s="403"/>
      <c r="C1512" s="403"/>
      <c r="D1512" s="404"/>
      <c r="E1512" s="405"/>
      <c r="F1512" s="405"/>
      <c r="G1512" s="403"/>
      <c r="H1512" s="406"/>
      <c r="I1512" s="406"/>
      <c r="J1512" s="406"/>
      <c r="K1512" s="304"/>
      <c r="L1512" s="372"/>
      <c r="M1512" s="372"/>
      <c r="N1512" s="372"/>
      <c r="O1512" s="372"/>
      <c r="P1512" s="372"/>
      <c r="Q1512" s="304"/>
      <c r="R1512" s="304"/>
      <c r="S1512" s="304"/>
      <c r="T1512" s="304"/>
      <c r="U1512" s="304"/>
      <c r="V1512" s="304"/>
      <c r="AL1512" s="372" t="str">
        <f t="shared" si="53"/>
        <v/>
      </c>
    </row>
    <row r="1513" spans="1:38" ht="15" customHeight="1" outlineLevel="1" x14ac:dyDescent="0.2">
      <c r="A1513" s="403"/>
      <c r="B1513" s="403"/>
      <c r="C1513" s="403"/>
      <c r="D1513" s="404"/>
      <c r="E1513" s="405"/>
      <c r="F1513" s="405"/>
      <c r="G1513" s="403"/>
      <c r="H1513" s="406"/>
      <c r="I1513" s="406"/>
      <c r="J1513" s="406"/>
      <c r="K1513" s="304"/>
      <c r="L1513" s="372"/>
      <c r="M1513" s="372"/>
      <c r="N1513" s="372"/>
      <c r="O1513" s="372"/>
      <c r="P1513" s="372"/>
      <c r="Q1513" s="304"/>
      <c r="R1513" s="304"/>
      <c r="S1513" s="304"/>
      <c r="T1513" s="304"/>
      <c r="U1513" s="304"/>
      <c r="V1513" s="304"/>
      <c r="AL1513" s="372" t="str">
        <f t="shared" si="53"/>
        <v/>
      </c>
    </row>
    <row r="1514" spans="1:38" ht="15" customHeight="1" outlineLevel="1" x14ac:dyDescent="0.2">
      <c r="A1514" s="403"/>
      <c r="B1514" s="403"/>
      <c r="C1514" s="403"/>
      <c r="D1514" s="404"/>
      <c r="E1514" s="405"/>
      <c r="F1514" s="405"/>
      <c r="G1514" s="403"/>
      <c r="H1514" s="406"/>
      <c r="I1514" s="406"/>
      <c r="J1514" s="406"/>
      <c r="K1514" s="304"/>
      <c r="L1514" s="372"/>
      <c r="M1514" s="372"/>
      <c r="N1514" s="372"/>
      <c r="O1514" s="372"/>
      <c r="P1514" s="372"/>
      <c r="Q1514" s="304"/>
      <c r="R1514" s="304"/>
      <c r="S1514" s="304"/>
      <c r="T1514" s="304"/>
      <c r="U1514" s="304"/>
      <c r="V1514" s="304"/>
      <c r="AL1514" s="372" t="str">
        <f t="shared" si="53"/>
        <v/>
      </c>
    </row>
    <row r="1515" spans="1:38" ht="15" customHeight="1" outlineLevel="1" x14ac:dyDescent="0.2">
      <c r="A1515" s="403"/>
      <c r="B1515" s="403"/>
      <c r="C1515" s="403"/>
      <c r="D1515" s="404"/>
      <c r="E1515" s="405"/>
      <c r="F1515" s="405"/>
      <c r="G1515" s="403"/>
      <c r="H1515" s="406"/>
      <c r="I1515" s="406"/>
      <c r="J1515" s="406"/>
      <c r="K1515" s="304"/>
      <c r="L1515" s="372"/>
      <c r="M1515" s="372"/>
      <c r="N1515" s="372"/>
      <c r="O1515" s="372"/>
      <c r="P1515" s="372"/>
      <c r="Q1515" s="304"/>
      <c r="R1515" s="304"/>
      <c r="S1515" s="304"/>
      <c r="T1515" s="304"/>
      <c r="U1515" s="304"/>
      <c r="V1515" s="304"/>
      <c r="AL1515" s="372" t="str">
        <f t="shared" si="53"/>
        <v/>
      </c>
    </row>
    <row r="1516" spans="1:38" ht="15" customHeight="1" outlineLevel="1" x14ac:dyDescent="0.2">
      <c r="A1516" s="403"/>
      <c r="B1516" s="403"/>
      <c r="C1516" s="403"/>
      <c r="D1516" s="404"/>
      <c r="E1516" s="405"/>
      <c r="F1516" s="405"/>
      <c r="G1516" s="403"/>
      <c r="H1516" s="406"/>
      <c r="I1516" s="406"/>
      <c r="J1516" s="406"/>
      <c r="K1516" s="304"/>
      <c r="L1516" s="372"/>
      <c r="M1516" s="372"/>
      <c r="N1516" s="372"/>
      <c r="O1516" s="372"/>
      <c r="P1516" s="372"/>
      <c r="Q1516" s="304"/>
      <c r="R1516" s="304"/>
      <c r="S1516" s="304"/>
      <c r="T1516" s="304"/>
      <c r="U1516" s="304"/>
      <c r="V1516" s="304"/>
      <c r="AL1516" s="372" t="str">
        <f t="shared" si="53"/>
        <v/>
      </c>
    </row>
    <row r="1517" spans="1:38" ht="15" customHeight="1" outlineLevel="1" x14ac:dyDescent="0.2">
      <c r="A1517" s="403"/>
      <c r="B1517" s="403"/>
      <c r="C1517" s="403"/>
      <c r="D1517" s="404"/>
      <c r="E1517" s="405"/>
      <c r="F1517" s="405"/>
      <c r="G1517" s="403"/>
      <c r="H1517" s="406"/>
      <c r="I1517" s="406"/>
      <c r="J1517" s="406"/>
      <c r="K1517" s="304"/>
      <c r="L1517" s="372"/>
      <c r="M1517" s="372"/>
      <c r="N1517" s="372"/>
      <c r="O1517" s="372"/>
      <c r="P1517" s="372"/>
      <c r="Q1517" s="304"/>
      <c r="R1517" s="304"/>
      <c r="S1517" s="304"/>
      <c r="T1517" s="304"/>
      <c r="U1517" s="304"/>
      <c r="V1517" s="304"/>
      <c r="AL1517" s="372" t="str">
        <f t="shared" si="53"/>
        <v/>
      </c>
    </row>
    <row r="1518" spans="1:38" ht="15" customHeight="1" outlineLevel="1" x14ac:dyDescent="0.2">
      <c r="A1518" s="403"/>
      <c r="B1518" s="403"/>
      <c r="C1518" s="403"/>
      <c r="D1518" s="404"/>
      <c r="E1518" s="405"/>
      <c r="F1518" s="405"/>
      <c r="G1518" s="403"/>
      <c r="H1518" s="406"/>
      <c r="I1518" s="406"/>
      <c r="J1518" s="406"/>
      <c r="K1518" s="304"/>
      <c r="L1518" s="372"/>
      <c r="M1518" s="372"/>
      <c r="N1518" s="372"/>
      <c r="O1518" s="372"/>
      <c r="P1518" s="372"/>
      <c r="Q1518" s="304"/>
      <c r="R1518" s="304"/>
      <c r="S1518" s="304"/>
      <c r="T1518" s="304"/>
      <c r="U1518" s="304"/>
      <c r="V1518" s="304"/>
      <c r="AL1518" s="372" t="str">
        <f t="shared" si="53"/>
        <v/>
      </c>
    </row>
    <row r="1519" spans="1:38" ht="15" customHeight="1" outlineLevel="1" x14ac:dyDescent="0.2">
      <c r="A1519" s="403"/>
      <c r="B1519" s="403"/>
      <c r="C1519" s="403"/>
      <c r="D1519" s="404"/>
      <c r="E1519" s="405"/>
      <c r="F1519" s="405"/>
      <c r="G1519" s="403"/>
      <c r="H1519" s="406"/>
      <c r="I1519" s="406"/>
      <c r="J1519" s="406"/>
      <c r="K1519" s="304"/>
      <c r="L1519" s="372"/>
      <c r="M1519" s="372"/>
      <c r="N1519" s="372"/>
      <c r="O1519" s="372"/>
      <c r="P1519" s="372"/>
      <c r="Q1519" s="304"/>
      <c r="R1519" s="304"/>
      <c r="S1519" s="304"/>
      <c r="T1519" s="304"/>
      <c r="U1519" s="304"/>
      <c r="V1519" s="304"/>
      <c r="AL1519" s="372" t="str">
        <f t="shared" si="53"/>
        <v/>
      </c>
    </row>
    <row r="1520" spans="1:38" ht="15" customHeight="1" outlineLevel="1" x14ac:dyDescent="0.2">
      <c r="A1520" s="403"/>
      <c r="B1520" s="403"/>
      <c r="C1520" s="403"/>
      <c r="D1520" s="404"/>
      <c r="E1520" s="405"/>
      <c r="F1520" s="405"/>
      <c r="G1520" s="403"/>
      <c r="H1520" s="406"/>
      <c r="I1520" s="406"/>
      <c r="J1520" s="406"/>
      <c r="K1520" s="304"/>
      <c r="L1520" s="372"/>
      <c r="M1520" s="372"/>
      <c r="N1520" s="372"/>
      <c r="O1520" s="372"/>
      <c r="P1520" s="372"/>
      <c r="Q1520" s="304"/>
      <c r="R1520" s="304"/>
      <c r="S1520" s="304"/>
      <c r="T1520" s="304"/>
      <c r="U1520" s="304"/>
      <c r="V1520" s="304"/>
      <c r="AL1520" s="372" t="str">
        <f t="shared" si="53"/>
        <v/>
      </c>
    </row>
    <row r="1521" spans="1:38" ht="15" customHeight="1" outlineLevel="1" x14ac:dyDescent="0.2">
      <c r="A1521" s="403"/>
      <c r="B1521" s="403"/>
      <c r="C1521" s="403"/>
      <c r="D1521" s="404"/>
      <c r="E1521" s="405"/>
      <c r="F1521" s="405"/>
      <c r="G1521" s="403"/>
      <c r="H1521" s="406"/>
      <c r="I1521" s="406"/>
      <c r="J1521" s="406"/>
      <c r="K1521" s="304"/>
      <c r="L1521" s="372"/>
      <c r="M1521" s="372"/>
      <c r="N1521" s="372"/>
      <c r="O1521" s="372"/>
      <c r="P1521" s="372"/>
      <c r="Q1521" s="304"/>
      <c r="R1521" s="304"/>
      <c r="S1521" s="304"/>
      <c r="T1521" s="304"/>
      <c r="U1521" s="304"/>
      <c r="V1521" s="304"/>
      <c r="AL1521" s="372" t="str">
        <f t="shared" si="53"/>
        <v/>
      </c>
    </row>
    <row r="1522" spans="1:38" ht="15" customHeight="1" outlineLevel="1" x14ac:dyDescent="0.2">
      <c r="A1522" s="403"/>
      <c r="B1522" s="403"/>
      <c r="C1522" s="403"/>
      <c r="D1522" s="404"/>
      <c r="E1522" s="405"/>
      <c r="F1522" s="405"/>
      <c r="G1522" s="403"/>
      <c r="H1522" s="406"/>
      <c r="I1522" s="406"/>
      <c r="J1522" s="406"/>
      <c r="K1522" s="304"/>
      <c r="L1522" s="372"/>
      <c r="M1522" s="372"/>
      <c r="N1522" s="372"/>
      <c r="O1522" s="372"/>
      <c r="P1522" s="372"/>
      <c r="Q1522" s="304"/>
      <c r="R1522" s="304"/>
      <c r="S1522" s="304"/>
      <c r="T1522" s="304"/>
      <c r="U1522" s="304"/>
      <c r="V1522" s="304"/>
      <c r="AL1522" s="372" t="str">
        <f t="shared" si="53"/>
        <v/>
      </c>
    </row>
    <row r="1523" spans="1:38" ht="15" customHeight="1" outlineLevel="1" x14ac:dyDescent="0.2">
      <c r="A1523" s="403"/>
      <c r="B1523" s="403"/>
      <c r="C1523" s="403"/>
      <c r="D1523" s="404"/>
      <c r="E1523" s="405"/>
      <c r="F1523" s="405"/>
      <c r="G1523" s="403"/>
      <c r="H1523" s="406"/>
      <c r="I1523" s="406"/>
      <c r="J1523" s="406"/>
      <c r="K1523" s="304"/>
      <c r="L1523" s="372"/>
      <c r="M1523" s="372"/>
      <c r="N1523" s="372"/>
      <c r="O1523" s="372"/>
      <c r="P1523" s="372"/>
      <c r="Q1523" s="304"/>
      <c r="R1523" s="304"/>
      <c r="S1523" s="304"/>
      <c r="T1523" s="304"/>
      <c r="U1523" s="304"/>
      <c r="V1523" s="304"/>
      <c r="AL1523" s="372" t="str">
        <f t="shared" si="53"/>
        <v/>
      </c>
    </row>
    <row r="1524" spans="1:38" ht="15" customHeight="1" outlineLevel="1" x14ac:dyDescent="0.2">
      <c r="A1524" s="403"/>
      <c r="B1524" s="403"/>
      <c r="C1524" s="403"/>
      <c r="D1524" s="404"/>
      <c r="E1524" s="405"/>
      <c r="F1524" s="405"/>
      <c r="G1524" s="403"/>
      <c r="H1524" s="406"/>
      <c r="I1524" s="406"/>
      <c r="J1524" s="406"/>
      <c r="K1524" s="304"/>
      <c r="L1524" s="372"/>
      <c r="M1524" s="372"/>
      <c r="N1524" s="372"/>
      <c r="O1524" s="372"/>
      <c r="P1524" s="372"/>
      <c r="Q1524" s="304"/>
      <c r="R1524" s="304"/>
      <c r="S1524" s="304"/>
      <c r="T1524" s="304"/>
      <c r="U1524" s="304"/>
      <c r="V1524" s="304"/>
      <c r="AL1524" s="372" t="str">
        <f t="shared" si="53"/>
        <v/>
      </c>
    </row>
    <row r="1525" spans="1:38" ht="15" customHeight="1" outlineLevel="1" x14ac:dyDescent="0.2">
      <c r="A1525" s="403"/>
      <c r="B1525" s="403"/>
      <c r="C1525" s="403"/>
      <c r="D1525" s="404"/>
      <c r="E1525" s="405"/>
      <c r="F1525" s="405"/>
      <c r="G1525" s="403"/>
      <c r="H1525" s="406"/>
      <c r="I1525" s="406"/>
      <c r="J1525" s="406"/>
      <c r="K1525" s="304"/>
      <c r="L1525" s="372"/>
      <c r="M1525" s="372"/>
      <c r="N1525" s="372"/>
      <c r="O1525" s="372"/>
      <c r="P1525" s="372"/>
      <c r="Q1525" s="304"/>
      <c r="R1525" s="304"/>
      <c r="S1525" s="304"/>
      <c r="T1525" s="304"/>
      <c r="U1525" s="304"/>
      <c r="V1525" s="304"/>
      <c r="AL1525" s="372" t="str">
        <f t="shared" si="53"/>
        <v/>
      </c>
    </row>
    <row r="1526" spans="1:38" ht="15" customHeight="1" outlineLevel="1" x14ac:dyDescent="0.2">
      <c r="A1526" s="403"/>
      <c r="B1526" s="403"/>
      <c r="C1526" s="403"/>
      <c r="D1526" s="404"/>
      <c r="E1526" s="405"/>
      <c r="F1526" s="405"/>
      <c r="G1526" s="403"/>
      <c r="H1526" s="406"/>
      <c r="I1526" s="406"/>
      <c r="J1526" s="406"/>
      <c r="K1526" s="304"/>
      <c r="L1526" s="372"/>
      <c r="M1526" s="372"/>
      <c r="N1526" s="372"/>
      <c r="O1526" s="372"/>
      <c r="P1526" s="372"/>
      <c r="Q1526" s="304"/>
      <c r="R1526" s="304"/>
      <c r="S1526" s="304"/>
      <c r="T1526" s="304"/>
      <c r="U1526" s="304"/>
      <c r="V1526" s="304"/>
      <c r="AL1526" s="372" t="str">
        <f t="shared" si="53"/>
        <v/>
      </c>
    </row>
    <row r="1527" spans="1:38" ht="15" customHeight="1" outlineLevel="1" x14ac:dyDescent="0.2">
      <c r="A1527" s="403"/>
      <c r="B1527" s="403"/>
      <c r="C1527" s="403"/>
      <c r="D1527" s="404"/>
      <c r="E1527" s="405"/>
      <c r="F1527" s="405"/>
      <c r="G1527" s="403"/>
      <c r="H1527" s="406"/>
      <c r="I1527" s="406"/>
      <c r="J1527" s="406"/>
      <c r="K1527" s="304"/>
      <c r="L1527" s="372"/>
      <c r="M1527" s="372"/>
      <c r="N1527" s="372"/>
      <c r="O1527" s="372"/>
      <c r="P1527" s="372"/>
      <c r="Q1527" s="304"/>
      <c r="R1527" s="304"/>
      <c r="S1527" s="304"/>
      <c r="T1527" s="304"/>
      <c r="U1527" s="304"/>
      <c r="V1527" s="304"/>
      <c r="AL1527" s="372" t="str">
        <f t="shared" si="53"/>
        <v/>
      </c>
    </row>
    <row r="1528" spans="1:38" ht="15" customHeight="1" outlineLevel="1" x14ac:dyDescent="0.2">
      <c r="A1528" s="403"/>
      <c r="B1528" s="403"/>
      <c r="C1528" s="403"/>
      <c r="D1528" s="404"/>
      <c r="E1528" s="405"/>
      <c r="F1528" s="405"/>
      <c r="G1528" s="403"/>
      <c r="H1528" s="406"/>
      <c r="I1528" s="406"/>
      <c r="J1528" s="406"/>
      <c r="K1528" s="304"/>
      <c r="L1528" s="372"/>
      <c r="M1528" s="372"/>
      <c r="N1528" s="372"/>
      <c r="O1528" s="372"/>
      <c r="P1528" s="372"/>
      <c r="Q1528" s="304"/>
      <c r="R1528" s="304"/>
      <c r="S1528" s="304"/>
      <c r="T1528" s="304"/>
      <c r="U1528" s="304"/>
      <c r="V1528" s="304"/>
      <c r="AL1528" s="372" t="str">
        <f t="shared" si="53"/>
        <v/>
      </c>
    </row>
    <row r="1529" spans="1:38" ht="15" customHeight="1" outlineLevel="1" x14ac:dyDescent="0.2">
      <c r="A1529" s="403"/>
      <c r="B1529" s="403"/>
      <c r="C1529" s="403"/>
      <c r="D1529" s="404"/>
      <c r="E1529" s="405"/>
      <c r="F1529" s="405"/>
      <c r="G1529" s="403"/>
      <c r="H1529" s="406"/>
      <c r="I1529" s="406"/>
      <c r="J1529" s="406"/>
      <c r="K1529" s="304"/>
      <c r="L1529" s="372"/>
      <c r="M1529" s="372"/>
      <c r="N1529" s="372"/>
      <c r="O1529" s="372"/>
      <c r="P1529" s="372"/>
      <c r="Q1529" s="304"/>
      <c r="R1529" s="304"/>
      <c r="S1529" s="304"/>
      <c r="T1529" s="304"/>
      <c r="U1529" s="304"/>
      <c r="V1529" s="304"/>
      <c r="AL1529" s="372" t="str">
        <f t="shared" si="53"/>
        <v/>
      </c>
    </row>
    <row r="1530" spans="1:38" ht="15" customHeight="1" outlineLevel="1" x14ac:dyDescent="0.2">
      <c r="A1530" s="403"/>
      <c r="B1530" s="403"/>
      <c r="C1530" s="403"/>
      <c r="D1530" s="404"/>
      <c r="E1530" s="405"/>
      <c r="F1530" s="405"/>
      <c r="G1530" s="403"/>
      <c r="H1530" s="406"/>
      <c r="I1530" s="406"/>
      <c r="J1530" s="406"/>
      <c r="K1530" s="304"/>
      <c r="L1530" s="372"/>
      <c r="M1530" s="372"/>
      <c r="N1530" s="372"/>
      <c r="O1530" s="372"/>
      <c r="P1530" s="372"/>
      <c r="Q1530" s="304"/>
      <c r="R1530" s="304"/>
      <c r="S1530" s="304"/>
      <c r="T1530" s="304"/>
      <c r="U1530" s="304"/>
      <c r="V1530" s="304"/>
      <c r="AL1530" s="372" t="str">
        <f t="shared" si="53"/>
        <v/>
      </c>
    </row>
    <row r="1531" spans="1:38" ht="15" customHeight="1" outlineLevel="1" x14ac:dyDescent="0.2">
      <c r="A1531" s="403"/>
      <c r="B1531" s="403"/>
      <c r="C1531" s="403"/>
      <c r="D1531" s="404"/>
      <c r="E1531" s="405"/>
      <c r="F1531" s="405"/>
      <c r="G1531" s="403"/>
      <c r="H1531" s="406"/>
      <c r="I1531" s="406"/>
      <c r="J1531" s="406"/>
      <c r="K1531" s="304"/>
      <c r="L1531" s="372"/>
      <c r="M1531" s="372"/>
      <c r="N1531" s="372"/>
      <c r="O1531" s="372"/>
      <c r="P1531" s="372"/>
      <c r="Q1531" s="304"/>
      <c r="R1531" s="304"/>
      <c r="S1531" s="304"/>
      <c r="T1531" s="304"/>
      <c r="U1531" s="304"/>
      <c r="V1531" s="304"/>
      <c r="AL1531" s="372" t="str">
        <f t="shared" si="53"/>
        <v/>
      </c>
    </row>
    <row r="1532" spans="1:38" ht="15" customHeight="1" outlineLevel="1" x14ac:dyDescent="0.2">
      <c r="A1532" s="403"/>
      <c r="B1532" s="403"/>
      <c r="C1532" s="403"/>
      <c r="D1532" s="404"/>
      <c r="E1532" s="405"/>
      <c r="F1532" s="405"/>
      <c r="G1532" s="403"/>
      <c r="H1532" s="406"/>
      <c r="I1532" s="406"/>
      <c r="J1532" s="406"/>
      <c r="K1532" s="304"/>
      <c r="L1532" s="372"/>
      <c r="M1532" s="372"/>
      <c r="N1532" s="372"/>
      <c r="O1532" s="372"/>
      <c r="P1532" s="372"/>
      <c r="Q1532" s="304"/>
      <c r="R1532" s="304"/>
      <c r="S1532" s="304"/>
      <c r="T1532" s="304"/>
      <c r="U1532" s="304"/>
      <c r="V1532" s="304"/>
      <c r="AL1532" s="372" t="str">
        <f t="shared" si="53"/>
        <v/>
      </c>
    </row>
    <row r="1533" spans="1:38" ht="15" customHeight="1" outlineLevel="1" x14ac:dyDescent="0.2">
      <c r="A1533" s="403"/>
      <c r="B1533" s="403"/>
      <c r="C1533" s="403"/>
      <c r="D1533" s="404"/>
      <c r="E1533" s="405"/>
      <c r="F1533" s="405"/>
      <c r="G1533" s="403"/>
      <c r="H1533" s="406"/>
      <c r="I1533" s="406"/>
      <c r="J1533" s="406"/>
      <c r="K1533" s="304"/>
      <c r="L1533" s="372"/>
      <c r="M1533" s="372"/>
      <c r="N1533" s="372"/>
      <c r="O1533" s="372"/>
      <c r="P1533" s="372"/>
      <c r="Q1533" s="304"/>
      <c r="R1533" s="304"/>
      <c r="S1533" s="304"/>
      <c r="T1533" s="304"/>
      <c r="U1533" s="304"/>
      <c r="V1533" s="304"/>
      <c r="AL1533" s="372" t="str">
        <f t="shared" si="53"/>
        <v/>
      </c>
    </row>
    <row r="1534" spans="1:38" ht="15" customHeight="1" outlineLevel="1" x14ac:dyDescent="0.2">
      <c r="A1534" s="403"/>
      <c r="B1534" s="403"/>
      <c r="C1534" s="403"/>
      <c r="D1534" s="404"/>
      <c r="E1534" s="405"/>
      <c r="F1534" s="405"/>
      <c r="G1534" s="403"/>
      <c r="H1534" s="406"/>
      <c r="I1534" s="406"/>
      <c r="J1534" s="406"/>
      <c r="K1534" s="304"/>
      <c r="L1534" s="372"/>
      <c r="M1534" s="372"/>
      <c r="N1534" s="372"/>
      <c r="O1534" s="372"/>
      <c r="P1534" s="372"/>
      <c r="Q1534" s="304"/>
      <c r="R1534" s="304"/>
      <c r="S1534" s="304"/>
      <c r="T1534" s="304"/>
      <c r="U1534" s="304"/>
      <c r="V1534" s="304"/>
      <c r="AL1534" s="372" t="str">
        <f t="shared" si="53"/>
        <v/>
      </c>
    </row>
    <row r="1535" spans="1:38" ht="15" customHeight="1" outlineLevel="1" x14ac:dyDescent="0.2">
      <c r="A1535" s="403"/>
      <c r="B1535" s="403"/>
      <c r="C1535" s="403"/>
      <c r="D1535" s="404"/>
      <c r="E1535" s="405"/>
      <c r="F1535" s="405"/>
      <c r="G1535" s="403"/>
      <c r="H1535" s="406"/>
      <c r="I1535" s="406"/>
      <c r="J1535" s="406"/>
      <c r="K1535" s="304"/>
      <c r="L1535" s="372"/>
      <c r="M1535" s="372"/>
      <c r="N1535" s="372"/>
      <c r="O1535" s="372"/>
      <c r="P1535" s="372"/>
      <c r="Q1535" s="304"/>
      <c r="R1535" s="304"/>
      <c r="S1535" s="304"/>
      <c r="T1535" s="304"/>
      <c r="U1535" s="304"/>
      <c r="V1535" s="304"/>
      <c r="AL1535" s="372" t="str">
        <f t="shared" si="53"/>
        <v/>
      </c>
    </row>
    <row r="1536" spans="1:38" ht="15" customHeight="1" outlineLevel="1" x14ac:dyDescent="0.2">
      <c r="A1536" s="403"/>
      <c r="B1536" s="403"/>
      <c r="C1536" s="403"/>
      <c r="D1536" s="404"/>
      <c r="E1536" s="405"/>
      <c r="F1536" s="405"/>
      <c r="G1536" s="403"/>
      <c r="H1536" s="406"/>
      <c r="I1536" s="406"/>
      <c r="J1536" s="406"/>
      <c r="K1536" s="304"/>
      <c r="L1536" s="372"/>
      <c r="M1536" s="372"/>
      <c r="N1536" s="372"/>
      <c r="O1536" s="372"/>
      <c r="P1536" s="372"/>
      <c r="Q1536" s="304"/>
      <c r="R1536" s="304"/>
      <c r="S1536" s="304"/>
      <c r="T1536" s="304"/>
      <c r="U1536" s="304"/>
      <c r="V1536" s="304"/>
      <c r="AL1536" s="372" t="str">
        <f t="shared" si="53"/>
        <v/>
      </c>
    </row>
    <row r="1537" spans="1:38" ht="15" customHeight="1" outlineLevel="1" x14ac:dyDescent="0.2">
      <c r="A1537" s="403"/>
      <c r="B1537" s="403"/>
      <c r="C1537" s="403"/>
      <c r="D1537" s="404"/>
      <c r="E1537" s="405"/>
      <c r="F1537" s="405"/>
      <c r="G1537" s="403"/>
      <c r="H1537" s="406"/>
      <c r="I1537" s="406"/>
      <c r="J1537" s="406"/>
      <c r="K1537" s="304"/>
      <c r="L1537" s="372"/>
      <c r="M1537" s="372"/>
      <c r="N1537" s="372"/>
      <c r="O1537" s="372"/>
      <c r="P1537" s="372"/>
      <c r="Q1537" s="304"/>
      <c r="R1537" s="304"/>
      <c r="S1537" s="304"/>
      <c r="T1537" s="304"/>
      <c r="U1537" s="304"/>
      <c r="V1537" s="304"/>
      <c r="AL1537" s="372" t="str">
        <f t="shared" si="53"/>
        <v/>
      </c>
    </row>
    <row r="1538" spans="1:38" ht="15" customHeight="1" outlineLevel="1" x14ac:dyDescent="0.2">
      <c r="A1538" s="403"/>
      <c r="B1538" s="403"/>
      <c r="C1538" s="403"/>
      <c r="D1538" s="404"/>
      <c r="E1538" s="405"/>
      <c r="F1538" s="405"/>
      <c r="G1538" s="403"/>
      <c r="H1538" s="406"/>
      <c r="I1538" s="406"/>
      <c r="J1538" s="406"/>
      <c r="K1538" s="304"/>
      <c r="L1538" s="372"/>
      <c r="M1538" s="372"/>
      <c r="N1538" s="372"/>
      <c r="O1538" s="372"/>
      <c r="P1538" s="372"/>
      <c r="Q1538" s="304"/>
      <c r="R1538" s="304"/>
      <c r="S1538" s="304"/>
      <c r="T1538" s="304"/>
      <c r="U1538" s="304"/>
      <c r="V1538" s="304"/>
      <c r="AL1538" s="372" t="str">
        <f t="shared" si="53"/>
        <v/>
      </c>
    </row>
    <row r="1539" spans="1:38" ht="15" customHeight="1" outlineLevel="1" x14ac:dyDescent="0.2">
      <c r="A1539" s="403"/>
      <c r="B1539" s="403"/>
      <c r="C1539" s="403"/>
      <c r="D1539" s="404"/>
      <c r="E1539" s="405"/>
      <c r="F1539" s="405"/>
      <c r="G1539" s="403"/>
      <c r="H1539" s="406"/>
      <c r="I1539" s="406"/>
      <c r="J1539" s="406"/>
      <c r="K1539" s="304"/>
      <c r="L1539" s="372"/>
      <c r="M1539" s="372"/>
      <c r="N1539" s="372"/>
      <c r="O1539" s="372"/>
      <c r="P1539" s="372"/>
      <c r="Q1539" s="304"/>
      <c r="R1539" s="304"/>
      <c r="S1539" s="304"/>
      <c r="T1539" s="304"/>
      <c r="U1539" s="304"/>
      <c r="V1539" s="304"/>
      <c r="AL1539" s="372" t="str">
        <f t="shared" si="53"/>
        <v/>
      </c>
    </row>
    <row r="1540" spans="1:38" ht="15" customHeight="1" outlineLevel="1" x14ac:dyDescent="0.2">
      <c r="A1540" s="403"/>
      <c r="B1540" s="403"/>
      <c r="C1540" s="403"/>
      <c r="D1540" s="404"/>
      <c r="E1540" s="405"/>
      <c r="F1540" s="405"/>
      <c r="G1540" s="403"/>
      <c r="H1540" s="406"/>
      <c r="I1540" s="406"/>
      <c r="J1540" s="406"/>
      <c r="K1540" s="304"/>
      <c r="L1540" s="372"/>
      <c r="M1540" s="372"/>
      <c r="N1540" s="372"/>
      <c r="O1540" s="372"/>
      <c r="P1540" s="372"/>
      <c r="Q1540" s="304"/>
      <c r="R1540" s="304"/>
      <c r="S1540" s="304"/>
      <c r="T1540" s="304"/>
      <c r="U1540" s="304"/>
      <c r="V1540" s="304"/>
      <c r="AL1540" s="372" t="str">
        <f t="shared" si="53"/>
        <v/>
      </c>
    </row>
    <row r="1541" spans="1:38" ht="15" customHeight="1" outlineLevel="1" x14ac:dyDescent="0.2">
      <c r="A1541" s="403"/>
      <c r="B1541" s="403"/>
      <c r="C1541" s="403"/>
      <c r="D1541" s="404"/>
      <c r="E1541" s="405"/>
      <c r="F1541" s="405"/>
      <c r="G1541" s="403"/>
      <c r="H1541" s="406"/>
      <c r="I1541" s="406"/>
      <c r="J1541" s="406"/>
      <c r="K1541" s="304"/>
      <c r="L1541" s="372"/>
      <c r="M1541" s="372"/>
      <c r="N1541" s="372"/>
      <c r="O1541" s="372"/>
      <c r="P1541" s="372"/>
      <c r="Q1541" s="304"/>
      <c r="R1541" s="304"/>
      <c r="S1541" s="304"/>
      <c r="T1541" s="304"/>
      <c r="U1541" s="304"/>
      <c r="V1541" s="304"/>
      <c r="AL1541" s="372" t="str">
        <f t="shared" si="53"/>
        <v/>
      </c>
    </row>
    <row r="1542" spans="1:38" ht="15" customHeight="1" outlineLevel="1" x14ac:dyDescent="0.2">
      <c r="A1542" s="403"/>
      <c r="B1542" s="403"/>
      <c r="C1542" s="403"/>
      <c r="D1542" s="404"/>
      <c r="E1542" s="405"/>
      <c r="F1542" s="405"/>
      <c r="G1542" s="403"/>
      <c r="H1542" s="406"/>
      <c r="I1542" s="406"/>
      <c r="J1542" s="406"/>
      <c r="K1542" s="304"/>
      <c r="L1542" s="372"/>
      <c r="M1542" s="372"/>
      <c r="N1542" s="372"/>
      <c r="O1542" s="372"/>
      <c r="P1542" s="372"/>
      <c r="Q1542" s="304"/>
      <c r="R1542" s="304"/>
      <c r="S1542" s="304"/>
      <c r="T1542" s="304"/>
      <c r="U1542" s="304"/>
      <c r="V1542" s="304"/>
      <c r="AL1542" s="372" t="str">
        <f t="shared" si="53"/>
        <v/>
      </c>
    </row>
    <row r="1543" spans="1:38" ht="15" customHeight="1" outlineLevel="1" x14ac:dyDescent="0.2">
      <c r="A1543" s="403"/>
      <c r="B1543" s="403"/>
      <c r="C1543" s="403"/>
      <c r="D1543" s="404"/>
      <c r="E1543" s="405"/>
      <c r="F1543" s="405"/>
      <c r="G1543" s="403"/>
      <c r="H1543" s="406"/>
      <c r="I1543" s="406"/>
      <c r="J1543" s="406"/>
      <c r="K1543" s="304"/>
      <c r="L1543" s="372"/>
      <c r="M1543" s="372"/>
      <c r="N1543" s="372"/>
      <c r="O1543" s="372"/>
      <c r="P1543" s="372"/>
      <c r="Q1543" s="304"/>
      <c r="R1543" s="304"/>
      <c r="S1543" s="304"/>
      <c r="T1543" s="304"/>
      <c r="U1543" s="304"/>
      <c r="V1543" s="304"/>
      <c r="AL1543" s="372" t="str">
        <f t="shared" si="53"/>
        <v/>
      </c>
    </row>
    <row r="1544" spans="1:38" ht="15" customHeight="1" outlineLevel="1" x14ac:dyDescent="0.2">
      <c r="A1544" s="403"/>
      <c r="B1544" s="403"/>
      <c r="C1544" s="403"/>
      <c r="D1544" s="404"/>
      <c r="E1544" s="405"/>
      <c r="F1544" s="405"/>
      <c r="G1544" s="403"/>
      <c r="H1544" s="406"/>
      <c r="I1544" s="406"/>
      <c r="J1544" s="406"/>
      <c r="K1544" s="304"/>
      <c r="L1544" s="372"/>
      <c r="M1544" s="372"/>
      <c r="N1544" s="372"/>
      <c r="O1544" s="372"/>
      <c r="P1544" s="372"/>
      <c r="Q1544" s="304"/>
      <c r="R1544" s="304"/>
      <c r="S1544" s="304"/>
      <c r="T1544" s="304"/>
      <c r="U1544" s="304"/>
      <c r="V1544" s="304"/>
      <c r="AL1544" s="372" t="str">
        <f t="shared" si="53"/>
        <v/>
      </c>
    </row>
    <row r="1545" spans="1:38" ht="15" customHeight="1" outlineLevel="1" x14ac:dyDescent="0.2">
      <c r="A1545" s="403"/>
      <c r="B1545" s="403"/>
      <c r="C1545" s="403"/>
      <c r="D1545" s="404"/>
      <c r="E1545" s="405"/>
      <c r="F1545" s="405"/>
      <c r="G1545" s="403"/>
      <c r="H1545" s="406"/>
      <c r="I1545" s="406"/>
      <c r="J1545" s="406"/>
      <c r="K1545" s="304"/>
      <c r="L1545" s="372"/>
      <c r="M1545" s="372"/>
      <c r="N1545" s="372"/>
      <c r="O1545" s="372"/>
      <c r="P1545" s="372"/>
      <c r="Q1545" s="304"/>
      <c r="R1545" s="304"/>
      <c r="S1545" s="304"/>
      <c r="T1545" s="304"/>
      <c r="U1545" s="304"/>
      <c r="V1545" s="304"/>
      <c r="AL1545" s="372" t="str">
        <f t="shared" si="53"/>
        <v/>
      </c>
    </row>
    <row r="1546" spans="1:38" ht="15" customHeight="1" outlineLevel="1" x14ac:dyDescent="0.2">
      <c r="A1546" s="403"/>
      <c r="B1546" s="403"/>
      <c r="C1546" s="403"/>
      <c r="D1546" s="404"/>
      <c r="E1546" s="405"/>
      <c r="F1546" s="405"/>
      <c r="G1546" s="403"/>
      <c r="H1546" s="406"/>
      <c r="I1546" s="406"/>
      <c r="J1546" s="406"/>
      <c r="K1546" s="304"/>
      <c r="L1546" s="372"/>
      <c r="M1546" s="372"/>
      <c r="N1546" s="372"/>
      <c r="O1546" s="372"/>
      <c r="P1546" s="372"/>
      <c r="Q1546" s="304"/>
      <c r="R1546" s="304"/>
      <c r="S1546" s="304"/>
      <c r="T1546" s="304"/>
      <c r="U1546" s="304"/>
      <c r="V1546" s="304"/>
      <c r="AL1546" s="372" t="str">
        <f t="shared" si="53"/>
        <v/>
      </c>
    </row>
    <row r="1547" spans="1:38" ht="15" customHeight="1" outlineLevel="1" x14ac:dyDescent="0.2">
      <c r="A1547" s="403"/>
      <c r="B1547" s="403"/>
      <c r="C1547" s="403"/>
      <c r="D1547" s="404"/>
      <c r="E1547" s="405"/>
      <c r="F1547" s="405"/>
      <c r="G1547" s="403"/>
      <c r="H1547" s="406"/>
      <c r="I1547" s="406"/>
      <c r="J1547" s="406"/>
      <c r="K1547" s="304"/>
      <c r="L1547" s="372"/>
      <c r="M1547" s="372"/>
      <c r="N1547" s="372"/>
      <c r="O1547" s="372"/>
      <c r="P1547" s="372"/>
      <c r="Q1547" s="304"/>
      <c r="R1547" s="304"/>
      <c r="S1547" s="304"/>
      <c r="T1547" s="304"/>
      <c r="U1547" s="304"/>
      <c r="V1547" s="304"/>
      <c r="AL1547" s="372" t="str">
        <f t="shared" si="53"/>
        <v/>
      </c>
    </row>
    <row r="1548" spans="1:38" ht="15" customHeight="1" outlineLevel="1" x14ac:dyDescent="0.2">
      <c r="A1548" s="403"/>
      <c r="B1548" s="403"/>
      <c r="C1548" s="403"/>
      <c r="D1548" s="404"/>
      <c r="E1548" s="405"/>
      <c r="F1548" s="405"/>
      <c r="G1548" s="403"/>
      <c r="H1548" s="406"/>
      <c r="I1548" s="406"/>
      <c r="J1548" s="406"/>
      <c r="K1548" s="304"/>
      <c r="L1548" s="372"/>
      <c r="M1548" s="372"/>
      <c r="N1548" s="372"/>
      <c r="O1548" s="372"/>
      <c r="P1548" s="372"/>
      <c r="Q1548" s="304"/>
      <c r="R1548" s="304"/>
      <c r="S1548" s="304"/>
      <c r="T1548" s="304"/>
      <c r="U1548" s="304"/>
      <c r="V1548" s="304"/>
      <c r="AL1548" s="372" t="str">
        <f t="shared" si="53"/>
        <v/>
      </c>
    </row>
    <row r="1549" spans="1:38" ht="15" customHeight="1" outlineLevel="1" x14ac:dyDescent="0.2">
      <c r="A1549" s="403"/>
      <c r="B1549" s="403"/>
      <c r="C1549" s="403"/>
      <c r="D1549" s="404"/>
      <c r="E1549" s="405"/>
      <c r="F1549" s="405"/>
      <c r="G1549" s="403"/>
      <c r="H1549" s="406"/>
      <c r="I1549" s="406"/>
      <c r="J1549" s="406"/>
      <c r="K1549" s="304"/>
      <c r="L1549" s="372"/>
      <c r="M1549" s="372"/>
      <c r="N1549" s="372"/>
      <c r="O1549" s="372"/>
      <c r="P1549" s="372"/>
      <c r="Q1549" s="304"/>
      <c r="R1549" s="304"/>
      <c r="S1549" s="304"/>
      <c r="T1549" s="304"/>
      <c r="U1549" s="304"/>
      <c r="V1549" s="304"/>
      <c r="AL1549" s="372" t="str">
        <f t="shared" si="53"/>
        <v/>
      </c>
    </row>
    <row r="1550" spans="1:38" ht="15" customHeight="1" outlineLevel="1" x14ac:dyDescent="0.2">
      <c r="A1550" s="403"/>
      <c r="B1550" s="403"/>
      <c r="C1550" s="403"/>
      <c r="D1550" s="404"/>
      <c r="E1550" s="405"/>
      <c r="F1550" s="405"/>
      <c r="G1550" s="403"/>
      <c r="H1550" s="406"/>
      <c r="I1550" s="406"/>
      <c r="J1550" s="406"/>
      <c r="K1550" s="304"/>
      <c r="L1550" s="372"/>
      <c r="M1550" s="372"/>
      <c r="N1550" s="372"/>
      <c r="O1550" s="372"/>
      <c r="P1550" s="372"/>
      <c r="Q1550" s="304"/>
      <c r="R1550" s="304"/>
      <c r="S1550" s="304"/>
      <c r="T1550" s="304"/>
      <c r="U1550" s="304"/>
      <c r="V1550" s="304"/>
      <c r="AL1550" s="372" t="str">
        <f t="shared" si="53"/>
        <v/>
      </c>
    </row>
    <row r="1551" spans="1:38" ht="15" customHeight="1" outlineLevel="1" x14ac:dyDescent="0.2">
      <c r="A1551" s="403"/>
      <c r="B1551" s="403"/>
      <c r="C1551" s="403"/>
      <c r="D1551" s="404"/>
      <c r="E1551" s="405"/>
      <c r="F1551" s="405"/>
      <c r="G1551" s="403"/>
      <c r="H1551" s="406"/>
      <c r="I1551" s="406"/>
      <c r="J1551" s="406"/>
      <c r="K1551" s="304"/>
      <c r="L1551" s="372"/>
      <c r="M1551" s="372"/>
      <c r="N1551" s="372"/>
      <c r="O1551" s="372"/>
      <c r="P1551" s="372"/>
      <c r="Q1551" s="304"/>
      <c r="R1551" s="304"/>
      <c r="S1551" s="304"/>
      <c r="T1551" s="304"/>
      <c r="U1551" s="304"/>
      <c r="V1551" s="304"/>
      <c r="AL1551" s="372" t="str">
        <f t="shared" si="53"/>
        <v/>
      </c>
    </row>
    <row r="1552" spans="1:38" ht="15" customHeight="1" outlineLevel="1" x14ac:dyDescent="0.2">
      <c r="A1552" s="403"/>
      <c r="B1552" s="403"/>
      <c r="C1552" s="403"/>
      <c r="D1552" s="404"/>
      <c r="E1552" s="405"/>
      <c r="F1552" s="405"/>
      <c r="G1552" s="403"/>
      <c r="H1552" s="406"/>
      <c r="I1552" s="406"/>
      <c r="J1552" s="406"/>
      <c r="K1552" s="304"/>
      <c r="L1552" s="372"/>
      <c r="M1552" s="372"/>
      <c r="N1552" s="372"/>
      <c r="O1552" s="372"/>
      <c r="P1552" s="372"/>
      <c r="Q1552" s="304"/>
      <c r="R1552" s="304"/>
      <c r="S1552" s="304"/>
      <c r="T1552" s="304"/>
      <c r="U1552" s="304"/>
      <c r="V1552" s="304"/>
      <c r="AL1552" s="372" t="str">
        <f t="shared" si="53"/>
        <v/>
      </c>
    </row>
    <row r="1553" spans="1:38" ht="15" customHeight="1" outlineLevel="1" x14ac:dyDescent="0.2">
      <c r="A1553" s="403"/>
      <c r="B1553" s="403"/>
      <c r="C1553" s="403"/>
      <c r="D1553" s="404"/>
      <c r="E1553" s="405"/>
      <c r="F1553" s="405"/>
      <c r="G1553" s="403"/>
      <c r="H1553" s="406"/>
      <c r="I1553" s="406"/>
      <c r="J1553" s="406"/>
      <c r="K1553" s="304"/>
      <c r="L1553" s="372"/>
      <c r="M1553" s="372"/>
      <c r="N1553" s="372"/>
      <c r="O1553" s="372"/>
      <c r="P1553" s="372"/>
      <c r="Q1553" s="304"/>
      <c r="R1553" s="304"/>
      <c r="S1553" s="304"/>
      <c r="T1553" s="304"/>
      <c r="U1553" s="304"/>
      <c r="V1553" s="304"/>
      <c r="AL1553" s="372" t="str">
        <f t="shared" ref="AL1553:AL1616" si="54">IF(($C1553=$AG$245)*($N1553&gt;0)*ISNUMBER($I1553),$I1553*100000+ROW(),"")</f>
        <v/>
      </c>
    </row>
    <row r="1554" spans="1:38" ht="15" customHeight="1" outlineLevel="1" x14ac:dyDescent="0.2">
      <c r="A1554" s="403"/>
      <c r="B1554" s="403"/>
      <c r="C1554" s="403"/>
      <c r="D1554" s="404"/>
      <c r="E1554" s="405"/>
      <c r="F1554" s="405"/>
      <c r="G1554" s="403"/>
      <c r="H1554" s="406"/>
      <c r="I1554" s="406"/>
      <c r="J1554" s="406"/>
      <c r="K1554" s="304"/>
      <c r="L1554" s="372"/>
      <c r="M1554" s="372"/>
      <c r="N1554" s="372"/>
      <c r="O1554" s="372"/>
      <c r="P1554" s="372"/>
      <c r="Q1554" s="304"/>
      <c r="R1554" s="304"/>
      <c r="S1554" s="304"/>
      <c r="T1554" s="304"/>
      <c r="U1554" s="304"/>
      <c r="V1554" s="304"/>
      <c r="AL1554" s="372" t="str">
        <f t="shared" si="54"/>
        <v/>
      </c>
    </row>
    <row r="1555" spans="1:38" ht="15" customHeight="1" outlineLevel="1" x14ac:dyDescent="0.2">
      <c r="A1555" s="403"/>
      <c r="B1555" s="403"/>
      <c r="C1555" s="403"/>
      <c r="D1555" s="404"/>
      <c r="E1555" s="405"/>
      <c r="F1555" s="405"/>
      <c r="G1555" s="403"/>
      <c r="H1555" s="406"/>
      <c r="I1555" s="406"/>
      <c r="J1555" s="406"/>
      <c r="K1555" s="304"/>
      <c r="L1555" s="372"/>
      <c r="M1555" s="372"/>
      <c r="N1555" s="372"/>
      <c r="O1555" s="372"/>
      <c r="P1555" s="372"/>
      <c r="Q1555" s="304"/>
      <c r="R1555" s="304"/>
      <c r="S1555" s="304"/>
      <c r="T1555" s="304"/>
      <c r="U1555" s="304"/>
      <c r="V1555" s="304"/>
      <c r="AL1555" s="372" t="str">
        <f t="shared" si="54"/>
        <v/>
      </c>
    </row>
    <row r="1556" spans="1:38" ht="15" customHeight="1" outlineLevel="1" x14ac:dyDescent="0.2">
      <c r="A1556" s="403"/>
      <c r="B1556" s="403"/>
      <c r="C1556" s="403"/>
      <c r="D1556" s="404"/>
      <c r="E1556" s="405"/>
      <c r="F1556" s="405"/>
      <c r="G1556" s="403"/>
      <c r="H1556" s="406"/>
      <c r="I1556" s="406"/>
      <c r="J1556" s="406"/>
      <c r="K1556" s="304"/>
      <c r="L1556" s="372"/>
      <c r="M1556" s="372"/>
      <c r="N1556" s="372"/>
      <c r="O1556" s="372"/>
      <c r="P1556" s="372"/>
      <c r="Q1556" s="304"/>
      <c r="R1556" s="304"/>
      <c r="S1556" s="304"/>
      <c r="T1556" s="304"/>
      <c r="U1556" s="304"/>
      <c r="V1556" s="304"/>
      <c r="AL1556" s="372" t="str">
        <f t="shared" si="54"/>
        <v/>
      </c>
    </row>
    <row r="1557" spans="1:38" ht="15" customHeight="1" outlineLevel="1" x14ac:dyDescent="0.2">
      <c r="A1557" s="403"/>
      <c r="B1557" s="403"/>
      <c r="C1557" s="403"/>
      <c r="D1557" s="404"/>
      <c r="E1557" s="405"/>
      <c r="F1557" s="405"/>
      <c r="G1557" s="403"/>
      <c r="H1557" s="406"/>
      <c r="I1557" s="406"/>
      <c r="J1557" s="406"/>
      <c r="K1557" s="304"/>
      <c r="L1557" s="372"/>
      <c r="M1557" s="372"/>
      <c r="N1557" s="372"/>
      <c r="O1557" s="372"/>
      <c r="P1557" s="372"/>
      <c r="Q1557" s="304"/>
      <c r="R1557" s="304"/>
      <c r="S1557" s="304"/>
      <c r="T1557" s="304"/>
      <c r="U1557" s="304"/>
      <c r="V1557" s="304"/>
      <c r="AL1557" s="372" t="str">
        <f t="shared" si="54"/>
        <v/>
      </c>
    </row>
    <row r="1558" spans="1:38" ht="15" customHeight="1" outlineLevel="1" x14ac:dyDescent="0.2">
      <c r="A1558" s="403"/>
      <c r="B1558" s="403"/>
      <c r="C1558" s="403"/>
      <c r="D1558" s="404"/>
      <c r="E1558" s="405"/>
      <c r="F1558" s="405"/>
      <c r="G1558" s="403"/>
      <c r="H1558" s="406"/>
      <c r="I1558" s="406"/>
      <c r="J1558" s="406"/>
      <c r="K1558" s="304"/>
      <c r="L1558" s="372"/>
      <c r="M1558" s="372"/>
      <c r="N1558" s="372"/>
      <c r="O1558" s="372"/>
      <c r="P1558" s="372"/>
      <c r="Q1558" s="304"/>
      <c r="R1558" s="304"/>
      <c r="S1558" s="304"/>
      <c r="T1558" s="304"/>
      <c r="U1558" s="304"/>
      <c r="V1558" s="304"/>
      <c r="AL1558" s="372" t="str">
        <f t="shared" si="54"/>
        <v/>
      </c>
    </row>
    <row r="1559" spans="1:38" ht="15" customHeight="1" outlineLevel="1" x14ac:dyDescent="0.2">
      <c r="A1559" s="403"/>
      <c r="B1559" s="403"/>
      <c r="C1559" s="403"/>
      <c r="D1559" s="404"/>
      <c r="E1559" s="405"/>
      <c r="F1559" s="405"/>
      <c r="G1559" s="403"/>
      <c r="H1559" s="406"/>
      <c r="I1559" s="406"/>
      <c r="J1559" s="406"/>
      <c r="K1559" s="304"/>
      <c r="L1559" s="372"/>
      <c r="M1559" s="372"/>
      <c r="N1559" s="372"/>
      <c r="O1559" s="372"/>
      <c r="P1559" s="372"/>
      <c r="Q1559" s="304"/>
      <c r="R1559" s="304"/>
      <c r="S1559" s="304"/>
      <c r="T1559" s="304"/>
      <c r="U1559" s="304"/>
      <c r="V1559" s="304"/>
      <c r="AL1559" s="372" t="str">
        <f t="shared" si="54"/>
        <v/>
      </c>
    </row>
    <row r="1560" spans="1:38" ht="15" customHeight="1" outlineLevel="1" x14ac:dyDescent="0.2">
      <c r="A1560" s="403"/>
      <c r="B1560" s="403"/>
      <c r="C1560" s="403"/>
      <c r="D1560" s="404"/>
      <c r="E1560" s="405"/>
      <c r="F1560" s="405"/>
      <c r="G1560" s="403"/>
      <c r="H1560" s="406"/>
      <c r="I1560" s="406"/>
      <c r="J1560" s="406"/>
      <c r="K1560" s="304"/>
      <c r="L1560" s="372"/>
      <c r="M1560" s="372"/>
      <c r="N1560" s="372"/>
      <c r="O1560" s="372"/>
      <c r="P1560" s="372"/>
      <c r="Q1560" s="304"/>
      <c r="R1560" s="304"/>
      <c r="S1560" s="304"/>
      <c r="T1560" s="304"/>
      <c r="U1560" s="304"/>
      <c r="V1560" s="304"/>
      <c r="AL1560" s="372" t="str">
        <f t="shared" si="54"/>
        <v/>
      </c>
    </row>
    <row r="1561" spans="1:38" ht="15" customHeight="1" outlineLevel="1" x14ac:dyDescent="0.2">
      <c r="A1561" s="403"/>
      <c r="B1561" s="403"/>
      <c r="C1561" s="403"/>
      <c r="D1561" s="404"/>
      <c r="E1561" s="405"/>
      <c r="F1561" s="405"/>
      <c r="G1561" s="403"/>
      <c r="H1561" s="406"/>
      <c r="I1561" s="406"/>
      <c r="J1561" s="406"/>
      <c r="K1561" s="304"/>
      <c r="L1561" s="372"/>
      <c r="M1561" s="372"/>
      <c r="N1561" s="372"/>
      <c r="O1561" s="372"/>
      <c r="P1561" s="372"/>
      <c r="Q1561" s="304"/>
      <c r="R1561" s="304"/>
      <c r="S1561" s="304"/>
      <c r="T1561" s="304"/>
      <c r="U1561" s="304"/>
      <c r="V1561" s="304"/>
      <c r="AL1561" s="372" t="str">
        <f t="shared" si="54"/>
        <v/>
      </c>
    </row>
    <row r="1562" spans="1:38" ht="15" customHeight="1" outlineLevel="1" x14ac:dyDescent="0.2">
      <c r="A1562" s="403"/>
      <c r="B1562" s="403"/>
      <c r="C1562" s="403"/>
      <c r="D1562" s="404"/>
      <c r="E1562" s="405"/>
      <c r="F1562" s="405"/>
      <c r="G1562" s="403"/>
      <c r="H1562" s="406"/>
      <c r="I1562" s="406"/>
      <c r="J1562" s="406"/>
      <c r="K1562" s="304"/>
      <c r="L1562" s="372"/>
      <c r="M1562" s="372"/>
      <c r="N1562" s="372"/>
      <c r="O1562" s="372"/>
      <c r="P1562" s="372"/>
      <c r="Q1562" s="304"/>
      <c r="R1562" s="304"/>
      <c r="S1562" s="304"/>
      <c r="T1562" s="304"/>
      <c r="U1562" s="304"/>
      <c r="V1562" s="304"/>
      <c r="AL1562" s="372" t="str">
        <f t="shared" si="54"/>
        <v/>
      </c>
    </row>
    <row r="1563" spans="1:38" ht="15" customHeight="1" outlineLevel="1" x14ac:dyDescent="0.2">
      <c r="A1563" s="403"/>
      <c r="B1563" s="403"/>
      <c r="C1563" s="403"/>
      <c r="D1563" s="404"/>
      <c r="E1563" s="405"/>
      <c r="F1563" s="405"/>
      <c r="G1563" s="403"/>
      <c r="H1563" s="406"/>
      <c r="I1563" s="406"/>
      <c r="J1563" s="406"/>
      <c r="K1563" s="304"/>
      <c r="L1563" s="372"/>
      <c r="M1563" s="372"/>
      <c r="N1563" s="372"/>
      <c r="O1563" s="372"/>
      <c r="P1563" s="372"/>
      <c r="Q1563" s="304"/>
      <c r="R1563" s="304"/>
      <c r="S1563" s="304"/>
      <c r="T1563" s="304"/>
      <c r="U1563" s="304"/>
      <c r="V1563" s="304"/>
      <c r="AL1563" s="372" t="str">
        <f t="shared" si="54"/>
        <v/>
      </c>
    </row>
    <row r="1564" spans="1:38" ht="15" customHeight="1" outlineLevel="1" x14ac:dyDescent="0.2">
      <c r="A1564" s="403"/>
      <c r="B1564" s="403"/>
      <c r="C1564" s="403"/>
      <c r="D1564" s="404"/>
      <c r="E1564" s="405"/>
      <c r="F1564" s="405"/>
      <c r="G1564" s="403"/>
      <c r="H1564" s="406"/>
      <c r="I1564" s="406"/>
      <c r="J1564" s="406"/>
      <c r="K1564" s="304"/>
      <c r="L1564" s="372"/>
      <c r="M1564" s="372"/>
      <c r="N1564" s="372"/>
      <c r="O1564" s="372"/>
      <c r="P1564" s="372"/>
      <c r="Q1564" s="304"/>
      <c r="R1564" s="304"/>
      <c r="S1564" s="304"/>
      <c r="T1564" s="304"/>
      <c r="U1564" s="304"/>
      <c r="V1564" s="304"/>
      <c r="AL1564" s="372" t="str">
        <f t="shared" si="54"/>
        <v/>
      </c>
    </row>
    <row r="1565" spans="1:38" ht="15" customHeight="1" outlineLevel="1" x14ac:dyDescent="0.2">
      <c r="A1565" s="403"/>
      <c r="B1565" s="403"/>
      <c r="C1565" s="403"/>
      <c r="D1565" s="404"/>
      <c r="E1565" s="405"/>
      <c r="F1565" s="405"/>
      <c r="G1565" s="403"/>
      <c r="H1565" s="406"/>
      <c r="I1565" s="406"/>
      <c r="J1565" s="406"/>
      <c r="K1565" s="304"/>
      <c r="L1565" s="372"/>
      <c r="M1565" s="372"/>
      <c r="N1565" s="372"/>
      <c r="O1565" s="372"/>
      <c r="P1565" s="372"/>
      <c r="Q1565" s="304"/>
      <c r="R1565" s="304"/>
      <c r="S1565" s="304"/>
      <c r="T1565" s="304"/>
      <c r="U1565" s="304"/>
      <c r="V1565" s="304"/>
      <c r="AL1565" s="372" t="str">
        <f t="shared" si="54"/>
        <v/>
      </c>
    </row>
    <row r="1566" spans="1:38" ht="15" customHeight="1" outlineLevel="1" x14ac:dyDescent="0.2">
      <c r="A1566" s="403"/>
      <c r="B1566" s="403"/>
      <c r="C1566" s="403"/>
      <c r="D1566" s="404"/>
      <c r="E1566" s="405"/>
      <c r="F1566" s="405"/>
      <c r="G1566" s="403"/>
      <c r="H1566" s="406"/>
      <c r="I1566" s="406"/>
      <c r="J1566" s="406"/>
      <c r="K1566" s="304"/>
      <c r="L1566" s="372"/>
      <c r="M1566" s="372"/>
      <c r="N1566" s="372"/>
      <c r="O1566" s="372"/>
      <c r="P1566" s="372"/>
      <c r="Q1566" s="304"/>
      <c r="R1566" s="304"/>
      <c r="S1566" s="304"/>
      <c r="T1566" s="304"/>
      <c r="U1566" s="304"/>
      <c r="V1566" s="304"/>
      <c r="AL1566" s="372" t="str">
        <f t="shared" si="54"/>
        <v/>
      </c>
    </row>
    <row r="1567" spans="1:38" ht="15" customHeight="1" outlineLevel="1" x14ac:dyDescent="0.2">
      <c r="A1567" s="403"/>
      <c r="B1567" s="403"/>
      <c r="C1567" s="403"/>
      <c r="D1567" s="404"/>
      <c r="E1567" s="405"/>
      <c r="F1567" s="405"/>
      <c r="G1567" s="403"/>
      <c r="H1567" s="406"/>
      <c r="I1567" s="406"/>
      <c r="J1567" s="406"/>
      <c r="K1567" s="304"/>
      <c r="L1567" s="372"/>
      <c r="M1567" s="372"/>
      <c r="N1567" s="372"/>
      <c r="O1567" s="372"/>
      <c r="P1567" s="372"/>
      <c r="Q1567" s="304"/>
      <c r="R1567" s="304"/>
      <c r="S1567" s="304"/>
      <c r="T1567" s="304"/>
      <c r="U1567" s="304"/>
      <c r="V1567" s="304"/>
      <c r="AL1567" s="372" t="str">
        <f t="shared" si="54"/>
        <v/>
      </c>
    </row>
    <row r="1568" spans="1:38" ht="15" customHeight="1" outlineLevel="1" x14ac:dyDescent="0.2">
      <c r="A1568" s="403"/>
      <c r="B1568" s="403"/>
      <c r="C1568" s="403"/>
      <c r="D1568" s="404"/>
      <c r="E1568" s="405"/>
      <c r="F1568" s="405"/>
      <c r="G1568" s="403"/>
      <c r="H1568" s="406"/>
      <c r="I1568" s="406"/>
      <c r="J1568" s="406"/>
      <c r="K1568" s="304"/>
      <c r="L1568" s="372"/>
      <c r="M1568" s="372"/>
      <c r="N1568" s="372"/>
      <c r="O1568" s="372"/>
      <c r="P1568" s="372"/>
      <c r="Q1568" s="304"/>
      <c r="R1568" s="304"/>
      <c r="S1568" s="304"/>
      <c r="T1568" s="304"/>
      <c r="U1568" s="304"/>
      <c r="V1568" s="304"/>
      <c r="AL1568" s="372" t="str">
        <f t="shared" si="54"/>
        <v/>
      </c>
    </row>
    <row r="1569" spans="1:38" ht="15" customHeight="1" outlineLevel="1" x14ac:dyDescent="0.2">
      <c r="A1569" s="403"/>
      <c r="B1569" s="403"/>
      <c r="C1569" s="403"/>
      <c r="D1569" s="404"/>
      <c r="E1569" s="405"/>
      <c r="F1569" s="405"/>
      <c r="G1569" s="403"/>
      <c r="H1569" s="406"/>
      <c r="I1569" s="406"/>
      <c r="J1569" s="406"/>
      <c r="K1569" s="304"/>
      <c r="L1569" s="372"/>
      <c r="M1569" s="372"/>
      <c r="N1569" s="372"/>
      <c r="O1569" s="372"/>
      <c r="P1569" s="372"/>
      <c r="Q1569" s="304"/>
      <c r="R1569" s="304"/>
      <c r="S1569" s="304"/>
      <c r="T1569" s="304"/>
      <c r="U1569" s="304"/>
      <c r="V1569" s="304"/>
      <c r="AL1569" s="372" t="str">
        <f t="shared" si="54"/>
        <v/>
      </c>
    </row>
    <row r="1570" spans="1:38" ht="15" customHeight="1" outlineLevel="1" x14ac:dyDescent="0.2">
      <c r="A1570" s="403"/>
      <c r="B1570" s="403"/>
      <c r="C1570" s="403"/>
      <c r="D1570" s="404"/>
      <c r="E1570" s="405"/>
      <c r="F1570" s="405"/>
      <c r="G1570" s="403"/>
      <c r="H1570" s="406"/>
      <c r="I1570" s="406"/>
      <c r="J1570" s="406"/>
      <c r="K1570" s="304"/>
      <c r="L1570" s="372"/>
      <c r="M1570" s="372"/>
      <c r="N1570" s="372"/>
      <c r="O1570" s="372"/>
      <c r="P1570" s="372"/>
      <c r="Q1570" s="304"/>
      <c r="R1570" s="304"/>
      <c r="S1570" s="304"/>
      <c r="T1570" s="304"/>
      <c r="U1570" s="304"/>
      <c r="V1570" s="304"/>
      <c r="AL1570" s="372" t="str">
        <f t="shared" si="54"/>
        <v/>
      </c>
    </row>
    <row r="1571" spans="1:38" ht="15" customHeight="1" outlineLevel="1" x14ac:dyDescent="0.2">
      <c r="A1571" s="403"/>
      <c r="B1571" s="403"/>
      <c r="C1571" s="403"/>
      <c r="D1571" s="404"/>
      <c r="E1571" s="405"/>
      <c r="F1571" s="405"/>
      <c r="G1571" s="403"/>
      <c r="H1571" s="406"/>
      <c r="I1571" s="406"/>
      <c r="J1571" s="406"/>
      <c r="K1571" s="304"/>
      <c r="L1571" s="372"/>
      <c r="M1571" s="372"/>
      <c r="N1571" s="372"/>
      <c r="O1571" s="372"/>
      <c r="P1571" s="372"/>
      <c r="Q1571" s="304"/>
      <c r="R1571" s="304"/>
      <c r="S1571" s="304"/>
      <c r="T1571" s="304"/>
      <c r="U1571" s="304"/>
      <c r="V1571" s="304"/>
      <c r="AL1571" s="372" t="str">
        <f t="shared" si="54"/>
        <v/>
      </c>
    </row>
    <row r="1572" spans="1:38" ht="15" customHeight="1" outlineLevel="1" x14ac:dyDescent="0.2">
      <c r="A1572" s="403"/>
      <c r="B1572" s="403"/>
      <c r="C1572" s="403"/>
      <c r="D1572" s="404"/>
      <c r="E1572" s="405"/>
      <c r="F1572" s="405"/>
      <c r="G1572" s="403"/>
      <c r="H1572" s="406"/>
      <c r="I1572" s="406"/>
      <c r="J1572" s="406"/>
      <c r="K1572" s="304"/>
      <c r="L1572" s="372"/>
      <c r="M1572" s="372"/>
      <c r="N1572" s="372"/>
      <c r="O1572" s="372"/>
      <c r="P1572" s="372"/>
      <c r="Q1572" s="304"/>
      <c r="R1572" s="304"/>
      <c r="S1572" s="304"/>
      <c r="T1572" s="304"/>
      <c r="U1572" s="304"/>
      <c r="V1572" s="304"/>
      <c r="AL1572" s="372" t="str">
        <f t="shared" si="54"/>
        <v/>
      </c>
    </row>
    <row r="1573" spans="1:38" ht="15" customHeight="1" outlineLevel="1" x14ac:dyDescent="0.2">
      <c r="A1573" s="403"/>
      <c r="B1573" s="403"/>
      <c r="C1573" s="403"/>
      <c r="D1573" s="404"/>
      <c r="E1573" s="405"/>
      <c r="F1573" s="405"/>
      <c r="G1573" s="403"/>
      <c r="H1573" s="406"/>
      <c r="I1573" s="406"/>
      <c r="J1573" s="406"/>
      <c r="K1573" s="304"/>
      <c r="L1573" s="372"/>
      <c r="M1573" s="372"/>
      <c r="N1573" s="372"/>
      <c r="O1573" s="372"/>
      <c r="P1573" s="372"/>
      <c r="Q1573" s="304"/>
      <c r="R1573" s="304"/>
      <c r="S1573" s="304"/>
      <c r="T1573" s="304"/>
      <c r="U1573" s="304"/>
      <c r="V1573" s="304"/>
      <c r="AL1573" s="372" t="str">
        <f t="shared" si="54"/>
        <v/>
      </c>
    </row>
    <row r="1574" spans="1:38" ht="15" customHeight="1" outlineLevel="1" x14ac:dyDescent="0.2">
      <c r="A1574" s="403"/>
      <c r="B1574" s="403"/>
      <c r="C1574" s="403"/>
      <c r="D1574" s="404"/>
      <c r="E1574" s="405"/>
      <c r="F1574" s="405"/>
      <c r="G1574" s="403"/>
      <c r="H1574" s="406"/>
      <c r="I1574" s="406"/>
      <c r="J1574" s="406"/>
      <c r="K1574" s="304"/>
      <c r="L1574" s="372"/>
      <c r="M1574" s="372"/>
      <c r="N1574" s="372"/>
      <c r="O1574" s="372"/>
      <c r="P1574" s="372"/>
      <c r="Q1574" s="304"/>
      <c r="R1574" s="304"/>
      <c r="S1574" s="304"/>
      <c r="T1574" s="304"/>
      <c r="U1574" s="304"/>
      <c r="V1574" s="304"/>
      <c r="AL1574" s="372" t="str">
        <f t="shared" si="54"/>
        <v/>
      </c>
    </row>
    <row r="1575" spans="1:38" ht="15" customHeight="1" outlineLevel="1" x14ac:dyDescent="0.2">
      <c r="A1575" s="403"/>
      <c r="B1575" s="403"/>
      <c r="C1575" s="403"/>
      <c r="D1575" s="404"/>
      <c r="E1575" s="405"/>
      <c r="F1575" s="405"/>
      <c r="G1575" s="403"/>
      <c r="H1575" s="406"/>
      <c r="I1575" s="406"/>
      <c r="J1575" s="406"/>
      <c r="K1575" s="304"/>
      <c r="L1575" s="372"/>
      <c r="M1575" s="372"/>
      <c r="N1575" s="372"/>
      <c r="O1575" s="372"/>
      <c r="P1575" s="372"/>
      <c r="Q1575" s="304"/>
      <c r="R1575" s="304"/>
      <c r="S1575" s="304"/>
      <c r="T1575" s="304"/>
      <c r="U1575" s="304"/>
      <c r="V1575" s="304"/>
      <c r="AL1575" s="372" t="str">
        <f t="shared" si="54"/>
        <v/>
      </c>
    </row>
    <row r="1576" spans="1:38" ht="15" customHeight="1" outlineLevel="1" x14ac:dyDescent="0.2">
      <c r="A1576" s="403"/>
      <c r="B1576" s="403"/>
      <c r="C1576" s="403"/>
      <c r="D1576" s="404"/>
      <c r="E1576" s="405"/>
      <c r="F1576" s="405"/>
      <c r="G1576" s="403"/>
      <c r="H1576" s="406"/>
      <c r="I1576" s="406"/>
      <c r="J1576" s="406"/>
      <c r="K1576" s="304"/>
      <c r="L1576" s="372"/>
      <c r="M1576" s="372"/>
      <c r="N1576" s="372"/>
      <c r="O1576" s="372"/>
      <c r="P1576" s="372"/>
      <c r="Q1576" s="304"/>
      <c r="R1576" s="304"/>
      <c r="S1576" s="304"/>
      <c r="T1576" s="304"/>
      <c r="U1576" s="304"/>
      <c r="V1576" s="304"/>
      <c r="AL1576" s="372" t="str">
        <f t="shared" si="54"/>
        <v/>
      </c>
    </row>
    <row r="1577" spans="1:38" ht="15" customHeight="1" outlineLevel="1" x14ac:dyDescent="0.2">
      <c r="A1577" s="403"/>
      <c r="B1577" s="403"/>
      <c r="C1577" s="403"/>
      <c r="D1577" s="404"/>
      <c r="E1577" s="405"/>
      <c r="F1577" s="405"/>
      <c r="G1577" s="403"/>
      <c r="H1577" s="406"/>
      <c r="I1577" s="406"/>
      <c r="J1577" s="406"/>
      <c r="K1577" s="304"/>
      <c r="L1577" s="372"/>
      <c r="M1577" s="372"/>
      <c r="N1577" s="372"/>
      <c r="O1577" s="372"/>
      <c r="P1577" s="372"/>
      <c r="Q1577" s="304"/>
      <c r="R1577" s="304"/>
      <c r="S1577" s="304"/>
      <c r="T1577" s="304"/>
      <c r="U1577" s="304"/>
      <c r="V1577" s="304"/>
      <c r="AL1577" s="372" t="str">
        <f t="shared" si="54"/>
        <v/>
      </c>
    </row>
    <row r="1578" spans="1:38" ht="15" customHeight="1" outlineLevel="1" x14ac:dyDescent="0.2">
      <c r="A1578" s="403"/>
      <c r="B1578" s="403"/>
      <c r="C1578" s="403"/>
      <c r="D1578" s="404"/>
      <c r="E1578" s="405"/>
      <c r="F1578" s="405"/>
      <c r="G1578" s="403"/>
      <c r="H1578" s="406"/>
      <c r="I1578" s="406"/>
      <c r="J1578" s="406"/>
      <c r="K1578" s="304"/>
      <c r="L1578" s="372"/>
      <c r="M1578" s="372"/>
      <c r="N1578" s="372"/>
      <c r="O1578" s="372"/>
      <c r="P1578" s="372"/>
      <c r="Q1578" s="304"/>
      <c r="R1578" s="304"/>
      <c r="S1578" s="304"/>
      <c r="T1578" s="304"/>
      <c r="U1578" s="304"/>
      <c r="V1578" s="304"/>
      <c r="AL1578" s="372" t="str">
        <f t="shared" si="54"/>
        <v/>
      </c>
    </row>
    <row r="1579" spans="1:38" ht="15" customHeight="1" outlineLevel="1" x14ac:dyDescent="0.2">
      <c r="A1579" s="403"/>
      <c r="B1579" s="403"/>
      <c r="C1579" s="403"/>
      <c r="D1579" s="404"/>
      <c r="E1579" s="405"/>
      <c r="F1579" s="405"/>
      <c r="G1579" s="403"/>
      <c r="H1579" s="406"/>
      <c r="I1579" s="406"/>
      <c r="J1579" s="406"/>
      <c r="K1579" s="304"/>
      <c r="L1579" s="372"/>
      <c r="M1579" s="372"/>
      <c r="N1579" s="372"/>
      <c r="O1579" s="372"/>
      <c r="P1579" s="372"/>
      <c r="Q1579" s="304"/>
      <c r="R1579" s="304"/>
      <c r="S1579" s="304"/>
      <c r="T1579" s="304"/>
      <c r="U1579" s="304"/>
      <c r="V1579" s="304"/>
      <c r="AL1579" s="372" t="str">
        <f t="shared" si="54"/>
        <v/>
      </c>
    </row>
    <row r="1580" spans="1:38" ht="15" customHeight="1" outlineLevel="1" x14ac:dyDescent="0.2">
      <c r="A1580" s="403"/>
      <c r="B1580" s="403"/>
      <c r="C1580" s="403"/>
      <c r="D1580" s="404"/>
      <c r="E1580" s="405"/>
      <c r="F1580" s="405"/>
      <c r="G1580" s="403"/>
      <c r="H1580" s="406"/>
      <c r="I1580" s="406"/>
      <c r="J1580" s="406"/>
      <c r="K1580" s="304"/>
      <c r="L1580" s="372"/>
      <c r="M1580" s="372"/>
      <c r="N1580" s="372"/>
      <c r="O1580" s="372"/>
      <c r="P1580" s="372"/>
      <c r="Q1580" s="304"/>
      <c r="R1580" s="304"/>
      <c r="S1580" s="304"/>
      <c r="T1580" s="304"/>
      <c r="U1580" s="304"/>
      <c r="V1580" s="304"/>
      <c r="AL1580" s="372" t="str">
        <f t="shared" si="54"/>
        <v/>
      </c>
    </row>
    <row r="1581" spans="1:38" ht="15" customHeight="1" outlineLevel="1" x14ac:dyDescent="0.2">
      <c r="A1581" s="403"/>
      <c r="B1581" s="403"/>
      <c r="C1581" s="403"/>
      <c r="D1581" s="404"/>
      <c r="E1581" s="405"/>
      <c r="F1581" s="405"/>
      <c r="G1581" s="403"/>
      <c r="H1581" s="406"/>
      <c r="I1581" s="406"/>
      <c r="J1581" s="406"/>
      <c r="K1581" s="304"/>
      <c r="L1581" s="372"/>
      <c r="M1581" s="372"/>
      <c r="N1581" s="372"/>
      <c r="O1581" s="372"/>
      <c r="P1581" s="372"/>
      <c r="Q1581" s="304"/>
      <c r="R1581" s="304"/>
      <c r="S1581" s="304"/>
      <c r="T1581" s="304"/>
      <c r="U1581" s="304"/>
      <c r="V1581" s="304"/>
      <c r="AL1581" s="372" t="str">
        <f t="shared" si="54"/>
        <v/>
      </c>
    </row>
    <row r="1582" spans="1:38" ht="15" customHeight="1" outlineLevel="1" x14ac:dyDescent="0.2">
      <c r="A1582" s="403"/>
      <c r="B1582" s="403"/>
      <c r="C1582" s="403"/>
      <c r="D1582" s="404"/>
      <c r="E1582" s="405"/>
      <c r="F1582" s="405"/>
      <c r="G1582" s="403"/>
      <c r="H1582" s="406"/>
      <c r="I1582" s="406"/>
      <c r="J1582" s="406"/>
      <c r="K1582" s="304"/>
      <c r="L1582" s="372"/>
      <c r="M1582" s="372"/>
      <c r="N1582" s="372"/>
      <c r="O1582" s="372"/>
      <c r="P1582" s="372"/>
      <c r="Q1582" s="304"/>
      <c r="R1582" s="304"/>
      <c r="S1582" s="304"/>
      <c r="T1582" s="304"/>
      <c r="U1582" s="304"/>
      <c r="V1582" s="304"/>
      <c r="AL1582" s="372" t="str">
        <f t="shared" si="54"/>
        <v/>
      </c>
    </row>
    <row r="1583" spans="1:38" ht="15" customHeight="1" outlineLevel="1" x14ac:dyDescent="0.2">
      <c r="A1583" s="403"/>
      <c r="B1583" s="403"/>
      <c r="C1583" s="403"/>
      <c r="D1583" s="404"/>
      <c r="E1583" s="405"/>
      <c r="F1583" s="405"/>
      <c r="G1583" s="403"/>
      <c r="H1583" s="406"/>
      <c r="I1583" s="406"/>
      <c r="J1583" s="406"/>
      <c r="K1583" s="304"/>
      <c r="L1583" s="372"/>
      <c r="M1583" s="372"/>
      <c r="N1583" s="372"/>
      <c r="O1583" s="372"/>
      <c r="P1583" s="372"/>
      <c r="Q1583" s="304"/>
      <c r="R1583" s="304"/>
      <c r="S1583" s="304"/>
      <c r="T1583" s="304"/>
      <c r="U1583" s="304"/>
      <c r="V1583" s="304"/>
      <c r="AL1583" s="372" t="str">
        <f t="shared" si="54"/>
        <v/>
      </c>
    </row>
    <row r="1584" spans="1:38" ht="15" customHeight="1" outlineLevel="1" x14ac:dyDescent="0.2">
      <c r="A1584" s="403"/>
      <c r="B1584" s="403"/>
      <c r="C1584" s="403"/>
      <c r="D1584" s="404"/>
      <c r="E1584" s="405"/>
      <c r="F1584" s="405"/>
      <c r="G1584" s="403"/>
      <c r="H1584" s="406"/>
      <c r="I1584" s="406"/>
      <c r="J1584" s="406"/>
      <c r="K1584" s="304"/>
      <c r="L1584" s="372"/>
      <c r="M1584" s="372"/>
      <c r="N1584" s="372"/>
      <c r="O1584" s="372"/>
      <c r="P1584" s="372"/>
      <c r="Q1584" s="304"/>
      <c r="R1584" s="304"/>
      <c r="S1584" s="304"/>
      <c r="T1584" s="304"/>
      <c r="U1584" s="304"/>
      <c r="V1584" s="304"/>
      <c r="AL1584" s="372" t="str">
        <f t="shared" si="54"/>
        <v/>
      </c>
    </row>
    <row r="1585" spans="1:38" ht="15" customHeight="1" outlineLevel="1" x14ac:dyDescent="0.2">
      <c r="A1585" s="403"/>
      <c r="B1585" s="403"/>
      <c r="C1585" s="403"/>
      <c r="D1585" s="404"/>
      <c r="E1585" s="405"/>
      <c r="F1585" s="405"/>
      <c r="G1585" s="403"/>
      <c r="H1585" s="406"/>
      <c r="I1585" s="406"/>
      <c r="J1585" s="406"/>
      <c r="K1585" s="304"/>
      <c r="L1585" s="372"/>
      <c r="M1585" s="372"/>
      <c r="N1585" s="372"/>
      <c r="O1585" s="372"/>
      <c r="P1585" s="372"/>
      <c r="Q1585" s="304"/>
      <c r="R1585" s="304"/>
      <c r="S1585" s="304"/>
      <c r="T1585" s="304"/>
      <c r="U1585" s="304"/>
      <c r="V1585" s="304"/>
      <c r="AL1585" s="372" t="str">
        <f t="shared" si="54"/>
        <v/>
      </c>
    </row>
    <row r="1586" spans="1:38" ht="15" customHeight="1" outlineLevel="1" x14ac:dyDescent="0.2">
      <c r="A1586" s="403"/>
      <c r="B1586" s="403"/>
      <c r="C1586" s="403"/>
      <c r="D1586" s="404"/>
      <c r="E1586" s="405"/>
      <c r="F1586" s="405"/>
      <c r="G1586" s="403"/>
      <c r="H1586" s="406"/>
      <c r="I1586" s="406"/>
      <c r="J1586" s="406"/>
      <c r="K1586" s="304"/>
      <c r="L1586" s="372"/>
      <c r="M1586" s="372"/>
      <c r="N1586" s="372"/>
      <c r="O1586" s="372"/>
      <c r="P1586" s="372"/>
      <c r="Q1586" s="304"/>
      <c r="R1586" s="304"/>
      <c r="S1586" s="304"/>
      <c r="T1586" s="304"/>
      <c r="U1586" s="304"/>
      <c r="V1586" s="304"/>
      <c r="AL1586" s="372" t="str">
        <f t="shared" si="54"/>
        <v/>
      </c>
    </row>
    <row r="1587" spans="1:38" ht="15" customHeight="1" outlineLevel="1" x14ac:dyDescent="0.2">
      <c r="A1587" s="403"/>
      <c r="B1587" s="403"/>
      <c r="C1587" s="403"/>
      <c r="D1587" s="404"/>
      <c r="E1587" s="405"/>
      <c r="F1587" s="405"/>
      <c r="G1587" s="403"/>
      <c r="H1587" s="406"/>
      <c r="I1587" s="406"/>
      <c r="J1587" s="406"/>
      <c r="K1587" s="304"/>
      <c r="L1587" s="372"/>
      <c r="M1587" s="372"/>
      <c r="N1587" s="372"/>
      <c r="O1587" s="372"/>
      <c r="P1587" s="372"/>
      <c r="Q1587" s="304"/>
      <c r="R1587" s="304"/>
      <c r="S1587" s="304"/>
      <c r="T1587" s="304"/>
      <c r="U1587" s="304"/>
      <c r="V1587" s="304"/>
      <c r="AL1587" s="372" t="str">
        <f t="shared" si="54"/>
        <v/>
      </c>
    </row>
    <row r="1588" spans="1:38" ht="15" customHeight="1" outlineLevel="1" x14ac:dyDescent="0.2">
      <c r="A1588" s="403"/>
      <c r="B1588" s="403"/>
      <c r="C1588" s="403"/>
      <c r="D1588" s="404"/>
      <c r="E1588" s="405"/>
      <c r="F1588" s="405"/>
      <c r="G1588" s="403"/>
      <c r="H1588" s="406"/>
      <c r="I1588" s="406"/>
      <c r="J1588" s="406"/>
      <c r="K1588" s="304"/>
      <c r="L1588" s="372"/>
      <c r="M1588" s="372"/>
      <c r="N1588" s="372"/>
      <c r="O1588" s="372"/>
      <c r="P1588" s="372"/>
      <c r="Q1588" s="304"/>
      <c r="R1588" s="304"/>
      <c r="S1588" s="304"/>
      <c r="T1588" s="304"/>
      <c r="U1588" s="304"/>
      <c r="V1588" s="304"/>
      <c r="AL1588" s="372" t="str">
        <f t="shared" si="54"/>
        <v/>
      </c>
    </row>
    <row r="1589" spans="1:38" ht="15" customHeight="1" outlineLevel="1" x14ac:dyDescent="0.2">
      <c r="A1589" s="403"/>
      <c r="B1589" s="403"/>
      <c r="C1589" s="403"/>
      <c r="D1589" s="404"/>
      <c r="E1589" s="405"/>
      <c r="F1589" s="405"/>
      <c r="G1589" s="403"/>
      <c r="H1589" s="406"/>
      <c r="I1589" s="406"/>
      <c r="J1589" s="406"/>
      <c r="K1589" s="304"/>
      <c r="L1589" s="372"/>
      <c r="M1589" s="372"/>
      <c r="N1589" s="372"/>
      <c r="O1589" s="372"/>
      <c r="P1589" s="372"/>
      <c r="Q1589" s="304"/>
      <c r="R1589" s="304"/>
      <c r="S1589" s="304"/>
      <c r="T1589" s="304"/>
      <c r="U1589" s="304"/>
      <c r="V1589" s="304"/>
      <c r="AL1589" s="372" t="str">
        <f t="shared" si="54"/>
        <v/>
      </c>
    </row>
    <row r="1590" spans="1:38" ht="15" customHeight="1" outlineLevel="1" x14ac:dyDescent="0.2">
      <c r="A1590" s="403"/>
      <c r="B1590" s="403"/>
      <c r="C1590" s="403"/>
      <c r="D1590" s="404"/>
      <c r="E1590" s="405"/>
      <c r="F1590" s="405"/>
      <c r="G1590" s="403"/>
      <c r="H1590" s="406"/>
      <c r="I1590" s="406"/>
      <c r="J1590" s="406"/>
      <c r="K1590" s="304"/>
      <c r="L1590" s="372"/>
      <c r="M1590" s="372"/>
      <c r="N1590" s="372"/>
      <c r="O1590" s="372"/>
      <c r="P1590" s="372"/>
      <c r="Q1590" s="304"/>
      <c r="R1590" s="304"/>
      <c r="S1590" s="304"/>
      <c r="T1590" s="304"/>
      <c r="U1590" s="304"/>
      <c r="V1590" s="304"/>
      <c r="AL1590" s="372" t="str">
        <f t="shared" si="54"/>
        <v/>
      </c>
    </row>
    <row r="1591" spans="1:38" ht="15" customHeight="1" outlineLevel="1" x14ac:dyDescent="0.2">
      <c r="A1591" s="403"/>
      <c r="B1591" s="403"/>
      <c r="C1591" s="403"/>
      <c r="D1591" s="404"/>
      <c r="E1591" s="405"/>
      <c r="F1591" s="405"/>
      <c r="G1591" s="403"/>
      <c r="H1591" s="406"/>
      <c r="I1591" s="406"/>
      <c r="J1591" s="406"/>
      <c r="K1591" s="304"/>
      <c r="L1591" s="372"/>
      <c r="M1591" s="372"/>
      <c r="N1591" s="372"/>
      <c r="O1591" s="372"/>
      <c r="P1591" s="372"/>
      <c r="Q1591" s="304"/>
      <c r="R1591" s="304"/>
      <c r="S1591" s="304"/>
      <c r="T1591" s="304"/>
      <c r="U1591" s="304"/>
      <c r="V1591" s="304"/>
      <c r="AL1591" s="372" t="str">
        <f t="shared" si="54"/>
        <v/>
      </c>
    </row>
    <row r="1592" spans="1:38" ht="15" customHeight="1" outlineLevel="1" x14ac:dyDescent="0.2">
      <c r="A1592" s="403"/>
      <c r="B1592" s="403"/>
      <c r="C1592" s="403"/>
      <c r="D1592" s="404"/>
      <c r="E1592" s="405"/>
      <c r="F1592" s="405"/>
      <c r="G1592" s="403"/>
      <c r="H1592" s="406"/>
      <c r="I1592" s="406"/>
      <c r="J1592" s="406"/>
      <c r="K1592" s="304"/>
      <c r="L1592" s="372"/>
      <c r="M1592" s="372"/>
      <c r="N1592" s="372"/>
      <c r="O1592" s="372"/>
      <c r="P1592" s="372"/>
      <c r="Q1592" s="304"/>
      <c r="R1592" s="304"/>
      <c r="S1592" s="304"/>
      <c r="T1592" s="304"/>
      <c r="U1592" s="304"/>
      <c r="V1592" s="304"/>
      <c r="AL1592" s="372" t="str">
        <f t="shared" si="54"/>
        <v/>
      </c>
    </row>
    <row r="1593" spans="1:38" ht="15" customHeight="1" outlineLevel="1" x14ac:dyDescent="0.2">
      <c r="A1593" s="403"/>
      <c r="B1593" s="403"/>
      <c r="C1593" s="403"/>
      <c r="D1593" s="404"/>
      <c r="E1593" s="405"/>
      <c r="F1593" s="405"/>
      <c r="G1593" s="403"/>
      <c r="H1593" s="406"/>
      <c r="I1593" s="406"/>
      <c r="J1593" s="406"/>
      <c r="K1593" s="304"/>
      <c r="L1593" s="372"/>
      <c r="M1593" s="372"/>
      <c r="N1593" s="372"/>
      <c r="O1593" s="372"/>
      <c r="P1593" s="372"/>
      <c r="Q1593" s="304"/>
      <c r="R1593" s="304"/>
      <c r="S1593" s="304"/>
      <c r="T1593" s="304"/>
      <c r="U1593" s="304"/>
      <c r="V1593" s="304"/>
      <c r="AL1593" s="372" t="str">
        <f t="shared" si="54"/>
        <v/>
      </c>
    </row>
    <row r="1594" spans="1:38" ht="15" customHeight="1" outlineLevel="1" x14ac:dyDescent="0.2">
      <c r="A1594" s="403"/>
      <c r="B1594" s="403"/>
      <c r="C1594" s="403"/>
      <c r="D1594" s="404"/>
      <c r="E1594" s="405"/>
      <c r="F1594" s="405"/>
      <c r="G1594" s="403"/>
      <c r="H1594" s="406"/>
      <c r="I1594" s="406"/>
      <c r="J1594" s="406"/>
      <c r="K1594" s="304"/>
      <c r="L1594" s="372"/>
      <c r="M1594" s="372"/>
      <c r="N1594" s="372"/>
      <c r="O1594" s="372"/>
      <c r="P1594" s="372"/>
      <c r="Q1594" s="304"/>
      <c r="R1594" s="304"/>
      <c r="S1594" s="304"/>
      <c r="T1594" s="304"/>
      <c r="U1594" s="304"/>
      <c r="V1594" s="304"/>
      <c r="AL1594" s="372" t="str">
        <f t="shared" si="54"/>
        <v/>
      </c>
    </row>
    <row r="1595" spans="1:38" ht="15" customHeight="1" outlineLevel="1" x14ac:dyDescent="0.2">
      <c r="A1595" s="403"/>
      <c r="B1595" s="403"/>
      <c r="C1595" s="403"/>
      <c r="D1595" s="404"/>
      <c r="E1595" s="405"/>
      <c r="F1595" s="405"/>
      <c r="G1595" s="403"/>
      <c r="H1595" s="406"/>
      <c r="I1595" s="406"/>
      <c r="J1595" s="406"/>
      <c r="K1595" s="304"/>
      <c r="L1595" s="372"/>
      <c r="M1595" s="372"/>
      <c r="N1595" s="372"/>
      <c r="O1595" s="372"/>
      <c r="P1595" s="372"/>
      <c r="Q1595" s="304"/>
      <c r="R1595" s="304"/>
      <c r="S1595" s="304"/>
      <c r="T1595" s="304"/>
      <c r="U1595" s="304"/>
      <c r="V1595" s="304"/>
      <c r="AL1595" s="372" t="str">
        <f t="shared" si="54"/>
        <v/>
      </c>
    </row>
    <row r="1596" spans="1:38" ht="15" customHeight="1" outlineLevel="1" x14ac:dyDescent="0.2">
      <c r="A1596" s="403"/>
      <c r="B1596" s="403"/>
      <c r="C1596" s="403"/>
      <c r="D1596" s="404"/>
      <c r="E1596" s="405"/>
      <c r="F1596" s="405"/>
      <c r="G1596" s="403"/>
      <c r="H1596" s="406"/>
      <c r="I1596" s="406"/>
      <c r="J1596" s="406"/>
      <c r="K1596" s="304"/>
      <c r="L1596" s="372"/>
      <c r="M1596" s="372"/>
      <c r="N1596" s="372"/>
      <c r="O1596" s="372"/>
      <c r="P1596" s="372"/>
      <c r="Q1596" s="304"/>
      <c r="R1596" s="304"/>
      <c r="S1596" s="304"/>
      <c r="T1596" s="304"/>
      <c r="U1596" s="304"/>
      <c r="V1596" s="304"/>
      <c r="AL1596" s="372" t="str">
        <f t="shared" si="54"/>
        <v/>
      </c>
    </row>
    <row r="1597" spans="1:38" ht="15" customHeight="1" outlineLevel="1" x14ac:dyDescent="0.2">
      <c r="A1597" s="403"/>
      <c r="B1597" s="403"/>
      <c r="C1597" s="403"/>
      <c r="D1597" s="404"/>
      <c r="E1597" s="405"/>
      <c r="F1597" s="405"/>
      <c r="G1597" s="403"/>
      <c r="H1597" s="406"/>
      <c r="I1597" s="406"/>
      <c r="J1597" s="406"/>
      <c r="K1597" s="304"/>
      <c r="L1597" s="372"/>
      <c r="M1597" s="372"/>
      <c r="N1597" s="372"/>
      <c r="O1597" s="372"/>
      <c r="P1597" s="372"/>
      <c r="Q1597" s="304"/>
      <c r="R1597" s="304"/>
      <c r="S1597" s="304"/>
      <c r="T1597" s="304"/>
      <c r="U1597" s="304"/>
      <c r="V1597" s="304"/>
      <c r="AL1597" s="372" t="str">
        <f t="shared" si="54"/>
        <v/>
      </c>
    </row>
    <row r="1598" spans="1:38" ht="15" customHeight="1" outlineLevel="1" x14ac:dyDescent="0.2">
      <c r="A1598" s="403"/>
      <c r="B1598" s="403"/>
      <c r="C1598" s="403"/>
      <c r="D1598" s="404"/>
      <c r="E1598" s="405"/>
      <c r="F1598" s="405"/>
      <c r="G1598" s="403"/>
      <c r="H1598" s="406"/>
      <c r="I1598" s="406"/>
      <c r="J1598" s="406"/>
      <c r="K1598" s="304"/>
      <c r="L1598" s="372"/>
      <c r="M1598" s="372"/>
      <c r="N1598" s="372"/>
      <c r="O1598" s="372"/>
      <c r="P1598" s="372"/>
      <c r="Q1598" s="304"/>
      <c r="R1598" s="304"/>
      <c r="S1598" s="304"/>
      <c r="T1598" s="304"/>
      <c r="U1598" s="304"/>
      <c r="V1598" s="304"/>
      <c r="AL1598" s="372" t="str">
        <f t="shared" si="54"/>
        <v/>
      </c>
    </row>
    <row r="1599" spans="1:38" ht="15" customHeight="1" outlineLevel="1" x14ac:dyDescent="0.2">
      <c r="A1599" s="403"/>
      <c r="B1599" s="403"/>
      <c r="C1599" s="403"/>
      <c r="D1599" s="404"/>
      <c r="E1599" s="405"/>
      <c r="F1599" s="405"/>
      <c r="G1599" s="403"/>
      <c r="H1599" s="406"/>
      <c r="I1599" s="406"/>
      <c r="J1599" s="406"/>
      <c r="K1599" s="304"/>
      <c r="L1599" s="372"/>
      <c r="M1599" s="372"/>
      <c r="N1599" s="372"/>
      <c r="O1599" s="372"/>
      <c r="P1599" s="372"/>
      <c r="Q1599" s="304"/>
      <c r="R1599" s="304"/>
      <c r="S1599" s="304"/>
      <c r="T1599" s="304"/>
      <c r="U1599" s="304"/>
      <c r="V1599" s="304"/>
      <c r="AL1599" s="372" t="str">
        <f t="shared" si="54"/>
        <v/>
      </c>
    </row>
    <row r="1600" spans="1:38" ht="15" customHeight="1" outlineLevel="1" x14ac:dyDescent="0.2">
      <c r="A1600" s="403"/>
      <c r="B1600" s="403"/>
      <c r="C1600" s="403"/>
      <c r="D1600" s="404"/>
      <c r="E1600" s="405"/>
      <c r="F1600" s="405"/>
      <c r="G1600" s="403"/>
      <c r="H1600" s="406"/>
      <c r="I1600" s="406"/>
      <c r="J1600" s="406"/>
      <c r="K1600" s="304"/>
      <c r="L1600" s="372"/>
      <c r="M1600" s="372"/>
      <c r="N1600" s="372"/>
      <c r="O1600" s="372"/>
      <c r="P1600" s="372"/>
      <c r="Q1600" s="304"/>
      <c r="R1600" s="304"/>
      <c r="S1600" s="304"/>
      <c r="T1600" s="304"/>
      <c r="U1600" s="304"/>
      <c r="V1600" s="304"/>
      <c r="AL1600" s="372" t="str">
        <f t="shared" si="54"/>
        <v/>
      </c>
    </row>
    <row r="1601" spans="1:38" ht="15" customHeight="1" outlineLevel="1" x14ac:dyDescent="0.2">
      <c r="A1601" s="403"/>
      <c r="B1601" s="403"/>
      <c r="C1601" s="403"/>
      <c r="D1601" s="404"/>
      <c r="E1601" s="405"/>
      <c r="F1601" s="405"/>
      <c r="G1601" s="403"/>
      <c r="H1601" s="406"/>
      <c r="I1601" s="406"/>
      <c r="J1601" s="406"/>
      <c r="K1601" s="304"/>
      <c r="L1601" s="372"/>
      <c r="M1601" s="372"/>
      <c r="N1601" s="372"/>
      <c r="O1601" s="372"/>
      <c r="P1601" s="372"/>
      <c r="Q1601" s="304"/>
      <c r="R1601" s="304"/>
      <c r="S1601" s="304"/>
      <c r="T1601" s="304"/>
      <c r="U1601" s="304"/>
      <c r="V1601" s="304"/>
      <c r="AL1601" s="372" t="str">
        <f t="shared" si="54"/>
        <v/>
      </c>
    </row>
    <row r="1602" spans="1:38" ht="15" customHeight="1" outlineLevel="1" x14ac:dyDescent="0.2">
      <c r="A1602" s="403"/>
      <c r="B1602" s="403"/>
      <c r="C1602" s="403"/>
      <c r="D1602" s="404"/>
      <c r="E1602" s="405"/>
      <c r="F1602" s="405"/>
      <c r="G1602" s="403"/>
      <c r="H1602" s="406"/>
      <c r="I1602" s="406"/>
      <c r="J1602" s="406"/>
      <c r="K1602" s="304"/>
      <c r="L1602" s="372"/>
      <c r="M1602" s="372"/>
      <c r="N1602" s="372"/>
      <c r="O1602" s="372"/>
      <c r="P1602" s="372"/>
      <c r="Q1602" s="304"/>
      <c r="R1602" s="304"/>
      <c r="S1602" s="304"/>
      <c r="T1602" s="304"/>
      <c r="U1602" s="304"/>
      <c r="V1602" s="304"/>
      <c r="AL1602" s="372" t="str">
        <f t="shared" si="54"/>
        <v/>
      </c>
    </row>
    <row r="1603" spans="1:38" ht="15" customHeight="1" outlineLevel="1" x14ac:dyDescent="0.2">
      <c r="A1603" s="403"/>
      <c r="B1603" s="403"/>
      <c r="C1603" s="403"/>
      <c r="D1603" s="404"/>
      <c r="E1603" s="405"/>
      <c r="F1603" s="405"/>
      <c r="G1603" s="403"/>
      <c r="H1603" s="406"/>
      <c r="I1603" s="406"/>
      <c r="J1603" s="406"/>
      <c r="K1603" s="304"/>
      <c r="L1603" s="372"/>
      <c r="M1603" s="372"/>
      <c r="N1603" s="372"/>
      <c r="O1603" s="372"/>
      <c r="P1603" s="372"/>
      <c r="Q1603" s="304"/>
      <c r="R1603" s="304"/>
      <c r="S1603" s="304"/>
      <c r="T1603" s="304"/>
      <c r="U1603" s="304"/>
      <c r="V1603" s="304"/>
      <c r="AL1603" s="372" t="str">
        <f t="shared" si="54"/>
        <v/>
      </c>
    </row>
    <row r="1604" spans="1:38" ht="15" customHeight="1" outlineLevel="1" x14ac:dyDescent="0.2">
      <c r="A1604" s="403"/>
      <c r="B1604" s="403"/>
      <c r="C1604" s="403"/>
      <c r="D1604" s="404"/>
      <c r="E1604" s="405"/>
      <c r="F1604" s="405"/>
      <c r="G1604" s="403"/>
      <c r="H1604" s="406"/>
      <c r="I1604" s="406"/>
      <c r="J1604" s="406"/>
      <c r="K1604" s="304"/>
      <c r="L1604" s="372"/>
      <c r="M1604" s="372"/>
      <c r="N1604" s="372"/>
      <c r="O1604" s="372"/>
      <c r="P1604" s="372"/>
      <c r="Q1604" s="304"/>
      <c r="R1604" s="304"/>
      <c r="S1604" s="304"/>
      <c r="T1604" s="304"/>
      <c r="U1604" s="304"/>
      <c r="V1604" s="304"/>
      <c r="AL1604" s="372" t="str">
        <f t="shared" si="54"/>
        <v/>
      </c>
    </row>
    <row r="1605" spans="1:38" ht="15" customHeight="1" outlineLevel="1" x14ac:dyDescent="0.2">
      <c r="A1605" s="403"/>
      <c r="B1605" s="403"/>
      <c r="C1605" s="403"/>
      <c r="D1605" s="404"/>
      <c r="E1605" s="405"/>
      <c r="F1605" s="405"/>
      <c r="G1605" s="403"/>
      <c r="H1605" s="406"/>
      <c r="I1605" s="406"/>
      <c r="J1605" s="406"/>
      <c r="K1605" s="304"/>
      <c r="L1605" s="372"/>
      <c r="M1605" s="372"/>
      <c r="N1605" s="372"/>
      <c r="O1605" s="372"/>
      <c r="P1605" s="372"/>
      <c r="Q1605" s="304"/>
      <c r="R1605" s="304"/>
      <c r="S1605" s="304"/>
      <c r="T1605" s="304"/>
      <c r="U1605" s="304"/>
      <c r="V1605" s="304"/>
      <c r="AL1605" s="372" t="str">
        <f t="shared" si="54"/>
        <v/>
      </c>
    </row>
    <row r="1606" spans="1:38" ht="15" customHeight="1" outlineLevel="1" x14ac:dyDescent="0.2">
      <c r="A1606" s="403"/>
      <c r="B1606" s="403"/>
      <c r="C1606" s="403"/>
      <c r="D1606" s="404"/>
      <c r="E1606" s="405"/>
      <c r="F1606" s="405"/>
      <c r="G1606" s="403"/>
      <c r="H1606" s="406"/>
      <c r="I1606" s="406"/>
      <c r="J1606" s="406"/>
      <c r="K1606" s="304"/>
      <c r="L1606" s="372"/>
      <c r="M1606" s="372"/>
      <c r="N1606" s="372"/>
      <c r="O1606" s="372"/>
      <c r="P1606" s="372"/>
      <c r="Q1606" s="304"/>
      <c r="R1606" s="304"/>
      <c r="S1606" s="304"/>
      <c r="T1606" s="304"/>
      <c r="U1606" s="304"/>
      <c r="V1606" s="304"/>
      <c r="AL1606" s="372" t="str">
        <f t="shared" si="54"/>
        <v/>
      </c>
    </row>
    <row r="1607" spans="1:38" ht="15" customHeight="1" outlineLevel="1" x14ac:dyDescent="0.2">
      <c r="A1607" s="403"/>
      <c r="B1607" s="403"/>
      <c r="C1607" s="403"/>
      <c r="D1607" s="404"/>
      <c r="E1607" s="405"/>
      <c r="F1607" s="405"/>
      <c r="G1607" s="403"/>
      <c r="H1607" s="406"/>
      <c r="I1607" s="406"/>
      <c r="J1607" s="406"/>
      <c r="K1607" s="304"/>
      <c r="L1607" s="372"/>
      <c r="M1607" s="372"/>
      <c r="N1607" s="372"/>
      <c r="O1607" s="372"/>
      <c r="P1607" s="372"/>
      <c r="Q1607" s="304"/>
      <c r="R1607" s="304"/>
      <c r="S1607" s="304"/>
      <c r="T1607" s="304"/>
      <c r="U1607" s="304"/>
      <c r="V1607" s="304"/>
      <c r="AL1607" s="372" t="str">
        <f t="shared" si="54"/>
        <v/>
      </c>
    </row>
    <row r="1608" spans="1:38" ht="15" customHeight="1" outlineLevel="1" x14ac:dyDescent="0.2">
      <c r="A1608" s="403"/>
      <c r="B1608" s="403"/>
      <c r="C1608" s="403"/>
      <c r="D1608" s="404"/>
      <c r="E1608" s="405"/>
      <c r="F1608" s="405"/>
      <c r="G1608" s="403"/>
      <c r="H1608" s="406"/>
      <c r="I1608" s="406"/>
      <c r="J1608" s="406"/>
      <c r="K1608" s="304"/>
      <c r="L1608" s="372"/>
      <c r="M1608" s="372"/>
      <c r="N1608" s="372"/>
      <c r="O1608" s="372"/>
      <c r="P1608" s="372"/>
      <c r="Q1608" s="304"/>
      <c r="R1608" s="304"/>
      <c r="S1608" s="304"/>
      <c r="T1608" s="304"/>
      <c r="U1608" s="304"/>
      <c r="V1608" s="304"/>
      <c r="AL1608" s="372" t="str">
        <f t="shared" si="54"/>
        <v/>
      </c>
    </row>
    <row r="1609" spans="1:38" ht="15" customHeight="1" outlineLevel="1" x14ac:dyDescent="0.2">
      <c r="A1609" s="403"/>
      <c r="B1609" s="403"/>
      <c r="C1609" s="403"/>
      <c r="D1609" s="404"/>
      <c r="E1609" s="405"/>
      <c r="F1609" s="405"/>
      <c r="G1609" s="403"/>
      <c r="H1609" s="406"/>
      <c r="I1609" s="406"/>
      <c r="J1609" s="406"/>
      <c r="K1609" s="304"/>
      <c r="L1609" s="372"/>
      <c r="M1609" s="372"/>
      <c r="N1609" s="372"/>
      <c r="O1609" s="372"/>
      <c r="P1609" s="372"/>
      <c r="Q1609" s="304"/>
      <c r="R1609" s="304"/>
      <c r="S1609" s="304"/>
      <c r="T1609" s="304"/>
      <c r="U1609" s="304"/>
      <c r="V1609" s="304"/>
      <c r="AL1609" s="372" t="str">
        <f t="shared" si="54"/>
        <v/>
      </c>
    </row>
    <row r="1610" spans="1:38" ht="15" customHeight="1" outlineLevel="1" x14ac:dyDescent="0.2">
      <c r="A1610" s="403"/>
      <c r="B1610" s="403"/>
      <c r="C1610" s="403"/>
      <c r="D1610" s="404"/>
      <c r="E1610" s="405"/>
      <c r="F1610" s="405"/>
      <c r="G1610" s="403"/>
      <c r="H1610" s="406"/>
      <c r="I1610" s="406"/>
      <c r="J1610" s="406"/>
      <c r="K1610" s="304"/>
      <c r="L1610" s="372"/>
      <c r="M1610" s="372"/>
      <c r="N1610" s="372"/>
      <c r="O1610" s="372"/>
      <c r="P1610" s="372"/>
      <c r="Q1610" s="304"/>
      <c r="R1610" s="304"/>
      <c r="S1610" s="304"/>
      <c r="T1610" s="304"/>
      <c r="U1610" s="304"/>
      <c r="V1610" s="304"/>
      <c r="AL1610" s="372" t="str">
        <f t="shared" si="54"/>
        <v/>
      </c>
    </row>
    <row r="1611" spans="1:38" ht="15" customHeight="1" outlineLevel="1" x14ac:dyDescent="0.2">
      <c r="A1611" s="403"/>
      <c r="B1611" s="403"/>
      <c r="C1611" s="403"/>
      <c r="D1611" s="404"/>
      <c r="E1611" s="405"/>
      <c r="F1611" s="405"/>
      <c r="G1611" s="403"/>
      <c r="H1611" s="406"/>
      <c r="I1611" s="406"/>
      <c r="J1611" s="406"/>
      <c r="K1611" s="304"/>
      <c r="L1611" s="372"/>
      <c r="M1611" s="372"/>
      <c r="N1611" s="372"/>
      <c r="O1611" s="372"/>
      <c r="P1611" s="372"/>
      <c r="Q1611" s="304"/>
      <c r="R1611" s="304"/>
      <c r="S1611" s="304"/>
      <c r="T1611" s="304"/>
      <c r="U1611" s="304"/>
      <c r="V1611" s="304"/>
      <c r="AL1611" s="372" t="str">
        <f t="shared" si="54"/>
        <v/>
      </c>
    </row>
    <row r="1612" spans="1:38" ht="15" customHeight="1" outlineLevel="1" x14ac:dyDescent="0.2">
      <c r="A1612" s="403"/>
      <c r="B1612" s="403"/>
      <c r="C1612" s="403"/>
      <c r="D1612" s="404"/>
      <c r="E1612" s="405"/>
      <c r="F1612" s="405"/>
      <c r="G1612" s="403"/>
      <c r="H1612" s="406"/>
      <c r="I1612" s="406"/>
      <c r="J1612" s="406"/>
      <c r="K1612" s="304"/>
      <c r="L1612" s="372"/>
      <c r="M1612" s="372"/>
      <c r="N1612" s="372"/>
      <c r="O1612" s="372"/>
      <c r="P1612" s="372"/>
      <c r="Q1612" s="304"/>
      <c r="R1612" s="304"/>
      <c r="S1612" s="304"/>
      <c r="T1612" s="304"/>
      <c r="U1612" s="304"/>
      <c r="V1612" s="304"/>
      <c r="AL1612" s="372" t="str">
        <f t="shared" si="54"/>
        <v/>
      </c>
    </row>
    <row r="1613" spans="1:38" ht="15" customHeight="1" outlineLevel="1" x14ac:dyDescent="0.2">
      <c r="A1613" s="403"/>
      <c r="B1613" s="403"/>
      <c r="C1613" s="403"/>
      <c r="D1613" s="404"/>
      <c r="E1613" s="405"/>
      <c r="F1613" s="405"/>
      <c r="G1613" s="403"/>
      <c r="H1613" s="406"/>
      <c r="I1613" s="406"/>
      <c r="J1613" s="406"/>
      <c r="K1613" s="304"/>
      <c r="L1613" s="372"/>
      <c r="M1613" s="372"/>
      <c r="N1613" s="372"/>
      <c r="O1613" s="372"/>
      <c r="P1613" s="372"/>
      <c r="Q1613" s="304"/>
      <c r="R1613" s="304"/>
      <c r="S1613" s="304"/>
      <c r="T1613" s="304"/>
      <c r="U1613" s="304"/>
      <c r="V1613" s="304"/>
      <c r="AL1613" s="372" t="str">
        <f t="shared" si="54"/>
        <v/>
      </c>
    </row>
    <row r="1614" spans="1:38" ht="15" customHeight="1" outlineLevel="1" x14ac:dyDescent="0.2">
      <c r="A1614" s="403"/>
      <c r="B1614" s="403"/>
      <c r="C1614" s="403"/>
      <c r="D1614" s="404"/>
      <c r="E1614" s="405"/>
      <c r="F1614" s="405"/>
      <c r="G1614" s="403"/>
      <c r="H1614" s="406"/>
      <c r="I1614" s="406"/>
      <c r="J1614" s="406"/>
      <c r="K1614" s="304"/>
      <c r="L1614" s="372"/>
      <c r="M1614" s="372"/>
      <c r="N1614" s="372"/>
      <c r="O1614" s="372"/>
      <c r="P1614" s="372"/>
      <c r="Q1614" s="304"/>
      <c r="R1614" s="304"/>
      <c r="S1614" s="304"/>
      <c r="T1614" s="304"/>
      <c r="U1614" s="304"/>
      <c r="V1614" s="304"/>
      <c r="AL1614" s="372" t="str">
        <f t="shared" si="54"/>
        <v/>
      </c>
    </row>
    <row r="1615" spans="1:38" ht="15" customHeight="1" outlineLevel="1" x14ac:dyDescent="0.2">
      <c r="A1615" s="403"/>
      <c r="B1615" s="403"/>
      <c r="C1615" s="403"/>
      <c r="D1615" s="404"/>
      <c r="E1615" s="405"/>
      <c r="F1615" s="405"/>
      <c r="G1615" s="403"/>
      <c r="H1615" s="406"/>
      <c r="I1615" s="406"/>
      <c r="J1615" s="406"/>
      <c r="K1615" s="304"/>
      <c r="L1615" s="372"/>
      <c r="M1615" s="372"/>
      <c r="N1615" s="372"/>
      <c r="O1615" s="372"/>
      <c r="P1615" s="372"/>
      <c r="Q1615" s="304"/>
      <c r="R1615" s="304"/>
      <c r="S1615" s="304"/>
      <c r="T1615" s="304"/>
      <c r="U1615" s="304"/>
      <c r="V1615" s="304"/>
      <c r="AL1615" s="372" t="str">
        <f t="shared" si="54"/>
        <v/>
      </c>
    </row>
    <row r="1616" spans="1:38" ht="15" customHeight="1" outlineLevel="1" x14ac:dyDescent="0.2">
      <c r="A1616" s="403"/>
      <c r="B1616" s="403"/>
      <c r="C1616" s="403"/>
      <c r="D1616" s="404"/>
      <c r="E1616" s="405"/>
      <c r="F1616" s="405"/>
      <c r="G1616" s="403"/>
      <c r="H1616" s="406"/>
      <c r="I1616" s="406"/>
      <c r="J1616" s="406"/>
      <c r="K1616" s="304"/>
      <c r="L1616" s="372"/>
      <c r="M1616" s="372"/>
      <c r="N1616" s="372"/>
      <c r="O1616" s="372"/>
      <c r="P1616" s="372"/>
      <c r="Q1616" s="304"/>
      <c r="R1616" s="304"/>
      <c r="S1616" s="304"/>
      <c r="T1616" s="304"/>
      <c r="U1616" s="304"/>
      <c r="V1616" s="304"/>
      <c r="AL1616" s="372" t="str">
        <f t="shared" si="54"/>
        <v/>
      </c>
    </row>
    <row r="1617" spans="1:38" ht="15" customHeight="1" outlineLevel="1" x14ac:dyDescent="0.2">
      <c r="A1617" s="403"/>
      <c r="B1617" s="403"/>
      <c r="C1617" s="403"/>
      <c r="D1617" s="404"/>
      <c r="E1617" s="405"/>
      <c r="F1617" s="405"/>
      <c r="G1617" s="403"/>
      <c r="H1617" s="406"/>
      <c r="I1617" s="406"/>
      <c r="J1617" s="406"/>
      <c r="K1617" s="304"/>
      <c r="L1617" s="372"/>
      <c r="M1617" s="372"/>
      <c r="N1617" s="372"/>
      <c r="O1617" s="372"/>
      <c r="P1617" s="372"/>
      <c r="Q1617" s="304"/>
      <c r="R1617" s="304"/>
      <c r="S1617" s="304"/>
      <c r="T1617" s="304"/>
      <c r="U1617" s="304"/>
      <c r="V1617" s="304"/>
      <c r="AL1617" s="372" t="str">
        <f t="shared" ref="AL1617:AL1680" si="55">IF(($C1617=$AG$245)*($N1617&gt;0)*ISNUMBER($I1617),$I1617*100000+ROW(),"")</f>
        <v/>
      </c>
    </row>
    <row r="1618" spans="1:38" ht="15" customHeight="1" outlineLevel="1" x14ac:dyDescent="0.2">
      <c r="A1618" s="403"/>
      <c r="B1618" s="403"/>
      <c r="C1618" s="403"/>
      <c r="D1618" s="404"/>
      <c r="E1618" s="405"/>
      <c r="F1618" s="405"/>
      <c r="G1618" s="403"/>
      <c r="H1618" s="406"/>
      <c r="I1618" s="406"/>
      <c r="J1618" s="406"/>
      <c r="K1618" s="304"/>
      <c r="L1618" s="372"/>
      <c r="M1618" s="372"/>
      <c r="N1618" s="372"/>
      <c r="O1618" s="372"/>
      <c r="P1618" s="372"/>
      <c r="Q1618" s="304"/>
      <c r="R1618" s="304"/>
      <c r="S1618" s="304"/>
      <c r="T1618" s="304"/>
      <c r="U1618" s="304"/>
      <c r="V1618" s="304"/>
      <c r="AL1618" s="372" t="str">
        <f t="shared" si="55"/>
        <v/>
      </c>
    </row>
    <row r="1619" spans="1:38" ht="15" customHeight="1" outlineLevel="1" x14ac:dyDescent="0.2">
      <c r="A1619" s="403"/>
      <c r="B1619" s="403"/>
      <c r="C1619" s="403"/>
      <c r="D1619" s="404"/>
      <c r="E1619" s="405"/>
      <c r="F1619" s="405"/>
      <c r="G1619" s="403"/>
      <c r="H1619" s="406"/>
      <c r="I1619" s="406"/>
      <c r="J1619" s="406"/>
      <c r="K1619" s="304"/>
      <c r="L1619" s="372"/>
      <c r="M1619" s="372"/>
      <c r="N1619" s="372"/>
      <c r="O1619" s="372"/>
      <c r="P1619" s="372"/>
      <c r="Q1619" s="304"/>
      <c r="R1619" s="304"/>
      <c r="S1619" s="304"/>
      <c r="T1619" s="304"/>
      <c r="U1619" s="304"/>
      <c r="V1619" s="304"/>
      <c r="AL1619" s="372" t="str">
        <f t="shared" si="55"/>
        <v/>
      </c>
    </row>
    <row r="1620" spans="1:38" ht="15" customHeight="1" outlineLevel="1" x14ac:dyDescent="0.2">
      <c r="A1620" s="403"/>
      <c r="B1620" s="403"/>
      <c r="C1620" s="403"/>
      <c r="D1620" s="404"/>
      <c r="E1620" s="405"/>
      <c r="F1620" s="405"/>
      <c r="G1620" s="403"/>
      <c r="H1620" s="406"/>
      <c r="I1620" s="406"/>
      <c r="J1620" s="406"/>
      <c r="K1620" s="304"/>
      <c r="L1620" s="372"/>
      <c r="M1620" s="372"/>
      <c r="N1620" s="372"/>
      <c r="O1620" s="372"/>
      <c r="P1620" s="372"/>
      <c r="Q1620" s="304"/>
      <c r="R1620" s="304"/>
      <c r="S1620" s="304"/>
      <c r="T1620" s="304"/>
      <c r="U1620" s="304"/>
      <c r="V1620" s="304"/>
      <c r="AL1620" s="372" t="str">
        <f t="shared" si="55"/>
        <v/>
      </c>
    </row>
    <row r="1621" spans="1:38" ht="15" customHeight="1" outlineLevel="1" x14ac:dyDescent="0.2">
      <c r="A1621" s="403"/>
      <c r="B1621" s="403"/>
      <c r="C1621" s="403"/>
      <c r="D1621" s="404"/>
      <c r="E1621" s="405"/>
      <c r="F1621" s="405"/>
      <c r="G1621" s="403"/>
      <c r="H1621" s="406"/>
      <c r="I1621" s="406"/>
      <c r="J1621" s="406"/>
      <c r="K1621" s="304"/>
      <c r="L1621" s="372"/>
      <c r="M1621" s="372"/>
      <c r="N1621" s="372"/>
      <c r="O1621" s="372"/>
      <c r="P1621" s="372"/>
      <c r="Q1621" s="304"/>
      <c r="R1621" s="304"/>
      <c r="S1621" s="304"/>
      <c r="T1621" s="304"/>
      <c r="U1621" s="304"/>
      <c r="V1621" s="304"/>
      <c r="AL1621" s="372" t="str">
        <f t="shared" si="55"/>
        <v/>
      </c>
    </row>
    <row r="1622" spans="1:38" ht="15" customHeight="1" outlineLevel="1" x14ac:dyDescent="0.2">
      <c r="A1622" s="403"/>
      <c r="B1622" s="403"/>
      <c r="C1622" s="403"/>
      <c r="D1622" s="404"/>
      <c r="E1622" s="405"/>
      <c r="F1622" s="405"/>
      <c r="G1622" s="403"/>
      <c r="H1622" s="406"/>
      <c r="I1622" s="406"/>
      <c r="J1622" s="406"/>
      <c r="K1622" s="304"/>
      <c r="L1622" s="372"/>
      <c r="M1622" s="372"/>
      <c r="N1622" s="372"/>
      <c r="O1622" s="372"/>
      <c r="P1622" s="372"/>
      <c r="Q1622" s="304"/>
      <c r="R1622" s="304"/>
      <c r="S1622" s="304"/>
      <c r="T1622" s="304"/>
      <c r="U1622" s="304"/>
      <c r="V1622" s="304"/>
      <c r="AL1622" s="372" t="str">
        <f t="shared" si="55"/>
        <v/>
      </c>
    </row>
    <row r="1623" spans="1:38" ht="15" customHeight="1" outlineLevel="1" x14ac:dyDescent="0.2">
      <c r="A1623" s="403"/>
      <c r="B1623" s="403"/>
      <c r="C1623" s="403"/>
      <c r="D1623" s="404"/>
      <c r="E1623" s="405"/>
      <c r="F1623" s="405"/>
      <c r="G1623" s="403"/>
      <c r="H1623" s="406"/>
      <c r="I1623" s="406"/>
      <c r="J1623" s="406"/>
      <c r="K1623" s="304"/>
      <c r="L1623" s="372"/>
      <c r="M1623" s="372"/>
      <c r="N1623" s="372"/>
      <c r="O1623" s="372"/>
      <c r="P1623" s="372"/>
      <c r="Q1623" s="304"/>
      <c r="R1623" s="304"/>
      <c r="S1623" s="304"/>
      <c r="T1623" s="304"/>
      <c r="U1623" s="304"/>
      <c r="V1623" s="304"/>
      <c r="AL1623" s="372" t="str">
        <f t="shared" si="55"/>
        <v/>
      </c>
    </row>
    <row r="1624" spans="1:38" ht="15" customHeight="1" outlineLevel="1" x14ac:dyDescent="0.2">
      <c r="A1624" s="403"/>
      <c r="B1624" s="403"/>
      <c r="C1624" s="403"/>
      <c r="D1624" s="404"/>
      <c r="E1624" s="405"/>
      <c r="F1624" s="405"/>
      <c r="G1624" s="403"/>
      <c r="H1624" s="406"/>
      <c r="I1624" s="406"/>
      <c r="J1624" s="406"/>
      <c r="K1624" s="304"/>
      <c r="L1624" s="372"/>
      <c r="M1624" s="372"/>
      <c r="N1624" s="372"/>
      <c r="O1624" s="372"/>
      <c r="P1624" s="372"/>
      <c r="Q1624" s="304"/>
      <c r="R1624" s="304"/>
      <c r="S1624" s="304"/>
      <c r="T1624" s="304"/>
      <c r="U1624" s="304"/>
      <c r="V1624" s="304"/>
      <c r="AL1624" s="372" t="str">
        <f t="shared" si="55"/>
        <v/>
      </c>
    </row>
    <row r="1625" spans="1:38" ht="15" customHeight="1" outlineLevel="1" x14ac:dyDescent="0.2">
      <c r="A1625" s="403"/>
      <c r="B1625" s="403"/>
      <c r="C1625" s="403"/>
      <c r="D1625" s="404"/>
      <c r="E1625" s="405"/>
      <c r="F1625" s="405"/>
      <c r="G1625" s="403"/>
      <c r="H1625" s="406"/>
      <c r="I1625" s="406"/>
      <c r="J1625" s="406"/>
      <c r="K1625" s="304"/>
      <c r="L1625" s="372"/>
      <c r="M1625" s="372"/>
      <c r="N1625" s="372"/>
      <c r="O1625" s="372"/>
      <c r="P1625" s="372"/>
      <c r="Q1625" s="304"/>
      <c r="R1625" s="304"/>
      <c r="S1625" s="304"/>
      <c r="T1625" s="304"/>
      <c r="U1625" s="304"/>
      <c r="V1625" s="304"/>
      <c r="AL1625" s="372" t="str">
        <f t="shared" si="55"/>
        <v/>
      </c>
    </row>
    <row r="1626" spans="1:38" ht="15" customHeight="1" outlineLevel="1" x14ac:dyDescent="0.2">
      <c r="A1626" s="403"/>
      <c r="B1626" s="403"/>
      <c r="C1626" s="403"/>
      <c r="D1626" s="404"/>
      <c r="E1626" s="405"/>
      <c r="F1626" s="405"/>
      <c r="G1626" s="403"/>
      <c r="H1626" s="406"/>
      <c r="I1626" s="406"/>
      <c r="J1626" s="406"/>
      <c r="K1626" s="304"/>
      <c r="L1626" s="372"/>
      <c r="M1626" s="372"/>
      <c r="N1626" s="372"/>
      <c r="O1626" s="372"/>
      <c r="P1626" s="372"/>
      <c r="Q1626" s="304"/>
      <c r="R1626" s="304"/>
      <c r="S1626" s="304"/>
      <c r="T1626" s="304"/>
      <c r="U1626" s="304"/>
      <c r="V1626" s="304"/>
      <c r="AL1626" s="372" t="str">
        <f t="shared" si="55"/>
        <v/>
      </c>
    </row>
    <row r="1627" spans="1:38" ht="15" customHeight="1" outlineLevel="1" x14ac:dyDescent="0.2">
      <c r="A1627" s="403"/>
      <c r="B1627" s="403"/>
      <c r="C1627" s="403"/>
      <c r="D1627" s="404"/>
      <c r="E1627" s="405"/>
      <c r="F1627" s="405"/>
      <c r="G1627" s="403"/>
      <c r="H1627" s="406"/>
      <c r="I1627" s="406"/>
      <c r="J1627" s="406"/>
      <c r="K1627" s="304"/>
      <c r="L1627" s="372"/>
      <c r="M1627" s="372"/>
      <c r="N1627" s="372"/>
      <c r="O1627" s="372"/>
      <c r="P1627" s="372"/>
      <c r="Q1627" s="304"/>
      <c r="R1627" s="304"/>
      <c r="S1627" s="304"/>
      <c r="T1627" s="304"/>
      <c r="U1627" s="304"/>
      <c r="V1627" s="304"/>
      <c r="AL1627" s="372" t="str">
        <f t="shared" si="55"/>
        <v/>
      </c>
    </row>
    <row r="1628" spans="1:38" ht="15" customHeight="1" outlineLevel="1" x14ac:dyDescent="0.2">
      <c r="A1628" s="403"/>
      <c r="B1628" s="403"/>
      <c r="C1628" s="403"/>
      <c r="D1628" s="404"/>
      <c r="E1628" s="405"/>
      <c r="F1628" s="405"/>
      <c r="G1628" s="403"/>
      <c r="H1628" s="406"/>
      <c r="I1628" s="406"/>
      <c r="J1628" s="406"/>
      <c r="K1628" s="304"/>
      <c r="L1628" s="372"/>
      <c r="M1628" s="372"/>
      <c r="N1628" s="372"/>
      <c r="O1628" s="372"/>
      <c r="P1628" s="372"/>
      <c r="Q1628" s="304"/>
      <c r="R1628" s="304"/>
      <c r="S1628" s="304"/>
      <c r="T1628" s="304"/>
      <c r="U1628" s="304"/>
      <c r="V1628" s="304"/>
      <c r="AL1628" s="372" t="str">
        <f t="shared" si="55"/>
        <v/>
      </c>
    </row>
    <row r="1629" spans="1:38" ht="15" customHeight="1" outlineLevel="1" x14ac:dyDescent="0.2">
      <c r="A1629" s="403"/>
      <c r="B1629" s="403"/>
      <c r="C1629" s="403"/>
      <c r="D1629" s="404"/>
      <c r="E1629" s="405"/>
      <c r="F1629" s="405"/>
      <c r="G1629" s="403"/>
      <c r="H1629" s="406"/>
      <c r="I1629" s="406"/>
      <c r="J1629" s="406"/>
      <c r="K1629" s="304"/>
      <c r="L1629" s="372"/>
      <c r="M1629" s="372"/>
      <c r="N1629" s="372"/>
      <c r="O1629" s="372"/>
      <c r="P1629" s="372"/>
      <c r="Q1629" s="304"/>
      <c r="R1629" s="304"/>
      <c r="S1629" s="304"/>
      <c r="T1629" s="304"/>
      <c r="U1629" s="304"/>
      <c r="V1629" s="304"/>
      <c r="AL1629" s="372" t="str">
        <f t="shared" si="55"/>
        <v/>
      </c>
    </row>
    <row r="1630" spans="1:38" ht="15" customHeight="1" outlineLevel="1" x14ac:dyDescent="0.2">
      <c r="A1630" s="403"/>
      <c r="B1630" s="403"/>
      <c r="C1630" s="403"/>
      <c r="D1630" s="404"/>
      <c r="E1630" s="405"/>
      <c r="F1630" s="405"/>
      <c r="G1630" s="403"/>
      <c r="H1630" s="406"/>
      <c r="I1630" s="406"/>
      <c r="J1630" s="406"/>
      <c r="K1630" s="304"/>
      <c r="L1630" s="372"/>
      <c r="M1630" s="372"/>
      <c r="N1630" s="372"/>
      <c r="O1630" s="372"/>
      <c r="P1630" s="372"/>
      <c r="Q1630" s="304"/>
      <c r="R1630" s="304"/>
      <c r="S1630" s="304"/>
      <c r="T1630" s="304"/>
      <c r="U1630" s="304"/>
      <c r="V1630" s="304"/>
      <c r="AL1630" s="372" t="str">
        <f t="shared" si="55"/>
        <v/>
      </c>
    </row>
    <row r="1631" spans="1:38" ht="15" customHeight="1" outlineLevel="1" x14ac:dyDescent="0.2">
      <c r="A1631" s="403"/>
      <c r="B1631" s="403"/>
      <c r="C1631" s="403"/>
      <c r="D1631" s="404"/>
      <c r="E1631" s="405"/>
      <c r="F1631" s="405"/>
      <c r="G1631" s="403"/>
      <c r="H1631" s="406"/>
      <c r="I1631" s="406"/>
      <c r="J1631" s="406"/>
      <c r="K1631" s="304"/>
      <c r="L1631" s="372"/>
      <c r="M1631" s="372"/>
      <c r="N1631" s="372"/>
      <c r="O1631" s="372"/>
      <c r="P1631" s="372"/>
      <c r="Q1631" s="304"/>
      <c r="R1631" s="304"/>
      <c r="S1631" s="304"/>
      <c r="T1631" s="304"/>
      <c r="U1631" s="304"/>
      <c r="V1631" s="304"/>
      <c r="AL1631" s="372" t="str">
        <f t="shared" si="55"/>
        <v/>
      </c>
    </row>
    <row r="1632" spans="1:38" ht="15" customHeight="1" outlineLevel="1" x14ac:dyDescent="0.2">
      <c r="A1632" s="403"/>
      <c r="B1632" s="403"/>
      <c r="C1632" s="403"/>
      <c r="D1632" s="404"/>
      <c r="E1632" s="405"/>
      <c r="F1632" s="405"/>
      <c r="G1632" s="403"/>
      <c r="H1632" s="406"/>
      <c r="I1632" s="406"/>
      <c r="J1632" s="406"/>
      <c r="K1632" s="304"/>
      <c r="L1632" s="372"/>
      <c r="M1632" s="372"/>
      <c r="N1632" s="372"/>
      <c r="O1632" s="372"/>
      <c r="P1632" s="372"/>
      <c r="Q1632" s="304"/>
      <c r="R1632" s="304"/>
      <c r="S1632" s="304"/>
      <c r="T1632" s="304"/>
      <c r="U1632" s="304"/>
      <c r="V1632" s="304"/>
      <c r="AL1632" s="372" t="str">
        <f t="shared" si="55"/>
        <v/>
      </c>
    </row>
    <row r="1633" spans="1:38" ht="15" customHeight="1" outlineLevel="1" x14ac:dyDescent="0.2">
      <c r="A1633" s="403"/>
      <c r="B1633" s="403"/>
      <c r="C1633" s="403"/>
      <c r="D1633" s="404"/>
      <c r="E1633" s="405"/>
      <c r="F1633" s="405"/>
      <c r="G1633" s="403"/>
      <c r="H1633" s="406"/>
      <c r="I1633" s="406"/>
      <c r="J1633" s="406"/>
      <c r="K1633" s="304"/>
      <c r="L1633" s="372"/>
      <c r="M1633" s="372"/>
      <c r="N1633" s="372"/>
      <c r="O1633" s="372"/>
      <c r="P1633" s="372"/>
      <c r="Q1633" s="304"/>
      <c r="R1633" s="304"/>
      <c r="S1633" s="304"/>
      <c r="T1633" s="304"/>
      <c r="U1633" s="304"/>
      <c r="V1633" s="304"/>
      <c r="AL1633" s="372" t="str">
        <f t="shared" si="55"/>
        <v/>
      </c>
    </row>
    <row r="1634" spans="1:38" ht="15" customHeight="1" outlineLevel="1" x14ac:dyDescent="0.2">
      <c r="A1634" s="403"/>
      <c r="B1634" s="403"/>
      <c r="C1634" s="403"/>
      <c r="D1634" s="404"/>
      <c r="E1634" s="405"/>
      <c r="F1634" s="405"/>
      <c r="G1634" s="403"/>
      <c r="H1634" s="406"/>
      <c r="I1634" s="406"/>
      <c r="J1634" s="406"/>
      <c r="K1634" s="304"/>
      <c r="L1634" s="372"/>
      <c r="M1634" s="372"/>
      <c r="N1634" s="372"/>
      <c r="O1634" s="372"/>
      <c r="P1634" s="372"/>
      <c r="Q1634" s="304"/>
      <c r="R1634" s="304"/>
      <c r="S1634" s="304"/>
      <c r="T1634" s="304"/>
      <c r="U1634" s="304"/>
      <c r="V1634" s="304"/>
      <c r="AL1634" s="372" t="str">
        <f t="shared" si="55"/>
        <v/>
      </c>
    </row>
    <row r="1635" spans="1:38" ht="15" customHeight="1" outlineLevel="1" x14ac:dyDescent="0.2">
      <c r="A1635" s="403"/>
      <c r="B1635" s="403"/>
      <c r="C1635" s="403"/>
      <c r="D1635" s="404"/>
      <c r="E1635" s="405"/>
      <c r="F1635" s="405"/>
      <c r="G1635" s="403"/>
      <c r="H1635" s="406"/>
      <c r="I1635" s="406"/>
      <c r="J1635" s="406"/>
      <c r="K1635" s="304"/>
      <c r="L1635" s="372"/>
      <c r="M1635" s="372"/>
      <c r="N1635" s="372"/>
      <c r="O1635" s="372"/>
      <c r="P1635" s="372"/>
      <c r="Q1635" s="304"/>
      <c r="R1635" s="304"/>
      <c r="S1635" s="304"/>
      <c r="T1635" s="304"/>
      <c r="U1635" s="304"/>
      <c r="V1635" s="304"/>
      <c r="AL1635" s="372" t="str">
        <f t="shared" si="55"/>
        <v/>
      </c>
    </row>
    <row r="1636" spans="1:38" ht="15" customHeight="1" outlineLevel="1" x14ac:dyDescent="0.2">
      <c r="A1636" s="403"/>
      <c r="B1636" s="403"/>
      <c r="C1636" s="403"/>
      <c r="D1636" s="404"/>
      <c r="E1636" s="405"/>
      <c r="F1636" s="405"/>
      <c r="G1636" s="403"/>
      <c r="H1636" s="406"/>
      <c r="I1636" s="406"/>
      <c r="J1636" s="406"/>
      <c r="K1636" s="304"/>
      <c r="L1636" s="372"/>
      <c r="M1636" s="372"/>
      <c r="N1636" s="372"/>
      <c r="O1636" s="372"/>
      <c r="P1636" s="372"/>
      <c r="Q1636" s="304"/>
      <c r="R1636" s="304"/>
      <c r="S1636" s="304"/>
      <c r="T1636" s="304"/>
      <c r="U1636" s="304"/>
      <c r="V1636" s="304"/>
      <c r="AL1636" s="372" t="str">
        <f t="shared" si="55"/>
        <v/>
      </c>
    </row>
    <row r="1637" spans="1:38" ht="15" customHeight="1" outlineLevel="1" x14ac:dyDescent="0.2">
      <c r="A1637" s="403"/>
      <c r="B1637" s="403"/>
      <c r="C1637" s="403"/>
      <c r="D1637" s="404"/>
      <c r="E1637" s="405"/>
      <c r="F1637" s="405"/>
      <c r="G1637" s="403"/>
      <c r="H1637" s="406"/>
      <c r="I1637" s="406"/>
      <c r="J1637" s="406"/>
      <c r="K1637" s="304"/>
      <c r="L1637" s="372"/>
      <c r="M1637" s="372"/>
      <c r="N1637" s="372"/>
      <c r="O1637" s="372"/>
      <c r="P1637" s="372"/>
      <c r="Q1637" s="304"/>
      <c r="R1637" s="304"/>
      <c r="S1637" s="304"/>
      <c r="T1637" s="304"/>
      <c r="U1637" s="304"/>
      <c r="V1637" s="304"/>
      <c r="AL1637" s="372" t="str">
        <f t="shared" si="55"/>
        <v/>
      </c>
    </row>
    <row r="1638" spans="1:38" ht="15" customHeight="1" outlineLevel="1" x14ac:dyDescent="0.2">
      <c r="A1638" s="403"/>
      <c r="B1638" s="403"/>
      <c r="C1638" s="403"/>
      <c r="D1638" s="404"/>
      <c r="E1638" s="405"/>
      <c r="F1638" s="405"/>
      <c r="G1638" s="403"/>
      <c r="H1638" s="406"/>
      <c r="I1638" s="406"/>
      <c r="J1638" s="406"/>
      <c r="K1638" s="304"/>
      <c r="L1638" s="372"/>
      <c r="M1638" s="372"/>
      <c r="N1638" s="372"/>
      <c r="O1638" s="372"/>
      <c r="P1638" s="372"/>
      <c r="Q1638" s="304"/>
      <c r="R1638" s="304"/>
      <c r="S1638" s="304"/>
      <c r="T1638" s="304"/>
      <c r="U1638" s="304"/>
      <c r="V1638" s="304"/>
      <c r="AL1638" s="372" t="str">
        <f t="shared" si="55"/>
        <v/>
      </c>
    </row>
    <row r="1639" spans="1:38" ht="15" customHeight="1" outlineLevel="1" x14ac:dyDescent="0.2">
      <c r="A1639" s="403"/>
      <c r="B1639" s="403"/>
      <c r="C1639" s="403"/>
      <c r="D1639" s="404"/>
      <c r="E1639" s="405"/>
      <c r="F1639" s="405"/>
      <c r="G1639" s="403"/>
      <c r="H1639" s="406"/>
      <c r="I1639" s="406"/>
      <c r="J1639" s="406"/>
      <c r="K1639" s="304"/>
      <c r="L1639" s="372"/>
      <c r="M1639" s="372"/>
      <c r="N1639" s="372"/>
      <c r="O1639" s="372"/>
      <c r="P1639" s="372"/>
      <c r="Q1639" s="304"/>
      <c r="R1639" s="304"/>
      <c r="S1639" s="304"/>
      <c r="T1639" s="304"/>
      <c r="U1639" s="304"/>
      <c r="V1639" s="304"/>
      <c r="AL1639" s="372" t="str">
        <f t="shared" si="55"/>
        <v/>
      </c>
    </row>
    <row r="1640" spans="1:38" ht="15" customHeight="1" outlineLevel="1" x14ac:dyDescent="0.2">
      <c r="A1640" s="403"/>
      <c r="B1640" s="403"/>
      <c r="C1640" s="403"/>
      <c r="D1640" s="404"/>
      <c r="E1640" s="405"/>
      <c r="F1640" s="405"/>
      <c r="G1640" s="403"/>
      <c r="H1640" s="406"/>
      <c r="I1640" s="406"/>
      <c r="J1640" s="406"/>
      <c r="K1640" s="304"/>
      <c r="L1640" s="372"/>
      <c r="M1640" s="372"/>
      <c r="N1640" s="372"/>
      <c r="O1640" s="372"/>
      <c r="P1640" s="372"/>
      <c r="Q1640" s="304"/>
      <c r="R1640" s="304"/>
      <c r="S1640" s="304"/>
      <c r="T1640" s="304"/>
      <c r="U1640" s="304"/>
      <c r="V1640" s="304"/>
      <c r="AL1640" s="372" t="str">
        <f t="shared" si="55"/>
        <v/>
      </c>
    </row>
    <row r="1641" spans="1:38" ht="15" customHeight="1" outlineLevel="1" x14ac:dyDescent="0.2">
      <c r="A1641" s="403"/>
      <c r="B1641" s="403"/>
      <c r="C1641" s="403"/>
      <c r="D1641" s="404"/>
      <c r="E1641" s="405"/>
      <c r="F1641" s="405"/>
      <c r="G1641" s="403"/>
      <c r="H1641" s="406"/>
      <c r="I1641" s="406"/>
      <c r="J1641" s="406"/>
      <c r="K1641" s="304"/>
      <c r="L1641" s="372"/>
      <c r="M1641" s="372"/>
      <c r="N1641" s="372"/>
      <c r="O1641" s="372"/>
      <c r="P1641" s="372"/>
      <c r="Q1641" s="304"/>
      <c r="R1641" s="304"/>
      <c r="S1641" s="304"/>
      <c r="T1641" s="304"/>
      <c r="U1641" s="304"/>
      <c r="V1641" s="304"/>
      <c r="AL1641" s="372" t="str">
        <f t="shared" si="55"/>
        <v/>
      </c>
    </row>
    <row r="1642" spans="1:38" ht="15" customHeight="1" outlineLevel="1" x14ac:dyDescent="0.2">
      <c r="A1642" s="403"/>
      <c r="B1642" s="403"/>
      <c r="C1642" s="403"/>
      <c r="D1642" s="404"/>
      <c r="E1642" s="405"/>
      <c r="F1642" s="405"/>
      <c r="G1642" s="403"/>
      <c r="H1642" s="406"/>
      <c r="I1642" s="406"/>
      <c r="J1642" s="406"/>
      <c r="K1642" s="304"/>
      <c r="L1642" s="372"/>
      <c r="M1642" s="372"/>
      <c r="N1642" s="372"/>
      <c r="O1642" s="372"/>
      <c r="P1642" s="372"/>
      <c r="Q1642" s="304"/>
      <c r="R1642" s="304"/>
      <c r="S1642" s="304"/>
      <c r="T1642" s="304"/>
      <c r="U1642" s="304"/>
      <c r="V1642" s="304"/>
      <c r="AL1642" s="372" t="str">
        <f t="shared" si="55"/>
        <v/>
      </c>
    </row>
    <row r="1643" spans="1:38" ht="15" customHeight="1" outlineLevel="1" x14ac:dyDescent="0.2">
      <c r="A1643" s="403"/>
      <c r="B1643" s="403"/>
      <c r="C1643" s="403"/>
      <c r="D1643" s="404"/>
      <c r="E1643" s="405"/>
      <c r="F1643" s="405"/>
      <c r="G1643" s="403"/>
      <c r="H1643" s="406"/>
      <c r="I1643" s="406"/>
      <c r="J1643" s="406"/>
      <c r="K1643" s="304"/>
      <c r="L1643" s="372"/>
      <c r="M1643" s="372"/>
      <c r="N1643" s="372"/>
      <c r="O1643" s="372"/>
      <c r="P1643" s="372"/>
      <c r="Q1643" s="304"/>
      <c r="R1643" s="304"/>
      <c r="S1643" s="304"/>
      <c r="T1643" s="304"/>
      <c r="U1643" s="304"/>
      <c r="V1643" s="304"/>
      <c r="AL1643" s="372" t="str">
        <f t="shared" si="55"/>
        <v/>
      </c>
    </row>
    <row r="1644" spans="1:38" ht="15" customHeight="1" outlineLevel="1" x14ac:dyDescent="0.2">
      <c r="A1644" s="403"/>
      <c r="B1644" s="403"/>
      <c r="C1644" s="403"/>
      <c r="D1644" s="404"/>
      <c r="E1644" s="405"/>
      <c r="F1644" s="405"/>
      <c r="G1644" s="403"/>
      <c r="H1644" s="406"/>
      <c r="I1644" s="406"/>
      <c r="J1644" s="406"/>
      <c r="K1644" s="304"/>
      <c r="L1644" s="372"/>
      <c r="M1644" s="372"/>
      <c r="N1644" s="372"/>
      <c r="O1644" s="372"/>
      <c r="P1644" s="372"/>
      <c r="Q1644" s="304"/>
      <c r="R1644" s="304"/>
      <c r="S1644" s="304"/>
      <c r="T1644" s="304"/>
      <c r="U1644" s="304"/>
      <c r="V1644" s="304"/>
      <c r="AL1644" s="372" t="str">
        <f t="shared" si="55"/>
        <v/>
      </c>
    </row>
    <row r="1645" spans="1:38" ht="15" customHeight="1" outlineLevel="1" x14ac:dyDescent="0.2">
      <c r="A1645" s="403"/>
      <c r="B1645" s="403"/>
      <c r="C1645" s="403"/>
      <c r="D1645" s="404"/>
      <c r="E1645" s="405"/>
      <c r="F1645" s="405"/>
      <c r="G1645" s="403"/>
      <c r="H1645" s="406"/>
      <c r="I1645" s="406"/>
      <c r="J1645" s="406"/>
      <c r="K1645" s="304"/>
      <c r="L1645" s="372"/>
      <c r="M1645" s="372"/>
      <c r="N1645" s="372"/>
      <c r="O1645" s="372"/>
      <c r="P1645" s="372"/>
      <c r="Q1645" s="304"/>
      <c r="R1645" s="304"/>
      <c r="S1645" s="304"/>
      <c r="T1645" s="304"/>
      <c r="U1645" s="304"/>
      <c r="V1645" s="304"/>
      <c r="AL1645" s="372" t="str">
        <f t="shared" si="55"/>
        <v/>
      </c>
    </row>
    <row r="1646" spans="1:38" ht="15" customHeight="1" outlineLevel="1" x14ac:dyDescent="0.2">
      <c r="A1646" s="403"/>
      <c r="B1646" s="403"/>
      <c r="C1646" s="403"/>
      <c r="D1646" s="404"/>
      <c r="E1646" s="405"/>
      <c r="F1646" s="405"/>
      <c r="G1646" s="403"/>
      <c r="H1646" s="406"/>
      <c r="I1646" s="406"/>
      <c r="J1646" s="406"/>
      <c r="K1646" s="304"/>
      <c r="L1646" s="372"/>
      <c r="M1646" s="372"/>
      <c r="N1646" s="372"/>
      <c r="O1646" s="372"/>
      <c r="P1646" s="372"/>
      <c r="Q1646" s="304"/>
      <c r="R1646" s="304"/>
      <c r="S1646" s="304"/>
      <c r="T1646" s="304"/>
      <c r="U1646" s="304"/>
      <c r="V1646" s="304"/>
      <c r="AL1646" s="372" t="str">
        <f t="shared" si="55"/>
        <v/>
      </c>
    </row>
    <row r="1647" spans="1:38" ht="15" customHeight="1" outlineLevel="1" x14ac:dyDescent="0.2">
      <c r="A1647" s="403"/>
      <c r="B1647" s="403"/>
      <c r="C1647" s="403"/>
      <c r="D1647" s="404"/>
      <c r="E1647" s="405"/>
      <c r="F1647" s="405"/>
      <c r="G1647" s="403"/>
      <c r="H1647" s="406"/>
      <c r="I1647" s="406"/>
      <c r="J1647" s="406"/>
      <c r="K1647" s="304"/>
      <c r="L1647" s="372"/>
      <c r="M1647" s="372"/>
      <c r="N1647" s="372"/>
      <c r="O1647" s="372"/>
      <c r="P1647" s="372"/>
      <c r="Q1647" s="304"/>
      <c r="R1647" s="304"/>
      <c r="S1647" s="304"/>
      <c r="T1647" s="304"/>
      <c r="U1647" s="304"/>
      <c r="V1647" s="304"/>
      <c r="AL1647" s="372" t="str">
        <f t="shared" si="55"/>
        <v/>
      </c>
    </row>
    <row r="1648" spans="1:38" ht="15" customHeight="1" outlineLevel="1" x14ac:dyDescent="0.2">
      <c r="A1648" s="403"/>
      <c r="B1648" s="403"/>
      <c r="C1648" s="403"/>
      <c r="D1648" s="404"/>
      <c r="E1648" s="405"/>
      <c r="F1648" s="405"/>
      <c r="G1648" s="403"/>
      <c r="H1648" s="406"/>
      <c r="I1648" s="406"/>
      <c r="J1648" s="406"/>
      <c r="K1648" s="304"/>
      <c r="L1648" s="372"/>
      <c r="M1648" s="372"/>
      <c r="N1648" s="372"/>
      <c r="O1648" s="372"/>
      <c r="P1648" s="372"/>
      <c r="Q1648" s="304"/>
      <c r="R1648" s="304"/>
      <c r="S1648" s="304"/>
      <c r="T1648" s="304"/>
      <c r="U1648" s="304"/>
      <c r="V1648" s="304"/>
      <c r="AL1648" s="372" t="str">
        <f t="shared" si="55"/>
        <v/>
      </c>
    </row>
    <row r="1649" spans="1:38" ht="15" customHeight="1" outlineLevel="1" x14ac:dyDescent="0.2">
      <c r="A1649" s="403"/>
      <c r="B1649" s="403"/>
      <c r="C1649" s="403"/>
      <c r="D1649" s="404"/>
      <c r="E1649" s="405"/>
      <c r="F1649" s="405"/>
      <c r="G1649" s="403"/>
      <c r="H1649" s="406"/>
      <c r="I1649" s="406"/>
      <c r="J1649" s="406"/>
      <c r="K1649" s="304"/>
      <c r="L1649" s="372"/>
      <c r="M1649" s="372"/>
      <c r="N1649" s="372"/>
      <c r="O1649" s="372"/>
      <c r="P1649" s="372"/>
      <c r="Q1649" s="304"/>
      <c r="R1649" s="304"/>
      <c r="S1649" s="304"/>
      <c r="T1649" s="304"/>
      <c r="U1649" s="304"/>
      <c r="V1649" s="304"/>
      <c r="AL1649" s="372" t="str">
        <f t="shared" si="55"/>
        <v/>
      </c>
    </row>
    <row r="1650" spans="1:38" ht="15" customHeight="1" outlineLevel="1" x14ac:dyDescent="0.2">
      <c r="A1650" s="403"/>
      <c r="B1650" s="403"/>
      <c r="C1650" s="403"/>
      <c r="D1650" s="404"/>
      <c r="E1650" s="405"/>
      <c r="F1650" s="405"/>
      <c r="G1650" s="403"/>
      <c r="H1650" s="406"/>
      <c r="I1650" s="406"/>
      <c r="J1650" s="406"/>
      <c r="K1650" s="304"/>
      <c r="L1650" s="372"/>
      <c r="M1650" s="372"/>
      <c r="N1650" s="372"/>
      <c r="O1650" s="372"/>
      <c r="P1650" s="372"/>
      <c r="Q1650" s="304"/>
      <c r="R1650" s="304"/>
      <c r="S1650" s="304"/>
      <c r="T1650" s="304"/>
      <c r="U1650" s="304"/>
      <c r="V1650" s="304"/>
      <c r="AL1650" s="372" t="str">
        <f t="shared" si="55"/>
        <v/>
      </c>
    </row>
    <row r="1651" spans="1:38" ht="15" customHeight="1" outlineLevel="1" x14ac:dyDescent="0.2">
      <c r="A1651" s="403"/>
      <c r="B1651" s="403"/>
      <c r="C1651" s="403"/>
      <c r="D1651" s="404"/>
      <c r="E1651" s="405"/>
      <c r="F1651" s="405"/>
      <c r="G1651" s="403"/>
      <c r="H1651" s="406"/>
      <c r="I1651" s="406"/>
      <c r="J1651" s="406"/>
      <c r="K1651" s="304"/>
      <c r="L1651" s="372"/>
      <c r="M1651" s="372"/>
      <c r="N1651" s="372"/>
      <c r="O1651" s="372"/>
      <c r="P1651" s="372"/>
      <c r="Q1651" s="304"/>
      <c r="R1651" s="304"/>
      <c r="S1651" s="304"/>
      <c r="T1651" s="304"/>
      <c r="U1651" s="304"/>
      <c r="V1651" s="304"/>
      <c r="AL1651" s="372" t="str">
        <f t="shared" si="55"/>
        <v/>
      </c>
    </row>
    <row r="1652" spans="1:38" ht="15" customHeight="1" outlineLevel="1" x14ac:dyDescent="0.2">
      <c r="A1652" s="403"/>
      <c r="B1652" s="403"/>
      <c r="C1652" s="403"/>
      <c r="D1652" s="404"/>
      <c r="E1652" s="405"/>
      <c r="F1652" s="405"/>
      <c r="G1652" s="403"/>
      <c r="H1652" s="406"/>
      <c r="I1652" s="406"/>
      <c r="J1652" s="406"/>
      <c r="K1652" s="304"/>
      <c r="L1652" s="372"/>
      <c r="M1652" s="372"/>
      <c r="N1652" s="372"/>
      <c r="O1652" s="372"/>
      <c r="P1652" s="372"/>
      <c r="Q1652" s="304"/>
      <c r="R1652" s="304"/>
      <c r="S1652" s="304"/>
      <c r="T1652" s="304"/>
      <c r="U1652" s="304"/>
      <c r="V1652" s="304"/>
      <c r="AL1652" s="372" t="str">
        <f t="shared" si="55"/>
        <v/>
      </c>
    </row>
    <row r="1653" spans="1:38" ht="15" customHeight="1" outlineLevel="1" x14ac:dyDescent="0.2">
      <c r="A1653" s="403"/>
      <c r="B1653" s="403"/>
      <c r="C1653" s="403"/>
      <c r="D1653" s="404"/>
      <c r="E1653" s="405"/>
      <c r="F1653" s="405"/>
      <c r="G1653" s="403"/>
      <c r="H1653" s="406"/>
      <c r="I1653" s="406"/>
      <c r="J1653" s="406"/>
      <c r="K1653" s="304"/>
      <c r="L1653" s="372"/>
      <c r="M1653" s="372"/>
      <c r="N1653" s="372"/>
      <c r="O1653" s="372"/>
      <c r="P1653" s="372"/>
      <c r="Q1653" s="304"/>
      <c r="R1653" s="304"/>
      <c r="S1653" s="304"/>
      <c r="T1653" s="304"/>
      <c r="U1653" s="304"/>
      <c r="V1653" s="304"/>
      <c r="AL1653" s="372" t="str">
        <f t="shared" si="55"/>
        <v/>
      </c>
    </row>
    <row r="1654" spans="1:38" ht="15" customHeight="1" outlineLevel="1" x14ac:dyDescent="0.2">
      <c r="A1654" s="403"/>
      <c r="B1654" s="403"/>
      <c r="C1654" s="403"/>
      <c r="D1654" s="404"/>
      <c r="E1654" s="405"/>
      <c r="F1654" s="405"/>
      <c r="G1654" s="403"/>
      <c r="H1654" s="406"/>
      <c r="I1654" s="406"/>
      <c r="J1654" s="406"/>
      <c r="K1654" s="304"/>
      <c r="L1654" s="372"/>
      <c r="M1654" s="372"/>
      <c r="N1654" s="372"/>
      <c r="O1654" s="372"/>
      <c r="P1654" s="372"/>
      <c r="Q1654" s="304"/>
      <c r="R1654" s="304"/>
      <c r="S1654" s="304"/>
      <c r="T1654" s="304"/>
      <c r="U1654" s="304"/>
      <c r="V1654" s="304"/>
      <c r="AL1654" s="372" t="str">
        <f t="shared" si="55"/>
        <v/>
      </c>
    </row>
    <row r="1655" spans="1:38" ht="15" customHeight="1" outlineLevel="1" x14ac:dyDescent="0.2">
      <c r="A1655" s="403"/>
      <c r="B1655" s="403"/>
      <c r="C1655" s="403"/>
      <c r="D1655" s="404"/>
      <c r="E1655" s="405"/>
      <c r="F1655" s="405"/>
      <c r="G1655" s="403"/>
      <c r="H1655" s="406"/>
      <c r="I1655" s="406"/>
      <c r="J1655" s="406"/>
      <c r="K1655" s="304"/>
      <c r="L1655" s="372"/>
      <c r="M1655" s="372"/>
      <c r="N1655" s="372"/>
      <c r="O1655" s="372"/>
      <c r="P1655" s="372"/>
      <c r="Q1655" s="304"/>
      <c r="R1655" s="304"/>
      <c r="S1655" s="304"/>
      <c r="T1655" s="304"/>
      <c r="U1655" s="304"/>
      <c r="V1655" s="304"/>
      <c r="AL1655" s="372" t="str">
        <f t="shared" si="55"/>
        <v/>
      </c>
    </row>
    <row r="1656" spans="1:38" ht="15" customHeight="1" outlineLevel="1" x14ac:dyDescent="0.2">
      <c r="A1656" s="403"/>
      <c r="B1656" s="403"/>
      <c r="C1656" s="403"/>
      <c r="D1656" s="404"/>
      <c r="E1656" s="405"/>
      <c r="F1656" s="405"/>
      <c r="G1656" s="403"/>
      <c r="H1656" s="406"/>
      <c r="I1656" s="406"/>
      <c r="J1656" s="406"/>
      <c r="K1656" s="304"/>
      <c r="L1656" s="372"/>
      <c r="M1656" s="372"/>
      <c r="N1656" s="372"/>
      <c r="O1656" s="372"/>
      <c r="P1656" s="372"/>
      <c r="Q1656" s="304"/>
      <c r="R1656" s="304"/>
      <c r="S1656" s="304"/>
      <c r="T1656" s="304"/>
      <c r="U1656" s="304"/>
      <c r="V1656" s="304"/>
      <c r="AL1656" s="372" t="str">
        <f t="shared" si="55"/>
        <v/>
      </c>
    </row>
    <row r="1657" spans="1:38" ht="15" customHeight="1" outlineLevel="1" x14ac:dyDescent="0.2">
      <c r="A1657" s="403"/>
      <c r="B1657" s="403"/>
      <c r="C1657" s="403"/>
      <c r="D1657" s="404"/>
      <c r="E1657" s="405"/>
      <c r="F1657" s="405"/>
      <c r="G1657" s="403"/>
      <c r="H1657" s="406"/>
      <c r="I1657" s="406"/>
      <c r="J1657" s="406"/>
      <c r="K1657" s="304"/>
      <c r="L1657" s="372"/>
      <c r="M1657" s="372"/>
      <c r="N1657" s="372"/>
      <c r="O1657" s="372"/>
      <c r="P1657" s="372"/>
      <c r="Q1657" s="304"/>
      <c r="R1657" s="304"/>
      <c r="S1657" s="304"/>
      <c r="T1657" s="304"/>
      <c r="U1657" s="304"/>
      <c r="V1657" s="304"/>
      <c r="AL1657" s="372" t="str">
        <f t="shared" si="55"/>
        <v/>
      </c>
    </row>
    <row r="1658" spans="1:38" ht="15" customHeight="1" outlineLevel="1" x14ac:dyDescent="0.2">
      <c r="A1658" s="403"/>
      <c r="B1658" s="403"/>
      <c r="C1658" s="403"/>
      <c r="D1658" s="404"/>
      <c r="E1658" s="405"/>
      <c r="F1658" s="405"/>
      <c r="G1658" s="403"/>
      <c r="H1658" s="406"/>
      <c r="I1658" s="406"/>
      <c r="J1658" s="406"/>
      <c r="K1658" s="304"/>
      <c r="L1658" s="372"/>
      <c r="M1658" s="372"/>
      <c r="N1658" s="372"/>
      <c r="O1658" s="372"/>
      <c r="P1658" s="372"/>
      <c r="Q1658" s="304"/>
      <c r="R1658" s="304"/>
      <c r="S1658" s="304"/>
      <c r="T1658" s="304"/>
      <c r="U1658" s="304"/>
      <c r="V1658" s="304"/>
      <c r="AL1658" s="372" t="str">
        <f t="shared" si="55"/>
        <v/>
      </c>
    </row>
    <row r="1659" spans="1:38" ht="15" customHeight="1" outlineLevel="1" x14ac:dyDescent="0.2">
      <c r="A1659" s="403"/>
      <c r="B1659" s="403"/>
      <c r="C1659" s="403"/>
      <c r="D1659" s="404"/>
      <c r="E1659" s="405"/>
      <c r="F1659" s="405"/>
      <c r="G1659" s="403"/>
      <c r="H1659" s="406"/>
      <c r="I1659" s="406"/>
      <c r="J1659" s="406"/>
      <c r="K1659" s="304"/>
      <c r="L1659" s="372"/>
      <c r="M1659" s="372"/>
      <c r="N1659" s="372"/>
      <c r="O1659" s="372"/>
      <c r="P1659" s="372"/>
      <c r="Q1659" s="304"/>
      <c r="R1659" s="304"/>
      <c r="S1659" s="304"/>
      <c r="T1659" s="304"/>
      <c r="U1659" s="304"/>
      <c r="V1659" s="304"/>
      <c r="AL1659" s="372" t="str">
        <f t="shared" si="55"/>
        <v/>
      </c>
    </row>
    <row r="1660" spans="1:38" ht="15" customHeight="1" outlineLevel="1" x14ac:dyDescent="0.2">
      <c r="A1660" s="403"/>
      <c r="B1660" s="403"/>
      <c r="C1660" s="403"/>
      <c r="D1660" s="404"/>
      <c r="E1660" s="405"/>
      <c r="F1660" s="405"/>
      <c r="G1660" s="403"/>
      <c r="H1660" s="406"/>
      <c r="I1660" s="406"/>
      <c r="J1660" s="406"/>
      <c r="K1660" s="304"/>
      <c r="L1660" s="372"/>
      <c r="M1660" s="372"/>
      <c r="N1660" s="372"/>
      <c r="O1660" s="372"/>
      <c r="P1660" s="372"/>
      <c r="Q1660" s="304"/>
      <c r="R1660" s="304"/>
      <c r="S1660" s="304"/>
      <c r="T1660" s="304"/>
      <c r="U1660" s="304"/>
      <c r="V1660" s="304"/>
      <c r="AL1660" s="372" t="str">
        <f t="shared" si="55"/>
        <v/>
      </c>
    </row>
    <row r="1661" spans="1:38" ht="15" customHeight="1" outlineLevel="1" x14ac:dyDescent="0.2">
      <c r="A1661" s="403"/>
      <c r="B1661" s="403"/>
      <c r="C1661" s="403"/>
      <c r="D1661" s="404"/>
      <c r="E1661" s="405"/>
      <c r="F1661" s="405"/>
      <c r="G1661" s="403"/>
      <c r="H1661" s="406"/>
      <c r="I1661" s="406"/>
      <c r="J1661" s="406"/>
      <c r="K1661" s="304"/>
      <c r="L1661" s="372"/>
      <c r="M1661" s="372"/>
      <c r="N1661" s="372"/>
      <c r="O1661" s="372"/>
      <c r="P1661" s="372"/>
      <c r="Q1661" s="304"/>
      <c r="R1661" s="304"/>
      <c r="S1661" s="304"/>
      <c r="T1661" s="304"/>
      <c r="U1661" s="304"/>
      <c r="V1661" s="304"/>
      <c r="AL1661" s="372" t="str">
        <f t="shared" si="55"/>
        <v/>
      </c>
    </row>
    <row r="1662" spans="1:38" ht="15" customHeight="1" outlineLevel="1" x14ac:dyDescent="0.2">
      <c r="A1662" s="403"/>
      <c r="B1662" s="403"/>
      <c r="C1662" s="403"/>
      <c r="D1662" s="404"/>
      <c r="E1662" s="405"/>
      <c r="F1662" s="405"/>
      <c r="G1662" s="403"/>
      <c r="H1662" s="406"/>
      <c r="I1662" s="406"/>
      <c r="J1662" s="406"/>
      <c r="K1662" s="304"/>
      <c r="L1662" s="372"/>
      <c r="M1662" s="372"/>
      <c r="N1662" s="372"/>
      <c r="O1662" s="372"/>
      <c r="P1662" s="372"/>
      <c r="Q1662" s="304"/>
      <c r="R1662" s="304"/>
      <c r="S1662" s="304"/>
      <c r="T1662" s="304"/>
      <c r="U1662" s="304"/>
      <c r="V1662" s="304"/>
      <c r="AL1662" s="372" t="str">
        <f t="shared" si="55"/>
        <v/>
      </c>
    </row>
    <row r="1663" spans="1:38" ht="15" customHeight="1" outlineLevel="1" x14ac:dyDescent="0.2">
      <c r="A1663" s="403"/>
      <c r="B1663" s="403"/>
      <c r="C1663" s="403"/>
      <c r="D1663" s="404"/>
      <c r="E1663" s="405"/>
      <c r="F1663" s="405"/>
      <c r="G1663" s="403"/>
      <c r="H1663" s="406"/>
      <c r="I1663" s="406"/>
      <c r="J1663" s="406"/>
      <c r="K1663" s="304"/>
      <c r="L1663" s="372"/>
      <c r="M1663" s="372"/>
      <c r="N1663" s="372"/>
      <c r="O1663" s="372"/>
      <c r="P1663" s="372"/>
      <c r="Q1663" s="304"/>
      <c r="R1663" s="304"/>
      <c r="S1663" s="304"/>
      <c r="T1663" s="304"/>
      <c r="U1663" s="304"/>
      <c r="V1663" s="304"/>
      <c r="AL1663" s="372" t="str">
        <f t="shared" si="55"/>
        <v/>
      </c>
    </row>
    <row r="1664" spans="1:38" ht="15" customHeight="1" outlineLevel="1" x14ac:dyDescent="0.2">
      <c r="A1664" s="403"/>
      <c r="B1664" s="403"/>
      <c r="C1664" s="403"/>
      <c r="D1664" s="404"/>
      <c r="E1664" s="405"/>
      <c r="F1664" s="405"/>
      <c r="G1664" s="403"/>
      <c r="H1664" s="406"/>
      <c r="I1664" s="406"/>
      <c r="J1664" s="406"/>
      <c r="K1664" s="304"/>
      <c r="L1664" s="372"/>
      <c r="M1664" s="372"/>
      <c r="N1664" s="372"/>
      <c r="O1664" s="372"/>
      <c r="P1664" s="372"/>
      <c r="Q1664" s="304"/>
      <c r="R1664" s="304"/>
      <c r="S1664" s="304"/>
      <c r="T1664" s="304"/>
      <c r="U1664" s="304"/>
      <c r="V1664" s="304"/>
      <c r="AL1664" s="372" t="str">
        <f t="shared" si="55"/>
        <v/>
      </c>
    </row>
    <row r="1665" spans="1:38" ht="15" customHeight="1" outlineLevel="1" x14ac:dyDescent="0.2">
      <c r="A1665" s="403"/>
      <c r="B1665" s="403"/>
      <c r="C1665" s="403"/>
      <c r="D1665" s="404"/>
      <c r="E1665" s="405"/>
      <c r="F1665" s="405"/>
      <c r="G1665" s="403"/>
      <c r="H1665" s="406"/>
      <c r="I1665" s="406"/>
      <c r="J1665" s="406"/>
      <c r="K1665" s="304"/>
      <c r="L1665" s="372"/>
      <c r="M1665" s="372"/>
      <c r="N1665" s="372"/>
      <c r="O1665" s="372"/>
      <c r="P1665" s="372"/>
      <c r="Q1665" s="304"/>
      <c r="R1665" s="304"/>
      <c r="S1665" s="304"/>
      <c r="T1665" s="304"/>
      <c r="U1665" s="304"/>
      <c r="V1665" s="304"/>
      <c r="AL1665" s="372" t="str">
        <f t="shared" si="55"/>
        <v/>
      </c>
    </row>
    <row r="1666" spans="1:38" ht="15" customHeight="1" outlineLevel="1" x14ac:dyDescent="0.2">
      <c r="A1666" s="403"/>
      <c r="B1666" s="403"/>
      <c r="C1666" s="403"/>
      <c r="D1666" s="404"/>
      <c r="E1666" s="405"/>
      <c r="F1666" s="405"/>
      <c r="G1666" s="403"/>
      <c r="H1666" s="406"/>
      <c r="I1666" s="406"/>
      <c r="J1666" s="406"/>
      <c r="K1666" s="304"/>
      <c r="L1666" s="372"/>
      <c r="M1666" s="372"/>
      <c r="N1666" s="372"/>
      <c r="O1666" s="372"/>
      <c r="P1666" s="372"/>
      <c r="Q1666" s="304"/>
      <c r="R1666" s="304"/>
      <c r="S1666" s="304"/>
      <c r="T1666" s="304"/>
      <c r="U1666" s="304"/>
      <c r="V1666" s="304"/>
      <c r="AL1666" s="372" t="str">
        <f t="shared" si="55"/>
        <v/>
      </c>
    </row>
    <row r="1667" spans="1:38" ht="15" customHeight="1" outlineLevel="1" x14ac:dyDescent="0.2">
      <c r="A1667" s="403"/>
      <c r="B1667" s="403"/>
      <c r="C1667" s="403"/>
      <c r="D1667" s="404"/>
      <c r="E1667" s="405"/>
      <c r="F1667" s="405"/>
      <c r="G1667" s="403"/>
      <c r="H1667" s="406"/>
      <c r="I1667" s="406"/>
      <c r="J1667" s="406"/>
      <c r="K1667" s="304"/>
      <c r="L1667" s="372"/>
      <c r="M1667" s="372"/>
      <c r="N1667" s="372"/>
      <c r="O1667" s="372"/>
      <c r="P1667" s="372"/>
      <c r="Q1667" s="304"/>
      <c r="R1667" s="304"/>
      <c r="S1667" s="304"/>
      <c r="T1667" s="304"/>
      <c r="U1667" s="304"/>
      <c r="V1667" s="304"/>
      <c r="AL1667" s="372" t="str">
        <f t="shared" si="55"/>
        <v/>
      </c>
    </row>
    <row r="1668" spans="1:38" ht="15" customHeight="1" outlineLevel="1" x14ac:dyDescent="0.2">
      <c r="A1668" s="403"/>
      <c r="B1668" s="403"/>
      <c r="C1668" s="403"/>
      <c r="D1668" s="404"/>
      <c r="E1668" s="405"/>
      <c r="F1668" s="405"/>
      <c r="G1668" s="403"/>
      <c r="H1668" s="406"/>
      <c r="I1668" s="406"/>
      <c r="J1668" s="406"/>
      <c r="K1668" s="304"/>
      <c r="L1668" s="372"/>
      <c r="M1668" s="372"/>
      <c r="N1668" s="372"/>
      <c r="O1668" s="372"/>
      <c r="P1668" s="372"/>
      <c r="Q1668" s="304"/>
      <c r="R1668" s="304"/>
      <c r="S1668" s="304"/>
      <c r="T1668" s="304"/>
      <c r="U1668" s="304"/>
      <c r="V1668" s="304"/>
      <c r="AL1668" s="372" t="str">
        <f t="shared" si="55"/>
        <v/>
      </c>
    </row>
    <row r="1669" spans="1:38" ht="15" customHeight="1" outlineLevel="1" x14ac:dyDescent="0.2">
      <c r="A1669" s="403"/>
      <c r="B1669" s="403"/>
      <c r="C1669" s="403"/>
      <c r="D1669" s="404"/>
      <c r="E1669" s="405"/>
      <c r="F1669" s="405"/>
      <c r="G1669" s="403"/>
      <c r="H1669" s="406"/>
      <c r="I1669" s="406"/>
      <c r="J1669" s="406"/>
      <c r="K1669" s="304"/>
      <c r="L1669" s="372"/>
      <c r="M1669" s="372"/>
      <c r="N1669" s="372"/>
      <c r="O1669" s="372"/>
      <c r="P1669" s="372"/>
      <c r="Q1669" s="304"/>
      <c r="R1669" s="304"/>
      <c r="S1669" s="304"/>
      <c r="T1669" s="304"/>
      <c r="U1669" s="304"/>
      <c r="V1669" s="304"/>
      <c r="AL1669" s="372" t="str">
        <f t="shared" si="55"/>
        <v/>
      </c>
    </row>
    <row r="1670" spans="1:38" ht="15" customHeight="1" outlineLevel="1" x14ac:dyDescent="0.2">
      <c r="A1670" s="403"/>
      <c r="B1670" s="403"/>
      <c r="C1670" s="403"/>
      <c r="D1670" s="404"/>
      <c r="E1670" s="405"/>
      <c r="F1670" s="405"/>
      <c r="G1670" s="403"/>
      <c r="H1670" s="406"/>
      <c r="I1670" s="406"/>
      <c r="J1670" s="406"/>
      <c r="K1670" s="304"/>
      <c r="L1670" s="372"/>
      <c r="M1670" s="372"/>
      <c r="N1670" s="372"/>
      <c r="O1670" s="372"/>
      <c r="P1670" s="372"/>
      <c r="Q1670" s="304"/>
      <c r="R1670" s="304"/>
      <c r="S1670" s="304"/>
      <c r="T1670" s="304"/>
      <c r="U1670" s="304"/>
      <c r="V1670" s="304"/>
      <c r="AL1670" s="372" t="str">
        <f t="shared" si="55"/>
        <v/>
      </c>
    </row>
    <row r="1671" spans="1:38" ht="15" customHeight="1" outlineLevel="1" x14ac:dyDescent="0.2">
      <c r="A1671" s="403"/>
      <c r="B1671" s="403"/>
      <c r="C1671" s="403"/>
      <c r="D1671" s="404"/>
      <c r="E1671" s="405"/>
      <c r="F1671" s="405"/>
      <c r="G1671" s="403"/>
      <c r="H1671" s="406"/>
      <c r="I1671" s="406"/>
      <c r="J1671" s="406"/>
      <c r="K1671" s="304"/>
      <c r="L1671" s="372"/>
      <c r="M1671" s="372"/>
      <c r="N1671" s="372"/>
      <c r="O1671" s="372"/>
      <c r="P1671" s="372"/>
      <c r="Q1671" s="304"/>
      <c r="R1671" s="304"/>
      <c r="S1671" s="304"/>
      <c r="T1671" s="304"/>
      <c r="U1671" s="304"/>
      <c r="V1671" s="304"/>
      <c r="AL1671" s="372" t="str">
        <f t="shared" si="55"/>
        <v/>
      </c>
    </row>
    <row r="1672" spans="1:38" ht="15" customHeight="1" outlineLevel="1" x14ac:dyDescent="0.2">
      <c r="A1672" s="403"/>
      <c r="B1672" s="403"/>
      <c r="C1672" s="403"/>
      <c r="D1672" s="404"/>
      <c r="E1672" s="405"/>
      <c r="F1672" s="405"/>
      <c r="G1672" s="403"/>
      <c r="H1672" s="406"/>
      <c r="I1672" s="406"/>
      <c r="J1672" s="406"/>
      <c r="K1672" s="304"/>
      <c r="L1672" s="372"/>
      <c r="M1672" s="372"/>
      <c r="N1672" s="372"/>
      <c r="O1672" s="372"/>
      <c r="P1672" s="372"/>
      <c r="Q1672" s="304"/>
      <c r="R1672" s="304"/>
      <c r="S1672" s="304"/>
      <c r="T1672" s="304"/>
      <c r="U1672" s="304"/>
      <c r="V1672" s="304"/>
      <c r="AL1672" s="372" t="str">
        <f t="shared" si="55"/>
        <v/>
      </c>
    </row>
    <row r="1673" spans="1:38" ht="15" customHeight="1" outlineLevel="1" x14ac:dyDescent="0.2">
      <c r="A1673" s="403"/>
      <c r="B1673" s="403"/>
      <c r="C1673" s="403"/>
      <c r="D1673" s="404"/>
      <c r="E1673" s="405"/>
      <c r="F1673" s="405"/>
      <c r="G1673" s="403"/>
      <c r="H1673" s="406"/>
      <c r="I1673" s="406"/>
      <c r="J1673" s="406"/>
      <c r="K1673" s="304"/>
      <c r="L1673" s="372"/>
      <c r="M1673" s="372"/>
      <c r="N1673" s="372"/>
      <c r="O1673" s="372"/>
      <c r="P1673" s="372"/>
      <c r="Q1673" s="304"/>
      <c r="R1673" s="304"/>
      <c r="S1673" s="304"/>
      <c r="T1673" s="304"/>
      <c r="U1673" s="304"/>
      <c r="V1673" s="304"/>
      <c r="AL1673" s="372" t="str">
        <f t="shared" si="55"/>
        <v/>
      </c>
    </row>
    <row r="1674" spans="1:38" ht="15" customHeight="1" outlineLevel="1" x14ac:dyDescent="0.2">
      <c r="A1674" s="403"/>
      <c r="B1674" s="403"/>
      <c r="C1674" s="403"/>
      <c r="D1674" s="404"/>
      <c r="E1674" s="405"/>
      <c r="F1674" s="405"/>
      <c r="G1674" s="403"/>
      <c r="H1674" s="406"/>
      <c r="I1674" s="406"/>
      <c r="J1674" s="406"/>
      <c r="K1674" s="304"/>
      <c r="L1674" s="372"/>
      <c r="M1674" s="372"/>
      <c r="N1674" s="372"/>
      <c r="O1674" s="372"/>
      <c r="P1674" s="372"/>
      <c r="Q1674" s="304"/>
      <c r="R1674" s="304"/>
      <c r="S1674" s="304"/>
      <c r="T1674" s="304"/>
      <c r="U1674" s="304"/>
      <c r="V1674" s="304"/>
      <c r="AL1674" s="372" t="str">
        <f t="shared" si="55"/>
        <v/>
      </c>
    </row>
    <row r="1675" spans="1:38" ht="15" customHeight="1" outlineLevel="1" x14ac:dyDescent="0.2">
      <c r="A1675" s="403"/>
      <c r="B1675" s="403"/>
      <c r="C1675" s="403"/>
      <c r="D1675" s="404"/>
      <c r="E1675" s="405"/>
      <c r="F1675" s="405"/>
      <c r="G1675" s="403"/>
      <c r="H1675" s="406"/>
      <c r="I1675" s="406"/>
      <c r="J1675" s="406"/>
      <c r="K1675" s="304"/>
      <c r="L1675" s="372"/>
      <c r="M1675" s="372"/>
      <c r="N1675" s="372"/>
      <c r="O1675" s="372"/>
      <c r="P1675" s="372"/>
      <c r="Q1675" s="304"/>
      <c r="R1675" s="304"/>
      <c r="S1675" s="304"/>
      <c r="T1675" s="304"/>
      <c r="U1675" s="304"/>
      <c r="V1675" s="304"/>
      <c r="AL1675" s="372" t="str">
        <f t="shared" si="55"/>
        <v/>
      </c>
    </row>
    <row r="1676" spans="1:38" ht="15" customHeight="1" outlineLevel="1" x14ac:dyDescent="0.2">
      <c r="A1676" s="403"/>
      <c r="B1676" s="403"/>
      <c r="C1676" s="403"/>
      <c r="D1676" s="404"/>
      <c r="E1676" s="405"/>
      <c r="F1676" s="405"/>
      <c r="G1676" s="403"/>
      <c r="H1676" s="406"/>
      <c r="I1676" s="406"/>
      <c r="J1676" s="406"/>
      <c r="K1676" s="304"/>
      <c r="L1676" s="372"/>
      <c r="M1676" s="372"/>
      <c r="N1676" s="372"/>
      <c r="O1676" s="372"/>
      <c r="P1676" s="372"/>
      <c r="Q1676" s="304"/>
      <c r="R1676" s="304"/>
      <c r="S1676" s="304"/>
      <c r="T1676" s="304"/>
      <c r="U1676" s="304"/>
      <c r="V1676" s="304"/>
      <c r="AL1676" s="372" t="str">
        <f t="shared" si="55"/>
        <v/>
      </c>
    </row>
    <row r="1677" spans="1:38" ht="15" customHeight="1" outlineLevel="1" x14ac:dyDescent="0.2">
      <c r="A1677" s="403"/>
      <c r="B1677" s="403"/>
      <c r="C1677" s="403"/>
      <c r="D1677" s="404"/>
      <c r="E1677" s="405"/>
      <c r="F1677" s="405"/>
      <c r="G1677" s="403"/>
      <c r="H1677" s="406"/>
      <c r="I1677" s="406"/>
      <c r="J1677" s="406"/>
      <c r="K1677" s="304"/>
      <c r="L1677" s="372"/>
      <c r="M1677" s="372"/>
      <c r="N1677" s="372"/>
      <c r="O1677" s="372"/>
      <c r="P1677" s="372"/>
      <c r="Q1677" s="304"/>
      <c r="R1677" s="304"/>
      <c r="S1677" s="304"/>
      <c r="T1677" s="304"/>
      <c r="U1677" s="304"/>
      <c r="V1677" s="304"/>
      <c r="AL1677" s="372" t="str">
        <f t="shared" si="55"/>
        <v/>
      </c>
    </row>
    <row r="1678" spans="1:38" ht="15" customHeight="1" outlineLevel="1" x14ac:dyDescent="0.2">
      <c r="A1678" s="403"/>
      <c r="B1678" s="403"/>
      <c r="C1678" s="403"/>
      <c r="D1678" s="404"/>
      <c r="E1678" s="405"/>
      <c r="F1678" s="405"/>
      <c r="G1678" s="403"/>
      <c r="H1678" s="406"/>
      <c r="I1678" s="406"/>
      <c r="J1678" s="406"/>
      <c r="K1678" s="304"/>
      <c r="L1678" s="372"/>
      <c r="M1678" s="372"/>
      <c r="N1678" s="372"/>
      <c r="O1678" s="372"/>
      <c r="P1678" s="372"/>
      <c r="Q1678" s="304"/>
      <c r="R1678" s="304"/>
      <c r="S1678" s="304"/>
      <c r="T1678" s="304"/>
      <c r="U1678" s="304"/>
      <c r="V1678" s="304"/>
      <c r="AL1678" s="372" t="str">
        <f t="shared" si="55"/>
        <v/>
      </c>
    </row>
    <row r="1679" spans="1:38" ht="15" customHeight="1" outlineLevel="1" x14ac:dyDescent="0.2">
      <c r="A1679" s="403"/>
      <c r="B1679" s="403"/>
      <c r="C1679" s="403"/>
      <c r="D1679" s="404"/>
      <c r="E1679" s="405"/>
      <c r="F1679" s="405"/>
      <c r="G1679" s="403"/>
      <c r="H1679" s="406"/>
      <c r="I1679" s="406"/>
      <c r="J1679" s="406"/>
      <c r="K1679" s="304"/>
      <c r="L1679" s="372"/>
      <c r="M1679" s="372"/>
      <c r="N1679" s="372"/>
      <c r="O1679" s="372"/>
      <c r="P1679" s="372"/>
      <c r="Q1679" s="304"/>
      <c r="R1679" s="304"/>
      <c r="S1679" s="304"/>
      <c r="T1679" s="304"/>
      <c r="U1679" s="304"/>
      <c r="V1679" s="304"/>
      <c r="AL1679" s="372" t="str">
        <f t="shared" si="55"/>
        <v/>
      </c>
    </row>
    <row r="1680" spans="1:38" ht="15" customHeight="1" outlineLevel="1" x14ac:dyDescent="0.2">
      <c r="A1680" s="403"/>
      <c r="B1680" s="403"/>
      <c r="C1680" s="403"/>
      <c r="D1680" s="404"/>
      <c r="E1680" s="405"/>
      <c r="F1680" s="405"/>
      <c r="G1680" s="403"/>
      <c r="H1680" s="406"/>
      <c r="I1680" s="406"/>
      <c r="J1680" s="406"/>
      <c r="K1680" s="304"/>
      <c r="L1680" s="372"/>
      <c r="M1680" s="372"/>
      <c r="N1680" s="372"/>
      <c r="O1680" s="372"/>
      <c r="P1680" s="372"/>
      <c r="Q1680" s="304"/>
      <c r="R1680" s="304"/>
      <c r="S1680" s="304"/>
      <c r="T1680" s="304"/>
      <c r="U1680" s="304"/>
      <c r="V1680" s="304"/>
      <c r="AL1680" s="372" t="str">
        <f t="shared" si="55"/>
        <v/>
      </c>
    </row>
    <row r="1681" spans="1:38" ht="15" customHeight="1" outlineLevel="1" x14ac:dyDescent="0.2">
      <c r="A1681" s="403"/>
      <c r="B1681" s="403"/>
      <c r="C1681" s="403"/>
      <c r="D1681" s="404"/>
      <c r="E1681" s="405"/>
      <c r="F1681" s="405"/>
      <c r="G1681" s="403"/>
      <c r="H1681" s="406"/>
      <c r="I1681" s="406"/>
      <c r="J1681" s="406"/>
      <c r="K1681" s="304"/>
      <c r="L1681" s="372"/>
      <c r="M1681" s="372"/>
      <c r="N1681" s="372"/>
      <c r="O1681" s="372"/>
      <c r="P1681" s="372"/>
      <c r="Q1681" s="304"/>
      <c r="R1681" s="304"/>
      <c r="S1681" s="304"/>
      <c r="T1681" s="304"/>
      <c r="U1681" s="304"/>
      <c r="V1681" s="304"/>
      <c r="AL1681" s="372" t="str">
        <f t="shared" ref="AL1681:AL1744" si="56">IF(($C1681=$AG$245)*($N1681&gt;0)*ISNUMBER($I1681),$I1681*100000+ROW(),"")</f>
        <v/>
      </c>
    </row>
    <row r="1682" spans="1:38" ht="15" customHeight="1" outlineLevel="1" x14ac:dyDescent="0.2">
      <c r="A1682" s="403"/>
      <c r="B1682" s="403"/>
      <c r="C1682" s="403"/>
      <c r="D1682" s="404"/>
      <c r="E1682" s="405"/>
      <c r="F1682" s="405"/>
      <c r="G1682" s="403"/>
      <c r="H1682" s="406"/>
      <c r="I1682" s="406"/>
      <c r="J1682" s="406"/>
      <c r="K1682" s="304"/>
      <c r="L1682" s="372"/>
      <c r="M1682" s="372"/>
      <c r="N1682" s="372"/>
      <c r="O1682" s="372"/>
      <c r="P1682" s="372"/>
      <c r="Q1682" s="304"/>
      <c r="R1682" s="304"/>
      <c r="S1682" s="304"/>
      <c r="T1682" s="304"/>
      <c r="U1682" s="304"/>
      <c r="V1682" s="304"/>
      <c r="AL1682" s="372" t="str">
        <f t="shared" si="56"/>
        <v/>
      </c>
    </row>
    <row r="1683" spans="1:38" ht="15" customHeight="1" outlineLevel="1" x14ac:dyDescent="0.2">
      <c r="A1683" s="403"/>
      <c r="B1683" s="403"/>
      <c r="C1683" s="403"/>
      <c r="D1683" s="404"/>
      <c r="E1683" s="405"/>
      <c r="F1683" s="405"/>
      <c r="G1683" s="403"/>
      <c r="H1683" s="406"/>
      <c r="I1683" s="406"/>
      <c r="J1683" s="406"/>
      <c r="K1683" s="304"/>
      <c r="L1683" s="372"/>
      <c r="M1683" s="372"/>
      <c r="N1683" s="372"/>
      <c r="O1683" s="372"/>
      <c r="P1683" s="372"/>
      <c r="Q1683" s="304"/>
      <c r="R1683" s="304"/>
      <c r="S1683" s="304"/>
      <c r="T1683" s="304"/>
      <c r="U1683" s="304"/>
      <c r="V1683" s="304"/>
      <c r="AL1683" s="372" t="str">
        <f t="shared" si="56"/>
        <v/>
      </c>
    </row>
    <row r="1684" spans="1:38" ht="15" customHeight="1" outlineLevel="1" x14ac:dyDescent="0.2">
      <c r="A1684" s="403"/>
      <c r="B1684" s="403"/>
      <c r="C1684" s="403"/>
      <c r="D1684" s="404"/>
      <c r="E1684" s="405"/>
      <c r="F1684" s="405"/>
      <c r="G1684" s="403"/>
      <c r="H1684" s="406"/>
      <c r="I1684" s="406"/>
      <c r="J1684" s="406"/>
      <c r="K1684" s="304"/>
      <c r="L1684" s="372"/>
      <c r="M1684" s="372"/>
      <c r="N1684" s="372"/>
      <c r="O1684" s="372"/>
      <c r="P1684" s="372"/>
      <c r="Q1684" s="304"/>
      <c r="R1684" s="304"/>
      <c r="S1684" s="304"/>
      <c r="T1684" s="304"/>
      <c r="U1684" s="304"/>
      <c r="V1684" s="304"/>
      <c r="AL1684" s="372" t="str">
        <f t="shared" si="56"/>
        <v/>
      </c>
    </row>
    <row r="1685" spans="1:38" ht="15" customHeight="1" outlineLevel="1" x14ac:dyDescent="0.2">
      <c r="A1685" s="403"/>
      <c r="B1685" s="403"/>
      <c r="C1685" s="403"/>
      <c r="D1685" s="404"/>
      <c r="E1685" s="405"/>
      <c r="F1685" s="405"/>
      <c r="G1685" s="403"/>
      <c r="H1685" s="406"/>
      <c r="I1685" s="406"/>
      <c r="J1685" s="406"/>
      <c r="K1685" s="304"/>
      <c r="L1685" s="372"/>
      <c r="M1685" s="372"/>
      <c r="N1685" s="372"/>
      <c r="O1685" s="372"/>
      <c r="P1685" s="372"/>
      <c r="Q1685" s="304"/>
      <c r="R1685" s="304"/>
      <c r="S1685" s="304"/>
      <c r="T1685" s="304"/>
      <c r="U1685" s="304"/>
      <c r="V1685" s="304"/>
      <c r="AL1685" s="372" t="str">
        <f t="shared" si="56"/>
        <v/>
      </c>
    </row>
    <row r="1686" spans="1:38" ht="15" customHeight="1" outlineLevel="1" x14ac:dyDescent="0.2">
      <c r="A1686" s="403"/>
      <c r="B1686" s="403"/>
      <c r="C1686" s="403"/>
      <c r="D1686" s="404"/>
      <c r="E1686" s="405"/>
      <c r="F1686" s="405"/>
      <c r="G1686" s="403"/>
      <c r="H1686" s="406"/>
      <c r="I1686" s="406"/>
      <c r="J1686" s="406"/>
      <c r="K1686" s="304"/>
      <c r="L1686" s="372"/>
      <c r="M1686" s="372"/>
      <c r="N1686" s="372"/>
      <c r="O1686" s="372"/>
      <c r="P1686" s="372"/>
      <c r="Q1686" s="304"/>
      <c r="R1686" s="304"/>
      <c r="S1686" s="304"/>
      <c r="T1686" s="304"/>
      <c r="U1686" s="304"/>
      <c r="V1686" s="304"/>
      <c r="AL1686" s="372" t="str">
        <f t="shared" si="56"/>
        <v/>
      </c>
    </row>
    <row r="1687" spans="1:38" ht="15" customHeight="1" outlineLevel="1" x14ac:dyDescent="0.2">
      <c r="A1687" s="403"/>
      <c r="B1687" s="403"/>
      <c r="C1687" s="403"/>
      <c r="D1687" s="404"/>
      <c r="E1687" s="405"/>
      <c r="F1687" s="405"/>
      <c r="G1687" s="403"/>
      <c r="H1687" s="406"/>
      <c r="I1687" s="406"/>
      <c r="J1687" s="406"/>
      <c r="K1687" s="304"/>
      <c r="L1687" s="372"/>
      <c r="M1687" s="372"/>
      <c r="N1687" s="372"/>
      <c r="O1687" s="372"/>
      <c r="P1687" s="372"/>
      <c r="Q1687" s="304"/>
      <c r="R1687" s="304"/>
      <c r="S1687" s="304"/>
      <c r="T1687" s="304"/>
      <c r="U1687" s="304"/>
      <c r="V1687" s="304"/>
      <c r="AL1687" s="372" t="str">
        <f t="shared" si="56"/>
        <v/>
      </c>
    </row>
    <row r="1688" spans="1:38" ht="15" customHeight="1" outlineLevel="1" x14ac:dyDescent="0.2">
      <c r="A1688" s="403"/>
      <c r="B1688" s="403"/>
      <c r="C1688" s="403"/>
      <c r="D1688" s="404"/>
      <c r="E1688" s="405"/>
      <c r="F1688" s="405"/>
      <c r="G1688" s="403"/>
      <c r="H1688" s="406"/>
      <c r="I1688" s="406"/>
      <c r="J1688" s="406"/>
      <c r="K1688" s="304"/>
      <c r="L1688" s="372"/>
      <c r="M1688" s="372"/>
      <c r="N1688" s="372"/>
      <c r="O1688" s="372"/>
      <c r="P1688" s="372"/>
      <c r="Q1688" s="304"/>
      <c r="R1688" s="304"/>
      <c r="S1688" s="304"/>
      <c r="T1688" s="304"/>
      <c r="U1688" s="304"/>
      <c r="V1688" s="304"/>
      <c r="AL1688" s="372" t="str">
        <f t="shared" si="56"/>
        <v/>
      </c>
    </row>
    <row r="1689" spans="1:38" ht="15" customHeight="1" outlineLevel="1" x14ac:dyDescent="0.2">
      <c r="A1689" s="403"/>
      <c r="B1689" s="403"/>
      <c r="C1689" s="403"/>
      <c r="D1689" s="404"/>
      <c r="E1689" s="405"/>
      <c r="F1689" s="405"/>
      <c r="G1689" s="403"/>
      <c r="H1689" s="406"/>
      <c r="I1689" s="406"/>
      <c r="J1689" s="406"/>
      <c r="K1689" s="304"/>
      <c r="L1689" s="372"/>
      <c r="M1689" s="372"/>
      <c r="N1689" s="372"/>
      <c r="O1689" s="372"/>
      <c r="P1689" s="372"/>
      <c r="Q1689" s="304"/>
      <c r="R1689" s="304"/>
      <c r="S1689" s="304"/>
      <c r="T1689" s="304"/>
      <c r="U1689" s="304"/>
      <c r="V1689" s="304"/>
      <c r="AL1689" s="372" t="str">
        <f t="shared" si="56"/>
        <v/>
      </c>
    </row>
    <row r="1690" spans="1:38" ht="15" customHeight="1" outlineLevel="1" x14ac:dyDescent="0.2">
      <c r="A1690" s="403"/>
      <c r="B1690" s="403"/>
      <c r="C1690" s="403"/>
      <c r="D1690" s="404"/>
      <c r="E1690" s="405"/>
      <c r="F1690" s="405"/>
      <c r="G1690" s="403"/>
      <c r="H1690" s="406"/>
      <c r="I1690" s="406"/>
      <c r="J1690" s="406"/>
      <c r="K1690" s="304"/>
      <c r="L1690" s="372"/>
      <c r="M1690" s="372"/>
      <c r="N1690" s="372"/>
      <c r="O1690" s="372"/>
      <c r="P1690" s="372"/>
      <c r="Q1690" s="304"/>
      <c r="R1690" s="304"/>
      <c r="S1690" s="304"/>
      <c r="T1690" s="304"/>
      <c r="U1690" s="304"/>
      <c r="V1690" s="304"/>
      <c r="AL1690" s="372" t="str">
        <f t="shared" si="56"/>
        <v/>
      </c>
    </row>
    <row r="1691" spans="1:38" ht="15" customHeight="1" outlineLevel="1" x14ac:dyDescent="0.2">
      <c r="A1691" s="403"/>
      <c r="B1691" s="403"/>
      <c r="C1691" s="403"/>
      <c r="D1691" s="404"/>
      <c r="E1691" s="405"/>
      <c r="F1691" s="405"/>
      <c r="G1691" s="403"/>
      <c r="H1691" s="406"/>
      <c r="I1691" s="406"/>
      <c r="J1691" s="406"/>
      <c r="K1691" s="304"/>
      <c r="L1691" s="372"/>
      <c r="M1691" s="372"/>
      <c r="N1691" s="372"/>
      <c r="O1691" s="372"/>
      <c r="P1691" s="372"/>
      <c r="Q1691" s="304"/>
      <c r="R1691" s="304"/>
      <c r="S1691" s="304"/>
      <c r="T1691" s="304"/>
      <c r="U1691" s="304"/>
      <c r="V1691" s="304"/>
      <c r="AL1691" s="372" t="str">
        <f t="shared" si="56"/>
        <v/>
      </c>
    </row>
    <row r="1692" spans="1:38" ht="15" customHeight="1" outlineLevel="1" x14ac:dyDescent="0.2">
      <c r="A1692" s="403"/>
      <c r="B1692" s="403"/>
      <c r="C1692" s="403"/>
      <c r="D1692" s="404"/>
      <c r="E1692" s="405"/>
      <c r="F1692" s="405"/>
      <c r="G1692" s="403"/>
      <c r="H1692" s="406"/>
      <c r="I1692" s="406"/>
      <c r="J1692" s="406"/>
      <c r="K1692" s="304"/>
      <c r="L1692" s="372"/>
      <c r="M1692" s="372"/>
      <c r="N1692" s="372"/>
      <c r="O1692" s="372"/>
      <c r="P1692" s="372"/>
      <c r="Q1692" s="304"/>
      <c r="R1692" s="304"/>
      <c r="S1692" s="304"/>
      <c r="T1692" s="304"/>
      <c r="U1692" s="304"/>
      <c r="V1692" s="304"/>
      <c r="AL1692" s="372" t="str">
        <f t="shared" si="56"/>
        <v/>
      </c>
    </row>
    <row r="1693" spans="1:38" ht="15" customHeight="1" outlineLevel="1" x14ac:dyDescent="0.2">
      <c r="A1693" s="403"/>
      <c r="B1693" s="403"/>
      <c r="C1693" s="403"/>
      <c r="D1693" s="404"/>
      <c r="E1693" s="405"/>
      <c r="F1693" s="405"/>
      <c r="G1693" s="403"/>
      <c r="H1693" s="406"/>
      <c r="I1693" s="406"/>
      <c r="J1693" s="406"/>
      <c r="K1693" s="304"/>
      <c r="L1693" s="372"/>
      <c r="M1693" s="372"/>
      <c r="N1693" s="372"/>
      <c r="O1693" s="372"/>
      <c r="P1693" s="372"/>
      <c r="Q1693" s="304"/>
      <c r="R1693" s="304"/>
      <c r="S1693" s="304"/>
      <c r="T1693" s="304"/>
      <c r="U1693" s="304"/>
      <c r="V1693" s="304"/>
      <c r="AL1693" s="372" t="str">
        <f t="shared" si="56"/>
        <v/>
      </c>
    </row>
    <row r="1694" spans="1:38" ht="15" customHeight="1" outlineLevel="1" x14ac:dyDescent="0.2">
      <c r="A1694" s="403"/>
      <c r="B1694" s="403"/>
      <c r="C1694" s="403"/>
      <c r="D1694" s="404"/>
      <c r="E1694" s="405"/>
      <c r="F1694" s="405"/>
      <c r="G1694" s="403"/>
      <c r="H1694" s="406"/>
      <c r="I1694" s="406"/>
      <c r="J1694" s="406"/>
      <c r="K1694" s="304"/>
      <c r="L1694" s="372"/>
      <c r="M1694" s="372"/>
      <c r="N1694" s="372"/>
      <c r="O1694" s="372"/>
      <c r="P1694" s="372"/>
      <c r="Q1694" s="304"/>
      <c r="R1694" s="304"/>
      <c r="S1694" s="304"/>
      <c r="T1694" s="304"/>
      <c r="U1694" s="304"/>
      <c r="V1694" s="304"/>
      <c r="AL1694" s="372" t="str">
        <f t="shared" si="56"/>
        <v/>
      </c>
    </row>
    <row r="1695" spans="1:38" ht="15" customHeight="1" outlineLevel="1" x14ac:dyDescent="0.2">
      <c r="A1695" s="403"/>
      <c r="B1695" s="403"/>
      <c r="C1695" s="403"/>
      <c r="D1695" s="404"/>
      <c r="E1695" s="405"/>
      <c r="F1695" s="405"/>
      <c r="G1695" s="403"/>
      <c r="H1695" s="406"/>
      <c r="I1695" s="406"/>
      <c r="J1695" s="406"/>
      <c r="K1695" s="304"/>
      <c r="L1695" s="372"/>
      <c r="M1695" s="372"/>
      <c r="N1695" s="372"/>
      <c r="O1695" s="372"/>
      <c r="P1695" s="372"/>
      <c r="Q1695" s="304"/>
      <c r="R1695" s="304"/>
      <c r="S1695" s="304"/>
      <c r="T1695" s="304"/>
      <c r="U1695" s="304"/>
      <c r="V1695" s="304"/>
      <c r="AL1695" s="372" t="str">
        <f t="shared" si="56"/>
        <v/>
      </c>
    </row>
    <row r="1696" spans="1:38" ht="15" customHeight="1" outlineLevel="1" x14ac:dyDescent="0.2">
      <c r="A1696" s="403"/>
      <c r="B1696" s="403"/>
      <c r="C1696" s="403"/>
      <c r="D1696" s="404"/>
      <c r="E1696" s="405"/>
      <c r="F1696" s="405"/>
      <c r="G1696" s="403"/>
      <c r="H1696" s="406"/>
      <c r="I1696" s="406"/>
      <c r="J1696" s="406"/>
      <c r="K1696" s="304"/>
      <c r="L1696" s="372"/>
      <c r="M1696" s="372"/>
      <c r="N1696" s="372"/>
      <c r="O1696" s="372"/>
      <c r="P1696" s="372"/>
      <c r="Q1696" s="304"/>
      <c r="R1696" s="304"/>
      <c r="S1696" s="304"/>
      <c r="T1696" s="304"/>
      <c r="U1696" s="304"/>
      <c r="V1696" s="304"/>
      <c r="AL1696" s="372" t="str">
        <f t="shared" si="56"/>
        <v/>
      </c>
    </row>
    <row r="1697" spans="1:38" ht="15" customHeight="1" outlineLevel="1" x14ac:dyDescent="0.2">
      <c r="A1697" s="403"/>
      <c r="B1697" s="403"/>
      <c r="C1697" s="403"/>
      <c r="D1697" s="404"/>
      <c r="E1697" s="405"/>
      <c r="F1697" s="405"/>
      <c r="G1697" s="403"/>
      <c r="H1697" s="406"/>
      <c r="I1697" s="406"/>
      <c r="J1697" s="406"/>
      <c r="K1697" s="304"/>
      <c r="L1697" s="372"/>
      <c r="M1697" s="372"/>
      <c r="N1697" s="372"/>
      <c r="O1697" s="372"/>
      <c r="P1697" s="372"/>
      <c r="Q1697" s="304"/>
      <c r="R1697" s="304"/>
      <c r="S1697" s="304"/>
      <c r="T1697" s="304"/>
      <c r="U1697" s="304"/>
      <c r="V1697" s="304"/>
      <c r="AL1697" s="372" t="str">
        <f t="shared" si="56"/>
        <v/>
      </c>
    </row>
    <row r="1698" spans="1:38" ht="15" customHeight="1" outlineLevel="1" x14ac:dyDescent="0.2">
      <c r="A1698" s="403"/>
      <c r="B1698" s="403"/>
      <c r="C1698" s="403"/>
      <c r="D1698" s="404"/>
      <c r="E1698" s="405"/>
      <c r="F1698" s="405"/>
      <c r="G1698" s="403"/>
      <c r="H1698" s="406"/>
      <c r="I1698" s="406"/>
      <c r="J1698" s="406"/>
      <c r="K1698" s="304"/>
      <c r="L1698" s="372"/>
      <c r="M1698" s="372"/>
      <c r="N1698" s="372"/>
      <c r="O1698" s="372"/>
      <c r="P1698" s="372"/>
      <c r="Q1698" s="304"/>
      <c r="R1698" s="304"/>
      <c r="S1698" s="304"/>
      <c r="T1698" s="304"/>
      <c r="U1698" s="304"/>
      <c r="V1698" s="304"/>
      <c r="AL1698" s="372" t="str">
        <f t="shared" si="56"/>
        <v/>
      </c>
    </row>
    <row r="1699" spans="1:38" ht="15" customHeight="1" outlineLevel="1" x14ac:dyDescent="0.2">
      <c r="A1699" s="403"/>
      <c r="B1699" s="403"/>
      <c r="C1699" s="403"/>
      <c r="D1699" s="404"/>
      <c r="E1699" s="405"/>
      <c r="F1699" s="405"/>
      <c r="G1699" s="403"/>
      <c r="H1699" s="406"/>
      <c r="I1699" s="406"/>
      <c r="J1699" s="406"/>
      <c r="K1699" s="304"/>
      <c r="L1699" s="372"/>
      <c r="M1699" s="372"/>
      <c r="N1699" s="372"/>
      <c r="O1699" s="372"/>
      <c r="P1699" s="372"/>
      <c r="Q1699" s="304"/>
      <c r="R1699" s="304"/>
      <c r="S1699" s="304"/>
      <c r="T1699" s="304"/>
      <c r="U1699" s="304"/>
      <c r="V1699" s="304"/>
      <c r="AL1699" s="372" t="str">
        <f t="shared" si="56"/>
        <v/>
      </c>
    </row>
    <row r="1700" spans="1:38" ht="15" customHeight="1" outlineLevel="1" x14ac:dyDescent="0.2">
      <c r="A1700" s="403"/>
      <c r="B1700" s="403"/>
      <c r="C1700" s="403"/>
      <c r="D1700" s="404"/>
      <c r="E1700" s="405"/>
      <c r="F1700" s="405"/>
      <c r="G1700" s="403"/>
      <c r="H1700" s="406"/>
      <c r="I1700" s="406"/>
      <c r="J1700" s="406"/>
      <c r="K1700" s="304"/>
      <c r="L1700" s="372"/>
      <c r="M1700" s="372"/>
      <c r="N1700" s="372"/>
      <c r="O1700" s="372"/>
      <c r="P1700" s="372"/>
      <c r="Q1700" s="304"/>
      <c r="R1700" s="304"/>
      <c r="S1700" s="304"/>
      <c r="T1700" s="304"/>
      <c r="U1700" s="304"/>
      <c r="V1700" s="304"/>
      <c r="AL1700" s="372" t="str">
        <f t="shared" si="56"/>
        <v/>
      </c>
    </row>
    <row r="1701" spans="1:38" ht="15" customHeight="1" outlineLevel="1" x14ac:dyDescent="0.2">
      <c r="A1701" s="403"/>
      <c r="B1701" s="403"/>
      <c r="C1701" s="403"/>
      <c r="D1701" s="404"/>
      <c r="E1701" s="405"/>
      <c r="F1701" s="405"/>
      <c r="G1701" s="403"/>
      <c r="H1701" s="406"/>
      <c r="I1701" s="406"/>
      <c r="J1701" s="406"/>
      <c r="K1701" s="304"/>
      <c r="L1701" s="372"/>
      <c r="M1701" s="372"/>
      <c r="N1701" s="372"/>
      <c r="O1701" s="372"/>
      <c r="P1701" s="372"/>
      <c r="Q1701" s="304"/>
      <c r="R1701" s="304"/>
      <c r="S1701" s="304"/>
      <c r="T1701" s="304"/>
      <c r="U1701" s="304"/>
      <c r="V1701" s="304"/>
      <c r="AL1701" s="372" t="str">
        <f t="shared" si="56"/>
        <v/>
      </c>
    </row>
    <row r="1702" spans="1:38" ht="15" customHeight="1" outlineLevel="1" x14ac:dyDescent="0.2">
      <c r="A1702" s="403"/>
      <c r="B1702" s="403"/>
      <c r="C1702" s="403"/>
      <c r="D1702" s="404"/>
      <c r="E1702" s="405"/>
      <c r="F1702" s="405"/>
      <c r="G1702" s="403"/>
      <c r="H1702" s="406"/>
      <c r="I1702" s="406"/>
      <c r="J1702" s="406"/>
      <c r="K1702" s="304"/>
      <c r="L1702" s="372"/>
      <c r="M1702" s="372"/>
      <c r="N1702" s="372"/>
      <c r="O1702" s="372"/>
      <c r="P1702" s="372"/>
      <c r="Q1702" s="304"/>
      <c r="R1702" s="304"/>
      <c r="S1702" s="304"/>
      <c r="T1702" s="304"/>
      <c r="U1702" s="304"/>
      <c r="V1702" s="304"/>
      <c r="AL1702" s="372" t="str">
        <f t="shared" si="56"/>
        <v/>
      </c>
    </row>
    <row r="1703" spans="1:38" ht="15" customHeight="1" outlineLevel="1" x14ac:dyDescent="0.2">
      <c r="A1703" s="403"/>
      <c r="B1703" s="403"/>
      <c r="C1703" s="403"/>
      <c r="D1703" s="404"/>
      <c r="E1703" s="405"/>
      <c r="F1703" s="405"/>
      <c r="G1703" s="403"/>
      <c r="H1703" s="406"/>
      <c r="I1703" s="406"/>
      <c r="J1703" s="406"/>
      <c r="K1703" s="304"/>
      <c r="L1703" s="372"/>
      <c r="M1703" s="372"/>
      <c r="N1703" s="372"/>
      <c r="O1703" s="372"/>
      <c r="P1703" s="372"/>
      <c r="Q1703" s="304"/>
      <c r="R1703" s="304"/>
      <c r="S1703" s="304"/>
      <c r="T1703" s="304"/>
      <c r="U1703" s="304"/>
      <c r="V1703" s="304"/>
      <c r="AL1703" s="372" t="str">
        <f t="shared" si="56"/>
        <v/>
      </c>
    </row>
    <row r="1704" spans="1:38" ht="15" customHeight="1" outlineLevel="1" x14ac:dyDescent="0.2">
      <c r="A1704" s="403"/>
      <c r="B1704" s="403"/>
      <c r="C1704" s="403"/>
      <c r="D1704" s="404"/>
      <c r="E1704" s="405"/>
      <c r="F1704" s="405"/>
      <c r="G1704" s="403"/>
      <c r="H1704" s="406"/>
      <c r="I1704" s="406"/>
      <c r="J1704" s="406"/>
      <c r="K1704" s="304"/>
      <c r="L1704" s="372"/>
      <c r="M1704" s="372"/>
      <c r="N1704" s="372"/>
      <c r="O1704" s="372"/>
      <c r="P1704" s="372"/>
      <c r="Q1704" s="304"/>
      <c r="R1704" s="304"/>
      <c r="S1704" s="304"/>
      <c r="T1704" s="304"/>
      <c r="U1704" s="304"/>
      <c r="V1704" s="304"/>
      <c r="AL1704" s="372" t="str">
        <f t="shared" si="56"/>
        <v/>
      </c>
    </row>
    <row r="1705" spans="1:38" ht="15" customHeight="1" outlineLevel="1" x14ac:dyDescent="0.2">
      <c r="A1705" s="403"/>
      <c r="B1705" s="403"/>
      <c r="C1705" s="403"/>
      <c r="D1705" s="404"/>
      <c r="E1705" s="405"/>
      <c r="F1705" s="405"/>
      <c r="G1705" s="403"/>
      <c r="H1705" s="406"/>
      <c r="I1705" s="406"/>
      <c r="J1705" s="406"/>
      <c r="K1705" s="304"/>
      <c r="L1705" s="372"/>
      <c r="M1705" s="372"/>
      <c r="N1705" s="372"/>
      <c r="O1705" s="372"/>
      <c r="P1705" s="372"/>
      <c r="Q1705" s="304"/>
      <c r="R1705" s="304"/>
      <c r="S1705" s="304"/>
      <c r="T1705" s="304"/>
      <c r="U1705" s="304"/>
      <c r="V1705" s="304"/>
      <c r="AL1705" s="372" t="str">
        <f t="shared" si="56"/>
        <v/>
      </c>
    </row>
    <row r="1706" spans="1:38" ht="15" customHeight="1" outlineLevel="1" x14ac:dyDescent="0.2">
      <c r="A1706" s="403"/>
      <c r="B1706" s="403"/>
      <c r="C1706" s="403"/>
      <c r="D1706" s="404"/>
      <c r="E1706" s="405"/>
      <c r="F1706" s="405"/>
      <c r="G1706" s="403"/>
      <c r="H1706" s="406"/>
      <c r="I1706" s="406"/>
      <c r="J1706" s="406"/>
      <c r="K1706" s="304"/>
      <c r="L1706" s="372"/>
      <c r="M1706" s="372"/>
      <c r="N1706" s="372"/>
      <c r="O1706" s="372"/>
      <c r="P1706" s="372"/>
      <c r="Q1706" s="304"/>
      <c r="R1706" s="304"/>
      <c r="S1706" s="304"/>
      <c r="T1706" s="304"/>
      <c r="U1706" s="304"/>
      <c r="V1706" s="304"/>
      <c r="AL1706" s="372" t="str">
        <f t="shared" si="56"/>
        <v/>
      </c>
    </row>
    <row r="1707" spans="1:38" ht="15" customHeight="1" outlineLevel="1" x14ac:dyDescent="0.2">
      <c r="A1707" s="403"/>
      <c r="B1707" s="403"/>
      <c r="C1707" s="403"/>
      <c r="D1707" s="404"/>
      <c r="E1707" s="405"/>
      <c r="F1707" s="405"/>
      <c r="G1707" s="403"/>
      <c r="H1707" s="406"/>
      <c r="I1707" s="406"/>
      <c r="J1707" s="406"/>
      <c r="K1707" s="304"/>
      <c r="L1707" s="372"/>
      <c r="M1707" s="372"/>
      <c r="N1707" s="372"/>
      <c r="O1707" s="372"/>
      <c r="P1707" s="372"/>
      <c r="Q1707" s="304"/>
      <c r="R1707" s="304"/>
      <c r="S1707" s="304"/>
      <c r="T1707" s="304"/>
      <c r="U1707" s="304"/>
      <c r="V1707" s="304"/>
      <c r="AL1707" s="372" t="str">
        <f t="shared" si="56"/>
        <v/>
      </c>
    </row>
    <row r="1708" spans="1:38" ht="15" customHeight="1" outlineLevel="1" x14ac:dyDescent="0.2">
      <c r="A1708" s="403"/>
      <c r="B1708" s="403"/>
      <c r="C1708" s="403"/>
      <c r="D1708" s="404"/>
      <c r="E1708" s="405"/>
      <c r="F1708" s="405"/>
      <c r="G1708" s="403"/>
      <c r="H1708" s="406"/>
      <c r="I1708" s="406"/>
      <c r="J1708" s="406"/>
      <c r="K1708" s="304"/>
      <c r="L1708" s="372"/>
      <c r="M1708" s="372"/>
      <c r="N1708" s="372"/>
      <c r="O1708" s="372"/>
      <c r="P1708" s="372"/>
      <c r="Q1708" s="304"/>
      <c r="R1708" s="304"/>
      <c r="S1708" s="304"/>
      <c r="T1708" s="304"/>
      <c r="U1708" s="304"/>
      <c r="V1708" s="304"/>
      <c r="AL1708" s="372" t="str">
        <f t="shared" si="56"/>
        <v/>
      </c>
    </row>
    <row r="1709" spans="1:38" ht="15" customHeight="1" outlineLevel="1" x14ac:dyDescent="0.2">
      <c r="A1709" s="403"/>
      <c r="B1709" s="403"/>
      <c r="C1709" s="403"/>
      <c r="D1709" s="404"/>
      <c r="E1709" s="405"/>
      <c r="F1709" s="405"/>
      <c r="G1709" s="403"/>
      <c r="H1709" s="406"/>
      <c r="I1709" s="406"/>
      <c r="J1709" s="406"/>
      <c r="K1709" s="304"/>
      <c r="L1709" s="372"/>
      <c r="M1709" s="372"/>
      <c r="N1709" s="372"/>
      <c r="O1709" s="372"/>
      <c r="P1709" s="372"/>
      <c r="Q1709" s="304"/>
      <c r="R1709" s="304"/>
      <c r="S1709" s="304"/>
      <c r="T1709" s="304"/>
      <c r="U1709" s="304"/>
      <c r="V1709" s="304"/>
      <c r="AL1709" s="372" t="str">
        <f t="shared" si="56"/>
        <v/>
      </c>
    </row>
    <row r="1710" spans="1:38" ht="15" customHeight="1" outlineLevel="1" x14ac:dyDescent="0.2">
      <c r="A1710" s="403"/>
      <c r="B1710" s="403"/>
      <c r="C1710" s="403"/>
      <c r="D1710" s="404"/>
      <c r="E1710" s="405"/>
      <c r="F1710" s="405"/>
      <c r="G1710" s="403"/>
      <c r="H1710" s="406"/>
      <c r="I1710" s="406"/>
      <c r="J1710" s="406"/>
      <c r="K1710" s="304"/>
      <c r="L1710" s="372"/>
      <c r="M1710" s="372"/>
      <c r="N1710" s="372"/>
      <c r="O1710" s="372"/>
      <c r="P1710" s="372"/>
      <c r="Q1710" s="304"/>
      <c r="R1710" s="304"/>
      <c r="S1710" s="304"/>
      <c r="T1710" s="304"/>
      <c r="U1710" s="304"/>
      <c r="V1710" s="304"/>
      <c r="AL1710" s="372" t="str">
        <f t="shared" si="56"/>
        <v/>
      </c>
    </row>
    <row r="1711" spans="1:38" ht="15" customHeight="1" outlineLevel="1" x14ac:dyDescent="0.2">
      <c r="A1711" s="403"/>
      <c r="B1711" s="403"/>
      <c r="C1711" s="403"/>
      <c r="D1711" s="404"/>
      <c r="E1711" s="405"/>
      <c r="F1711" s="405"/>
      <c r="G1711" s="403"/>
      <c r="H1711" s="406"/>
      <c r="I1711" s="406"/>
      <c r="J1711" s="406"/>
      <c r="K1711" s="304"/>
      <c r="L1711" s="372"/>
      <c r="M1711" s="372"/>
      <c r="N1711" s="372"/>
      <c r="O1711" s="372"/>
      <c r="P1711" s="372"/>
      <c r="Q1711" s="304"/>
      <c r="R1711" s="304"/>
      <c r="S1711" s="304"/>
      <c r="T1711" s="304"/>
      <c r="U1711" s="304"/>
      <c r="V1711" s="304"/>
      <c r="AL1711" s="372" t="str">
        <f t="shared" si="56"/>
        <v/>
      </c>
    </row>
    <row r="1712" spans="1:38" ht="15" customHeight="1" outlineLevel="1" x14ac:dyDescent="0.2">
      <c r="A1712" s="403"/>
      <c r="B1712" s="403"/>
      <c r="C1712" s="403"/>
      <c r="D1712" s="404"/>
      <c r="E1712" s="405"/>
      <c r="F1712" s="405"/>
      <c r="G1712" s="403"/>
      <c r="H1712" s="406"/>
      <c r="I1712" s="406"/>
      <c r="J1712" s="406"/>
      <c r="K1712" s="304"/>
      <c r="L1712" s="372"/>
      <c r="M1712" s="372"/>
      <c r="N1712" s="372"/>
      <c r="O1712" s="372"/>
      <c r="P1712" s="372"/>
      <c r="Q1712" s="304"/>
      <c r="R1712" s="304"/>
      <c r="S1712" s="304"/>
      <c r="T1712" s="304"/>
      <c r="U1712" s="304"/>
      <c r="V1712" s="304"/>
      <c r="AL1712" s="372" t="str">
        <f t="shared" si="56"/>
        <v/>
      </c>
    </row>
    <row r="1713" spans="1:38" ht="15" customHeight="1" outlineLevel="1" x14ac:dyDescent="0.2">
      <c r="A1713" s="403"/>
      <c r="B1713" s="403"/>
      <c r="C1713" s="403"/>
      <c r="D1713" s="404"/>
      <c r="E1713" s="405"/>
      <c r="F1713" s="405"/>
      <c r="G1713" s="403"/>
      <c r="H1713" s="406"/>
      <c r="I1713" s="406"/>
      <c r="J1713" s="406"/>
      <c r="K1713" s="304"/>
      <c r="L1713" s="372"/>
      <c r="M1713" s="372"/>
      <c r="N1713" s="372"/>
      <c r="O1713" s="372"/>
      <c r="P1713" s="372"/>
      <c r="Q1713" s="304"/>
      <c r="R1713" s="304"/>
      <c r="S1713" s="304"/>
      <c r="T1713" s="304"/>
      <c r="U1713" s="304"/>
      <c r="V1713" s="304"/>
      <c r="AL1713" s="372" t="str">
        <f t="shared" si="56"/>
        <v/>
      </c>
    </row>
    <row r="1714" spans="1:38" ht="15" customHeight="1" outlineLevel="1" x14ac:dyDescent="0.2">
      <c r="A1714" s="403"/>
      <c r="B1714" s="403"/>
      <c r="C1714" s="403"/>
      <c r="D1714" s="404"/>
      <c r="E1714" s="405"/>
      <c r="F1714" s="405"/>
      <c r="G1714" s="403"/>
      <c r="H1714" s="406"/>
      <c r="I1714" s="406"/>
      <c r="J1714" s="406"/>
      <c r="K1714" s="304"/>
      <c r="L1714" s="372"/>
      <c r="M1714" s="372"/>
      <c r="N1714" s="372"/>
      <c r="O1714" s="372"/>
      <c r="P1714" s="372"/>
      <c r="Q1714" s="304"/>
      <c r="R1714" s="304"/>
      <c r="S1714" s="304"/>
      <c r="T1714" s="304"/>
      <c r="U1714" s="304"/>
      <c r="V1714" s="304"/>
      <c r="AL1714" s="372" t="str">
        <f t="shared" si="56"/>
        <v/>
      </c>
    </row>
    <row r="1715" spans="1:38" ht="15" customHeight="1" outlineLevel="1" x14ac:dyDescent="0.2">
      <c r="A1715" s="403"/>
      <c r="B1715" s="403"/>
      <c r="C1715" s="403"/>
      <c r="D1715" s="404"/>
      <c r="E1715" s="405"/>
      <c r="F1715" s="405"/>
      <c r="G1715" s="403"/>
      <c r="H1715" s="406"/>
      <c r="I1715" s="406"/>
      <c r="J1715" s="406"/>
      <c r="K1715" s="304"/>
      <c r="L1715" s="372"/>
      <c r="M1715" s="372"/>
      <c r="N1715" s="372"/>
      <c r="O1715" s="372"/>
      <c r="P1715" s="372"/>
      <c r="Q1715" s="304"/>
      <c r="R1715" s="304"/>
      <c r="S1715" s="304"/>
      <c r="T1715" s="304"/>
      <c r="U1715" s="304"/>
      <c r="V1715" s="304"/>
      <c r="AL1715" s="372" t="str">
        <f t="shared" si="56"/>
        <v/>
      </c>
    </row>
    <row r="1716" spans="1:38" ht="15" customHeight="1" outlineLevel="1" x14ac:dyDescent="0.2">
      <c r="A1716" s="403"/>
      <c r="B1716" s="403"/>
      <c r="C1716" s="403"/>
      <c r="D1716" s="404"/>
      <c r="E1716" s="405"/>
      <c r="F1716" s="405"/>
      <c r="G1716" s="403"/>
      <c r="H1716" s="406"/>
      <c r="I1716" s="406"/>
      <c r="J1716" s="406"/>
      <c r="K1716" s="304"/>
      <c r="L1716" s="372"/>
      <c r="M1716" s="372"/>
      <c r="N1716" s="372"/>
      <c r="O1716" s="372"/>
      <c r="P1716" s="372"/>
      <c r="Q1716" s="304"/>
      <c r="R1716" s="304"/>
      <c r="S1716" s="304"/>
      <c r="T1716" s="304"/>
      <c r="U1716" s="304"/>
      <c r="V1716" s="304"/>
      <c r="AL1716" s="372" t="str">
        <f t="shared" si="56"/>
        <v/>
      </c>
    </row>
    <row r="1717" spans="1:38" ht="15" customHeight="1" outlineLevel="1" x14ac:dyDescent="0.2">
      <c r="A1717" s="403"/>
      <c r="B1717" s="403"/>
      <c r="C1717" s="403"/>
      <c r="D1717" s="404"/>
      <c r="E1717" s="405"/>
      <c r="F1717" s="405"/>
      <c r="G1717" s="403"/>
      <c r="H1717" s="406"/>
      <c r="I1717" s="406"/>
      <c r="J1717" s="406"/>
      <c r="K1717" s="304"/>
      <c r="L1717" s="372"/>
      <c r="M1717" s="372"/>
      <c r="N1717" s="372"/>
      <c r="O1717" s="372"/>
      <c r="P1717" s="372"/>
      <c r="Q1717" s="304"/>
      <c r="R1717" s="304"/>
      <c r="S1717" s="304"/>
      <c r="T1717" s="304"/>
      <c r="U1717" s="304"/>
      <c r="V1717" s="304"/>
      <c r="AL1717" s="372" t="str">
        <f t="shared" si="56"/>
        <v/>
      </c>
    </row>
    <row r="1718" spans="1:38" ht="15" customHeight="1" outlineLevel="1" x14ac:dyDescent="0.2">
      <c r="A1718" s="403"/>
      <c r="B1718" s="403"/>
      <c r="C1718" s="403"/>
      <c r="D1718" s="404"/>
      <c r="E1718" s="405"/>
      <c r="F1718" s="405"/>
      <c r="G1718" s="403"/>
      <c r="H1718" s="406"/>
      <c r="I1718" s="406"/>
      <c r="J1718" s="406"/>
      <c r="K1718" s="304"/>
      <c r="L1718" s="372"/>
      <c r="M1718" s="372"/>
      <c r="N1718" s="372"/>
      <c r="O1718" s="372"/>
      <c r="P1718" s="372"/>
      <c r="Q1718" s="304"/>
      <c r="R1718" s="304"/>
      <c r="S1718" s="304"/>
      <c r="T1718" s="304"/>
      <c r="U1718" s="304"/>
      <c r="V1718" s="304"/>
      <c r="AL1718" s="372" t="str">
        <f t="shared" si="56"/>
        <v/>
      </c>
    </row>
    <row r="1719" spans="1:38" ht="15" customHeight="1" outlineLevel="1" x14ac:dyDescent="0.2">
      <c r="A1719" s="403"/>
      <c r="B1719" s="403"/>
      <c r="C1719" s="403"/>
      <c r="D1719" s="404"/>
      <c r="E1719" s="405"/>
      <c r="F1719" s="405"/>
      <c r="G1719" s="403"/>
      <c r="H1719" s="406"/>
      <c r="I1719" s="406"/>
      <c r="J1719" s="406"/>
      <c r="K1719" s="304"/>
      <c r="L1719" s="372"/>
      <c r="M1719" s="372"/>
      <c r="N1719" s="372"/>
      <c r="O1719" s="372"/>
      <c r="P1719" s="372"/>
      <c r="Q1719" s="304"/>
      <c r="R1719" s="304"/>
      <c r="S1719" s="304"/>
      <c r="T1719" s="304"/>
      <c r="U1719" s="304"/>
      <c r="V1719" s="304"/>
      <c r="AL1719" s="372" t="str">
        <f t="shared" si="56"/>
        <v/>
      </c>
    </row>
    <row r="1720" spans="1:38" ht="15" customHeight="1" outlineLevel="1" x14ac:dyDescent="0.2">
      <c r="A1720" s="403"/>
      <c r="B1720" s="403"/>
      <c r="C1720" s="403"/>
      <c r="D1720" s="404"/>
      <c r="E1720" s="405"/>
      <c r="F1720" s="405"/>
      <c r="G1720" s="403"/>
      <c r="H1720" s="406"/>
      <c r="I1720" s="406"/>
      <c r="J1720" s="406"/>
      <c r="K1720" s="304"/>
      <c r="L1720" s="372"/>
      <c r="M1720" s="372"/>
      <c r="N1720" s="372"/>
      <c r="O1720" s="372"/>
      <c r="P1720" s="372"/>
      <c r="Q1720" s="304"/>
      <c r="R1720" s="304"/>
      <c r="S1720" s="304"/>
      <c r="T1720" s="304"/>
      <c r="U1720" s="304"/>
      <c r="V1720" s="304"/>
      <c r="AL1720" s="372" t="str">
        <f t="shared" si="56"/>
        <v/>
      </c>
    </row>
    <row r="1721" spans="1:38" ht="15" customHeight="1" outlineLevel="1" x14ac:dyDescent="0.2">
      <c r="A1721" s="403"/>
      <c r="B1721" s="403"/>
      <c r="C1721" s="403"/>
      <c r="D1721" s="404"/>
      <c r="E1721" s="405"/>
      <c r="F1721" s="405"/>
      <c r="G1721" s="403"/>
      <c r="H1721" s="406"/>
      <c r="I1721" s="406"/>
      <c r="J1721" s="406"/>
      <c r="K1721" s="304"/>
      <c r="L1721" s="372"/>
      <c r="M1721" s="372"/>
      <c r="N1721" s="372"/>
      <c r="O1721" s="372"/>
      <c r="P1721" s="372"/>
      <c r="Q1721" s="304"/>
      <c r="R1721" s="304"/>
      <c r="S1721" s="304"/>
      <c r="T1721" s="304"/>
      <c r="U1721" s="304"/>
      <c r="V1721" s="304"/>
      <c r="AL1721" s="372" t="str">
        <f t="shared" si="56"/>
        <v/>
      </c>
    </row>
    <row r="1722" spans="1:38" ht="15" customHeight="1" outlineLevel="1" x14ac:dyDescent="0.2">
      <c r="A1722" s="403"/>
      <c r="B1722" s="403"/>
      <c r="C1722" s="403"/>
      <c r="D1722" s="404"/>
      <c r="E1722" s="405"/>
      <c r="F1722" s="405"/>
      <c r="G1722" s="403"/>
      <c r="H1722" s="406"/>
      <c r="I1722" s="406"/>
      <c r="J1722" s="406"/>
      <c r="K1722" s="304"/>
      <c r="L1722" s="372"/>
      <c r="M1722" s="372"/>
      <c r="N1722" s="372"/>
      <c r="O1722" s="372"/>
      <c r="P1722" s="372"/>
      <c r="Q1722" s="304"/>
      <c r="R1722" s="304"/>
      <c r="S1722" s="304"/>
      <c r="T1722" s="304"/>
      <c r="U1722" s="304"/>
      <c r="V1722" s="304"/>
      <c r="AL1722" s="372" t="str">
        <f t="shared" si="56"/>
        <v/>
      </c>
    </row>
    <row r="1723" spans="1:38" ht="15" customHeight="1" outlineLevel="1" x14ac:dyDescent="0.2">
      <c r="A1723" s="403"/>
      <c r="B1723" s="403"/>
      <c r="C1723" s="403"/>
      <c r="D1723" s="404"/>
      <c r="E1723" s="405"/>
      <c r="F1723" s="405"/>
      <c r="G1723" s="403"/>
      <c r="H1723" s="406"/>
      <c r="I1723" s="406"/>
      <c r="J1723" s="406"/>
      <c r="K1723" s="304"/>
      <c r="L1723" s="372"/>
      <c r="M1723" s="372"/>
      <c r="N1723" s="372"/>
      <c r="O1723" s="372"/>
      <c r="P1723" s="372"/>
      <c r="Q1723" s="304"/>
      <c r="R1723" s="304"/>
      <c r="S1723" s="304"/>
      <c r="T1723" s="304"/>
      <c r="U1723" s="304"/>
      <c r="V1723" s="304"/>
      <c r="AL1723" s="372" t="str">
        <f t="shared" si="56"/>
        <v/>
      </c>
    </row>
    <row r="1724" spans="1:38" ht="15" customHeight="1" outlineLevel="1" x14ac:dyDescent="0.2">
      <c r="A1724" s="403"/>
      <c r="B1724" s="403"/>
      <c r="C1724" s="403"/>
      <c r="D1724" s="404"/>
      <c r="E1724" s="405"/>
      <c r="F1724" s="405"/>
      <c r="G1724" s="403"/>
      <c r="H1724" s="406"/>
      <c r="I1724" s="406"/>
      <c r="J1724" s="406"/>
      <c r="K1724" s="304"/>
      <c r="L1724" s="372"/>
      <c r="M1724" s="372"/>
      <c r="N1724" s="372"/>
      <c r="O1724" s="372"/>
      <c r="P1724" s="372"/>
      <c r="Q1724" s="304"/>
      <c r="R1724" s="304"/>
      <c r="S1724" s="304"/>
      <c r="T1724" s="304"/>
      <c r="U1724" s="304"/>
      <c r="V1724" s="304"/>
      <c r="AL1724" s="372" t="str">
        <f t="shared" si="56"/>
        <v/>
      </c>
    </row>
    <row r="1725" spans="1:38" ht="15" customHeight="1" outlineLevel="1" x14ac:dyDescent="0.2">
      <c r="A1725" s="403"/>
      <c r="B1725" s="403"/>
      <c r="C1725" s="403"/>
      <c r="D1725" s="404"/>
      <c r="E1725" s="405"/>
      <c r="F1725" s="405"/>
      <c r="G1725" s="403"/>
      <c r="H1725" s="406"/>
      <c r="I1725" s="406"/>
      <c r="J1725" s="406"/>
      <c r="K1725" s="304"/>
      <c r="L1725" s="372"/>
      <c r="M1725" s="372"/>
      <c r="N1725" s="372"/>
      <c r="O1725" s="372"/>
      <c r="P1725" s="372"/>
      <c r="Q1725" s="304"/>
      <c r="R1725" s="304"/>
      <c r="S1725" s="304"/>
      <c r="T1725" s="304"/>
      <c r="U1725" s="304"/>
      <c r="V1725" s="304"/>
      <c r="AL1725" s="372" t="str">
        <f t="shared" si="56"/>
        <v/>
      </c>
    </row>
    <row r="1726" spans="1:38" ht="15" customHeight="1" outlineLevel="1" x14ac:dyDescent="0.2">
      <c r="A1726" s="403"/>
      <c r="B1726" s="403"/>
      <c r="C1726" s="403"/>
      <c r="D1726" s="404"/>
      <c r="E1726" s="405"/>
      <c r="F1726" s="405"/>
      <c r="G1726" s="403"/>
      <c r="H1726" s="406"/>
      <c r="I1726" s="406"/>
      <c r="J1726" s="406"/>
      <c r="K1726" s="304"/>
      <c r="L1726" s="372"/>
      <c r="M1726" s="372"/>
      <c r="N1726" s="372"/>
      <c r="O1726" s="372"/>
      <c r="P1726" s="372"/>
      <c r="Q1726" s="304"/>
      <c r="R1726" s="304"/>
      <c r="S1726" s="304"/>
      <c r="T1726" s="304"/>
      <c r="U1726" s="304"/>
      <c r="V1726" s="304"/>
      <c r="AL1726" s="372" t="str">
        <f t="shared" si="56"/>
        <v/>
      </c>
    </row>
    <row r="1727" spans="1:38" ht="15" customHeight="1" outlineLevel="1" x14ac:dyDescent="0.2">
      <c r="A1727" s="403"/>
      <c r="B1727" s="403"/>
      <c r="C1727" s="403"/>
      <c r="D1727" s="404"/>
      <c r="E1727" s="405"/>
      <c r="F1727" s="405"/>
      <c r="G1727" s="403"/>
      <c r="H1727" s="406"/>
      <c r="I1727" s="406"/>
      <c r="J1727" s="406"/>
      <c r="K1727" s="304"/>
      <c r="L1727" s="372"/>
      <c r="M1727" s="372"/>
      <c r="N1727" s="372"/>
      <c r="O1727" s="372"/>
      <c r="P1727" s="372"/>
      <c r="Q1727" s="304"/>
      <c r="R1727" s="304"/>
      <c r="S1727" s="304"/>
      <c r="T1727" s="304"/>
      <c r="U1727" s="304"/>
      <c r="V1727" s="304"/>
      <c r="AL1727" s="372" t="str">
        <f t="shared" si="56"/>
        <v/>
      </c>
    </row>
    <row r="1728" spans="1:38" ht="15" customHeight="1" outlineLevel="1" x14ac:dyDescent="0.2">
      <c r="A1728" s="403"/>
      <c r="B1728" s="403"/>
      <c r="C1728" s="403"/>
      <c r="D1728" s="404"/>
      <c r="E1728" s="405"/>
      <c r="F1728" s="405"/>
      <c r="G1728" s="403"/>
      <c r="H1728" s="406"/>
      <c r="I1728" s="406"/>
      <c r="J1728" s="406"/>
      <c r="K1728" s="304"/>
      <c r="L1728" s="372"/>
      <c r="M1728" s="372"/>
      <c r="N1728" s="372"/>
      <c r="O1728" s="372"/>
      <c r="P1728" s="372"/>
      <c r="Q1728" s="304"/>
      <c r="R1728" s="304"/>
      <c r="S1728" s="304"/>
      <c r="T1728" s="304"/>
      <c r="U1728" s="304"/>
      <c r="V1728" s="304"/>
      <c r="AL1728" s="372" t="str">
        <f t="shared" si="56"/>
        <v/>
      </c>
    </row>
    <row r="1729" spans="1:38" ht="15" customHeight="1" outlineLevel="1" x14ac:dyDescent="0.2">
      <c r="A1729" s="403"/>
      <c r="B1729" s="403"/>
      <c r="C1729" s="403"/>
      <c r="D1729" s="404"/>
      <c r="E1729" s="405"/>
      <c r="F1729" s="405"/>
      <c r="G1729" s="403"/>
      <c r="H1729" s="406"/>
      <c r="I1729" s="406"/>
      <c r="J1729" s="406"/>
      <c r="K1729" s="304"/>
      <c r="L1729" s="372"/>
      <c r="M1729" s="372"/>
      <c r="N1729" s="372"/>
      <c r="O1729" s="372"/>
      <c r="P1729" s="372"/>
      <c r="Q1729" s="304"/>
      <c r="R1729" s="304"/>
      <c r="S1729" s="304"/>
      <c r="T1729" s="304"/>
      <c r="U1729" s="304"/>
      <c r="V1729" s="304"/>
      <c r="AL1729" s="372" t="str">
        <f t="shared" si="56"/>
        <v/>
      </c>
    </row>
    <row r="1730" spans="1:38" ht="15" customHeight="1" outlineLevel="1" x14ac:dyDescent="0.2">
      <c r="A1730" s="403"/>
      <c r="B1730" s="403"/>
      <c r="C1730" s="403"/>
      <c r="D1730" s="404"/>
      <c r="E1730" s="405"/>
      <c r="F1730" s="405"/>
      <c r="G1730" s="403"/>
      <c r="H1730" s="406"/>
      <c r="I1730" s="406"/>
      <c r="J1730" s="406"/>
      <c r="K1730" s="304"/>
      <c r="L1730" s="372"/>
      <c r="M1730" s="372"/>
      <c r="N1730" s="372"/>
      <c r="O1730" s="372"/>
      <c r="P1730" s="372"/>
      <c r="Q1730" s="304"/>
      <c r="R1730" s="304"/>
      <c r="S1730" s="304"/>
      <c r="T1730" s="304"/>
      <c r="U1730" s="304"/>
      <c r="V1730" s="304"/>
      <c r="AL1730" s="372" t="str">
        <f t="shared" si="56"/>
        <v/>
      </c>
    </row>
    <row r="1731" spans="1:38" ht="15" customHeight="1" outlineLevel="1" x14ac:dyDescent="0.2">
      <c r="A1731" s="403"/>
      <c r="B1731" s="403"/>
      <c r="C1731" s="403"/>
      <c r="D1731" s="404"/>
      <c r="E1731" s="405"/>
      <c r="F1731" s="405"/>
      <c r="G1731" s="403"/>
      <c r="H1731" s="406"/>
      <c r="I1731" s="406"/>
      <c r="J1731" s="406"/>
      <c r="K1731" s="304"/>
      <c r="L1731" s="372"/>
      <c r="M1731" s="372"/>
      <c r="N1731" s="372"/>
      <c r="O1731" s="372"/>
      <c r="P1731" s="372"/>
      <c r="Q1731" s="304"/>
      <c r="R1731" s="304"/>
      <c r="S1731" s="304"/>
      <c r="T1731" s="304"/>
      <c r="U1731" s="304"/>
      <c r="V1731" s="304"/>
      <c r="AL1731" s="372" t="str">
        <f t="shared" si="56"/>
        <v/>
      </c>
    </row>
    <row r="1732" spans="1:38" ht="15" customHeight="1" outlineLevel="1" x14ac:dyDescent="0.2">
      <c r="A1732" s="403"/>
      <c r="B1732" s="403"/>
      <c r="C1732" s="403"/>
      <c r="D1732" s="404"/>
      <c r="E1732" s="405"/>
      <c r="F1732" s="405"/>
      <c r="G1732" s="403"/>
      <c r="H1732" s="406"/>
      <c r="I1732" s="406"/>
      <c r="J1732" s="406"/>
      <c r="K1732" s="304"/>
      <c r="L1732" s="372"/>
      <c r="M1732" s="372"/>
      <c r="N1732" s="372"/>
      <c r="O1732" s="372"/>
      <c r="P1732" s="372"/>
      <c r="Q1732" s="304"/>
      <c r="R1732" s="304"/>
      <c r="S1732" s="304"/>
      <c r="T1732" s="304"/>
      <c r="U1732" s="304"/>
      <c r="V1732" s="304"/>
      <c r="AL1732" s="372" t="str">
        <f t="shared" si="56"/>
        <v/>
      </c>
    </row>
    <row r="1733" spans="1:38" ht="15" customHeight="1" outlineLevel="1" x14ac:dyDescent="0.2">
      <c r="A1733" s="403"/>
      <c r="B1733" s="403"/>
      <c r="C1733" s="403"/>
      <c r="D1733" s="404"/>
      <c r="E1733" s="405"/>
      <c r="F1733" s="405"/>
      <c r="G1733" s="403"/>
      <c r="H1733" s="406"/>
      <c r="I1733" s="406"/>
      <c r="J1733" s="406"/>
      <c r="K1733" s="304"/>
      <c r="L1733" s="372"/>
      <c r="M1733" s="372"/>
      <c r="N1733" s="372"/>
      <c r="O1733" s="372"/>
      <c r="P1733" s="372"/>
      <c r="Q1733" s="304"/>
      <c r="R1733" s="304"/>
      <c r="S1733" s="304"/>
      <c r="T1733" s="304"/>
      <c r="U1733" s="304"/>
      <c r="V1733" s="304"/>
      <c r="AL1733" s="372" t="str">
        <f t="shared" si="56"/>
        <v/>
      </c>
    </row>
    <row r="1734" spans="1:38" ht="15" customHeight="1" outlineLevel="1" x14ac:dyDescent="0.2">
      <c r="A1734" s="403"/>
      <c r="B1734" s="403"/>
      <c r="C1734" s="403"/>
      <c r="D1734" s="404"/>
      <c r="E1734" s="405"/>
      <c r="F1734" s="405"/>
      <c r="G1734" s="403"/>
      <c r="H1734" s="406"/>
      <c r="I1734" s="406"/>
      <c r="J1734" s="406"/>
      <c r="K1734" s="304"/>
      <c r="L1734" s="372"/>
      <c r="M1734" s="372"/>
      <c r="N1734" s="372"/>
      <c r="O1734" s="372"/>
      <c r="P1734" s="372"/>
      <c r="Q1734" s="304"/>
      <c r="R1734" s="304"/>
      <c r="S1734" s="304"/>
      <c r="T1734" s="304"/>
      <c r="U1734" s="304"/>
      <c r="V1734" s="304"/>
      <c r="AL1734" s="372" t="str">
        <f t="shared" si="56"/>
        <v/>
      </c>
    </row>
    <row r="1735" spans="1:38" ht="15" customHeight="1" outlineLevel="1" x14ac:dyDescent="0.2">
      <c r="A1735" s="403"/>
      <c r="B1735" s="403"/>
      <c r="C1735" s="403"/>
      <c r="D1735" s="404"/>
      <c r="E1735" s="405"/>
      <c r="F1735" s="405"/>
      <c r="G1735" s="403"/>
      <c r="H1735" s="406"/>
      <c r="I1735" s="406"/>
      <c r="J1735" s="406"/>
      <c r="K1735" s="304"/>
      <c r="L1735" s="372"/>
      <c r="M1735" s="372"/>
      <c r="N1735" s="372"/>
      <c r="O1735" s="372"/>
      <c r="P1735" s="372"/>
      <c r="Q1735" s="304"/>
      <c r="R1735" s="304"/>
      <c r="S1735" s="304"/>
      <c r="T1735" s="304"/>
      <c r="U1735" s="304"/>
      <c r="V1735" s="304"/>
      <c r="AL1735" s="372" t="str">
        <f t="shared" si="56"/>
        <v/>
      </c>
    </row>
    <row r="1736" spans="1:38" ht="15" customHeight="1" outlineLevel="1" x14ac:dyDescent="0.2">
      <c r="A1736" s="403"/>
      <c r="B1736" s="403"/>
      <c r="C1736" s="403"/>
      <c r="D1736" s="404"/>
      <c r="E1736" s="405"/>
      <c r="F1736" s="405"/>
      <c r="G1736" s="403"/>
      <c r="H1736" s="406"/>
      <c r="I1736" s="406"/>
      <c r="J1736" s="406"/>
      <c r="K1736" s="304"/>
      <c r="L1736" s="372"/>
      <c r="M1736" s="372"/>
      <c r="N1736" s="372"/>
      <c r="O1736" s="372"/>
      <c r="P1736" s="372"/>
      <c r="Q1736" s="304"/>
      <c r="R1736" s="304"/>
      <c r="S1736" s="304"/>
      <c r="T1736" s="304"/>
      <c r="U1736" s="304"/>
      <c r="V1736" s="304"/>
      <c r="AL1736" s="372" t="str">
        <f t="shared" si="56"/>
        <v/>
      </c>
    </row>
    <row r="1737" spans="1:38" ht="15" customHeight="1" outlineLevel="1" x14ac:dyDescent="0.2">
      <c r="A1737" s="403"/>
      <c r="B1737" s="403"/>
      <c r="C1737" s="403"/>
      <c r="D1737" s="404"/>
      <c r="E1737" s="405"/>
      <c r="F1737" s="405"/>
      <c r="G1737" s="403"/>
      <c r="H1737" s="406"/>
      <c r="I1737" s="406"/>
      <c r="J1737" s="406"/>
      <c r="K1737" s="304"/>
      <c r="L1737" s="372"/>
      <c r="M1737" s="372"/>
      <c r="N1737" s="372"/>
      <c r="O1737" s="372"/>
      <c r="P1737" s="372"/>
      <c r="Q1737" s="304"/>
      <c r="R1737" s="304"/>
      <c r="S1737" s="304"/>
      <c r="T1737" s="304"/>
      <c r="U1737" s="304"/>
      <c r="V1737" s="304"/>
      <c r="AL1737" s="372" t="str">
        <f t="shared" si="56"/>
        <v/>
      </c>
    </row>
    <row r="1738" spans="1:38" ht="15" customHeight="1" outlineLevel="1" x14ac:dyDescent="0.2">
      <c r="A1738" s="403"/>
      <c r="B1738" s="403"/>
      <c r="C1738" s="403"/>
      <c r="D1738" s="404"/>
      <c r="E1738" s="405"/>
      <c r="F1738" s="405"/>
      <c r="G1738" s="403"/>
      <c r="H1738" s="406"/>
      <c r="I1738" s="406"/>
      <c r="J1738" s="406"/>
      <c r="K1738" s="304"/>
      <c r="L1738" s="372"/>
      <c r="M1738" s="372"/>
      <c r="N1738" s="372"/>
      <c r="O1738" s="372"/>
      <c r="P1738" s="372"/>
      <c r="Q1738" s="304"/>
      <c r="R1738" s="304"/>
      <c r="S1738" s="304"/>
      <c r="T1738" s="304"/>
      <c r="U1738" s="304"/>
      <c r="V1738" s="304"/>
      <c r="AL1738" s="372" t="str">
        <f t="shared" si="56"/>
        <v/>
      </c>
    </row>
    <row r="1739" spans="1:38" ht="15" customHeight="1" outlineLevel="1" x14ac:dyDescent="0.2">
      <c r="A1739" s="403"/>
      <c r="B1739" s="403"/>
      <c r="C1739" s="403"/>
      <c r="D1739" s="404"/>
      <c r="E1739" s="405"/>
      <c r="F1739" s="405"/>
      <c r="G1739" s="403"/>
      <c r="H1739" s="406"/>
      <c r="I1739" s="406"/>
      <c r="J1739" s="406"/>
      <c r="K1739" s="304"/>
      <c r="L1739" s="372"/>
      <c r="M1739" s="372"/>
      <c r="N1739" s="372"/>
      <c r="O1739" s="372"/>
      <c r="P1739" s="372"/>
      <c r="Q1739" s="304"/>
      <c r="R1739" s="304"/>
      <c r="S1739" s="304"/>
      <c r="T1739" s="304"/>
      <c r="U1739" s="304"/>
      <c r="V1739" s="304"/>
      <c r="AL1739" s="372" t="str">
        <f t="shared" si="56"/>
        <v/>
      </c>
    </row>
    <row r="1740" spans="1:38" ht="15" customHeight="1" outlineLevel="1" x14ac:dyDescent="0.2">
      <c r="A1740" s="403"/>
      <c r="B1740" s="403"/>
      <c r="C1740" s="403"/>
      <c r="D1740" s="404"/>
      <c r="E1740" s="405"/>
      <c r="F1740" s="405"/>
      <c r="G1740" s="403"/>
      <c r="H1740" s="406"/>
      <c r="I1740" s="406"/>
      <c r="J1740" s="406"/>
      <c r="K1740" s="304"/>
      <c r="L1740" s="372"/>
      <c r="M1740" s="372"/>
      <c r="N1740" s="372"/>
      <c r="O1740" s="372"/>
      <c r="P1740" s="372"/>
      <c r="Q1740" s="304"/>
      <c r="R1740" s="304"/>
      <c r="S1740" s="304"/>
      <c r="T1740" s="304"/>
      <c r="U1740" s="304"/>
      <c r="V1740" s="304"/>
      <c r="AL1740" s="372" t="str">
        <f t="shared" si="56"/>
        <v/>
      </c>
    </row>
    <row r="1741" spans="1:38" ht="15" customHeight="1" outlineLevel="1" x14ac:dyDescent="0.2">
      <c r="A1741" s="403"/>
      <c r="B1741" s="403"/>
      <c r="C1741" s="403"/>
      <c r="D1741" s="404"/>
      <c r="E1741" s="405"/>
      <c r="F1741" s="405"/>
      <c r="G1741" s="403"/>
      <c r="H1741" s="406"/>
      <c r="I1741" s="406"/>
      <c r="J1741" s="406"/>
      <c r="K1741" s="304"/>
      <c r="L1741" s="372"/>
      <c r="M1741" s="372"/>
      <c r="N1741" s="372"/>
      <c r="O1741" s="372"/>
      <c r="P1741" s="372"/>
      <c r="Q1741" s="304"/>
      <c r="R1741" s="304"/>
      <c r="S1741" s="304"/>
      <c r="T1741" s="304"/>
      <c r="U1741" s="304"/>
      <c r="V1741" s="304"/>
      <c r="AL1741" s="372" t="str">
        <f t="shared" si="56"/>
        <v/>
      </c>
    </row>
    <row r="1742" spans="1:38" ht="15" customHeight="1" outlineLevel="1" x14ac:dyDescent="0.2">
      <c r="A1742" s="403"/>
      <c r="B1742" s="403"/>
      <c r="C1742" s="403"/>
      <c r="D1742" s="404"/>
      <c r="E1742" s="405"/>
      <c r="F1742" s="405"/>
      <c r="G1742" s="403"/>
      <c r="H1742" s="406"/>
      <c r="I1742" s="406"/>
      <c r="J1742" s="406"/>
      <c r="K1742" s="304"/>
      <c r="L1742" s="372"/>
      <c r="M1742" s="372"/>
      <c r="N1742" s="372"/>
      <c r="O1742" s="372"/>
      <c r="P1742" s="372"/>
      <c r="Q1742" s="304"/>
      <c r="R1742" s="304"/>
      <c r="S1742" s="304"/>
      <c r="T1742" s="304"/>
      <c r="U1742" s="304"/>
      <c r="V1742" s="304"/>
      <c r="AL1742" s="372" t="str">
        <f t="shared" si="56"/>
        <v/>
      </c>
    </row>
    <row r="1743" spans="1:38" ht="15" customHeight="1" outlineLevel="1" x14ac:dyDescent="0.2">
      <c r="A1743" s="403"/>
      <c r="B1743" s="403"/>
      <c r="C1743" s="403"/>
      <c r="D1743" s="404"/>
      <c r="E1743" s="405"/>
      <c r="F1743" s="405"/>
      <c r="G1743" s="403"/>
      <c r="H1743" s="406"/>
      <c r="I1743" s="406"/>
      <c r="J1743" s="406"/>
      <c r="K1743" s="304"/>
      <c r="L1743" s="372"/>
      <c r="M1743" s="372"/>
      <c r="N1743" s="372"/>
      <c r="O1743" s="372"/>
      <c r="P1743" s="372"/>
      <c r="Q1743" s="304"/>
      <c r="R1743" s="304"/>
      <c r="S1743" s="304"/>
      <c r="T1743" s="304"/>
      <c r="U1743" s="304"/>
      <c r="V1743" s="304"/>
      <c r="AL1743" s="372" t="str">
        <f t="shared" si="56"/>
        <v/>
      </c>
    </row>
    <row r="1744" spans="1:38" ht="15" customHeight="1" outlineLevel="1" x14ac:dyDescent="0.2">
      <c r="A1744" s="403"/>
      <c r="B1744" s="403"/>
      <c r="C1744" s="403"/>
      <c r="D1744" s="404"/>
      <c r="E1744" s="405"/>
      <c r="F1744" s="405"/>
      <c r="G1744" s="403"/>
      <c r="H1744" s="406"/>
      <c r="I1744" s="406"/>
      <c r="J1744" s="406"/>
      <c r="K1744" s="304"/>
      <c r="L1744" s="372"/>
      <c r="M1744" s="372"/>
      <c r="N1744" s="372"/>
      <c r="O1744" s="372"/>
      <c r="P1744" s="372"/>
      <c r="Q1744" s="304"/>
      <c r="R1744" s="304"/>
      <c r="S1744" s="304"/>
      <c r="T1744" s="304"/>
      <c r="U1744" s="304"/>
      <c r="V1744" s="304"/>
      <c r="AL1744" s="372" t="str">
        <f t="shared" si="56"/>
        <v/>
      </c>
    </row>
    <row r="1745" spans="1:38" ht="15" customHeight="1" outlineLevel="1" x14ac:dyDescent="0.2">
      <c r="A1745" s="403"/>
      <c r="B1745" s="403"/>
      <c r="C1745" s="403"/>
      <c r="D1745" s="404"/>
      <c r="E1745" s="405"/>
      <c r="F1745" s="405"/>
      <c r="G1745" s="403"/>
      <c r="H1745" s="406"/>
      <c r="I1745" s="406"/>
      <c r="J1745" s="406"/>
      <c r="K1745" s="304"/>
      <c r="L1745" s="372"/>
      <c r="M1745" s="372"/>
      <c r="N1745" s="372"/>
      <c r="O1745" s="372"/>
      <c r="P1745" s="372"/>
      <c r="Q1745" s="304"/>
      <c r="R1745" s="304"/>
      <c r="S1745" s="304"/>
      <c r="T1745" s="304"/>
      <c r="U1745" s="304"/>
      <c r="V1745" s="304"/>
      <c r="AL1745" s="372" t="str">
        <f t="shared" ref="AL1745:AL1772" si="57">IF(($C1745=$AG$245)*($N1745&gt;0)*ISNUMBER($I1745),$I1745*100000+ROW(),"")</f>
        <v/>
      </c>
    </row>
    <row r="1746" spans="1:38" ht="15" customHeight="1" outlineLevel="1" x14ac:dyDescent="0.2">
      <c r="A1746" s="403"/>
      <c r="B1746" s="403"/>
      <c r="C1746" s="403"/>
      <c r="D1746" s="404"/>
      <c r="E1746" s="405"/>
      <c r="F1746" s="405"/>
      <c r="G1746" s="403"/>
      <c r="H1746" s="406"/>
      <c r="I1746" s="406"/>
      <c r="J1746" s="406"/>
      <c r="K1746" s="304"/>
      <c r="L1746" s="372"/>
      <c r="M1746" s="372"/>
      <c r="N1746" s="372"/>
      <c r="O1746" s="372"/>
      <c r="P1746" s="372"/>
      <c r="Q1746" s="304"/>
      <c r="R1746" s="304"/>
      <c r="S1746" s="304"/>
      <c r="T1746" s="304"/>
      <c r="U1746" s="304"/>
      <c r="V1746" s="304"/>
      <c r="AL1746" s="372" t="str">
        <f t="shared" si="57"/>
        <v/>
      </c>
    </row>
    <row r="1747" spans="1:38" ht="15" customHeight="1" outlineLevel="1" x14ac:dyDescent="0.2">
      <c r="A1747" s="403"/>
      <c r="B1747" s="403"/>
      <c r="C1747" s="403"/>
      <c r="D1747" s="404"/>
      <c r="E1747" s="405"/>
      <c r="F1747" s="405"/>
      <c r="G1747" s="403"/>
      <c r="H1747" s="406"/>
      <c r="I1747" s="406"/>
      <c r="J1747" s="406"/>
      <c r="K1747" s="304"/>
      <c r="L1747" s="372"/>
      <c r="M1747" s="372"/>
      <c r="N1747" s="372"/>
      <c r="O1747" s="372"/>
      <c r="P1747" s="372"/>
      <c r="Q1747" s="304"/>
      <c r="R1747" s="304"/>
      <c r="S1747" s="304"/>
      <c r="T1747" s="304"/>
      <c r="U1747" s="304"/>
      <c r="V1747" s="304"/>
      <c r="AL1747" s="372" t="str">
        <f t="shared" si="57"/>
        <v/>
      </c>
    </row>
    <row r="1748" spans="1:38" ht="15" customHeight="1" outlineLevel="1" x14ac:dyDescent="0.2">
      <c r="A1748" s="403"/>
      <c r="B1748" s="403"/>
      <c r="C1748" s="403"/>
      <c r="D1748" s="404"/>
      <c r="E1748" s="405"/>
      <c r="F1748" s="405"/>
      <c r="G1748" s="403"/>
      <c r="H1748" s="406"/>
      <c r="I1748" s="406"/>
      <c r="J1748" s="406"/>
      <c r="K1748" s="304"/>
      <c r="L1748" s="372"/>
      <c r="M1748" s="372"/>
      <c r="N1748" s="372"/>
      <c r="O1748" s="372"/>
      <c r="P1748" s="372"/>
      <c r="Q1748" s="304"/>
      <c r="R1748" s="304"/>
      <c r="S1748" s="304"/>
      <c r="T1748" s="304"/>
      <c r="U1748" s="304"/>
      <c r="V1748" s="304"/>
      <c r="AL1748" s="372" t="str">
        <f t="shared" si="57"/>
        <v/>
      </c>
    </row>
    <row r="1749" spans="1:38" ht="15" customHeight="1" outlineLevel="1" x14ac:dyDescent="0.2">
      <c r="A1749" s="403"/>
      <c r="B1749" s="403"/>
      <c r="C1749" s="403"/>
      <c r="D1749" s="404"/>
      <c r="E1749" s="405"/>
      <c r="F1749" s="405"/>
      <c r="G1749" s="403"/>
      <c r="H1749" s="406"/>
      <c r="I1749" s="406"/>
      <c r="J1749" s="406"/>
      <c r="K1749" s="304"/>
      <c r="L1749" s="372"/>
      <c r="M1749" s="372"/>
      <c r="N1749" s="372"/>
      <c r="O1749" s="372"/>
      <c r="P1749" s="372"/>
      <c r="Q1749" s="304"/>
      <c r="R1749" s="304"/>
      <c r="S1749" s="304"/>
      <c r="T1749" s="304"/>
      <c r="U1749" s="304"/>
      <c r="V1749" s="304"/>
      <c r="AL1749" s="372" t="str">
        <f t="shared" si="57"/>
        <v/>
      </c>
    </row>
    <row r="1750" spans="1:38" ht="15" customHeight="1" outlineLevel="1" x14ac:dyDescent="0.2">
      <c r="A1750" s="403"/>
      <c r="B1750" s="403"/>
      <c r="C1750" s="403"/>
      <c r="D1750" s="404"/>
      <c r="E1750" s="405"/>
      <c r="F1750" s="405"/>
      <c r="G1750" s="403"/>
      <c r="H1750" s="406"/>
      <c r="I1750" s="406"/>
      <c r="J1750" s="406"/>
      <c r="K1750" s="304"/>
      <c r="L1750" s="372"/>
      <c r="M1750" s="372"/>
      <c r="N1750" s="372"/>
      <c r="O1750" s="372"/>
      <c r="P1750" s="372"/>
      <c r="Q1750" s="304"/>
      <c r="R1750" s="304"/>
      <c r="S1750" s="304"/>
      <c r="T1750" s="304"/>
      <c r="U1750" s="304"/>
      <c r="V1750" s="304"/>
      <c r="AL1750" s="372" t="str">
        <f t="shared" si="57"/>
        <v/>
      </c>
    </row>
    <row r="1751" spans="1:38" ht="15" customHeight="1" outlineLevel="1" x14ac:dyDescent="0.2">
      <c r="A1751" s="403"/>
      <c r="B1751" s="403"/>
      <c r="C1751" s="403"/>
      <c r="D1751" s="404"/>
      <c r="E1751" s="405"/>
      <c r="F1751" s="405"/>
      <c r="G1751" s="403"/>
      <c r="H1751" s="406"/>
      <c r="I1751" s="406"/>
      <c r="J1751" s="406"/>
      <c r="K1751" s="304"/>
      <c r="L1751" s="372"/>
      <c r="M1751" s="372"/>
      <c r="N1751" s="372"/>
      <c r="O1751" s="372"/>
      <c r="P1751" s="372"/>
      <c r="Q1751" s="304"/>
      <c r="R1751" s="304"/>
      <c r="S1751" s="304"/>
      <c r="T1751" s="304"/>
      <c r="U1751" s="304"/>
      <c r="V1751" s="304"/>
      <c r="AL1751" s="372" t="str">
        <f t="shared" si="57"/>
        <v/>
      </c>
    </row>
    <row r="1752" spans="1:38" ht="15" customHeight="1" outlineLevel="1" x14ac:dyDescent="0.2">
      <c r="A1752" s="403"/>
      <c r="B1752" s="403"/>
      <c r="C1752" s="403"/>
      <c r="D1752" s="404"/>
      <c r="E1752" s="405"/>
      <c r="F1752" s="405"/>
      <c r="G1752" s="403"/>
      <c r="H1752" s="406"/>
      <c r="I1752" s="406"/>
      <c r="J1752" s="406"/>
      <c r="K1752" s="304"/>
      <c r="L1752" s="372"/>
      <c r="M1752" s="372"/>
      <c r="N1752" s="372"/>
      <c r="O1752" s="372"/>
      <c r="P1752" s="372"/>
      <c r="Q1752" s="304"/>
      <c r="R1752" s="304"/>
      <c r="S1752" s="304"/>
      <c r="T1752" s="304"/>
      <c r="U1752" s="304"/>
      <c r="V1752" s="304"/>
      <c r="AL1752" s="372" t="str">
        <f t="shared" si="57"/>
        <v/>
      </c>
    </row>
    <row r="1753" spans="1:38" ht="15" customHeight="1" outlineLevel="1" x14ac:dyDescent="0.2">
      <c r="A1753" s="403"/>
      <c r="B1753" s="403"/>
      <c r="C1753" s="403"/>
      <c r="D1753" s="404"/>
      <c r="E1753" s="405"/>
      <c r="F1753" s="405"/>
      <c r="G1753" s="403"/>
      <c r="H1753" s="406"/>
      <c r="I1753" s="406"/>
      <c r="J1753" s="406"/>
      <c r="K1753" s="304"/>
      <c r="L1753" s="372"/>
      <c r="M1753" s="372"/>
      <c r="N1753" s="372"/>
      <c r="O1753" s="372"/>
      <c r="P1753" s="372"/>
      <c r="Q1753" s="304"/>
      <c r="R1753" s="304"/>
      <c r="S1753" s="304"/>
      <c r="T1753" s="304"/>
      <c r="U1753" s="304"/>
      <c r="V1753" s="304"/>
      <c r="AL1753" s="372" t="str">
        <f t="shared" si="57"/>
        <v/>
      </c>
    </row>
    <row r="1754" spans="1:38" ht="15" customHeight="1" outlineLevel="1" x14ac:dyDescent="0.2">
      <c r="A1754" s="403"/>
      <c r="B1754" s="403"/>
      <c r="C1754" s="403"/>
      <c r="D1754" s="404"/>
      <c r="E1754" s="405"/>
      <c r="F1754" s="405"/>
      <c r="G1754" s="403"/>
      <c r="H1754" s="406"/>
      <c r="I1754" s="406"/>
      <c r="J1754" s="406"/>
      <c r="K1754" s="304"/>
      <c r="L1754" s="372"/>
      <c r="M1754" s="372"/>
      <c r="N1754" s="372"/>
      <c r="O1754" s="372"/>
      <c r="P1754" s="372"/>
      <c r="Q1754" s="304"/>
      <c r="R1754" s="304"/>
      <c r="S1754" s="304"/>
      <c r="T1754" s="304"/>
      <c r="U1754" s="304"/>
      <c r="V1754" s="304"/>
      <c r="AL1754" s="372" t="str">
        <f t="shared" si="57"/>
        <v/>
      </c>
    </row>
    <row r="1755" spans="1:38" ht="15" customHeight="1" outlineLevel="1" x14ac:dyDescent="0.2">
      <c r="A1755" s="403"/>
      <c r="B1755" s="403"/>
      <c r="C1755" s="403"/>
      <c r="D1755" s="404"/>
      <c r="E1755" s="405"/>
      <c r="F1755" s="405"/>
      <c r="G1755" s="403"/>
      <c r="H1755" s="406"/>
      <c r="I1755" s="406"/>
      <c r="J1755" s="406"/>
      <c r="K1755" s="304"/>
      <c r="L1755" s="372"/>
      <c r="M1755" s="372"/>
      <c r="N1755" s="372"/>
      <c r="O1755" s="372"/>
      <c r="P1755" s="372"/>
      <c r="Q1755" s="304"/>
      <c r="R1755" s="304"/>
      <c r="S1755" s="304"/>
      <c r="T1755" s="304"/>
      <c r="U1755" s="304"/>
      <c r="V1755" s="304"/>
      <c r="AL1755" s="372" t="str">
        <f t="shared" si="57"/>
        <v/>
      </c>
    </row>
    <row r="1756" spans="1:38" ht="15" customHeight="1" outlineLevel="1" x14ac:dyDescent="0.2">
      <c r="A1756" s="403"/>
      <c r="B1756" s="403"/>
      <c r="C1756" s="403"/>
      <c r="D1756" s="404"/>
      <c r="E1756" s="405"/>
      <c r="F1756" s="405"/>
      <c r="G1756" s="403"/>
      <c r="H1756" s="406"/>
      <c r="I1756" s="406"/>
      <c r="J1756" s="406"/>
      <c r="K1756" s="304"/>
      <c r="L1756" s="372"/>
      <c r="M1756" s="372"/>
      <c r="N1756" s="372"/>
      <c r="O1756" s="372"/>
      <c r="P1756" s="372"/>
      <c r="Q1756" s="304"/>
      <c r="R1756" s="304"/>
      <c r="S1756" s="304"/>
      <c r="T1756" s="304"/>
      <c r="U1756" s="304"/>
      <c r="V1756" s="304"/>
      <c r="AL1756" s="372" t="str">
        <f t="shared" si="57"/>
        <v/>
      </c>
    </row>
    <row r="1757" spans="1:38" ht="15" customHeight="1" outlineLevel="1" x14ac:dyDescent="0.2">
      <c r="A1757" s="403"/>
      <c r="B1757" s="403"/>
      <c r="C1757" s="403"/>
      <c r="D1757" s="404"/>
      <c r="E1757" s="405"/>
      <c r="F1757" s="405"/>
      <c r="G1757" s="403"/>
      <c r="H1757" s="406"/>
      <c r="I1757" s="406"/>
      <c r="J1757" s="406"/>
      <c r="K1757" s="304"/>
      <c r="L1757" s="372"/>
      <c r="M1757" s="372"/>
      <c r="N1757" s="372"/>
      <c r="O1757" s="372"/>
      <c r="P1757" s="372"/>
      <c r="Q1757" s="304"/>
      <c r="R1757" s="304"/>
      <c r="S1757" s="304"/>
      <c r="T1757" s="304"/>
      <c r="U1757" s="304"/>
      <c r="V1757" s="304"/>
      <c r="AL1757" s="372" t="str">
        <f t="shared" si="57"/>
        <v/>
      </c>
    </row>
    <row r="1758" spans="1:38" ht="15" customHeight="1" outlineLevel="1" x14ac:dyDescent="0.2">
      <c r="A1758" s="403"/>
      <c r="B1758" s="403"/>
      <c r="C1758" s="403"/>
      <c r="D1758" s="404"/>
      <c r="E1758" s="405"/>
      <c r="F1758" s="405"/>
      <c r="G1758" s="403"/>
      <c r="H1758" s="406"/>
      <c r="I1758" s="406"/>
      <c r="J1758" s="406"/>
      <c r="K1758" s="304"/>
      <c r="L1758" s="372"/>
      <c r="M1758" s="372"/>
      <c r="N1758" s="372"/>
      <c r="O1758" s="372"/>
      <c r="P1758" s="372"/>
      <c r="Q1758" s="304"/>
      <c r="R1758" s="304"/>
      <c r="S1758" s="304"/>
      <c r="T1758" s="304"/>
      <c r="U1758" s="304"/>
      <c r="V1758" s="304"/>
      <c r="AL1758" s="372" t="str">
        <f t="shared" si="57"/>
        <v/>
      </c>
    </row>
    <row r="1759" spans="1:38" ht="15" customHeight="1" outlineLevel="1" x14ac:dyDescent="0.2">
      <c r="A1759" s="403"/>
      <c r="B1759" s="403"/>
      <c r="C1759" s="403"/>
      <c r="D1759" s="404"/>
      <c r="E1759" s="405"/>
      <c r="F1759" s="405"/>
      <c r="G1759" s="403"/>
      <c r="H1759" s="406"/>
      <c r="I1759" s="406"/>
      <c r="J1759" s="406"/>
      <c r="K1759" s="304"/>
      <c r="L1759" s="372"/>
      <c r="M1759" s="372"/>
      <c r="N1759" s="372"/>
      <c r="O1759" s="372"/>
      <c r="P1759" s="372"/>
      <c r="Q1759" s="304"/>
      <c r="R1759" s="304"/>
      <c r="S1759" s="304"/>
      <c r="T1759" s="304"/>
      <c r="U1759" s="304"/>
      <c r="V1759" s="304"/>
      <c r="AL1759" s="372" t="str">
        <f t="shared" si="57"/>
        <v/>
      </c>
    </row>
    <row r="1760" spans="1:38" ht="15" customHeight="1" outlineLevel="1" x14ac:dyDescent="0.2">
      <c r="A1760" s="403"/>
      <c r="B1760" s="403"/>
      <c r="C1760" s="403"/>
      <c r="D1760" s="404"/>
      <c r="E1760" s="405"/>
      <c r="F1760" s="405"/>
      <c r="G1760" s="403"/>
      <c r="H1760" s="406"/>
      <c r="I1760" s="406"/>
      <c r="J1760" s="406"/>
      <c r="K1760" s="304"/>
      <c r="L1760" s="372"/>
      <c r="M1760" s="372"/>
      <c r="N1760" s="372"/>
      <c r="O1760" s="372"/>
      <c r="P1760" s="372"/>
      <c r="Q1760" s="304"/>
      <c r="R1760" s="304"/>
      <c r="S1760" s="304"/>
      <c r="T1760" s="304"/>
      <c r="U1760" s="304"/>
      <c r="V1760" s="304"/>
      <c r="AL1760" s="372" t="str">
        <f t="shared" si="57"/>
        <v/>
      </c>
    </row>
    <row r="1761" spans="1:38" ht="15" customHeight="1" outlineLevel="1" x14ac:dyDescent="0.2">
      <c r="A1761" s="403"/>
      <c r="B1761" s="403"/>
      <c r="C1761" s="403"/>
      <c r="D1761" s="404"/>
      <c r="E1761" s="405"/>
      <c r="F1761" s="405"/>
      <c r="G1761" s="403"/>
      <c r="H1761" s="406"/>
      <c r="I1761" s="406"/>
      <c r="J1761" s="406"/>
      <c r="K1761" s="304"/>
      <c r="L1761" s="372"/>
      <c r="M1761" s="372"/>
      <c r="N1761" s="372"/>
      <c r="O1761" s="372"/>
      <c r="P1761" s="372"/>
      <c r="Q1761" s="304"/>
      <c r="R1761" s="304"/>
      <c r="S1761" s="304"/>
      <c r="T1761" s="304"/>
      <c r="U1761" s="304"/>
      <c r="V1761" s="304"/>
      <c r="AL1761" s="372" t="str">
        <f t="shared" si="57"/>
        <v/>
      </c>
    </row>
    <row r="1762" spans="1:38" ht="15" customHeight="1" outlineLevel="1" x14ac:dyDescent="0.2">
      <c r="A1762" s="403"/>
      <c r="B1762" s="403"/>
      <c r="C1762" s="403"/>
      <c r="D1762" s="404"/>
      <c r="E1762" s="405"/>
      <c r="F1762" s="405"/>
      <c r="G1762" s="403"/>
      <c r="H1762" s="406"/>
      <c r="I1762" s="406"/>
      <c r="J1762" s="406"/>
      <c r="K1762" s="304"/>
      <c r="L1762" s="372"/>
      <c r="M1762" s="372"/>
      <c r="N1762" s="372"/>
      <c r="O1762" s="372"/>
      <c r="P1762" s="372"/>
      <c r="Q1762" s="304"/>
      <c r="R1762" s="304"/>
      <c r="S1762" s="304"/>
      <c r="T1762" s="304"/>
      <c r="U1762" s="304"/>
      <c r="V1762" s="304"/>
      <c r="AL1762" s="372" t="str">
        <f t="shared" si="57"/>
        <v/>
      </c>
    </row>
    <row r="1763" spans="1:38" ht="15" customHeight="1" outlineLevel="1" x14ac:dyDescent="0.2">
      <c r="A1763" s="403"/>
      <c r="B1763" s="403"/>
      <c r="C1763" s="403"/>
      <c r="D1763" s="404"/>
      <c r="E1763" s="405"/>
      <c r="F1763" s="405"/>
      <c r="G1763" s="403"/>
      <c r="H1763" s="406"/>
      <c r="I1763" s="406"/>
      <c r="J1763" s="406"/>
      <c r="K1763" s="304"/>
      <c r="L1763" s="372"/>
      <c r="M1763" s="372"/>
      <c r="N1763" s="372"/>
      <c r="O1763" s="372"/>
      <c r="P1763" s="372"/>
      <c r="Q1763" s="304"/>
      <c r="R1763" s="304"/>
      <c r="S1763" s="304"/>
      <c r="T1763" s="304"/>
      <c r="U1763" s="304"/>
      <c r="V1763" s="304"/>
      <c r="AL1763" s="372" t="str">
        <f t="shared" si="57"/>
        <v/>
      </c>
    </row>
    <row r="1764" spans="1:38" ht="15" customHeight="1" outlineLevel="1" x14ac:dyDescent="0.2">
      <c r="A1764" s="403"/>
      <c r="B1764" s="403"/>
      <c r="C1764" s="403"/>
      <c r="D1764" s="404"/>
      <c r="E1764" s="405"/>
      <c r="F1764" s="405"/>
      <c r="G1764" s="403"/>
      <c r="H1764" s="406"/>
      <c r="I1764" s="406"/>
      <c r="J1764" s="406"/>
      <c r="K1764" s="304"/>
      <c r="L1764" s="372"/>
      <c r="M1764" s="372"/>
      <c r="N1764" s="372"/>
      <c r="O1764" s="372"/>
      <c r="P1764" s="372"/>
      <c r="Q1764" s="304"/>
      <c r="R1764" s="304"/>
      <c r="S1764" s="304"/>
      <c r="T1764" s="304"/>
      <c r="U1764" s="304"/>
      <c r="V1764" s="304"/>
      <c r="AL1764" s="372" t="str">
        <f t="shared" si="57"/>
        <v/>
      </c>
    </row>
    <row r="1765" spans="1:38" ht="15" customHeight="1" outlineLevel="1" x14ac:dyDescent="0.2">
      <c r="A1765" s="403"/>
      <c r="B1765" s="403"/>
      <c r="C1765" s="403"/>
      <c r="D1765" s="404"/>
      <c r="E1765" s="405"/>
      <c r="F1765" s="405"/>
      <c r="G1765" s="403"/>
      <c r="H1765" s="406"/>
      <c r="I1765" s="406"/>
      <c r="J1765" s="406"/>
      <c r="K1765" s="304"/>
      <c r="L1765" s="372"/>
      <c r="M1765" s="372"/>
      <c r="N1765" s="372"/>
      <c r="O1765" s="372"/>
      <c r="P1765" s="372"/>
      <c r="Q1765" s="304"/>
      <c r="R1765" s="304"/>
      <c r="S1765" s="304"/>
      <c r="T1765" s="304"/>
      <c r="U1765" s="304"/>
      <c r="V1765" s="304"/>
      <c r="AL1765" s="372" t="str">
        <f t="shared" si="57"/>
        <v/>
      </c>
    </row>
    <row r="1766" spans="1:38" ht="15" customHeight="1" outlineLevel="1" x14ac:dyDescent="0.2">
      <c r="A1766" s="403"/>
      <c r="B1766" s="403"/>
      <c r="C1766" s="403"/>
      <c r="D1766" s="404"/>
      <c r="E1766" s="405"/>
      <c r="F1766" s="405"/>
      <c r="G1766" s="403"/>
      <c r="H1766" s="406"/>
      <c r="I1766" s="406"/>
      <c r="J1766" s="406"/>
      <c r="K1766" s="304"/>
      <c r="L1766" s="372"/>
      <c r="M1766" s="372"/>
      <c r="N1766" s="372"/>
      <c r="O1766" s="372"/>
      <c r="P1766" s="372"/>
      <c r="Q1766" s="304"/>
      <c r="R1766" s="304"/>
      <c r="S1766" s="304"/>
      <c r="T1766" s="304"/>
      <c r="U1766" s="304"/>
      <c r="V1766" s="304"/>
      <c r="AL1766" s="372" t="str">
        <f t="shared" si="57"/>
        <v/>
      </c>
    </row>
    <row r="1767" spans="1:38" ht="15" customHeight="1" outlineLevel="1" x14ac:dyDescent="0.2">
      <c r="A1767" s="403"/>
      <c r="B1767" s="403"/>
      <c r="C1767" s="403"/>
      <c r="D1767" s="404"/>
      <c r="E1767" s="405"/>
      <c r="F1767" s="405"/>
      <c r="G1767" s="403"/>
      <c r="H1767" s="406"/>
      <c r="I1767" s="406"/>
      <c r="J1767" s="406"/>
      <c r="K1767" s="304"/>
      <c r="L1767" s="372"/>
      <c r="M1767" s="372"/>
      <c r="N1767" s="372"/>
      <c r="O1767" s="372"/>
      <c r="P1767" s="372"/>
      <c r="Q1767" s="304"/>
      <c r="R1767" s="304"/>
      <c r="S1767" s="304"/>
      <c r="T1767" s="304"/>
      <c r="U1767" s="304"/>
      <c r="V1767" s="304"/>
      <c r="AL1767" s="372" t="str">
        <f t="shared" si="57"/>
        <v/>
      </c>
    </row>
    <row r="1768" spans="1:38" ht="15" customHeight="1" outlineLevel="1" x14ac:dyDescent="0.2">
      <c r="A1768" s="403"/>
      <c r="B1768" s="403"/>
      <c r="C1768" s="403"/>
      <c r="D1768" s="404"/>
      <c r="E1768" s="405"/>
      <c r="F1768" s="405"/>
      <c r="G1768" s="403"/>
      <c r="H1768" s="406"/>
      <c r="I1768" s="406"/>
      <c r="J1768" s="406"/>
      <c r="K1768" s="304"/>
      <c r="L1768" s="372"/>
      <c r="M1768" s="372"/>
      <c r="N1768" s="372"/>
      <c r="O1768" s="372"/>
      <c r="P1768" s="372"/>
      <c r="Q1768" s="304"/>
      <c r="R1768" s="304"/>
      <c r="S1768" s="304"/>
      <c r="T1768" s="304"/>
      <c r="U1768" s="304"/>
      <c r="V1768" s="304"/>
      <c r="AL1768" s="372" t="str">
        <f t="shared" si="57"/>
        <v/>
      </c>
    </row>
    <row r="1769" spans="1:38" ht="15" customHeight="1" outlineLevel="1" x14ac:dyDescent="0.2">
      <c r="A1769" s="403"/>
      <c r="B1769" s="403"/>
      <c r="C1769" s="403"/>
      <c r="D1769" s="404"/>
      <c r="E1769" s="405"/>
      <c r="F1769" s="405"/>
      <c r="G1769" s="403"/>
      <c r="H1769" s="406"/>
      <c r="I1769" s="406"/>
      <c r="J1769" s="406"/>
      <c r="K1769" s="304"/>
      <c r="L1769" s="372"/>
      <c r="M1769" s="372"/>
      <c r="N1769" s="372"/>
      <c r="O1769" s="372"/>
      <c r="P1769" s="372"/>
      <c r="Q1769" s="304"/>
      <c r="R1769" s="304"/>
      <c r="S1769" s="304"/>
      <c r="T1769" s="304"/>
      <c r="U1769" s="304"/>
      <c r="V1769" s="304"/>
      <c r="AL1769" s="372" t="str">
        <f t="shared" si="57"/>
        <v/>
      </c>
    </row>
    <row r="1770" spans="1:38" ht="15" customHeight="1" outlineLevel="1" x14ac:dyDescent="0.2">
      <c r="A1770" s="403"/>
      <c r="B1770" s="403"/>
      <c r="C1770" s="403"/>
      <c r="D1770" s="404"/>
      <c r="E1770" s="405"/>
      <c r="F1770" s="405"/>
      <c r="G1770" s="403"/>
      <c r="H1770" s="406"/>
      <c r="I1770" s="406"/>
      <c r="J1770" s="406"/>
      <c r="K1770" s="304"/>
      <c r="L1770" s="372"/>
      <c r="M1770" s="372"/>
      <c r="N1770" s="372"/>
      <c r="O1770" s="372"/>
      <c r="P1770" s="372"/>
      <c r="Q1770" s="304"/>
      <c r="R1770" s="304"/>
      <c r="S1770" s="304"/>
      <c r="T1770" s="304"/>
      <c r="U1770" s="304"/>
      <c r="V1770" s="304"/>
      <c r="AL1770" s="372" t="str">
        <f t="shared" si="57"/>
        <v/>
      </c>
    </row>
    <row r="1771" spans="1:38" ht="15" customHeight="1" outlineLevel="1" x14ac:dyDescent="0.2">
      <c r="A1771" s="403"/>
      <c r="B1771" s="403"/>
      <c r="C1771" s="403"/>
      <c r="D1771" s="404"/>
      <c r="E1771" s="405"/>
      <c r="F1771" s="405"/>
      <c r="G1771" s="403"/>
      <c r="H1771" s="406"/>
      <c r="I1771" s="406"/>
      <c r="J1771" s="406"/>
      <c r="K1771" s="304"/>
      <c r="L1771" s="372"/>
      <c r="M1771" s="372"/>
      <c r="N1771" s="372"/>
      <c r="O1771" s="372"/>
      <c r="P1771" s="372"/>
      <c r="Q1771" s="304"/>
      <c r="R1771" s="304"/>
      <c r="S1771" s="304"/>
      <c r="T1771" s="304"/>
      <c r="U1771" s="304"/>
      <c r="V1771" s="304"/>
      <c r="AL1771" s="372" t="str">
        <f t="shared" si="57"/>
        <v/>
      </c>
    </row>
    <row r="1772" spans="1:38" ht="15" customHeight="1" outlineLevel="1" x14ac:dyDescent="0.2">
      <c r="A1772" s="403"/>
      <c r="B1772" s="403"/>
      <c r="C1772" s="403"/>
      <c r="D1772" s="404"/>
      <c r="E1772" s="405"/>
      <c r="F1772" s="405"/>
      <c r="G1772" s="403"/>
      <c r="H1772" s="406"/>
      <c r="I1772" s="406"/>
      <c r="J1772" s="406"/>
      <c r="K1772" s="304"/>
      <c r="L1772" s="372"/>
      <c r="M1772" s="372"/>
      <c r="N1772" s="372"/>
      <c r="O1772" s="372"/>
      <c r="P1772" s="372"/>
      <c r="Q1772" s="304"/>
      <c r="R1772" s="304"/>
      <c r="S1772" s="304"/>
      <c r="T1772" s="304"/>
      <c r="U1772" s="304"/>
      <c r="V1772" s="304"/>
      <c r="AL1772" s="372" t="str">
        <f t="shared" si="57"/>
        <v/>
      </c>
    </row>
    <row r="1775" spans="1:38" ht="15" customHeight="1" x14ac:dyDescent="0.2">
      <c r="A1775" s="7" t="s">
        <v>1431</v>
      </c>
    </row>
    <row r="1776" spans="1:38" ht="68.25" customHeight="1" x14ac:dyDescent="0.2">
      <c r="A1776" s="116" t="s">
        <v>1432</v>
      </c>
    </row>
    <row r="1777" spans="1:7" ht="15" customHeight="1" x14ac:dyDescent="0.2">
      <c r="A1777" s="381" t="s">
        <v>1433</v>
      </c>
      <c r="B1777" s="381" t="s">
        <v>1434</v>
      </c>
      <c r="C1777" s="381" t="s">
        <v>1435</v>
      </c>
      <c r="D1777" s="381" t="s">
        <v>1436</v>
      </c>
      <c r="E1777" s="381" t="s">
        <v>1437</v>
      </c>
      <c r="F1777" s="381" t="s">
        <v>1438</v>
      </c>
      <c r="G1777" s="381" t="s">
        <v>1374</v>
      </c>
    </row>
    <row r="1778" spans="1:7" ht="34.5" customHeight="1" x14ac:dyDescent="0.2">
      <c r="A1778" s="116" t="s">
        <v>943</v>
      </c>
      <c r="B1778" s="116" t="s">
        <v>1439</v>
      </c>
      <c r="C1778" s="121">
        <v>1</v>
      </c>
      <c r="D1778" s="385">
        <f>SUM(W273:W1772)*C1778</f>
        <v>0</v>
      </c>
      <c r="E1778" s="385">
        <f>'Recapture &amp; Upside'!C60</f>
        <v>0</v>
      </c>
      <c r="F1778" s="385">
        <f t="shared" ref="F1778:F1793" si="58">D1778-E1778</f>
        <v>0</v>
      </c>
      <c r="G1778" s="116" t="s">
        <v>1440</v>
      </c>
    </row>
    <row r="1779" spans="1:7" ht="15" customHeight="1" x14ac:dyDescent="0.2">
      <c r="A1779" s="116" t="s">
        <v>944</v>
      </c>
      <c r="B1779" s="116" t="s">
        <v>1441</v>
      </c>
      <c r="C1779" s="121">
        <v>1</v>
      </c>
      <c r="D1779" s="385">
        <f>SUM(X273:X1772)*C1779</f>
        <v>0</v>
      </c>
      <c r="E1779" s="385">
        <f>'Recapture &amp; Upside'!C58</f>
        <v>0</v>
      </c>
      <c r="F1779" s="385">
        <f t="shared" si="58"/>
        <v>0</v>
      </c>
      <c r="G1779" s="116" t="s">
        <v>1442</v>
      </c>
    </row>
    <row r="1780" spans="1:7" ht="15" customHeight="1" x14ac:dyDescent="0.2">
      <c r="A1780" s="116" t="s">
        <v>945</v>
      </c>
      <c r="B1780" s="116" t="s">
        <v>1042</v>
      </c>
      <c r="C1780" s="121">
        <v>1</v>
      </c>
      <c r="D1780" s="385">
        <f>SUM(Y273:Y1772)*C1780</f>
        <v>0</v>
      </c>
      <c r="E1780" s="385">
        <f>'Recapture &amp; Upside'!C39</f>
        <v>0</v>
      </c>
      <c r="F1780" s="385">
        <f t="shared" si="58"/>
        <v>0</v>
      </c>
      <c r="G1780" s="116" t="s">
        <v>1443</v>
      </c>
    </row>
    <row r="1781" spans="1:7" ht="23.25" customHeight="1" x14ac:dyDescent="0.2">
      <c r="A1781" s="116" t="s">
        <v>946</v>
      </c>
      <c r="B1781" s="116" t="s">
        <v>1444</v>
      </c>
      <c r="C1781" s="121">
        <v>12</v>
      </c>
      <c r="D1781" s="385">
        <f>SUM(Z273:Z1772)*C1781</f>
        <v>0</v>
      </c>
      <c r="E1781" s="385">
        <f>'Recapture &amp; Upside'!C20</f>
        <v>0</v>
      </c>
      <c r="F1781" s="385">
        <f t="shared" si="58"/>
        <v>0</v>
      </c>
      <c r="G1781" s="116" t="s">
        <v>1445</v>
      </c>
    </row>
    <row r="1782" spans="1:7" ht="15" customHeight="1" x14ac:dyDescent="0.2">
      <c r="A1782" s="116" t="s">
        <v>947</v>
      </c>
      <c r="B1782" s="116" t="s">
        <v>1446</v>
      </c>
      <c r="C1782" s="121">
        <v>12</v>
      </c>
      <c r="D1782" s="385">
        <f>SUM(AA273:AA1772)*C1782</f>
        <v>0</v>
      </c>
      <c r="E1782" s="385">
        <f>'Recapture &amp; Upside'!C35</f>
        <v>0</v>
      </c>
      <c r="F1782" s="385">
        <f t="shared" si="58"/>
        <v>0</v>
      </c>
    </row>
    <row r="1783" spans="1:7" ht="23.25" customHeight="1" x14ac:dyDescent="0.2">
      <c r="A1783" s="116" t="s">
        <v>948</v>
      </c>
      <c r="B1783" s="116" t="s">
        <v>1447</v>
      </c>
      <c r="C1783" s="121">
        <v>12</v>
      </c>
      <c r="D1783" s="385">
        <f>SUM(AB273:AB1772)*C1783</f>
        <v>0</v>
      </c>
      <c r="E1783" s="385">
        <f>'Recapture &amp; Upside'!C36+'Recapture &amp; Upside'!C37+'Recapture &amp; Upside'!C38</f>
        <v>0</v>
      </c>
      <c r="F1783" s="385">
        <f t="shared" si="58"/>
        <v>0</v>
      </c>
      <c r="G1783" s="116" t="s">
        <v>1448</v>
      </c>
    </row>
    <row r="1784" spans="1:7" ht="15" customHeight="1" x14ac:dyDescent="0.2">
      <c r="A1784" s="116" t="s">
        <v>949</v>
      </c>
      <c r="B1784" s="116" t="s">
        <v>1449</v>
      </c>
      <c r="C1784" s="121">
        <v>12</v>
      </c>
      <c r="D1784" s="385">
        <f>SUM(AC273:AC1772)*C1784</f>
        <v>0</v>
      </c>
      <c r="E1784" s="385">
        <f>'Recapture &amp; Upside'!C40+'Recapture &amp; Upside'!C41</f>
        <v>0</v>
      </c>
      <c r="F1784" s="385">
        <f t="shared" si="58"/>
        <v>0</v>
      </c>
      <c r="G1784" s="116" t="s">
        <v>1450</v>
      </c>
    </row>
    <row r="1785" spans="1:7" ht="15" customHeight="1" x14ac:dyDescent="0.2">
      <c r="A1785" s="116" t="s">
        <v>950</v>
      </c>
      <c r="B1785" s="116" t="s">
        <v>1451</v>
      </c>
      <c r="C1785" s="121">
        <v>1</v>
      </c>
      <c r="D1785" s="385">
        <f>SUM(AD273:AD1772)*C1785</f>
        <v>0</v>
      </c>
      <c r="E1785" s="385">
        <f>'Recapture &amp; Upside'!C63</f>
        <v>0</v>
      </c>
      <c r="F1785" s="385">
        <f t="shared" si="58"/>
        <v>0</v>
      </c>
      <c r="G1785" s="116" t="s">
        <v>1442</v>
      </c>
    </row>
    <row r="1786" spans="1:7" ht="15" customHeight="1" x14ac:dyDescent="0.2">
      <c r="A1786" s="116" t="s">
        <v>951</v>
      </c>
      <c r="B1786" s="116" t="s">
        <v>1452</v>
      </c>
      <c r="C1786" s="121">
        <v>12</v>
      </c>
      <c r="D1786" s="385">
        <f>SUM(AE273:AE1772)*C1786</f>
        <v>0</v>
      </c>
      <c r="E1786" s="385">
        <f>'Recapture &amp; Upside'!C42</f>
        <v>0</v>
      </c>
      <c r="F1786" s="385">
        <f t="shared" si="58"/>
        <v>0</v>
      </c>
    </row>
    <row r="1787" spans="1:7" ht="23.25" customHeight="1" x14ac:dyDescent="0.2">
      <c r="A1787" s="116" t="s">
        <v>952</v>
      </c>
      <c r="B1787" s="116" t="s">
        <v>1453</v>
      </c>
      <c r="C1787" s="121">
        <v>12</v>
      </c>
      <c r="D1787" s="385">
        <f>SUM(AF273:AF1772)*C1787</f>
        <v>0</v>
      </c>
      <c r="E1787" s="385">
        <f>'Recapture &amp; Upside'!C52</f>
        <v>0</v>
      </c>
      <c r="F1787" s="385">
        <f t="shared" si="58"/>
        <v>0</v>
      </c>
      <c r="G1787" s="116" t="s">
        <v>1454</v>
      </c>
    </row>
    <row r="1788" spans="1:7" ht="15" customHeight="1" x14ac:dyDescent="0.2">
      <c r="A1788" s="116" t="s">
        <v>324</v>
      </c>
      <c r="B1788" s="116" t="s">
        <v>1455</v>
      </c>
      <c r="C1788" s="121">
        <v>12</v>
      </c>
      <c r="D1788" s="385">
        <f>SUM(AG273:AG1772)*C1788</f>
        <v>0</v>
      </c>
      <c r="E1788" s="385">
        <f>'Recapture &amp; Upside'!C45</f>
        <v>0</v>
      </c>
      <c r="F1788" s="385">
        <f t="shared" si="58"/>
        <v>0</v>
      </c>
    </row>
    <row r="1789" spans="1:7" ht="15" customHeight="1" x14ac:dyDescent="0.2">
      <c r="A1789" s="116" t="s">
        <v>323</v>
      </c>
      <c r="B1789" s="116" t="s">
        <v>1456</v>
      </c>
      <c r="C1789" s="121">
        <v>12</v>
      </c>
      <c r="D1789" s="385">
        <f>SUM(AH273:AH1772)*C1789</f>
        <v>0</v>
      </c>
      <c r="E1789" s="385">
        <f>'Recapture &amp; Upside'!C44</f>
        <v>0</v>
      </c>
      <c r="F1789" s="385">
        <f t="shared" si="58"/>
        <v>0</v>
      </c>
    </row>
    <row r="1790" spans="1:7" ht="15" customHeight="1" x14ac:dyDescent="0.2">
      <c r="A1790" s="116" t="s">
        <v>325</v>
      </c>
      <c r="B1790" s="116" t="s">
        <v>1457</v>
      </c>
      <c r="C1790" s="121">
        <v>12</v>
      </c>
      <c r="D1790" s="385">
        <f>SUM(AI273:AI1772)*C1790</f>
        <v>0</v>
      </c>
      <c r="E1790" s="385">
        <f>'Recapture &amp; Upside'!C46</f>
        <v>0</v>
      </c>
      <c r="F1790" s="385">
        <f t="shared" si="58"/>
        <v>0</v>
      </c>
    </row>
    <row r="1791" spans="1:7" ht="15" customHeight="1" x14ac:dyDescent="0.2">
      <c r="A1791" s="116" t="s">
        <v>1430</v>
      </c>
      <c r="B1791" s="116" t="s">
        <v>1458</v>
      </c>
      <c r="C1791" s="121">
        <v>12</v>
      </c>
      <c r="D1791" s="385">
        <f>SUM(AJ273:AJ1772)*C1791</f>
        <v>0</v>
      </c>
      <c r="E1791" s="385">
        <f>'Recapture &amp; Upside'!C49</f>
        <v>0</v>
      </c>
      <c r="F1791" s="385">
        <f t="shared" si="58"/>
        <v>0</v>
      </c>
    </row>
    <row r="1792" spans="1:7" ht="15" customHeight="1" x14ac:dyDescent="0.2">
      <c r="A1792" s="116" t="s">
        <v>336</v>
      </c>
      <c r="B1792" s="116" t="s">
        <v>1459</v>
      </c>
      <c r="C1792" s="121">
        <v>1</v>
      </c>
      <c r="D1792" s="385">
        <f>SUM(AK273:AK1772)*C1792</f>
        <v>0</v>
      </c>
      <c r="E1792" s="385">
        <f>'Recapture &amp; Upside'!C61</f>
        <v>0</v>
      </c>
      <c r="F1792" s="385">
        <f t="shared" si="58"/>
        <v>0</v>
      </c>
      <c r="G1792" s="116" t="s">
        <v>1460</v>
      </c>
    </row>
    <row r="1793" spans="1:6" ht="15" customHeight="1" x14ac:dyDescent="0.2">
      <c r="A1793" s="116" t="s">
        <v>49</v>
      </c>
      <c r="D1793" s="385">
        <f>SUM(D1778:D1792)</f>
        <v>0</v>
      </c>
      <c r="E1793" s="385">
        <f>SUM(E1778:E1792)</f>
        <v>0</v>
      </c>
      <c r="F1793" s="385">
        <f t="shared" si="58"/>
        <v>0</v>
      </c>
    </row>
    <row r="1795" spans="1:6" ht="15" customHeight="1" x14ac:dyDescent="0.2">
      <c r="A1795" s="116" t="s">
        <v>1461</v>
      </c>
      <c r="E1795" s="385">
        <f>'Recapture &amp; Upside'!C53+'Recapture &amp; Upside'!C65</f>
        <v>0</v>
      </c>
    </row>
    <row r="1796" spans="1:6" ht="15" customHeight="1" x14ac:dyDescent="0.2">
      <c r="A1796" s="116" t="s">
        <v>1462</v>
      </c>
      <c r="E1796" s="385">
        <f>D1793</f>
        <v>0</v>
      </c>
    </row>
    <row r="1797" spans="1:6" ht="15" customHeight="1" x14ac:dyDescent="0.2">
      <c r="A1797" s="116" t="s">
        <v>1463</v>
      </c>
      <c r="E1797" s="385">
        <f>E1796-E1795</f>
        <v>0</v>
      </c>
    </row>
    <row r="1800" spans="1:6" x14ac:dyDescent="0.2">
      <c r="A1800" s="379" t="s">
        <v>2400</v>
      </c>
      <c r="B1800" s="379" t="s">
        <v>2401</v>
      </c>
      <c r="C1800" s="379" t="s">
        <v>2402</v>
      </c>
      <c r="D1800" s="379" t="s">
        <v>2403</v>
      </c>
    </row>
    <row r="1801" spans="1:6" x14ac:dyDescent="0.2">
      <c r="B1801" s="406" t="e">
        <f t="shared" ref="B1801:B1832" si="59">IFERROR(IF((ROW()-1800)&lt;=MIN($AG$246,$AG$247),INT(_xlfn.AGGREGATE(14,6,$AL$273:$AL$1772,ROW()-1800)/100000),NA()),NA())</f>
        <v>#N/A</v>
      </c>
      <c r="C1801" s="372" t="e">
        <f t="shared" ref="C1801:C1832" si="60">IFERROR(IF((ROW()-1800)&lt;=MIN($AG$246,$AG$247),INDEX($N$273:$N$1772,MOD(_xlfn.AGGREGATE(14,6,$AL$273:$AL$1772,ROW()-1800),100000)-272),NA()),NA())</f>
        <v>#N/A</v>
      </c>
      <c r="D1801" s="372" t="e">
        <f t="shared" ref="D1801:D1832" si="61">IF((ROW()-1800)&lt;=MIN($AG$246,$AG$247),$AG$248,NA())</f>
        <v>#N/A</v>
      </c>
    </row>
    <row r="1802" spans="1:6" x14ac:dyDescent="0.2">
      <c r="B1802" s="406" t="e">
        <f t="shared" si="59"/>
        <v>#N/A</v>
      </c>
      <c r="C1802" s="372" t="e">
        <f t="shared" si="60"/>
        <v>#N/A</v>
      </c>
      <c r="D1802" s="372" t="e">
        <f t="shared" si="61"/>
        <v>#N/A</v>
      </c>
    </row>
    <row r="1803" spans="1:6" x14ac:dyDescent="0.2">
      <c r="B1803" s="406" t="e">
        <f t="shared" si="59"/>
        <v>#N/A</v>
      </c>
      <c r="C1803" s="372" t="e">
        <f t="shared" si="60"/>
        <v>#N/A</v>
      </c>
      <c r="D1803" s="372" t="e">
        <f t="shared" si="61"/>
        <v>#N/A</v>
      </c>
    </row>
    <row r="1804" spans="1:6" x14ac:dyDescent="0.2">
      <c r="B1804" s="406" t="e">
        <f t="shared" si="59"/>
        <v>#N/A</v>
      </c>
      <c r="C1804" s="372" t="e">
        <f t="shared" si="60"/>
        <v>#N/A</v>
      </c>
      <c r="D1804" s="372" t="e">
        <f t="shared" si="61"/>
        <v>#N/A</v>
      </c>
    </row>
    <row r="1805" spans="1:6" x14ac:dyDescent="0.2">
      <c r="B1805" s="406" t="e">
        <f t="shared" si="59"/>
        <v>#N/A</v>
      </c>
      <c r="C1805" s="372" t="e">
        <f t="shared" si="60"/>
        <v>#N/A</v>
      </c>
      <c r="D1805" s="372" t="e">
        <f t="shared" si="61"/>
        <v>#N/A</v>
      </c>
    </row>
    <row r="1806" spans="1:6" x14ac:dyDescent="0.2">
      <c r="B1806" s="406" t="e">
        <f t="shared" si="59"/>
        <v>#N/A</v>
      </c>
      <c r="C1806" s="372" t="e">
        <f t="shared" si="60"/>
        <v>#N/A</v>
      </c>
      <c r="D1806" s="372" t="e">
        <f t="shared" si="61"/>
        <v>#N/A</v>
      </c>
    </row>
    <row r="1807" spans="1:6" x14ac:dyDescent="0.2">
      <c r="B1807" s="406" t="e">
        <f t="shared" si="59"/>
        <v>#N/A</v>
      </c>
      <c r="C1807" s="372" t="e">
        <f t="shared" si="60"/>
        <v>#N/A</v>
      </c>
      <c r="D1807" s="372" t="e">
        <f t="shared" si="61"/>
        <v>#N/A</v>
      </c>
    </row>
    <row r="1808" spans="1:6" x14ac:dyDescent="0.2">
      <c r="B1808" s="406" t="e">
        <f t="shared" si="59"/>
        <v>#N/A</v>
      </c>
      <c r="C1808" s="372" t="e">
        <f t="shared" si="60"/>
        <v>#N/A</v>
      </c>
      <c r="D1808" s="372" t="e">
        <f t="shared" si="61"/>
        <v>#N/A</v>
      </c>
    </row>
    <row r="1809" spans="2:4" x14ac:dyDescent="0.2">
      <c r="B1809" s="406" t="e">
        <f t="shared" si="59"/>
        <v>#N/A</v>
      </c>
      <c r="C1809" s="372" t="e">
        <f t="shared" si="60"/>
        <v>#N/A</v>
      </c>
      <c r="D1809" s="372" t="e">
        <f t="shared" si="61"/>
        <v>#N/A</v>
      </c>
    </row>
    <row r="1810" spans="2:4" x14ac:dyDescent="0.2">
      <c r="B1810" s="406" t="e">
        <f t="shared" si="59"/>
        <v>#N/A</v>
      </c>
      <c r="C1810" s="372" t="e">
        <f t="shared" si="60"/>
        <v>#N/A</v>
      </c>
      <c r="D1810" s="372" t="e">
        <f t="shared" si="61"/>
        <v>#N/A</v>
      </c>
    </row>
    <row r="1811" spans="2:4" x14ac:dyDescent="0.2">
      <c r="B1811" s="406" t="e">
        <f t="shared" si="59"/>
        <v>#N/A</v>
      </c>
      <c r="C1811" s="372" t="e">
        <f t="shared" si="60"/>
        <v>#N/A</v>
      </c>
      <c r="D1811" s="372" t="e">
        <f t="shared" si="61"/>
        <v>#N/A</v>
      </c>
    </row>
    <row r="1812" spans="2:4" x14ac:dyDescent="0.2">
      <c r="B1812" s="406" t="e">
        <f t="shared" si="59"/>
        <v>#N/A</v>
      </c>
      <c r="C1812" s="372" t="e">
        <f t="shared" si="60"/>
        <v>#N/A</v>
      </c>
      <c r="D1812" s="372" t="e">
        <f t="shared" si="61"/>
        <v>#N/A</v>
      </c>
    </row>
    <row r="1813" spans="2:4" x14ac:dyDescent="0.2">
      <c r="B1813" s="406" t="e">
        <f t="shared" si="59"/>
        <v>#N/A</v>
      </c>
      <c r="C1813" s="372" t="e">
        <f t="shared" si="60"/>
        <v>#N/A</v>
      </c>
      <c r="D1813" s="372" t="e">
        <f t="shared" si="61"/>
        <v>#N/A</v>
      </c>
    </row>
    <row r="1814" spans="2:4" x14ac:dyDescent="0.2">
      <c r="B1814" s="406" t="e">
        <f t="shared" si="59"/>
        <v>#N/A</v>
      </c>
      <c r="C1814" s="372" t="e">
        <f t="shared" si="60"/>
        <v>#N/A</v>
      </c>
      <c r="D1814" s="372" t="e">
        <f t="shared" si="61"/>
        <v>#N/A</v>
      </c>
    </row>
    <row r="1815" spans="2:4" x14ac:dyDescent="0.2">
      <c r="B1815" s="406" t="e">
        <f t="shared" si="59"/>
        <v>#N/A</v>
      </c>
      <c r="C1815" s="372" t="e">
        <f t="shared" si="60"/>
        <v>#N/A</v>
      </c>
      <c r="D1815" s="372" t="e">
        <f t="shared" si="61"/>
        <v>#N/A</v>
      </c>
    </row>
    <row r="1816" spans="2:4" x14ac:dyDescent="0.2">
      <c r="B1816" s="406" t="e">
        <f t="shared" si="59"/>
        <v>#N/A</v>
      </c>
      <c r="C1816" s="372" t="e">
        <f t="shared" si="60"/>
        <v>#N/A</v>
      </c>
      <c r="D1816" s="372" t="e">
        <f t="shared" si="61"/>
        <v>#N/A</v>
      </c>
    </row>
    <row r="1817" spans="2:4" x14ac:dyDescent="0.2">
      <c r="B1817" s="406" t="e">
        <f t="shared" si="59"/>
        <v>#N/A</v>
      </c>
      <c r="C1817" s="372" t="e">
        <f t="shared" si="60"/>
        <v>#N/A</v>
      </c>
      <c r="D1817" s="372" t="e">
        <f t="shared" si="61"/>
        <v>#N/A</v>
      </c>
    </row>
    <row r="1818" spans="2:4" x14ac:dyDescent="0.2">
      <c r="B1818" s="406" t="e">
        <f t="shared" si="59"/>
        <v>#N/A</v>
      </c>
      <c r="C1818" s="372" t="e">
        <f t="shared" si="60"/>
        <v>#N/A</v>
      </c>
      <c r="D1818" s="372" t="e">
        <f t="shared" si="61"/>
        <v>#N/A</v>
      </c>
    </row>
    <row r="1819" spans="2:4" x14ac:dyDescent="0.2">
      <c r="B1819" s="406" t="e">
        <f t="shared" si="59"/>
        <v>#N/A</v>
      </c>
      <c r="C1819" s="372" t="e">
        <f t="shared" si="60"/>
        <v>#N/A</v>
      </c>
      <c r="D1819" s="372" t="e">
        <f t="shared" si="61"/>
        <v>#N/A</v>
      </c>
    </row>
    <row r="1820" spans="2:4" x14ac:dyDescent="0.2">
      <c r="B1820" s="406" t="e">
        <f t="shared" si="59"/>
        <v>#N/A</v>
      </c>
      <c r="C1820" s="372" t="e">
        <f t="shared" si="60"/>
        <v>#N/A</v>
      </c>
      <c r="D1820" s="372" t="e">
        <f t="shared" si="61"/>
        <v>#N/A</v>
      </c>
    </row>
    <row r="1821" spans="2:4" x14ac:dyDescent="0.2">
      <c r="B1821" s="406" t="e">
        <f t="shared" si="59"/>
        <v>#N/A</v>
      </c>
      <c r="C1821" s="372" t="e">
        <f t="shared" si="60"/>
        <v>#N/A</v>
      </c>
      <c r="D1821" s="372" t="e">
        <f t="shared" si="61"/>
        <v>#N/A</v>
      </c>
    </row>
    <row r="1822" spans="2:4" x14ac:dyDescent="0.2">
      <c r="B1822" s="406" t="e">
        <f t="shared" si="59"/>
        <v>#N/A</v>
      </c>
      <c r="C1822" s="372" t="e">
        <f t="shared" si="60"/>
        <v>#N/A</v>
      </c>
      <c r="D1822" s="372" t="e">
        <f t="shared" si="61"/>
        <v>#N/A</v>
      </c>
    </row>
    <row r="1823" spans="2:4" x14ac:dyDescent="0.2">
      <c r="B1823" s="406" t="e">
        <f t="shared" si="59"/>
        <v>#N/A</v>
      </c>
      <c r="C1823" s="372" t="e">
        <f t="shared" si="60"/>
        <v>#N/A</v>
      </c>
      <c r="D1823" s="372" t="e">
        <f t="shared" si="61"/>
        <v>#N/A</v>
      </c>
    </row>
    <row r="1824" spans="2:4" x14ac:dyDescent="0.2">
      <c r="B1824" s="406" t="e">
        <f t="shared" si="59"/>
        <v>#N/A</v>
      </c>
      <c r="C1824" s="372" t="e">
        <f t="shared" si="60"/>
        <v>#N/A</v>
      </c>
      <c r="D1824" s="372" t="e">
        <f t="shared" si="61"/>
        <v>#N/A</v>
      </c>
    </row>
    <row r="1825" spans="2:4" x14ac:dyDescent="0.2">
      <c r="B1825" s="406" t="e">
        <f t="shared" si="59"/>
        <v>#N/A</v>
      </c>
      <c r="C1825" s="372" t="e">
        <f t="shared" si="60"/>
        <v>#N/A</v>
      </c>
      <c r="D1825" s="372" t="e">
        <f t="shared" si="61"/>
        <v>#N/A</v>
      </c>
    </row>
    <row r="1826" spans="2:4" x14ac:dyDescent="0.2">
      <c r="B1826" s="406" t="e">
        <f t="shared" si="59"/>
        <v>#N/A</v>
      </c>
      <c r="C1826" s="372" t="e">
        <f t="shared" si="60"/>
        <v>#N/A</v>
      </c>
      <c r="D1826" s="372" t="e">
        <f t="shared" si="61"/>
        <v>#N/A</v>
      </c>
    </row>
    <row r="1827" spans="2:4" x14ac:dyDescent="0.2">
      <c r="B1827" s="406" t="e">
        <f t="shared" si="59"/>
        <v>#N/A</v>
      </c>
      <c r="C1827" s="372" t="e">
        <f t="shared" si="60"/>
        <v>#N/A</v>
      </c>
      <c r="D1827" s="372" t="e">
        <f t="shared" si="61"/>
        <v>#N/A</v>
      </c>
    </row>
    <row r="1828" spans="2:4" x14ac:dyDescent="0.2">
      <c r="B1828" s="406" t="e">
        <f t="shared" si="59"/>
        <v>#N/A</v>
      </c>
      <c r="C1828" s="372" t="e">
        <f t="shared" si="60"/>
        <v>#N/A</v>
      </c>
      <c r="D1828" s="372" t="e">
        <f t="shared" si="61"/>
        <v>#N/A</v>
      </c>
    </row>
    <row r="1829" spans="2:4" x14ac:dyDescent="0.2">
      <c r="B1829" s="406" t="e">
        <f t="shared" si="59"/>
        <v>#N/A</v>
      </c>
      <c r="C1829" s="372" t="e">
        <f t="shared" si="60"/>
        <v>#N/A</v>
      </c>
      <c r="D1829" s="372" t="e">
        <f t="shared" si="61"/>
        <v>#N/A</v>
      </c>
    </row>
    <row r="1830" spans="2:4" x14ac:dyDescent="0.2">
      <c r="B1830" s="406" t="e">
        <f t="shared" si="59"/>
        <v>#N/A</v>
      </c>
      <c r="C1830" s="372" t="e">
        <f t="shared" si="60"/>
        <v>#N/A</v>
      </c>
      <c r="D1830" s="372" t="e">
        <f t="shared" si="61"/>
        <v>#N/A</v>
      </c>
    </row>
    <row r="1831" spans="2:4" x14ac:dyDescent="0.2">
      <c r="B1831" s="406" t="e">
        <f t="shared" si="59"/>
        <v>#N/A</v>
      </c>
      <c r="C1831" s="372" t="e">
        <f t="shared" si="60"/>
        <v>#N/A</v>
      </c>
      <c r="D1831" s="372" t="e">
        <f t="shared" si="61"/>
        <v>#N/A</v>
      </c>
    </row>
    <row r="1832" spans="2:4" x14ac:dyDescent="0.2">
      <c r="B1832" s="406" t="e">
        <f t="shared" si="59"/>
        <v>#N/A</v>
      </c>
      <c r="C1832" s="372" t="e">
        <f t="shared" si="60"/>
        <v>#N/A</v>
      </c>
      <c r="D1832" s="372" t="e">
        <f t="shared" si="61"/>
        <v>#N/A</v>
      </c>
    </row>
    <row r="1833" spans="2:4" x14ac:dyDescent="0.2">
      <c r="B1833" s="406" t="e">
        <f t="shared" ref="B1833:B1850" si="62">IFERROR(IF((ROW()-1800)&lt;=MIN($AG$246,$AG$247),INT(_xlfn.AGGREGATE(14,6,$AL$273:$AL$1772,ROW()-1800)/100000),NA()),NA())</f>
        <v>#N/A</v>
      </c>
      <c r="C1833" s="372" t="e">
        <f t="shared" ref="C1833:C1850" si="63">IFERROR(IF((ROW()-1800)&lt;=MIN($AG$246,$AG$247),INDEX($N$273:$N$1772,MOD(_xlfn.AGGREGATE(14,6,$AL$273:$AL$1772,ROW()-1800),100000)-272),NA()),NA())</f>
        <v>#N/A</v>
      </c>
      <c r="D1833" s="372" t="e">
        <f t="shared" ref="D1833:D1850" si="64">IF((ROW()-1800)&lt;=MIN($AG$246,$AG$247),$AG$248,NA())</f>
        <v>#N/A</v>
      </c>
    </row>
    <row r="1834" spans="2:4" x14ac:dyDescent="0.2">
      <c r="B1834" s="406" t="e">
        <f t="shared" si="62"/>
        <v>#N/A</v>
      </c>
      <c r="C1834" s="372" t="e">
        <f t="shared" si="63"/>
        <v>#N/A</v>
      </c>
      <c r="D1834" s="372" t="e">
        <f t="shared" si="64"/>
        <v>#N/A</v>
      </c>
    </row>
    <row r="1835" spans="2:4" x14ac:dyDescent="0.2">
      <c r="B1835" s="406" t="e">
        <f t="shared" si="62"/>
        <v>#N/A</v>
      </c>
      <c r="C1835" s="372" t="e">
        <f t="shared" si="63"/>
        <v>#N/A</v>
      </c>
      <c r="D1835" s="372" t="e">
        <f t="shared" si="64"/>
        <v>#N/A</v>
      </c>
    </row>
    <row r="1836" spans="2:4" x14ac:dyDescent="0.2">
      <c r="B1836" s="406" t="e">
        <f t="shared" si="62"/>
        <v>#N/A</v>
      </c>
      <c r="C1836" s="372" t="e">
        <f t="shared" si="63"/>
        <v>#N/A</v>
      </c>
      <c r="D1836" s="372" t="e">
        <f t="shared" si="64"/>
        <v>#N/A</v>
      </c>
    </row>
    <row r="1837" spans="2:4" x14ac:dyDescent="0.2">
      <c r="B1837" s="406" t="e">
        <f t="shared" si="62"/>
        <v>#N/A</v>
      </c>
      <c r="C1837" s="372" t="e">
        <f t="shared" si="63"/>
        <v>#N/A</v>
      </c>
      <c r="D1837" s="372" t="e">
        <f t="shared" si="64"/>
        <v>#N/A</v>
      </c>
    </row>
    <row r="1838" spans="2:4" x14ac:dyDescent="0.2">
      <c r="B1838" s="406" t="e">
        <f t="shared" si="62"/>
        <v>#N/A</v>
      </c>
      <c r="C1838" s="372" t="e">
        <f t="shared" si="63"/>
        <v>#N/A</v>
      </c>
      <c r="D1838" s="372" t="e">
        <f t="shared" si="64"/>
        <v>#N/A</v>
      </c>
    </row>
    <row r="1839" spans="2:4" x14ac:dyDescent="0.2">
      <c r="B1839" s="406" t="e">
        <f t="shared" si="62"/>
        <v>#N/A</v>
      </c>
      <c r="C1839" s="372" t="e">
        <f t="shared" si="63"/>
        <v>#N/A</v>
      </c>
      <c r="D1839" s="372" t="e">
        <f t="shared" si="64"/>
        <v>#N/A</v>
      </c>
    </row>
    <row r="1840" spans="2:4" x14ac:dyDescent="0.2">
      <c r="B1840" s="406" t="e">
        <f t="shared" si="62"/>
        <v>#N/A</v>
      </c>
      <c r="C1840" s="372" t="e">
        <f t="shared" si="63"/>
        <v>#N/A</v>
      </c>
      <c r="D1840" s="372" t="e">
        <f t="shared" si="64"/>
        <v>#N/A</v>
      </c>
    </row>
    <row r="1841" spans="2:4" x14ac:dyDescent="0.2">
      <c r="B1841" s="406" t="e">
        <f t="shared" si="62"/>
        <v>#N/A</v>
      </c>
      <c r="C1841" s="372" t="e">
        <f t="shared" si="63"/>
        <v>#N/A</v>
      </c>
      <c r="D1841" s="372" t="e">
        <f t="shared" si="64"/>
        <v>#N/A</v>
      </c>
    </row>
    <row r="1842" spans="2:4" x14ac:dyDescent="0.2">
      <c r="B1842" s="406" t="e">
        <f t="shared" si="62"/>
        <v>#N/A</v>
      </c>
      <c r="C1842" s="372" t="e">
        <f t="shared" si="63"/>
        <v>#N/A</v>
      </c>
      <c r="D1842" s="372" t="e">
        <f t="shared" si="64"/>
        <v>#N/A</v>
      </c>
    </row>
    <row r="1843" spans="2:4" x14ac:dyDescent="0.2">
      <c r="B1843" s="406" t="e">
        <f t="shared" si="62"/>
        <v>#N/A</v>
      </c>
      <c r="C1843" s="372" t="e">
        <f t="shared" si="63"/>
        <v>#N/A</v>
      </c>
      <c r="D1843" s="372" t="e">
        <f t="shared" si="64"/>
        <v>#N/A</v>
      </c>
    </row>
    <row r="1844" spans="2:4" x14ac:dyDescent="0.2">
      <c r="B1844" s="406" t="e">
        <f t="shared" si="62"/>
        <v>#N/A</v>
      </c>
      <c r="C1844" s="372" t="e">
        <f t="shared" si="63"/>
        <v>#N/A</v>
      </c>
      <c r="D1844" s="372" t="e">
        <f t="shared" si="64"/>
        <v>#N/A</v>
      </c>
    </row>
    <row r="1845" spans="2:4" x14ac:dyDescent="0.2">
      <c r="B1845" s="406" t="e">
        <f t="shared" si="62"/>
        <v>#N/A</v>
      </c>
      <c r="C1845" s="372" t="e">
        <f t="shared" si="63"/>
        <v>#N/A</v>
      </c>
      <c r="D1845" s="372" t="e">
        <f t="shared" si="64"/>
        <v>#N/A</v>
      </c>
    </row>
    <row r="1846" spans="2:4" x14ac:dyDescent="0.2">
      <c r="B1846" s="406" t="e">
        <f t="shared" si="62"/>
        <v>#N/A</v>
      </c>
      <c r="C1846" s="372" t="e">
        <f t="shared" si="63"/>
        <v>#N/A</v>
      </c>
      <c r="D1846" s="372" t="e">
        <f t="shared" si="64"/>
        <v>#N/A</v>
      </c>
    </row>
    <row r="1847" spans="2:4" x14ac:dyDescent="0.2">
      <c r="B1847" s="406" t="e">
        <f t="shared" si="62"/>
        <v>#N/A</v>
      </c>
      <c r="C1847" s="372" t="e">
        <f t="shared" si="63"/>
        <v>#N/A</v>
      </c>
      <c r="D1847" s="372" t="e">
        <f t="shared" si="64"/>
        <v>#N/A</v>
      </c>
    </row>
    <row r="1848" spans="2:4" x14ac:dyDescent="0.2">
      <c r="B1848" s="406" t="e">
        <f t="shared" si="62"/>
        <v>#N/A</v>
      </c>
      <c r="C1848" s="372" t="e">
        <f t="shared" si="63"/>
        <v>#N/A</v>
      </c>
      <c r="D1848" s="372" t="e">
        <f t="shared" si="64"/>
        <v>#N/A</v>
      </c>
    </row>
    <row r="1849" spans="2:4" x14ac:dyDescent="0.2">
      <c r="B1849" s="406" t="e">
        <f t="shared" si="62"/>
        <v>#N/A</v>
      </c>
      <c r="C1849" s="372" t="e">
        <f t="shared" si="63"/>
        <v>#N/A</v>
      </c>
      <c r="D1849" s="372" t="e">
        <f t="shared" si="64"/>
        <v>#N/A</v>
      </c>
    </row>
    <row r="1850" spans="2:4" x14ac:dyDescent="0.2">
      <c r="B1850" s="406" t="e">
        <f t="shared" si="62"/>
        <v>#N/A</v>
      </c>
      <c r="C1850" s="372" t="e">
        <f t="shared" si="63"/>
        <v>#N/A</v>
      </c>
      <c r="D1850" s="372" t="e">
        <f t="shared" si="64"/>
        <v>#N/A</v>
      </c>
    </row>
  </sheetData>
  <mergeCells count="61">
    <mergeCell ref="A271:V271"/>
    <mergeCell ref="O251:P251"/>
    <mergeCell ref="Q251:R251"/>
    <mergeCell ref="A264:R264"/>
    <mergeCell ref="A265:V265"/>
    <mergeCell ref="A270:V270"/>
    <mergeCell ref="A251:B251"/>
    <mergeCell ref="C251:E251"/>
    <mergeCell ref="F251:H251"/>
    <mergeCell ref="I251:K251"/>
    <mergeCell ref="L251:N251"/>
    <mergeCell ref="C244:V244"/>
    <mergeCell ref="C245:V245"/>
    <mergeCell ref="C246:V246"/>
    <mergeCell ref="C247:V247"/>
    <mergeCell ref="A249:R249"/>
    <mergeCell ref="A221:V221"/>
    <mergeCell ref="A222:V222"/>
    <mergeCell ref="A240:V240"/>
    <mergeCell ref="A241:V241"/>
    <mergeCell ref="C243:V243"/>
    <mergeCell ref="C203:V203"/>
    <mergeCell ref="A205:V205"/>
    <mergeCell ref="A206:V206"/>
    <mergeCell ref="A213:V213"/>
    <mergeCell ref="A214:V214"/>
    <mergeCell ref="A191:V191"/>
    <mergeCell ref="A192:V192"/>
    <mergeCell ref="C200:V200"/>
    <mergeCell ref="C201:V201"/>
    <mergeCell ref="C202:V202"/>
    <mergeCell ref="A149:V149"/>
    <mergeCell ref="A160:V160"/>
    <mergeCell ref="A161:V161"/>
    <mergeCell ref="A183:V183"/>
    <mergeCell ref="A184:V184"/>
    <mergeCell ref="A125:V125"/>
    <mergeCell ref="A132:V132"/>
    <mergeCell ref="A139:V139"/>
    <mergeCell ref="A140:V140"/>
    <mergeCell ref="A148:V148"/>
    <mergeCell ref="A80:V80"/>
    <mergeCell ref="A88:V88"/>
    <mergeCell ref="A97:V97"/>
    <mergeCell ref="A116:V116"/>
    <mergeCell ref="A124:V124"/>
    <mergeCell ref="D32:V32"/>
    <mergeCell ref="D33:V33"/>
    <mergeCell ref="A36:V36"/>
    <mergeCell ref="A37:V37"/>
    <mergeCell ref="A68:V68"/>
    <mergeCell ref="D26:V26"/>
    <mergeCell ref="D27:V27"/>
    <mergeCell ref="D28:V28"/>
    <mergeCell ref="D30:V30"/>
    <mergeCell ref="D31:V31"/>
    <mergeCell ref="A1:V1"/>
    <mergeCell ref="A4:V4"/>
    <mergeCell ref="A7:V7"/>
    <mergeCell ref="A24:V24"/>
    <mergeCell ref="D25:V25"/>
  </mergeCells>
  <dataValidations count="2">
    <dataValidation type="whole" allowBlank="1" showInputMessage="1" showErrorMessage="1" sqref="AG246" xr:uid="{00000000-0002-0000-0900-000001000000}">
      <formula1>1</formula1>
      <formula2>50</formula2>
    </dataValidation>
    <dataValidation type="list" allowBlank="1" showInputMessage="1" showErrorMessage="1" sqref="AG245" xr:uid="{00000000-0002-0000-0900-000000000000}">
      <formula1>$B$253:$B$262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7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H17" sqref="H17"/>
    </sheetView>
  </sheetViews>
  <sheetFormatPr baseColWidth="10" defaultColWidth="8.83203125" defaultRowHeight="15" x14ac:dyDescent="0.2"/>
  <cols>
    <col min="1" max="1" width="39.1640625" customWidth="1"/>
    <col min="2" max="2" width="9.6640625" customWidth="1"/>
    <col min="3" max="13" width="14" customWidth="1"/>
    <col min="14" max="15" width="14.83203125" customWidth="1"/>
    <col min="16" max="16" width="14" customWidth="1"/>
    <col min="17" max="18" width="16" customWidth="1"/>
  </cols>
  <sheetData>
    <row r="1" spans="1:18" ht="27.75" customHeight="1" x14ac:dyDescent="0.2">
      <c r="A1" s="953" t="str">
        <f>IF('Prop Info'!B4="","P&amp;L — 10-YEAR PRO FORMA PROJECTIONS  (Active Scenario drives all inputs)","P&amp;L — 10-YEAR PRO FORMA PROJECTIONS  (Active Scenario drives all inputs)"&amp;" — "&amp;'Prop Info'!B4)</f>
        <v>P&amp;L — 10-YEAR PRO FORMA PROJECTIONS  (Active Scenario drives all inputs)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  <c r="O1" s="953"/>
      <c r="P1" s="953"/>
      <c r="Q1" s="953"/>
      <c r="R1" s="953"/>
    </row>
    <row r="2" spans="1:18" ht="15.75" customHeight="1" x14ac:dyDescent="0.2">
      <c r="A2" s="944" t="s">
        <v>1464</v>
      </c>
      <c r="B2" s="944"/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  <c r="O2" s="944"/>
      <c r="P2" s="944"/>
      <c r="Q2" s="944"/>
      <c r="R2" s="944"/>
    </row>
    <row r="4" spans="1:18" ht="24" customHeight="1" x14ac:dyDescent="0.2">
      <c r="A4" s="934" t="s">
        <v>1465</v>
      </c>
      <c r="B4" s="934"/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  <c r="N4" s="934"/>
      <c r="O4" s="934"/>
      <c r="P4" s="934"/>
      <c r="Q4" s="934"/>
      <c r="R4" s="934"/>
    </row>
    <row r="5" spans="1:18" ht="18" customHeight="1" x14ac:dyDescent="0.2">
      <c r="A5" s="103" t="s">
        <v>1466</v>
      </c>
      <c r="B5" s="103"/>
      <c r="C5" s="407" t="s">
        <v>46</v>
      </c>
      <c r="D5" s="408">
        <v>0</v>
      </c>
      <c r="E5" s="408">
        <v>0.02</v>
      </c>
      <c r="F5" s="408">
        <v>0.03</v>
      </c>
      <c r="G5" s="408">
        <v>0.03</v>
      </c>
      <c r="H5" s="408">
        <v>0.03</v>
      </c>
      <c r="I5" s="408">
        <v>0.03</v>
      </c>
      <c r="J5" s="408">
        <v>0.03</v>
      </c>
      <c r="K5" s="409">
        <v>0.03</v>
      </c>
      <c r="L5" s="409">
        <v>0.03</v>
      </c>
      <c r="M5" s="409">
        <v>0.03</v>
      </c>
      <c r="N5" s="103" t="s">
        <v>1467</v>
      </c>
      <c r="O5" s="961">
        <f>IFERROR(AVERAGEIF(D5:M5,"&lt;&gt;"),0)</f>
        <v>2.6000000000000002E-2</v>
      </c>
      <c r="P5" s="961"/>
    </row>
    <row r="6" spans="1:18" ht="18" customHeight="1" x14ac:dyDescent="0.2">
      <c r="A6" s="103" t="s">
        <v>1468</v>
      </c>
      <c r="B6" s="103"/>
      <c r="C6" s="407" t="s">
        <v>46</v>
      </c>
      <c r="D6" s="408">
        <v>0.03</v>
      </c>
      <c r="E6" s="408">
        <v>0.03</v>
      </c>
      <c r="F6" s="408">
        <v>0.03</v>
      </c>
      <c r="G6" s="408">
        <v>0.03</v>
      </c>
      <c r="H6" s="408">
        <v>0.03</v>
      </c>
      <c r="I6" s="408">
        <v>0.03</v>
      </c>
      <c r="J6" s="408">
        <v>0.03</v>
      </c>
      <c r="K6" s="409">
        <v>0.03</v>
      </c>
      <c r="L6" s="409">
        <v>0.03</v>
      </c>
      <c r="M6" s="409">
        <v>0.03</v>
      </c>
      <c r="N6" s="103" t="s">
        <v>1467</v>
      </c>
      <c r="O6" s="961">
        <f>IFERROR(AVERAGEIF(D6:M6,"&lt;&gt;"),0)</f>
        <v>3.0000000000000006E-2</v>
      </c>
      <c r="P6" s="961"/>
    </row>
    <row r="7" spans="1:18" ht="15" customHeight="1" x14ac:dyDescent="0.2">
      <c r="A7" s="13" t="s">
        <v>1469</v>
      </c>
      <c r="B7" s="13"/>
      <c r="C7" s="40" t="s">
        <v>46</v>
      </c>
      <c r="D7" s="410">
        <v>0.05</v>
      </c>
      <c r="E7" s="411"/>
      <c r="F7" s="411"/>
      <c r="G7" s="411"/>
      <c r="H7" s="411"/>
      <c r="I7" s="411"/>
      <c r="J7" s="411"/>
      <c r="K7" s="411"/>
      <c r="L7" s="411"/>
      <c r="M7" s="411"/>
      <c r="N7" s="411"/>
      <c r="O7" s="412" t="s">
        <v>1470</v>
      </c>
    </row>
    <row r="8" spans="1:18" ht="30" customHeight="1" x14ac:dyDescent="0.2">
      <c r="A8" s="45" t="s">
        <v>618</v>
      </c>
      <c r="B8" s="45"/>
      <c r="C8" s="123" t="s">
        <v>874</v>
      </c>
      <c r="D8" s="34" t="s">
        <v>1471</v>
      </c>
      <c r="E8" s="34" t="s">
        <v>1472</v>
      </c>
      <c r="F8" s="34" t="s">
        <v>1473</v>
      </c>
      <c r="G8" s="34" t="s">
        <v>1474</v>
      </c>
      <c r="H8" s="34" t="s">
        <v>1475</v>
      </c>
      <c r="I8" s="34" t="s">
        <v>1476</v>
      </c>
      <c r="J8" s="34" t="s">
        <v>1477</v>
      </c>
      <c r="K8" s="34" t="s">
        <v>1478</v>
      </c>
      <c r="L8" s="34" t="s">
        <v>1479</v>
      </c>
      <c r="M8" s="34" t="s">
        <v>1480</v>
      </c>
      <c r="N8" s="34" t="s">
        <v>1481</v>
      </c>
      <c r="O8" s="34" t="s">
        <v>1482</v>
      </c>
      <c r="P8" s="34" t="s">
        <v>1483</v>
      </c>
      <c r="Q8" s="21" t="s">
        <v>1484</v>
      </c>
    </row>
    <row r="9" spans="1:18" ht="24" customHeight="1" x14ac:dyDescent="0.2">
      <c r="A9" s="938" t="s">
        <v>937</v>
      </c>
      <c r="B9" s="938"/>
      <c r="C9" s="938"/>
      <c r="D9" s="938"/>
      <c r="E9" s="938"/>
      <c r="F9" s="938"/>
      <c r="G9" s="938"/>
      <c r="H9" s="938"/>
      <c r="I9" s="938"/>
      <c r="J9" s="938"/>
      <c r="K9" s="938"/>
      <c r="L9" s="938"/>
      <c r="M9" s="938"/>
      <c r="N9" s="938"/>
      <c r="O9" s="938"/>
      <c r="P9" s="938"/>
      <c r="Q9" s="938"/>
      <c r="R9" s="938"/>
    </row>
    <row r="10" spans="1:18" ht="18" customHeight="1" x14ac:dyDescent="0.2">
      <c r="A10" s="275" t="s">
        <v>938</v>
      </c>
      <c r="B10" s="275"/>
      <c r="C10" s="413">
        <f>Scenarios!B40</f>
        <v>0</v>
      </c>
      <c r="D10" s="156" t="str">
        <f>IFERROR(IF(Scenarios!$F$40=0,"",Scenarios!F40),"")</f>
        <v/>
      </c>
      <c r="E10" s="23" t="str">
        <f>IFERROR(IF(Scenarios!$F$40=0,"",D10*(1+E5)),"")</f>
        <v/>
      </c>
      <c r="F10" s="23" t="str">
        <f>IFERROR(IF(Scenarios!$F$40=0,"",E10*(1+F5)),"")</f>
        <v/>
      </c>
      <c r="G10" s="23" t="str">
        <f>IFERROR(IF(Scenarios!$F$40=0,"",F10*(1+G5)),"")</f>
        <v/>
      </c>
      <c r="H10" s="23" t="str">
        <f>IFERROR(IF(Scenarios!$F$40=0,"",G10*(1+H5)),"")</f>
        <v/>
      </c>
      <c r="I10" s="23" t="str">
        <f>IFERROR(IF(Scenarios!$F$40=0,"",H10*(1+I5)),"")</f>
        <v/>
      </c>
      <c r="J10" s="23" t="str">
        <f>IFERROR(IF(Scenarios!$F$40=0,"",I10*(1+J5)),"")</f>
        <v/>
      </c>
      <c r="K10" s="23" t="str">
        <f>IFERROR(IF(Scenarios!$F$40=0,"",J10*(1+K5)),"")</f>
        <v/>
      </c>
      <c r="L10" s="23" t="str">
        <f>IFERROR(IF(Scenarios!$F$40=0,"",K10*(1+L5)),"")</f>
        <v/>
      </c>
      <c r="M10" s="23" t="str">
        <f>IFERROR(IF(Scenarios!$F$40=0,"",L10*(1+M5)),"")</f>
        <v/>
      </c>
      <c r="N10" s="267">
        <f>SUM(D10:H10)</f>
        <v>0</v>
      </c>
      <c r="O10" s="267">
        <f>SUM(D10:M10)</f>
        <v>0</v>
      </c>
      <c r="P10" s="267">
        <f>IFERROR(O10/10,0)</f>
        <v>0</v>
      </c>
      <c r="Q10" s="414">
        <f>IFERROR(D10/D19,0)</f>
        <v>0</v>
      </c>
    </row>
    <row r="11" spans="1:18" ht="15" customHeight="1" x14ac:dyDescent="0.2">
      <c r="A11" s="415" t="s">
        <v>1485</v>
      </c>
      <c r="B11" s="415"/>
      <c r="C11" s="416">
        <f>Scenarios!B41</f>
        <v>0</v>
      </c>
      <c r="D11" s="417">
        <f>C11</f>
        <v>0</v>
      </c>
      <c r="E11" s="417">
        <v>0.12</v>
      </c>
      <c r="F11" s="417">
        <v>0.1</v>
      </c>
      <c r="G11" s="418">
        <f t="shared" ref="G11:M11" si="0">F11</f>
        <v>0.1</v>
      </c>
      <c r="H11" s="418">
        <f t="shared" si="0"/>
        <v>0.1</v>
      </c>
      <c r="I11" s="418">
        <f t="shared" si="0"/>
        <v>0.1</v>
      </c>
      <c r="J11" s="418">
        <f t="shared" si="0"/>
        <v>0.1</v>
      </c>
      <c r="K11" s="418">
        <f t="shared" si="0"/>
        <v>0.1</v>
      </c>
      <c r="L11" s="418">
        <f t="shared" si="0"/>
        <v>0.1</v>
      </c>
      <c r="M11" s="418">
        <f t="shared" si="0"/>
        <v>0.1</v>
      </c>
      <c r="N11" s="419">
        <f>AVERAGE(D11:H11)</f>
        <v>8.4000000000000005E-2</v>
      </c>
      <c r="O11" s="419">
        <f>AVERAGE(D11:M11)</f>
        <v>9.1999999999999998E-2</v>
      </c>
      <c r="P11" s="420"/>
      <c r="Q11" s="419">
        <f>D11</f>
        <v>0</v>
      </c>
    </row>
    <row r="12" spans="1:18" ht="18" customHeight="1" x14ac:dyDescent="0.2">
      <c r="A12" s="271" t="s">
        <v>1486</v>
      </c>
      <c r="B12" s="271"/>
      <c r="C12" s="421">
        <f>Scenarios!B42</f>
        <v>0</v>
      </c>
      <c r="D12" s="422" t="str">
        <f>IFERROR(IF(Scenarios!$F$40=0,"",IFERROR(-D11*D10,0)),"")</f>
        <v/>
      </c>
      <c r="E12" s="422" t="str">
        <f>IFERROR(IF(Scenarios!$F$40=0,"",IFERROR(-E11*E10,0)),"")</f>
        <v/>
      </c>
      <c r="F12" s="422" t="str">
        <f>IFERROR(IF(Scenarios!$F$40=0,"",IFERROR(-F11*F10,0)),"")</f>
        <v/>
      </c>
      <c r="G12" s="422" t="str">
        <f>IFERROR(IF(Scenarios!$F$40=0,"",IFERROR(-G11*G10,0)),"")</f>
        <v/>
      </c>
      <c r="H12" s="422" t="str">
        <f>IFERROR(IF(Scenarios!$F$40=0,"",IFERROR(-H11*H10,0)),"")</f>
        <v/>
      </c>
      <c r="I12" s="422" t="str">
        <f>IFERROR(IF(Scenarios!$F$40=0,"",IFERROR(-I11*I10,0)),"")</f>
        <v/>
      </c>
      <c r="J12" s="422" t="str">
        <f>IFERROR(IF(Scenarios!$F$40=0,"",IFERROR(-J11*J10,0)),"")</f>
        <v/>
      </c>
      <c r="K12" s="422" t="str">
        <f>IFERROR(IF(Scenarios!$F$40=0,"",IFERROR(-K11*K10,0)),"")</f>
        <v/>
      </c>
      <c r="L12" s="422" t="str">
        <f>IFERROR(IF(Scenarios!$F$40=0,"",IFERROR(-L11*L10,0)),"")</f>
        <v/>
      </c>
      <c r="M12" s="422" t="str">
        <f>IFERROR(IF(Scenarios!$F$40=0,"",IFERROR(-M11*M10,0)),"")</f>
        <v/>
      </c>
      <c r="N12" s="423">
        <f>SUM(D12:H12)</f>
        <v>0</v>
      </c>
      <c r="O12" s="423">
        <f>SUM(D12:M12)</f>
        <v>0</v>
      </c>
      <c r="P12" s="424">
        <f>IFERROR(O12/10,0)</f>
        <v>0</v>
      </c>
      <c r="Q12" s="425">
        <f>IFERROR(D12/D19,0)</f>
        <v>0</v>
      </c>
    </row>
    <row r="13" spans="1:18" ht="15" customHeight="1" x14ac:dyDescent="0.2">
      <c r="A13" s="415" t="s">
        <v>238</v>
      </c>
      <c r="B13" s="415"/>
      <c r="C13" s="421">
        <f>Scenarios!B43</f>
        <v>0</v>
      </c>
      <c r="D13" s="426">
        <f>Scenarios!F43</f>
        <v>0</v>
      </c>
      <c r="E13" s="417">
        <v>0.01</v>
      </c>
      <c r="F13" s="418">
        <f t="shared" ref="F13:M13" si="1">E13</f>
        <v>0.01</v>
      </c>
      <c r="G13" s="418">
        <f t="shared" si="1"/>
        <v>0.01</v>
      </c>
      <c r="H13" s="418">
        <f t="shared" si="1"/>
        <v>0.01</v>
      </c>
      <c r="I13" s="418">
        <f t="shared" si="1"/>
        <v>0.01</v>
      </c>
      <c r="J13" s="418">
        <f t="shared" si="1"/>
        <v>0.01</v>
      </c>
      <c r="K13" s="418">
        <f t="shared" si="1"/>
        <v>0.01</v>
      </c>
      <c r="L13" s="418">
        <f t="shared" si="1"/>
        <v>0.01</v>
      </c>
      <c r="M13" s="418">
        <f t="shared" si="1"/>
        <v>0.01</v>
      </c>
      <c r="N13" s="419">
        <f>AVERAGE(D13:H13)</f>
        <v>8.0000000000000002E-3</v>
      </c>
      <c r="O13" s="419">
        <f>AVERAGE(D13:M13)</f>
        <v>8.9999999999999993E-3</v>
      </c>
      <c r="P13" s="420"/>
      <c r="Q13" s="419">
        <f>D13</f>
        <v>0</v>
      </c>
    </row>
    <row r="14" spans="1:18" ht="18" customHeight="1" x14ac:dyDescent="0.2">
      <c r="A14" s="275" t="s">
        <v>1487</v>
      </c>
      <c r="B14" s="275"/>
      <c r="C14" s="427">
        <f>Scenarios!B44</f>
        <v>0</v>
      </c>
      <c r="D14" s="156" t="str">
        <f>IFERROR(IF(Scenarios!$F$40=0,"",IFERROR(-D13*D10,0)),"")</f>
        <v/>
      </c>
      <c r="E14" s="25" t="str">
        <f>IFERROR(IF(Scenarios!$F$40=0,"",IFERROR(-E13*E10,0)),"")</f>
        <v/>
      </c>
      <c r="F14" s="25" t="str">
        <f>IFERROR(IF(Scenarios!$F$40=0,"",IFERROR(-F13*F10,0)),"")</f>
        <v/>
      </c>
      <c r="G14" s="25" t="str">
        <f>IFERROR(IF(Scenarios!$F$40=0,"",IFERROR(-G13*G10,0)),"")</f>
        <v/>
      </c>
      <c r="H14" s="25" t="str">
        <f>IFERROR(IF(Scenarios!$F$40=0,"",IFERROR(-H13*H10,0)),"")</f>
        <v/>
      </c>
      <c r="I14" s="25" t="str">
        <f>IFERROR(IF(Scenarios!$F$40=0,"",IFERROR(-I13*I10,0)),"")</f>
        <v/>
      </c>
      <c r="J14" s="25" t="str">
        <f>IFERROR(IF(Scenarios!$F$40=0,"",IFERROR(-J13*J10,0)),"")</f>
        <v/>
      </c>
      <c r="K14" s="25" t="str">
        <f>IFERROR(IF(Scenarios!$F$40=0,"",IFERROR(-K13*K10,0)),"")</f>
        <v/>
      </c>
      <c r="L14" s="25" t="str">
        <f>IFERROR(IF(Scenarios!$F$40=0,"",IFERROR(-L13*L10,0)),"")</f>
        <v/>
      </c>
      <c r="M14" s="25" t="str">
        <f>IFERROR(IF(Scenarios!$F$40=0,"",IFERROR(-M13*M10,0)),"")</f>
        <v/>
      </c>
      <c r="N14" s="424">
        <f>SUM(D14:H14)</f>
        <v>0</v>
      </c>
      <c r="O14" s="424">
        <f>SUM(D14:M14)</f>
        <v>0</v>
      </c>
      <c r="P14" s="424">
        <f t="shared" ref="P14:P19" si="2">IFERROR(O14/10,0)</f>
        <v>0</v>
      </c>
      <c r="Q14" s="414">
        <f>IFERROR(D14/D19,0)</f>
        <v>0</v>
      </c>
    </row>
    <row r="15" spans="1:18" ht="15" customHeight="1" x14ac:dyDescent="0.2">
      <c r="A15" s="415" t="s">
        <v>239</v>
      </c>
      <c r="B15" s="415"/>
      <c r="C15" s="421">
        <f>IFERROR(Scenarios!B45,0)</f>
        <v>0</v>
      </c>
      <c r="D15" s="417">
        <v>0.1</v>
      </c>
      <c r="E15" s="417">
        <v>0.03</v>
      </c>
      <c r="F15" s="418">
        <f t="shared" ref="F15:M15" si="3">E15</f>
        <v>0.03</v>
      </c>
      <c r="G15" s="418">
        <f t="shared" si="3"/>
        <v>0.03</v>
      </c>
      <c r="H15" s="418">
        <f t="shared" si="3"/>
        <v>0.03</v>
      </c>
      <c r="I15" s="418">
        <f t="shared" si="3"/>
        <v>0.03</v>
      </c>
      <c r="J15" s="418">
        <f t="shared" si="3"/>
        <v>0.03</v>
      </c>
      <c r="K15" s="418">
        <f t="shared" si="3"/>
        <v>0.03</v>
      </c>
      <c r="L15" s="418">
        <f t="shared" si="3"/>
        <v>0.03</v>
      </c>
      <c r="M15" s="418">
        <f t="shared" si="3"/>
        <v>0.03</v>
      </c>
      <c r="N15" s="419">
        <f>AVERAGE(D15:H15)</f>
        <v>4.3999999999999997E-2</v>
      </c>
      <c r="O15" s="419">
        <f>AVERAGE(D15:M15)</f>
        <v>3.7000000000000012E-2</v>
      </c>
      <c r="P15" s="428">
        <f t="shared" si="2"/>
        <v>3.700000000000001E-3</v>
      </c>
      <c r="Q15" s="419">
        <f>D15</f>
        <v>0.1</v>
      </c>
    </row>
    <row r="16" spans="1:18" ht="18" customHeight="1" x14ac:dyDescent="0.2">
      <c r="A16" s="271" t="s">
        <v>240</v>
      </c>
      <c r="B16" s="271"/>
      <c r="C16" s="429">
        <f>IFERROR(Scenarios!B46,0)</f>
        <v>0</v>
      </c>
      <c r="D16" s="156" t="str">
        <f>IFERROR(IF(Scenarios!$F$40=0,"",IFERROR(-D15*D10,0)),"")</f>
        <v/>
      </c>
      <c r="E16" s="25" t="str">
        <f>IFERROR(IF(Scenarios!$F$40=0,"",IFERROR(-E15*E10,0)),"")</f>
        <v/>
      </c>
      <c r="F16" s="25" t="str">
        <f>IFERROR(IF(Scenarios!$F$40=0,"",IFERROR(-F15*F10,0)),"")</f>
        <v/>
      </c>
      <c r="G16" s="25" t="str">
        <f>IFERROR(IF(Scenarios!$F$40=0,"",IFERROR(-G15*G10,0)),"")</f>
        <v/>
      </c>
      <c r="H16" s="25" t="str">
        <f>IFERROR(IF(Scenarios!$F$40=0,"",IFERROR(-H15*H10,0)),"")</f>
        <v/>
      </c>
      <c r="I16" s="25" t="str">
        <f>IFERROR(IF(Scenarios!$F$40=0,"",IFERROR(-I15*I10,0)),"")</f>
        <v/>
      </c>
      <c r="J16" s="25" t="str">
        <f>IFERROR(IF(Scenarios!$F$40=0,"",IFERROR(-J15*J10,0)),"")</f>
        <v/>
      </c>
      <c r="K16" s="25" t="str">
        <f>IFERROR(IF(Scenarios!$F$40=0,"",IFERROR(-K15*K10,0)),"")</f>
        <v/>
      </c>
      <c r="L16" s="25" t="str">
        <f>IFERROR(IF(Scenarios!$F$40=0,"",IFERROR(-L15*L10,0)),"")</f>
        <v/>
      </c>
      <c r="M16" s="25" t="str">
        <f>IFERROR(IF(Scenarios!$F$40=0,"",IFERROR(-M15*M10,0)),"")</f>
        <v/>
      </c>
      <c r="N16" s="424">
        <f>SUM(D16:H16)</f>
        <v>0</v>
      </c>
      <c r="O16" s="424">
        <f>SUM(D16:M16)</f>
        <v>0</v>
      </c>
      <c r="P16" s="424">
        <f t="shared" si="2"/>
        <v>0</v>
      </c>
      <c r="Q16" s="414">
        <f>IFERROR(D16/D19,0)</f>
        <v>0</v>
      </c>
    </row>
    <row r="17" spans="1:18" ht="18" customHeight="1" x14ac:dyDescent="0.2">
      <c r="A17" s="275" t="s">
        <v>1488</v>
      </c>
      <c r="B17" s="275"/>
      <c r="C17" s="413">
        <f>IFERROR(Scenarios!B48,0)</f>
        <v>0</v>
      </c>
      <c r="D17" s="156" t="str">
        <f>IFERROR(IF(Scenarios!$F$40=0,"",Scenarios!F48),"")</f>
        <v/>
      </c>
      <c r="E17" s="23" t="str">
        <f>IFERROR(IF(Scenarios!$F$40=0,"",D17*(1+E5)),"")</f>
        <v/>
      </c>
      <c r="F17" s="23" t="str">
        <f>IFERROR(IF(Scenarios!$F$40=0,"",E17*(1+F5)),"")</f>
        <v/>
      </c>
      <c r="G17" s="23" t="str">
        <f>IFERROR(IF(Scenarios!$F$40=0,"",F17*(1+G5)),"")</f>
        <v/>
      </c>
      <c r="H17" s="23" t="str">
        <f>IFERROR(IF(Scenarios!$F$40=0,"",G17*(1+H5)),"")</f>
        <v/>
      </c>
      <c r="I17" s="23" t="str">
        <f>IFERROR(IF(Scenarios!$F$40=0,"",H17*(1+I5)),"")</f>
        <v/>
      </c>
      <c r="J17" s="23" t="str">
        <f>IFERROR(IF(Scenarios!$F$40=0,"",I17*(1+J5)),"")</f>
        <v/>
      </c>
      <c r="K17" s="23" t="str">
        <f>IFERROR(IF(Scenarios!$F$40=0,"",J17*(1+K5)),"")</f>
        <v/>
      </c>
      <c r="L17" s="23" t="str">
        <f>IFERROR(IF(Scenarios!$F$40=0,"",K17*(1+L5)),"")</f>
        <v/>
      </c>
      <c r="M17" s="23" t="str">
        <f>IFERROR(IF(Scenarios!$F$40=0,"",L17*(1+M5)),"")</f>
        <v/>
      </c>
      <c r="N17" s="267">
        <f>SUM(D17:H17)</f>
        <v>0</v>
      </c>
      <c r="O17" s="267">
        <f>SUM(D17:M17)</f>
        <v>0</v>
      </c>
      <c r="P17" s="267">
        <f t="shared" si="2"/>
        <v>0</v>
      </c>
      <c r="Q17" s="414">
        <f>IFERROR(D17/D19,0)</f>
        <v>0</v>
      </c>
    </row>
    <row r="18" spans="1:18" ht="18" customHeight="1" x14ac:dyDescent="0.2">
      <c r="A18" s="271" t="s">
        <v>1489</v>
      </c>
      <c r="B18" s="271"/>
      <c r="C18" s="429">
        <f>Scenarios!B49</f>
        <v>0</v>
      </c>
      <c r="D18" s="156" t="str">
        <f>IFERROR(IF(Scenarios!$F$40=0,"",Scenarios!F49),"")</f>
        <v/>
      </c>
      <c r="E18" s="25" t="str">
        <f>IFERROR(IF(Scenarios!$F$40=0,"",(D18-'Recapture &amp; Upside'!L84+'Recapture &amp; Upside'!M84)*(1+E5)),"")</f>
        <v/>
      </c>
      <c r="F18" s="25" t="str">
        <f>IFERROR(IF(Scenarios!$F$40=0,"",E18*(1+F5)),"")</f>
        <v/>
      </c>
      <c r="G18" s="25" t="str">
        <f>IFERROR(IF(Scenarios!$F$40=0,"",F18*(1+G5)),"")</f>
        <v/>
      </c>
      <c r="H18" s="25" t="str">
        <f>IFERROR(IF(Scenarios!$F$40=0,"",G18*(1+H5)),"")</f>
        <v/>
      </c>
      <c r="I18" s="25" t="str">
        <f>IFERROR(IF(Scenarios!$F$40=0,"",H18*(1+I5)),"")</f>
        <v/>
      </c>
      <c r="J18" s="25" t="str">
        <f>IFERROR(IF(Scenarios!$F$40=0,"",I18*(1+J5)),"")</f>
        <v/>
      </c>
      <c r="K18" s="25" t="str">
        <f>IFERROR(IF(Scenarios!$F$40=0,"",J18*(1+K5)),"")</f>
        <v/>
      </c>
      <c r="L18" s="25" t="str">
        <f>IFERROR(IF(Scenarios!$F$40=0,"",K18*(1+L5)),"")</f>
        <v/>
      </c>
      <c r="M18" s="25" t="str">
        <f>IFERROR(IF(Scenarios!$F$40=0,"",L18*(1+M5)),"")</f>
        <v/>
      </c>
      <c r="N18" s="424">
        <f>SUM(D18:H18)</f>
        <v>0</v>
      </c>
      <c r="O18" s="424">
        <f>SUM(D18:M18)</f>
        <v>0</v>
      </c>
      <c r="P18" s="424">
        <f t="shared" si="2"/>
        <v>0</v>
      </c>
      <c r="Q18" s="414">
        <f>IFERROR(D18/D19,0)</f>
        <v>0</v>
      </c>
    </row>
    <row r="19" spans="1:18" ht="18" customHeight="1" x14ac:dyDescent="0.2">
      <c r="A19" s="270" t="s">
        <v>694</v>
      </c>
      <c r="B19" s="270"/>
      <c r="C19" s="174">
        <f>SUM(C10,C12,C14,C16:C18)</f>
        <v>0</v>
      </c>
      <c r="D19" s="56" t="str">
        <f>IFERROR(IF(Scenarios!$F$40=0,"",SUM(D10,D12,D14,D16:D18)),"")</f>
        <v/>
      </c>
      <c r="E19" s="56" t="str">
        <f>IFERROR(IF(Scenarios!$F$40=0,"",SUM(E10,E12,E14,E16:E18)),"")</f>
        <v/>
      </c>
      <c r="F19" s="56" t="str">
        <f>IFERROR(IF(Scenarios!$F$40=0,"",SUM(F10,F12,F14,F16:F18)),"")</f>
        <v/>
      </c>
      <c r="G19" s="56" t="str">
        <f>IFERROR(IF(Scenarios!$F$40=0,"",SUM(G10,G12,G14,G16:G18)),"")</f>
        <v/>
      </c>
      <c r="H19" s="56" t="str">
        <f>IFERROR(IF(Scenarios!$F$40=0,"",SUM(H10,H12,H14,H16:H18)),"")</f>
        <v/>
      </c>
      <c r="I19" s="56" t="str">
        <f>IFERROR(IF(Scenarios!$F$40=0,"",SUM(I10,I12,I14,I16:I18)),"")</f>
        <v/>
      </c>
      <c r="J19" s="56" t="str">
        <f>IFERROR(IF(Scenarios!$F$40=0,"",SUM(J10,J12,J14,J16:J18)),"")</f>
        <v/>
      </c>
      <c r="K19" s="56" t="str">
        <f>IFERROR(IF(Scenarios!$F$40=0,"",SUM(K10,K12,K14,K16:K18)),"")</f>
        <v/>
      </c>
      <c r="L19" s="56" t="str">
        <f>IFERROR(IF(Scenarios!$F$40=0,"",SUM(L10,L12,L14,L16:L18)),"")</f>
        <v/>
      </c>
      <c r="M19" s="56" t="str">
        <f>IFERROR(IF(Scenarios!$F$40=0,"",SUM(M10,M12,M14,M16:M18)),"")</f>
        <v/>
      </c>
      <c r="N19" s="157">
        <f>SUM(D19:H19)</f>
        <v>0</v>
      </c>
      <c r="O19" s="157">
        <f>SUM(D19:M19)</f>
        <v>0</v>
      </c>
      <c r="P19" s="157">
        <f t="shared" si="2"/>
        <v>0</v>
      </c>
      <c r="Q19" s="430">
        <f>IFERROR(D19/D19,0)</f>
        <v>0</v>
      </c>
    </row>
    <row r="20" spans="1:18" ht="18" customHeight="1" x14ac:dyDescent="0.2">
      <c r="A20" s="271"/>
      <c r="B20" s="271"/>
      <c r="C20" s="274"/>
      <c r="D20" s="156"/>
      <c r="E20" s="424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31"/>
    </row>
    <row r="21" spans="1:18" ht="24" customHeight="1" x14ac:dyDescent="0.2">
      <c r="A21" s="955" t="s">
        <v>1490</v>
      </c>
      <c r="B21" s="955"/>
      <c r="C21" s="955"/>
      <c r="D21" s="955"/>
      <c r="E21" s="955"/>
      <c r="F21" s="955"/>
      <c r="G21" s="955"/>
      <c r="H21" s="955"/>
      <c r="I21" s="955"/>
      <c r="J21" s="955"/>
      <c r="K21" s="955"/>
      <c r="L21" s="955"/>
      <c r="M21" s="955"/>
      <c r="N21" s="955"/>
      <c r="O21" s="955"/>
      <c r="P21" s="955"/>
      <c r="Q21" s="955"/>
      <c r="R21" s="955"/>
    </row>
    <row r="22" spans="1:18" ht="18" customHeight="1" x14ac:dyDescent="0.2">
      <c r="A22" s="275" t="s">
        <v>701</v>
      </c>
      <c r="B22" s="275"/>
      <c r="C22" s="413">
        <f>Scenarios!B54</f>
        <v>0</v>
      </c>
      <c r="D22" s="156" t="str">
        <f>IFERROR(IF(Scenarios!$F$40=0,"",Scenarios!F54),"")</f>
        <v/>
      </c>
      <c r="E22" s="23" t="str">
        <f>IFERROR(IF(Scenarios!$F$40=0,"",D22*(1+E6)),"")</f>
        <v/>
      </c>
      <c r="F22" s="23" t="str">
        <f>IFERROR(IF(Scenarios!$F$40=0,"",E22*(1+F6)),"")</f>
        <v/>
      </c>
      <c r="G22" s="23" t="str">
        <f>IFERROR(IF(Scenarios!$F$40=0,"",F22*(1+G6)),"")</f>
        <v/>
      </c>
      <c r="H22" s="23" t="str">
        <f>IFERROR(IF(Scenarios!$F$40=0,"",G22*(1+H6)),"")</f>
        <v/>
      </c>
      <c r="I22" s="23" t="str">
        <f>IFERROR(IF(Scenarios!$F$40=0,"",H22*(1+I6)),"")</f>
        <v/>
      </c>
      <c r="J22" s="23" t="str">
        <f>IFERROR(IF(Scenarios!$F$40=0,"",I22*(1+J6)),"")</f>
        <v/>
      </c>
      <c r="K22" s="23" t="str">
        <f>IFERROR(IF(Scenarios!$F$40=0,"",J22*(1+K6)),"")</f>
        <v/>
      </c>
      <c r="L22" s="23" t="str">
        <f>IFERROR(IF(Scenarios!$F$40=0,"",K22*(1+L6)),"")</f>
        <v/>
      </c>
      <c r="M22" s="23" t="str">
        <f>IFERROR(IF(Scenarios!$F$40=0,"",L22*(1+M6)),"")</f>
        <v/>
      </c>
      <c r="N22" s="267">
        <f t="shared" ref="N22:N38" si="4">SUM(D22:H22)</f>
        <v>0</v>
      </c>
      <c r="O22" s="267">
        <f t="shared" ref="O22:O32" si="5">SUM(D22:M22)</f>
        <v>0</v>
      </c>
      <c r="P22" s="267">
        <f t="shared" ref="P22:P32" si="6">IFERROR(O22/10,0)</f>
        <v>0</v>
      </c>
      <c r="Q22" s="414">
        <f>IFERROR(D22/D19,0)</f>
        <v>0</v>
      </c>
    </row>
    <row r="23" spans="1:18" ht="18" customHeight="1" x14ac:dyDescent="0.2">
      <c r="A23" s="271" t="s">
        <v>703</v>
      </c>
      <c r="B23" s="271"/>
      <c r="C23" s="429">
        <f>Scenarios!B55</f>
        <v>0</v>
      </c>
      <c r="D23" s="156" t="str">
        <f>IFERROR(IF(Scenarios!$F$40=0,"",Scenarios!F55),"")</f>
        <v/>
      </c>
      <c r="E23" s="25" t="str">
        <f>IFERROR(IF(Scenarios!$F$40=0,"",D23*(1+E6)),"")</f>
        <v/>
      </c>
      <c r="F23" s="25" t="str">
        <f>IFERROR(IF(Scenarios!$F$40=0,"",E23*(1+F6)),"")</f>
        <v/>
      </c>
      <c r="G23" s="25" t="str">
        <f>IFERROR(IF(Scenarios!$F$40=0,"",F23*(1+G6)),"")</f>
        <v/>
      </c>
      <c r="H23" s="25" t="str">
        <f>IFERROR(IF(Scenarios!$F$40=0,"",G23*(1+H6)),"")</f>
        <v/>
      </c>
      <c r="I23" s="25" t="str">
        <f>IFERROR(IF(Scenarios!$F$40=0,"",H23*(1+I6)),"")</f>
        <v/>
      </c>
      <c r="J23" s="25" t="str">
        <f>IFERROR(IF(Scenarios!$F$40=0,"",I23*(1+J6)),"")</f>
        <v/>
      </c>
      <c r="K23" s="25" t="str">
        <f>IFERROR(IF(Scenarios!$F$40=0,"",J23*(1+K6)),"")</f>
        <v/>
      </c>
      <c r="L23" s="25" t="str">
        <f>IFERROR(IF(Scenarios!$F$40=0,"",K23*(1+L6)),"")</f>
        <v/>
      </c>
      <c r="M23" s="25" t="str">
        <f>IFERROR(IF(Scenarios!$F$40=0,"",L23*(1+M6)),"")</f>
        <v/>
      </c>
      <c r="N23" s="424">
        <f t="shared" si="4"/>
        <v>0</v>
      </c>
      <c r="O23" s="424">
        <f t="shared" si="5"/>
        <v>0</v>
      </c>
      <c r="P23" s="424">
        <f t="shared" si="6"/>
        <v>0</v>
      </c>
      <c r="Q23" s="431">
        <f>IFERROR(D23/D19,0)</f>
        <v>0</v>
      </c>
    </row>
    <row r="24" spans="1:18" ht="18" customHeight="1" x14ac:dyDescent="0.2">
      <c r="A24" s="275" t="s">
        <v>1491</v>
      </c>
      <c r="B24" s="275"/>
      <c r="C24" s="413">
        <f>Scenarios!B56</f>
        <v>0</v>
      </c>
      <c r="D24" s="156" t="str">
        <f>IFERROR(IF(Scenarios!$F$40=0,"",Scenarios!F56),"")</f>
        <v/>
      </c>
      <c r="E24" s="23" t="str">
        <f>IFERROR(IF(Scenarios!$F$40=0,"",D24*(1+E6)),"")</f>
        <v/>
      </c>
      <c r="F24" s="23" t="str">
        <f>IFERROR(IF(Scenarios!$F$40=0,"",E24*(1+F6)),"")</f>
        <v/>
      </c>
      <c r="G24" s="23" t="str">
        <f>IFERROR(IF(Scenarios!$F$40=0,"",F24*(1+G6)),"")</f>
        <v/>
      </c>
      <c r="H24" s="23" t="str">
        <f>IFERROR(IF(Scenarios!$F$40=0,"",G24*(1+H6)),"")</f>
        <v/>
      </c>
      <c r="I24" s="23" t="str">
        <f>IFERROR(IF(Scenarios!$F$40=0,"",H24*(1+I6)),"")</f>
        <v/>
      </c>
      <c r="J24" s="23" t="str">
        <f>IFERROR(IF(Scenarios!$F$40=0,"",I24*(1+J6)),"")</f>
        <v/>
      </c>
      <c r="K24" s="23" t="str">
        <f>IFERROR(IF(Scenarios!$F$40=0,"",J24*(1+K6)),"")</f>
        <v/>
      </c>
      <c r="L24" s="23" t="str">
        <f>IFERROR(IF(Scenarios!$F$40=0,"",K24*(1+L6)),"")</f>
        <v/>
      </c>
      <c r="M24" s="23" t="str">
        <f>IFERROR(IF(Scenarios!$F$40=0,"",L24*(1+M6)),"")</f>
        <v/>
      </c>
      <c r="N24" s="267">
        <f t="shared" si="4"/>
        <v>0</v>
      </c>
      <c r="O24" s="267">
        <f t="shared" si="5"/>
        <v>0</v>
      </c>
      <c r="P24" s="267">
        <f t="shared" si="6"/>
        <v>0</v>
      </c>
      <c r="Q24" s="414">
        <f>IFERROR(D24/D19,0)</f>
        <v>0</v>
      </c>
    </row>
    <row r="25" spans="1:18" ht="18" customHeight="1" x14ac:dyDescent="0.2">
      <c r="A25" s="271" t="s">
        <v>708</v>
      </c>
      <c r="B25" s="271"/>
      <c r="C25" s="429">
        <f>Scenarios!B57</f>
        <v>0</v>
      </c>
      <c r="D25" s="156" t="str">
        <f>IFERROR(IF(Scenarios!$F$40=0,"",Scenarios!F57),"")</f>
        <v/>
      </c>
      <c r="E25" s="25" t="str">
        <f>IFERROR(IF(Scenarios!$F$40=0,"",D25*(1+E6)),"")</f>
        <v/>
      </c>
      <c r="F25" s="25" t="str">
        <f>IFERROR(IF(Scenarios!$F$40=0,"",E25*(1+F6)),"")</f>
        <v/>
      </c>
      <c r="G25" s="25" t="str">
        <f>IFERROR(IF(Scenarios!$F$40=0,"",F25*(1+G6)),"")</f>
        <v/>
      </c>
      <c r="H25" s="25" t="str">
        <f>IFERROR(IF(Scenarios!$F$40=0,"",G25*(1+H6)),"")</f>
        <v/>
      </c>
      <c r="I25" s="25" t="str">
        <f>IFERROR(IF(Scenarios!$F$40=0,"",H25*(1+I6)),"")</f>
        <v/>
      </c>
      <c r="J25" s="25" t="str">
        <f>IFERROR(IF(Scenarios!$F$40=0,"",I25*(1+J6)),"")</f>
        <v/>
      </c>
      <c r="K25" s="25" t="str">
        <f>IFERROR(IF(Scenarios!$F$40=0,"",J25*(1+K6)),"")</f>
        <v/>
      </c>
      <c r="L25" s="25" t="str">
        <f>IFERROR(IF(Scenarios!$F$40=0,"",K25*(1+L6)),"")</f>
        <v/>
      </c>
      <c r="M25" s="25" t="str">
        <f>IFERROR(IF(Scenarios!$F$40=0,"",L25*(1+M6)),"")</f>
        <v/>
      </c>
      <c r="N25" s="424">
        <f t="shared" si="4"/>
        <v>0</v>
      </c>
      <c r="O25" s="424">
        <f t="shared" si="5"/>
        <v>0</v>
      </c>
      <c r="P25" s="424">
        <f t="shared" si="6"/>
        <v>0</v>
      </c>
      <c r="Q25" s="431">
        <f>IFERROR(D25/D19,0)</f>
        <v>0</v>
      </c>
    </row>
    <row r="26" spans="1:18" ht="18" customHeight="1" x14ac:dyDescent="0.2">
      <c r="A26" s="275" t="s">
        <v>710</v>
      </c>
      <c r="B26" s="275"/>
      <c r="C26" s="413">
        <f>Scenarios!B58</f>
        <v>0</v>
      </c>
      <c r="D26" s="156" t="str">
        <f>IFERROR(IF(Scenarios!$F$40=0,"",Scenarios!F58),"")</f>
        <v/>
      </c>
      <c r="E26" s="23" t="str">
        <f>IFERROR(IF(Scenarios!$F$40=0,"",D26*(1+E6)),"")</f>
        <v/>
      </c>
      <c r="F26" s="23" t="str">
        <f>IFERROR(IF(Scenarios!$F$40=0,"",E26*(1+F6)),"")</f>
        <v/>
      </c>
      <c r="G26" s="23" t="str">
        <f>IFERROR(IF(Scenarios!$F$40=0,"",F26*(1+G6)),"")</f>
        <v/>
      </c>
      <c r="H26" s="23" t="str">
        <f>IFERROR(IF(Scenarios!$F$40=0,"",G26*(1+H6)),"")</f>
        <v/>
      </c>
      <c r="I26" s="23" t="str">
        <f>IFERROR(IF(Scenarios!$F$40=0,"",H26*(1+I6)),"")</f>
        <v/>
      </c>
      <c r="J26" s="23" t="str">
        <f>IFERROR(IF(Scenarios!$F$40=0,"",I26*(1+J6)),"")</f>
        <v/>
      </c>
      <c r="K26" s="23" t="str">
        <f>IFERROR(IF(Scenarios!$F$40=0,"",J26*(1+K6)),"")</f>
        <v/>
      </c>
      <c r="L26" s="23" t="str">
        <f>IFERROR(IF(Scenarios!$F$40=0,"",K26*(1+L6)),"")</f>
        <v/>
      </c>
      <c r="M26" s="23" t="str">
        <f>IFERROR(IF(Scenarios!$F$40=0,"",L26*(1+M6)),"")</f>
        <v/>
      </c>
      <c r="N26" s="267">
        <f t="shared" si="4"/>
        <v>0</v>
      </c>
      <c r="O26" s="267">
        <f t="shared" si="5"/>
        <v>0</v>
      </c>
      <c r="P26" s="267">
        <f t="shared" si="6"/>
        <v>0</v>
      </c>
      <c r="Q26" s="414">
        <f>IFERROR(D26/D19,0)</f>
        <v>0</v>
      </c>
    </row>
    <row r="27" spans="1:18" ht="18" customHeight="1" x14ac:dyDescent="0.2">
      <c r="A27" s="271" t="s">
        <v>712</v>
      </c>
      <c r="B27" s="271"/>
      <c r="C27" s="429">
        <f>Scenarios!B59</f>
        <v>0</v>
      </c>
      <c r="D27" s="156" t="str">
        <f>IFERROR(IF(Scenarios!$F$40=0,"",Scenarios!F59),"")</f>
        <v/>
      </c>
      <c r="E27" s="25" t="str">
        <f>IFERROR(IF(Scenarios!$F$40=0,"",D27*(1+E6)),"")</f>
        <v/>
      </c>
      <c r="F27" s="25" t="str">
        <f>IFERROR(IF(Scenarios!$F$40=0,"",E27*(1+F6)),"")</f>
        <v/>
      </c>
      <c r="G27" s="25" t="str">
        <f>IFERROR(IF(Scenarios!$F$40=0,"",F27*(1+G6)),"")</f>
        <v/>
      </c>
      <c r="H27" s="25" t="str">
        <f>IFERROR(IF(Scenarios!$F$40=0,"",G27*(1+H6)),"")</f>
        <v/>
      </c>
      <c r="I27" s="25" t="str">
        <f>IFERROR(IF(Scenarios!$F$40=0,"",H27*(1+I6)),"")</f>
        <v/>
      </c>
      <c r="J27" s="25" t="str">
        <f>IFERROR(IF(Scenarios!$F$40=0,"",I27*(1+J6)),"")</f>
        <v/>
      </c>
      <c r="K27" s="25" t="str">
        <f>IFERROR(IF(Scenarios!$F$40=0,"",J27*(1+K6)),"")</f>
        <v/>
      </c>
      <c r="L27" s="25" t="str">
        <f>IFERROR(IF(Scenarios!$F$40=0,"",K27*(1+L6)),"")</f>
        <v/>
      </c>
      <c r="M27" s="25" t="str">
        <f>IFERROR(IF(Scenarios!$F$40=0,"",L27*(1+M6)),"")</f>
        <v/>
      </c>
      <c r="N27" s="424">
        <f t="shared" si="4"/>
        <v>0</v>
      </c>
      <c r="O27" s="424">
        <f t="shared" si="5"/>
        <v>0</v>
      </c>
      <c r="P27" s="424">
        <f t="shared" si="6"/>
        <v>0</v>
      </c>
      <c r="Q27" s="431">
        <f>IFERROR(D27/D19,0)</f>
        <v>0</v>
      </c>
    </row>
    <row r="28" spans="1:18" ht="18" customHeight="1" x14ac:dyDescent="0.2">
      <c r="A28" s="275" t="s">
        <v>714</v>
      </c>
      <c r="B28" s="275"/>
      <c r="C28" s="413">
        <f>Scenarios!B60</f>
        <v>0</v>
      </c>
      <c r="D28" s="156" t="str">
        <f>IFERROR(IF(Scenarios!$F$40=0,"",Scenarios!F60),"")</f>
        <v/>
      </c>
      <c r="E28" s="23" t="str">
        <f>IFERROR(IF(Scenarios!$F$40=0,"",D28*(1+E6)),"")</f>
        <v/>
      </c>
      <c r="F28" s="23" t="str">
        <f>IFERROR(IF(Scenarios!$F$40=0,"",E28*(1+F6)),"")</f>
        <v/>
      </c>
      <c r="G28" s="23" t="str">
        <f>IFERROR(IF(Scenarios!$F$40=0,"",F28*(1+G6)),"")</f>
        <v/>
      </c>
      <c r="H28" s="23" t="str">
        <f>IFERROR(IF(Scenarios!$F$40=0,"",G28*(1+H6)),"")</f>
        <v/>
      </c>
      <c r="I28" s="23" t="str">
        <f>IFERROR(IF(Scenarios!$F$40=0,"",H28*(1+I6)),"")</f>
        <v/>
      </c>
      <c r="J28" s="23" t="str">
        <f>IFERROR(IF(Scenarios!$F$40=0,"",I28*(1+J6)),"")</f>
        <v/>
      </c>
      <c r="K28" s="23" t="str">
        <f>IFERROR(IF(Scenarios!$F$40=0,"",J28*(1+K6)),"")</f>
        <v/>
      </c>
      <c r="L28" s="23" t="str">
        <f>IFERROR(IF(Scenarios!$F$40=0,"",K28*(1+L6)),"")</f>
        <v/>
      </c>
      <c r="M28" s="23" t="str">
        <f>IFERROR(IF(Scenarios!$F$40=0,"",L28*(1+M6)),"")</f>
        <v/>
      </c>
      <c r="N28" s="267">
        <f t="shared" si="4"/>
        <v>0</v>
      </c>
      <c r="O28" s="267">
        <f t="shared" si="5"/>
        <v>0</v>
      </c>
      <c r="P28" s="267">
        <f t="shared" si="6"/>
        <v>0</v>
      </c>
      <c r="Q28" s="414">
        <f>IFERROR(D28/D19,0)</f>
        <v>0</v>
      </c>
    </row>
    <row r="29" spans="1:18" ht="18" customHeight="1" x14ac:dyDescent="0.2">
      <c r="A29" s="271" t="s">
        <v>716</v>
      </c>
      <c r="B29" s="271"/>
      <c r="C29" s="429">
        <f>Scenarios!B61</f>
        <v>0</v>
      </c>
      <c r="D29" s="156" t="str">
        <f>IFERROR(IF(Scenarios!$F$40=0,"",Scenarios!F61),"")</f>
        <v/>
      </c>
      <c r="E29" s="25" t="str">
        <f>IFERROR(IF(Scenarios!$F$40=0,"",D29*(1+E6)),"")</f>
        <v/>
      </c>
      <c r="F29" s="25" t="str">
        <f>IFERROR(IF(Scenarios!$F$40=0,"",E29*(1+F6)),"")</f>
        <v/>
      </c>
      <c r="G29" s="25" t="str">
        <f>IFERROR(IF(Scenarios!$F$40=0,"",F29*(1+G6)),"")</f>
        <v/>
      </c>
      <c r="H29" s="25" t="str">
        <f>IFERROR(IF(Scenarios!$F$40=0,"",G29*(1+H6)),"")</f>
        <v/>
      </c>
      <c r="I29" s="25" t="str">
        <f>IFERROR(IF(Scenarios!$F$40=0,"",H29*(1+I6)),"")</f>
        <v/>
      </c>
      <c r="J29" s="25" t="str">
        <f>IFERROR(IF(Scenarios!$F$40=0,"",I29*(1+J6)),"")</f>
        <v/>
      </c>
      <c r="K29" s="25" t="str">
        <f>IFERROR(IF(Scenarios!$F$40=0,"",J29*(1+K6)),"")</f>
        <v/>
      </c>
      <c r="L29" s="25" t="str">
        <f>IFERROR(IF(Scenarios!$F$40=0,"",K29*(1+L6)),"")</f>
        <v/>
      </c>
      <c r="M29" s="25" t="str">
        <f>IFERROR(IF(Scenarios!$F$40=0,"",L29*(1+M6)),"")</f>
        <v/>
      </c>
      <c r="N29" s="424">
        <f t="shared" si="4"/>
        <v>0</v>
      </c>
      <c r="O29" s="424">
        <f t="shared" si="5"/>
        <v>0</v>
      </c>
      <c r="P29" s="424">
        <f t="shared" si="6"/>
        <v>0</v>
      </c>
      <c r="Q29" s="431">
        <f>IFERROR(D29/D19,0)</f>
        <v>0</v>
      </c>
    </row>
    <row r="30" spans="1:18" ht="18" customHeight="1" x14ac:dyDescent="0.2">
      <c r="A30" s="275" t="s">
        <v>1492</v>
      </c>
      <c r="B30" s="275"/>
      <c r="C30" s="413">
        <f>IFERROR(Scenarios!B62,0)</f>
        <v>0</v>
      </c>
      <c r="D30" s="23" t="str">
        <f>IFERROR(IF(Scenarios!$F$40=0,"",D19*$D$7),"")</f>
        <v/>
      </c>
      <c r="E30" s="23" t="str">
        <f>IFERROR(IF(Scenarios!$F$40=0,"",E19*$D$7),"")</f>
        <v/>
      </c>
      <c r="F30" s="23" t="str">
        <f>IFERROR(IF(Scenarios!$F$40=0,"",F19*$D$7),"")</f>
        <v/>
      </c>
      <c r="G30" s="23" t="str">
        <f>IFERROR(IF(Scenarios!$F$40=0,"",G19*$D$7),"")</f>
        <v/>
      </c>
      <c r="H30" s="23" t="str">
        <f>IFERROR(IF(Scenarios!$F$40=0,"",H19*$D$7),"")</f>
        <v/>
      </c>
      <c r="I30" s="23" t="str">
        <f>IFERROR(IF(Scenarios!$F$40=0,"",I19*$D$7),"")</f>
        <v/>
      </c>
      <c r="J30" s="23" t="str">
        <f>IFERROR(IF(Scenarios!$F$40=0,"",J19*$D$7),"")</f>
        <v/>
      </c>
      <c r="K30" s="23" t="str">
        <f>IFERROR(IF(Scenarios!$F$40=0,"",K19*$D$7),"")</f>
        <v/>
      </c>
      <c r="L30" s="23" t="str">
        <f>IFERROR(IF(Scenarios!$F$40=0,"",L19*$D$7),"")</f>
        <v/>
      </c>
      <c r="M30" s="23" t="str">
        <f>IFERROR(IF(Scenarios!$F$40=0,"",M19*$D$7),"")</f>
        <v/>
      </c>
      <c r="N30" s="267">
        <f t="shared" si="4"/>
        <v>0</v>
      </c>
      <c r="O30" s="267">
        <f t="shared" si="5"/>
        <v>0</v>
      </c>
      <c r="P30" s="267">
        <f t="shared" si="6"/>
        <v>0</v>
      </c>
      <c r="Q30" s="414">
        <f>IFERROR(D30/D19,0)</f>
        <v>0</v>
      </c>
    </row>
    <row r="31" spans="1:18" ht="18" customHeight="1" x14ac:dyDescent="0.2">
      <c r="A31" s="271" t="s">
        <v>720</v>
      </c>
      <c r="B31" s="271"/>
      <c r="C31" s="429">
        <f>Scenarios!B63</f>
        <v>0</v>
      </c>
      <c r="D31" s="156" t="str">
        <f>IFERROR(IF(Scenarios!$F$7=0,"",IFERROR(Payroll!F25,0)),"")</f>
        <v/>
      </c>
      <c r="E31" s="25" t="str">
        <f>IFERROR(IF(Scenarios!$F$7=0,"",IFERROR(D31*(1+E6),0)),"")</f>
        <v/>
      </c>
      <c r="F31" s="25" t="str">
        <f>IFERROR(IF(Scenarios!$F$7=0,"",IFERROR(E31*(1+F6),0)),"")</f>
        <v/>
      </c>
      <c r="G31" s="25" t="str">
        <f>IFERROR(IF(Scenarios!$F$7=0,"",IFERROR(F31*(1+G6),0)),"")</f>
        <v/>
      </c>
      <c r="H31" s="25" t="str">
        <f>IFERROR(IF(Scenarios!$F$7=0,"",IFERROR(G31*(1+H6),0)),"")</f>
        <v/>
      </c>
      <c r="I31" s="25" t="str">
        <f>IFERROR(IF(Scenarios!$F$7=0,"",IFERROR(H31*(1+I6),0)),"")</f>
        <v/>
      </c>
      <c r="J31" s="25" t="str">
        <f>IFERROR(IF(Scenarios!$F$7=0,"",IFERROR(I31*(1+J6),0)),"")</f>
        <v/>
      </c>
      <c r="K31" s="25" t="str">
        <f>IFERROR(IF(Scenarios!$F$7=0,"",IFERROR(J31*(1+K6),0)),"")</f>
        <v/>
      </c>
      <c r="L31" s="25" t="str">
        <f>IFERROR(IF(Scenarios!$F$7=0,"",IFERROR(K31*(1+L6),0)),"")</f>
        <v/>
      </c>
      <c r="M31" s="25" t="str">
        <f>IFERROR(IF(Scenarios!$F$7=0,"",IFERROR(L31*(1+M6),0)),"")</f>
        <v/>
      </c>
      <c r="N31" s="424">
        <f t="shared" si="4"/>
        <v>0</v>
      </c>
      <c r="O31" s="424">
        <f t="shared" si="5"/>
        <v>0</v>
      </c>
      <c r="P31" s="424">
        <f t="shared" si="6"/>
        <v>0</v>
      </c>
      <c r="Q31" s="431">
        <f>IFERROR(D31/D19,0)</f>
        <v>0</v>
      </c>
    </row>
    <row r="32" spans="1:18" ht="18" customHeight="1" x14ac:dyDescent="0.2">
      <c r="A32" s="275" t="s">
        <v>722</v>
      </c>
      <c r="B32" s="275"/>
      <c r="C32" s="413">
        <f>Scenarios!B64</f>
        <v>0</v>
      </c>
      <c r="D32" s="156" t="str">
        <f>IFERROR(IF(Scenarios!$F$7=0,"",Scenarios!F64),"")</f>
        <v/>
      </c>
      <c r="E32" s="23" t="str">
        <f>IFERROR(IF(Scenarios!$F$7=0,"",D32*(1+E6)),"")</f>
        <v/>
      </c>
      <c r="F32" s="23" t="str">
        <f>IFERROR(IF(Scenarios!$F$7=0,"",E32*(1+F6)),"")</f>
        <v/>
      </c>
      <c r="G32" s="23" t="str">
        <f>IFERROR(IF(Scenarios!$F$7=0,"",F32*(1+G6)),"")</f>
        <v/>
      </c>
      <c r="H32" s="23" t="str">
        <f>IFERROR(IF(Scenarios!$F$7=0,"",G32*(1+H6)),"")</f>
        <v/>
      </c>
      <c r="I32" s="23" t="str">
        <f>IFERROR(IF(Scenarios!$F$7=0,"",H32*(1+I6)),"")</f>
        <v/>
      </c>
      <c r="J32" s="23" t="str">
        <f>IFERROR(IF(Scenarios!$F$7=0,"",I32*(1+J6)),"")</f>
        <v/>
      </c>
      <c r="K32" s="23" t="str">
        <f>IFERROR(IF(Scenarios!$F$7=0,"",J32*(1+K6)),"")</f>
        <v/>
      </c>
      <c r="L32" s="23" t="str">
        <f>IFERROR(IF(Scenarios!$F$7=0,"",K32*(1+L6)),"")</f>
        <v/>
      </c>
      <c r="M32" s="23" t="str">
        <f>IFERROR(IF(Scenarios!$F$7=0,"",L32*(1+M6)),"")</f>
        <v/>
      </c>
      <c r="N32" s="267">
        <f t="shared" si="4"/>
        <v>0</v>
      </c>
      <c r="O32" s="267">
        <f t="shared" si="5"/>
        <v>0</v>
      </c>
      <c r="P32" s="267">
        <f t="shared" si="6"/>
        <v>0</v>
      </c>
      <c r="Q32" s="414">
        <f>IFERROR(D32/D19,0)</f>
        <v>0</v>
      </c>
    </row>
    <row r="33" spans="1:18" ht="18" customHeight="1" x14ac:dyDescent="0.2">
      <c r="A33" s="275" t="s">
        <v>724</v>
      </c>
      <c r="B33" s="275"/>
      <c r="C33" s="413">
        <f>Scenarios!B65</f>
        <v>0</v>
      </c>
      <c r="D33" s="156" t="str">
        <f>IFERROR(IF(Scenarios!$F$7=0,"",Scenarios!F65),"")</f>
        <v/>
      </c>
      <c r="E33" s="23" t="str">
        <f>IFERROR(IF(Scenarios!$F$7=0,"",D33*(1+E6)),"")</f>
        <v/>
      </c>
      <c r="F33" s="23" t="str">
        <f>IFERROR(IF(Scenarios!$F$7=0,"",E33*(1+F6)),"")</f>
        <v/>
      </c>
      <c r="G33" s="23" t="str">
        <f>IFERROR(IF(Scenarios!$F$7=0,"",F33*(1+G6)),"")</f>
        <v/>
      </c>
      <c r="H33" s="23" t="str">
        <f>IFERROR(IF(Scenarios!$F$7=0,"",G33*(1+H6)),"")</f>
        <v/>
      </c>
      <c r="I33" s="23" t="str">
        <f>IFERROR(IF(Scenarios!$F$7=0,"",H33*(1+I6)),"")</f>
        <v/>
      </c>
      <c r="J33" s="23" t="str">
        <f>IFERROR(IF(Scenarios!$F$7=0,"",I33*(1+J6)),"")</f>
        <v/>
      </c>
      <c r="K33" s="23" t="str">
        <f>IFERROR(IF(Scenarios!$F$7=0,"",J33*(1+K6)),"")</f>
        <v/>
      </c>
      <c r="L33" s="23" t="str">
        <f>IFERROR(IF(Scenarios!$F$7=0,"",K33*(1+L6)),"")</f>
        <v/>
      </c>
      <c r="M33" s="23" t="str">
        <f>IFERROR(IF(Scenarios!$F$7=0,"",L33*(1+M6)),"")</f>
        <v/>
      </c>
      <c r="N33" s="267">
        <f t="shared" si="4"/>
        <v>0</v>
      </c>
      <c r="O33" s="267"/>
      <c r="P33" s="267"/>
      <c r="Q33" s="414"/>
    </row>
    <row r="34" spans="1:18" ht="18" customHeight="1" x14ac:dyDescent="0.2">
      <c r="A34" s="271" t="s">
        <v>725</v>
      </c>
      <c r="B34" s="271"/>
      <c r="C34" s="429">
        <f>Scenarios!B66</f>
        <v>0</v>
      </c>
      <c r="D34" s="156" t="str">
        <f>IFERROR(IF(Scenarios!$F$7=0,"",Scenarios!F66),"")</f>
        <v/>
      </c>
      <c r="E34" s="25" t="str">
        <f>IFERROR(IF(Scenarios!$F$7=0,"",D34*(1+E6)),"")</f>
        <v/>
      </c>
      <c r="F34" s="25" t="str">
        <f>IFERROR(IF(Scenarios!$F$7=0,"",E34*(1+F6)),"")</f>
        <v/>
      </c>
      <c r="G34" s="25" t="str">
        <f>IFERROR(IF(Scenarios!$F$7=0,"",F34*(1+G6)),"")</f>
        <v/>
      </c>
      <c r="H34" s="25" t="str">
        <f>IFERROR(IF(Scenarios!$F$7=0,"",G34*(1+H6)),"")</f>
        <v/>
      </c>
      <c r="I34" s="25" t="str">
        <f>IFERROR(IF(Scenarios!$F$7=0,"",H34*(1+I6)),"")</f>
        <v/>
      </c>
      <c r="J34" s="25" t="str">
        <f>IFERROR(IF(Scenarios!$F$7=0,"",I34*(1+J6)),"")</f>
        <v/>
      </c>
      <c r="K34" s="25" t="str">
        <f>IFERROR(IF(Scenarios!$F$7=0,"",J34*(1+K6)),"")</f>
        <v/>
      </c>
      <c r="L34" s="25" t="str">
        <f>IFERROR(IF(Scenarios!$F$7=0,"",K34*(1+L6)),"")</f>
        <v/>
      </c>
      <c r="M34" s="25" t="str">
        <f>IFERROR(IF(Scenarios!$F$7=0,"",L34*(1+M6)),"")</f>
        <v/>
      </c>
      <c r="N34" s="424">
        <f t="shared" si="4"/>
        <v>0</v>
      </c>
      <c r="O34" s="424">
        <f>SUM(D34:M34)</f>
        <v>0</v>
      </c>
      <c r="P34" s="424">
        <f>IFERROR(O34/10,0)</f>
        <v>0</v>
      </c>
      <c r="Q34" s="431">
        <f>IFERROR(D34/D19,0)</f>
        <v>0</v>
      </c>
    </row>
    <row r="35" spans="1:18" ht="18" customHeight="1" x14ac:dyDescent="0.2">
      <c r="A35" s="275" t="s">
        <v>727</v>
      </c>
      <c r="B35" s="275"/>
      <c r="C35" s="413">
        <f>Scenarios!B67</f>
        <v>0</v>
      </c>
      <c r="D35" s="156" t="str">
        <f>IFERROR(IF(Scenarios!$F$7=0,"",Scenarios!F67),"")</f>
        <v/>
      </c>
      <c r="E35" s="23" t="str">
        <f>IFERROR(IF(Scenarios!$F$7=0,"",D35*(1+E6)),"")</f>
        <v/>
      </c>
      <c r="F35" s="23" t="str">
        <f>IFERROR(IF(Scenarios!$F$7=0,"",E35*(1+F6)),"")</f>
        <v/>
      </c>
      <c r="G35" s="23" t="str">
        <f>IFERROR(IF(Scenarios!$F$7=0,"",F35*(1+G6)),"")</f>
        <v/>
      </c>
      <c r="H35" s="23" t="str">
        <f>IFERROR(IF(Scenarios!$F$7=0,"",G35*(1+H6)),"")</f>
        <v/>
      </c>
      <c r="I35" s="23" t="str">
        <f>IFERROR(IF(Scenarios!$F$7=0,"",H35*(1+I6)),"")</f>
        <v/>
      </c>
      <c r="J35" s="23" t="str">
        <f>IFERROR(IF(Scenarios!$F$7=0,"",I35*(1+J6)),"")</f>
        <v/>
      </c>
      <c r="K35" s="23" t="str">
        <f>IFERROR(IF(Scenarios!$F$7=0,"",J35*(1+K6)),"")</f>
        <v/>
      </c>
      <c r="L35" s="23" t="str">
        <f>IFERROR(IF(Scenarios!$F$7=0,"",K35*(1+L6)),"")</f>
        <v/>
      </c>
      <c r="M35" s="23" t="str">
        <f>IFERROR(IF(Scenarios!$F$7=0,"",L35*(1+M6)),"")</f>
        <v/>
      </c>
      <c r="N35" s="267">
        <f t="shared" si="4"/>
        <v>0</v>
      </c>
      <c r="O35" s="267">
        <f>SUM(D35:M35)</f>
        <v>0</v>
      </c>
      <c r="P35" s="267">
        <f>IFERROR(O35/10,0)</f>
        <v>0</v>
      </c>
      <c r="Q35" s="414">
        <f>IFERROR(D35/D19,0)</f>
        <v>0</v>
      </c>
    </row>
    <row r="36" spans="1:18" ht="18" customHeight="1" x14ac:dyDescent="0.2">
      <c r="A36" s="271" t="s">
        <v>729</v>
      </c>
      <c r="B36" s="271"/>
      <c r="C36" s="429">
        <f>Scenarios!B68</f>
        <v>0</v>
      </c>
      <c r="D36" s="156" t="str">
        <f>IFERROR(IF(Scenarios!$F$7=0,"",Scenarios!F68),"")</f>
        <v/>
      </c>
      <c r="E36" s="25" t="str">
        <f>IFERROR(IF(Scenarios!$F$7=0,"",D36*(1+E6)),"")</f>
        <v/>
      </c>
      <c r="F36" s="25" t="str">
        <f>IFERROR(IF(Scenarios!$F$7=0,"",E36*(1+F6)),"")</f>
        <v/>
      </c>
      <c r="G36" s="25" t="str">
        <f>IFERROR(IF(Scenarios!$F$7=0,"",F36*(1+G6)),"")</f>
        <v/>
      </c>
      <c r="H36" s="25" t="str">
        <f>IFERROR(IF(Scenarios!$F$7=0,"",G36*(1+H6)),"")</f>
        <v/>
      </c>
      <c r="I36" s="25" t="str">
        <f>IFERROR(IF(Scenarios!$F$7=0,"",H36*(1+I6)),"")</f>
        <v/>
      </c>
      <c r="J36" s="25" t="str">
        <f>IFERROR(IF(Scenarios!$F$7=0,"",I36*(1+J6)),"")</f>
        <v/>
      </c>
      <c r="K36" s="25" t="str">
        <f>IFERROR(IF(Scenarios!$F$7=0,"",J36*(1+K6)),"")</f>
        <v/>
      </c>
      <c r="L36" s="25" t="str">
        <f>IFERROR(IF(Scenarios!$F$7=0,"",K36*(1+L6)),"")</f>
        <v/>
      </c>
      <c r="M36" s="25" t="str">
        <f>IFERROR(IF(Scenarios!$F$7=0,"",L36*(1+M6)),"")</f>
        <v/>
      </c>
      <c r="N36" s="424">
        <f t="shared" si="4"/>
        <v>0</v>
      </c>
      <c r="O36" s="424">
        <f>SUM(D36:M36)</f>
        <v>0</v>
      </c>
      <c r="P36" s="424">
        <f>IFERROR(O36/10,0)</f>
        <v>0</v>
      </c>
      <c r="Q36" s="431">
        <f>IFERROR(D36/D19,0)</f>
        <v>0</v>
      </c>
    </row>
    <row r="37" spans="1:18" ht="18" customHeight="1" x14ac:dyDescent="0.2">
      <c r="A37" s="275" t="s">
        <v>731</v>
      </c>
      <c r="B37" s="275"/>
      <c r="C37" s="413">
        <f>Scenarios!B69</f>
        <v>0</v>
      </c>
      <c r="D37" s="156" t="str">
        <f>IFERROR(IF(Scenarios!$F$7=0,"",Scenarios!F69),"")</f>
        <v/>
      </c>
      <c r="E37" s="23" t="str">
        <f>IFERROR(IF(Scenarios!$F$7=0,"",D37*(1+E6)),"")</f>
        <v/>
      </c>
      <c r="F37" s="23" t="str">
        <f>IFERROR(IF(Scenarios!$F$7=0,"",E37*(1+F6)),"")</f>
        <v/>
      </c>
      <c r="G37" s="23" t="str">
        <f>IFERROR(IF(Scenarios!$F$7=0,"",F37*(1+G6)),"")</f>
        <v/>
      </c>
      <c r="H37" s="23" t="str">
        <f>IFERROR(IF(Scenarios!$F$7=0,"",G37*(1+H6)),"")</f>
        <v/>
      </c>
      <c r="I37" s="23" t="str">
        <f>IFERROR(IF(Scenarios!$F$7=0,"",H37*(1+I6)),"")</f>
        <v/>
      </c>
      <c r="J37" s="23" t="str">
        <f>IFERROR(IF(Scenarios!$F$7=0,"",I37*(1+J6)),"")</f>
        <v/>
      </c>
      <c r="K37" s="23" t="str">
        <f>IFERROR(IF(Scenarios!$F$7=0,"",J37*(1+K6)),"")</f>
        <v/>
      </c>
      <c r="L37" s="23" t="str">
        <f>IFERROR(IF(Scenarios!$F$7=0,"",K37*(1+L6)),"")</f>
        <v/>
      </c>
      <c r="M37" s="23" t="str">
        <f>IFERROR(IF(Scenarios!$F$7=0,"",L37*(1+M6)),"")</f>
        <v/>
      </c>
      <c r="N37" s="267">
        <f t="shared" si="4"/>
        <v>0</v>
      </c>
      <c r="O37" s="267">
        <f>SUM(D37:M37)</f>
        <v>0</v>
      </c>
      <c r="P37" s="267">
        <f>IFERROR(O37/10,0)</f>
        <v>0</v>
      </c>
      <c r="Q37" s="414">
        <f>IFERROR(D37/D19,0)</f>
        <v>0</v>
      </c>
    </row>
    <row r="38" spans="1:18" ht="18" customHeight="1" x14ac:dyDescent="0.2">
      <c r="A38" s="432" t="s">
        <v>733</v>
      </c>
      <c r="B38" s="432"/>
      <c r="C38" s="433">
        <f>SUM(C22:C37)</f>
        <v>0</v>
      </c>
      <c r="D38" s="434" t="str">
        <f>IFERROR(IF(Scenarios!$F$7=0,"",SUM(D22:D37)),"")</f>
        <v/>
      </c>
      <c r="E38" s="434" t="str">
        <f>IFERROR(IF(Scenarios!$F$7=0,"",SUM(E22:E37)),"")</f>
        <v/>
      </c>
      <c r="F38" s="434" t="str">
        <f>IFERROR(IF(Scenarios!$F$7=0,"",SUM(F22:F37)),"")</f>
        <v/>
      </c>
      <c r="G38" s="434" t="str">
        <f>IFERROR(IF(Scenarios!$F$7=0,"",SUM(G22:G37)),"")</f>
        <v/>
      </c>
      <c r="H38" s="434" t="str">
        <f>IFERROR(IF(Scenarios!$F$7=0,"",SUM(H22:H37)),"")</f>
        <v/>
      </c>
      <c r="I38" s="434" t="str">
        <f>IFERROR(IF(Scenarios!$F$7=0,"",SUM(I22:I37)),"")</f>
        <v/>
      </c>
      <c r="J38" s="434" t="str">
        <f>IFERROR(IF(Scenarios!$F$7=0,"",SUM(J22:J37)),"")</f>
        <v/>
      </c>
      <c r="K38" s="434" t="str">
        <f>IFERROR(IF(Scenarios!$F$7=0,"",SUM(K22:K37)),"")</f>
        <v/>
      </c>
      <c r="L38" s="434" t="str">
        <f>IFERROR(IF(Scenarios!$F$7=0,"",SUM(L22:L37)),"")</f>
        <v/>
      </c>
      <c r="M38" s="434" t="str">
        <f>IFERROR(IF(Scenarios!$F$7=0,"",SUM(M22:M37)),"")</f>
        <v/>
      </c>
      <c r="N38" s="435">
        <f t="shared" si="4"/>
        <v>0</v>
      </c>
      <c r="O38" s="435">
        <f>SUM(D38:M38)</f>
        <v>0</v>
      </c>
      <c r="P38" s="435">
        <f>IFERROR(O38/10,0)</f>
        <v>0</v>
      </c>
      <c r="Q38" s="436">
        <f>IFERROR(D38/D19,0)</f>
        <v>0</v>
      </c>
    </row>
    <row r="39" spans="1:18" ht="18" customHeight="1" x14ac:dyDescent="0.2">
      <c r="A39" s="7"/>
      <c r="B39" s="7"/>
    </row>
    <row r="40" spans="1:18" ht="18" customHeight="1" x14ac:dyDescent="0.2">
      <c r="A40" s="224" t="s">
        <v>1493</v>
      </c>
      <c r="B40" s="224"/>
      <c r="C40" s="437">
        <f>C19-C38</f>
        <v>0</v>
      </c>
      <c r="D40" s="438" t="str">
        <f>IFERROR(IF(Scenarios!$F$7=0,"",D19-D38),"")</f>
        <v/>
      </c>
      <c r="E40" s="438" t="str">
        <f>IFERROR(IF(Scenarios!$F$7=0,"",E19-E38),"")</f>
        <v/>
      </c>
      <c r="F40" s="438" t="str">
        <f>IFERROR(IF(Scenarios!$F$7=0,"",F19-F38),"")</f>
        <v/>
      </c>
      <c r="G40" s="438" t="str">
        <f>IFERROR(IF(Scenarios!$F$7=0,"",G19-G38),"")</f>
        <v/>
      </c>
      <c r="H40" s="438" t="str">
        <f>IFERROR(IF(Scenarios!$F$7=0,"",H19-H38),"")</f>
        <v/>
      </c>
      <c r="I40" s="438" t="str">
        <f>IFERROR(IF(Scenarios!$F$7=0,"",I19-I38),"")</f>
        <v/>
      </c>
      <c r="J40" s="438" t="str">
        <f>IFERROR(IF(Scenarios!$F$7=0,"",J19-J38),"")</f>
        <v/>
      </c>
      <c r="K40" s="438" t="str">
        <f>IFERROR(IF(Scenarios!$F$7=0,"",K19-K38),"")</f>
        <v/>
      </c>
      <c r="L40" s="438" t="str">
        <f>IFERROR(IF(Scenarios!$F$7=0,"",L19-L38),"")</f>
        <v/>
      </c>
      <c r="M40" s="438" t="str">
        <f>IFERROR(IF(Scenarios!$F$7=0,"",M19-M38),"")</f>
        <v/>
      </c>
      <c r="N40" s="438">
        <f>SUM(D40:H40)</f>
        <v>0</v>
      </c>
      <c r="O40" s="438">
        <f>SUM(D40:M40)</f>
        <v>0</v>
      </c>
      <c r="P40" s="438">
        <f>IFERROR(O40/10,0)</f>
        <v>0</v>
      </c>
      <c r="Q40" s="439">
        <f>IFERROR(D40/D19,0)</f>
        <v>0</v>
      </c>
      <c r="R40" s="440"/>
    </row>
    <row r="41" spans="1:18" ht="18" customHeight="1" x14ac:dyDescent="0.2"/>
    <row r="42" spans="1:18" ht="24" customHeight="1" x14ac:dyDescent="0.2">
      <c r="A42" s="934" t="s">
        <v>1494</v>
      </c>
      <c r="B42" s="934"/>
      <c r="C42" s="934"/>
      <c r="D42" s="934"/>
      <c r="E42" s="934"/>
      <c r="F42" s="934"/>
      <c r="G42" s="934"/>
      <c r="H42" s="934"/>
      <c r="I42" s="934"/>
      <c r="J42" s="934"/>
      <c r="K42" s="934"/>
      <c r="L42" s="934"/>
      <c r="M42" s="934"/>
      <c r="N42" s="934"/>
      <c r="O42" s="934"/>
      <c r="P42" s="934"/>
      <c r="Q42" s="934"/>
      <c r="R42" s="934"/>
    </row>
    <row r="43" spans="1:18" ht="24" customHeight="1" x14ac:dyDescent="0.2">
      <c r="A43" s="441" t="s">
        <v>1495</v>
      </c>
      <c r="B43" s="441"/>
      <c r="C43" s="267"/>
      <c r="D43" s="23" t="str">
        <f>IFERROR(IF(Scenarios!$F$7=0,"",-Loans!C70),"")</f>
        <v/>
      </c>
      <c r="E43" s="23" t="str">
        <f>IFERROR(IF(Scenarios!$F$7=0,"",-Loans!D70),"")</f>
        <v/>
      </c>
      <c r="F43" s="23" t="str">
        <f>IFERROR(IF(Scenarios!$F$7=0,"",-Loans!E70),"")</f>
        <v/>
      </c>
      <c r="G43" s="23" t="str">
        <f>IFERROR(IF(Scenarios!$F$7=0,"",-Loans!F70),"")</f>
        <v/>
      </c>
      <c r="H43" s="23" t="str">
        <f>IFERROR(IF(Scenarios!$F$7=0,"",-Loans!G70),"")</f>
        <v/>
      </c>
      <c r="I43" s="23" t="str">
        <f>IFERROR(IF(Scenarios!$F$7=0,"",-Loans!H70),"")</f>
        <v/>
      </c>
      <c r="J43" s="23" t="str">
        <f>IFERROR(IF(Scenarios!$F$7=0,"",-Loans!I70),"")</f>
        <v/>
      </c>
      <c r="K43" s="23" t="str">
        <f>IFERROR(IF(Scenarios!$F$7=0,"",-Loans!J70),"")</f>
        <v/>
      </c>
      <c r="L43" s="23" t="str">
        <f>IFERROR(IF(Scenarios!$F$7=0,"",-Loans!K70),"")</f>
        <v/>
      </c>
      <c r="M43" s="23" t="str">
        <f>IFERROR(IF(Scenarios!$F$7=0,"",-Loans!L70),"")</f>
        <v/>
      </c>
    </row>
    <row r="44" spans="1:18" ht="24" customHeight="1" x14ac:dyDescent="0.2">
      <c r="A44" s="13" t="s">
        <v>1496</v>
      </c>
      <c r="B44" s="13"/>
      <c r="C44" s="424"/>
      <c r="D44" s="25" t="str">
        <f>IFERROR(IF(Scenarios!$F$7=0,"",-Loans!C69),"")</f>
        <v/>
      </c>
      <c r="E44" s="25" t="str">
        <f>IFERROR(IF(Scenarios!$F$7=0,"",-Loans!D69),"")</f>
        <v/>
      </c>
      <c r="F44" s="25" t="str">
        <f>IFERROR(IF(Scenarios!$F$7=0,"",-Loans!E69),"")</f>
        <v/>
      </c>
      <c r="G44" s="25" t="str">
        <f>IFERROR(IF(Scenarios!$F$7=0,"",-Loans!F69),"")</f>
        <v/>
      </c>
      <c r="H44" s="25" t="str">
        <f>IFERROR(IF(Scenarios!$F$7=0,"",-Loans!G69),"")</f>
        <v/>
      </c>
      <c r="I44" s="25" t="str">
        <f>IFERROR(IF(Scenarios!$F$7=0,"",-Loans!H69),"")</f>
        <v/>
      </c>
      <c r="J44" s="25" t="str">
        <f>IFERROR(IF(Scenarios!$F$7=0,"",-Loans!I69),"")</f>
        <v/>
      </c>
      <c r="K44" s="25" t="str">
        <f>IFERROR(IF(Scenarios!$F$7=0,"",-Loans!J69),"")</f>
        <v/>
      </c>
      <c r="L44" s="25" t="str">
        <f>IFERROR(IF(Scenarios!$F$7=0,"",-Loans!K69),"")</f>
        <v/>
      </c>
      <c r="M44" s="25" t="str">
        <f>IFERROR(IF(Scenarios!$F$7=0,"",-Loans!L69),"")</f>
        <v/>
      </c>
    </row>
    <row r="45" spans="1:18" ht="24" customHeight="1" x14ac:dyDescent="0.2">
      <c r="A45" s="441" t="s">
        <v>44</v>
      </c>
      <c r="B45" s="441"/>
      <c r="C45" s="267"/>
      <c r="D45" s="23" t="str">
        <f>IFERROR(IF(Scenarios!$F$7=0,"",-Loans!C71),"")</f>
        <v/>
      </c>
      <c r="E45" s="23" t="str">
        <f>IFERROR(IF(Scenarios!$F$7=0,"",-Loans!D71),"")</f>
        <v/>
      </c>
      <c r="F45" s="23" t="str">
        <f>IFERROR(IF(Scenarios!$F$7=0,"",-Loans!E71),"")</f>
        <v/>
      </c>
      <c r="G45" s="23" t="str">
        <f>IFERROR(IF(Scenarios!$F$7=0,"",-Loans!F71),"")</f>
        <v/>
      </c>
      <c r="H45" s="23" t="str">
        <f>IFERROR(IF(Scenarios!$F$7=0,"",-Loans!G71),"")</f>
        <v/>
      </c>
      <c r="I45" s="23" t="str">
        <f>IFERROR(IF(Scenarios!$F$7=0,"",-Loans!H71),"")</f>
        <v/>
      </c>
      <c r="J45" s="23" t="str">
        <f>IFERROR(IF(Scenarios!$F$7=0,"",-Loans!I71),"")</f>
        <v/>
      </c>
      <c r="K45" s="23" t="str">
        <f>IFERROR(IF(Scenarios!$F$7=0,"",-Loans!J71),"")</f>
        <v/>
      </c>
      <c r="L45" s="23" t="str">
        <f>IFERROR(IF(Scenarios!$F$7=0,"",-Loans!K71),"")</f>
        <v/>
      </c>
      <c r="M45" s="23" t="str">
        <f>IFERROR(IF(Scenarios!$F$7=0,"",-Loans!L71),"")</f>
        <v/>
      </c>
    </row>
    <row r="46" spans="1:18" ht="18" customHeight="1" x14ac:dyDescent="0.2">
      <c r="A46" s="442" t="s">
        <v>1497</v>
      </c>
      <c r="B46" s="442"/>
      <c r="C46" s="31">
        <f>-Loans!$E$11</f>
        <v>0</v>
      </c>
      <c r="D46" s="443" t="str">
        <f>IFERROR(IF(Scenarios!$F$7=0,"",SUM(D43:D45)),"")</f>
        <v/>
      </c>
      <c r="E46" s="443" t="str">
        <f>IFERROR(IF(Scenarios!$F$7=0,"",SUM(E43:E45)),"")</f>
        <v/>
      </c>
      <c r="F46" s="443" t="str">
        <f>IFERROR(IF(Scenarios!$F$7=0,"",SUM(F43:F45)),"")</f>
        <v/>
      </c>
      <c r="G46" s="443" t="str">
        <f>IFERROR(IF(Scenarios!$F$7=0,"",SUM(G43:G45)),"")</f>
        <v/>
      </c>
      <c r="H46" s="443" t="str">
        <f>IFERROR(IF(Scenarios!$F$7=0,"",SUM(H43:H45)),"")</f>
        <v/>
      </c>
      <c r="I46" s="443" t="str">
        <f>IFERROR(IF(Scenarios!$F$7=0,"",SUM(I43:I45)),"")</f>
        <v/>
      </c>
      <c r="J46" s="443" t="str">
        <f>IFERROR(IF(Scenarios!$F$7=0,"",SUM(J43:J45)),"")</f>
        <v/>
      </c>
      <c r="K46" s="443" t="str">
        <f>IFERROR(IF(Scenarios!$F$7=0,"",SUM(K43:K45)),"")</f>
        <v/>
      </c>
      <c r="L46" s="443" t="str">
        <f>IFERROR(IF(Scenarios!$F$7=0,"",SUM(L43:L45)),"")</f>
        <v/>
      </c>
      <c r="M46" s="443" t="str">
        <f>IFERROR(IF(Scenarios!$F$7=0,"",SUM(M43:M45)),"")</f>
        <v/>
      </c>
      <c r="N46" s="444" t="str">
        <f>IFERROR(IF(Scenarios!$F$7=0,"",SUM(D46:H46)),"")</f>
        <v/>
      </c>
      <c r="O46" s="444" t="str">
        <f>IFERROR(IF(Scenarios!$F$7=0,"",SUM(D46:M46)),"")</f>
        <v/>
      </c>
      <c r="P46" s="444" t="str">
        <f>IFERROR(IF(Scenarios!$F$7=0,"",O46/10),"")</f>
        <v/>
      </c>
      <c r="Q46" s="414">
        <f>IFERROR(ABS(D46)/D19,0)</f>
        <v>0</v>
      </c>
    </row>
    <row r="47" spans="1:18" ht="18" customHeight="1" x14ac:dyDescent="0.2">
      <c r="A47" s="6"/>
      <c r="B47" s="6"/>
    </row>
    <row r="48" spans="1:18" ht="18" customHeight="1" x14ac:dyDescent="0.2">
      <c r="A48" s="270" t="s">
        <v>1498</v>
      </c>
      <c r="B48" s="270"/>
      <c r="C48" s="157">
        <f>C40+C46</f>
        <v>0</v>
      </c>
      <c r="D48" s="56" t="str">
        <f>IFERROR(IF(Scenarios!$F$7=0,"",D40+D46),"")</f>
        <v/>
      </c>
      <c r="E48" s="56" t="str">
        <f>IFERROR(IF(Scenarios!$F$7=0,"",E40+E46),"")</f>
        <v/>
      </c>
      <c r="F48" s="56" t="str">
        <f>IFERROR(IF(Scenarios!$F$7=0,"",F40+F46),"")</f>
        <v/>
      </c>
      <c r="G48" s="56" t="str">
        <f>IFERROR(IF(Scenarios!$F$7=0,"",G40+G46),"")</f>
        <v/>
      </c>
      <c r="H48" s="56" t="str">
        <f>IFERROR(IF(Scenarios!$F$7=0,"",H40+H46),"")</f>
        <v/>
      </c>
      <c r="I48" s="56" t="str">
        <f>IFERROR(IF(Scenarios!$F$7=0,"",I40+I46),"")</f>
        <v/>
      </c>
      <c r="J48" s="56" t="str">
        <f>IFERROR(IF(Scenarios!$F$7=0,"",J40+J46),"")</f>
        <v/>
      </c>
      <c r="K48" s="56" t="str">
        <f>IFERROR(IF(Scenarios!$F$7=0,"",K40+K46),"")</f>
        <v/>
      </c>
      <c r="L48" s="56" t="str">
        <f>IFERROR(IF(Scenarios!$F$7=0,"",L40+L46),"")</f>
        <v/>
      </c>
      <c r="M48" s="56" t="str">
        <f>IFERROR(IF(Scenarios!$F$7=0,"",M40+M46),"")</f>
        <v/>
      </c>
      <c r="N48" s="157">
        <f>SUM(D48:H48)</f>
        <v>0</v>
      </c>
      <c r="O48" s="157">
        <f>SUM(D48:M48)</f>
        <v>0</v>
      </c>
      <c r="P48" s="445" t="str">
        <f>IFERROR(IF(Scenarios!$F$7=0,"",O48/10),"")</f>
        <v/>
      </c>
      <c r="Q48" s="446">
        <f>IFERROR(D48/D19,0)</f>
        <v>0</v>
      </c>
    </row>
    <row r="49" spans="1:17" ht="18" customHeight="1" x14ac:dyDescent="0.2">
      <c r="A49" s="208" t="s">
        <v>241</v>
      </c>
      <c r="B49" s="208"/>
      <c r="C49" s="447">
        <v>0</v>
      </c>
      <c r="D49" s="448" t="str">
        <f>IFERROR(IF(Scenarios!$F$7=0,"",MIN(MAX(-D48,0),MAX(Scenarios!$F$13,0))),"")</f>
        <v/>
      </c>
      <c r="E49" s="448" t="str">
        <f>IFERROR(IF(Scenarios!$F$7=0,"",MIN(MAX(-E48,0),MAX(Scenarios!$F$13-D49,0))),"")</f>
        <v/>
      </c>
      <c r="F49" s="448" t="str">
        <f>IFERROR(IF(Scenarios!$F$7=0,"",MIN(MAX(-F48,0),MAX(Scenarios!$F$13-D49+E49,0))),"")</f>
        <v/>
      </c>
      <c r="G49" s="448" t="str">
        <f>IFERROR(IF(Scenarios!$F$7=0,"",MIN(MAX(-G48,0),MAX(Scenarios!$F$13-D49+E49+F49,0))),"")</f>
        <v/>
      </c>
      <c r="H49" s="448" t="str">
        <f>IFERROR(IF(Scenarios!$F$7=0,"",MIN(MAX(-H48,0),MAX(Scenarios!$F$13-D49+E49+F49+G49,0))),"")</f>
        <v/>
      </c>
      <c r="I49" s="448" t="str">
        <f>IFERROR(IF(Scenarios!$F$7=0,"",MIN(MAX(-I48,0),MAX(Scenarios!$F$13-D49+E49+F49+G49+H49,0))),"")</f>
        <v/>
      </c>
      <c r="J49" s="448" t="str">
        <f>IFERROR(IF(Scenarios!$F$7=0,"",MIN(MAX(-J48,0),MAX(Scenarios!$F$13-D49+E49+F49+G49+H49+I49,0))),"")</f>
        <v/>
      </c>
      <c r="K49" s="448" t="str">
        <f>IFERROR(IF(Scenarios!$F$7=0,"",MIN(MAX(-K48,0),MAX(Scenarios!$F$13-D49+E49+F49+G49+H49+I49+J49,0))),"")</f>
        <v/>
      </c>
      <c r="L49" s="448" t="str">
        <f>IFERROR(IF(Scenarios!$F$7=0,"",MIN(MAX(-L48,0),MAX(Scenarios!$F$13-D49+E49+F49+G49+H49+I49+J49+K49,0))),"")</f>
        <v/>
      </c>
      <c r="M49" s="448" t="str">
        <f>IFERROR(IF(Scenarios!$F$7=0,"",MIN(MAX(-M48,0),MAX(Scenarios!$F$13-D49+E49+F49+G49+H49+I49+J49+K49+L49,0))),"")</f>
        <v/>
      </c>
      <c r="N49" s="445" t="str">
        <f>IFERROR(IF(Scenarios!$F$7=0,"",SUM(D49:H49)),"")</f>
        <v/>
      </c>
      <c r="O49" s="445" t="str">
        <f>IFERROR(IF(Scenarios!$F$7=0,"",SUM(D49:M49)),"")</f>
        <v/>
      </c>
      <c r="P49" s="449">
        <f>SUM(D49:M49)</f>
        <v>0</v>
      </c>
      <c r="Q49" s="450" t="s">
        <v>1499</v>
      </c>
    </row>
    <row r="50" spans="1:17" ht="24" customHeight="1" x14ac:dyDescent="0.2">
      <c r="A50" s="451" t="s">
        <v>1500</v>
      </c>
      <c r="B50" s="451"/>
      <c r="C50" s="452">
        <f>C40+C46</f>
        <v>0</v>
      </c>
      <c r="D50" s="453" t="str">
        <f>IFERROR(IF(Scenarios!$F$7=0,"",D48+D49),"")</f>
        <v/>
      </c>
      <c r="E50" s="453" t="str">
        <f>IFERROR(IF(Scenarios!$F$7=0,"",E48+E49),"")</f>
        <v/>
      </c>
      <c r="F50" s="453" t="str">
        <f>IFERROR(IF(Scenarios!$F$7=0,"",F48+F49),"")</f>
        <v/>
      </c>
      <c r="G50" s="453" t="str">
        <f>IFERROR(IF(Scenarios!$F$7=0,"",G48+G49),"")</f>
        <v/>
      </c>
      <c r="H50" s="453" t="str">
        <f>IFERROR(IF(Scenarios!$F$7=0,"",H48+H49),"")</f>
        <v/>
      </c>
      <c r="I50" s="453" t="str">
        <f>IFERROR(IF(Scenarios!$F$7=0,"",I48+I49),"")</f>
        <v/>
      </c>
      <c r="J50" s="453" t="str">
        <f>IFERROR(IF(Scenarios!$F$7=0,"",J48+J49),"")</f>
        <v/>
      </c>
      <c r="K50" s="453" t="str">
        <f>IFERROR(IF(Scenarios!$F$7=0,"",K48+K49),"")</f>
        <v/>
      </c>
      <c r="L50" s="453" t="str">
        <f>IFERROR(IF(Scenarios!$F$7=0,"",L48+L49),"")</f>
        <v/>
      </c>
      <c r="M50" s="453" t="str">
        <f>IFERROR(IF(Scenarios!$F$7=0,"",M48+M49),"")</f>
        <v/>
      </c>
      <c r="N50" s="445" t="str">
        <f>IFERROR(IF(Scenarios!$F$7=0,"",SUM(D50:H50)),"")</f>
        <v/>
      </c>
      <c r="O50" s="445" t="str">
        <f>IFERROR(IF(Scenarios!$F$7=0,"",SUM(D50:M50)),"")</f>
        <v/>
      </c>
      <c r="P50" s="445" t="str">
        <f>IFERROR(IF(Scenarios!$F$7=0,"",O50/10),"")</f>
        <v/>
      </c>
      <c r="Q50" s="450" t="s">
        <v>1501</v>
      </c>
    </row>
    <row r="51" spans="1:17" ht="18" customHeight="1" x14ac:dyDescent="0.2">
      <c r="A51" s="271"/>
      <c r="B51" s="271"/>
      <c r="C51" s="454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455"/>
      <c r="O51" s="455"/>
      <c r="P51" s="455"/>
      <c r="Q51" s="414"/>
    </row>
    <row r="52" spans="1:17" ht="18" customHeight="1" x14ac:dyDescent="0.2">
      <c r="A52" s="6" t="s">
        <v>1502</v>
      </c>
      <c r="B52" s="6"/>
      <c r="C52" s="455"/>
      <c r="D52" s="455"/>
      <c r="E52" s="455"/>
      <c r="F52" s="455"/>
      <c r="G52" s="455"/>
      <c r="H52" s="455"/>
      <c r="I52" s="455"/>
      <c r="J52" s="455"/>
      <c r="K52" s="455"/>
      <c r="L52" s="455"/>
      <c r="M52" s="455"/>
      <c r="N52" s="455"/>
      <c r="O52" s="455"/>
      <c r="P52" s="455"/>
      <c r="Q52" s="455"/>
    </row>
    <row r="53" spans="1:17" ht="18" customHeight="1" x14ac:dyDescent="0.2">
      <c r="A53" s="275" t="s">
        <v>1503</v>
      </c>
      <c r="B53" s="275"/>
      <c r="C53" s="454"/>
      <c r="D53" s="23" t="str">
        <f>IFERROR(IF(Scenarios!$F$7=0,"",IFERROR(MAX(MIN(D48,Scenarios!$F$31*0.015),0),0)),"")</f>
        <v/>
      </c>
      <c r="E53" s="23" t="str">
        <f>IFERROR(IF(Scenarios!$F$7=0,"",IFERROR(MAX(MIN(E48,Scenarios!$F$31*0.015),0),0)),"")</f>
        <v/>
      </c>
      <c r="F53" s="23" t="str">
        <f>IFERROR(IF(Scenarios!$F$7=0,"",IFERROR(MAX(MIN(F48,Scenarios!$F$31*0.015),0),0)),"")</f>
        <v/>
      </c>
      <c r="G53" s="23" t="str">
        <f>IFERROR(IF(Scenarios!$F$7=0,"",IFERROR(MAX(MIN(G48,Scenarios!$F$31*0.015),0),0)),"")</f>
        <v/>
      </c>
      <c r="H53" s="23" t="str">
        <f>IFERROR(IF(Scenarios!$F$7=0,"",IFERROR(MAX(MIN(H48,Scenarios!$F$31*0.015),0),0)),"")</f>
        <v/>
      </c>
      <c r="I53" s="23" t="str">
        <f>IFERROR(IF(Scenarios!$F$7=0,"",IFERROR(MAX(MIN(I48,Scenarios!$F$31*0.015),0),0)),"")</f>
        <v/>
      </c>
      <c r="J53" s="23" t="str">
        <f>IFERROR(IF(Scenarios!$F$7=0,"",IFERROR(MAX(MIN(J48,Scenarios!$F$31*0.015),0),0)),"")</f>
        <v/>
      </c>
      <c r="K53" s="23" t="str">
        <f>IFERROR(IF(Scenarios!$F$7=0,"",IFERROR(MAX(MIN(K48,Scenarios!$F$31*0.015),0),0)),"")</f>
        <v/>
      </c>
      <c r="L53" s="23" t="str">
        <f>IFERROR(IF(Scenarios!$F$7=0,"",IFERROR(MAX(MIN(L48,Scenarios!$F$31*0.015),0),0)),"")</f>
        <v/>
      </c>
      <c r="M53" s="23" t="str">
        <f>IFERROR(IF(Scenarios!$F$7=0,"",IFERROR(MAX(MIN(M48,Scenarios!$F$31*0.015),0),0)),"")</f>
        <v/>
      </c>
      <c r="N53" s="445" t="str">
        <f>IFERROR(IF(Scenarios!$F$7=0,"",SUM(D53:H53)),"")</f>
        <v/>
      </c>
      <c r="O53" s="445" t="str">
        <f>IFERROR(IF(Scenarios!$F$7=0,"",SUM(D53:M53)),"")</f>
        <v/>
      </c>
      <c r="P53" s="445" t="str">
        <f>IFERROR(IF(Scenarios!$F$7=0,"",O53/10),"")</f>
        <v/>
      </c>
      <c r="Q53" s="30" t="str">
        <f>IFERROR(IF(Scenarios!$F$7=0,"",D53/D19),"")</f>
        <v/>
      </c>
    </row>
    <row r="54" spans="1:17" ht="18" customHeight="1" x14ac:dyDescent="0.2">
      <c r="A54" s="271" t="s">
        <v>1504</v>
      </c>
      <c r="B54" s="271"/>
      <c r="C54" s="454"/>
      <c r="D54" s="23" t="str">
        <f>IFERROR(IF(Scenarios!$F$7=0,"",IFERROR(MIN(MAX(D48-D53,0),Scenarios!F33*Scenarios!F35),0)),"")</f>
        <v/>
      </c>
      <c r="E54" s="23" t="str">
        <f>IFERROR(IF(Scenarios!$F$7=0,"",IFERROR(MIN(MAX(E48-E53,0),Scenarios!F33*Scenarios!F35),0)),"")</f>
        <v/>
      </c>
      <c r="F54" s="23" t="str">
        <f>IFERROR(IF(Scenarios!$F$7=0,"",IFERROR(MIN(MAX(F48-F53,0),Scenarios!F33*Scenarios!F35),0)),"")</f>
        <v/>
      </c>
      <c r="G54" s="23" t="str">
        <f>IFERROR(IF(Scenarios!$F$7=0,"",IFERROR(MIN(MAX(G48-G53,0),Scenarios!F33*Scenarios!F35),0)),"")</f>
        <v/>
      </c>
      <c r="H54" s="23" t="str">
        <f>IFERROR(IF(Scenarios!$F$7=0,"",IFERROR(MIN(MAX(H48-H53,0),Scenarios!F33*Scenarios!F35),0)),"")</f>
        <v/>
      </c>
      <c r="I54" s="23" t="str">
        <f>IFERROR(IF(Scenarios!$F$7=0,"",IFERROR(MIN(MAX(I48-I53,0),Scenarios!F33*Scenarios!F35),0)),"")</f>
        <v/>
      </c>
      <c r="J54" s="23" t="str">
        <f>IFERROR(IF(Scenarios!$F$7=0,"",IFERROR(MIN(MAX(J48-J53,0),Scenarios!F33*Scenarios!F35),0)),"")</f>
        <v/>
      </c>
      <c r="K54" s="23" t="str">
        <f>IFERROR(IF(Scenarios!$F$7=0,"",IFERROR(MIN(MAX(K48-K53,0),Scenarios!F33*Scenarios!F35),0)),"")</f>
        <v/>
      </c>
      <c r="L54" s="23" t="str">
        <f>IFERROR(IF(Scenarios!$F$7=0,"",IFERROR(MIN(MAX(L48-L53,0),Scenarios!F33*Scenarios!F35),0)),"")</f>
        <v/>
      </c>
      <c r="M54" s="23" t="str">
        <f>IFERROR(IF(Scenarios!$F$7=0,"",IFERROR(MIN(MAX(M48-M53,0),Scenarios!F33*Scenarios!F35),0)),"")</f>
        <v/>
      </c>
      <c r="N54" s="443" t="str">
        <f>IFERROR(IF(Scenarios!$F$7=0,"",SUM(D54:H54)),"")</f>
        <v/>
      </c>
      <c r="O54" s="443" t="str">
        <f>IFERROR(IF(Scenarios!$F$7=0,"",SUM(D54:M54)),"")</f>
        <v/>
      </c>
      <c r="P54" s="445" t="str">
        <f>IFERROR(IF(Scenarios!$F$7=0,"",O54/10),"")</f>
        <v/>
      </c>
      <c r="Q54" s="30" t="str">
        <f>IFERROR(IF(Scenarios!$F$7=0,"",D54/D19),"")</f>
        <v/>
      </c>
    </row>
    <row r="55" spans="1:17" ht="18" customHeight="1" x14ac:dyDescent="0.2">
      <c r="A55" s="275" t="s">
        <v>1505</v>
      </c>
      <c r="B55" s="275"/>
      <c r="C55" s="454"/>
      <c r="D55" s="23" t="str">
        <f>IFERROR(IF(Scenarios!$F$7=0,"",IFERROR(MAX(D48-D53-D54,0)*(1-Scenarios!F37),0)),"")</f>
        <v/>
      </c>
      <c r="E55" s="23" t="str">
        <f>IFERROR(IF(Scenarios!$F$7=0,"",IFERROR(MAX(E48-E53-E54,0)*(1-Scenarios!F37),0)),"")</f>
        <v/>
      </c>
      <c r="F55" s="23" t="str">
        <f>IFERROR(IF(Scenarios!$F$7=0,"",IFERROR(MAX(F48-F53-F54,0)*(1-Scenarios!F37),0)),"")</f>
        <v/>
      </c>
      <c r="G55" s="23" t="str">
        <f>IFERROR(IF(Scenarios!$F$7=0,"",IFERROR(MAX(G48-G53-G54,0)*(1-Scenarios!F37),0)),"")</f>
        <v/>
      </c>
      <c r="H55" s="23" t="str">
        <f>IFERROR(IF(Scenarios!$F$7=0,"",IFERROR(MAX(H48-H53-H54,0)*(1-Scenarios!F37),0)),"")</f>
        <v/>
      </c>
      <c r="I55" s="23" t="str">
        <f>IFERROR(IF(Scenarios!$F$7=0,"",IFERROR(MAX(I48-I53-I54,0)*(1-Scenarios!F37),0)),"")</f>
        <v/>
      </c>
      <c r="J55" s="23" t="str">
        <f>IFERROR(IF(Scenarios!$F$7=0,"",IFERROR(MAX(J48-J53-J54,0)*(1-Scenarios!F37),0)),"")</f>
        <v/>
      </c>
      <c r="K55" s="23" t="str">
        <f>IFERROR(IF(Scenarios!$F$7=0,"",IFERROR(MAX(K48-K53-K54,0)*(1-Scenarios!F37),0)),"")</f>
        <v/>
      </c>
      <c r="L55" s="23" t="str">
        <f>IFERROR(IF(Scenarios!$F$7=0,"",IFERROR(MAX(L48-L53-L54,0)*(1-Scenarios!F37),0)),"")</f>
        <v/>
      </c>
      <c r="M55" s="23" t="str">
        <f>IFERROR(IF(Scenarios!$F$7=0,"",IFERROR(MAX(M48-M53-M54,0)*(1-Scenarios!F37),0)),"")</f>
        <v/>
      </c>
      <c r="N55" s="445" t="str">
        <f>IFERROR(IF(Scenarios!$F$7=0,"",SUM(D55:H55)),"")</f>
        <v/>
      </c>
      <c r="O55" s="445" t="str">
        <f>IFERROR(IF(Scenarios!$F$7=0,"",SUM(D55:M55)),"")</f>
        <v/>
      </c>
      <c r="P55" s="445" t="str">
        <f>IFERROR(IF(Scenarios!$F$7=0,"",O55/10),"")</f>
        <v/>
      </c>
      <c r="Q55" s="30" t="str">
        <f>IFERROR(IF(Scenarios!$F$7=0,"",D55/D19),"")</f>
        <v/>
      </c>
    </row>
    <row r="56" spans="1:17" ht="18" customHeight="1" x14ac:dyDescent="0.2">
      <c r="A56" s="271" t="s">
        <v>1506</v>
      </c>
      <c r="B56" s="271"/>
      <c r="C56" s="454"/>
      <c r="D56" s="23" t="str">
        <f>IFERROR(IF(Scenarios!$F$7=0,"",IFERROR(MAX(D48-D53-D54,0)*Scenarios!F37,0)),"")</f>
        <v/>
      </c>
      <c r="E56" s="23" t="str">
        <f>IFERROR(IF(Scenarios!$F$7=0,"",IFERROR(MAX(E48-E53-E54,0)*Scenarios!F37,0)),"")</f>
        <v/>
      </c>
      <c r="F56" s="23" t="str">
        <f>IFERROR(IF(Scenarios!$F$7=0,"",IFERROR(MAX(F48-F53-F54,0)*Scenarios!F37,0)),"")</f>
        <v/>
      </c>
      <c r="G56" s="23" t="str">
        <f>IFERROR(IF(Scenarios!$F$7=0,"",IFERROR(MAX(G48-G53-G54,0)*Scenarios!F37,0)),"")</f>
        <v/>
      </c>
      <c r="H56" s="23" t="str">
        <f>IFERROR(IF(Scenarios!$F$7=0,"",IFERROR(MAX(H48-H53-H54,0)*Scenarios!F37,0)),"")</f>
        <v/>
      </c>
      <c r="I56" s="23" t="str">
        <f>IFERROR(IF(Scenarios!$F$7=0,"",IFERROR(MAX(I48-I53-I54,0)*Scenarios!F37,0)),"")</f>
        <v/>
      </c>
      <c r="J56" s="23" t="str">
        <f>IFERROR(IF(Scenarios!$F$7=0,"",IFERROR(MAX(J48-J53-J54,0)*Scenarios!F37,0)),"")</f>
        <v/>
      </c>
      <c r="K56" s="23" t="str">
        <f>IFERROR(IF(Scenarios!$F$7=0,"",IFERROR(MAX(K48-K53-K54,0)*Scenarios!F37,0)),"")</f>
        <v/>
      </c>
      <c r="L56" s="23" t="str">
        <f>IFERROR(IF(Scenarios!$F$7=0,"",IFERROR(MAX(L48-L53-L54,0)*Scenarios!F37,0)),"")</f>
        <v/>
      </c>
      <c r="M56" s="23" t="str">
        <f>IFERROR(IF(Scenarios!$F$7=0,"",IFERROR(MAX(M48-M53-M54,0)*Scenarios!F37,0)),"")</f>
        <v/>
      </c>
      <c r="N56" s="445" t="str">
        <f>IFERROR(IF(Scenarios!$F$7=0,"",SUM(D56:H56)),"")</f>
        <v/>
      </c>
      <c r="O56" s="445" t="str">
        <f>IFERROR(IF(Scenarios!$F$7=0,"",SUM(D56:M56)),"")</f>
        <v/>
      </c>
      <c r="P56" s="445" t="str">
        <f>IFERROR(IF(Scenarios!$F$7=0,"",O56/10),"")</f>
        <v/>
      </c>
      <c r="Q56" s="30" t="str">
        <f>IFERROR(IF(Scenarios!$F$7=0,"",D56/D19),"")</f>
        <v/>
      </c>
    </row>
    <row r="57" spans="1:17" ht="24" customHeight="1" x14ac:dyDescent="0.2">
      <c r="A57" s="442" t="s">
        <v>58</v>
      </c>
      <c r="B57" s="442"/>
      <c r="C57" s="268"/>
      <c r="D57" s="443" t="str">
        <f>IFERROR(IF(Scenarios!$F$7=0,"",SUM(D53:D56)),"")</f>
        <v/>
      </c>
      <c r="E57" s="443" t="str">
        <f>IFERROR(IF(Scenarios!$F$7=0,"",SUM(E53:E56)),"")</f>
        <v/>
      </c>
      <c r="F57" s="443" t="str">
        <f>IFERROR(IF(Scenarios!$F$7=0,"",SUM(F53:F56)),"")</f>
        <v/>
      </c>
      <c r="G57" s="443" t="str">
        <f>IFERROR(IF(Scenarios!$F$7=0,"",SUM(G53:G56)),"")</f>
        <v/>
      </c>
      <c r="H57" s="443" t="str">
        <f>IFERROR(IF(Scenarios!$F$7=0,"",SUM(H53:H56)),"")</f>
        <v/>
      </c>
      <c r="I57" s="443" t="str">
        <f>IFERROR(IF(Scenarios!$F$7=0,"",SUM(I53:I56)),"")</f>
        <v/>
      </c>
      <c r="J57" s="443" t="str">
        <f>IFERROR(IF(Scenarios!$F$7=0,"",SUM(J53:J56)),"")</f>
        <v/>
      </c>
      <c r="K57" s="443" t="str">
        <f>IFERROR(IF(Scenarios!$F$7=0,"",SUM(K53:K56)),"")</f>
        <v/>
      </c>
      <c r="L57" s="443" t="str">
        <f>IFERROR(IF(Scenarios!$F$7=0,"",SUM(L53:L56)),"")</f>
        <v/>
      </c>
      <c r="M57" s="443" t="str">
        <f>IFERROR(IF(Scenarios!$F$7=0,"",SUM(M53:M56)),"")</f>
        <v/>
      </c>
      <c r="N57" s="445" t="str">
        <f>IFERROR(IF(Scenarios!$F$7=0,"",SUM(D57:H57)),"")</f>
        <v/>
      </c>
      <c r="O57" s="445" t="str">
        <f>IFERROR(IF(Scenarios!$F$7=0,"",SUM(D57:M57)),"")</f>
        <v/>
      </c>
      <c r="P57" s="445" t="str">
        <f>IFERROR(IF(Scenarios!$F$7=0,"",O57/10),"")</f>
        <v/>
      </c>
      <c r="Q57" s="456" t="str">
        <f>IFERROR(IF(Scenarios!$F$7=0,"",D57/D19),"")</f>
        <v/>
      </c>
    </row>
    <row r="58" spans="1:17" ht="18" customHeight="1" x14ac:dyDescent="0.2">
      <c r="A58" s="294"/>
      <c r="B58" s="294"/>
      <c r="D58" s="145"/>
      <c r="Q58" s="414"/>
    </row>
    <row r="59" spans="1:17" ht="18" customHeight="1" x14ac:dyDescent="0.2">
      <c r="A59" s="5" t="s">
        <v>1507</v>
      </c>
      <c r="B59" s="5"/>
      <c r="D59" s="932"/>
      <c r="E59" s="932"/>
      <c r="F59" s="932"/>
      <c r="G59" s="932"/>
      <c r="H59" s="932"/>
      <c r="I59" s="932"/>
      <c r="J59" s="932"/>
      <c r="K59" s="932"/>
      <c r="L59" s="932"/>
      <c r="M59" s="932"/>
    </row>
    <row r="60" spans="1:17" ht="18" customHeight="1" x14ac:dyDescent="0.2">
      <c r="A60" s="9" t="s">
        <v>1508</v>
      </c>
      <c r="B60" s="9"/>
      <c r="C60" s="457">
        <f>IFERROR(MAX(C48,0)/Scenarios!F31,0)</f>
        <v>0</v>
      </c>
      <c r="D60" s="457" t="str">
        <f>IFERROR(IF(Scenarios!$F$7=0,"",IFERROR(MAX(D48,0)/Scenarios!F31,0)),"")</f>
        <v/>
      </c>
      <c r="E60" s="457" t="str">
        <f>IFERROR(IF(Scenarios!$F$7=0,"",IFERROR(MAX(E48,0)/Scenarios!F31,0)),"")</f>
        <v/>
      </c>
      <c r="F60" s="457" t="str">
        <f>IFERROR(IF(Scenarios!$F$7=0,"",IFERROR(MAX(F48,0)/Scenarios!F31,0)),"")</f>
        <v/>
      </c>
      <c r="G60" s="457" t="str">
        <f>IFERROR(IF(Scenarios!$F$7=0,"",IFERROR(MAX(G48,0)/Scenarios!F31,0)),"")</f>
        <v/>
      </c>
      <c r="H60" s="457" t="str">
        <f>IFERROR(IF(Scenarios!$F$7=0,"",IFERROR(MAX(H48,0)/Scenarios!F31,0)),"")</f>
        <v/>
      </c>
      <c r="I60" s="457" t="str">
        <f>IFERROR(IF(Scenarios!$F$7=0,"",IFERROR(MAX(I48,0)/Scenarios!F31,0)),"")</f>
        <v/>
      </c>
      <c r="J60" s="457" t="str">
        <f>IFERROR(IF(Scenarios!$F$7=0,"",IFERROR(MAX(J48,0)/Scenarios!F31,0)),"")</f>
        <v/>
      </c>
      <c r="K60" s="457" t="str">
        <f>IFERROR(IF(Scenarios!$F$7=0,"",IFERROR(MAX(K48,0)/Scenarios!F31,0)),"")</f>
        <v/>
      </c>
      <c r="L60" s="457" t="str">
        <f>IFERROR(IF(Scenarios!$F$7=0,"",IFERROR(MAX(L48,0)/Scenarios!F31,0)),"")</f>
        <v/>
      </c>
      <c r="M60" s="457" t="str">
        <f>IFERROR(IF(Scenarios!$F$7=0,"",IFERROR(MAX(M48,0)/Scenarios!F31,0)),"")</f>
        <v/>
      </c>
      <c r="Q60" s="30" t="str">
        <f>IF(Scenarios!$F$7=0,"",D60)</f>
        <v/>
      </c>
    </row>
    <row r="61" spans="1:17" ht="18" customHeight="1" x14ac:dyDescent="0.2">
      <c r="A61" s="294" t="s">
        <v>1509</v>
      </c>
      <c r="B61" s="294"/>
      <c r="C61" s="30"/>
      <c r="D61" s="458" t="str">
        <f ca="1">IFERROR(IF(Scenarios!$F$7=0,"",IFERROR(AVERAGE(OFFSET(D60,0,0,1,MIN(Scenarios!$F$82,10))),0)),"")</f>
        <v/>
      </c>
      <c r="Q61" s="30" t="str">
        <f>IF(Scenarios!$F$7=0,"",D61)</f>
        <v/>
      </c>
    </row>
    <row r="62" spans="1:17" ht="18" customHeight="1" x14ac:dyDescent="0.2">
      <c r="A62" s="9" t="s">
        <v>741</v>
      </c>
      <c r="B62" s="9"/>
      <c r="C62" s="459">
        <f>IFERROR(C40/ABS(C46),0)</f>
        <v>0</v>
      </c>
      <c r="D62" s="460" t="str">
        <f>IFERROR(IF(Scenarios!$F$7=0,"",IFERROR(D40/ABS(D46),0)),"")</f>
        <v/>
      </c>
      <c r="E62" s="460" t="str">
        <f>IFERROR(IF(Scenarios!$F$7=0,"",IFERROR(E40/ABS(E46),0)),"")</f>
        <v/>
      </c>
      <c r="F62" s="460" t="str">
        <f>IFERROR(IF(Scenarios!$F$7=0,"",IFERROR(F40/ABS(F46),0)),"")</f>
        <v/>
      </c>
      <c r="G62" s="460" t="str">
        <f>IFERROR(IF(Scenarios!$F$7=0,"",IFERROR(G40/ABS(G46),0)),"")</f>
        <v/>
      </c>
      <c r="H62" s="460" t="str">
        <f>IFERROR(IF(Scenarios!$F$7=0,"",IFERROR(H40/ABS(H46),0)),"")</f>
        <v/>
      </c>
      <c r="I62" s="460" t="str">
        <f>IFERROR(IF(Scenarios!$F$7=0,"",IFERROR(I40/ABS(I46),0)),"")</f>
        <v/>
      </c>
      <c r="J62" s="460" t="str">
        <f>IFERROR(IF(Scenarios!$F$7=0,"",IFERROR(J40/ABS(J46),0)),"")</f>
        <v/>
      </c>
      <c r="K62" s="460" t="str">
        <f>IFERROR(IF(Scenarios!$F$7=0,"",IFERROR(K40/ABS(K46),0)),"")</f>
        <v/>
      </c>
      <c r="L62" s="460" t="str">
        <f>IFERROR(IF(Scenarios!$F$7=0,"",IFERROR(L40/ABS(L46),0)),"")</f>
        <v/>
      </c>
      <c r="M62" s="460" t="str">
        <f>IFERROR(IF(Scenarios!$F$7=0,"",IFERROR(M40/ABS(M46),0)),"")</f>
        <v/>
      </c>
      <c r="Q62" s="460" t="str">
        <f>IF(Scenarios!$F$7=0,"",D62)</f>
        <v/>
      </c>
    </row>
    <row r="63" spans="1:17" ht="18" customHeight="1" x14ac:dyDescent="0.2">
      <c r="A63" s="461" t="s">
        <v>1510</v>
      </c>
      <c r="B63" s="461"/>
      <c r="C63" s="414">
        <f>IFERROR((C38+ABS(C46))/C10,0)</f>
        <v>0</v>
      </c>
      <c r="D63" s="462" t="str">
        <f>IFERROR(IF(Scenarios!$F$7=0,"",IFERROR((D38+ABS(D46))/D10,0)),"")</f>
        <v/>
      </c>
      <c r="E63" s="462" t="str">
        <f>IFERROR(IF(Scenarios!$F$7=0,"",IFERROR((E38+ABS(E46))/E10,0)),"")</f>
        <v/>
      </c>
      <c r="F63" s="462" t="str">
        <f>IFERROR(IF(Scenarios!$F$7=0,"",IFERROR((F38+ABS(F46))/F10,0)),"")</f>
        <v/>
      </c>
      <c r="G63" s="462" t="str">
        <f>IFERROR(IF(Scenarios!$F$7=0,"",IFERROR((G38+ABS(G46))/G10,0)),"")</f>
        <v/>
      </c>
      <c r="H63" s="462" t="str">
        <f>IFERROR(IF(Scenarios!$F$7=0,"",IFERROR((H38+ABS(H46))/H10,0)),"")</f>
        <v/>
      </c>
      <c r="I63" s="462" t="str">
        <f>IFERROR(IF(Scenarios!$F$7=0,"",IFERROR((I38+ABS(I46))/I10,0)),"")</f>
        <v/>
      </c>
      <c r="J63" s="462" t="str">
        <f>IFERROR(IF(Scenarios!$F$7=0,"",IFERROR((J38+ABS(J46))/J10,0)),"")</f>
        <v/>
      </c>
      <c r="K63" s="462" t="str">
        <f>IFERROR(IF(Scenarios!$F$7=0,"",IFERROR((K38+ABS(K46))/K10,0)),"")</f>
        <v/>
      </c>
      <c r="L63" s="462" t="str">
        <f>IFERROR(IF(Scenarios!$F$7=0,"",IFERROR((L38+ABS(L46))/L10,0)),"")</f>
        <v/>
      </c>
      <c r="M63" s="462" t="str">
        <f>IFERROR(IF(Scenarios!$F$7=0,"",IFERROR((M38+ABS(M46))/M10,0)),"")</f>
        <v/>
      </c>
      <c r="Q63" s="30" t="str">
        <f>IF(Scenarios!$F$7=0,"",D63)</f>
        <v/>
      </c>
    </row>
    <row r="64" spans="1:17" ht="18" customHeight="1" x14ac:dyDescent="0.2">
      <c r="A64" s="9" t="s">
        <v>1511</v>
      </c>
      <c r="B64" s="9"/>
      <c r="C64" s="414">
        <f>IFERROR(C40/C19,0)</f>
        <v>0</v>
      </c>
      <c r="D64" s="30" t="str">
        <f>IFERROR(IF(Scenarios!$F$7=0,"",IFERROR(D40/D19,0)),"")</f>
        <v/>
      </c>
      <c r="E64" s="30" t="str">
        <f>IFERROR(IF(Scenarios!$F$7=0,"",IFERROR(E40/E19,0)),"")</f>
        <v/>
      </c>
      <c r="F64" s="30" t="str">
        <f>IFERROR(IF(Scenarios!$F$7=0,"",IFERROR(F40/F19,0)),"")</f>
        <v/>
      </c>
      <c r="G64" s="30" t="str">
        <f>IFERROR(IF(Scenarios!$F$7=0,"",IFERROR(G40/G19,0)),"")</f>
        <v/>
      </c>
      <c r="H64" s="30" t="str">
        <f>IFERROR(IF(Scenarios!$F$7=0,"",IFERROR(H40/H19,0)),"")</f>
        <v/>
      </c>
      <c r="I64" s="30" t="str">
        <f>IFERROR(IF(Scenarios!$F$7=0,"",IFERROR(I40/I19,0)),"")</f>
        <v/>
      </c>
      <c r="J64" s="30" t="str">
        <f>IFERROR(IF(Scenarios!$F$7=0,"",IFERROR(J40/J19,0)),"")</f>
        <v/>
      </c>
      <c r="K64" s="30" t="str">
        <f>IFERROR(IF(Scenarios!$F$7=0,"",IFERROR(K40/K19,0)),"")</f>
        <v/>
      </c>
      <c r="L64" s="30" t="str">
        <f>IFERROR(IF(Scenarios!$F$7=0,"",IFERROR(L40/L19,0)),"")</f>
        <v/>
      </c>
      <c r="M64" s="30" t="str">
        <f>IFERROR(IF(Scenarios!$F$7=0,"",IFERROR(M40/M19,0)),"")</f>
        <v/>
      </c>
      <c r="Q64" s="463" t="str">
        <f>IF(Scenarios!$F$7=0,"",D64)</f>
        <v/>
      </c>
    </row>
    <row r="65" spans="1:17" ht="19.5" customHeight="1" x14ac:dyDescent="0.2">
      <c r="A65" s="441" t="s">
        <v>1512</v>
      </c>
      <c r="B65" s="441"/>
      <c r="C65" s="30">
        <f>IFERROR(MAX(C40,0)/Scenarios!$F$7,0)</f>
        <v>0</v>
      </c>
      <c r="D65" s="30" t="str">
        <f>IFERROR(IF(Scenarios!$F$7=0,"",IFERROR(MAX(D40,0)/Scenarios!$F$7,0)),"")</f>
        <v/>
      </c>
      <c r="E65" s="30" t="str">
        <f>IFERROR(IF(Scenarios!$F$7=0,"",IFERROR(MAX(E40,0)/Scenarios!$F$7,0)),"")</f>
        <v/>
      </c>
      <c r="F65" s="30" t="str">
        <f>IFERROR(IF(Scenarios!$F$7=0,"",IFERROR(MAX(F40,0)/Scenarios!$F$7,0)),"")</f>
        <v/>
      </c>
      <c r="G65" s="30" t="str">
        <f>IFERROR(IF(Scenarios!$F$7=0,"",IFERROR(MAX(G40,0)/Scenarios!$F$7,0)),"")</f>
        <v/>
      </c>
      <c r="H65" s="30" t="str">
        <f>IFERROR(IF(Scenarios!$F$7=0,"",IFERROR(MAX(H40,0)/Scenarios!$F$7,0)),"")</f>
        <v/>
      </c>
      <c r="I65" s="30" t="str">
        <f>IFERROR(IF(Scenarios!$F$7=0,"",IFERROR(MAX(I40,0)/Scenarios!$F$7,0)),"")</f>
        <v/>
      </c>
      <c r="J65" s="30" t="str">
        <f>IFERROR(IF(Scenarios!$F$7=0,"",IFERROR(MAX(J40,0)/Scenarios!$F$7,0)),"")</f>
        <v/>
      </c>
      <c r="K65" s="30" t="str">
        <f>IFERROR(IF(Scenarios!$F$7=0,"",IFERROR(MAX(K40,0)/Scenarios!$F$7,0)),"")</f>
        <v/>
      </c>
      <c r="L65" s="30" t="str">
        <f>IFERROR(IF(Scenarios!$F$7=0,"",IFERROR(MAX(L40,0)/Scenarios!$F$7,0)),"")</f>
        <v/>
      </c>
      <c r="M65" s="30" t="str">
        <f>IFERROR(IF(Scenarios!$F$7=0,"",IFERROR(MAX(M40,0)/Scenarios!$F$7,0)),"")</f>
        <v/>
      </c>
    </row>
    <row r="66" spans="1:17" ht="18" customHeight="1" x14ac:dyDescent="0.2">
      <c r="A66" s="9" t="s">
        <v>1513</v>
      </c>
      <c r="B66" s="9"/>
      <c r="C66" s="267">
        <f>IFERROR(MAX(C40,0)/0.07,0)</f>
        <v>0</v>
      </c>
      <c r="D66" s="23" t="str">
        <f>IFERROR(IF(Scenarios!$F$7=0,"",IFERROR(MAX(D40,0)/0.07,0)),"")</f>
        <v/>
      </c>
      <c r="E66" s="23" t="str">
        <f>IFERROR(IF(Scenarios!$F$7=0,"",IFERROR(MAX(E40,0)/0.07,0)),"")</f>
        <v/>
      </c>
      <c r="F66" s="23" t="str">
        <f>IFERROR(IF(Scenarios!$F$7=0,"",IFERROR(MAX(F40,0)/0.07,0)),"")</f>
        <v/>
      </c>
      <c r="G66" s="23" t="str">
        <f>IFERROR(IF(Scenarios!$F$7=0,"",IFERROR(MAX(G40,0)/0.07,0)),"")</f>
        <v/>
      </c>
      <c r="H66" s="23" t="str">
        <f>IFERROR(IF(Scenarios!$F$7=0,"",IFERROR(MAX(H40,0)/0.07,0)),"")</f>
        <v/>
      </c>
      <c r="I66" s="23" t="str">
        <f>IFERROR(IF(Scenarios!$F$7=0,"",IFERROR(MAX(I40,0)/0.07,0)),"")</f>
        <v/>
      </c>
      <c r="J66" s="23" t="str">
        <f>IFERROR(IF(Scenarios!$F$7=0,"",IFERROR(MAX(J40,0)/0.07,0)),"")</f>
        <v/>
      </c>
      <c r="K66" s="23" t="str">
        <f>IFERROR(IF(Scenarios!$F$7=0,"",IFERROR(MAX(K40,0)/0.07,0)),"")</f>
        <v/>
      </c>
      <c r="L66" s="23" t="str">
        <f>IFERROR(IF(Scenarios!$F$7=0,"",IFERROR(MAX(L40,0)/0.07,0)),"")</f>
        <v/>
      </c>
      <c r="M66" s="23" t="str">
        <f>IFERROR(IF(Scenarios!$F$7=0,"",IFERROR(MAX(M40,0)/0.07,0)),"")</f>
        <v/>
      </c>
      <c r="Q66" s="23" t="str">
        <f>IF(Scenarios!$F$7=0,"",D66)</f>
        <v/>
      </c>
    </row>
    <row r="67" spans="1:17" ht="18" customHeight="1" x14ac:dyDescent="0.2">
      <c r="A67" s="41" t="s">
        <v>1514</v>
      </c>
      <c r="B67" s="41"/>
    </row>
    <row r="68" spans="1:17" ht="18" customHeight="1" x14ac:dyDescent="0.2">
      <c r="A68" s="464" t="s">
        <v>1515</v>
      </c>
      <c r="B68" s="464"/>
      <c r="C68" s="465"/>
      <c r="D68" s="466" t="str">
        <f>IFERROR(IF(Scenarios!$F$7=0,"",IFERROR(MAX(Waterfall!B52,0)/Waterfall!$B$9,0)),"")</f>
        <v/>
      </c>
      <c r="E68" s="466" t="str">
        <f>IFERROR(IF(Scenarios!$F$7=0,"",IFERROR(MAX(Waterfall!C52,0)/Waterfall!$B$9,0)),"")</f>
        <v/>
      </c>
      <c r="F68" s="466" t="str">
        <f>IFERROR(IF(Scenarios!$F$7=0,"",IFERROR(MAX(Waterfall!D52,0)/Waterfall!$B$9,0)),"")</f>
        <v/>
      </c>
      <c r="G68" s="466" t="str">
        <f>IFERROR(IF(Scenarios!$F$7=0,"",IFERROR(MAX(Waterfall!E52,0)/Waterfall!$B$9,0)),"")</f>
        <v/>
      </c>
      <c r="H68" s="466" t="str">
        <f>IFERROR(IF(Scenarios!$F$7=0,"",IFERROR(MAX(Waterfall!F52,0)/Waterfall!$B$9,0)),"")</f>
        <v/>
      </c>
      <c r="I68" s="466" t="str">
        <f>IFERROR(IF(Scenarios!$F$7=0,"",IFERROR(MAX(Waterfall!G52,0)/Waterfall!$B$9,0)),"")</f>
        <v/>
      </c>
      <c r="J68" s="466" t="str">
        <f>IFERROR(IF(Scenarios!$F$7=0,"",IFERROR(MAX(Waterfall!H52,0)/Waterfall!$B$9,0)),"")</f>
        <v/>
      </c>
      <c r="K68" s="466" t="str">
        <f>IFERROR(IF(Scenarios!$F$7=0,"",IFERROR(MAX(Waterfall!I52,0)/Waterfall!$B$9,0)),"")</f>
        <v/>
      </c>
      <c r="L68" s="466" t="str">
        <f>IFERROR(IF(Scenarios!$F$7=0,"",IFERROR(MAX(Waterfall!J52,0)/Waterfall!$B$9,0)),"")</f>
        <v/>
      </c>
      <c r="M68" s="466" t="str">
        <f>IFERROR(IF(Scenarios!$F$7=0,"",IFERROR(MAX(Waterfall!K52,0)/Waterfall!$B$9,0)),"")</f>
        <v/>
      </c>
      <c r="Q68" s="466" t="str">
        <f>IF(Scenarios!$F$7=0,"",D68)</f>
        <v/>
      </c>
    </row>
    <row r="69" spans="1:17" ht="18" customHeight="1" x14ac:dyDescent="0.2">
      <c r="A69" s="467" t="s">
        <v>1516</v>
      </c>
      <c r="B69" s="467"/>
      <c r="D69" s="468" t="str">
        <f ca="1">IFERROR(IF(Scenarios!$F$7=0,"",IFERROR(AVERAGE(OFFSET(D68,0,0,1,MIN(Scenarios!$F$82,10))),0)),"")</f>
        <v/>
      </c>
      <c r="Q69" s="468" t="str">
        <f>IF(Scenarios!$F$7=0,"",D69)</f>
        <v/>
      </c>
    </row>
    <row r="70" spans="1:17" ht="15.75" customHeight="1" x14ac:dyDescent="0.2">
      <c r="A70" s="442" t="s">
        <v>1517</v>
      </c>
      <c r="B70" s="442"/>
      <c r="C70" s="469"/>
      <c r="D70" s="470" t="str">
        <f>IFERROR(IF(Scenarios!$F$7=0,"",IFERROR(MAX(Waterfall!B54,0)/(Waterfall!$B$9+Waterfall!$B$10),0)),"")</f>
        <v/>
      </c>
      <c r="E70" s="470" t="str">
        <f>IFERROR(IF(Scenarios!$F$7=0,"",IFERROR(MAX(Waterfall!C54,0)/(Waterfall!$B$9+Waterfall!$B$10),0)),"")</f>
        <v/>
      </c>
      <c r="F70" s="470" t="str">
        <f>IFERROR(IF(Scenarios!$F$7=0,"",IFERROR(MAX(Waterfall!D54,0)/(Waterfall!$B$9+Waterfall!$B$10),0)),"")</f>
        <v/>
      </c>
      <c r="G70" s="470" t="str">
        <f>IFERROR(IF(Scenarios!$F$7=0,"",IFERROR(MAX(Waterfall!E54,0)/(Waterfall!$B$9+Waterfall!$B$10),0)),"")</f>
        <v/>
      </c>
      <c r="H70" s="470" t="str">
        <f>IFERROR(IF(Scenarios!$F$7=0,"",IFERROR(MAX(Waterfall!F54,0)/(Waterfall!$B$9+Waterfall!$B$10),0)),"")</f>
        <v/>
      </c>
      <c r="I70" s="470" t="str">
        <f>IFERROR(IF(Scenarios!$F$7=0,"",IFERROR(MAX(Waterfall!G54,0)/(Waterfall!$B$9+Waterfall!$B$10),0)),"")</f>
        <v/>
      </c>
      <c r="J70" s="470" t="str">
        <f>IFERROR(IF(Scenarios!$F$7=0,"",IFERROR(MAX(Waterfall!H54,0)/(Waterfall!$B$9+Waterfall!$B$10),0)),"")</f>
        <v/>
      </c>
      <c r="K70" s="470" t="str">
        <f>IFERROR(IF(Scenarios!$F$7=0,"",IFERROR(MAX(Waterfall!I54,0)/(Waterfall!$B$9+Waterfall!$B$10),0)),"")</f>
        <v/>
      </c>
      <c r="L70" s="470" t="str">
        <f>IFERROR(IF(Scenarios!$F$7=0,"",IFERROR(MAX(Waterfall!J54,0)/(Waterfall!$B$9+Waterfall!$B$10),0)),"")</f>
        <v/>
      </c>
      <c r="M70" s="470" t="str">
        <f>IFERROR(IF(Scenarios!$F$7=0,"",IFERROR(MAX(Waterfall!K54,0)/(Waterfall!$B$9+Waterfall!$B$10),0)),"")</f>
        <v/>
      </c>
    </row>
    <row r="71" spans="1:17" ht="15" customHeight="1" x14ac:dyDescent="0.2">
      <c r="A71" s="471" t="s">
        <v>1518</v>
      </c>
      <c r="B71" s="471"/>
      <c r="D71" s="24" t="str">
        <f ca="1">IFERROR(IF(Scenarios!$F$7=0,"",IFERROR(AVERAGE(OFFSET(D70,0,0,1,MIN(Scenarios!$F$82,10))),0)),"")</f>
        <v/>
      </c>
      <c r="Q71" s="24" t="str">
        <f>IF(Scenarios!$F$7=0,"",D71)</f>
        <v/>
      </c>
    </row>
    <row r="72" spans="1:17" ht="21.75" customHeight="1" x14ac:dyDescent="0.2">
      <c r="A72" s="944" t="s">
        <v>1519</v>
      </c>
      <c r="B72" s="944"/>
      <c r="C72" s="944"/>
      <c r="D72" s="944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4"/>
    </row>
    <row r="73" spans="1:17" ht="15" customHeight="1" x14ac:dyDescent="0.2"/>
    <row r="74" spans="1:17" ht="15" customHeight="1" x14ac:dyDescent="0.2">
      <c r="A74" s="7" t="s">
        <v>1520</v>
      </c>
      <c r="B74" s="7"/>
    </row>
    <row r="75" spans="1:17" ht="15" customHeight="1" x14ac:dyDescent="0.2">
      <c r="A75" s="106" t="s">
        <v>1521</v>
      </c>
      <c r="B75" s="106"/>
      <c r="D75" s="110" t="str">
        <f>IFERROR(IF(Scenarios!$F$7=0,"",IFERROR((D38+ABS(D46)-D17-D18)/((1-D11-D13-D15))/'Prop Info'!$B$6/12,0)),"")</f>
        <v/>
      </c>
      <c r="E75" s="110" t="str">
        <f>IFERROR(IF(Scenarios!$F$7=0,"",IFERROR((E38+ABS(E46)-E17-E18)/((1-E11-E13-E15))/'Prop Info'!$B$6/12,0)),"")</f>
        <v/>
      </c>
      <c r="F75" s="110" t="str">
        <f>IFERROR(IF(Scenarios!$F$7=0,"",IFERROR((F38+ABS(F46)-F17-F18)/((1-F11-F13-F15))/'Prop Info'!$B$6/12,0)),"")</f>
        <v/>
      </c>
      <c r="G75" s="110" t="str">
        <f>IFERROR(IF(Scenarios!$F$7=0,"",IFERROR((G38+ABS(G46)-G17-G18)/((1-G11-G13-G15))/'Prop Info'!$B$6/12,0)),"")</f>
        <v/>
      </c>
      <c r="H75" s="110" t="str">
        <f>IFERROR(IF(Scenarios!$F$7=0,"",IFERROR((H38+ABS(H46)-H17-H18)/((1-H11-H13-H15))/'Prop Info'!$B$6/12,0)),"")</f>
        <v/>
      </c>
      <c r="I75" s="110" t="str">
        <f>IFERROR(IF(Scenarios!$F$7=0,"",IFERROR((I38+ABS(I46)-I17-I18)/((1-I11-I13-I15))/'Prop Info'!$B$6/12,0)),"")</f>
        <v/>
      </c>
      <c r="J75" s="110" t="str">
        <f>IFERROR(IF(Scenarios!$F$7=0,"",IFERROR((J38+ABS(J46)-J17-J18)/((1-J11-J13-J15))/'Prop Info'!$B$6/12,0)),"")</f>
        <v/>
      </c>
      <c r="K75" s="110" t="str">
        <f>IFERROR(IF(Scenarios!$F$7=0,"",IFERROR((K38+ABS(K46)-K17-K18)/((1-K11-K13-K15))/'Prop Info'!$B$6/12,0)),"")</f>
        <v/>
      </c>
      <c r="L75" s="110" t="str">
        <f>IFERROR(IF(Scenarios!$F$7=0,"",IFERROR((L38+ABS(L46)-L17-L18)/((1-L11-L13-L15))/'Prop Info'!$B$6/12,0)),"")</f>
        <v/>
      </c>
      <c r="M75" s="110" t="str">
        <f>IFERROR(IF(Scenarios!$F$7=0,"",IFERROR((M38+ABS(M46)-M17-M18)/((1-M11-M13-M15))/'Prop Info'!$B$6/12,0)),"")</f>
        <v/>
      </c>
      <c r="P75" s="445" t="str">
        <f>IFERROR(IF(Scenarios!$F$7=0,"",AVERAGE(D75:M75)),"")</f>
        <v/>
      </c>
    </row>
    <row r="76" spans="1:17" ht="15" customHeight="1" x14ac:dyDescent="0.2">
      <c r="A76" s="106" t="s">
        <v>1522</v>
      </c>
      <c r="B76" s="106"/>
      <c r="D76" s="110" t="str">
        <f>IFERROR(IF(Scenarios!$F$7=0,"",IFERROR((D38+ABS(D46)-D17-D18)/(1-D11-D13-D15),0)),"")</f>
        <v/>
      </c>
      <c r="E76" s="110" t="str">
        <f>IFERROR(IF(Scenarios!$F$7=0,"",IFERROR((E38+ABS(E46)-E17-E18)/(1-E11-E13-E15),0)),"")</f>
        <v/>
      </c>
      <c r="F76" s="110" t="str">
        <f>IFERROR(IF(Scenarios!$F$7=0,"",IFERROR((F38+ABS(F46)-F17-F18)/(1-F11-F13-F15),0)),"")</f>
        <v/>
      </c>
      <c r="G76" s="110" t="str">
        <f>IFERROR(IF(Scenarios!$F$7=0,"",IFERROR((G38+ABS(G46)-G17-G18)/(1-G11-G13-G15),0)),"")</f>
        <v/>
      </c>
      <c r="H76" s="110" t="str">
        <f>IFERROR(IF(Scenarios!$F$7=0,"",IFERROR((H38+ABS(H46)-H17-H18)/(1-H11-H13-H15),0)),"")</f>
        <v/>
      </c>
      <c r="I76" s="110" t="str">
        <f>IFERROR(IF(Scenarios!$F$7=0,"",IFERROR((I38+ABS(I46)-I17-I18)/(1-I11-I13-I15),0)),"")</f>
        <v/>
      </c>
      <c r="J76" s="110" t="str">
        <f>IFERROR(IF(Scenarios!$F$7=0,"",IFERROR((J38+ABS(J46)-J17-J18)/(1-J11-J13-J15),0)),"")</f>
        <v/>
      </c>
      <c r="K76" s="110" t="str">
        <f>IFERROR(IF(Scenarios!$F$7=0,"",IFERROR((K38+ABS(K46)-K17-K18)/(1-K11-K13-K15),0)),"")</f>
        <v/>
      </c>
      <c r="L76" s="110" t="str">
        <f>IFERROR(IF(Scenarios!$F$7=0,"",IFERROR((L38+ABS(L46)-L17-L18)/(1-L11-L13-L15),0)),"")</f>
        <v/>
      </c>
      <c r="M76" s="110" t="str">
        <f>IFERROR(IF(Scenarios!$F$7=0,"",IFERROR((M38+ABS(M46)-M17-M18)/(1-M11-M13-M15),0)),"")</f>
        <v/>
      </c>
    </row>
    <row r="77" spans="1:17" ht="15" customHeight="1" x14ac:dyDescent="0.2">
      <c r="A77" s="441" t="s">
        <v>1523</v>
      </c>
      <c r="B77" s="441"/>
      <c r="C77" s="414"/>
      <c r="D77" s="30" t="str">
        <f>IFERROR(IF(Scenarios!$F$7=0,"",IFERROR(Scenarios!F39/D75-1,0)),"")</f>
        <v/>
      </c>
      <c r="E77" s="30" t="str">
        <f>IFERROR(IF(Scenarios!$F$7=0,"",IFERROR(Scenarios!F39/E75-1,0)),"")</f>
        <v/>
      </c>
      <c r="F77" s="30" t="str">
        <f>IFERROR(IF(Scenarios!$F$7=0,"",IFERROR(Scenarios!F39/F75-1,0)),"")</f>
        <v/>
      </c>
      <c r="G77" s="30" t="str">
        <f>IFERROR(IF(Scenarios!$F$7=0,"",IFERROR(Scenarios!F39/G75-1,0)),"")</f>
        <v/>
      </c>
      <c r="H77" s="30" t="str">
        <f>IFERROR(IF(Scenarios!$F$7=0,"",IFERROR(Scenarios!F39/H75-1,0)),"")</f>
        <v/>
      </c>
      <c r="I77" s="30" t="str">
        <f>IFERROR(IF(Scenarios!$F$7=0,"",IFERROR(Scenarios!F39/I75-1,0)),"")</f>
        <v/>
      </c>
      <c r="J77" s="30" t="str">
        <f>IFERROR(IF(Scenarios!$F$7=0,"",IFERROR(Scenarios!F39/J75-1,0)),"")</f>
        <v/>
      </c>
      <c r="K77" s="30" t="str">
        <f>IFERROR(IF(Scenarios!$F$7=0,"",IFERROR(Scenarios!F39/K75-1,0)),"")</f>
        <v/>
      </c>
      <c r="L77" s="30" t="str">
        <f>IFERROR(IF(Scenarios!$F$7=0,"",IFERROR(Scenarios!F39/L75-1,0)),"")</f>
        <v/>
      </c>
      <c r="M77" s="30" t="str">
        <f>IFERROR(IF(Scenarios!$F$7=0,"",IFERROR(Scenarios!F39/M75-1,0)),"")</f>
        <v/>
      </c>
    </row>
    <row r="78" spans="1:17" ht="15" customHeight="1" x14ac:dyDescent="0.2"/>
    <row r="79" spans="1:17" ht="15" customHeight="1" x14ac:dyDescent="0.2">
      <c r="A79" s="106" t="s">
        <v>1524</v>
      </c>
      <c r="B79" s="106"/>
      <c r="D79" s="110" t="str">
        <f>IFERROR(IF(Scenarios!$F$7=0,"",D19-(0.05*D10)-D38),"")</f>
        <v/>
      </c>
      <c r="E79" s="106" t="s">
        <v>1525</v>
      </c>
      <c r="F79" s="110" t="str">
        <f>IFERROR(IF(Scenarios!$F$7=0,"",D19-(0.1*D10)-D38),"")</f>
        <v/>
      </c>
      <c r="G79" s="106" t="s">
        <v>1526</v>
      </c>
      <c r="H79" s="110" t="str">
        <f>IFERROR(IF(Scenarios!$F$7=0,"",D19-(0.03*D10)-D38),"")</f>
        <v/>
      </c>
    </row>
    <row r="80" spans="1:17" ht="15" customHeight="1" x14ac:dyDescent="0.2">
      <c r="A80" s="106" t="s">
        <v>1527</v>
      </c>
      <c r="B80" s="106"/>
      <c r="D80" s="472" t="str">
        <f>IFERROR(IF(Scenarios!$F$7=0,"",IFERROR((D19-(0.05*D10)-D38)/ABS(D46),0)),"")</f>
        <v/>
      </c>
      <c r="E80" s="106" t="s">
        <v>1528</v>
      </c>
      <c r="F80" s="472" t="str">
        <f>IFERROR(IF(Scenarios!$F$7=0,"",IFERROR((D19-(0.1*D10)-D38)/ABS(D46),0)),"")</f>
        <v/>
      </c>
      <c r="G80" s="106" t="s">
        <v>1529</v>
      </c>
      <c r="H80" s="472" t="str">
        <f>IFERROR(IF(Scenarios!$F$7=0,"",IFERROR((D19-(0.03*D10)-D38)/ABS(D46),0)),"")</f>
        <v/>
      </c>
    </row>
    <row r="83" spans="1:16" x14ac:dyDescent="0.2">
      <c r="A83" t="s">
        <v>1530</v>
      </c>
    </row>
    <row r="84" spans="1:16" x14ac:dyDescent="0.2">
      <c r="A84" t="s">
        <v>1531</v>
      </c>
      <c r="D84" s="473">
        <f>IFERROR(Scenarios!$F$13,0)</f>
        <v>0</v>
      </c>
      <c r="E84">
        <f t="shared" ref="E84:M84" si="7">D87</f>
        <v>0</v>
      </c>
      <c r="F84">
        <f t="shared" si="7"/>
        <v>0</v>
      </c>
      <c r="G84">
        <f t="shared" si="7"/>
        <v>0</v>
      </c>
      <c r="H84">
        <f t="shared" si="7"/>
        <v>0</v>
      </c>
      <c r="I84">
        <f t="shared" si="7"/>
        <v>0</v>
      </c>
      <c r="J84">
        <f t="shared" si="7"/>
        <v>0</v>
      </c>
      <c r="K84">
        <f t="shared" si="7"/>
        <v>0</v>
      </c>
      <c r="L84">
        <f t="shared" si="7"/>
        <v>0</v>
      </c>
      <c r="M84">
        <f t="shared" si="7"/>
        <v>0</v>
      </c>
    </row>
    <row r="85" spans="1:16" x14ac:dyDescent="0.2">
      <c r="A85" t="s">
        <v>1532</v>
      </c>
      <c r="D85">
        <f t="shared" ref="D85:M85" si="8">IFERROR(N(D49),0)</f>
        <v>0</v>
      </c>
      <c r="E85">
        <f t="shared" si="8"/>
        <v>0</v>
      </c>
      <c r="F85">
        <f t="shared" si="8"/>
        <v>0</v>
      </c>
      <c r="G85">
        <f t="shared" si="8"/>
        <v>0</v>
      </c>
      <c r="H85">
        <f t="shared" si="8"/>
        <v>0</v>
      </c>
      <c r="I85">
        <f t="shared" si="8"/>
        <v>0</v>
      </c>
      <c r="J85">
        <f t="shared" si="8"/>
        <v>0</v>
      </c>
      <c r="K85">
        <f t="shared" si="8"/>
        <v>0</v>
      </c>
      <c r="L85">
        <f t="shared" si="8"/>
        <v>0</v>
      </c>
      <c r="M85">
        <f t="shared" si="8"/>
        <v>0</v>
      </c>
    </row>
    <row r="86" spans="1:16" x14ac:dyDescent="0.2">
      <c r="A86" t="s">
        <v>1533</v>
      </c>
      <c r="D86">
        <f>IF(Scenarios!$C$159=1,IF(Scenarios!$C$160&gt;0,MIN(Scenarios!$C$160,MAX(D84-D85,0)),MAX(D84-D85,0)),0)</f>
        <v>0</v>
      </c>
      <c r="E86">
        <f>IF(Scenarios!$C$159=2,IF(Scenarios!$C$160&gt;0,MIN(Scenarios!$C$160,MAX(E84-E85,0)),MAX(E84-E85,0)),0)</f>
        <v>0</v>
      </c>
      <c r="F86">
        <f>IF(Scenarios!$C$159=3,IF(Scenarios!$C$160&gt;0,MIN(Scenarios!$C$160,MAX(F84-F85,0)),MAX(F84-F85,0)),0)</f>
        <v>0</v>
      </c>
      <c r="G86">
        <f>IF(Scenarios!$C$159=4,IF(Scenarios!$C$160&gt;0,MIN(Scenarios!$C$160,MAX(G84-G85,0)),MAX(G84-G85,0)),0)</f>
        <v>0</v>
      </c>
      <c r="H86">
        <f>IF(Scenarios!$C$159=5,IF(Scenarios!$C$160&gt;0,MIN(Scenarios!$C$160,MAX(H84-H85,0)),MAX(H84-H85,0)),0)</f>
        <v>0</v>
      </c>
      <c r="I86">
        <f>IF(Scenarios!$C$159=6,IF(Scenarios!$C$160&gt;0,MIN(Scenarios!$C$160,MAX(I84-I85,0)),MAX(I84-I85,0)),0)</f>
        <v>0</v>
      </c>
      <c r="J86">
        <f>IF(Scenarios!$C$159=7,IF(Scenarios!$C$160&gt;0,MIN(Scenarios!$C$160,MAX(J84-J85,0)),MAX(J84-J85,0)),0)</f>
        <v>0</v>
      </c>
      <c r="K86">
        <f>IF(Scenarios!$C$159=8,IF(Scenarios!$C$160&gt;0,MIN(Scenarios!$C$160,MAX(K84-K85,0)),MAX(K84-K85,0)),0)</f>
        <v>0</v>
      </c>
      <c r="L86">
        <f>IF(Scenarios!$C$159=9,IF(Scenarios!$C$160&gt;0,MIN(Scenarios!$C$160,MAX(L84-L85,0)),MAX(L84-L85,0)),0)</f>
        <v>0</v>
      </c>
      <c r="M86">
        <f>IF(Scenarios!$C$159=10,IF(Scenarios!$C$160&gt;0,MIN(Scenarios!$C$160,MAX(M84-M85,0)),MAX(M84-M85,0)),0)</f>
        <v>0</v>
      </c>
    </row>
    <row r="87" spans="1:16" x14ac:dyDescent="0.2">
      <c r="A87" t="s">
        <v>1534</v>
      </c>
      <c r="D87">
        <f t="shared" ref="D87:M87" si="9">MAX(D84-D85-D86,0)</f>
        <v>0</v>
      </c>
      <c r="E87">
        <f t="shared" si="9"/>
        <v>0</v>
      </c>
      <c r="F87">
        <f t="shared" si="9"/>
        <v>0</v>
      </c>
      <c r="G87">
        <f t="shared" si="9"/>
        <v>0</v>
      </c>
      <c r="H87">
        <f t="shared" si="9"/>
        <v>0</v>
      </c>
      <c r="I87">
        <f t="shared" si="9"/>
        <v>0</v>
      </c>
      <c r="J87">
        <f t="shared" si="9"/>
        <v>0</v>
      </c>
      <c r="K87">
        <f t="shared" si="9"/>
        <v>0</v>
      </c>
      <c r="L87">
        <f t="shared" si="9"/>
        <v>0</v>
      </c>
      <c r="M87">
        <f t="shared" si="9"/>
        <v>0</v>
      </c>
      <c r="P87">
        <f>M87</f>
        <v>0</v>
      </c>
    </row>
  </sheetData>
  <mergeCells count="10">
    <mergeCell ref="A9:R9"/>
    <mergeCell ref="A21:R21"/>
    <mergeCell ref="A42:R42"/>
    <mergeCell ref="D59:M59"/>
    <mergeCell ref="A72:Q72"/>
    <mergeCell ref="A1:R1"/>
    <mergeCell ref="A2:R2"/>
    <mergeCell ref="A4:R4"/>
    <mergeCell ref="O5:P5"/>
    <mergeCell ref="O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70"/>
  <sheetViews>
    <sheetView zoomScaleNormal="100" workbookViewId="0">
      <pane xSplit="2" ySplit="8" topLeftCell="C32" activePane="bottomRight" state="frozen"/>
      <selection pane="topRight" activeCell="C1" sqref="C1"/>
      <selection pane="bottomLeft" activeCell="A32" sqref="A32"/>
      <selection pane="bottomRight" activeCell="B20" sqref="B20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8" width="11" customWidth="1"/>
  </cols>
  <sheetData>
    <row r="1" spans="1:40" ht="21.75" customHeight="1" x14ac:dyDescent="0.2">
      <c r="A1" s="928" t="str">
        <f>IF('Prop Info'!B4="","LEASE-UP &amp; CAPITAL CALL  —  36-Month Stabilization Model","LEASE-UP &amp; CAPITAL CALL  —  36-Month Stabilization Model"&amp;" — "&amp;'Prop Info'!B4)</f>
        <v>LEASE-UP &amp; CAPITAL CALL  —  36-Month Stabilization Model</v>
      </c>
      <c r="B1" s="928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928"/>
      <c r="P1" s="928"/>
      <c r="Q1" s="928"/>
      <c r="R1" s="928"/>
      <c r="S1" s="928"/>
      <c r="T1" s="928"/>
      <c r="U1" s="928"/>
      <c r="V1" s="928"/>
      <c r="W1" s="928"/>
      <c r="X1" s="928"/>
      <c r="Y1" s="928"/>
      <c r="Z1" s="928"/>
      <c r="AA1" s="928"/>
      <c r="AB1" s="928"/>
      <c r="AC1" s="928"/>
      <c r="AD1" s="928"/>
      <c r="AE1" s="928"/>
      <c r="AF1" s="928"/>
      <c r="AG1" s="928"/>
      <c r="AH1" s="928"/>
      <c r="AI1" s="928"/>
      <c r="AJ1" s="928"/>
      <c r="AK1" s="928"/>
      <c r="AL1" s="928"/>
      <c r="AM1" s="928"/>
      <c r="AN1" s="928"/>
    </row>
    <row r="2" spans="1:40" ht="31.5" customHeight="1" x14ac:dyDescent="0.2">
      <c r="A2" s="1" t="s">
        <v>1535</v>
      </c>
    </row>
    <row r="4" spans="1:40" ht="21.75" customHeight="1" x14ac:dyDescent="0.2">
      <c r="A4" s="934" t="s">
        <v>1536</v>
      </c>
      <c r="B4" s="934"/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  <c r="N4" s="934"/>
      <c r="O4" s="934"/>
      <c r="P4" s="934"/>
      <c r="Q4" s="934"/>
      <c r="R4" s="934"/>
      <c r="S4" s="934"/>
      <c r="T4" s="934"/>
      <c r="U4" s="934"/>
      <c r="V4" s="934"/>
      <c r="W4" s="934"/>
      <c r="X4" s="934"/>
      <c r="Y4" s="934"/>
      <c r="Z4" s="934"/>
      <c r="AA4" s="934"/>
      <c r="AB4" s="934"/>
      <c r="AC4" s="934"/>
      <c r="AD4" s="934"/>
      <c r="AE4" s="934"/>
      <c r="AF4" s="934"/>
      <c r="AG4" s="934"/>
      <c r="AH4" s="934"/>
      <c r="AI4" s="934"/>
      <c r="AJ4" s="934"/>
      <c r="AK4" s="934"/>
      <c r="AL4" s="934"/>
      <c r="AM4" s="934"/>
      <c r="AN4" s="934"/>
    </row>
    <row r="5" spans="1:40" ht="15" customHeight="1" x14ac:dyDescent="0.2">
      <c r="A5" s="106" t="s">
        <v>1537</v>
      </c>
      <c r="B5" s="474"/>
      <c r="C5" s="931" t="s">
        <v>1538</v>
      </c>
      <c r="D5" s="931"/>
      <c r="E5" s="931"/>
      <c r="F5" s="931"/>
      <c r="G5" s="931"/>
      <c r="H5" s="931"/>
      <c r="I5" s="931"/>
      <c r="J5" s="931"/>
      <c r="K5" s="931"/>
      <c r="L5" s="931"/>
      <c r="M5" s="931"/>
      <c r="N5" s="931"/>
      <c r="O5" s="931"/>
      <c r="P5" s="931"/>
      <c r="Q5" s="931"/>
      <c r="R5" s="931"/>
      <c r="S5" s="931"/>
      <c r="T5" s="931"/>
      <c r="U5" s="931"/>
      <c r="V5" s="931"/>
      <c r="W5" s="931"/>
      <c r="X5" s="931"/>
      <c r="Y5" s="931"/>
      <c r="Z5" s="931"/>
      <c r="AA5" s="931"/>
      <c r="AB5" s="931"/>
      <c r="AC5" s="931"/>
      <c r="AD5" s="931"/>
      <c r="AE5" s="931"/>
      <c r="AF5" s="931"/>
      <c r="AG5" s="931"/>
      <c r="AH5" s="931"/>
      <c r="AI5" s="931"/>
      <c r="AJ5" s="931"/>
      <c r="AK5" s="931"/>
      <c r="AL5" s="931"/>
      <c r="AM5" s="931"/>
      <c r="AN5" s="931"/>
    </row>
    <row r="6" spans="1:40" ht="15" customHeight="1" x14ac:dyDescent="0.2">
      <c r="A6" s="106" t="s">
        <v>1539</v>
      </c>
      <c r="B6" s="475"/>
      <c r="C6" s="931" t="s">
        <v>1540</v>
      </c>
      <c r="D6" s="931"/>
      <c r="E6" s="931"/>
      <c r="F6" s="931"/>
      <c r="G6" s="931"/>
      <c r="H6" s="931"/>
      <c r="I6" s="931"/>
      <c r="J6" s="931"/>
      <c r="K6" s="931"/>
      <c r="L6" s="931"/>
      <c r="M6" s="931"/>
      <c r="N6" s="931"/>
      <c r="O6" s="931"/>
      <c r="P6" s="931"/>
      <c r="Q6" s="931"/>
      <c r="R6" s="931"/>
      <c r="S6" s="931"/>
      <c r="T6" s="931"/>
      <c r="U6" s="931"/>
      <c r="V6" s="931"/>
      <c r="W6" s="931"/>
      <c r="X6" s="931"/>
      <c r="Y6" s="931"/>
      <c r="Z6" s="931"/>
      <c r="AA6" s="931"/>
      <c r="AB6" s="931"/>
      <c r="AC6" s="931"/>
      <c r="AD6" s="931"/>
      <c r="AE6" s="931"/>
      <c r="AF6" s="931"/>
      <c r="AG6" s="931"/>
      <c r="AH6" s="931"/>
      <c r="AI6" s="931"/>
      <c r="AJ6" s="931"/>
      <c r="AK6" s="931"/>
      <c r="AL6" s="931"/>
      <c r="AM6" s="931"/>
      <c r="AN6" s="931"/>
    </row>
    <row r="7" spans="1:40" ht="15" customHeight="1" x14ac:dyDescent="0.2">
      <c r="A7" s="106" t="s">
        <v>1541</v>
      </c>
      <c r="B7" s="474"/>
      <c r="C7" s="931" t="s">
        <v>1542</v>
      </c>
      <c r="D7" s="931"/>
      <c r="E7" s="931"/>
      <c r="F7" s="931"/>
      <c r="G7" s="931"/>
      <c r="H7" s="931"/>
      <c r="I7" s="931"/>
      <c r="J7" s="931"/>
      <c r="K7" s="931"/>
      <c r="L7" s="931"/>
      <c r="M7" s="931"/>
      <c r="N7" s="931"/>
      <c r="O7" s="931"/>
      <c r="P7" s="931"/>
      <c r="Q7" s="931"/>
      <c r="R7" s="931"/>
      <c r="S7" s="931"/>
      <c r="T7" s="931"/>
      <c r="U7" s="931"/>
      <c r="V7" s="931"/>
      <c r="W7" s="931"/>
      <c r="X7" s="931"/>
      <c r="Y7" s="931"/>
      <c r="Z7" s="931"/>
      <c r="AA7" s="931"/>
      <c r="AB7" s="931"/>
      <c r="AC7" s="931"/>
      <c r="AD7" s="931"/>
      <c r="AE7" s="931"/>
      <c r="AF7" s="931"/>
      <c r="AG7" s="931"/>
      <c r="AH7" s="931"/>
      <c r="AI7" s="931"/>
      <c r="AJ7" s="931"/>
      <c r="AK7" s="931"/>
      <c r="AL7" s="931"/>
      <c r="AM7" s="931"/>
      <c r="AN7" s="931"/>
    </row>
    <row r="8" spans="1:40" ht="15" customHeight="1" x14ac:dyDescent="0.2">
      <c r="A8" s="106" t="s">
        <v>1543</v>
      </c>
      <c r="B8" s="474"/>
      <c r="C8" s="931" t="s">
        <v>1544</v>
      </c>
      <c r="D8" s="931"/>
      <c r="E8" s="931"/>
      <c r="F8" s="931"/>
      <c r="G8" s="931"/>
      <c r="H8" s="931"/>
      <c r="I8" s="931"/>
      <c r="J8" s="931"/>
      <c r="K8" s="931"/>
      <c r="L8" s="931"/>
      <c r="M8" s="931"/>
      <c r="N8" s="931"/>
      <c r="O8" s="931"/>
      <c r="P8" s="931"/>
      <c r="Q8" s="931"/>
      <c r="R8" s="931"/>
      <c r="S8" s="931"/>
      <c r="T8" s="931"/>
      <c r="U8" s="931"/>
      <c r="V8" s="931"/>
      <c r="W8" s="931"/>
      <c r="X8" s="931"/>
      <c r="Y8" s="931"/>
      <c r="Z8" s="931"/>
      <c r="AA8" s="931"/>
      <c r="AB8" s="931"/>
      <c r="AC8" s="931"/>
      <c r="AD8" s="931"/>
      <c r="AE8" s="931"/>
      <c r="AF8" s="931"/>
      <c r="AG8" s="931"/>
      <c r="AH8" s="931"/>
      <c r="AI8" s="931"/>
      <c r="AJ8" s="931"/>
      <c r="AK8" s="931"/>
      <c r="AL8" s="931"/>
      <c r="AM8" s="931"/>
      <c r="AN8" s="931"/>
    </row>
    <row r="9" spans="1:40" ht="15" customHeight="1" x14ac:dyDescent="0.2">
      <c r="A9" s="106" t="s">
        <v>1545</v>
      </c>
      <c r="B9" s="474"/>
      <c r="C9" s="931" t="s">
        <v>1546</v>
      </c>
      <c r="D9" s="931"/>
      <c r="E9" s="931"/>
      <c r="F9" s="931"/>
      <c r="G9" s="931"/>
      <c r="H9" s="931"/>
      <c r="I9" s="931"/>
      <c r="J9" s="931"/>
      <c r="K9" s="931"/>
      <c r="L9" s="931"/>
      <c r="M9" s="931"/>
      <c r="N9" s="931"/>
      <c r="O9" s="931"/>
      <c r="P9" s="931"/>
      <c r="Q9" s="931"/>
      <c r="R9" s="931"/>
      <c r="S9" s="931"/>
      <c r="T9" s="931"/>
      <c r="U9" s="931"/>
      <c r="V9" s="931"/>
      <c r="W9" s="931"/>
      <c r="X9" s="931"/>
      <c r="Y9" s="931"/>
      <c r="Z9" s="931"/>
      <c r="AA9" s="931"/>
      <c r="AB9" s="931"/>
      <c r="AC9" s="931"/>
      <c r="AD9" s="931"/>
      <c r="AE9" s="931"/>
      <c r="AF9" s="931"/>
      <c r="AG9" s="931"/>
      <c r="AH9" s="931"/>
      <c r="AI9" s="931"/>
      <c r="AJ9" s="931"/>
      <c r="AK9" s="931"/>
      <c r="AL9" s="931"/>
      <c r="AM9" s="931"/>
      <c r="AN9" s="931"/>
    </row>
    <row r="10" spans="1:40" ht="15" customHeight="1" x14ac:dyDescent="0.2">
      <c r="A10" s="106" t="s">
        <v>1547</v>
      </c>
      <c r="B10" s="303"/>
      <c r="C10" s="931" t="s">
        <v>1548</v>
      </c>
      <c r="D10" s="931"/>
      <c r="E10" s="931"/>
      <c r="F10" s="931"/>
      <c r="G10" s="931"/>
      <c r="H10" s="931"/>
      <c r="I10" s="931"/>
      <c r="J10" s="931"/>
      <c r="K10" s="931"/>
      <c r="L10" s="931"/>
      <c r="M10" s="931"/>
      <c r="N10" s="931"/>
      <c r="O10" s="931"/>
      <c r="P10" s="931"/>
      <c r="Q10" s="931"/>
      <c r="R10" s="931"/>
      <c r="S10" s="931"/>
      <c r="T10" s="931"/>
      <c r="U10" s="931"/>
      <c r="V10" s="931"/>
      <c r="W10" s="931"/>
      <c r="X10" s="931"/>
      <c r="Y10" s="931"/>
      <c r="Z10" s="931"/>
      <c r="AA10" s="931"/>
      <c r="AB10" s="931"/>
      <c r="AC10" s="931"/>
      <c r="AD10" s="931"/>
      <c r="AE10" s="931"/>
      <c r="AF10" s="931"/>
      <c r="AG10" s="931"/>
      <c r="AH10" s="931"/>
      <c r="AI10" s="931"/>
      <c r="AJ10" s="931"/>
      <c r="AK10" s="931"/>
      <c r="AL10" s="931"/>
      <c r="AM10" s="931"/>
      <c r="AN10" s="931"/>
    </row>
    <row r="11" spans="1:40" ht="15" customHeight="1" x14ac:dyDescent="0.2">
      <c r="A11" s="106" t="s">
        <v>1549</v>
      </c>
      <c r="B11" s="303"/>
      <c r="C11" s="931" t="s">
        <v>1550</v>
      </c>
      <c r="D11" s="931"/>
      <c r="E11" s="931"/>
      <c r="F11" s="931"/>
      <c r="G11" s="931"/>
      <c r="H11" s="931"/>
      <c r="I11" s="931"/>
      <c r="J11" s="931"/>
      <c r="K11" s="931"/>
      <c r="L11" s="931"/>
      <c r="M11" s="931"/>
      <c r="N11" s="931"/>
      <c r="O11" s="931"/>
      <c r="P11" s="931"/>
      <c r="Q11" s="931"/>
      <c r="R11" s="931"/>
      <c r="S11" s="931"/>
      <c r="T11" s="931"/>
      <c r="U11" s="931"/>
      <c r="V11" s="931"/>
      <c r="W11" s="931"/>
      <c r="X11" s="931"/>
      <c r="Y11" s="931"/>
      <c r="Z11" s="931"/>
      <c r="AA11" s="931"/>
      <c r="AB11" s="931"/>
      <c r="AC11" s="931"/>
      <c r="AD11" s="931"/>
      <c r="AE11" s="931"/>
      <c r="AF11" s="931"/>
      <c r="AG11" s="931"/>
      <c r="AH11" s="931"/>
      <c r="AI11" s="931"/>
      <c r="AJ11" s="931"/>
      <c r="AK11" s="931"/>
      <c r="AL11" s="931"/>
      <c r="AM11" s="931"/>
      <c r="AN11" s="931"/>
    </row>
    <row r="12" spans="1:40" ht="15" customHeight="1" x14ac:dyDescent="0.2">
      <c r="A12" s="106" t="s">
        <v>1551</v>
      </c>
      <c r="B12" s="303"/>
      <c r="C12" s="931" t="s">
        <v>1552</v>
      </c>
      <c r="D12" s="931"/>
      <c r="E12" s="931"/>
      <c r="F12" s="931"/>
      <c r="G12" s="931"/>
      <c r="H12" s="931"/>
      <c r="I12" s="931"/>
      <c r="J12" s="931"/>
      <c r="K12" s="931"/>
      <c r="L12" s="931"/>
      <c r="M12" s="931"/>
      <c r="N12" s="931"/>
      <c r="O12" s="931"/>
      <c r="P12" s="931"/>
      <c r="Q12" s="931"/>
      <c r="R12" s="931"/>
      <c r="S12" s="931"/>
      <c r="T12" s="931"/>
      <c r="U12" s="931"/>
      <c r="V12" s="931"/>
      <c r="W12" s="931"/>
      <c r="X12" s="931"/>
      <c r="Y12" s="931"/>
      <c r="Z12" s="931"/>
      <c r="AA12" s="931"/>
      <c r="AB12" s="931"/>
      <c r="AC12" s="931"/>
      <c r="AD12" s="931"/>
      <c r="AE12" s="931"/>
      <c r="AF12" s="931"/>
      <c r="AG12" s="931"/>
      <c r="AH12" s="931"/>
      <c r="AI12" s="931"/>
      <c r="AJ12" s="931"/>
      <c r="AK12" s="931"/>
      <c r="AL12" s="931"/>
      <c r="AM12" s="931"/>
      <c r="AN12" s="931"/>
    </row>
    <row r="13" spans="1:40" ht="15" customHeight="1" x14ac:dyDescent="0.2">
      <c r="A13" s="106" t="s">
        <v>1553</v>
      </c>
      <c r="B13" s="303"/>
      <c r="C13" s="931" t="s">
        <v>1554</v>
      </c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</row>
    <row r="14" spans="1:40" ht="15" customHeight="1" x14ac:dyDescent="0.2">
      <c r="A14" s="106" t="s">
        <v>1555</v>
      </c>
      <c r="B14" s="474"/>
      <c r="C14" s="931" t="s">
        <v>1556</v>
      </c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</row>
    <row r="15" spans="1:40" ht="15" customHeight="1" x14ac:dyDescent="0.2">
      <c r="A15" s="106" t="s">
        <v>1557</v>
      </c>
      <c r="B15" s="303"/>
      <c r="C15" s="931" t="s">
        <v>1558</v>
      </c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931"/>
      <c r="AA15" s="931"/>
      <c r="AB15" s="931"/>
      <c r="AC15" s="931"/>
      <c r="AD15" s="931"/>
      <c r="AE15" s="931"/>
      <c r="AF15" s="931"/>
      <c r="AG15" s="931"/>
      <c r="AH15" s="931"/>
      <c r="AI15" s="931"/>
      <c r="AJ15" s="931"/>
      <c r="AK15" s="931"/>
      <c r="AL15" s="931"/>
      <c r="AM15" s="931"/>
      <c r="AN15" s="931"/>
    </row>
    <row r="16" spans="1:40" ht="15" customHeight="1" x14ac:dyDescent="0.2">
      <c r="A16" s="106" t="s">
        <v>1559</v>
      </c>
      <c r="B16" s="303"/>
      <c r="C16" s="931" t="s">
        <v>1560</v>
      </c>
      <c r="D16" s="931"/>
      <c r="E16" s="931"/>
      <c r="F16" s="931"/>
      <c r="G16" s="931"/>
      <c r="H16" s="931"/>
      <c r="I16" s="931"/>
      <c r="J16" s="931"/>
      <c r="K16" s="931"/>
      <c r="L16" s="931"/>
      <c r="M16" s="931"/>
      <c r="N16" s="931"/>
      <c r="O16" s="931"/>
      <c r="P16" s="931"/>
      <c r="Q16" s="931"/>
      <c r="R16" s="931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931"/>
      <c r="AG16" s="931"/>
      <c r="AH16" s="931"/>
      <c r="AI16" s="931"/>
      <c r="AJ16" s="931"/>
      <c r="AK16" s="931"/>
      <c r="AL16" s="931"/>
      <c r="AM16" s="931"/>
      <c r="AN16" s="931"/>
    </row>
    <row r="17" spans="1:40" ht="15" customHeight="1" x14ac:dyDescent="0.2">
      <c r="A17" s="106" t="s">
        <v>1561</v>
      </c>
      <c r="B17" s="303"/>
      <c r="C17" s="931" t="s">
        <v>1562</v>
      </c>
      <c r="D17" s="931"/>
      <c r="E17" s="931"/>
      <c r="F17" s="931"/>
      <c r="G17" s="931"/>
      <c r="H17" s="931"/>
      <c r="I17" s="931"/>
      <c r="J17" s="931"/>
      <c r="K17" s="931"/>
      <c r="L17" s="931"/>
      <c r="M17" s="931"/>
      <c r="N17" s="931"/>
      <c r="O17" s="931"/>
      <c r="P17" s="931"/>
      <c r="Q17" s="931"/>
      <c r="R17" s="931"/>
      <c r="S17" s="931"/>
      <c r="T17" s="931"/>
      <c r="U17" s="931"/>
      <c r="V17" s="931"/>
      <c r="W17" s="931"/>
      <c r="X17" s="931"/>
      <c r="Y17" s="931"/>
      <c r="Z17" s="931"/>
      <c r="AA17" s="931"/>
      <c r="AB17" s="931"/>
      <c r="AC17" s="931"/>
      <c r="AD17" s="931"/>
      <c r="AE17" s="931"/>
      <c r="AF17" s="931"/>
      <c r="AG17" s="931"/>
      <c r="AH17" s="931"/>
      <c r="AI17" s="931"/>
      <c r="AJ17" s="931"/>
      <c r="AK17" s="931"/>
      <c r="AL17" s="931"/>
      <c r="AM17" s="931"/>
      <c r="AN17" s="931"/>
    </row>
    <row r="18" spans="1:40" ht="15" customHeight="1" x14ac:dyDescent="0.2">
      <c r="A18" s="106" t="s">
        <v>1563</v>
      </c>
      <c r="B18" s="110">
        <f>Scenarios!F70</f>
        <v>0</v>
      </c>
      <c r="C18" s="931" t="s">
        <v>1564</v>
      </c>
      <c r="D18" s="931"/>
      <c r="E18" s="931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31"/>
      <c r="Q18" s="931"/>
      <c r="R18" s="931"/>
      <c r="S18" s="931"/>
      <c r="T18" s="931"/>
      <c r="U18" s="931"/>
      <c r="V18" s="931"/>
      <c r="W18" s="931"/>
      <c r="X18" s="931"/>
      <c r="Y18" s="931"/>
      <c r="Z18" s="931"/>
      <c r="AA18" s="931"/>
      <c r="AB18" s="931"/>
      <c r="AC18" s="931"/>
      <c r="AD18" s="931"/>
      <c r="AE18" s="931"/>
      <c r="AF18" s="931"/>
      <c r="AG18" s="931"/>
      <c r="AH18" s="931"/>
      <c r="AI18" s="931"/>
      <c r="AJ18" s="931"/>
      <c r="AK18" s="931"/>
      <c r="AL18" s="931"/>
      <c r="AM18" s="931"/>
      <c r="AN18" s="931"/>
    </row>
    <row r="19" spans="1:40" ht="15" customHeight="1" x14ac:dyDescent="0.2">
      <c r="A19" s="106" t="s">
        <v>1565</v>
      </c>
      <c r="B19" s="110">
        <f>Scenarios!F70*0.85</f>
        <v>0</v>
      </c>
      <c r="C19" s="931" t="s">
        <v>1566</v>
      </c>
      <c r="D19" s="931"/>
      <c r="E19" s="931"/>
      <c r="F19" s="931"/>
      <c r="G19" s="931"/>
      <c r="H19" s="931"/>
      <c r="I19" s="931"/>
      <c r="J19" s="931"/>
      <c r="K19" s="931"/>
      <c r="L19" s="931"/>
      <c r="M19" s="931"/>
      <c r="N19" s="931"/>
      <c r="O19" s="931"/>
      <c r="P19" s="931"/>
      <c r="Q19" s="931"/>
      <c r="R19" s="931"/>
      <c r="S19" s="931"/>
      <c r="T19" s="931"/>
      <c r="U19" s="931"/>
      <c r="V19" s="931"/>
      <c r="W19" s="931"/>
      <c r="X19" s="931"/>
      <c r="Y19" s="931"/>
      <c r="Z19" s="931"/>
      <c r="AA19" s="931"/>
      <c r="AB19" s="931"/>
      <c r="AC19" s="931"/>
      <c r="AD19" s="931"/>
      <c r="AE19" s="931"/>
      <c r="AF19" s="931"/>
      <c r="AG19" s="931"/>
      <c r="AH19" s="931"/>
      <c r="AI19" s="931"/>
      <c r="AJ19" s="931"/>
      <c r="AK19" s="931"/>
      <c r="AL19" s="931"/>
      <c r="AM19" s="931"/>
      <c r="AN19" s="931"/>
    </row>
    <row r="20" spans="1:40" ht="15" customHeight="1" x14ac:dyDescent="0.2">
      <c r="A20" s="106" t="s">
        <v>1567</v>
      </c>
      <c r="B20" s="303"/>
      <c r="C20" s="931" t="s">
        <v>1568</v>
      </c>
      <c r="D20" s="931"/>
      <c r="E20" s="931"/>
      <c r="F20" s="931"/>
      <c r="G20" s="931"/>
      <c r="H20" s="931"/>
      <c r="I20" s="931"/>
      <c r="J20" s="931"/>
      <c r="K20" s="931"/>
      <c r="L20" s="931"/>
      <c r="M20" s="931"/>
      <c r="N20" s="931"/>
      <c r="O20" s="931"/>
      <c r="P20" s="931"/>
      <c r="Q20" s="931"/>
      <c r="R20" s="931"/>
      <c r="S20" s="931"/>
      <c r="T20" s="931"/>
      <c r="U20" s="931"/>
      <c r="V20" s="931"/>
      <c r="W20" s="931"/>
      <c r="X20" s="931"/>
      <c r="Y20" s="931"/>
      <c r="Z20" s="931"/>
      <c r="AA20" s="931"/>
      <c r="AB20" s="931"/>
      <c r="AC20" s="931"/>
      <c r="AD20" s="931"/>
      <c r="AE20" s="931"/>
      <c r="AF20" s="931"/>
      <c r="AG20" s="931"/>
      <c r="AH20" s="931"/>
      <c r="AI20" s="931"/>
      <c r="AJ20" s="931"/>
      <c r="AK20" s="931"/>
      <c r="AL20" s="931"/>
      <c r="AM20" s="931"/>
      <c r="AN20" s="931"/>
    </row>
    <row r="21" spans="1:40" ht="15" customHeight="1" x14ac:dyDescent="0.2">
      <c r="A21" s="106" t="s">
        <v>1569</v>
      </c>
      <c r="B21" s="110">
        <f>Scenarios!F89*Scenarios!F88+Scenarios!F96*Scenarios!F95+Scenarios!F103*Scenarios!F102</f>
        <v>0</v>
      </c>
      <c r="C21" s="931" t="s">
        <v>1570</v>
      </c>
      <c r="D21" s="931"/>
      <c r="E21" s="931"/>
      <c r="F21" s="931"/>
      <c r="G21" s="931"/>
      <c r="H21" s="931"/>
      <c r="I21" s="931"/>
      <c r="J21" s="931"/>
      <c r="K21" s="931"/>
      <c r="L21" s="931"/>
      <c r="M21" s="931"/>
      <c r="N21" s="931"/>
      <c r="O21" s="931"/>
      <c r="P21" s="931"/>
      <c r="Q21" s="931"/>
      <c r="R21" s="931"/>
      <c r="S21" s="931"/>
      <c r="T21" s="931"/>
      <c r="U21" s="931"/>
      <c r="V21" s="931"/>
      <c r="W21" s="931"/>
      <c r="X21" s="931"/>
      <c r="Y21" s="931"/>
      <c r="Z21" s="931"/>
      <c r="AA21" s="931"/>
      <c r="AB21" s="931"/>
      <c r="AC21" s="931"/>
      <c r="AD21" s="931"/>
      <c r="AE21" s="931"/>
      <c r="AF21" s="931"/>
      <c r="AG21" s="931"/>
      <c r="AH21" s="931"/>
      <c r="AI21" s="931"/>
      <c r="AJ21" s="931"/>
      <c r="AK21" s="931"/>
      <c r="AL21" s="931"/>
      <c r="AM21" s="931"/>
      <c r="AN21" s="931"/>
    </row>
    <row r="22" spans="1:40" ht="15" customHeight="1" x14ac:dyDescent="0.2">
      <c r="A22" s="106" t="s">
        <v>1571</v>
      </c>
      <c r="B22" s="110">
        <f>Scenarios!F31</f>
        <v>0</v>
      </c>
      <c r="C22" s="931" t="s">
        <v>1572</v>
      </c>
      <c r="D22" s="931"/>
      <c r="E22" s="931"/>
      <c r="F22" s="931"/>
      <c r="G22" s="931"/>
      <c r="H22" s="931"/>
      <c r="I22" s="931"/>
      <c r="J22" s="931"/>
      <c r="K22" s="931"/>
      <c r="L22" s="931"/>
      <c r="M22" s="931"/>
      <c r="N22" s="931"/>
      <c r="O22" s="931"/>
      <c r="P22" s="931"/>
      <c r="Q22" s="931"/>
      <c r="R22" s="931"/>
      <c r="S22" s="931"/>
      <c r="T22" s="931"/>
      <c r="U22" s="931"/>
      <c r="V22" s="931"/>
      <c r="W22" s="931"/>
      <c r="X22" s="931"/>
      <c r="Y22" s="931"/>
      <c r="Z22" s="931"/>
      <c r="AA22" s="931"/>
      <c r="AB22" s="931"/>
      <c r="AC22" s="931"/>
      <c r="AD22" s="931"/>
      <c r="AE22" s="931"/>
      <c r="AF22" s="931"/>
      <c r="AG22" s="931"/>
      <c r="AH22" s="931"/>
      <c r="AI22" s="931"/>
      <c r="AJ22" s="931"/>
      <c r="AK22" s="931"/>
      <c r="AL22" s="931"/>
      <c r="AM22" s="931"/>
      <c r="AN22" s="931"/>
    </row>
    <row r="23" spans="1:40" ht="15" customHeight="1" x14ac:dyDescent="0.2">
      <c r="A23" s="106" t="s">
        <v>1573</v>
      </c>
      <c r="B23" s="256">
        <f>B22*0.7</f>
        <v>0</v>
      </c>
      <c r="C23" s="931" t="s">
        <v>1574</v>
      </c>
      <c r="D23" s="931"/>
      <c r="E23" s="931"/>
      <c r="F23" s="931"/>
      <c r="G23" s="931"/>
      <c r="H23" s="931"/>
      <c r="I23" s="931"/>
      <c r="J23" s="931"/>
      <c r="K23" s="931"/>
      <c r="L23" s="931"/>
      <c r="M23" s="931"/>
      <c r="N23" s="931"/>
      <c r="O23" s="931"/>
      <c r="P23" s="931"/>
      <c r="Q23" s="931"/>
      <c r="R23" s="931"/>
      <c r="S23" s="931"/>
      <c r="T23" s="931"/>
      <c r="U23" s="931"/>
      <c r="V23" s="931"/>
      <c r="W23" s="931"/>
      <c r="X23" s="931"/>
      <c r="Y23" s="931"/>
      <c r="Z23" s="931"/>
      <c r="AA23" s="931"/>
      <c r="AB23" s="931"/>
      <c r="AC23" s="931"/>
      <c r="AD23" s="931"/>
      <c r="AE23" s="931"/>
      <c r="AF23" s="931"/>
      <c r="AG23" s="931"/>
      <c r="AH23" s="931"/>
      <c r="AI23" s="931"/>
      <c r="AJ23" s="931"/>
      <c r="AK23" s="931"/>
      <c r="AL23" s="931"/>
      <c r="AM23" s="931"/>
      <c r="AN23" s="931"/>
    </row>
    <row r="25" spans="1:40" ht="21.75" customHeight="1" x14ac:dyDescent="0.2">
      <c r="A25" s="934" t="s">
        <v>1575</v>
      </c>
      <c r="B25" s="934"/>
      <c r="C25" s="934"/>
      <c r="D25" s="934"/>
      <c r="E25" s="934"/>
      <c r="F25" s="934"/>
      <c r="G25" s="934"/>
      <c r="H25" s="934"/>
      <c r="I25" s="934"/>
      <c r="J25" s="934"/>
      <c r="K25" s="934"/>
      <c r="L25" s="934"/>
      <c r="M25" s="934"/>
      <c r="N25" s="934"/>
      <c r="O25" s="934"/>
      <c r="P25" s="934"/>
      <c r="Q25" s="934"/>
      <c r="R25" s="934"/>
      <c r="S25" s="934"/>
      <c r="T25" s="934"/>
      <c r="U25" s="934"/>
      <c r="V25" s="934"/>
      <c r="W25" s="934"/>
      <c r="X25" s="934"/>
      <c r="Y25" s="934"/>
      <c r="Z25" s="934"/>
      <c r="AA25" s="934"/>
      <c r="AB25" s="934"/>
      <c r="AC25" s="934"/>
      <c r="AD25" s="934"/>
      <c r="AE25" s="934"/>
      <c r="AF25" s="934"/>
      <c r="AG25" s="934"/>
      <c r="AH25" s="934"/>
      <c r="AI25" s="934"/>
      <c r="AJ25" s="934"/>
      <c r="AK25" s="934"/>
      <c r="AL25" s="934"/>
      <c r="AM25" s="934"/>
      <c r="AN25" s="934"/>
    </row>
    <row r="26" spans="1:40" ht="24" customHeight="1" x14ac:dyDescent="0.2">
      <c r="A26" s="104" t="s">
        <v>618</v>
      </c>
      <c r="B26" s="116" t="s">
        <v>1576</v>
      </c>
      <c r="C26" s="104" t="s">
        <v>1577</v>
      </c>
      <c r="D26" s="104" t="s">
        <v>1578</v>
      </c>
      <c r="E26" s="104" t="s">
        <v>1579</v>
      </c>
      <c r="F26" s="104" t="s">
        <v>1580</v>
      </c>
      <c r="G26" s="104" t="s">
        <v>1581</v>
      </c>
      <c r="H26" s="104" t="s">
        <v>1582</v>
      </c>
      <c r="I26" s="104" t="s">
        <v>1583</v>
      </c>
      <c r="J26" s="104" t="s">
        <v>1584</v>
      </c>
      <c r="K26" s="104" t="s">
        <v>1585</v>
      </c>
      <c r="L26" s="104" t="s">
        <v>1586</v>
      </c>
      <c r="M26" s="104" t="s">
        <v>1587</v>
      </c>
      <c r="N26" s="104" t="s">
        <v>1588</v>
      </c>
      <c r="O26" s="104" t="s">
        <v>1589</v>
      </c>
      <c r="P26" s="104" t="s">
        <v>1590</v>
      </c>
      <c r="Q26" s="104" t="s">
        <v>1591</v>
      </c>
      <c r="R26" s="104" t="s">
        <v>1592</v>
      </c>
      <c r="S26" s="104" t="s">
        <v>1593</v>
      </c>
      <c r="T26" s="104" t="s">
        <v>1594</v>
      </c>
      <c r="U26" s="104" t="s">
        <v>1595</v>
      </c>
      <c r="V26" s="104" t="s">
        <v>1596</v>
      </c>
      <c r="W26" s="104" t="s">
        <v>1597</v>
      </c>
      <c r="X26" s="104" t="s">
        <v>1598</v>
      </c>
      <c r="Y26" s="104" t="s">
        <v>1599</v>
      </c>
      <c r="Z26" s="104" t="s">
        <v>1600</v>
      </c>
      <c r="AA26" s="104" t="s">
        <v>1601</v>
      </c>
      <c r="AB26" s="104" t="s">
        <v>1602</v>
      </c>
      <c r="AC26" s="104" t="s">
        <v>1603</v>
      </c>
      <c r="AD26" s="104" t="s">
        <v>1604</v>
      </c>
      <c r="AE26" s="104" t="s">
        <v>1605</v>
      </c>
      <c r="AF26" s="104" t="s">
        <v>1606</v>
      </c>
      <c r="AG26" s="104" t="s">
        <v>1607</v>
      </c>
      <c r="AH26" s="104" t="s">
        <v>1608</v>
      </c>
      <c r="AI26" s="104" t="s">
        <v>1609</v>
      </c>
      <c r="AJ26" s="104" t="s">
        <v>1610</v>
      </c>
      <c r="AK26" s="104" t="s">
        <v>1611</v>
      </c>
      <c r="AL26" s="104" t="s">
        <v>1612</v>
      </c>
    </row>
    <row r="27" spans="1:40" ht="15" customHeight="1" x14ac:dyDescent="0.2">
      <c r="A27" s="106" t="s">
        <v>1613</v>
      </c>
      <c r="B27" s="114">
        <f>SUM(C27:AL27)</f>
        <v>0</v>
      </c>
      <c r="C27" s="354">
        <f t="shared" ref="C27:H27" si="0">$B$7</f>
        <v>0</v>
      </c>
      <c r="D27" s="354">
        <f t="shared" si="0"/>
        <v>0</v>
      </c>
      <c r="E27" s="354">
        <f t="shared" si="0"/>
        <v>0</v>
      </c>
      <c r="F27" s="354">
        <f t="shared" si="0"/>
        <v>0</v>
      </c>
      <c r="G27" s="354">
        <f t="shared" si="0"/>
        <v>0</v>
      </c>
      <c r="H27" s="354">
        <f t="shared" si="0"/>
        <v>0</v>
      </c>
      <c r="I27" s="354">
        <f t="shared" ref="I27:N27" si="1">$B$8</f>
        <v>0</v>
      </c>
      <c r="J27" s="354">
        <f t="shared" si="1"/>
        <v>0</v>
      </c>
      <c r="K27" s="354">
        <f t="shared" si="1"/>
        <v>0</v>
      </c>
      <c r="L27" s="354">
        <f t="shared" si="1"/>
        <v>0</v>
      </c>
      <c r="M27" s="354">
        <f t="shared" si="1"/>
        <v>0</v>
      </c>
      <c r="N27" s="354">
        <f t="shared" si="1"/>
        <v>0</v>
      </c>
      <c r="O27" s="354">
        <f t="shared" ref="O27:AL27" si="2">$B$9</f>
        <v>0</v>
      </c>
      <c r="P27" s="354">
        <f t="shared" si="2"/>
        <v>0</v>
      </c>
      <c r="Q27" s="354">
        <f t="shared" si="2"/>
        <v>0</v>
      </c>
      <c r="R27" s="354">
        <f t="shared" si="2"/>
        <v>0</v>
      </c>
      <c r="S27" s="354">
        <f t="shared" si="2"/>
        <v>0</v>
      </c>
      <c r="T27" s="354">
        <f t="shared" si="2"/>
        <v>0</v>
      </c>
      <c r="U27" s="354">
        <f t="shared" si="2"/>
        <v>0</v>
      </c>
      <c r="V27" s="354">
        <f t="shared" si="2"/>
        <v>0</v>
      </c>
      <c r="W27" s="354">
        <f t="shared" si="2"/>
        <v>0</v>
      </c>
      <c r="X27" s="354">
        <f t="shared" si="2"/>
        <v>0</v>
      </c>
      <c r="Y27" s="354">
        <f t="shared" si="2"/>
        <v>0</v>
      </c>
      <c r="Z27" s="354">
        <f t="shared" si="2"/>
        <v>0</v>
      </c>
      <c r="AA27" s="354">
        <f t="shared" si="2"/>
        <v>0</v>
      </c>
      <c r="AB27" s="354">
        <f t="shared" si="2"/>
        <v>0</v>
      </c>
      <c r="AC27" s="354">
        <f t="shared" si="2"/>
        <v>0</v>
      </c>
      <c r="AD27" s="354">
        <f t="shared" si="2"/>
        <v>0</v>
      </c>
      <c r="AE27" s="354">
        <f t="shared" si="2"/>
        <v>0</v>
      </c>
      <c r="AF27" s="354">
        <f t="shared" si="2"/>
        <v>0</v>
      </c>
      <c r="AG27" s="354">
        <f t="shared" si="2"/>
        <v>0</v>
      </c>
      <c r="AH27" s="354">
        <f t="shared" si="2"/>
        <v>0</v>
      </c>
      <c r="AI27" s="354">
        <f t="shared" si="2"/>
        <v>0</v>
      </c>
      <c r="AJ27" s="354">
        <f t="shared" si="2"/>
        <v>0</v>
      </c>
      <c r="AK27" s="354">
        <f t="shared" si="2"/>
        <v>0</v>
      </c>
      <c r="AL27" s="354">
        <f t="shared" si="2"/>
        <v>0</v>
      </c>
    </row>
    <row r="28" spans="1:40" ht="15" customHeight="1" x14ac:dyDescent="0.2">
      <c r="A28" s="112" t="s">
        <v>1614</v>
      </c>
      <c r="C28" s="476">
        <f>MIN($B$5+C27,'Prop Info'!$B$6)</f>
        <v>0</v>
      </c>
      <c r="D28" s="476">
        <f>MIN(C28+D27,'Prop Info'!$B$6*$B$6)</f>
        <v>0</v>
      </c>
      <c r="E28" s="476">
        <f>MIN(D28+E27,'Prop Info'!$B$6*$B$6)</f>
        <v>0</v>
      </c>
      <c r="F28" s="476">
        <f>MIN(E28+F27,'Prop Info'!$B$6*$B$6)</f>
        <v>0</v>
      </c>
      <c r="G28" s="476">
        <f>MIN(F28+G27,'Prop Info'!$B$6*$B$6)</f>
        <v>0</v>
      </c>
      <c r="H28" s="476">
        <f>MIN(G28+H27,'Prop Info'!$B$6*$B$6)</f>
        <v>0</v>
      </c>
      <c r="I28" s="476">
        <f>MIN(H28+I27,'Prop Info'!$B$6*$B$6)</f>
        <v>0</v>
      </c>
      <c r="J28" s="476">
        <f>MIN(I28+J27,'Prop Info'!$B$6*$B$6)</f>
        <v>0</v>
      </c>
      <c r="K28" s="476">
        <f>MIN(J28+K27,'Prop Info'!$B$6*$B$6)</f>
        <v>0</v>
      </c>
      <c r="L28" s="476">
        <f>MIN(K28+L27,'Prop Info'!$B$6*$B$6)</f>
        <v>0</v>
      </c>
      <c r="M28" s="476">
        <f>MIN(L28+M27,'Prop Info'!$B$6*$B$6)</f>
        <v>0</v>
      </c>
      <c r="N28" s="476">
        <f>MIN(M28+N27,'Prop Info'!$B$6*$B$6)</f>
        <v>0</v>
      </c>
      <c r="O28" s="476">
        <f>MIN(N28+O27,'Prop Info'!$B$6*$B$6)</f>
        <v>0</v>
      </c>
      <c r="P28" s="476">
        <f>MIN(O28+P27,'Prop Info'!$B$6*$B$6)</f>
        <v>0</v>
      </c>
      <c r="Q28" s="476">
        <f>MIN(P28+Q27,'Prop Info'!$B$6*$B$6)</f>
        <v>0</v>
      </c>
      <c r="R28" s="476">
        <f>MIN(Q28+R27,'Prop Info'!$B$6*$B$6)</f>
        <v>0</v>
      </c>
      <c r="S28" s="476">
        <f>MIN(R28+S27,'Prop Info'!$B$6*$B$6)</f>
        <v>0</v>
      </c>
      <c r="T28" s="476">
        <f>MIN(S28+T27,'Prop Info'!$B$6*$B$6)</f>
        <v>0</v>
      </c>
      <c r="U28" s="476">
        <f>MIN(T28+U27,'Prop Info'!$B$6*$B$6)</f>
        <v>0</v>
      </c>
      <c r="V28" s="476">
        <f>MIN(U28+V27,'Prop Info'!$B$6*$B$6)</f>
        <v>0</v>
      </c>
      <c r="W28" s="476">
        <f>MIN(V28+W27,'Prop Info'!$B$6*$B$6)</f>
        <v>0</v>
      </c>
      <c r="X28" s="476">
        <f>MIN(W28+X27,'Prop Info'!$B$6*$B$6)</f>
        <v>0</v>
      </c>
      <c r="Y28" s="476">
        <f>MIN(X28+Y27,'Prop Info'!$B$6*$B$6)</f>
        <v>0</v>
      </c>
      <c r="Z28" s="476">
        <f>MIN(Y28+Z27,'Prop Info'!$B$6*$B$6)</f>
        <v>0</v>
      </c>
      <c r="AA28" s="476">
        <f>MIN(Z28+AA27,'Prop Info'!$B$6*$B$6)</f>
        <v>0</v>
      </c>
      <c r="AB28" s="476">
        <f>MIN(AA28+AB27,'Prop Info'!$B$6*$B$6)</f>
        <v>0</v>
      </c>
      <c r="AC28" s="476">
        <f>MIN(AB28+AC27,'Prop Info'!$B$6*$B$6)</f>
        <v>0</v>
      </c>
      <c r="AD28" s="476">
        <f>MIN(AC28+AD27,'Prop Info'!$B$6*$B$6)</f>
        <v>0</v>
      </c>
      <c r="AE28" s="476">
        <f>MIN(AD28+AE27,'Prop Info'!$B$6*$B$6)</f>
        <v>0</v>
      </c>
      <c r="AF28" s="476">
        <f>MIN(AE28+AF27,'Prop Info'!$B$6*$B$6)</f>
        <v>0</v>
      </c>
      <c r="AG28" s="476">
        <f>MIN(AF28+AG27,'Prop Info'!$B$6*$B$6)</f>
        <v>0</v>
      </c>
      <c r="AH28" s="476">
        <f>MIN(AG28+AH27,'Prop Info'!$B$6*$B$6)</f>
        <v>0</v>
      </c>
      <c r="AI28" s="476">
        <f>MIN(AH28+AI27,'Prop Info'!$B$6*$B$6)</f>
        <v>0</v>
      </c>
      <c r="AJ28" s="476">
        <f>MIN(AI28+AJ27,'Prop Info'!$B$6*$B$6)</f>
        <v>0</v>
      </c>
      <c r="AK28" s="476">
        <f>MIN(AJ28+AK27,'Prop Info'!$B$6*$B$6)</f>
        <v>0</v>
      </c>
      <c r="AL28" s="476">
        <f>MIN(AK28+AL27,'Prop Info'!$B$6*$B$6)</f>
        <v>0</v>
      </c>
    </row>
    <row r="29" spans="1:40" ht="15" customHeight="1" x14ac:dyDescent="0.2">
      <c r="A29" s="106" t="s">
        <v>889</v>
      </c>
      <c r="C29" s="109">
        <f>IFERROR(C28/'Prop Info'!$B$6,0)</f>
        <v>0</v>
      </c>
      <c r="D29" s="109">
        <f>IFERROR(D28/'Prop Info'!$B$6,0)</f>
        <v>0</v>
      </c>
      <c r="E29" s="109">
        <f>IFERROR(E28/'Prop Info'!$B$6,0)</f>
        <v>0</v>
      </c>
      <c r="F29" s="109">
        <f>IFERROR(F28/'Prop Info'!$B$6,0)</f>
        <v>0</v>
      </c>
      <c r="G29" s="109">
        <f>IFERROR(G28/'Prop Info'!$B$6,0)</f>
        <v>0</v>
      </c>
      <c r="H29" s="109">
        <f>IFERROR(H28/'Prop Info'!$B$6,0)</f>
        <v>0</v>
      </c>
      <c r="I29" s="109">
        <f>IFERROR(I28/'Prop Info'!$B$6,0)</f>
        <v>0</v>
      </c>
      <c r="J29" s="109">
        <f>IFERROR(J28/'Prop Info'!$B$6,0)</f>
        <v>0</v>
      </c>
      <c r="K29" s="109">
        <f>IFERROR(K28/'Prop Info'!$B$6,0)</f>
        <v>0</v>
      </c>
      <c r="L29" s="109">
        <f>IFERROR(L28/'Prop Info'!$B$6,0)</f>
        <v>0</v>
      </c>
      <c r="M29" s="109">
        <f>IFERROR(M28/'Prop Info'!$B$6,0)</f>
        <v>0</v>
      </c>
      <c r="N29" s="109">
        <f>IFERROR(N28/'Prop Info'!$B$6,0)</f>
        <v>0</v>
      </c>
      <c r="O29" s="109">
        <f>IFERROR(O28/'Prop Info'!$B$6,0)</f>
        <v>0</v>
      </c>
      <c r="P29" s="109">
        <f>IFERROR(P28/'Prop Info'!$B$6,0)</f>
        <v>0</v>
      </c>
      <c r="Q29" s="109">
        <f>IFERROR(Q28/'Prop Info'!$B$6,0)</f>
        <v>0</v>
      </c>
      <c r="R29" s="109">
        <f>IFERROR(R28/'Prop Info'!$B$6,0)</f>
        <v>0</v>
      </c>
      <c r="S29" s="109">
        <f>IFERROR(S28/'Prop Info'!$B$6,0)</f>
        <v>0</v>
      </c>
      <c r="T29" s="109">
        <f>IFERROR(T28/'Prop Info'!$B$6,0)</f>
        <v>0</v>
      </c>
      <c r="U29" s="109">
        <f>IFERROR(U28/'Prop Info'!$B$6,0)</f>
        <v>0</v>
      </c>
      <c r="V29" s="109">
        <f>IFERROR(V28/'Prop Info'!$B$6,0)</f>
        <v>0</v>
      </c>
      <c r="W29" s="109">
        <f>IFERROR(W28/'Prop Info'!$B$6,0)</f>
        <v>0</v>
      </c>
      <c r="X29" s="109">
        <f>IFERROR(X28/'Prop Info'!$B$6,0)</f>
        <v>0</v>
      </c>
      <c r="Y29" s="109">
        <f>IFERROR(Y28/'Prop Info'!$B$6,0)</f>
        <v>0</v>
      </c>
      <c r="Z29" s="109">
        <f>IFERROR(Z28/'Prop Info'!$B$6,0)</f>
        <v>0</v>
      </c>
      <c r="AA29" s="109">
        <f>IFERROR(AA28/'Prop Info'!$B$6,0)</f>
        <v>0</v>
      </c>
      <c r="AB29" s="109">
        <f>IFERROR(AB28/'Prop Info'!$B$6,0)</f>
        <v>0</v>
      </c>
      <c r="AC29" s="109">
        <f>IFERROR(AC28/'Prop Info'!$B$6,0)</f>
        <v>0</v>
      </c>
      <c r="AD29" s="109">
        <f>IFERROR(AD28/'Prop Info'!$B$6,0)</f>
        <v>0</v>
      </c>
      <c r="AE29" s="109">
        <f>IFERROR(AE28/'Prop Info'!$B$6,0)</f>
        <v>0</v>
      </c>
      <c r="AF29" s="109">
        <f>IFERROR(AF28/'Prop Info'!$B$6,0)</f>
        <v>0</v>
      </c>
      <c r="AG29" s="109">
        <f>IFERROR(AG28/'Prop Info'!$B$6,0)</f>
        <v>0</v>
      </c>
      <c r="AH29" s="109">
        <f>IFERROR(AH28/'Prop Info'!$B$6,0)</f>
        <v>0</v>
      </c>
      <c r="AI29" s="109">
        <f>IFERROR(AI28/'Prop Info'!$B$6,0)</f>
        <v>0</v>
      </c>
      <c r="AJ29" s="109">
        <f>IFERROR(AJ28/'Prop Info'!$B$6,0)</f>
        <v>0</v>
      </c>
      <c r="AK29" s="109">
        <f>IFERROR(AK28/'Prop Info'!$B$6,0)</f>
        <v>0</v>
      </c>
      <c r="AL29" s="109">
        <f>IFERROR(AL28/'Prop Info'!$B$6,0)</f>
        <v>0</v>
      </c>
    </row>
    <row r="30" spans="1:40" ht="15" customHeight="1" x14ac:dyDescent="0.2">
      <c r="A30" s="106" t="s">
        <v>1615</v>
      </c>
      <c r="C30" s="354">
        <f>MIN($B$14,77)</f>
        <v>77</v>
      </c>
      <c r="D30" s="354">
        <f t="shared" ref="D30:AL30" si="3">MIN(C30+$B$14,77)</f>
        <v>77</v>
      </c>
      <c r="E30" s="354">
        <f t="shared" si="3"/>
        <v>77</v>
      </c>
      <c r="F30" s="354">
        <f t="shared" si="3"/>
        <v>77</v>
      </c>
      <c r="G30" s="354">
        <f t="shared" si="3"/>
        <v>77</v>
      </c>
      <c r="H30" s="354">
        <f t="shared" si="3"/>
        <v>77</v>
      </c>
      <c r="I30" s="354">
        <f t="shared" si="3"/>
        <v>77</v>
      </c>
      <c r="J30" s="354">
        <f t="shared" si="3"/>
        <v>77</v>
      </c>
      <c r="K30" s="354">
        <f t="shared" si="3"/>
        <v>77</v>
      </c>
      <c r="L30" s="354">
        <f t="shared" si="3"/>
        <v>77</v>
      </c>
      <c r="M30" s="354">
        <f t="shared" si="3"/>
        <v>77</v>
      </c>
      <c r="N30" s="354">
        <f t="shared" si="3"/>
        <v>77</v>
      </c>
      <c r="O30" s="354">
        <f t="shared" si="3"/>
        <v>77</v>
      </c>
      <c r="P30" s="354">
        <f t="shared" si="3"/>
        <v>77</v>
      </c>
      <c r="Q30" s="354">
        <f t="shared" si="3"/>
        <v>77</v>
      </c>
      <c r="R30" s="354">
        <f t="shared" si="3"/>
        <v>77</v>
      </c>
      <c r="S30" s="354">
        <f t="shared" si="3"/>
        <v>77</v>
      </c>
      <c r="T30" s="354">
        <f t="shared" si="3"/>
        <v>77</v>
      </c>
      <c r="U30" s="354">
        <f t="shared" si="3"/>
        <v>77</v>
      </c>
      <c r="V30" s="354">
        <f t="shared" si="3"/>
        <v>77</v>
      </c>
      <c r="W30" s="354">
        <f t="shared" si="3"/>
        <v>77</v>
      </c>
      <c r="X30" s="354">
        <f t="shared" si="3"/>
        <v>77</v>
      </c>
      <c r="Y30" s="354">
        <f t="shared" si="3"/>
        <v>77</v>
      </c>
      <c r="Z30" s="354">
        <f t="shared" si="3"/>
        <v>77</v>
      </c>
      <c r="AA30" s="354">
        <f t="shared" si="3"/>
        <v>77</v>
      </c>
      <c r="AB30" s="354">
        <f t="shared" si="3"/>
        <v>77</v>
      </c>
      <c r="AC30" s="354">
        <f t="shared" si="3"/>
        <v>77</v>
      </c>
      <c r="AD30" s="354">
        <f t="shared" si="3"/>
        <v>77</v>
      </c>
      <c r="AE30" s="354">
        <f t="shared" si="3"/>
        <v>77</v>
      </c>
      <c r="AF30" s="354">
        <f t="shared" si="3"/>
        <v>77</v>
      </c>
      <c r="AG30" s="354">
        <f t="shared" si="3"/>
        <v>77</v>
      </c>
      <c r="AH30" s="354">
        <f t="shared" si="3"/>
        <v>77</v>
      </c>
      <c r="AI30" s="354">
        <f t="shared" si="3"/>
        <v>77</v>
      </c>
      <c r="AJ30" s="354">
        <f t="shared" si="3"/>
        <v>77</v>
      </c>
      <c r="AK30" s="354">
        <f t="shared" si="3"/>
        <v>77</v>
      </c>
      <c r="AL30" s="354">
        <f t="shared" si="3"/>
        <v>77</v>
      </c>
    </row>
    <row r="31" spans="1:40" ht="15" customHeight="1" x14ac:dyDescent="0.2">
      <c r="A31" s="106" t="s">
        <v>1616</v>
      </c>
      <c r="C31" s="355">
        <f>IF(1&gt;=$B$12,$B$11,$B$10+(($B$11-$B$10)/$B$12)*1)</f>
        <v>0</v>
      </c>
      <c r="D31" s="355">
        <f>IF(2&gt;=$B$12,$B$11,$B$10+(($B$11-$B$10)/$B$12)*2)</f>
        <v>0</v>
      </c>
      <c r="E31" s="355">
        <f>IF(3&gt;=$B$12,$B$11,$B$10+(($B$11-$B$10)/$B$12)*3)</f>
        <v>0</v>
      </c>
      <c r="F31" s="355">
        <f>IF(4&gt;=$B$12,$B$11,$B$10+(($B$11-$B$10)/$B$12)*4)</f>
        <v>0</v>
      </c>
      <c r="G31" s="355">
        <f>IF(5&gt;=$B$12,$B$11,$B$10+(($B$11-$B$10)/$B$12)*5)</f>
        <v>0</v>
      </c>
      <c r="H31" s="355">
        <f>IF(6&gt;=$B$12,$B$11,$B$10+(($B$11-$B$10)/$B$12)*6)</f>
        <v>0</v>
      </c>
      <c r="I31" s="355">
        <f>IF(7&gt;=$B$12,$B$11,$B$10+(($B$11-$B$10)/$B$12)*7)</f>
        <v>0</v>
      </c>
      <c r="J31" s="355">
        <f>IF(8&gt;=$B$12,$B$11,$B$10+(($B$11-$B$10)/$B$12)*8)</f>
        <v>0</v>
      </c>
      <c r="K31" s="355">
        <f>IF(9&gt;=$B$12,$B$11,$B$10+(($B$11-$B$10)/$B$12)*9)</f>
        <v>0</v>
      </c>
      <c r="L31" s="355">
        <f>IF(10&gt;=$B$12,$B$11,$B$10+(($B$11-$B$10)/$B$12)*10)</f>
        <v>0</v>
      </c>
      <c r="M31" s="355">
        <f>IF(11&gt;=$B$12,$B$11,$B$10+(($B$11-$B$10)/$B$12)*11)</f>
        <v>0</v>
      </c>
      <c r="N31" s="355">
        <f>IF(12&gt;=$B$12,$B$11,$B$10+(($B$11-$B$10)/$B$12)*12)</f>
        <v>0</v>
      </c>
      <c r="O31" s="355">
        <f>IF(13&gt;=$B$12,$B$11,$B$10+(($B$11-$B$10)/$B$12)*13)</f>
        <v>0</v>
      </c>
      <c r="P31" s="355">
        <f>IF(14&gt;=$B$12,$B$11,$B$10+(($B$11-$B$10)/$B$12)*14)</f>
        <v>0</v>
      </c>
      <c r="Q31" s="355">
        <f>IF(15&gt;=$B$12,$B$11,$B$10+(($B$11-$B$10)/$B$12)*15)</f>
        <v>0</v>
      </c>
      <c r="R31" s="355">
        <f>IF(16&gt;=$B$12,$B$11,$B$10+(($B$11-$B$10)/$B$12)*16)</f>
        <v>0</v>
      </c>
      <c r="S31" s="355">
        <f>IF(17&gt;=$B$12,$B$11,$B$10+(($B$11-$B$10)/$B$12)*17)</f>
        <v>0</v>
      </c>
      <c r="T31" s="355">
        <f>IF(18&gt;=$B$12,$B$11,$B$10+(($B$11-$B$10)/$B$12)*18)</f>
        <v>0</v>
      </c>
      <c r="U31" s="355">
        <f>IF(19&gt;=$B$12,$B$11,$B$10+(($B$11-$B$10)/$B$12)*19)</f>
        <v>0</v>
      </c>
      <c r="V31" s="355">
        <f>IF(20&gt;=$B$12,$B$11,$B$10+(($B$11-$B$10)/$B$12)*20)</f>
        <v>0</v>
      </c>
      <c r="W31" s="355">
        <f>IF(21&gt;=$B$12,$B$11,$B$10+(($B$11-$B$10)/$B$12)*21)</f>
        <v>0</v>
      </c>
      <c r="X31" s="355">
        <f>IF(22&gt;=$B$12,$B$11,$B$10+(($B$11-$B$10)/$B$12)*22)</f>
        <v>0</v>
      </c>
      <c r="Y31" s="355">
        <f>IF(23&gt;=$B$12,$B$11,$B$10+(($B$11-$B$10)/$B$12)*23)</f>
        <v>0</v>
      </c>
      <c r="Z31" s="355">
        <f>IF(24&gt;=$B$12,$B$11,$B$10+(($B$11-$B$10)/$B$12)*24)</f>
        <v>0</v>
      </c>
      <c r="AA31" s="355">
        <f>IF(25&gt;=$B$12,$B$11,$B$10+(($B$11-$B$10)/$B$12)*25)</f>
        <v>0</v>
      </c>
      <c r="AB31" s="355">
        <f>IF(26&gt;=$B$12,$B$11,$B$10+(($B$11-$B$10)/$B$12)*26)</f>
        <v>0</v>
      </c>
      <c r="AC31" s="355">
        <f>IF(27&gt;=$B$12,$B$11,$B$10+(($B$11-$B$10)/$B$12)*27)</f>
        <v>0</v>
      </c>
      <c r="AD31" s="355">
        <f>IF(28&gt;=$B$12,$B$11,$B$10+(($B$11-$B$10)/$B$12)*28)</f>
        <v>0</v>
      </c>
      <c r="AE31" s="355">
        <f>IF(29&gt;=$B$12,$B$11,$B$10+(($B$11-$B$10)/$B$12)*29)</f>
        <v>0</v>
      </c>
      <c r="AF31" s="355">
        <f>IF(30&gt;=$B$12,$B$11,$B$10+(($B$11-$B$10)/$B$12)*30)</f>
        <v>0</v>
      </c>
      <c r="AG31" s="355">
        <f>IF(31&gt;=$B$12,$B$11,$B$10+(($B$11-$B$10)/$B$12)*31)</f>
        <v>0</v>
      </c>
      <c r="AH31" s="355">
        <f>IF(32&gt;=$B$12,$B$11,$B$10+(($B$11-$B$10)/$B$12)*32)</f>
        <v>0</v>
      </c>
      <c r="AI31" s="355">
        <f>IF(33&gt;=$B$12,$B$11,$B$10+(($B$11-$B$10)/$B$12)*33)</f>
        <v>0</v>
      </c>
      <c r="AJ31" s="355">
        <f>IF(34&gt;=$B$12,$B$11,$B$10+(($B$11-$B$10)/$B$12)*34)</f>
        <v>0</v>
      </c>
      <c r="AK31" s="355">
        <f>IF(35&gt;=$B$12,$B$11,$B$10+(($B$11-$B$10)/$B$12)*35)</f>
        <v>0</v>
      </c>
      <c r="AL31" s="355">
        <f>IF(36&gt;=$B$12,$B$11,$B$10+(($B$11-$B$10)/$B$12)*36)</f>
        <v>0</v>
      </c>
    </row>
    <row r="32" spans="1:40" ht="15" customHeight="1" x14ac:dyDescent="0.2">
      <c r="A32" s="106" t="s">
        <v>1617</v>
      </c>
      <c r="B32" s="286">
        <f>SUM(C32:AL32)</f>
        <v>0</v>
      </c>
      <c r="C32" s="256">
        <f t="shared" ref="C32:AL32" si="4">C28*C31</f>
        <v>0</v>
      </c>
      <c r="D32" s="256">
        <f t="shared" si="4"/>
        <v>0</v>
      </c>
      <c r="E32" s="256">
        <f t="shared" si="4"/>
        <v>0</v>
      </c>
      <c r="F32" s="256">
        <f t="shared" si="4"/>
        <v>0</v>
      </c>
      <c r="G32" s="256">
        <f t="shared" si="4"/>
        <v>0</v>
      </c>
      <c r="H32" s="256">
        <f t="shared" si="4"/>
        <v>0</v>
      </c>
      <c r="I32" s="256">
        <f t="shared" si="4"/>
        <v>0</v>
      </c>
      <c r="J32" s="256">
        <f t="shared" si="4"/>
        <v>0</v>
      </c>
      <c r="K32" s="256">
        <f t="shared" si="4"/>
        <v>0</v>
      </c>
      <c r="L32" s="256">
        <f t="shared" si="4"/>
        <v>0</v>
      </c>
      <c r="M32" s="256">
        <f t="shared" si="4"/>
        <v>0</v>
      </c>
      <c r="N32" s="256">
        <f t="shared" si="4"/>
        <v>0</v>
      </c>
      <c r="O32" s="256">
        <f t="shared" si="4"/>
        <v>0</v>
      </c>
      <c r="P32" s="256">
        <f t="shared" si="4"/>
        <v>0</v>
      </c>
      <c r="Q32" s="256">
        <f t="shared" si="4"/>
        <v>0</v>
      </c>
      <c r="R32" s="256">
        <f t="shared" si="4"/>
        <v>0</v>
      </c>
      <c r="S32" s="256">
        <f t="shared" si="4"/>
        <v>0</v>
      </c>
      <c r="T32" s="256">
        <f t="shared" si="4"/>
        <v>0</v>
      </c>
      <c r="U32" s="256">
        <f t="shared" si="4"/>
        <v>0</v>
      </c>
      <c r="V32" s="256">
        <f t="shared" si="4"/>
        <v>0</v>
      </c>
      <c r="W32" s="256">
        <f t="shared" si="4"/>
        <v>0</v>
      </c>
      <c r="X32" s="256">
        <f t="shared" si="4"/>
        <v>0</v>
      </c>
      <c r="Y32" s="256">
        <f t="shared" si="4"/>
        <v>0</v>
      </c>
      <c r="Z32" s="256">
        <f t="shared" si="4"/>
        <v>0</v>
      </c>
      <c r="AA32" s="256">
        <f t="shared" si="4"/>
        <v>0</v>
      </c>
      <c r="AB32" s="256">
        <f t="shared" si="4"/>
        <v>0</v>
      </c>
      <c r="AC32" s="256">
        <f t="shared" si="4"/>
        <v>0</v>
      </c>
      <c r="AD32" s="256">
        <f t="shared" si="4"/>
        <v>0</v>
      </c>
      <c r="AE32" s="256">
        <f t="shared" si="4"/>
        <v>0</v>
      </c>
      <c r="AF32" s="256">
        <f t="shared" si="4"/>
        <v>0</v>
      </c>
      <c r="AG32" s="256">
        <f t="shared" si="4"/>
        <v>0</v>
      </c>
      <c r="AH32" s="256">
        <f t="shared" si="4"/>
        <v>0</v>
      </c>
      <c r="AI32" s="256">
        <f t="shared" si="4"/>
        <v>0</v>
      </c>
      <c r="AJ32" s="256">
        <f t="shared" si="4"/>
        <v>0</v>
      </c>
      <c r="AK32" s="256">
        <f t="shared" si="4"/>
        <v>0</v>
      </c>
      <c r="AL32" s="256">
        <f t="shared" si="4"/>
        <v>0</v>
      </c>
    </row>
    <row r="33" spans="1:40" ht="15" customHeight="1" x14ac:dyDescent="0.2">
      <c r="A33" s="106" t="s">
        <v>1618</v>
      </c>
      <c r="C33" s="252">
        <f>IF(1&gt;=$B$20,$B$16,$B$15-(($B$15-$B$16)/$B$20)*1)</f>
        <v>0</v>
      </c>
      <c r="D33" s="252">
        <f>IF(2&gt;=$B$20,$B$16,$B$15-(($B$15-$B$16)/$B$20)*2)</f>
        <v>0</v>
      </c>
      <c r="E33" s="252">
        <f>IF(3&gt;=$B$20,$B$16,$B$15-(($B$15-$B$16)/$B$20)*3)</f>
        <v>0</v>
      </c>
      <c r="F33" s="252">
        <f>IF(4&gt;=$B$20,$B$16,$B$15-(($B$15-$B$16)/$B$20)*4)</f>
        <v>0</v>
      </c>
      <c r="G33" s="252">
        <f>IF(5&gt;=$B$20,$B$16,$B$15-(($B$15-$B$16)/$B$20)*5)</f>
        <v>0</v>
      </c>
      <c r="H33" s="252">
        <f>IF(6&gt;=$B$20,$B$16,$B$15-(($B$15-$B$16)/$B$20)*6)</f>
        <v>0</v>
      </c>
      <c r="I33" s="252">
        <f>IF(7&gt;=$B$20,$B$16,$B$15-(($B$15-$B$16)/$B$20)*7)</f>
        <v>0</v>
      </c>
      <c r="J33" s="252">
        <f>IF(8&gt;=$B$20,$B$16,$B$15-(($B$15-$B$16)/$B$20)*8)</f>
        <v>0</v>
      </c>
      <c r="K33" s="252">
        <f>IF(9&gt;=$B$20,$B$16,$B$15-(($B$15-$B$16)/$B$20)*9)</f>
        <v>0</v>
      </c>
      <c r="L33" s="252">
        <f>IF(10&gt;=$B$20,$B$16,$B$15-(($B$15-$B$16)/$B$20)*10)</f>
        <v>0</v>
      </c>
      <c r="M33" s="252">
        <f>IF(11&gt;=$B$20,$B$16,$B$15-(($B$15-$B$16)/$B$20)*11)</f>
        <v>0</v>
      </c>
      <c r="N33" s="252">
        <f>IF(12&gt;=$B$20,$B$16,$B$15-(($B$15-$B$16)/$B$20)*12)</f>
        <v>0</v>
      </c>
      <c r="O33" s="252">
        <f>IF(13&gt;=$B$20,$B$16,$B$15-(($B$15-$B$16)/$B$20)*13)</f>
        <v>0</v>
      </c>
      <c r="P33" s="252">
        <f>IF(14&gt;=$B$20,$B$16,$B$15-(($B$15-$B$16)/$B$20)*14)</f>
        <v>0</v>
      </c>
      <c r="Q33" s="252">
        <f>IF(15&gt;=$B$20,$B$16,$B$15-(($B$15-$B$16)/$B$20)*15)</f>
        <v>0</v>
      </c>
      <c r="R33" s="252">
        <f>IF(16&gt;=$B$20,$B$16,$B$15-(($B$15-$B$16)/$B$20)*16)</f>
        <v>0</v>
      </c>
      <c r="S33" s="252">
        <f>IF(17&gt;=$B$20,$B$16,$B$15-(($B$15-$B$16)/$B$20)*17)</f>
        <v>0</v>
      </c>
      <c r="T33" s="252">
        <f>IF(18&gt;=$B$20,$B$16,$B$15-(($B$15-$B$16)/$B$20)*18)</f>
        <v>0</v>
      </c>
      <c r="U33" s="252">
        <f>IF(19&gt;=$B$20,$B$16,$B$15-(($B$15-$B$16)/$B$20)*19)</f>
        <v>0</v>
      </c>
      <c r="V33" s="252">
        <f>IF(20&gt;=$B$20,$B$16,$B$15-(($B$15-$B$16)/$B$20)*20)</f>
        <v>0</v>
      </c>
      <c r="W33" s="252">
        <f>IF(21&gt;=$B$20,$B$16,$B$15-(($B$15-$B$16)/$B$20)*21)</f>
        <v>0</v>
      </c>
      <c r="X33" s="252">
        <f>IF(22&gt;=$B$20,$B$16,$B$15-(($B$15-$B$16)/$B$20)*22)</f>
        <v>0</v>
      </c>
      <c r="Y33" s="252">
        <f>IF(23&gt;=$B$20,$B$16,$B$15-(($B$15-$B$16)/$B$20)*23)</f>
        <v>0</v>
      </c>
      <c r="Z33" s="252">
        <f>IF(24&gt;=$B$20,$B$16,$B$15-(($B$15-$B$16)/$B$20)*24)</f>
        <v>0</v>
      </c>
      <c r="AA33" s="252">
        <f>IF(25&gt;=$B$20,$B$16,$B$15-(($B$15-$B$16)/$B$20)*25)</f>
        <v>0</v>
      </c>
      <c r="AB33" s="252">
        <f>IF(26&gt;=$B$20,$B$16,$B$15-(($B$15-$B$16)/$B$20)*26)</f>
        <v>0</v>
      </c>
      <c r="AC33" s="252">
        <f>IF(27&gt;=$B$20,$B$16,$B$15-(($B$15-$B$16)/$B$20)*27)</f>
        <v>0</v>
      </c>
      <c r="AD33" s="252">
        <f>IF(28&gt;=$B$20,$B$16,$B$15-(($B$15-$B$16)/$B$20)*28)</f>
        <v>0</v>
      </c>
      <c r="AE33" s="252">
        <f>IF(29&gt;=$B$20,$B$16,$B$15-(($B$15-$B$16)/$B$20)*29)</f>
        <v>0</v>
      </c>
      <c r="AF33" s="252">
        <f>IF(30&gt;=$B$20,$B$16,$B$15-(($B$15-$B$16)/$B$20)*30)</f>
        <v>0</v>
      </c>
      <c r="AG33" s="252">
        <f>IF(31&gt;=$B$20,$B$16,$B$15-(($B$15-$B$16)/$B$20)*31)</f>
        <v>0</v>
      </c>
      <c r="AH33" s="252">
        <f>IF(32&gt;=$B$20,$B$16,$B$15-(($B$15-$B$16)/$B$20)*32)</f>
        <v>0</v>
      </c>
      <c r="AI33" s="252">
        <f>IF(33&gt;=$B$20,$B$16,$B$15-(($B$15-$B$16)/$B$20)*33)</f>
        <v>0</v>
      </c>
      <c r="AJ33" s="252">
        <f>IF(34&gt;=$B$20,$B$16,$B$15-(($B$15-$B$16)/$B$20)*34)</f>
        <v>0</v>
      </c>
      <c r="AK33" s="252">
        <f>IF(35&gt;=$B$20,$B$16,$B$15-(($B$15-$B$16)/$B$20)*35)</f>
        <v>0</v>
      </c>
      <c r="AL33" s="252">
        <f>IF(36&gt;=$B$20,$B$16,$B$15-(($B$15-$B$16)/$B$20)*36)</f>
        <v>0</v>
      </c>
    </row>
    <row r="34" spans="1:40" ht="15" customHeight="1" x14ac:dyDescent="0.2">
      <c r="A34" s="106" t="s">
        <v>1619</v>
      </c>
      <c r="C34" s="256">
        <f t="shared" ref="C34:AL34" si="5">C27*$B$17</f>
        <v>0</v>
      </c>
      <c r="D34" s="256">
        <f t="shared" si="5"/>
        <v>0</v>
      </c>
      <c r="E34" s="256">
        <f t="shared" si="5"/>
        <v>0</v>
      </c>
      <c r="F34" s="256">
        <f t="shared" si="5"/>
        <v>0</v>
      </c>
      <c r="G34" s="256">
        <f t="shared" si="5"/>
        <v>0</v>
      </c>
      <c r="H34" s="256">
        <f t="shared" si="5"/>
        <v>0</v>
      </c>
      <c r="I34" s="256">
        <f t="shared" si="5"/>
        <v>0</v>
      </c>
      <c r="J34" s="256">
        <f t="shared" si="5"/>
        <v>0</v>
      </c>
      <c r="K34" s="256">
        <f t="shared" si="5"/>
        <v>0</v>
      </c>
      <c r="L34" s="256">
        <f t="shared" si="5"/>
        <v>0</v>
      </c>
      <c r="M34" s="256">
        <f t="shared" si="5"/>
        <v>0</v>
      </c>
      <c r="N34" s="256">
        <f t="shared" si="5"/>
        <v>0</v>
      </c>
      <c r="O34" s="256">
        <f t="shared" si="5"/>
        <v>0</v>
      </c>
      <c r="P34" s="256">
        <f t="shared" si="5"/>
        <v>0</v>
      </c>
      <c r="Q34" s="256">
        <f t="shared" si="5"/>
        <v>0</v>
      </c>
      <c r="R34" s="256">
        <f t="shared" si="5"/>
        <v>0</v>
      </c>
      <c r="S34" s="256">
        <f t="shared" si="5"/>
        <v>0</v>
      </c>
      <c r="T34" s="256">
        <f t="shared" si="5"/>
        <v>0</v>
      </c>
      <c r="U34" s="256">
        <f t="shared" si="5"/>
        <v>0</v>
      </c>
      <c r="V34" s="256">
        <f t="shared" si="5"/>
        <v>0</v>
      </c>
      <c r="W34" s="256">
        <f t="shared" si="5"/>
        <v>0</v>
      </c>
      <c r="X34" s="256">
        <f t="shared" si="5"/>
        <v>0</v>
      </c>
      <c r="Y34" s="256">
        <f t="shared" si="5"/>
        <v>0</v>
      </c>
      <c r="Z34" s="256">
        <f t="shared" si="5"/>
        <v>0</v>
      </c>
      <c r="AA34" s="256">
        <f t="shared" si="5"/>
        <v>0</v>
      </c>
      <c r="AB34" s="256">
        <f t="shared" si="5"/>
        <v>0</v>
      </c>
      <c r="AC34" s="256">
        <f t="shared" si="5"/>
        <v>0</v>
      </c>
      <c r="AD34" s="256">
        <f t="shared" si="5"/>
        <v>0</v>
      </c>
      <c r="AE34" s="256">
        <f t="shared" si="5"/>
        <v>0</v>
      </c>
      <c r="AF34" s="256">
        <f t="shared" si="5"/>
        <v>0</v>
      </c>
      <c r="AG34" s="256">
        <f t="shared" si="5"/>
        <v>0</v>
      </c>
      <c r="AH34" s="256">
        <f t="shared" si="5"/>
        <v>0</v>
      </c>
      <c r="AI34" s="256">
        <f t="shared" si="5"/>
        <v>0</v>
      </c>
      <c r="AJ34" s="256">
        <f t="shared" si="5"/>
        <v>0</v>
      </c>
      <c r="AK34" s="256">
        <f t="shared" si="5"/>
        <v>0</v>
      </c>
      <c r="AL34" s="256">
        <f t="shared" si="5"/>
        <v>0</v>
      </c>
    </row>
    <row r="35" spans="1:40" ht="15" customHeight="1" x14ac:dyDescent="0.2">
      <c r="A35" s="112" t="s">
        <v>1620</v>
      </c>
      <c r="B35" s="286">
        <f>SUM(C35:AL35)</f>
        <v>0</v>
      </c>
      <c r="C35" s="286">
        <f t="shared" ref="C35:AL35" si="6">C32*(1-C33)-C34</f>
        <v>0</v>
      </c>
      <c r="D35" s="286">
        <f t="shared" si="6"/>
        <v>0</v>
      </c>
      <c r="E35" s="286">
        <f t="shared" si="6"/>
        <v>0</v>
      </c>
      <c r="F35" s="286">
        <f t="shared" si="6"/>
        <v>0</v>
      </c>
      <c r="G35" s="286">
        <f t="shared" si="6"/>
        <v>0</v>
      </c>
      <c r="H35" s="286">
        <f t="shared" si="6"/>
        <v>0</v>
      </c>
      <c r="I35" s="286">
        <f t="shared" si="6"/>
        <v>0</v>
      </c>
      <c r="J35" s="286">
        <f t="shared" si="6"/>
        <v>0</v>
      </c>
      <c r="K35" s="286">
        <f t="shared" si="6"/>
        <v>0</v>
      </c>
      <c r="L35" s="286">
        <f t="shared" si="6"/>
        <v>0</v>
      </c>
      <c r="M35" s="286">
        <f t="shared" si="6"/>
        <v>0</v>
      </c>
      <c r="N35" s="286">
        <f t="shared" si="6"/>
        <v>0</v>
      </c>
      <c r="O35" s="286">
        <f t="shared" si="6"/>
        <v>0</v>
      </c>
      <c r="P35" s="286">
        <f t="shared" si="6"/>
        <v>0</v>
      </c>
      <c r="Q35" s="286">
        <f t="shared" si="6"/>
        <v>0</v>
      </c>
      <c r="R35" s="286">
        <f t="shared" si="6"/>
        <v>0</v>
      </c>
      <c r="S35" s="286">
        <f t="shared" si="6"/>
        <v>0</v>
      </c>
      <c r="T35" s="286">
        <f t="shared" si="6"/>
        <v>0</v>
      </c>
      <c r="U35" s="286">
        <f t="shared" si="6"/>
        <v>0</v>
      </c>
      <c r="V35" s="286">
        <f t="shared" si="6"/>
        <v>0</v>
      </c>
      <c r="W35" s="286">
        <f t="shared" si="6"/>
        <v>0</v>
      </c>
      <c r="X35" s="286">
        <f t="shared" si="6"/>
        <v>0</v>
      </c>
      <c r="Y35" s="286">
        <f t="shared" si="6"/>
        <v>0</v>
      </c>
      <c r="Z35" s="286">
        <f t="shared" si="6"/>
        <v>0</v>
      </c>
      <c r="AA35" s="286">
        <f t="shared" si="6"/>
        <v>0</v>
      </c>
      <c r="AB35" s="286">
        <f t="shared" si="6"/>
        <v>0</v>
      </c>
      <c r="AC35" s="286">
        <f t="shared" si="6"/>
        <v>0</v>
      </c>
      <c r="AD35" s="286">
        <f t="shared" si="6"/>
        <v>0</v>
      </c>
      <c r="AE35" s="286">
        <f t="shared" si="6"/>
        <v>0</v>
      </c>
      <c r="AF35" s="286">
        <f t="shared" si="6"/>
        <v>0</v>
      </c>
      <c r="AG35" s="286">
        <f t="shared" si="6"/>
        <v>0</v>
      </c>
      <c r="AH35" s="286">
        <f t="shared" si="6"/>
        <v>0</v>
      </c>
      <c r="AI35" s="286">
        <f t="shared" si="6"/>
        <v>0</v>
      </c>
      <c r="AJ35" s="286">
        <f t="shared" si="6"/>
        <v>0</v>
      </c>
      <c r="AK35" s="286">
        <f t="shared" si="6"/>
        <v>0</v>
      </c>
      <c r="AL35" s="286">
        <f t="shared" si="6"/>
        <v>0</v>
      </c>
    </row>
    <row r="36" spans="1:40" ht="15" customHeight="1" x14ac:dyDescent="0.2">
      <c r="A36" s="106" t="s">
        <v>1621</v>
      </c>
      <c r="B36" s="286">
        <f>SUM(C36:AL36)</f>
        <v>0</v>
      </c>
      <c r="C36" s="110">
        <f>Scenarios!$F$49/12</f>
        <v>0</v>
      </c>
      <c r="D36" s="110">
        <f>Scenarios!$F$49/12</f>
        <v>0</v>
      </c>
      <c r="E36" s="110">
        <f>Scenarios!$F$49/12</f>
        <v>0</v>
      </c>
      <c r="F36" s="110">
        <f>Scenarios!$F$49/12</f>
        <v>0</v>
      </c>
      <c r="G36" s="110">
        <f>Scenarios!$F$49/12</f>
        <v>0</v>
      </c>
      <c r="H36" s="110">
        <f>Scenarios!$F$49/12</f>
        <v>0</v>
      </c>
      <c r="I36" s="110">
        <f>Scenarios!$F$49/12</f>
        <v>0</v>
      </c>
      <c r="J36" s="110">
        <f>Scenarios!$F$49/12</f>
        <v>0</v>
      </c>
      <c r="K36" s="110">
        <f>Scenarios!$F$49/12</f>
        <v>0</v>
      </c>
      <c r="L36" s="110">
        <f>Scenarios!$F$49/12</f>
        <v>0</v>
      </c>
      <c r="M36" s="110">
        <f>Scenarios!$F$49/12</f>
        <v>0</v>
      </c>
      <c r="N36" s="110">
        <f>Scenarios!$F$49/12</f>
        <v>0</v>
      </c>
      <c r="O36" s="110">
        <f>Scenarios!$F$49/12</f>
        <v>0</v>
      </c>
      <c r="P36" s="110">
        <f>Scenarios!$F$49/12</f>
        <v>0</v>
      </c>
      <c r="Q36" s="110">
        <f>Scenarios!$F$49/12</f>
        <v>0</v>
      </c>
      <c r="R36" s="110">
        <f>Scenarios!$F$49/12</f>
        <v>0</v>
      </c>
      <c r="S36" s="110">
        <f>Scenarios!$F$49/12</f>
        <v>0</v>
      </c>
      <c r="T36" s="110">
        <f>Scenarios!$F$49/12</f>
        <v>0</v>
      </c>
      <c r="U36" s="110">
        <f>Scenarios!$F$49/12</f>
        <v>0</v>
      </c>
      <c r="V36" s="110">
        <f>Scenarios!$F$49/12</f>
        <v>0</v>
      </c>
      <c r="W36" s="110">
        <f>Scenarios!$F$49/12</f>
        <v>0</v>
      </c>
      <c r="X36" s="110">
        <f>Scenarios!$F$49/12</f>
        <v>0</v>
      </c>
      <c r="Y36" s="110">
        <f>Scenarios!$F$49/12</f>
        <v>0</v>
      </c>
      <c r="Z36" s="110">
        <f>Scenarios!$F$49/12</f>
        <v>0</v>
      </c>
      <c r="AA36" s="110">
        <f>Scenarios!$F$49/12</f>
        <v>0</v>
      </c>
      <c r="AB36" s="110">
        <f>Scenarios!$F$49/12</f>
        <v>0</v>
      </c>
      <c r="AC36" s="110">
        <f>Scenarios!$F$49/12</f>
        <v>0</v>
      </c>
      <c r="AD36" s="110">
        <f>Scenarios!$F$49/12</f>
        <v>0</v>
      </c>
      <c r="AE36" s="110">
        <f>Scenarios!$F$49/12</f>
        <v>0</v>
      </c>
      <c r="AF36" s="110">
        <f>Scenarios!$F$49/12</f>
        <v>0</v>
      </c>
      <c r="AG36" s="110">
        <f>Scenarios!$F$49/12</f>
        <v>0</v>
      </c>
      <c r="AH36" s="110">
        <f>Scenarios!$F$49/12</f>
        <v>0</v>
      </c>
      <c r="AI36" s="110">
        <f>Scenarios!$F$49/12</f>
        <v>0</v>
      </c>
      <c r="AJ36" s="110">
        <f>Scenarios!$F$49/12</f>
        <v>0</v>
      </c>
      <c r="AK36" s="110">
        <f>Scenarios!$F$49/12</f>
        <v>0</v>
      </c>
      <c r="AL36" s="110">
        <f>Scenarios!$F$49/12</f>
        <v>0</v>
      </c>
    </row>
    <row r="37" spans="1:40" ht="15" customHeight="1" x14ac:dyDescent="0.2">
      <c r="A37" s="112" t="s">
        <v>1622</v>
      </c>
      <c r="B37" s="291">
        <f>SUM(C37:AL37)</f>
        <v>0</v>
      </c>
      <c r="C37" s="291">
        <f t="shared" ref="C37:AL37" si="7">C35+C36</f>
        <v>0</v>
      </c>
      <c r="D37" s="291">
        <f t="shared" si="7"/>
        <v>0</v>
      </c>
      <c r="E37" s="291">
        <f t="shared" si="7"/>
        <v>0</v>
      </c>
      <c r="F37" s="291">
        <f t="shared" si="7"/>
        <v>0</v>
      </c>
      <c r="G37" s="291">
        <f t="shared" si="7"/>
        <v>0</v>
      </c>
      <c r="H37" s="291">
        <f t="shared" si="7"/>
        <v>0</v>
      </c>
      <c r="I37" s="291">
        <f t="shared" si="7"/>
        <v>0</v>
      </c>
      <c r="J37" s="291">
        <f t="shared" si="7"/>
        <v>0</v>
      </c>
      <c r="K37" s="291">
        <f t="shared" si="7"/>
        <v>0</v>
      </c>
      <c r="L37" s="291">
        <f t="shared" si="7"/>
        <v>0</v>
      </c>
      <c r="M37" s="291">
        <f t="shared" si="7"/>
        <v>0</v>
      </c>
      <c r="N37" s="291">
        <f t="shared" si="7"/>
        <v>0</v>
      </c>
      <c r="O37" s="291">
        <f t="shared" si="7"/>
        <v>0</v>
      </c>
      <c r="P37" s="291">
        <f t="shared" si="7"/>
        <v>0</v>
      </c>
      <c r="Q37" s="291">
        <f t="shared" si="7"/>
        <v>0</v>
      </c>
      <c r="R37" s="291">
        <f t="shared" si="7"/>
        <v>0</v>
      </c>
      <c r="S37" s="291">
        <f t="shared" si="7"/>
        <v>0</v>
      </c>
      <c r="T37" s="291">
        <f t="shared" si="7"/>
        <v>0</v>
      </c>
      <c r="U37" s="291">
        <f t="shared" si="7"/>
        <v>0</v>
      </c>
      <c r="V37" s="291">
        <f t="shared" si="7"/>
        <v>0</v>
      </c>
      <c r="W37" s="291">
        <f t="shared" si="7"/>
        <v>0</v>
      </c>
      <c r="X37" s="291">
        <f t="shared" si="7"/>
        <v>0</v>
      </c>
      <c r="Y37" s="291">
        <f t="shared" si="7"/>
        <v>0</v>
      </c>
      <c r="Z37" s="291">
        <f t="shared" si="7"/>
        <v>0</v>
      </c>
      <c r="AA37" s="291">
        <f t="shared" si="7"/>
        <v>0</v>
      </c>
      <c r="AB37" s="291">
        <f t="shared" si="7"/>
        <v>0</v>
      </c>
      <c r="AC37" s="291">
        <f t="shared" si="7"/>
        <v>0</v>
      </c>
      <c r="AD37" s="291">
        <f t="shared" si="7"/>
        <v>0</v>
      </c>
      <c r="AE37" s="291">
        <f t="shared" si="7"/>
        <v>0</v>
      </c>
      <c r="AF37" s="291">
        <f t="shared" si="7"/>
        <v>0</v>
      </c>
      <c r="AG37" s="291">
        <f t="shared" si="7"/>
        <v>0</v>
      </c>
      <c r="AH37" s="291">
        <f t="shared" si="7"/>
        <v>0</v>
      </c>
      <c r="AI37" s="291">
        <f t="shared" si="7"/>
        <v>0</v>
      </c>
      <c r="AJ37" s="291">
        <f t="shared" si="7"/>
        <v>0</v>
      </c>
      <c r="AK37" s="291">
        <f t="shared" si="7"/>
        <v>0</v>
      </c>
      <c r="AL37" s="291">
        <f t="shared" si="7"/>
        <v>0</v>
      </c>
    </row>
    <row r="39" spans="1:40" ht="21.75" customHeight="1" x14ac:dyDescent="0.2">
      <c r="A39" s="934" t="s">
        <v>1623</v>
      </c>
      <c r="B39" s="934"/>
      <c r="C39" s="934"/>
      <c r="D39" s="934"/>
      <c r="E39" s="934"/>
      <c r="F39" s="934"/>
      <c r="G39" s="934"/>
      <c r="H39" s="934"/>
      <c r="I39" s="934"/>
      <c r="J39" s="934"/>
      <c r="K39" s="934"/>
      <c r="L39" s="934"/>
      <c r="M39" s="934"/>
      <c r="N39" s="934"/>
      <c r="O39" s="934"/>
      <c r="P39" s="934"/>
      <c r="Q39" s="934"/>
      <c r="R39" s="934"/>
      <c r="S39" s="934"/>
      <c r="T39" s="934"/>
      <c r="U39" s="934"/>
      <c r="V39" s="934"/>
      <c r="W39" s="934"/>
      <c r="X39" s="934"/>
      <c r="Y39" s="934"/>
      <c r="Z39" s="934"/>
      <c r="AA39" s="934"/>
      <c r="AB39" s="934"/>
      <c r="AC39" s="934"/>
      <c r="AD39" s="934"/>
      <c r="AE39" s="934"/>
      <c r="AF39" s="934"/>
      <c r="AG39" s="934"/>
      <c r="AH39" s="934"/>
      <c r="AI39" s="934"/>
      <c r="AJ39" s="934"/>
      <c r="AK39" s="934"/>
      <c r="AL39" s="934"/>
      <c r="AM39" s="934"/>
      <c r="AN39" s="934"/>
    </row>
    <row r="41" spans="1:40" ht="15" customHeight="1" x14ac:dyDescent="0.2">
      <c r="A41" s="106" t="s">
        <v>1624</v>
      </c>
      <c r="B41" s="286">
        <f>SUM(C41:AL41)</f>
        <v>0</v>
      </c>
      <c r="C41" s="256">
        <f>IF(1&gt;=$B$20,$B$19/12,($B$18-($B$18-$B$19)/$B$20*1)/12)</f>
        <v>0</v>
      </c>
      <c r="D41" s="256">
        <f>IF(2&gt;=$B$20,$B$19/12,($B$18-($B$18-$B$19)/$B$20*2)/12)</f>
        <v>0</v>
      </c>
      <c r="E41" s="256">
        <f>IF(3&gt;=$B$20,$B$19/12,($B$18-($B$18-$B$19)/$B$20*3)/12)</f>
        <v>0</v>
      </c>
      <c r="F41" s="256">
        <f>IF(4&gt;=$B$20,$B$19/12,($B$18-($B$18-$B$19)/$B$20*4)/12)</f>
        <v>0</v>
      </c>
      <c r="G41" s="256">
        <f>IF(5&gt;=$B$20,$B$19/12,($B$18-($B$18-$B$19)/$B$20*5)/12)</f>
        <v>0</v>
      </c>
      <c r="H41" s="256">
        <f>IF(6&gt;=$B$20,$B$19/12,($B$18-($B$18-$B$19)/$B$20*6)/12)</f>
        <v>0</v>
      </c>
      <c r="I41" s="256">
        <f>IF(7&gt;=$B$20,$B$19/12,($B$18-($B$18-$B$19)/$B$20*7)/12)</f>
        <v>0</v>
      </c>
      <c r="J41" s="256">
        <f>IF(8&gt;=$B$20,$B$19/12,($B$18-($B$18-$B$19)/$B$20*8)/12)</f>
        <v>0</v>
      </c>
      <c r="K41" s="256">
        <f>IF(9&gt;=$B$20,$B$19/12,($B$18-($B$18-$B$19)/$B$20*9)/12)</f>
        <v>0</v>
      </c>
      <c r="L41" s="256">
        <f>IF(10&gt;=$B$20,$B$19/12,($B$18-($B$18-$B$19)/$B$20*10)/12)</f>
        <v>0</v>
      </c>
      <c r="M41" s="256">
        <f>IF(11&gt;=$B$20,$B$19/12,($B$18-($B$18-$B$19)/$B$20*11)/12)</f>
        <v>0</v>
      </c>
      <c r="N41" s="256">
        <f>IF(12&gt;=$B$20,$B$19/12,($B$18-($B$18-$B$19)/$B$20*12)/12)</f>
        <v>0</v>
      </c>
      <c r="O41" s="256">
        <f>IF(13&gt;=$B$20,$B$19/12,($B$18-($B$18-$B$19)/$B$20*13)/12)</f>
        <v>0</v>
      </c>
      <c r="P41" s="256">
        <f>IF(14&gt;=$B$20,$B$19/12,($B$18-($B$18-$B$19)/$B$20*14)/12)</f>
        <v>0</v>
      </c>
      <c r="Q41" s="256">
        <f>IF(15&gt;=$B$20,$B$19/12,($B$18-($B$18-$B$19)/$B$20*15)/12)</f>
        <v>0</v>
      </c>
      <c r="R41" s="256">
        <f>IF(16&gt;=$B$20,$B$19/12,($B$18-($B$18-$B$19)/$B$20*16)/12)</f>
        <v>0</v>
      </c>
      <c r="S41" s="256">
        <f>IF(17&gt;=$B$20,$B$19/12,($B$18-($B$18-$B$19)/$B$20*17)/12)</f>
        <v>0</v>
      </c>
      <c r="T41" s="256">
        <f>IF(18&gt;=$B$20,$B$19/12,($B$18-($B$18-$B$19)/$B$20*18)/12)</f>
        <v>0</v>
      </c>
      <c r="U41" s="256">
        <f>IF(19&gt;=$B$20,$B$19/12,($B$18-($B$18-$B$19)/$B$20*19)/12)</f>
        <v>0</v>
      </c>
      <c r="V41" s="256">
        <f>IF(20&gt;=$B$20,$B$19/12,($B$18-($B$18-$B$19)/$B$20*20)/12)</f>
        <v>0</v>
      </c>
      <c r="W41" s="256">
        <f>IF(21&gt;=$B$20,$B$19/12,($B$18-($B$18-$B$19)/$B$20*21)/12)</f>
        <v>0</v>
      </c>
      <c r="X41" s="256">
        <f>IF(22&gt;=$B$20,$B$19/12,($B$18-($B$18-$B$19)/$B$20*22)/12)</f>
        <v>0</v>
      </c>
      <c r="Y41" s="256">
        <f>IF(23&gt;=$B$20,$B$19/12,($B$18-($B$18-$B$19)/$B$20*23)/12)</f>
        <v>0</v>
      </c>
      <c r="Z41" s="256">
        <f>IF(24&gt;=$B$20,$B$19/12,($B$18-($B$18-$B$19)/$B$20*24)/12)</f>
        <v>0</v>
      </c>
      <c r="AA41" s="256">
        <f>IF(25&gt;=$B$20,$B$19/12,($B$18-($B$18-$B$19)/$B$20*25)/12)</f>
        <v>0</v>
      </c>
      <c r="AB41" s="256">
        <f>IF(26&gt;=$B$20,$B$19/12,($B$18-($B$18-$B$19)/$B$20*26)/12)</f>
        <v>0</v>
      </c>
      <c r="AC41" s="256">
        <f>IF(27&gt;=$B$20,$B$19/12,($B$18-($B$18-$B$19)/$B$20*27)/12)</f>
        <v>0</v>
      </c>
      <c r="AD41" s="256">
        <f>IF(28&gt;=$B$20,$B$19/12,($B$18-($B$18-$B$19)/$B$20*28)/12)</f>
        <v>0</v>
      </c>
      <c r="AE41" s="256">
        <f>IF(29&gt;=$B$20,$B$19/12,($B$18-($B$18-$B$19)/$B$20*29)/12)</f>
        <v>0</v>
      </c>
      <c r="AF41" s="256">
        <f>IF(30&gt;=$B$20,$B$19/12,($B$18-($B$18-$B$19)/$B$20*30)/12)</f>
        <v>0</v>
      </c>
      <c r="AG41" s="256">
        <f>IF(31&gt;=$B$20,$B$19/12,($B$18-($B$18-$B$19)/$B$20*31)/12)</f>
        <v>0</v>
      </c>
      <c r="AH41" s="256">
        <f>IF(32&gt;=$B$20,$B$19/12,($B$18-($B$18-$B$19)/$B$20*32)/12)</f>
        <v>0</v>
      </c>
      <c r="AI41" s="256">
        <f>IF(33&gt;=$B$20,$B$19/12,($B$18-($B$18-$B$19)/$B$20*33)/12)</f>
        <v>0</v>
      </c>
      <c r="AJ41" s="256">
        <f>IF(34&gt;=$B$20,$B$19/12,($B$18-($B$18-$B$19)/$B$20*34)/12)</f>
        <v>0</v>
      </c>
      <c r="AK41" s="256">
        <f>IF(35&gt;=$B$20,$B$19/12,($B$18-($B$18-$B$19)/$B$20*35)/12)</f>
        <v>0</v>
      </c>
      <c r="AL41" s="256">
        <f>IF(36&gt;=$B$20,$B$19/12,($B$18-($B$18-$B$19)/$B$20*36)/12)</f>
        <v>0</v>
      </c>
    </row>
    <row r="42" spans="1:40" ht="15" customHeight="1" x14ac:dyDescent="0.2">
      <c r="A42" s="112" t="s">
        <v>1625</v>
      </c>
      <c r="B42" s="291">
        <f>SUM(C42:AL42)</f>
        <v>0</v>
      </c>
      <c r="C42" s="291">
        <f t="shared" ref="C42:AL42" si="8">C37-C41</f>
        <v>0</v>
      </c>
      <c r="D42" s="291">
        <f t="shared" si="8"/>
        <v>0</v>
      </c>
      <c r="E42" s="291">
        <f t="shared" si="8"/>
        <v>0</v>
      </c>
      <c r="F42" s="291">
        <f t="shared" si="8"/>
        <v>0</v>
      </c>
      <c r="G42" s="291">
        <f t="shared" si="8"/>
        <v>0</v>
      </c>
      <c r="H42" s="291">
        <f t="shared" si="8"/>
        <v>0</v>
      </c>
      <c r="I42" s="291">
        <f t="shared" si="8"/>
        <v>0</v>
      </c>
      <c r="J42" s="291">
        <f t="shared" si="8"/>
        <v>0</v>
      </c>
      <c r="K42" s="291">
        <f t="shared" si="8"/>
        <v>0</v>
      </c>
      <c r="L42" s="291">
        <f t="shared" si="8"/>
        <v>0</v>
      </c>
      <c r="M42" s="291">
        <f t="shared" si="8"/>
        <v>0</v>
      </c>
      <c r="N42" s="291">
        <f t="shared" si="8"/>
        <v>0</v>
      </c>
      <c r="O42" s="291">
        <f t="shared" si="8"/>
        <v>0</v>
      </c>
      <c r="P42" s="291">
        <f t="shared" si="8"/>
        <v>0</v>
      </c>
      <c r="Q42" s="291">
        <f t="shared" si="8"/>
        <v>0</v>
      </c>
      <c r="R42" s="291">
        <f t="shared" si="8"/>
        <v>0</v>
      </c>
      <c r="S42" s="291">
        <f t="shared" si="8"/>
        <v>0</v>
      </c>
      <c r="T42" s="291">
        <f t="shared" si="8"/>
        <v>0</v>
      </c>
      <c r="U42" s="291">
        <f t="shared" si="8"/>
        <v>0</v>
      </c>
      <c r="V42" s="291">
        <f t="shared" si="8"/>
        <v>0</v>
      </c>
      <c r="W42" s="291">
        <f t="shared" si="8"/>
        <v>0</v>
      </c>
      <c r="X42" s="291">
        <f t="shared" si="8"/>
        <v>0</v>
      </c>
      <c r="Y42" s="291">
        <f t="shared" si="8"/>
        <v>0</v>
      </c>
      <c r="Z42" s="291">
        <f t="shared" si="8"/>
        <v>0</v>
      </c>
      <c r="AA42" s="291">
        <f t="shared" si="8"/>
        <v>0</v>
      </c>
      <c r="AB42" s="291">
        <f t="shared" si="8"/>
        <v>0</v>
      </c>
      <c r="AC42" s="291">
        <f t="shared" si="8"/>
        <v>0</v>
      </c>
      <c r="AD42" s="291">
        <f t="shared" si="8"/>
        <v>0</v>
      </c>
      <c r="AE42" s="291">
        <f t="shared" si="8"/>
        <v>0</v>
      </c>
      <c r="AF42" s="291">
        <f t="shared" si="8"/>
        <v>0</v>
      </c>
      <c r="AG42" s="291">
        <f t="shared" si="8"/>
        <v>0</v>
      </c>
      <c r="AH42" s="291">
        <f t="shared" si="8"/>
        <v>0</v>
      </c>
      <c r="AI42" s="291">
        <f t="shared" si="8"/>
        <v>0</v>
      </c>
      <c r="AJ42" s="291">
        <f t="shared" si="8"/>
        <v>0</v>
      </c>
      <c r="AK42" s="291">
        <f t="shared" si="8"/>
        <v>0</v>
      </c>
      <c r="AL42" s="291">
        <f t="shared" si="8"/>
        <v>0</v>
      </c>
    </row>
    <row r="43" spans="1:40" ht="15" customHeight="1" x14ac:dyDescent="0.2">
      <c r="A43" s="106" t="s">
        <v>1626</v>
      </c>
      <c r="B43" s="286">
        <f>SUM(C43:AL43)</f>
        <v>0</v>
      </c>
      <c r="C43" s="256">
        <f t="shared" ref="C43:AL43" si="9">$B$21/12</f>
        <v>0</v>
      </c>
      <c r="D43" s="256">
        <f t="shared" si="9"/>
        <v>0</v>
      </c>
      <c r="E43" s="256">
        <f t="shared" si="9"/>
        <v>0</v>
      </c>
      <c r="F43" s="256">
        <f t="shared" si="9"/>
        <v>0</v>
      </c>
      <c r="G43" s="256">
        <f t="shared" si="9"/>
        <v>0</v>
      </c>
      <c r="H43" s="256">
        <f t="shared" si="9"/>
        <v>0</v>
      </c>
      <c r="I43" s="256">
        <f t="shared" si="9"/>
        <v>0</v>
      </c>
      <c r="J43" s="256">
        <f t="shared" si="9"/>
        <v>0</v>
      </c>
      <c r="K43" s="256">
        <f t="shared" si="9"/>
        <v>0</v>
      </c>
      <c r="L43" s="256">
        <f t="shared" si="9"/>
        <v>0</v>
      </c>
      <c r="M43" s="256">
        <f t="shared" si="9"/>
        <v>0</v>
      </c>
      <c r="N43" s="256">
        <f t="shared" si="9"/>
        <v>0</v>
      </c>
      <c r="O43" s="256">
        <f t="shared" si="9"/>
        <v>0</v>
      </c>
      <c r="P43" s="256">
        <f t="shared" si="9"/>
        <v>0</v>
      </c>
      <c r="Q43" s="256">
        <f t="shared" si="9"/>
        <v>0</v>
      </c>
      <c r="R43" s="256">
        <f t="shared" si="9"/>
        <v>0</v>
      </c>
      <c r="S43" s="256">
        <f t="shared" si="9"/>
        <v>0</v>
      </c>
      <c r="T43" s="256">
        <f t="shared" si="9"/>
        <v>0</v>
      </c>
      <c r="U43" s="256">
        <f t="shared" si="9"/>
        <v>0</v>
      </c>
      <c r="V43" s="256">
        <f t="shared" si="9"/>
        <v>0</v>
      </c>
      <c r="W43" s="256">
        <f t="shared" si="9"/>
        <v>0</v>
      </c>
      <c r="X43" s="256">
        <f t="shared" si="9"/>
        <v>0</v>
      </c>
      <c r="Y43" s="256">
        <f t="shared" si="9"/>
        <v>0</v>
      </c>
      <c r="Z43" s="256">
        <f t="shared" si="9"/>
        <v>0</v>
      </c>
      <c r="AA43" s="256">
        <f t="shared" si="9"/>
        <v>0</v>
      </c>
      <c r="AB43" s="256">
        <f t="shared" si="9"/>
        <v>0</v>
      </c>
      <c r="AC43" s="256">
        <f t="shared" si="9"/>
        <v>0</v>
      </c>
      <c r="AD43" s="256">
        <f t="shared" si="9"/>
        <v>0</v>
      </c>
      <c r="AE43" s="256">
        <f t="shared" si="9"/>
        <v>0</v>
      </c>
      <c r="AF43" s="256">
        <f t="shared" si="9"/>
        <v>0</v>
      </c>
      <c r="AG43" s="256">
        <f t="shared" si="9"/>
        <v>0</v>
      </c>
      <c r="AH43" s="256">
        <f t="shared" si="9"/>
        <v>0</v>
      </c>
      <c r="AI43" s="256">
        <f t="shared" si="9"/>
        <v>0</v>
      </c>
      <c r="AJ43" s="256">
        <f t="shared" si="9"/>
        <v>0</v>
      </c>
      <c r="AK43" s="256">
        <f t="shared" si="9"/>
        <v>0</v>
      </c>
      <c r="AL43" s="256">
        <f t="shared" si="9"/>
        <v>0</v>
      </c>
    </row>
    <row r="44" spans="1:40" ht="15" customHeight="1" x14ac:dyDescent="0.2">
      <c r="A44" s="112" t="s">
        <v>1627</v>
      </c>
      <c r="B44" s="286">
        <f>SUM(C44:AL44)</f>
        <v>0</v>
      </c>
      <c r="C44" s="286">
        <f t="shared" ref="C44:AL44" si="10">C42-C43</f>
        <v>0</v>
      </c>
      <c r="D44" s="286">
        <f t="shared" si="10"/>
        <v>0</v>
      </c>
      <c r="E44" s="286">
        <f t="shared" si="10"/>
        <v>0</v>
      </c>
      <c r="F44" s="286">
        <f t="shared" si="10"/>
        <v>0</v>
      </c>
      <c r="G44" s="286">
        <f t="shared" si="10"/>
        <v>0</v>
      </c>
      <c r="H44" s="286">
        <f t="shared" si="10"/>
        <v>0</v>
      </c>
      <c r="I44" s="286">
        <f t="shared" si="10"/>
        <v>0</v>
      </c>
      <c r="J44" s="286">
        <f t="shared" si="10"/>
        <v>0</v>
      </c>
      <c r="K44" s="286">
        <f t="shared" si="10"/>
        <v>0</v>
      </c>
      <c r="L44" s="286">
        <f t="shared" si="10"/>
        <v>0</v>
      </c>
      <c r="M44" s="286">
        <f t="shared" si="10"/>
        <v>0</v>
      </c>
      <c r="N44" s="286">
        <f t="shared" si="10"/>
        <v>0</v>
      </c>
      <c r="O44" s="286">
        <f t="shared" si="10"/>
        <v>0</v>
      </c>
      <c r="P44" s="286">
        <f t="shared" si="10"/>
        <v>0</v>
      </c>
      <c r="Q44" s="286">
        <f t="shared" si="10"/>
        <v>0</v>
      </c>
      <c r="R44" s="286">
        <f t="shared" si="10"/>
        <v>0</v>
      </c>
      <c r="S44" s="286">
        <f t="shared" si="10"/>
        <v>0</v>
      </c>
      <c r="T44" s="286">
        <f t="shared" si="10"/>
        <v>0</v>
      </c>
      <c r="U44" s="286">
        <f t="shared" si="10"/>
        <v>0</v>
      </c>
      <c r="V44" s="286">
        <f t="shared" si="10"/>
        <v>0</v>
      </c>
      <c r="W44" s="286">
        <f t="shared" si="10"/>
        <v>0</v>
      </c>
      <c r="X44" s="286">
        <f t="shared" si="10"/>
        <v>0</v>
      </c>
      <c r="Y44" s="286">
        <f t="shared" si="10"/>
        <v>0</v>
      </c>
      <c r="Z44" s="286">
        <f t="shared" si="10"/>
        <v>0</v>
      </c>
      <c r="AA44" s="286">
        <f t="shared" si="10"/>
        <v>0</v>
      </c>
      <c r="AB44" s="286">
        <f t="shared" si="10"/>
        <v>0</v>
      </c>
      <c r="AC44" s="286">
        <f t="shared" si="10"/>
        <v>0</v>
      </c>
      <c r="AD44" s="286">
        <f t="shared" si="10"/>
        <v>0</v>
      </c>
      <c r="AE44" s="286">
        <f t="shared" si="10"/>
        <v>0</v>
      </c>
      <c r="AF44" s="286">
        <f t="shared" si="10"/>
        <v>0</v>
      </c>
      <c r="AG44" s="286">
        <f t="shared" si="10"/>
        <v>0</v>
      </c>
      <c r="AH44" s="286">
        <f t="shared" si="10"/>
        <v>0</v>
      </c>
      <c r="AI44" s="286">
        <f t="shared" si="10"/>
        <v>0</v>
      </c>
      <c r="AJ44" s="286">
        <f t="shared" si="10"/>
        <v>0</v>
      </c>
      <c r="AK44" s="286">
        <f t="shared" si="10"/>
        <v>0</v>
      </c>
      <c r="AL44" s="286">
        <f t="shared" si="10"/>
        <v>0</v>
      </c>
    </row>
    <row r="45" spans="1:40" ht="15" customHeight="1" x14ac:dyDescent="0.2">
      <c r="A45" s="106" t="s">
        <v>1628</v>
      </c>
      <c r="C45" s="371">
        <f t="shared" ref="C45:AL45" si="11">IFERROR(C42/C43,0)</f>
        <v>0</v>
      </c>
      <c r="D45" s="371">
        <f t="shared" si="11"/>
        <v>0</v>
      </c>
      <c r="E45" s="371">
        <f t="shared" si="11"/>
        <v>0</v>
      </c>
      <c r="F45" s="371">
        <f t="shared" si="11"/>
        <v>0</v>
      </c>
      <c r="G45" s="371">
        <f t="shared" si="11"/>
        <v>0</v>
      </c>
      <c r="H45" s="371">
        <f t="shared" si="11"/>
        <v>0</v>
      </c>
      <c r="I45" s="371">
        <f t="shared" si="11"/>
        <v>0</v>
      </c>
      <c r="J45" s="371">
        <f t="shared" si="11"/>
        <v>0</v>
      </c>
      <c r="K45" s="371">
        <f t="shared" si="11"/>
        <v>0</v>
      </c>
      <c r="L45" s="371">
        <f t="shared" si="11"/>
        <v>0</v>
      </c>
      <c r="M45" s="371">
        <f t="shared" si="11"/>
        <v>0</v>
      </c>
      <c r="N45" s="371">
        <f t="shared" si="11"/>
        <v>0</v>
      </c>
      <c r="O45" s="371">
        <f t="shared" si="11"/>
        <v>0</v>
      </c>
      <c r="P45" s="371">
        <f t="shared" si="11"/>
        <v>0</v>
      </c>
      <c r="Q45" s="371">
        <f t="shared" si="11"/>
        <v>0</v>
      </c>
      <c r="R45" s="371">
        <f t="shared" si="11"/>
        <v>0</v>
      </c>
      <c r="S45" s="371">
        <f t="shared" si="11"/>
        <v>0</v>
      </c>
      <c r="T45" s="371">
        <f t="shared" si="11"/>
        <v>0</v>
      </c>
      <c r="U45" s="371">
        <f t="shared" si="11"/>
        <v>0</v>
      </c>
      <c r="V45" s="371">
        <f t="shared" si="11"/>
        <v>0</v>
      </c>
      <c r="W45" s="371">
        <f t="shared" si="11"/>
        <v>0</v>
      </c>
      <c r="X45" s="371">
        <f t="shared" si="11"/>
        <v>0</v>
      </c>
      <c r="Y45" s="371">
        <f t="shared" si="11"/>
        <v>0</v>
      </c>
      <c r="Z45" s="371">
        <f t="shared" si="11"/>
        <v>0</v>
      </c>
      <c r="AA45" s="371">
        <f t="shared" si="11"/>
        <v>0</v>
      </c>
      <c r="AB45" s="371">
        <f t="shared" si="11"/>
        <v>0</v>
      </c>
      <c r="AC45" s="371">
        <f t="shared" si="11"/>
        <v>0</v>
      </c>
      <c r="AD45" s="371">
        <f t="shared" si="11"/>
        <v>0</v>
      </c>
      <c r="AE45" s="371">
        <f t="shared" si="11"/>
        <v>0</v>
      </c>
      <c r="AF45" s="371">
        <f t="shared" si="11"/>
        <v>0</v>
      </c>
      <c r="AG45" s="371">
        <f t="shared" si="11"/>
        <v>0</v>
      </c>
      <c r="AH45" s="371">
        <f t="shared" si="11"/>
        <v>0</v>
      </c>
      <c r="AI45" s="371">
        <f t="shared" si="11"/>
        <v>0</v>
      </c>
      <c r="AJ45" s="371">
        <f t="shared" si="11"/>
        <v>0</v>
      </c>
      <c r="AK45" s="371">
        <f t="shared" si="11"/>
        <v>0</v>
      </c>
      <c r="AL45" s="371">
        <f t="shared" si="11"/>
        <v>0</v>
      </c>
    </row>
    <row r="47" spans="1:40" ht="21.75" customHeight="1" x14ac:dyDescent="0.2">
      <c r="A47" s="934" t="s">
        <v>1629</v>
      </c>
      <c r="B47" s="934"/>
      <c r="C47" s="934"/>
      <c r="D47" s="934"/>
      <c r="E47" s="934"/>
      <c r="F47" s="934"/>
      <c r="G47" s="934"/>
      <c r="H47" s="934"/>
      <c r="I47" s="934"/>
      <c r="J47" s="934"/>
      <c r="K47" s="934"/>
      <c r="L47" s="934"/>
      <c r="M47" s="934"/>
      <c r="N47" s="934"/>
      <c r="O47" s="934"/>
      <c r="P47" s="934"/>
      <c r="Q47" s="934"/>
      <c r="R47" s="934"/>
      <c r="S47" s="934"/>
      <c r="T47" s="934"/>
      <c r="U47" s="934"/>
      <c r="V47" s="934"/>
      <c r="W47" s="934"/>
      <c r="X47" s="934"/>
      <c r="Y47" s="934"/>
      <c r="Z47" s="934"/>
      <c r="AA47" s="934"/>
      <c r="AB47" s="934"/>
      <c r="AC47" s="934"/>
      <c r="AD47" s="934"/>
      <c r="AE47" s="934"/>
      <c r="AF47" s="934"/>
      <c r="AG47" s="934"/>
      <c r="AH47" s="934"/>
      <c r="AI47" s="934"/>
      <c r="AJ47" s="934"/>
      <c r="AK47" s="934"/>
      <c r="AL47" s="934"/>
      <c r="AM47" s="934"/>
      <c r="AN47" s="934"/>
    </row>
    <row r="49" spans="1:40" ht="15" customHeight="1" x14ac:dyDescent="0.2">
      <c r="A49" s="106" t="s">
        <v>1630</v>
      </c>
      <c r="B49" s="286">
        <f>SUM(C49:AL49)</f>
        <v>0</v>
      </c>
      <c r="C49" s="110">
        <f>Capex!$D$51/12</f>
        <v>0</v>
      </c>
      <c r="D49" s="110">
        <f>Capex!$D$51/12</f>
        <v>0</v>
      </c>
      <c r="E49" s="110">
        <f>Capex!$D$51/12</f>
        <v>0</v>
      </c>
      <c r="F49" s="110">
        <f>Capex!$D$51/12</f>
        <v>0</v>
      </c>
      <c r="G49" s="110">
        <f>Capex!$D$51/12</f>
        <v>0</v>
      </c>
      <c r="H49" s="110">
        <f>Capex!$D$51/12</f>
        <v>0</v>
      </c>
      <c r="I49" s="110">
        <f>Capex!$D$51/12</f>
        <v>0</v>
      </c>
      <c r="J49" s="110">
        <f>Capex!$D$51/12</f>
        <v>0</v>
      </c>
      <c r="K49" s="110">
        <f>Capex!$D$51/12</f>
        <v>0</v>
      </c>
      <c r="L49" s="110">
        <f>Capex!$D$51/12</f>
        <v>0</v>
      </c>
      <c r="M49" s="110">
        <f>Capex!$D$51/12</f>
        <v>0</v>
      </c>
      <c r="N49" s="110">
        <f>Capex!$D$51/12</f>
        <v>0</v>
      </c>
      <c r="O49" s="256">
        <f>0</f>
        <v>0</v>
      </c>
      <c r="P49" s="256">
        <f>0</f>
        <v>0</v>
      </c>
      <c r="Q49" s="256">
        <f>0</f>
        <v>0</v>
      </c>
      <c r="R49" s="256">
        <f>0</f>
        <v>0</v>
      </c>
      <c r="S49" s="256">
        <f>0</f>
        <v>0</v>
      </c>
      <c r="T49" s="256">
        <f>0</f>
        <v>0</v>
      </c>
      <c r="U49" s="256">
        <f>0</f>
        <v>0</v>
      </c>
      <c r="V49" s="256">
        <f>0</f>
        <v>0</v>
      </c>
      <c r="W49" s="256">
        <f>0</f>
        <v>0</v>
      </c>
      <c r="X49" s="256">
        <f>0</f>
        <v>0</v>
      </c>
      <c r="Y49" s="256">
        <f>0</f>
        <v>0</v>
      </c>
      <c r="Z49" s="256">
        <f>0</f>
        <v>0</v>
      </c>
      <c r="AA49" s="256">
        <f>0</f>
        <v>0</v>
      </c>
      <c r="AB49" s="256">
        <f>0</f>
        <v>0</v>
      </c>
      <c r="AC49" s="256">
        <f>0</f>
        <v>0</v>
      </c>
      <c r="AD49" s="256">
        <f>0</f>
        <v>0</v>
      </c>
      <c r="AE49" s="256">
        <f>0</f>
        <v>0</v>
      </c>
      <c r="AF49" s="256">
        <f>0</f>
        <v>0</v>
      </c>
      <c r="AG49" s="256">
        <f>0</f>
        <v>0</v>
      </c>
      <c r="AH49" s="256">
        <f>0</f>
        <v>0</v>
      </c>
      <c r="AI49" s="256">
        <f>0</f>
        <v>0</v>
      </c>
      <c r="AJ49" s="256">
        <f>0</f>
        <v>0</v>
      </c>
      <c r="AK49" s="256">
        <f>0</f>
        <v>0</v>
      </c>
      <c r="AL49" s="256">
        <f>0</f>
        <v>0</v>
      </c>
    </row>
    <row r="50" spans="1:40" ht="15" customHeight="1" x14ac:dyDescent="0.2">
      <c r="A50" s="106" t="s">
        <v>1631</v>
      </c>
      <c r="B50" s="286">
        <f>SUM(C50:AL50)</f>
        <v>0</v>
      </c>
      <c r="C50" s="256">
        <f>$B$14*$B$13</f>
        <v>0</v>
      </c>
      <c r="D50" s="256">
        <f t="shared" ref="D50:AL50" si="12">IF(C30&lt;77,$B$14*$B$13,0)</f>
        <v>0</v>
      </c>
      <c r="E50" s="256">
        <f t="shared" si="12"/>
        <v>0</v>
      </c>
      <c r="F50" s="256">
        <f t="shared" si="12"/>
        <v>0</v>
      </c>
      <c r="G50" s="256">
        <f t="shared" si="12"/>
        <v>0</v>
      </c>
      <c r="H50" s="256">
        <f t="shared" si="12"/>
        <v>0</v>
      </c>
      <c r="I50" s="256">
        <f t="shared" si="12"/>
        <v>0</v>
      </c>
      <c r="J50" s="256">
        <f t="shared" si="12"/>
        <v>0</v>
      </c>
      <c r="K50" s="256">
        <f t="shared" si="12"/>
        <v>0</v>
      </c>
      <c r="L50" s="256">
        <f t="shared" si="12"/>
        <v>0</v>
      </c>
      <c r="M50" s="256">
        <f t="shared" si="12"/>
        <v>0</v>
      </c>
      <c r="N50" s="256">
        <f t="shared" si="12"/>
        <v>0</v>
      </c>
      <c r="O50" s="256">
        <f t="shared" si="12"/>
        <v>0</v>
      </c>
      <c r="P50" s="256">
        <f t="shared" si="12"/>
        <v>0</v>
      </c>
      <c r="Q50" s="256">
        <f t="shared" si="12"/>
        <v>0</v>
      </c>
      <c r="R50" s="256">
        <f t="shared" si="12"/>
        <v>0</v>
      </c>
      <c r="S50" s="256">
        <f t="shared" si="12"/>
        <v>0</v>
      </c>
      <c r="T50" s="256">
        <f t="shared" si="12"/>
        <v>0</v>
      </c>
      <c r="U50" s="256">
        <f t="shared" si="12"/>
        <v>0</v>
      </c>
      <c r="V50" s="256">
        <f t="shared" si="12"/>
        <v>0</v>
      </c>
      <c r="W50" s="256">
        <f t="shared" si="12"/>
        <v>0</v>
      </c>
      <c r="X50" s="256">
        <f t="shared" si="12"/>
        <v>0</v>
      </c>
      <c r="Y50" s="256">
        <f t="shared" si="12"/>
        <v>0</v>
      </c>
      <c r="Z50" s="256">
        <f t="shared" si="12"/>
        <v>0</v>
      </c>
      <c r="AA50" s="256">
        <f t="shared" si="12"/>
        <v>0</v>
      </c>
      <c r="AB50" s="256">
        <f t="shared" si="12"/>
        <v>0</v>
      </c>
      <c r="AC50" s="256">
        <f t="shared" si="12"/>
        <v>0</v>
      </c>
      <c r="AD50" s="256">
        <f t="shared" si="12"/>
        <v>0</v>
      </c>
      <c r="AE50" s="256">
        <f t="shared" si="12"/>
        <v>0</v>
      </c>
      <c r="AF50" s="256">
        <f t="shared" si="12"/>
        <v>0</v>
      </c>
      <c r="AG50" s="256">
        <f t="shared" si="12"/>
        <v>0</v>
      </c>
      <c r="AH50" s="256">
        <f t="shared" si="12"/>
        <v>0</v>
      </c>
      <c r="AI50" s="256">
        <f t="shared" si="12"/>
        <v>0</v>
      </c>
      <c r="AJ50" s="256">
        <f t="shared" si="12"/>
        <v>0</v>
      </c>
      <c r="AK50" s="256">
        <f t="shared" si="12"/>
        <v>0</v>
      </c>
      <c r="AL50" s="256">
        <f t="shared" si="12"/>
        <v>0</v>
      </c>
    </row>
    <row r="51" spans="1:40" ht="15" customHeight="1" x14ac:dyDescent="0.2">
      <c r="A51" s="106" t="s">
        <v>1632</v>
      </c>
      <c r="B51" s="286">
        <f>SUM(C51:AL51)</f>
        <v>0</v>
      </c>
      <c r="C51" s="256">
        <f t="shared" ref="C51:AL51" si="13">MAX(-C44,0)</f>
        <v>0</v>
      </c>
      <c r="D51" s="256">
        <f t="shared" si="13"/>
        <v>0</v>
      </c>
      <c r="E51" s="256">
        <f t="shared" si="13"/>
        <v>0</v>
      </c>
      <c r="F51" s="256">
        <f t="shared" si="13"/>
        <v>0</v>
      </c>
      <c r="G51" s="256">
        <f t="shared" si="13"/>
        <v>0</v>
      </c>
      <c r="H51" s="256">
        <f t="shared" si="13"/>
        <v>0</v>
      </c>
      <c r="I51" s="256">
        <f t="shared" si="13"/>
        <v>0</v>
      </c>
      <c r="J51" s="256">
        <f t="shared" si="13"/>
        <v>0</v>
      </c>
      <c r="K51" s="256">
        <f t="shared" si="13"/>
        <v>0</v>
      </c>
      <c r="L51" s="256">
        <f t="shared" si="13"/>
        <v>0</v>
      </c>
      <c r="M51" s="256">
        <f t="shared" si="13"/>
        <v>0</v>
      </c>
      <c r="N51" s="256">
        <f t="shared" si="13"/>
        <v>0</v>
      </c>
      <c r="O51" s="256">
        <f t="shared" si="13"/>
        <v>0</v>
      </c>
      <c r="P51" s="256">
        <f t="shared" si="13"/>
        <v>0</v>
      </c>
      <c r="Q51" s="256">
        <f t="shared" si="13"/>
        <v>0</v>
      </c>
      <c r="R51" s="256">
        <f t="shared" si="13"/>
        <v>0</v>
      </c>
      <c r="S51" s="256">
        <f t="shared" si="13"/>
        <v>0</v>
      </c>
      <c r="T51" s="256">
        <f t="shared" si="13"/>
        <v>0</v>
      </c>
      <c r="U51" s="256">
        <f t="shared" si="13"/>
        <v>0</v>
      </c>
      <c r="V51" s="256">
        <f t="shared" si="13"/>
        <v>0</v>
      </c>
      <c r="W51" s="256">
        <f t="shared" si="13"/>
        <v>0</v>
      </c>
      <c r="X51" s="256">
        <f t="shared" si="13"/>
        <v>0</v>
      </c>
      <c r="Y51" s="256">
        <f t="shared" si="13"/>
        <v>0</v>
      </c>
      <c r="Z51" s="256">
        <f t="shared" si="13"/>
        <v>0</v>
      </c>
      <c r="AA51" s="256">
        <f t="shared" si="13"/>
        <v>0</v>
      </c>
      <c r="AB51" s="256">
        <f t="shared" si="13"/>
        <v>0</v>
      </c>
      <c r="AC51" s="256">
        <f t="shared" si="13"/>
        <v>0</v>
      </c>
      <c r="AD51" s="256">
        <f t="shared" si="13"/>
        <v>0</v>
      </c>
      <c r="AE51" s="256">
        <f t="shared" si="13"/>
        <v>0</v>
      </c>
      <c r="AF51" s="256">
        <f t="shared" si="13"/>
        <v>0</v>
      </c>
      <c r="AG51" s="256">
        <f t="shared" si="13"/>
        <v>0</v>
      </c>
      <c r="AH51" s="256">
        <f t="shared" si="13"/>
        <v>0</v>
      </c>
      <c r="AI51" s="256">
        <f t="shared" si="13"/>
        <v>0</v>
      </c>
      <c r="AJ51" s="256">
        <f t="shared" si="13"/>
        <v>0</v>
      </c>
      <c r="AK51" s="256">
        <f t="shared" si="13"/>
        <v>0</v>
      </c>
      <c r="AL51" s="256">
        <f t="shared" si="13"/>
        <v>0</v>
      </c>
    </row>
    <row r="52" spans="1:40" ht="15" customHeight="1" x14ac:dyDescent="0.2">
      <c r="A52" s="112" t="s">
        <v>1633</v>
      </c>
      <c r="B52" s="291">
        <f>SUM(C52:AL52)</f>
        <v>0</v>
      </c>
      <c r="C52" s="291">
        <f>C49+C50+C51+$B$23</f>
        <v>0</v>
      </c>
      <c r="D52" s="291">
        <f t="shared" ref="D52:AL52" si="14">D49+D50+D51</f>
        <v>0</v>
      </c>
      <c r="E52" s="291">
        <f t="shared" si="14"/>
        <v>0</v>
      </c>
      <c r="F52" s="291">
        <f t="shared" si="14"/>
        <v>0</v>
      </c>
      <c r="G52" s="291">
        <f t="shared" si="14"/>
        <v>0</v>
      </c>
      <c r="H52" s="291">
        <f t="shared" si="14"/>
        <v>0</v>
      </c>
      <c r="I52" s="291">
        <f t="shared" si="14"/>
        <v>0</v>
      </c>
      <c r="J52" s="291">
        <f t="shared" si="14"/>
        <v>0</v>
      </c>
      <c r="K52" s="291">
        <f t="shared" si="14"/>
        <v>0</v>
      </c>
      <c r="L52" s="291">
        <f t="shared" si="14"/>
        <v>0</v>
      </c>
      <c r="M52" s="291">
        <f t="shared" si="14"/>
        <v>0</v>
      </c>
      <c r="N52" s="291">
        <f t="shared" si="14"/>
        <v>0</v>
      </c>
      <c r="O52" s="291">
        <f t="shared" si="14"/>
        <v>0</v>
      </c>
      <c r="P52" s="291">
        <f t="shared" si="14"/>
        <v>0</v>
      </c>
      <c r="Q52" s="291">
        <f t="shared" si="14"/>
        <v>0</v>
      </c>
      <c r="R52" s="291">
        <f t="shared" si="14"/>
        <v>0</v>
      </c>
      <c r="S52" s="291">
        <f t="shared" si="14"/>
        <v>0</v>
      </c>
      <c r="T52" s="291">
        <f t="shared" si="14"/>
        <v>0</v>
      </c>
      <c r="U52" s="291">
        <f t="shared" si="14"/>
        <v>0</v>
      </c>
      <c r="V52" s="291">
        <f t="shared" si="14"/>
        <v>0</v>
      </c>
      <c r="W52" s="291">
        <f t="shared" si="14"/>
        <v>0</v>
      </c>
      <c r="X52" s="291">
        <f t="shared" si="14"/>
        <v>0</v>
      </c>
      <c r="Y52" s="291">
        <f t="shared" si="14"/>
        <v>0</v>
      </c>
      <c r="Z52" s="291">
        <f t="shared" si="14"/>
        <v>0</v>
      </c>
      <c r="AA52" s="291">
        <f t="shared" si="14"/>
        <v>0</v>
      </c>
      <c r="AB52" s="291">
        <f t="shared" si="14"/>
        <v>0</v>
      </c>
      <c r="AC52" s="291">
        <f t="shared" si="14"/>
        <v>0</v>
      </c>
      <c r="AD52" s="291">
        <f t="shared" si="14"/>
        <v>0</v>
      </c>
      <c r="AE52" s="291">
        <f t="shared" si="14"/>
        <v>0</v>
      </c>
      <c r="AF52" s="291">
        <f t="shared" si="14"/>
        <v>0</v>
      </c>
      <c r="AG52" s="291">
        <f t="shared" si="14"/>
        <v>0</v>
      </c>
      <c r="AH52" s="291">
        <f t="shared" si="14"/>
        <v>0</v>
      </c>
      <c r="AI52" s="291">
        <f t="shared" si="14"/>
        <v>0</v>
      </c>
      <c r="AJ52" s="291">
        <f t="shared" si="14"/>
        <v>0</v>
      </c>
      <c r="AK52" s="291">
        <f t="shared" si="14"/>
        <v>0</v>
      </c>
      <c r="AL52" s="291">
        <f t="shared" si="14"/>
        <v>0</v>
      </c>
    </row>
    <row r="53" spans="1:40" ht="15" customHeight="1" x14ac:dyDescent="0.2">
      <c r="A53" s="112" t="s">
        <v>1634</v>
      </c>
      <c r="C53" s="286">
        <f>C52</f>
        <v>0</v>
      </c>
      <c r="D53" s="286">
        <f t="shared" ref="D53:AL53" si="15">C53+D52</f>
        <v>0</v>
      </c>
      <c r="E53" s="286">
        <f t="shared" si="15"/>
        <v>0</v>
      </c>
      <c r="F53" s="286">
        <f t="shared" si="15"/>
        <v>0</v>
      </c>
      <c r="G53" s="286">
        <f t="shared" si="15"/>
        <v>0</v>
      </c>
      <c r="H53" s="286">
        <f t="shared" si="15"/>
        <v>0</v>
      </c>
      <c r="I53" s="286">
        <f t="shared" si="15"/>
        <v>0</v>
      </c>
      <c r="J53" s="286">
        <f t="shared" si="15"/>
        <v>0</v>
      </c>
      <c r="K53" s="286">
        <f t="shared" si="15"/>
        <v>0</v>
      </c>
      <c r="L53" s="286">
        <f t="shared" si="15"/>
        <v>0</v>
      </c>
      <c r="M53" s="286">
        <f t="shared" si="15"/>
        <v>0</v>
      </c>
      <c r="N53" s="286">
        <f t="shared" si="15"/>
        <v>0</v>
      </c>
      <c r="O53" s="286">
        <f t="shared" si="15"/>
        <v>0</v>
      </c>
      <c r="P53" s="286">
        <f t="shared" si="15"/>
        <v>0</v>
      </c>
      <c r="Q53" s="286">
        <f t="shared" si="15"/>
        <v>0</v>
      </c>
      <c r="R53" s="286">
        <f t="shared" si="15"/>
        <v>0</v>
      </c>
      <c r="S53" s="286">
        <f t="shared" si="15"/>
        <v>0</v>
      </c>
      <c r="T53" s="286">
        <f t="shared" si="15"/>
        <v>0</v>
      </c>
      <c r="U53" s="286">
        <f t="shared" si="15"/>
        <v>0</v>
      </c>
      <c r="V53" s="286">
        <f t="shared" si="15"/>
        <v>0</v>
      </c>
      <c r="W53" s="286">
        <f t="shared" si="15"/>
        <v>0</v>
      </c>
      <c r="X53" s="286">
        <f t="shared" si="15"/>
        <v>0</v>
      </c>
      <c r="Y53" s="286">
        <f t="shared" si="15"/>
        <v>0</v>
      </c>
      <c r="Z53" s="286">
        <f t="shared" si="15"/>
        <v>0</v>
      </c>
      <c r="AA53" s="286">
        <f t="shared" si="15"/>
        <v>0</v>
      </c>
      <c r="AB53" s="286">
        <f t="shared" si="15"/>
        <v>0</v>
      </c>
      <c r="AC53" s="286">
        <f t="shared" si="15"/>
        <v>0</v>
      </c>
      <c r="AD53" s="286">
        <f t="shared" si="15"/>
        <v>0</v>
      </c>
      <c r="AE53" s="286">
        <f t="shared" si="15"/>
        <v>0</v>
      </c>
      <c r="AF53" s="286">
        <f t="shared" si="15"/>
        <v>0</v>
      </c>
      <c r="AG53" s="286">
        <f t="shared" si="15"/>
        <v>0</v>
      </c>
      <c r="AH53" s="286">
        <f t="shared" si="15"/>
        <v>0</v>
      </c>
      <c r="AI53" s="286">
        <f t="shared" si="15"/>
        <v>0</v>
      </c>
      <c r="AJ53" s="286">
        <f t="shared" si="15"/>
        <v>0</v>
      </c>
      <c r="AK53" s="286">
        <f t="shared" si="15"/>
        <v>0</v>
      </c>
      <c r="AL53" s="286">
        <f t="shared" si="15"/>
        <v>0</v>
      </c>
    </row>
    <row r="54" spans="1:40" ht="15" customHeight="1" x14ac:dyDescent="0.2">
      <c r="A54" s="106" t="s">
        <v>1635</v>
      </c>
      <c r="B54" s="286">
        <f>SUM(C54:AL54)</f>
        <v>0</v>
      </c>
      <c r="C54" s="256">
        <f t="shared" ref="C54:AL54" si="16">MAX(C44,0)</f>
        <v>0</v>
      </c>
      <c r="D54" s="256">
        <f t="shared" si="16"/>
        <v>0</v>
      </c>
      <c r="E54" s="256">
        <f t="shared" si="16"/>
        <v>0</v>
      </c>
      <c r="F54" s="256">
        <f t="shared" si="16"/>
        <v>0</v>
      </c>
      <c r="G54" s="256">
        <f t="shared" si="16"/>
        <v>0</v>
      </c>
      <c r="H54" s="256">
        <f t="shared" si="16"/>
        <v>0</v>
      </c>
      <c r="I54" s="256">
        <f t="shared" si="16"/>
        <v>0</v>
      </c>
      <c r="J54" s="256">
        <f t="shared" si="16"/>
        <v>0</v>
      </c>
      <c r="K54" s="256">
        <f t="shared" si="16"/>
        <v>0</v>
      </c>
      <c r="L54" s="256">
        <f t="shared" si="16"/>
        <v>0</v>
      </c>
      <c r="M54" s="256">
        <f t="shared" si="16"/>
        <v>0</v>
      </c>
      <c r="N54" s="256">
        <f t="shared" si="16"/>
        <v>0</v>
      </c>
      <c r="O54" s="256">
        <f t="shared" si="16"/>
        <v>0</v>
      </c>
      <c r="P54" s="256">
        <f t="shared" si="16"/>
        <v>0</v>
      </c>
      <c r="Q54" s="256">
        <f t="shared" si="16"/>
        <v>0</v>
      </c>
      <c r="R54" s="256">
        <f t="shared" si="16"/>
        <v>0</v>
      </c>
      <c r="S54" s="256">
        <f t="shared" si="16"/>
        <v>0</v>
      </c>
      <c r="T54" s="256">
        <f t="shared" si="16"/>
        <v>0</v>
      </c>
      <c r="U54" s="256">
        <f t="shared" si="16"/>
        <v>0</v>
      </c>
      <c r="V54" s="256">
        <f t="shared" si="16"/>
        <v>0</v>
      </c>
      <c r="W54" s="256">
        <f t="shared" si="16"/>
        <v>0</v>
      </c>
      <c r="X54" s="256">
        <f t="shared" si="16"/>
        <v>0</v>
      </c>
      <c r="Y54" s="256">
        <f t="shared" si="16"/>
        <v>0</v>
      </c>
      <c r="Z54" s="256">
        <f t="shared" si="16"/>
        <v>0</v>
      </c>
      <c r="AA54" s="256">
        <f t="shared" si="16"/>
        <v>0</v>
      </c>
      <c r="AB54" s="256">
        <f t="shared" si="16"/>
        <v>0</v>
      </c>
      <c r="AC54" s="256">
        <f t="shared" si="16"/>
        <v>0</v>
      </c>
      <c r="AD54" s="256">
        <f t="shared" si="16"/>
        <v>0</v>
      </c>
      <c r="AE54" s="256">
        <f t="shared" si="16"/>
        <v>0</v>
      </c>
      <c r="AF54" s="256">
        <f t="shared" si="16"/>
        <v>0</v>
      </c>
      <c r="AG54" s="256">
        <f t="shared" si="16"/>
        <v>0</v>
      </c>
      <c r="AH54" s="256">
        <f t="shared" si="16"/>
        <v>0</v>
      </c>
      <c r="AI54" s="256">
        <f t="shared" si="16"/>
        <v>0</v>
      </c>
      <c r="AJ54" s="256">
        <f t="shared" si="16"/>
        <v>0</v>
      </c>
      <c r="AK54" s="256">
        <f t="shared" si="16"/>
        <v>0</v>
      </c>
      <c r="AL54" s="256">
        <f t="shared" si="16"/>
        <v>0</v>
      </c>
    </row>
    <row r="56" spans="1:40" ht="21.75" customHeight="1" x14ac:dyDescent="0.2">
      <c r="A56" s="934" t="s">
        <v>1636</v>
      </c>
      <c r="B56" s="934"/>
      <c r="C56" s="934"/>
      <c r="D56" s="934"/>
      <c r="E56" s="934"/>
      <c r="F56" s="934"/>
      <c r="G56" s="934"/>
      <c r="H56" s="934"/>
      <c r="I56" s="934"/>
      <c r="J56" s="934"/>
      <c r="K56" s="934"/>
      <c r="L56" s="934"/>
      <c r="M56" s="934"/>
      <c r="N56" s="934"/>
      <c r="O56" s="934"/>
      <c r="P56" s="934"/>
      <c r="Q56" s="934"/>
      <c r="R56" s="934"/>
      <c r="S56" s="934"/>
      <c r="T56" s="934"/>
      <c r="U56" s="934"/>
      <c r="V56" s="934"/>
      <c r="W56" s="934"/>
      <c r="X56" s="934"/>
      <c r="Y56" s="934"/>
      <c r="Z56" s="934"/>
      <c r="AA56" s="934"/>
      <c r="AB56" s="934"/>
      <c r="AC56" s="934"/>
      <c r="AD56" s="934"/>
      <c r="AE56" s="934"/>
      <c r="AF56" s="934"/>
      <c r="AG56" s="934"/>
      <c r="AH56" s="934"/>
      <c r="AI56" s="934"/>
      <c r="AJ56" s="934"/>
      <c r="AK56" s="934"/>
      <c r="AL56" s="934"/>
      <c r="AM56" s="934"/>
      <c r="AN56" s="934"/>
    </row>
    <row r="57" spans="1:40" ht="15" customHeight="1" x14ac:dyDescent="0.2">
      <c r="A57" s="106" t="s">
        <v>1637</v>
      </c>
      <c r="B57" s="256">
        <f>MAX(C53:AL53)</f>
        <v>0</v>
      </c>
      <c r="C57" s="931" t="s">
        <v>1638</v>
      </c>
      <c r="D57" s="931"/>
      <c r="E57" s="931"/>
      <c r="F57" s="931"/>
      <c r="G57" s="931"/>
      <c r="H57" s="931"/>
      <c r="I57" s="931"/>
      <c r="J57" s="931"/>
      <c r="K57" s="931"/>
      <c r="L57" s="931"/>
      <c r="M57" s="931"/>
      <c r="N57" s="931"/>
      <c r="O57" s="931"/>
      <c r="P57" s="931"/>
      <c r="Q57" s="931"/>
      <c r="R57" s="931"/>
      <c r="S57" s="931"/>
      <c r="T57" s="931"/>
      <c r="U57" s="931"/>
      <c r="V57" s="931"/>
      <c r="W57" s="931"/>
      <c r="X57" s="931"/>
      <c r="Y57" s="931"/>
      <c r="Z57" s="931"/>
      <c r="AA57" s="931"/>
      <c r="AB57" s="931"/>
      <c r="AC57" s="931"/>
      <c r="AD57" s="931"/>
      <c r="AE57" s="931"/>
      <c r="AF57" s="931"/>
      <c r="AG57" s="931"/>
      <c r="AH57" s="931"/>
      <c r="AI57" s="931"/>
      <c r="AJ57" s="931"/>
      <c r="AK57" s="931"/>
      <c r="AL57" s="931"/>
      <c r="AM57" s="931"/>
      <c r="AN57" s="931"/>
    </row>
    <row r="58" spans="1:40" ht="15" customHeight="1" x14ac:dyDescent="0.2">
      <c r="A58" s="106" t="s">
        <v>1639</v>
      </c>
      <c r="B58" s="354">
        <f>MATCH(B57,C53:AL53,0)</f>
        <v>1</v>
      </c>
      <c r="C58" s="931" t="s">
        <v>1640</v>
      </c>
      <c r="D58" s="931"/>
      <c r="E58" s="931"/>
      <c r="F58" s="931"/>
      <c r="G58" s="931"/>
      <c r="H58" s="931"/>
      <c r="I58" s="931"/>
      <c r="J58" s="931"/>
      <c r="K58" s="931"/>
      <c r="L58" s="931"/>
      <c r="M58" s="931"/>
      <c r="N58" s="931"/>
      <c r="O58" s="931"/>
      <c r="P58" s="931"/>
      <c r="Q58" s="931"/>
      <c r="R58" s="931"/>
      <c r="S58" s="931"/>
      <c r="T58" s="931"/>
      <c r="U58" s="931"/>
      <c r="V58" s="931"/>
      <c r="W58" s="931"/>
      <c r="X58" s="931"/>
      <c r="Y58" s="931"/>
      <c r="Z58" s="931"/>
      <c r="AA58" s="931"/>
      <c r="AB58" s="931"/>
      <c r="AC58" s="931"/>
      <c r="AD58" s="931"/>
      <c r="AE58" s="931"/>
      <c r="AF58" s="931"/>
      <c r="AG58" s="931"/>
      <c r="AH58" s="931"/>
      <c r="AI58" s="931"/>
      <c r="AJ58" s="931"/>
      <c r="AK58" s="931"/>
      <c r="AL58" s="931"/>
      <c r="AM58" s="931"/>
      <c r="AN58" s="931"/>
    </row>
    <row r="59" spans="1:40" ht="15" customHeight="1" x14ac:dyDescent="0.2">
      <c r="A59" s="106" t="s">
        <v>1641</v>
      </c>
      <c r="B59" s="106" t="str">
        <f>IFERROR(MATCH(TRUE(),INDEX(C44:AL44&gt;0,0),0),"Not in 36 mos")</f>
        <v>Not in 36 mos</v>
      </c>
      <c r="C59" s="931" t="s">
        <v>1642</v>
      </c>
      <c r="D59" s="931"/>
      <c r="E59" s="931"/>
      <c r="F59" s="931"/>
      <c r="G59" s="931"/>
      <c r="H59" s="931"/>
      <c r="I59" s="931"/>
      <c r="J59" s="931"/>
      <c r="K59" s="931"/>
      <c r="L59" s="931"/>
      <c r="M59" s="931"/>
      <c r="N59" s="931"/>
      <c r="O59" s="931"/>
      <c r="P59" s="931"/>
      <c r="Q59" s="931"/>
      <c r="R59" s="931"/>
      <c r="S59" s="931"/>
      <c r="T59" s="931"/>
      <c r="U59" s="931"/>
      <c r="V59" s="931"/>
      <c r="W59" s="931"/>
      <c r="X59" s="931"/>
      <c r="Y59" s="931"/>
      <c r="Z59" s="931"/>
      <c r="AA59" s="931"/>
      <c r="AB59" s="931"/>
      <c r="AC59" s="931"/>
      <c r="AD59" s="931"/>
      <c r="AE59" s="931"/>
      <c r="AF59" s="931"/>
      <c r="AG59" s="931"/>
      <c r="AH59" s="931"/>
      <c r="AI59" s="931"/>
      <c r="AJ59" s="931"/>
      <c r="AK59" s="931"/>
      <c r="AL59" s="931"/>
      <c r="AM59" s="931"/>
      <c r="AN59" s="931"/>
    </row>
    <row r="60" spans="1:40" ht="15" customHeight="1" x14ac:dyDescent="0.2">
      <c r="A60" s="106" t="s">
        <v>1643</v>
      </c>
      <c r="B60" s="106">
        <f>IFERROR(MATCH(TRUE(),INDEX(C29:AL29&gt;=$B$6,0),0),"Not in 36 mos")</f>
        <v>1</v>
      </c>
      <c r="C60" s="931" t="s">
        <v>1644</v>
      </c>
      <c r="D60" s="931"/>
      <c r="E60" s="931"/>
      <c r="F60" s="931"/>
      <c r="G60" s="931"/>
      <c r="H60" s="931"/>
      <c r="I60" s="931"/>
      <c r="J60" s="931"/>
      <c r="K60" s="931"/>
      <c r="L60" s="931"/>
      <c r="M60" s="931"/>
      <c r="N60" s="931"/>
      <c r="O60" s="931"/>
      <c r="P60" s="931"/>
      <c r="Q60" s="931"/>
      <c r="R60" s="931"/>
      <c r="S60" s="931"/>
      <c r="T60" s="931"/>
      <c r="U60" s="931"/>
      <c r="V60" s="931"/>
      <c r="W60" s="931"/>
      <c r="X60" s="931"/>
      <c r="Y60" s="931"/>
      <c r="Z60" s="931"/>
      <c r="AA60" s="931"/>
      <c r="AB60" s="931"/>
      <c r="AC60" s="931"/>
      <c r="AD60" s="931"/>
      <c r="AE60" s="931"/>
      <c r="AF60" s="931"/>
      <c r="AG60" s="931"/>
      <c r="AH60" s="931"/>
      <c r="AI60" s="931"/>
      <c r="AJ60" s="931"/>
      <c r="AK60" s="931"/>
      <c r="AL60" s="931"/>
      <c r="AM60" s="931"/>
      <c r="AN60" s="931"/>
    </row>
    <row r="61" spans="1:40" ht="15" customHeight="1" x14ac:dyDescent="0.2">
      <c r="A61" s="106" t="s">
        <v>1645</v>
      </c>
      <c r="B61" s="256">
        <f>SUM(C50:AL50)</f>
        <v>0</v>
      </c>
      <c r="C61" s="931" t="s">
        <v>1646</v>
      </c>
      <c r="D61" s="931"/>
      <c r="E61" s="931"/>
      <c r="F61" s="931"/>
      <c r="G61" s="931"/>
      <c r="H61" s="931"/>
      <c r="I61" s="931"/>
      <c r="J61" s="931"/>
      <c r="K61" s="931"/>
      <c r="L61" s="931"/>
      <c r="M61" s="931"/>
      <c r="N61" s="931"/>
      <c r="O61" s="931"/>
      <c r="P61" s="931"/>
      <c r="Q61" s="931"/>
      <c r="R61" s="931"/>
      <c r="S61" s="931"/>
      <c r="T61" s="931"/>
      <c r="U61" s="931"/>
      <c r="V61" s="931"/>
      <c r="W61" s="931"/>
      <c r="X61" s="931"/>
      <c r="Y61" s="931"/>
      <c r="Z61" s="931"/>
      <c r="AA61" s="931"/>
      <c r="AB61" s="931"/>
      <c r="AC61" s="931"/>
      <c r="AD61" s="931"/>
      <c r="AE61" s="931"/>
      <c r="AF61" s="931"/>
      <c r="AG61" s="931"/>
      <c r="AH61" s="931"/>
      <c r="AI61" s="931"/>
      <c r="AJ61" s="931"/>
      <c r="AK61" s="931"/>
      <c r="AL61" s="931"/>
      <c r="AM61" s="931"/>
      <c r="AN61" s="931"/>
    </row>
    <row r="62" spans="1:40" ht="15" customHeight="1" x14ac:dyDescent="0.2">
      <c r="A62" s="106" t="s">
        <v>1647</v>
      </c>
      <c r="B62" s="256">
        <f>SUM(C51:AL51)</f>
        <v>0</v>
      </c>
      <c r="C62" s="931" t="s">
        <v>1648</v>
      </c>
      <c r="D62" s="931"/>
      <c r="E62" s="931"/>
      <c r="F62" s="931"/>
      <c r="G62" s="931"/>
      <c r="H62" s="931"/>
      <c r="I62" s="931"/>
      <c r="J62" s="931"/>
      <c r="K62" s="931"/>
      <c r="L62" s="931"/>
      <c r="M62" s="931"/>
      <c r="N62" s="931"/>
      <c r="O62" s="931"/>
      <c r="P62" s="931"/>
      <c r="Q62" s="931"/>
      <c r="R62" s="931"/>
      <c r="S62" s="931"/>
      <c r="T62" s="931"/>
      <c r="U62" s="931"/>
      <c r="V62" s="931"/>
      <c r="W62" s="931"/>
      <c r="X62" s="931"/>
      <c r="Y62" s="931"/>
      <c r="Z62" s="931"/>
      <c r="AA62" s="931"/>
      <c r="AB62" s="931"/>
      <c r="AC62" s="931"/>
      <c r="AD62" s="931"/>
      <c r="AE62" s="931"/>
      <c r="AF62" s="931"/>
      <c r="AG62" s="931"/>
      <c r="AH62" s="931"/>
      <c r="AI62" s="931"/>
      <c r="AJ62" s="931"/>
      <c r="AK62" s="931"/>
      <c r="AL62" s="931"/>
      <c r="AM62" s="931"/>
      <c r="AN62" s="931"/>
    </row>
    <row r="63" spans="1:40" ht="15" customHeight="1" x14ac:dyDescent="0.2">
      <c r="A63" s="106" t="s">
        <v>1649</v>
      </c>
      <c r="B63" s="256">
        <f>SUM(C54:AL54)</f>
        <v>0</v>
      </c>
      <c r="C63" s="931" t="s">
        <v>1650</v>
      </c>
      <c r="D63" s="931"/>
      <c r="E63" s="931"/>
      <c r="F63" s="931"/>
      <c r="G63" s="931"/>
      <c r="H63" s="931"/>
      <c r="I63" s="931"/>
      <c r="J63" s="931"/>
      <c r="K63" s="931"/>
      <c r="L63" s="931"/>
      <c r="M63" s="931"/>
      <c r="N63" s="931"/>
      <c r="O63" s="931"/>
      <c r="P63" s="931"/>
      <c r="Q63" s="931"/>
      <c r="R63" s="931"/>
      <c r="S63" s="931"/>
      <c r="T63" s="931"/>
      <c r="U63" s="931"/>
      <c r="V63" s="931"/>
      <c r="W63" s="931"/>
      <c r="X63" s="931"/>
      <c r="Y63" s="931"/>
      <c r="Z63" s="931"/>
      <c r="AA63" s="931"/>
      <c r="AB63" s="931"/>
      <c r="AC63" s="931"/>
      <c r="AD63" s="931"/>
      <c r="AE63" s="931"/>
      <c r="AF63" s="931"/>
      <c r="AG63" s="931"/>
      <c r="AH63" s="931"/>
      <c r="AI63" s="931"/>
      <c r="AJ63" s="931"/>
      <c r="AK63" s="931"/>
      <c r="AL63" s="931"/>
      <c r="AM63" s="931"/>
      <c r="AN63" s="931"/>
    </row>
    <row r="64" spans="1:40" ht="15" customHeight="1" x14ac:dyDescent="0.2">
      <c r="A64" s="106" t="s">
        <v>1651</v>
      </c>
      <c r="B64" s="252">
        <f>AVERAGE(C29:N29)</f>
        <v>0</v>
      </c>
      <c r="C64" s="931" t="s">
        <v>1652</v>
      </c>
      <c r="D64" s="931"/>
      <c r="E64" s="931"/>
      <c r="F64" s="931"/>
      <c r="G64" s="931"/>
      <c r="H64" s="931"/>
      <c r="I64" s="931"/>
      <c r="J64" s="931"/>
      <c r="K64" s="931"/>
      <c r="L64" s="931"/>
      <c r="M64" s="931"/>
      <c r="N64" s="931"/>
      <c r="O64" s="931"/>
      <c r="P64" s="931"/>
      <c r="Q64" s="931"/>
      <c r="R64" s="931"/>
      <c r="S64" s="931"/>
      <c r="T64" s="931"/>
      <c r="U64" s="931"/>
      <c r="V64" s="931"/>
      <c r="W64" s="931"/>
      <c r="X64" s="931"/>
      <c r="Y64" s="931"/>
      <c r="Z64" s="931"/>
      <c r="AA64" s="931"/>
      <c r="AB64" s="931"/>
      <c r="AC64" s="931"/>
      <c r="AD64" s="931"/>
      <c r="AE64" s="931"/>
      <c r="AF64" s="931"/>
      <c r="AG64" s="931"/>
      <c r="AH64" s="931"/>
      <c r="AI64" s="931"/>
      <c r="AJ64" s="931"/>
      <c r="AK64" s="931"/>
      <c r="AL64" s="931"/>
      <c r="AM64" s="931"/>
      <c r="AN64" s="931"/>
    </row>
    <row r="65" spans="1:40" ht="15" customHeight="1" x14ac:dyDescent="0.2">
      <c r="A65" s="106" t="s">
        <v>1653</v>
      </c>
      <c r="B65" s="252">
        <f>AVERAGE(O29:Z29)</f>
        <v>0</v>
      </c>
      <c r="C65" s="931" t="s">
        <v>1654</v>
      </c>
      <c r="D65" s="931"/>
      <c r="E65" s="931"/>
      <c r="F65" s="931"/>
      <c r="G65" s="931"/>
      <c r="H65" s="931"/>
      <c r="I65" s="931"/>
      <c r="J65" s="931"/>
      <c r="K65" s="931"/>
      <c r="L65" s="931"/>
      <c r="M65" s="931"/>
      <c r="N65" s="931"/>
      <c r="O65" s="931"/>
      <c r="P65" s="931"/>
      <c r="Q65" s="931"/>
      <c r="R65" s="931"/>
      <c r="S65" s="931"/>
      <c r="T65" s="931"/>
      <c r="U65" s="931"/>
      <c r="V65" s="931"/>
      <c r="W65" s="931"/>
      <c r="X65" s="931"/>
      <c r="Y65" s="931"/>
      <c r="Z65" s="931"/>
      <c r="AA65" s="931"/>
      <c r="AB65" s="931"/>
      <c r="AC65" s="931"/>
      <c r="AD65" s="931"/>
      <c r="AE65" s="931"/>
      <c r="AF65" s="931"/>
      <c r="AG65" s="931"/>
      <c r="AH65" s="931"/>
      <c r="AI65" s="931"/>
      <c r="AJ65" s="931"/>
      <c r="AK65" s="931"/>
      <c r="AL65" s="931"/>
      <c r="AM65" s="931"/>
      <c r="AN65" s="931"/>
    </row>
    <row r="66" spans="1:40" ht="15" customHeight="1" x14ac:dyDescent="0.2">
      <c r="A66" s="106" t="s">
        <v>1655</v>
      </c>
      <c r="B66" s="252">
        <f>AVERAGE(AA29:AL29)</f>
        <v>0</v>
      </c>
      <c r="C66" s="931" t="s">
        <v>1656</v>
      </c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  <c r="O66" s="931"/>
      <c r="P66" s="931"/>
      <c r="Q66" s="931"/>
      <c r="R66" s="931"/>
      <c r="S66" s="931"/>
      <c r="T66" s="931"/>
      <c r="U66" s="931"/>
      <c r="V66" s="931"/>
      <c r="W66" s="931"/>
      <c r="X66" s="931"/>
      <c r="Y66" s="931"/>
      <c r="Z66" s="931"/>
      <c r="AA66" s="931"/>
      <c r="AB66" s="931"/>
      <c r="AC66" s="931"/>
      <c r="AD66" s="931"/>
      <c r="AE66" s="931"/>
      <c r="AF66" s="931"/>
      <c r="AG66" s="931"/>
      <c r="AH66" s="931"/>
      <c r="AI66" s="931"/>
      <c r="AJ66" s="931"/>
      <c r="AK66" s="931"/>
      <c r="AL66" s="931"/>
      <c r="AM66" s="931"/>
      <c r="AN66" s="931"/>
    </row>
    <row r="67" spans="1:40" ht="15" customHeight="1" x14ac:dyDescent="0.2">
      <c r="A67" s="106" t="s">
        <v>1657</v>
      </c>
      <c r="B67" s="256">
        <f>SUM(C42:N42)</f>
        <v>0</v>
      </c>
      <c r="C67" s="931" t="s">
        <v>1658</v>
      </c>
      <c r="D67" s="931"/>
      <c r="E67" s="931"/>
      <c r="F67" s="931"/>
      <c r="G67" s="931"/>
      <c r="H67" s="931"/>
      <c r="I67" s="931"/>
      <c r="J67" s="931"/>
      <c r="K67" s="931"/>
      <c r="L67" s="931"/>
      <c r="M67" s="931"/>
      <c r="N67" s="931"/>
      <c r="O67" s="931"/>
      <c r="P67" s="931"/>
      <c r="Q67" s="931"/>
      <c r="R67" s="931"/>
      <c r="S67" s="931"/>
      <c r="T67" s="931"/>
      <c r="U67" s="931"/>
      <c r="V67" s="931"/>
      <c r="W67" s="931"/>
      <c r="X67" s="931"/>
      <c r="Y67" s="931"/>
      <c r="Z67" s="931"/>
      <c r="AA67" s="931"/>
      <c r="AB67" s="931"/>
      <c r="AC67" s="931"/>
      <c r="AD67" s="931"/>
      <c r="AE67" s="931"/>
      <c r="AF67" s="931"/>
      <c r="AG67" s="931"/>
      <c r="AH67" s="931"/>
      <c r="AI67" s="931"/>
      <c r="AJ67" s="931"/>
      <c r="AK67" s="931"/>
      <c r="AL67" s="931"/>
      <c r="AM67" s="931"/>
      <c r="AN67" s="931"/>
    </row>
    <row r="68" spans="1:40" ht="15" customHeight="1" x14ac:dyDescent="0.2">
      <c r="A68" s="106" t="s">
        <v>1659</v>
      </c>
      <c r="B68" s="256">
        <f>SUM(O42:Z42)</f>
        <v>0</v>
      </c>
      <c r="C68" s="931"/>
      <c r="D68" s="931"/>
      <c r="E68" s="931"/>
      <c r="F68" s="931"/>
      <c r="G68" s="931"/>
      <c r="H68" s="931"/>
      <c r="I68" s="931"/>
      <c r="J68" s="931"/>
      <c r="K68" s="931"/>
      <c r="L68" s="931"/>
      <c r="M68" s="931"/>
      <c r="N68" s="931"/>
      <c r="O68" s="931"/>
      <c r="P68" s="931"/>
      <c r="Q68" s="931"/>
      <c r="R68" s="931"/>
      <c r="S68" s="931"/>
      <c r="T68" s="931"/>
      <c r="U68" s="931"/>
      <c r="V68" s="931"/>
      <c r="W68" s="931"/>
      <c r="X68" s="931"/>
      <c r="Y68" s="931"/>
      <c r="Z68" s="931"/>
      <c r="AA68" s="931"/>
      <c r="AB68" s="931"/>
      <c r="AC68" s="931"/>
      <c r="AD68" s="931"/>
      <c r="AE68" s="931"/>
      <c r="AF68" s="931"/>
      <c r="AG68" s="931"/>
      <c r="AH68" s="931"/>
      <c r="AI68" s="931"/>
      <c r="AJ68" s="931"/>
      <c r="AK68" s="931"/>
      <c r="AL68" s="931"/>
      <c r="AM68" s="931"/>
      <c r="AN68" s="931"/>
    </row>
    <row r="69" spans="1:40" ht="15" customHeight="1" x14ac:dyDescent="0.2">
      <c r="A69" s="106" t="s">
        <v>1660</v>
      </c>
      <c r="B69" s="256">
        <f>SUM(AA42:AL42)</f>
        <v>0</v>
      </c>
      <c r="C69" s="931"/>
      <c r="D69" s="931"/>
      <c r="E69" s="931"/>
      <c r="F69" s="931"/>
      <c r="G69" s="931"/>
      <c r="H69" s="931"/>
      <c r="I69" s="931"/>
      <c r="J69" s="931"/>
      <c r="K69" s="931"/>
      <c r="L69" s="931"/>
      <c r="M69" s="931"/>
      <c r="N69" s="931"/>
      <c r="O69" s="931"/>
      <c r="P69" s="931"/>
      <c r="Q69" s="931"/>
      <c r="R69" s="931"/>
      <c r="S69" s="931"/>
      <c r="T69" s="931"/>
      <c r="U69" s="931"/>
      <c r="V69" s="931"/>
      <c r="W69" s="931"/>
      <c r="X69" s="931"/>
      <c r="Y69" s="931"/>
      <c r="Z69" s="931"/>
      <c r="AA69" s="931"/>
      <c r="AB69" s="931"/>
      <c r="AC69" s="931"/>
      <c r="AD69" s="931"/>
      <c r="AE69" s="931"/>
      <c r="AF69" s="931"/>
      <c r="AG69" s="931"/>
      <c r="AH69" s="931"/>
      <c r="AI69" s="931"/>
      <c r="AJ69" s="931"/>
      <c r="AK69" s="931"/>
      <c r="AL69" s="931"/>
      <c r="AM69" s="931"/>
      <c r="AN69" s="931"/>
    </row>
    <row r="70" spans="1:40" ht="15" customHeight="1" x14ac:dyDescent="0.2">
      <c r="A70" s="106" t="s">
        <v>1661</v>
      </c>
      <c r="B70" s="109">
        <f>IFERROR(B69/(Scenarios!F17+B61),0)</f>
        <v>0</v>
      </c>
      <c r="C70" s="931" t="s">
        <v>1662</v>
      </c>
      <c r="D70" s="931"/>
      <c r="E70" s="931"/>
      <c r="F70" s="931"/>
      <c r="G70" s="931"/>
      <c r="H70" s="931"/>
      <c r="I70" s="931"/>
      <c r="J70" s="931"/>
      <c r="K70" s="931"/>
      <c r="L70" s="931"/>
      <c r="M70" s="931"/>
      <c r="N70" s="931"/>
      <c r="O70" s="931"/>
      <c r="P70" s="931"/>
      <c r="Q70" s="931"/>
      <c r="R70" s="931"/>
      <c r="S70" s="931"/>
      <c r="T70" s="931"/>
      <c r="U70" s="931"/>
      <c r="V70" s="931"/>
      <c r="W70" s="931"/>
      <c r="X70" s="931"/>
      <c r="Y70" s="931"/>
      <c r="Z70" s="931"/>
      <c r="AA70" s="931"/>
      <c r="AB70" s="931"/>
      <c r="AC70" s="931"/>
      <c r="AD70" s="931"/>
      <c r="AE70" s="931"/>
      <c r="AF70" s="931"/>
      <c r="AG70" s="931"/>
      <c r="AH70" s="931"/>
      <c r="AI70" s="931"/>
      <c r="AJ70" s="931"/>
      <c r="AK70" s="931"/>
      <c r="AL70" s="931"/>
      <c r="AM70" s="931"/>
      <c r="AN70" s="931"/>
    </row>
  </sheetData>
  <mergeCells count="39">
    <mergeCell ref="C67:AN67"/>
    <mergeCell ref="C68:AN68"/>
    <mergeCell ref="C69:AN69"/>
    <mergeCell ref="C70:AN70"/>
    <mergeCell ref="C62:AN62"/>
    <mergeCell ref="C63:AN63"/>
    <mergeCell ref="C64:AN64"/>
    <mergeCell ref="C65:AN65"/>
    <mergeCell ref="C66:AN66"/>
    <mergeCell ref="C57:AN57"/>
    <mergeCell ref="C58:AN58"/>
    <mergeCell ref="C59:AN59"/>
    <mergeCell ref="C60:AN60"/>
    <mergeCell ref="C61:AN61"/>
    <mergeCell ref="C23:AN23"/>
    <mergeCell ref="A25:AN25"/>
    <mergeCell ref="A39:AN39"/>
    <mergeCell ref="A47:AN47"/>
    <mergeCell ref="A56:AN56"/>
    <mergeCell ref="C18:AN18"/>
    <mergeCell ref="C19:AN19"/>
    <mergeCell ref="C20:AN20"/>
    <mergeCell ref="C21:AN21"/>
    <mergeCell ref="C22:AN22"/>
    <mergeCell ref="C13:AN13"/>
    <mergeCell ref="C14:AN14"/>
    <mergeCell ref="C15:AN15"/>
    <mergeCell ref="C16:AN16"/>
    <mergeCell ref="C17:AN17"/>
    <mergeCell ref="C8:AN8"/>
    <mergeCell ref="C9:AN9"/>
    <mergeCell ref="C10:AN10"/>
    <mergeCell ref="C11:AN11"/>
    <mergeCell ref="C12:AN12"/>
    <mergeCell ref="A1:AN1"/>
    <mergeCell ref="A4:AN4"/>
    <mergeCell ref="C5:AN5"/>
    <mergeCell ref="C6:AN6"/>
    <mergeCell ref="C7:AN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9"/>
  <sheetViews>
    <sheetView zoomScaleNormal="100" workbookViewId="0">
      <selection activeCell="D33" sqref="D33"/>
    </sheetView>
  </sheetViews>
  <sheetFormatPr baseColWidth="10" defaultColWidth="8.83203125" defaultRowHeight="15" x14ac:dyDescent="0.2"/>
  <cols>
    <col min="1" max="1" width="32" customWidth="1"/>
    <col min="2" max="4" width="26" customWidth="1"/>
    <col min="5" max="12" width="13" customWidth="1"/>
    <col min="13" max="13" width="14" customWidth="1"/>
    <col min="14" max="14" width="24" customWidth="1"/>
  </cols>
  <sheetData>
    <row r="1" spans="1:14" ht="24" customHeight="1" x14ac:dyDescent="0.2">
      <c r="A1" s="938" t="str">
        <f>IF('Prop Info'!B4="","LOAN SUMMARY — THREE-TRANCHE DEBT STRUCTURE","LOAN SUMMARY — THREE-TRANCHE DEBT STRUCTURE"&amp;" — "&amp;'Prop Info'!B4)</f>
        <v>LOAN SUMMARY — THREE-TRANCHE DEBT STRUCTURE</v>
      </c>
      <c r="B1" s="938"/>
      <c r="C1" s="938"/>
      <c r="D1" s="938"/>
      <c r="E1" s="938"/>
      <c r="F1" s="938"/>
    </row>
    <row r="2" spans="1:14" ht="15.75" customHeight="1" x14ac:dyDescent="0.2">
      <c r="A2" s="944" t="s">
        <v>1663</v>
      </c>
      <c r="B2" s="944"/>
      <c r="C2" s="944"/>
      <c r="D2" s="944"/>
      <c r="E2" s="944"/>
      <c r="F2" s="944"/>
    </row>
    <row r="3" spans="1:14" ht="30" customHeight="1" x14ac:dyDescent="0.2">
      <c r="A3" s="34" t="s">
        <v>11</v>
      </c>
      <c r="B3" s="187" t="s">
        <v>1664</v>
      </c>
      <c r="C3" s="21" t="s">
        <v>43</v>
      </c>
      <c r="D3" s="477" t="s">
        <v>44</v>
      </c>
      <c r="E3" s="34" t="s">
        <v>653</v>
      </c>
    </row>
    <row r="4" spans="1:14" ht="18" customHeight="1" x14ac:dyDescent="0.2">
      <c r="A4" s="9" t="s">
        <v>1665</v>
      </c>
      <c r="B4" s="147">
        <f>Scenarios!F88</f>
        <v>0</v>
      </c>
      <c r="C4" s="147">
        <f>Scenarios!F95</f>
        <v>0</v>
      </c>
      <c r="D4" s="147">
        <f>Scenarios!F102</f>
        <v>0</v>
      </c>
      <c r="E4" s="268">
        <f>B4+C4+D4</f>
        <v>0</v>
      </c>
    </row>
    <row r="5" spans="1:14" ht="18" customHeight="1" x14ac:dyDescent="0.2">
      <c r="A5" s="11" t="s">
        <v>1666</v>
      </c>
      <c r="B5" s="478">
        <f>Scenarios!F90</f>
        <v>0</v>
      </c>
      <c r="C5" s="478">
        <f>Scenarios!F97</f>
        <v>0</v>
      </c>
      <c r="D5" s="478">
        <f>Scenarios!F104</f>
        <v>0</v>
      </c>
      <c r="E5" s="479" t="s">
        <v>46</v>
      </c>
    </row>
    <row r="6" spans="1:14" ht="18" customHeight="1" x14ac:dyDescent="0.2">
      <c r="A6" s="9" t="s">
        <v>1667</v>
      </c>
      <c r="B6" s="458">
        <f>Scenarios!F89</f>
        <v>0</v>
      </c>
      <c r="C6" s="458">
        <f>Scenarios!F96</f>
        <v>0</v>
      </c>
      <c r="D6" s="458">
        <f>Scenarios!F103</f>
        <v>0</v>
      </c>
      <c r="E6" s="469" t="s">
        <v>46</v>
      </c>
    </row>
    <row r="7" spans="1:14" ht="18" customHeight="1" x14ac:dyDescent="0.2">
      <c r="A7" s="11" t="s">
        <v>234</v>
      </c>
      <c r="B7" s="478">
        <f>Scenarios!F91</f>
        <v>0</v>
      </c>
      <c r="C7" s="478">
        <f>Scenarios!F98</f>
        <v>0</v>
      </c>
      <c r="D7" s="478">
        <f>Scenarios!F105</f>
        <v>0</v>
      </c>
      <c r="E7" s="479" t="s">
        <v>46</v>
      </c>
    </row>
    <row r="8" spans="1:14" ht="18" customHeight="1" x14ac:dyDescent="0.2">
      <c r="A8" s="9" t="s">
        <v>235</v>
      </c>
      <c r="B8" s="138">
        <f>Scenarios!F92</f>
        <v>0</v>
      </c>
      <c r="C8" s="138">
        <f>Scenarios!F99</f>
        <v>0</v>
      </c>
      <c r="D8" s="138">
        <f>Scenarios!F106</f>
        <v>0</v>
      </c>
      <c r="E8" s="479" t="s">
        <v>46</v>
      </c>
    </row>
    <row r="9" spans="1:14" ht="18" customHeight="1" x14ac:dyDescent="0.2">
      <c r="A9" s="11" t="s">
        <v>1668</v>
      </c>
      <c r="B9" s="480">
        <f>Scenarios!F93</f>
        <v>0.01</v>
      </c>
      <c r="C9" s="480">
        <f>Scenarios!F100</f>
        <v>0</v>
      </c>
      <c r="D9" s="480">
        <f>Scenarios!F107</f>
        <v>0</v>
      </c>
      <c r="E9" s="469" t="s">
        <v>46</v>
      </c>
    </row>
    <row r="10" spans="1:14" ht="18" customHeight="1" x14ac:dyDescent="0.2">
      <c r="A10" s="9" t="s">
        <v>1669</v>
      </c>
      <c r="B10" s="267">
        <f>B4*B9</f>
        <v>0</v>
      </c>
      <c r="C10" s="267">
        <f>C4*C9</f>
        <v>0</v>
      </c>
      <c r="D10" s="267">
        <f>D4*D9</f>
        <v>0</v>
      </c>
      <c r="E10" s="268">
        <f>IFERROR(B10,0)+IFERROR(C10,0)+IFERROR(D10,0)</f>
        <v>0</v>
      </c>
    </row>
    <row r="11" spans="1:14" ht="18" customHeight="1" x14ac:dyDescent="0.2">
      <c r="A11" s="11" t="s">
        <v>1569</v>
      </c>
      <c r="B11" s="424">
        <f>IFERROR(IF(B4=0,0,IF(B8&gt;0,B4*B6,B12*12)),0)</f>
        <v>0</v>
      </c>
      <c r="C11" s="424">
        <f>IFERROR(IF(C4=0,0,IF(C8&gt;0,C4*C6,C12*12)),0)</f>
        <v>0</v>
      </c>
      <c r="D11" s="424">
        <f>IFERROR(IF(D4=0,0,IF(D8&gt;0,D4*D6,D12*12)),0)</f>
        <v>0</v>
      </c>
      <c r="E11" s="268">
        <f>B11+C11+D11</f>
        <v>0</v>
      </c>
    </row>
    <row r="12" spans="1:14" ht="18" customHeight="1" x14ac:dyDescent="0.2">
      <c r="A12" s="9" t="s">
        <v>1670</v>
      </c>
      <c r="B12" s="267">
        <f>IFERROR(IF(B4=0,0,-PMT(B6/12,B5*12,B4)),0)</f>
        <v>0</v>
      </c>
      <c r="C12" s="267">
        <f>IFERROR(IF(C4=0,0,-PMT(C6/12,C5*12,C4)),0)</f>
        <v>0</v>
      </c>
      <c r="D12" s="267">
        <f>IFERROR(IF(D4=0,0,-PMT(D6/12,D5*12,D4)),0)</f>
        <v>0</v>
      </c>
      <c r="E12" s="268">
        <f>B12+C12+D12</f>
        <v>0</v>
      </c>
    </row>
    <row r="13" spans="1:14" ht="18" customHeight="1" x14ac:dyDescent="0.2">
      <c r="A13" s="11" t="s">
        <v>1671</v>
      </c>
      <c r="B13" s="424">
        <f>IFERROR(B4*B6,0)</f>
        <v>0</v>
      </c>
      <c r="C13" s="424">
        <f>IFERROR(C4*C6,0)</f>
        <v>0</v>
      </c>
      <c r="D13" s="424">
        <f>IFERROR(D4*D6,0)</f>
        <v>0</v>
      </c>
      <c r="E13" s="268">
        <f>B13+C13+D13</f>
        <v>0</v>
      </c>
    </row>
    <row r="14" spans="1:14" ht="18" customHeight="1" x14ac:dyDescent="0.2">
      <c r="A14" s="9" t="s">
        <v>1672</v>
      </c>
      <c r="B14" s="267">
        <f>IFERROR(ABS(B11)-B13,0)</f>
        <v>0</v>
      </c>
      <c r="C14" s="267">
        <f>IFERROR(ABS(C11)-C13,0)</f>
        <v>0</v>
      </c>
      <c r="D14" s="267">
        <f>IFERROR(ABS(D11)-D13,0)</f>
        <v>0</v>
      </c>
      <c r="E14" s="268">
        <f>B14+C14+D14</f>
        <v>0</v>
      </c>
    </row>
    <row r="16" spans="1:14" ht="21.75" customHeight="1" x14ac:dyDescent="0.2">
      <c r="A16" s="964" t="s">
        <v>1673</v>
      </c>
      <c r="B16" s="964"/>
      <c r="C16" s="964"/>
      <c r="D16" s="964"/>
      <c r="E16" s="964"/>
      <c r="F16" s="964"/>
      <c r="G16" s="964"/>
      <c r="H16" s="964"/>
      <c r="I16" s="964"/>
      <c r="J16" s="964"/>
      <c r="K16" s="964"/>
      <c r="L16" s="964"/>
      <c r="M16" s="964"/>
      <c r="N16" s="964"/>
    </row>
    <row r="17" spans="1:15" ht="15" customHeight="1" x14ac:dyDescent="0.2">
      <c r="A17" s="481" t="s">
        <v>11</v>
      </c>
      <c r="B17" s="45" t="s">
        <v>1674</v>
      </c>
      <c r="C17" s="481"/>
      <c r="D17" s="481"/>
      <c r="E17" s="481" t="s">
        <v>55</v>
      </c>
    </row>
    <row r="18" spans="1:15" ht="15" customHeight="1" x14ac:dyDescent="0.2">
      <c r="A18" s="441" t="s">
        <v>1665</v>
      </c>
      <c r="B18" s="23">
        <f>IFERROR('Exit Strategy'!B10, 0)</f>
        <v>0</v>
      </c>
      <c r="C18" s="482"/>
      <c r="D18" s="482"/>
      <c r="E18" s="483" t="s">
        <v>1675</v>
      </c>
    </row>
    <row r="19" spans="1:15" ht="15" customHeight="1" x14ac:dyDescent="0.2">
      <c r="A19" s="13" t="s">
        <v>1666</v>
      </c>
      <c r="B19" s="484"/>
      <c r="C19" s="411"/>
      <c r="D19" s="411"/>
      <c r="E19" s="412" t="s">
        <v>1676</v>
      </c>
    </row>
    <row r="20" spans="1:15" ht="15" customHeight="1" x14ac:dyDescent="0.2">
      <c r="A20" s="441" t="s">
        <v>1667</v>
      </c>
      <c r="B20" s="485">
        <f>IFERROR('Exit Strategy'!B11, 0)</f>
        <v>0</v>
      </c>
      <c r="C20" s="482"/>
      <c r="D20" s="482"/>
      <c r="E20" s="483" t="s">
        <v>1677</v>
      </c>
    </row>
    <row r="21" spans="1:15" ht="15" customHeight="1" x14ac:dyDescent="0.2">
      <c r="A21" s="13" t="s">
        <v>234</v>
      </c>
      <c r="B21" s="484">
        <v>10</v>
      </c>
      <c r="C21" s="411"/>
      <c r="D21" s="411"/>
      <c r="E21" s="412" t="s">
        <v>1678</v>
      </c>
    </row>
    <row r="22" spans="1:15" ht="15" customHeight="1" x14ac:dyDescent="0.2">
      <c r="A22" s="441" t="s">
        <v>235</v>
      </c>
      <c r="B22" s="484">
        <v>0</v>
      </c>
      <c r="C22" s="482"/>
      <c r="D22" s="482"/>
      <c r="E22" s="483" t="s">
        <v>1679</v>
      </c>
    </row>
    <row r="23" spans="1:15" ht="15" customHeight="1" x14ac:dyDescent="0.2">
      <c r="A23" s="13" t="s">
        <v>1569</v>
      </c>
      <c r="B23" s="424">
        <f>IFERROR(IF(B18=0,0,IF(B22&gt;0,B18*B20,B24*12)),0)</f>
        <v>0</v>
      </c>
      <c r="C23" s="411"/>
      <c r="D23" s="411"/>
      <c r="E23" s="412" t="s">
        <v>1680</v>
      </c>
    </row>
    <row r="24" spans="1:15" ht="15" customHeight="1" x14ac:dyDescent="0.2">
      <c r="A24" s="441" t="s">
        <v>1670</v>
      </c>
      <c r="B24" s="267">
        <f>IFERROR(IF(B18=0,0,-PMT(B20/12,B19*12,B18)),0)</f>
        <v>0</v>
      </c>
      <c r="C24" s="482"/>
      <c r="D24" s="482"/>
      <c r="E24" s="483"/>
    </row>
    <row r="25" spans="1:15" ht="15" customHeight="1" x14ac:dyDescent="0.2">
      <c r="A25" s="13" t="s">
        <v>1671</v>
      </c>
      <c r="B25" s="424">
        <f>IFERROR(B18*B20,0)</f>
        <v>0</v>
      </c>
      <c r="C25" s="411"/>
      <c r="D25" s="411"/>
      <c r="E25" s="412"/>
    </row>
    <row r="26" spans="1:15" ht="15" customHeight="1" x14ac:dyDescent="0.2">
      <c r="A26" s="441" t="s">
        <v>1672</v>
      </c>
      <c r="B26" s="267">
        <f>IFERROR(MAX(B23-B25,0),0)</f>
        <v>0</v>
      </c>
      <c r="C26" s="482"/>
      <c r="D26" s="482"/>
      <c r="E26" s="483"/>
    </row>
    <row r="28" spans="1:15" ht="21.75" customHeight="1" x14ac:dyDescent="0.2">
      <c r="A28" s="933" t="s">
        <v>1681</v>
      </c>
      <c r="B28" s="933"/>
      <c r="C28" s="933"/>
      <c r="D28" s="933"/>
      <c r="E28" s="933"/>
      <c r="F28" s="933"/>
      <c r="G28" s="933"/>
      <c r="H28" s="933"/>
      <c r="I28" s="933"/>
      <c r="J28" s="933"/>
      <c r="K28" s="933"/>
      <c r="L28" s="933"/>
      <c r="M28" s="933"/>
      <c r="N28" s="933"/>
      <c r="O28" s="411"/>
    </row>
    <row r="29" spans="1:15" ht="15" customHeight="1" x14ac:dyDescent="0.2">
      <c r="A29" s="441" t="s">
        <v>1682</v>
      </c>
      <c r="B29" s="138">
        <f>'Exit Strategy'!C5</f>
        <v>3</v>
      </c>
      <c r="C29" s="411"/>
      <c r="D29" s="411"/>
      <c r="E29" s="411"/>
      <c r="F29" s="411"/>
      <c r="G29" s="411"/>
      <c r="H29" s="411"/>
      <c r="I29" s="411"/>
      <c r="J29" s="411"/>
      <c r="K29" s="411"/>
      <c r="L29" s="411"/>
      <c r="M29" s="411"/>
      <c r="N29" s="483" t="s">
        <v>1683</v>
      </c>
      <c r="O29" s="411"/>
    </row>
    <row r="30" spans="1:15" ht="15" customHeight="1" x14ac:dyDescent="0.2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</row>
    <row r="31" spans="1:15" ht="21.75" customHeight="1" x14ac:dyDescent="0.2">
      <c r="A31" s="964" t="s">
        <v>1684</v>
      </c>
      <c r="B31" s="964"/>
      <c r="C31" s="964"/>
      <c r="D31" s="964"/>
      <c r="E31" s="964"/>
      <c r="F31" s="964"/>
      <c r="G31" s="964"/>
      <c r="H31" s="964"/>
      <c r="I31" s="964"/>
      <c r="J31" s="964"/>
      <c r="K31" s="964"/>
      <c r="L31" s="964"/>
      <c r="M31" s="964"/>
      <c r="N31" s="964"/>
      <c r="O31" s="411"/>
    </row>
    <row r="32" spans="1:15" ht="19.5" customHeight="1" x14ac:dyDescent="0.2">
      <c r="A32" s="481" t="s">
        <v>11</v>
      </c>
      <c r="B32" s="481" t="s">
        <v>1685</v>
      </c>
      <c r="C32" s="45" t="s">
        <v>1471</v>
      </c>
      <c r="D32" s="45" t="s">
        <v>1472</v>
      </c>
      <c r="E32" s="45" t="s">
        <v>1473</v>
      </c>
      <c r="F32" s="45" t="s">
        <v>1474</v>
      </c>
      <c r="G32" s="45" t="s">
        <v>1475</v>
      </c>
      <c r="H32" s="45" t="s">
        <v>1476</v>
      </c>
      <c r="I32" s="45" t="s">
        <v>1477</v>
      </c>
      <c r="J32" s="45" t="s">
        <v>1478</v>
      </c>
      <c r="K32" s="45" t="s">
        <v>1479</v>
      </c>
      <c r="L32" s="45" t="s">
        <v>1480</v>
      </c>
      <c r="M32" s="411"/>
      <c r="N32" s="411"/>
      <c r="O32" s="411"/>
    </row>
    <row r="33" spans="1:15" ht="15" customHeight="1" x14ac:dyDescent="0.2">
      <c r="A33" s="13" t="s">
        <v>1686</v>
      </c>
      <c r="B33" s="412" t="s">
        <v>1687</v>
      </c>
      <c r="C33" s="40" t="str">
        <f>IF(1&lt;=IF(ISNUMBER($B$29),$B$29,$B$7),"Yes","No")</f>
        <v>Yes</v>
      </c>
      <c r="D33" s="40" t="str">
        <f>IF(2&lt;=IF(ISNUMBER($B$29),$B$29,$B$7),"Yes","No")</f>
        <v>Yes</v>
      </c>
      <c r="E33" s="40" t="str">
        <f>IF(3&lt;=IF(ISNUMBER($B$29),$B$29,$B$7),"Yes","No")</f>
        <v>Yes</v>
      </c>
      <c r="F33" s="40" t="str">
        <f>IF(4&lt;=IF(ISNUMBER($B$29),$B$29,$B$7),"Yes","No")</f>
        <v>No</v>
      </c>
      <c r="G33" s="40" t="str">
        <f>IF(5&lt;=IF(ISNUMBER($B$29),$B$29,$B$7),"Yes","No")</f>
        <v>No</v>
      </c>
      <c r="H33" s="40" t="str">
        <f>IF(6&lt;=IF(ISNUMBER($B$29),$B$29,$B$7),"Yes","No")</f>
        <v>No</v>
      </c>
      <c r="I33" s="40" t="str">
        <f>IF(7&lt;=IF(ISNUMBER($B$29),$B$29,$B$7),"Yes","No")</f>
        <v>No</v>
      </c>
      <c r="J33" s="40" t="str">
        <f>IF(8&lt;=IF(ISNUMBER($B$29),$B$29,$B$7),"Yes","No")</f>
        <v>No</v>
      </c>
      <c r="K33" s="40" t="str">
        <f>IF(9&lt;=IF(ISNUMBER($B$29),$B$29,$B$7),"Yes","No")</f>
        <v>No</v>
      </c>
      <c r="L33" s="40" t="str">
        <f>IF(10&lt;=IF(ISNUMBER($B$29),$B$29,$B$7),"Yes","No")</f>
        <v>No</v>
      </c>
      <c r="M33" s="411"/>
      <c r="N33" s="411"/>
      <c r="O33" s="411"/>
    </row>
    <row r="34" spans="1:15" ht="15" customHeight="1" x14ac:dyDescent="0.2">
      <c r="A34" s="441" t="s">
        <v>1688</v>
      </c>
      <c r="B34" s="483" t="s">
        <v>1689</v>
      </c>
      <c r="C34" s="267">
        <f>IF(1=1,$B$4,INDEX($C37:$L37,1,1-1))</f>
        <v>0</v>
      </c>
      <c r="D34" s="267">
        <f>IF(2=1,$B$4,INDEX($C37:$L37,1,2-1))</f>
        <v>0</v>
      </c>
      <c r="E34" s="267">
        <f>IF(3=1,$B$4,INDEX($C37:$L37,1,3-1))</f>
        <v>0</v>
      </c>
      <c r="F34" s="267">
        <f>IF(4=1,$B$4,INDEX($C37:$L37,1,4-1))</f>
        <v>0</v>
      </c>
      <c r="G34" s="267">
        <f>IF(5=1,$B$4,INDEX($C37:$L37,1,5-1))</f>
        <v>0</v>
      </c>
      <c r="H34" s="267">
        <f>IF(6=1,$B$4,INDEX($C37:$L37,1,6-1))</f>
        <v>0</v>
      </c>
      <c r="I34" s="267">
        <f>IF(7=1,$B$4,INDEX($C37:$L37,1,7-1))</f>
        <v>0</v>
      </c>
      <c r="J34" s="267">
        <f>IF(8=1,$B$4,INDEX($C37:$L37,1,8-1))</f>
        <v>0</v>
      </c>
      <c r="K34" s="267">
        <f>IF(9=1,$B$4,INDEX($C37:$L37,1,9-1))</f>
        <v>0</v>
      </c>
      <c r="L34" s="267">
        <f>IF(10=1,$B$4,INDEX($C37:$L37,1,10-1))</f>
        <v>0</v>
      </c>
      <c r="M34" s="411"/>
      <c r="N34" s="411"/>
      <c r="O34" s="411"/>
    </row>
    <row r="35" spans="1:15" ht="15" customHeight="1" x14ac:dyDescent="0.2">
      <c r="A35" s="13" t="s">
        <v>1690</v>
      </c>
      <c r="B35" s="412" t="s">
        <v>1691</v>
      </c>
      <c r="C35" s="424">
        <f>IF(C33="No",0,IF(1*12&lt;=$B$8,C34*$B$6,IFERROR(-CUMIPMT($B$6/12,$B$5*12,$B$4,(1-$B$8/12-1)*12+1,(1-$B$8/12)*12,0),C34*$B$6)))</f>
        <v>0</v>
      </c>
      <c r="D35" s="424">
        <f>IF(D33="No",0,IF(2*12&lt;=$B$8,D34*$B$6,IFERROR(-CUMIPMT($B$6/12,$B$5*12,$B$4,(2-$B$8/12-1)*12+1,(2-$B$8/12)*12,0),D34*$B$6)))</f>
        <v>0</v>
      </c>
      <c r="E35" s="424">
        <f>IF(E33="No",0,IF(3*12&lt;=$B$8,E34*$B$6,IFERROR(-CUMIPMT($B$6/12,$B$5*12,$B$4,(3-$B$8/12-1)*12+1,(3-$B$8/12)*12,0),E34*$B$6)))</f>
        <v>0</v>
      </c>
      <c r="F35" s="424">
        <f>IF(F33="No",0,IF(4*12&lt;=$B$8,F34*$B$6,IFERROR(-CUMIPMT($B$6/12,$B$5*12,$B$4,(4-$B$8/12-1)*12+1,(4-$B$8/12)*12,0),F34*$B$6)))</f>
        <v>0</v>
      </c>
      <c r="G35" s="424">
        <f>IF(G33="No",0,IF(5*12&lt;=$B$8,G34*$B$6,IFERROR(-CUMIPMT($B$6/12,$B$5*12,$B$4,(5-$B$8/12-1)*12+1,(5-$B$8/12)*12,0),G34*$B$6)))</f>
        <v>0</v>
      </c>
      <c r="H35" s="424">
        <f>IF(H33="No",0,IF(6*12&lt;=$B$8,H34*$B$6,IFERROR(-CUMIPMT($B$6/12,$B$5*12,$B$4,(6-$B$8/12-1)*12+1,(6-$B$8/12)*12,0),H34*$B$6)))</f>
        <v>0</v>
      </c>
      <c r="I35" s="424">
        <f>IF(I33="No",0,IF(7*12&lt;=$B$8,I34*$B$6,IFERROR(-CUMIPMT($B$6/12,$B$5*12,$B$4,(7-$B$8/12-1)*12+1,(7-$B$8/12)*12,0),I34*$B$6)))</f>
        <v>0</v>
      </c>
      <c r="J35" s="424">
        <f>IF(J33="No",0,IF(8*12&lt;=$B$8,J34*$B$6,IFERROR(-CUMIPMT($B$6/12,$B$5*12,$B$4,(8-$B$8/12-1)*12+1,(8-$B$8/12)*12,0),J34*$B$6)))</f>
        <v>0</v>
      </c>
      <c r="K35" s="424">
        <f>IF(K33="No",0,IF(9*12&lt;=$B$8,K34*$B$6,IFERROR(-CUMIPMT($B$6/12,$B$5*12,$B$4,(9-$B$8/12-1)*12+1,(9-$B$8/12)*12,0),K34*$B$6)))</f>
        <v>0</v>
      </c>
      <c r="L35" s="424">
        <f>IF(L33="No",0,IF(10*12&lt;=$B$8,L34*$B$6,IFERROR(-CUMIPMT($B$6/12,$B$5*12,$B$4,(10-$B$8/12-1)*12+1,(10-$B$8/12)*12,0),L34*$B$6)))</f>
        <v>0</v>
      </c>
      <c r="M35" s="411"/>
      <c r="N35" s="411"/>
      <c r="O35" s="411"/>
    </row>
    <row r="36" spans="1:15" ht="15" customHeight="1" x14ac:dyDescent="0.2">
      <c r="A36" s="441" t="s">
        <v>1692</v>
      </c>
      <c r="B36" s="483" t="s">
        <v>1693</v>
      </c>
      <c r="C36" s="267">
        <f>IF(C33="No",0,IF(1*12&lt;=$B$8,0,IFERROR(-CUMPRINC($B$6/12,$B$5*12,$B$4,(1-$B$8/12-1)*12+1,(1-$B$8/12)*12,0),0)))</f>
        <v>0</v>
      </c>
      <c r="D36" s="267">
        <f>IF(D33="No",0,IF(2*12&lt;=$B$8,0,IFERROR(-CUMPRINC($B$6/12,$B$5*12,$B$4,(2-$B$8/12-1)*12+1,(2-$B$8/12)*12,0),0)))</f>
        <v>0</v>
      </c>
      <c r="E36" s="267">
        <f>IF(E33="No",0,IF(3*12&lt;=$B$8,0,IFERROR(-CUMPRINC($B$6/12,$B$5*12,$B$4,(3-$B$8/12-1)*12+1,(3-$B$8/12)*12,0),0)))</f>
        <v>0</v>
      </c>
      <c r="F36" s="267">
        <f>IF(F33="No",0,IF(4*12&lt;=$B$8,0,IFERROR(-CUMPRINC($B$6/12,$B$5*12,$B$4,(4-$B$8/12-1)*12+1,(4-$B$8/12)*12,0),0)))</f>
        <v>0</v>
      </c>
      <c r="G36" s="267">
        <f>IF(G33="No",0,IF(5*12&lt;=$B$8,0,IFERROR(-CUMPRINC($B$6/12,$B$5*12,$B$4,(5-$B$8/12-1)*12+1,(5-$B$8/12)*12,0),0)))</f>
        <v>0</v>
      </c>
      <c r="H36" s="267">
        <f>IF(H33="No",0,IF(6*12&lt;=$B$8,0,IFERROR(-CUMPRINC($B$6/12,$B$5*12,$B$4,(6-$B$8/12-1)*12+1,(6-$B$8/12)*12,0),0)))</f>
        <v>0</v>
      </c>
      <c r="I36" s="267">
        <f>IF(I33="No",0,IF(7*12&lt;=$B$8,0,IFERROR(-CUMPRINC($B$6/12,$B$5*12,$B$4,(7-$B$8/12-1)*12+1,(7-$B$8/12)*12,0),0)))</f>
        <v>0</v>
      </c>
      <c r="J36" s="267">
        <f>IF(J33="No",0,IF(8*12&lt;=$B$8,0,IFERROR(-CUMPRINC($B$6/12,$B$5*12,$B$4,(8-$B$8/12-1)*12+1,(8-$B$8/12)*12,0),0)))</f>
        <v>0</v>
      </c>
      <c r="K36" s="267">
        <f>IF(K33="No",0,IF(9*12&lt;=$B$8,0,IFERROR(-CUMPRINC($B$6/12,$B$5*12,$B$4,(9-$B$8/12-1)*12+1,(9-$B$8/12)*12,0),0)))</f>
        <v>0</v>
      </c>
      <c r="L36" s="267">
        <f>IF(L33="No",0,IF(10*12&lt;=$B$8,0,IFERROR(-CUMPRINC($B$6/12,$B$5*12,$B$4,(10-$B$8/12-1)*12+1,(10-$B$8/12)*12,0),0)))</f>
        <v>0</v>
      </c>
      <c r="M36" s="411"/>
      <c r="N36" s="411"/>
      <c r="O36" s="411"/>
    </row>
    <row r="37" spans="1:15" ht="15" customHeight="1" x14ac:dyDescent="0.2">
      <c r="A37" s="13" t="s">
        <v>1694</v>
      </c>
      <c r="B37" s="412" t="s">
        <v>1695</v>
      </c>
      <c r="C37" s="424">
        <f t="shared" ref="C37:L37" si="0">IF(C33="No",0,C34-C36)</f>
        <v>0</v>
      </c>
      <c r="D37" s="424">
        <f t="shared" si="0"/>
        <v>0</v>
      </c>
      <c r="E37" s="424">
        <f t="shared" si="0"/>
        <v>0</v>
      </c>
      <c r="F37" s="424">
        <f t="shared" si="0"/>
        <v>0</v>
      </c>
      <c r="G37" s="424">
        <f t="shared" si="0"/>
        <v>0</v>
      </c>
      <c r="H37" s="424">
        <f t="shared" si="0"/>
        <v>0</v>
      </c>
      <c r="I37" s="424">
        <f t="shared" si="0"/>
        <v>0</v>
      </c>
      <c r="J37" s="424">
        <f t="shared" si="0"/>
        <v>0</v>
      </c>
      <c r="K37" s="424">
        <f t="shared" si="0"/>
        <v>0</v>
      </c>
      <c r="L37" s="424">
        <f t="shared" si="0"/>
        <v>0</v>
      </c>
      <c r="M37" s="411"/>
      <c r="N37" s="411"/>
      <c r="O37" s="411"/>
    </row>
    <row r="38" spans="1:15" ht="15" customHeight="1" x14ac:dyDescent="0.2">
      <c r="A38" s="442" t="s">
        <v>1696</v>
      </c>
      <c r="B38" s="486" t="s">
        <v>1697</v>
      </c>
      <c r="C38" s="487">
        <f t="shared" ref="C38:L38" si="1">C35+C36</f>
        <v>0</v>
      </c>
      <c r="D38" s="487">
        <f t="shared" si="1"/>
        <v>0</v>
      </c>
      <c r="E38" s="487">
        <f t="shared" si="1"/>
        <v>0</v>
      </c>
      <c r="F38" s="487">
        <f t="shared" si="1"/>
        <v>0</v>
      </c>
      <c r="G38" s="487">
        <f t="shared" si="1"/>
        <v>0</v>
      </c>
      <c r="H38" s="487">
        <f t="shared" si="1"/>
        <v>0</v>
      </c>
      <c r="I38" s="487">
        <f t="shared" si="1"/>
        <v>0</v>
      </c>
      <c r="J38" s="487">
        <f t="shared" si="1"/>
        <v>0</v>
      </c>
      <c r="K38" s="487">
        <f t="shared" si="1"/>
        <v>0</v>
      </c>
      <c r="L38" s="487">
        <f t="shared" si="1"/>
        <v>0</v>
      </c>
      <c r="M38" s="411"/>
      <c r="N38" s="411"/>
      <c r="O38" s="411"/>
    </row>
    <row r="39" spans="1:15" ht="15" customHeight="1" x14ac:dyDescent="0.2">
      <c r="A39" s="411"/>
      <c r="B39" s="411"/>
      <c r="C39" s="411"/>
      <c r="D39" s="411"/>
      <c r="E39" s="411"/>
      <c r="F39" s="411"/>
      <c r="G39" s="411"/>
      <c r="H39" s="411"/>
      <c r="I39" s="411"/>
      <c r="J39" s="411"/>
      <c r="K39" s="411"/>
      <c r="L39" s="411"/>
      <c r="M39" s="411"/>
      <c r="N39" s="411"/>
      <c r="O39" s="411"/>
    </row>
    <row r="40" spans="1:15" ht="21.75" customHeight="1" x14ac:dyDescent="0.2">
      <c r="A40" s="962" t="s">
        <v>1698</v>
      </c>
      <c r="B40" s="962"/>
      <c r="C40" s="962"/>
      <c r="D40" s="962"/>
      <c r="E40" s="962"/>
      <c r="F40" s="962"/>
      <c r="G40" s="962"/>
      <c r="H40" s="962"/>
      <c r="I40" s="962"/>
      <c r="J40" s="962"/>
      <c r="K40" s="962"/>
      <c r="L40" s="962"/>
      <c r="M40" s="962"/>
      <c r="N40" s="962"/>
      <c r="O40" s="411"/>
    </row>
    <row r="41" spans="1:15" ht="19.5" customHeight="1" x14ac:dyDescent="0.2">
      <c r="A41" s="481" t="s">
        <v>11</v>
      </c>
      <c r="B41" s="481" t="s">
        <v>1685</v>
      </c>
      <c r="C41" s="45" t="s">
        <v>1471</v>
      </c>
      <c r="D41" s="45" t="s">
        <v>1472</v>
      </c>
      <c r="E41" s="45" t="s">
        <v>1473</v>
      </c>
      <c r="F41" s="45" t="s">
        <v>1474</v>
      </c>
      <c r="G41" s="45" t="s">
        <v>1475</v>
      </c>
      <c r="H41" s="45" t="s">
        <v>1476</v>
      </c>
      <c r="I41" s="45" t="s">
        <v>1477</v>
      </c>
      <c r="J41" s="45" t="s">
        <v>1478</v>
      </c>
      <c r="K41" s="45" t="s">
        <v>1479</v>
      </c>
      <c r="L41" s="45" t="s">
        <v>1480</v>
      </c>
      <c r="M41" s="411"/>
      <c r="N41" s="411"/>
      <c r="O41" s="411"/>
    </row>
    <row r="42" spans="1:15" ht="15" customHeight="1" x14ac:dyDescent="0.2">
      <c r="A42" s="441" t="s">
        <v>1686</v>
      </c>
      <c r="B42" s="483"/>
      <c r="C42" s="39" t="str">
        <f>IF($C$4=0,"No",IF(1&lt;=IF(ISNUMBER($B$29),$B$29,$C$7),"Yes","No"))</f>
        <v>No</v>
      </c>
      <c r="D42" s="39" t="str">
        <f>IF($C$4=0,"No",IF(2&lt;=IF(ISNUMBER($B$29),$B$29,$C$7),"Yes","No"))</f>
        <v>No</v>
      </c>
      <c r="E42" s="39" t="str">
        <f>IF($C$4=0,"No",IF(3&lt;=IF(ISNUMBER($B$29),$B$29,$C$7),"Yes","No"))</f>
        <v>No</v>
      </c>
      <c r="F42" s="39" t="str">
        <f>IF($C$4=0,"No",IF(4&lt;=IF(ISNUMBER($B$29),$B$29,$C$7),"Yes","No"))</f>
        <v>No</v>
      </c>
      <c r="G42" s="39" t="str">
        <f>IF($C$4=0,"No",IF(5&lt;=IF(ISNUMBER($B$29),$B$29,$C$7),"Yes","No"))</f>
        <v>No</v>
      </c>
      <c r="H42" s="39" t="str">
        <f>IF($C$4=0,"No",IF(6&lt;=IF(ISNUMBER($B$29),$B$29,$C$7),"Yes","No"))</f>
        <v>No</v>
      </c>
      <c r="I42" s="39" t="str">
        <f>IF($C$4=0,"No",IF(7&lt;=IF(ISNUMBER($B$29),$B$29,$C$7),"Yes","No"))</f>
        <v>No</v>
      </c>
      <c r="J42" s="39" t="str">
        <f>IF($C$4=0,"No",IF(8&lt;=IF(ISNUMBER($B$29),$B$29,$C$7),"Yes","No"))</f>
        <v>No</v>
      </c>
      <c r="K42" s="39" t="str">
        <f>IF($C$4=0,"No",IF(9&lt;=IF(ISNUMBER($B$29),$B$29,$C$7),"Yes","No"))</f>
        <v>No</v>
      </c>
      <c r="L42" s="39" t="str">
        <f>IF($C$4=0,"No",IF(10&lt;=IF(ISNUMBER($B$29),$B$29,$C$7),"Yes","No"))</f>
        <v>No</v>
      </c>
      <c r="M42" s="411"/>
      <c r="N42" s="411"/>
      <c r="O42" s="411"/>
    </row>
    <row r="43" spans="1:15" ht="15" customHeight="1" x14ac:dyDescent="0.2">
      <c r="A43" s="13" t="s">
        <v>1688</v>
      </c>
      <c r="B43" s="412"/>
      <c r="C43" s="424">
        <f>IF(C42="No",0,IF(1=1,$C$4,C46))</f>
        <v>0</v>
      </c>
      <c r="D43" s="424">
        <f t="shared" ref="D43:L43" si="2">IF(D42="No",0,C46)</f>
        <v>0</v>
      </c>
      <c r="E43" s="424">
        <f t="shared" si="2"/>
        <v>0</v>
      </c>
      <c r="F43" s="424">
        <f t="shared" si="2"/>
        <v>0</v>
      </c>
      <c r="G43" s="424">
        <f t="shared" si="2"/>
        <v>0</v>
      </c>
      <c r="H43" s="424">
        <f t="shared" si="2"/>
        <v>0</v>
      </c>
      <c r="I43" s="424">
        <f t="shared" si="2"/>
        <v>0</v>
      </c>
      <c r="J43" s="424">
        <f t="shared" si="2"/>
        <v>0</v>
      </c>
      <c r="K43" s="424">
        <f t="shared" si="2"/>
        <v>0</v>
      </c>
      <c r="L43" s="424">
        <f t="shared" si="2"/>
        <v>0</v>
      </c>
      <c r="M43" s="411"/>
      <c r="N43" s="411"/>
      <c r="O43" s="411"/>
    </row>
    <row r="44" spans="1:15" ht="15" customHeight="1" x14ac:dyDescent="0.2">
      <c r="A44" s="441" t="s">
        <v>1690</v>
      </c>
      <c r="B44" s="483"/>
      <c r="C44" s="267">
        <f>IF(C42="No",0,IF(1*12&lt;=$C$8,C43*$C$6,IFERROR(-CUMIPMT($C$6/12,$C$5*12,$C$4,(1-$C$8/12-1)*12+1,(1-$C$8/12)*12,0),C43*$C$6)))</f>
        <v>0</v>
      </c>
      <c r="D44" s="267">
        <f>IF(D42="No",0,IF(2*12&lt;=$C$8,D43*$C$6,IFERROR(-CUMIPMT($C$6/12,$C$5*12,$C$4,(2-$C$8/12-1)*12+1,(2-$C$8/12)*12,0),D43*$C$6)))</f>
        <v>0</v>
      </c>
      <c r="E44" s="267">
        <f>IF(E42="No",0,IF(3*12&lt;=$C$8,E43*$C$6,IFERROR(-CUMIPMT($C$6/12,$C$5*12,$C$4,(3-$C$8/12-1)*12+1,(3-$C$8/12)*12,0),E43*$C$6)))</f>
        <v>0</v>
      </c>
      <c r="F44" s="267">
        <f>IF(F42="No",0,IF(4*12&lt;=$C$8,F43*$C$6,IFERROR(-CUMIPMT($C$6/12,$C$5*12,$C$4,(4-$C$8/12-1)*12+1,(4-$C$8/12)*12,0),F43*$C$6)))</f>
        <v>0</v>
      </c>
      <c r="G44" s="267">
        <f>IF(G42="No",0,IF(5*12&lt;=$C$8,G43*$C$6,IFERROR(-CUMIPMT($C$6/12,$C$5*12,$C$4,(5-$C$8/12-1)*12+1,(5-$C$8/12)*12,0),G43*$C$6)))</f>
        <v>0</v>
      </c>
      <c r="H44" s="267">
        <f>IF(H42="No",0,IF(6*12&lt;=$C$8,H43*$C$6,IFERROR(-CUMIPMT($C$6/12,$C$5*12,$C$4,(6-$C$8/12-1)*12+1,(6-$C$8/12)*12,0),H43*$C$6)))</f>
        <v>0</v>
      </c>
      <c r="I44" s="267">
        <f>IF(I42="No",0,IF(7*12&lt;=$C$8,I43*$C$6,IFERROR(-CUMIPMT($C$6/12,$C$5*12,$C$4,(7-$C$8/12-1)*12+1,(7-$C$8/12)*12,0),I43*$C$6)))</f>
        <v>0</v>
      </c>
      <c r="J44" s="267">
        <f>IF(J42="No",0,IF(8*12&lt;=$C$8,J43*$C$6,IFERROR(-CUMIPMT($C$6/12,$C$5*12,$C$4,(8-$C$8/12-1)*12+1,(8-$C$8/12)*12,0),J43*$C$6)))</f>
        <v>0</v>
      </c>
      <c r="K44" s="267">
        <f>IF(K42="No",0,IF(9*12&lt;=$C$8,K43*$C$6,IFERROR(-CUMIPMT($C$6/12,$C$5*12,$C$4,(9-$C$8/12-1)*12+1,(9-$C$8/12)*12,0),K43*$C$6)))</f>
        <v>0</v>
      </c>
      <c r="L44" s="267">
        <f>IF(L42="No",0,IF(10*12&lt;=$C$8,L43*$C$6,IFERROR(-CUMIPMT($C$6/12,$C$5*12,$C$4,(10-$C$8/12-1)*12+1,(10-$C$8/12)*12,0),L43*$C$6)))</f>
        <v>0</v>
      </c>
      <c r="M44" s="411"/>
      <c r="N44" s="411"/>
      <c r="O44" s="411"/>
    </row>
    <row r="45" spans="1:15" ht="15" customHeight="1" x14ac:dyDescent="0.2">
      <c r="A45" s="13" t="s">
        <v>1692</v>
      </c>
      <c r="B45" s="412"/>
      <c r="C45" s="424">
        <f>IF(C42="No",0,IF(1*12&lt;=$C$8,0,IFERROR(-CUMPRINC($C$6/12,$C$5*12,$C$4,(1-$C$8/12-1)*12+1,(1-$C$8/12)*12,0),0)))</f>
        <v>0</v>
      </c>
      <c r="D45" s="424">
        <f>IF(D42="No",0,IF(2*12&lt;=$C$8,0,IFERROR(-CUMPRINC($C$6/12,$C$5*12,$C$4,(2-$C$8/12-1)*12+1,(2-$C$8/12)*12,0),0)))</f>
        <v>0</v>
      </c>
      <c r="E45" s="424">
        <f>IF(E42="No",0,IF(3*12&lt;=$C$8,0,IFERROR(-CUMPRINC($C$6/12,$C$5*12,$C$4,(3-$C$8/12-1)*12+1,(3-$C$8/12)*12,0),0)))</f>
        <v>0</v>
      </c>
      <c r="F45" s="424">
        <f>IF(F42="No",0,IF(4*12&lt;=$C$8,0,IFERROR(-CUMPRINC($C$6/12,$C$5*12,$C$4,(4-$C$8/12-1)*12+1,(4-$C$8/12)*12,0),0)))</f>
        <v>0</v>
      </c>
      <c r="G45" s="424">
        <f>IF(G42="No",0,IF(5*12&lt;=$C$8,0,IFERROR(-CUMPRINC($C$6/12,$C$5*12,$C$4,(5-$C$8/12-1)*12+1,(5-$C$8/12)*12,0),0)))</f>
        <v>0</v>
      </c>
      <c r="H45" s="424">
        <f>IF(H42="No",0,IF(6*12&lt;=$C$8,0,IFERROR(-CUMPRINC($C$6/12,$C$5*12,$C$4,(6-$C$8/12-1)*12+1,(6-$C$8/12)*12,0),0)))</f>
        <v>0</v>
      </c>
      <c r="I45" s="424">
        <f>IF(I42="No",0,IF(7*12&lt;=$C$8,0,IFERROR(-CUMPRINC($C$6/12,$C$5*12,$C$4,(7-$C$8/12-1)*12+1,(7-$C$8/12)*12,0),0)))</f>
        <v>0</v>
      </c>
      <c r="J45" s="424">
        <f>IF(J42="No",0,IF(8*12&lt;=$C$8,0,IFERROR(-CUMPRINC($C$6/12,$C$5*12,$C$4,(8-$C$8/12-1)*12+1,(8-$C$8/12)*12,0),0)))</f>
        <v>0</v>
      </c>
      <c r="K45" s="424">
        <f>IF(K42="No",0,IF(9*12&lt;=$C$8,0,IFERROR(-CUMPRINC($C$6/12,$C$5*12,$C$4,(9-$C$8/12-1)*12+1,(9-$C$8/12)*12,0),0)))</f>
        <v>0</v>
      </c>
      <c r="L45" s="424">
        <f>IF(L42="No",0,IF(10*12&lt;=$C$8,0,IFERROR(-CUMPRINC($C$6/12,$C$5*12,$C$4,(10-$C$8/12-1)*12+1,(10-$C$8/12)*12,0),0)))</f>
        <v>0</v>
      </c>
      <c r="M45" s="411"/>
      <c r="N45" s="411"/>
      <c r="O45" s="411"/>
    </row>
    <row r="46" spans="1:15" ht="15" customHeight="1" x14ac:dyDescent="0.2">
      <c r="A46" s="441" t="s">
        <v>1694</v>
      </c>
      <c r="B46" s="483"/>
      <c r="C46" s="267">
        <f t="shared" ref="C46:L46" si="3">IF(C42="No",0,C43-C45)</f>
        <v>0</v>
      </c>
      <c r="D46" s="267">
        <f t="shared" si="3"/>
        <v>0</v>
      </c>
      <c r="E46" s="267">
        <f t="shared" si="3"/>
        <v>0</v>
      </c>
      <c r="F46" s="267">
        <f t="shared" si="3"/>
        <v>0</v>
      </c>
      <c r="G46" s="267">
        <f t="shared" si="3"/>
        <v>0</v>
      </c>
      <c r="H46" s="267">
        <f t="shared" si="3"/>
        <v>0</v>
      </c>
      <c r="I46" s="267">
        <f t="shared" si="3"/>
        <v>0</v>
      </c>
      <c r="J46" s="267">
        <f t="shared" si="3"/>
        <v>0</v>
      </c>
      <c r="K46" s="267">
        <f t="shared" si="3"/>
        <v>0</v>
      </c>
      <c r="L46" s="267">
        <f t="shared" si="3"/>
        <v>0</v>
      </c>
      <c r="M46" s="411"/>
      <c r="N46" s="411"/>
      <c r="O46" s="411"/>
    </row>
    <row r="47" spans="1:15" ht="15" customHeight="1" x14ac:dyDescent="0.2">
      <c r="A47" s="442" t="s">
        <v>1696</v>
      </c>
      <c r="B47" s="486"/>
      <c r="C47" s="268">
        <f t="shared" ref="C47:L47" si="4">C44+C45</f>
        <v>0</v>
      </c>
      <c r="D47" s="268">
        <f t="shared" si="4"/>
        <v>0</v>
      </c>
      <c r="E47" s="268">
        <f t="shared" si="4"/>
        <v>0</v>
      </c>
      <c r="F47" s="268">
        <f t="shared" si="4"/>
        <v>0</v>
      </c>
      <c r="G47" s="268">
        <f t="shared" si="4"/>
        <v>0</v>
      </c>
      <c r="H47" s="268">
        <f t="shared" si="4"/>
        <v>0</v>
      </c>
      <c r="I47" s="268">
        <f t="shared" si="4"/>
        <v>0</v>
      </c>
      <c r="J47" s="268">
        <f t="shared" si="4"/>
        <v>0</v>
      </c>
      <c r="K47" s="268">
        <f t="shared" si="4"/>
        <v>0</v>
      </c>
      <c r="L47" s="268">
        <f t="shared" si="4"/>
        <v>0</v>
      </c>
      <c r="M47" s="411"/>
      <c r="N47" s="411"/>
      <c r="O47" s="411"/>
    </row>
    <row r="48" spans="1:15" ht="15" customHeight="1" x14ac:dyDescent="0.2">
      <c r="A48" s="411"/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</row>
    <row r="49" spans="1:15" ht="21.75" customHeight="1" x14ac:dyDescent="0.2">
      <c r="A49" s="963" t="s">
        <v>1699</v>
      </c>
      <c r="B49" s="963"/>
      <c r="C49" s="963"/>
      <c r="D49" s="963"/>
      <c r="E49" s="963"/>
      <c r="F49" s="963"/>
      <c r="G49" s="963"/>
      <c r="H49" s="963"/>
      <c r="I49" s="963"/>
      <c r="J49" s="963"/>
      <c r="K49" s="963"/>
      <c r="L49" s="963"/>
      <c r="M49" s="963"/>
      <c r="N49" s="963"/>
      <c r="O49" s="411"/>
    </row>
    <row r="50" spans="1:15" ht="19.5" customHeight="1" x14ac:dyDescent="0.2">
      <c r="A50" s="481" t="s">
        <v>11</v>
      </c>
      <c r="B50" s="481" t="s">
        <v>1685</v>
      </c>
      <c r="C50" s="45" t="s">
        <v>1471</v>
      </c>
      <c r="D50" s="45" t="s">
        <v>1472</v>
      </c>
      <c r="E50" s="45" t="s">
        <v>1473</v>
      </c>
      <c r="F50" s="45" t="s">
        <v>1474</v>
      </c>
      <c r="G50" s="45" t="s">
        <v>1475</v>
      </c>
      <c r="H50" s="45" t="s">
        <v>1476</v>
      </c>
      <c r="I50" s="45" t="s">
        <v>1477</v>
      </c>
      <c r="J50" s="45" t="s">
        <v>1478</v>
      </c>
      <c r="K50" s="45" t="s">
        <v>1479</v>
      </c>
      <c r="L50" s="45" t="s">
        <v>1480</v>
      </c>
      <c r="M50" s="411"/>
      <c r="N50" s="411"/>
      <c r="O50" s="411"/>
    </row>
    <row r="51" spans="1:15" ht="15" customHeight="1" x14ac:dyDescent="0.2">
      <c r="A51" s="13" t="s">
        <v>1686</v>
      </c>
      <c r="B51" s="412"/>
      <c r="C51" s="40" t="str">
        <f>IF($D$4=0,"No",IF(1&lt;=IF(ISNUMBER($B$29),$B$29,$D$7),"Yes","No"))</f>
        <v>No</v>
      </c>
      <c r="D51" s="40" t="str">
        <f>IF($D$4=0,"No",IF(2&lt;=IF(ISNUMBER($B$29),$B$29,$D$7),"Yes","No"))</f>
        <v>No</v>
      </c>
      <c r="E51" s="40" t="str">
        <f>IF($D$4=0,"No",IF(3&lt;=IF(ISNUMBER($B$29),$B$29,$D$7),"Yes","No"))</f>
        <v>No</v>
      </c>
      <c r="F51" s="40" t="str">
        <f>IF($D$4=0,"No",IF(4&lt;=IF(ISNUMBER($B$29),$B$29,$D$7),"Yes","No"))</f>
        <v>No</v>
      </c>
      <c r="G51" s="40" t="str">
        <f>IF($D$4=0,"No",IF(5&lt;=IF(ISNUMBER($B$29),$B$29,$D$7),"Yes","No"))</f>
        <v>No</v>
      </c>
      <c r="H51" s="40" t="str">
        <f>IF($D$4=0,"No",IF(6&lt;=IF(ISNUMBER($B$29),$B$29,$D$7),"Yes","No"))</f>
        <v>No</v>
      </c>
      <c r="I51" s="40" t="str">
        <f>IF($D$4=0,"No",IF(7&lt;=IF(ISNUMBER($B$29),$B$29,$D$7),"Yes","No"))</f>
        <v>No</v>
      </c>
      <c r="J51" s="40" t="str">
        <f>IF($D$4=0,"No",IF(8&lt;=IF(ISNUMBER($B$29),$B$29,$D$7),"Yes","No"))</f>
        <v>No</v>
      </c>
      <c r="K51" s="40" t="str">
        <f>IF($D$4=0,"No",IF(9&lt;=IF(ISNUMBER($B$29),$B$29,$D$7),"Yes","No"))</f>
        <v>No</v>
      </c>
      <c r="L51" s="40" t="str">
        <f>IF($D$4=0,"No",IF(10&lt;=IF(ISNUMBER($B$29),$B$29,$D$7),"Yes","No"))</f>
        <v>No</v>
      </c>
      <c r="M51" s="411"/>
      <c r="N51" s="411"/>
      <c r="O51" s="411"/>
    </row>
    <row r="52" spans="1:15" ht="15" customHeight="1" x14ac:dyDescent="0.2">
      <c r="A52" s="441" t="s">
        <v>1688</v>
      </c>
      <c r="B52" s="483"/>
      <c r="C52" s="267">
        <f>IF(C51="No",0,IF(1=1,$D$4,B55))</f>
        <v>0</v>
      </c>
      <c r="D52" s="267">
        <f>IF(D51="No",0,IF(2=1,$D$4,C55))</f>
        <v>0</v>
      </c>
      <c r="E52" s="267">
        <f>IF(E51="No",0,IF(3=1,$D$4,D55))</f>
        <v>0</v>
      </c>
      <c r="F52" s="267">
        <f>IF(F51="No",0,IF(4=1,$D$4,E55))</f>
        <v>0</v>
      </c>
      <c r="G52" s="267">
        <f>IF(G51="No",0,IF(5=1,$D$4,F55))</f>
        <v>0</v>
      </c>
      <c r="H52" s="267">
        <f>IF(H51="No",0,IF(6=1,$D$4,G55))</f>
        <v>0</v>
      </c>
      <c r="I52" s="267">
        <f>IF(I51="No",0,IF(7=1,$D$4,H55))</f>
        <v>0</v>
      </c>
      <c r="J52" s="267">
        <f>IF(J51="No",0,IF(8=1,$D$4,I55))</f>
        <v>0</v>
      </c>
      <c r="K52" s="267">
        <f>IF(K51="No",0,IF(9=1,$D$4,J55))</f>
        <v>0</v>
      </c>
      <c r="L52" s="267">
        <f>IF(L51="No",0,IF(10=1,$D$4,K55))</f>
        <v>0</v>
      </c>
      <c r="M52" s="411"/>
      <c r="N52" s="411"/>
      <c r="O52" s="411"/>
    </row>
    <row r="53" spans="1:15" ht="15" customHeight="1" x14ac:dyDescent="0.2">
      <c r="A53" s="13" t="s">
        <v>1690</v>
      </c>
      <c r="B53" s="412"/>
      <c r="C53" s="424">
        <f>IF(C51="No",0,IF(1*12&lt;=$D$8,C52*$D$6,IFERROR(-CUMIPMT($D$6/12,$D$5*12,$D$4,(1-$D$8/12-1)*12+1,(1-$D$8/12)*12,0),C52*$D$6)))</f>
        <v>0</v>
      </c>
      <c r="D53" s="424">
        <f>IF(D51="No",0,IF(2*12&lt;=$D$8,D52*$D$6,IFERROR(-CUMIPMT($D$6/12,$D$5*12,$D$4,(2-$D$8/12-1)*12+1,(2-$D$8/12)*12,0),D52*$D$6)))</f>
        <v>0</v>
      </c>
      <c r="E53" s="424">
        <f>IF(E51="No",0,IF(3*12&lt;=$D$8,E52*$D$6,IFERROR(-CUMIPMT($D$6/12,$D$5*12,$D$4,(3-$D$8/12-1)*12+1,(3-$D$8/12)*12,0),E52*$D$6)))</f>
        <v>0</v>
      </c>
      <c r="F53" s="424">
        <f>IF(F51="No",0,IF(4*12&lt;=$D$8,F52*$D$6,IFERROR(-CUMIPMT($D$6/12,$D$5*12,$D$4,(4-$D$8/12-1)*12+1,(4-$D$8/12)*12,0),F52*$D$6)))</f>
        <v>0</v>
      </c>
      <c r="G53" s="424">
        <f>IF(G51="No",0,IF(5*12&lt;=$D$8,G52*$D$6,IFERROR(-CUMIPMT($D$6/12,$D$5*12,$D$4,(5-$D$8/12-1)*12+1,(5-$D$8/12)*12,0),G52*$D$6)))</f>
        <v>0</v>
      </c>
      <c r="H53" s="424">
        <f>IF(H51="No",0,IF(6*12&lt;=$D$8,H52*$D$6,IFERROR(-CUMIPMT($D$6/12,$D$5*12,$D$4,(6-$D$8/12-1)*12+1,(6-$D$8/12)*12,0),H52*$D$6)))</f>
        <v>0</v>
      </c>
      <c r="I53" s="424">
        <f>IF(I51="No",0,IF(7*12&lt;=$D$8,I52*$D$6,IFERROR(-CUMIPMT($D$6/12,$D$5*12,$D$4,(7-$D$8/12-1)*12+1,(7-$D$8/12)*12,0),I52*$D$6)))</f>
        <v>0</v>
      </c>
      <c r="J53" s="424">
        <f>IF(J51="No",0,IF(8*12&lt;=$D$8,J52*$D$6,IFERROR(-CUMIPMT($D$6/12,$D$5*12,$D$4,(8-$D$8/12-1)*12+1,(8-$D$8/12)*12,0),J52*$D$6)))</f>
        <v>0</v>
      </c>
      <c r="K53" s="424">
        <f>IF(K51="No",0,IF(9*12&lt;=$D$8,K52*$D$6,IFERROR(-CUMIPMT($D$6/12,$D$5*12,$D$4,(9-$D$8/12-1)*12+1,(9-$D$8/12)*12,0),K52*$D$6)))</f>
        <v>0</v>
      </c>
      <c r="L53" s="424">
        <f>IF(L51="No",0,IF(10*12&lt;=$D$8,L52*$D$6,IFERROR(-CUMIPMT($D$6/12,$D$5*12,$D$4,(10-$D$8/12-1)*12+1,(10-$D$8/12)*12,0),L52*$D$6)))</f>
        <v>0</v>
      </c>
      <c r="M53" s="411"/>
      <c r="N53" s="411"/>
      <c r="O53" s="411"/>
    </row>
    <row r="54" spans="1:15" ht="15" customHeight="1" x14ac:dyDescent="0.2">
      <c r="A54" s="441" t="s">
        <v>1692</v>
      </c>
      <c r="B54" s="483"/>
      <c r="C54" s="267">
        <f>IF(C51="No",0,IF(1*12&lt;=$D$8,0,IFERROR(-CUMPRINC($D$6/12,$D$5*12,$D$4,(1-$D$8/12-1)*12+1,(1-$D$8/12)*12,0),0)))</f>
        <v>0</v>
      </c>
      <c r="D54" s="267">
        <f>IF(D51="No",0,IF(2*12&lt;=$D$8,0,IFERROR(-CUMPRINC($D$6/12,$D$5*12,$D$4,(2-$D$8/12-1)*12+1,(2-$D$8/12)*12,0),0)))</f>
        <v>0</v>
      </c>
      <c r="E54" s="267">
        <f>IF(E51="No",0,IF(3*12&lt;=$D$8,0,IFERROR(-CUMPRINC($D$6/12,$D$5*12,$D$4,(3-$D$8/12-1)*12+1,(3-$D$8/12)*12,0),0)))</f>
        <v>0</v>
      </c>
      <c r="F54" s="267">
        <f>IF(F51="No",0,IF(4*12&lt;=$D$8,0,IFERROR(-CUMPRINC($D$6/12,$D$5*12,$D$4,(4-$D$8/12-1)*12+1,(4-$D$8/12)*12,0),0)))</f>
        <v>0</v>
      </c>
      <c r="G54" s="267">
        <f>IF(G51="No",0,IF(5*12&lt;=$D$8,0,IFERROR(-CUMPRINC($D$6/12,$D$5*12,$D$4,(5-$D$8/12-1)*12+1,(5-$D$8/12)*12,0),0)))</f>
        <v>0</v>
      </c>
      <c r="H54" s="267">
        <f>IF(H51="No",0,IF(6*12&lt;=$D$8,0,IFERROR(-CUMPRINC($D$6/12,$D$5*12,$D$4,(6-$D$8/12-1)*12+1,(6-$D$8/12)*12,0),0)))</f>
        <v>0</v>
      </c>
      <c r="I54" s="267">
        <f>IF(I51="No",0,IF(7*12&lt;=$D$8,0,IFERROR(-CUMPRINC($D$6/12,$D$5*12,$D$4,(7-$D$8/12-1)*12+1,(7-$D$8/12)*12,0),0)))</f>
        <v>0</v>
      </c>
      <c r="J54" s="267">
        <f>IF(J51="No",0,IF(8*12&lt;=$D$8,0,IFERROR(-CUMPRINC($D$6/12,$D$5*12,$D$4,(8-$D$8/12-1)*12+1,(8-$D$8/12)*12,0),0)))</f>
        <v>0</v>
      </c>
      <c r="K54" s="267">
        <f>IF(K51="No",0,IF(9*12&lt;=$D$8,0,IFERROR(-CUMPRINC($D$6/12,$D$5*12,$D$4,(9-$D$8/12-1)*12+1,(9-$D$8/12)*12,0),0)))</f>
        <v>0</v>
      </c>
      <c r="L54" s="267">
        <f>IF(L51="No",0,IF(10*12&lt;=$D$8,0,IFERROR(-CUMPRINC($D$6/12,$D$5*12,$D$4,(10-$D$8/12-1)*12+1,(10-$D$8/12)*12,0),0)))</f>
        <v>0</v>
      </c>
      <c r="M54" s="411"/>
      <c r="N54" s="411"/>
      <c r="O54" s="411"/>
    </row>
    <row r="55" spans="1:15" ht="15" customHeight="1" x14ac:dyDescent="0.2">
      <c r="A55" s="13" t="s">
        <v>1694</v>
      </c>
      <c r="B55" s="412"/>
      <c r="C55" s="424">
        <f t="shared" ref="C55:L55" si="5">IF(C51="No",0,C52-C54)</f>
        <v>0</v>
      </c>
      <c r="D55" s="424">
        <f t="shared" si="5"/>
        <v>0</v>
      </c>
      <c r="E55" s="424">
        <f t="shared" si="5"/>
        <v>0</v>
      </c>
      <c r="F55" s="424">
        <f t="shared" si="5"/>
        <v>0</v>
      </c>
      <c r="G55" s="424">
        <f t="shared" si="5"/>
        <v>0</v>
      </c>
      <c r="H55" s="424">
        <f t="shared" si="5"/>
        <v>0</v>
      </c>
      <c r="I55" s="424">
        <f t="shared" si="5"/>
        <v>0</v>
      </c>
      <c r="J55" s="424">
        <f t="shared" si="5"/>
        <v>0</v>
      </c>
      <c r="K55" s="424">
        <f t="shared" si="5"/>
        <v>0</v>
      </c>
      <c r="L55" s="424">
        <f t="shared" si="5"/>
        <v>0</v>
      </c>
      <c r="M55" s="411"/>
      <c r="N55" s="411"/>
      <c r="O55" s="411"/>
    </row>
    <row r="56" spans="1:15" ht="15" customHeight="1" x14ac:dyDescent="0.2">
      <c r="A56" s="442" t="s">
        <v>1700</v>
      </c>
      <c r="B56" s="486"/>
      <c r="C56" s="268">
        <f t="shared" ref="C56:L56" si="6">C53+C54</f>
        <v>0</v>
      </c>
      <c r="D56" s="268">
        <f t="shared" si="6"/>
        <v>0</v>
      </c>
      <c r="E56" s="268">
        <f t="shared" si="6"/>
        <v>0</v>
      </c>
      <c r="F56" s="268">
        <f t="shared" si="6"/>
        <v>0</v>
      </c>
      <c r="G56" s="268">
        <f t="shared" si="6"/>
        <v>0</v>
      </c>
      <c r="H56" s="268">
        <f t="shared" si="6"/>
        <v>0</v>
      </c>
      <c r="I56" s="268">
        <f t="shared" si="6"/>
        <v>0</v>
      </c>
      <c r="J56" s="268">
        <f t="shared" si="6"/>
        <v>0</v>
      </c>
      <c r="K56" s="268">
        <f t="shared" si="6"/>
        <v>0</v>
      </c>
      <c r="L56" s="268">
        <f t="shared" si="6"/>
        <v>0</v>
      </c>
      <c r="M56" s="411"/>
      <c r="N56" s="411"/>
      <c r="O56" s="411"/>
    </row>
    <row r="57" spans="1:15" ht="15" customHeight="1" x14ac:dyDescent="0.2">
      <c r="A57" s="411"/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</row>
    <row r="58" spans="1:15" ht="21.75" customHeight="1" x14ac:dyDescent="0.2">
      <c r="A58" s="964" t="s">
        <v>1701</v>
      </c>
      <c r="B58" s="964"/>
      <c r="C58" s="964"/>
      <c r="D58" s="964"/>
      <c r="E58" s="964"/>
      <c r="F58" s="964"/>
      <c r="G58" s="964"/>
      <c r="H58" s="964"/>
      <c r="I58" s="964"/>
      <c r="J58" s="964"/>
      <c r="K58" s="964"/>
      <c r="L58" s="964"/>
      <c r="M58" s="964"/>
      <c r="N58" s="964"/>
      <c r="O58" s="411"/>
    </row>
    <row r="59" spans="1:15" ht="19.5" customHeight="1" x14ac:dyDescent="0.2">
      <c r="A59" s="481" t="s">
        <v>11</v>
      </c>
      <c r="B59" s="481" t="s">
        <v>1685</v>
      </c>
      <c r="C59" s="45" t="s">
        <v>1471</v>
      </c>
      <c r="D59" s="45" t="s">
        <v>1472</v>
      </c>
      <c r="E59" s="45" t="s">
        <v>1473</v>
      </c>
      <c r="F59" s="45" t="s">
        <v>1474</v>
      </c>
      <c r="G59" s="45" t="s">
        <v>1475</v>
      </c>
      <c r="H59" s="45" t="s">
        <v>1476</v>
      </c>
      <c r="I59" s="45" t="s">
        <v>1477</v>
      </c>
      <c r="J59" s="45" t="s">
        <v>1478</v>
      </c>
      <c r="K59" s="45" t="s">
        <v>1479</v>
      </c>
      <c r="L59" s="45" t="s">
        <v>1480</v>
      </c>
      <c r="M59" s="411"/>
      <c r="N59" s="411"/>
      <c r="O59" s="411"/>
    </row>
    <row r="60" spans="1:15" ht="15" customHeight="1" x14ac:dyDescent="0.2">
      <c r="A60" s="441" t="s">
        <v>1686</v>
      </c>
      <c r="B60" s="483" t="s">
        <v>1702</v>
      </c>
      <c r="C60" s="39" t="str">
        <f>IF(OR($B$18=0,NOT(ISNUMBER($B$29))),"No",IF(1&gt;$B$29,"Yes","No"))</f>
        <v>No</v>
      </c>
      <c r="D60" s="39" t="str">
        <f>IF(OR($B$18=0,NOT(ISNUMBER($B$29))),"No",IF(2&gt;$B$29,"Yes","No"))</f>
        <v>No</v>
      </c>
      <c r="E60" s="39" t="str">
        <f>IF(OR($B$18=0,NOT(ISNUMBER($B$29))),"No",IF(3&gt;$B$29,"Yes","No"))</f>
        <v>No</v>
      </c>
      <c r="F60" s="39" t="str">
        <f>IF(OR($B$18=0,NOT(ISNUMBER($B$29))),"No",IF(4&gt;$B$29,"Yes","No"))</f>
        <v>No</v>
      </c>
      <c r="G60" s="39" t="str">
        <f>IF(OR($B$18=0,NOT(ISNUMBER($B$29))),"No",IF(5&gt;$B$29,"Yes","No"))</f>
        <v>No</v>
      </c>
      <c r="H60" s="39" t="str">
        <f>IF(OR($B$18=0,NOT(ISNUMBER($B$29))),"No",IF(6&gt;$B$29,"Yes","No"))</f>
        <v>No</v>
      </c>
      <c r="I60" s="39" t="str">
        <f>IF(OR($B$18=0,NOT(ISNUMBER($B$29))),"No",IF(7&gt;$B$29,"Yes","No"))</f>
        <v>No</v>
      </c>
      <c r="J60" s="39" t="str">
        <f>IF(OR($B$18=0,NOT(ISNUMBER($B$29))),"No",IF(8&gt;$B$29,"Yes","No"))</f>
        <v>No</v>
      </c>
      <c r="K60" s="39" t="str">
        <f>IF(OR($B$18=0,NOT(ISNUMBER($B$29))),"No",IF(9&gt;$B$29,"Yes","No"))</f>
        <v>No</v>
      </c>
      <c r="L60" s="39" t="str">
        <f>IF(OR($B$18=0,NOT(ISNUMBER($B$29))),"No",IF(10&gt;$B$29,"Yes","No"))</f>
        <v>No</v>
      </c>
      <c r="M60" s="411"/>
      <c r="N60" s="411"/>
      <c r="O60" s="411"/>
    </row>
    <row r="61" spans="1:15" ht="15" customHeight="1" x14ac:dyDescent="0.2">
      <c r="A61" s="13" t="s">
        <v>1688</v>
      </c>
      <c r="B61" s="412" t="s">
        <v>1703</v>
      </c>
      <c r="C61" s="424">
        <f>IF(C60="No",0,IF(1=$B$29+1,$B$18,B64))</f>
        <v>0</v>
      </c>
      <c r="D61" s="424">
        <f>IF(D60="No",0,IF(2=$B$29+1,$B$18,C64))</f>
        <v>0</v>
      </c>
      <c r="E61" s="424">
        <f>IF(E60="No",0,IF(3=$B$29+1,$B$18,D64))</f>
        <v>0</v>
      </c>
      <c r="F61" s="424">
        <f>IF(F60="No",0,IF(4=$B$29+1,$B$18,E64))</f>
        <v>0</v>
      </c>
      <c r="G61" s="424">
        <f>IF(G60="No",0,IF(5=$B$29+1,$B$18,F64))</f>
        <v>0</v>
      </c>
      <c r="H61" s="424">
        <f>IF(H60="No",0,IF(6=$B$29+1,$B$18,G64))</f>
        <v>0</v>
      </c>
      <c r="I61" s="424">
        <f>IF(I60="No",0,IF(7=$B$29+1,$B$18,H64))</f>
        <v>0</v>
      </c>
      <c r="J61" s="424">
        <f>IF(J60="No",0,IF(8=$B$29+1,$B$18,I64))</f>
        <v>0</v>
      </c>
      <c r="K61" s="424">
        <f>IF(K60="No",0,IF(9=$B$29+1,$B$18,J64))</f>
        <v>0</v>
      </c>
      <c r="L61" s="424">
        <f>IF(L60="No",0,IF(10=$B$29+1,$B$18,K64))</f>
        <v>0</v>
      </c>
      <c r="M61" s="411"/>
      <c r="N61" s="411"/>
      <c r="O61" s="411"/>
    </row>
    <row r="62" spans="1:15" ht="15" customHeight="1" x14ac:dyDescent="0.2">
      <c r="A62" s="441" t="s">
        <v>1690</v>
      </c>
      <c r="B62" s="483" t="s">
        <v>1704</v>
      </c>
      <c r="C62" s="267">
        <f>IF(C60="No",0,IF((1-$B$29)*12&lt;=$B$22,C61*$B$20,IFERROR(-CUMIPMT($B$20/12,$B$19*12,$B$18,(1-$B$29-$B$22/12-1)*12+1,(1-$B$29-$B$22/12)*12,0),C61*$B$20)))</f>
        <v>0</v>
      </c>
      <c r="D62" s="267">
        <f>IF(D60="No",0,IF((2-$B$29)*12&lt;=$B$22,D61*$B$20,IFERROR(-CUMIPMT($B$20/12,$B$19*12,$B$18,(2-$B$29-$B$22/12-1)*12+1,(2-$B$29-$B$22/12)*12,0),D61*$B$20)))</f>
        <v>0</v>
      </c>
      <c r="E62" s="267">
        <f>IF(E60="No",0,IF((3-$B$29)*12&lt;=$B$22,E61*$B$20,IFERROR(-CUMIPMT($B$20/12,$B$19*12,$B$18,(3-$B$29-$B$22/12-1)*12+1,(3-$B$29-$B$22/12)*12,0),E61*$B$20)))</f>
        <v>0</v>
      </c>
      <c r="F62" s="267">
        <f>IF(F60="No",0,IF((4-$B$29)*12&lt;=$B$22,F61*$B$20,IFERROR(-CUMIPMT($B$20/12,$B$19*12,$B$18,(4-$B$29-$B$22/12-1)*12+1,(4-$B$29-$B$22/12)*12,0),F61*$B$20)))</f>
        <v>0</v>
      </c>
      <c r="G62" s="267">
        <f>IF(G60="No",0,IF((5-$B$29)*12&lt;=$B$22,G61*$B$20,IFERROR(-CUMIPMT($B$20/12,$B$19*12,$B$18,(5-$B$29-$B$22/12-1)*12+1,(5-$B$29-$B$22/12)*12,0),G61*$B$20)))</f>
        <v>0</v>
      </c>
      <c r="H62" s="267">
        <f>IF(H60="No",0,IF((6-$B$29)*12&lt;=$B$22,H61*$B$20,IFERROR(-CUMIPMT($B$20/12,$B$19*12,$B$18,(6-$B$29-$B$22/12-1)*12+1,(6-$B$29-$B$22/12)*12,0),H61*$B$20)))</f>
        <v>0</v>
      </c>
      <c r="I62" s="267">
        <f>IF(I60="No",0,IF((7-$B$29)*12&lt;=$B$22,I61*$B$20,IFERROR(-CUMIPMT($B$20/12,$B$19*12,$B$18,(7-$B$29-$B$22/12-1)*12+1,(7-$B$29-$B$22/12)*12,0),I61*$B$20)))</f>
        <v>0</v>
      </c>
      <c r="J62" s="267">
        <f>IF(J60="No",0,IF((8-$B$29)*12&lt;=$B$22,J61*$B$20,IFERROR(-CUMIPMT($B$20/12,$B$19*12,$B$18,(8-$B$29-$B$22/12-1)*12+1,(8-$B$29-$B$22/12)*12,0),J61*$B$20)))</f>
        <v>0</v>
      </c>
      <c r="K62" s="267">
        <f>IF(K60="No",0,IF((9-$B$29)*12&lt;=$B$22,K61*$B$20,IFERROR(-CUMIPMT($B$20/12,$B$19*12,$B$18,(9-$B$29-$B$22/12-1)*12+1,(9-$B$29-$B$22/12)*12,0),K61*$B$20)))</f>
        <v>0</v>
      </c>
      <c r="L62" s="267">
        <f>IF(L60="No",0,IF((10-$B$29)*12&lt;=$B$22,L61*$B$20,IFERROR(-CUMIPMT($B$20/12,$B$19*12,$B$18,(10-$B$29-$B$22/12-1)*12+1,(10-$B$29-$B$22/12)*12,0),L61*$B$20)))</f>
        <v>0</v>
      </c>
      <c r="M62" s="411"/>
      <c r="N62" s="411"/>
      <c r="O62" s="411"/>
    </row>
    <row r="63" spans="1:15" ht="15" customHeight="1" x14ac:dyDescent="0.2">
      <c r="A63" s="13" t="s">
        <v>1692</v>
      </c>
      <c r="B63" s="412" t="s">
        <v>1693</v>
      </c>
      <c r="C63" s="424">
        <f>IF(C60="No",0,IF((1-$B$29)*12&lt;=$B$22,0,IFERROR(-CUMPRINC($B$20/12,$B$19*12,$B$18,(1-$B$29-$B$22/12-1)*12+1,(1-$B$29-$B$22/12)*12,0),0)))</f>
        <v>0</v>
      </c>
      <c r="D63" s="424">
        <f>IF(D60="No",0,IF((2-$B$29)*12&lt;=$B$22,0,IFERROR(-CUMPRINC($B$20/12,$B$19*12,$B$18,(2-$B$29-$B$22/12-1)*12+1,(2-$B$29-$B$22/12)*12,0),0)))</f>
        <v>0</v>
      </c>
      <c r="E63" s="424">
        <f>IF(E60="No",0,IF((3-$B$29)*12&lt;=$B$22,0,IFERROR(-CUMPRINC($B$20/12,$B$19*12,$B$18,(3-$B$29-$B$22/12-1)*12+1,(3-$B$29-$B$22/12)*12,0),0)))</f>
        <v>0</v>
      </c>
      <c r="F63" s="424">
        <f>IF(F60="No",0,IF((4-$B$29)*12&lt;=$B$22,0,IFERROR(-CUMPRINC($B$20/12,$B$19*12,$B$18,(4-$B$29-$B$22/12-1)*12+1,(4-$B$29-$B$22/12)*12,0),0)))</f>
        <v>0</v>
      </c>
      <c r="G63" s="424">
        <f>IF(G60="No",0,IF((5-$B$29)*12&lt;=$B$22,0,IFERROR(-CUMPRINC($B$20/12,$B$19*12,$B$18,(5-$B$29-$B$22/12-1)*12+1,(5-$B$29-$B$22/12)*12,0),0)))</f>
        <v>0</v>
      </c>
      <c r="H63" s="424">
        <f>IF(H60="No",0,IF((6-$B$29)*12&lt;=$B$22,0,IFERROR(-CUMPRINC($B$20/12,$B$19*12,$B$18,(6-$B$29-$B$22/12-1)*12+1,(6-$B$29-$B$22/12)*12,0),0)))</f>
        <v>0</v>
      </c>
      <c r="I63" s="424">
        <f>IF(I60="No",0,IF((7-$B$29)*12&lt;=$B$22,0,IFERROR(-CUMPRINC($B$20/12,$B$19*12,$B$18,(7-$B$29-$B$22/12-1)*12+1,(7-$B$29-$B$22/12)*12,0),0)))</f>
        <v>0</v>
      </c>
      <c r="J63" s="424">
        <f>IF(J60="No",0,IF((8-$B$29)*12&lt;=$B$22,0,IFERROR(-CUMPRINC($B$20/12,$B$19*12,$B$18,(8-$B$29-$B$22/12-1)*12+1,(8-$B$29-$B$22/12)*12,0),0)))</f>
        <v>0</v>
      </c>
      <c r="K63" s="424">
        <f>IF(K60="No",0,IF((9-$B$29)*12&lt;=$B$22,0,IFERROR(-CUMPRINC($B$20/12,$B$19*12,$B$18,(9-$B$29-$B$22/12-1)*12+1,(9-$B$29-$B$22/12)*12,0),0)))</f>
        <v>0</v>
      </c>
      <c r="L63" s="424">
        <f>IF(L60="No",0,IF((10-$B$29)*12&lt;=$B$22,0,IFERROR(-CUMPRINC($B$20/12,$B$19*12,$B$18,(10-$B$29-$B$22/12-1)*12+1,(10-$B$29-$B$22/12)*12,0),0)))</f>
        <v>0</v>
      </c>
      <c r="M63" s="411"/>
      <c r="N63" s="411"/>
      <c r="O63" s="411"/>
    </row>
    <row r="64" spans="1:15" ht="15" customHeight="1" x14ac:dyDescent="0.2">
      <c r="A64" s="441" t="s">
        <v>1694</v>
      </c>
      <c r="B64" s="483" t="s">
        <v>1695</v>
      </c>
      <c r="C64" s="267">
        <f t="shared" ref="C64:L64" si="7">IF(C60="No",0,C61-C63)</f>
        <v>0</v>
      </c>
      <c r="D64" s="267">
        <f t="shared" si="7"/>
        <v>0</v>
      </c>
      <c r="E64" s="267">
        <f t="shared" si="7"/>
        <v>0</v>
      </c>
      <c r="F64" s="267">
        <f t="shared" si="7"/>
        <v>0</v>
      </c>
      <c r="G64" s="267">
        <f t="shared" si="7"/>
        <v>0</v>
      </c>
      <c r="H64" s="267">
        <f t="shared" si="7"/>
        <v>0</v>
      </c>
      <c r="I64" s="267">
        <f t="shared" si="7"/>
        <v>0</v>
      </c>
      <c r="J64" s="267">
        <f t="shared" si="7"/>
        <v>0</v>
      </c>
      <c r="K64" s="267">
        <f t="shared" si="7"/>
        <v>0</v>
      </c>
      <c r="L64" s="267">
        <f t="shared" si="7"/>
        <v>0</v>
      </c>
      <c r="M64" s="411"/>
      <c r="N64" s="411"/>
      <c r="O64" s="411"/>
    </row>
    <row r="65" spans="1:15" ht="15" customHeight="1" x14ac:dyDescent="0.2">
      <c r="A65" s="442" t="s">
        <v>1705</v>
      </c>
      <c r="B65" s="486" t="s">
        <v>1706</v>
      </c>
      <c r="C65" s="268">
        <f t="shared" ref="C65:L65" si="8">C62+C63</f>
        <v>0</v>
      </c>
      <c r="D65" s="268">
        <f t="shared" si="8"/>
        <v>0</v>
      </c>
      <c r="E65" s="268">
        <f t="shared" si="8"/>
        <v>0</v>
      </c>
      <c r="F65" s="268">
        <f t="shared" si="8"/>
        <v>0</v>
      </c>
      <c r="G65" s="268">
        <f t="shared" si="8"/>
        <v>0</v>
      </c>
      <c r="H65" s="268">
        <f t="shared" si="8"/>
        <v>0</v>
      </c>
      <c r="I65" s="268">
        <f t="shared" si="8"/>
        <v>0</v>
      </c>
      <c r="J65" s="268">
        <f t="shared" si="8"/>
        <v>0</v>
      </c>
      <c r="K65" s="268">
        <f t="shared" si="8"/>
        <v>0</v>
      </c>
      <c r="L65" s="268">
        <f t="shared" si="8"/>
        <v>0</v>
      </c>
      <c r="M65" s="411"/>
      <c r="N65" s="411"/>
      <c r="O65" s="411"/>
    </row>
    <row r="66" spans="1:15" ht="15" customHeight="1" x14ac:dyDescent="0.2">
      <c r="A66" s="411"/>
      <c r="B66" s="411"/>
      <c r="C66" s="411"/>
      <c r="D66" s="411"/>
      <c r="E66" s="411"/>
      <c r="F66" s="411"/>
      <c r="G66" s="411"/>
      <c r="H66" s="411"/>
      <c r="I66" s="411"/>
      <c r="J66" s="411"/>
      <c r="K66" s="411"/>
      <c r="L66" s="411"/>
      <c r="M66" s="411"/>
      <c r="N66" s="411"/>
      <c r="O66" s="411"/>
    </row>
    <row r="67" spans="1:15" ht="21.75" customHeight="1" x14ac:dyDescent="0.2">
      <c r="A67" s="965" t="s">
        <v>1707</v>
      </c>
      <c r="B67" s="965"/>
      <c r="C67" s="965"/>
      <c r="D67" s="965"/>
      <c r="E67" s="965"/>
      <c r="F67" s="965"/>
      <c r="G67" s="965"/>
      <c r="H67" s="965"/>
      <c r="I67" s="965"/>
      <c r="J67" s="965"/>
      <c r="K67" s="965"/>
      <c r="L67" s="965"/>
      <c r="M67" s="965"/>
      <c r="N67" s="965"/>
      <c r="O67" s="411"/>
    </row>
    <row r="68" spans="1:15" ht="19.5" customHeight="1" x14ac:dyDescent="0.2">
      <c r="A68" s="481" t="s">
        <v>11</v>
      </c>
      <c r="B68" s="481" t="s">
        <v>1685</v>
      </c>
      <c r="C68" s="45" t="s">
        <v>1471</v>
      </c>
      <c r="D68" s="45" t="s">
        <v>1472</v>
      </c>
      <c r="E68" s="45" t="s">
        <v>1473</v>
      </c>
      <c r="F68" s="45" t="s">
        <v>1474</v>
      </c>
      <c r="G68" s="45" t="s">
        <v>1475</v>
      </c>
      <c r="H68" s="45" t="s">
        <v>1476</v>
      </c>
      <c r="I68" s="45" t="s">
        <v>1477</v>
      </c>
      <c r="J68" s="45" t="s">
        <v>1478</v>
      </c>
      <c r="K68" s="45" t="s">
        <v>1479</v>
      </c>
      <c r="L68" s="45" t="s">
        <v>1480</v>
      </c>
      <c r="M68" s="411"/>
      <c r="N68" s="411"/>
      <c r="O68" s="411"/>
    </row>
    <row r="69" spans="1:15" ht="15" customHeight="1" x14ac:dyDescent="0.2">
      <c r="A69" s="442" t="s">
        <v>1708</v>
      </c>
      <c r="B69" s="486" t="s">
        <v>1709</v>
      </c>
      <c r="C69" s="487">
        <f t="shared" ref="C69:L69" si="9">C35+C44+C62</f>
        <v>0</v>
      </c>
      <c r="D69" s="487">
        <f t="shared" si="9"/>
        <v>0</v>
      </c>
      <c r="E69" s="487">
        <f t="shared" si="9"/>
        <v>0</v>
      </c>
      <c r="F69" s="487">
        <f t="shared" si="9"/>
        <v>0</v>
      </c>
      <c r="G69" s="487">
        <f t="shared" si="9"/>
        <v>0</v>
      </c>
      <c r="H69" s="487">
        <f t="shared" si="9"/>
        <v>0</v>
      </c>
      <c r="I69" s="487">
        <f t="shared" si="9"/>
        <v>0</v>
      </c>
      <c r="J69" s="487">
        <f t="shared" si="9"/>
        <v>0</v>
      </c>
      <c r="K69" s="487">
        <f t="shared" si="9"/>
        <v>0</v>
      </c>
      <c r="L69" s="487">
        <f t="shared" si="9"/>
        <v>0</v>
      </c>
      <c r="M69" s="411"/>
      <c r="N69" s="411"/>
      <c r="O69" s="411"/>
    </row>
    <row r="70" spans="1:15" ht="15" customHeight="1" x14ac:dyDescent="0.2">
      <c r="A70" s="442" t="s">
        <v>1710</v>
      </c>
      <c r="B70" s="486" t="s">
        <v>1711</v>
      </c>
      <c r="C70" s="487">
        <f t="shared" ref="C70:L70" si="10">C36+C45+C63</f>
        <v>0</v>
      </c>
      <c r="D70" s="487">
        <f t="shared" si="10"/>
        <v>0</v>
      </c>
      <c r="E70" s="487">
        <f t="shared" si="10"/>
        <v>0</v>
      </c>
      <c r="F70" s="487">
        <f t="shared" si="10"/>
        <v>0</v>
      </c>
      <c r="G70" s="487">
        <f t="shared" si="10"/>
        <v>0</v>
      </c>
      <c r="H70" s="487">
        <f t="shared" si="10"/>
        <v>0</v>
      </c>
      <c r="I70" s="487">
        <f t="shared" si="10"/>
        <v>0</v>
      </c>
      <c r="J70" s="487">
        <f t="shared" si="10"/>
        <v>0</v>
      </c>
      <c r="K70" s="487">
        <f t="shared" si="10"/>
        <v>0</v>
      </c>
      <c r="L70" s="487">
        <f t="shared" si="10"/>
        <v>0</v>
      </c>
      <c r="M70" s="411"/>
      <c r="N70" s="411"/>
      <c r="O70" s="411"/>
    </row>
    <row r="71" spans="1:15" ht="15" customHeight="1" x14ac:dyDescent="0.2">
      <c r="A71" s="442" t="s">
        <v>1712</v>
      </c>
      <c r="B71" s="486" t="s">
        <v>1713</v>
      </c>
      <c r="C71" s="487">
        <f t="shared" ref="C71:L71" si="11">C56</f>
        <v>0</v>
      </c>
      <c r="D71" s="487">
        <f t="shared" si="11"/>
        <v>0</v>
      </c>
      <c r="E71" s="487">
        <f t="shared" si="11"/>
        <v>0</v>
      </c>
      <c r="F71" s="487">
        <f t="shared" si="11"/>
        <v>0</v>
      </c>
      <c r="G71" s="487">
        <f t="shared" si="11"/>
        <v>0</v>
      </c>
      <c r="H71" s="487">
        <f t="shared" si="11"/>
        <v>0</v>
      </c>
      <c r="I71" s="487">
        <f t="shared" si="11"/>
        <v>0</v>
      </c>
      <c r="J71" s="487">
        <f t="shared" si="11"/>
        <v>0</v>
      </c>
      <c r="K71" s="487">
        <f t="shared" si="11"/>
        <v>0</v>
      </c>
      <c r="L71" s="487">
        <f t="shared" si="11"/>
        <v>0</v>
      </c>
      <c r="M71" s="411"/>
      <c r="N71" s="411"/>
      <c r="O71" s="411"/>
    </row>
    <row r="72" spans="1:15" ht="15" customHeight="1" x14ac:dyDescent="0.2">
      <c r="A72" s="488" t="s">
        <v>773</v>
      </c>
      <c r="B72" s="489" t="s">
        <v>1714</v>
      </c>
      <c r="C72" s="490">
        <f t="shared" ref="C72:L72" si="12">C69+C70+C71</f>
        <v>0</v>
      </c>
      <c r="D72" s="490">
        <f t="shared" si="12"/>
        <v>0</v>
      </c>
      <c r="E72" s="490">
        <f t="shared" si="12"/>
        <v>0</v>
      </c>
      <c r="F72" s="490">
        <f t="shared" si="12"/>
        <v>0</v>
      </c>
      <c r="G72" s="490">
        <f t="shared" si="12"/>
        <v>0</v>
      </c>
      <c r="H72" s="490">
        <f t="shared" si="12"/>
        <v>0</v>
      </c>
      <c r="I72" s="490">
        <f t="shared" si="12"/>
        <v>0</v>
      </c>
      <c r="J72" s="490">
        <f t="shared" si="12"/>
        <v>0</v>
      </c>
      <c r="K72" s="490">
        <f t="shared" si="12"/>
        <v>0</v>
      </c>
      <c r="L72" s="490">
        <f t="shared" si="12"/>
        <v>0</v>
      </c>
      <c r="M72" s="411"/>
      <c r="N72" s="411"/>
      <c r="O72" s="411"/>
    </row>
    <row r="73" spans="1:15" ht="15" customHeight="1" x14ac:dyDescent="0.2">
      <c r="A73" s="411"/>
      <c r="B73" s="411"/>
      <c r="C73" s="411"/>
      <c r="D73" s="411"/>
      <c r="E73" s="411"/>
      <c r="F73" s="411"/>
      <c r="G73" s="411"/>
      <c r="H73" s="411"/>
      <c r="I73" s="411"/>
      <c r="J73" s="411"/>
      <c r="K73" s="411"/>
      <c r="L73" s="411"/>
      <c r="M73" s="411"/>
      <c r="N73" s="411"/>
      <c r="O73" s="411"/>
    </row>
    <row r="74" spans="1:15" ht="15" customHeight="1" x14ac:dyDescent="0.2">
      <c r="A74" s="411"/>
      <c r="B74" s="411"/>
      <c r="C74" s="411"/>
      <c r="D74" s="411"/>
      <c r="E74" s="411"/>
      <c r="F74" s="411"/>
      <c r="G74" s="411"/>
      <c r="H74" s="411"/>
      <c r="I74" s="411"/>
      <c r="J74" s="411"/>
      <c r="K74" s="411"/>
      <c r="L74" s="411"/>
      <c r="M74" s="411"/>
      <c r="N74" s="411"/>
      <c r="O74" s="411"/>
    </row>
    <row r="75" spans="1:15" ht="15" customHeight="1" x14ac:dyDescent="0.2">
      <c r="A75" s="411"/>
      <c r="B75" s="411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</row>
    <row r="76" spans="1:15" ht="15" customHeight="1" x14ac:dyDescent="0.2">
      <c r="A76" s="411"/>
      <c r="B76" s="411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</row>
    <row r="77" spans="1:15" ht="15" customHeight="1" x14ac:dyDescent="0.2">
      <c r="A77" s="411"/>
      <c r="B77" s="411"/>
      <c r="C77" s="411"/>
      <c r="D77" s="411"/>
      <c r="E77" s="411"/>
      <c r="F77" s="411"/>
      <c r="G77" s="411"/>
      <c r="H77" s="411"/>
      <c r="I77" s="411"/>
      <c r="J77" s="411"/>
      <c r="K77" s="411"/>
      <c r="L77" s="411"/>
      <c r="M77" s="411"/>
      <c r="N77" s="411"/>
      <c r="O77" s="411"/>
    </row>
    <row r="78" spans="1:15" ht="15" customHeight="1" x14ac:dyDescent="0.2">
      <c r="A78" s="411"/>
      <c r="B78" s="411"/>
      <c r="C78" s="411"/>
      <c r="D78" s="411"/>
      <c r="E78" s="411"/>
      <c r="F78" s="411"/>
      <c r="G78" s="411"/>
      <c r="H78" s="411"/>
      <c r="I78" s="411"/>
      <c r="J78" s="411"/>
      <c r="K78" s="411"/>
      <c r="L78" s="411"/>
      <c r="M78" s="411"/>
      <c r="N78" s="411"/>
      <c r="O78" s="411"/>
    </row>
    <row r="79" spans="1:15" ht="15" customHeight="1" x14ac:dyDescent="0.2">
      <c r="A79" s="411"/>
      <c r="B79" s="411"/>
      <c r="C79" s="411"/>
      <c r="D79" s="411"/>
      <c r="E79" s="411"/>
      <c r="F79" s="411"/>
      <c r="G79" s="411"/>
      <c r="H79" s="411"/>
      <c r="I79" s="411"/>
      <c r="J79" s="411"/>
      <c r="K79" s="411"/>
      <c r="L79" s="411"/>
      <c r="M79" s="411"/>
      <c r="N79" s="411"/>
      <c r="O79" s="411"/>
    </row>
  </sheetData>
  <mergeCells count="9">
    <mergeCell ref="A40:N40"/>
    <mergeCell ref="A49:N49"/>
    <mergeCell ref="A58:N58"/>
    <mergeCell ref="A67:N67"/>
    <mergeCell ref="A1:F1"/>
    <mergeCell ref="A2:F2"/>
    <mergeCell ref="A16:N16"/>
    <mergeCell ref="A28:N28"/>
    <mergeCell ref="A31:N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53"/>
  <sheetViews>
    <sheetView showGridLines="0" zoomScaleNormal="100" workbookViewId="0">
      <pane ySplit="6" topLeftCell="A7" activePane="bottomLeft" state="frozen"/>
      <selection pane="bottomLeft" activeCell="S10" sqref="S10"/>
    </sheetView>
  </sheetViews>
  <sheetFormatPr baseColWidth="10" defaultColWidth="8.6640625" defaultRowHeight="15" x14ac:dyDescent="0.2"/>
  <cols>
    <col min="1" max="1" width="18" customWidth="1"/>
    <col min="2" max="4" width="10.1640625" customWidth="1"/>
    <col min="5" max="6" width="12" customWidth="1"/>
    <col min="7" max="7" width="13" customWidth="1"/>
    <col min="8" max="8" width="11" customWidth="1"/>
    <col min="9" max="9" width="12" customWidth="1"/>
    <col min="10" max="11" width="13" customWidth="1"/>
    <col min="12" max="13" width="11" customWidth="1"/>
    <col min="14" max="14" width="13" customWidth="1"/>
    <col min="15" max="15" width="26" customWidth="1"/>
    <col min="16" max="16" width="2.5" customWidth="1"/>
    <col min="17" max="17" width="11" customWidth="1"/>
    <col min="18" max="18" width="24" customWidth="1"/>
    <col min="19" max="19" width="10" customWidth="1"/>
    <col min="20" max="20" width="9" customWidth="1"/>
    <col min="21" max="21" width="11" customWidth="1"/>
    <col min="22" max="22" width="15" customWidth="1"/>
    <col min="23" max="23" width="9" customWidth="1"/>
    <col min="24" max="26" width="13" customWidth="1"/>
    <col min="27" max="27" width="11" customWidth="1"/>
    <col min="28" max="28" width="9" customWidth="1"/>
    <col min="29" max="29" width="14" customWidth="1"/>
    <col min="30" max="30" width="28" customWidth="1"/>
    <col min="31" max="31" width="2.5" customWidth="1"/>
    <col min="32" max="32" width="26" customWidth="1"/>
    <col min="33" max="37" width="15" customWidth="1"/>
  </cols>
  <sheetData>
    <row r="1" spans="1:37" ht="19.5" customHeight="1" x14ac:dyDescent="0.2">
      <c r="A1" s="966" t="str">
        <f>IF('Prop Info'!B4="","  RENTAL COMPS  —  MARKET STUDY &amp; TARGET RENT ANALYSIS","  RENTAL COMPS  —  MARKET STUDY &amp; TARGET RENT ANALYSIS"&amp;" — "&amp;'Prop Info'!B4)</f>
        <v xml:space="preserve">  RENTAL COMPS  —  MARKET STUDY &amp; TARGET RENT ANALYSIS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Q1" s="966" t="s">
        <v>1715</v>
      </c>
      <c r="R1" s="966"/>
      <c r="S1" s="966"/>
      <c r="T1" s="966"/>
      <c r="U1" s="966"/>
      <c r="V1" s="966"/>
      <c r="W1" s="966"/>
      <c r="X1" s="966"/>
      <c r="Y1" s="966"/>
      <c r="Z1" s="966"/>
      <c r="AA1" s="966"/>
      <c r="AB1" s="966"/>
      <c r="AC1" s="966"/>
      <c r="AD1" s="966"/>
      <c r="AF1" s="966" t="s">
        <v>1716</v>
      </c>
      <c r="AG1" s="966"/>
      <c r="AH1" s="966"/>
      <c r="AI1" s="966"/>
      <c r="AJ1" s="966"/>
      <c r="AK1" s="966"/>
    </row>
    <row r="2" spans="1:37" ht="27.75" customHeight="1" x14ac:dyDescent="0.2">
      <c r="A2" s="967" t="s">
        <v>1717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7"/>
      <c r="O2" s="967"/>
      <c r="Q2" s="967" t="s">
        <v>1718</v>
      </c>
      <c r="R2" s="967"/>
      <c r="S2" s="967"/>
      <c r="T2" s="967"/>
      <c r="U2" s="967"/>
      <c r="V2" s="967"/>
      <c r="W2" s="967"/>
      <c r="X2" s="967"/>
      <c r="Y2" s="967"/>
      <c r="Z2" s="967"/>
      <c r="AA2" s="967"/>
      <c r="AB2" s="967"/>
      <c r="AC2" s="967"/>
      <c r="AD2" s="967"/>
      <c r="AF2" s="967" t="s">
        <v>1719</v>
      </c>
      <c r="AG2" s="967"/>
      <c r="AH2" s="967"/>
      <c r="AI2" s="967"/>
      <c r="AJ2" s="967"/>
      <c r="AK2" s="967"/>
    </row>
    <row r="4" spans="1:37" ht="15" customHeight="1" x14ac:dyDescent="0.2">
      <c r="A4" s="968" t="s">
        <v>1720</v>
      </c>
      <c r="B4" s="968"/>
      <c r="C4" s="968"/>
      <c r="D4" s="968"/>
      <c r="E4" s="968"/>
      <c r="F4" s="968"/>
      <c r="G4" s="968" t="s">
        <v>1721</v>
      </c>
      <c r="H4" s="968" t="s">
        <v>1722</v>
      </c>
      <c r="I4" s="968" t="s">
        <v>1723</v>
      </c>
      <c r="J4" s="968"/>
      <c r="K4" s="968"/>
      <c r="L4" s="968"/>
      <c r="M4" s="968"/>
      <c r="N4" s="968"/>
      <c r="O4" s="968"/>
      <c r="Q4" s="969" t="s">
        <v>1724</v>
      </c>
      <c r="R4" s="969"/>
      <c r="S4" s="969"/>
      <c r="T4" s="969"/>
      <c r="U4" s="969"/>
      <c r="V4" s="969"/>
      <c r="W4" s="969"/>
      <c r="X4" s="969"/>
      <c r="Y4" s="969"/>
      <c r="Z4" s="969"/>
      <c r="AA4" s="969"/>
      <c r="AB4" s="969"/>
      <c r="AC4" s="969"/>
      <c r="AD4" s="969"/>
      <c r="AF4" s="969" t="s">
        <v>1725</v>
      </c>
      <c r="AG4" s="969"/>
      <c r="AH4" s="969"/>
      <c r="AI4" s="969"/>
      <c r="AJ4" s="969"/>
      <c r="AK4" s="969"/>
    </row>
    <row r="5" spans="1:37" ht="25.5" customHeight="1" x14ac:dyDescent="0.2">
      <c r="A5" s="935" t="s">
        <v>1726</v>
      </c>
      <c r="B5" s="935"/>
      <c r="C5" s="935"/>
      <c r="D5" s="935"/>
      <c r="E5" s="935" t="s">
        <v>1727</v>
      </c>
      <c r="F5" s="935"/>
      <c r="G5" s="935"/>
      <c r="H5" s="935"/>
      <c r="I5" s="935" t="s">
        <v>1728</v>
      </c>
      <c r="J5" s="935"/>
      <c r="K5" s="935"/>
      <c r="L5" s="935"/>
      <c r="M5" s="935"/>
      <c r="N5" s="935"/>
      <c r="O5" s="935"/>
      <c r="Q5" s="970" t="s">
        <v>1729</v>
      </c>
      <c r="R5" s="970"/>
      <c r="S5" s="970"/>
      <c r="T5" s="970"/>
      <c r="U5" s="970"/>
      <c r="V5" s="970"/>
      <c r="W5" s="970" t="s">
        <v>1730</v>
      </c>
      <c r="X5" s="970"/>
      <c r="Y5" s="970"/>
      <c r="Z5" s="970"/>
      <c r="AA5" s="970"/>
      <c r="AB5" s="970"/>
      <c r="AC5" s="970" t="s">
        <v>1731</v>
      </c>
      <c r="AD5" s="970"/>
      <c r="AF5" s="492" t="s">
        <v>547</v>
      </c>
      <c r="AG5" s="493" t="str">
        <f>IF(R8="","Comp 1",R8)</f>
        <v>Comp 1</v>
      </c>
      <c r="AH5" s="493" t="str">
        <f>IF(R9="","Comp 2",R9)</f>
        <v>Comp 2</v>
      </c>
      <c r="AI5" s="493" t="str">
        <f>IF(R10="","Comp 3",R10)</f>
        <v>Comp 3</v>
      </c>
      <c r="AJ5" s="493" t="str">
        <f>IF(R11="","Comp 4",R11)</f>
        <v>Comp 4</v>
      </c>
      <c r="AK5" s="493" t="str">
        <f>IF(R12="","Comp 5",R12)</f>
        <v>Comp 5</v>
      </c>
    </row>
    <row r="6" spans="1:37" ht="24" customHeight="1" x14ac:dyDescent="0.2">
      <c r="A6" s="381" t="s">
        <v>1227</v>
      </c>
      <c r="B6" s="381" t="s">
        <v>1332</v>
      </c>
      <c r="C6" s="381" t="s">
        <v>369</v>
      </c>
      <c r="D6" s="381" t="s">
        <v>1732</v>
      </c>
      <c r="E6" s="381" t="str">
        <f>IF($H$4="Max","In-Place Max /mo","In-Place Avg /mo")</f>
        <v>In-Place Avg /mo</v>
      </c>
      <c r="F6" s="381" t="str">
        <f>IF($H$4="Max","Market Max /mo","Market Avg /mo")</f>
        <v>Market Avg /mo</v>
      </c>
      <c r="G6" s="381" t="s">
        <v>1733</v>
      </c>
      <c r="H6" s="381" t="s">
        <v>1734</v>
      </c>
      <c r="I6" s="381" t="s">
        <v>1735</v>
      </c>
      <c r="J6" s="381" t="s">
        <v>1736</v>
      </c>
      <c r="K6" s="381" t="s">
        <v>1737</v>
      </c>
      <c r="L6" s="381" t="s">
        <v>1738</v>
      </c>
      <c r="M6" s="381" t="s">
        <v>1739</v>
      </c>
      <c r="N6" s="381" t="s">
        <v>1740</v>
      </c>
      <c r="O6" s="381" t="s">
        <v>1741</v>
      </c>
      <c r="Q6" s="381" t="s">
        <v>1742</v>
      </c>
      <c r="R6" s="381" t="s">
        <v>1743</v>
      </c>
      <c r="S6" s="381" t="s">
        <v>1744</v>
      </c>
      <c r="T6" s="381" t="s">
        <v>1745</v>
      </c>
      <c r="U6" s="381" t="s">
        <v>1746</v>
      </c>
      <c r="V6" s="381" t="s">
        <v>1227</v>
      </c>
      <c r="W6" s="381" t="s">
        <v>1332</v>
      </c>
      <c r="X6" s="381" t="s">
        <v>1747</v>
      </c>
      <c r="Y6" s="381" t="s">
        <v>360</v>
      </c>
      <c r="Z6" s="381" t="s">
        <v>1748</v>
      </c>
      <c r="AA6" s="381" t="s">
        <v>1749</v>
      </c>
      <c r="AB6" s="381" t="s">
        <v>1750</v>
      </c>
      <c r="AC6" s="381" t="s">
        <v>1751</v>
      </c>
      <c r="AD6" s="381" t="s">
        <v>1752</v>
      </c>
      <c r="AF6" s="494" t="s">
        <v>1753</v>
      </c>
      <c r="AG6" s="495"/>
      <c r="AH6" s="495"/>
      <c r="AI6" s="495"/>
      <c r="AJ6" s="495"/>
      <c r="AK6" s="495"/>
    </row>
    <row r="7" spans="1:37" ht="15" customHeight="1" x14ac:dyDescent="0.2">
      <c r="A7" s="496"/>
      <c r="B7" s="497">
        <f>IFERROR(AVERAGEIF('Rent Roll Analysis'!$C$273:$C$1772,$A7,'Rent Roll Analysis'!$D$273:$D$1772),0)</f>
        <v>0</v>
      </c>
      <c r="C7" s="497">
        <f>COUNTIF('Rent Roll Analysis'!$C$273:$C$1772,$A7)</f>
        <v>0</v>
      </c>
      <c r="D7" s="370">
        <f t="shared" ref="D7:D16" si="0">IFERROR(C7/$C$17,0)</f>
        <v>0</v>
      </c>
      <c r="E7" s="498">
        <f>IFERROR(IF($H$4="Max",_xlfn.MAXIFS('Rent Roll Analysis'!$N$273:$N$1772,'Rent Roll Analysis'!$C$273:$C$1772,$A7,'Rent Roll Analysis'!$E$273:$E$1772,"Occupied*"),AVERAGEIFS('Rent Roll Analysis'!$N$273:$N$1772,'Rent Roll Analysis'!$C$273:$C$1772,$A7,'Rent Roll Analysis'!$E$273:$E$1772,"Occupied*")),0)</f>
        <v>0</v>
      </c>
      <c r="F7" s="498">
        <f>IFERROR(IF($H$4="Max",_xlfn.MAXIFS('Rent Roll Analysis'!$L$273:$L$1772,'Rent Roll Analysis'!$C$273:$C$1772,$A7,'Rent Roll Analysis'!$L$273:$L$1772,"&gt;0"),AVERAGEIFS('Rent Roll Analysis'!$L$273:$L$1772,'Rent Roll Analysis'!$C$273:$C$1772,$A7,'Rent Roll Analysis'!$L$273:$L$1772,"&gt;0")),0)</f>
        <v>0</v>
      </c>
      <c r="G7" s="385">
        <f t="shared" ref="G7:G16" si="1">E7*C7</f>
        <v>0</v>
      </c>
      <c r="H7" s="386">
        <f t="shared" ref="H7:H17" si="2">IFERROR(E7/B7,0)</f>
        <v>0</v>
      </c>
      <c r="I7" s="386">
        <f t="shared" ref="I7:I16" si="3">IFERROR(AVERAGEIFS($AA$8:$AA$22,$V$8:$V$22,LEFT($A7,1)&amp;"*"),0)</f>
        <v>0</v>
      </c>
      <c r="J7" s="385">
        <f t="shared" ref="J7:J16" si="4">IFERROR(I7*B7,0)</f>
        <v>0</v>
      </c>
      <c r="K7" s="499">
        <f t="shared" ref="K7:K16" si="5">IF(J7&gt;0,J7,0)</f>
        <v>0</v>
      </c>
      <c r="L7" s="500" t="str">
        <f t="shared" ref="L7:L16" si="6">IF(K7=0,"",IFERROR(K7/E7-1,""))</f>
        <v/>
      </c>
      <c r="M7" s="385" t="str">
        <f t="shared" ref="M7:M16" si="7">IF(K7=0,"",IFERROR(K7-E7,""))</f>
        <v/>
      </c>
      <c r="N7" s="385">
        <f t="shared" ref="N7:N16" si="8">K7*C7</f>
        <v>0</v>
      </c>
      <c r="O7" s="501"/>
      <c r="Q7" s="502" t="s">
        <v>1754</v>
      </c>
      <c r="R7" s="503">
        <f>'Prop Info'!B4</f>
        <v>0</v>
      </c>
      <c r="S7" s="504">
        <f>'Prop Info'!B13</f>
        <v>0</v>
      </c>
      <c r="T7" s="505">
        <f>'Prop Info'!B9</f>
        <v>0</v>
      </c>
      <c r="U7" s="505">
        <f>'Prop Info'!B6</f>
        <v>0</v>
      </c>
      <c r="V7" s="502" t="s">
        <v>359</v>
      </c>
      <c r="W7" s="505">
        <f>IFERROR('Prop Info'!B11/'Prop Info'!B6,0)</f>
        <v>0</v>
      </c>
      <c r="X7" s="506">
        <f>IFERROR(AVERAGEIF('Rent Roll Analysis'!$L$273:$L$1772,"&gt;0"),0)</f>
        <v>0</v>
      </c>
      <c r="Y7" s="507">
        <v>0</v>
      </c>
      <c r="Z7" s="508">
        <f t="shared" ref="Z7:Z22" si="9">IFERROR(X7*(1-Y7/52)+N(AC7),X7)</f>
        <v>0</v>
      </c>
      <c r="AA7" s="509">
        <f t="shared" ref="AA7:AA22" si="10">IFERROR(Z7/W7,0)</f>
        <v>0</v>
      </c>
      <c r="AB7" s="510">
        <f>IFERROR(COUNTIF('Rent Roll Analysis'!$E$273:$E$1772,"Occupied*")/'Prop Info'!$B$6,0)</f>
        <v>0</v>
      </c>
      <c r="AC7" s="502"/>
      <c r="AD7" s="511" t="s">
        <v>1755</v>
      </c>
      <c r="AF7" s="512" t="s">
        <v>1756</v>
      </c>
      <c r="AG7" s="495"/>
      <c r="AH7" s="495"/>
      <c r="AI7" s="495"/>
      <c r="AJ7" s="495"/>
      <c r="AK7" s="495"/>
    </row>
    <row r="8" spans="1:37" ht="15" customHeight="1" x14ac:dyDescent="0.2">
      <c r="A8" s="496"/>
      <c r="B8" s="513">
        <f>IFERROR(AVERAGEIF('Rent Roll Analysis'!$C$273:$C$1772,$A8,'Rent Roll Analysis'!$D$273:$D$1772),0)</f>
        <v>0</v>
      </c>
      <c r="C8" s="513">
        <f>COUNTIF('Rent Roll Analysis'!$C$273:$C$1772,$A8)</f>
        <v>0</v>
      </c>
      <c r="D8" s="392">
        <f t="shared" si="0"/>
        <v>0</v>
      </c>
      <c r="E8" s="514">
        <f>IFERROR(IF($H$4="Max",_xlfn.MAXIFS('Rent Roll Analysis'!$N$273:$N$1772,'Rent Roll Analysis'!$C$273:$C$1772,$A8,'Rent Roll Analysis'!$E$273:$E$1772,"Occupied*"),AVERAGEIFS('Rent Roll Analysis'!$N$273:$N$1772,'Rent Roll Analysis'!$C$273:$C$1772,$A8,'Rent Roll Analysis'!$E$273:$E$1772,"Occupied*")),0)</f>
        <v>0</v>
      </c>
      <c r="F8" s="514">
        <f>IFERROR(IF($H$4="Max",_xlfn.MAXIFS('Rent Roll Analysis'!$L$273:$L$1772,'Rent Roll Analysis'!$C$273:$C$1772,$A8,'Rent Roll Analysis'!$L$273:$L$1772,"&gt;0"),AVERAGEIFS('Rent Roll Analysis'!$L$273:$L$1772,'Rent Roll Analysis'!$C$273:$C$1772,$A8,'Rent Roll Analysis'!$L$273:$L$1772,"&gt;0")),0)</f>
        <v>0</v>
      </c>
      <c r="G8" s="393">
        <f t="shared" si="1"/>
        <v>0</v>
      </c>
      <c r="H8" s="394">
        <f t="shared" si="2"/>
        <v>0</v>
      </c>
      <c r="I8" s="394">
        <f t="shared" si="3"/>
        <v>0</v>
      </c>
      <c r="J8" s="393">
        <f t="shared" si="4"/>
        <v>0</v>
      </c>
      <c r="K8" s="499">
        <f t="shared" si="5"/>
        <v>0</v>
      </c>
      <c r="L8" s="515" t="str">
        <f t="shared" si="6"/>
        <v/>
      </c>
      <c r="M8" s="393" t="str">
        <f t="shared" si="7"/>
        <v/>
      </c>
      <c r="N8" s="393">
        <f t="shared" si="8"/>
        <v>0</v>
      </c>
      <c r="O8" s="501"/>
      <c r="Q8" s="516"/>
      <c r="R8" s="501"/>
      <c r="S8" s="495"/>
      <c r="T8" s="517"/>
      <c r="U8" s="517"/>
      <c r="V8" s="501"/>
      <c r="W8" s="517"/>
      <c r="X8" s="518"/>
      <c r="Y8" s="516">
        <v>0</v>
      </c>
      <c r="Z8" s="393">
        <f t="shared" si="9"/>
        <v>0</v>
      </c>
      <c r="AA8" s="394">
        <f t="shared" si="10"/>
        <v>0</v>
      </c>
      <c r="AB8" s="519"/>
      <c r="AC8" s="518"/>
      <c r="AD8" s="501"/>
      <c r="AF8" s="494" t="s">
        <v>1757</v>
      </c>
      <c r="AG8" s="495"/>
      <c r="AH8" s="495"/>
      <c r="AI8" s="495"/>
      <c r="AJ8" s="495"/>
      <c r="AK8" s="495"/>
    </row>
    <row r="9" spans="1:37" ht="15" customHeight="1" x14ac:dyDescent="0.2">
      <c r="A9" s="496"/>
      <c r="B9" s="497">
        <f>IFERROR(AVERAGEIF('Rent Roll Analysis'!$C$273:$C$1772,$A9,'Rent Roll Analysis'!$D$273:$D$1772),0)</f>
        <v>0</v>
      </c>
      <c r="C9" s="497">
        <f>COUNTIF('Rent Roll Analysis'!$C$273:$C$1772,$A9)</f>
        <v>0</v>
      </c>
      <c r="D9" s="370">
        <f t="shared" si="0"/>
        <v>0</v>
      </c>
      <c r="E9" s="498">
        <f>IFERROR(IF($H$4="Max",_xlfn.MAXIFS('Rent Roll Analysis'!$N$273:$N$1772,'Rent Roll Analysis'!$C$273:$C$1772,$A9,'Rent Roll Analysis'!$E$273:$E$1772,"Occupied*"),AVERAGEIFS('Rent Roll Analysis'!$N$273:$N$1772,'Rent Roll Analysis'!$C$273:$C$1772,$A9,'Rent Roll Analysis'!$E$273:$E$1772,"Occupied*")),0)</f>
        <v>0</v>
      </c>
      <c r="F9" s="498">
        <f>IFERROR(IF($H$4="Max",_xlfn.MAXIFS('Rent Roll Analysis'!$L$273:$L$1772,'Rent Roll Analysis'!$C$273:$C$1772,$A9,'Rent Roll Analysis'!$L$273:$L$1772,"&gt;0"),AVERAGEIFS('Rent Roll Analysis'!$L$273:$L$1772,'Rent Roll Analysis'!$C$273:$C$1772,$A9,'Rent Roll Analysis'!$L$273:$L$1772,"&gt;0")),0)</f>
        <v>0</v>
      </c>
      <c r="G9" s="385">
        <f t="shared" si="1"/>
        <v>0</v>
      </c>
      <c r="H9" s="386">
        <f t="shared" si="2"/>
        <v>0</v>
      </c>
      <c r="I9" s="386">
        <f t="shared" si="3"/>
        <v>0</v>
      </c>
      <c r="J9" s="385">
        <f t="shared" si="4"/>
        <v>0</v>
      </c>
      <c r="K9" s="499">
        <f t="shared" si="5"/>
        <v>0</v>
      </c>
      <c r="L9" s="500" t="str">
        <f t="shared" si="6"/>
        <v/>
      </c>
      <c r="M9" s="385" t="str">
        <f t="shared" si="7"/>
        <v/>
      </c>
      <c r="N9" s="385">
        <f t="shared" si="8"/>
        <v>0</v>
      </c>
      <c r="O9" s="501"/>
      <c r="Q9" s="516"/>
      <c r="R9" s="501"/>
      <c r="S9" s="495"/>
      <c r="T9" s="517"/>
      <c r="U9" s="517"/>
      <c r="V9" s="501"/>
      <c r="W9" s="517"/>
      <c r="X9" s="518"/>
      <c r="Y9" s="516">
        <v>0</v>
      </c>
      <c r="Z9" s="385">
        <f t="shared" si="9"/>
        <v>0</v>
      </c>
      <c r="AA9" s="386">
        <f t="shared" si="10"/>
        <v>0</v>
      </c>
      <c r="AB9" s="519"/>
      <c r="AC9" s="518"/>
      <c r="AD9" s="501"/>
      <c r="AF9" s="512" t="s">
        <v>1758</v>
      </c>
      <c r="AG9" s="495"/>
      <c r="AH9" s="495"/>
      <c r="AI9" s="495"/>
      <c r="AJ9" s="495"/>
      <c r="AK9" s="495"/>
    </row>
    <row r="10" spans="1:37" ht="15" customHeight="1" x14ac:dyDescent="0.2">
      <c r="A10" s="496"/>
      <c r="B10" s="513">
        <f>IFERROR(AVERAGEIF('Rent Roll Analysis'!$C$273:$C$1772,$A10,'Rent Roll Analysis'!$D$273:$D$1772),0)</f>
        <v>0</v>
      </c>
      <c r="C10" s="513">
        <f>COUNTIF('Rent Roll Analysis'!$C$273:$C$1772,$A10)</f>
        <v>0</v>
      </c>
      <c r="D10" s="392">
        <f t="shared" si="0"/>
        <v>0</v>
      </c>
      <c r="E10" s="514">
        <f>IFERROR(IF($H$4="Max",_xlfn.MAXIFS('Rent Roll Analysis'!$N$273:$N$1772,'Rent Roll Analysis'!$C$273:$C$1772,$A10,'Rent Roll Analysis'!$E$273:$E$1772,"Occupied*"),AVERAGEIFS('Rent Roll Analysis'!$N$273:$N$1772,'Rent Roll Analysis'!$C$273:$C$1772,$A10,'Rent Roll Analysis'!$E$273:$E$1772,"Occupied*")),0)</f>
        <v>0</v>
      </c>
      <c r="F10" s="514">
        <f>IFERROR(IF($H$4="Max",_xlfn.MAXIFS('Rent Roll Analysis'!$L$273:$L$1772,'Rent Roll Analysis'!$C$273:$C$1772,$A10,'Rent Roll Analysis'!$L$273:$L$1772,"&gt;0"),AVERAGEIFS('Rent Roll Analysis'!$L$273:$L$1772,'Rent Roll Analysis'!$C$273:$C$1772,$A10,'Rent Roll Analysis'!$L$273:$L$1772,"&gt;0")),0)</f>
        <v>0</v>
      </c>
      <c r="G10" s="393">
        <f t="shared" si="1"/>
        <v>0</v>
      </c>
      <c r="H10" s="394">
        <f t="shared" si="2"/>
        <v>0</v>
      </c>
      <c r="I10" s="394">
        <f t="shared" si="3"/>
        <v>0</v>
      </c>
      <c r="J10" s="393">
        <f t="shared" si="4"/>
        <v>0</v>
      </c>
      <c r="K10" s="499">
        <f t="shared" si="5"/>
        <v>0</v>
      </c>
      <c r="L10" s="515" t="str">
        <f t="shared" si="6"/>
        <v/>
      </c>
      <c r="M10" s="393" t="str">
        <f t="shared" si="7"/>
        <v/>
      </c>
      <c r="N10" s="393">
        <f t="shared" si="8"/>
        <v>0</v>
      </c>
      <c r="O10" s="501"/>
      <c r="Q10" s="516"/>
      <c r="R10" s="501"/>
      <c r="S10" s="495"/>
      <c r="T10" s="517"/>
      <c r="U10" s="517"/>
      <c r="V10" s="501"/>
      <c r="W10" s="517"/>
      <c r="X10" s="518"/>
      <c r="Y10" s="516">
        <v>0</v>
      </c>
      <c r="Z10" s="393">
        <f t="shared" si="9"/>
        <v>0</v>
      </c>
      <c r="AA10" s="394">
        <f t="shared" si="10"/>
        <v>0</v>
      </c>
      <c r="AB10" s="519"/>
      <c r="AC10" s="518"/>
      <c r="AD10" s="501"/>
      <c r="AF10" s="494" t="s">
        <v>1759</v>
      </c>
      <c r="AG10" s="495"/>
      <c r="AH10" s="495"/>
      <c r="AI10" s="495"/>
      <c r="AJ10" s="495"/>
      <c r="AK10" s="495"/>
    </row>
    <row r="11" spans="1:37" ht="15" customHeight="1" x14ac:dyDescent="0.2">
      <c r="A11" s="496"/>
      <c r="B11" s="497">
        <f>IFERROR(AVERAGEIF('Rent Roll Analysis'!$C$273:$C$1772,$A11,'Rent Roll Analysis'!$D$273:$D$1772),0)</f>
        <v>0</v>
      </c>
      <c r="C11" s="497">
        <f>COUNTIF('Rent Roll Analysis'!$C$273:$C$1772,$A11)</f>
        <v>0</v>
      </c>
      <c r="D11" s="370">
        <f t="shared" si="0"/>
        <v>0</v>
      </c>
      <c r="E11" s="498">
        <f>IFERROR(IF($H$4="Max",_xlfn.MAXIFS('Rent Roll Analysis'!$N$273:$N$1772,'Rent Roll Analysis'!$C$273:$C$1772,$A11,'Rent Roll Analysis'!$E$273:$E$1772,"Occupied*"),AVERAGEIFS('Rent Roll Analysis'!$N$273:$N$1772,'Rent Roll Analysis'!$C$273:$C$1772,$A11,'Rent Roll Analysis'!$E$273:$E$1772,"Occupied*")),0)</f>
        <v>0</v>
      </c>
      <c r="F11" s="498">
        <f>IFERROR(IF($H$4="Max",_xlfn.MAXIFS('Rent Roll Analysis'!$L$273:$L$1772,'Rent Roll Analysis'!$C$273:$C$1772,$A11,'Rent Roll Analysis'!$L$273:$L$1772,"&gt;0"),AVERAGEIFS('Rent Roll Analysis'!$L$273:$L$1772,'Rent Roll Analysis'!$C$273:$C$1772,$A11,'Rent Roll Analysis'!$L$273:$L$1772,"&gt;0")),0)</f>
        <v>0</v>
      </c>
      <c r="G11" s="385">
        <f t="shared" si="1"/>
        <v>0</v>
      </c>
      <c r="H11" s="386">
        <f t="shared" si="2"/>
        <v>0</v>
      </c>
      <c r="I11" s="386">
        <f t="shared" si="3"/>
        <v>0</v>
      </c>
      <c r="J11" s="385">
        <f t="shared" si="4"/>
        <v>0</v>
      </c>
      <c r="K11" s="499">
        <f t="shared" si="5"/>
        <v>0</v>
      </c>
      <c r="L11" s="500" t="str">
        <f t="shared" si="6"/>
        <v/>
      </c>
      <c r="M11" s="385" t="str">
        <f t="shared" si="7"/>
        <v/>
      </c>
      <c r="N11" s="385">
        <f t="shared" si="8"/>
        <v>0</v>
      </c>
      <c r="O11" s="501"/>
      <c r="Q11" s="516"/>
      <c r="R11" s="501"/>
      <c r="S11" s="495"/>
      <c r="T11" s="517"/>
      <c r="U11" s="517"/>
      <c r="V11" s="501"/>
      <c r="W11" s="517"/>
      <c r="X11" s="518"/>
      <c r="Y11" s="516">
        <v>0</v>
      </c>
      <c r="Z11" s="385">
        <f t="shared" si="9"/>
        <v>0</v>
      </c>
      <c r="AA11" s="386">
        <f t="shared" si="10"/>
        <v>0</v>
      </c>
      <c r="AB11" s="519"/>
      <c r="AC11" s="518"/>
      <c r="AD11" s="501"/>
      <c r="AF11" s="512" t="s">
        <v>1760</v>
      </c>
      <c r="AG11" s="495"/>
      <c r="AH11" s="495"/>
      <c r="AI11" s="495"/>
      <c r="AJ11" s="495"/>
      <c r="AK11" s="495"/>
    </row>
    <row r="12" spans="1:37" ht="15" customHeight="1" x14ac:dyDescent="0.2">
      <c r="A12" s="496"/>
      <c r="B12" s="513">
        <f>IFERROR(AVERAGEIF('Rent Roll Analysis'!$C$273:$C$1772,$A12,'Rent Roll Analysis'!$D$273:$D$1772),0)</f>
        <v>0</v>
      </c>
      <c r="C12" s="513">
        <f>COUNTIF('Rent Roll Analysis'!$C$273:$C$1772,$A12)</f>
        <v>0</v>
      </c>
      <c r="D12" s="392">
        <f t="shared" si="0"/>
        <v>0</v>
      </c>
      <c r="E12" s="514">
        <f>IFERROR(IF($H$4="Max",_xlfn.MAXIFS('Rent Roll Analysis'!$N$273:$N$1772,'Rent Roll Analysis'!$C$273:$C$1772,$A12,'Rent Roll Analysis'!$E$273:$E$1772,"Occupied*"),AVERAGEIFS('Rent Roll Analysis'!$N$273:$N$1772,'Rent Roll Analysis'!$C$273:$C$1772,$A12,'Rent Roll Analysis'!$E$273:$E$1772,"Occupied*")),0)</f>
        <v>0</v>
      </c>
      <c r="F12" s="514">
        <f>IFERROR(IF($H$4="Max",_xlfn.MAXIFS('Rent Roll Analysis'!$L$273:$L$1772,'Rent Roll Analysis'!$C$273:$C$1772,$A12,'Rent Roll Analysis'!$L$273:$L$1772,"&gt;0"),AVERAGEIFS('Rent Roll Analysis'!$L$273:$L$1772,'Rent Roll Analysis'!$C$273:$C$1772,$A12,'Rent Roll Analysis'!$L$273:$L$1772,"&gt;0")),0)</f>
        <v>0</v>
      </c>
      <c r="G12" s="393">
        <f t="shared" si="1"/>
        <v>0</v>
      </c>
      <c r="H12" s="394">
        <f t="shared" si="2"/>
        <v>0</v>
      </c>
      <c r="I12" s="394">
        <f t="shared" si="3"/>
        <v>0</v>
      </c>
      <c r="J12" s="393">
        <f t="shared" si="4"/>
        <v>0</v>
      </c>
      <c r="K12" s="499">
        <f t="shared" si="5"/>
        <v>0</v>
      </c>
      <c r="L12" s="515" t="str">
        <f t="shared" si="6"/>
        <v/>
      </c>
      <c r="M12" s="393" t="str">
        <f t="shared" si="7"/>
        <v/>
      </c>
      <c r="N12" s="393">
        <f t="shared" si="8"/>
        <v>0</v>
      </c>
      <c r="O12" s="501"/>
      <c r="Q12" s="516"/>
      <c r="R12" s="501"/>
      <c r="S12" s="495"/>
      <c r="T12" s="517"/>
      <c r="U12" s="517"/>
      <c r="V12" s="501"/>
      <c r="W12" s="517"/>
      <c r="X12" s="518"/>
      <c r="Y12" s="516">
        <v>0</v>
      </c>
      <c r="Z12" s="393">
        <f t="shared" si="9"/>
        <v>0</v>
      </c>
      <c r="AA12" s="394">
        <f t="shared" si="10"/>
        <v>0</v>
      </c>
      <c r="AB12" s="519"/>
      <c r="AC12" s="518"/>
      <c r="AD12" s="501"/>
      <c r="AF12" s="494" t="s">
        <v>1761</v>
      </c>
      <c r="AG12" s="495"/>
      <c r="AH12" s="495"/>
      <c r="AI12" s="495"/>
      <c r="AJ12" s="495"/>
      <c r="AK12" s="495"/>
    </row>
    <row r="13" spans="1:37" ht="15" customHeight="1" x14ac:dyDescent="0.2">
      <c r="A13" s="496"/>
      <c r="B13" s="497">
        <f>IFERROR(AVERAGEIF('Rent Roll Analysis'!$C$273:$C$1772,$A13,'Rent Roll Analysis'!$D$273:$D$1772),0)</f>
        <v>0</v>
      </c>
      <c r="C13" s="497">
        <f>COUNTIF('Rent Roll Analysis'!$C$273:$C$1772,$A13)</f>
        <v>0</v>
      </c>
      <c r="D13" s="370">
        <f t="shared" si="0"/>
        <v>0</v>
      </c>
      <c r="E13" s="498">
        <f>IFERROR(IF($H$4="Max",_xlfn.MAXIFS('Rent Roll Analysis'!$N$273:$N$1772,'Rent Roll Analysis'!$C$273:$C$1772,$A13,'Rent Roll Analysis'!$E$273:$E$1772,"Occupied*"),AVERAGEIFS('Rent Roll Analysis'!$N$273:$N$1772,'Rent Roll Analysis'!$C$273:$C$1772,$A13,'Rent Roll Analysis'!$E$273:$E$1772,"Occupied*")),0)</f>
        <v>0</v>
      </c>
      <c r="F13" s="498">
        <f>IFERROR(IF($H$4="Max",_xlfn.MAXIFS('Rent Roll Analysis'!$L$273:$L$1772,'Rent Roll Analysis'!$C$273:$C$1772,$A13,'Rent Roll Analysis'!$L$273:$L$1772,"&gt;0"),AVERAGEIFS('Rent Roll Analysis'!$L$273:$L$1772,'Rent Roll Analysis'!$C$273:$C$1772,$A13,'Rent Roll Analysis'!$L$273:$L$1772,"&gt;0")),0)</f>
        <v>0</v>
      </c>
      <c r="G13" s="385">
        <f t="shared" si="1"/>
        <v>0</v>
      </c>
      <c r="H13" s="386">
        <f t="shared" si="2"/>
        <v>0</v>
      </c>
      <c r="I13" s="386">
        <f t="shared" si="3"/>
        <v>0</v>
      </c>
      <c r="J13" s="385">
        <f t="shared" si="4"/>
        <v>0</v>
      </c>
      <c r="K13" s="499">
        <f t="shared" si="5"/>
        <v>0</v>
      </c>
      <c r="L13" s="500" t="str">
        <f t="shared" si="6"/>
        <v/>
      </c>
      <c r="M13" s="385" t="str">
        <f t="shared" si="7"/>
        <v/>
      </c>
      <c r="N13" s="385">
        <f t="shared" si="8"/>
        <v>0</v>
      </c>
      <c r="O13" s="501"/>
      <c r="Q13" s="516"/>
      <c r="R13" s="501"/>
      <c r="S13" s="495"/>
      <c r="T13" s="517"/>
      <c r="U13" s="517"/>
      <c r="V13" s="501"/>
      <c r="W13" s="517"/>
      <c r="X13" s="518"/>
      <c r="Y13" s="516">
        <v>0</v>
      </c>
      <c r="Z13" s="385">
        <f t="shared" si="9"/>
        <v>0</v>
      </c>
      <c r="AA13" s="386">
        <f t="shared" si="10"/>
        <v>0</v>
      </c>
      <c r="AB13" s="519"/>
      <c r="AC13" s="518"/>
      <c r="AD13" s="501"/>
      <c r="AF13" s="512" t="s">
        <v>1762</v>
      </c>
      <c r="AG13" s="495"/>
      <c r="AH13" s="495"/>
      <c r="AI13" s="495"/>
      <c r="AJ13" s="495"/>
      <c r="AK13" s="495"/>
    </row>
    <row r="14" spans="1:37" ht="15" customHeight="1" x14ac:dyDescent="0.2">
      <c r="A14" s="496"/>
      <c r="B14" s="513">
        <f>IFERROR(AVERAGEIF('Rent Roll Analysis'!$C$273:$C$1772,$A14,'Rent Roll Analysis'!$D$273:$D$1772),0)</f>
        <v>0</v>
      </c>
      <c r="C14" s="513">
        <f>COUNTIF('Rent Roll Analysis'!$C$273:$C$1772,$A14)</f>
        <v>0</v>
      </c>
      <c r="D14" s="392">
        <f t="shared" si="0"/>
        <v>0</v>
      </c>
      <c r="E14" s="514">
        <f>IFERROR(IF($H$4="Max",_xlfn.MAXIFS('Rent Roll Analysis'!$N$273:$N$1772,'Rent Roll Analysis'!$C$273:$C$1772,$A14,'Rent Roll Analysis'!$E$273:$E$1772,"Occupied*"),AVERAGEIFS('Rent Roll Analysis'!$N$273:$N$1772,'Rent Roll Analysis'!$C$273:$C$1772,$A14,'Rent Roll Analysis'!$E$273:$E$1772,"Occupied*")),0)</f>
        <v>0</v>
      </c>
      <c r="F14" s="514">
        <f>IFERROR(IF($H$4="Max",_xlfn.MAXIFS('Rent Roll Analysis'!$L$273:$L$1772,'Rent Roll Analysis'!$C$273:$C$1772,$A14,'Rent Roll Analysis'!$L$273:$L$1772,"&gt;0"),AVERAGEIFS('Rent Roll Analysis'!$L$273:$L$1772,'Rent Roll Analysis'!$C$273:$C$1772,$A14,'Rent Roll Analysis'!$L$273:$L$1772,"&gt;0")),0)</f>
        <v>0</v>
      </c>
      <c r="G14" s="393">
        <f t="shared" si="1"/>
        <v>0</v>
      </c>
      <c r="H14" s="394">
        <f t="shared" si="2"/>
        <v>0</v>
      </c>
      <c r="I14" s="394">
        <f t="shared" si="3"/>
        <v>0</v>
      </c>
      <c r="J14" s="393">
        <f t="shared" si="4"/>
        <v>0</v>
      </c>
      <c r="K14" s="499">
        <f t="shared" si="5"/>
        <v>0</v>
      </c>
      <c r="L14" s="515" t="str">
        <f t="shared" si="6"/>
        <v/>
      </c>
      <c r="M14" s="393" t="str">
        <f t="shared" si="7"/>
        <v/>
      </c>
      <c r="N14" s="393">
        <f t="shared" si="8"/>
        <v>0</v>
      </c>
      <c r="O14" s="501"/>
      <c r="Q14" s="516"/>
      <c r="R14" s="501"/>
      <c r="S14" s="495"/>
      <c r="T14" s="517"/>
      <c r="U14" s="517"/>
      <c r="V14" s="501"/>
      <c r="W14" s="517"/>
      <c r="X14" s="518"/>
      <c r="Y14" s="516">
        <v>0</v>
      </c>
      <c r="Z14" s="393">
        <f t="shared" si="9"/>
        <v>0</v>
      </c>
      <c r="AA14" s="394">
        <f t="shared" si="10"/>
        <v>0</v>
      </c>
      <c r="AB14" s="519"/>
      <c r="AC14" s="518"/>
      <c r="AD14" s="501"/>
      <c r="AF14" s="494" t="s">
        <v>1763</v>
      </c>
      <c r="AG14" s="495"/>
      <c r="AH14" s="495"/>
      <c r="AI14" s="495"/>
      <c r="AJ14" s="495"/>
      <c r="AK14" s="495"/>
    </row>
    <row r="15" spans="1:37" ht="15" customHeight="1" x14ac:dyDescent="0.2">
      <c r="A15" s="496"/>
      <c r="B15" s="497">
        <f>IFERROR(AVERAGEIF('Rent Roll Analysis'!$C$273:$C$1772,$A15,'Rent Roll Analysis'!$D$273:$D$1772),0)</f>
        <v>0</v>
      </c>
      <c r="C15" s="497">
        <f>COUNTIF('Rent Roll Analysis'!$C$273:$C$1772,$A15)</f>
        <v>0</v>
      </c>
      <c r="D15" s="370">
        <f t="shared" si="0"/>
        <v>0</v>
      </c>
      <c r="E15" s="498">
        <f>IFERROR(IF($H$4="Max",_xlfn.MAXIFS('Rent Roll Analysis'!$N$273:$N$1772,'Rent Roll Analysis'!$C$273:$C$1772,$A15,'Rent Roll Analysis'!$E$273:$E$1772,"Occupied*"),AVERAGEIFS('Rent Roll Analysis'!$N$273:$N$1772,'Rent Roll Analysis'!$C$273:$C$1772,$A15,'Rent Roll Analysis'!$E$273:$E$1772,"Occupied*")),0)</f>
        <v>0</v>
      </c>
      <c r="F15" s="498">
        <f>IFERROR(IF($H$4="Max",_xlfn.MAXIFS('Rent Roll Analysis'!$L$273:$L$1772,'Rent Roll Analysis'!$C$273:$C$1772,$A15,'Rent Roll Analysis'!$L$273:$L$1772,"&gt;0"),AVERAGEIFS('Rent Roll Analysis'!$L$273:$L$1772,'Rent Roll Analysis'!$C$273:$C$1772,$A15,'Rent Roll Analysis'!$L$273:$L$1772,"&gt;0")),0)</f>
        <v>0</v>
      </c>
      <c r="G15" s="385">
        <f t="shared" si="1"/>
        <v>0</v>
      </c>
      <c r="H15" s="386">
        <f t="shared" si="2"/>
        <v>0</v>
      </c>
      <c r="I15" s="386">
        <f t="shared" si="3"/>
        <v>0</v>
      </c>
      <c r="J15" s="385">
        <f t="shared" si="4"/>
        <v>0</v>
      </c>
      <c r="K15" s="499">
        <f t="shared" si="5"/>
        <v>0</v>
      </c>
      <c r="L15" s="500" t="str">
        <f t="shared" si="6"/>
        <v/>
      </c>
      <c r="M15" s="385" t="str">
        <f t="shared" si="7"/>
        <v/>
      </c>
      <c r="N15" s="385">
        <f t="shared" si="8"/>
        <v>0</v>
      </c>
      <c r="O15" s="501"/>
      <c r="Q15" s="516"/>
      <c r="R15" s="501"/>
      <c r="S15" s="495"/>
      <c r="T15" s="517"/>
      <c r="U15" s="517"/>
      <c r="V15" s="501"/>
      <c r="W15" s="517"/>
      <c r="X15" s="518"/>
      <c r="Y15" s="516">
        <v>0</v>
      </c>
      <c r="Z15" s="385">
        <f t="shared" si="9"/>
        <v>0</v>
      </c>
      <c r="AA15" s="386">
        <f t="shared" si="10"/>
        <v>0</v>
      </c>
      <c r="AB15" s="519"/>
      <c r="AC15" s="518"/>
      <c r="AD15" s="501"/>
      <c r="AF15" s="512" t="s">
        <v>1764</v>
      </c>
      <c r="AG15" s="495"/>
      <c r="AH15" s="495"/>
      <c r="AI15" s="495"/>
      <c r="AJ15" s="495"/>
      <c r="AK15" s="495"/>
    </row>
    <row r="16" spans="1:37" ht="15" customHeight="1" x14ac:dyDescent="0.2">
      <c r="A16" s="496"/>
      <c r="B16" s="513">
        <f>IFERROR(AVERAGEIF('Rent Roll Analysis'!$C$273:$C$1772,$A16,'Rent Roll Analysis'!$D$273:$D$1772),0)</f>
        <v>0</v>
      </c>
      <c r="C16" s="513">
        <f>COUNTIF('Rent Roll Analysis'!$C$273:$C$1772,$A16)</f>
        <v>0</v>
      </c>
      <c r="D16" s="392">
        <f t="shared" si="0"/>
        <v>0</v>
      </c>
      <c r="E16" s="514">
        <f>IFERROR(IF($H$4="Max",_xlfn.MAXIFS('Rent Roll Analysis'!$N$273:$N$1772,'Rent Roll Analysis'!$C$273:$C$1772,$A16,'Rent Roll Analysis'!$E$273:$E$1772,"Occupied*"),AVERAGEIFS('Rent Roll Analysis'!$N$273:$N$1772,'Rent Roll Analysis'!$C$273:$C$1772,$A16,'Rent Roll Analysis'!$E$273:$E$1772,"Occupied*")),0)</f>
        <v>0</v>
      </c>
      <c r="F16" s="514">
        <f>IFERROR(IF($H$4="Max",_xlfn.MAXIFS('Rent Roll Analysis'!$L$273:$L$1772,'Rent Roll Analysis'!$C$273:$C$1772,$A16,'Rent Roll Analysis'!$L$273:$L$1772,"&gt;0"),AVERAGEIFS('Rent Roll Analysis'!$L$273:$L$1772,'Rent Roll Analysis'!$C$273:$C$1772,$A16,'Rent Roll Analysis'!$L$273:$L$1772,"&gt;0")),0)</f>
        <v>0</v>
      </c>
      <c r="G16" s="393">
        <f t="shared" si="1"/>
        <v>0</v>
      </c>
      <c r="H16" s="394">
        <f t="shared" si="2"/>
        <v>0</v>
      </c>
      <c r="I16" s="394">
        <f t="shared" si="3"/>
        <v>0</v>
      </c>
      <c r="J16" s="393">
        <f t="shared" si="4"/>
        <v>0</v>
      </c>
      <c r="K16" s="499">
        <f t="shared" si="5"/>
        <v>0</v>
      </c>
      <c r="L16" s="515" t="str">
        <f t="shared" si="6"/>
        <v/>
      </c>
      <c r="M16" s="393" t="str">
        <f t="shared" si="7"/>
        <v/>
      </c>
      <c r="N16" s="393">
        <f t="shared" si="8"/>
        <v>0</v>
      </c>
      <c r="O16" s="501"/>
      <c r="Q16" s="516"/>
      <c r="R16" s="501"/>
      <c r="S16" s="495"/>
      <c r="T16" s="517"/>
      <c r="U16" s="517"/>
      <c r="V16" s="501"/>
      <c r="W16" s="517"/>
      <c r="X16" s="518"/>
      <c r="Y16" s="516"/>
      <c r="Z16" s="393">
        <f t="shared" si="9"/>
        <v>0</v>
      </c>
      <c r="AA16" s="394">
        <f t="shared" si="10"/>
        <v>0</v>
      </c>
      <c r="AB16" s="519"/>
      <c r="AC16" s="518"/>
      <c r="AD16" s="501"/>
      <c r="AF16" s="494" t="s">
        <v>1765</v>
      </c>
      <c r="AG16" s="495"/>
      <c r="AH16" s="495"/>
      <c r="AI16" s="495"/>
      <c r="AJ16" s="495"/>
      <c r="AK16" s="495"/>
    </row>
    <row r="17" spans="1:37" ht="15" customHeight="1" x14ac:dyDescent="0.2">
      <c r="A17" s="520" t="s">
        <v>1766</v>
      </c>
      <c r="B17" s="521">
        <f>IFERROR(SUMPRODUCT(B7:B16,C7:C16)/C17,0)</f>
        <v>0</v>
      </c>
      <c r="C17" s="521">
        <f>SUM(C7:C16)</f>
        <v>0</v>
      </c>
      <c r="D17" s="522">
        <f>IFERROR(C17/C17,0)</f>
        <v>0</v>
      </c>
      <c r="E17" s="523">
        <f>IFERROR(SUMPRODUCT(E7:E16,C7:C16)/C17,0)</f>
        <v>0</v>
      </c>
      <c r="F17" s="523">
        <f>IFERROR(SUMPRODUCT(F7:F16,C7:C16)/C17,0)</f>
        <v>0</v>
      </c>
      <c r="G17" s="523">
        <f>SUM(G7:G16)</f>
        <v>0</v>
      </c>
      <c r="H17" s="524">
        <f t="shared" si="2"/>
        <v>0</v>
      </c>
      <c r="I17" s="524">
        <f>IFERROR(SUMPRODUCT(I7:I16,C7:C16)/C17,0)</f>
        <v>0</v>
      </c>
      <c r="J17" s="523">
        <f>IFERROR(SUMPRODUCT(J7:J16,C7:C16)/C17,0)</f>
        <v>0</v>
      </c>
      <c r="K17" s="523">
        <f>IFERROR(SUMPRODUCT(K7:K16,C7:C16)/C17,0)</f>
        <v>0</v>
      </c>
      <c r="L17" s="525"/>
      <c r="M17" s="525"/>
      <c r="N17" s="523">
        <f>SUM(N7:N16)</f>
        <v>0</v>
      </c>
      <c r="O17" s="525"/>
      <c r="Q17" s="516"/>
      <c r="R17" s="501"/>
      <c r="S17" s="495"/>
      <c r="T17" s="517"/>
      <c r="U17" s="517"/>
      <c r="V17" s="501"/>
      <c r="W17" s="517"/>
      <c r="X17" s="518"/>
      <c r="Y17" s="516"/>
      <c r="Z17" s="385">
        <f t="shared" si="9"/>
        <v>0</v>
      </c>
      <c r="AA17" s="386">
        <f t="shared" si="10"/>
        <v>0</v>
      </c>
      <c r="AB17" s="519"/>
      <c r="AC17" s="518"/>
      <c r="AD17" s="501"/>
      <c r="AF17" s="512" t="s">
        <v>1767</v>
      </c>
      <c r="AG17" s="495"/>
      <c r="AH17" s="495"/>
      <c r="AI17" s="495"/>
      <c r="AJ17" s="495"/>
      <c r="AK17" s="495"/>
    </row>
    <row r="18" spans="1:37" ht="15" customHeight="1" x14ac:dyDescent="0.2">
      <c r="Q18" s="516"/>
      <c r="R18" s="501"/>
      <c r="S18" s="495"/>
      <c r="T18" s="517"/>
      <c r="U18" s="517"/>
      <c r="V18" s="501"/>
      <c r="W18" s="517"/>
      <c r="X18" s="518"/>
      <c r="Y18" s="516"/>
      <c r="Z18" s="393">
        <f t="shared" si="9"/>
        <v>0</v>
      </c>
      <c r="AA18" s="394">
        <f t="shared" si="10"/>
        <v>0</v>
      </c>
      <c r="AB18" s="519"/>
      <c r="AC18" s="518"/>
      <c r="AD18" s="501"/>
      <c r="AF18" s="494" t="s">
        <v>1768</v>
      </c>
      <c r="AG18" s="495"/>
      <c r="AH18" s="495"/>
      <c r="AI18" s="495"/>
      <c r="AJ18" s="495"/>
      <c r="AK18" s="495"/>
    </row>
    <row r="19" spans="1:37" ht="15" customHeight="1" x14ac:dyDescent="0.2">
      <c r="A19" s="969" t="s">
        <v>1769</v>
      </c>
      <c r="B19" s="969"/>
      <c r="C19" s="969"/>
      <c r="D19" s="969"/>
      <c r="E19" s="969"/>
      <c r="F19" s="969"/>
      <c r="G19" s="969"/>
      <c r="H19" s="969"/>
      <c r="I19" s="969"/>
      <c r="J19" s="969"/>
      <c r="K19" s="969"/>
      <c r="L19" s="969"/>
      <c r="M19" s="969"/>
      <c r="N19" s="969"/>
      <c r="O19" s="969"/>
      <c r="Q19" s="516"/>
      <c r="R19" s="501"/>
      <c r="S19" s="495"/>
      <c r="T19" s="517"/>
      <c r="U19" s="517"/>
      <c r="V19" s="501"/>
      <c r="W19" s="517"/>
      <c r="X19" s="518"/>
      <c r="Y19" s="516"/>
      <c r="Z19" s="385">
        <f t="shared" si="9"/>
        <v>0</v>
      </c>
      <c r="AA19" s="386">
        <f t="shared" si="10"/>
        <v>0</v>
      </c>
      <c r="AB19" s="519"/>
      <c r="AC19" s="518"/>
      <c r="AD19" s="501"/>
      <c r="AF19" s="512" t="s">
        <v>1770</v>
      </c>
      <c r="AG19" s="495"/>
      <c r="AH19" s="495"/>
      <c r="AI19" s="495"/>
      <c r="AJ19" s="495"/>
      <c r="AK19" s="495"/>
    </row>
    <row r="20" spans="1:37" ht="15" customHeight="1" x14ac:dyDescent="0.2">
      <c r="A20" s="936" t="s">
        <v>1771</v>
      </c>
      <c r="B20" s="936"/>
      <c r="C20" s="936"/>
      <c r="D20" s="936"/>
      <c r="E20" s="936"/>
      <c r="F20" s="936"/>
      <c r="G20" s="936"/>
      <c r="H20" s="936"/>
      <c r="I20" s="936"/>
      <c r="J20" s="936"/>
      <c r="K20" s="936"/>
      <c r="L20" s="936"/>
      <c r="M20" s="936"/>
      <c r="N20" s="936"/>
      <c r="O20" s="936"/>
      <c r="Q20" s="516"/>
      <c r="R20" s="501"/>
      <c r="S20" s="495"/>
      <c r="T20" s="517"/>
      <c r="U20" s="517"/>
      <c r="V20" s="501"/>
      <c r="W20" s="517"/>
      <c r="X20" s="518"/>
      <c r="Y20" s="516"/>
      <c r="Z20" s="393">
        <f t="shared" si="9"/>
        <v>0</v>
      </c>
      <c r="AA20" s="394">
        <f t="shared" si="10"/>
        <v>0</v>
      </c>
      <c r="AB20" s="519"/>
      <c r="AC20" s="518"/>
      <c r="AD20" s="501"/>
      <c r="AF20" s="494" t="s">
        <v>1772</v>
      </c>
      <c r="AG20" s="495"/>
      <c r="AH20" s="495"/>
      <c r="AI20" s="495"/>
      <c r="AJ20" s="495"/>
      <c r="AK20" s="495"/>
    </row>
    <row r="21" spans="1:37" ht="15.75" customHeight="1" x14ac:dyDescent="0.2">
      <c r="A21" s="496"/>
      <c r="B21" s="526"/>
      <c r="C21" s="526"/>
      <c r="D21" s="370">
        <f t="shared" ref="D21:D26" si="11">IFERROR(C21/$C$28,0)</f>
        <v>0</v>
      </c>
      <c r="E21" s="527" t="s">
        <v>1773</v>
      </c>
      <c r="F21" s="527" t="s">
        <v>1773</v>
      </c>
      <c r="G21" s="527" t="s">
        <v>1773</v>
      </c>
      <c r="H21" s="527" t="s">
        <v>1773</v>
      </c>
      <c r="I21" s="386">
        <f t="shared" ref="I21:I26" si="12">IFERROR(AVERAGEIFS($AA$8:$AA$22,$V$8:$V$22,LEFT($A21,1)&amp;"*"),0)</f>
        <v>0</v>
      </c>
      <c r="J21" s="385">
        <f t="shared" ref="J21:J26" si="13">IFERROR(I21*B21,0)</f>
        <v>0</v>
      </c>
      <c r="K21" s="499">
        <f t="shared" ref="K21:K26" si="14">IF(J21&gt;0,J21,0)</f>
        <v>0</v>
      </c>
      <c r="L21" s="527" t="s">
        <v>1773</v>
      </c>
      <c r="M21" s="527" t="s">
        <v>1773</v>
      </c>
      <c r="N21" s="385">
        <f t="shared" ref="N21:N26" si="15">K21*C21</f>
        <v>0</v>
      </c>
      <c r="O21" s="501"/>
      <c r="Q21" s="516"/>
      <c r="R21" s="501"/>
      <c r="S21" s="495"/>
      <c r="T21" s="517"/>
      <c r="U21" s="517"/>
      <c r="V21" s="501"/>
      <c r="W21" s="517"/>
      <c r="X21" s="518"/>
      <c r="Y21" s="516"/>
      <c r="Z21" s="385">
        <f t="shared" si="9"/>
        <v>0</v>
      </c>
      <c r="AA21" s="386">
        <f t="shared" si="10"/>
        <v>0</v>
      </c>
      <c r="AB21" s="519"/>
      <c r="AC21" s="518"/>
      <c r="AD21" s="501"/>
      <c r="AF21" s="397" t="s">
        <v>1774</v>
      </c>
      <c r="AG21" s="398">
        <f>COUNTIF(AG6:AG20,"✓")</f>
        <v>0</v>
      </c>
      <c r="AH21" s="398">
        <f>COUNTIF(AH6:AH20,"✓")</f>
        <v>0</v>
      </c>
      <c r="AI21" s="398">
        <f>COUNTIF(AI6:AI20,"✓")</f>
        <v>0</v>
      </c>
      <c r="AJ21" s="398">
        <f>COUNTIF(AJ6:AJ20,"✓")</f>
        <v>0</v>
      </c>
      <c r="AK21" s="398">
        <f>COUNTIF(AK6:AK20,"✓")</f>
        <v>0</v>
      </c>
    </row>
    <row r="22" spans="1:37" ht="15" customHeight="1" x14ac:dyDescent="0.2">
      <c r="A22" s="496"/>
      <c r="B22" s="526"/>
      <c r="C22" s="526"/>
      <c r="D22" s="392">
        <f t="shared" si="11"/>
        <v>0</v>
      </c>
      <c r="E22" s="528" t="s">
        <v>1773</v>
      </c>
      <c r="F22" s="528" t="s">
        <v>1773</v>
      </c>
      <c r="G22" s="528" t="s">
        <v>1773</v>
      </c>
      <c r="H22" s="528" t="s">
        <v>1773</v>
      </c>
      <c r="I22" s="394">
        <f t="shared" si="12"/>
        <v>0</v>
      </c>
      <c r="J22" s="393">
        <f t="shared" si="13"/>
        <v>0</v>
      </c>
      <c r="K22" s="499">
        <f t="shared" si="14"/>
        <v>0</v>
      </c>
      <c r="L22" s="528" t="s">
        <v>1773</v>
      </c>
      <c r="M22" s="528" t="s">
        <v>1773</v>
      </c>
      <c r="N22" s="393">
        <f t="shared" si="15"/>
        <v>0</v>
      </c>
      <c r="O22" s="501"/>
      <c r="Q22" s="516"/>
      <c r="R22" s="501"/>
      <c r="S22" s="495"/>
      <c r="T22" s="517"/>
      <c r="U22" s="517"/>
      <c r="V22" s="501"/>
      <c r="W22" s="517"/>
      <c r="X22" s="518"/>
      <c r="Y22" s="516"/>
      <c r="Z22" s="393">
        <f t="shared" si="9"/>
        <v>0</v>
      </c>
      <c r="AA22" s="394">
        <f t="shared" si="10"/>
        <v>0</v>
      </c>
      <c r="AB22" s="519"/>
      <c r="AC22" s="518"/>
      <c r="AD22" s="501"/>
    </row>
    <row r="23" spans="1:37" ht="15.75" customHeight="1" x14ac:dyDescent="0.2">
      <c r="A23" s="496"/>
      <c r="B23" s="526"/>
      <c r="C23" s="526"/>
      <c r="D23" s="370">
        <f t="shared" si="11"/>
        <v>0</v>
      </c>
      <c r="E23" s="527" t="s">
        <v>1773</v>
      </c>
      <c r="F23" s="527" t="s">
        <v>1773</v>
      </c>
      <c r="G23" s="527" t="s">
        <v>1773</v>
      </c>
      <c r="H23" s="527" t="s">
        <v>1773</v>
      </c>
      <c r="I23" s="386">
        <f t="shared" si="12"/>
        <v>0</v>
      </c>
      <c r="J23" s="385">
        <f t="shared" si="13"/>
        <v>0</v>
      </c>
      <c r="K23" s="499">
        <f t="shared" si="14"/>
        <v>0</v>
      </c>
      <c r="L23" s="527" t="s">
        <v>1773</v>
      </c>
      <c r="M23" s="527" t="s">
        <v>1773</v>
      </c>
      <c r="N23" s="385">
        <f t="shared" si="15"/>
        <v>0</v>
      </c>
      <c r="O23" s="501"/>
      <c r="Q23" s="397" t="s">
        <v>1775</v>
      </c>
      <c r="R23" s="396"/>
      <c r="S23" s="396"/>
      <c r="T23" s="399">
        <f>IFERROR(AVERAGEIF(T8:T22,"&gt;0"),0)</f>
        <v>0</v>
      </c>
      <c r="U23" s="399">
        <f>IFERROR(AVERAGEIF(U8:U22,"&gt;0"),0)</f>
        <v>0</v>
      </c>
      <c r="V23" s="396"/>
      <c r="W23" s="399">
        <f t="shared" ref="W23:AB23" si="16">IFERROR(AVERAGEIF(W8:W22,"&gt;0"),0)</f>
        <v>0</v>
      </c>
      <c r="X23" s="401">
        <f t="shared" si="16"/>
        <v>0</v>
      </c>
      <c r="Y23" s="529">
        <f t="shared" si="16"/>
        <v>0</v>
      </c>
      <c r="Z23" s="401">
        <f t="shared" si="16"/>
        <v>0</v>
      </c>
      <c r="AA23" s="402">
        <f t="shared" si="16"/>
        <v>0</v>
      </c>
      <c r="AB23" s="530">
        <f t="shared" si="16"/>
        <v>0</v>
      </c>
      <c r="AC23" s="396"/>
      <c r="AD23" s="396"/>
      <c r="AF23" s="969" t="s">
        <v>1776</v>
      </c>
      <c r="AG23" s="969"/>
      <c r="AH23" s="969"/>
      <c r="AI23" s="969"/>
      <c r="AJ23" s="969"/>
      <c r="AK23" s="969"/>
    </row>
    <row r="24" spans="1:37" ht="25.5" customHeight="1" x14ac:dyDescent="0.2">
      <c r="A24" s="496"/>
      <c r="B24" s="526"/>
      <c r="C24" s="526"/>
      <c r="D24" s="392">
        <f t="shared" si="11"/>
        <v>0</v>
      </c>
      <c r="E24" s="528" t="s">
        <v>1773</v>
      </c>
      <c r="F24" s="528" t="s">
        <v>1773</v>
      </c>
      <c r="G24" s="528" t="s">
        <v>1773</v>
      </c>
      <c r="H24" s="528" t="s">
        <v>1773</v>
      </c>
      <c r="I24" s="394">
        <f t="shared" si="12"/>
        <v>0</v>
      </c>
      <c r="J24" s="393">
        <f t="shared" si="13"/>
        <v>0</v>
      </c>
      <c r="K24" s="499">
        <f t="shared" si="14"/>
        <v>0</v>
      </c>
      <c r="L24" s="528" t="s">
        <v>1773</v>
      </c>
      <c r="M24" s="528" t="s">
        <v>1773</v>
      </c>
      <c r="N24" s="393">
        <f t="shared" si="15"/>
        <v>0</v>
      </c>
      <c r="O24" s="501"/>
      <c r="Q24" s="520" t="s">
        <v>1777</v>
      </c>
      <c r="R24" s="525"/>
      <c r="S24" s="525"/>
      <c r="T24" s="525"/>
      <c r="U24" s="525"/>
      <c r="V24" s="525"/>
      <c r="W24" s="531">
        <f>IFERROR(W7-W23,0)</f>
        <v>0</v>
      </c>
      <c r="X24" s="523">
        <f>IFERROR(X7-X23,0)</f>
        <v>0</v>
      </c>
      <c r="Y24" s="525"/>
      <c r="Z24" s="523">
        <f>IFERROR(Z7-Z23,0)</f>
        <v>0</v>
      </c>
      <c r="AA24" s="524">
        <f>IFERROR(AA7-AA23,0)</f>
        <v>0</v>
      </c>
      <c r="AB24" s="525"/>
      <c r="AC24" s="525"/>
      <c r="AD24" s="525"/>
      <c r="AF24" s="492" t="s">
        <v>547</v>
      </c>
      <c r="AG24" s="493" t="str">
        <f>IF(R8="","Comp 1",R8)</f>
        <v>Comp 1</v>
      </c>
      <c r="AH24" s="493" t="str">
        <f>IF(R9="","Comp 2",R9)</f>
        <v>Comp 2</v>
      </c>
      <c r="AI24" s="493" t="str">
        <f>IF(R10="","Comp 3",R10)</f>
        <v>Comp 3</v>
      </c>
      <c r="AJ24" s="493" t="str">
        <f>IF(R11="","Comp 4",R11)</f>
        <v>Comp 4</v>
      </c>
      <c r="AK24" s="493" t="str">
        <f>IF(R12="","Comp 5",R12)</f>
        <v>Comp 5</v>
      </c>
    </row>
    <row r="25" spans="1:37" ht="15" customHeight="1" x14ac:dyDescent="0.2">
      <c r="A25" s="496"/>
      <c r="B25" s="526"/>
      <c r="C25" s="526"/>
      <c r="D25" s="370">
        <f t="shared" si="11"/>
        <v>0</v>
      </c>
      <c r="E25" s="527" t="s">
        <v>1773</v>
      </c>
      <c r="F25" s="527" t="s">
        <v>1773</v>
      </c>
      <c r="G25" s="527" t="s">
        <v>1773</v>
      </c>
      <c r="H25" s="527" t="s">
        <v>1773</v>
      </c>
      <c r="I25" s="386">
        <f t="shared" si="12"/>
        <v>0</v>
      </c>
      <c r="J25" s="385">
        <f t="shared" si="13"/>
        <v>0</v>
      </c>
      <c r="K25" s="499">
        <f t="shared" si="14"/>
        <v>0</v>
      </c>
      <c r="L25" s="527" t="s">
        <v>1773</v>
      </c>
      <c r="M25" s="527" t="s">
        <v>1773</v>
      </c>
      <c r="N25" s="385">
        <f t="shared" si="15"/>
        <v>0</v>
      </c>
      <c r="O25" s="501"/>
      <c r="AF25" s="512" t="s">
        <v>1778</v>
      </c>
      <c r="AG25" s="518"/>
      <c r="AH25" s="518"/>
      <c r="AI25" s="518"/>
      <c r="AJ25" s="518"/>
      <c r="AK25" s="518"/>
    </row>
    <row r="26" spans="1:37" ht="15" customHeight="1" x14ac:dyDescent="0.2">
      <c r="A26" s="496"/>
      <c r="B26" s="526"/>
      <c r="C26" s="526"/>
      <c r="D26" s="392">
        <f t="shared" si="11"/>
        <v>0</v>
      </c>
      <c r="E26" s="528" t="s">
        <v>1773</v>
      </c>
      <c r="F26" s="528" t="s">
        <v>1773</v>
      </c>
      <c r="G26" s="528" t="s">
        <v>1773</v>
      </c>
      <c r="H26" s="528" t="s">
        <v>1773</v>
      </c>
      <c r="I26" s="394">
        <f t="shared" si="12"/>
        <v>0</v>
      </c>
      <c r="J26" s="393">
        <f t="shared" si="13"/>
        <v>0</v>
      </c>
      <c r="K26" s="499">
        <f t="shared" si="14"/>
        <v>0</v>
      </c>
      <c r="L26" s="528" t="s">
        <v>1773</v>
      </c>
      <c r="M26" s="528" t="s">
        <v>1773</v>
      </c>
      <c r="N26" s="393">
        <f t="shared" si="15"/>
        <v>0</v>
      </c>
      <c r="O26" s="501"/>
      <c r="Q26" s="936" t="s">
        <v>1779</v>
      </c>
      <c r="R26" s="936"/>
      <c r="S26" s="936"/>
      <c r="T26" s="936"/>
      <c r="U26" s="936"/>
      <c r="V26" s="936"/>
      <c r="W26" s="936"/>
      <c r="X26" s="936"/>
      <c r="Y26" s="936"/>
      <c r="Z26" s="936"/>
      <c r="AA26" s="936"/>
      <c r="AB26" s="936"/>
      <c r="AC26" s="936"/>
      <c r="AD26" s="936"/>
      <c r="AF26" s="494" t="s">
        <v>314</v>
      </c>
      <c r="AG26" s="518"/>
      <c r="AH26" s="518"/>
      <c r="AI26" s="518"/>
      <c r="AJ26" s="518"/>
      <c r="AK26" s="518"/>
    </row>
    <row r="27" spans="1:37" ht="15" customHeight="1" x14ac:dyDescent="0.2">
      <c r="A27" s="520" t="s">
        <v>1780</v>
      </c>
      <c r="B27" s="521">
        <f>IFERROR(SUMPRODUCT(B21:B26,C21:C26)/C27,0)</f>
        <v>0</v>
      </c>
      <c r="C27" s="521">
        <f>SUM(C21:C26)</f>
        <v>0</v>
      </c>
      <c r="D27" s="522">
        <f>IFERROR(C27/C28,0)</f>
        <v>0</v>
      </c>
      <c r="E27" s="532" t="s">
        <v>1773</v>
      </c>
      <c r="F27" s="532" t="s">
        <v>1773</v>
      </c>
      <c r="G27" s="532" t="s">
        <v>1773</v>
      </c>
      <c r="H27" s="532" t="s">
        <v>1773</v>
      </c>
      <c r="I27" s="524">
        <f>IFERROR(SUMPRODUCT(I21:I26,C21:C26)/C27,0)</f>
        <v>0</v>
      </c>
      <c r="J27" s="523">
        <f>IFERROR(SUMPRODUCT(J21:J26,C21:C26)/C27,0)</f>
        <v>0</v>
      </c>
      <c r="K27" s="523">
        <f>IFERROR(SUMPRODUCT(K21:K26,C21:C26)/C27,0)</f>
        <v>0</v>
      </c>
      <c r="L27" s="525"/>
      <c r="M27" s="525"/>
      <c r="N27" s="523">
        <f>SUM(N21:N26)</f>
        <v>0</v>
      </c>
      <c r="O27" s="525"/>
      <c r="AF27" s="512" t="s">
        <v>1781</v>
      </c>
      <c r="AG27" s="518"/>
      <c r="AH27" s="518"/>
      <c r="AI27" s="518"/>
      <c r="AJ27" s="518"/>
      <c r="AK27" s="518"/>
    </row>
    <row r="28" spans="1:37" ht="15" customHeight="1" x14ac:dyDescent="0.2">
      <c r="A28" s="397" t="s">
        <v>1782</v>
      </c>
      <c r="B28" s="398">
        <f>IFERROR((SUMPRODUCT(B7:B16,C7:C16)+SUMPRODUCT(B21:B26,C21:C26))/C28,0)</f>
        <v>0</v>
      </c>
      <c r="C28" s="398">
        <f>C17+C27</f>
        <v>0</v>
      </c>
      <c r="D28" s="400">
        <f>IFERROR(C28/C28,0)</f>
        <v>0</v>
      </c>
      <c r="E28" s="401">
        <f>IFERROR(SUMPRODUCT(E7:E16,C7:C16)/C17,0)</f>
        <v>0</v>
      </c>
      <c r="F28" s="401">
        <f>IFERROR(SUMPRODUCT(F7:F16,C7:C16)/C17,0)</f>
        <v>0</v>
      </c>
      <c r="G28" s="401">
        <f>G17</f>
        <v>0</v>
      </c>
      <c r="H28" s="402">
        <f>IFERROR(E17/B17,0)</f>
        <v>0</v>
      </c>
      <c r="I28" s="402">
        <f>IFERROR((SUMPRODUCT(I7:I16,C7:C16)+SUMPRODUCT(I21:I26,C21:C26))/C28,0)</f>
        <v>0</v>
      </c>
      <c r="J28" s="401">
        <f>IFERROR((SUMPRODUCT(J7:J16,C7:C16)+SUMPRODUCT(J21:J26,C21:C26))/C28,0)</f>
        <v>0</v>
      </c>
      <c r="K28" s="401">
        <f>IFERROR((SUMPRODUCT(K7:K16,C7:C16)+SUMPRODUCT(K21:K26,C21:C26))/C28,0)</f>
        <v>0</v>
      </c>
      <c r="L28" s="396"/>
      <c r="M28" s="396"/>
      <c r="N28" s="401">
        <f>N17+N27</f>
        <v>0</v>
      </c>
      <c r="O28" s="396"/>
      <c r="AF28" s="494" t="s">
        <v>333</v>
      </c>
      <c r="AG28" s="518"/>
      <c r="AH28" s="518"/>
      <c r="AI28" s="518"/>
      <c r="AJ28" s="518"/>
      <c r="AK28" s="518"/>
    </row>
    <row r="29" spans="1:37" ht="15" customHeight="1" x14ac:dyDescent="0.2">
      <c r="AF29" s="512" t="s">
        <v>1783</v>
      </c>
      <c r="AG29" s="518"/>
      <c r="AH29" s="518"/>
      <c r="AI29" s="518"/>
      <c r="AJ29" s="518"/>
      <c r="AK29" s="518"/>
    </row>
    <row r="30" spans="1:37" ht="15" customHeight="1" x14ac:dyDescent="0.2">
      <c r="A30" s="971" t="s">
        <v>1784</v>
      </c>
      <c r="B30" s="971"/>
      <c r="C30" s="971"/>
      <c r="D30" s="971"/>
      <c r="E30" s="971"/>
      <c r="F30" s="971"/>
      <c r="G30" s="971"/>
      <c r="H30" s="971"/>
      <c r="I30" s="971"/>
      <c r="J30" s="971"/>
      <c r="K30" s="971"/>
      <c r="L30" s="971"/>
      <c r="M30" s="971"/>
      <c r="N30" s="971"/>
      <c r="O30" s="971"/>
      <c r="AF30" s="494" t="s">
        <v>1785</v>
      </c>
      <c r="AG30" s="518"/>
      <c r="AH30" s="518"/>
      <c r="AI30" s="518"/>
      <c r="AJ30" s="518"/>
      <c r="AK30" s="518"/>
    </row>
    <row r="31" spans="1:37" ht="15" customHeight="1" x14ac:dyDescent="0.2">
      <c r="A31" s="972" t="s">
        <v>11</v>
      </c>
      <c r="B31" s="972"/>
      <c r="C31" s="533" t="s">
        <v>1313</v>
      </c>
      <c r="D31" s="973" t="s">
        <v>1314</v>
      </c>
      <c r="E31" s="973"/>
      <c r="F31" s="533" t="s">
        <v>1786</v>
      </c>
      <c r="G31" s="972" t="s">
        <v>55</v>
      </c>
      <c r="H31" s="972"/>
      <c r="I31" s="972"/>
      <c r="J31" s="972"/>
      <c r="K31" s="972"/>
      <c r="L31" s="972"/>
      <c r="M31" s="972"/>
      <c r="N31" s="972"/>
      <c r="O31" s="972"/>
      <c r="AF31" s="512" t="s">
        <v>1787</v>
      </c>
      <c r="AG31" s="518"/>
      <c r="AH31" s="518"/>
      <c r="AI31" s="518"/>
      <c r="AJ31" s="518"/>
      <c r="AK31" s="518"/>
    </row>
    <row r="32" spans="1:37" ht="15" customHeight="1" x14ac:dyDescent="0.2">
      <c r="A32" s="974" t="s">
        <v>1788</v>
      </c>
      <c r="B32" s="974"/>
      <c r="C32" s="393">
        <f>G28</f>
        <v>0</v>
      </c>
      <c r="D32" s="975">
        <f>C32*12</f>
        <v>0</v>
      </c>
      <c r="E32" s="975"/>
      <c r="F32" s="393">
        <f>IFERROR(C32/C28,0)</f>
        <v>0</v>
      </c>
      <c r="G32" s="976" t="s">
        <v>1789</v>
      </c>
      <c r="H32" s="976"/>
      <c r="I32" s="976"/>
      <c r="J32" s="976"/>
      <c r="K32" s="976"/>
      <c r="L32" s="976"/>
      <c r="M32" s="976"/>
      <c r="N32" s="976"/>
      <c r="O32" s="976"/>
      <c r="AF32" s="494" t="s">
        <v>1790</v>
      </c>
      <c r="AG32" s="518"/>
      <c r="AH32" s="518"/>
      <c r="AI32" s="518"/>
      <c r="AJ32" s="518"/>
      <c r="AK32" s="518"/>
    </row>
    <row r="33" spans="1:37" ht="15" customHeight="1" x14ac:dyDescent="0.2">
      <c r="A33" s="977" t="s">
        <v>1791</v>
      </c>
      <c r="B33" s="977"/>
      <c r="C33" s="385">
        <f>SUMPRODUCT(F7:F16,C7:C16)</f>
        <v>0</v>
      </c>
      <c r="D33" s="978">
        <f>C33*12</f>
        <v>0</v>
      </c>
      <c r="E33" s="978"/>
      <c r="F33" s="385">
        <f>IFERROR(C33/C28,0)</f>
        <v>0</v>
      </c>
      <c r="G33" s="979" t="s">
        <v>1792</v>
      </c>
      <c r="H33" s="979"/>
      <c r="I33" s="979"/>
      <c r="J33" s="979"/>
      <c r="K33" s="979"/>
      <c r="L33" s="979"/>
      <c r="M33" s="979"/>
      <c r="N33" s="979"/>
      <c r="O33" s="979"/>
      <c r="AF33" s="512" t="s">
        <v>1793</v>
      </c>
      <c r="AG33" s="518"/>
      <c r="AH33" s="518"/>
      <c r="AI33" s="518"/>
      <c r="AJ33" s="518"/>
      <c r="AK33" s="518"/>
    </row>
    <row r="34" spans="1:37" ht="15" customHeight="1" x14ac:dyDescent="0.2">
      <c r="A34" s="980" t="s">
        <v>1794</v>
      </c>
      <c r="B34" s="980"/>
      <c r="C34" s="534">
        <f>N28</f>
        <v>0</v>
      </c>
      <c r="D34" s="981">
        <f>C34*12</f>
        <v>0</v>
      </c>
      <c r="E34" s="981"/>
      <c r="F34" s="535">
        <f>IFERROR(C34/C28,0)</f>
        <v>0</v>
      </c>
      <c r="G34" s="982" t="s">
        <v>1795</v>
      </c>
      <c r="H34" s="982"/>
      <c r="I34" s="982"/>
      <c r="J34" s="982"/>
      <c r="K34" s="982"/>
      <c r="L34" s="982"/>
      <c r="M34" s="982"/>
      <c r="N34" s="982"/>
      <c r="O34" s="982"/>
      <c r="AF34" s="494" t="s">
        <v>1796</v>
      </c>
      <c r="AG34" s="518"/>
      <c r="AH34" s="518"/>
      <c r="AI34" s="518"/>
      <c r="AJ34" s="518"/>
      <c r="AK34" s="518"/>
    </row>
    <row r="35" spans="1:37" ht="15" customHeight="1" x14ac:dyDescent="0.2">
      <c r="A35" s="977" t="s">
        <v>1797</v>
      </c>
      <c r="B35" s="977"/>
      <c r="C35" s="385">
        <f>C34-C32</f>
        <v>0</v>
      </c>
      <c r="D35" s="978">
        <f>C35*12</f>
        <v>0</v>
      </c>
      <c r="E35" s="978"/>
      <c r="F35" s="385">
        <f>IFERROR(C35/C28,0)</f>
        <v>0</v>
      </c>
      <c r="G35" s="979" t="s">
        <v>1798</v>
      </c>
      <c r="H35" s="979"/>
      <c r="I35" s="979"/>
      <c r="J35" s="979"/>
      <c r="K35" s="979"/>
      <c r="L35" s="979"/>
      <c r="M35" s="979"/>
      <c r="N35" s="979"/>
      <c r="O35" s="979"/>
    </row>
    <row r="36" spans="1:37" ht="15" customHeight="1" x14ac:dyDescent="0.2">
      <c r="A36" s="974" t="s">
        <v>1799</v>
      </c>
      <c r="B36" s="974"/>
      <c r="C36" s="515">
        <f>IFERROR(C35/C32,0)</f>
        <v>0</v>
      </c>
      <c r="D36" s="983"/>
      <c r="E36" s="983"/>
      <c r="F36" s="536"/>
      <c r="G36" s="976" t="s">
        <v>1800</v>
      </c>
      <c r="H36" s="976"/>
      <c r="I36" s="976"/>
      <c r="J36" s="976"/>
      <c r="K36" s="976"/>
      <c r="L36" s="976"/>
      <c r="M36" s="976"/>
      <c r="N36" s="976"/>
      <c r="O36" s="976"/>
      <c r="AF36" s="969" t="s">
        <v>1801</v>
      </c>
      <c r="AG36" s="969"/>
      <c r="AH36" s="969"/>
      <c r="AI36" s="969"/>
      <c r="AJ36" s="969"/>
      <c r="AK36" s="969"/>
    </row>
    <row r="37" spans="1:37" ht="25.5" customHeight="1" x14ac:dyDescent="0.2">
      <c r="A37" s="977" t="s">
        <v>1802</v>
      </c>
      <c r="B37" s="977"/>
      <c r="C37" s="385">
        <f>C34-C33</f>
        <v>0</v>
      </c>
      <c r="D37" s="978">
        <f>C37*12</f>
        <v>0</v>
      </c>
      <c r="E37" s="978"/>
      <c r="F37" s="385">
        <f>IFERROR(C37/C28,0)</f>
        <v>0</v>
      </c>
      <c r="G37" s="979" t="s">
        <v>1803</v>
      </c>
      <c r="H37" s="979"/>
      <c r="I37" s="979"/>
      <c r="J37" s="979"/>
      <c r="K37" s="979"/>
      <c r="L37" s="979"/>
      <c r="M37" s="979"/>
      <c r="N37" s="979"/>
      <c r="O37" s="979"/>
      <c r="AF37" s="492" t="s">
        <v>547</v>
      </c>
      <c r="AG37" s="493" t="str">
        <f>IF(R8="","Comp 1",R8)</f>
        <v>Comp 1</v>
      </c>
      <c r="AH37" s="493" t="str">
        <f>IF(R9="","Comp 2",R9)</f>
        <v>Comp 2</v>
      </c>
      <c r="AI37" s="493" t="str">
        <f>IF(R10="","Comp 3",R10)</f>
        <v>Comp 3</v>
      </c>
      <c r="AJ37" s="493" t="str">
        <f>IF(R11="","Comp 4",R11)</f>
        <v>Comp 4</v>
      </c>
      <c r="AK37" s="493" t="str">
        <f>IF(R12="","Comp 5",R12)</f>
        <v>Comp 5</v>
      </c>
    </row>
    <row r="38" spans="1:37" ht="15" customHeight="1" x14ac:dyDescent="0.2">
      <c r="AF38" s="501" t="s">
        <v>1804</v>
      </c>
      <c r="AG38" s="495"/>
      <c r="AH38" s="495"/>
      <c r="AI38" s="495"/>
      <c r="AJ38" s="495"/>
      <c r="AK38" s="495"/>
    </row>
    <row r="39" spans="1:37" ht="15" customHeight="1" x14ac:dyDescent="0.2">
      <c r="AF39" s="501" t="s">
        <v>1805</v>
      </c>
      <c r="AG39" s="495"/>
      <c r="AH39" s="495"/>
      <c r="AI39" s="495"/>
      <c r="AJ39" s="495"/>
      <c r="AK39" s="495"/>
    </row>
    <row r="40" spans="1:37" ht="15" customHeight="1" x14ac:dyDescent="0.2">
      <c r="A40" s="968" t="s">
        <v>1806</v>
      </c>
      <c r="B40" s="968"/>
      <c r="C40" s="968"/>
      <c r="D40" s="968"/>
      <c r="E40" s="968"/>
      <c r="F40" s="968"/>
      <c r="G40" s="968"/>
      <c r="H40" s="968"/>
      <c r="I40" s="968"/>
      <c r="J40" s="968"/>
      <c r="K40" s="968"/>
      <c r="AF40" s="501" t="s">
        <v>1807</v>
      </c>
      <c r="AG40" s="495"/>
      <c r="AH40" s="495"/>
      <c r="AI40" s="495"/>
      <c r="AJ40" s="495"/>
      <c r="AK40" s="495"/>
    </row>
    <row r="41" spans="1:37" ht="15" customHeight="1" x14ac:dyDescent="0.2">
      <c r="A41" s="935" t="s">
        <v>1808</v>
      </c>
      <c r="B41" s="935"/>
      <c r="C41" s="935"/>
      <c r="D41" s="935"/>
      <c r="E41" s="935"/>
      <c r="F41" s="935" t="s">
        <v>1809</v>
      </c>
      <c r="G41" s="935"/>
      <c r="H41" s="935"/>
      <c r="I41" s="935" t="s">
        <v>1810</v>
      </c>
      <c r="J41" s="935"/>
      <c r="K41" s="935"/>
      <c r="AF41" s="501" t="s">
        <v>1811</v>
      </c>
      <c r="AG41" s="495"/>
      <c r="AH41" s="495"/>
      <c r="AI41" s="495"/>
      <c r="AJ41" s="495"/>
      <c r="AK41" s="495"/>
    </row>
    <row r="42" spans="1:37" ht="15" customHeight="1" x14ac:dyDescent="0.2">
      <c r="A42" s="537" t="s">
        <v>1227</v>
      </c>
      <c r="B42" s="537" t="s">
        <v>369</v>
      </c>
      <c r="C42" s="537" t="s">
        <v>1332</v>
      </c>
      <c r="D42" s="537" t="s">
        <v>1812</v>
      </c>
      <c r="E42" s="537" t="s">
        <v>1813</v>
      </c>
      <c r="F42" s="537" t="s">
        <v>1814</v>
      </c>
      <c r="G42" s="537" t="s">
        <v>1815</v>
      </c>
      <c r="H42" s="537" t="s">
        <v>1816</v>
      </c>
      <c r="I42" s="537" t="s">
        <v>1814</v>
      </c>
      <c r="J42" s="537" t="s">
        <v>1815</v>
      </c>
      <c r="K42" s="537" t="s">
        <v>1816</v>
      </c>
      <c r="AF42" s="501" t="s">
        <v>1817</v>
      </c>
      <c r="AG42" s="495"/>
      <c r="AH42" s="495"/>
      <c r="AI42" s="495"/>
      <c r="AJ42" s="495"/>
      <c r="AK42" s="495"/>
    </row>
    <row r="43" spans="1:37" ht="15" customHeight="1" x14ac:dyDescent="0.2">
      <c r="A43" s="538" t="str">
        <f>IF($A$7="","",$A$7)</f>
        <v/>
      </c>
      <c r="B43" s="497" t="str">
        <f>IF($A43="","",COUNTIF('Rent Roll Analysis'!$C$273:$C$1772,$A43))</f>
        <v/>
      </c>
      <c r="C43" s="497" t="str">
        <f>IF($A43="","",IFERROR(AVERAGEIF('Rent Roll Analysis'!$C$273:$C$1772,$A43,'Rent Roll Analysis'!$D$273:$D$1772),0))</f>
        <v/>
      </c>
      <c r="D43" s="497" t="str">
        <f t="array" ref="D43">IF($A43="","",IFERROR(MIN(IF(('Rent Roll Analysis'!$C$273:$C$1772=$A43)*('Rent Roll Analysis'!$D$273:$D$1772&gt;0),'Rent Roll Analysis'!$D$273:$D$1772)),0))</f>
        <v/>
      </c>
      <c r="E43" s="497" t="str">
        <f t="array" ref="E43">IF($A43="","",IFERROR(MAX(IF('Rent Roll Analysis'!$C$273:$C$1772=$A43,'Rent Roll Analysis'!$D$273:$D$1772)),0))</f>
        <v/>
      </c>
      <c r="F43" s="498" t="str">
        <f>IF($A43="","",IFERROR(AVERAGEIFS('Rent Roll Analysis'!$N$273:$N$1772,'Rent Roll Analysis'!$C$273:$C$1772,$A43,'Rent Roll Analysis'!$E$273:$E$1772,"Occupied*"),0))</f>
        <v/>
      </c>
      <c r="G43" s="498" t="str">
        <f t="array" ref="G43">IF($A43="","",IFERROR(MIN(IF(('Rent Roll Analysis'!$C$273:$C$1772=$A43)*(LEFT('Rent Roll Analysis'!$E$273:$E$1772,8)="Occupied")*('Rent Roll Analysis'!$N$273:$N$1772&gt;0),'Rent Roll Analysis'!$N$273:$N$1772)),0))</f>
        <v/>
      </c>
      <c r="H43" s="498" t="str">
        <f t="array" ref="H43">IF($A43="","",IFERROR(MAX(IF(('Rent Roll Analysis'!$C$273:$C$1772=$A43)*(LEFT('Rent Roll Analysis'!$E$273:$E$1772,8)="Occupied"),'Rent Roll Analysis'!$N$273:$N$1772)),0))</f>
        <v/>
      </c>
      <c r="I43" s="498" t="str">
        <f>IF($A43="","",IFERROR(AVERAGEIFS('Rent Roll Analysis'!$L$273:$L$1772,'Rent Roll Analysis'!$C$273:$C$1772,$A43,'Rent Roll Analysis'!$L$273:$L$1772,"&gt;0"),0))</f>
        <v/>
      </c>
      <c r="J43" s="498" t="str">
        <f t="array" ref="J43">IF($A43="","",IFERROR(MIN(IF(('Rent Roll Analysis'!$C$273:$C$1772=$A43)*('Rent Roll Analysis'!$L$273:$L$1772&gt;0),'Rent Roll Analysis'!$L$273:$L$1772)),0))</f>
        <v/>
      </c>
      <c r="K43" s="498" t="str">
        <f t="array" ref="K43">IF($A43="","",IFERROR(MAX(IF('Rent Roll Analysis'!$C$273:$C$1772=$A43,'Rent Roll Analysis'!$L$273:$L$1772)),0))</f>
        <v/>
      </c>
      <c r="AF43" s="501" t="s">
        <v>1818</v>
      </c>
      <c r="AG43" s="495"/>
      <c r="AH43" s="495"/>
      <c r="AI43" s="495"/>
      <c r="AJ43" s="495"/>
      <c r="AK43" s="495"/>
    </row>
    <row r="44" spans="1:37" ht="15" customHeight="1" x14ac:dyDescent="0.2">
      <c r="A44" s="539" t="str">
        <f>IF($A$8="","",$A$8)</f>
        <v/>
      </c>
      <c r="B44" s="513" t="str">
        <f>IF($A44="","",COUNTIF('Rent Roll Analysis'!$C$273:$C$1772,$A44))</f>
        <v/>
      </c>
      <c r="C44" s="513" t="str">
        <f>IF($A44="","",IFERROR(AVERAGEIF('Rent Roll Analysis'!$C$273:$C$1772,$A44,'Rent Roll Analysis'!$D$273:$D$1772),0))</f>
        <v/>
      </c>
      <c r="D44" s="513" t="str">
        <f t="array" ref="D44">IF($A44="","",IFERROR(MIN(IF(('Rent Roll Analysis'!$C$273:$C$1772=$A44)*('Rent Roll Analysis'!$D$273:$D$1772&gt;0),'Rent Roll Analysis'!$D$273:$D$1772)),0))</f>
        <v/>
      </c>
      <c r="E44" s="513" t="str">
        <f t="array" ref="E44">IF($A44="","",IFERROR(MAX(IF('Rent Roll Analysis'!$C$273:$C$1772=$A44,'Rent Roll Analysis'!$D$273:$D$1772)),0))</f>
        <v/>
      </c>
      <c r="F44" s="514" t="str">
        <f>IF($A44="","",IFERROR(AVERAGEIFS('Rent Roll Analysis'!$N$273:$N$1772,'Rent Roll Analysis'!$C$273:$C$1772,$A44,'Rent Roll Analysis'!$E$273:$E$1772,"Occupied*"),0))</f>
        <v/>
      </c>
      <c r="G44" s="514" t="str">
        <f t="array" ref="G44">IF($A44="","",IFERROR(MIN(IF(('Rent Roll Analysis'!$C$273:$C$1772=$A44)*(LEFT('Rent Roll Analysis'!$E$273:$E$1772,8)="Occupied")*('Rent Roll Analysis'!$N$273:$N$1772&gt;0),'Rent Roll Analysis'!$N$273:$N$1772)),0))</f>
        <v/>
      </c>
      <c r="H44" s="514" t="str">
        <f t="array" ref="H44">IF($A44="","",IFERROR(MAX(IF(('Rent Roll Analysis'!$C$273:$C$1772=$A44)*(LEFT('Rent Roll Analysis'!$E$273:$E$1772,8)="Occupied"),'Rent Roll Analysis'!$N$273:$N$1772)),0))</f>
        <v/>
      </c>
      <c r="I44" s="514" t="str">
        <f>IF($A44="","",IFERROR(AVERAGEIFS('Rent Roll Analysis'!$L$273:$L$1772,'Rent Roll Analysis'!$C$273:$C$1772,$A44,'Rent Roll Analysis'!$L$273:$L$1772,"&gt;0"),0))</f>
        <v/>
      </c>
      <c r="J44" s="514" t="str">
        <f t="array" ref="J44">IF($A44="","",IFERROR(MIN(IF(('Rent Roll Analysis'!$C$273:$C$1772=$A44)*('Rent Roll Analysis'!$L$273:$L$1772&gt;0),'Rent Roll Analysis'!$L$273:$L$1772)),0))</f>
        <v/>
      </c>
      <c r="K44" s="514" t="str">
        <f t="array" ref="K44">IF($A44="","",IFERROR(MAX(IF('Rent Roll Analysis'!$C$273:$C$1772=$A44,'Rent Roll Analysis'!$L$273:$L$1772)),0))</f>
        <v/>
      </c>
      <c r="AF44" s="501" t="s">
        <v>1819</v>
      </c>
      <c r="AG44" s="495"/>
      <c r="AH44" s="495"/>
      <c r="AI44" s="495"/>
      <c r="AJ44" s="495"/>
      <c r="AK44" s="495"/>
    </row>
    <row r="45" spans="1:37" ht="15" customHeight="1" x14ac:dyDescent="0.2">
      <c r="A45" s="538" t="str">
        <f>IF($A$9="","",$A$9)</f>
        <v/>
      </c>
      <c r="B45" s="497" t="str">
        <f>IF($A45="","",COUNTIF('Rent Roll Analysis'!$C$273:$C$1772,$A45))</f>
        <v/>
      </c>
      <c r="C45" s="497" t="str">
        <f>IF($A45="","",IFERROR(AVERAGEIF('Rent Roll Analysis'!$C$273:$C$1772,$A45,'Rent Roll Analysis'!$D$273:$D$1772),0))</f>
        <v/>
      </c>
      <c r="D45" s="497" t="str">
        <f t="array" ref="D45">IF($A45="","",IFERROR(MIN(IF(('Rent Roll Analysis'!$C$273:$C$1772=$A45)*('Rent Roll Analysis'!$D$273:$D$1772&gt;0),'Rent Roll Analysis'!$D$273:$D$1772)),0))</f>
        <v/>
      </c>
      <c r="E45" s="497" t="str">
        <f t="array" ref="E45">IF($A45="","",IFERROR(MAX(IF('Rent Roll Analysis'!$C$273:$C$1772=$A45,'Rent Roll Analysis'!$D$273:$D$1772)),0))</f>
        <v/>
      </c>
      <c r="F45" s="498" t="str">
        <f>IF($A45="","",IFERROR(AVERAGEIFS('Rent Roll Analysis'!$N$273:$N$1772,'Rent Roll Analysis'!$C$273:$C$1772,$A45,'Rent Roll Analysis'!$E$273:$E$1772,"Occupied*"),0))</f>
        <v/>
      </c>
      <c r="G45" s="498" t="str">
        <f t="array" ref="G45">IF($A45="","",IFERROR(MIN(IF(('Rent Roll Analysis'!$C$273:$C$1772=$A45)*(LEFT('Rent Roll Analysis'!$E$273:$E$1772,8)="Occupied")*('Rent Roll Analysis'!$N$273:$N$1772&gt;0),'Rent Roll Analysis'!$N$273:$N$1772)),0))</f>
        <v/>
      </c>
      <c r="H45" s="498" t="str">
        <f t="array" ref="H45">IF($A45="","",IFERROR(MAX(IF(('Rent Roll Analysis'!$C$273:$C$1772=$A45)*(LEFT('Rent Roll Analysis'!$E$273:$E$1772,8)="Occupied"),'Rent Roll Analysis'!$N$273:$N$1772)),0))</f>
        <v/>
      </c>
      <c r="I45" s="498" t="str">
        <f>IF($A45="","",IFERROR(AVERAGEIFS('Rent Roll Analysis'!$L$273:$L$1772,'Rent Roll Analysis'!$C$273:$C$1772,$A45,'Rent Roll Analysis'!$L$273:$L$1772,"&gt;0"),0))</f>
        <v/>
      </c>
      <c r="J45" s="498" t="str">
        <f t="array" ref="J45">IF($A45="","",IFERROR(MIN(IF(('Rent Roll Analysis'!$C$273:$C$1772=$A45)*('Rent Roll Analysis'!$L$273:$L$1772&gt;0),'Rent Roll Analysis'!$L$273:$L$1772)),0))</f>
        <v/>
      </c>
      <c r="K45" s="498" t="str">
        <f t="array" ref="K45">IF($A45="","",IFERROR(MAX(IF('Rent Roll Analysis'!$C$273:$C$1772=$A45,'Rent Roll Analysis'!$L$273:$L$1772)),0))</f>
        <v/>
      </c>
      <c r="AF45" s="501" t="s">
        <v>1820</v>
      </c>
      <c r="AG45" s="495"/>
      <c r="AH45" s="495"/>
      <c r="AI45" s="495"/>
      <c r="AJ45" s="495"/>
      <c r="AK45" s="495"/>
    </row>
    <row r="46" spans="1:37" ht="15" customHeight="1" x14ac:dyDescent="0.2">
      <c r="A46" s="539" t="str">
        <f>IF($A$10="","",$A$10)</f>
        <v/>
      </c>
      <c r="B46" s="513" t="str">
        <f>IF($A46="","",COUNTIF('Rent Roll Analysis'!$C$273:$C$1772,$A46))</f>
        <v/>
      </c>
      <c r="C46" s="513" t="str">
        <f>IF($A46="","",IFERROR(AVERAGEIF('Rent Roll Analysis'!$C$273:$C$1772,$A46,'Rent Roll Analysis'!$D$273:$D$1772),0))</f>
        <v/>
      </c>
      <c r="D46" s="513" t="str">
        <f t="array" ref="D46">IF($A46="","",IFERROR(MIN(IF(('Rent Roll Analysis'!$C$273:$C$1772=$A46)*('Rent Roll Analysis'!$D$273:$D$1772&gt;0),'Rent Roll Analysis'!$D$273:$D$1772)),0))</f>
        <v/>
      </c>
      <c r="E46" s="513" t="str">
        <f t="array" ref="E46">IF($A46="","",IFERROR(MAX(IF('Rent Roll Analysis'!$C$273:$C$1772=$A46,'Rent Roll Analysis'!$D$273:$D$1772)),0))</f>
        <v/>
      </c>
      <c r="F46" s="514" t="str">
        <f>IF($A46="","",IFERROR(AVERAGEIFS('Rent Roll Analysis'!$N$273:$N$1772,'Rent Roll Analysis'!$C$273:$C$1772,$A46,'Rent Roll Analysis'!$E$273:$E$1772,"Occupied*"),0))</f>
        <v/>
      </c>
      <c r="G46" s="514" t="str">
        <f t="array" ref="G46">IF($A46="","",IFERROR(MIN(IF(('Rent Roll Analysis'!$C$273:$C$1772=$A46)*(LEFT('Rent Roll Analysis'!$E$273:$E$1772,8)="Occupied")*('Rent Roll Analysis'!$N$273:$N$1772&gt;0),'Rent Roll Analysis'!$N$273:$N$1772)),0))</f>
        <v/>
      </c>
      <c r="H46" s="514" t="str">
        <f t="array" ref="H46">IF($A46="","",IFERROR(MAX(IF(('Rent Roll Analysis'!$C$273:$C$1772=$A46)*(LEFT('Rent Roll Analysis'!$E$273:$E$1772,8)="Occupied"),'Rent Roll Analysis'!$N$273:$N$1772)),0))</f>
        <v/>
      </c>
      <c r="I46" s="514" t="str">
        <f>IF($A46="","",IFERROR(AVERAGEIFS('Rent Roll Analysis'!$L$273:$L$1772,'Rent Roll Analysis'!$C$273:$C$1772,$A46,'Rent Roll Analysis'!$L$273:$L$1772,"&gt;0"),0))</f>
        <v/>
      </c>
      <c r="J46" s="514" t="str">
        <f t="array" ref="J46">IF($A46="","",IFERROR(MIN(IF(('Rent Roll Analysis'!$C$273:$C$1772=$A46)*('Rent Roll Analysis'!$L$273:$L$1772&gt;0),'Rent Roll Analysis'!$L$273:$L$1772)),0))</f>
        <v/>
      </c>
      <c r="K46" s="514" t="str">
        <f t="array" ref="K46">IF($A46="","",IFERROR(MAX(IF('Rent Roll Analysis'!$C$273:$C$1772=$A46,'Rent Roll Analysis'!$L$273:$L$1772)),0))</f>
        <v/>
      </c>
      <c r="AF46" s="501" t="s">
        <v>1821</v>
      </c>
      <c r="AG46" s="495"/>
      <c r="AH46" s="495"/>
      <c r="AI46" s="495"/>
      <c r="AJ46" s="495"/>
      <c r="AK46" s="495"/>
    </row>
    <row r="47" spans="1:37" ht="15" customHeight="1" x14ac:dyDescent="0.2">
      <c r="A47" s="538" t="str">
        <f>IF($A$11="","",$A$11)</f>
        <v/>
      </c>
      <c r="B47" s="497" t="str">
        <f>IF($A47="","",COUNTIF('Rent Roll Analysis'!$C$273:$C$1772,$A47))</f>
        <v/>
      </c>
      <c r="C47" s="497" t="str">
        <f>IF($A47="","",IFERROR(AVERAGEIF('Rent Roll Analysis'!$C$273:$C$1772,$A47,'Rent Roll Analysis'!$D$273:$D$1772),0))</f>
        <v/>
      </c>
      <c r="D47" s="497" t="str">
        <f t="array" ref="D47">IF($A47="","",IFERROR(MIN(IF(('Rent Roll Analysis'!$C$273:$C$1772=$A47)*('Rent Roll Analysis'!$D$273:$D$1772&gt;0),'Rent Roll Analysis'!$D$273:$D$1772)),0))</f>
        <v/>
      </c>
      <c r="E47" s="497" t="str">
        <f t="array" ref="E47">IF($A47="","",IFERROR(MAX(IF('Rent Roll Analysis'!$C$273:$C$1772=$A47,'Rent Roll Analysis'!$D$273:$D$1772)),0))</f>
        <v/>
      </c>
      <c r="F47" s="498" t="str">
        <f>IF($A47="","",IFERROR(AVERAGEIFS('Rent Roll Analysis'!$N$273:$N$1772,'Rent Roll Analysis'!$C$273:$C$1772,$A47,'Rent Roll Analysis'!$E$273:$E$1772,"Occupied*"),0))</f>
        <v/>
      </c>
      <c r="G47" s="498" t="str">
        <f t="array" ref="G47">IF($A47="","",IFERROR(MIN(IF(('Rent Roll Analysis'!$C$273:$C$1772=$A47)*(LEFT('Rent Roll Analysis'!$E$273:$E$1772,8)="Occupied")*('Rent Roll Analysis'!$N$273:$N$1772&gt;0),'Rent Roll Analysis'!$N$273:$N$1772)),0))</f>
        <v/>
      </c>
      <c r="H47" s="498" t="str">
        <f t="array" ref="H47">IF($A47="","",IFERROR(MAX(IF(('Rent Roll Analysis'!$C$273:$C$1772=$A47)*(LEFT('Rent Roll Analysis'!$E$273:$E$1772,8)="Occupied"),'Rent Roll Analysis'!$N$273:$N$1772)),0))</f>
        <v/>
      </c>
      <c r="I47" s="498" t="str">
        <f>IF($A47="","",IFERROR(AVERAGEIFS('Rent Roll Analysis'!$L$273:$L$1772,'Rent Roll Analysis'!$C$273:$C$1772,$A47,'Rent Roll Analysis'!$L$273:$L$1772,"&gt;0"),0))</f>
        <v/>
      </c>
      <c r="J47" s="498" t="str">
        <f t="array" ref="J47">IF($A47="","",IFERROR(MIN(IF(('Rent Roll Analysis'!$C$273:$C$1772=$A47)*('Rent Roll Analysis'!$L$273:$L$1772&gt;0),'Rent Roll Analysis'!$L$273:$L$1772)),0))</f>
        <v/>
      </c>
      <c r="K47" s="498" t="str">
        <f t="array" ref="K47">IF($A47="","",IFERROR(MAX(IF('Rent Roll Analysis'!$C$273:$C$1772=$A47,'Rent Roll Analysis'!$L$273:$L$1772)),0))</f>
        <v/>
      </c>
      <c r="AF47" s="501" t="s">
        <v>1822</v>
      </c>
      <c r="AG47" s="495"/>
      <c r="AH47" s="495"/>
      <c r="AI47" s="495"/>
      <c r="AJ47" s="495"/>
      <c r="AK47" s="495"/>
    </row>
    <row r="48" spans="1:37" ht="15" customHeight="1" x14ac:dyDescent="0.2">
      <c r="A48" s="539" t="str">
        <f>IF($A$12="","",$A$12)</f>
        <v/>
      </c>
      <c r="B48" s="513" t="str">
        <f>IF($A48="","",COUNTIF('Rent Roll Analysis'!$C$273:$C$1772,$A48))</f>
        <v/>
      </c>
      <c r="C48" s="513" t="str">
        <f>IF($A48="","",IFERROR(AVERAGEIF('Rent Roll Analysis'!$C$273:$C$1772,$A48,'Rent Roll Analysis'!$D$273:$D$1772),0))</f>
        <v/>
      </c>
      <c r="D48" s="513" t="str">
        <f t="array" ref="D48">IF($A48="","",IFERROR(MIN(IF(('Rent Roll Analysis'!$C$273:$C$1772=$A48)*('Rent Roll Analysis'!$D$273:$D$1772&gt;0),'Rent Roll Analysis'!$D$273:$D$1772)),0))</f>
        <v/>
      </c>
      <c r="E48" s="513" t="str">
        <f t="array" ref="E48">IF($A48="","",IFERROR(MAX(IF('Rent Roll Analysis'!$C$273:$C$1772=$A48,'Rent Roll Analysis'!$D$273:$D$1772)),0))</f>
        <v/>
      </c>
      <c r="F48" s="514" t="str">
        <f>IF($A48="","",IFERROR(AVERAGEIFS('Rent Roll Analysis'!$N$273:$N$1772,'Rent Roll Analysis'!$C$273:$C$1772,$A48,'Rent Roll Analysis'!$E$273:$E$1772,"Occupied*"),0))</f>
        <v/>
      </c>
      <c r="G48" s="514" t="str">
        <f t="array" ref="G48">IF($A48="","",IFERROR(MIN(IF(('Rent Roll Analysis'!$C$273:$C$1772=$A48)*(LEFT('Rent Roll Analysis'!$E$273:$E$1772,8)="Occupied")*('Rent Roll Analysis'!$N$273:$N$1772&gt;0),'Rent Roll Analysis'!$N$273:$N$1772)),0))</f>
        <v/>
      </c>
      <c r="H48" s="514" t="str">
        <f t="array" ref="H48">IF($A48="","",IFERROR(MAX(IF(('Rent Roll Analysis'!$C$273:$C$1772=$A48)*(LEFT('Rent Roll Analysis'!$E$273:$E$1772,8)="Occupied"),'Rent Roll Analysis'!$N$273:$N$1772)),0))</f>
        <v/>
      </c>
      <c r="I48" s="514" t="str">
        <f>IF($A48="","",IFERROR(AVERAGEIFS('Rent Roll Analysis'!$L$273:$L$1772,'Rent Roll Analysis'!$C$273:$C$1772,$A48,'Rent Roll Analysis'!$L$273:$L$1772,"&gt;0"),0))</f>
        <v/>
      </c>
      <c r="J48" s="514" t="str">
        <f t="array" ref="J48">IF($A48="","",IFERROR(MIN(IF(('Rent Roll Analysis'!$C$273:$C$1772=$A48)*('Rent Roll Analysis'!$L$273:$L$1772&gt;0),'Rent Roll Analysis'!$L$273:$L$1772)),0))</f>
        <v/>
      </c>
      <c r="K48" s="514" t="str">
        <f t="array" ref="K48">IF($A48="","",IFERROR(MAX(IF('Rent Roll Analysis'!$C$273:$C$1772=$A48,'Rent Roll Analysis'!$L$273:$L$1772)),0))</f>
        <v/>
      </c>
    </row>
    <row r="49" spans="1:11" ht="15" customHeight="1" x14ac:dyDescent="0.2">
      <c r="A49" s="538" t="str">
        <f>IF($A$13="","",$A$13)</f>
        <v/>
      </c>
      <c r="B49" s="497" t="str">
        <f>IF($A49="","",COUNTIF('Rent Roll Analysis'!$C$273:$C$1772,$A49))</f>
        <v/>
      </c>
      <c r="C49" s="497" t="str">
        <f>IF($A49="","",IFERROR(AVERAGEIF('Rent Roll Analysis'!$C$273:$C$1772,$A49,'Rent Roll Analysis'!$D$273:$D$1772),0))</f>
        <v/>
      </c>
      <c r="D49" s="497" t="str">
        <f t="array" ref="D49">IF($A49="","",IFERROR(MIN(IF(('Rent Roll Analysis'!$C$273:$C$1772=$A49)*('Rent Roll Analysis'!$D$273:$D$1772&gt;0),'Rent Roll Analysis'!$D$273:$D$1772)),0))</f>
        <v/>
      </c>
      <c r="E49" s="497" t="str">
        <f t="array" ref="E49">IF($A49="","",IFERROR(MAX(IF('Rent Roll Analysis'!$C$273:$C$1772=$A49,'Rent Roll Analysis'!$D$273:$D$1772)),0))</f>
        <v/>
      </c>
      <c r="F49" s="498" t="str">
        <f>IF($A49="","",IFERROR(AVERAGEIFS('Rent Roll Analysis'!$N$273:$N$1772,'Rent Roll Analysis'!$C$273:$C$1772,$A49,'Rent Roll Analysis'!$E$273:$E$1772,"Occupied*"),0))</f>
        <v/>
      </c>
      <c r="G49" s="498" t="str">
        <f t="array" ref="G49">IF($A49="","",IFERROR(MIN(IF(('Rent Roll Analysis'!$C$273:$C$1772=$A49)*(LEFT('Rent Roll Analysis'!$E$273:$E$1772,8)="Occupied")*('Rent Roll Analysis'!$N$273:$N$1772&gt;0),'Rent Roll Analysis'!$N$273:$N$1772)),0))</f>
        <v/>
      </c>
      <c r="H49" s="498" t="str">
        <f t="array" ref="H49">IF($A49="","",IFERROR(MAX(IF(('Rent Roll Analysis'!$C$273:$C$1772=$A49)*(LEFT('Rent Roll Analysis'!$E$273:$E$1772,8)="Occupied"),'Rent Roll Analysis'!$N$273:$N$1772)),0))</f>
        <v/>
      </c>
      <c r="I49" s="498" t="str">
        <f>IF($A49="","",IFERROR(AVERAGEIFS('Rent Roll Analysis'!$L$273:$L$1772,'Rent Roll Analysis'!$C$273:$C$1772,$A49,'Rent Roll Analysis'!$L$273:$L$1772,"&gt;0"),0))</f>
        <v/>
      </c>
      <c r="J49" s="498" t="str">
        <f t="array" ref="J49">IF($A49="","",IFERROR(MIN(IF(('Rent Roll Analysis'!$C$273:$C$1772=$A49)*('Rent Roll Analysis'!$L$273:$L$1772&gt;0),'Rent Roll Analysis'!$L$273:$L$1772)),0))</f>
        <v/>
      </c>
      <c r="K49" s="498" t="str">
        <f t="array" ref="K49">IF($A49="","",IFERROR(MAX(IF('Rent Roll Analysis'!$C$273:$C$1772=$A49,'Rent Roll Analysis'!$L$273:$L$1772)),0))</f>
        <v/>
      </c>
    </row>
    <row r="50" spans="1:11" ht="15" customHeight="1" x14ac:dyDescent="0.2">
      <c r="A50" s="539" t="str">
        <f>IF($A$14="","",$A$14)</f>
        <v/>
      </c>
      <c r="B50" s="513" t="str">
        <f>IF($A50="","",COUNTIF('Rent Roll Analysis'!$C$273:$C$1772,$A50))</f>
        <v/>
      </c>
      <c r="C50" s="513" t="str">
        <f>IF($A50="","",IFERROR(AVERAGEIF('Rent Roll Analysis'!$C$273:$C$1772,$A50,'Rent Roll Analysis'!$D$273:$D$1772),0))</f>
        <v/>
      </c>
      <c r="D50" s="513" t="str">
        <f t="array" ref="D50">IF($A50="","",IFERROR(MIN(IF(('Rent Roll Analysis'!$C$273:$C$1772=$A50)*('Rent Roll Analysis'!$D$273:$D$1772&gt;0),'Rent Roll Analysis'!$D$273:$D$1772)),0))</f>
        <v/>
      </c>
      <c r="E50" s="513" t="str">
        <f t="array" ref="E50">IF($A50="","",IFERROR(MAX(IF('Rent Roll Analysis'!$C$273:$C$1772=$A50,'Rent Roll Analysis'!$D$273:$D$1772)),0))</f>
        <v/>
      </c>
      <c r="F50" s="514" t="str">
        <f>IF($A50="","",IFERROR(AVERAGEIFS('Rent Roll Analysis'!$N$273:$N$1772,'Rent Roll Analysis'!$C$273:$C$1772,$A50,'Rent Roll Analysis'!$E$273:$E$1772,"Occupied*"),0))</f>
        <v/>
      </c>
      <c r="G50" s="514" t="str">
        <f t="array" ref="G50">IF($A50="","",IFERROR(MIN(IF(('Rent Roll Analysis'!$C$273:$C$1772=$A50)*(LEFT('Rent Roll Analysis'!$E$273:$E$1772,8)="Occupied")*('Rent Roll Analysis'!$N$273:$N$1772&gt;0),'Rent Roll Analysis'!$N$273:$N$1772)),0))</f>
        <v/>
      </c>
      <c r="H50" s="514" t="str">
        <f t="array" ref="H50">IF($A50="","",IFERROR(MAX(IF(('Rent Roll Analysis'!$C$273:$C$1772=$A50)*(LEFT('Rent Roll Analysis'!$E$273:$E$1772,8)="Occupied"),'Rent Roll Analysis'!$N$273:$N$1772)),0))</f>
        <v/>
      </c>
      <c r="I50" s="514" t="str">
        <f>IF($A50="","",IFERROR(AVERAGEIFS('Rent Roll Analysis'!$L$273:$L$1772,'Rent Roll Analysis'!$C$273:$C$1772,$A50,'Rent Roll Analysis'!$L$273:$L$1772,"&gt;0"),0))</f>
        <v/>
      </c>
      <c r="J50" s="514" t="str">
        <f t="array" ref="J50">IF($A50="","",IFERROR(MIN(IF(('Rent Roll Analysis'!$C$273:$C$1772=$A50)*('Rent Roll Analysis'!$L$273:$L$1772&gt;0),'Rent Roll Analysis'!$L$273:$L$1772)),0))</f>
        <v/>
      </c>
      <c r="K50" s="514" t="str">
        <f t="array" ref="K50">IF($A50="","",IFERROR(MAX(IF('Rent Roll Analysis'!$C$273:$C$1772=$A50,'Rent Roll Analysis'!$L$273:$L$1772)),0))</f>
        <v/>
      </c>
    </row>
    <row r="51" spans="1:11" ht="15" customHeight="1" x14ac:dyDescent="0.2">
      <c r="A51" s="538" t="str">
        <f>IF($A$15="","",$A$15)</f>
        <v/>
      </c>
      <c r="B51" s="497" t="str">
        <f>IF($A51="","",COUNTIF('Rent Roll Analysis'!$C$273:$C$1772,$A51))</f>
        <v/>
      </c>
      <c r="C51" s="497" t="str">
        <f>IF($A51="","",IFERROR(AVERAGEIF('Rent Roll Analysis'!$C$273:$C$1772,$A51,'Rent Roll Analysis'!$D$273:$D$1772),0))</f>
        <v/>
      </c>
      <c r="D51" s="497" t="str">
        <f t="array" ref="D51">IF($A51="","",IFERROR(MIN(IF(('Rent Roll Analysis'!$C$273:$C$1772=$A51)*('Rent Roll Analysis'!$D$273:$D$1772&gt;0),'Rent Roll Analysis'!$D$273:$D$1772)),0))</f>
        <v/>
      </c>
      <c r="E51" s="497" t="str">
        <f t="array" ref="E51">IF($A51="","",IFERROR(MAX(IF('Rent Roll Analysis'!$C$273:$C$1772=$A51,'Rent Roll Analysis'!$D$273:$D$1772)),0))</f>
        <v/>
      </c>
      <c r="F51" s="498" t="str">
        <f>IF($A51="","",IFERROR(AVERAGEIFS('Rent Roll Analysis'!$N$273:$N$1772,'Rent Roll Analysis'!$C$273:$C$1772,$A51,'Rent Roll Analysis'!$E$273:$E$1772,"Occupied*"),0))</f>
        <v/>
      </c>
      <c r="G51" s="498" t="str">
        <f t="array" ref="G51">IF($A51="","",IFERROR(MIN(IF(('Rent Roll Analysis'!$C$273:$C$1772=$A51)*(LEFT('Rent Roll Analysis'!$E$273:$E$1772,8)="Occupied")*('Rent Roll Analysis'!$N$273:$N$1772&gt;0),'Rent Roll Analysis'!$N$273:$N$1772)),0))</f>
        <v/>
      </c>
      <c r="H51" s="498" t="str">
        <f t="array" ref="H51">IF($A51="","",IFERROR(MAX(IF(('Rent Roll Analysis'!$C$273:$C$1772=$A51)*(LEFT('Rent Roll Analysis'!$E$273:$E$1772,8)="Occupied"),'Rent Roll Analysis'!$N$273:$N$1772)),0))</f>
        <v/>
      </c>
      <c r="I51" s="498" t="str">
        <f>IF($A51="","",IFERROR(AVERAGEIFS('Rent Roll Analysis'!$L$273:$L$1772,'Rent Roll Analysis'!$C$273:$C$1772,$A51,'Rent Roll Analysis'!$L$273:$L$1772,"&gt;0"),0))</f>
        <v/>
      </c>
      <c r="J51" s="498" t="str">
        <f t="array" ref="J51">IF($A51="","",IFERROR(MIN(IF(('Rent Roll Analysis'!$C$273:$C$1772=$A51)*('Rent Roll Analysis'!$L$273:$L$1772&gt;0),'Rent Roll Analysis'!$L$273:$L$1772)),0))</f>
        <v/>
      </c>
      <c r="K51" s="498" t="str">
        <f t="array" ref="K51">IF($A51="","",IFERROR(MAX(IF('Rent Roll Analysis'!$C$273:$C$1772=$A51,'Rent Roll Analysis'!$L$273:$L$1772)),0))</f>
        <v/>
      </c>
    </row>
    <row r="52" spans="1:11" ht="15" customHeight="1" x14ac:dyDescent="0.2">
      <c r="A52" s="539" t="str">
        <f>IF($A$16="","",$A$16)</f>
        <v/>
      </c>
      <c r="B52" s="513" t="str">
        <f>IF($A52="","",COUNTIF('Rent Roll Analysis'!$C$273:$C$1772,$A52))</f>
        <v/>
      </c>
      <c r="C52" s="513" t="str">
        <f>IF($A52="","",IFERROR(AVERAGEIF('Rent Roll Analysis'!$C$273:$C$1772,$A52,'Rent Roll Analysis'!$D$273:$D$1772),0))</f>
        <v/>
      </c>
      <c r="D52" s="513" t="str">
        <f t="array" ref="D52">IF($A52="","",IFERROR(MIN(IF(('Rent Roll Analysis'!$C$273:$C$1772=$A52)*('Rent Roll Analysis'!$D$273:$D$1772&gt;0),'Rent Roll Analysis'!$D$273:$D$1772)),0))</f>
        <v/>
      </c>
      <c r="E52" s="513" t="str">
        <f t="array" ref="E52">IF($A52="","",IFERROR(MAX(IF('Rent Roll Analysis'!$C$273:$C$1772=$A52,'Rent Roll Analysis'!$D$273:$D$1772)),0))</f>
        <v/>
      </c>
      <c r="F52" s="514" t="str">
        <f>IF($A52="","",IFERROR(AVERAGEIFS('Rent Roll Analysis'!$N$273:$N$1772,'Rent Roll Analysis'!$C$273:$C$1772,$A52,'Rent Roll Analysis'!$E$273:$E$1772,"Occupied*"),0))</f>
        <v/>
      </c>
      <c r="G52" s="514" t="str">
        <f t="array" ref="G52">IF($A52="","",IFERROR(MIN(IF(('Rent Roll Analysis'!$C$273:$C$1772=$A52)*(LEFT('Rent Roll Analysis'!$E$273:$E$1772,8)="Occupied")*('Rent Roll Analysis'!$N$273:$N$1772&gt;0),'Rent Roll Analysis'!$N$273:$N$1772)),0))</f>
        <v/>
      </c>
      <c r="H52" s="514" t="str">
        <f t="array" ref="H52">IF($A52="","",IFERROR(MAX(IF(('Rent Roll Analysis'!$C$273:$C$1772=$A52)*(LEFT('Rent Roll Analysis'!$E$273:$E$1772,8)="Occupied"),'Rent Roll Analysis'!$N$273:$N$1772)),0))</f>
        <v/>
      </c>
      <c r="I52" s="514" t="str">
        <f>IF($A52="","",IFERROR(AVERAGEIFS('Rent Roll Analysis'!$L$273:$L$1772,'Rent Roll Analysis'!$C$273:$C$1772,$A52,'Rent Roll Analysis'!$L$273:$L$1772,"&gt;0"),0))</f>
        <v/>
      </c>
      <c r="J52" s="514" t="str">
        <f t="array" ref="J52">IF($A52="","",IFERROR(MIN(IF(('Rent Roll Analysis'!$C$273:$C$1772=$A52)*('Rent Roll Analysis'!$L$273:$L$1772&gt;0),'Rent Roll Analysis'!$L$273:$L$1772)),0))</f>
        <v/>
      </c>
      <c r="K52" s="514" t="str">
        <f t="array" ref="K52">IF($A52="","",IFERROR(MAX(IF('Rent Roll Analysis'!$C$273:$C$1772=$A52,'Rent Roll Analysis'!$L$273:$L$1772)),0))</f>
        <v/>
      </c>
    </row>
    <row r="53" spans="1:11" ht="15.75" customHeight="1" x14ac:dyDescent="0.2">
      <c r="A53" s="397" t="s">
        <v>361</v>
      </c>
      <c r="B53" s="398">
        <f>SUM(B43:B52)</f>
        <v>0</v>
      </c>
      <c r="C53" s="398">
        <f>IFERROR(SUMPRODUCT(C43:C52,B43:B52)/B53,0)</f>
        <v>0</v>
      </c>
      <c r="D53" s="540">
        <f t="array" ref="D53">IFERROR(MIN(IF(D43:D52&gt;0,D43:D52)),0)</f>
        <v>0</v>
      </c>
      <c r="E53" s="398">
        <f>MAX(E43:E52)</f>
        <v>0</v>
      </c>
      <c r="F53" s="401">
        <f>IFERROR(SUMPRODUCT(F43:F52,B43:B52)/B53,0)</f>
        <v>0</v>
      </c>
      <c r="G53" s="541">
        <f t="array" ref="G53">IFERROR(MIN(IF(G43:G52&gt;0,G43:G52)),0)</f>
        <v>0</v>
      </c>
      <c r="H53" s="401">
        <f>MAX(H43:H52)</f>
        <v>0</v>
      </c>
      <c r="I53" s="401">
        <f>IFERROR(SUMPRODUCT(I43:I52,B43:B52)/B53,0)</f>
        <v>0</v>
      </c>
      <c r="J53" s="541">
        <f t="array" ref="J53">IFERROR(MIN(IF(J43:J52&gt;0,J43:J52)),0)</f>
        <v>0</v>
      </c>
      <c r="K53" s="401">
        <f>MAX(K43:K52)</f>
        <v>0</v>
      </c>
    </row>
  </sheetData>
  <mergeCells count="46">
    <mergeCell ref="A41:E41"/>
    <mergeCell ref="F41:H41"/>
    <mergeCell ref="I41:K41"/>
    <mergeCell ref="AF36:AK36"/>
    <mergeCell ref="A37:B37"/>
    <mergeCell ref="D37:E37"/>
    <mergeCell ref="G37:O37"/>
    <mergeCell ref="A40:K40"/>
    <mergeCell ref="A35:B35"/>
    <mergeCell ref="D35:E35"/>
    <mergeCell ref="G35:O35"/>
    <mergeCell ref="A36:B36"/>
    <mergeCell ref="D36:E36"/>
    <mergeCell ref="G36:O36"/>
    <mergeCell ref="A33:B33"/>
    <mergeCell ref="D33:E33"/>
    <mergeCell ref="G33:O33"/>
    <mergeCell ref="A34:B34"/>
    <mergeCell ref="D34:E34"/>
    <mergeCell ref="G34:O34"/>
    <mergeCell ref="A31:B31"/>
    <mergeCell ref="D31:E31"/>
    <mergeCell ref="G31:O31"/>
    <mergeCell ref="A32:B32"/>
    <mergeCell ref="D32:E32"/>
    <mergeCell ref="G32:O32"/>
    <mergeCell ref="A19:O19"/>
    <mergeCell ref="A20:O20"/>
    <mergeCell ref="AF23:AK23"/>
    <mergeCell ref="Q26:AD26"/>
    <mergeCell ref="A30:O30"/>
    <mergeCell ref="A4:O4"/>
    <mergeCell ref="Q4:AD4"/>
    <mergeCell ref="AF4:AK4"/>
    <mergeCell ref="A5:D5"/>
    <mergeCell ref="E5:H5"/>
    <mergeCell ref="I5:O5"/>
    <mergeCell ref="Q5:V5"/>
    <mergeCell ref="W5:AB5"/>
    <mergeCell ref="AC5:AD5"/>
    <mergeCell ref="A1:O1"/>
    <mergeCell ref="Q1:AD1"/>
    <mergeCell ref="AF1:AK1"/>
    <mergeCell ref="A2:O2"/>
    <mergeCell ref="Q2:AD2"/>
    <mergeCell ref="AF2:AK2"/>
  </mergeCells>
  <dataValidations count="2">
    <dataValidation type="list" allowBlank="1" sqref="AG6:AK20 AG38:AK47" xr:uid="{00000000-0002-0000-0D00-000000000000}">
      <formula1>"✓,"</formula1>
      <formula2>0</formula2>
    </dataValidation>
    <dataValidation type="list" operator="equal" allowBlank="1" sqref="H4" xr:uid="{00000000-0002-0000-0D00-000001000000}">
      <formula1>"Average,Max"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2"/>
  <sheetViews>
    <sheetView zoomScaleNormal="100" workbookViewId="0">
      <selection activeCell="G23" sqref="G23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7" width="14" customWidth="1"/>
  </cols>
  <sheetData>
    <row r="1" spans="1:7" ht="24" customHeight="1" x14ac:dyDescent="0.2">
      <c r="A1" s="938" t="str">
        <f>IF('Prop Info'!B4="","CAPITAL EXPENDITURE BUDGET — DETAILED BREAKDOWN","CAPITAL EXPENDITURE BUDGET — DETAILED BREAKDOWN"&amp;" — "&amp;'Prop Info'!B4)</f>
        <v>CAPITAL EXPENDITURE BUDGET — DETAILED BREAKDOWN</v>
      </c>
      <c r="B1" s="938"/>
      <c r="C1" s="938"/>
      <c r="D1" s="938"/>
      <c r="E1" s="938"/>
      <c r="F1" s="938"/>
      <c r="G1" s="938"/>
    </row>
    <row r="2" spans="1:7" ht="15.75" customHeight="1" x14ac:dyDescent="0.2">
      <c r="A2" s="944" t="s">
        <v>1823</v>
      </c>
      <c r="B2" s="944"/>
      <c r="C2" s="944"/>
      <c r="D2" s="944"/>
      <c r="E2" s="944"/>
      <c r="F2" s="944"/>
      <c r="G2" s="944"/>
    </row>
    <row r="3" spans="1:7" ht="30" customHeight="1" x14ac:dyDescent="0.2">
      <c r="A3" s="34" t="s">
        <v>547</v>
      </c>
      <c r="B3" s="34" t="s">
        <v>1824</v>
      </c>
      <c r="C3" s="34" t="s">
        <v>1825</v>
      </c>
      <c r="D3" s="34" t="s">
        <v>1826</v>
      </c>
      <c r="E3" s="34" t="s">
        <v>1827</v>
      </c>
      <c r="F3" s="34" t="s">
        <v>1828</v>
      </c>
      <c r="G3" s="34" t="s">
        <v>55</v>
      </c>
    </row>
    <row r="4" spans="1:7" ht="19.5" customHeight="1" x14ac:dyDescent="0.2">
      <c r="A4" s="945" t="s">
        <v>1829</v>
      </c>
      <c r="B4" s="945"/>
      <c r="C4" s="945"/>
      <c r="D4" s="945"/>
      <c r="E4" s="945"/>
      <c r="F4" s="945"/>
      <c r="G4" s="945"/>
    </row>
    <row r="5" spans="1:7" ht="18" customHeight="1" x14ac:dyDescent="0.2">
      <c r="A5" s="275" t="s">
        <v>1830</v>
      </c>
      <c r="B5" s="542"/>
      <c r="C5" s="277"/>
      <c r="D5" s="267">
        <f t="shared" ref="D5:D10" si="0">B5*C5</f>
        <v>0</v>
      </c>
      <c r="E5" s="543"/>
      <c r="F5" s="543"/>
    </row>
    <row r="6" spans="1:7" ht="18" customHeight="1" x14ac:dyDescent="0.2">
      <c r="A6" s="271" t="s">
        <v>1831</v>
      </c>
      <c r="B6" s="544"/>
      <c r="C6" s="274"/>
      <c r="D6" s="424">
        <f t="shared" si="0"/>
        <v>0</v>
      </c>
      <c r="E6" s="545"/>
      <c r="F6" s="545"/>
    </row>
    <row r="7" spans="1:7" ht="18" customHeight="1" x14ac:dyDescent="0.2">
      <c r="A7" s="275" t="s">
        <v>1832</v>
      </c>
      <c r="B7" s="542"/>
      <c r="C7" s="277"/>
      <c r="D7" s="267">
        <f t="shared" si="0"/>
        <v>0</v>
      </c>
      <c r="E7" s="543"/>
      <c r="F7" s="543"/>
    </row>
    <row r="8" spans="1:7" ht="18" customHeight="1" x14ac:dyDescent="0.2">
      <c r="A8" s="271" t="s">
        <v>1833</v>
      </c>
      <c r="B8" s="544"/>
      <c r="C8" s="274"/>
      <c r="D8" s="424">
        <f t="shared" si="0"/>
        <v>0</v>
      </c>
      <c r="E8" s="545"/>
      <c r="F8" s="545"/>
    </row>
    <row r="9" spans="1:7" ht="18" customHeight="1" x14ac:dyDescent="0.2">
      <c r="A9" s="275" t="s">
        <v>1834</v>
      </c>
      <c r="B9" s="542"/>
      <c r="C9" s="277"/>
      <c r="D9" s="267">
        <f t="shared" si="0"/>
        <v>0</v>
      </c>
      <c r="E9" s="543"/>
      <c r="F9" s="543"/>
    </row>
    <row r="10" spans="1:7" ht="18" customHeight="1" x14ac:dyDescent="0.2">
      <c r="A10" s="271" t="s">
        <v>1835</v>
      </c>
      <c r="B10" s="544"/>
      <c r="C10" s="274"/>
      <c r="D10" s="424">
        <f t="shared" si="0"/>
        <v>0</v>
      </c>
      <c r="E10" s="545"/>
      <c r="F10" s="545"/>
    </row>
    <row r="11" spans="1:7" ht="18" customHeight="1" x14ac:dyDescent="0.2">
      <c r="A11" s="546" t="s">
        <v>1836</v>
      </c>
      <c r="D11" s="487">
        <f>SUM(D5:D10)</f>
        <v>0</v>
      </c>
    </row>
    <row r="13" spans="1:7" ht="19.5" customHeight="1" x14ac:dyDescent="0.2">
      <c r="A13" s="945" t="s">
        <v>1837</v>
      </c>
      <c r="B13" s="945"/>
      <c r="C13" s="945"/>
      <c r="D13" s="945"/>
      <c r="E13" s="945"/>
      <c r="F13" s="945"/>
      <c r="G13" s="945"/>
    </row>
    <row r="14" spans="1:7" ht="18" customHeight="1" x14ac:dyDescent="0.2">
      <c r="A14" s="275" t="s">
        <v>1838</v>
      </c>
      <c r="B14" s="542"/>
      <c r="C14" s="277"/>
      <c r="D14" s="267">
        <f t="shared" ref="D14:D19" si="1">B14*C14</f>
        <v>0</v>
      </c>
      <c r="E14" s="543"/>
      <c r="F14" s="543"/>
    </row>
    <row r="15" spans="1:7" ht="18" customHeight="1" x14ac:dyDescent="0.2">
      <c r="A15" s="271" t="s">
        <v>1839</v>
      </c>
      <c r="B15" s="544"/>
      <c r="C15" s="274"/>
      <c r="D15" s="424">
        <f t="shared" si="1"/>
        <v>0</v>
      </c>
      <c r="E15" s="545"/>
      <c r="F15" s="545"/>
    </row>
    <row r="16" spans="1:7" ht="18" customHeight="1" x14ac:dyDescent="0.2">
      <c r="A16" s="275" t="s">
        <v>1840</v>
      </c>
      <c r="B16" s="542"/>
      <c r="C16" s="277"/>
      <c r="D16" s="267">
        <f t="shared" si="1"/>
        <v>0</v>
      </c>
      <c r="E16" s="543"/>
      <c r="F16" s="543"/>
    </row>
    <row r="17" spans="1:7" ht="18" customHeight="1" x14ac:dyDescent="0.2">
      <c r="A17" s="271" t="s">
        <v>1841</v>
      </c>
      <c r="B17" s="544"/>
      <c r="C17" s="274"/>
      <c r="D17" s="424">
        <f t="shared" si="1"/>
        <v>0</v>
      </c>
      <c r="E17" s="545"/>
      <c r="F17" s="545"/>
    </row>
    <row r="18" spans="1:7" ht="18" customHeight="1" x14ac:dyDescent="0.2">
      <c r="A18" s="275" t="s">
        <v>1842</v>
      </c>
      <c r="B18" s="542"/>
      <c r="C18" s="277"/>
      <c r="D18" s="267">
        <f t="shared" si="1"/>
        <v>0</v>
      </c>
      <c r="E18" s="543"/>
      <c r="F18" s="543"/>
    </row>
    <row r="19" spans="1:7" ht="18" customHeight="1" x14ac:dyDescent="0.2">
      <c r="A19" s="271" t="s">
        <v>1843</v>
      </c>
      <c r="B19" s="544"/>
      <c r="C19" s="274"/>
      <c r="D19" s="424">
        <f t="shared" si="1"/>
        <v>0</v>
      </c>
      <c r="E19" s="545"/>
      <c r="F19" s="545"/>
    </row>
    <row r="20" spans="1:7" ht="18" customHeight="1" x14ac:dyDescent="0.2">
      <c r="A20" s="546" t="s">
        <v>1844</v>
      </c>
      <c r="D20" s="487">
        <f>SUM(D14:D19)</f>
        <v>0</v>
      </c>
    </row>
    <row r="22" spans="1:7" ht="19.5" customHeight="1" x14ac:dyDescent="0.2">
      <c r="A22" s="945" t="s">
        <v>1845</v>
      </c>
      <c r="B22" s="945"/>
      <c r="C22" s="945"/>
      <c r="D22" s="945"/>
      <c r="E22" s="945"/>
      <c r="F22" s="945"/>
      <c r="G22" s="945"/>
    </row>
    <row r="23" spans="1:7" ht="18" customHeight="1" x14ac:dyDescent="0.2">
      <c r="A23" s="275" t="s">
        <v>1846</v>
      </c>
      <c r="B23" s="542"/>
      <c r="C23" s="277"/>
      <c r="D23" s="267">
        <f t="shared" ref="D23:D28" si="2">B23*C23</f>
        <v>0</v>
      </c>
      <c r="E23" s="543"/>
      <c r="F23" s="543"/>
    </row>
    <row r="24" spans="1:7" ht="18" customHeight="1" x14ac:dyDescent="0.2">
      <c r="A24" s="271" t="s">
        <v>1847</v>
      </c>
      <c r="B24" s="544"/>
      <c r="C24" s="274"/>
      <c r="D24" s="424">
        <f t="shared" si="2"/>
        <v>0</v>
      </c>
      <c r="E24" s="545"/>
      <c r="F24" s="545"/>
    </row>
    <row r="25" spans="1:7" ht="18" customHeight="1" x14ac:dyDescent="0.2">
      <c r="A25" s="275" t="s">
        <v>1848</v>
      </c>
      <c r="B25" s="542"/>
      <c r="C25" s="277"/>
      <c r="D25" s="267">
        <f t="shared" si="2"/>
        <v>0</v>
      </c>
      <c r="E25" s="543"/>
      <c r="F25" s="543"/>
    </row>
    <row r="26" spans="1:7" ht="18" customHeight="1" x14ac:dyDescent="0.2">
      <c r="A26" s="271" t="s">
        <v>1849</v>
      </c>
      <c r="B26" s="544"/>
      <c r="C26" s="274"/>
      <c r="D26" s="424">
        <f t="shared" si="2"/>
        <v>0</v>
      </c>
      <c r="E26" s="545"/>
      <c r="F26" s="545"/>
    </row>
    <row r="27" spans="1:7" ht="18" customHeight="1" x14ac:dyDescent="0.2">
      <c r="A27" s="275" t="s">
        <v>1850</v>
      </c>
      <c r="B27" s="542"/>
      <c r="C27" s="277"/>
      <c r="D27" s="267">
        <f t="shared" si="2"/>
        <v>0</v>
      </c>
      <c r="E27" s="543"/>
      <c r="F27" s="543"/>
    </row>
    <row r="28" spans="1:7" ht="18" customHeight="1" x14ac:dyDescent="0.2">
      <c r="A28" s="271" t="s">
        <v>1851</v>
      </c>
      <c r="B28" s="544"/>
      <c r="C28" s="274"/>
      <c r="D28" s="424">
        <f t="shared" si="2"/>
        <v>0</v>
      </c>
      <c r="E28" s="545"/>
      <c r="F28" s="545"/>
    </row>
    <row r="29" spans="1:7" ht="18" customHeight="1" x14ac:dyDescent="0.2">
      <c r="A29" s="546" t="s">
        <v>1852</v>
      </c>
      <c r="D29" s="487">
        <f>SUM(D23:D28)</f>
        <v>0</v>
      </c>
    </row>
    <row r="31" spans="1:7" ht="19.5" customHeight="1" x14ac:dyDescent="0.2">
      <c r="A31" s="945" t="s">
        <v>1853</v>
      </c>
      <c r="B31" s="945"/>
      <c r="C31" s="945"/>
      <c r="D31" s="945"/>
      <c r="E31" s="945"/>
      <c r="F31" s="945"/>
      <c r="G31" s="945"/>
    </row>
    <row r="32" spans="1:7" ht="18" customHeight="1" x14ac:dyDescent="0.2">
      <c r="A32" s="275" t="s">
        <v>1854</v>
      </c>
      <c r="B32" s="542"/>
      <c r="C32" s="277"/>
      <c r="D32" s="267">
        <f t="shared" ref="D32:D37" si="3">B32*C32</f>
        <v>0</v>
      </c>
      <c r="E32" s="543"/>
      <c r="F32" s="543"/>
    </row>
    <row r="33" spans="1:7" ht="18" customHeight="1" x14ac:dyDescent="0.2">
      <c r="A33" s="271" t="s">
        <v>1855</v>
      </c>
      <c r="B33" s="544"/>
      <c r="C33" s="274"/>
      <c r="D33" s="424">
        <f t="shared" si="3"/>
        <v>0</v>
      </c>
      <c r="E33" s="545"/>
      <c r="F33" s="545"/>
    </row>
    <row r="34" spans="1:7" ht="18" customHeight="1" x14ac:dyDescent="0.2">
      <c r="A34" s="275" t="s">
        <v>1856</v>
      </c>
      <c r="B34" s="542"/>
      <c r="C34" s="277"/>
      <c r="D34" s="267">
        <f t="shared" si="3"/>
        <v>0</v>
      </c>
      <c r="E34" s="543"/>
      <c r="F34" s="543"/>
    </row>
    <row r="35" spans="1:7" ht="18" customHeight="1" x14ac:dyDescent="0.2">
      <c r="A35" s="271" t="s">
        <v>1857</v>
      </c>
      <c r="B35" s="544"/>
      <c r="C35" s="274"/>
      <c r="D35" s="424">
        <f t="shared" si="3"/>
        <v>0</v>
      </c>
      <c r="E35" s="545"/>
      <c r="F35" s="545"/>
    </row>
    <row r="36" spans="1:7" ht="18" customHeight="1" x14ac:dyDescent="0.2">
      <c r="A36" s="275" t="s">
        <v>1858</v>
      </c>
      <c r="B36" s="542"/>
      <c r="C36" s="277"/>
      <c r="D36" s="267">
        <f t="shared" si="3"/>
        <v>0</v>
      </c>
      <c r="E36" s="543"/>
      <c r="F36" s="543"/>
    </row>
    <row r="37" spans="1:7" ht="18" customHeight="1" x14ac:dyDescent="0.2">
      <c r="A37" s="271" t="s">
        <v>1859</v>
      </c>
      <c r="B37" s="544"/>
      <c r="C37" s="274"/>
      <c r="D37" s="424">
        <f t="shared" si="3"/>
        <v>0</v>
      </c>
      <c r="E37" s="545"/>
      <c r="F37" s="545"/>
    </row>
    <row r="38" spans="1:7" ht="18" customHeight="1" x14ac:dyDescent="0.2">
      <c r="A38" s="546" t="s">
        <v>1860</v>
      </c>
      <c r="D38" s="487">
        <f>SUM(D32:D37)</f>
        <v>0</v>
      </c>
    </row>
    <row r="40" spans="1:7" ht="19.5" customHeight="1" x14ac:dyDescent="0.2">
      <c r="A40" s="945" t="s">
        <v>1861</v>
      </c>
      <c r="B40" s="945"/>
      <c r="C40" s="945"/>
      <c r="D40" s="945"/>
      <c r="E40" s="945"/>
      <c r="F40" s="945"/>
      <c r="G40" s="945"/>
    </row>
    <row r="41" spans="1:7" ht="18" customHeight="1" x14ac:dyDescent="0.2">
      <c r="A41" s="275" t="s">
        <v>1862</v>
      </c>
      <c r="B41" s="542"/>
      <c r="C41" s="277"/>
      <c r="D41" s="267">
        <f>B41*C41</f>
        <v>0</v>
      </c>
      <c r="E41" s="543"/>
      <c r="F41" s="543"/>
    </row>
    <row r="42" spans="1:7" ht="18" customHeight="1" x14ac:dyDescent="0.2">
      <c r="A42" s="271" t="s">
        <v>1863</v>
      </c>
      <c r="B42" s="544"/>
      <c r="C42" s="274"/>
      <c r="D42" s="424">
        <f>B42*C42</f>
        <v>0</v>
      </c>
      <c r="E42" s="545"/>
      <c r="F42" s="545"/>
    </row>
    <row r="43" spans="1:7" ht="18" customHeight="1" x14ac:dyDescent="0.2">
      <c r="A43" s="275" t="s">
        <v>1864</v>
      </c>
      <c r="B43" s="542"/>
      <c r="C43" s="277"/>
      <c r="D43" s="267">
        <f>B43*C43</f>
        <v>0</v>
      </c>
      <c r="E43" s="543"/>
      <c r="F43" s="543"/>
    </row>
    <row r="44" spans="1:7" ht="18" customHeight="1" x14ac:dyDescent="0.2">
      <c r="A44" s="271" t="s">
        <v>1865</v>
      </c>
      <c r="B44" s="544"/>
      <c r="C44" s="274"/>
      <c r="D44" s="424">
        <f>B44*C44</f>
        <v>0</v>
      </c>
      <c r="E44" s="545"/>
      <c r="F44" s="545"/>
    </row>
    <row r="45" spans="1:7" ht="18" customHeight="1" x14ac:dyDescent="0.2">
      <c r="A45" s="546" t="s">
        <v>1866</v>
      </c>
      <c r="D45" s="487">
        <f>SUM(D41:D44)</f>
        <v>0</v>
      </c>
    </row>
    <row r="47" spans="1:7" ht="19.5" customHeight="1" x14ac:dyDescent="0.2">
      <c r="A47" s="945" t="s">
        <v>1867</v>
      </c>
      <c r="B47" s="945"/>
      <c r="C47" s="945"/>
      <c r="D47" s="945"/>
      <c r="E47" s="945"/>
      <c r="F47" s="945"/>
      <c r="G47" s="945"/>
    </row>
    <row r="48" spans="1:7" ht="18" customHeight="1" x14ac:dyDescent="0.2">
      <c r="A48" s="275" t="s">
        <v>1868</v>
      </c>
      <c r="B48" s="542"/>
      <c r="D48" s="267">
        <f>(D11+D20+D29+D38+D45)*0.1</f>
        <v>0</v>
      </c>
      <c r="E48" s="543"/>
      <c r="F48" s="543"/>
    </row>
    <row r="49" spans="1:7" ht="18" customHeight="1" x14ac:dyDescent="0.2">
      <c r="A49" s="546" t="s">
        <v>1869</v>
      </c>
      <c r="D49" s="487">
        <f>SUM(D48)</f>
        <v>0</v>
      </c>
    </row>
    <row r="51" spans="1:7" ht="18" customHeight="1" x14ac:dyDescent="0.2">
      <c r="A51" s="41" t="s">
        <v>1870</v>
      </c>
      <c r="D51" s="285">
        <f>SUM(D11,D20,D29,D38,D45,D49)</f>
        <v>0</v>
      </c>
    </row>
    <row r="52" spans="1:7" ht="18" customHeight="1" x14ac:dyDescent="0.2">
      <c r="A52" s="547" t="s">
        <v>1871</v>
      </c>
      <c r="D52" s="174">
        <f>SUMIF(E4:E50,"VA",D4:D50)</f>
        <v>0</v>
      </c>
    </row>
    <row r="53" spans="1:7" ht="18" customHeight="1" x14ac:dyDescent="0.2">
      <c r="A53" s="9" t="s">
        <v>1872</v>
      </c>
      <c r="D53" s="267">
        <f>SUMIF(E4:E50,"M",D4:D50)</f>
        <v>0</v>
      </c>
    </row>
    <row r="56" spans="1:7" ht="21.75" customHeight="1" x14ac:dyDescent="0.2">
      <c r="A56" s="934" t="s">
        <v>1873</v>
      </c>
      <c r="B56" s="934"/>
      <c r="C56" s="934"/>
      <c r="D56" s="934"/>
      <c r="E56" s="934"/>
      <c r="F56" s="934"/>
      <c r="G56" s="934"/>
    </row>
    <row r="57" spans="1:7" ht="15" customHeight="1" x14ac:dyDescent="0.2">
      <c r="A57" s="1" t="s">
        <v>1874</v>
      </c>
    </row>
    <row r="59" spans="1:7" ht="23.25" customHeight="1" x14ac:dyDescent="0.2">
      <c r="A59" s="104" t="s">
        <v>1875</v>
      </c>
      <c r="B59" s="104" t="s">
        <v>369</v>
      </c>
      <c r="C59" s="104" t="s">
        <v>1876</v>
      </c>
      <c r="D59" s="104" t="s">
        <v>1877</v>
      </c>
      <c r="E59" s="116" t="s">
        <v>1878</v>
      </c>
      <c r="F59" s="104" t="s">
        <v>1879</v>
      </c>
      <c r="G59" s="104" t="s">
        <v>55</v>
      </c>
    </row>
    <row r="60" spans="1:7" ht="15" customHeight="1" x14ac:dyDescent="0.2">
      <c r="A60" s="106" t="s">
        <v>257</v>
      </c>
      <c r="B60" s="474"/>
      <c r="C60" s="303">
        <v>1500</v>
      </c>
      <c r="D60" s="256">
        <f>B60*C60</f>
        <v>0</v>
      </c>
      <c r="E60" s="474">
        <v>7</v>
      </c>
      <c r="F60" s="1" t="s">
        <v>1880</v>
      </c>
      <c r="G60" s="1" t="s">
        <v>1881</v>
      </c>
    </row>
    <row r="61" spans="1:7" ht="15" customHeight="1" x14ac:dyDescent="0.2">
      <c r="A61" s="106" t="s">
        <v>258</v>
      </c>
      <c r="B61" s="474"/>
      <c r="C61" s="303">
        <v>3500</v>
      </c>
      <c r="D61" s="256">
        <f>B61*C61</f>
        <v>0</v>
      </c>
      <c r="E61" s="474">
        <v>14</v>
      </c>
      <c r="F61" s="1" t="s">
        <v>1882</v>
      </c>
      <c r="G61" s="1" t="s">
        <v>1883</v>
      </c>
    </row>
    <row r="62" spans="1:7" ht="15" customHeight="1" x14ac:dyDescent="0.2">
      <c r="A62" s="106" t="s">
        <v>259</v>
      </c>
      <c r="B62" s="474"/>
      <c r="C62" s="303">
        <v>7000</v>
      </c>
      <c r="D62" s="256">
        <f>B62*C62</f>
        <v>0</v>
      </c>
      <c r="E62" s="474">
        <v>30</v>
      </c>
      <c r="F62" s="1" t="s">
        <v>1884</v>
      </c>
      <c r="G62" s="1" t="s">
        <v>1885</v>
      </c>
    </row>
    <row r="63" spans="1:7" ht="15" customHeight="1" x14ac:dyDescent="0.2">
      <c r="A63" s="106" t="s">
        <v>260</v>
      </c>
      <c r="B63" s="474"/>
      <c r="C63" s="303">
        <v>15000</v>
      </c>
      <c r="D63" s="256">
        <f>B63*C63</f>
        <v>0</v>
      </c>
      <c r="E63" s="474">
        <v>60</v>
      </c>
      <c r="F63" s="1" t="s">
        <v>1886</v>
      </c>
      <c r="G63" s="1" t="s">
        <v>1887</v>
      </c>
    </row>
    <row r="64" spans="1:7" ht="15" customHeight="1" x14ac:dyDescent="0.2">
      <c r="A64" s="106" t="s">
        <v>261</v>
      </c>
      <c r="B64" s="474"/>
      <c r="C64" s="303">
        <v>35000</v>
      </c>
      <c r="D64" s="256">
        <f>B64*C64</f>
        <v>0</v>
      </c>
      <c r="E64" s="474">
        <v>120</v>
      </c>
      <c r="F64" s="1" t="s">
        <v>1888</v>
      </c>
      <c r="G64" s="1" t="s">
        <v>1889</v>
      </c>
    </row>
    <row r="65" spans="1:7" ht="15" customHeight="1" x14ac:dyDescent="0.2">
      <c r="A65" s="290" t="s">
        <v>5</v>
      </c>
      <c r="B65" s="359">
        <f>SUM(B60:B64)</f>
        <v>0</v>
      </c>
      <c r="C65" s="290" t="s">
        <v>1890</v>
      </c>
      <c r="D65" s="291">
        <f>IFERROR(SUM(D60:D64)/B65,0)</f>
        <v>0</v>
      </c>
    </row>
    <row r="66" spans="1:7" ht="15" customHeight="1" x14ac:dyDescent="0.2">
      <c r="A66" s="112" t="s">
        <v>262</v>
      </c>
      <c r="B66" s="114"/>
      <c r="C66" s="548">
        <v>0.1</v>
      </c>
      <c r="D66" s="286">
        <f>SUM(D60:D64)*C66</f>
        <v>0</v>
      </c>
    </row>
    <row r="67" spans="1:7" ht="15" customHeight="1" x14ac:dyDescent="0.2">
      <c r="A67" s="112" t="s">
        <v>1891</v>
      </c>
      <c r="D67" s="286">
        <f>SUM(D60:D64)+D66</f>
        <v>0</v>
      </c>
    </row>
    <row r="69" spans="1:7" ht="15" customHeight="1" x14ac:dyDescent="0.2">
      <c r="A69" s="106" t="s">
        <v>263</v>
      </c>
      <c r="B69" s="474">
        <v>8</v>
      </c>
      <c r="C69" s="106" t="s">
        <v>1892</v>
      </c>
      <c r="D69" s="549">
        <f>IFERROR(B65/B69,0)</f>
        <v>0</v>
      </c>
      <c r="E69" s="106" t="s">
        <v>1893</v>
      </c>
      <c r="F69" s="110">
        <f>Scenarios!F39</f>
        <v>0</v>
      </c>
      <c r="G69" s="106" t="s">
        <v>1894</v>
      </c>
    </row>
    <row r="70" spans="1:7" ht="15" customHeight="1" x14ac:dyDescent="0.2">
      <c r="A70" s="112" t="s">
        <v>1895</v>
      </c>
      <c r="D70" s="286">
        <f>B60*E60/30*F69+B61*E61/30*F69+B62*E62/30*F69+B63*E63/30*F69+B64*E64/30*F69</f>
        <v>0</v>
      </c>
    </row>
    <row r="72" spans="1:7" ht="15" customHeight="1" x14ac:dyDescent="0.2">
      <c r="A72" s="113" t="s">
        <v>1896</v>
      </c>
      <c r="D72" s="550">
        <f>D51+D67+D70</f>
        <v>0</v>
      </c>
      <c r="F72" s="931" t="s">
        <v>1897</v>
      </c>
      <c r="G72" s="931"/>
    </row>
  </sheetData>
  <mergeCells count="10">
    <mergeCell ref="A31:G31"/>
    <mergeCell ref="A40:G40"/>
    <mergeCell ref="A47:G47"/>
    <mergeCell ref="A56:G56"/>
    <mergeCell ref="F72:G72"/>
    <mergeCell ref="A1:G1"/>
    <mergeCell ref="A2:G2"/>
    <mergeCell ref="A4:G4"/>
    <mergeCell ref="A13:G13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31"/>
  <sheetViews>
    <sheetView zoomScale="115" zoomScaleNormal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F25" sqref="F25"/>
    </sheetView>
  </sheetViews>
  <sheetFormatPr baseColWidth="10" defaultColWidth="8.83203125" defaultRowHeight="15" x14ac:dyDescent="0.2"/>
  <cols>
    <col min="1" max="1" width="92.5" customWidth="1"/>
    <col min="2" max="2" width="7.5" customWidth="1"/>
    <col min="3" max="3" width="36.1640625" customWidth="1"/>
    <col min="4" max="4" width="14" customWidth="1"/>
    <col min="5" max="5" width="16.33203125" customWidth="1"/>
    <col min="6" max="6" width="14.33203125" customWidth="1"/>
    <col min="7" max="7" width="7.33203125" customWidth="1"/>
    <col min="8" max="8" width="48.1640625" customWidth="1"/>
    <col min="9" max="10" width="10" customWidth="1"/>
    <col min="11" max="12" width="12" customWidth="1"/>
    <col min="13" max="13" width="14" customWidth="1"/>
    <col min="14" max="14" width="10" customWidth="1"/>
    <col min="15" max="15" width="18" customWidth="1"/>
  </cols>
  <sheetData>
    <row r="1" spans="1:16" ht="24" customHeight="1" x14ac:dyDescent="0.2">
      <c r="A1" s="491" t="str">
        <f>IF('Prop Info'!B4="","STAFFING MODEL — ANNUAL SALARY / FTE TABLE → P&amp;L","STAFFING MODEL — ANNUAL SALARY / FTE TABLE → P&amp;L"&amp;" — "&amp;'Prop Info'!B4)</f>
        <v>STAFFING MODEL — ANNUAL SALARY / FTE TABLE → P&amp;L</v>
      </c>
      <c r="B1" s="307" t="str">
        <f>HYPERLINK("#Inputs!A1","← Inputs")</f>
        <v>← Inputs</v>
      </c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</row>
    <row r="2" spans="1:16" ht="15.75" customHeight="1" x14ac:dyDescent="0.2">
      <c r="A2" s="248" t="s">
        <v>1898</v>
      </c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</row>
    <row r="3" spans="1:16" ht="15" customHeight="1" x14ac:dyDescent="0.2">
      <c r="A3" s="551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</row>
    <row r="4" spans="1:16" ht="24" customHeight="1" x14ac:dyDescent="0.2">
      <c r="A4" s="552" t="s">
        <v>1899</v>
      </c>
      <c r="B4" s="551"/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1"/>
    </row>
    <row r="5" spans="1:16" ht="18" customHeight="1" x14ac:dyDescent="0.2">
      <c r="A5" s="552" t="s">
        <v>547</v>
      </c>
      <c r="B5" s="553" t="s">
        <v>12</v>
      </c>
      <c r="C5" s="554" t="s">
        <v>55</v>
      </c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</row>
    <row r="6" spans="1:16" ht="18" customHeight="1" x14ac:dyDescent="0.2">
      <c r="A6" s="551" t="s">
        <v>1900</v>
      </c>
      <c r="B6" s="555">
        <f>'Prop Info'!$B$6</f>
        <v>0</v>
      </c>
      <c r="C6" s="556" t="s">
        <v>1901</v>
      </c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</row>
    <row r="7" spans="1:16" ht="18" customHeight="1" x14ac:dyDescent="0.2">
      <c r="A7" s="551" t="s">
        <v>1902</v>
      </c>
      <c r="B7" s="557">
        <f>Scenarios!F41</f>
        <v>0</v>
      </c>
      <c r="C7" s="556" t="s">
        <v>1903</v>
      </c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</row>
    <row r="8" spans="1:16" ht="18" customHeight="1" x14ac:dyDescent="0.2">
      <c r="A8" s="551" t="s">
        <v>990</v>
      </c>
      <c r="B8" s="16">
        <f>IFERROR(ROUND(B6*(1-B7),0),0)</f>
        <v>0</v>
      </c>
      <c r="C8" s="556" t="s">
        <v>1904</v>
      </c>
      <c r="D8" s="551"/>
      <c r="E8" s="551"/>
      <c r="F8" s="551"/>
      <c r="G8" s="551"/>
      <c r="H8" s="551"/>
      <c r="I8" s="551"/>
      <c r="J8" s="551"/>
      <c r="K8" s="551"/>
      <c r="L8" s="551"/>
      <c r="M8" s="551"/>
      <c r="N8" s="551"/>
      <c r="O8" s="551"/>
      <c r="P8" s="551"/>
    </row>
    <row r="9" spans="1:16" ht="18" customHeight="1" x14ac:dyDescent="0.2">
      <c r="A9" s="551" t="s">
        <v>267</v>
      </c>
      <c r="B9" s="558">
        <v>0.22</v>
      </c>
      <c r="C9" s="556" t="s">
        <v>1905</v>
      </c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</row>
    <row r="10" spans="1:16" ht="18" customHeight="1" x14ac:dyDescent="0.2">
      <c r="A10" s="551" t="s">
        <v>268</v>
      </c>
      <c r="B10" s="559">
        <v>0.06</v>
      </c>
      <c r="C10" s="556" t="s">
        <v>1906</v>
      </c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</row>
    <row r="11" spans="1:16" ht="19.5" customHeight="1" x14ac:dyDescent="0.2">
      <c r="A11" s="551"/>
      <c r="B11" s="551"/>
      <c r="C11" s="55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</row>
    <row r="12" spans="1:16" ht="18" customHeight="1" x14ac:dyDescent="0.2">
      <c r="A12" s="552" t="s">
        <v>1907</v>
      </c>
      <c r="B12" s="551"/>
      <c r="C12" s="560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</row>
    <row r="13" spans="1:16" ht="18" customHeight="1" x14ac:dyDescent="0.2">
      <c r="A13" s="561" t="s">
        <v>1908</v>
      </c>
      <c r="B13" s="561" t="s">
        <v>1909</v>
      </c>
      <c r="C13" s="562" t="s">
        <v>1910</v>
      </c>
      <c r="D13" s="563" t="s">
        <v>1911</v>
      </c>
      <c r="E13" s="563" t="s">
        <v>1912</v>
      </c>
      <c r="F13" s="563" t="s">
        <v>1913</v>
      </c>
      <c r="G13" s="563" t="s">
        <v>623</v>
      </c>
      <c r="H13" s="561" t="s">
        <v>55</v>
      </c>
      <c r="I13" s="551"/>
      <c r="J13" s="551"/>
      <c r="K13" s="551"/>
      <c r="L13" s="551"/>
      <c r="M13" s="551"/>
      <c r="N13" s="551"/>
      <c r="O13" s="551"/>
      <c r="P13" s="551"/>
    </row>
    <row r="14" spans="1:16" ht="18" customHeight="1" x14ac:dyDescent="0.2">
      <c r="A14" s="551" t="s">
        <v>1914</v>
      </c>
      <c r="B14" s="551" t="s">
        <v>272</v>
      </c>
      <c r="C14" s="564">
        <f>1</f>
        <v>1</v>
      </c>
      <c r="D14" s="565"/>
      <c r="E14" s="566">
        <f t="shared" ref="E14:E23" si="0">IFERROR(C14*D14*$B$9,0)</f>
        <v>0</v>
      </c>
      <c r="F14" s="566">
        <f t="shared" ref="F14:F23" si="1">IFERROR(C14*D14*(1+$B$9+$B$10),0)</f>
        <v>0</v>
      </c>
      <c r="G14" s="566">
        <f>IFERROR(F14/B6,0)</f>
        <v>0</v>
      </c>
      <c r="H14" s="248" t="s">
        <v>1915</v>
      </c>
      <c r="I14" s="551"/>
      <c r="J14" s="551"/>
      <c r="K14" s="551"/>
      <c r="L14" s="551"/>
      <c r="M14" s="551"/>
      <c r="N14" s="551"/>
      <c r="O14" s="551"/>
      <c r="P14" s="551"/>
    </row>
    <row r="15" spans="1:16" ht="18" customHeight="1" x14ac:dyDescent="0.2">
      <c r="A15" s="551" t="s">
        <v>1916</v>
      </c>
      <c r="B15" s="551" t="s">
        <v>272</v>
      </c>
      <c r="C15" s="564">
        <f>1</f>
        <v>1</v>
      </c>
      <c r="D15" s="565"/>
      <c r="E15" s="566">
        <f t="shared" si="0"/>
        <v>0</v>
      </c>
      <c r="F15" s="566">
        <f t="shared" si="1"/>
        <v>0</v>
      </c>
      <c r="G15" s="566">
        <f>IFERROR(F15/B6,0)</f>
        <v>0</v>
      </c>
      <c r="H15" s="248" t="s">
        <v>1917</v>
      </c>
      <c r="I15" s="551"/>
      <c r="J15" s="551"/>
      <c r="K15" s="551"/>
      <c r="L15" s="551"/>
      <c r="M15" s="551"/>
      <c r="N15" s="551"/>
      <c r="O15" s="551"/>
      <c r="P15" s="551"/>
    </row>
    <row r="16" spans="1:16" ht="18" customHeight="1" x14ac:dyDescent="0.2">
      <c r="A16" s="551" t="s">
        <v>1918</v>
      </c>
      <c r="B16" s="551" t="s">
        <v>269</v>
      </c>
      <c r="C16" s="567">
        <v>1</v>
      </c>
      <c r="D16" s="565"/>
      <c r="E16" s="566">
        <f t="shared" si="0"/>
        <v>0</v>
      </c>
      <c r="F16" s="566">
        <f t="shared" si="1"/>
        <v>0</v>
      </c>
      <c r="G16" s="566">
        <f>IFERROR(F16/B6,0)</f>
        <v>0</v>
      </c>
      <c r="H16" s="248" t="s">
        <v>1915</v>
      </c>
      <c r="I16" s="551"/>
      <c r="J16" s="551"/>
      <c r="K16" s="551"/>
      <c r="L16" s="551"/>
      <c r="M16" s="551"/>
      <c r="N16" s="551"/>
      <c r="O16" s="551"/>
      <c r="P16" s="551"/>
    </row>
    <row r="17" spans="1:16" ht="15" customHeight="1" x14ac:dyDescent="0.2">
      <c r="A17" s="551" t="s">
        <v>1919</v>
      </c>
      <c r="B17" s="551" t="s">
        <v>269</v>
      </c>
      <c r="C17" s="567">
        <v>1</v>
      </c>
      <c r="D17" s="565"/>
      <c r="E17" s="566">
        <f t="shared" si="0"/>
        <v>0</v>
      </c>
      <c r="F17" s="566">
        <f t="shared" si="1"/>
        <v>0</v>
      </c>
      <c r="G17" s="566">
        <f>IFERROR(F17/B6,0)</f>
        <v>0</v>
      </c>
      <c r="H17" s="248" t="s">
        <v>1920</v>
      </c>
      <c r="I17" s="551"/>
      <c r="J17" s="551"/>
      <c r="K17" s="551"/>
      <c r="L17" s="551"/>
      <c r="M17" s="551"/>
      <c r="N17" s="551"/>
      <c r="O17" s="551"/>
      <c r="P17" s="551"/>
    </row>
    <row r="18" spans="1:16" ht="19.5" customHeight="1" x14ac:dyDescent="0.2">
      <c r="A18" s="551" t="s">
        <v>1921</v>
      </c>
      <c r="B18" s="551" t="s">
        <v>270</v>
      </c>
      <c r="C18" s="564">
        <f>1</f>
        <v>1</v>
      </c>
      <c r="D18" s="565"/>
      <c r="E18" s="566">
        <f t="shared" si="0"/>
        <v>0</v>
      </c>
      <c r="F18" s="566">
        <f t="shared" si="1"/>
        <v>0</v>
      </c>
      <c r="G18" s="566">
        <f>IFERROR(F18/B6,0)</f>
        <v>0</v>
      </c>
      <c r="H18" s="248" t="s">
        <v>1915</v>
      </c>
      <c r="I18" s="551"/>
      <c r="J18" s="551"/>
      <c r="K18" s="551"/>
      <c r="L18" s="551"/>
      <c r="M18" s="551"/>
      <c r="N18" s="551"/>
      <c r="O18" s="551"/>
      <c r="P18" s="551"/>
    </row>
    <row r="19" spans="1:16" ht="15.75" customHeight="1" x14ac:dyDescent="0.2">
      <c r="A19" s="551" t="s">
        <v>1922</v>
      </c>
      <c r="B19" s="551" t="s">
        <v>270</v>
      </c>
      <c r="C19" s="567">
        <v>1</v>
      </c>
      <c r="D19" s="565"/>
      <c r="E19" s="566">
        <f t="shared" si="0"/>
        <v>0</v>
      </c>
      <c r="F19" s="566">
        <f t="shared" si="1"/>
        <v>0</v>
      </c>
      <c r="G19" s="566">
        <f>IFERROR(F19/B6,0)</f>
        <v>0</v>
      </c>
      <c r="H19" s="248" t="s">
        <v>1923</v>
      </c>
      <c r="I19" s="551"/>
      <c r="J19" s="551"/>
      <c r="K19" s="551"/>
      <c r="L19" s="551"/>
      <c r="M19" s="551"/>
      <c r="N19" s="551"/>
      <c r="O19" s="551"/>
      <c r="P19" s="551"/>
    </row>
    <row r="20" spans="1:16" ht="18" customHeight="1" x14ac:dyDescent="0.2">
      <c r="A20" s="551" t="s">
        <v>1924</v>
      </c>
      <c r="B20" s="551" t="s">
        <v>270</v>
      </c>
      <c r="C20" s="564">
        <f>IF(B6&gt;=100,1,0)</f>
        <v>0</v>
      </c>
      <c r="D20" s="565"/>
      <c r="E20" s="566">
        <f t="shared" si="0"/>
        <v>0</v>
      </c>
      <c r="F20" s="566">
        <f t="shared" si="1"/>
        <v>0</v>
      </c>
      <c r="G20" s="566">
        <f>IFERROR(F20/B6,0)</f>
        <v>0</v>
      </c>
      <c r="H20" s="248" t="s">
        <v>1925</v>
      </c>
      <c r="I20" s="551"/>
      <c r="J20" s="551"/>
      <c r="K20" s="551"/>
      <c r="L20" s="551"/>
      <c r="M20" s="551"/>
      <c r="N20" s="551"/>
      <c r="O20" s="551"/>
      <c r="P20" s="551"/>
    </row>
    <row r="21" spans="1:16" ht="18" customHeight="1" x14ac:dyDescent="0.2">
      <c r="A21" s="551" t="s">
        <v>1926</v>
      </c>
      <c r="B21" s="551" t="s">
        <v>271</v>
      </c>
      <c r="C21" s="564">
        <f>IF(B6&gt;=100,1,0)</f>
        <v>0</v>
      </c>
      <c r="D21" s="565">
        <v>0</v>
      </c>
      <c r="E21" s="566">
        <f t="shared" si="0"/>
        <v>0</v>
      </c>
      <c r="F21" s="566">
        <f t="shared" si="1"/>
        <v>0</v>
      </c>
      <c r="G21" s="566">
        <f>IFERROR(F21/B6,0)</f>
        <v>0</v>
      </c>
      <c r="H21" s="248" t="s">
        <v>1927</v>
      </c>
      <c r="I21" s="551"/>
      <c r="J21" s="551"/>
      <c r="K21" s="551"/>
      <c r="L21" s="551"/>
      <c r="M21" s="551"/>
      <c r="N21" s="551"/>
      <c r="O21" s="551"/>
      <c r="P21" s="551"/>
    </row>
    <row r="22" spans="1:16" ht="18" customHeight="1" x14ac:dyDescent="0.2">
      <c r="A22" s="551" t="s">
        <v>1928</v>
      </c>
      <c r="B22" s="551" t="s">
        <v>272</v>
      </c>
      <c r="C22" s="564">
        <f>0</f>
        <v>0</v>
      </c>
      <c r="D22" s="565">
        <v>0</v>
      </c>
      <c r="E22" s="566">
        <f t="shared" si="0"/>
        <v>0</v>
      </c>
      <c r="F22" s="566">
        <f t="shared" si="1"/>
        <v>0</v>
      </c>
      <c r="G22" s="566">
        <f>IFERROR(F22/B6,0)</f>
        <v>0</v>
      </c>
      <c r="H22" s="248" t="s">
        <v>1929</v>
      </c>
      <c r="I22" s="551"/>
      <c r="J22" s="551"/>
      <c r="K22" s="551"/>
      <c r="L22" s="551"/>
      <c r="M22" s="551"/>
      <c r="N22" s="551"/>
      <c r="O22" s="551"/>
      <c r="P22" s="551"/>
    </row>
    <row r="23" spans="1:16" ht="18" customHeight="1" x14ac:dyDescent="0.2">
      <c r="A23" s="551" t="s">
        <v>1930</v>
      </c>
      <c r="B23" s="551" t="s">
        <v>272</v>
      </c>
      <c r="C23" s="564">
        <f>IF(B6&gt;=150,1,0)</f>
        <v>0</v>
      </c>
      <c r="D23" s="565">
        <v>0</v>
      </c>
      <c r="E23" s="566">
        <f t="shared" si="0"/>
        <v>0</v>
      </c>
      <c r="F23" s="566">
        <f t="shared" si="1"/>
        <v>0</v>
      </c>
      <c r="G23" s="566">
        <f>IFERROR(F23/B6,0)</f>
        <v>0</v>
      </c>
      <c r="H23" s="248" t="s">
        <v>1931</v>
      </c>
      <c r="I23" s="551"/>
      <c r="J23" s="551"/>
      <c r="K23" s="551"/>
      <c r="L23" s="551"/>
      <c r="M23" s="551"/>
      <c r="N23" s="551"/>
      <c r="O23" s="551"/>
      <c r="P23" s="551"/>
    </row>
    <row r="24" spans="1:16" ht="18" customHeight="1" x14ac:dyDescent="0.2">
      <c r="A24" s="551"/>
      <c r="B24" s="551"/>
      <c r="C24" s="556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</row>
    <row r="25" spans="1:16" ht="18" customHeight="1" x14ac:dyDescent="0.2">
      <c r="A25" s="568" t="s">
        <v>1932</v>
      </c>
      <c r="B25" s="551"/>
      <c r="C25" s="556"/>
      <c r="D25" s="551"/>
      <c r="E25" s="551"/>
      <c r="F25" s="569">
        <f>IF(SUM(F14:F23)=0,'T-12 Analysis'!B14,SUM(F14:F23))</f>
        <v>0</v>
      </c>
      <c r="G25" s="569">
        <f>IFERROR(F25/B6,0)</f>
        <v>0</v>
      </c>
      <c r="H25" s="551"/>
      <c r="I25" s="551"/>
      <c r="J25" s="551"/>
      <c r="K25" s="551"/>
      <c r="L25" s="551"/>
      <c r="M25" s="551"/>
      <c r="N25" s="551"/>
      <c r="O25" s="551"/>
      <c r="P25" s="551"/>
    </row>
    <row r="26" spans="1:16" ht="15" customHeight="1" x14ac:dyDescent="0.2">
      <c r="A26" s="570" t="s">
        <v>1933</v>
      </c>
      <c r="B26" s="551"/>
      <c r="C26" s="551"/>
      <c r="D26" s="551"/>
      <c r="E26" s="551"/>
      <c r="F26" s="571">
        <f>IFERROR(F25/Scenarios!F50,0)</f>
        <v>0</v>
      </c>
      <c r="G26" s="551"/>
      <c r="H26" s="551"/>
      <c r="I26" s="551"/>
      <c r="J26" s="551"/>
      <c r="K26" s="551"/>
      <c r="L26" s="551"/>
      <c r="M26" s="551"/>
      <c r="N26" s="551"/>
      <c r="O26" s="551"/>
      <c r="P26" s="551"/>
    </row>
    <row r="27" spans="1:16" ht="24" customHeight="1" x14ac:dyDescent="0.2">
      <c r="A27" s="551"/>
      <c r="B27" s="551"/>
      <c r="C27" s="55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</row>
    <row r="28" spans="1:16" ht="27.75" customHeight="1" x14ac:dyDescent="0.2">
      <c r="A28" s="551"/>
      <c r="B28" s="551"/>
      <c r="C28" s="551"/>
      <c r="D28" s="551"/>
      <c r="E28" s="551"/>
      <c r="F28" s="551"/>
      <c r="G28" s="551"/>
      <c r="H28" s="551"/>
      <c r="I28" s="551"/>
      <c r="J28" s="551"/>
      <c r="K28" s="551"/>
      <c r="L28" s="551"/>
      <c r="M28" s="551"/>
      <c r="N28" s="551"/>
      <c r="O28" s="551"/>
      <c r="P28" s="551"/>
    </row>
    <row r="29" spans="1:16" ht="27.75" customHeight="1" x14ac:dyDescent="0.2">
      <c r="A29" s="551"/>
      <c r="B29" s="551"/>
      <c r="C29" s="55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</row>
    <row r="30" spans="1:16" ht="19.5" customHeight="1" x14ac:dyDescent="0.2">
      <c r="A30" s="551"/>
      <c r="B30" s="551"/>
      <c r="C30" s="55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1"/>
      <c r="P30" s="551"/>
    </row>
    <row r="31" spans="1:16" ht="18" customHeight="1" x14ac:dyDescent="0.2">
      <c r="A31" s="551"/>
      <c r="B31" s="551"/>
      <c r="C31" s="556"/>
      <c r="D31" s="556"/>
      <c r="E31" s="556"/>
      <c r="F31" s="556"/>
      <c r="G31" s="556"/>
      <c r="H31" s="556"/>
      <c r="I31" s="556"/>
      <c r="J31" s="572"/>
      <c r="K31" s="573"/>
      <c r="L31" s="573"/>
      <c r="M31" s="574"/>
      <c r="N31" s="560"/>
      <c r="O31" s="551"/>
      <c r="P31" s="551"/>
    </row>
    <row r="32" spans="1:16" ht="18" customHeight="1" x14ac:dyDescent="0.2">
      <c r="A32" s="551"/>
      <c r="B32" s="551"/>
      <c r="C32" s="556"/>
      <c r="D32" s="556"/>
      <c r="E32" s="556"/>
      <c r="F32" s="556"/>
      <c r="G32" s="556"/>
      <c r="H32" s="556"/>
      <c r="I32" s="556"/>
      <c r="J32" s="572"/>
      <c r="K32" s="573"/>
      <c r="L32" s="573"/>
      <c r="M32" s="574"/>
      <c r="N32" s="560"/>
      <c r="O32" s="551"/>
      <c r="P32" s="551"/>
    </row>
    <row r="33" spans="1:16" ht="18" customHeight="1" x14ac:dyDescent="0.2">
      <c r="A33" s="551"/>
      <c r="B33" s="551"/>
      <c r="C33" s="556"/>
      <c r="D33" s="556"/>
      <c r="E33" s="556"/>
      <c r="F33" s="556"/>
      <c r="G33" s="556"/>
      <c r="H33" s="556"/>
      <c r="I33" s="556"/>
      <c r="J33" s="572"/>
      <c r="K33" s="573"/>
      <c r="L33" s="573"/>
      <c r="M33" s="574"/>
      <c r="N33" s="560"/>
      <c r="O33" s="551"/>
      <c r="P33" s="551"/>
    </row>
    <row r="34" spans="1:16" ht="18" customHeight="1" x14ac:dyDescent="0.2">
      <c r="A34" s="551"/>
      <c r="B34" s="551"/>
      <c r="C34" s="556"/>
      <c r="D34" s="556"/>
      <c r="E34" s="556"/>
      <c r="F34" s="556"/>
      <c r="G34" s="556"/>
      <c r="H34" s="556"/>
      <c r="I34" s="556"/>
      <c r="J34" s="572"/>
      <c r="K34" s="573"/>
      <c r="L34" s="573"/>
      <c r="M34" s="574"/>
      <c r="N34" s="560"/>
      <c r="O34" s="551"/>
      <c r="P34" s="551"/>
    </row>
    <row r="35" spans="1:16" ht="18" customHeight="1" x14ac:dyDescent="0.2">
      <c r="A35" s="551"/>
      <c r="B35" s="551"/>
      <c r="C35" s="556"/>
      <c r="D35" s="556"/>
      <c r="E35" s="556"/>
      <c r="F35" s="556"/>
      <c r="G35" s="556"/>
      <c r="H35" s="556"/>
      <c r="I35" s="556"/>
      <c r="J35" s="572"/>
      <c r="K35" s="573"/>
      <c r="L35" s="573"/>
      <c r="M35" s="574"/>
      <c r="N35" s="560"/>
      <c r="O35" s="551"/>
      <c r="P35" s="551"/>
    </row>
    <row r="36" spans="1:16" ht="18" customHeight="1" x14ac:dyDescent="0.2">
      <c r="A36" s="551"/>
      <c r="B36" s="551"/>
      <c r="C36" s="556"/>
      <c r="D36" s="556"/>
      <c r="E36" s="556"/>
      <c r="F36" s="556"/>
      <c r="G36" s="556"/>
      <c r="H36" s="556"/>
      <c r="I36" s="556"/>
      <c r="J36" s="572"/>
      <c r="K36" s="573"/>
      <c r="L36" s="573"/>
      <c r="M36" s="574"/>
      <c r="N36" s="560"/>
      <c r="O36" s="551"/>
      <c r="P36" s="551"/>
    </row>
    <row r="37" spans="1:16" ht="18" customHeight="1" x14ac:dyDescent="0.2">
      <c r="A37" s="551"/>
      <c r="B37" s="551"/>
      <c r="C37" s="556"/>
      <c r="D37" s="556"/>
      <c r="E37" s="556"/>
      <c r="F37" s="556"/>
      <c r="G37" s="556"/>
      <c r="H37" s="556"/>
      <c r="I37" s="556"/>
      <c r="J37" s="572"/>
      <c r="K37" s="573"/>
      <c r="L37" s="573"/>
      <c r="M37" s="574"/>
      <c r="N37" s="560"/>
      <c r="O37" s="551"/>
      <c r="P37" s="551"/>
    </row>
    <row r="38" spans="1:16" ht="18" customHeight="1" x14ac:dyDescent="0.2">
      <c r="A38" s="551"/>
      <c r="B38" s="551"/>
      <c r="C38" s="556"/>
      <c r="D38" s="556"/>
      <c r="E38" s="556"/>
      <c r="F38" s="556"/>
      <c r="G38" s="556"/>
      <c r="H38" s="556"/>
      <c r="I38" s="556"/>
      <c r="J38" s="572"/>
      <c r="K38" s="573"/>
      <c r="L38" s="573"/>
      <c r="M38" s="574"/>
      <c r="N38" s="560"/>
      <c r="O38" s="551"/>
      <c r="P38" s="551"/>
    </row>
    <row r="39" spans="1:16" ht="18" customHeight="1" x14ac:dyDescent="0.2">
      <c r="A39" s="551"/>
      <c r="B39" s="551"/>
      <c r="C39" s="556"/>
      <c r="D39" s="556"/>
      <c r="E39" s="556"/>
      <c r="F39" s="556"/>
      <c r="G39" s="556"/>
      <c r="H39" s="556"/>
      <c r="I39" s="556"/>
      <c r="J39" s="572"/>
      <c r="K39" s="573"/>
      <c r="L39" s="573"/>
      <c r="M39" s="574"/>
      <c r="N39" s="560"/>
      <c r="O39" s="551"/>
      <c r="P39" s="551"/>
    </row>
    <row r="40" spans="1:16" ht="18" customHeight="1" x14ac:dyDescent="0.2">
      <c r="A40" s="551"/>
      <c r="B40" s="551"/>
      <c r="C40" s="556"/>
      <c r="D40" s="556"/>
      <c r="E40" s="556"/>
      <c r="F40" s="556"/>
      <c r="G40" s="556"/>
      <c r="H40" s="556"/>
      <c r="I40" s="556"/>
      <c r="J40" s="572"/>
      <c r="K40" s="551"/>
      <c r="L40" s="551"/>
      <c r="M40" s="574"/>
      <c r="N40" s="551"/>
      <c r="O40" s="551"/>
      <c r="P40" s="551"/>
    </row>
    <row r="41" spans="1:16" ht="15" customHeight="1" x14ac:dyDescent="0.2">
      <c r="A41" s="551"/>
      <c r="B41" s="551"/>
      <c r="C41" s="551"/>
      <c r="D41" s="551"/>
      <c r="E41" s="551"/>
      <c r="F41" s="551"/>
      <c r="G41" s="551"/>
      <c r="H41" s="551"/>
      <c r="I41" s="551"/>
      <c r="J41" s="551"/>
      <c r="K41" s="551"/>
      <c r="L41" s="551"/>
      <c r="M41" s="551"/>
      <c r="N41" s="551"/>
      <c r="O41" s="551"/>
      <c r="P41" s="551"/>
    </row>
    <row r="42" spans="1:16" ht="19.5" customHeight="1" x14ac:dyDescent="0.2">
      <c r="A42" s="551"/>
      <c r="B42" s="551"/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1"/>
      <c r="O42" s="551"/>
      <c r="P42" s="551"/>
    </row>
    <row r="43" spans="1:16" ht="18" customHeight="1" x14ac:dyDescent="0.2">
      <c r="A43" s="551"/>
      <c r="B43" s="551"/>
      <c r="C43" s="556"/>
      <c r="D43" s="556"/>
      <c r="E43" s="556"/>
      <c r="F43" s="556"/>
      <c r="G43" s="556"/>
      <c r="H43" s="556"/>
      <c r="I43" s="556"/>
      <c r="J43" s="572"/>
      <c r="K43" s="573"/>
      <c r="L43" s="573"/>
      <c r="M43" s="574"/>
      <c r="N43" s="560"/>
      <c r="O43" s="551"/>
      <c r="P43" s="551"/>
    </row>
    <row r="44" spans="1:16" ht="18" customHeight="1" x14ac:dyDescent="0.2">
      <c r="A44" s="551"/>
      <c r="B44" s="551"/>
      <c r="C44" s="556"/>
      <c r="D44" s="556"/>
      <c r="E44" s="556"/>
      <c r="F44" s="556"/>
      <c r="G44" s="556"/>
      <c r="H44" s="556"/>
      <c r="I44" s="556"/>
      <c r="J44" s="572"/>
      <c r="K44" s="573"/>
      <c r="L44" s="573"/>
      <c r="M44" s="574"/>
      <c r="N44" s="560"/>
      <c r="O44" s="551"/>
      <c r="P44" s="551"/>
    </row>
    <row r="45" spans="1:16" ht="18" customHeight="1" x14ac:dyDescent="0.2">
      <c r="A45" s="551"/>
      <c r="B45" s="551"/>
      <c r="C45" s="556"/>
      <c r="D45" s="556"/>
      <c r="E45" s="556"/>
      <c r="F45" s="556"/>
      <c r="G45" s="556"/>
      <c r="H45" s="556"/>
      <c r="I45" s="556"/>
      <c r="J45" s="572"/>
      <c r="K45" s="573"/>
      <c r="L45" s="573"/>
      <c r="M45" s="574"/>
      <c r="N45" s="560"/>
      <c r="O45" s="551"/>
      <c r="P45" s="551"/>
    </row>
    <row r="46" spans="1:16" ht="18" customHeight="1" x14ac:dyDescent="0.2">
      <c r="A46" s="551"/>
      <c r="B46" s="551"/>
      <c r="C46" s="556"/>
      <c r="D46" s="556"/>
      <c r="E46" s="556"/>
      <c r="F46" s="556"/>
      <c r="G46" s="556"/>
      <c r="H46" s="556"/>
      <c r="I46" s="556"/>
      <c r="J46" s="572"/>
      <c r="K46" s="573"/>
      <c r="L46" s="573"/>
      <c r="M46" s="574"/>
      <c r="N46" s="560"/>
      <c r="O46" s="551"/>
      <c r="P46" s="551"/>
    </row>
    <row r="47" spans="1:16" ht="18" customHeight="1" x14ac:dyDescent="0.2">
      <c r="A47" s="551"/>
      <c r="B47" s="551"/>
      <c r="C47" s="556"/>
      <c r="D47" s="556"/>
      <c r="E47" s="556"/>
      <c r="F47" s="556"/>
      <c r="G47" s="556"/>
      <c r="H47" s="556"/>
      <c r="I47" s="556"/>
      <c r="J47" s="572"/>
      <c r="K47" s="551"/>
      <c r="L47" s="551"/>
      <c r="M47" s="574"/>
      <c r="N47" s="551"/>
      <c r="O47" s="551"/>
      <c r="P47" s="551"/>
    </row>
    <row r="48" spans="1:16" ht="15" customHeight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1"/>
      <c r="P48" s="551"/>
    </row>
    <row r="49" spans="1:16" ht="19.5" customHeight="1" x14ac:dyDescent="0.2">
      <c r="A49" s="551"/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</row>
    <row r="50" spans="1:16" ht="18" customHeight="1" x14ac:dyDescent="0.2">
      <c r="A50" s="551"/>
      <c r="B50" s="551"/>
      <c r="C50" s="556"/>
      <c r="D50" s="556"/>
      <c r="E50" s="556"/>
      <c r="F50" s="556"/>
      <c r="G50" s="556"/>
      <c r="H50" s="556"/>
      <c r="I50" s="556"/>
      <c r="J50" s="572"/>
      <c r="K50" s="573"/>
      <c r="L50" s="573"/>
      <c r="M50" s="574"/>
      <c r="N50" s="560"/>
      <c r="O50" s="551"/>
      <c r="P50" s="551"/>
    </row>
    <row r="51" spans="1:16" ht="18" customHeight="1" x14ac:dyDescent="0.2">
      <c r="A51" s="551"/>
      <c r="B51" s="551"/>
      <c r="C51" s="556"/>
      <c r="D51" s="556"/>
      <c r="E51" s="556"/>
      <c r="F51" s="556"/>
      <c r="G51" s="556"/>
      <c r="H51" s="556"/>
      <c r="I51" s="556"/>
      <c r="J51" s="572"/>
      <c r="K51" s="573"/>
      <c r="L51" s="573"/>
      <c r="M51" s="574"/>
      <c r="N51" s="560"/>
      <c r="O51" s="551"/>
      <c r="P51" s="551"/>
    </row>
    <row r="52" spans="1:16" ht="18" customHeight="1" x14ac:dyDescent="0.2">
      <c r="A52" s="551"/>
      <c r="B52" s="551"/>
      <c r="C52" s="556"/>
      <c r="D52" s="556"/>
      <c r="E52" s="556"/>
      <c r="F52" s="556"/>
      <c r="G52" s="556"/>
      <c r="H52" s="556"/>
      <c r="I52" s="556"/>
      <c r="J52" s="572"/>
      <c r="K52" s="573"/>
      <c r="L52" s="573"/>
      <c r="M52" s="574"/>
      <c r="N52" s="560"/>
      <c r="O52" s="551"/>
      <c r="P52" s="551"/>
    </row>
    <row r="53" spans="1:16" ht="18" customHeight="1" x14ac:dyDescent="0.2">
      <c r="A53" s="551"/>
      <c r="B53" s="551"/>
      <c r="C53" s="556"/>
      <c r="D53" s="556"/>
      <c r="E53" s="556"/>
      <c r="F53" s="556"/>
      <c r="G53" s="556"/>
      <c r="H53" s="556"/>
      <c r="I53" s="556"/>
      <c r="J53" s="572"/>
      <c r="K53" s="551"/>
      <c r="L53" s="551"/>
      <c r="M53" s="574"/>
      <c r="N53" s="551"/>
      <c r="O53" s="551"/>
      <c r="P53" s="551"/>
    </row>
    <row r="54" spans="1:16" ht="15" customHeight="1" x14ac:dyDescent="0.2">
      <c r="A54" s="551"/>
      <c r="B54" s="551"/>
      <c r="C54" s="551"/>
      <c r="D54" s="551"/>
      <c r="E54" s="551"/>
      <c r="F54" s="551"/>
      <c r="G54" s="551"/>
      <c r="H54" s="551"/>
      <c r="I54" s="551"/>
      <c r="J54" s="551"/>
      <c r="K54" s="551"/>
      <c r="L54" s="551"/>
      <c r="M54" s="551"/>
      <c r="N54" s="551"/>
      <c r="O54" s="551"/>
      <c r="P54" s="551"/>
    </row>
    <row r="55" spans="1:16" ht="19.5" customHeight="1" x14ac:dyDescent="0.2">
      <c r="A55" s="551"/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</row>
    <row r="56" spans="1:16" ht="18" customHeight="1" x14ac:dyDescent="0.2">
      <c r="A56" s="551"/>
      <c r="B56" s="551"/>
      <c r="C56" s="556"/>
      <c r="D56" s="556"/>
      <c r="E56" s="556"/>
      <c r="F56" s="556"/>
      <c r="G56" s="556"/>
      <c r="H56" s="556"/>
      <c r="I56" s="556"/>
      <c r="J56" s="572"/>
      <c r="K56" s="573"/>
      <c r="L56" s="573"/>
      <c r="M56" s="574"/>
      <c r="N56" s="560"/>
      <c r="O56" s="551"/>
      <c r="P56" s="551"/>
    </row>
    <row r="57" spans="1:16" ht="18" customHeight="1" x14ac:dyDescent="0.2">
      <c r="A57" s="551"/>
      <c r="B57" s="551"/>
      <c r="C57" s="556"/>
      <c r="D57" s="556"/>
      <c r="E57" s="556"/>
      <c r="F57" s="556"/>
      <c r="G57" s="556"/>
      <c r="H57" s="556"/>
      <c r="I57" s="556"/>
      <c r="J57" s="572"/>
      <c r="K57" s="573"/>
      <c r="L57" s="573"/>
      <c r="M57" s="574"/>
      <c r="N57" s="560"/>
      <c r="O57" s="551"/>
      <c r="P57" s="551"/>
    </row>
    <row r="58" spans="1:16" ht="18" customHeight="1" x14ac:dyDescent="0.2">
      <c r="A58" s="551"/>
      <c r="B58" s="551"/>
      <c r="C58" s="556"/>
      <c r="D58" s="556"/>
      <c r="E58" s="556"/>
      <c r="F58" s="556"/>
      <c r="G58" s="556"/>
      <c r="H58" s="556"/>
      <c r="I58" s="556"/>
      <c r="J58" s="572"/>
      <c r="K58" s="573"/>
      <c r="L58" s="573"/>
      <c r="M58" s="574"/>
      <c r="N58" s="560"/>
      <c r="O58" s="551"/>
      <c r="P58" s="551"/>
    </row>
    <row r="59" spans="1:16" ht="18" customHeight="1" x14ac:dyDescent="0.2">
      <c r="A59" s="551"/>
      <c r="B59" s="551"/>
      <c r="C59" s="556"/>
      <c r="D59" s="556"/>
      <c r="E59" s="556"/>
      <c r="F59" s="556"/>
      <c r="G59" s="556"/>
      <c r="H59" s="556"/>
      <c r="I59" s="556"/>
      <c r="J59" s="572"/>
      <c r="K59" s="573"/>
      <c r="L59" s="573"/>
      <c r="M59" s="574"/>
      <c r="N59" s="560"/>
      <c r="O59" s="551"/>
      <c r="P59" s="551"/>
    </row>
    <row r="60" spans="1:16" ht="18" customHeight="1" x14ac:dyDescent="0.2">
      <c r="A60" s="551"/>
      <c r="B60" s="551"/>
      <c r="C60" s="556"/>
      <c r="D60" s="556"/>
      <c r="E60" s="556"/>
      <c r="F60" s="556"/>
      <c r="G60" s="556"/>
      <c r="H60" s="556"/>
      <c r="I60" s="556"/>
      <c r="J60" s="572"/>
      <c r="K60" s="573"/>
      <c r="L60" s="573"/>
      <c r="M60" s="574"/>
      <c r="N60" s="560"/>
      <c r="O60" s="551"/>
      <c r="P60" s="551"/>
    </row>
    <row r="61" spans="1:16" ht="18" customHeight="1" x14ac:dyDescent="0.2">
      <c r="A61" s="551"/>
      <c r="B61" s="551"/>
      <c r="C61" s="556"/>
      <c r="D61" s="556"/>
      <c r="E61" s="556"/>
      <c r="F61" s="556"/>
      <c r="G61" s="556"/>
      <c r="H61" s="556"/>
      <c r="I61" s="556"/>
      <c r="J61" s="572"/>
      <c r="K61" s="573"/>
      <c r="L61" s="573"/>
      <c r="M61" s="574"/>
      <c r="N61" s="560"/>
      <c r="O61" s="551"/>
      <c r="P61" s="551"/>
    </row>
    <row r="62" spans="1:16" ht="18" customHeight="1" x14ac:dyDescent="0.2">
      <c r="A62" s="551"/>
      <c r="B62" s="551"/>
      <c r="C62" s="556"/>
      <c r="D62" s="556"/>
      <c r="E62" s="556"/>
      <c r="F62" s="556"/>
      <c r="G62" s="556"/>
      <c r="H62" s="556"/>
      <c r="I62" s="556"/>
      <c r="J62" s="572"/>
      <c r="K62" s="573"/>
      <c r="L62" s="573"/>
      <c r="M62" s="574"/>
      <c r="N62" s="560"/>
      <c r="O62" s="551"/>
      <c r="P62" s="551"/>
    </row>
    <row r="63" spans="1:16" ht="18" customHeight="1" x14ac:dyDescent="0.2">
      <c r="A63" s="551"/>
      <c r="B63" s="551"/>
      <c r="C63" s="556"/>
      <c r="D63" s="556"/>
      <c r="E63" s="556"/>
      <c r="F63" s="556"/>
      <c r="G63" s="556"/>
      <c r="H63" s="556"/>
      <c r="I63" s="556"/>
      <c r="J63" s="572"/>
      <c r="K63" s="573"/>
      <c r="L63" s="573"/>
      <c r="M63" s="574"/>
      <c r="N63" s="560"/>
      <c r="O63" s="551"/>
      <c r="P63" s="551"/>
    </row>
    <row r="64" spans="1:16" ht="18" customHeight="1" x14ac:dyDescent="0.2">
      <c r="A64" s="551"/>
      <c r="B64" s="551"/>
      <c r="C64" s="556"/>
      <c r="D64" s="556"/>
      <c r="E64" s="556"/>
      <c r="F64" s="556"/>
      <c r="G64" s="556"/>
      <c r="H64" s="556"/>
      <c r="I64" s="556"/>
      <c r="J64" s="572"/>
      <c r="K64" s="573"/>
      <c r="L64" s="573"/>
      <c r="M64" s="574"/>
      <c r="N64" s="560"/>
      <c r="O64" s="551"/>
      <c r="P64" s="551"/>
    </row>
    <row r="65" spans="1:16" ht="18" customHeight="1" x14ac:dyDescent="0.2">
      <c r="A65" s="551"/>
      <c r="B65" s="551"/>
      <c r="C65" s="556"/>
      <c r="D65" s="556"/>
      <c r="E65" s="556"/>
      <c r="F65" s="556"/>
      <c r="G65" s="556"/>
      <c r="H65" s="556"/>
      <c r="I65" s="556"/>
      <c r="J65" s="572"/>
      <c r="K65" s="551"/>
      <c r="L65" s="551"/>
      <c r="M65" s="574"/>
      <c r="N65" s="551"/>
      <c r="O65" s="551"/>
      <c r="P65" s="551"/>
    </row>
    <row r="66" spans="1:16" ht="15" customHeight="1" x14ac:dyDescent="0.2">
      <c r="A66" s="551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</row>
    <row r="67" spans="1:16" ht="21.75" customHeight="1" x14ac:dyDescent="0.2">
      <c r="A67" s="551"/>
      <c r="B67" s="551"/>
      <c r="C67" s="556"/>
      <c r="D67" s="556"/>
      <c r="E67" s="556"/>
      <c r="F67" s="556"/>
      <c r="G67" s="556"/>
      <c r="H67" s="556"/>
      <c r="I67" s="556"/>
      <c r="J67" s="572"/>
      <c r="K67" s="551"/>
      <c r="L67" s="551"/>
      <c r="M67" s="574"/>
      <c r="N67" s="551"/>
      <c r="O67" s="575"/>
      <c r="P67" s="551"/>
    </row>
    <row r="68" spans="1:16" ht="15" customHeight="1" x14ac:dyDescent="0.2">
      <c r="A68" s="551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</row>
    <row r="69" spans="1:16" ht="24" customHeight="1" x14ac:dyDescent="0.2">
      <c r="A69" s="551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51"/>
    </row>
    <row r="70" spans="1:16" ht="15.75" customHeight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1"/>
      <c r="P70" s="551"/>
    </row>
    <row r="71" spans="1:16" ht="27.75" customHeight="1" x14ac:dyDescent="0.2">
      <c r="A71" s="551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</row>
    <row r="72" spans="1:16" ht="18" customHeight="1" x14ac:dyDescent="0.2">
      <c r="A72" s="551"/>
      <c r="B72" s="556"/>
      <c r="C72" s="556"/>
      <c r="D72" s="572"/>
      <c r="E72" s="556"/>
      <c r="F72" s="572"/>
      <c r="G72" s="572"/>
      <c r="H72" s="572"/>
      <c r="I72" s="551"/>
      <c r="J72" s="572"/>
      <c r="K72" s="572"/>
      <c r="L72" s="551"/>
      <c r="M72" s="551"/>
      <c r="N72" s="551"/>
      <c r="O72" s="551"/>
      <c r="P72" s="551"/>
    </row>
    <row r="73" spans="1:16" ht="18" customHeight="1" x14ac:dyDescent="0.2">
      <c r="A73" s="551"/>
      <c r="B73" s="556"/>
      <c r="C73" s="556"/>
      <c r="D73" s="572"/>
      <c r="E73" s="556"/>
      <c r="F73" s="572"/>
      <c r="G73" s="572"/>
      <c r="H73" s="572"/>
      <c r="I73" s="551"/>
      <c r="J73" s="572"/>
      <c r="K73" s="572"/>
      <c r="L73" s="551"/>
      <c r="M73" s="551"/>
      <c r="N73" s="551"/>
      <c r="O73" s="551"/>
      <c r="P73" s="551"/>
    </row>
    <row r="74" spans="1:16" ht="18" customHeight="1" x14ac:dyDescent="0.2">
      <c r="A74" s="551"/>
      <c r="B74" s="556"/>
      <c r="C74" s="556"/>
      <c r="D74" s="572"/>
      <c r="E74" s="556"/>
      <c r="F74" s="572"/>
      <c r="G74" s="572"/>
      <c r="H74" s="572"/>
      <c r="I74" s="551"/>
      <c r="J74" s="572"/>
      <c r="K74" s="572"/>
      <c r="L74" s="551"/>
      <c r="M74" s="551"/>
      <c r="N74" s="551"/>
      <c r="O74" s="551"/>
      <c r="P74" s="551"/>
    </row>
    <row r="75" spans="1:16" ht="18" customHeight="1" x14ac:dyDescent="0.2">
      <c r="A75" s="551"/>
      <c r="B75" s="556"/>
      <c r="C75" s="556"/>
      <c r="D75" s="572"/>
      <c r="E75" s="556"/>
      <c r="F75" s="572"/>
      <c r="G75" s="572"/>
      <c r="H75" s="572"/>
      <c r="I75" s="551"/>
      <c r="J75" s="572"/>
      <c r="K75" s="572"/>
      <c r="L75" s="551"/>
      <c r="M75" s="551"/>
      <c r="N75" s="551"/>
      <c r="O75" s="551"/>
      <c r="P75" s="551"/>
    </row>
    <row r="76" spans="1:16" ht="18" customHeight="1" x14ac:dyDescent="0.2">
      <c r="A76" s="551"/>
      <c r="B76" s="556"/>
      <c r="C76" s="556"/>
      <c r="D76" s="572"/>
      <c r="E76" s="556"/>
      <c r="F76" s="572"/>
      <c r="G76" s="572"/>
      <c r="H76" s="572"/>
      <c r="I76" s="551"/>
      <c r="J76" s="572"/>
      <c r="K76" s="572"/>
      <c r="L76" s="551"/>
      <c r="M76" s="551"/>
      <c r="N76" s="551"/>
      <c r="O76" s="551"/>
      <c r="P76" s="551"/>
    </row>
    <row r="77" spans="1:16" ht="18" customHeight="1" x14ac:dyDescent="0.2">
      <c r="A77" s="551"/>
      <c r="B77" s="556"/>
      <c r="C77" s="556"/>
      <c r="D77" s="572"/>
      <c r="E77" s="556"/>
      <c r="F77" s="572"/>
      <c r="G77" s="572"/>
      <c r="H77" s="572"/>
      <c r="I77" s="551"/>
      <c r="J77" s="572"/>
      <c r="K77" s="572"/>
      <c r="L77" s="551"/>
      <c r="M77" s="551"/>
      <c r="N77" s="551"/>
      <c r="O77" s="551"/>
      <c r="P77" s="551"/>
    </row>
    <row r="78" spans="1:16" ht="15" customHeight="1" x14ac:dyDescent="0.2">
      <c r="A78" s="551"/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</row>
    <row r="79" spans="1:16" ht="24" customHeight="1" x14ac:dyDescent="0.2">
      <c r="A79" s="551"/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</row>
    <row r="80" spans="1:16" ht="15.75" customHeight="1" x14ac:dyDescent="0.2">
      <c r="A80" s="551"/>
      <c r="B80" s="551"/>
      <c r="C80" s="551"/>
      <c r="D80" s="551"/>
      <c r="E80" s="551"/>
      <c r="F80" s="551"/>
      <c r="G80" s="551"/>
      <c r="H80" s="551"/>
      <c r="I80" s="551"/>
      <c r="J80" s="551"/>
      <c r="K80" s="551"/>
      <c r="L80" s="551"/>
      <c r="M80" s="551"/>
      <c r="N80" s="551"/>
      <c r="O80" s="551"/>
      <c r="P80" s="551"/>
    </row>
    <row r="81" spans="1:16" ht="24" customHeight="1" x14ac:dyDescent="0.2">
      <c r="A81" s="551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</row>
    <row r="82" spans="1:16" ht="18" customHeight="1" x14ac:dyDescent="0.2">
      <c r="A82" s="551"/>
      <c r="B82" s="572"/>
      <c r="C82" s="572"/>
      <c r="D82" s="572"/>
      <c r="E82" s="551"/>
      <c r="F82" s="572"/>
      <c r="G82" s="551"/>
      <c r="H82" s="551"/>
      <c r="I82" s="551"/>
      <c r="J82" s="551"/>
      <c r="K82" s="551"/>
      <c r="L82" s="551"/>
      <c r="M82" s="551"/>
      <c r="N82" s="551"/>
      <c r="O82" s="551"/>
      <c r="P82" s="551"/>
    </row>
    <row r="83" spans="1:16" ht="18" customHeight="1" x14ac:dyDescent="0.2">
      <c r="A83" s="551"/>
      <c r="B83" s="572"/>
      <c r="C83" s="572"/>
      <c r="D83" s="572"/>
      <c r="E83" s="551"/>
      <c r="F83" s="572"/>
      <c r="G83" s="551"/>
      <c r="H83" s="551"/>
      <c r="I83" s="551"/>
      <c r="J83" s="551"/>
      <c r="K83" s="551"/>
      <c r="L83" s="551"/>
      <c r="M83" s="551"/>
      <c r="N83" s="551"/>
      <c r="O83" s="551"/>
      <c r="P83" s="551"/>
    </row>
    <row r="84" spans="1:16" ht="18" customHeight="1" x14ac:dyDescent="0.2">
      <c r="A84" s="551"/>
      <c r="B84" s="572"/>
      <c r="C84" s="572"/>
      <c r="D84" s="572"/>
      <c r="E84" s="551"/>
      <c r="F84" s="572"/>
      <c r="G84" s="551"/>
      <c r="H84" s="551"/>
      <c r="I84" s="551"/>
      <c r="J84" s="551"/>
      <c r="K84" s="551"/>
      <c r="L84" s="551"/>
      <c r="M84" s="551"/>
      <c r="N84" s="551"/>
      <c r="O84" s="551"/>
      <c r="P84" s="551"/>
    </row>
    <row r="85" spans="1:16" ht="18" customHeight="1" x14ac:dyDescent="0.2">
      <c r="A85" s="551"/>
      <c r="B85" s="573"/>
      <c r="C85" s="573"/>
      <c r="D85" s="573"/>
      <c r="E85" s="551"/>
      <c r="F85" s="573"/>
      <c r="G85" s="551"/>
      <c r="H85" s="551"/>
      <c r="I85" s="551"/>
      <c r="J85" s="551"/>
      <c r="K85" s="551"/>
      <c r="L85" s="551"/>
      <c r="M85" s="551"/>
      <c r="N85" s="551"/>
      <c r="O85" s="551"/>
      <c r="P85" s="551"/>
    </row>
    <row r="86" spans="1:16" ht="15" customHeight="1" x14ac:dyDescent="0.2">
      <c r="A86" s="551"/>
      <c r="B86" s="551"/>
      <c r="C86" s="551"/>
      <c r="D86" s="551"/>
      <c r="E86" s="551"/>
      <c r="F86" s="551"/>
      <c r="G86" s="551"/>
      <c r="H86" s="551"/>
      <c r="I86" s="551"/>
      <c r="J86" s="551"/>
      <c r="K86" s="551"/>
      <c r="L86" s="551"/>
      <c r="M86" s="551"/>
      <c r="N86" s="551"/>
      <c r="O86" s="551"/>
      <c r="P86" s="551"/>
    </row>
    <row r="87" spans="1:16" ht="24" customHeight="1" x14ac:dyDescent="0.2">
      <c r="A87" s="551"/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1"/>
      <c r="M87" s="551"/>
      <c r="N87" s="551"/>
      <c r="O87" s="551"/>
      <c r="P87" s="551"/>
    </row>
    <row r="88" spans="1:16" ht="15.75" customHeight="1" x14ac:dyDescent="0.2">
      <c r="A88" s="551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</row>
    <row r="89" spans="1:16" ht="18" customHeight="1" x14ac:dyDescent="0.2">
      <c r="A89" s="551"/>
      <c r="B89" s="551"/>
      <c r="C89" s="574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</row>
    <row r="90" spans="1:16" ht="18" customHeight="1" x14ac:dyDescent="0.2">
      <c r="A90" s="551"/>
      <c r="B90" s="551"/>
      <c r="C90" s="572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</row>
    <row r="91" spans="1:16" ht="18" customHeight="1" x14ac:dyDescent="0.2">
      <c r="A91" s="551"/>
      <c r="B91" s="551"/>
      <c r="C91" s="574"/>
      <c r="D91" s="551"/>
      <c r="E91" s="551"/>
      <c r="F91" s="551"/>
      <c r="G91" s="551"/>
      <c r="H91" s="551"/>
      <c r="I91" s="551"/>
      <c r="J91" s="551"/>
      <c r="K91" s="551"/>
      <c r="L91" s="551"/>
      <c r="M91" s="551"/>
      <c r="N91" s="551"/>
      <c r="O91" s="551"/>
      <c r="P91" s="551"/>
    </row>
    <row r="92" spans="1:16" ht="15" customHeight="1" x14ac:dyDescent="0.2">
      <c r="A92" s="551"/>
      <c r="B92" s="551"/>
      <c r="C92" s="551"/>
      <c r="D92" s="551"/>
      <c r="E92" s="551"/>
      <c r="F92" s="551"/>
      <c r="G92" s="551"/>
      <c r="H92" s="551"/>
      <c r="I92" s="551"/>
      <c r="J92" s="551"/>
      <c r="K92" s="551"/>
      <c r="L92" s="551"/>
      <c r="M92" s="551"/>
      <c r="N92" s="551"/>
      <c r="O92" s="551"/>
      <c r="P92" s="551"/>
    </row>
    <row r="93" spans="1:16" ht="21.75" customHeight="1" x14ac:dyDescent="0.2">
      <c r="A93" s="551"/>
      <c r="B93" s="551"/>
      <c r="C93" s="551"/>
      <c r="D93" s="551"/>
      <c r="E93" s="551"/>
      <c r="F93" s="551"/>
      <c r="G93" s="551"/>
      <c r="H93" s="551"/>
      <c r="I93" s="551"/>
      <c r="J93" s="551"/>
      <c r="K93" s="551"/>
      <c r="L93" s="551"/>
      <c r="M93" s="551"/>
      <c r="N93" s="551"/>
      <c r="O93" s="551"/>
      <c r="P93" s="551"/>
    </row>
    <row r="94" spans="1:16" ht="15.75" customHeight="1" x14ac:dyDescent="0.2">
      <c r="A94" s="551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</row>
    <row r="95" spans="1:16" ht="15" customHeight="1" x14ac:dyDescent="0.2">
      <c r="A95" s="551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1"/>
      <c r="P95" s="551"/>
    </row>
    <row r="96" spans="1:16" ht="18" customHeight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1"/>
      <c r="P96" s="551"/>
    </row>
    <row r="97" spans="1:16" ht="15.75" customHeight="1" x14ac:dyDescent="0.2">
      <c r="A97" s="551"/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</row>
    <row r="98" spans="1:16" ht="18" customHeight="1" x14ac:dyDescent="0.2">
      <c r="A98" s="551"/>
      <c r="B98" s="556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</row>
    <row r="99" spans="1:16" ht="18" customHeight="1" x14ac:dyDescent="0.2">
      <c r="A99" s="551"/>
      <c r="B99" s="556"/>
      <c r="C99" s="551"/>
      <c r="D99" s="551"/>
      <c r="E99" s="551"/>
      <c r="F99" s="551"/>
      <c r="G99" s="551"/>
      <c r="H99" s="551"/>
      <c r="I99" s="551"/>
      <c r="J99" s="551"/>
      <c r="K99" s="551"/>
      <c r="L99" s="551"/>
      <c r="M99" s="551"/>
      <c r="N99" s="551"/>
      <c r="O99" s="551"/>
      <c r="P99" s="551"/>
    </row>
    <row r="100" spans="1:16" ht="15" customHeight="1" x14ac:dyDescent="0.2">
      <c r="A100" s="551"/>
      <c r="B100" s="551"/>
      <c r="C100" s="551"/>
      <c r="D100" s="551"/>
      <c r="E100" s="551"/>
      <c r="F100" s="551"/>
      <c r="G100" s="551"/>
      <c r="H100" s="551"/>
      <c r="I100" s="551"/>
      <c r="J100" s="551"/>
      <c r="K100" s="551"/>
      <c r="L100" s="551"/>
      <c r="M100" s="551"/>
      <c r="N100" s="551"/>
      <c r="O100" s="551"/>
      <c r="P100" s="551"/>
    </row>
    <row r="101" spans="1:16" ht="18" customHeight="1" x14ac:dyDescent="0.2">
      <c r="A101" s="551"/>
      <c r="B101" s="551"/>
      <c r="C101" s="551"/>
      <c r="D101" s="551"/>
      <c r="E101" s="551"/>
      <c r="F101" s="551"/>
      <c r="G101" s="551"/>
      <c r="H101" s="551"/>
      <c r="I101" s="551"/>
      <c r="J101" s="551"/>
      <c r="K101" s="551"/>
      <c r="L101" s="551"/>
      <c r="M101" s="551"/>
      <c r="N101" s="551"/>
      <c r="O101" s="551"/>
      <c r="P101" s="551"/>
    </row>
    <row r="102" spans="1:16" ht="15.75" customHeight="1" x14ac:dyDescent="0.2">
      <c r="A102" s="551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1"/>
      <c r="N102" s="551"/>
      <c r="O102" s="551"/>
      <c r="P102" s="551"/>
    </row>
    <row r="103" spans="1:16" ht="15.75" customHeight="1" x14ac:dyDescent="0.2">
      <c r="A103" s="551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1"/>
      <c r="P103" s="551"/>
    </row>
    <row r="104" spans="1:16" ht="18" customHeight="1" x14ac:dyDescent="0.2">
      <c r="A104" s="551"/>
      <c r="B104" s="574"/>
      <c r="C104" s="573"/>
      <c r="D104" s="573"/>
      <c r="E104" s="573"/>
      <c r="F104" s="551"/>
      <c r="G104" s="551"/>
      <c r="H104" s="551"/>
      <c r="I104" s="551"/>
      <c r="J104" s="551"/>
      <c r="K104" s="551"/>
      <c r="L104" s="551"/>
      <c r="M104" s="551"/>
      <c r="N104" s="551"/>
      <c r="O104" s="551"/>
      <c r="P104" s="551"/>
    </row>
    <row r="105" spans="1:16" ht="18" customHeight="1" x14ac:dyDescent="0.2">
      <c r="A105" s="551"/>
      <c r="B105" s="574"/>
      <c r="C105" s="573"/>
      <c r="D105" s="573"/>
      <c r="E105" s="573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</row>
    <row r="106" spans="1:16" ht="18" customHeight="1" x14ac:dyDescent="0.2">
      <c r="A106" s="551"/>
      <c r="B106" s="574"/>
      <c r="C106" s="573"/>
      <c r="D106" s="573"/>
      <c r="E106" s="573"/>
      <c r="F106" s="551"/>
      <c r="G106" s="551"/>
      <c r="H106" s="551"/>
      <c r="I106" s="551"/>
      <c r="J106" s="551"/>
      <c r="K106" s="551"/>
      <c r="L106" s="551"/>
      <c r="M106" s="551"/>
      <c r="N106" s="551"/>
      <c r="O106" s="551"/>
      <c r="P106" s="551"/>
    </row>
    <row r="107" spans="1:16" ht="18" customHeight="1" x14ac:dyDescent="0.2">
      <c r="A107" s="551"/>
      <c r="B107" s="574"/>
      <c r="C107" s="573"/>
      <c r="D107" s="573"/>
      <c r="E107" s="573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</row>
    <row r="108" spans="1:16" ht="18" customHeight="1" x14ac:dyDescent="0.2">
      <c r="A108" s="551"/>
      <c r="B108" s="574"/>
      <c r="C108" s="573"/>
      <c r="D108" s="573"/>
      <c r="E108" s="573"/>
      <c r="F108" s="551"/>
      <c r="G108" s="551"/>
      <c r="H108" s="551"/>
      <c r="I108" s="551"/>
      <c r="J108" s="551"/>
      <c r="K108" s="551"/>
      <c r="L108" s="551"/>
      <c r="M108" s="551"/>
      <c r="N108" s="551"/>
      <c r="O108" s="551"/>
      <c r="P108" s="551"/>
    </row>
    <row r="109" spans="1:16" ht="15" customHeight="1" x14ac:dyDescent="0.2">
      <c r="A109" s="551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1"/>
      <c r="P109" s="551"/>
    </row>
    <row r="110" spans="1:16" ht="18" customHeight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1"/>
      <c r="P110" s="551"/>
    </row>
    <row r="111" spans="1:16" ht="15.75" customHeight="1" x14ac:dyDescent="0.2">
      <c r="A111" s="551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</row>
    <row r="112" spans="1:16" ht="15.75" customHeight="1" x14ac:dyDescent="0.2">
      <c r="A112" s="551"/>
      <c r="B112" s="551"/>
      <c r="C112" s="551"/>
      <c r="D112" s="551"/>
      <c r="E112" s="551"/>
      <c r="F112" s="551"/>
      <c r="G112" s="551"/>
      <c r="H112" s="551"/>
      <c r="I112" s="551"/>
      <c r="J112" s="551"/>
      <c r="K112" s="551"/>
      <c r="L112" s="551"/>
      <c r="M112" s="551"/>
      <c r="N112" s="551"/>
      <c r="O112" s="551"/>
      <c r="P112" s="551"/>
    </row>
    <row r="113" spans="1:16" ht="18" customHeight="1" x14ac:dyDescent="0.2">
      <c r="A113" s="551"/>
      <c r="B113" s="574"/>
      <c r="C113" s="551"/>
      <c r="D113" s="551"/>
      <c r="E113" s="551"/>
      <c r="F113" s="551"/>
      <c r="G113" s="551"/>
      <c r="H113" s="551"/>
      <c r="I113" s="551"/>
      <c r="J113" s="551"/>
      <c r="K113" s="551"/>
      <c r="L113" s="551"/>
      <c r="M113" s="551"/>
      <c r="N113" s="551"/>
      <c r="O113" s="551"/>
      <c r="P113" s="551"/>
    </row>
    <row r="114" spans="1:16" ht="18" customHeight="1" x14ac:dyDescent="0.2">
      <c r="A114" s="551"/>
      <c r="B114" s="573"/>
      <c r="C114" s="573"/>
      <c r="D114" s="573"/>
      <c r="E114" s="551"/>
      <c r="F114" s="551"/>
      <c r="G114" s="551"/>
      <c r="H114" s="551"/>
      <c r="I114" s="551"/>
      <c r="J114" s="551"/>
      <c r="K114" s="551"/>
      <c r="L114" s="551"/>
      <c r="M114" s="551"/>
      <c r="N114" s="551"/>
      <c r="O114" s="551"/>
      <c r="P114" s="551"/>
    </row>
    <row r="115" spans="1:16" ht="18" customHeight="1" x14ac:dyDescent="0.2">
      <c r="A115" s="551"/>
      <c r="B115" s="560"/>
      <c r="C115" s="560"/>
      <c r="D115" s="560"/>
      <c r="E115" s="551"/>
      <c r="F115" s="551"/>
      <c r="G115" s="551"/>
      <c r="H115" s="551"/>
      <c r="I115" s="551"/>
      <c r="J115" s="551"/>
      <c r="K115" s="551"/>
      <c r="L115" s="551"/>
      <c r="M115" s="551"/>
      <c r="N115" s="551"/>
      <c r="O115" s="551"/>
      <c r="P115" s="551"/>
    </row>
    <row r="116" spans="1:16" ht="15" customHeight="1" x14ac:dyDescent="0.2">
      <c r="A116" s="551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1"/>
      <c r="P116" s="551"/>
    </row>
    <row r="117" spans="1:16" ht="18" customHeight="1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1"/>
      <c r="P117" s="551"/>
    </row>
    <row r="118" spans="1:16" ht="15.75" customHeight="1" x14ac:dyDescent="0.2">
      <c r="A118" s="551"/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</row>
    <row r="119" spans="1:16" ht="18" customHeight="1" x14ac:dyDescent="0.2">
      <c r="A119" s="551"/>
      <c r="B119" s="574"/>
      <c r="C119" s="573"/>
      <c r="D119" s="573"/>
      <c r="E119" s="573"/>
      <c r="F119" s="551"/>
      <c r="G119" s="551"/>
      <c r="H119" s="551"/>
      <c r="I119" s="551"/>
      <c r="J119" s="551"/>
      <c r="K119" s="551"/>
      <c r="L119" s="551"/>
      <c r="M119" s="551"/>
      <c r="N119" s="551"/>
      <c r="O119" s="551"/>
      <c r="P119" s="551"/>
    </row>
    <row r="120" spans="1:16" ht="18" customHeight="1" x14ac:dyDescent="0.2">
      <c r="A120" s="551"/>
      <c r="B120" s="574"/>
      <c r="C120" s="573"/>
      <c r="D120" s="573"/>
      <c r="E120" s="573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</row>
    <row r="121" spans="1:16" ht="18" customHeight="1" x14ac:dyDescent="0.2">
      <c r="A121" s="551"/>
      <c r="B121" s="574"/>
      <c r="C121" s="573"/>
      <c r="D121" s="573"/>
      <c r="E121" s="573"/>
      <c r="F121" s="551"/>
      <c r="G121" s="551"/>
      <c r="H121" s="551"/>
      <c r="I121" s="551"/>
      <c r="J121" s="551"/>
      <c r="K121" s="551"/>
      <c r="L121" s="551"/>
      <c r="M121" s="551"/>
      <c r="N121" s="551"/>
      <c r="O121" s="551"/>
      <c r="P121" s="551"/>
    </row>
    <row r="122" spans="1:16" ht="18" customHeight="1" x14ac:dyDescent="0.2">
      <c r="A122" s="551"/>
      <c r="B122" s="574"/>
      <c r="C122" s="560"/>
      <c r="D122" s="560"/>
      <c r="E122" s="560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</row>
    <row r="123" spans="1:16" ht="15" customHeight="1" x14ac:dyDescent="0.2">
      <c r="A123" s="551"/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</row>
    <row r="124" spans="1:16" ht="18" customHeight="1" x14ac:dyDescent="0.2">
      <c r="A124" s="55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</row>
    <row r="125" spans="1:16" ht="15.75" customHeight="1" x14ac:dyDescent="0.2">
      <c r="A125" s="551"/>
      <c r="B125" s="551"/>
      <c r="C125" s="551"/>
      <c r="D125" s="551"/>
      <c r="E125" s="551"/>
      <c r="F125" s="551"/>
      <c r="G125" s="551"/>
      <c r="H125" s="551"/>
      <c r="I125" s="551"/>
      <c r="J125" s="551"/>
      <c r="K125" s="551"/>
      <c r="L125" s="551"/>
      <c r="M125" s="551"/>
      <c r="N125" s="551"/>
      <c r="O125" s="551"/>
      <c r="P125" s="551"/>
    </row>
    <row r="126" spans="1:16" ht="15.75" customHeight="1" x14ac:dyDescent="0.2">
      <c r="A126" s="551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1"/>
      <c r="P126" s="551"/>
    </row>
    <row r="127" spans="1:16" ht="18" customHeight="1" x14ac:dyDescent="0.2">
      <c r="A127" s="551"/>
      <c r="B127" s="576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1"/>
      <c r="P127" s="551"/>
    </row>
    <row r="128" spans="1:16" ht="18" customHeight="1" x14ac:dyDescent="0.2">
      <c r="A128" s="551"/>
      <c r="B128" s="573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</row>
    <row r="129" spans="1:16" ht="18" customHeight="1" x14ac:dyDescent="0.2">
      <c r="A129" s="551"/>
      <c r="B129" s="573"/>
      <c r="C129" s="551"/>
      <c r="D129" s="551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</row>
    <row r="130" spans="1:16" ht="18" customHeight="1" x14ac:dyDescent="0.2">
      <c r="A130" s="551"/>
      <c r="B130" s="560"/>
      <c r="C130" s="551"/>
      <c r="D130" s="551"/>
      <c r="E130" s="551"/>
      <c r="F130" s="551"/>
      <c r="G130" s="551"/>
      <c r="H130" s="551"/>
      <c r="I130" s="551"/>
      <c r="J130" s="551"/>
      <c r="K130" s="551"/>
      <c r="L130" s="551"/>
      <c r="M130" s="551"/>
      <c r="N130" s="551"/>
      <c r="O130" s="551"/>
      <c r="P130" s="551"/>
    </row>
    <row r="131" spans="1:16" ht="18" customHeight="1" x14ac:dyDescent="0.2">
      <c r="A131" s="551"/>
      <c r="B131" s="560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1"/>
      <c r="P131" s="55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17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8" sqref="B38"/>
    </sheetView>
  </sheetViews>
  <sheetFormatPr baseColWidth="10" defaultColWidth="8.83203125" defaultRowHeight="15" x14ac:dyDescent="0.2"/>
  <cols>
    <col min="1" max="1" width="36.6640625" customWidth="1"/>
    <col min="2" max="11" width="15" customWidth="1"/>
    <col min="12" max="13" width="16" customWidth="1"/>
  </cols>
  <sheetData>
    <row r="1" spans="1:16" ht="24" customHeight="1" x14ac:dyDescent="0.2">
      <c r="A1" s="938" t="str">
        <f>IF('Prop Info'!B4="","WATERFALL &amp; RETURNS — DYNAMIC DISTRIBUTION MODEL","WATERFALL &amp; RETURNS — DYNAMIC DISTRIBUTION MODEL"&amp;" — "&amp;'Prop Info'!B4)</f>
        <v>WATERFALL &amp; RETURNS — DYNAMIC DISTRIBUTION MODEL</v>
      </c>
      <c r="B1" s="938"/>
      <c r="C1" s="938"/>
      <c r="D1" s="938"/>
      <c r="E1" s="938"/>
      <c r="F1" s="938"/>
      <c r="G1" s="938"/>
      <c r="H1" s="938"/>
      <c r="I1" s="938"/>
      <c r="J1" s="938"/>
      <c r="K1" s="938"/>
      <c r="L1" s="938"/>
      <c r="M1" s="938"/>
    </row>
    <row r="2" spans="1:16" ht="15.75" customHeight="1" x14ac:dyDescent="0.2">
      <c r="A2" s="944" t="s">
        <v>1934</v>
      </c>
      <c r="B2" s="944"/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P2" t="s">
        <v>1935</v>
      </c>
    </row>
    <row r="4" spans="1:16" ht="24" customHeight="1" x14ac:dyDescent="0.2">
      <c r="A4" s="934" t="s">
        <v>1936</v>
      </c>
      <c r="B4" s="934"/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  <c r="P4" t="s">
        <v>1937</v>
      </c>
    </row>
    <row r="5" spans="1:16" ht="15.75" customHeight="1" x14ac:dyDescent="0.2">
      <c r="A5" s="275" t="s">
        <v>1938</v>
      </c>
      <c r="B5" s="35">
        <f>Scenarios!F82</f>
        <v>0</v>
      </c>
      <c r="C5" s="944" t="s">
        <v>1939</v>
      </c>
      <c r="D5" s="944"/>
      <c r="E5" s="944"/>
      <c r="F5" s="944"/>
      <c r="G5" s="944"/>
      <c r="H5" s="944"/>
      <c r="I5" s="944"/>
      <c r="J5" s="944"/>
      <c r="K5" s="944"/>
      <c r="L5" s="944"/>
      <c r="M5" s="944"/>
      <c r="P5" t="str">
        <f>"   1.  Preferred return — Class A "&amp;TEXT($B$11,"0.0%")&amp;"  (rows 39-42)"</f>
        <v xml:space="preserve">   1.  Preferred return — Class A 0.0%  (rows 39-42)</v>
      </c>
    </row>
    <row r="6" spans="1:16" ht="15.75" customHeight="1" x14ac:dyDescent="0.2">
      <c r="A6" s="271" t="s">
        <v>28</v>
      </c>
      <c r="B6" s="32">
        <f>Scenarios!F83</f>
        <v>0</v>
      </c>
      <c r="C6" s="984" t="s">
        <v>1940</v>
      </c>
      <c r="D6" s="984"/>
      <c r="E6" s="984"/>
      <c r="F6" s="984"/>
      <c r="G6" s="984"/>
      <c r="H6" s="984"/>
      <c r="I6" s="984"/>
      <c r="J6" s="984"/>
      <c r="K6" s="984"/>
      <c r="L6" s="984"/>
      <c r="M6" s="984"/>
      <c r="P6" t="s">
        <v>1941</v>
      </c>
    </row>
    <row r="7" spans="1:16" ht="15.75" customHeight="1" x14ac:dyDescent="0.2">
      <c r="A7" s="275" t="s">
        <v>245</v>
      </c>
      <c r="B7" s="577" t="str">
        <f>'Exit Strategy'!E10</f>
        <v>Sales Cost</v>
      </c>
      <c r="C7" s="944" t="s">
        <v>1942</v>
      </c>
      <c r="D7" s="944"/>
      <c r="E7" s="944"/>
      <c r="F7" s="944"/>
      <c r="G7" s="944"/>
      <c r="H7" s="944"/>
      <c r="I7" s="944"/>
      <c r="J7" s="944"/>
      <c r="K7" s="944"/>
      <c r="L7" s="944"/>
      <c r="M7" s="944"/>
      <c r="P7" t="s">
        <v>1943</v>
      </c>
    </row>
    <row r="8" spans="1:16" ht="15.75" customHeight="1" x14ac:dyDescent="0.2">
      <c r="A8" s="271" t="s">
        <v>45</v>
      </c>
      <c r="B8" s="25">
        <f>Scenarios!F32</f>
        <v>0</v>
      </c>
      <c r="C8" s="984" t="s">
        <v>1944</v>
      </c>
      <c r="D8" s="984"/>
      <c r="E8" s="984"/>
      <c r="F8" s="984"/>
      <c r="G8" s="984"/>
      <c r="H8" s="984"/>
      <c r="I8" s="984"/>
      <c r="J8" s="984"/>
      <c r="K8" s="984"/>
      <c r="L8" s="984"/>
      <c r="M8" s="984"/>
    </row>
    <row r="9" spans="1:16" ht="15.75" customHeight="1" x14ac:dyDescent="0.2">
      <c r="A9" s="275" t="s">
        <v>47</v>
      </c>
      <c r="B9" s="23">
        <f>Scenarios!F33</f>
        <v>0</v>
      </c>
      <c r="C9" s="944" t="s">
        <v>1945</v>
      </c>
      <c r="D9" s="944"/>
      <c r="E9" s="944"/>
      <c r="F9" s="944"/>
      <c r="G9" s="944"/>
      <c r="H9" s="944"/>
      <c r="I9" s="944"/>
      <c r="J9" s="944"/>
      <c r="K9" s="944"/>
      <c r="L9" s="944"/>
      <c r="M9" s="944"/>
      <c r="P9" t="s">
        <v>1946</v>
      </c>
    </row>
    <row r="10" spans="1:16" ht="15.75" customHeight="1" x14ac:dyDescent="0.2">
      <c r="A10" s="271" t="s">
        <v>48</v>
      </c>
      <c r="B10" s="25">
        <f>Scenarios!F34</f>
        <v>0</v>
      </c>
      <c r="C10" s="984" t="s">
        <v>1947</v>
      </c>
      <c r="D10" s="984"/>
      <c r="E10" s="984"/>
      <c r="F10" s="984"/>
      <c r="G10" s="984"/>
      <c r="H10" s="984"/>
      <c r="I10" s="984"/>
      <c r="J10" s="984"/>
      <c r="K10" s="984"/>
      <c r="L10" s="984"/>
      <c r="M10" s="984"/>
      <c r="P10" t="str">
        <f>"   Tier 1  —  up to "&amp;TEXT($B$17,"0.0%")&amp;" IRR:   LP "&amp;TEXT($B$15,"0%")&amp;" / GP "&amp;TEXT(1-$B$15,"0%")</f>
        <v xml:space="preserve">   Tier 1  —  up to 10.0% IRR:   LP 70% / GP 30%</v>
      </c>
    </row>
    <row r="11" spans="1:16" ht="15.75" customHeight="1" x14ac:dyDescent="0.2">
      <c r="A11" s="275" t="s">
        <v>105</v>
      </c>
      <c r="B11" s="30">
        <f>Scenarios!F35</f>
        <v>0</v>
      </c>
      <c r="C11" s="944" t="s">
        <v>1948</v>
      </c>
      <c r="D11" s="944"/>
      <c r="E11" s="944"/>
      <c r="F11" s="944"/>
      <c r="G11" s="944"/>
      <c r="H11" s="944"/>
      <c r="I11" s="944"/>
      <c r="J11" s="944"/>
      <c r="K11" s="944"/>
      <c r="L11" s="944"/>
      <c r="M11" s="944"/>
      <c r="P11" t="str">
        <f>"   Tier 2  —  "&amp;TEXT($B$17,"0.0%")&amp;" to "&amp;TEXT($B$20,"0.0%")&amp;" IRR:   LP "&amp;TEXT($B$18,"0%")&amp;" / GP "&amp;TEXT(1-$B$18,"0%")</f>
        <v xml:space="preserve">   Tier 2  —  10.0% to 15.0% IRR:   LP 70% / GP 30%</v>
      </c>
    </row>
    <row r="12" spans="1:16" ht="15.75" customHeight="1" x14ac:dyDescent="0.2">
      <c r="A12" s="271" t="s">
        <v>671</v>
      </c>
      <c r="B12" s="30">
        <f>Scenarios!F36</f>
        <v>0</v>
      </c>
      <c r="C12" s="984" t="s">
        <v>1949</v>
      </c>
      <c r="D12" s="984" t="s">
        <v>1950</v>
      </c>
      <c r="E12" s="984" t="s">
        <v>1951</v>
      </c>
      <c r="F12" s="984" t="s">
        <v>1952</v>
      </c>
      <c r="G12" s="984"/>
      <c r="H12" s="984"/>
      <c r="I12" s="984"/>
      <c r="J12" s="984"/>
      <c r="K12" s="984"/>
      <c r="L12" s="984"/>
      <c r="M12" s="984"/>
      <c r="P12" t="str">
        <f>"   Tier 3  —  above "&amp;TEXT($B$20,"0.0%")&amp;" IRR:   LP "&amp;TEXT($B$21,"0%")&amp;" / GP "&amp;TEXT(1-$B$21,"0%")</f>
        <v xml:space="preserve">   Tier 3  —  above 15.0% IRR:   LP 70% / GP 30%</v>
      </c>
    </row>
    <row r="13" spans="1:16" ht="15.75" customHeight="1" x14ac:dyDescent="0.2">
      <c r="A13" s="275" t="s">
        <v>1953</v>
      </c>
      <c r="B13" s="577"/>
      <c r="C13" s="944" t="s">
        <v>1954</v>
      </c>
      <c r="D13" s="944"/>
      <c r="E13" s="944"/>
      <c r="F13" s="944"/>
      <c r="G13" s="944"/>
      <c r="H13" s="944"/>
      <c r="I13" s="944"/>
      <c r="J13" s="944"/>
      <c r="K13" s="944"/>
      <c r="L13" s="944"/>
      <c r="M13" s="944"/>
    </row>
    <row r="14" spans="1:16" ht="15.75" customHeight="1" x14ac:dyDescent="0.2">
      <c r="A14" s="271" t="s">
        <v>1955</v>
      </c>
      <c r="B14" s="578" t="str">
        <f>IF(Scenarios!F34&gt;0,"YES","NO")</f>
        <v>NO</v>
      </c>
      <c r="C14" s="984" t="s">
        <v>1956</v>
      </c>
      <c r="D14" s="984"/>
      <c r="E14" s="984"/>
      <c r="F14" s="984"/>
      <c r="G14" s="984"/>
      <c r="H14" s="984"/>
      <c r="I14" s="984"/>
      <c r="J14" s="984"/>
      <c r="K14" s="984"/>
      <c r="L14" s="984"/>
      <c r="M14" s="984"/>
      <c r="P14" t="s">
        <v>1957</v>
      </c>
    </row>
    <row r="15" spans="1:16" ht="15.75" customHeight="1" x14ac:dyDescent="0.2">
      <c r="A15" s="275" t="s">
        <v>1958</v>
      </c>
      <c r="B15" s="30">
        <f>Scenarios!F29</f>
        <v>0.7</v>
      </c>
      <c r="C15" s="944" t="s">
        <v>1959</v>
      </c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P15" t="s">
        <v>1960</v>
      </c>
    </row>
    <row r="16" spans="1:16" ht="15.75" customHeight="1" x14ac:dyDescent="0.2">
      <c r="A16" s="271" t="s">
        <v>1961</v>
      </c>
      <c r="B16" s="431">
        <f>1-B15</f>
        <v>0.30000000000000004</v>
      </c>
      <c r="C16" s="984" t="s">
        <v>1962</v>
      </c>
      <c r="D16" s="984"/>
      <c r="E16" s="984"/>
      <c r="F16" s="984"/>
      <c r="G16" s="984"/>
      <c r="H16" s="984"/>
      <c r="I16" s="984"/>
      <c r="J16" s="984"/>
      <c r="K16" s="984"/>
      <c r="L16" s="984"/>
      <c r="M16" s="984"/>
      <c r="P16" t="s">
        <v>1963</v>
      </c>
    </row>
    <row r="17" spans="1:16" ht="15.75" customHeight="1" x14ac:dyDescent="0.2">
      <c r="A17" s="275" t="s">
        <v>1964</v>
      </c>
      <c r="B17" s="577">
        <v>0.1</v>
      </c>
      <c r="C17" s="944" t="s">
        <v>1965</v>
      </c>
      <c r="D17" s="944"/>
      <c r="E17" s="944"/>
      <c r="F17" s="944"/>
      <c r="G17" s="944"/>
      <c r="H17" s="944"/>
      <c r="I17" s="944"/>
      <c r="J17" s="944"/>
      <c r="K17" s="944"/>
      <c r="L17" s="944"/>
      <c r="M17" s="944"/>
      <c r="P17" t="s">
        <v>1966</v>
      </c>
    </row>
    <row r="18" spans="1:16" ht="15.75" customHeight="1" x14ac:dyDescent="0.2">
      <c r="A18" s="271" t="s">
        <v>1967</v>
      </c>
      <c r="B18" s="579">
        <f>B15</f>
        <v>0.7</v>
      </c>
      <c r="C18" s="984" t="s">
        <v>1968</v>
      </c>
      <c r="D18" s="984"/>
      <c r="E18" s="984"/>
      <c r="F18" s="984"/>
      <c r="G18" s="984"/>
      <c r="H18" s="984"/>
      <c r="I18" s="984"/>
      <c r="J18" s="984"/>
      <c r="K18" s="984"/>
      <c r="L18" s="984"/>
      <c r="M18" s="984"/>
      <c r="P18" t="s">
        <v>1969</v>
      </c>
    </row>
    <row r="19" spans="1:16" ht="15.75" customHeight="1" x14ac:dyDescent="0.2">
      <c r="A19" s="275" t="s">
        <v>1970</v>
      </c>
      <c r="B19" s="414">
        <f>1-B18</f>
        <v>0.30000000000000004</v>
      </c>
      <c r="C19" s="944" t="s">
        <v>1971</v>
      </c>
      <c r="D19" s="944"/>
      <c r="E19" s="944"/>
      <c r="F19" s="944"/>
      <c r="G19" s="944"/>
      <c r="H19" s="944"/>
      <c r="I19" s="944"/>
      <c r="J19" s="944"/>
      <c r="K19" s="944"/>
      <c r="L19" s="944"/>
      <c r="M19" s="944"/>
    </row>
    <row r="20" spans="1:16" ht="15.75" customHeight="1" x14ac:dyDescent="0.2">
      <c r="A20" s="271" t="s">
        <v>1972</v>
      </c>
      <c r="B20" s="579">
        <v>0.15</v>
      </c>
      <c r="C20" s="984" t="s">
        <v>1973</v>
      </c>
      <c r="D20" s="984"/>
      <c r="E20" s="984"/>
      <c r="F20" s="984"/>
      <c r="G20" s="984"/>
      <c r="H20" s="984"/>
      <c r="I20" s="984"/>
      <c r="J20" s="984"/>
      <c r="K20" s="984"/>
      <c r="L20" s="984"/>
      <c r="M20" s="984"/>
      <c r="P20" t="s">
        <v>1974</v>
      </c>
    </row>
    <row r="21" spans="1:16" ht="15.75" customHeight="1" x14ac:dyDescent="0.2">
      <c r="A21" s="275" t="s">
        <v>1975</v>
      </c>
      <c r="B21" s="577">
        <f>B18</f>
        <v>0.7</v>
      </c>
      <c r="C21" s="944" t="s">
        <v>1976</v>
      </c>
      <c r="D21" s="944"/>
      <c r="E21" s="944"/>
      <c r="F21" s="944"/>
      <c r="G21" s="944"/>
      <c r="H21" s="944"/>
      <c r="I21" s="944"/>
      <c r="J21" s="944"/>
      <c r="K21" s="944"/>
      <c r="L21" s="944"/>
      <c r="M21" s="944"/>
      <c r="P21" t="str">
        <f>"   Hold "&amp;TEXT($B$5,"0")&amp;" yrs   —   LP equity "&amp;TEXT($B$9+$B$10,"$#,##0")&amp;"   —   LP IRR "&amp;TEXT($D$66,"0.0%")</f>
        <v xml:space="preserve">   Hold 0 yrs   —   LP equity $0   —   LP IRR 0.0%</v>
      </c>
    </row>
    <row r="22" spans="1:16" ht="15.75" customHeight="1" x14ac:dyDescent="0.2">
      <c r="A22" s="271" t="s">
        <v>1977</v>
      </c>
      <c r="B22" s="431">
        <f>1-B21</f>
        <v>0.30000000000000004</v>
      </c>
      <c r="C22" s="984" t="s">
        <v>1978</v>
      </c>
      <c r="D22" s="984"/>
      <c r="E22" s="984"/>
      <c r="F22" s="984"/>
      <c r="G22" s="984"/>
      <c r="H22" s="984"/>
      <c r="I22" s="984"/>
      <c r="J22" s="984"/>
      <c r="K22" s="984"/>
      <c r="L22" s="984"/>
      <c r="M22" s="984"/>
      <c r="P22" t="str">
        <f>"   Tier-1 hurdle "&amp;TEXT($B$17,"0.0%")&amp;": "&amp;IF($D$66&gt;=$B$17,"CLEARED","not cleared")&amp;"      Tier-2 hurdle "&amp;TEXT($B$20,"0.0%")&amp;": "&amp;IF($D$66&gt;=$B$20,"CLEARED","not cleared")</f>
        <v xml:space="preserve">   Tier-1 hurdle 10.0%: not cleared      Tier-2 hurdle 15.0%: not cleared</v>
      </c>
    </row>
    <row r="23" spans="1:16" ht="18" customHeight="1" x14ac:dyDescent="0.2">
      <c r="A23" s="580" t="s">
        <v>1979</v>
      </c>
      <c r="B23" s="581" t="s">
        <v>1980</v>
      </c>
      <c r="C23" s="582" t="s">
        <v>1981</v>
      </c>
      <c r="P23" t="str">
        <f>"   Total LP distributions   "&amp;TEXT($M$54,"$#,##0")&amp;"   (EM "&amp;TEXT(IFERROR($M$54/($B$9+$B$10),0),"0.00")&amp;"x)"</f>
        <v xml:space="preserve">   Total LP distributions   $0   (EM 0.00x)</v>
      </c>
    </row>
    <row r="24" spans="1:16" ht="24" customHeight="1" x14ac:dyDescent="0.2">
      <c r="A24" s="938" t="s">
        <v>1982</v>
      </c>
      <c r="B24" s="938"/>
      <c r="C24" s="938"/>
      <c r="D24" s="938"/>
      <c r="E24" s="938"/>
      <c r="F24" s="938"/>
      <c r="G24" s="938"/>
      <c r="H24" s="938"/>
      <c r="I24" s="938"/>
      <c r="J24" s="938"/>
      <c r="K24" s="938"/>
      <c r="L24" s="938"/>
      <c r="M24" s="938"/>
      <c r="P24" t="str">
        <f>"   Total GP distributions   "&amp;TEXT($M$55,"$#,##0")</f>
        <v xml:space="preserve">   Total GP distributions   $0</v>
      </c>
    </row>
    <row r="25" spans="1:16" ht="30" customHeight="1" x14ac:dyDescent="0.2">
      <c r="A25" s="34" t="s">
        <v>618</v>
      </c>
      <c r="B25" s="34" t="s">
        <v>1471</v>
      </c>
      <c r="C25" s="34" t="s">
        <v>1472</v>
      </c>
      <c r="D25" s="34" t="s">
        <v>1473</v>
      </c>
      <c r="E25" s="34" t="s">
        <v>1474</v>
      </c>
      <c r="F25" s="34" t="s">
        <v>1475</v>
      </c>
      <c r="G25" s="34" t="s">
        <v>1476</v>
      </c>
      <c r="H25" s="34" t="s">
        <v>1477</v>
      </c>
      <c r="I25" s="34" t="s">
        <v>1478</v>
      </c>
      <c r="J25" s="34" t="s">
        <v>1479</v>
      </c>
      <c r="K25" s="34" t="s">
        <v>1480</v>
      </c>
      <c r="L25" s="21" t="s">
        <v>1983</v>
      </c>
      <c r="M25" s="34" t="s">
        <v>1984</v>
      </c>
      <c r="P25" t="str">
        <f>"      of which GP promote    "&amp;TEXT($M$46,"$#,##0")</f>
        <v xml:space="preserve">      of which GP promote    $0</v>
      </c>
    </row>
    <row r="26" spans="1:16" ht="18" customHeight="1" x14ac:dyDescent="0.2">
      <c r="A26" s="9" t="s">
        <v>1985</v>
      </c>
      <c r="B26" s="23">
        <f>IF(1&gt;$B$5,0,'P&amp;L'!D40)</f>
        <v>0</v>
      </c>
      <c r="C26" s="23">
        <f>IF(2&gt;$B$5,0,'P&amp;L'!E40)</f>
        <v>0</v>
      </c>
      <c r="D26" s="23">
        <f>IF(3&gt;$B$5,0,'P&amp;L'!F40)</f>
        <v>0</v>
      </c>
      <c r="E26" s="23">
        <f>IF(4&gt;$B$5,0,'P&amp;L'!G40)</f>
        <v>0</v>
      </c>
      <c r="F26" s="23">
        <f>IF(5&gt;$B$5,0,'P&amp;L'!H40)</f>
        <v>0</v>
      </c>
      <c r="G26" s="23">
        <f>IF(6&gt;$B$5,0,'P&amp;L'!I40)</f>
        <v>0</v>
      </c>
      <c r="H26" s="23">
        <f>IF(7&gt;$B$5,0,'P&amp;L'!J40)</f>
        <v>0</v>
      </c>
      <c r="I26" s="23">
        <f>IF(8&gt;$B$5,0,'P&amp;L'!K40)</f>
        <v>0</v>
      </c>
      <c r="J26" s="23">
        <f>IF(9&gt;$B$5,0,'P&amp;L'!L40)</f>
        <v>0</v>
      </c>
      <c r="K26" s="23">
        <f>IF(10&gt;$B$5,0,'P&amp;L'!M40)</f>
        <v>0</v>
      </c>
      <c r="M26" s="267">
        <f>SUM(B26:K26)</f>
        <v>0</v>
      </c>
    </row>
    <row r="27" spans="1:16" ht="18" customHeight="1" x14ac:dyDescent="0.2">
      <c r="A27" s="9" t="s">
        <v>1986</v>
      </c>
      <c r="B27" s="23">
        <f>IF(1&gt;$B$5,0,-IFERROR(INDEX(Loans!$C$72:$L$72,1,1),0))</f>
        <v>0</v>
      </c>
      <c r="C27" s="23">
        <f>IF(2&gt;$B$5,0,-IFERROR(INDEX(Loans!$C$72:$L$72,1,2),0))</f>
        <v>0</v>
      </c>
      <c r="D27" s="23">
        <f>IF(3&gt;$B$5,0,-IFERROR(INDEX(Loans!$C$72:$L$72,1,3),0))</f>
        <v>0</v>
      </c>
      <c r="E27" s="23">
        <f>IF(4&gt;$B$5,0,-IFERROR(INDEX(Loans!$C$72:$L$72,1,4),0))</f>
        <v>0</v>
      </c>
      <c r="F27" s="23">
        <f>IF(5&gt;$B$5,0,-IFERROR(INDEX(Loans!$C$72:$L$72,1,5),0))</f>
        <v>0</v>
      </c>
      <c r="G27" s="23">
        <f>IF(6&gt;$B$5,0,-IFERROR(INDEX(Loans!$C$72:$L$72,1,6),0))</f>
        <v>0</v>
      </c>
      <c r="H27" s="23">
        <f>IF(7&gt;$B$5,0,-IFERROR(INDEX(Loans!$C$72:$L$72,1,7),0))</f>
        <v>0</v>
      </c>
      <c r="I27" s="23">
        <f>IF(8&gt;$B$5,0,-IFERROR(INDEX(Loans!$C$72:$L$72,1,8),0))</f>
        <v>0</v>
      </c>
      <c r="J27" s="23">
        <f>IF(9&gt;$B$5,0,-IFERROR(INDEX(Loans!$C$72:$L$72,1,9),0))</f>
        <v>0</v>
      </c>
      <c r="K27" s="23">
        <f>IF(10&gt;$B$5,0,-IFERROR(INDEX(Loans!$C$72:$L$72,1,10),0))</f>
        <v>0</v>
      </c>
      <c r="M27" s="267">
        <f>SUM(B27:K27)</f>
        <v>0</v>
      </c>
      <c r="P27" t="s">
        <v>1987</v>
      </c>
    </row>
    <row r="28" spans="1:16" ht="18" customHeight="1" x14ac:dyDescent="0.2">
      <c r="A28" s="270" t="s">
        <v>1988</v>
      </c>
      <c r="B28" s="156">
        <f>IF(1&gt;$B$5,0,IFERROR(B26+B27-IFERROR(N('P&amp;L'!D53),0)+IF($B$23="Waterfall",IF(ISNUMBER('Exit Strategy'!$B$5),IF(1='Exit Strategy'!$B$5,'Exit Strategy'!$B$18,0),0),0)+IF(Scenarios!$C$159=1,IF(Scenarios!$C$161="Distribution",IF(Scenarios!$C$160&gt;0,Scenarios!$C$160,MAX(Scenarios!$F$13-'P&amp;L'!P49,0)),0),0),0))</f>
        <v>0</v>
      </c>
      <c r="C28" s="156">
        <f>IF(2&gt;$B$5,0,IFERROR(C26+C27-IFERROR(N('P&amp;L'!E53),0)+IF($B$23="Waterfall",IF(ISNUMBER('Exit Strategy'!$B$5),IF(2='Exit Strategy'!$B$5,'Exit Strategy'!$B$18,0),0),0)+IF(Scenarios!$C$159=2,IF(Scenarios!$C$161="Distribution",IF(Scenarios!$C$160&gt;0,Scenarios!$C$160,MAX(Scenarios!$F$13-'P&amp;L'!P49,0)),0),0),0))</f>
        <v>0</v>
      </c>
      <c r="D28" s="156">
        <f>IF(3&gt;$B$5,0,IFERROR(D26+D27-IFERROR(N('P&amp;L'!F53),0)+IF($B$23="Waterfall",IF(ISNUMBER('Exit Strategy'!$B$5),IF(3='Exit Strategy'!$B$5,'Exit Strategy'!$B$18,0),0),0)+IF(Scenarios!$C$159=3,IF(Scenarios!$C$161="Distribution",IF(Scenarios!$C$160&gt;0,Scenarios!$C$160,MAX(Scenarios!$F$13-'P&amp;L'!P49,0)),0),0),0))</f>
        <v>0</v>
      </c>
      <c r="E28" s="156">
        <f>IF(4&gt;$B$5,0,IFERROR(E26+E27-IFERROR(N('P&amp;L'!G53),0)+IF($B$23="Waterfall",IF(ISNUMBER('Exit Strategy'!$B$5),IF(4='Exit Strategy'!$B$5,'Exit Strategy'!$B$18,0),0),0)+IF(Scenarios!$C$159=4,IF(Scenarios!$C$161="Distribution",IF(Scenarios!$C$160&gt;0,Scenarios!$C$160,MAX(Scenarios!$F$13-'P&amp;L'!P49,0)),0),0),0))</f>
        <v>0</v>
      </c>
      <c r="F28" s="156">
        <f>IF(5&gt;$B$5,0,IFERROR(F26+F27-IFERROR(N('P&amp;L'!H53),0)+IF($B$23="Waterfall",IF(ISNUMBER('Exit Strategy'!$B$5),IF(5='Exit Strategy'!$B$5,'Exit Strategy'!$B$18,0),0),0)+IF(Scenarios!$C$159=5,IF(Scenarios!$C$161="Distribution",IF(Scenarios!$C$160&gt;0,Scenarios!$C$160,MAX(Scenarios!$F$13-'P&amp;L'!P49,0)),0),0),0))</f>
        <v>0</v>
      </c>
      <c r="G28" s="156">
        <f>IF(6&gt;$B$5,0,IFERROR(G26+G27-IFERROR(N('P&amp;L'!I53),0)+IF($B$23="Waterfall",IF(ISNUMBER('Exit Strategy'!$B$5),IF(6='Exit Strategy'!$B$5,'Exit Strategy'!$B$18,0),0),0)+IF(Scenarios!$C$159=6,IF(Scenarios!$C$161="Distribution",IF(Scenarios!$C$160&gt;0,Scenarios!$C$160,MAX(Scenarios!$F$13-'P&amp;L'!P49,0)),0),0),0))</f>
        <v>0</v>
      </c>
      <c r="H28" s="156">
        <f>IF(7&gt;$B$5,0,IFERROR(H26+H27-IFERROR(N('P&amp;L'!J53),0)+IF($B$23="Waterfall",IF(ISNUMBER('Exit Strategy'!$B$5),IF(7='Exit Strategy'!$B$5,'Exit Strategy'!$B$18,0),0),0)+IF(Scenarios!$C$159=7,IF(Scenarios!$C$161="Distribution",IF(Scenarios!$C$160&gt;0,Scenarios!$C$160,MAX(Scenarios!$F$13-'P&amp;L'!P49,0)),0),0),0))</f>
        <v>0</v>
      </c>
      <c r="I28" s="156">
        <f>IF(8&gt;$B$5,0,IFERROR(I26+I27-IFERROR(N('P&amp;L'!K53),0)+IF($B$23="Waterfall",IF(ISNUMBER('Exit Strategy'!$B$5),IF(8='Exit Strategy'!$B$5,'Exit Strategy'!$B$18,0),0),0)+IF(Scenarios!$C$159=8,IF(Scenarios!$C$161="Distribution",IF(Scenarios!$C$160&gt;0,Scenarios!$C$160,MAX(Scenarios!$F$13-'P&amp;L'!P49,0)),0),0),0))</f>
        <v>0</v>
      </c>
      <c r="J28" s="156">
        <f>IF(9&gt;$B$5,0,IFERROR(J26+J27-IFERROR(N('P&amp;L'!L53),0)+IF($B$23="Waterfall",IF(ISNUMBER('Exit Strategy'!$B$5),IF(9='Exit Strategy'!$B$5,'Exit Strategy'!$B$18,0),0),0)+IF(Scenarios!$C$159=9,IF(Scenarios!$C$161="Distribution",IF(Scenarios!$C$160&gt;0,Scenarios!$C$160,MAX(Scenarios!$F$13-'P&amp;L'!P49,0)),0),0),0))</f>
        <v>0</v>
      </c>
      <c r="K28" s="156">
        <f>IF(10&gt;$B$5,0,IFERROR(K26+K27-IFERROR(N('P&amp;L'!M53),0)+IF($B$23="Waterfall",IF(ISNUMBER('Exit Strategy'!$B$5),IF(10='Exit Strategy'!$B$5,'Exit Strategy'!$B$18,0),0),0)+IF(Scenarios!$C$159=10,IF(Scenarios!$C$161="Distribution",IF(Scenarios!$C$160&gt;0,Scenarios!$C$160,MAX(Scenarios!$F$13-'P&amp;L'!P49,0)),0),0),0))</f>
        <v>0</v>
      </c>
      <c r="M28" s="157">
        <f>SUM(B28:K28)</f>
        <v>0</v>
      </c>
      <c r="P28" t="s">
        <v>1989</v>
      </c>
    </row>
    <row r="29" spans="1:16" x14ac:dyDescent="0.2">
      <c r="P29" t="s">
        <v>1990</v>
      </c>
    </row>
    <row r="30" spans="1:16" ht="24" customHeight="1" x14ac:dyDescent="0.2">
      <c r="A30" s="934" t="s">
        <v>1991</v>
      </c>
      <c r="B30" s="934"/>
      <c r="C30" s="934"/>
      <c r="D30" s="934"/>
      <c r="E30" s="934"/>
      <c r="F30" s="934"/>
      <c r="G30" s="934"/>
      <c r="H30" s="934"/>
      <c r="I30" s="934"/>
      <c r="J30" s="934"/>
      <c r="K30" s="934"/>
      <c r="L30" s="934"/>
      <c r="M30" s="934"/>
      <c r="P30" t="s">
        <v>1992</v>
      </c>
    </row>
    <row r="31" spans="1:16" ht="18" customHeight="1" x14ac:dyDescent="0.2">
      <c r="A31" s="103" t="s">
        <v>69</v>
      </c>
      <c r="B31" s="23">
        <f>IFERROR(INDEX('P&amp;L'!D40:M46,1,B5),0)</f>
        <v>0</v>
      </c>
    </row>
    <row r="32" spans="1:16" ht="18" customHeight="1" x14ac:dyDescent="0.2">
      <c r="A32" s="103" t="s">
        <v>1993</v>
      </c>
      <c r="B32" s="267">
        <f>IFERROR(B31/B6,0)</f>
        <v>0</v>
      </c>
      <c r="P32" t="s">
        <v>1994</v>
      </c>
    </row>
    <row r="33" spans="1:16" ht="18" customHeight="1" x14ac:dyDescent="0.2">
      <c r="A33" s="103" t="s">
        <v>1995</v>
      </c>
      <c r="B33" s="23">
        <f>IFERROR(-B32*(B7+'Exit Strategy'!$E$19),0)</f>
        <v>0</v>
      </c>
      <c r="P33" t="s">
        <v>1996</v>
      </c>
    </row>
    <row r="34" spans="1:16" ht="18" customHeight="1" x14ac:dyDescent="0.2">
      <c r="A34" s="103" t="s">
        <v>72</v>
      </c>
      <c r="B34" s="23">
        <f>-Scenarios!F116</f>
        <v>0</v>
      </c>
    </row>
    <row r="35" spans="1:16" ht="18" customHeight="1" x14ac:dyDescent="0.2">
      <c r="A35" s="270" t="s">
        <v>1997</v>
      </c>
      <c r="B35" s="157">
        <f>B32+B33+B34</f>
        <v>0</v>
      </c>
    </row>
    <row r="37" spans="1:16" ht="24" customHeight="1" x14ac:dyDescent="0.2">
      <c r="A37" s="938" t="s">
        <v>1998</v>
      </c>
      <c r="B37" s="938"/>
      <c r="C37" s="938"/>
      <c r="D37" s="938"/>
      <c r="E37" s="938"/>
      <c r="F37" s="938"/>
      <c r="G37" s="938"/>
      <c r="H37" s="938"/>
      <c r="I37" s="938"/>
      <c r="J37" s="938"/>
      <c r="K37" s="938"/>
      <c r="L37" s="938"/>
      <c r="M37" s="938"/>
    </row>
    <row r="38" spans="1:16" ht="30" customHeight="1" x14ac:dyDescent="0.2">
      <c r="A38" s="34" t="s">
        <v>1999</v>
      </c>
      <c r="B38" s="34" t="s">
        <v>1471</v>
      </c>
      <c r="C38" s="34" t="s">
        <v>1472</v>
      </c>
      <c r="D38" s="34" t="s">
        <v>1473</v>
      </c>
      <c r="E38" s="34" t="s">
        <v>1474</v>
      </c>
      <c r="F38" s="34" t="s">
        <v>1475</v>
      </c>
      <c r="G38" s="34" t="s">
        <v>1476</v>
      </c>
      <c r="H38" s="34" t="s">
        <v>1477</v>
      </c>
      <c r="I38" s="34" t="s">
        <v>1478</v>
      </c>
      <c r="J38" s="34" t="s">
        <v>1479</v>
      </c>
      <c r="K38" s="34" t="s">
        <v>1480</v>
      </c>
      <c r="L38" s="21" t="s">
        <v>2000</v>
      </c>
      <c r="M38" s="34" t="s">
        <v>1984</v>
      </c>
    </row>
    <row r="39" spans="1:16" ht="18" customHeight="1" x14ac:dyDescent="0.2">
      <c r="A39" s="9" t="s">
        <v>1504</v>
      </c>
      <c r="B39" s="267">
        <f>IF(1&gt;$B$5,0,B9*B11)</f>
        <v>0</v>
      </c>
      <c r="C39" s="267">
        <f>IF(2&gt;$B$5,0,B9*B11)</f>
        <v>0</v>
      </c>
      <c r="D39" s="267">
        <f>IF(3&gt;$B$5,0,B9*B11)</f>
        <v>0</v>
      </c>
      <c r="E39" s="267">
        <f>IF(4&gt;$B$5,0,B9*B11)</f>
        <v>0</v>
      </c>
      <c r="F39" s="267">
        <f>IF(5&gt;$B$5,0,B9*B11)</f>
        <v>0</v>
      </c>
      <c r="G39" s="267">
        <f>IF(6&gt;$B$5,0,B9*B11)</f>
        <v>0</v>
      </c>
      <c r="H39" s="267">
        <f>IF(7&gt;$B$5,0,B9*B11)</f>
        <v>0</v>
      </c>
      <c r="I39" s="267">
        <f>IF(8&gt;$B$5,0,B9*B11)</f>
        <v>0</v>
      </c>
      <c r="J39" s="267">
        <f>IF(9&gt;$B$5,0,B9*B11)</f>
        <v>0</v>
      </c>
      <c r="K39" s="267">
        <f>IF(10&gt;$B$5,0,B9*B11)</f>
        <v>0</v>
      </c>
      <c r="L39" s="281"/>
      <c r="M39" s="267">
        <f>SUM(B39:K39)</f>
        <v>0</v>
      </c>
    </row>
    <row r="40" spans="1:16" ht="18" customHeight="1" x14ac:dyDescent="0.2">
      <c r="A40" s="583" t="s">
        <v>2001</v>
      </c>
      <c r="B40" s="268">
        <f t="shared" ref="B40:K40" si="0">MAX(MIN(B28,B39),0)</f>
        <v>0</v>
      </c>
      <c r="C40" s="268">
        <f t="shared" si="0"/>
        <v>0</v>
      </c>
      <c r="D40" s="268">
        <f t="shared" si="0"/>
        <v>0</v>
      </c>
      <c r="E40" s="268">
        <f t="shared" si="0"/>
        <v>0</v>
      </c>
      <c r="F40" s="268">
        <f t="shared" si="0"/>
        <v>0</v>
      </c>
      <c r="G40" s="268">
        <f t="shared" si="0"/>
        <v>0</v>
      </c>
      <c r="H40" s="268">
        <f t="shared" si="0"/>
        <v>0</v>
      </c>
      <c r="I40" s="268">
        <f t="shared" si="0"/>
        <v>0</v>
      </c>
      <c r="J40" s="268">
        <f t="shared" si="0"/>
        <v>0</v>
      </c>
      <c r="K40" s="268">
        <f t="shared" si="0"/>
        <v>0</v>
      </c>
      <c r="L40" s="584"/>
      <c r="M40" s="268">
        <f>SUM(B40:K40)</f>
        <v>0</v>
      </c>
    </row>
    <row r="41" spans="1:16" ht="18" customHeight="1" x14ac:dyDescent="0.2">
      <c r="A41" s="9" t="s">
        <v>2002</v>
      </c>
      <c r="B41" s="267">
        <f>IF(1&gt;$B$5,0,IF(B14="YES",B10*B12,0))</f>
        <v>0</v>
      </c>
      <c r="C41" s="267">
        <f>IF(2&gt;$B$5,0,IF(B14="YES",B10*B12,0))</f>
        <v>0</v>
      </c>
      <c r="D41" s="267">
        <f>IF(3&gt;$B$5,0,IF(B14="YES",B10*B12,0))</f>
        <v>0</v>
      </c>
      <c r="E41" s="267">
        <f>IF(4&gt;$B$5,0,IF(B14="YES",B10*B12,0))</f>
        <v>0</v>
      </c>
      <c r="F41" s="267">
        <f>IF(5&gt;$B$5,0,IF(B14="YES",B10*B12,0))</f>
        <v>0</v>
      </c>
      <c r="G41" s="267">
        <f>IF(6&gt;$B$5,0,IF(B14="YES",B10*B12,0))</f>
        <v>0</v>
      </c>
      <c r="H41" s="267">
        <f>IF(7&gt;$B$5,0,IF(B14="YES",B10*B12,0))</f>
        <v>0</v>
      </c>
      <c r="I41" s="267">
        <f>IF(8&gt;$B$5,0,IF(B14="YES",B10*B12,0))</f>
        <v>0</v>
      </c>
      <c r="J41" s="267">
        <f>IF(9&gt;$B$5,0,IF(B14="YES",B10*B12,0))</f>
        <v>0</v>
      </c>
      <c r="K41" s="267">
        <f>IF(10&gt;$B$5,0,IF(B14="YES",B10*B12,0))</f>
        <v>0</v>
      </c>
      <c r="L41" s="281"/>
      <c r="M41" s="267">
        <f>SUM(B41:K41)</f>
        <v>0</v>
      </c>
    </row>
    <row r="42" spans="1:16" ht="18" customHeight="1" x14ac:dyDescent="0.2">
      <c r="A42" s="583" t="s">
        <v>2003</v>
      </c>
      <c r="B42" s="268">
        <f>IF(B14="YES",MIN(MAX(B28-B40,0),B41),0)</f>
        <v>0</v>
      </c>
      <c r="C42" s="268">
        <f>IF(B14="YES",MIN(MAX(C28-C40,0),C41),0)</f>
        <v>0</v>
      </c>
      <c r="D42" s="268">
        <f>IF(B14="YES",MIN(MAX(D28-D40,0),D41),0)</f>
        <v>0</v>
      </c>
      <c r="E42" s="268">
        <f>IF(B14="YES",MIN(MAX(E28-E40,0),E41),0)</f>
        <v>0</v>
      </c>
      <c r="F42" s="268">
        <f>IF(B14="YES",MIN(MAX(F28-F40,0),F41),0)</f>
        <v>0</v>
      </c>
      <c r="G42" s="268">
        <f>IF(B14="YES",MIN(MAX(G28-G40,0),G41),0)</f>
        <v>0</v>
      </c>
      <c r="H42" s="268">
        <f>IF(B14="YES",MIN(MAX(H28-H40,0),H41),0)</f>
        <v>0</v>
      </c>
      <c r="I42" s="268">
        <f>IF(B14="YES",MIN(MAX(I28-I40,0),I41),0)</f>
        <v>0</v>
      </c>
      <c r="J42" s="268">
        <f>IF(B14="YES",MIN(MAX(J28-J40,0),J41),0)</f>
        <v>0</v>
      </c>
      <c r="K42" s="268">
        <f>IF(B14="YES",MIN(MAX(K28-K40,0),K41),0)</f>
        <v>0</v>
      </c>
      <c r="L42" s="584"/>
      <c r="M42" s="268">
        <f>SUM(B42:K42)</f>
        <v>0</v>
      </c>
    </row>
    <row r="43" spans="1:16" ht="18" customHeight="1" x14ac:dyDescent="0.2">
      <c r="A43" s="270" t="s">
        <v>2004</v>
      </c>
      <c r="B43" s="157">
        <f t="shared" ref="B43:K43" si="1">MAX(B28-B40-B42,0)</f>
        <v>0</v>
      </c>
      <c r="C43" s="157">
        <f t="shared" si="1"/>
        <v>0</v>
      </c>
      <c r="D43" s="157">
        <f t="shared" si="1"/>
        <v>0</v>
      </c>
      <c r="E43" s="157">
        <f t="shared" si="1"/>
        <v>0</v>
      </c>
      <c r="F43" s="157">
        <f t="shared" si="1"/>
        <v>0</v>
      </c>
      <c r="G43" s="157">
        <f t="shared" si="1"/>
        <v>0</v>
      </c>
      <c r="H43" s="157">
        <f t="shared" si="1"/>
        <v>0</v>
      </c>
      <c r="I43" s="157">
        <f t="shared" si="1"/>
        <v>0</v>
      </c>
      <c r="J43" s="157">
        <f t="shared" si="1"/>
        <v>0</v>
      </c>
      <c r="K43" s="157">
        <f t="shared" si="1"/>
        <v>0</v>
      </c>
      <c r="L43" s="157">
        <f>MAX(B35,0)</f>
        <v>0</v>
      </c>
      <c r="M43" s="157">
        <f>SUM(B43:L43)</f>
        <v>0</v>
      </c>
    </row>
    <row r="45" spans="1:16" ht="18" customHeight="1" x14ac:dyDescent="0.2">
      <c r="A45" s="9" t="s">
        <v>2005</v>
      </c>
      <c r="B45" s="267">
        <f t="shared" ref="B45:L45" si="2">B109</f>
        <v>0</v>
      </c>
      <c r="C45" s="267">
        <f t="shared" si="2"/>
        <v>0</v>
      </c>
      <c r="D45" s="267">
        <f t="shared" si="2"/>
        <v>0</v>
      </c>
      <c r="E45" s="267">
        <f t="shared" si="2"/>
        <v>0</v>
      </c>
      <c r="F45" s="267">
        <f t="shared" si="2"/>
        <v>0</v>
      </c>
      <c r="G45" s="267">
        <f t="shared" si="2"/>
        <v>0</v>
      </c>
      <c r="H45" s="267">
        <f t="shared" si="2"/>
        <v>0</v>
      </c>
      <c r="I45" s="267">
        <f t="shared" si="2"/>
        <v>0</v>
      </c>
      <c r="J45" s="267">
        <f t="shared" si="2"/>
        <v>0</v>
      </c>
      <c r="K45" s="267">
        <f t="shared" si="2"/>
        <v>0</v>
      </c>
      <c r="L45" s="267">
        <f t="shared" si="2"/>
        <v>0</v>
      </c>
      <c r="M45" s="267">
        <f>SUM(B45:L45)</f>
        <v>0</v>
      </c>
    </row>
    <row r="46" spans="1:16" ht="18" customHeight="1" x14ac:dyDescent="0.2">
      <c r="A46" s="9" t="s">
        <v>2006</v>
      </c>
      <c r="B46" s="267">
        <f t="shared" ref="B46:L46" si="3">B110</f>
        <v>0</v>
      </c>
      <c r="C46" s="267">
        <f t="shared" si="3"/>
        <v>0</v>
      </c>
      <c r="D46" s="267">
        <f t="shared" si="3"/>
        <v>0</v>
      </c>
      <c r="E46" s="267">
        <f t="shared" si="3"/>
        <v>0</v>
      </c>
      <c r="F46" s="267">
        <f t="shared" si="3"/>
        <v>0</v>
      </c>
      <c r="G46" s="267">
        <f t="shared" si="3"/>
        <v>0</v>
      </c>
      <c r="H46" s="267">
        <f t="shared" si="3"/>
        <v>0</v>
      </c>
      <c r="I46" s="267">
        <f t="shared" si="3"/>
        <v>0</v>
      </c>
      <c r="J46" s="267">
        <f t="shared" si="3"/>
        <v>0</v>
      </c>
      <c r="K46" s="267">
        <f t="shared" si="3"/>
        <v>0</v>
      </c>
      <c r="L46" s="267">
        <f t="shared" si="3"/>
        <v>0</v>
      </c>
      <c r="M46" s="267">
        <f>SUM(B46:L46)</f>
        <v>0</v>
      </c>
    </row>
    <row r="48" spans="1:16" ht="18" customHeight="1" x14ac:dyDescent="0.2">
      <c r="A48" s="583" t="s">
        <v>2007</v>
      </c>
      <c r="B48" s="25">
        <f>IFERROR(IF(Scenarios!$C$159=1,IF(Scenarios!$C$161="Return of Capital",IF(Scenarios!$C$160&gt;0,Scenarios!$C$160,MAX(Scenarios!$F$13-'P&amp;L'!P49,0)),0),0)*$B$9/($B$8+$B$9+$B$10),0)</f>
        <v>0</v>
      </c>
      <c r="C48" s="25">
        <f>IFERROR(IF(Scenarios!$C$159=2,IF(Scenarios!$C$161="Return of Capital",IF(Scenarios!$C$160&gt;0,Scenarios!$C$160,MAX(Scenarios!$F$13-'P&amp;L'!P49,0)),0),0)*$B$9/($B$8+$B$9+$B$10),0)</f>
        <v>0</v>
      </c>
      <c r="D48" s="25">
        <f>IFERROR(IF(Scenarios!$C$159=3,IF(Scenarios!$C$161="Return of Capital",IF(Scenarios!$C$160&gt;0,Scenarios!$C$160,MAX(Scenarios!$F$13-'P&amp;L'!P49,0)),0),0)*$B$9/($B$8+$B$9+$B$10),0)</f>
        <v>0</v>
      </c>
      <c r="E48" s="25">
        <f>IFERROR(IF(Scenarios!$C$159=4,IF(Scenarios!$C$161="Return of Capital",IF(Scenarios!$C$160&gt;0,Scenarios!$C$160,MAX(Scenarios!$F$13-'P&amp;L'!P49,0)),0),0)*$B$9/($B$8+$B$9+$B$10),0)</f>
        <v>0</v>
      </c>
      <c r="F48" s="25">
        <f>IFERROR(IF(Scenarios!$C$159=5,IF(Scenarios!$C$161="Return of Capital",IF(Scenarios!$C$160&gt;0,Scenarios!$C$160,MAX(Scenarios!$F$13-'P&amp;L'!P49,0)),0),0)*$B$9/($B$8+$B$9+$B$10),0)</f>
        <v>0</v>
      </c>
      <c r="G48" s="25">
        <f>IFERROR(IF(Scenarios!$C$159=6,IF(Scenarios!$C$161="Return of Capital",IF(Scenarios!$C$160&gt;0,Scenarios!$C$160,MAX(Scenarios!$F$13-'P&amp;L'!P49,0)),0),0)*$B$9/($B$8+$B$9+$B$10),0)</f>
        <v>0</v>
      </c>
      <c r="H48" s="25">
        <f>IFERROR(IF(Scenarios!$C$159=7,IF(Scenarios!$C$161="Return of Capital",IF(Scenarios!$C$160&gt;0,Scenarios!$C$160,MAX(Scenarios!$F$13-'P&amp;L'!P49,0)),0),0)*$B$9/($B$8+$B$9+$B$10),0)</f>
        <v>0</v>
      </c>
      <c r="I48" s="25">
        <f>IFERROR(IF(Scenarios!$C$159=8,IF(Scenarios!$C$161="Return of Capital",IF(Scenarios!$C$160&gt;0,Scenarios!$C$160,MAX(Scenarios!$F$13-'P&amp;L'!P49,0)),0),0)*$B$9/($B$8+$B$9+$B$10),0)</f>
        <v>0</v>
      </c>
      <c r="J48" s="25">
        <f>IFERROR(IF(Scenarios!$C$159=9,IF(Scenarios!$C$161="Return of Capital",IF(Scenarios!$C$160&gt;0,Scenarios!$C$160,MAX(Scenarios!$F$13-'P&amp;L'!P49,0)),0),0)*$B$9/($B$8+$B$9+$B$10),0)</f>
        <v>0</v>
      </c>
      <c r="K48" s="25">
        <f>IFERROR(IF(Scenarios!$C$159=10,IF(Scenarios!$C$161="Return of Capital",IF(Scenarios!$C$160&gt;0,Scenarios!$C$160,MAX(Scenarios!$F$13-'P&amp;L'!P49,0)),0),0)*$B$9/($B$8+$B$9+$B$10),0)</f>
        <v>0</v>
      </c>
      <c r="L48" s="268">
        <f>MIN(B9,L43)</f>
        <v>0</v>
      </c>
      <c r="M48" s="268">
        <f>SUM(B48:K48)</f>
        <v>0</v>
      </c>
    </row>
    <row r="49" spans="1:13" ht="18" customHeight="1" x14ac:dyDescent="0.2">
      <c r="A49" s="583" t="s">
        <v>2008</v>
      </c>
      <c r="B49" s="25">
        <f>IFERROR(IF(Scenarios!$C$159=1,IF(Scenarios!$C$161="Return of Capital",IF(Scenarios!$C$160&gt;0,Scenarios!$C$160,MAX(Scenarios!$F$13-'P&amp;L'!P49,0)),0),0)*$B$10/($B$8+$B$9+$B$10),0)</f>
        <v>0</v>
      </c>
      <c r="C49" s="25">
        <f>IFERROR(IF(Scenarios!$C$159=2,IF(Scenarios!$C$161="Return of Capital",IF(Scenarios!$C$160&gt;0,Scenarios!$C$160,MAX(Scenarios!$F$13-'P&amp;L'!P49,0)),0),0)*$B$10/($B$8+$B$9+$B$10),0)</f>
        <v>0</v>
      </c>
      <c r="D49" s="25">
        <f>IFERROR(IF(Scenarios!$C$159=3,IF(Scenarios!$C$161="Return of Capital",IF(Scenarios!$C$160&gt;0,Scenarios!$C$160,MAX(Scenarios!$F$13-'P&amp;L'!P49,0)),0),0)*$B$10/($B$8+$B$9+$B$10),0)</f>
        <v>0</v>
      </c>
      <c r="E49" s="25">
        <f>IFERROR(IF(Scenarios!$C$159=4,IF(Scenarios!$C$161="Return of Capital",IF(Scenarios!$C$160&gt;0,Scenarios!$C$160,MAX(Scenarios!$F$13-'P&amp;L'!P49,0)),0),0)*$B$10/($B$8+$B$9+$B$10),0)</f>
        <v>0</v>
      </c>
      <c r="F49" s="25">
        <f>IFERROR(IF(Scenarios!$C$159=5,IF(Scenarios!$C$161="Return of Capital",IF(Scenarios!$C$160&gt;0,Scenarios!$C$160,MAX(Scenarios!$F$13-'P&amp;L'!P49,0)),0),0)*$B$10/($B$8+$B$9+$B$10),0)</f>
        <v>0</v>
      </c>
      <c r="G49" s="25">
        <f>IFERROR(IF(Scenarios!$C$159=6,IF(Scenarios!$C$161="Return of Capital",IF(Scenarios!$C$160&gt;0,Scenarios!$C$160,MAX(Scenarios!$F$13-'P&amp;L'!P49,0)),0),0)*$B$10/($B$8+$B$9+$B$10),0)</f>
        <v>0</v>
      </c>
      <c r="H49" s="25">
        <f>IFERROR(IF(Scenarios!$C$159=7,IF(Scenarios!$C$161="Return of Capital",IF(Scenarios!$C$160&gt;0,Scenarios!$C$160,MAX(Scenarios!$F$13-'P&amp;L'!P49,0)),0),0)*$B$10/($B$8+$B$9+$B$10),0)</f>
        <v>0</v>
      </c>
      <c r="I49" s="25">
        <f>IFERROR(IF(Scenarios!$C$159=8,IF(Scenarios!$C$161="Return of Capital",IF(Scenarios!$C$160&gt;0,Scenarios!$C$160,MAX(Scenarios!$F$13-'P&amp;L'!P49,0)),0),0)*$B$10/($B$8+$B$9+$B$10),0)</f>
        <v>0</v>
      </c>
      <c r="J49" s="25">
        <f>IFERROR(IF(Scenarios!$C$159=9,IF(Scenarios!$C$161="Return of Capital",IF(Scenarios!$C$160&gt;0,Scenarios!$C$160,MAX(Scenarios!$F$13-'P&amp;L'!P49,0)),0),0)*$B$10/($B$8+$B$9+$B$10),0)</f>
        <v>0</v>
      </c>
      <c r="K49" s="25">
        <f>IFERROR(IF(Scenarios!$C$159=10,IF(Scenarios!$C$161="Return of Capital",IF(Scenarios!$C$160&gt;0,Scenarios!$C$160,MAX(Scenarios!$F$13-'P&amp;L'!P49,0)),0),0)*$B$10/($B$8+$B$9+$B$10),0)</f>
        <v>0</v>
      </c>
      <c r="L49" s="268">
        <f>IF(B14="YES",MIN(B10,MAX(L43-L48,0)),0)</f>
        <v>0</v>
      </c>
      <c r="M49" s="268">
        <f>SUM(B49:K49)</f>
        <v>0</v>
      </c>
    </row>
    <row r="50" spans="1:13" ht="18" customHeight="1" x14ac:dyDescent="0.2">
      <c r="A50" s="583" t="s">
        <v>2009</v>
      </c>
      <c r="B50" s="25">
        <f>IFERROR(IF(Scenarios!$C$159=1,IF(Scenarios!$C$161="Return of Capital",IF(Scenarios!$C$160&gt;0,Scenarios!$C$160,MAX(Scenarios!$F$13-'P&amp;L'!P49,0)),0),0)*$B$8/($B$8+$B$9+$B$10),0)</f>
        <v>0</v>
      </c>
      <c r="C50" s="25">
        <f>IFERROR(IF(Scenarios!$C$159=2,IF(Scenarios!$C$161="Return of Capital",IF(Scenarios!$C$160&gt;0,Scenarios!$C$160,MAX(Scenarios!$F$13-'P&amp;L'!P49,0)),0),0)*$B$8/($B$8+$B$9+$B$10),0)</f>
        <v>0</v>
      </c>
      <c r="D50" s="25">
        <f>IFERROR(IF(Scenarios!$C$159=3,IF(Scenarios!$C$161="Return of Capital",IF(Scenarios!$C$160&gt;0,Scenarios!$C$160,MAX(Scenarios!$F$13-'P&amp;L'!P49,0)),0),0)*$B$8/($B$8+$B$9+$B$10),0)</f>
        <v>0</v>
      </c>
      <c r="E50" s="25">
        <f>IFERROR(IF(Scenarios!$C$159=4,IF(Scenarios!$C$161="Return of Capital",IF(Scenarios!$C$160&gt;0,Scenarios!$C$160,MAX(Scenarios!$F$13-'P&amp;L'!P49,0)),0),0)*$B$8/($B$8+$B$9+$B$10),0)</f>
        <v>0</v>
      </c>
      <c r="F50" s="25">
        <f>IFERROR(IF(Scenarios!$C$159=5,IF(Scenarios!$C$161="Return of Capital",IF(Scenarios!$C$160&gt;0,Scenarios!$C$160,MAX(Scenarios!$F$13-'P&amp;L'!P49,0)),0),0)*$B$8/($B$8+$B$9+$B$10),0)</f>
        <v>0</v>
      </c>
      <c r="G50" s="25">
        <f>IFERROR(IF(Scenarios!$C$159=6,IF(Scenarios!$C$161="Return of Capital",IF(Scenarios!$C$160&gt;0,Scenarios!$C$160,MAX(Scenarios!$F$13-'P&amp;L'!P49,0)),0),0)*$B$8/($B$8+$B$9+$B$10),0)</f>
        <v>0</v>
      </c>
      <c r="H50" s="25">
        <f>IFERROR(IF(Scenarios!$C$159=7,IF(Scenarios!$C$161="Return of Capital",IF(Scenarios!$C$160&gt;0,Scenarios!$C$160,MAX(Scenarios!$F$13-'P&amp;L'!P49,0)),0),0)*$B$8/($B$8+$B$9+$B$10),0)</f>
        <v>0</v>
      </c>
      <c r="I50" s="25">
        <f>IFERROR(IF(Scenarios!$C$159=8,IF(Scenarios!$C$161="Return of Capital",IF(Scenarios!$C$160&gt;0,Scenarios!$C$160,MAX(Scenarios!$F$13-'P&amp;L'!P49,0)),0),0)*$B$8/($B$8+$B$9+$B$10),0)</f>
        <v>0</v>
      </c>
      <c r="J50" s="25">
        <f>IFERROR(IF(Scenarios!$C$159=9,IF(Scenarios!$C$161="Return of Capital",IF(Scenarios!$C$160&gt;0,Scenarios!$C$160,MAX(Scenarios!$F$13-'P&amp;L'!P49,0)),0),0)*$B$8/($B$8+$B$9+$B$10),0)</f>
        <v>0</v>
      </c>
      <c r="K50" s="25">
        <f>IFERROR(IF(Scenarios!$C$159=10,IF(Scenarios!$C$161="Return of Capital",IF(Scenarios!$C$160&gt;0,Scenarios!$C$160,MAX(Scenarios!$F$13-'P&amp;L'!P49,0)),0),0)*$B$8/($B$8+$B$9+$B$10),0)</f>
        <v>0</v>
      </c>
      <c r="L50" s="268">
        <f>MIN(B8,MAX(L43-L48-L49,0))</f>
        <v>0</v>
      </c>
      <c r="M50" s="268">
        <f>SUM(B50:K50)</f>
        <v>0</v>
      </c>
    </row>
    <row r="52" spans="1:13" ht="18" customHeight="1" x14ac:dyDescent="0.2">
      <c r="A52" s="117" t="s">
        <v>2010</v>
      </c>
      <c r="B52" s="585">
        <f t="shared" ref="B52:L52" si="4">IF($E$12="Common Equity",B40+B45*IFERROR($B$9/($B$9+$B$10),1)+B48,B40+B45+B48)</f>
        <v>0</v>
      </c>
      <c r="C52" s="585">
        <f t="shared" si="4"/>
        <v>0</v>
      </c>
      <c r="D52" s="585">
        <f t="shared" si="4"/>
        <v>0</v>
      </c>
      <c r="E52" s="585">
        <f t="shared" si="4"/>
        <v>0</v>
      </c>
      <c r="F52" s="585">
        <f t="shared" si="4"/>
        <v>0</v>
      </c>
      <c r="G52" s="585">
        <f t="shared" si="4"/>
        <v>0</v>
      </c>
      <c r="H52" s="585">
        <f t="shared" si="4"/>
        <v>0</v>
      </c>
      <c r="I52" s="585">
        <f t="shared" si="4"/>
        <v>0</v>
      </c>
      <c r="J52" s="585">
        <f t="shared" si="4"/>
        <v>0</v>
      </c>
      <c r="K52" s="585">
        <f t="shared" si="4"/>
        <v>0</v>
      </c>
      <c r="L52" s="585">
        <f t="shared" si="4"/>
        <v>0</v>
      </c>
      <c r="M52" s="585">
        <f>SUM(B52:L52)</f>
        <v>0</v>
      </c>
    </row>
    <row r="53" spans="1:13" ht="18" customHeight="1" x14ac:dyDescent="0.2">
      <c r="A53" s="586" t="s">
        <v>2011</v>
      </c>
      <c r="B53" s="587">
        <f t="shared" ref="B53:L53" si="5">IF($E$12="Common Equity",B42+B45*IFERROR($B$10/($B$9+$B$10),0)+B49,B42+B49)</f>
        <v>0</v>
      </c>
      <c r="C53" s="587">
        <f t="shared" si="5"/>
        <v>0</v>
      </c>
      <c r="D53" s="587">
        <f t="shared" si="5"/>
        <v>0</v>
      </c>
      <c r="E53" s="587">
        <f t="shared" si="5"/>
        <v>0</v>
      </c>
      <c r="F53" s="587">
        <f t="shared" si="5"/>
        <v>0</v>
      </c>
      <c r="G53" s="587">
        <f t="shared" si="5"/>
        <v>0</v>
      </c>
      <c r="H53" s="587">
        <f t="shared" si="5"/>
        <v>0</v>
      </c>
      <c r="I53" s="587">
        <f t="shared" si="5"/>
        <v>0</v>
      </c>
      <c r="J53" s="587">
        <f t="shared" si="5"/>
        <v>0</v>
      </c>
      <c r="K53" s="587">
        <f t="shared" si="5"/>
        <v>0</v>
      </c>
      <c r="L53" s="587">
        <f t="shared" si="5"/>
        <v>0</v>
      </c>
      <c r="M53" s="587">
        <f>SUM(B53:L53)</f>
        <v>0</v>
      </c>
    </row>
    <row r="54" spans="1:13" ht="18" customHeight="1" x14ac:dyDescent="0.2">
      <c r="A54" s="224" t="s">
        <v>2012</v>
      </c>
      <c r="B54" s="490">
        <f t="shared" ref="B54:L54" si="6">B52+B53</f>
        <v>0</v>
      </c>
      <c r="C54" s="490">
        <f t="shared" si="6"/>
        <v>0</v>
      </c>
      <c r="D54" s="490">
        <f t="shared" si="6"/>
        <v>0</v>
      </c>
      <c r="E54" s="490">
        <f t="shared" si="6"/>
        <v>0</v>
      </c>
      <c r="F54" s="490">
        <f t="shared" si="6"/>
        <v>0</v>
      </c>
      <c r="G54" s="490">
        <f t="shared" si="6"/>
        <v>0</v>
      </c>
      <c r="H54" s="490">
        <f t="shared" si="6"/>
        <v>0</v>
      </c>
      <c r="I54" s="490">
        <f t="shared" si="6"/>
        <v>0</v>
      </c>
      <c r="J54" s="490">
        <f t="shared" si="6"/>
        <v>0</v>
      </c>
      <c r="K54" s="490">
        <f t="shared" si="6"/>
        <v>0</v>
      </c>
      <c r="L54" s="490">
        <f t="shared" si="6"/>
        <v>0</v>
      </c>
      <c r="M54" s="490">
        <f>SUM(B54:L54)</f>
        <v>0</v>
      </c>
    </row>
    <row r="55" spans="1:13" ht="18" customHeight="1" x14ac:dyDescent="0.2">
      <c r="A55" s="41" t="s">
        <v>2013</v>
      </c>
      <c r="B55" s="285">
        <f t="shared" ref="B55:L55" si="7">B46+B50</f>
        <v>0</v>
      </c>
      <c r="C55" s="285">
        <f t="shared" si="7"/>
        <v>0</v>
      </c>
      <c r="D55" s="285">
        <f t="shared" si="7"/>
        <v>0</v>
      </c>
      <c r="E55" s="285">
        <f t="shared" si="7"/>
        <v>0</v>
      </c>
      <c r="F55" s="285">
        <f t="shared" si="7"/>
        <v>0</v>
      </c>
      <c r="G55" s="285">
        <f t="shared" si="7"/>
        <v>0</v>
      </c>
      <c r="H55" s="285">
        <f t="shared" si="7"/>
        <v>0</v>
      </c>
      <c r="I55" s="285">
        <f t="shared" si="7"/>
        <v>0</v>
      </c>
      <c r="J55" s="285">
        <f t="shared" si="7"/>
        <v>0</v>
      </c>
      <c r="K55" s="285">
        <f t="shared" si="7"/>
        <v>0</v>
      </c>
      <c r="L55" s="285">
        <f t="shared" si="7"/>
        <v>0</v>
      </c>
      <c r="M55" s="285">
        <f>SUM(B55:L55)</f>
        <v>0</v>
      </c>
    </row>
    <row r="57" spans="1:13" ht="24" customHeight="1" x14ac:dyDescent="0.2">
      <c r="A57" s="938" t="s">
        <v>50</v>
      </c>
      <c r="B57" s="938"/>
      <c r="C57" s="938"/>
      <c r="D57" s="938"/>
      <c r="E57" s="938"/>
      <c r="F57" s="938"/>
      <c r="G57" s="938"/>
      <c r="H57" s="938"/>
      <c r="I57" s="938"/>
      <c r="J57" s="938"/>
      <c r="K57" s="938"/>
      <c r="L57" s="938"/>
      <c r="M57" s="938"/>
    </row>
    <row r="58" spans="1:13" ht="30" customHeight="1" x14ac:dyDescent="0.2">
      <c r="A58" s="34" t="s">
        <v>11</v>
      </c>
      <c r="B58" s="21" t="s">
        <v>51</v>
      </c>
      <c r="C58" s="477" t="s">
        <v>52</v>
      </c>
      <c r="D58" s="124" t="s">
        <v>2014</v>
      </c>
      <c r="E58" s="34" t="s">
        <v>54</v>
      </c>
      <c r="F58" s="985" t="s">
        <v>55</v>
      </c>
      <c r="G58" s="985"/>
      <c r="H58" s="985"/>
      <c r="I58" s="985"/>
      <c r="J58" s="985"/>
      <c r="K58" s="985"/>
      <c r="L58" s="985"/>
    </row>
    <row r="59" spans="1:13" ht="18" customHeight="1" x14ac:dyDescent="0.2">
      <c r="A59" s="9" t="s">
        <v>246</v>
      </c>
      <c r="B59" s="588">
        <f>-B9</f>
        <v>0</v>
      </c>
      <c r="C59" s="588">
        <f>IF(1&gt;$B$5,0,B52+IF(1=$B$5,L52,0))</f>
        <v>0</v>
      </c>
      <c r="D59" s="588">
        <f>IF(2&gt;$B$5,0,C52+IF(2=$B$5,L52,0))</f>
        <v>0</v>
      </c>
      <c r="E59" s="588">
        <f>IF(3&gt;$B$5,0,D52+IF(3=$B$5,L52,0))</f>
        <v>0</v>
      </c>
      <c r="F59" s="588">
        <f>IF(4&gt;$B$5,0,E52+IF(4=$B$5,L52,0))</f>
        <v>0</v>
      </c>
      <c r="G59" s="588">
        <f>IF(5&gt;$B$5,0,F52+IF(5=$B$5,L52,0))</f>
        <v>0</v>
      </c>
      <c r="H59" s="588">
        <f>IF(6&gt;$B$5,0,G52+IF(6=$B$5,L52,0))</f>
        <v>0</v>
      </c>
      <c r="I59" s="588">
        <f>IF(7&gt;$B$5,0,H52+IF(7=$B$5,L52,0))</f>
        <v>0</v>
      </c>
      <c r="J59" s="588">
        <f>IF(8&gt;$B$5,0,I52+IF(8=$B$5,L52,0))</f>
        <v>0</v>
      </c>
      <c r="K59" s="588">
        <f>IF(9&gt;$B$5,0,J52+IF(9=$B$5,L52,0))</f>
        <v>0</v>
      </c>
      <c r="L59" s="588">
        <f>IF(10&gt;$B$5,0,K52+IF(10=$B$5,L52,0))</f>
        <v>0</v>
      </c>
      <c r="M59" s="589">
        <v>0</v>
      </c>
    </row>
    <row r="60" spans="1:13" ht="18" customHeight="1" x14ac:dyDescent="0.2">
      <c r="A60" s="9" t="s">
        <v>247</v>
      </c>
      <c r="B60" s="588">
        <f>-B10</f>
        <v>0</v>
      </c>
      <c r="C60" s="588">
        <f>IF(1&gt;$B$5,0,B53+IF(1=$B$5,L53,0))</f>
        <v>0</v>
      </c>
      <c r="D60" s="588">
        <f>IF(2&gt;$B$5,0,C53+IF(2=$B$5,L53,0))</f>
        <v>0</v>
      </c>
      <c r="E60" s="588">
        <f>IF(3&gt;$B$5,0,D53+IF(3=$B$5,L53,0))</f>
        <v>0</v>
      </c>
      <c r="F60" s="588">
        <f>IF(4&gt;$B$5,0,E53+IF(4=$B$5,L53,0))</f>
        <v>0</v>
      </c>
      <c r="G60" s="588">
        <f>IF(5&gt;$B$5,0,F53+IF(5=$B$5,L53,0))</f>
        <v>0</v>
      </c>
      <c r="H60" s="588">
        <f>IF(6&gt;$B$5,0,G53+IF(6=$B$5,L53,0))</f>
        <v>0</v>
      </c>
      <c r="I60" s="588">
        <f>IF(7&gt;$B$5,0,H53+IF(7=$B$5,L53,0))</f>
        <v>0</v>
      </c>
      <c r="J60" s="588">
        <f>IF(8&gt;$B$5,0,I53+IF(8=$B$5,L53,0))</f>
        <v>0</v>
      </c>
      <c r="K60" s="588">
        <f>IF(9&gt;$B$5,0,J53+IF(9=$B$5,L53,0))</f>
        <v>0</v>
      </c>
      <c r="L60" s="588">
        <f>IF(10&gt;$B$5,0,K53+IF(10=$B$5,L53,0))</f>
        <v>0</v>
      </c>
      <c r="M60" s="589">
        <v>0</v>
      </c>
    </row>
    <row r="61" spans="1:13" ht="18" customHeight="1" x14ac:dyDescent="0.2">
      <c r="A61" s="9" t="s">
        <v>248</v>
      </c>
      <c r="B61" s="588">
        <f>-B8</f>
        <v>0</v>
      </c>
      <c r="C61" s="588">
        <f>IF(1&gt;$B$5,0,B55+IF(1=$B$5,L55,0))</f>
        <v>0</v>
      </c>
      <c r="D61" s="588">
        <f>IF(2&gt;$B$5,0,C55+IF(2=$B$5,L55,0))</f>
        <v>0</v>
      </c>
      <c r="E61" s="588">
        <f>IF(3&gt;$B$5,0,D55+IF(3=$B$5,L55,0))</f>
        <v>0</v>
      </c>
      <c r="F61" s="588">
        <f>IF(4&gt;$B$5,0,E55+IF(4=$B$5,L55,0))</f>
        <v>0</v>
      </c>
      <c r="G61" s="588">
        <f>IF(5&gt;$B$5,0,F55+IF(5=$B$5,L55,0))</f>
        <v>0</v>
      </c>
      <c r="H61" s="588">
        <f>IF(6&gt;$B$5,0,G55+IF(6=$B$5,L55,0))</f>
        <v>0</v>
      </c>
      <c r="I61" s="588">
        <f>IF(7&gt;$B$5,0,H55+IF(7=$B$5,L55,0))</f>
        <v>0</v>
      </c>
      <c r="J61" s="588">
        <f>IF(8&gt;$B$5,0,I55+IF(8=$B$5,L55,0))</f>
        <v>0</v>
      </c>
      <c r="K61" s="588">
        <f>IF(9&gt;$B$5,0,J55+IF(9=$B$5,L55,0))</f>
        <v>0</v>
      </c>
      <c r="L61" s="588">
        <f>IF(10&gt;$B$5,0,K55+IF(10=$B$5,L55,0))</f>
        <v>0</v>
      </c>
      <c r="M61" s="589">
        <v>0</v>
      </c>
    </row>
    <row r="62" spans="1:13" ht="18" customHeight="1" x14ac:dyDescent="0.2">
      <c r="A62" s="9" t="s">
        <v>56</v>
      </c>
      <c r="B62" s="267">
        <f>B9</f>
        <v>0</v>
      </c>
      <c r="C62" s="267">
        <f>B10</f>
        <v>0</v>
      </c>
      <c r="D62" s="267">
        <f>B9+B10</f>
        <v>0</v>
      </c>
      <c r="E62" s="267">
        <f>B8</f>
        <v>0</v>
      </c>
    </row>
    <row r="63" spans="1:13" ht="18" customHeight="1" x14ac:dyDescent="0.2">
      <c r="A63" s="11" t="s">
        <v>58</v>
      </c>
      <c r="B63" s="424">
        <f>M52</f>
        <v>0</v>
      </c>
      <c r="C63" s="424">
        <f>M53</f>
        <v>0</v>
      </c>
      <c r="D63" s="424">
        <f>M54</f>
        <v>0</v>
      </c>
      <c r="E63" s="424">
        <f>M55</f>
        <v>0</v>
      </c>
    </row>
    <row r="64" spans="1:13" ht="18" customHeight="1" x14ac:dyDescent="0.2">
      <c r="A64" s="9" t="s">
        <v>61</v>
      </c>
      <c r="B64" s="590">
        <f>IFERROR(B63/B62,0)</f>
        <v>0</v>
      </c>
      <c r="C64" s="590">
        <f>IFERROR(C63/C62,0)</f>
        <v>0</v>
      </c>
      <c r="D64" s="590">
        <f>IFERROR(D63/D62,0)</f>
        <v>0</v>
      </c>
      <c r="E64" s="590">
        <f>IFERROR(E63/E62,0)</f>
        <v>0</v>
      </c>
    </row>
    <row r="65" spans="1:14" ht="18" customHeight="1" x14ac:dyDescent="0.2">
      <c r="A65" s="11" t="s">
        <v>60</v>
      </c>
      <c r="B65" s="424">
        <f>B63-B62</f>
        <v>0</v>
      </c>
      <c r="C65" s="424">
        <f>C63-C62</f>
        <v>0</v>
      </c>
      <c r="D65" s="424">
        <f>D63-D62</f>
        <v>0</v>
      </c>
      <c r="E65" s="424">
        <f>E63-E62</f>
        <v>0</v>
      </c>
    </row>
    <row r="66" spans="1:14" ht="18" customHeight="1" x14ac:dyDescent="0.2">
      <c r="A66" s="9" t="s">
        <v>63</v>
      </c>
      <c r="B66" s="591">
        <f>IFERROR(IRR(B59:M59),0)</f>
        <v>0</v>
      </c>
      <c r="C66" s="591">
        <f>IFERROR(IRR(B60:M60),0)</f>
        <v>0</v>
      </c>
      <c r="D66" s="591">
        <f>IFERROR(IF(B10=0,B66,IRR(B67:M67)),0)</f>
        <v>0</v>
      </c>
      <c r="E66" s="591">
        <f>IFERROR(IRR(B61:M61),0)</f>
        <v>0</v>
      </c>
    </row>
    <row r="67" spans="1:14" ht="15.75" customHeight="1" x14ac:dyDescent="0.2">
      <c r="A67" s="248" t="s">
        <v>249</v>
      </c>
      <c r="B67" s="592">
        <f>-(B9+B10)</f>
        <v>0</v>
      </c>
      <c r="C67" s="592">
        <f>IF(1&gt;$B$5,0,B52+B53+IF(1=$B$5,L52+L53,0))</f>
        <v>0</v>
      </c>
      <c r="D67" s="592">
        <f>IF(2&gt;$B$5,0,C52+C53+IF(2=$B$5,L52+L53,0))</f>
        <v>0</v>
      </c>
      <c r="E67" s="592">
        <f>IF(3&gt;$B$5,0,D52+D53+IF(3=$B$5,L52+L53,0))</f>
        <v>0</v>
      </c>
      <c r="F67" s="592">
        <f>IF(4&gt;$B$5,0,E52+E53+IF(4=$B$5,L52+L53,0))</f>
        <v>0</v>
      </c>
      <c r="G67" s="592">
        <f>IF(5&gt;$B$5,0,F52+F53+IF(5=$B$5,L52+L53,0))</f>
        <v>0</v>
      </c>
      <c r="H67" s="592">
        <f>IF(6&gt;$B$5,0,G52+G53+IF(6=$B$5,L52+L53,0))</f>
        <v>0</v>
      </c>
      <c r="I67" s="592">
        <f>IF(7&gt;$B$5,0,H52+H53+IF(7=$B$5,L52+L53,0))</f>
        <v>0</v>
      </c>
      <c r="J67" s="592">
        <f>IF(8&gt;$B$5,0,I52+I53+IF(8=$B$5,L52+L53,0))</f>
        <v>0</v>
      </c>
      <c r="K67" s="592">
        <f>IF(9&gt;$B$5,0,J52+J53+IF(9=$B$5,L52+L53,0))</f>
        <v>0</v>
      </c>
      <c r="L67" s="592">
        <f>IF(10&gt;$B$5,0,K52+K53+IF(10=$B$5,L52+L53,0))</f>
        <v>0</v>
      </c>
      <c r="M67" s="589">
        <v>0</v>
      </c>
    </row>
    <row r="70" spans="1:14" ht="21.75" customHeight="1" x14ac:dyDescent="0.2">
      <c r="A70" s="938" t="s">
        <v>2015</v>
      </c>
      <c r="B70" s="938"/>
      <c r="C70" s="938"/>
      <c r="D70" s="938"/>
      <c r="E70" s="938"/>
      <c r="F70" s="938"/>
      <c r="G70" s="938"/>
      <c r="H70" s="938"/>
      <c r="I70" s="938"/>
      <c r="J70" s="938"/>
      <c r="K70" s="938"/>
      <c r="L70" s="938"/>
      <c r="M70" s="938"/>
      <c r="N70" s="938"/>
    </row>
    <row r="71" spans="1:14" ht="15.75" customHeight="1" x14ac:dyDescent="0.2">
      <c r="A71" s="104" t="s">
        <v>2016</v>
      </c>
      <c r="B71" s="45" t="s">
        <v>2017</v>
      </c>
      <c r="C71" s="45" t="s">
        <v>2018</v>
      </c>
      <c r="D71" s="45" t="s">
        <v>2019</v>
      </c>
      <c r="E71" s="45" t="s">
        <v>2020</v>
      </c>
      <c r="F71" s="45" t="s">
        <v>2021</v>
      </c>
      <c r="G71" s="45" t="s">
        <v>2022</v>
      </c>
      <c r="H71" s="45" t="s">
        <v>2023</v>
      </c>
      <c r="I71" s="45" t="s">
        <v>2024</v>
      </c>
      <c r="J71" s="45" t="s">
        <v>2025</v>
      </c>
      <c r="K71" s="45" t="s">
        <v>2026</v>
      </c>
      <c r="L71" s="45" t="s">
        <v>2027</v>
      </c>
      <c r="M71" s="45" t="s">
        <v>2028</v>
      </c>
    </row>
    <row r="72" spans="1:14" ht="18" customHeight="1" x14ac:dyDescent="0.2">
      <c r="A72" s="546" t="s">
        <v>2029</v>
      </c>
      <c r="B72" s="487">
        <f>B9</f>
        <v>0</v>
      </c>
      <c r="C72" s="31">
        <f>IF(1&gt;$B$5,0,MAX(B72-IF($B$23="Return of Capital",IF(ISNUMBER('Exit Strategy'!$B$5),IF(1='Exit Strategy'!$B$5,'Exit Strategy'!$B$18*IFERROR($B$9/($B$9+$B$10),1),0),0),0),0))</f>
        <v>0</v>
      </c>
      <c r="D72" s="31">
        <f>IF(2&gt;$B$5,0,MAX(C72-IF($B$23="Return of Capital",IF(ISNUMBER('Exit Strategy'!$B$5),IF(2='Exit Strategy'!$B$5,'Exit Strategy'!$B$18*IFERROR($B$9/($B$9+$B$10),1),0),0),0),0))</f>
        <v>0</v>
      </c>
      <c r="E72" s="31">
        <f>IF(3&gt;$B$5,0,MAX(D72-IF($B$23="Return of Capital",IF(ISNUMBER('Exit Strategy'!$B$5),IF(3='Exit Strategy'!$B$5,'Exit Strategy'!$B$18*IFERROR($B$9/($B$9+$B$10),1),0),0),0),0))</f>
        <v>0</v>
      </c>
      <c r="F72" s="31">
        <f>IF(4&gt;$B$5,0,MAX(E72-IF($B$23="Return of Capital",IF(ISNUMBER('Exit Strategy'!$B$5),IF(4='Exit Strategy'!$B$5,'Exit Strategy'!$B$18*IFERROR($B$9/($B$9+$B$10),1),0),0),0),0))</f>
        <v>0</v>
      </c>
      <c r="G72" s="31">
        <f>IF(5&gt;$B$5,0,MAX(F72-IF($B$23="Return of Capital",IF(ISNUMBER('Exit Strategy'!$B$5),IF(5='Exit Strategy'!$B$5,'Exit Strategy'!$B$18*IFERROR($B$9/($B$9+$B$10),1),0),0),0),0))</f>
        <v>0</v>
      </c>
      <c r="H72" s="31">
        <f>IF(6&gt;$B$5,0,MAX(G72-IF($B$23="Return of Capital",IF(ISNUMBER('Exit Strategy'!$B$5),IF(6='Exit Strategy'!$B$5,'Exit Strategy'!$B$18*IFERROR($B$9/($B$9+$B$10),1),0),0),0),0))</f>
        <v>0</v>
      </c>
      <c r="I72" s="31">
        <f>IF(7&gt;$B$5,0,MAX(H72-IF($B$23="Return of Capital",IF(ISNUMBER('Exit Strategy'!$B$5),IF(7='Exit Strategy'!$B$5,'Exit Strategy'!$B$18*IFERROR($B$9/($B$9+$B$10),1),0),0),0),0))</f>
        <v>0</v>
      </c>
      <c r="J72" s="31">
        <f>IF(8&gt;$B$5,0,MAX(I72-IF($B$23="Return of Capital",IF(ISNUMBER('Exit Strategy'!$B$5),IF(8='Exit Strategy'!$B$5,'Exit Strategy'!$B$18*IFERROR($B$9/($B$9+$B$10),1),0),0),0),0))</f>
        <v>0</v>
      </c>
      <c r="K72" s="31">
        <f>IF(9&gt;$B$5,0,MAX(J72-IF($B$23="Return of Capital",IF(ISNUMBER('Exit Strategy'!$B$5),IF(9='Exit Strategy'!$B$5,'Exit Strategy'!$B$18*IFERROR($B$9/($B$9+$B$10),1),0),0),0),0))</f>
        <v>0</v>
      </c>
      <c r="L72" s="31">
        <f>IF(10&gt;$B$5,0,MAX(K72-IF($B$23="Return of Capital",IF(ISNUMBER('Exit Strategy'!$B$5),IF(10='Exit Strategy'!$B$5,'Exit Strategy'!$B$18*IFERROR($B$9/($B$9+$B$10),1),0),0),0),0))</f>
        <v>0</v>
      </c>
      <c r="N72" s="487">
        <f>MAX(K72-L48,0)</f>
        <v>0</v>
      </c>
    </row>
    <row r="73" spans="1:14" ht="18" customHeight="1" x14ac:dyDescent="0.2">
      <c r="A73" s="593" t="s">
        <v>2030</v>
      </c>
      <c r="B73" s="594" t="s">
        <v>46</v>
      </c>
      <c r="C73" s="23">
        <f>IF($B$23="Return of Capital",IF(ISNUMBER('Exit Strategy'!$B$5),IF(1='Exit Strategy'!$B$5,'Exit Strategy'!$B$18*IFERROR($B$9/($B$9+$B$10),1),0),0),0)</f>
        <v>0</v>
      </c>
      <c r="D73" s="23">
        <f>IF($B$23="Return of Capital",IF(ISNUMBER('Exit Strategy'!$B$5),IF(2='Exit Strategy'!$B$5,'Exit Strategy'!$B$18*IFERROR($B$9/($B$9+$B$10),1),0),0),0)</f>
        <v>0</v>
      </c>
      <c r="E73" s="23">
        <f>IF($B$23="Return of Capital",IF(ISNUMBER('Exit Strategy'!$B$5),IF(3='Exit Strategy'!$B$5,'Exit Strategy'!$B$18*IFERROR($B$9/($B$9+$B$10),1),0),0),0)</f>
        <v>0</v>
      </c>
      <c r="F73" s="23">
        <f>IF($B$23="Return of Capital",IF(ISNUMBER('Exit Strategy'!$B$5),IF(4='Exit Strategy'!$B$5,'Exit Strategy'!$B$18*IFERROR($B$9/($B$9+$B$10),1),0),0),0)</f>
        <v>0</v>
      </c>
      <c r="G73" s="23">
        <f>IF($B$23="Return of Capital",IF(ISNUMBER('Exit Strategy'!$B$5),IF(5='Exit Strategy'!$B$5,'Exit Strategy'!$B$18*IFERROR($B$9/($B$9+$B$10),1),0),0),0)</f>
        <v>0</v>
      </c>
      <c r="H73" s="23">
        <f>IF($B$23="Return of Capital",IF(ISNUMBER('Exit Strategy'!$B$5),IF(6='Exit Strategy'!$B$5,'Exit Strategy'!$B$18*IFERROR($B$9/($B$9+$B$10),1),0),0),0)</f>
        <v>0</v>
      </c>
      <c r="I73" s="23">
        <f>IF($B$23="Return of Capital",IF(ISNUMBER('Exit Strategy'!$B$5),IF(7='Exit Strategy'!$B$5,'Exit Strategy'!$B$18*IFERROR($B$9/($B$9+$B$10),1),0),0),0)</f>
        <v>0</v>
      </c>
      <c r="J73" s="23">
        <f>IF($B$23="Return of Capital",IF(ISNUMBER('Exit Strategy'!$B$5),IF(8='Exit Strategy'!$B$5,'Exit Strategy'!$B$18*IFERROR($B$9/($B$9+$B$10),1),0),0),0)</f>
        <v>0</v>
      </c>
      <c r="K73" s="23">
        <f>IF($B$23="Return of Capital",IF(ISNUMBER('Exit Strategy'!$B$5),IF(9='Exit Strategy'!$B$5,'Exit Strategy'!$B$18*IFERROR($B$9/($B$9+$B$10),1),0),0),0)</f>
        <v>0</v>
      </c>
      <c r="L73" s="23">
        <f>IF($B$23="Return of Capital",IF(ISNUMBER('Exit Strategy'!$B$5),IF(10='Exit Strategy'!$B$5,'Exit Strategy'!$B$18*IFERROR($B$9/($B$9+$B$10),1),0),0),0)</f>
        <v>0</v>
      </c>
      <c r="N73" s="267">
        <f>L48</f>
        <v>0</v>
      </c>
    </row>
    <row r="74" spans="1:14" ht="18" customHeight="1" x14ac:dyDescent="0.2">
      <c r="A74" s="595" t="s">
        <v>2031</v>
      </c>
      <c r="B74" s="174">
        <f t="shared" ref="B74:M74" si="8">B72</f>
        <v>0</v>
      </c>
      <c r="C74" s="174">
        <f t="shared" si="8"/>
        <v>0</v>
      </c>
      <c r="D74" s="174">
        <f t="shared" si="8"/>
        <v>0</v>
      </c>
      <c r="E74" s="174">
        <f t="shared" si="8"/>
        <v>0</v>
      </c>
      <c r="F74" s="174">
        <f t="shared" si="8"/>
        <v>0</v>
      </c>
      <c r="G74" s="174">
        <f t="shared" si="8"/>
        <v>0</v>
      </c>
      <c r="H74" s="174">
        <f t="shared" si="8"/>
        <v>0</v>
      </c>
      <c r="I74" s="174">
        <f t="shared" si="8"/>
        <v>0</v>
      </c>
      <c r="J74" s="174">
        <f t="shared" si="8"/>
        <v>0</v>
      </c>
      <c r="K74" s="174">
        <f t="shared" si="8"/>
        <v>0</v>
      </c>
      <c r="L74" s="174">
        <f t="shared" si="8"/>
        <v>0</v>
      </c>
      <c r="M74" s="174">
        <f t="shared" si="8"/>
        <v>0</v>
      </c>
    </row>
    <row r="76" spans="1:14" ht="18" customHeight="1" x14ac:dyDescent="0.2">
      <c r="A76" s="546" t="s">
        <v>2032</v>
      </c>
      <c r="B76" s="487">
        <f>B9+B10</f>
        <v>0</v>
      </c>
      <c r="C76" s="31">
        <f>IF(1&gt;$B$5,0,MAX(B76-IF($B$23="Return of Capital",IF(ISNUMBER('Exit Strategy'!$B$5),IF(1='Exit Strategy'!$B$5,'Exit Strategy'!$B$18,0),0),0),0))</f>
        <v>0</v>
      </c>
      <c r="D76" s="31">
        <f>IF(2&gt;$B$5,0,MAX(C76-IF($B$23="Return of Capital",IF(ISNUMBER('Exit Strategy'!$B$5),IF(2='Exit Strategy'!$B$5,'Exit Strategy'!$B$18,0),0),0),0))</f>
        <v>0</v>
      </c>
      <c r="E76" s="31">
        <f>IF(3&gt;$B$5,0,MAX(D76-IF($B$23="Return of Capital",IF(ISNUMBER('Exit Strategy'!$B$5),IF(3='Exit Strategy'!$B$5,'Exit Strategy'!$B$18,0),0),0),0))</f>
        <v>0</v>
      </c>
      <c r="F76" s="31">
        <f>IF(4&gt;$B$5,0,MAX(E76-IF($B$23="Return of Capital",IF(ISNUMBER('Exit Strategy'!$B$5),IF(4='Exit Strategy'!$B$5,'Exit Strategy'!$B$18,0),0),0),0))</f>
        <v>0</v>
      </c>
      <c r="G76" s="31">
        <f>IF(5&gt;$B$5,0,MAX(F76-IF($B$23="Return of Capital",IF(ISNUMBER('Exit Strategy'!$B$5),IF(5='Exit Strategy'!$B$5,'Exit Strategy'!$B$18,0),0),0),0))</f>
        <v>0</v>
      </c>
      <c r="H76" s="31">
        <f>IF(6&gt;$B$5,0,MAX(G76-IF($B$23="Return of Capital",IF(ISNUMBER('Exit Strategy'!$B$5),IF(6='Exit Strategy'!$B$5,'Exit Strategy'!$B$18,0),0),0),0))</f>
        <v>0</v>
      </c>
      <c r="I76" s="31">
        <f>IF(7&gt;$B$5,0,MAX(H76-IF($B$23="Return of Capital",IF(ISNUMBER('Exit Strategy'!$B$5),IF(7='Exit Strategy'!$B$5,'Exit Strategy'!$B$18,0),0),0),0))</f>
        <v>0</v>
      </c>
      <c r="J76" s="31">
        <f>IF(8&gt;$B$5,0,MAX(I76-IF($B$23="Return of Capital",IF(ISNUMBER('Exit Strategy'!$B$5),IF(8='Exit Strategy'!$B$5,'Exit Strategy'!$B$18,0),0),0),0))</f>
        <v>0</v>
      </c>
      <c r="K76" s="31">
        <f>IF(9&gt;$B$5,0,MAX(J76-IF($B$23="Return of Capital",IF(ISNUMBER('Exit Strategy'!$B$5),IF(9='Exit Strategy'!$B$5,'Exit Strategy'!$B$18,0),0),0),0))</f>
        <v>0</v>
      </c>
      <c r="L76" s="31">
        <f>IF(10&gt;$B$5,0,MAX(K76-IF($B$23="Return of Capital",IF(ISNUMBER('Exit Strategy'!$B$5),IF(10='Exit Strategy'!$B$5,'Exit Strategy'!$B$18,0),0),0),0))</f>
        <v>0</v>
      </c>
      <c r="N76" s="487">
        <f>MAX(K76-L48-L49,0)</f>
        <v>0</v>
      </c>
    </row>
    <row r="77" spans="1:14" ht="18" customHeight="1" x14ac:dyDescent="0.2">
      <c r="A77" s="593" t="s">
        <v>2033</v>
      </c>
      <c r="B77" s="594" t="s">
        <v>46</v>
      </c>
      <c r="C77" s="23">
        <f>IF($B$23="Return of Capital",IF(ISNUMBER('Exit Strategy'!$B$5),IF(1='Exit Strategy'!$B$5,'Exit Strategy'!$B$18,0),0),0)</f>
        <v>0</v>
      </c>
      <c r="D77" s="23">
        <f>IF($B$23="Return of Capital",IF(ISNUMBER('Exit Strategy'!$B$5),IF(2='Exit Strategy'!$B$5,'Exit Strategy'!$B$18,0),0),0)</f>
        <v>0</v>
      </c>
      <c r="E77" s="23">
        <f>IF($B$23="Return of Capital",IF(ISNUMBER('Exit Strategy'!$B$5),IF(3='Exit Strategy'!$B$5,'Exit Strategy'!$B$18,0),0),0)</f>
        <v>0</v>
      </c>
      <c r="F77" s="23">
        <f>IF($B$23="Return of Capital",IF(ISNUMBER('Exit Strategy'!$B$5),IF(4='Exit Strategy'!$B$5,'Exit Strategy'!$B$18,0),0),0)</f>
        <v>0</v>
      </c>
      <c r="G77" s="23">
        <f>IF($B$23="Return of Capital",IF(ISNUMBER('Exit Strategy'!$B$5),IF(5='Exit Strategy'!$B$5,'Exit Strategy'!$B$18,0),0),0)</f>
        <v>0</v>
      </c>
      <c r="H77" s="23">
        <f>IF($B$23="Return of Capital",IF(ISNUMBER('Exit Strategy'!$B$5),IF(6='Exit Strategy'!$B$5,'Exit Strategy'!$B$18,0),0),0)</f>
        <v>0</v>
      </c>
      <c r="I77" s="23">
        <f>IF($B$23="Return of Capital",IF(ISNUMBER('Exit Strategy'!$B$5),IF(7='Exit Strategy'!$B$5,'Exit Strategy'!$B$18,0),0),0)</f>
        <v>0</v>
      </c>
      <c r="J77" s="23">
        <f>IF($B$23="Return of Capital",IF(ISNUMBER('Exit Strategy'!$B$5),IF(8='Exit Strategy'!$B$5,'Exit Strategy'!$B$18,0),0),0)</f>
        <v>0</v>
      </c>
      <c r="K77" s="23">
        <f>IF($B$23="Return of Capital",IF(ISNUMBER('Exit Strategy'!$B$5),IF(9='Exit Strategy'!$B$5,'Exit Strategy'!$B$18,0),0),0)</f>
        <v>0</v>
      </c>
      <c r="L77" s="23">
        <f>IF($B$23="Return of Capital",IF(ISNUMBER('Exit Strategy'!$B$5),IF(10='Exit Strategy'!$B$5,'Exit Strategy'!$B$18,0),0),0)</f>
        <v>0</v>
      </c>
      <c r="N77" s="267">
        <f>L48+L49</f>
        <v>0</v>
      </c>
    </row>
    <row r="78" spans="1:14" ht="18" customHeight="1" x14ac:dyDescent="0.2">
      <c r="A78" s="595" t="s">
        <v>2034</v>
      </c>
      <c r="B78" s="174">
        <f t="shared" ref="B78:M78" si="9">B76</f>
        <v>0</v>
      </c>
      <c r="C78" s="174">
        <f t="shared" si="9"/>
        <v>0</v>
      </c>
      <c r="D78" s="174">
        <f t="shared" si="9"/>
        <v>0</v>
      </c>
      <c r="E78" s="174">
        <f t="shared" si="9"/>
        <v>0</v>
      </c>
      <c r="F78" s="174">
        <f t="shared" si="9"/>
        <v>0</v>
      </c>
      <c r="G78" s="174">
        <f t="shared" si="9"/>
        <v>0</v>
      </c>
      <c r="H78" s="174">
        <f t="shared" si="9"/>
        <v>0</v>
      </c>
      <c r="I78" s="174">
        <f t="shared" si="9"/>
        <v>0</v>
      </c>
      <c r="J78" s="174">
        <f t="shared" si="9"/>
        <v>0</v>
      </c>
      <c r="K78" s="174">
        <f t="shared" si="9"/>
        <v>0</v>
      </c>
      <c r="L78" s="174">
        <f t="shared" si="9"/>
        <v>0</v>
      </c>
      <c r="M78" s="174">
        <f t="shared" si="9"/>
        <v>0</v>
      </c>
    </row>
    <row r="80" spans="1:14" ht="27.75" customHeight="1" x14ac:dyDescent="0.2">
      <c r="A80" s="944" t="s">
        <v>2035</v>
      </c>
      <c r="B80" s="944"/>
      <c r="C80" s="944"/>
      <c r="D80" s="944"/>
      <c r="E80" s="944"/>
      <c r="F80" s="944"/>
      <c r="G80" s="944"/>
      <c r="H80" s="944"/>
      <c r="I80" s="944"/>
      <c r="J80" s="944"/>
      <c r="K80" s="944"/>
      <c r="L80" s="944"/>
      <c r="M80" s="944"/>
      <c r="N80" s="944"/>
    </row>
    <row r="82" spans="1:13" ht="21.75" customHeight="1" x14ac:dyDescent="0.2">
      <c r="A82" s="986" t="s">
        <v>2036</v>
      </c>
      <c r="B82" s="986"/>
      <c r="C82" s="986"/>
      <c r="D82" s="986"/>
      <c r="E82" s="986"/>
      <c r="F82" s="986"/>
      <c r="G82" s="986"/>
      <c r="H82" s="986"/>
      <c r="I82" s="986"/>
      <c r="J82" s="986"/>
      <c r="K82" s="986"/>
      <c r="L82" s="986"/>
      <c r="M82" s="986"/>
    </row>
    <row r="83" spans="1:13" ht="15.75" customHeight="1" x14ac:dyDescent="0.2">
      <c r="A83" s="46" t="s">
        <v>2037</v>
      </c>
      <c r="B83" s="45" t="s">
        <v>2018</v>
      </c>
      <c r="C83" s="45" t="s">
        <v>2019</v>
      </c>
      <c r="D83" s="45" t="s">
        <v>2020</v>
      </c>
      <c r="E83" s="45" t="s">
        <v>2021</v>
      </c>
      <c r="F83" s="45" t="s">
        <v>2022</v>
      </c>
      <c r="G83" s="45" t="s">
        <v>2023</v>
      </c>
      <c r="H83" s="45" t="s">
        <v>2024</v>
      </c>
      <c r="I83" s="45" t="s">
        <v>2025</v>
      </c>
      <c r="J83" s="45" t="s">
        <v>2026</v>
      </c>
      <c r="K83" s="45" t="s">
        <v>2027</v>
      </c>
      <c r="L83" s="45" t="s">
        <v>2028</v>
      </c>
      <c r="M83" s="45" t="s">
        <v>2038</v>
      </c>
    </row>
    <row r="84" spans="1:13" ht="18" customHeight="1" x14ac:dyDescent="0.2">
      <c r="A84" s="596" t="s">
        <v>250</v>
      </c>
      <c r="B84" s="597">
        <f>Scenarios!F16</f>
        <v>0</v>
      </c>
      <c r="C84" s="598">
        <v>0</v>
      </c>
      <c r="D84" s="598">
        <v>0</v>
      </c>
      <c r="E84" s="598">
        <v>0</v>
      </c>
      <c r="F84" s="598">
        <v>0</v>
      </c>
      <c r="G84" s="598">
        <v>0</v>
      </c>
      <c r="H84" s="598">
        <v>0</v>
      </c>
      <c r="I84" s="598">
        <v>0</v>
      </c>
      <c r="J84" s="598">
        <v>0</v>
      </c>
      <c r="K84" s="598">
        <v>0</v>
      </c>
      <c r="L84" s="598">
        <v>0</v>
      </c>
      <c r="M84" s="599">
        <f>Scenarios!F16</f>
        <v>0</v>
      </c>
    </row>
    <row r="85" spans="1:13" ht="18" customHeight="1" x14ac:dyDescent="0.2">
      <c r="A85" s="596" t="s">
        <v>251</v>
      </c>
      <c r="B85" s="597">
        <f>IF(1&gt;$B$5,0,IFERROR('P&amp;L'!D53,0))</f>
        <v>0</v>
      </c>
      <c r="C85" s="597">
        <f>IF(2&gt;$B$5,0,IFERROR('P&amp;L'!E53,0))</f>
        <v>0</v>
      </c>
      <c r="D85" s="597">
        <f>IF(3&gt;$B$5,0,IFERROR('P&amp;L'!F53,0))</f>
        <v>0</v>
      </c>
      <c r="E85" s="597">
        <f>IF(4&gt;$B$5,0,IFERROR('P&amp;L'!G53,0))</f>
        <v>0</v>
      </c>
      <c r="F85" s="597">
        <f>IF(5&gt;$B$5,0,IFERROR('P&amp;L'!H53,0))</f>
        <v>0</v>
      </c>
      <c r="G85" s="597">
        <f>IF(6&gt;$B$5,0,IFERROR('P&amp;L'!I53,0))</f>
        <v>0</v>
      </c>
      <c r="H85" s="597">
        <f>IF(7&gt;$B$5,0,IFERROR('P&amp;L'!J53,0))</f>
        <v>0</v>
      </c>
      <c r="I85" s="597">
        <f>IF(8&gt;$B$5,0,IFERROR('P&amp;L'!K53,0))</f>
        <v>0</v>
      </c>
      <c r="J85" s="597">
        <f>IF(9&gt;$B$5,0,IFERROR('P&amp;L'!L53,0))</f>
        <v>0</v>
      </c>
      <c r="K85" s="597">
        <f>IF(10&gt;$B$5,0,IFERROR('P&amp;L'!M53,0))</f>
        <v>0</v>
      </c>
      <c r="L85" s="598">
        <v>0</v>
      </c>
      <c r="M85" s="600">
        <f>SUM(B85:L85)</f>
        <v>0</v>
      </c>
    </row>
    <row r="86" spans="1:13" ht="18" customHeight="1" x14ac:dyDescent="0.2">
      <c r="A86" s="596" t="s">
        <v>2039</v>
      </c>
      <c r="B86" s="601">
        <f t="shared" ref="B86:L86" si="10">B46</f>
        <v>0</v>
      </c>
      <c r="C86" s="601">
        <f t="shared" si="10"/>
        <v>0</v>
      </c>
      <c r="D86" s="601">
        <f t="shared" si="10"/>
        <v>0</v>
      </c>
      <c r="E86" s="601">
        <f t="shared" si="10"/>
        <v>0</v>
      </c>
      <c r="F86" s="601">
        <f t="shared" si="10"/>
        <v>0</v>
      </c>
      <c r="G86" s="601">
        <f t="shared" si="10"/>
        <v>0</v>
      </c>
      <c r="H86" s="601">
        <f t="shared" si="10"/>
        <v>0</v>
      </c>
      <c r="I86" s="601">
        <f t="shared" si="10"/>
        <v>0</v>
      </c>
      <c r="J86" s="601">
        <f t="shared" si="10"/>
        <v>0</v>
      </c>
      <c r="K86" s="601">
        <f t="shared" si="10"/>
        <v>0</v>
      </c>
      <c r="L86" s="601">
        <f t="shared" si="10"/>
        <v>0</v>
      </c>
      <c r="M86" s="600">
        <f>SUM(B86:L86)</f>
        <v>0</v>
      </c>
    </row>
    <row r="87" spans="1:13" ht="18" customHeight="1" x14ac:dyDescent="0.2">
      <c r="A87" s="596" t="s">
        <v>252</v>
      </c>
      <c r="B87" s="598">
        <v>0</v>
      </c>
      <c r="C87" s="598">
        <v>0</v>
      </c>
      <c r="D87" s="598">
        <v>0</v>
      </c>
      <c r="E87" s="598">
        <v>0</v>
      </c>
      <c r="F87" s="598">
        <v>0</v>
      </c>
      <c r="G87" s="598">
        <v>0</v>
      </c>
      <c r="H87" s="598">
        <v>0</v>
      </c>
      <c r="I87" s="598">
        <v>0</v>
      </c>
      <c r="J87" s="598">
        <v>0</v>
      </c>
      <c r="K87" s="598">
        <v>0</v>
      </c>
      <c r="L87" s="597" t="str">
        <f>'Exit Strategy'!E20</f>
        <v>Net Proceeds/Profit Paid to Manager</v>
      </c>
      <c r="M87" s="599" t="str">
        <f>'Exit Strategy'!E20</f>
        <v>Net Proceeds/Profit Paid to Manager</v>
      </c>
    </row>
    <row r="88" spans="1:13" ht="18" customHeight="1" x14ac:dyDescent="0.2">
      <c r="A88" s="596" t="s">
        <v>253</v>
      </c>
      <c r="B88" s="598">
        <v>0</v>
      </c>
      <c r="C88" s="598">
        <v>0</v>
      </c>
      <c r="D88" s="598">
        <v>0</v>
      </c>
      <c r="E88" s="598">
        <v>0</v>
      </c>
      <c r="F88" s="598">
        <v>0</v>
      </c>
      <c r="G88" s="598">
        <v>0</v>
      </c>
      <c r="H88" s="598">
        <v>0</v>
      </c>
      <c r="I88" s="598">
        <v>0</v>
      </c>
      <c r="J88" s="598">
        <v>0</v>
      </c>
      <c r="K88" s="598">
        <v>0</v>
      </c>
      <c r="L88" s="601">
        <f>L50</f>
        <v>0</v>
      </c>
      <c r="M88" s="600">
        <f>L50</f>
        <v>0</v>
      </c>
    </row>
    <row r="89" spans="1:13" ht="18" customHeight="1" x14ac:dyDescent="0.2">
      <c r="A89" s="602" t="s">
        <v>2040</v>
      </c>
      <c r="B89" s="603">
        <f t="shared" ref="B89:M89" si="11">B84+B85+B86+B87+B88</f>
        <v>0</v>
      </c>
      <c r="C89" s="603">
        <f t="shared" si="11"/>
        <v>0</v>
      </c>
      <c r="D89" s="603">
        <f t="shared" si="11"/>
        <v>0</v>
      </c>
      <c r="E89" s="603">
        <f t="shared" si="11"/>
        <v>0</v>
      </c>
      <c r="F89" s="603">
        <f t="shared" si="11"/>
        <v>0</v>
      </c>
      <c r="G89" s="603">
        <f t="shared" si="11"/>
        <v>0</v>
      </c>
      <c r="H89" s="603">
        <f t="shared" si="11"/>
        <v>0</v>
      </c>
      <c r="I89" s="603">
        <f t="shared" si="11"/>
        <v>0</v>
      </c>
      <c r="J89" s="603">
        <f t="shared" si="11"/>
        <v>0</v>
      </c>
      <c r="K89" s="603">
        <f t="shared" si="11"/>
        <v>0</v>
      </c>
      <c r="L89" s="603" t="e">
        <f t="shared" si="11"/>
        <v>#VALUE!</v>
      </c>
      <c r="M89" s="603" t="e">
        <f t="shared" si="11"/>
        <v>#VALUE!</v>
      </c>
    </row>
    <row r="91" spans="1:13" ht="21.75" customHeight="1" x14ac:dyDescent="0.2">
      <c r="A91" s="987" t="s">
        <v>2041</v>
      </c>
      <c r="B91" s="987"/>
      <c r="C91" s="987"/>
      <c r="D91" s="987"/>
      <c r="E91" s="987"/>
      <c r="M91" s="149"/>
    </row>
    <row r="92" spans="1:13" ht="15.75" customHeight="1" x14ac:dyDescent="0.2">
      <c r="A92" s="46" t="s">
        <v>1084</v>
      </c>
      <c r="B92" s="45" t="s">
        <v>1984</v>
      </c>
      <c r="C92" s="45" t="s">
        <v>2042</v>
      </c>
      <c r="D92" s="45" t="s">
        <v>55</v>
      </c>
    </row>
    <row r="93" spans="1:13" ht="18" customHeight="1" x14ac:dyDescent="0.2">
      <c r="A93" s="596" t="s">
        <v>2043</v>
      </c>
      <c r="B93" s="601" t="e">
        <f>M84+M85+M87</f>
        <v>#VALUE!</v>
      </c>
      <c r="C93" s="604">
        <f>IFERROR(B93/M89,0)</f>
        <v>0</v>
      </c>
      <c r="D93" s="605" t="s">
        <v>2044</v>
      </c>
    </row>
    <row r="94" spans="1:13" ht="18" customHeight="1" x14ac:dyDescent="0.2">
      <c r="A94" s="596" t="s">
        <v>2045</v>
      </c>
      <c r="B94" s="601">
        <f>M86</f>
        <v>0</v>
      </c>
      <c r="C94" s="604">
        <f>IFERROR(B94/M89,0)</f>
        <v>0</v>
      </c>
      <c r="D94" s="605" t="s">
        <v>2046</v>
      </c>
    </row>
    <row r="95" spans="1:13" ht="18" customHeight="1" x14ac:dyDescent="0.2">
      <c r="A95" s="596" t="s">
        <v>2047</v>
      </c>
      <c r="B95" s="601">
        <f>M88</f>
        <v>0</v>
      </c>
      <c r="C95" s="604">
        <f>IFERROR(B95/M89,0)</f>
        <v>0</v>
      </c>
      <c r="D95" s="605" t="s">
        <v>2048</v>
      </c>
    </row>
    <row r="96" spans="1:13" ht="18" customHeight="1" x14ac:dyDescent="0.2">
      <c r="A96" s="602" t="s">
        <v>1096</v>
      </c>
      <c r="B96" s="603" t="e">
        <f>M89</f>
        <v>#VALUE!</v>
      </c>
      <c r="C96" s="606" t="s">
        <v>2049</v>
      </c>
      <c r="D96" s="602" t="s">
        <v>2050</v>
      </c>
    </row>
    <row r="98" spans="1:13" ht="15.75" customHeight="1" x14ac:dyDescent="0.2">
      <c r="A98" s="944" t="s">
        <v>2051</v>
      </c>
      <c r="B98" s="944"/>
      <c r="C98" s="944"/>
      <c r="D98" s="944"/>
      <c r="E98" s="944"/>
      <c r="F98" s="944"/>
      <c r="G98" s="944"/>
      <c r="H98" s="944"/>
      <c r="I98" s="944"/>
      <c r="J98" s="944"/>
      <c r="K98" s="944"/>
      <c r="L98" s="944"/>
      <c r="M98" s="944"/>
    </row>
    <row r="100" spans="1:13" x14ac:dyDescent="0.2">
      <c r="A100" t="s">
        <v>2052</v>
      </c>
    </row>
    <row r="101" spans="1:13" x14ac:dyDescent="0.2">
      <c r="A101" t="s">
        <v>2053</v>
      </c>
      <c r="B101">
        <f t="shared" ref="B101:K101" si="12">B40+B42+B48+B49</f>
        <v>0</v>
      </c>
      <c r="C101">
        <f t="shared" si="12"/>
        <v>0</v>
      </c>
      <c r="D101">
        <f t="shared" si="12"/>
        <v>0</v>
      </c>
      <c r="E101">
        <f t="shared" si="12"/>
        <v>0</v>
      </c>
      <c r="F101">
        <f t="shared" si="12"/>
        <v>0</v>
      </c>
      <c r="G101">
        <f t="shared" si="12"/>
        <v>0</v>
      </c>
      <c r="H101">
        <f t="shared" si="12"/>
        <v>0</v>
      </c>
      <c r="I101">
        <f t="shared" si="12"/>
        <v>0</v>
      </c>
      <c r="J101">
        <f t="shared" si="12"/>
        <v>0</v>
      </c>
      <c r="K101">
        <f t="shared" si="12"/>
        <v>0</v>
      </c>
      <c r="L101">
        <f>L48+L49</f>
        <v>0</v>
      </c>
    </row>
    <row r="102" spans="1:13" x14ac:dyDescent="0.2">
      <c r="A102" t="s">
        <v>2054</v>
      </c>
      <c r="B102" s="473">
        <f t="shared" ref="B102:K102" si="13">B43</f>
        <v>0</v>
      </c>
      <c r="C102" s="473">
        <f t="shared" si="13"/>
        <v>0</v>
      </c>
      <c r="D102" s="473">
        <f t="shared" si="13"/>
        <v>0</v>
      </c>
      <c r="E102" s="473">
        <f t="shared" si="13"/>
        <v>0</v>
      </c>
      <c r="F102" s="473">
        <f t="shared" si="13"/>
        <v>0</v>
      </c>
      <c r="G102" s="473">
        <f t="shared" si="13"/>
        <v>0</v>
      </c>
      <c r="H102" s="473">
        <f t="shared" si="13"/>
        <v>0</v>
      </c>
      <c r="I102" s="473">
        <f t="shared" si="13"/>
        <v>0</v>
      </c>
      <c r="J102" s="473">
        <f t="shared" si="13"/>
        <v>0</v>
      </c>
      <c r="K102" s="473">
        <f t="shared" si="13"/>
        <v>0</v>
      </c>
      <c r="L102">
        <f>MAX(L43-L48-L49-L50,0)</f>
        <v>0</v>
      </c>
    </row>
    <row r="103" spans="1:13" x14ac:dyDescent="0.2">
      <c r="A103" t="s">
        <v>2055</v>
      </c>
      <c r="B103">
        <f>($B$9+$B$10)*(1+$B$17)</f>
        <v>0</v>
      </c>
      <c r="C103">
        <f t="shared" ref="C103:K103" si="14">B107*(1+$B$17)</f>
        <v>0</v>
      </c>
      <c r="D103">
        <f t="shared" si="14"/>
        <v>0</v>
      </c>
      <c r="E103">
        <f t="shared" si="14"/>
        <v>0</v>
      </c>
      <c r="F103">
        <f t="shared" si="14"/>
        <v>0</v>
      </c>
      <c r="G103">
        <f t="shared" si="14"/>
        <v>0</v>
      </c>
      <c r="H103">
        <f t="shared" si="14"/>
        <v>0</v>
      </c>
      <c r="I103">
        <f t="shared" si="14"/>
        <v>0</v>
      </c>
      <c r="J103">
        <f t="shared" si="14"/>
        <v>0</v>
      </c>
      <c r="K103">
        <f t="shared" si="14"/>
        <v>0</v>
      </c>
      <c r="L103">
        <f>IFERROR(INDEX($B$107:$K$107,1,$B$5),0)</f>
        <v>0</v>
      </c>
    </row>
    <row r="104" spans="1:13" x14ac:dyDescent="0.2">
      <c r="A104" t="s">
        <v>2056</v>
      </c>
      <c r="B104">
        <f>($B$9+$B$10)*(1+$B$20)</f>
        <v>0</v>
      </c>
      <c r="C104">
        <f t="shared" ref="C104:K104" si="15">B108*(1+$B$20)</f>
        <v>0</v>
      </c>
      <c r="D104">
        <f t="shared" si="15"/>
        <v>0</v>
      </c>
      <c r="E104">
        <f t="shared" si="15"/>
        <v>0</v>
      </c>
      <c r="F104">
        <f t="shared" si="15"/>
        <v>0</v>
      </c>
      <c r="G104">
        <f t="shared" si="15"/>
        <v>0</v>
      </c>
      <c r="H104">
        <f t="shared" si="15"/>
        <v>0</v>
      </c>
      <c r="I104">
        <f t="shared" si="15"/>
        <v>0</v>
      </c>
      <c r="J104">
        <f t="shared" si="15"/>
        <v>0</v>
      </c>
      <c r="K104">
        <f t="shared" si="15"/>
        <v>0</v>
      </c>
      <c r="L104">
        <f>IFERROR(INDEX($B$108:$K$108,1,$B$5),0)</f>
        <v>0</v>
      </c>
    </row>
    <row r="105" spans="1:13" x14ac:dyDescent="0.2">
      <c r="A105" t="s">
        <v>2057</v>
      </c>
      <c r="B105">
        <f t="shared" ref="B105:L105" si="16">IF($B$15&lt;=0,B102,MIN(B102,MAX(B103-B101,0)/$B$15))</f>
        <v>0</v>
      </c>
      <c r="C105">
        <f t="shared" si="16"/>
        <v>0</v>
      </c>
      <c r="D105">
        <f t="shared" si="16"/>
        <v>0</v>
      </c>
      <c r="E105">
        <f t="shared" si="16"/>
        <v>0</v>
      </c>
      <c r="F105">
        <f t="shared" si="16"/>
        <v>0</v>
      </c>
      <c r="G105">
        <f t="shared" si="16"/>
        <v>0</v>
      </c>
      <c r="H105">
        <f t="shared" si="16"/>
        <v>0</v>
      </c>
      <c r="I105">
        <f t="shared" si="16"/>
        <v>0</v>
      </c>
      <c r="J105">
        <f t="shared" si="16"/>
        <v>0</v>
      </c>
      <c r="K105">
        <f t="shared" si="16"/>
        <v>0</v>
      </c>
      <c r="L105">
        <f t="shared" si="16"/>
        <v>0</v>
      </c>
    </row>
    <row r="106" spans="1:13" x14ac:dyDescent="0.2">
      <c r="A106" t="s">
        <v>2058</v>
      </c>
      <c r="B106">
        <f t="shared" ref="B106:L106" si="17">IF($B$18&lt;=0,B102-B105,MIN(B102-B105,MAX((B104-B101)-$B$15*B105,0)/$B$18))</f>
        <v>0</v>
      </c>
      <c r="C106">
        <f t="shared" si="17"/>
        <v>0</v>
      </c>
      <c r="D106">
        <f t="shared" si="17"/>
        <v>0</v>
      </c>
      <c r="E106">
        <f t="shared" si="17"/>
        <v>0</v>
      </c>
      <c r="F106">
        <f t="shared" si="17"/>
        <v>0</v>
      </c>
      <c r="G106">
        <f t="shared" si="17"/>
        <v>0</v>
      </c>
      <c r="H106">
        <f t="shared" si="17"/>
        <v>0</v>
      </c>
      <c r="I106">
        <f t="shared" si="17"/>
        <v>0</v>
      </c>
      <c r="J106">
        <f t="shared" si="17"/>
        <v>0</v>
      </c>
      <c r="K106">
        <f t="shared" si="17"/>
        <v>0</v>
      </c>
      <c r="L106">
        <f t="shared" si="17"/>
        <v>0</v>
      </c>
    </row>
    <row r="107" spans="1:13" x14ac:dyDescent="0.2">
      <c r="A107" t="s">
        <v>2059</v>
      </c>
      <c r="B107">
        <f t="shared" ref="B107:L107" si="18">(B103-B101)-$B$15*B105</f>
        <v>0</v>
      </c>
      <c r="C107">
        <f t="shared" si="18"/>
        <v>0</v>
      </c>
      <c r="D107">
        <f t="shared" si="18"/>
        <v>0</v>
      </c>
      <c r="E107">
        <f t="shared" si="18"/>
        <v>0</v>
      </c>
      <c r="F107">
        <f t="shared" si="18"/>
        <v>0</v>
      </c>
      <c r="G107">
        <f t="shared" si="18"/>
        <v>0</v>
      </c>
      <c r="H107">
        <f t="shared" si="18"/>
        <v>0</v>
      </c>
      <c r="I107">
        <f t="shared" si="18"/>
        <v>0</v>
      </c>
      <c r="J107">
        <f t="shared" si="18"/>
        <v>0</v>
      </c>
      <c r="K107">
        <f t="shared" si="18"/>
        <v>0</v>
      </c>
      <c r="L107">
        <f t="shared" si="18"/>
        <v>0</v>
      </c>
    </row>
    <row r="108" spans="1:13" x14ac:dyDescent="0.2">
      <c r="A108" t="s">
        <v>2060</v>
      </c>
      <c r="B108">
        <f t="shared" ref="B108:L108" si="19">(B104-B101)-$B$15*B105-$B$18*B106</f>
        <v>0</v>
      </c>
      <c r="C108">
        <f t="shared" si="19"/>
        <v>0</v>
      </c>
      <c r="D108">
        <f t="shared" si="19"/>
        <v>0</v>
      </c>
      <c r="E108">
        <f t="shared" si="19"/>
        <v>0</v>
      </c>
      <c r="F108">
        <f t="shared" si="19"/>
        <v>0</v>
      </c>
      <c r="G108">
        <f t="shared" si="19"/>
        <v>0</v>
      </c>
      <c r="H108">
        <f t="shared" si="19"/>
        <v>0</v>
      </c>
      <c r="I108">
        <f t="shared" si="19"/>
        <v>0</v>
      </c>
      <c r="J108">
        <f t="shared" si="19"/>
        <v>0</v>
      </c>
      <c r="K108">
        <f t="shared" si="19"/>
        <v>0</v>
      </c>
      <c r="L108">
        <f t="shared" si="19"/>
        <v>0</v>
      </c>
    </row>
    <row r="109" spans="1:13" x14ac:dyDescent="0.2">
      <c r="A109" t="s">
        <v>2061</v>
      </c>
      <c r="B109">
        <f t="shared" ref="B109:L109" si="20">IFERROR($B$15*B105+$B$18*B106+$B$21*(B102-B105-B106),0)</f>
        <v>0</v>
      </c>
      <c r="C109">
        <f t="shared" si="20"/>
        <v>0</v>
      </c>
      <c r="D109">
        <f t="shared" si="20"/>
        <v>0</v>
      </c>
      <c r="E109">
        <f t="shared" si="20"/>
        <v>0</v>
      </c>
      <c r="F109">
        <f t="shared" si="20"/>
        <v>0</v>
      </c>
      <c r="G109">
        <f t="shared" si="20"/>
        <v>0</v>
      </c>
      <c r="H109">
        <f t="shared" si="20"/>
        <v>0</v>
      </c>
      <c r="I109">
        <f t="shared" si="20"/>
        <v>0</v>
      </c>
      <c r="J109">
        <f t="shared" si="20"/>
        <v>0</v>
      </c>
      <c r="K109">
        <f t="shared" si="20"/>
        <v>0</v>
      </c>
      <c r="L109">
        <f t="shared" si="20"/>
        <v>0</v>
      </c>
    </row>
    <row r="110" spans="1:13" x14ac:dyDescent="0.2">
      <c r="A110" t="s">
        <v>2062</v>
      </c>
      <c r="B110">
        <f t="shared" ref="B110:L110" si="21">B102-B109</f>
        <v>0</v>
      </c>
      <c r="C110">
        <f t="shared" si="21"/>
        <v>0</v>
      </c>
      <c r="D110">
        <f t="shared" si="21"/>
        <v>0</v>
      </c>
      <c r="E110">
        <f t="shared" si="21"/>
        <v>0</v>
      </c>
      <c r="F110">
        <f t="shared" si="21"/>
        <v>0</v>
      </c>
      <c r="G110">
        <f t="shared" si="21"/>
        <v>0</v>
      </c>
      <c r="H110">
        <f t="shared" si="21"/>
        <v>0</v>
      </c>
      <c r="I110">
        <f t="shared" si="21"/>
        <v>0</v>
      </c>
      <c r="J110">
        <f t="shared" si="21"/>
        <v>0</v>
      </c>
      <c r="K110">
        <f t="shared" si="21"/>
        <v>0</v>
      </c>
      <c r="L110">
        <f t="shared" si="21"/>
        <v>0</v>
      </c>
    </row>
    <row r="112" spans="1:13" x14ac:dyDescent="0.2">
      <c r="A112" t="s">
        <v>2063</v>
      </c>
    </row>
    <row r="113" spans="1:12" x14ac:dyDescent="0.2">
      <c r="A113" t="s">
        <v>2064</v>
      </c>
      <c r="B113" t="str">
        <f t="shared" ref="B113:L113" si="22">B38</f>
        <v>Year 1</v>
      </c>
      <c r="C113" t="str">
        <f t="shared" si="22"/>
        <v>Year 2</v>
      </c>
      <c r="D113" t="str">
        <f t="shared" si="22"/>
        <v>Year 3</v>
      </c>
      <c r="E113" t="str">
        <f t="shared" si="22"/>
        <v>Year 4</v>
      </c>
      <c r="F113" t="str">
        <f t="shared" si="22"/>
        <v>Year 5</v>
      </c>
      <c r="G113" t="str">
        <f t="shared" si="22"/>
        <v>Year 6</v>
      </c>
      <c r="H113" t="str">
        <f t="shared" si="22"/>
        <v>Year 7</v>
      </c>
      <c r="I113" t="str">
        <f t="shared" si="22"/>
        <v>Year 8</v>
      </c>
      <c r="J113" t="str">
        <f t="shared" si="22"/>
        <v>Year 9</v>
      </c>
      <c r="K113" t="str">
        <f t="shared" si="22"/>
        <v>Year 10</v>
      </c>
      <c r="L113" t="str">
        <f t="shared" si="22"/>
        <v>Exit Proceeds</v>
      </c>
    </row>
    <row r="114" spans="1:12" x14ac:dyDescent="0.2">
      <c r="A114" t="s">
        <v>2065</v>
      </c>
      <c r="B114" t="str">
        <f t="shared" ref="B114:L114" si="23">IFERROR(B109/B102,"")</f>
        <v/>
      </c>
      <c r="C114" t="str">
        <f t="shared" si="23"/>
        <v/>
      </c>
      <c r="D114" t="str">
        <f t="shared" si="23"/>
        <v/>
      </c>
      <c r="E114" t="str">
        <f t="shared" si="23"/>
        <v/>
      </c>
      <c r="F114" t="str">
        <f t="shared" si="23"/>
        <v/>
      </c>
      <c r="G114" t="str">
        <f t="shared" si="23"/>
        <v/>
      </c>
      <c r="H114" t="str">
        <f t="shared" si="23"/>
        <v/>
      </c>
      <c r="I114" t="str">
        <f t="shared" si="23"/>
        <v/>
      </c>
      <c r="J114" t="str">
        <f t="shared" si="23"/>
        <v/>
      </c>
      <c r="K114" t="str">
        <f t="shared" si="23"/>
        <v/>
      </c>
      <c r="L114" t="str">
        <f t="shared" si="23"/>
        <v/>
      </c>
    </row>
    <row r="115" spans="1:12" x14ac:dyDescent="0.2">
      <c r="A115" t="s">
        <v>2066</v>
      </c>
      <c r="B115" t="str">
        <f t="shared" ref="B115:L115" si="24">IF(B102=0,"",REPT("|",ROUND(IFERROR(B109/B102,0)*12,0))&amp;REPT(".",12-ROUND(IFERROR(B109/B102,0)*12,0)))</f>
        <v/>
      </c>
      <c r="C115" t="str">
        <f t="shared" si="24"/>
        <v/>
      </c>
      <c r="D115" t="str">
        <f t="shared" si="24"/>
        <v/>
      </c>
      <c r="E115" t="str">
        <f t="shared" si="24"/>
        <v/>
      </c>
      <c r="F115" t="str">
        <f t="shared" si="24"/>
        <v/>
      </c>
      <c r="G115" t="str">
        <f t="shared" si="24"/>
        <v/>
      </c>
      <c r="H115" t="str">
        <f t="shared" si="24"/>
        <v/>
      </c>
      <c r="I115" t="str">
        <f t="shared" si="24"/>
        <v/>
      </c>
      <c r="J115" t="str">
        <f t="shared" si="24"/>
        <v/>
      </c>
      <c r="K115" t="str">
        <f t="shared" si="24"/>
        <v/>
      </c>
      <c r="L115" t="str">
        <f t="shared" si="24"/>
        <v/>
      </c>
    </row>
    <row r="116" spans="1:12" x14ac:dyDescent="0.2">
      <c r="A116" t="s">
        <v>2067</v>
      </c>
      <c r="B116" t="str">
        <f t="shared" ref="B116:L116" si="25">IF(B102=0,"-","T"&amp;IF((B102-B105-B106)&gt;0.01,"3",IF(B106&gt;0.01,"2","1")))</f>
        <v>-</v>
      </c>
      <c r="C116" t="str">
        <f t="shared" si="25"/>
        <v>-</v>
      </c>
      <c r="D116" t="str">
        <f t="shared" si="25"/>
        <v>-</v>
      </c>
      <c r="E116" t="str">
        <f t="shared" si="25"/>
        <v>-</v>
      </c>
      <c r="F116" t="str">
        <f t="shared" si="25"/>
        <v>-</v>
      </c>
      <c r="G116" t="str">
        <f t="shared" si="25"/>
        <v>-</v>
      </c>
      <c r="H116" t="str">
        <f t="shared" si="25"/>
        <v>-</v>
      </c>
      <c r="I116" t="str">
        <f t="shared" si="25"/>
        <v>-</v>
      </c>
      <c r="J116" t="str">
        <f t="shared" si="25"/>
        <v>-</v>
      </c>
      <c r="K116" t="str">
        <f t="shared" si="25"/>
        <v>-</v>
      </c>
      <c r="L116" t="str">
        <f t="shared" si="25"/>
        <v>-</v>
      </c>
    </row>
    <row r="117" spans="1:12" x14ac:dyDescent="0.2">
      <c r="A117" t="s">
        <v>2068</v>
      </c>
      <c r="B117" t="str">
        <f>IF(AND(($B$9+$B$10)&gt;0,B107&lt;=0),"&lt;= Tier-1 hurdle ("&amp;TEXT($B$17,"0%")&amp;") met","")&amp;IF(AND(($B$9+$B$10)&gt;0,B108&lt;=0)," &lt;= Tier-2 hurdle ("&amp;TEXT($B$20,"0%")&amp;") met","")</f>
        <v/>
      </c>
      <c r="C117" t="str">
        <f t="shared" ref="C117:K117" si="26">IF(AND(B107&gt;0,C107&lt;=0),"&lt;= Tier-1 hurdle ("&amp;TEXT($B$17,"0%")&amp;") met","")&amp;IF(AND(B108&gt;0,C108&lt;=0)," &lt;= Tier-2 hurdle ("&amp;TEXT($B$20,"0%")&amp;") met","")</f>
        <v/>
      </c>
      <c r="D117" t="str">
        <f t="shared" si="26"/>
        <v/>
      </c>
      <c r="E117" t="str">
        <f t="shared" si="26"/>
        <v/>
      </c>
      <c r="F117" t="str">
        <f t="shared" si="26"/>
        <v/>
      </c>
      <c r="G117" t="str">
        <f t="shared" si="26"/>
        <v/>
      </c>
      <c r="H117" t="str">
        <f t="shared" si="26"/>
        <v/>
      </c>
      <c r="I117" t="str">
        <f t="shared" si="26"/>
        <v/>
      </c>
      <c r="J117" t="str">
        <f t="shared" si="26"/>
        <v/>
      </c>
      <c r="K117" t="str">
        <f t="shared" si="26"/>
        <v/>
      </c>
      <c r="L117" t="str">
        <f>IF(AND(IFERROR(INDEX($B$107:$K$107,1,$B$5),0)&gt;0,L107&lt;=0),"&lt;= Tier-1 hurdle ("&amp;TEXT($B$17,"0%")&amp;") met","")&amp;IF(AND(IFERROR(INDEX($B$108:$K$108,1,$B$5),0)&gt;0,L108&lt;=0)," &lt;= Tier-2 hurdle ("&amp;TEXT($B$20,"0%")&amp;") met","")</f>
        <v/>
      </c>
    </row>
  </sheetData>
  <mergeCells count="31">
    <mergeCell ref="A98:M98"/>
    <mergeCell ref="F58:L58"/>
    <mergeCell ref="A70:N70"/>
    <mergeCell ref="A80:N80"/>
    <mergeCell ref="A82:M82"/>
    <mergeCell ref="A91:E91"/>
    <mergeCell ref="C22:M22"/>
    <mergeCell ref="A24:M24"/>
    <mergeCell ref="A30:M30"/>
    <mergeCell ref="A37:M37"/>
    <mergeCell ref="A57:M57"/>
    <mergeCell ref="C17:M17"/>
    <mergeCell ref="C18:M18"/>
    <mergeCell ref="C19:M19"/>
    <mergeCell ref="C20:M20"/>
    <mergeCell ref="C21:M21"/>
    <mergeCell ref="C12:M12"/>
    <mergeCell ref="C13:M13"/>
    <mergeCell ref="C14:M14"/>
    <mergeCell ref="C15:M15"/>
    <mergeCell ref="C16:M16"/>
    <mergeCell ref="C7:M7"/>
    <mergeCell ref="C8:M8"/>
    <mergeCell ref="C9:M9"/>
    <mergeCell ref="C10:M10"/>
    <mergeCell ref="C11:M11"/>
    <mergeCell ref="A1:M1"/>
    <mergeCell ref="A2:M2"/>
    <mergeCell ref="A4:M4"/>
    <mergeCell ref="C5:M5"/>
    <mergeCell ref="C6:M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2"/>
  <sheetViews>
    <sheetView zoomScale="115" zoomScaleNormal="115" workbookViewId="0">
      <selection activeCell="B23" sqref="B23"/>
    </sheetView>
  </sheetViews>
  <sheetFormatPr baseColWidth="10" defaultColWidth="8.83203125" defaultRowHeight="15" outlineLevelCol="3" x14ac:dyDescent="0.2"/>
  <cols>
    <col min="1" max="1" width="42" customWidth="1" outlineLevel="3"/>
    <col min="2" max="2" width="13.5" customWidth="1"/>
    <col min="3" max="3" width="22.83203125" customWidth="1"/>
    <col min="4" max="4" width="8.1640625" customWidth="1"/>
    <col min="5" max="5" width="42" customWidth="1"/>
    <col min="6" max="6" width="13.5" customWidth="1"/>
    <col min="7" max="7" width="22.83203125" customWidth="1"/>
  </cols>
  <sheetData>
    <row r="1" spans="1:8" ht="27.75" customHeight="1" x14ac:dyDescent="0.2">
      <c r="A1" s="991" t="str">
        <f>IF('Prop Info'!B4="","EXIT STRATEGY — REFINANCE &amp; SALE ANALYSIS","EXIT STRATEGY — REFINANCE &amp; SALE ANALYSIS"&amp;" — "&amp;'Prop Info'!B4)</f>
        <v>EXIT STRATEGY — REFINANCE &amp; SALE ANALYSIS</v>
      </c>
      <c r="B1" s="991"/>
      <c r="C1" s="991"/>
      <c r="D1" s="283"/>
      <c r="E1" s="607"/>
      <c r="F1" s="607"/>
      <c r="G1" s="607"/>
      <c r="H1" s="283"/>
    </row>
    <row r="2" spans="1:8" ht="6" customHeight="1" x14ac:dyDescent="0.2">
      <c r="D2" s="283"/>
      <c r="H2" s="283"/>
    </row>
    <row r="3" spans="1:8" ht="6" customHeight="1" x14ac:dyDescent="0.2">
      <c r="D3" s="283"/>
      <c r="H3" s="283"/>
    </row>
    <row r="4" spans="1:8" ht="19.5" customHeight="1" x14ac:dyDescent="0.2">
      <c r="A4" s="608" t="str">
        <f>IF(ISNUMBER(C5),"Refi - Year "&amp;C5,"Refinance (set Refi Year below)")</f>
        <v>Refi - Year 3</v>
      </c>
      <c r="B4" s="609"/>
      <c r="C4" s="609"/>
      <c r="D4" s="283"/>
      <c r="E4" s="610" t="str">
        <f>IF(ISNUMBER(Scenarios!F82),"Sale - Year "&amp;Scenarios!F82,"Sale (set Exit Year in Scenarios)")</f>
        <v>Sale - Year 0</v>
      </c>
      <c r="F4" s="611"/>
      <c r="G4" s="611"/>
      <c r="H4" s="283"/>
    </row>
    <row r="5" spans="1:8" ht="15.75" customHeight="1" x14ac:dyDescent="0.2">
      <c r="A5" s="612" t="s">
        <v>276</v>
      </c>
      <c r="B5" s="613"/>
      <c r="C5" s="614">
        <v>3</v>
      </c>
      <c r="D5" s="283"/>
      <c r="E5" s="615" t="s">
        <v>2069</v>
      </c>
      <c r="F5" s="616"/>
      <c r="G5" s="617" t="str">
        <f t="array" ref="G5">IFERROR(INDEX('P&amp;L'!D40:M40,1,Scenarios!F82),0)</f>
        <v/>
      </c>
      <c r="H5" s="283"/>
    </row>
    <row r="6" spans="1:8" ht="15.75" customHeight="1" x14ac:dyDescent="0.2">
      <c r="A6" s="618" t="s">
        <v>2069</v>
      </c>
      <c r="B6" s="619"/>
      <c r="C6" s="620" t="str">
        <f t="array" ref="C6">IFERROR(IF(ISNUMBER(C5),INDEX('P&amp;L'!D40:M40,1,C5),0),0)</f>
        <v/>
      </c>
      <c r="D6" s="283"/>
      <c r="E6" s="621" t="s">
        <v>2070</v>
      </c>
      <c r="F6" s="622"/>
      <c r="G6" s="623">
        <f>Waterfall!B6</f>
        <v>0</v>
      </c>
      <c r="H6" s="283"/>
    </row>
    <row r="7" spans="1:8" ht="15.75" customHeight="1" x14ac:dyDescent="0.2">
      <c r="A7" s="618" t="s">
        <v>2071</v>
      </c>
      <c r="B7" s="619"/>
      <c r="C7" s="624">
        <v>0.06</v>
      </c>
      <c r="D7" s="283"/>
      <c r="E7" s="625" t="s">
        <v>2072</v>
      </c>
      <c r="F7" s="619"/>
      <c r="G7" s="626">
        <v>0</v>
      </c>
      <c r="H7" s="283"/>
    </row>
    <row r="8" spans="1:8" ht="15.75" customHeight="1" x14ac:dyDescent="0.2">
      <c r="A8" s="618" t="s">
        <v>2073</v>
      </c>
      <c r="B8" s="619"/>
      <c r="C8" s="627">
        <f>IFERROR(C6/C7,0)</f>
        <v>0</v>
      </c>
      <c r="D8" s="283"/>
      <c r="E8" s="628" t="s">
        <v>2074</v>
      </c>
      <c r="F8" s="629"/>
      <c r="G8" s="630">
        <f>IFERROR(INDEX('P&amp;L'!$D$87:$M$87,1,Scenarios!$F$82),0)</f>
        <v>0</v>
      </c>
      <c r="H8" s="283"/>
    </row>
    <row r="9" spans="1:8" ht="15.75" customHeight="1" x14ac:dyDescent="0.2">
      <c r="A9" s="618" t="s">
        <v>2075</v>
      </c>
      <c r="B9" s="619"/>
      <c r="C9" s="624">
        <v>0.75</v>
      </c>
      <c r="D9" s="283"/>
      <c r="E9" s="631" t="s">
        <v>2076</v>
      </c>
      <c r="F9" s="632"/>
      <c r="G9" s="633">
        <f>IFERROR(G5/G6,0)</f>
        <v>0</v>
      </c>
      <c r="H9" s="283"/>
    </row>
    <row r="10" spans="1:8" ht="15.75" customHeight="1" x14ac:dyDescent="0.2">
      <c r="A10" s="618" t="s">
        <v>1667</v>
      </c>
      <c r="B10" s="619"/>
      <c r="C10" s="624">
        <v>7.0000000000000007E-2</v>
      </c>
      <c r="D10" s="283"/>
      <c r="E10" s="634" t="s">
        <v>2077</v>
      </c>
      <c r="F10" s="635">
        <v>0.03</v>
      </c>
      <c r="G10" s="636">
        <f>-G9*F10</f>
        <v>0</v>
      </c>
      <c r="H10" s="283"/>
    </row>
    <row r="11" spans="1:8" ht="15.75" customHeight="1" x14ac:dyDescent="0.2">
      <c r="A11" s="618" t="s">
        <v>2078</v>
      </c>
      <c r="B11" s="619"/>
      <c r="C11" s="637">
        <v>30</v>
      </c>
      <c r="D11" s="283"/>
      <c r="E11" s="628" t="s">
        <v>2079</v>
      </c>
      <c r="F11" s="629"/>
      <c r="G11" s="638">
        <f>-IFERROR(IF(ISNUMBER(C5),C12-CUMPRINC(C10/12,C11*12,C12,1,MAX((Scenarios!F82-C5)*12,1),0),Scenarios!F116),0)</f>
        <v>0</v>
      </c>
      <c r="H11" s="283"/>
    </row>
    <row r="12" spans="1:8" ht="15.75" customHeight="1" x14ac:dyDescent="0.2">
      <c r="A12" s="639" t="s">
        <v>2080</v>
      </c>
      <c r="B12" s="640"/>
      <c r="C12" s="641">
        <f>IFERROR(C8*C9,0)</f>
        <v>0</v>
      </c>
      <c r="D12" s="283"/>
      <c r="E12" s="642" t="s">
        <v>2081</v>
      </c>
      <c r="F12" s="643"/>
      <c r="G12" s="644">
        <f>G9+G10+G11+G7+G8</f>
        <v>0</v>
      </c>
      <c r="H12" s="283"/>
    </row>
    <row r="13" spans="1:8" ht="15.75" customHeight="1" x14ac:dyDescent="0.2">
      <c r="A13" s="618" t="s">
        <v>2082</v>
      </c>
      <c r="B13" s="624">
        <v>0.02</v>
      </c>
      <c r="C13" s="620">
        <f>-C12*B13</f>
        <v>0</v>
      </c>
      <c r="D13" s="283"/>
      <c r="E13" s="634" t="s">
        <v>2083</v>
      </c>
      <c r="F13" s="645"/>
      <c r="G13" s="636">
        <f>Scenarios!F33+Scenarios!F34</f>
        <v>0</v>
      </c>
      <c r="H13" s="283"/>
    </row>
    <row r="14" spans="1:8" ht="15.75" customHeight="1" x14ac:dyDescent="0.2">
      <c r="A14" s="618" t="s">
        <v>2084</v>
      </c>
      <c r="B14" s="619"/>
      <c r="C14" s="626">
        <v>0</v>
      </c>
      <c r="D14" s="283"/>
      <c r="E14" s="628" t="s">
        <v>2085</v>
      </c>
      <c r="F14" s="629"/>
      <c r="G14" s="638">
        <f>IFERROR(MAX((Waterfall!M39+Waterfall!M41)-0,0),0)</f>
        <v>0</v>
      </c>
      <c r="H14" s="283"/>
    </row>
    <row r="15" spans="1:8" ht="15.75" customHeight="1" x14ac:dyDescent="0.2">
      <c r="A15" s="646" t="s">
        <v>2086</v>
      </c>
      <c r="B15" s="629"/>
      <c r="C15" s="638">
        <f>IFERROR(-(IF(ISNUMBER(C5),Scenarios!F88-CUMPRINC(Scenarios!F89/12,Scenarios!F90*12,Scenarios!F88,1,C5*12,0)+IF(Scenarios!F95=0,0,Scenarios!F95-CUMPRINC(Scenarios!F96/12,Scenarios!F97*12,Scenarios!F95,1,C5*12,0))+IF(Scenarios!F102=0,0,Scenarios!F102-CUMPRINC(Scenarios!F103/12,Scenarios!F104*12,Scenarios!F102,1,C5*12,0)),0)),0)</f>
        <v>0</v>
      </c>
      <c r="D15" s="283"/>
      <c r="E15" s="631" t="s">
        <v>2087</v>
      </c>
      <c r="F15" s="632"/>
      <c r="G15" s="633">
        <f>G12-G13-G14</f>
        <v>0</v>
      </c>
      <c r="H15" s="283"/>
    </row>
    <row r="16" spans="1:8" ht="15.75" customHeight="1" x14ac:dyDescent="0.2">
      <c r="A16" s="647" t="s">
        <v>2088</v>
      </c>
      <c r="B16" s="648"/>
      <c r="C16" s="649">
        <f>IFERROR(C12+C13+C14+C15,0)</f>
        <v>0</v>
      </c>
      <c r="D16" s="283"/>
      <c r="E16" s="650" t="s">
        <v>2089</v>
      </c>
      <c r="F16" s="645"/>
      <c r="G16" s="651">
        <f>IFERROR((Scenarios!F88+Scenarios!F95+Scenarios!F102)+G11,0)</f>
        <v>0</v>
      </c>
      <c r="H16" s="283"/>
    </row>
    <row r="17" spans="1:8" ht="15.75" customHeight="1" x14ac:dyDescent="0.2">
      <c r="A17" s="652" t="s">
        <v>2083</v>
      </c>
      <c r="B17" s="645"/>
      <c r="C17" s="636">
        <f>IFERROR(MIN(C16,Scenarios!$F$33+Scenarios!$F$34),0)</f>
        <v>0</v>
      </c>
      <c r="D17" s="283"/>
      <c r="E17" s="653" t="s">
        <v>2090</v>
      </c>
      <c r="F17" s="619"/>
      <c r="G17" s="654">
        <f>G15-G16</f>
        <v>0</v>
      </c>
      <c r="H17" s="283"/>
    </row>
    <row r="18" spans="1:8" ht="15.75" customHeight="1" x14ac:dyDescent="0.2">
      <c r="A18" s="992" t="s">
        <v>2091</v>
      </c>
      <c r="B18" s="992"/>
      <c r="C18" s="655">
        <f>IFERROR(MAX(Scenarios!$F$33+Scenarios!$F$34-C17,0),0)</f>
        <v>0</v>
      </c>
      <c r="D18" s="283"/>
      <c r="E18" s="625" t="s">
        <v>2092</v>
      </c>
      <c r="F18" s="624">
        <v>0.01</v>
      </c>
      <c r="G18" s="620">
        <f>G9*F18</f>
        <v>0</v>
      </c>
      <c r="H18" s="283"/>
    </row>
    <row r="19" spans="1:8" ht="15.75" customHeight="1" x14ac:dyDescent="0.2">
      <c r="A19" s="993" t="s">
        <v>2093</v>
      </c>
      <c r="B19" s="993"/>
      <c r="C19" s="656">
        <f>IFERROR(C17/(Scenarios!$F$33+Scenarios!$F$34),0)</f>
        <v>0</v>
      </c>
      <c r="D19" s="283"/>
      <c r="E19" s="625" t="s">
        <v>2094</v>
      </c>
      <c r="F19" s="657">
        <f>1-Scenarios!F36</f>
        <v>1</v>
      </c>
      <c r="G19" s="620">
        <f>(G15-G18)*(1-Scenarios!F36)</f>
        <v>0</v>
      </c>
      <c r="H19" s="283"/>
    </row>
    <row r="20" spans="1:8" ht="15.75" customHeight="1" x14ac:dyDescent="0.2">
      <c r="A20" s="658" t="s">
        <v>2095</v>
      </c>
      <c r="B20" s="659"/>
      <c r="C20" s="660">
        <f>IFERROR(C16-C17,0)</f>
        <v>0</v>
      </c>
      <c r="D20" s="283"/>
      <c r="E20" s="628" t="s">
        <v>2096</v>
      </c>
      <c r="F20" s="656">
        <f>Scenarios!F36</f>
        <v>0</v>
      </c>
      <c r="G20" s="638">
        <f>(G15-G18)*Scenarios!F36</f>
        <v>0</v>
      </c>
      <c r="H20" s="283"/>
    </row>
    <row r="21" spans="1:8" ht="19.5" customHeight="1" x14ac:dyDescent="0.2">
      <c r="A21" s="661" t="s">
        <v>2089</v>
      </c>
      <c r="B21" s="645"/>
      <c r="C21" s="651">
        <f>IFERROR((Scenarios!F88+Scenarios!F95+Scenarios!F102)+C15,0)</f>
        <v>0</v>
      </c>
      <c r="D21" s="283"/>
      <c r="E21" s="994" t="s">
        <v>2097</v>
      </c>
      <c r="F21" s="994"/>
      <c r="G21" s="662">
        <f>G13+G19</f>
        <v>0</v>
      </c>
      <c r="H21" s="283"/>
    </row>
    <row r="22" spans="1:8" ht="15.75" customHeight="1" x14ac:dyDescent="0.2">
      <c r="A22" s="663" t="s">
        <v>2090</v>
      </c>
      <c r="B22" s="619"/>
      <c r="C22" s="654">
        <f>IFERROR(MAX(C20-C21,0),0)</f>
        <v>0</v>
      </c>
      <c r="D22" s="283"/>
      <c r="H22" s="283"/>
    </row>
    <row r="23" spans="1:8" ht="21.75" customHeight="1" x14ac:dyDescent="0.2">
      <c r="A23" s="618" t="s">
        <v>2092</v>
      </c>
      <c r="B23" s="624">
        <v>0.01</v>
      </c>
      <c r="C23" s="620">
        <f>C8*B23</f>
        <v>0</v>
      </c>
      <c r="D23" s="283"/>
      <c r="E23" s="995" t="s">
        <v>2098</v>
      </c>
      <c r="F23" s="995"/>
      <c r="G23" s="995"/>
      <c r="H23" s="283"/>
    </row>
    <row r="24" spans="1:8" ht="15.75" customHeight="1" x14ac:dyDescent="0.2">
      <c r="A24" s="618" t="s">
        <v>2094</v>
      </c>
      <c r="B24" s="657">
        <f>1-Scenarios!F36</f>
        <v>1</v>
      </c>
      <c r="C24" s="620">
        <f>(C20-C23)*(1-Scenarios!F36)</f>
        <v>0</v>
      </c>
      <c r="D24" s="283"/>
      <c r="E24" s="664" t="s">
        <v>2099</v>
      </c>
      <c r="G24" s="665">
        <f>G19</f>
        <v>0</v>
      </c>
      <c r="H24" s="283"/>
    </row>
    <row r="25" spans="1:8" ht="15.75" customHeight="1" x14ac:dyDescent="0.2">
      <c r="A25" s="646" t="s">
        <v>2096</v>
      </c>
      <c r="B25" s="656">
        <f>Scenarios!F36</f>
        <v>0</v>
      </c>
      <c r="C25" s="638">
        <f>(C20-C23)*Scenarios!F36</f>
        <v>0</v>
      </c>
      <c r="D25" s="283"/>
      <c r="E25" s="631" t="s">
        <v>2100</v>
      </c>
      <c r="F25" s="666"/>
      <c r="G25" s="633">
        <f>G21</f>
        <v>0</v>
      </c>
      <c r="H25" s="283"/>
    </row>
    <row r="26" spans="1:8" ht="15.75" customHeight="1" x14ac:dyDescent="0.2">
      <c r="A26" s="988" t="s">
        <v>2101</v>
      </c>
      <c r="B26" s="988"/>
      <c r="C26" s="668">
        <f>C17+C24</f>
        <v>0</v>
      </c>
      <c r="D26" s="283"/>
      <c r="E26" s="989" t="s">
        <v>2102</v>
      </c>
      <c r="F26" s="989"/>
      <c r="G26" s="669">
        <f>'XIRR Analysis'!$H$54</f>
        <v>0</v>
      </c>
      <c r="H26" s="283"/>
    </row>
    <row r="27" spans="1:8" ht="15.75" customHeight="1" x14ac:dyDescent="0.2">
      <c r="A27" s="670" t="s">
        <v>2103</v>
      </c>
      <c r="B27" s="671"/>
      <c r="C27" s="672">
        <f>IFERROR(MAX(Scenarios!$F$33+Scenarios!$F$34-C26,0),0)</f>
        <v>0</v>
      </c>
      <c r="D27" s="283"/>
      <c r="E27" s="990" t="s">
        <v>2104</v>
      </c>
      <c r="F27" s="990"/>
      <c r="G27" s="673">
        <f>'LP Return Illustration'!B30</f>
        <v>0</v>
      </c>
      <c r="H27" s="283"/>
    </row>
    <row r="28" spans="1:8" ht="15.75" customHeight="1" x14ac:dyDescent="0.2">
      <c r="A28" s="674" t="s">
        <v>2105</v>
      </c>
      <c r="B28" s="675"/>
      <c r="C28" s="676">
        <v>12</v>
      </c>
      <c r="D28" s="283"/>
      <c r="H28" s="283"/>
    </row>
    <row r="29" spans="1:8" ht="15" customHeight="1" x14ac:dyDescent="0.2">
      <c r="D29" s="283"/>
      <c r="H29" s="283"/>
    </row>
    <row r="30" spans="1:8" ht="15" customHeight="1" x14ac:dyDescent="0.2">
      <c r="D30" s="283"/>
      <c r="H30" s="283"/>
    </row>
    <row r="31" spans="1:8" ht="15.75" customHeight="1" x14ac:dyDescent="0.2">
      <c r="D31" s="283"/>
      <c r="H31" s="283"/>
    </row>
    <row r="32" spans="1:8" ht="15.75" customHeight="1" x14ac:dyDescent="0.2">
      <c r="A32" s="677" t="s">
        <v>2106</v>
      </c>
      <c r="B32" s="678"/>
      <c r="C32" s="678"/>
      <c r="D32" s="679"/>
      <c r="E32" s="678"/>
      <c r="F32" s="678"/>
      <c r="G32" s="678"/>
      <c r="H32" s="283"/>
    </row>
    <row r="33" spans="1:8" ht="15" customHeight="1" x14ac:dyDescent="0.2">
      <c r="A33" s="1" t="s">
        <v>2107</v>
      </c>
      <c r="B33" s="1"/>
      <c r="C33" s="1"/>
      <c r="D33" s="136"/>
      <c r="E33" s="1"/>
      <c r="F33" s="1"/>
      <c r="G33" s="1"/>
      <c r="H33" s="283"/>
    </row>
    <row r="34" spans="1:8" ht="15.75" customHeight="1" x14ac:dyDescent="0.2">
      <c r="D34" s="283"/>
      <c r="F34" s="680" t="s">
        <v>41</v>
      </c>
      <c r="H34" s="283"/>
    </row>
    <row r="35" spans="1:8" ht="42" customHeight="1" x14ac:dyDescent="0.2">
      <c r="A35" s="681" t="s">
        <v>2108</v>
      </c>
      <c r="B35" s="682" t="s">
        <v>2109</v>
      </c>
      <c r="C35" s="683" t="s">
        <v>2110</v>
      </c>
      <c r="D35" s="684" t="s">
        <v>2111</v>
      </c>
      <c r="E35" s="685" t="s">
        <v>2112</v>
      </c>
      <c r="F35" s="682" t="s">
        <v>2113</v>
      </c>
      <c r="G35" s="683" t="s">
        <v>55</v>
      </c>
      <c r="H35" s="686" t="s">
        <v>2114</v>
      </c>
    </row>
    <row r="36" spans="1:8" ht="15" customHeight="1" x14ac:dyDescent="0.2">
      <c r="A36" s="687" t="s">
        <v>283</v>
      </c>
      <c r="B36" s="688">
        <v>7.4999999999999997E-2</v>
      </c>
      <c r="C36" s="689">
        <v>1.3</v>
      </c>
      <c r="D36" s="690">
        <v>0.8</v>
      </c>
      <c r="E36" s="691">
        <v>0.06</v>
      </c>
      <c r="F36" s="692" t="str">
        <f t="array" ref="F36">IFERROR("Y"&amp;MATCH(TRUE(),IF(ISNUMBER('P&amp;L'!C40:L40),IF('P&amp;L'!C40:L40&gt;0,IF(E36&gt;0,'P&amp;L'!C40:L40/(-PMT(E36/12,H36*12,-('P&amp;L'!C40:L40/B36))*12)&gt;=C36,FALSE()),FALSE()),FALSE()),0),"⚠ not in 10y")</f>
        <v>⚠ not in 10y</v>
      </c>
      <c r="G36" s="693" t="s">
        <v>2115</v>
      </c>
      <c r="H36" s="694">
        <v>30</v>
      </c>
    </row>
    <row r="37" spans="1:8" ht="15" customHeight="1" x14ac:dyDescent="0.2">
      <c r="A37" s="695" t="s">
        <v>284</v>
      </c>
      <c r="B37" s="696">
        <v>7.4999999999999997E-2</v>
      </c>
      <c r="C37" s="697">
        <v>1.3</v>
      </c>
      <c r="D37" s="690">
        <v>0.8</v>
      </c>
      <c r="E37" s="698">
        <v>0.06</v>
      </c>
      <c r="F37" s="699" t="str">
        <f t="array" ref="F37">IFERROR("Y"&amp;MATCH(TRUE(),IF(ISNUMBER('P&amp;L'!C40:L40),IF('P&amp;L'!C40:L40&gt;0,IF(E37&gt;0,'P&amp;L'!C40:L40/(-PMT(E37/12,H37*12,-('P&amp;L'!C40:L40/B37))*12)&gt;=C37,FALSE()),FALSE()),FALSE()),0),"⚠ not in 10y")</f>
        <v>⚠ not in 10y</v>
      </c>
      <c r="G37" s="700" t="s">
        <v>2116</v>
      </c>
      <c r="H37" s="694">
        <v>30</v>
      </c>
    </row>
    <row r="38" spans="1:8" ht="15" customHeight="1" x14ac:dyDescent="0.2">
      <c r="A38" s="687" t="s">
        <v>285</v>
      </c>
      <c r="B38" s="688">
        <v>0.08</v>
      </c>
      <c r="C38" s="689">
        <v>1.25</v>
      </c>
      <c r="D38" s="690">
        <v>0.75</v>
      </c>
      <c r="E38" s="691">
        <v>5.8000000000000003E-2</v>
      </c>
      <c r="F38" s="692" t="str">
        <f t="array" ref="F38">IFERROR("Y"&amp;MATCH(TRUE(),IF(ISNUMBER('P&amp;L'!C40:L40),IF('P&amp;L'!C40:L40&gt;0,IF(E38&gt;0,'P&amp;L'!C40:L40/(-PMT(E38/12,H38*12,-('P&amp;L'!C40:L40/B38))*12)&gt;=C38,FALSE()),FALSE()),FALSE()),0),"⚠ not in 10y")</f>
        <v>⚠ not in 10y</v>
      </c>
      <c r="G38" s="693" t="s">
        <v>2117</v>
      </c>
      <c r="H38" s="694">
        <v>30</v>
      </c>
    </row>
    <row r="39" spans="1:8" ht="15" customHeight="1" x14ac:dyDescent="0.2">
      <c r="A39" s="695" t="s">
        <v>286</v>
      </c>
      <c r="B39" s="696">
        <v>0.08</v>
      </c>
      <c r="C39" s="697">
        <v>1.25</v>
      </c>
      <c r="D39" s="690">
        <v>0.75</v>
      </c>
      <c r="E39" s="698">
        <v>5.8000000000000003E-2</v>
      </c>
      <c r="F39" s="699" t="str">
        <f t="array" ref="F39">IFERROR("Y"&amp;MATCH(TRUE(),IF(ISNUMBER('P&amp;L'!C40:L40),IF('P&amp;L'!C40:L40&gt;0,IF(E39&gt;0,'P&amp;L'!C40:L40/(-PMT(E39/12,H39*12,-('P&amp;L'!C40:L40/B39))*12)&gt;=C39,FALSE()),FALSE()),FALSE()),0),"⚠ not in 10y")</f>
        <v>⚠ not in 10y</v>
      </c>
      <c r="G39" s="700" t="s">
        <v>2117</v>
      </c>
      <c r="H39" s="694">
        <v>30</v>
      </c>
    </row>
    <row r="40" spans="1:8" ht="15" customHeight="1" x14ac:dyDescent="0.2">
      <c r="A40" s="687" t="s">
        <v>287</v>
      </c>
      <c r="B40" s="688">
        <v>8.5000000000000006E-2</v>
      </c>
      <c r="C40" s="689">
        <v>1.3</v>
      </c>
      <c r="D40" s="690">
        <v>0.65</v>
      </c>
      <c r="E40" s="691">
        <v>5.5E-2</v>
      </c>
      <c r="F40" s="692" t="str">
        <f t="array" ref="F40">IFERROR("Y"&amp;MATCH(TRUE(),IF(ISNUMBER('P&amp;L'!C40:L40),IF('P&amp;L'!C40:L40&gt;0,IF(E40&gt;0,'P&amp;L'!C40:L40/(-PMT(E40/12,H40*12,-('P&amp;L'!C40:L40/B40))*12)&gt;=C40,FALSE()),FALSE()),FALSE()),0),"⚠ not in 10y")</f>
        <v>⚠ not in 10y</v>
      </c>
      <c r="G40" s="693" t="s">
        <v>2118</v>
      </c>
      <c r="H40" s="694">
        <v>25</v>
      </c>
    </row>
    <row r="41" spans="1:8" ht="15" customHeight="1" x14ac:dyDescent="0.2">
      <c r="A41" s="695" t="s">
        <v>288</v>
      </c>
      <c r="B41" s="696">
        <v>0.09</v>
      </c>
      <c r="C41" s="697">
        <v>1.25</v>
      </c>
      <c r="D41" s="690">
        <v>0.75</v>
      </c>
      <c r="E41" s="698">
        <v>6.5000000000000002E-2</v>
      </c>
      <c r="F41" s="699" t="str">
        <f t="array" ref="F41">IFERROR("Y"&amp;MATCH(TRUE(),IF(ISNUMBER('P&amp;L'!C40:L40),IF('P&amp;L'!C40:L40&gt;0,IF(E41&gt;0,'P&amp;L'!C40:L40/(-PMT(E41/12,H41*12,-('P&amp;L'!C40:L40/B41))*12)&gt;=C41,FALSE()),FALSE()),FALSE()),0),"⚠ not in 10y")</f>
        <v>⚠ not in 10y</v>
      </c>
      <c r="G41" s="700" t="s">
        <v>2119</v>
      </c>
      <c r="H41" s="694">
        <v>30</v>
      </c>
    </row>
    <row r="42" spans="1:8" ht="15.75" customHeight="1" x14ac:dyDescent="0.2">
      <c r="A42" s="701" t="s">
        <v>289</v>
      </c>
      <c r="B42" s="702">
        <v>7.0000000000000007E-2</v>
      </c>
      <c r="C42" s="703">
        <v>1.1000000000000001</v>
      </c>
      <c r="D42" s="690">
        <v>0.75</v>
      </c>
      <c r="E42" s="704">
        <v>0.08</v>
      </c>
      <c r="F42" s="705" t="str">
        <f t="array" ref="F42">IFERROR("Y"&amp;MATCH(TRUE(),IF(ISNUMBER('P&amp;L'!C40:L40),IF('P&amp;L'!C40:L40&gt;0,IF(E42&gt;0,'P&amp;L'!C40:L40/(-PMT(E42/12,H42*12,-('P&amp;L'!C40:L40/B42))*12)&gt;=C42,FALSE()),FALSE()),FALSE()),0),"⚠ not in 10y")</f>
        <v>⚠ not in 10y</v>
      </c>
      <c r="G42" s="706" t="s">
        <v>2120</v>
      </c>
      <c r="H42" s="694">
        <v>25</v>
      </c>
    </row>
    <row r="43" spans="1:8" ht="15" customHeight="1" x14ac:dyDescent="0.2">
      <c r="D43" s="283"/>
      <c r="H43" s="283"/>
    </row>
    <row r="44" spans="1:8" ht="15.75" customHeight="1" x14ac:dyDescent="0.2">
      <c r="D44" s="283"/>
      <c r="H44" s="283"/>
    </row>
    <row r="45" spans="1:8" ht="15" customHeight="1" x14ac:dyDescent="0.2">
      <c r="A45" s="667" t="str">
        <f>"Implied Refi Proceeds — Y"&amp;IF(ISNUMBER(C5),C5,3)&amp;" NOI"</f>
        <v>Implied Refi Proceeds — Y3 NOI</v>
      </c>
      <c r="B45" s="707"/>
      <c r="C45" s="707"/>
      <c r="D45" s="708"/>
      <c r="E45" s="707"/>
      <c r="F45" s="709"/>
      <c r="H45" s="283"/>
    </row>
    <row r="46" spans="1:8" ht="21.75" customHeight="1" x14ac:dyDescent="0.2">
      <c r="A46" s="618" t="s">
        <v>2121</v>
      </c>
      <c r="B46" s="710">
        <f t="array" ref="B46">IFERROR(INDEX('P&amp;L'!C40:L40,1,IF(ISNUMBER(C5),C5,3))/0.08,0)</f>
        <v>0</v>
      </c>
      <c r="C46" s="625" t="s">
        <v>2122</v>
      </c>
      <c r="D46" s="711">
        <f t="array" ref="D46">IFERROR(INDEX('P&amp;L'!C40:L40,1,IF(ISNUMBER(C5),C5,3))/0.09,0)</f>
        <v>0</v>
      </c>
      <c r="E46" s="625" t="s">
        <v>2123</v>
      </c>
      <c r="F46" s="712">
        <f t="array" ref="F46">IFERROR(INDEX('P&amp;L'!C40:L40,1,IF(ISNUMBER(C5),C5,3))/0.1,0)</f>
        <v>0</v>
      </c>
      <c r="H46" s="283"/>
    </row>
    <row r="47" spans="1:8" ht="15" customHeight="1" x14ac:dyDescent="0.2">
      <c r="A47" s="646" t="str">
        <f>"Less: Bridge Payoff (Y"&amp;IF(ISNUMBER(C5),C5,3)&amp;")"</f>
        <v>Less: Bridge Payoff (Y3)</v>
      </c>
      <c r="B47" s="713">
        <f>-C15</f>
        <v>0</v>
      </c>
      <c r="C47" s="629"/>
      <c r="D47" s="714">
        <f>-C15</f>
        <v>0</v>
      </c>
      <c r="E47" s="629"/>
      <c r="F47" s="715">
        <f>-C15</f>
        <v>0</v>
      </c>
      <c r="H47" s="283"/>
    </row>
    <row r="48" spans="1:8" ht="15.75" customHeight="1" x14ac:dyDescent="0.2">
      <c r="A48" s="716" t="s">
        <v>2124</v>
      </c>
      <c r="B48" s="717">
        <f>IFERROR(B46-B47,0)</f>
        <v>0</v>
      </c>
      <c r="C48" s="718"/>
      <c r="D48" s="719">
        <f>IFERROR(D46-D47,0)</f>
        <v>0</v>
      </c>
      <c r="E48" s="718"/>
      <c r="F48" s="720">
        <f>IFERROR(F46-F47,0)</f>
        <v>0</v>
      </c>
      <c r="H48" s="283"/>
    </row>
    <row r="49" ht="30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</sheetData>
  <mergeCells count="8">
    <mergeCell ref="A26:B26"/>
    <mergeCell ref="E26:F26"/>
    <mergeCell ref="E27:F27"/>
    <mergeCell ref="A1:C1"/>
    <mergeCell ref="A18:B18"/>
    <mergeCell ref="A19:B19"/>
    <mergeCell ref="E21:F21"/>
    <mergeCell ref="E23:G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8"/>
  <sheetViews>
    <sheetView zoomScaleNormal="100"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8" width="13" customWidth="1"/>
    <col min="9" max="9" width="22" customWidth="1"/>
    <col min="11" max="11" width="13" hidden="1" customWidth="1"/>
  </cols>
  <sheetData>
    <row r="1" spans="1:11" ht="16.5" customHeight="1" x14ac:dyDescent="0.2">
      <c r="A1" s="721" t="str">
        <f>IF('Prop Info'!B4="","XIRR ANALYSIS — QUARTERLY DISTRIBUTION SCHEDULE","XIRR ANALYSIS — QUARTERLY DISTRIBUTION SCHEDULE"&amp;" — "&amp;'Prop Info'!B4)</f>
        <v>XIRR ANALYSIS — QUARTERLY DISTRIBUTION SCHEDULE</v>
      </c>
    </row>
    <row r="3" spans="1:11" ht="15" customHeight="1" x14ac:dyDescent="0.2">
      <c r="A3" s="722" t="s">
        <v>2125</v>
      </c>
    </row>
    <row r="4" spans="1:11" ht="15" customHeight="1" x14ac:dyDescent="0.2">
      <c r="A4" t="s">
        <v>2126</v>
      </c>
      <c r="B4" s="723">
        <v>46171</v>
      </c>
      <c r="C4" s="724" t="s">
        <v>2127</v>
      </c>
      <c r="F4" t="s">
        <v>2128</v>
      </c>
      <c r="G4" s="304" t="str">
        <f>'LP Return Illustration'!$B$6</f>
        <v>Class A</v>
      </c>
      <c r="H4" s="724" t="s">
        <v>2129</v>
      </c>
    </row>
    <row r="5" spans="1:11" ht="15" customHeight="1" x14ac:dyDescent="0.2">
      <c r="A5" t="s">
        <v>365</v>
      </c>
      <c r="B5" s="725">
        <f>'LP Return Illustration'!$B$5</f>
        <v>100000</v>
      </c>
      <c r="C5" s="724" t="s">
        <v>2129</v>
      </c>
      <c r="F5" t="s">
        <v>2130</v>
      </c>
      <c r="G5" s="726">
        <f>Waterfall!$B$5</f>
        <v>0</v>
      </c>
      <c r="H5" t="s">
        <v>2131</v>
      </c>
      <c r="I5" s="727">
        <f>'LP Return Illustration'!$D$7</f>
        <v>0</v>
      </c>
    </row>
    <row r="7" spans="1:11" ht="15" customHeight="1" x14ac:dyDescent="0.2">
      <c r="A7" s="722" t="s">
        <v>2132</v>
      </c>
      <c r="B7" s="728" t="s">
        <v>2133</v>
      </c>
      <c r="C7" s="304" t="s">
        <v>2134</v>
      </c>
      <c r="F7" s="724" t="s">
        <v>2135</v>
      </c>
    </row>
    <row r="8" spans="1:11" ht="30" customHeight="1" x14ac:dyDescent="0.2">
      <c r="A8" s="729" t="s">
        <v>2136</v>
      </c>
      <c r="B8" s="729" t="s">
        <v>2137</v>
      </c>
      <c r="C8" s="729" t="s">
        <v>2138</v>
      </c>
      <c r="D8" s="729" t="s">
        <v>2139</v>
      </c>
      <c r="E8" s="729" t="s">
        <v>2140</v>
      </c>
      <c r="F8" s="729" t="s">
        <v>2141</v>
      </c>
      <c r="G8" s="729" t="s">
        <v>2142</v>
      </c>
      <c r="H8" s="729" t="s">
        <v>2143</v>
      </c>
      <c r="I8" s="729" t="s">
        <v>55</v>
      </c>
      <c r="K8" s="724" t="s">
        <v>2144</v>
      </c>
    </row>
    <row r="9" spans="1:11" ht="15" customHeight="1" x14ac:dyDescent="0.2">
      <c r="A9" s="730" t="s">
        <v>2145</v>
      </c>
      <c r="B9" s="730" t="s">
        <v>2146</v>
      </c>
      <c r="C9" s="731">
        <f>$B$4</f>
        <v>46171</v>
      </c>
      <c r="G9" s="732">
        <f>-'LP Return Illustration'!$B$5</f>
        <v>-100000</v>
      </c>
      <c r="H9" s="732">
        <f>G9</f>
        <v>-100000</v>
      </c>
      <c r="I9" s="730" t="s">
        <v>2147</v>
      </c>
      <c r="K9" s="733">
        <f>-'LP Return Illustration'!$B$5</f>
        <v>-100000</v>
      </c>
    </row>
    <row r="10" spans="1:11" ht="15" customHeight="1" x14ac:dyDescent="0.2">
      <c r="A10" s="730">
        <v>1</v>
      </c>
      <c r="B10" s="730" t="s">
        <v>2148</v>
      </c>
      <c r="C10" s="731">
        <f>EDATE($B$4,3)</f>
        <v>46263</v>
      </c>
      <c r="D10" s="732">
        <f>'LP Return Illustration'!B15</f>
        <v>0</v>
      </c>
      <c r="E10" s="732">
        <f>IFERROR($D$10/4,0)</f>
        <v>0</v>
      </c>
      <c r="F10" s="732">
        <v>0</v>
      </c>
      <c r="G10" s="732">
        <f t="shared" ref="G10:G49" si="0">E10+F10</f>
        <v>0</v>
      </c>
      <c r="H10" s="732">
        <f t="shared" ref="H10:H49" si="1">H9+G10</f>
        <v>-100000</v>
      </c>
      <c r="I10" s="730" t="s">
        <v>2149</v>
      </c>
      <c r="K10" s="733">
        <f>IFERROR(IF(1&gt;$G$5,0,'LP Return Illustration'!B15+'LP Return Illustration'!B17+IF(1=$G$5,'LP Return Illustration'!$L$24+'LP Return Illustration'!$L$25,0)),0)</f>
        <v>0</v>
      </c>
    </row>
    <row r="11" spans="1:11" ht="15" customHeight="1" x14ac:dyDescent="0.2">
      <c r="A11" s="730"/>
      <c r="B11" s="730" t="s">
        <v>2150</v>
      </c>
      <c r="C11" s="731">
        <f>EDATE($B$4,6)</f>
        <v>46355</v>
      </c>
      <c r="D11" s="730"/>
      <c r="E11" s="732">
        <f>IFERROR($D$10/4,0)</f>
        <v>0</v>
      </c>
      <c r="F11" s="732">
        <v>0</v>
      </c>
      <c r="G11" s="732">
        <f t="shared" si="0"/>
        <v>0</v>
      </c>
      <c r="H11" s="732">
        <f t="shared" si="1"/>
        <v>-100000</v>
      </c>
      <c r="K11" s="733">
        <f>IFERROR(IF(2&gt;$G$5,0,'LP Return Illustration'!C15+'LP Return Illustration'!C17+IF(2=$G$5,'LP Return Illustration'!$L$24+'LP Return Illustration'!$L$25,0)),0)</f>
        <v>0</v>
      </c>
    </row>
    <row r="12" spans="1:11" ht="15" customHeight="1" x14ac:dyDescent="0.2">
      <c r="A12" s="730"/>
      <c r="B12" s="730" t="s">
        <v>2151</v>
      </c>
      <c r="C12" s="731">
        <f>EDATE($B$4,9)</f>
        <v>46446</v>
      </c>
      <c r="D12" s="730"/>
      <c r="E12" s="732">
        <f>IFERROR($D$10/4,0)</f>
        <v>0</v>
      </c>
      <c r="F12" s="732">
        <v>0</v>
      </c>
      <c r="G12" s="732">
        <f t="shared" si="0"/>
        <v>0</v>
      </c>
      <c r="H12" s="732">
        <f t="shared" si="1"/>
        <v>-100000</v>
      </c>
      <c r="K12" s="733">
        <f>IFERROR(IF(3&gt;$G$5,0,'LP Return Illustration'!D15+'LP Return Illustration'!D17+IF(3=$G$5,'LP Return Illustration'!$L$24+'LP Return Illustration'!$L$25,0)),0)</f>
        <v>0</v>
      </c>
    </row>
    <row r="13" spans="1:11" ht="15" customHeight="1" x14ac:dyDescent="0.2">
      <c r="A13" s="730"/>
      <c r="B13" s="730" t="s">
        <v>2152</v>
      </c>
      <c r="C13" s="731">
        <f>EDATE($B$4,12)</f>
        <v>46536</v>
      </c>
      <c r="D13" s="730"/>
      <c r="E13" s="732">
        <f>IFERROR($D$10/4,0)</f>
        <v>0</v>
      </c>
      <c r="F13" s="732">
        <f>IFERROR('LP Return Illustration'!B17+IF($A$10=$G$5,'LP Return Illustration'!$L$24+'LP Return Illustration'!$L$25,0),0)</f>
        <v>0</v>
      </c>
      <c r="G13" s="732">
        <f t="shared" si="0"/>
        <v>0</v>
      </c>
      <c r="H13" s="732">
        <f t="shared" si="1"/>
        <v>-100000</v>
      </c>
      <c r="K13" s="733">
        <f>IFERROR(IF(4&gt;$G$5,0,'LP Return Illustration'!E15+'LP Return Illustration'!E17+IF(4=$G$5,'LP Return Illustration'!$L$24+'LP Return Illustration'!$L$25,0)),0)</f>
        <v>0</v>
      </c>
    </row>
    <row r="14" spans="1:11" ht="15" customHeight="1" x14ac:dyDescent="0.2">
      <c r="A14" s="730">
        <v>2</v>
      </c>
      <c r="B14" s="730" t="s">
        <v>2148</v>
      </c>
      <c r="C14" s="731">
        <f>EDATE($B$4,15)</f>
        <v>46628</v>
      </c>
      <c r="D14" s="732">
        <f>'LP Return Illustration'!C15</f>
        <v>0</v>
      </c>
      <c r="E14" s="732">
        <f>IFERROR($D$14/4,0)</f>
        <v>0</v>
      </c>
      <c r="F14" s="732">
        <v>0</v>
      </c>
      <c r="G14" s="732">
        <f t="shared" si="0"/>
        <v>0</v>
      </c>
      <c r="H14" s="732">
        <f t="shared" si="1"/>
        <v>-100000</v>
      </c>
      <c r="K14" s="733">
        <f>IFERROR(IF(5&gt;$G$5,0,'LP Return Illustration'!F15+'LP Return Illustration'!F17+IF(5=$G$5,'LP Return Illustration'!$L$24+'LP Return Illustration'!$L$25,0)),0)</f>
        <v>0</v>
      </c>
    </row>
    <row r="15" spans="1:11" ht="15" customHeight="1" x14ac:dyDescent="0.2">
      <c r="A15" s="730"/>
      <c r="B15" s="730" t="s">
        <v>2150</v>
      </c>
      <c r="C15" s="731">
        <f>EDATE($B$4,18)</f>
        <v>46720</v>
      </c>
      <c r="D15" s="730"/>
      <c r="E15" s="732">
        <f>IFERROR($D$14/4,0)</f>
        <v>0</v>
      </c>
      <c r="F15" s="732">
        <v>0</v>
      </c>
      <c r="G15" s="732">
        <f t="shared" si="0"/>
        <v>0</v>
      </c>
      <c r="H15" s="732">
        <f t="shared" si="1"/>
        <v>-100000</v>
      </c>
      <c r="K15" s="733">
        <f>IFERROR(IF(6&gt;$G$5,0,'LP Return Illustration'!G15+'LP Return Illustration'!G17+IF(6=$G$5,'LP Return Illustration'!$L$24+'LP Return Illustration'!$L$25,0)),0)</f>
        <v>0</v>
      </c>
    </row>
    <row r="16" spans="1:11" ht="15" customHeight="1" x14ac:dyDescent="0.2">
      <c r="A16" s="730"/>
      <c r="B16" s="730" t="s">
        <v>2151</v>
      </c>
      <c r="C16" s="731">
        <f>EDATE($B$4,21)</f>
        <v>46812</v>
      </c>
      <c r="D16" s="730"/>
      <c r="E16" s="732">
        <f>IFERROR($D$14/4,0)</f>
        <v>0</v>
      </c>
      <c r="F16" s="732">
        <v>0</v>
      </c>
      <c r="G16" s="732">
        <f t="shared" si="0"/>
        <v>0</v>
      </c>
      <c r="H16" s="732">
        <f t="shared" si="1"/>
        <v>-100000</v>
      </c>
      <c r="K16" s="733">
        <f>IFERROR(IF(7&gt;$G$5,0,'LP Return Illustration'!H15+'LP Return Illustration'!H17+IF(7=$G$5,'LP Return Illustration'!$L$24+'LP Return Illustration'!$L$25,0)),0)</f>
        <v>0</v>
      </c>
    </row>
    <row r="17" spans="1:11" ht="15" customHeight="1" x14ac:dyDescent="0.2">
      <c r="A17" s="730"/>
      <c r="B17" s="730" t="s">
        <v>2152</v>
      </c>
      <c r="C17" s="731">
        <f>EDATE($B$4,24)</f>
        <v>46902</v>
      </c>
      <c r="D17" s="730"/>
      <c r="E17" s="732">
        <f>IFERROR($D$14/4,0)</f>
        <v>0</v>
      </c>
      <c r="F17" s="732">
        <f>IFERROR('LP Return Illustration'!C17+IF($A$14=$G$5,'LP Return Illustration'!$L$24+'LP Return Illustration'!$L$25,0),0)</f>
        <v>0</v>
      </c>
      <c r="G17" s="732">
        <f t="shared" si="0"/>
        <v>0</v>
      </c>
      <c r="H17" s="732">
        <f t="shared" si="1"/>
        <v>-100000</v>
      </c>
      <c r="K17" s="733">
        <f>IFERROR(IF(8&gt;$G$5,0,'LP Return Illustration'!I15+'LP Return Illustration'!I17+IF(8=$G$5,'LP Return Illustration'!$L$24+'LP Return Illustration'!$L$25,0)),0)</f>
        <v>0</v>
      </c>
    </row>
    <row r="18" spans="1:11" ht="15" customHeight="1" x14ac:dyDescent="0.2">
      <c r="A18" s="730">
        <v>3</v>
      </c>
      <c r="B18" s="730" t="s">
        <v>2148</v>
      </c>
      <c r="C18" s="731">
        <f>EDATE($B$4,27)</f>
        <v>46994</v>
      </c>
      <c r="D18" s="732">
        <f>'LP Return Illustration'!D15</f>
        <v>0</v>
      </c>
      <c r="E18" s="732">
        <f>IFERROR($D$18/4,0)</f>
        <v>0</v>
      </c>
      <c r="F18" s="732">
        <v>0</v>
      </c>
      <c r="G18" s="732">
        <f t="shared" si="0"/>
        <v>0</v>
      </c>
      <c r="H18" s="732">
        <f t="shared" si="1"/>
        <v>-100000</v>
      </c>
      <c r="K18" s="733">
        <f>IFERROR(IF(9&gt;$G$5,0,'LP Return Illustration'!J15+'LP Return Illustration'!J17+IF(9=$G$5,'LP Return Illustration'!$L$24+'LP Return Illustration'!$L$25,0)),0)</f>
        <v>0</v>
      </c>
    </row>
    <row r="19" spans="1:11" ht="15" customHeight="1" x14ac:dyDescent="0.2">
      <c r="A19" s="730"/>
      <c r="B19" s="730" t="s">
        <v>2150</v>
      </c>
      <c r="C19" s="731">
        <f>EDATE($B$4,30)</f>
        <v>47086</v>
      </c>
      <c r="D19" s="730"/>
      <c r="E19" s="732">
        <f>IFERROR($D$18/4,0)</f>
        <v>0</v>
      </c>
      <c r="F19" s="732">
        <v>0</v>
      </c>
      <c r="G19" s="732">
        <f t="shared" si="0"/>
        <v>0</v>
      </c>
      <c r="H19" s="732">
        <f t="shared" si="1"/>
        <v>-100000</v>
      </c>
      <c r="K19" s="733">
        <f>IFERROR(IF(10&gt;$G$5,0,'LP Return Illustration'!K15+'LP Return Illustration'!K17+IF(10=$G$5,'LP Return Illustration'!$L$24+'LP Return Illustration'!$L$25,0)),0)</f>
        <v>0</v>
      </c>
    </row>
    <row r="20" spans="1:11" ht="15" customHeight="1" x14ac:dyDescent="0.2">
      <c r="A20" s="730"/>
      <c r="B20" s="730" t="s">
        <v>2151</v>
      </c>
      <c r="C20" s="731">
        <f>EDATE($B$4,33)</f>
        <v>47177</v>
      </c>
      <c r="D20" s="730"/>
      <c r="E20" s="732">
        <f>IFERROR($D$18/4,0)</f>
        <v>0</v>
      </c>
      <c r="F20" s="732">
        <v>0</v>
      </c>
      <c r="G20" s="732">
        <f t="shared" si="0"/>
        <v>0</v>
      </c>
      <c r="H20" s="732">
        <f t="shared" si="1"/>
        <v>-100000</v>
      </c>
    </row>
    <row r="21" spans="1:11" ht="15" customHeight="1" x14ac:dyDescent="0.2">
      <c r="A21" s="730"/>
      <c r="B21" s="730" t="s">
        <v>2152</v>
      </c>
      <c r="C21" s="731">
        <f>EDATE($B$4,36)</f>
        <v>47267</v>
      </c>
      <c r="D21" s="730"/>
      <c r="E21" s="732">
        <f>IFERROR($D$18/4,0)</f>
        <v>0</v>
      </c>
      <c r="F21" s="732">
        <f>IFERROR('LP Return Illustration'!D17+IF($A$18=$G$5,'LP Return Illustration'!$L$24+'LP Return Illustration'!$L$25,0),0)</f>
        <v>0</v>
      </c>
      <c r="G21" s="732">
        <f t="shared" si="0"/>
        <v>0</v>
      </c>
      <c r="H21" s="732">
        <f t="shared" si="1"/>
        <v>-100000</v>
      </c>
    </row>
    <row r="22" spans="1:11" ht="15" customHeight="1" x14ac:dyDescent="0.2">
      <c r="A22" s="730">
        <v>4</v>
      </c>
      <c r="B22" s="730" t="s">
        <v>2148</v>
      </c>
      <c r="C22" s="731">
        <f>EDATE($B$4,39)</f>
        <v>47359</v>
      </c>
      <c r="D22" s="732">
        <f>'LP Return Illustration'!E15</f>
        <v>0</v>
      </c>
      <c r="E22" s="732">
        <f>IFERROR($D$22/4,0)</f>
        <v>0</v>
      </c>
      <c r="F22" s="732">
        <v>0</v>
      </c>
      <c r="G22" s="732">
        <f t="shared" si="0"/>
        <v>0</v>
      </c>
      <c r="H22" s="732">
        <f t="shared" si="1"/>
        <v>-100000</v>
      </c>
    </row>
    <row r="23" spans="1:11" ht="15" customHeight="1" x14ac:dyDescent="0.2">
      <c r="A23" s="730"/>
      <c r="B23" s="730" t="s">
        <v>2150</v>
      </c>
      <c r="C23" s="731">
        <f>EDATE($B$4,42)</f>
        <v>47451</v>
      </c>
      <c r="D23" s="730"/>
      <c r="E23" s="732">
        <f>IFERROR($D$22/4,0)</f>
        <v>0</v>
      </c>
      <c r="F23" s="732">
        <v>0</v>
      </c>
      <c r="G23" s="732">
        <f t="shared" si="0"/>
        <v>0</v>
      </c>
      <c r="H23" s="732">
        <f t="shared" si="1"/>
        <v>-100000</v>
      </c>
    </row>
    <row r="24" spans="1:11" ht="15" customHeight="1" x14ac:dyDescent="0.2">
      <c r="A24" s="730"/>
      <c r="B24" s="730" t="s">
        <v>2151</v>
      </c>
      <c r="C24" s="731">
        <f>EDATE($B$4,45)</f>
        <v>47542</v>
      </c>
      <c r="D24" s="730"/>
      <c r="E24" s="732">
        <f>IFERROR($D$22/4,0)</f>
        <v>0</v>
      </c>
      <c r="F24" s="732">
        <v>0</v>
      </c>
      <c r="G24" s="732">
        <f t="shared" si="0"/>
        <v>0</v>
      </c>
      <c r="H24" s="732">
        <f t="shared" si="1"/>
        <v>-100000</v>
      </c>
    </row>
    <row r="25" spans="1:11" ht="15" customHeight="1" x14ac:dyDescent="0.2">
      <c r="A25" s="730"/>
      <c r="B25" s="730" t="s">
        <v>2152</v>
      </c>
      <c r="C25" s="731">
        <f>EDATE($B$4,48)</f>
        <v>47632</v>
      </c>
      <c r="D25" s="730"/>
      <c r="E25" s="732">
        <f>IFERROR($D$22/4,0)</f>
        <v>0</v>
      </c>
      <c r="F25" s="732">
        <f>IFERROR('LP Return Illustration'!E17+IF($A$22=$G$5,'LP Return Illustration'!$L$24+'LP Return Illustration'!$L$25,0),0)</f>
        <v>0</v>
      </c>
      <c r="G25" s="732">
        <f t="shared" si="0"/>
        <v>0</v>
      </c>
      <c r="H25" s="732">
        <f t="shared" si="1"/>
        <v>-100000</v>
      </c>
    </row>
    <row r="26" spans="1:11" ht="15" customHeight="1" x14ac:dyDescent="0.2">
      <c r="A26" s="730">
        <v>5</v>
      </c>
      <c r="B26" s="730" t="s">
        <v>2148</v>
      </c>
      <c r="C26" s="731">
        <f>EDATE($B$4,51)</f>
        <v>47724</v>
      </c>
      <c r="D26" s="732">
        <f>'LP Return Illustration'!F15</f>
        <v>0</v>
      </c>
      <c r="E26" s="732">
        <f>IFERROR($D$26/4,0)</f>
        <v>0</v>
      </c>
      <c r="F26" s="732">
        <v>0</v>
      </c>
      <c r="G26" s="732">
        <f t="shared" si="0"/>
        <v>0</v>
      </c>
      <c r="H26" s="732">
        <f t="shared" si="1"/>
        <v>-100000</v>
      </c>
    </row>
    <row r="27" spans="1:11" ht="15" customHeight="1" x14ac:dyDescent="0.2">
      <c r="A27" s="730"/>
      <c r="B27" s="730" t="s">
        <v>2150</v>
      </c>
      <c r="C27" s="731">
        <f>EDATE($B$4,54)</f>
        <v>47816</v>
      </c>
      <c r="D27" s="730"/>
      <c r="E27" s="732">
        <f>IFERROR($D$26/4,0)</f>
        <v>0</v>
      </c>
      <c r="F27" s="732">
        <v>0</v>
      </c>
      <c r="G27" s="732">
        <f t="shared" si="0"/>
        <v>0</v>
      </c>
      <c r="H27" s="732">
        <f t="shared" si="1"/>
        <v>-100000</v>
      </c>
    </row>
    <row r="28" spans="1:11" ht="15" customHeight="1" x14ac:dyDescent="0.2">
      <c r="A28" s="730"/>
      <c r="B28" s="730" t="s">
        <v>2151</v>
      </c>
      <c r="C28" s="731">
        <f>EDATE($B$4,57)</f>
        <v>47907</v>
      </c>
      <c r="D28" s="730"/>
      <c r="E28" s="732">
        <f>IFERROR($D$26/4,0)</f>
        <v>0</v>
      </c>
      <c r="F28" s="732">
        <v>0</v>
      </c>
      <c r="G28" s="732">
        <f t="shared" si="0"/>
        <v>0</v>
      </c>
      <c r="H28" s="732">
        <f t="shared" si="1"/>
        <v>-100000</v>
      </c>
    </row>
    <row r="29" spans="1:11" ht="15" customHeight="1" x14ac:dyDescent="0.2">
      <c r="A29" s="730"/>
      <c r="B29" s="730" t="s">
        <v>2152</v>
      </c>
      <c r="C29" s="731">
        <f>EDATE($B$4,60)</f>
        <v>47997</v>
      </c>
      <c r="D29" s="730"/>
      <c r="E29" s="732">
        <f>IFERROR($D$26/4,0)</f>
        <v>0</v>
      </c>
      <c r="F29" s="732">
        <f>IFERROR('LP Return Illustration'!F17+IF($A$26=$G$5,'LP Return Illustration'!$L$24+'LP Return Illustration'!$L$25,0),0)</f>
        <v>0</v>
      </c>
      <c r="G29" s="732">
        <f t="shared" si="0"/>
        <v>0</v>
      </c>
      <c r="H29" s="732">
        <f t="shared" si="1"/>
        <v>-100000</v>
      </c>
    </row>
    <row r="30" spans="1:11" ht="15" customHeight="1" x14ac:dyDescent="0.2">
      <c r="A30" s="730">
        <v>6</v>
      </c>
      <c r="B30" s="730" t="s">
        <v>2148</v>
      </c>
      <c r="C30" s="731">
        <f>EDATE($B$4,63)</f>
        <v>48089</v>
      </c>
      <c r="D30" s="732">
        <f>'LP Return Illustration'!G15</f>
        <v>0</v>
      </c>
      <c r="E30" s="732">
        <f>IFERROR($D$30/4,0)</f>
        <v>0</v>
      </c>
      <c r="F30" s="732">
        <v>0</v>
      </c>
      <c r="G30" s="732">
        <f t="shared" si="0"/>
        <v>0</v>
      </c>
      <c r="H30" s="732">
        <f t="shared" si="1"/>
        <v>-100000</v>
      </c>
    </row>
    <row r="31" spans="1:11" ht="15" customHeight="1" x14ac:dyDescent="0.2">
      <c r="A31" s="730"/>
      <c r="B31" s="730" t="s">
        <v>2150</v>
      </c>
      <c r="C31" s="731">
        <f>EDATE($B$4,66)</f>
        <v>48181</v>
      </c>
      <c r="D31" s="730"/>
      <c r="E31" s="732">
        <f>IFERROR($D$30/4,0)</f>
        <v>0</v>
      </c>
      <c r="F31" s="732">
        <v>0</v>
      </c>
      <c r="G31" s="732">
        <f t="shared" si="0"/>
        <v>0</v>
      </c>
      <c r="H31" s="732">
        <f t="shared" si="1"/>
        <v>-100000</v>
      </c>
    </row>
    <row r="32" spans="1:11" ht="15" customHeight="1" x14ac:dyDescent="0.2">
      <c r="A32" s="730"/>
      <c r="B32" s="730" t="s">
        <v>2151</v>
      </c>
      <c r="C32" s="731">
        <f>EDATE($B$4,69)</f>
        <v>48273</v>
      </c>
      <c r="D32" s="730"/>
      <c r="E32" s="732">
        <f>IFERROR($D$30/4,0)</f>
        <v>0</v>
      </c>
      <c r="F32" s="732">
        <v>0</v>
      </c>
      <c r="G32" s="732">
        <f t="shared" si="0"/>
        <v>0</v>
      </c>
      <c r="H32" s="732">
        <f t="shared" si="1"/>
        <v>-100000</v>
      </c>
    </row>
    <row r="33" spans="1:8" ht="15" customHeight="1" x14ac:dyDescent="0.2">
      <c r="A33" s="730"/>
      <c r="B33" s="730" t="s">
        <v>2152</v>
      </c>
      <c r="C33" s="731">
        <f>EDATE($B$4,72)</f>
        <v>48363</v>
      </c>
      <c r="D33" s="730"/>
      <c r="E33" s="732">
        <f>IFERROR($D$30/4,0)</f>
        <v>0</v>
      </c>
      <c r="F33" s="732">
        <f>IFERROR('LP Return Illustration'!G17+IF($A$30=$G$5,'LP Return Illustration'!$L$24+'LP Return Illustration'!$L$25,0),0)</f>
        <v>0</v>
      </c>
      <c r="G33" s="732">
        <f t="shared" si="0"/>
        <v>0</v>
      </c>
      <c r="H33" s="732">
        <f t="shared" si="1"/>
        <v>-100000</v>
      </c>
    </row>
    <row r="34" spans="1:8" ht="15" customHeight="1" x14ac:dyDescent="0.2">
      <c r="A34" s="730">
        <v>7</v>
      </c>
      <c r="B34" s="730" t="s">
        <v>2148</v>
      </c>
      <c r="C34" s="731">
        <f>EDATE($B$4,75)</f>
        <v>48455</v>
      </c>
      <c r="D34" s="732">
        <f>'LP Return Illustration'!H15</f>
        <v>0</v>
      </c>
      <c r="E34" s="732">
        <f>IFERROR($D$34/4,0)</f>
        <v>0</v>
      </c>
      <c r="F34" s="732">
        <v>0</v>
      </c>
      <c r="G34" s="732">
        <f t="shared" si="0"/>
        <v>0</v>
      </c>
      <c r="H34" s="732">
        <f t="shared" si="1"/>
        <v>-100000</v>
      </c>
    </row>
    <row r="35" spans="1:8" ht="15" customHeight="1" x14ac:dyDescent="0.2">
      <c r="A35" s="730"/>
      <c r="B35" s="730" t="s">
        <v>2150</v>
      </c>
      <c r="C35" s="731">
        <f>EDATE($B$4,78)</f>
        <v>48547</v>
      </c>
      <c r="D35" s="730"/>
      <c r="E35" s="732">
        <f>IFERROR($D$34/4,0)</f>
        <v>0</v>
      </c>
      <c r="F35" s="732">
        <v>0</v>
      </c>
      <c r="G35" s="732">
        <f t="shared" si="0"/>
        <v>0</v>
      </c>
      <c r="H35" s="732">
        <f t="shared" si="1"/>
        <v>-100000</v>
      </c>
    </row>
    <row r="36" spans="1:8" ht="15" customHeight="1" x14ac:dyDescent="0.2">
      <c r="A36" s="730"/>
      <c r="B36" s="730" t="s">
        <v>2151</v>
      </c>
      <c r="C36" s="731">
        <f>EDATE($B$4,81)</f>
        <v>48638</v>
      </c>
      <c r="D36" s="730"/>
      <c r="E36" s="732">
        <f>IFERROR($D$34/4,0)</f>
        <v>0</v>
      </c>
      <c r="F36" s="732">
        <v>0</v>
      </c>
      <c r="G36" s="732">
        <f t="shared" si="0"/>
        <v>0</v>
      </c>
      <c r="H36" s="732">
        <f t="shared" si="1"/>
        <v>-100000</v>
      </c>
    </row>
    <row r="37" spans="1:8" ht="15" customHeight="1" x14ac:dyDescent="0.2">
      <c r="A37" s="730"/>
      <c r="B37" s="730" t="s">
        <v>2152</v>
      </c>
      <c r="C37" s="731">
        <f>EDATE($B$4,84)</f>
        <v>48728</v>
      </c>
      <c r="D37" s="730"/>
      <c r="E37" s="732">
        <f>IFERROR($D$34/4,0)</f>
        <v>0</v>
      </c>
      <c r="F37" s="732">
        <f>IFERROR('LP Return Illustration'!H17+IF($A$34=$G$5,'LP Return Illustration'!$L$24+'LP Return Illustration'!$L$25,0),0)</f>
        <v>0</v>
      </c>
      <c r="G37" s="732">
        <f t="shared" si="0"/>
        <v>0</v>
      </c>
      <c r="H37" s="732">
        <f t="shared" si="1"/>
        <v>-100000</v>
      </c>
    </row>
    <row r="38" spans="1:8" ht="15" customHeight="1" x14ac:dyDescent="0.2">
      <c r="A38" s="730">
        <v>8</v>
      </c>
      <c r="B38" s="730" t="s">
        <v>2148</v>
      </c>
      <c r="C38" s="731">
        <f>EDATE($B$4,87)</f>
        <v>48820</v>
      </c>
      <c r="D38" s="732">
        <f>'LP Return Illustration'!I15</f>
        <v>0</v>
      </c>
      <c r="E38" s="732">
        <f>IFERROR($D$38/4,0)</f>
        <v>0</v>
      </c>
      <c r="F38" s="732">
        <v>0</v>
      </c>
      <c r="G38" s="732">
        <f t="shared" si="0"/>
        <v>0</v>
      </c>
      <c r="H38" s="732">
        <f t="shared" si="1"/>
        <v>-100000</v>
      </c>
    </row>
    <row r="39" spans="1:8" ht="15" customHeight="1" x14ac:dyDescent="0.2">
      <c r="A39" s="730"/>
      <c r="B39" s="730" t="s">
        <v>2150</v>
      </c>
      <c r="C39" s="731">
        <f>EDATE($B$4,90)</f>
        <v>48912</v>
      </c>
      <c r="D39" s="730"/>
      <c r="E39" s="732">
        <f>IFERROR($D$38/4,0)</f>
        <v>0</v>
      </c>
      <c r="F39" s="732">
        <v>0</v>
      </c>
      <c r="G39" s="732">
        <f t="shared" si="0"/>
        <v>0</v>
      </c>
      <c r="H39" s="732">
        <f t="shared" si="1"/>
        <v>-100000</v>
      </c>
    </row>
    <row r="40" spans="1:8" ht="15" customHeight="1" x14ac:dyDescent="0.2">
      <c r="A40" s="730"/>
      <c r="B40" s="730" t="s">
        <v>2151</v>
      </c>
      <c r="C40" s="731">
        <f>EDATE($B$4,93)</f>
        <v>49003</v>
      </c>
      <c r="D40" s="730"/>
      <c r="E40" s="732">
        <f>IFERROR($D$38/4,0)</f>
        <v>0</v>
      </c>
      <c r="F40" s="732">
        <v>0</v>
      </c>
      <c r="G40" s="732">
        <f t="shared" si="0"/>
        <v>0</v>
      </c>
      <c r="H40" s="732">
        <f t="shared" si="1"/>
        <v>-100000</v>
      </c>
    </row>
    <row r="41" spans="1:8" ht="15" customHeight="1" x14ac:dyDescent="0.2">
      <c r="A41" s="730"/>
      <c r="B41" s="730" t="s">
        <v>2152</v>
      </c>
      <c r="C41" s="731">
        <f>EDATE($B$4,96)</f>
        <v>49093</v>
      </c>
      <c r="D41" s="730"/>
      <c r="E41" s="732">
        <f>IFERROR($D$38/4,0)</f>
        <v>0</v>
      </c>
      <c r="F41" s="732">
        <f>IFERROR('LP Return Illustration'!I17+IF($A$38=$G$5,'LP Return Illustration'!$L$24+'LP Return Illustration'!$L$25,0),0)</f>
        <v>0</v>
      </c>
      <c r="G41" s="732">
        <f t="shared" si="0"/>
        <v>0</v>
      </c>
      <c r="H41" s="732">
        <f t="shared" si="1"/>
        <v>-100000</v>
      </c>
    </row>
    <row r="42" spans="1:8" ht="15" customHeight="1" x14ac:dyDescent="0.2">
      <c r="A42" s="730">
        <v>9</v>
      </c>
      <c r="B42" s="730" t="s">
        <v>2148</v>
      </c>
      <c r="C42" s="731">
        <f>EDATE($B$4,99)</f>
        <v>49185</v>
      </c>
      <c r="D42" s="732">
        <f>'LP Return Illustration'!J15</f>
        <v>0</v>
      </c>
      <c r="E42" s="732">
        <f>IFERROR($D$42/4,0)</f>
        <v>0</v>
      </c>
      <c r="F42" s="732">
        <v>0</v>
      </c>
      <c r="G42" s="732">
        <f t="shared" si="0"/>
        <v>0</v>
      </c>
      <c r="H42" s="732">
        <f t="shared" si="1"/>
        <v>-100000</v>
      </c>
    </row>
    <row r="43" spans="1:8" ht="15" customHeight="1" x14ac:dyDescent="0.2">
      <c r="A43" s="730"/>
      <c r="B43" s="730" t="s">
        <v>2150</v>
      </c>
      <c r="C43" s="731">
        <f>EDATE($B$4,102)</f>
        <v>49277</v>
      </c>
      <c r="D43" s="730"/>
      <c r="E43" s="732">
        <f>IFERROR($D$42/4,0)</f>
        <v>0</v>
      </c>
      <c r="F43" s="732">
        <v>0</v>
      </c>
      <c r="G43" s="732">
        <f t="shared" si="0"/>
        <v>0</v>
      </c>
      <c r="H43" s="732">
        <f t="shared" si="1"/>
        <v>-100000</v>
      </c>
    </row>
    <row r="44" spans="1:8" ht="15" customHeight="1" x14ac:dyDescent="0.2">
      <c r="A44" s="730"/>
      <c r="B44" s="730" t="s">
        <v>2151</v>
      </c>
      <c r="C44" s="731">
        <f>EDATE($B$4,105)</f>
        <v>49368</v>
      </c>
      <c r="D44" s="730"/>
      <c r="E44" s="732">
        <f>IFERROR($D$42/4,0)</f>
        <v>0</v>
      </c>
      <c r="F44" s="732">
        <v>0</v>
      </c>
      <c r="G44" s="732">
        <f t="shared" si="0"/>
        <v>0</v>
      </c>
      <c r="H44" s="732">
        <f t="shared" si="1"/>
        <v>-100000</v>
      </c>
    </row>
    <row r="45" spans="1:8" ht="15" customHeight="1" x14ac:dyDescent="0.2">
      <c r="A45" s="730"/>
      <c r="B45" s="730" t="s">
        <v>2152</v>
      </c>
      <c r="C45" s="731">
        <f>EDATE($B$4,108)</f>
        <v>49458</v>
      </c>
      <c r="D45" s="730"/>
      <c r="E45" s="732">
        <f>IFERROR($D$42/4,0)</f>
        <v>0</v>
      </c>
      <c r="F45" s="732">
        <f>IFERROR('LP Return Illustration'!J17+IF($A$42=$G$5,'LP Return Illustration'!$L$24+'LP Return Illustration'!$L$25,0),0)</f>
        <v>0</v>
      </c>
      <c r="G45" s="732">
        <f t="shared" si="0"/>
        <v>0</v>
      </c>
      <c r="H45" s="732">
        <f t="shared" si="1"/>
        <v>-100000</v>
      </c>
    </row>
    <row r="46" spans="1:8" ht="15" customHeight="1" x14ac:dyDescent="0.2">
      <c r="A46" s="730">
        <v>10</v>
      </c>
      <c r="B46" s="730" t="s">
        <v>2148</v>
      </c>
      <c r="C46" s="731">
        <f>EDATE($B$4,111)</f>
        <v>49550</v>
      </c>
      <c r="D46" s="732">
        <f>'LP Return Illustration'!K15</f>
        <v>0</v>
      </c>
      <c r="E46" s="732">
        <f>IFERROR($D$46/4,0)</f>
        <v>0</v>
      </c>
      <c r="F46" s="732">
        <v>0</v>
      </c>
      <c r="G46" s="732">
        <f t="shared" si="0"/>
        <v>0</v>
      </c>
      <c r="H46" s="732">
        <f t="shared" si="1"/>
        <v>-100000</v>
      </c>
    </row>
    <row r="47" spans="1:8" ht="15" customHeight="1" x14ac:dyDescent="0.2">
      <c r="A47" s="730"/>
      <c r="B47" s="730" t="s">
        <v>2150</v>
      </c>
      <c r="C47" s="731">
        <f>EDATE($B$4,114)</f>
        <v>49642</v>
      </c>
      <c r="D47" s="730"/>
      <c r="E47" s="732">
        <f>IFERROR($D$46/4,0)</f>
        <v>0</v>
      </c>
      <c r="F47" s="732">
        <v>0</v>
      </c>
      <c r="G47" s="732">
        <f t="shared" si="0"/>
        <v>0</v>
      </c>
      <c r="H47" s="732">
        <f t="shared" si="1"/>
        <v>-100000</v>
      </c>
    </row>
    <row r="48" spans="1:8" ht="15" customHeight="1" x14ac:dyDescent="0.2">
      <c r="A48" s="730"/>
      <c r="B48" s="730" t="s">
        <v>2151</v>
      </c>
      <c r="C48" s="731">
        <f>EDATE($B$4,117)</f>
        <v>49734</v>
      </c>
      <c r="D48" s="730"/>
      <c r="E48" s="732">
        <f>IFERROR($D$46/4,0)</f>
        <v>0</v>
      </c>
      <c r="F48" s="732">
        <v>0</v>
      </c>
      <c r="G48" s="732">
        <f t="shared" si="0"/>
        <v>0</v>
      </c>
      <c r="H48" s="732">
        <f t="shared" si="1"/>
        <v>-100000</v>
      </c>
    </row>
    <row r="49" spans="1:8" ht="15" customHeight="1" x14ac:dyDescent="0.2">
      <c r="A49" s="730"/>
      <c r="B49" s="730" t="s">
        <v>2152</v>
      </c>
      <c r="C49" s="731">
        <f>EDATE($B$4,120)</f>
        <v>49824</v>
      </c>
      <c r="D49" s="730"/>
      <c r="E49" s="732">
        <f>IFERROR($D$46/4,0)</f>
        <v>0</v>
      </c>
      <c r="F49" s="732">
        <f>IFERROR('LP Return Illustration'!K17+IF($A$46=$G$5,'LP Return Illustration'!$L$24+'LP Return Illustration'!$L$25,0),0)</f>
        <v>0</v>
      </c>
      <c r="G49" s="732">
        <f t="shared" si="0"/>
        <v>0</v>
      </c>
      <c r="H49" s="732">
        <f t="shared" si="1"/>
        <v>-100000</v>
      </c>
    </row>
    <row r="51" spans="1:8" ht="15" customHeight="1" x14ac:dyDescent="0.2">
      <c r="A51" s="722" t="s">
        <v>2153</v>
      </c>
      <c r="E51" s="734">
        <f>SUM(E10:E49)</f>
        <v>0</v>
      </c>
      <c r="F51" s="734">
        <f>SUM(F10:F49)</f>
        <v>0</v>
      </c>
      <c r="G51" s="734">
        <f>SUM(G9:G49)</f>
        <v>-100000</v>
      </c>
      <c r="H51" s="734">
        <f>H49</f>
        <v>-100000</v>
      </c>
    </row>
    <row r="53" spans="1:8" ht="15" customHeight="1" x14ac:dyDescent="0.2">
      <c r="A53" s="722" t="s">
        <v>2154</v>
      </c>
    </row>
    <row r="54" spans="1:8" ht="15" customHeight="1" x14ac:dyDescent="0.2">
      <c r="A54" s="735" t="s">
        <v>2155</v>
      </c>
      <c r="H54" s="736">
        <f>IFERROR(XIRR(G9:G49,C9:C49,0.1),0)</f>
        <v>0</v>
      </c>
    </row>
    <row r="55" spans="1:8" ht="15" customHeight="1" x14ac:dyDescent="0.2">
      <c r="A55" s="735" t="s">
        <v>2156</v>
      </c>
      <c r="H55" s="737">
        <f>IFERROR(IRR(K9:K19,0.1),0)</f>
        <v>0</v>
      </c>
    </row>
    <row r="56" spans="1:8" ht="15" customHeight="1" x14ac:dyDescent="0.2">
      <c r="A56" s="735" t="s">
        <v>2157</v>
      </c>
      <c r="H56" s="737">
        <f>IFERROR(H54-H55,0)</f>
        <v>0</v>
      </c>
    </row>
    <row r="57" spans="1:8" ht="15" customHeight="1" x14ac:dyDescent="0.2">
      <c r="A57" s="735" t="s">
        <v>2158</v>
      </c>
      <c r="H57" s="738">
        <f>IFERROR((H49+'LP Return Illustration'!$B$5)/'LP Return Illustration'!$B$5,0)</f>
        <v>0</v>
      </c>
    </row>
    <row r="58" spans="1:8" ht="15" customHeight="1" x14ac:dyDescent="0.2">
      <c r="A58" s="735" t="s">
        <v>2159</v>
      </c>
      <c r="H58" s="733">
        <f>H49+ABS(G9)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4"/>
  <sheetViews>
    <sheetView zoomScale="113" zoomScaleNormal="113" workbookViewId="0">
      <selection activeCell="F10" sqref="F10"/>
    </sheetView>
  </sheetViews>
  <sheetFormatPr baseColWidth="10" defaultColWidth="8.83203125" defaultRowHeight="15" x14ac:dyDescent="0.2"/>
  <cols>
    <col min="1" max="1" width="30" customWidth="1"/>
    <col min="2" max="10" width="14" customWidth="1"/>
  </cols>
  <sheetData>
    <row r="1" spans="1:17" ht="24" customHeight="1" x14ac:dyDescent="0.2">
      <c r="A1" s="938" t="str">
        <f>IF('Prop Info'!B4="","SENSITIVITY ANALYSIS — THREE KEY TRADE-OFF TABLES","SENSITIVITY ANALYSIS — THREE KEY TRADE-OFF TABLES"&amp;" — "&amp;'Prop Info'!B4)</f>
        <v>SENSITIVITY ANALYSIS — THREE KEY TRADE-OFF TABLES</v>
      </c>
      <c r="B1" s="938"/>
      <c r="C1" s="938"/>
      <c r="D1" s="938"/>
      <c r="E1" s="938"/>
      <c r="F1" s="938"/>
      <c r="G1" s="938"/>
      <c r="H1" s="938"/>
      <c r="I1" s="938"/>
      <c r="J1" s="938"/>
    </row>
    <row r="2" spans="1:17" ht="15.75" customHeight="1" x14ac:dyDescent="0.2">
      <c r="A2" s="944" t="s">
        <v>2160</v>
      </c>
      <c r="B2" s="944"/>
      <c r="C2" s="944"/>
      <c r="D2" s="944"/>
      <c r="E2" s="944"/>
      <c r="F2" s="944"/>
      <c r="G2" s="944"/>
      <c r="H2" s="944"/>
      <c r="I2" s="944"/>
      <c r="J2" s="944"/>
    </row>
    <row r="4" spans="1:17" ht="24" customHeight="1" x14ac:dyDescent="0.2">
      <c r="A4" s="938" t="s">
        <v>2161</v>
      </c>
      <c r="B4" s="938"/>
      <c r="C4" s="938"/>
      <c r="D4" s="938"/>
      <c r="E4" s="938"/>
      <c r="F4" s="938"/>
      <c r="G4" s="938"/>
      <c r="H4" s="938"/>
      <c r="I4" s="938"/>
      <c r="J4" s="938"/>
    </row>
    <row r="5" spans="1:17" ht="15" customHeight="1" x14ac:dyDescent="0.2">
      <c r="A5" s="378" t="s">
        <v>2162</v>
      </c>
      <c r="B5" s="739">
        <f>$K$5+0*$M$5</f>
        <v>7.4999999999999997E-2</v>
      </c>
      <c r="C5" s="739">
        <f>$K$5+1*$M$5</f>
        <v>0.08</v>
      </c>
      <c r="D5" s="739">
        <f>$K$5+2*$M$5</f>
        <v>8.4999999999999992E-2</v>
      </c>
      <c r="E5" s="739">
        <f>$K$5+3*$M$5</f>
        <v>0.09</v>
      </c>
      <c r="F5" s="739">
        <f>$K$5+4*$M$5</f>
        <v>9.5000000000000001E-2</v>
      </c>
      <c r="G5" s="739">
        <f>$K$5+5*$M$5</f>
        <v>0.1</v>
      </c>
      <c r="H5" s="739">
        <f>$K$5+6*$M$5</f>
        <v>0.105</v>
      </c>
      <c r="J5" s="740" t="s">
        <v>292</v>
      </c>
      <c r="K5" s="741">
        <v>7.4999999999999997E-2</v>
      </c>
      <c r="L5" s="740" t="s">
        <v>293</v>
      </c>
      <c r="M5" s="741">
        <v>5.0000000000000001E-3</v>
      </c>
      <c r="N5" s="740" t="s">
        <v>294</v>
      </c>
      <c r="O5" s="742">
        <v>0.7</v>
      </c>
      <c r="P5" s="740" t="s">
        <v>295</v>
      </c>
      <c r="Q5" s="742">
        <v>2.5000000000000001E-2</v>
      </c>
    </row>
    <row r="6" spans="1:17" ht="15" customHeight="1" x14ac:dyDescent="0.2">
      <c r="A6" s="743">
        <f>$O$5+0*$Q$5</f>
        <v>0.7</v>
      </c>
      <c r="B6" s="744" t="str">
        <f>IFERROR(((('P&amp;L'!H40*(A6/(1-Scenarios!F41)))/B5*(1-0.025)-Scenarios!F117)/Scenarios!F31)^(1/5)-1,"")</f>
        <v/>
      </c>
      <c r="C6" s="744" t="str">
        <f>IFERROR(((('P&amp;L'!H40*(A6/(1-Scenarios!F41)))/C5*(1-0.025)-Scenarios!F117)/Scenarios!F31)^(1/5)-1,"")</f>
        <v/>
      </c>
      <c r="D6" s="744" t="str">
        <f>IFERROR(((('P&amp;L'!H40*(A6/(1-Scenarios!F41)))/D5*(1-0.025)-Scenarios!F117)/Scenarios!F31)^(1/5)-1,"")</f>
        <v/>
      </c>
      <c r="E6" s="744" t="str">
        <f>IFERROR(((('P&amp;L'!H40*(A6/(1-Scenarios!F41)))/E5*(1-0.025)-Scenarios!F117)/Scenarios!F31)^(1/5)-1,"")</f>
        <v/>
      </c>
      <c r="F6" s="744" t="str">
        <f>IFERROR(((('P&amp;L'!H40*(A6/(1-Scenarios!F41)))/F5*(1-0.025)-Scenarios!F117)/Scenarios!F31)^(1/5)-1,"")</f>
        <v/>
      </c>
      <c r="G6" s="744" t="str">
        <f>IFERROR(((('P&amp;L'!H40*(A6/(1-Scenarios!F41)))/G5*(1-0.025)-Scenarios!F117)/Scenarios!F31)^(1/5)-1,"")</f>
        <v/>
      </c>
      <c r="H6" s="744" t="str">
        <f>IFERROR(((('P&amp;L'!H40*(A6/(1-Scenarios!F41)))/H5*(1-0.025)-Scenarios!F117)/Scenarios!F31)^(1/5)-1,"")</f>
        <v/>
      </c>
    </row>
    <row r="7" spans="1:17" ht="15" customHeight="1" x14ac:dyDescent="0.2">
      <c r="A7" s="743">
        <f>$O$5+1*$Q$5</f>
        <v>0.72499999999999998</v>
      </c>
      <c r="B7" s="744" t="str">
        <f>IFERROR(((('P&amp;L'!H40*(A7/(1-Scenarios!F41)))/B5*(1-0.025)-Scenarios!F117)/Scenarios!F31)^(1/5)-1,"")</f>
        <v/>
      </c>
      <c r="C7" s="744" t="str">
        <f>IFERROR(((('P&amp;L'!H40*(A7/(1-Scenarios!F41)))/C5*(1-0.025)-Scenarios!F117)/Scenarios!F31)^(1/5)-1,"")</f>
        <v/>
      </c>
      <c r="D7" s="744" t="str">
        <f>IFERROR(((('P&amp;L'!H40*(A7/(1-Scenarios!F41)))/D5*(1-0.025)-Scenarios!F117)/Scenarios!F31)^(1/5)-1,"")</f>
        <v/>
      </c>
      <c r="E7" s="744" t="str">
        <f>IFERROR(((('P&amp;L'!H40*(A7/(1-Scenarios!F41)))/E5*(1-0.025)-Scenarios!F117)/Scenarios!F31)^(1/5)-1,"")</f>
        <v/>
      </c>
      <c r="F7" s="744" t="str">
        <f>IFERROR(((('P&amp;L'!H40*(A7/(1-Scenarios!F41)))/F5*(1-0.025)-Scenarios!F117)/Scenarios!F31)^(1/5)-1,"")</f>
        <v/>
      </c>
      <c r="G7" s="744" t="str">
        <f>IFERROR(((('P&amp;L'!H40*(A7/(1-Scenarios!F41)))/G5*(1-0.025)-Scenarios!F117)/Scenarios!F31)^(1/5)-1,"")</f>
        <v/>
      </c>
      <c r="H7" s="744" t="str">
        <f>IFERROR(((('P&amp;L'!H40*(A7/(1-Scenarios!F41)))/H5*(1-0.025)-Scenarios!F117)/Scenarios!F31)^(1/5)-1,"")</f>
        <v/>
      </c>
    </row>
    <row r="8" spans="1:17" ht="15" customHeight="1" x14ac:dyDescent="0.2">
      <c r="A8" s="743">
        <f>$O$5+2*$Q$5</f>
        <v>0.75</v>
      </c>
      <c r="B8" s="745" t="str">
        <f>IFERROR(((('P&amp;L'!H40*(A8/(1-Scenarios!F41)))/B5*(1-0.025)-Scenarios!F117)/Scenarios!F31)^(1/5)-1,"")</f>
        <v/>
      </c>
      <c r="C8" s="745" t="str">
        <f>IFERROR(((('P&amp;L'!H40*(A8/(1-Scenarios!F41)))/C5*(1-0.025)-Scenarios!F117)/Scenarios!F31)^(1/5)-1,"")</f>
        <v/>
      </c>
      <c r="D8" s="745" t="str">
        <f>IFERROR(((('P&amp;L'!H40*(A8/(1-Scenarios!F41)))/D5*(1-0.025)-Scenarios!F117)/Scenarios!F31)^(1/5)-1,"")</f>
        <v/>
      </c>
      <c r="E8" s="745" t="str">
        <f>IFERROR(((('P&amp;L'!H40*(A8/(1-Scenarios!F41)))/E5*(1-0.025)-Scenarios!F117)/Scenarios!F31)^(1/5)-1,"")</f>
        <v/>
      </c>
      <c r="F8" s="745" t="str">
        <f>IFERROR(((('P&amp;L'!H40*(A8/(1-Scenarios!F41)))/F5*(1-0.025)-Scenarios!F117)/Scenarios!F31)^(1/5)-1,"")</f>
        <v/>
      </c>
      <c r="G8" s="745" t="str">
        <f>IFERROR(((('P&amp;L'!H40*(A8/(1-Scenarios!F41)))/G5*(1-0.025)-Scenarios!F117)/Scenarios!F31)^(1/5)-1,"")</f>
        <v/>
      </c>
      <c r="H8" s="744" t="str">
        <f>IFERROR(((('P&amp;L'!H40*(A8/(1-Scenarios!F41)))/H5*(1-0.025)-Scenarios!F117)/Scenarios!F31)^(1/5)-1,"")</f>
        <v/>
      </c>
    </row>
    <row r="9" spans="1:17" ht="15" customHeight="1" x14ac:dyDescent="0.2">
      <c r="A9" s="743">
        <f>$O$5+3*$Q$5</f>
        <v>0.77499999999999991</v>
      </c>
      <c r="B9" s="745" t="str">
        <f>IFERROR(((('P&amp;L'!H40*(A9/(1-Scenarios!F41)))/B5*(1-0.025)-Scenarios!F117)/Scenarios!F31)^(1/5)-1,"")</f>
        <v/>
      </c>
      <c r="C9" s="745" t="str">
        <f>IFERROR(((('P&amp;L'!H40*(A9/(1-Scenarios!F41)))/C5*(1-0.025)-Scenarios!F117)/Scenarios!F31)^(1/5)-1,"")</f>
        <v/>
      </c>
      <c r="D9" s="745" t="str">
        <f>IFERROR(((('P&amp;L'!H40*(A9/(1-Scenarios!F41)))/D5*(1-0.025)-Scenarios!F117)/Scenarios!F31)^(1/5)-1,"")</f>
        <v/>
      </c>
      <c r="E9" s="745" t="str">
        <f>IFERROR(((('P&amp;L'!H40*(A9/(1-Scenarios!F41)))/E5*(1-0.025)-Scenarios!F117)/Scenarios!F31)^(1/5)-1,"")</f>
        <v/>
      </c>
      <c r="F9" s="745" t="str">
        <f>IFERROR(((('P&amp;L'!H40*(A9/(1-Scenarios!F41)))/F5*(1-0.025)-Scenarios!F117)/Scenarios!F31)^(1/5)-1,"")</f>
        <v/>
      </c>
      <c r="G9" s="745" t="str">
        <f>IFERROR(((('P&amp;L'!H40*(A9/(1-Scenarios!F41)))/G5*(1-0.025)-Scenarios!F117)/Scenarios!F31)^(1/5)-1,"")</f>
        <v/>
      </c>
      <c r="H9" s="744" t="str">
        <f>IFERROR(((('P&amp;L'!H40*(A9/(1-Scenarios!F41)))/H5*(1-0.025)-Scenarios!F117)/Scenarios!F31)^(1/5)-1,"")</f>
        <v/>
      </c>
    </row>
    <row r="10" spans="1:17" ht="15" customHeight="1" x14ac:dyDescent="0.2">
      <c r="A10" s="743">
        <f>$O$5+4*$Q$5</f>
        <v>0.79999999999999993</v>
      </c>
      <c r="B10" s="746" t="str">
        <f>IFERROR(((('P&amp;L'!H40*(A10/(1-Scenarios!F41)))/B5*(1-0.025)-Scenarios!F117)/Scenarios!F31)^(1/5)-1,"")</f>
        <v/>
      </c>
      <c r="C10" s="746" t="str">
        <f>IFERROR(((('P&amp;L'!H40*(A10/(1-Scenarios!F41)))/C5*(1-0.025)-Scenarios!F117)/Scenarios!F31)^(1/5)-1,"")</f>
        <v/>
      </c>
      <c r="D10" s="746" t="str">
        <f>IFERROR(((('P&amp;L'!H40*(A10/(1-Scenarios!F41)))/D5*(1-0.025)-Scenarios!F117)/Scenarios!F31)^(1/5)-1,"")</f>
        <v/>
      </c>
      <c r="E10" s="746" t="str">
        <f>IFERROR(((('P&amp;L'!H40*(A10/(1-Scenarios!F41)))/E5*(1-0.025)-Scenarios!F117)/Scenarios!F31)^(1/5)-1,"")</f>
        <v/>
      </c>
      <c r="F10" s="745" t="str">
        <f>IFERROR(((('P&amp;L'!H40*(A10/(1-Scenarios!F41)))/F5*(1-0.025)-Scenarios!F117)/Scenarios!F31)^(1/5)-1,"")</f>
        <v/>
      </c>
      <c r="G10" s="745" t="str">
        <f>IFERROR(((('P&amp;L'!H40*(A10/(1-Scenarios!F41)))/G5*(1-0.025)-Scenarios!F117)/Scenarios!F31)^(1/5)-1,"")</f>
        <v/>
      </c>
      <c r="H10" s="744" t="str">
        <f>IFERROR(((('P&amp;L'!H40*(A10/(1-Scenarios!F41)))/H5*(1-0.025)-Scenarios!F117)/Scenarios!F31)^(1/5)-1,"")</f>
        <v/>
      </c>
    </row>
    <row r="11" spans="1:17" ht="15" customHeight="1" x14ac:dyDescent="0.2">
      <c r="A11" s="743">
        <f>$O$5+5*$Q$5</f>
        <v>0.82499999999999996</v>
      </c>
      <c r="B11" s="746" t="str">
        <f>IFERROR(((('P&amp;L'!H40*(A11/(1-Scenarios!F41)))/B5*(1-0.025)-Scenarios!F117)/Scenarios!F31)^(1/5)-1,"")</f>
        <v/>
      </c>
      <c r="C11" s="746" t="str">
        <f>IFERROR(((('P&amp;L'!H40*(A11/(1-Scenarios!F41)))/C5*(1-0.025)-Scenarios!F117)/Scenarios!F31)^(1/5)-1,"")</f>
        <v/>
      </c>
      <c r="D11" s="746" t="str">
        <f>IFERROR(((('P&amp;L'!H40*(A11/(1-Scenarios!F41)))/D5*(1-0.025)-Scenarios!F117)/Scenarios!F31)^(1/5)-1,"")</f>
        <v/>
      </c>
      <c r="E11" s="746" t="str">
        <f>IFERROR(((('P&amp;L'!H40*(A11/(1-Scenarios!F41)))/E5*(1-0.025)-Scenarios!F117)/Scenarios!F31)^(1/5)-1,"")</f>
        <v/>
      </c>
      <c r="F11" s="745" t="str">
        <f>IFERROR(((('P&amp;L'!H40*(A11/(1-Scenarios!F41)))/F5*(1-0.025)-Scenarios!F117)/Scenarios!F31)^(1/5)-1,"")</f>
        <v/>
      </c>
      <c r="G11" s="745" t="str">
        <f>IFERROR(((('P&amp;L'!H40*(A11/(1-Scenarios!F41)))/G5*(1-0.025)-Scenarios!F117)/Scenarios!F31)^(1/5)-1,"")</f>
        <v/>
      </c>
      <c r="H11" s="744" t="str">
        <f>IFERROR(((('P&amp;L'!H40*(A11/(1-Scenarios!F41)))/H5*(1-0.025)-Scenarios!F117)/Scenarios!F31)^(1/5)-1,"")</f>
        <v/>
      </c>
    </row>
    <row r="12" spans="1:17" ht="15" customHeight="1" x14ac:dyDescent="0.2">
      <c r="A12" s="743">
        <f>$O$5+6*$Q$5</f>
        <v>0.85</v>
      </c>
      <c r="B12" s="746" t="str">
        <f>IFERROR(((('P&amp;L'!H40*(A12/(1-Scenarios!F41)))/B5*(1-0.025)-Scenarios!F117)/Scenarios!F31)^(1/5)-1,"")</f>
        <v/>
      </c>
      <c r="C12" s="746" t="str">
        <f>IFERROR(((('P&amp;L'!H40*(A12/(1-Scenarios!F41)))/C5*(1-0.025)-Scenarios!F117)/Scenarios!F31)^(1/5)-1,"")</f>
        <v/>
      </c>
      <c r="D12" s="746" t="str">
        <f>IFERROR(((('P&amp;L'!H40*(A12/(1-Scenarios!F41)))/D5*(1-0.025)-Scenarios!F117)/Scenarios!F31)^(1/5)-1,"")</f>
        <v/>
      </c>
      <c r="E12" s="746" t="str">
        <f>IFERROR(((('P&amp;L'!H40*(A12/(1-Scenarios!F41)))/E5*(1-0.025)-Scenarios!F117)/Scenarios!F31)^(1/5)-1,"")</f>
        <v/>
      </c>
      <c r="F12" s="745" t="str">
        <f>IFERROR(((('P&amp;L'!H40*(A12/(1-Scenarios!F41)))/F5*(1-0.025)-Scenarios!F117)/Scenarios!F31)^(1/5)-1,"")</f>
        <v/>
      </c>
      <c r="G12" s="745" t="str">
        <f>IFERROR(((('P&amp;L'!H40*(A12/(1-Scenarios!F41)))/G5*(1-0.025)-Scenarios!F117)/Scenarios!F31)^(1/5)-1,"")</f>
        <v/>
      </c>
      <c r="H12" s="744" t="str">
        <f>IFERROR(((('P&amp;L'!H40*(A12/(1-Scenarios!F41)))/H5*(1-0.025)-Scenarios!F117)/Scenarios!F31)^(1/5)-1,"")</f>
        <v/>
      </c>
    </row>
    <row r="13" spans="1:17" ht="15" customHeight="1" x14ac:dyDescent="0.2">
      <c r="A13" s="743">
        <f>$O$5+7*$Q$5</f>
        <v>0.875</v>
      </c>
      <c r="B13" s="746" t="str">
        <f>IFERROR(((('P&amp;L'!H40*(A13/(1-Scenarios!F41)))/B5*(1-0.025)-Scenarios!F117)/Scenarios!F31)^(1/5)-1,"")</f>
        <v/>
      </c>
      <c r="C13" s="746" t="str">
        <f>IFERROR(((('P&amp;L'!H40*(A13/(1-Scenarios!F41)))/C5*(1-0.025)-Scenarios!F117)/Scenarios!F31)^(1/5)-1,"")</f>
        <v/>
      </c>
      <c r="D13" s="746" t="str">
        <f>IFERROR(((('P&amp;L'!H40*(A13/(1-Scenarios!F41)))/D5*(1-0.025)-Scenarios!F117)/Scenarios!F31)^(1/5)-1,"")</f>
        <v/>
      </c>
      <c r="E13" s="746" t="str">
        <f>IFERROR(((('P&amp;L'!H40*(A13/(1-Scenarios!F41)))/E5*(1-0.025)-Scenarios!F117)/Scenarios!F31)^(1/5)-1,"")</f>
        <v/>
      </c>
      <c r="F13" s="745" t="str">
        <f>IFERROR(((('P&amp;L'!H40*(A13/(1-Scenarios!F41)))/F5*(1-0.025)-Scenarios!F117)/Scenarios!F31)^(1/5)-1,"")</f>
        <v/>
      </c>
      <c r="G13" s="745" t="str">
        <f>IFERROR(((('P&amp;L'!H40*(A13/(1-Scenarios!F41)))/G5*(1-0.025)-Scenarios!F117)/Scenarios!F31)^(1/5)-1,"")</f>
        <v/>
      </c>
      <c r="H13" s="744" t="str">
        <f>IFERROR(((('P&amp;L'!H40*(A13/(1-Scenarios!F41)))/H5*(1-0.025)-Scenarios!F117)/Scenarios!F31)^(1/5)-1,"")</f>
        <v/>
      </c>
    </row>
    <row r="15" spans="1:17" ht="24" customHeight="1" x14ac:dyDescent="0.2">
      <c r="A15" s="934" t="s">
        <v>2163</v>
      </c>
      <c r="B15" s="934"/>
      <c r="C15" s="934"/>
      <c r="D15" s="934"/>
      <c r="E15" s="934"/>
      <c r="F15" s="934"/>
      <c r="G15" s="934"/>
      <c r="H15" s="934"/>
      <c r="I15" s="934"/>
      <c r="J15" s="934"/>
    </row>
    <row r="16" spans="1:17" ht="15" customHeight="1" x14ac:dyDescent="0.2">
      <c r="A16" s="747" t="s">
        <v>2164</v>
      </c>
      <c r="B16" s="743">
        <f>$K$16+0*$M$16</f>
        <v>0.03</v>
      </c>
      <c r="C16" s="743">
        <f>$K$16+1*$M$16</f>
        <v>3.4999999999999996E-2</v>
      </c>
      <c r="D16" s="743">
        <f>$K$16+2*$M$16</f>
        <v>0.04</v>
      </c>
      <c r="E16" s="743">
        <f>$K$16+3*$M$16</f>
        <v>4.4999999999999998E-2</v>
      </c>
      <c r="F16" s="743">
        <f>$K$16+4*$M$16</f>
        <v>0.05</v>
      </c>
      <c r="G16" s="743">
        <f>$K$16+5*$M$16</f>
        <v>5.5E-2</v>
      </c>
      <c r="H16" s="743">
        <f>$K$16+6*$M$16</f>
        <v>0.06</v>
      </c>
      <c r="J16" s="740" t="s">
        <v>296</v>
      </c>
      <c r="K16" s="742">
        <v>0.03</v>
      </c>
      <c r="L16" s="740" t="s">
        <v>293</v>
      </c>
      <c r="M16" s="742">
        <v>5.0000000000000001E-3</v>
      </c>
      <c r="N16" s="740" t="s">
        <v>297</v>
      </c>
      <c r="O16" s="742">
        <v>0.02</v>
      </c>
      <c r="P16" s="740" t="s">
        <v>293</v>
      </c>
      <c r="Q16" s="742">
        <v>5.0000000000000001E-3</v>
      </c>
    </row>
    <row r="17" spans="1:17" ht="15" customHeight="1" x14ac:dyDescent="0.2">
      <c r="A17" s="743">
        <f>$O$16+0*$Q$16</f>
        <v>0.02</v>
      </c>
      <c r="B17" s="745" t="str">
        <f>IFERROR(('P&amp;L'!H19*(1+$A17)^5-'P&amp;L'!H38*(1+B16)^5)/('P&amp;L'!H19*(1+$A17)^5),"")</f>
        <v/>
      </c>
      <c r="C17" s="745" t="str">
        <f>IFERROR(('P&amp;L'!H19*(1+$A17)^5-'P&amp;L'!H38*(1+C16)^5)/('P&amp;L'!H19*(1+$A17)^5),"")</f>
        <v/>
      </c>
      <c r="D17" s="745" t="str">
        <f>IFERROR(('P&amp;L'!H19*(1+$A17)^5-'P&amp;L'!H38*(1+D16)^5)/('P&amp;L'!H19*(1+$A17)^5),"")</f>
        <v/>
      </c>
      <c r="E17" s="745" t="str">
        <f>IFERROR(('P&amp;L'!H19*(1+$A17)^5-'P&amp;L'!H38*(1+E16)^5)/('P&amp;L'!H19*(1+$A17)^5),"")</f>
        <v/>
      </c>
      <c r="F17" s="745" t="str">
        <f>IFERROR(('P&amp;L'!H19*(1+$A17)^5-'P&amp;L'!H38*(1+F16)^5)/('P&amp;L'!H19*(1+$A17)^5),"")</f>
        <v/>
      </c>
      <c r="G17" s="744" t="str">
        <f>IFERROR(('P&amp;L'!H19*(1+$A17)^5-'P&amp;L'!H38*(1+G16)^5)/('P&amp;L'!H19*(1+$A17)^5),"")</f>
        <v/>
      </c>
      <c r="H17" s="744" t="str">
        <f>IFERROR(('P&amp;L'!H19*(1+$A17)^5-'P&amp;L'!H38*(1+H16)^5)/('P&amp;L'!H19*(1+$A17)^5),"")</f>
        <v/>
      </c>
    </row>
    <row r="18" spans="1:17" ht="15" customHeight="1" x14ac:dyDescent="0.2">
      <c r="A18" s="743">
        <f>$O$16+1*$Q$16</f>
        <v>2.5000000000000001E-2</v>
      </c>
      <c r="B18" s="745" t="str">
        <f>IFERROR(('P&amp;L'!H19*(1+$A18)^5-'P&amp;L'!H38*(1+B16)^5)/('P&amp;L'!H19*(1+$A18)^5),"")</f>
        <v/>
      </c>
      <c r="C18" s="745" t="str">
        <f>IFERROR(('P&amp;L'!H19*(1+$A18)^5-'P&amp;L'!H38*(1+C16)^5)/('P&amp;L'!H19*(1+$A18)^5),"")</f>
        <v/>
      </c>
      <c r="D18" s="745" t="str">
        <f>IFERROR(('P&amp;L'!H19*(1+$A18)^5-'P&amp;L'!H38*(1+D16)^5)/('P&amp;L'!H19*(1+$A18)^5),"")</f>
        <v/>
      </c>
      <c r="E18" s="745" t="str">
        <f>IFERROR(('P&amp;L'!H19*(1+$A18)^5-'P&amp;L'!H38*(1+E16)^5)/('P&amp;L'!H19*(1+$A18)^5),"")</f>
        <v/>
      </c>
      <c r="F18" s="745" t="str">
        <f>IFERROR(('P&amp;L'!H19*(1+$A18)^5-'P&amp;L'!H38*(1+F16)^5)/('P&amp;L'!H19*(1+$A18)^5),"")</f>
        <v/>
      </c>
      <c r="G18" s="745" t="str">
        <f>IFERROR(('P&amp;L'!H19*(1+$A18)^5-'P&amp;L'!H38*(1+G16)^5)/('P&amp;L'!H19*(1+$A18)^5),"")</f>
        <v/>
      </c>
      <c r="H18" s="745" t="str">
        <f>IFERROR(('P&amp;L'!H19*(1+$A18)^5-'P&amp;L'!H38*(1+H16)^5)/('P&amp;L'!H19*(1+$A18)^5),"")</f>
        <v/>
      </c>
    </row>
    <row r="19" spans="1:17" ht="15" customHeight="1" x14ac:dyDescent="0.2">
      <c r="A19" s="743">
        <f>$O$16+2*$Q$16</f>
        <v>0.03</v>
      </c>
      <c r="B19" s="746" t="str">
        <f>IFERROR(('P&amp;L'!H19*(1+$A19)^5-'P&amp;L'!H38*(1+B16)^5)/('P&amp;L'!H19*(1+$A19)^5),"")</f>
        <v/>
      </c>
      <c r="C19" s="746" t="str">
        <f>IFERROR(('P&amp;L'!H19*(1+$A19)^5-'P&amp;L'!H38*(1+C16)^5)/('P&amp;L'!H19*(1+$A19)^5),"")</f>
        <v/>
      </c>
      <c r="D19" s="746" t="str">
        <f>IFERROR(('P&amp;L'!H19*(1+$A19)^5-'P&amp;L'!H38*(1+D16)^5)/('P&amp;L'!H19*(1+$A19)^5),"")</f>
        <v/>
      </c>
      <c r="E19" s="745" t="str">
        <f>IFERROR(('P&amp;L'!H19*(1+$A19)^5-'P&amp;L'!H38*(1+E16)^5)/('P&amp;L'!H19*(1+$A19)^5),"")</f>
        <v/>
      </c>
      <c r="F19" s="745" t="str">
        <f>IFERROR(('P&amp;L'!H19*(1+$A19)^5-'P&amp;L'!H38*(1+F16)^5)/('P&amp;L'!H19*(1+$A19)^5),"")</f>
        <v/>
      </c>
      <c r="G19" s="745" t="str">
        <f>IFERROR(('P&amp;L'!H19*(1+$A19)^5-'P&amp;L'!H38*(1+G16)^5)/('P&amp;L'!H19*(1+$A19)^5),"")</f>
        <v/>
      </c>
      <c r="H19" s="745" t="str">
        <f>IFERROR(('P&amp;L'!H19*(1+$A19)^5-'P&amp;L'!H38*(1+H16)^5)/('P&amp;L'!H19*(1+$A19)^5),"")</f>
        <v/>
      </c>
    </row>
    <row r="20" spans="1:17" ht="15" customHeight="1" x14ac:dyDescent="0.2">
      <c r="A20" s="743">
        <f>$O$16+3*$Q$16</f>
        <v>3.5000000000000003E-2</v>
      </c>
      <c r="B20" s="746" t="str">
        <f>IFERROR(('P&amp;L'!H19*(1+$A20)^5-'P&amp;L'!H38*(1+B16)^5)/('P&amp;L'!H19*(1+$A20)^5),"")</f>
        <v/>
      </c>
      <c r="C20" s="746" t="str">
        <f>IFERROR(('P&amp;L'!H19*(1+$A20)^5-'P&amp;L'!H38*(1+C16)^5)/('P&amp;L'!H19*(1+$A20)^5),"")</f>
        <v/>
      </c>
      <c r="D20" s="746" t="str">
        <f>IFERROR(('P&amp;L'!H19*(1+$A20)^5-'P&amp;L'!H38*(1+D16)^5)/('P&amp;L'!H19*(1+$A20)^5),"")</f>
        <v/>
      </c>
      <c r="E20" s="745" t="str">
        <f>IFERROR(('P&amp;L'!H19*(1+$A20)^5-'P&amp;L'!H38*(1+E16)^5)/('P&amp;L'!H19*(1+$A20)^5),"")</f>
        <v/>
      </c>
      <c r="F20" s="745" t="str">
        <f>IFERROR(('P&amp;L'!H19*(1+$A20)^5-'P&amp;L'!H38*(1+F16)^5)/('P&amp;L'!H19*(1+$A20)^5),"")</f>
        <v/>
      </c>
      <c r="G20" s="745" t="str">
        <f>IFERROR(('P&amp;L'!H19*(1+$A20)^5-'P&amp;L'!H38*(1+G16)^5)/('P&amp;L'!H19*(1+$A20)^5),"")</f>
        <v/>
      </c>
      <c r="H20" s="745" t="str">
        <f>IFERROR(('P&amp;L'!H19*(1+$A20)^5-'P&amp;L'!H38*(1+H16)^5)/('P&amp;L'!H19*(1+$A20)^5),"")</f>
        <v/>
      </c>
    </row>
    <row r="21" spans="1:17" ht="15" customHeight="1" x14ac:dyDescent="0.2">
      <c r="A21" s="743">
        <f>$O$16+4*$Q$16</f>
        <v>0.04</v>
      </c>
      <c r="B21" s="746" t="str">
        <f>IFERROR(('P&amp;L'!H19*(1+$A21)^5-'P&amp;L'!H38*(1+B16)^5)/('P&amp;L'!H19*(1+$A21)^5),"")</f>
        <v/>
      </c>
      <c r="C21" s="746" t="str">
        <f>IFERROR(('P&amp;L'!H19*(1+$A21)^5-'P&amp;L'!H38*(1+C16)^5)/('P&amp;L'!H19*(1+$A21)^5),"")</f>
        <v/>
      </c>
      <c r="D21" s="746" t="str">
        <f>IFERROR(('P&amp;L'!H19*(1+$A21)^5-'P&amp;L'!H38*(1+D16)^5)/('P&amp;L'!H19*(1+$A21)^5),"")</f>
        <v/>
      </c>
      <c r="E21" s="745" t="str">
        <f>IFERROR(('P&amp;L'!H19*(1+$A21)^5-'P&amp;L'!H38*(1+E16)^5)/('P&amp;L'!H19*(1+$A21)^5),"")</f>
        <v/>
      </c>
      <c r="F21" s="745" t="str">
        <f>IFERROR(('P&amp;L'!H19*(1+$A21)^5-'P&amp;L'!H38*(1+F16)^5)/('P&amp;L'!H19*(1+$A21)^5),"")</f>
        <v/>
      </c>
      <c r="G21" s="745" t="str">
        <f>IFERROR(('P&amp;L'!H19*(1+$A21)^5-'P&amp;L'!H38*(1+G16)^5)/('P&amp;L'!H19*(1+$A21)^5),"")</f>
        <v/>
      </c>
      <c r="H21" s="745" t="str">
        <f>IFERROR(('P&amp;L'!H19*(1+$A21)^5-'P&amp;L'!H38*(1+H16)^5)/('P&amp;L'!H19*(1+$A21)^5),"")</f>
        <v/>
      </c>
    </row>
    <row r="22" spans="1:17" ht="15" customHeight="1" x14ac:dyDescent="0.2">
      <c r="A22" s="743">
        <f>$O$16+5*$Q$16</f>
        <v>4.4999999999999998E-2</v>
      </c>
      <c r="B22" s="746" t="str">
        <f>IFERROR(('P&amp;L'!H19*(1+$A22)^5-'P&amp;L'!H38*(1+B16)^5)/('P&amp;L'!H19*(1+$A22)^5),"")</f>
        <v/>
      </c>
      <c r="C22" s="746" t="str">
        <f>IFERROR(('P&amp;L'!H19*(1+$A22)^5-'P&amp;L'!H38*(1+C16)^5)/('P&amp;L'!H19*(1+$A22)^5),"")</f>
        <v/>
      </c>
      <c r="D22" s="746" t="str">
        <f>IFERROR(('P&amp;L'!H19*(1+$A22)^5-'P&amp;L'!H38*(1+D16)^5)/('P&amp;L'!H19*(1+$A22)^5),"")</f>
        <v/>
      </c>
      <c r="E22" s="745" t="str">
        <f>IFERROR(('P&amp;L'!H19*(1+$A22)^5-'P&amp;L'!H38*(1+E16)^5)/('P&amp;L'!H19*(1+$A22)^5),"")</f>
        <v/>
      </c>
      <c r="F22" s="745" t="str">
        <f>IFERROR(('P&amp;L'!H19*(1+$A22)^5-'P&amp;L'!H38*(1+F16)^5)/('P&amp;L'!H19*(1+$A22)^5),"")</f>
        <v/>
      </c>
      <c r="G22" s="745" t="str">
        <f>IFERROR(('P&amp;L'!H19*(1+$A22)^5-'P&amp;L'!H38*(1+G16)^5)/('P&amp;L'!H19*(1+$A22)^5),"")</f>
        <v/>
      </c>
      <c r="H22" s="745" t="str">
        <f>IFERROR(('P&amp;L'!H19*(1+$A22)^5-'P&amp;L'!H38*(1+H16)^5)/('P&amp;L'!H19*(1+$A22)^5),"")</f>
        <v/>
      </c>
    </row>
    <row r="23" spans="1:17" ht="15" customHeight="1" x14ac:dyDescent="0.2">
      <c r="A23" s="743">
        <f>$O$16+6*$Q$16</f>
        <v>0.05</v>
      </c>
      <c r="B23" s="746" t="str">
        <f>IFERROR(('P&amp;L'!H19*(1+$A23)^5-'P&amp;L'!H38*(1+B16)^5)/('P&amp;L'!H19*(1+$A23)^5),"")</f>
        <v/>
      </c>
      <c r="C23" s="746" t="str">
        <f>IFERROR(('P&amp;L'!H19*(1+$A23)^5-'P&amp;L'!H38*(1+C16)^5)/('P&amp;L'!H19*(1+$A23)^5),"")</f>
        <v/>
      </c>
      <c r="D23" s="746" t="str">
        <f>IFERROR(('P&amp;L'!H19*(1+$A23)^5-'P&amp;L'!H38*(1+D16)^5)/('P&amp;L'!H19*(1+$A23)^5),"")</f>
        <v/>
      </c>
      <c r="E23" s="745" t="str">
        <f>IFERROR(('P&amp;L'!H19*(1+$A23)^5-'P&amp;L'!H38*(1+E16)^5)/('P&amp;L'!H19*(1+$A23)^5),"")</f>
        <v/>
      </c>
      <c r="F23" s="745" t="str">
        <f>IFERROR(('P&amp;L'!H19*(1+$A23)^5-'P&amp;L'!H38*(1+F16)^5)/('P&amp;L'!H19*(1+$A23)^5),"")</f>
        <v/>
      </c>
      <c r="G23" s="745" t="str">
        <f>IFERROR(('P&amp;L'!H19*(1+$A23)^5-'P&amp;L'!H38*(1+G16)^5)/('P&amp;L'!H19*(1+$A23)^5),"")</f>
        <v/>
      </c>
      <c r="H23" s="745" t="str">
        <f>IFERROR(('P&amp;L'!H19*(1+$A23)^5-'P&amp;L'!H38*(1+H16)^5)/('P&amp;L'!H19*(1+$A23)^5),"")</f>
        <v/>
      </c>
    </row>
    <row r="25" spans="1:17" ht="24" customHeight="1" x14ac:dyDescent="0.2">
      <c r="A25" s="955" t="s">
        <v>2165</v>
      </c>
      <c r="B25" s="955"/>
      <c r="C25" s="955"/>
      <c r="D25" s="955"/>
      <c r="E25" s="955"/>
      <c r="F25" s="955"/>
      <c r="G25" s="955"/>
      <c r="H25" s="955"/>
      <c r="I25" s="955"/>
      <c r="J25" s="955"/>
    </row>
    <row r="26" spans="1:17" ht="15" customHeight="1" x14ac:dyDescent="0.2">
      <c r="A26" s="378" t="s">
        <v>2166</v>
      </c>
      <c r="B26" s="748">
        <f>$K$26+0*$M$26</f>
        <v>0.8</v>
      </c>
      <c r="C26" s="748">
        <f>$K$26+1*$M$26</f>
        <v>0.85000000000000009</v>
      </c>
      <c r="D26" s="748">
        <f>$K$26+2*$M$26</f>
        <v>0.9</v>
      </c>
      <c r="E26" s="748">
        <f>$K$26+3*$M$26</f>
        <v>0.95000000000000007</v>
      </c>
      <c r="F26" s="748">
        <f>$K$26+4*$M$26</f>
        <v>1</v>
      </c>
      <c r="G26" s="748">
        <f>$K$26+5*$M$26</f>
        <v>1.05</v>
      </c>
      <c r="H26" s="748">
        <f>$K$26+6*$M$26</f>
        <v>1.1000000000000001</v>
      </c>
      <c r="I26" s="748">
        <f>$K$26+7*$M$26</f>
        <v>1.1500000000000001</v>
      </c>
      <c r="J26" s="740" t="s">
        <v>298</v>
      </c>
      <c r="K26" s="749">
        <v>0.8</v>
      </c>
      <c r="L26" s="740" t="s">
        <v>293</v>
      </c>
      <c r="M26" s="749">
        <v>0.05</v>
      </c>
      <c r="N26" s="740" t="s">
        <v>299</v>
      </c>
      <c r="O26" s="749">
        <v>0.75</v>
      </c>
      <c r="P26" s="740" t="s">
        <v>293</v>
      </c>
      <c r="Q26" s="749">
        <v>0.05</v>
      </c>
    </row>
    <row r="27" spans="1:17" ht="15" customHeight="1" x14ac:dyDescent="0.2">
      <c r="A27" s="748">
        <f>$O$26+0*$Q$26</f>
        <v>0.75</v>
      </c>
      <c r="B27" s="744" t="str">
        <f>IFERROR('P&amp;L'!D40*B26/(Scenarios!F7*$A27),"")</f>
        <v/>
      </c>
      <c r="C27" s="744" t="str">
        <f>IFERROR('P&amp;L'!D40*C26/(Scenarios!F7*$A27),"")</f>
        <v/>
      </c>
      <c r="D27" s="744" t="str">
        <f>IFERROR('P&amp;L'!D40*D26/(Scenarios!F7*$A27),"")</f>
        <v/>
      </c>
      <c r="E27" s="744" t="str">
        <f>IFERROR('P&amp;L'!D40*E26/(Scenarios!F7*$A27),"")</f>
        <v/>
      </c>
      <c r="F27" s="744" t="str">
        <f>IFERROR('P&amp;L'!D40*F26/(Scenarios!F7*$A27),"")</f>
        <v/>
      </c>
      <c r="G27" s="744" t="str">
        <f>IFERROR('P&amp;L'!D40*G26/(Scenarios!F7*$A27),"")</f>
        <v/>
      </c>
      <c r="H27" s="744" t="str">
        <f>IFERROR('P&amp;L'!D40*H26/(Scenarios!F7*$A27),"")</f>
        <v/>
      </c>
      <c r="I27" s="744" t="str">
        <f>IFERROR('P&amp;L'!D40*I26/(Scenarios!F7*$A27),"")</f>
        <v/>
      </c>
    </row>
    <row r="28" spans="1:17" ht="15" customHeight="1" x14ac:dyDescent="0.2">
      <c r="A28" s="748">
        <f>$O$26+1*$Q$26</f>
        <v>0.8</v>
      </c>
      <c r="B28" s="744" t="str">
        <f>IFERROR('P&amp;L'!D40*B26/(Scenarios!F7*$A28),"")</f>
        <v/>
      </c>
      <c r="C28" s="744" t="str">
        <f>IFERROR('P&amp;L'!D40*C26/(Scenarios!F7*$A28),"")</f>
        <v/>
      </c>
      <c r="D28" s="744" t="str">
        <f>IFERROR('P&amp;L'!D40*D26/(Scenarios!F7*$A28),"")</f>
        <v/>
      </c>
      <c r="E28" s="744" t="str">
        <f>IFERROR('P&amp;L'!D40*E26/(Scenarios!F7*$A28),"")</f>
        <v/>
      </c>
      <c r="F28" s="744" t="str">
        <f>IFERROR('P&amp;L'!D40*F26/(Scenarios!F7*$A28),"")</f>
        <v/>
      </c>
      <c r="G28" s="744" t="str">
        <f>IFERROR('P&amp;L'!D40*G26/(Scenarios!F7*$A28),"")</f>
        <v/>
      </c>
      <c r="H28" s="744" t="str">
        <f>IFERROR('P&amp;L'!D40*H26/(Scenarios!F7*$A28),"")</f>
        <v/>
      </c>
      <c r="I28" s="744" t="str">
        <f>IFERROR('P&amp;L'!D40*I26/(Scenarios!F7*$A28),"")</f>
        <v/>
      </c>
    </row>
    <row r="29" spans="1:17" ht="15" customHeight="1" x14ac:dyDescent="0.2">
      <c r="A29" s="748">
        <f>$O$26+2*$Q$26</f>
        <v>0.85</v>
      </c>
      <c r="B29" s="744" t="str">
        <f>IFERROR('P&amp;L'!D40*B26/(Scenarios!F7*$A29),"")</f>
        <v/>
      </c>
      <c r="C29" s="745" t="str">
        <f>IFERROR('P&amp;L'!D40*C26/(Scenarios!F7*$A29),"")</f>
        <v/>
      </c>
      <c r="D29" s="745" t="str">
        <f>IFERROR('P&amp;L'!D40*D26/(Scenarios!F7*$A29),"")</f>
        <v/>
      </c>
      <c r="E29" s="745" t="str">
        <f>IFERROR('P&amp;L'!D40*E26/(Scenarios!F7*$A29),"")</f>
        <v/>
      </c>
      <c r="F29" s="745" t="str">
        <f>IFERROR('P&amp;L'!D40*F26/(Scenarios!F7*$A29),"")</f>
        <v/>
      </c>
      <c r="G29" s="745" t="str">
        <f>IFERROR('P&amp;L'!D40*G26/(Scenarios!F7*$A29),"")</f>
        <v/>
      </c>
      <c r="H29" s="745" t="str">
        <f>IFERROR('P&amp;L'!D40*H26/(Scenarios!F7*$A29),"")</f>
        <v/>
      </c>
      <c r="I29" s="745" t="str">
        <f>IFERROR('P&amp;L'!D40*I26/(Scenarios!F7*$A29),"")</f>
        <v/>
      </c>
    </row>
    <row r="30" spans="1:17" ht="15" customHeight="1" x14ac:dyDescent="0.2">
      <c r="A30" s="748">
        <f>$O$26+3*$Q$26</f>
        <v>0.9</v>
      </c>
      <c r="B30" s="744" t="str">
        <f>IFERROR('P&amp;L'!D40*B26/(Scenarios!F7*$A30),"")</f>
        <v/>
      </c>
      <c r="C30" s="745" t="str">
        <f>IFERROR('P&amp;L'!D40*C26/(Scenarios!F7*$A30),"")</f>
        <v/>
      </c>
      <c r="D30" s="745" t="str">
        <f>IFERROR('P&amp;L'!D40*D26/(Scenarios!F7*$A30),"")</f>
        <v/>
      </c>
      <c r="E30" s="745" t="str">
        <f>IFERROR('P&amp;L'!D40*E26/(Scenarios!F7*$A30),"")</f>
        <v/>
      </c>
      <c r="F30" s="745" t="str">
        <f>IFERROR('P&amp;L'!D40*F26/(Scenarios!F7*$A30),"")</f>
        <v/>
      </c>
      <c r="G30" s="745" t="str">
        <f>IFERROR('P&amp;L'!D40*G26/(Scenarios!F7*$A30),"")</f>
        <v/>
      </c>
      <c r="H30" s="745" t="str">
        <f>IFERROR('P&amp;L'!D40*H26/(Scenarios!F7*$A30),"")</f>
        <v/>
      </c>
      <c r="I30" s="745" t="str">
        <f>IFERROR('P&amp;L'!D40*I26/(Scenarios!F7*$A30),"")</f>
        <v/>
      </c>
    </row>
    <row r="31" spans="1:17" ht="15" customHeight="1" x14ac:dyDescent="0.2">
      <c r="A31" s="748">
        <f>$O$26+4*$Q$26</f>
        <v>0.95</v>
      </c>
      <c r="B31" s="744" t="str">
        <f>IFERROR('P&amp;L'!D40*B26/(Scenarios!F7*$A31),"")</f>
        <v/>
      </c>
      <c r="C31" s="745" t="str">
        <f>IFERROR('P&amp;L'!D40*C26/(Scenarios!F7*$A31),"")</f>
        <v/>
      </c>
      <c r="D31" s="745" t="str">
        <f>IFERROR('P&amp;L'!D40*D26/(Scenarios!F7*$A31),"")</f>
        <v/>
      </c>
      <c r="E31" s="745" t="str">
        <f>IFERROR('P&amp;L'!D40*E26/(Scenarios!F7*$A31),"")</f>
        <v/>
      </c>
      <c r="F31" s="746" t="str">
        <f>IFERROR('P&amp;L'!D40*F26/(Scenarios!F7*$A31),"")</f>
        <v/>
      </c>
      <c r="G31" s="746" t="str">
        <f>IFERROR('P&amp;L'!D40*G26/(Scenarios!F7*$A31),"")</f>
        <v/>
      </c>
      <c r="H31" s="746" t="str">
        <f>IFERROR('P&amp;L'!D40*H26/(Scenarios!F7*$A31),"")</f>
        <v/>
      </c>
      <c r="I31" s="746" t="str">
        <f>IFERROR('P&amp;L'!D40*I26/(Scenarios!F7*$A31),"")</f>
        <v/>
      </c>
    </row>
    <row r="32" spans="1:17" ht="15" customHeight="1" x14ac:dyDescent="0.2">
      <c r="A32" s="748">
        <f>$O$26+5*$Q$26</f>
        <v>1</v>
      </c>
      <c r="B32" s="744" t="str">
        <f>IFERROR('P&amp;L'!D40*B26/(Scenarios!F7*$A32),"")</f>
        <v/>
      </c>
      <c r="C32" s="745" t="str">
        <f>IFERROR('P&amp;L'!D40*C26/(Scenarios!F7*$A32),"")</f>
        <v/>
      </c>
      <c r="D32" s="745" t="str">
        <f>IFERROR('P&amp;L'!D40*D26/(Scenarios!F7*$A32),"")</f>
        <v/>
      </c>
      <c r="E32" s="745" t="str">
        <f>IFERROR('P&amp;L'!D40*E26/(Scenarios!F7*$A32),"")</f>
        <v/>
      </c>
      <c r="F32" s="746" t="str">
        <f>IFERROR('P&amp;L'!D40*F26/(Scenarios!F7*$A32),"")</f>
        <v/>
      </c>
      <c r="G32" s="746" t="str">
        <f>IFERROR('P&amp;L'!D40*G26/(Scenarios!F7*$A32),"")</f>
        <v/>
      </c>
      <c r="H32" s="746" t="str">
        <f>IFERROR('P&amp;L'!D40*H26/(Scenarios!F7*$A32),"")</f>
        <v/>
      </c>
      <c r="I32" s="746" t="str">
        <f>IFERROR('P&amp;L'!D40*I26/(Scenarios!F7*$A32),"")</f>
        <v/>
      </c>
    </row>
    <row r="33" spans="1:9" ht="15" customHeight="1" x14ac:dyDescent="0.2">
      <c r="A33" s="748">
        <f>$O$26+6*$Q$26</f>
        <v>1.05</v>
      </c>
      <c r="B33" s="744" t="str">
        <f>IFERROR('P&amp;L'!D40*B26/(Scenarios!F7*$A33),"")</f>
        <v/>
      </c>
      <c r="C33" s="745" t="str">
        <f>IFERROR('P&amp;L'!D40*C26/(Scenarios!F7*$A33),"")</f>
        <v/>
      </c>
      <c r="D33" s="745" t="str">
        <f>IFERROR('P&amp;L'!D40*D26/(Scenarios!F7*$A33),"")</f>
        <v/>
      </c>
      <c r="E33" s="745" t="str">
        <f>IFERROR('P&amp;L'!D40*E26/(Scenarios!F7*$A33),"")</f>
        <v/>
      </c>
      <c r="F33" s="746" t="str">
        <f>IFERROR('P&amp;L'!D40*F26/(Scenarios!F7*$A33),"")</f>
        <v/>
      </c>
      <c r="G33" s="746" t="str">
        <f>IFERROR('P&amp;L'!D40*G26/(Scenarios!F7*$A33),"")</f>
        <v/>
      </c>
      <c r="H33" s="746" t="str">
        <f>IFERROR('P&amp;L'!D40*H26/(Scenarios!F7*$A33),"")</f>
        <v/>
      </c>
      <c r="I33" s="746" t="str">
        <f>IFERROR('P&amp;L'!D40*I26/(Scenarios!F7*$A33),"")</f>
        <v/>
      </c>
    </row>
    <row r="34" spans="1:9" ht="15" customHeight="1" x14ac:dyDescent="0.2">
      <c r="A34" s="748">
        <f>$O$26+7*$Q$26</f>
        <v>1.1000000000000001</v>
      </c>
      <c r="B34" s="744" t="str">
        <f>IFERROR('P&amp;L'!D40*B26/(Scenarios!F7*$A34),"")</f>
        <v/>
      </c>
      <c r="C34" s="745" t="str">
        <f>IFERROR('P&amp;L'!D40*C26/(Scenarios!F7*$A34),"")</f>
        <v/>
      </c>
      <c r="D34" s="745" t="str">
        <f>IFERROR('P&amp;L'!D40*D26/(Scenarios!F7*$A34),"")</f>
        <v/>
      </c>
      <c r="E34" s="745" t="str">
        <f>IFERROR('P&amp;L'!D40*E26/(Scenarios!F7*$A34),"")</f>
        <v/>
      </c>
      <c r="F34" s="746" t="str">
        <f>IFERROR('P&amp;L'!D40*F26/(Scenarios!F7*$A34),"")</f>
        <v/>
      </c>
      <c r="G34" s="746" t="str">
        <f>IFERROR('P&amp;L'!D40*G26/(Scenarios!F7*$A34),"")</f>
        <v/>
      </c>
      <c r="H34" s="746" t="str">
        <f>IFERROR('P&amp;L'!D40*H26/(Scenarios!F7*$A34),"")</f>
        <v/>
      </c>
      <c r="I34" s="746" t="str">
        <f>IFERROR('P&amp;L'!D40*I26/(Scenarios!F7*$A34),"")</f>
        <v/>
      </c>
    </row>
  </sheetData>
  <mergeCells count="5">
    <mergeCell ref="A1:J1"/>
    <mergeCell ref="A2:J2"/>
    <mergeCell ref="A4:J4"/>
    <mergeCell ref="A15:J15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5"/>
  <sheetViews>
    <sheetView zoomScaleNormal="100" workbookViewId="0">
      <selection activeCell="A51" sqref="A51"/>
    </sheetView>
  </sheetViews>
  <sheetFormatPr baseColWidth="10" defaultColWidth="8.83203125" defaultRowHeight="15" x14ac:dyDescent="0.2"/>
  <cols>
    <col min="1" max="1" width="56.5" customWidth="1"/>
    <col min="2" max="13" width="16.6640625" customWidth="1"/>
  </cols>
  <sheetData>
    <row r="1" spans="1:14" ht="24" customHeight="1" x14ac:dyDescent="0.2">
      <c r="A1" s="928" t="str">
        <f>IF('Prop Info'!B4="","LP RETURN ILLUSTRATION","LP RETURN ILLUSTRATION"&amp;" — "&amp;'Prop Info'!B4)</f>
        <v>LP RETURN ILLUSTRATION</v>
      </c>
      <c r="B1" s="928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</row>
    <row r="2" spans="1:14" ht="13.5" customHeight="1" x14ac:dyDescent="0.2">
      <c r="A2" s="996" t="s">
        <v>2167</v>
      </c>
      <c r="B2" s="996"/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</row>
    <row r="3" spans="1:14" ht="6" customHeight="1" x14ac:dyDescent="0.2"/>
    <row r="4" spans="1:14" ht="19.5" customHeight="1" x14ac:dyDescent="0.2">
      <c r="A4" s="997" t="s">
        <v>2125</v>
      </c>
      <c r="B4" s="997"/>
      <c r="C4" s="997"/>
      <c r="D4" s="997"/>
      <c r="E4" s="997"/>
      <c r="F4" s="997"/>
      <c r="G4" s="997"/>
      <c r="H4" s="997"/>
      <c r="I4" s="997"/>
      <c r="J4" s="997"/>
      <c r="K4" s="997"/>
      <c r="L4" s="997"/>
      <c r="M4" s="997"/>
      <c r="N4" s="997"/>
    </row>
    <row r="5" spans="1:14" ht="24" customHeight="1" x14ac:dyDescent="0.2">
      <c r="A5" s="750" t="s">
        <v>365</v>
      </c>
      <c r="B5" s="751">
        <v>100000</v>
      </c>
      <c r="C5" s="752" t="s">
        <v>2168</v>
      </c>
    </row>
    <row r="6" spans="1:14" ht="21.75" customHeight="1" x14ac:dyDescent="0.2">
      <c r="A6" s="750" t="s">
        <v>2128</v>
      </c>
      <c r="B6" s="753" t="s">
        <v>2169</v>
      </c>
      <c r="C6" s="752" t="s">
        <v>2170</v>
      </c>
    </row>
    <row r="7" spans="1:14" ht="18" customHeight="1" x14ac:dyDescent="0.2">
      <c r="A7" s="593" t="s">
        <v>2171</v>
      </c>
      <c r="B7" s="29">
        <f>IFERROR($B$5/IF($B$6="Class A",Waterfall!$B$9,Waterfall!$B$10),0)</f>
        <v>0</v>
      </c>
      <c r="C7" s="175" t="s">
        <v>2172</v>
      </c>
      <c r="D7" s="30">
        <f>IF($B$6="Class A",Waterfall!$B$11,Waterfall!$B$12)</f>
        <v>0</v>
      </c>
    </row>
    <row r="8" spans="1:14" ht="6" customHeight="1" x14ac:dyDescent="0.2"/>
    <row r="9" spans="1:14" ht="24" customHeight="1" x14ac:dyDescent="0.2">
      <c r="A9" s="754"/>
      <c r="B9" s="755" t="str">
        <f>IFERROR(IF(1&lt;=Waterfall!$B$5,"Year 1",""),"")</f>
        <v/>
      </c>
      <c r="C9" s="755" t="str">
        <f>IFERROR(IF(2&lt;=Waterfall!$B$5,"Year 2",""),"")</f>
        <v/>
      </c>
      <c r="D9" s="755" t="str">
        <f>IFERROR(IF(3&lt;=Waterfall!$B$5,"Year 3",""),"")</f>
        <v/>
      </c>
      <c r="E9" s="755" t="str">
        <f>IFERROR(IF(4&lt;=Waterfall!$B$5,"Year 4",""),"")</f>
        <v/>
      </c>
      <c r="F9" s="755" t="str">
        <f>IFERROR(IF(5&lt;=Waterfall!$B$5,"Year 5",""),"")</f>
        <v/>
      </c>
      <c r="G9" s="755" t="str">
        <f>IFERROR(IF(6&lt;=Waterfall!$B$5,"Year 6",""),"")</f>
        <v/>
      </c>
      <c r="H9" s="755" t="str">
        <f>IFERROR(IF(7&lt;=Waterfall!$B$5,"Year 7",""),"")</f>
        <v/>
      </c>
      <c r="I9" s="755" t="str">
        <f>IFERROR(IF(8&lt;=Waterfall!$B$5,"Year 8",""),"")</f>
        <v/>
      </c>
      <c r="J9" s="755" t="str">
        <f>IFERROR(IF(9&lt;=Waterfall!$B$5,"Year 9",""),"")</f>
        <v/>
      </c>
      <c r="K9" s="755" t="str">
        <f>IFERROR(IF(10&lt;=Waterfall!$B$5,"Year 10",""),"")</f>
        <v/>
      </c>
      <c r="L9" s="756" t="s">
        <v>2173</v>
      </c>
      <c r="M9" s="757" t="s">
        <v>49</v>
      </c>
    </row>
    <row r="10" spans="1:14" ht="19.5" customHeight="1" x14ac:dyDescent="0.2">
      <c r="A10" s="959" t="s">
        <v>2174</v>
      </c>
      <c r="B10" s="959"/>
      <c r="C10" s="959"/>
      <c r="D10" s="959"/>
      <c r="E10" s="959"/>
      <c r="F10" s="959"/>
      <c r="G10" s="959"/>
      <c r="H10" s="959"/>
      <c r="I10" s="959"/>
      <c r="J10" s="959"/>
      <c r="K10" s="959"/>
      <c r="L10" s="959"/>
      <c r="M10" s="959"/>
      <c r="N10" s="959"/>
    </row>
    <row r="11" spans="1:14" ht="21.75" customHeight="1" x14ac:dyDescent="0.2">
      <c r="A11" s="750" t="s">
        <v>2175</v>
      </c>
      <c r="B11" s="758">
        <f>$B$5</f>
        <v>100000</v>
      </c>
      <c r="C11" s="759" t="s">
        <v>46</v>
      </c>
      <c r="D11" s="759" t="s">
        <v>46</v>
      </c>
      <c r="E11" s="759" t="s">
        <v>46</v>
      </c>
      <c r="F11" s="759" t="s">
        <v>46</v>
      </c>
      <c r="G11" s="759" t="s">
        <v>46</v>
      </c>
      <c r="H11" s="759" t="s">
        <v>46</v>
      </c>
      <c r="I11" s="759" t="s">
        <v>46</v>
      </c>
      <c r="J11" s="759" t="s">
        <v>46</v>
      </c>
      <c r="K11" s="759" t="s">
        <v>46</v>
      </c>
      <c r="L11" s="759" t="s">
        <v>46</v>
      </c>
      <c r="M11" s="600">
        <f>$B$5</f>
        <v>100000</v>
      </c>
    </row>
    <row r="12" spans="1:14" ht="19.5" customHeight="1" x14ac:dyDescent="0.2">
      <c r="A12" s="945" t="s">
        <v>2176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5"/>
      <c r="N12" s="945"/>
    </row>
    <row r="13" spans="1:14" ht="19.5" customHeight="1" x14ac:dyDescent="0.2">
      <c r="A13" s="760" t="s">
        <v>2177</v>
      </c>
      <c r="B13" s="31">
        <f>IF(1&gt;Waterfall!$B$5,0,IFERROR($B$5/IF($B$6="Class A",Waterfall!$B$9,Waterfall!$B$10),0)*IF($B$6="Class A",Waterfall!B40,Waterfall!B42))</f>
        <v>0</v>
      </c>
      <c r="C13" s="31">
        <f>IF(2&gt;Waterfall!$B$5,0,IFERROR($B$5/IF($B$6="Class A",Waterfall!$B$9,Waterfall!$B$10),0)*IF($B$6="Class A",Waterfall!C40,Waterfall!C42))</f>
        <v>0</v>
      </c>
      <c r="D13" s="31">
        <f>IF(3&gt;Waterfall!$B$5,0,IFERROR($B$5/IF($B$6="Class A",Waterfall!$B$9,Waterfall!$B$10),0)*IF($B$6="Class A",Waterfall!D40,Waterfall!D42))</f>
        <v>0</v>
      </c>
      <c r="E13" s="31">
        <f>IF(4&gt;Waterfall!$B$5,0,IFERROR($B$5/IF($B$6="Class A",Waterfall!$B$9,Waterfall!$B$10),0)*IF($B$6="Class A",Waterfall!E40,Waterfall!E42))</f>
        <v>0</v>
      </c>
      <c r="F13" s="31">
        <f>IF(5&gt;Waterfall!$B$5,0,IFERROR($B$5/IF($B$6="Class A",Waterfall!$B$9,Waterfall!$B$10),0)*IF($B$6="Class A",Waterfall!F40,Waterfall!F42))</f>
        <v>0</v>
      </c>
      <c r="G13" s="31">
        <f>IF(6&gt;Waterfall!$B$5,0,IFERROR($B$5/IF($B$6="Class A",Waterfall!$B$9,Waterfall!$B$10),0)*IF($B$6="Class A",Waterfall!G40,Waterfall!G42))</f>
        <v>0</v>
      </c>
      <c r="H13" s="31">
        <f>IF(7&gt;Waterfall!$B$5,0,IFERROR($B$5/IF($B$6="Class A",Waterfall!$B$9,Waterfall!$B$10),0)*IF($B$6="Class A",Waterfall!H40,Waterfall!H42))</f>
        <v>0</v>
      </c>
      <c r="I13" s="31">
        <f>IF(8&gt;Waterfall!$B$5,0,IFERROR($B$5/IF($B$6="Class A",Waterfall!$B$9,Waterfall!$B$10),0)*IF($B$6="Class A",Waterfall!I40,Waterfall!I42))</f>
        <v>0</v>
      </c>
      <c r="J13" s="31">
        <f>IF(9&gt;Waterfall!$B$5,0,IFERROR($B$5/IF($B$6="Class A",Waterfall!$B$9,Waterfall!$B$10),0)*IF($B$6="Class A",Waterfall!J40,Waterfall!J42))</f>
        <v>0</v>
      </c>
      <c r="K13" s="31">
        <f>IF(10&gt;Waterfall!$B$5,0,IFERROR($B$5/IF($B$6="Class A",Waterfall!$B$9,Waterfall!$B$10),0)*IF($B$6="Class A",Waterfall!K40,Waterfall!K42))</f>
        <v>0</v>
      </c>
      <c r="L13" s="761" t="s">
        <v>46</v>
      </c>
      <c r="M13" s="487">
        <f>SUM(B13:K13)</f>
        <v>0</v>
      </c>
    </row>
    <row r="14" spans="1:14" ht="19.5" customHeight="1" x14ac:dyDescent="0.2">
      <c r="A14" s="762" t="s">
        <v>2178</v>
      </c>
      <c r="B14" s="156">
        <f>IF(1&gt;Waterfall!$B$5,0,IFERROR($B$5/IF($B$6="Class A",Waterfall!$B$9,Waterfall!$B$10),0)*IF($B$6="Class A",Waterfall!B45,0))</f>
        <v>0</v>
      </c>
      <c r="C14" s="156">
        <f>IF(2&gt;Waterfall!$B$5,0,IFERROR($B$5/IF($B$6="Class A",Waterfall!$B$9,Waterfall!$B$10),0)*IF($B$6="Class A",Waterfall!C45,0))</f>
        <v>0</v>
      </c>
      <c r="D14" s="156">
        <f>IF(3&gt;Waterfall!$B$5,0,IFERROR($B$5/IF($B$6="Class A",Waterfall!$B$9,Waterfall!$B$10),0)*IF($B$6="Class A",Waterfall!D45,0))</f>
        <v>0</v>
      </c>
      <c r="E14" s="156">
        <f>IF(4&gt;Waterfall!$B$5,0,IFERROR($B$5/IF($B$6="Class A",Waterfall!$B$9,Waterfall!$B$10),0)*IF($B$6="Class A",Waterfall!E45,0))</f>
        <v>0</v>
      </c>
      <c r="F14" s="156">
        <f>IF(5&gt;Waterfall!$B$5,0,IFERROR($B$5/IF($B$6="Class A",Waterfall!$B$9,Waterfall!$B$10),0)*IF($B$6="Class A",Waterfall!F45,0))</f>
        <v>0</v>
      </c>
      <c r="G14" s="156">
        <f>IF(6&gt;Waterfall!$B$5,0,IFERROR($B$5/IF($B$6="Class A",Waterfall!$B$9,Waterfall!$B$10),0)*IF($B$6="Class A",Waterfall!G45,0))</f>
        <v>0</v>
      </c>
      <c r="H14" s="156">
        <f>IF(7&gt;Waterfall!$B$5,0,IFERROR($B$5/IF($B$6="Class A",Waterfall!$B$9,Waterfall!$B$10),0)*IF($B$6="Class A",Waterfall!H45,0))</f>
        <v>0</v>
      </c>
      <c r="I14" s="156">
        <f>IF(8&gt;Waterfall!$B$5,0,IFERROR($B$5/IF($B$6="Class A",Waterfall!$B$9,Waterfall!$B$10),0)*IF($B$6="Class A",Waterfall!I45,0))</f>
        <v>0</v>
      </c>
      <c r="J14" s="156">
        <f>IF(9&gt;Waterfall!$B$5,0,IFERROR($B$5/IF($B$6="Class A",Waterfall!$B$9,Waterfall!$B$10),0)*IF($B$6="Class A",Waterfall!J45,0))</f>
        <v>0</v>
      </c>
      <c r="K14" s="156">
        <f>IF(10&gt;Waterfall!$B$5,0,IFERROR($B$5/IF($B$6="Class A",Waterfall!$B$9,Waterfall!$B$10),0)*IF($B$6="Class A",Waterfall!K45,0))</f>
        <v>0</v>
      </c>
      <c r="L14" s="763" t="s">
        <v>46</v>
      </c>
      <c r="M14" s="157">
        <f>SUM(B14:K14)</f>
        <v>0</v>
      </c>
    </row>
    <row r="15" spans="1:14" ht="21.75" customHeight="1" x14ac:dyDescent="0.2">
      <c r="A15" s="764" t="s">
        <v>2179</v>
      </c>
      <c r="B15" s="765">
        <f>IF(1&gt;Waterfall!$B$5,0,B13+B14)</f>
        <v>0</v>
      </c>
      <c r="C15" s="765">
        <f>IF(2&gt;Waterfall!$B$5,0,C13+C14)</f>
        <v>0</v>
      </c>
      <c r="D15" s="765">
        <f>IF(3&gt;Waterfall!$B$5,0,D13+D14)</f>
        <v>0</v>
      </c>
      <c r="E15" s="765">
        <f>IF(4&gt;Waterfall!$B$5,0,E13+E14)</f>
        <v>0</v>
      </c>
      <c r="F15" s="765">
        <f>IF(5&gt;Waterfall!$B$5,0,F13+F14)</f>
        <v>0</v>
      </c>
      <c r="G15" s="765">
        <f>IF(6&gt;Waterfall!$B$5,0,G13+G14)</f>
        <v>0</v>
      </c>
      <c r="H15" s="765">
        <f>IF(7&gt;Waterfall!$B$5,0,H13+H14)</f>
        <v>0</v>
      </c>
      <c r="I15" s="765">
        <f>IF(8&gt;Waterfall!$B$5,0,I13+I14)</f>
        <v>0</v>
      </c>
      <c r="J15" s="765">
        <f>IF(9&gt;Waterfall!$B$5,0,J13+J14)</f>
        <v>0</v>
      </c>
      <c r="K15" s="765">
        <f>IF(10&gt;Waterfall!$B$5,0,K13+K14)</f>
        <v>0</v>
      </c>
      <c r="L15" s="766" t="s">
        <v>46</v>
      </c>
      <c r="M15" s="767">
        <f>M13+M14</f>
        <v>0</v>
      </c>
    </row>
    <row r="16" spans="1:14" ht="19.5" customHeight="1" x14ac:dyDescent="0.2">
      <c r="A16" s="997" t="s">
        <v>2180</v>
      </c>
      <c r="B16" s="997"/>
      <c r="C16" s="997"/>
      <c r="D16" s="997"/>
      <c r="E16" s="997"/>
      <c r="F16" s="997"/>
      <c r="G16" s="997"/>
      <c r="H16" s="997"/>
      <c r="I16" s="997"/>
      <c r="J16" s="997"/>
      <c r="K16" s="997"/>
      <c r="L16" s="997"/>
      <c r="M16" s="997"/>
      <c r="N16" s="997"/>
    </row>
    <row r="17" spans="1:14" ht="19.5" customHeight="1" x14ac:dyDescent="0.2">
      <c r="A17" s="768" t="s">
        <v>2181</v>
      </c>
      <c r="B17" s="769">
        <f>IFERROR(IF(Waterfall!$B$23="Return of Capital",IF(1='Exit Strategy'!$B$5,IFERROR($B$5/IF($B$6="Class A",Waterfall!$B$9,Waterfall!$B$10),0)*'Exit Strategy'!$B$18,0),0),0)</f>
        <v>0</v>
      </c>
      <c r="C17" s="769">
        <f>IFERROR(IF(Waterfall!$B$23="Return of Capital",IF(2='Exit Strategy'!$B$5,IFERROR($B$5/IF($B$6="Class A",Waterfall!$B$9,Waterfall!$B$10),0)*'Exit Strategy'!$B$18,0),0),0)</f>
        <v>0</v>
      </c>
      <c r="D17" s="769">
        <f>IFERROR(IF(Waterfall!$B$23="Return of Capital",IF(3='Exit Strategy'!$B$5,IFERROR($B$5/IF($B$6="Class A",Waterfall!$B$9,Waterfall!$B$10),0)*'Exit Strategy'!$B$18,0),0),0)</f>
        <v>0</v>
      </c>
      <c r="E17" s="769">
        <f>IFERROR(IF(Waterfall!$B$23="Return of Capital",IF(4='Exit Strategy'!$B$5,IFERROR($B$5/IF($B$6="Class A",Waterfall!$B$9,Waterfall!$B$10),0)*'Exit Strategy'!$B$18,0),0),0)</f>
        <v>0</v>
      </c>
      <c r="F17" s="769">
        <f>IFERROR(IF(Waterfall!$B$23="Return of Capital",IF(5='Exit Strategy'!$B$5,IFERROR($B$5/IF($B$6="Class A",Waterfall!$B$9,Waterfall!$B$10),0)*'Exit Strategy'!$B$18,0),0),0)</f>
        <v>0</v>
      </c>
      <c r="G17" s="769">
        <f>IFERROR(IF(Waterfall!$B$23="Return of Capital",IF(6='Exit Strategy'!$B$5,IFERROR($B$5/IF($B$6="Class A",Waterfall!$B$9,Waterfall!$B$10),0)*'Exit Strategy'!$B$18,0),0),0)</f>
        <v>0</v>
      </c>
      <c r="H17" s="769">
        <f>IFERROR(IF(Waterfall!$B$23="Return of Capital",IF(7='Exit Strategy'!$B$5,IFERROR($B$5/IF($B$6="Class A",Waterfall!$B$9,Waterfall!$B$10),0)*'Exit Strategy'!$B$18,0),0),0)</f>
        <v>0</v>
      </c>
      <c r="I17" s="769">
        <f>IFERROR(IF(Waterfall!$B$23="Return of Capital",IF(8='Exit Strategy'!$B$5,IFERROR($B$5/IF($B$6="Class A",Waterfall!$B$9,Waterfall!$B$10),0)*'Exit Strategy'!$B$18,0),0),0)</f>
        <v>0</v>
      </c>
      <c r="J17" s="769">
        <f>IFERROR(IF(Waterfall!$B$23="Return of Capital",IF(9='Exit Strategy'!$B$5,IFERROR($B$5/IF($B$6="Class A",Waterfall!$B$9,Waterfall!$B$10),0)*'Exit Strategy'!$B$18,0),0),0)</f>
        <v>0</v>
      </c>
      <c r="K17" s="769">
        <f>IFERROR(IF(Waterfall!$B$23="Return of Capital",IF(10='Exit Strategy'!$B$5,IFERROR($B$5/IF($B$6="Class A",Waterfall!$B$9,Waterfall!$B$10),0)*'Exit Strategy'!$B$18,0),0),0)</f>
        <v>0</v>
      </c>
      <c r="L17" s="770" t="s">
        <v>46</v>
      </c>
      <c r="M17" s="771">
        <f>SUM(B17:K17)</f>
        <v>0</v>
      </c>
    </row>
    <row r="18" spans="1:14" ht="13.5" customHeight="1" x14ac:dyDescent="0.2">
      <c r="A18" s="998" t="s">
        <v>2182</v>
      </c>
      <c r="B18" s="998"/>
      <c r="C18" s="998"/>
      <c r="D18" s="998"/>
      <c r="E18" s="998"/>
      <c r="F18" s="998"/>
      <c r="G18" s="998"/>
      <c r="H18" s="998"/>
      <c r="I18" s="998"/>
      <c r="J18" s="998"/>
      <c r="K18" s="998"/>
      <c r="L18" s="998"/>
      <c r="M18" s="998"/>
    </row>
    <row r="19" spans="1:14" ht="19.5" customHeight="1" x14ac:dyDescent="0.2">
      <c r="A19" s="952" t="s">
        <v>2183</v>
      </c>
      <c r="B19" s="952"/>
      <c r="C19" s="952"/>
      <c r="D19" s="952"/>
      <c r="E19" s="952"/>
      <c r="F19" s="952"/>
      <c r="G19" s="952"/>
      <c r="H19" s="952"/>
      <c r="I19" s="952"/>
      <c r="J19" s="952"/>
      <c r="K19" s="952"/>
      <c r="L19" s="952"/>
      <c r="M19" s="952"/>
      <c r="N19" s="952"/>
    </row>
    <row r="20" spans="1:14" ht="18" customHeight="1" x14ac:dyDescent="0.2">
      <c r="A20" s="593" t="s">
        <v>2184</v>
      </c>
      <c r="B20" s="772">
        <f>IF(1&gt;Waterfall!$B$5,0,$B$5)</f>
        <v>0</v>
      </c>
      <c r="C20" s="772">
        <f>IF(2&gt;Waterfall!$B$5,0,B22)</f>
        <v>0</v>
      </c>
      <c r="D20" s="772">
        <f>IF(3&gt;Waterfall!$B$5,0,C22)</f>
        <v>0</v>
      </c>
      <c r="E20" s="772">
        <f>IF(4&gt;Waterfall!$B$5,0,D22)</f>
        <v>0</v>
      </c>
      <c r="F20" s="772">
        <f>IF(5&gt;Waterfall!$B$5,0,E22)</f>
        <v>0</v>
      </c>
      <c r="G20" s="772">
        <f>IF(6&gt;Waterfall!$B$5,0,F22)</f>
        <v>0</v>
      </c>
      <c r="H20" s="772">
        <f>IF(7&gt;Waterfall!$B$5,0,G22)</f>
        <v>0</v>
      </c>
      <c r="I20" s="772">
        <f>IF(8&gt;Waterfall!$B$5,0,H22)</f>
        <v>0</v>
      </c>
      <c r="J20" s="772">
        <f>IF(9&gt;Waterfall!$B$5,0,I22)</f>
        <v>0</v>
      </c>
      <c r="K20" s="772">
        <f>IF(10&gt;Waterfall!$B$5,0,J22)</f>
        <v>0</v>
      </c>
      <c r="L20" s="773">
        <f>K22</f>
        <v>0</v>
      </c>
      <c r="M20" s="759" t="s">
        <v>46</v>
      </c>
    </row>
    <row r="21" spans="1:14" ht="18" customHeight="1" x14ac:dyDescent="0.2">
      <c r="A21" s="774" t="s">
        <v>2185</v>
      </c>
      <c r="B21" s="773">
        <f t="shared" ref="B21:K21" si="0">-B17</f>
        <v>0</v>
      </c>
      <c r="C21" s="773">
        <f t="shared" si="0"/>
        <v>0</v>
      </c>
      <c r="D21" s="773">
        <f t="shared" si="0"/>
        <v>0</v>
      </c>
      <c r="E21" s="773">
        <f t="shared" si="0"/>
        <v>0</v>
      </c>
      <c r="F21" s="773">
        <f t="shared" si="0"/>
        <v>0</v>
      </c>
      <c r="G21" s="773">
        <f t="shared" si="0"/>
        <v>0</v>
      </c>
      <c r="H21" s="773">
        <f t="shared" si="0"/>
        <v>0</v>
      </c>
      <c r="I21" s="773">
        <f t="shared" si="0"/>
        <v>0</v>
      </c>
      <c r="J21" s="773">
        <f t="shared" si="0"/>
        <v>0</v>
      </c>
      <c r="K21" s="773">
        <f t="shared" si="0"/>
        <v>0</v>
      </c>
      <c r="L21" s="772">
        <f>-IFERROR($B$5/IF($B$6="Class A",Waterfall!$B$9,Waterfall!$B$10),0)*IF($B$6="Class A",Waterfall!L48,Waterfall!L49)</f>
        <v>0</v>
      </c>
      <c r="M21" s="759" t="s">
        <v>46</v>
      </c>
    </row>
    <row r="22" spans="1:14" ht="19.5" customHeight="1" x14ac:dyDescent="0.2">
      <c r="A22" s="775" t="s">
        <v>2186</v>
      </c>
      <c r="B22" s="776">
        <f>IF(1&gt;Waterfall!$B$5,0,B20+B21)</f>
        <v>0</v>
      </c>
      <c r="C22" s="776">
        <f>IF(2&gt;Waterfall!$B$5,0,C20+C21)</f>
        <v>0</v>
      </c>
      <c r="D22" s="776">
        <f>IF(3&gt;Waterfall!$B$5,0,D20+D21)</f>
        <v>0</v>
      </c>
      <c r="E22" s="776">
        <f>IF(4&gt;Waterfall!$B$5,0,E20+E21)</f>
        <v>0</v>
      </c>
      <c r="F22" s="776">
        <f>IF(5&gt;Waterfall!$B$5,0,F20+F21)</f>
        <v>0</v>
      </c>
      <c r="G22" s="776">
        <f>IF(6&gt;Waterfall!$B$5,0,G20+G21)</f>
        <v>0</v>
      </c>
      <c r="H22" s="776">
        <f>IF(7&gt;Waterfall!$B$5,0,H20+H21)</f>
        <v>0</v>
      </c>
      <c r="I22" s="776">
        <f>IF(8&gt;Waterfall!$B$5,0,I20+I21)</f>
        <v>0</v>
      </c>
      <c r="J22" s="776">
        <f>IF(9&gt;Waterfall!$B$5,0,J20+J21)</f>
        <v>0</v>
      </c>
      <c r="K22" s="776">
        <f>IF(10&gt;Waterfall!$B$5,0,K20+K21)</f>
        <v>0</v>
      </c>
      <c r="L22" s="585">
        <f>L20+L21</f>
        <v>0</v>
      </c>
      <c r="M22" s="777" t="s">
        <v>46</v>
      </c>
    </row>
    <row r="23" spans="1:14" ht="19.5" customHeight="1" x14ac:dyDescent="0.2">
      <c r="A23" s="999" t="str">
        <f>IFERROR("  E.  EXIT  —  Year "&amp;Waterfall!$B$5&amp;" Sale","  E.  EXIT")</f>
        <v xml:space="preserve">  E.  EXIT  —  Year 0 Sale</v>
      </c>
      <c r="B23" s="999"/>
      <c r="C23" s="999"/>
      <c r="D23" s="999"/>
      <c r="E23" s="999"/>
      <c r="F23" s="999"/>
      <c r="G23" s="999"/>
      <c r="H23" s="999"/>
      <c r="I23" s="999"/>
      <c r="J23" s="999"/>
      <c r="K23" s="999"/>
      <c r="L23" s="999"/>
      <c r="M23" s="999"/>
      <c r="N23" s="999"/>
    </row>
    <row r="24" spans="1:14" ht="19.5" customHeight="1" x14ac:dyDescent="0.2">
      <c r="A24" s="593" t="s">
        <v>2187</v>
      </c>
      <c r="B24" s="759" t="s">
        <v>46</v>
      </c>
      <c r="C24" s="759" t="s">
        <v>46</v>
      </c>
      <c r="D24" s="759" t="s">
        <v>46</v>
      </c>
      <c r="E24" s="759" t="s">
        <v>46</v>
      </c>
      <c r="F24" s="759" t="s">
        <v>46</v>
      </c>
      <c r="G24" s="759" t="s">
        <v>46</v>
      </c>
      <c r="H24" s="759" t="s">
        <v>46</v>
      </c>
      <c r="I24" s="759" t="s">
        <v>46</v>
      </c>
      <c r="J24" s="759" t="s">
        <v>46</v>
      </c>
      <c r="K24" s="759" t="s">
        <v>46</v>
      </c>
      <c r="L24" s="772">
        <f>IFERROR($B$5/IF($B$6="Class A",Waterfall!$B$9,Waterfall!$B$10),0)*IF($B$6="Class A",Waterfall!L48,Waterfall!L49)</f>
        <v>0</v>
      </c>
      <c r="M24" s="772">
        <f>IFERROR($B$5/IF($B$6="Class A",Waterfall!$B$9,Waterfall!$B$10),0)*IF($B$6="Class A",Waterfall!L48,Waterfall!L49)</f>
        <v>0</v>
      </c>
    </row>
    <row r="25" spans="1:14" ht="21.75" customHeight="1" x14ac:dyDescent="0.2">
      <c r="A25" s="778" t="s">
        <v>2188</v>
      </c>
      <c r="B25" s="779" t="s">
        <v>46</v>
      </c>
      <c r="C25" s="779" t="s">
        <v>46</v>
      </c>
      <c r="D25" s="779" t="s">
        <v>46</v>
      </c>
      <c r="E25" s="779" t="s">
        <v>46</v>
      </c>
      <c r="F25" s="779" t="s">
        <v>46</v>
      </c>
      <c r="G25" s="779" t="s">
        <v>46</v>
      </c>
      <c r="H25" s="779" t="s">
        <v>46</v>
      </c>
      <c r="I25" s="779" t="s">
        <v>46</v>
      </c>
      <c r="J25" s="779" t="s">
        <v>46</v>
      </c>
      <c r="K25" s="779" t="s">
        <v>46</v>
      </c>
      <c r="L25" s="780">
        <f>IFERROR($B$5/IF($B$6="Class A",Waterfall!$B$9,Waterfall!$B$10),0)*IF($B$6="Class A",Waterfall!L45,0)</f>
        <v>0</v>
      </c>
      <c r="M25" s="780">
        <f>IFERROR($B$5/IF($B$6="Class A",Waterfall!$B$9,Waterfall!$B$10),0)*IF($B$6="Class A",Waterfall!L45,0)</f>
        <v>0</v>
      </c>
    </row>
    <row r="26" spans="1:14" ht="19.5" customHeight="1" x14ac:dyDescent="0.2">
      <c r="A26" s="1000" t="s">
        <v>2189</v>
      </c>
      <c r="B26" s="1000"/>
      <c r="C26" s="1000"/>
      <c r="D26" s="1000"/>
      <c r="E26" s="1000"/>
      <c r="F26" s="1000"/>
      <c r="G26" s="1000"/>
      <c r="H26" s="1000"/>
      <c r="I26" s="1000"/>
      <c r="J26" s="1000"/>
      <c r="K26" s="1000"/>
      <c r="L26" s="1000"/>
      <c r="M26" s="1000"/>
      <c r="N26" s="1000"/>
    </row>
    <row r="27" spans="1:14" ht="25.5" customHeight="1" x14ac:dyDescent="0.2">
      <c r="A27" s="781" t="s">
        <v>2190</v>
      </c>
      <c r="B27" s="782">
        <f>IF(1&gt;Waterfall!$B$5,0,B15+B17)</f>
        <v>0</v>
      </c>
      <c r="C27" s="782">
        <f>IF(2&gt;Waterfall!$B$5,0,C15+C17)</f>
        <v>0</v>
      </c>
      <c r="D27" s="782">
        <f>IF(3&gt;Waterfall!$B$5,0,D15+D17)</f>
        <v>0</v>
      </c>
      <c r="E27" s="782">
        <f>IF(4&gt;Waterfall!$B$5,0,E15+E17)</f>
        <v>0</v>
      </c>
      <c r="F27" s="782">
        <f>IF(5&gt;Waterfall!$B$5,0,F15+F17)</f>
        <v>0</v>
      </c>
      <c r="G27" s="782">
        <f>IF(6&gt;Waterfall!$B$5,0,G15+G17)</f>
        <v>0</v>
      </c>
      <c r="H27" s="782">
        <f>IF(7&gt;Waterfall!$B$5,0,H15+H17)</f>
        <v>0</v>
      </c>
      <c r="I27" s="782">
        <f>IF(8&gt;Waterfall!$B$5,0,I15+I17)</f>
        <v>0</v>
      </c>
      <c r="J27" s="782">
        <f>IF(9&gt;Waterfall!$B$5,0,J15+J17)</f>
        <v>0</v>
      </c>
      <c r="K27" s="782">
        <f>IF(10&gt;Waterfall!$B$5,0,K15+K17)</f>
        <v>0</v>
      </c>
      <c r="L27" s="783">
        <f>L24+L25</f>
        <v>0</v>
      </c>
      <c r="M27" s="784">
        <f>M15+M17+M24+M25</f>
        <v>0</v>
      </c>
    </row>
    <row r="28" spans="1:14" ht="19.5" customHeight="1" x14ac:dyDescent="0.2">
      <c r="A28" s="593" t="s">
        <v>2191</v>
      </c>
      <c r="B28" s="772">
        <f>IF(1&gt;Waterfall!$B$5,0,B27)</f>
        <v>0</v>
      </c>
      <c r="C28" s="772">
        <f>IF(2&gt;Waterfall!$B$5,0,B28+C27)</f>
        <v>0</v>
      </c>
      <c r="D28" s="772">
        <f>IF(3&gt;Waterfall!$B$5,0,C28+D27)</f>
        <v>0</v>
      </c>
      <c r="E28" s="772">
        <f>IF(4&gt;Waterfall!$B$5,0,D28+E27)</f>
        <v>0</v>
      </c>
      <c r="F28" s="772">
        <f>IF(5&gt;Waterfall!$B$5,0,E28+F27)</f>
        <v>0</v>
      </c>
      <c r="G28" s="772">
        <f>IF(6&gt;Waterfall!$B$5,0,F28+G27)</f>
        <v>0</v>
      </c>
      <c r="H28" s="772">
        <f>IF(7&gt;Waterfall!$B$5,0,G28+H27)</f>
        <v>0</v>
      </c>
      <c r="I28" s="772">
        <f>IF(8&gt;Waterfall!$B$5,0,H28+I27)</f>
        <v>0</v>
      </c>
      <c r="J28" s="772">
        <f>IF(9&gt;Waterfall!$B$5,0,I28+J27)</f>
        <v>0</v>
      </c>
      <c r="K28" s="772">
        <f>IF(10&gt;Waterfall!$B$5,0,J28+K27)</f>
        <v>0</v>
      </c>
      <c r="L28" s="773">
        <f>K28+L27</f>
        <v>0</v>
      </c>
      <c r="M28" s="759" t="s">
        <v>46</v>
      </c>
    </row>
    <row r="29" spans="1:14" ht="6" customHeight="1" x14ac:dyDescent="0.2"/>
    <row r="30" spans="1:14" ht="19.5" customHeight="1" x14ac:dyDescent="0.2">
      <c r="A30" s="959" t="s">
        <v>2192</v>
      </c>
      <c r="B30" s="959"/>
      <c r="C30" s="959"/>
      <c r="D30" s="959"/>
      <c r="E30" s="959"/>
      <c r="F30" s="959"/>
      <c r="G30" s="959"/>
      <c r="H30" s="959"/>
      <c r="I30" s="959"/>
      <c r="J30" s="959"/>
      <c r="K30" s="959"/>
      <c r="L30" s="959"/>
      <c r="M30" s="959"/>
      <c r="N30" s="959"/>
    </row>
    <row r="31" spans="1:14" ht="19.5" customHeight="1" x14ac:dyDescent="0.2">
      <c r="A31" s="275" t="s">
        <v>2193</v>
      </c>
      <c r="B31" s="267">
        <f>$B$5</f>
        <v>100000</v>
      </c>
    </row>
    <row r="32" spans="1:14" ht="19.5" customHeight="1" x14ac:dyDescent="0.2">
      <c r="A32" s="785" t="s">
        <v>2159</v>
      </c>
      <c r="B32" s="157">
        <f>M27</f>
        <v>0</v>
      </c>
    </row>
    <row r="33" spans="1:13" ht="19.5" customHeight="1" x14ac:dyDescent="0.2">
      <c r="A33" s="785" t="s">
        <v>60</v>
      </c>
      <c r="B33" s="157">
        <f>M27-$B$5</f>
        <v>-100000</v>
      </c>
    </row>
    <row r="34" spans="1:13" ht="19.5" customHeight="1" x14ac:dyDescent="0.2">
      <c r="A34" s="51" t="s">
        <v>2194</v>
      </c>
      <c r="B34" s="786">
        <f>IFERROR(M27/$B$5,0)</f>
        <v>0</v>
      </c>
    </row>
    <row r="35" spans="1:13" ht="19.5" customHeight="1" x14ac:dyDescent="0.2">
      <c r="A35" s="51" t="s">
        <v>2195</v>
      </c>
      <c r="B35" s="50">
        <f>IFERROR((M27-$B$5)/$B$5/Waterfall!$B$5,0)</f>
        <v>0</v>
      </c>
    </row>
    <row r="36" spans="1:13" ht="19.5" customHeight="1" x14ac:dyDescent="0.2">
      <c r="A36" s="51" t="s">
        <v>63</v>
      </c>
      <c r="B36" s="50">
        <f>IFERROR(IF($B$6="Class A",Waterfall!B66,Waterfall!C66),0)</f>
        <v>0</v>
      </c>
    </row>
    <row r="37" spans="1:13" ht="30" customHeight="1" x14ac:dyDescent="0.2">
      <c r="A37" s="996" t="s">
        <v>2196</v>
      </c>
      <c r="B37" s="996"/>
      <c r="C37" s="996"/>
      <c r="D37" s="996"/>
      <c r="E37" s="996"/>
      <c r="F37" s="996"/>
      <c r="G37" s="996"/>
      <c r="H37" s="996"/>
      <c r="I37" s="996"/>
      <c r="J37" s="996"/>
      <c r="K37" s="996"/>
      <c r="L37" s="996"/>
      <c r="M37" s="996"/>
    </row>
    <row r="38" spans="1:13" ht="9.75" customHeight="1" x14ac:dyDescent="0.2"/>
    <row r="39" spans="1:13" ht="21.75" customHeight="1" x14ac:dyDescent="0.2">
      <c r="A39" s="954" t="s">
        <v>2197</v>
      </c>
      <c r="B39" s="954"/>
      <c r="C39" s="954"/>
      <c r="D39" s="954"/>
      <c r="E39" s="954"/>
      <c r="F39" s="954"/>
      <c r="G39" s="954"/>
      <c r="H39" s="954"/>
      <c r="I39" s="954"/>
      <c r="J39" s="954"/>
      <c r="K39" s="954"/>
      <c r="L39" s="954"/>
      <c r="M39" s="954"/>
    </row>
    <row r="40" spans="1:13" ht="24" customHeight="1" x14ac:dyDescent="0.2">
      <c r="A40" s="998" t="s">
        <v>2198</v>
      </c>
      <c r="B40" s="998"/>
      <c r="C40" s="998"/>
      <c r="D40" s="998"/>
      <c r="E40" s="998"/>
      <c r="F40" s="998"/>
      <c r="G40" s="998"/>
      <c r="H40" s="998"/>
      <c r="I40" s="998"/>
      <c r="J40" s="998"/>
      <c r="K40" s="998"/>
      <c r="L40" s="998"/>
      <c r="M40" s="998"/>
    </row>
    <row r="41" spans="1:13" ht="18" customHeight="1" x14ac:dyDescent="0.2">
      <c r="A41" s="46" t="s">
        <v>2199</v>
      </c>
      <c r="B41" s="45" t="s">
        <v>2200</v>
      </c>
      <c r="C41" s="45" t="s">
        <v>2201</v>
      </c>
      <c r="D41" s="45" t="s">
        <v>2202</v>
      </c>
      <c r="E41" s="45" t="s">
        <v>2203</v>
      </c>
    </row>
    <row r="42" spans="1:13" ht="19.5" customHeight="1" x14ac:dyDescent="0.2">
      <c r="A42" s="787" t="s">
        <v>2204</v>
      </c>
      <c r="B42" s="788"/>
      <c r="C42" s="789">
        <f>IFERROR(B42/IF($B$6="Class A",Waterfall!$B$11,Waterfall!$B$12),0)</f>
        <v>0</v>
      </c>
      <c r="D42" s="790">
        <f>$B$5*IF($B$6="Class A",Waterfall!$B$11,Waterfall!$B$12)</f>
        <v>0</v>
      </c>
      <c r="E42" s="791" t="str">
        <f>IFERROR(IF(D42&gt;=B42,"✓ Meets target","Need "&amp;TEXT(C42-$B$5,"$#,##0")&amp;" more"),(B42))</f>
        <v>✓ Meets target</v>
      </c>
    </row>
    <row r="43" spans="1:13" ht="19.5" customHeight="1" x14ac:dyDescent="0.2">
      <c r="A43" s="275" t="s">
        <v>2205</v>
      </c>
      <c r="B43" s="792"/>
      <c r="C43" s="1001" t="s">
        <v>2206</v>
      </c>
      <c r="D43" s="1001"/>
      <c r="E43" s="793" t="str">
        <f>IFERROR(IF(B34&gt;=B43,"✓ Deal hits target","Deal at "&amp;TEXT(B34,"0.00x")&amp;" vs "&amp;TEXT(B43,"0.00x")&amp;" target"),"")</f>
        <v>✓ Deal hits target</v>
      </c>
    </row>
    <row r="44" spans="1:13" ht="19.5" customHeight="1" x14ac:dyDescent="0.2">
      <c r="A44" s="275" t="s">
        <v>2207</v>
      </c>
      <c r="B44" s="794"/>
      <c r="C44" s="931" t="s">
        <v>2208</v>
      </c>
      <c r="D44" s="931"/>
      <c r="E44" s="793" t="str">
        <f>IFERROR(IF(B36&gt;=B44,"✓ Deal hits target","Deal at "&amp;TEXT(B36,"0.0%")&amp;" vs "&amp;TEXT(B44,"0.0%")&amp;" target"),"")</f>
        <v>✓ Deal hits target</v>
      </c>
    </row>
    <row r="45" spans="1:13" ht="19.5" customHeight="1" x14ac:dyDescent="0.2">
      <c r="A45" s="787" t="s">
        <v>2209</v>
      </c>
      <c r="B45" s="788"/>
      <c r="C45" s="600">
        <f>IFERROR(B45/(M27/$B$5),0)</f>
        <v>0</v>
      </c>
      <c r="D45" s="758">
        <f>M27</f>
        <v>0</v>
      </c>
      <c r="E45" s="795" t="str">
        <f>IFERROR(IF(M27&gt;=$B$5*B45/$B$5,"✓ Meets target","Need "&amp;TEXT(C45-$B$5,"$#,##0")&amp;" more"),"")</f>
        <v>✓ Meets target</v>
      </c>
    </row>
    <row r="46" spans="1:13" ht="15.75" customHeight="1" x14ac:dyDescent="0.2">
      <c r="A46" s="996" t="s">
        <v>2210</v>
      </c>
      <c r="B46" s="996"/>
      <c r="C46" s="996"/>
      <c r="D46" s="996"/>
      <c r="E46" s="996"/>
      <c r="F46" s="996"/>
      <c r="G46" s="996"/>
      <c r="H46" s="996"/>
      <c r="I46" s="996"/>
      <c r="J46" s="996"/>
      <c r="K46" s="996"/>
      <c r="L46" s="996"/>
      <c r="M46" s="996"/>
    </row>
    <row r="47" spans="1:13" ht="9.75" customHeight="1" x14ac:dyDescent="0.2"/>
    <row r="48" spans="1:13" ht="21.75" customHeight="1" x14ac:dyDescent="0.2">
      <c r="A48" s="938" t="s">
        <v>2211</v>
      </c>
      <c r="B48" s="938"/>
      <c r="C48" s="938"/>
      <c r="D48" s="938"/>
      <c r="E48" s="938"/>
      <c r="F48" s="938"/>
      <c r="G48" s="938"/>
      <c r="H48" s="938"/>
      <c r="I48" s="938"/>
      <c r="J48" s="938"/>
      <c r="K48" s="938"/>
      <c r="L48" s="938"/>
      <c r="M48" s="938"/>
    </row>
    <row r="49" spans="1:13" ht="19.5" customHeight="1" x14ac:dyDescent="0.2">
      <c r="A49" s="996" t="s">
        <v>2212</v>
      </c>
      <c r="B49" s="996"/>
      <c r="C49" s="996"/>
      <c r="D49" s="996"/>
      <c r="E49" s="996"/>
      <c r="F49" s="996"/>
      <c r="G49" s="996"/>
      <c r="H49" s="996"/>
      <c r="I49" s="996"/>
      <c r="J49" s="996"/>
      <c r="K49" s="996"/>
      <c r="L49" s="996"/>
      <c r="M49" s="996"/>
    </row>
    <row r="50" spans="1:13" ht="27.75" customHeight="1" x14ac:dyDescent="0.2">
      <c r="A50" s="796" t="s">
        <v>28</v>
      </c>
      <c r="B50" s="34" t="s">
        <v>30</v>
      </c>
      <c r="C50" s="34" t="s">
        <v>2213</v>
      </c>
      <c r="D50" s="34" t="s">
        <v>2214</v>
      </c>
      <c r="E50" s="34" t="s">
        <v>2215</v>
      </c>
      <c r="F50" s="34" t="s">
        <v>60</v>
      </c>
      <c r="G50" s="34" t="s">
        <v>2194</v>
      </c>
      <c r="H50" s="34" t="s">
        <v>2216</v>
      </c>
    </row>
    <row r="51" spans="1:13" ht="19.5" customHeight="1" x14ac:dyDescent="0.2">
      <c r="A51" s="797">
        <v>0.06</v>
      </c>
      <c r="B51" s="156">
        <f>IFERROR((IFERROR(INDEX('P&amp;L'!D40:M46,1,Waterfall!$B$5),0))/0.06,0)</f>
        <v>0</v>
      </c>
      <c r="C51" s="156">
        <f>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</f>
        <v>0</v>
      </c>
      <c r="D51" s="56">
        <f>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</f>
        <v>0</v>
      </c>
      <c r="E51" s="56">
        <f>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</f>
        <v>0</v>
      </c>
      <c r="F51" s="156">
        <f>IFERROR(IFERROR(M15+M17+IFERROR($B$5/IF($B$6="Class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Strategy'!$E$19)-Scenarios!$F$115,0),0))),0),0)-$B$5,0)</f>
        <v>-100000</v>
      </c>
      <c r="G51" s="798">
        <f>IFERROR((IFERROR(M15+M17+IFERROR($B$5/IF($B$6="Class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Strategy'!$E$19)-Scenarios!$F$115,0),0))),0),0))/$B$5,0)</f>
        <v>0</v>
      </c>
      <c r="H51" s="799">
        <f>IFERROR(IFERROR((IFERROR(M15+M17+IFERROR($B$5/IF($B$6="Class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Strategy'!$E$19)-Scenarios!$F$115,0),0))),0),0))/$B$5,0)-B34,0)</f>
        <v>0</v>
      </c>
    </row>
    <row r="52" spans="1:13" ht="19.5" customHeight="1" x14ac:dyDescent="0.2">
      <c r="A52" s="797">
        <v>6.5000000000000002E-2</v>
      </c>
      <c r="B52" s="156">
        <f>IFERROR((IFERROR(INDEX('P&amp;L'!D40:M46,1,Waterfall!$B$5),0))/0.065,0)</f>
        <v>0</v>
      </c>
      <c r="C52" s="156">
        <f>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</f>
        <v>0</v>
      </c>
      <c r="D52" s="56">
        <f>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</f>
        <v>0</v>
      </c>
      <c r="E52" s="56">
        <f>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</f>
        <v>0</v>
      </c>
      <c r="F52" s="156">
        <f>IFERROR(IFERROR(M15+M17+IFERROR($B$5/IF($B$6="Class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Strategy'!$E$19)-Scenarios!$F$115,0),0))),0),0)-$B$5,0)</f>
        <v>-100000</v>
      </c>
      <c r="G52" s="798">
        <f>IFERROR((IFERROR(M15+M17+IFERROR($B$5/IF($B$6="Class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Strategy'!$E$19)-Scenarios!$F$115,0),0))),0),0))/$B$5,0)</f>
        <v>0</v>
      </c>
      <c r="H52" s="799">
        <f>IFERROR(IFERROR((IFERROR(M15+M17+IFERROR($B$5/IF($B$6="Class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Strategy'!$E$19)-Scenarios!$F$115,0),0))),0),0))/$B$5,0)-B34,0)</f>
        <v>0</v>
      </c>
    </row>
    <row r="53" spans="1:13" ht="19.5" customHeight="1" x14ac:dyDescent="0.2">
      <c r="A53" s="797">
        <v>7.0000000000000007E-2</v>
      </c>
      <c r="B53" s="156">
        <f>IFERROR((IFERROR(INDEX('P&amp;L'!D40:M46,1,Waterfall!$B$5),0))/0.07,0)</f>
        <v>0</v>
      </c>
      <c r="C53" s="156">
        <f>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</f>
        <v>0</v>
      </c>
      <c r="D53" s="56">
        <f>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</f>
        <v>0</v>
      </c>
      <c r="E53" s="56">
        <f>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</f>
        <v>0</v>
      </c>
      <c r="F53" s="156">
        <f>IFERROR(IFERROR(M15+M17+IFERROR($B$5/IF($B$6="Class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Strategy'!$E$19)-Scenarios!$F$115,0),0))),0),0)-$B$5,0)</f>
        <v>-100000</v>
      </c>
      <c r="G53" s="798">
        <f>IFERROR((IFERROR(M15+M17+IFERROR($B$5/IF($B$6="Class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Strategy'!$E$19)-Scenarios!$F$115,0),0))),0),0))/$B$5,0)</f>
        <v>0</v>
      </c>
      <c r="H53" s="799">
        <f>IFERROR(IFERROR((IFERROR(M15+M17+IFERROR($B$5/IF($B$6="Class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Strategy'!$E$19)-Scenarios!$F$115,0),0))),0),0))/$B$5,0)-B34,0)</f>
        <v>0</v>
      </c>
    </row>
    <row r="54" spans="1:13" ht="19.5" customHeight="1" x14ac:dyDescent="0.2">
      <c r="A54" s="797">
        <v>7.4999999999999997E-2</v>
      </c>
      <c r="B54" s="156">
        <f>IFERROR((IFERROR(INDEX('P&amp;L'!D40:M46,1,Waterfall!$B$5),0))/0.075,0)</f>
        <v>0</v>
      </c>
      <c r="C54" s="156">
        <f>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</f>
        <v>0</v>
      </c>
      <c r="D54" s="56">
        <f>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</f>
        <v>0</v>
      </c>
      <c r="E54" s="56">
        <f>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</f>
        <v>0</v>
      </c>
      <c r="F54" s="156">
        <f>IFERROR(IFERROR(M15+M17+IFERROR($B$5/IF($B$6="Class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Strategy'!$E$19)-Scenarios!$F$115,0),0))),0),0)-$B$5,0)</f>
        <v>-100000</v>
      </c>
      <c r="G54" s="798">
        <f>IFERROR((IFERROR(M15+M17+IFERROR($B$5/IF($B$6="Class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Strategy'!$E$19)-Scenarios!$F$115,0),0))),0),0))/$B$5,0)</f>
        <v>0</v>
      </c>
      <c r="H54" s="799">
        <f>IFERROR(IFERROR((IFERROR(M15+M17+IFERROR($B$5/IF($B$6="Class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Strategy'!$E$19)-Scenarios!$F$115,0),0))),0),0))/$B$5,0)-B34,0)</f>
        <v>0</v>
      </c>
    </row>
    <row r="55" spans="1:13" ht="19.5" customHeight="1" x14ac:dyDescent="0.2">
      <c r="A55" s="800">
        <v>0.08</v>
      </c>
      <c r="B55" s="42">
        <f>IFERROR((IFERROR(INDEX('P&amp;L'!D40:M46,1,Waterfall!$B$5),0))/0.08,0)</f>
        <v>0</v>
      </c>
      <c r="C55" s="42">
        <f>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</f>
        <v>0</v>
      </c>
      <c r="D55" s="42">
        <f>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</f>
        <v>0</v>
      </c>
      <c r="E55" s="42">
        <f>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</f>
        <v>0</v>
      </c>
      <c r="F55" s="42">
        <f>IFERROR(IFERROR(M15+M17+IFERROR($B$5/IF($B$6="Class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Strategy'!$E$19)-Scenarios!$F$115,0),0))),0),0)-$B$5,0)</f>
        <v>-100000</v>
      </c>
      <c r="G55" s="801">
        <f>IFERROR((IFERROR(M15+M17+IFERROR($B$5/IF($B$6="Class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Strategy'!$E$19)-Scenarios!$F$115,0),0))),0),0))/$B$5,0)</f>
        <v>0</v>
      </c>
      <c r="H55" s="802">
        <f>IFERROR(IFERROR((IFERROR(M15+M17+IFERROR($B$5/IF($B$6="Class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Strategy'!$E$19)-Scenarios!$F$115,0),0))),0),0))/$B$5,0)-B34,0)</f>
        <v>0</v>
      </c>
    </row>
    <row r="56" spans="1:13" ht="19.5" customHeight="1" x14ac:dyDescent="0.2">
      <c r="A56" s="803">
        <v>8.5000000000000006E-2</v>
      </c>
      <c r="B56" s="804">
        <f>IFERROR((IFERROR(INDEX('P&amp;L'!D40:M46,1,Waterfall!$B$5),0))/0.085,0)</f>
        <v>0</v>
      </c>
      <c r="C56" s="804">
        <f>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</f>
        <v>0</v>
      </c>
      <c r="D56" s="434">
        <f>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</f>
        <v>0</v>
      </c>
      <c r="E56" s="434">
        <f>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</f>
        <v>0</v>
      </c>
      <c r="F56" s="804">
        <f>IFERROR(IFERROR(M15+M17+IFERROR($B$5/IF($B$6="Class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Strategy'!$E$19)-Scenarios!$F$115,0),0))),0),0)-$B$5,0)</f>
        <v>-100000</v>
      </c>
      <c r="G56" s="805">
        <f>IFERROR((IFERROR(M15+M17+IFERROR($B$5/IF($B$6="Class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Strategy'!$E$19)-Scenarios!$F$115,0),0))),0),0))/$B$5,0)</f>
        <v>0</v>
      </c>
      <c r="H56" s="806">
        <f>IFERROR(IFERROR((IFERROR(M15+M17+IFERROR($B$5/IF($B$6="Class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Strategy'!$E$19)-Scenarios!$F$115,0),0))),0),0))/$B$5,0)-B34,0)</f>
        <v>0</v>
      </c>
    </row>
    <row r="57" spans="1:13" ht="19.5" customHeight="1" x14ac:dyDescent="0.2">
      <c r="A57" s="803">
        <v>0.09</v>
      </c>
      <c r="B57" s="804">
        <f>IFERROR((IFERROR(INDEX('P&amp;L'!D40:M46,1,Waterfall!$B$5),0))/0.09,0)</f>
        <v>0</v>
      </c>
      <c r="C57" s="804">
        <f>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</f>
        <v>0</v>
      </c>
      <c r="D57" s="434">
        <f>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</f>
        <v>0</v>
      </c>
      <c r="E57" s="434">
        <f>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</f>
        <v>0</v>
      </c>
      <c r="F57" s="804">
        <f>IFERROR(IFERROR(M15+M17+IFERROR($B$5/IF($B$6="Class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Strategy'!$E$19)-Scenarios!$F$115,0),0))),0),0)-$B$5,0)</f>
        <v>-100000</v>
      </c>
      <c r="G57" s="805">
        <f>IFERROR((IFERROR(M15+M17+IFERROR($B$5/IF($B$6="Class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Strategy'!$E$19)-Scenarios!$F$115,0),0))),0),0))/$B$5,0)</f>
        <v>0</v>
      </c>
      <c r="H57" s="806">
        <f>IFERROR(IFERROR((IFERROR(M15+M17+IFERROR($B$5/IF($B$6="Class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Strategy'!$E$19)-Scenarios!$F$115,0),0))),0),0))/$B$5,0)-B34,0)</f>
        <v>0</v>
      </c>
    </row>
    <row r="58" spans="1:13" ht="19.5" customHeight="1" x14ac:dyDescent="0.2">
      <c r="A58" s="803">
        <v>9.5000000000000001E-2</v>
      </c>
      <c r="B58" s="804">
        <f>IFERROR((IFERROR(INDEX('P&amp;L'!D40:M46,1,Waterfall!$B$5),0))/0.095,0)</f>
        <v>0</v>
      </c>
      <c r="C58" s="804">
        <f>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</f>
        <v>0</v>
      </c>
      <c r="D58" s="434">
        <f>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</f>
        <v>0</v>
      </c>
      <c r="E58" s="434">
        <f>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</f>
        <v>0</v>
      </c>
      <c r="F58" s="804">
        <f>IFERROR(IFERROR(M15+M17+IFERROR($B$5/IF($B$6="Class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Strategy'!$E$19)-Scenarios!$F$115,0),0))),0),0)-$B$5,0)</f>
        <v>-100000</v>
      </c>
      <c r="G58" s="805">
        <f>IFERROR((IFERROR(M15+M17+IFERROR($B$5/IF($B$6="Class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Strategy'!$E$19)-Scenarios!$F$115,0),0))),0),0))/$B$5,0)</f>
        <v>0</v>
      </c>
      <c r="H58" s="806">
        <f>IFERROR(IFERROR((IFERROR(M15+M17+IFERROR($B$5/IF($B$6="Class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Strategy'!$E$19)-Scenarios!$F$115,0),0))),0),0))/$B$5,0)-B34,0)</f>
        <v>0</v>
      </c>
    </row>
    <row r="59" spans="1:13" ht="15.75" customHeight="1" x14ac:dyDescent="0.2">
      <c r="A59" s="996" t="s">
        <v>2217</v>
      </c>
      <c r="B59" s="996"/>
      <c r="C59" s="996"/>
      <c r="D59" s="996"/>
      <c r="E59" s="996"/>
      <c r="F59" s="996"/>
      <c r="G59" s="996"/>
      <c r="H59" s="996"/>
      <c r="I59" s="996"/>
      <c r="J59" s="996"/>
      <c r="K59" s="996"/>
      <c r="L59" s="996"/>
      <c r="M59" s="996"/>
    </row>
    <row r="61" spans="1:13" x14ac:dyDescent="0.2">
      <c r="A61" t="s">
        <v>2218</v>
      </c>
    </row>
    <row r="62" spans="1:13" x14ac:dyDescent="0.2">
      <c r="A62" t="s">
        <v>2219</v>
      </c>
      <c r="B62">
        <f>IF(1&gt;Waterfall!$B$5,0,$B$5*$D$7)</f>
        <v>0</v>
      </c>
      <c r="C62">
        <f>IF(2&gt;Waterfall!$B$5,0,$B$5*$D$7)</f>
        <v>0</v>
      </c>
      <c r="D62">
        <f>IF(3&gt;Waterfall!$B$5,0,$B$5*$D$7)</f>
        <v>0</v>
      </c>
      <c r="E62">
        <f>IF(4&gt;Waterfall!$B$5,0,$B$5*$D$7)</f>
        <v>0</v>
      </c>
      <c r="F62">
        <f>IF(5&gt;Waterfall!$B$5,0,$B$5*$D$7)</f>
        <v>0</v>
      </c>
      <c r="G62">
        <f>IF(6&gt;Waterfall!$B$5,0,$B$5*$D$7)</f>
        <v>0</v>
      </c>
      <c r="H62">
        <f>IF(7&gt;Waterfall!$B$5,0,$B$5*$D$7)</f>
        <v>0</v>
      </c>
      <c r="I62">
        <f>IF(8&gt;Waterfall!$B$5,0,$B$5*$D$7)</f>
        <v>0</v>
      </c>
      <c r="J62">
        <f>IF(9&gt;Waterfall!$B$5,0,$B$5*$D$7)</f>
        <v>0</v>
      </c>
      <c r="K62">
        <f>IF(10&gt;Waterfall!$B$5,0,$B$5*$D$7)</f>
        <v>0</v>
      </c>
      <c r="L62" t="s">
        <v>46</v>
      </c>
      <c r="M62">
        <f>SUM(B62:K62)</f>
        <v>0</v>
      </c>
    </row>
    <row r="63" spans="1:13" x14ac:dyDescent="0.2">
      <c r="A63" t="s">
        <v>2220</v>
      </c>
      <c r="B63">
        <f>IF(1&gt;Waterfall!$B$5,0,$B$7*IF($B$6="Class A",Waterfall!B40,Waterfall!B42))</f>
        <v>0</v>
      </c>
      <c r="C63">
        <f>IF(2&gt;Waterfall!$B$5,0,$B$7*IF($B$6="Class A",Waterfall!C40,Waterfall!C42))</f>
        <v>0</v>
      </c>
      <c r="D63">
        <f>IF(3&gt;Waterfall!$B$5,0,$B$7*IF($B$6="Class A",Waterfall!D40,Waterfall!D42))</f>
        <v>0</v>
      </c>
      <c r="E63">
        <f>IF(4&gt;Waterfall!$B$5,0,$B$7*IF($B$6="Class A",Waterfall!E40,Waterfall!E42))</f>
        <v>0</v>
      </c>
      <c r="F63">
        <f>IF(5&gt;Waterfall!$B$5,0,$B$7*IF($B$6="Class A",Waterfall!F40,Waterfall!F42))</f>
        <v>0</v>
      </c>
      <c r="G63">
        <f>IF(6&gt;Waterfall!$B$5,0,$B$7*IF($B$6="Class A",Waterfall!G40,Waterfall!G42))</f>
        <v>0</v>
      </c>
      <c r="H63">
        <f>IF(7&gt;Waterfall!$B$5,0,$B$7*IF($B$6="Class A",Waterfall!H40,Waterfall!H42))</f>
        <v>0</v>
      </c>
      <c r="I63">
        <f>IF(8&gt;Waterfall!$B$5,0,$B$7*IF($B$6="Class A",Waterfall!I40,Waterfall!I42))</f>
        <v>0</v>
      </c>
      <c r="J63">
        <f>IF(9&gt;Waterfall!$B$5,0,$B$7*IF($B$6="Class A",Waterfall!J40,Waterfall!J42))</f>
        <v>0</v>
      </c>
      <c r="K63">
        <f>IF(10&gt;Waterfall!$B$5,0,$B$7*IF($B$6="Class A",Waterfall!K40,Waterfall!K42))</f>
        <v>0</v>
      </c>
      <c r="L63" t="s">
        <v>46</v>
      </c>
      <c r="M63">
        <f>SUM(B63:K63)</f>
        <v>0</v>
      </c>
    </row>
    <row r="64" spans="1:13" x14ac:dyDescent="0.2">
      <c r="A64" t="s">
        <v>2221</v>
      </c>
      <c r="B64">
        <f>MAX(B62-B63,0)</f>
        <v>0</v>
      </c>
      <c r="C64">
        <f t="shared" ref="C64:K64" si="1">MAX(B64+C62-C63,0)</f>
        <v>0</v>
      </c>
      <c r="D64">
        <f t="shared" si="1"/>
        <v>0</v>
      </c>
      <c r="E64">
        <f t="shared" si="1"/>
        <v>0</v>
      </c>
      <c r="F64">
        <f t="shared" si="1"/>
        <v>0</v>
      </c>
      <c r="G64">
        <f t="shared" si="1"/>
        <v>0</v>
      </c>
      <c r="H64">
        <f t="shared" si="1"/>
        <v>0</v>
      </c>
      <c r="I64">
        <f t="shared" si="1"/>
        <v>0</v>
      </c>
      <c r="J64">
        <f t="shared" si="1"/>
        <v>0</v>
      </c>
      <c r="K64">
        <f t="shared" si="1"/>
        <v>0</v>
      </c>
      <c r="L64" t="s">
        <v>46</v>
      </c>
      <c r="M64">
        <f>K64</f>
        <v>0</v>
      </c>
    </row>
    <row r="65" spans="1:1" x14ac:dyDescent="0.2">
      <c r="A65" t="s">
        <v>2222</v>
      </c>
    </row>
  </sheetData>
  <mergeCells count="20">
    <mergeCell ref="C44:D44"/>
    <mergeCell ref="A46:M46"/>
    <mergeCell ref="A48:M48"/>
    <mergeCell ref="A49:M49"/>
    <mergeCell ref="A59:M59"/>
    <mergeCell ref="A30:N30"/>
    <mergeCell ref="A37:M37"/>
    <mergeCell ref="A39:M39"/>
    <mergeCell ref="A40:M40"/>
    <mergeCell ref="C43:D43"/>
    <mergeCell ref="A16:N16"/>
    <mergeCell ref="A18:M18"/>
    <mergeCell ref="A19:N19"/>
    <mergeCell ref="A23:N23"/>
    <mergeCell ref="A26:N26"/>
    <mergeCell ref="A1:M1"/>
    <mergeCell ref="A2:M2"/>
    <mergeCell ref="A4:N4"/>
    <mergeCell ref="A10:N10"/>
    <mergeCell ref="A12:N12"/>
  </mergeCells>
  <dataValidations count="1">
    <dataValidation type="list" sqref="B6" xr:uid="{00000000-0002-0000-1400-000000000000}">
      <formula1>"Class A,Class 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5" sqref="B25"/>
    </sheetView>
  </sheetViews>
  <sheetFormatPr baseColWidth="10" defaultColWidth="8.6640625" defaultRowHeight="15" x14ac:dyDescent="0.2"/>
  <cols>
    <col min="1" max="1" width="38" customWidth="1"/>
    <col min="2" max="6" width="17" customWidth="1"/>
    <col min="7" max="7" width="19" customWidth="1"/>
    <col min="8" max="8" width="13" customWidth="1"/>
    <col min="9" max="9" width="30" customWidth="1"/>
  </cols>
  <sheetData>
    <row r="1" spans="1:9" ht="21.75" customHeight="1" x14ac:dyDescent="0.2">
      <c r="A1" s="928" t="str">
        <f>IF('Prop Info'!B4="","PORTFOLIO ROLLUP  —  Multi-Property Aggregation","PORTFOLIO ROLLUP  —  Multi-Property Aggregation"&amp;" — "&amp;'Prop Info'!B4)</f>
        <v>PORTFOLIO ROLLUP  —  Multi-Property Aggregation</v>
      </c>
      <c r="B1" s="928"/>
      <c r="C1" s="928"/>
      <c r="D1" s="928"/>
      <c r="E1" s="928"/>
      <c r="F1" s="928"/>
      <c r="G1" s="928"/>
      <c r="H1" s="928"/>
      <c r="I1" s="928"/>
    </row>
    <row r="2" spans="1:9" ht="31.5" customHeight="1" x14ac:dyDescent="0.2">
      <c r="A2" s="1" t="s">
        <v>2223</v>
      </c>
    </row>
    <row r="4" spans="1:9" ht="21.75" customHeight="1" x14ac:dyDescent="0.2">
      <c r="A4" s="934" t="s">
        <v>2224</v>
      </c>
      <c r="B4" s="934"/>
      <c r="C4" s="934"/>
      <c r="D4" s="934"/>
      <c r="E4" s="934"/>
      <c r="F4" s="934"/>
      <c r="G4" s="934"/>
      <c r="H4" s="934"/>
      <c r="I4" s="934"/>
    </row>
    <row r="5" spans="1:9" ht="27.75" customHeight="1" x14ac:dyDescent="0.2">
      <c r="A5" s="104" t="s">
        <v>11</v>
      </c>
      <c r="B5" s="104" t="s">
        <v>2225</v>
      </c>
      <c r="C5" s="104" t="s">
        <v>2226</v>
      </c>
      <c r="D5" s="104" t="s">
        <v>2227</v>
      </c>
      <c r="E5" s="104" t="s">
        <v>2228</v>
      </c>
      <c r="F5" s="104" t="s">
        <v>2229</v>
      </c>
      <c r="G5" s="116" t="s">
        <v>2230</v>
      </c>
      <c r="H5" s="104" t="s">
        <v>55</v>
      </c>
    </row>
    <row r="6" spans="1:9" ht="15" customHeight="1" x14ac:dyDescent="0.2">
      <c r="A6" s="106" t="s">
        <v>2</v>
      </c>
      <c r="B6" s="353">
        <f>'Prop Info'!B4</f>
        <v>0</v>
      </c>
      <c r="C6" s="405"/>
      <c r="D6" s="405"/>
      <c r="E6" s="405"/>
      <c r="F6" s="405"/>
    </row>
    <row r="7" spans="1:9" ht="15" customHeight="1" x14ac:dyDescent="0.2">
      <c r="A7" s="106" t="s">
        <v>3</v>
      </c>
      <c r="B7" s="353">
        <f>'Prop Info'!B5</f>
        <v>0</v>
      </c>
      <c r="C7" s="405"/>
      <c r="D7" s="405"/>
      <c r="E7" s="405"/>
      <c r="F7" s="405"/>
    </row>
    <row r="8" spans="1:9" ht="15" customHeight="1" x14ac:dyDescent="0.2">
      <c r="A8" s="106" t="s">
        <v>2231</v>
      </c>
      <c r="B8" s="353">
        <f>'Prop Info'!B21</f>
        <v>0</v>
      </c>
      <c r="C8" s="405"/>
      <c r="D8" s="405"/>
      <c r="E8" s="405"/>
      <c r="F8" s="405"/>
    </row>
    <row r="9" spans="1:9" ht="15" customHeight="1" x14ac:dyDescent="0.2">
      <c r="A9" s="106" t="s">
        <v>4</v>
      </c>
      <c r="B9" s="353">
        <f>'Prop Info'!B9</f>
        <v>0</v>
      </c>
      <c r="C9" s="405"/>
      <c r="D9" s="405"/>
      <c r="E9" s="405"/>
      <c r="F9" s="405"/>
    </row>
    <row r="10" spans="1:9" ht="15" customHeight="1" x14ac:dyDescent="0.2">
      <c r="A10" s="106" t="s">
        <v>2232</v>
      </c>
      <c r="B10" s="353">
        <f>'Prop Info'!B13</f>
        <v>0</v>
      </c>
      <c r="C10" s="405"/>
      <c r="D10" s="405"/>
      <c r="E10" s="405"/>
      <c r="F10" s="405"/>
    </row>
    <row r="11" spans="1:9" ht="15" customHeight="1" x14ac:dyDescent="0.2">
      <c r="A11" s="106" t="s">
        <v>369</v>
      </c>
      <c r="B11" s="108">
        <f>'Prop Info'!B6</f>
        <v>0</v>
      </c>
      <c r="C11" s="404"/>
      <c r="D11" s="404"/>
      <c r="E11" s="404"/>
      <c r="F11" s="404"/>
      <c r="G11" s="114">
        <f>SUM(B11:F11)</f>
        <v>0</v>
      </c>
      <c r="H11" s="931" t="s">
        <v>2233</v>
      </c>
      <c r="I11" s="931"/>
    </row>
    <row r="12" spans="1:9" ht="15" customHeight="1" x14ac:dyDescent="0.2">
      <c r="A12" s="106" t="s">
        <v>6</v>
      </c>
      <c r="B12" s="108">
        <f>'Prop Info'!B11</f>
        <v>0</v>
      </c>
      <c r="C12" s="404"/>
      <c r="D12" s="404"/>
      <c r="E12" s="404"/>
      <c r="F12" s="404"/>
      <c r="G12" s="114">
        <f>SUM(B12:F12)</f>
        <v>0</v>
      </c>
      <c r="H12" s="931" t="s">
        <v>1333</v>
      </c>
      <c r="I12" s="931"/>
    </row>
    <row r="13" spans="1:9" ht="15" customHeight="1" x14ac:dyDescent="0.2">
      <c r="A13" s="106" t="s">
        <v>394</v>
      </c>
      <c r="B13" s="108" t="e">
        <f>'Prop Info'!B11/'Prop Info'!B6</f>
        <v>#DIV/0!</v>
      </c>
      <c r="C13" s="404"/>
      <c r="D13" s="404"/>
      <c r="E13" s="404"/>
      <c r="F13" s="404"/>
      <c r="G13" s="114">
        <f>IFERROR(SUMPRODUCT(B13:F13,B11:F11)/SUM(B11:F11),0)</f>
        <v>0</v>
      </c>
      <c r="H13" s="931" t="s">
        <v>2234</v>
      </c>
      <c r="I13" s="931"/>
    </row>
    <row r="14" spans="1:9" ht="15" customHeight="1" x14ac:dyDescent="0.2">
      <c r="A14" s="106" t="s">
        <v>15</v>
      </c>
      <c r="B14" s="110">
        <f>Scenarios!F7</f>
        <v>0</v>
      </c>
      <c r="C14" s="372"/>
      <c r="D14" s="372"/>
      <c r="E14" s="372"/>
      <c r="F14" s="372"/>
      <c r="G14" s="286">
        <f>SUM(B14:F14)</f>
        <v>0</v>
      </c>
    </row>
    <row r="15" spans="1:9" ht="15" customHeight="1" x14ac:dyDescent="0.2">
      <c r="A15" s="106" t="s">
        <v>19</v>
      </c>
      <c r="B15" s="110">
        <f>Scenarios!F17</f>
        <v>0</v>
      </c>
      <c r="C15" s="372"/>
      <c r="D15" s="372"/>
      <c r="E15" s="372"/>
      <c r="F15" s="372"/>
      <c r="G15" s="286">
        <f>SUM(B15:F15)</f>
        <v>0</v>
      </c>
      <c r="H15" s="931" t="s">
        <v>2235</v>
      </c>
      <c r="I15" s="931"/>
    </row>
    <row r="16" spans="1:9" ht="15" customHeight="1" x14ac:dyDescent="0.2">
      <c r="A16" s="106" t="s">
        <v>2236</v>
      </c>
      <c r="B16" s="110">
        <f>Scenarios!F9</f>
        <v>0</v>
      </c>
      <c r="C16" s="372"/>
      <c r="D16" s="372"/>
      <c r="E16" s="372"/>
      <c r="F16" s="372"/>
      <c r="G16" s="286">
        <f>IFERROR(SUMPRODUCT(B16:F16,B11:F11)/SUM(B11:F11),0)</f>
        <v>0</v>
      </c>
      <c r="H16" s="931" t="s">
        <v>2234</v>
      </c>
      <c r="I16" s="931"/>
    </row>
    <row r="17" spans="1:9" ht="15" customHeight="1" x14ac:dyDescent="0.2">
      <c r="A17" s="106" t="s">
        <v>2237</v>
      </c>
      <c r="B17" s="289">
        <f>IFERROR(Scenarios!F7/'Prop Info'!B11,0)</f>
        <v>0</v>
      </c>
      <c r="C17" s="807"/>
      <c r="D17" s="807"/>
      <c r="E17" s="807"/>
      <c r="F17" s="807"/>
      <c r="G17" s="808">
        <f>IFERROR(SUMPRODUCT(B17:F17,B11:F11)/SUM(B11:F11),0)</f>
        <v>0</v>
      </c>
      <c r="H17" s="931" t="s">
        <v>2238</v>
      </c>
      <c r="I17" s="931"/>
    </row>
    <row r="18" spans="1:9" ht="15" customHeight="1" x14ac:dyDescent="0.2">
      <c r="A18" s="106" t="s">
        <v>2239</v>
      </c>
      <c r="B18" s="109">
        <f>IFERROR('P&amp;L'!C40/Scenarios!F7,0)</f>
        <v>0</v>
      </c>
      <c r="C18" s="809"/>
      <c r="D18" s="809"/>
      <c r="E18" s="809"/>
      <c r="F18" s="809"/>
      <c r="G18" s="115">
        <f>IFERROR(SUMPRODUCT(B18:F18,B11:F11)/SUM(B11:F11),0)</f>
        <v>0</v>
      </c>
      <c r="H18" s="931" t="s">
        <v>2240</v>
      </c>
      <c r="I18" s="931"/>
    </row>
    <row r="21" spans="1:9" ht="21.75" customHeight="1" x14ac:dyDescent="0.2">
      <c r="A21" s="934" t="s">
        <v>2241</v>
      </c>
      <c r="B21" s="934"/>
      <c r="C21" s="934"/>
      <c r="D21" s="934"/>
      <c r="E21" s="934"/>
      <c r="F21" s="934"/>
      <c r="G21" s="934"/>
      <c r="H21" s="934"/>
      <c r="I21" s="934"/>
    </row>
    <row r="22" spans="1:9" ht="24" customHeight="1" x14ac:dyDescent="0.2">
      <c r="A22" s="104" t="s">
        <v>11</v>
      </c>
      <c r="B22" s="104" t="s">
        <v>2242</v>
      </c>
      <c r="C22" s="104" t="s">
        <v>2226</v>
      </c>
      <c r="D22" s="104" t="s">
        <v>2227</v>
      </c>
      <c r="E22" s="104" t="s">
        <v>2228</v>
      </c>
      <c r="F22" s="104" t="s">
        <v>2229</v>
      </c>
      <c r="G22" s="104" t="s">
        <v>2243</v>
      </c>
      <c r="H22" s="104" t="s">
        <v>55</v>
      </c>
    </row>
    <row r="23" spans="1:9" ht="15" customHeight="1" x14ac:dyDescent="0.2">
      <c r="A23" s="106" t="s">
        <v>2244</v>
      </c>
      <c r="B23" s="110">
        <f>Scenarios!F40</f>
        <v>0</v>
      </c>
      <c r="C23" s="372"/>
      <c r="D23" s="372"/>
      <c r="E23" s="372"/>
      <c r="F23" s="372"/>
      <c r="G23" s="286">
        <f t="shared" ref="G23:G28" si="0">SUM(B23:F23)</f>
        <v>0</v>
      </c>
    </row>
    <row r="24" spans="1:9" ht="15" customHeight="1" x14ac:dyDescent="0.2">
      <c r="A24" s="106" t="s">
        <v>2245</v>
      </c>
      <c r="B24" s="110" t="str">
        <f>'P&amp;L'!D19</f>
        <v/>
      </c>
      <c r="C24" s="372"/>
      <c r="D24" s="372"/>
      <c r="E24" s="372"/>
      <c r="F24" s="372"/>
      <c r="G24" s="286">
        <f t="shared" si="0"/>
        <v>0</v>
      </c>
    </row>
    <row r="25" spans="1:9" ht="15" customHeight="1" x14ac:dyDescent="0.2">
      <c r="A25" s="106" t="s">
        <v>2246</v>
      </c>
      <c r="B25" s="110">
        <f>'P&amp;L'!C40</f>
        <v>0</v>
      </c>
      <c r="C25" s="372"/>
      <c r="D25" s="372"/>
      <c r="E25" s="372"/>
      <c r="F25" s="372"/>
      <c r="G25" s="286">
        <f t="shared" si="0"/>
        <v>0</v>
      </c>
      <c r="H25" s="931" t="s">
        <v>2247</v>
      </c>
      <c r="I25" s="931"/>
    </row>
    <row r="26" spans="1:9" ht="15" customHeight="1" x14ac:dyDescent="0.2">
      <c r="A26" s="106" t="s">
        <v>2248</v>
      </c>
      <c r="B26" s="110" t="str">
        <f>'P&amp;L'!D40</f>
        <v/>
      </c>
      <c r="C26" s="372"/>
      <c r="D26" s="372"/>
      <c r="E26" s="372"/>
      <c r="F26" s="372"/>
      <c r="G26" s="286">
        <f t="shared" si="0"/>
        <v>0</v>
      </c>
    </row>
    <row r="27" spans="1:9" ht="15" customHeight="1" x14ac:dyDescent="0.2">
      <c r="A27" s="106" t="s">
        <v>2249</v>
      </c>
      <c r="B27" s="110" t="str">
        <f>'P&amp;L'!F40</f>
        <v/>
      </c>
      <c r="C27" s="372"/>
      <c r="D27" s="372"/>
      <c r="E27" s="372"/>
      <c r="F27" s="372"/>
      <c r="G27" s="286">
        <f t="shared" si="0"/>
        <v>0</v>
      </c>
    </row>
    <row r="28" spans="1:9" ht="15" customHeight="1" x14ac:dyDescent="0.2">
      <c r="A28" s="106" t="s">
        <v>70</v>
      </c>
      <c r="B28" s="110" t="str">
        <f>'P&amp;L'!H40</f>
        <v/>
      </c>
      <c r="C28" s="372"/>
      <c r="D28" s="372"/>
      <c r="E28" s="372"/>
      <c r="F28" s="372"/>
      <c r="G28" s="286">
        <f t="shared" si="0"/>
        <v>0</v>
      </c>
    </row>
    <row r="29" spans="1:9" ht="15" customHeight="1" x14ac:dyDescent="0.2">
      <c r="A29" s="106" t="s">
        <v>9</v>
      </c>
      <c r="B29" s="110">
        <f>Scenarios!F39</f>
        <v>0</v>
      </c>
      <c r="C29" s="372"/>
      <c r="D29" s="372"/>
      <c r="E29" s="372"/>
      <c r="F29" s="372"/>
      <c r="G29" s="286">
        <f>IFERROR(SUMPRODUCT(B29:F29,B11:F11)/SUM(B11:F11),0)</f>
        <v>0</v>
      </c>
      <c r="H29" s="931" t="s">
        <v>2234</v>
      </c>
      <c r="I29" s="931"/>
    </row>
    <row r="30" spans="1:9" ht="15" customHeight="1" x14ac:dyDescent="0.2">
      <c r="A30" s="106" t="s">
        <v>2250</v>
      </c>
      <c r="B30" s="109">
        <f>Scenarios!F41</f>
        <v>0</v>
      </c>
      <c r="C30" s="809"/>
      <c r="D30" s="809"/>
      <c r="E30" s="809"/>
      <c r="F30" s="809"/>
      <c r="G30" s="115">
        <f>IFERROR(SUMPRODUCT(B30:F30,B11:F11)/SUM(B11:F11),0)</f>
        <v>0</v>
      </c>
      <c r="H30" s="931" t="s">
        <v>2251</v>
      </c>
      <c r="I30" s="931"/>
    </row>
    <row r="31" spans="1:9" ht="15" customHeight="1" x14ac:dyDescent="0.2">
      <c r="A31" s="106" t="s">
        <v>2252</v>
      </c>
      <c r="B31" s="109">
        <f>IFERROR('P&amp;L'!C40/Scenarios!F7,0)</f>
        <v>0</v>
      </c>
      <c r="C31" s="809"/>
      <c r="D31" s="809"/>
      <c r="E31" s="809"/>
      <c r="F31" s="809"/>
      <c r="G31" s="115">
        <f>IFERROR(SUMPRODUCT(B31:F31,B11:F11)/SUM(B11:F11),0)</f>
        <v>0</v>
      </c>
      <c r="H31" s="931" t="s">
        <v>2240</v>
      </c>
      <c r="I31" s="931"/>
    </row>
    <row r="32" spans="1:9" ht="15" customHeight="1" x14ac:dyDescent="0.2">
      <c r="A32" s="106" t="s">
        <v>2253</v>
      </c>
      <c r="B32" s="109">
        <f>IFERROR('P&amp;L'!F40/Scenarios!F7,0)</f>
        <v>0</v>
      </c>
      <c r="C32" s="809"/>
      <c r="D32" s="809"/>
      <c r="E32" s="809"/>
      <c r="F32" s="809"/>
      <c r="G32" s="115">
        <f>IFERROR(SUMPRODUCT(B32:F32,B11:F11)/SUM(B11:F11),0)</f>
        <v>0</v>
      </c>
      <c r="H32" s="931" t="s">
        <v>2240</v>
      </c>
      <c r="I32" s="931"/>
    </row>
    <row r="33" spans="1:9" ht="15" customHeight="1" x14ac:dyDescent="0.2">
      <c r="A33" s="106" t="s">
        <v>2254</v>
      </c>
      <c r="B33" s="109">
        <f>IFERROR('P&amp;L'!C40/(Scenarios!F17+Capex!$D$51),0)</f>
        <v>0</v>
      </c>
      <c r="C33" s="809"/>
      <c r="D33" s="809"/>
      <c r="E33" s="809"/>
      <c r="F33" s="809"/>
      <c r="G33" s="115">
        <f>IFERROR(SUMPRODUCT(B33:F33,B11:F11)/SUM(B11:F11),0)</f>
        <v>0</v>
      </c>
      <c r="H33" s="931" t="s">
        <v>2255</v>
      </c>
      <c r="I33" s="931"/>
    </row>
    <row r="34" spans="1:9" ht="15" customHeight="1" x14ac:dyDescent="0.2">
      <c r="A34" s="106" t="s">
        <v>2256</v>
      </c>
      <c r="B34" s="109">
        <f>IFERROR('P&amp;L'!F40/(Scenarios!F17+Capex!$D$51),0)</f>
        <v>0</v>
      </c>
      <c r="C34" s="809"/>
      <c r="D34" s="809"/>
      <c r="E34" s="809"/>
      <c r="F34" s="809"/>
      <c r="G34" s="115">
        <f>IFERROR(SUMPRODUCT(B34:F34,B11:F11)/SUM(B11:F11),0)</f>
        <v>0</v>
      </c>
      <c r="H34" s="931" t="s">
        <v>2257</v>
      </c>
      <c r="I34" s="931"/>
    </row>
    <row r="37" spans="1:9" ht="21.75" customHeight="1" x14ac:dyDescent="0.2">
      <c r="A37" s="934" t="s">
        <v>2258</v>
      </c>
      <c r="B37" s="934"/>
      <c r="C37" s="934"/>
      <c r="D37" s="934"/>
      <c r="E37" s="934"/>
      <c r="F37" s="934"/>
      <c r="G37" s="934"/>
      <c r="H37" s="934"/>
      <c r="I37" s="934"/>
    </row>
    <row r="38" spans="1:9" ht="24" customHeight="1" x14ac:dyDescent="0.2">
      <c r="A38" s="104" t="s">
        <v>2259</v>
      </c>
      <c r="B38" s="104" t="s">
        <v>2242</v>
      </c>
      <c r="C38" s="104" t="s">
        <v>2226</v>
      </c>
      <c r="D38" s="104" t="s">
        <v>2227</v>
      </c>
      <c r="E38" s="104" t="s">
        <v>2228</v>
      </c>
      <c r="F38" s="104" t="s">
        <v>2229</v>
      </c>
      <c r="G38" s="104" t="s">
        <v>2243</v>
      </c>
      <c r="H38" s="116" t="s">
        <v>2260</v>
      </c>
    </row>
    <row r="39" spans="1:9" ht="15" customHeight="1" x14ac:dyDescent="0.2">
      <c r="A39" s="106" t="s">
        <v>2261</v>
      </c>
      <c r="B39" s="110">
        <f>Scenarios!F88</f>
        <v>0</v>
      </c>
      <c r="C39" s="372"/>
      <c r="D39" s="372"/>
      <c r="E39" s="372"/>
      <c r="F39" s="372"/>
      <c r="G39" s="286">
        <f>SUM(B39:F39)</f>
        <v>0</v>
      </c>
    </row>
    <row r="40" spans="1:9" ht="15" customHeight="1" x14ac:dyDescent="0.2">
      <c r="A40" s="106" t="s">
        <v>2262</v>
      </c>
      <c r="B40" s="109">
        <f>Scenarios!F89</f>
        <v>0</v>
      </c>
      <c r="C40" s="809"/>
      <c r="D40" s="809"/>
      <c r="E40" s="809"/>
      <c r="F40" s="809"/>
      <c r="G40" s="115">
        <f>IFERROR(SUMPRODUCT(B40:F40,B39:F39)/SUM(B39:F39),0)</f>
        <v>0</v>
      </c>
    </row>
    <row r="41" spans="1:9" ht="15" customHeight="1" x14ac:dyDescent="0.2">
      <c r="A41" s="106" t="s">
        <v>2263</v>
      </c>
      <c r="B41" s="110">
        <f>Scenarios!F95</f>
        <v>0</v>
      </c>
      <c r="C41" s="372"/>
      <c r="D41" s="372"/>
      <c r="E41" s="372"/>
      <c r="F41" s="372"/>
      <c r="G41" s="286">
        <f>SUM(B41:F41)</f>
        <v>0</v>
      </c>
    </row>
    <row r="42" spans="1:9" ht="15" customHeight="1" x14ac:dyDescent="0.2">
      <c r="A42" s="106" t="s">
        <v>2264</v>
      </c>
      <c r="B42" s="109">
        <f>Scenarios!F96</f>
        <v>0</v>
      </c>
      <c r="C42" s="809"/>
      <c r="D42" s="809"/>
      <c r="E42" s="809"/>
      <c r="F42" s="809"/>
      <c r="G42" s="115">
        <f>IFERROR(SUMPRODUCT(B42:F42,B41:F41)/SUM(B41:F41),0)</f>
        <v>0</v>
      </c>
    </row>
    <row r="43" spans="1:9" ht="15" customHeight="1" x14ac:dyDescent="0.2">
      <c r="A43" s="106" t="s">
        <v>2265</v>
      </c>
      <c r="B43" s="110">
        <f>Scenarios!F102</f>
        <v>0</v>
      </c>
      <c r="C43" s="372"/>
      <c r="D43" s="372"/>
      <c r="E43" s="372"/>
      <c r="F43" s="372"/>
      <c r="G43" s="286">
        <f>SUM(B43:F43)</f>
        <v>0</v>
      </c>
    </row>
    <row r="44" spans="1:9" ht="15" customHeight="1" x14ac:dyDescent="0.2">
      <c r="A44" s="106" t="s">
        <v>2266</v>
      </c>
      <c r="B44" s="109">
        <f>Scenarios!F103</f>
        <v>0</v>
      </c>
      <c r="C44" s="809"/>
      <c r="D44" s="809"/>
      <c r="E44" s="809"/>
      <c r="F44" s="809"/>
      <c r="G44" s="115">
        <f>IFERROR(SUMPRODUCT(B44:F44,B43:F43)/SUM(B43:F43),0)</f>
        <v>0</v>
      </c>
    </row>
    <row r="45" spans="1:9" ht="15" customHeight="1" x14ac:dyDescent="0.2">
      <c r="A45" s="106" t="s">
        <v>653</v>
      </c>
      <c r="B45" s="110">
        <f>Scenarios!F117</f>
        <v>0</v>
      </c>
      <c r="C45" s="372"/>
      <c r="D45" s="372"/>
      <c r="E45" s="372"/>
      <c r="F45" s="372"/>
      <c r="G45" s="286">
        <f>SUM(B45:F45)</f>
        <v>0</v>
      </c>
    </row>
    <row r="46" spans="1:9" ht="15" customHeight="1" x14ac:dyDescent="0.2">
      <c r="A46" s="106" t="s">
        <v>2081</v>
      </c>
      <c r="B46" s="110">
        <f>Scenarios!F31</f>
        <v>0</v>
      </c>
      <c r="C46" s="372"/>
      <c r="D46" s="372"/>
      <c r="E46" s="372"/>
      <c r="F46" s="372"/>
      <c r="G46" s="286">
        <f>SUM(B46:F46)</f>
        <v>0</v>
      </c>
    </row>
    <row r="47" spans="1:9" ht="15" customHeight="1" x14ac:dyDescent="0.2">
      <c r="A47" s="106" t="s">
        <v>25</v>
      </c>
      <c r="B47" s="109">
        <f>IFERROR(Scenarios!F117/Scenarios!F17,0)</f>
        <v>0</v>
      </c>
      <c r="C47" s="809"/>
      <c r="D47" s="809"/>
      <c r="E47" s="809"/>
      <c r="F47" s="809"/>
      <c r="G47" s="115">
        <f>IFERROR(G45/G15,0)</f>
        <v>0</v>
      </c>
    </row>
    <row r="48" spans="1:9" ht="15" customHeight="1" x14ac:dyDescent="0.2">
      <c r="A48" s="106" t="s">
        <v>23</v>
      </c>
      <c r="B48" s="109">
        <f>IFERROR(Scenarios!F117/Scenarios!F7,0)</f>
        <v>0</v>
      </c>
      <c r="C48" s="809"/>
      <c r="D48" s="809"/>
      <c r="E48" s="809"/>
      <c r="F48" s="809"/>
      <c r="G48" s="115">
        <f>IFERROR(G45/G14,0)</f>
        <v>0</v>
      </c>
    </row>
    <row r="51" spans="1:9" ht="21.75" customHeight="1" x14ac:dyDescent="0.2">
      <c r="A51" s="934" t="s">
        <v>2267</v>
      </c>
      <c r="B51" s="934"/>
      <c r="C51" s="934"/>
      <c r="D51" s="934"/>
      <c r="E51" s="934"/>
      <c r="F51" s="934"/>
      <c r="G51" s="934"/>
      <c r="H51" s="934"/>
      <c r="I51" s="934"/>
    </row>
    <row r="52" spans="1:9" ht="24" customHeight="1" x14ac:dyDescent="0.2">
      <c r="A52" s="104" t="s">
        <v>11</v>
      </c>
      <c r="B52" s="104" t="s">
        <v>2242</v>
      </c>
      <c r="C52" s="104" t="s">
        <v>2226</v>
      </c>
      <c r="D52" s="104" t="s">
        <v>2227</v>
      </c>
      <c r="E52" s="104" t="s">
        <v>2228</v>
      </c>
      <c r="F52" s="104" t="s">
        <v>2229</v>
      </c>
      <c r="G52" s="104" t="s">
        <v>2243</v>
      </c>
      <c r="H52" s="104" t="s">
        <v>55</v>
      </c>
    </row>
    <row r="53" spans="1:9" ht="15" customHeight="1" x14ac:dyDescent="0.2">
      <c r="A53" s="106" t="s">
        <v>2268</v>
      </c>
      <c r="B53" s="109">
        <f>Waterfall!D66</f>
        <v>0</v>
      </c>
      <c r="C53" s="809"/>
      <c r="D53" s="809"/>
      <c r="E53" s="809"/>
      <c r="F53" s="809"/>
      <c r="G53" s="115">
        <f>IFERROR(SUMPRODUCT(B53:F53,B46:F46)/SUM(B46:F46),0)</f>
        <v>0</v>
      </c>
      <c r="H53" s="931" t="s">
        <v>2269</v>
      </c>
      <c r="I53" s="931"/>
    </row>
    <row r="54" spans="1:9" ht="15" customHeight="1" x14ac:dyDescent="0.2">
      <c r="A54" s="106" t="s">
        <v>16</v>
      </c>
      <c r="B54" s="109">
        <f>Waterfall!B66</f>
        <v>0</v>
      </c>
      <c r="C54" s="809"/>
      <c r="D54" s="809"/>
      <c r="E54" s="809"/>
      <c r="F54" s="809"/>
      <c r="G54" s="115">
        <f>IFERROR(SUMPRODUCT(B54:F54,B46:F46)/SUM(B46:F46),0)</f>
        <v>0</v>
      </c>
      <c r="H54" s="931" t="s">
        <v>2270</v>
      </c>
      <c r="I54" s="931"/>
    </row>
    <row r="55" spans="1:9" ht="15" customHeight="1" x14ac:dyDescent="0.2">
      <c r="A55" s="106" t="s">
        <v>18</v>
      </c>
      <c r="B55" s="109">
        <f>Waterfall!E66</f>
        <v>0</v>
      </c>
      <c r="C55" s="809"/>
      <c r="D55" s="809"/>
      <c r="E55" s="809"/>
      <c r="F55" s="809"/>
      <c r="G55" s="115">
        <f>IFERROR(SUMPRODUCT(B55:F55,B46:F46)/SUM(B46:F46),0)</f>
        <v>0</v>
      </c>
      <c r="H55" s="931" t="s">
        <v>2271</v>
      </c>
      <c r="I55" s="931"/>
    </row>
    <row r="56" spans="1:9" ht="15" customHeight="1" x14ac:dyDescent="0.2">
      <c r="A56" s="106" t="s">
        <v>2272</v>
      </c>
      <c r="B56" s="472">
        <f>Waterfall!D64</f>
        <v>0</v>
      </c>
      <c r="C56" s="810"/>
      <c r="D56" s="810"/>
      <c r="E56" s="810"/>
      <c r="F56" s="810"/>
      <c r="G56" s="811">
        <f>IFERROR(SUMPRODUCT(B56:F56,B46:F46)/SUM(B46:F46),0)</f>
        <v>0</v>
      </c>
    </row>
    <row r="57" spans="1:9" ht="15" customHeight="1" x14ac:dyDescent="0.2">
      <c r="A57" s="106" t="s">
        <v>20</v>
      </c>
      <c r="B57" s="472">
        <f>Waterfall!B64</f>
        <v>0</v>
      </c>
      <c r="C57" s="810"/>
      <c r="D57" s="810"/>
      <c r="E57" s="810"/>
      <c r="F57" s="810"/>
      <c r="G57" s="811">
        <f>IFERROR(SUMPRODUCT(B57:F57,B46:F46)/SUM(B46:F46),0)</f>
        <v>0</v>
      </c>
    </row>
    <row r="58" spans="1:9" ht="15" customHeight="1" x14ac:dyDescent="0.2">
      <c r="A58" s="106" t="s">
        <v>22</v>
      </c>
      <c r="B58" s="109" t="str">
        <f>'P&amp;L'!D60</f>
        <v/>
      </c>
      <c r="C58" s="809"/>
      <c r="D58" s="809"/>
      <c r="E58" s="809"/>
      <c r="F58" s="809"/>
      <c r="G58" s="115">
        <f>IFERROR(SUMPRODUCT(B58:F58,B46:F46)/SUM(B46:F46),0)</f>
        <v>0</v>
      </c>
    </row>
    <row r="59" spans="1:9" ht="15" customHeight="1" x14ac:dyDescent="0.2">
      <c r="A59" s="106" t="s">
        <v>2273</v>
      </c>
      <c r="B59" s="472" t="e">
        <f>AVERAGE('P&amp;L'!D62:M62)</f>
        <v>#DIV/0!</v>
      </c>
      <c r="C59" s="810"/>
      <c r="D59" s="810"/>
      <c r="E59" s="810"/>
      <c r="F59" s="810"/>
      <c r="G59" s="811">
        <f>IFERROR(SUMPRODUCT(B59:F59,B45:F45)/SUM(B45:F45),0)</f>
        <v>0</v>
      </c>
      <c r="H59" s="931" t="s">
        <v>2274</v>
      </c>
      <c r="I59" s="931"/>
    </row>
    <row r="60" spans="1:9" ht="15" customHeight="1" x14ac:dyDescent="0.2">
      <c r="A60" s="106" t="s">
        <v>2275</v>
      </c>
      <c r="B60" s="109">
        <f>IFERROR('P&amp;L'!C40/Scenarios!F117,0)</f>
        <v>0</v>
      </c>
      <c r="C60" s="809"/>
      <c r="D60" s="809"/>
      <c r="E60" s="809"/>
      <c r="F60" s="809"/>
      <c r="G60" s="115">
        <f>IFERROR(SUMPRODUCT(B60:F60,B45:F45)/SUM(B45:F45),0)</f>
        <v>0</v>
      </c>
    </row>
    <row r="61" spans="1:9" ht="15" customHeight="1" x14ac:dyDescent="0.2">
      <c r="A61" s="106" t="s">
        <v>2276</v>
      </c>
      <c r="B61" s="109">
        <f>IFERROR('P&amp;L'!F40/Scenarios!F117,0)</f>
        <v>0</v>
      </c>
      <c r="C61" s="809"/>
      <c r="D61" s="809"/>
      <c r="E61" s="809"/>
      <c r="F61" s="809"/>
      <c r="G61" s="115">
        <f>IFERROR(SUMPRODUCT(B61:F61,B45:F45)/SUM(B45:F45),0)</f>
        <v>0</v>
      </c>
    </row>
    <row r="64" spans="1:9" ht="21.75" customHeight="1" x14ac:dyDescent="0.2">
      <c r="A64" s="934" t="s">
        <v>2277</v>
      </c>
      <c r="B64" s="934"/>
      <c r="C64" s="934"/>
      <c r="D64" s="934"/>
      <c r="E64" s="934"/>
      <c r="F64" s="934"/>
      <c r="G64" s="934"/>
      <c r="H64" s="934"/>
      <c r="I64" s="934"/>
    </row>
    <row r="65" spans="1:9" ht="15" customHeight="1" x14ac:dyDescent="0.2">
      <c r="A65" s="104" t="s">
        <v>2278</v>
      </c>
      <c r="B65" s="104" t="s">
        <v>12</v>
      </c>
      <c r="C65" s="104" t="s">
        <v>2279</v>
      </c>
      <c r="D65" s="104" t="s">
        <v>2280</v>
      </c>
      <c r="E65" s="930" t="s">
        <v>55</v>
      </c>
      <c r="F65" s="930"/>
      <c r="G65" s="930"/>
      <c r="H65" s="930"/>
      <c r="I65" s="930"/>
    </row>
    <row r="66" spans="1:9" ht="15" customHeight="1" x14ac:dyDescent="0.2">
      <c r="A66" s="106" t="s">
        <v>2281</v>
      </c>
      <c r="B66" s="252">
        <f>IFERROR(MAX(B26:F26)/G26,0)</f>
        <v>0</v>
      </c>
      <c r="C66" s="95" t="s">
        <v>2282</v>
      </c>
      <c r="D66" s="288" t="str">
        <f>IF(B66&gt;0.5,"🔴 high",IF(B66&gt;0.4,"⚠ caution","ok"))</f>
        <v>ok</v>
      </c>
      <c r="E66" s="931" t="s">
        <v>2283</v>
      </c>
      <c r="F66" s="931"/>
      <c r="G66" s="931"/>
      <c r="H66" s="931"/>
      <c r="I66" s="931"/>
    </row>
    <row r="67" spans="1:9" ht="15" customHeight="1" x14ac:dyDescent="0.2">
      <c r="A67" s="106" t="s">
        <v>2284</v>
      </c>
      <c r="B67" s="252">
        <f>IFERROR(MAX(B11:F11)/G11,0)</f>
        <v>0</v>
      </c>
      <c r="C67" s="95" t="s">
        <v>2285</v>
      </c>
      <c r="D67" s="288" t="str">
        <f>IF(B67&gt;0.6,"🔴 concentrated",IF(B67&gt;0.5,"⚠ caution","ok"))</f>
        <v>ok</v>
      </c>
      <c r="E67" s="931" t="s">
        <v>2286</v>
      </c>
      <c r="F67" s="931"/>
      <c r="G67" s="931"/>
      <c r="H67" s="931"/>
      <c r="I67" s="931"/>
    </row>
    <row r="68" spans="1:9" ht="15" customHeight="1" x14ac:dyDescent="0.2">
      <c r="A68" s="106" t="s">
        <v>2287</v>
      </c>
      <c r="B68" s="354">
        <f>SUMPRODUCT((B8:F8&lt;&gt;"")*(1/COUNTIF(B8:F8,B8:F8&amp;"")))</f>
        <v>1</v>
      </c>
      <c r="C68" s="95" t="s">
        <v>2288</v>
      </c>
      <c r="D68" s="288" t="str">
        <f>IF(B68&lt;2,"⚠ single market",IF(B68&gt;=3,"diversified","ok"))</f>
        <v>⚠ single market</v>
      </c>
      <c r="E68" s="931" t="s">
        <v>2289</v>
      </c>
      <c r="F68" s="931"/>
      <c r="G68" s="931"/>
      <c r="H68" s="931"/>
      <c r="I68" s="931"/>
    </row>
    <row r="69" spans="1:9" ht="15" customHeight="1" x14ac:dyDescent="0.2">
      <c r="A69" s="106" t="s">
        <v>2290</v>
      </c>
      <c r="B69" s="252">
        <f>IFERROR(G26/G15,0)</f>
        <v>0</v>
      </c>
      <c r="C69" s="95" t="s">
        <v>2291</v>
      </c>
      <c r="E69" s="931" t="s">
        <v>2292</v>
      </c>
      <c r="F69" s="931"/>
      <c r="G69" s="931"/>
      <c r="H69" s="931"/>
      <c r="I69" s="931"/>
    </row>
    <row r="70" spans="1:9" ht="15" customHeight="1" x14ac:dyDescent="0.2">
      <c r="A70" s="106" t="s">
        <v>2293</v>
      </c>
      <c r="B70" s="371" t="s">
        <v>2294</v>
      </c>
      <c r="C70" s="95" t="s">
        <v>2295</v>
      </c>
      <c r="D70" s="288" t="str">
        <f>IF(B70&lt;1.1,"🔴 covenant risk",IF(B70&lt;1.2,"⚠ thin","ok"))</f>
        <v>ok</v>
      </c>
      <c r="E70" s="931" t="s">
        <v>2296</v>
      </c>
      <c r="F70" s="931"/>
      <c r="G70" s="931"/>
      <c r="H70" s="931"/>
      <c r="I70" s="931"/>
    </row>
    <row r="71" spans="1:9" ht="15" customHeight="1" x14ac:dyDescent="0.2">
      <c r="A71" s="106" t="s">
        <v>2297</v>
      </c>
      <c r="B71" s="302"/>
      <c r="C71" s="95" t="s">
        <v>2298</v>
      </c>
      <c r="E71" s="931" t="s">
        <v>2299</v>
      </c>
      <c r="F71" s="931"/>
      <c r="G71" s="931"/>
      <c r="H71" s="931"/>
      <c r="I71" s="931"/>
    </row>
    <row r="74" spans="1:9" ht="21.75" customHeight="1" x14ac:dyDescent="0.2">
      <c r="A74" s="934" t="s">
        <v>2300</v>
      </c>
      <c r="B74" s="934"/>
      <c r="C74" s="934"/>
      <c r="D74" s="934"/>
      <c r="E74" s="934"/>
      <c r="F74" s="934"/>
      <c r="G74" s="934"/>
      <c r="H74" s="934"/>
      <c r="I74" s="934"/>
    </row>
    <row r="75" spans="1:9" ht="15" customHeight="1" x14ac:dyDescent="0.2">
      <c r="A75" s="931" t="s">
        <v>2301</v>
      </c>
      <c r="B75" s="931"/>
      <c r="C75" s="931"/>
      <c r="D75" s="931"/>
      <c r="E75" s="931"/>
      <c r="F75" s="931"/>
      <c r="G75" s="931"/>
      <c r="H75" s="931"/>
      <c r="I75" s="931"/>
    </row>
    <row r="76" spans="1:9" ht="27.75" customHeight="1" x14ac:dyDescent="0.2">
      <c r="A76" s="104" t="s">
        <v>2302</v>
      </c>
      <c r="B76" s="104" t="s">
        <v>2303</v>
      </c>
      <c r="C76" s="104" t="s">
        <v>2304</v>
      </c>
      <c r="D76" s="104" t="s">
        <v>2305</v>
      </c>
      <c r="E76" s="104" t="s">
        <v>2306</v>
      </c>
      <c r="F76" s="104" t="s">
        <v>2307</v>
      </c>
      <c r="G76" s="104" t="s">
        <v>2308</v>
      </c>
      <c r="H76" s="116" t="s">
        <v>2309</v>
      </c>
      <c r="I76" s="104" t="s">
        <v>2280</v>
      </c>
    </row>
    <row r="77" spans="1:9" ht="15" customHeight="1" x14ac:dyDescent="0.2">
      <c r="A77" s="106" t="s">
        <v>701</v>
      </c>
      <c r="B77" s="289">
        <f>'T-12 Analysis'!P89</f>
        <v>0</v>
      </c>
      <c r="C77" s="807"/>
      <c r="D77" s="807"/>
      <c r="E77" s="807"/>
      <c r="F77" s="807"/>
      <c r="G77" s="808">
        <f t="shared" ref="G77:G90" si="1">IFERROR(AVERAGEIF(B77:F77,"&gt;0"),0)</f>
        <v>0</v>
      </c>
      <c r="H77" s="252">
        <f t="shared" ref="H77:H90" si="2">IFERROR(MAX(B77:F77)/G77-1,0)</f>
        <v>0</v>
      </c>
      <c r="I77" s="288" t="str">
        <f t="shared" ref="I77:I90" si="3">IF(H77&gt;0.5,"🔴 outlier",IF(H77&gt;0.25,"⚠ check","ok"))</f>
        <v>ok</v>
      </c>
    </row>
    <row r="78" spans="1:9" ht="15" customHeight="1" x14ac:dyDescent="0.2">
      <c r="A78" s="106" t="s">
        <v>703</v>
      </c>
      <c r="B78" s="289">
        <f>'T-12 Analysis'!P84</f>
        <v>0</v>
      </c>
      <c r="C78" s="807"/>
      <c r="D78" s="807"/>
      <c r="E78" s="807"/>
      <c r="F78" s="807"/>
      <c r="G78" s="808">
        <f t="shared" si="1"/>
        <v>0</v>
      </c>
      <c r="H78" s="252">
        <f t="shared" si="2"/>
        <v>0</v>
      </c>
      <c r="I78" s="288" t="str">
        <f t="shared" si="3"/>
        <v>ok</v>
      </c>
    </row>
    <row r="79" spans="1:9" ht="15" customHeight="1" x14ac:dyDescent="0.2">
      <c r="A79" s="106" t="s">
        <v>1491</v>
      </c>
      <c r="B79" s="289">
        <f>'T-12 Analysis'!P94</f>
        <v>0</v>
      </c>
      <c r="C79" s="807"/>
      <c r="D79" s="807"/>
      <c r="E79" s="807"/>
      <c r="F79" s="807"/>
      <c r="G79" s="808">
        <f t="shared" si="1"/>
        <v>0</v>
      </c>
      <c r="H79" s="252">
        <f t="shared" si="2"/>
        <v>0</v>
      </c>
      <c r="I79" s="288" t="str">
        <f t="shared" si="3"/>
        <v>ok</v>
      </c>
    </row>
    <row r="80" spans="1:9" ht="15" customHeight="1" x14ac:dyDescent="0.2">
      <c r="A80" s="106" t="s">
        <v>2310</v>
      </c>
      <c r="B80" s="289">
        <f>'T-12 Analysis'!P90</f>
        <v>0</v>
      </c>
      <c r="C80" s="807"/>
      <c r="D80" s="807"/>
      <c r="E80" s="807"/>
      <c r="F80" s="807"/>
      <c r="G80" s="808">
        <f t="shared" si="1"/>
        <v>0</v>
      </c>
      <c r="H80" s="252">
        <f t="shared" si="2"/>
        <v>0</v>
      </c>
      <c r="I80" s="288" t="str">
        <f t="shared" si="3"/>
        <v>ok</v>
      </c>
    </row>
    <row r="81" spans="1:16" ht="15" customHeight="1" x14ac:dyDescent="0.2">
      <c r="A81" s="106" t="s">
        <v>710</v>
      </c>
      <c r="B81" s="289">
        <f>'T-12 Analysis'!P92</f>
        <v>0</v>
      </c>
      <c r="C81" s="807"/>
      <c r="D81" s="807"/>
      <c r="E81" s="807"/>
      <c r="F81" s="807"/>
      <c r="G81" s="808">
        <f t="shared" si="1"/>
        <v>0</v>
      </c>
      <c r="H81" s="252">
        <f t="shared" si="2"/>
        <v>0</v>
      </c>
      <c r="I81" s="288" t="str">
        <f t="shared" si="3"/>
        <v>ok</v>
      </c>
    </row>
    <row r="82" spans="1:16" ht="15" customHeight="1" x14ac:dyDescent="0.2">
      <c r="A82" s="106" t="s">
        <v>712</v>
      </c>
      <c r="B82" s="289">
        <f>'T-12 Analysis'!P91</f>
        <v>0</v>
      </c>
      <c r="C82" s="807"/>
      <c r="D82" s="807"/>
      <c r="E82" s="807"/>
      <c r="F82" s="807"/>
      <c r="G82" s="808">
        <f t="shared" si="1"/>
        <v>0</v>
      </c>
      <c r="H82" s="252">
        <f t="shared" si="2"/>
        <v>0</v>
      </c>
      <c r="I82" s="288" t="str">
        <f t="shared" si="3"/>
        <v>ok</v>
      </c>
    </row>
    <row r="83" spans="1:16" ht="15" customHeight="1" x14ac:dyDescent="0.2">
      <c r="A83" s="106" t="s">
        <v>714</v>
      </c>
      <c r="B83" s="289">
        <f>'T-12 Analysis'!P93</f>
        <v>0</v>
      </c>
      <c r="C83" s="807"/>
      <c r="D83" s="807"/>
      <c r="E83" s="807"/>
      <c r="F83" s="807"/>
      <c r="G83" s="808">
        <f t="shared" si="1"/>
        <v>0</v>
      </c>
      <c r="H83" s="252">
        <f t="shared" si="2"/>
        <v>0</v>
      </c>
      <c r="I83" s="288" t="str">
        <f t="shared" si="3"/>
        <v>ok</v>
      </c>
    </row>
    <row r="84" spans="1:16" ht="15" customHeight="1" x14ac:dyDescent="0.2">
      <c r="A84" s="106" t="s">
        <v>306</v>
      </c>
      <c r="B84" s="289">
        <f>'T-12 Analysis'!P97</f>
        <v>0</v>
      </c>
      <c r="C84" s="807"/>
      <c r="D84" s="807"/>
      <c r="E84" s="807"/>
      <c r="F84" s="807"/>
      <c r="G84" s="808">
        <f t="shared" si="1"/>
        <v>0</v>
      </c>
      <c r="H84" s="252">
        <f t="shared" si="2"/>
        <v>0</v>
      </c>
      <c r="I84" s="288" t="str">
        <f t="shared" si="3"/>
        <v>ok</v>
      </c>
    </row>
    <row r="85" spans="1:16" ht="15" customHeight="1" x14ac:dyDescent="0.2">
      <c r="A85" s="106" t="s">
        <v>966</v>
      </c>
      <c r="B85" s="289">
        <f>'T-12 Analysis'!P99</f>
        <v>0</v>
      </c>
      <c r="C85" s="807"/>
      <c r="D85" s="807"/>
      <c r="E85" s="807"/>
      <c r="F85" s="807"/>
      <c r="G85" s="808">
        <f t="shared" si="1"/>
        <v>0</v>
      </c>
      <c r="H85" s="252">
        <f t="shared" si="2"/>
        <v>0</v>
      </c>
      <c r="I85" s="288" t="str">
        <f t="shared" si="3"/>
        <v>ok</v>
      </c>
    </row>
    <row r="86" spans="1:16" ht="15" customHeight="1" x14ac:dyDescent="0.2">
      <c r="A86" s="106" t="s">
        <v>885</v>
      </c>
      <c r="B86" s="289">
        <f>'T-12 Analysis'!P88</f>
        <v>0</v>
      </c>
      <c r="C86" s="807"/>
      <c r="D86" s="807"/>
      <c r="E86" s="807"/>
      <c r="F86" s="807"/>
      <c r="G86" s="808">
        <f t="shared" si="1"/>
        <v>0</v>
      </c>
      <c r="H86" s="252">
        <f t="shared" si="2"/>
        <v>0</v>
      </c>
      <c r="I86" s="288" t="str">
        <f t="shared" si="3"/>
        <v>ok</v>
      </c>
    </row>
    <row r="87" spans="1:16" ht="15" customHeight="1" x14ac:dyDescent="0.2">
      <c r="A87" s="106" t="s">
        <v>2311</v>
      </c>
      <c r="B87" s="289">
        <f>'T-12 Analysis'!P82</f>
        <v>0</v>
      </c>
      <c r="C87" s="807"/>
      <c r="D87" s="807"/>
      <c r="E87" s="807"/>
      <c r="F87" s="807"/>
      <c r="G87" s="808">
        <f t="shared" si="1"/>
        <v>0</v>
      </c>
      <c r="H87" s="252">
        <f t="shared" si="2"/>
        <v>0</v>
      </c>
      <c r="I87" s="288" t="str">
        <f t="shared" si="3"/>
        <v>ok</v>
      </c>
    </row>
    <row r="88" spans="1:16" ht="15" customHeight="1" x14ac:dyDescent="0.2">
      <c r="A88" s="106" t="s">
        <v>886</v>
      </c>
      <c r="B88" s="289">
        <f>'T-12 Analysis'!P87</f>
        <v>0</v>
      </c>
      <c r="C88" s="807"/>
      <c r="D88" s="807"/>
      <c r="E88" s="807"/>
      <c r="F88" s="807"/>
      <c r="G88" s="808">
        <f t="shared" si="1"/>
        <v>0</v>
      </c>
      <c r="H88" s="252">
        <f t="shared" si="2"/>
        <v>0</v>
      </c>
      <c r="I88" s="288" t="str">
        <f t="shared" si="3"/>
        <v>ok</v>
      </c>
    </row>
    <row r="89" spans="1:16" ht="15" customHeight="1" x14ac:dyDescent="0.2">
      <c r="A89" s="106" t="s">
        <v>727</v>
      </c>
      <c r="B89" s="289">
        <f>'T-12 Analysis'!P96</f>
        <v>0</v>
      </c>
      <c r="C89" s="807"/>
      <c r="D89" s="807"/>
      <c r="E89" s="807"/>
      <c r="F89" s="807"/>
      <c r="G89" s="808">
        <f t="shared" si="1"/>
        <v>0</v>
      </c>
      <c r="H89" s="252">
        <f t="shared" si="2"/>
        <v>0</v>
      </c>
      <c r="I89" s="288" t="str">
        <f t="shared" si="3"/>
        <v>ok</v>
      </c>
    </row>
    <row r="90" spans="1:16" ht="15" customHeight="1" x14ac:dyDescent="0.2">
      <c r="A90" s="106" t="s">
        <v>2312</v>
      </c>
      <c r="B90" s="289">
        <f>'T-12 Analysis'!P86</f>
        <v>0</v>
      </c>
      <c r="C90" s="807"/>
      <c r="D90" s="807"/>
      <c r="E90" s="807"/>
      <c r="F90" s="807"/>
      <c r="G90" s="808">
        <f t="shared" si="1"/>
        <v>0</v>
      </c>
      <c r="H90" s="252">
        <f t="shared" si="2"/>
        <v>0</v>
      </c>
      <c r="I90" s="288" t="str">
        <f t="shared" si="3"/>
        <v>ok</v>
      </c>
    </row>
    <row r="93" spans="1:16" ht="21.75" customHeight="1" x14ac:dyDescent="0.2">
      <c r="A93" s="934" t="s">
        <v>2313</v>
      </c>
      <c r="B93" s="934"/>
      <c r="C93" s="934"/>
      <c r="D93" s="934"/>
      <c r="E93" s="934"/>
      <c r="F93" s="934"/>
      <c r="G93" s="934"/>
      <c r="H93" s="934"/>
      <c r="I93" s="934"/>
    </row>
    <row r="94" spans="1:16" ht="15" customHeight="1" x14ac:dyDescent="0.2">
      <c r="A94" s="931" t="s">
        <v>2314</v>
      </c>
      <c r="B94" s="931"/>
      <c r="C94" s="931"/>
      <c r="D94" s="931"/>
      <c r="E94" s="931"/>
      <c r="F94" s="931"/>
      <c r="G94" s="931"/>
      <c r="H94" s="931"/>
      <c r="I94" s="931"/>
    </row>
    <row r="96" spans="1:16" ht="31.5" customHeight="1" x14ac:dyDescent="0.2">
      <c r="A96" s="116" t="s">
        <v>2</v>
      </c>
      <c r="B96" s="116" t="s">
        <v>3</v>
      </c>
      <c r="C96" s="116" t="s">
        <v>369</v>
      </c>
      <c r="D96" s="116" t="s">
        <v>4</v>
      </c>
      <c r="E96" s="116" t="s">
        <v>2232</v>
      </c>
      <c r="F96" s="116" t="s">
        <v>15</v>
      </c>
      <c r="G96" s="116" t="s">
        <v>2315</v>
      </c>
      <c r="H96" s="116" t="s">
        <v>653</v>
      </c>
      <c r="I96" s="116" t="s">
        <v>2081</v>
      </c>
      <c r="J96" s="116" t="s">
        <v>2316</v>
      </c>
      <c r="K96" s="116" t="s">
        <v>2248</v>
      </c>
      <c r="L96" s="116" t="s">
        <v>2317</v>
      </c>
      <c r="M96" s="116" t="s">
        <v>2252</v>
      </c>
      <c r="N96" s="116" t="s">
        <v>16</v>
      </c>
      <c r="O96" s="116" t="s">
        <v>2318</v>
      </c>
      <c r="P96" s="116" t="s">
        <v>68</v>
      </c>
    </row>
    <row r="97" spans="1:16" ht="15" customHeight="1" x14ac:dyDescent="0.2">
      <c r="A97" s="353">
        <f>'Prop Info'!B4</f>
        <v>0</v>
      </c>
      <c r="B97" s="353">
        <f>'Prop Info'!B5</f>
        <v>0</v>
      </c>
      <c r="C97" s="108">
        <f>'Prop Info'!B6</f>
        <v>0</v>
      </c>
      <c r="D97" s="108">
        <f>'Prop Info'!B9</f>
        <v>0</v>
      </c>
      <c r="E97" s="353">
        <f>'Prop Info'!B13</f>
        <v>0</v>
      </c>
      <c r="F97" s="110">
        <f>Scenarios!F7</f>
        <v>0</v>
      </c>
      <c r="G97" s="110">
        <f>Scenarios!F17</f>
        <v>0</v>
      </c>
      <c r="H97" s="110">
        <f>Scenarios!F117</f>
        <v>0</v>
      </c>
      <c r="I97" s="110">
        <f>Scenarios!F31</f>
        <v>0</v>
      </c>
      <c r="J97" s="110">
        <f>'P&amp;L'!C40</f>
        <v>0</v>
      </c>
      <c r="K97" s="110" t="str">
        <f>'P&amp;L'!D40</f>
        <v/>
      </c>
      <c r="L97" s="110" t="str">
        <f>'P&amp;L'!F40</f>
        <v/>
      </c>
      <c r="M97" s="109">
        <f>IFERROR('P&amp;L'!C40/Scenarios!F7,0)</f>
        <v>0</v>
      </c>
      <c r="N97" s="109">
        <f>Waterfall!B66</f>
        <v>0</v>
      </c>
      <c r="O97" s="472">
        <f>Waterfall!B64</f>
        <v>0</v>
      </c>
      <c r="P97" s="108">
        <f>Scenarios!F82</f>
        <v>0</v>
      </c>
    </row>
  </sheetData>
  <mergeCells count="35">
    <mergeCell ref="E71:I71"/>
    <mergeCell ref="A74:I74"/>
    <mergeCell ref="A75:I75"/>
    <mergeCell ref="A93:I93"/>
    <mergeCell ref="A94:I94"/>
    <mergeCell ref="E66:I66"/>
    <mergeCell ref="E67:I67"/>
    <mergeCell ref="E68:I68"/>
    <mergeCell ref="E69:I69"/>
    <mergeCell ref="E70:I70"/>
    <mergeCell ref="H54:I54"/>
    <mergeCell ref="H55:I55"/>
    <mergeCell ref="H59:I59"/>
    <mergeCell ref="A64:I64"/>
    <mergeCell ref="E65:I65"/>
    <mergeCell ref="H33:I33"/>
    <mergeCell ref="H34:I34"/>
    <mergeCell ref="A37:I37"/>
    <mergeCell ref="A51:I51"/>
    <mergeCell ref="H53:I53"/>
    <mergeCell ref="H25:I25"/>
    <mergeCell ref="H29:I29"/>
    <mergeCell ref="H30:I30"/>
    <mergeCell ref="H31:I31"/>
    <mergeCell ref="H32:I32"/>
    <mergeCell ref="H15:I15"/>
    <mergeCell ref="H16:I16"/>
    <mergeCell ref="H17:I17"/>
    <mergeCell ref="H18:I18"/>
    <mergeCell ref="A21:I21"/>
    <mergeCell ref="A1:I1"/>
    <mergeCell ref="A4:I4"/>
    <mergeCell ref="H11:I11"/>
    <mergeCell ref="H12:I12"/>
    <mergeCell ref="H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6"/>
  <sheetViews>
    <sheetView zoomScaleNormal="100" workbookViewId="0"/>
  </sheetViews>
  <sheetFormatPr baseColWidth="10" defaultColWidth="8.6640625" defaultRowHeight="15" x14ac:dyDescent="0.2"/>
  <cols>
    <col min="1" max="1" width="38" customWidth="1"/>
    <col min="2" max="2" width="14" customWidth="1"/>
    <col min="3" max="3" width="22" customWidth="1"/>
    <col min="4" max="5" width="12" customWidth="1"/>
    <col min="6" max="6" width="50" customWidth="1"/>
  </cols>
  <sheetData>
    <row r="1" spans="1:6" ht="21.75" customHeight="1" x14ac:dyDescent="0.2">
      <c r="A1" s="1002" t="s">
        <v>2319</v>
      </c>
      <c r="B1" s="1002"/>
      <c r="C1" s="1002"/>
      <c r="D1" s="1002"/>
      <c r="E1" s="1002"/>
      <c r="F1" s="1002"/>
    </row>
    <row r="3" spans="1:6" ht="27.75" customHeight="1" x14ac:dyDescent="0.2">
      <c r="A3" s="104" t="s">
        <v>921</v>
      </c>
      <c r="B3" s="104" t="s">
        <v>1084</v>
      </c>
      <c r="C3" s="104" t="s">
        <v>2320</v>
      </c>
      <c r="D3" s="116" t="s">
        <v>2321</v>
      </c>
      <c r="E3" s="116" t="s">
        <v>2322</v>
      </c>
      <c r="F3" s="116" t="s">
        <v>2323</v>
      </c>
    </row>
    <row r="4" spans="1:6" ht="15" customHeight="1" x14ac:dyDescent="0.2">
      <c r="A4" s="106" t="s">
        <v>938</v>
      </c>
      <c r="B4" s="288" t="s">
        <v>2324</v>
      </c>
      <c r="C4" s="106" t="s">
        <v>2325</v>
      </c>
      <c r="F4" s="248" t="s">
        <v>2326</v>
      </c>
    </row>
    <row r="5" spans="1:6" ht="15" customHeight="1" x14ac:dyDescent="0.2">
      <c r="A5" s="106" t="s">
        <v>939</v>
      </c>
      <c r="B5" s="288" t="s">
        <v>2324</v>
      </c>
      <c r="C5" s="106" t="s">
        <v>2327</v>
      </c>
      <c r="F5" s="248" t="s">
        <v>2328</v>
      </c>
    </row>
    <row r="6" spans="1:6" ht="15" customHeight="1" x14ac:dyDescent="0.2">
      <c r="A6" s="106" t="s">
        <v>900</v>
      </c>
      <c r="B6" s="288" t="s">
        <v>2324</v>
      </c>
      <c r="C6" s="106" t="s">
        <v>2329</v>
      </c>
      <c r="F6" s="248" t="s">
        <v>2330</v>
      </c>
    </row>
    <row r="7" spans="1:6" ht="15" customHeight="1" x14ac:dyDescent="0.2">
      <c r="A7" s="106" t="s">
        <v>908</v>
      </c>
      <c r="B7" s="288" t="s">
        <v>2324</v>
      </c>
      <c r="C7" s="106" t="s">
        <v>2329</v>
      </c>
      <c r="F7" s="248" t="s">
        <v>2331</v>
      </c>
    </row>
    <row r="8" spans="1:6" ht="15" customHeight="1" x14ac:dyDescent="0.2">
      <c r="A8" s="106" t="s">
        <v>910</v>
      </c>
      <c r="B8" s="288" t="s">
        <v>2324</v>
      </c>
      <c r="C8" s="106" t="s">
        <v>2329</v>
      </c>
      <c r="F8" s="248" t="s">
        <v>2332</v>
      </c>
    </row>
    <row r="9" spans="1:6" ht="15" customHeight="1" x14ac:dyDescent="0.2">
      <c r="A9" s="106" t="s">
        <v>904</v>
      </c>
      <c r="B9" s="288" t="s">
        <v>2324</v>
      </c>
      <c r="C9" s="106" t="s">
        <v>2329</v>
      </c>
      <c r="F9" s="248" t="s">
        <v>2333</v>
      </c>
    </row>
    <row r="10" spans="1:6" ht="15" customHeight="1" x14ac:dyDescent="0.2">
      <c r="A10" s="106" t="s">
        <v>906</v>
      </c>
      <c r="B10" s="288" t="s">
        <v>2324</v>
      </c>
      <c r="C10" s="106" t="s">
        <v>2329</v>
      </c>
      <c r="F10" s="248" t="s">
        <v>2334</v>
      </c>
    </row>
    <row r="11" spans="1:6" ht="15" customHeight="1" x14ac:dyDescent="0.2">
      <c r="A11" s="106" t="s">
        <v>940</v>
      </c>
      <c r="B11" s="288" t="s">
        <v>2324</v>
      </c>
      <c r="C11" s="106" t="s">
        <v>2329</v>
      </c>
      <c r="F11" s="248" t="s">
        <v>2335</v>
      </c>
    </row>
    <row r="12" spans="1:6" ht="15" customHeight="1" x14ac:dyDescent="0.2">
      <c r="A12" s="106" t="s">
        <v>941</v>
      </c>
      <c r="B12" s="288" t="s">
        <v>2324</v>
      </c>
      <c r="C12" s="106" t="s">
        <v>2327</v>
      </c>
      <c r="F12" s="248" t="s">
        <v>2336</v>
      </c>
    </row>
    <row r="13" spans="1:6" ht="15" customHeight="1" x14ac:dyDescent="0.2">
      <c r="A13" s="106" t="s">
        <v>943</v>
      </c>
      <c r="B13" s="288" t="s">
        <v>2324</v>
      </c>
      <c r="C13" s="106" t="s">
        <v>2337</v>
      </c>
      <c r="F13" s="248" t="s">
        <v>2338</v>
      </c>
    </row>
    <row r="14" spans="1:6" ht="15" customHeight="1" x14ac:dyDescent="0.2">
      <c r="A14" s="106" t="s">
        <v>944</v>
      </c>
      <c r="B14" s="288" t="s">
        <v>2324</v>
      </c>
      <c r="C14" s="106" t="s">
        <v>2337</v>
      </c>
      <c r="F14" s="248" t="s">
        <v>2339</v>
      </c>
    </row>
    <row r="15" spans="1:6" ht="15" customHeight="1" x14ac:dyDescent="0.2">
      <c r="A15" s="106" t="s">
        <v>945</v>
      </c>
      <c r="B15" s="288" t="s">
        <v>2324</v>
      </c>
      <c r="C15" s="106" t="s">
        <v>2337</v>
      </c>
      <c r="F15" s="248" t="s">
        <v>2340</v>
      </c>
    </row>
    <row r="16" spans="1:6" ht="15" customHeight="1" x14ac:dyDescent="0.2">
      <c r="A16" s="106" t="s">
        <v>946</v>
      </c>
      <c r="B16" s="288" t="s">
        <v>2324</v>
      </c>
      <c r="C16" s="106" t="s">
        <v>2337</v>
      </c>
      <c r="F16" s="248" t="s">
        <v>2341</v>
      </c>
    </row>
    <row r="17" spans="1:6" ht="15" customHeight="1" x14ac:dyDescent="0.2">
      <c r="A17" s="106" t="s">
        <v>947</v>
      </c>
      <c r="B17" s="288" t="s">
        <v>2324</v>
      </c>
      <c r="C17" s="106" t="s">
        <v>2337</v>
      </c>
      <c r="F17" s="248" t="s">
        <v>2342</v>
      </c>
    </row>
    <row r="18" spans="1:6" ht="15" customHeight="1" x14ac:dyDescent="0.2">
      <c r="A18" s="106" t="s">
        <v>948</v>
      </c>
      <c r="B18" s="288" t="s">
        <v>2324</v>
      </c>
      <c r="C18" s="106" t="s">
        <v>2337</v>
      </c>
      <c r="F18" s="248" t="s">
        <v>2343</v>
      </c>
    </row>
    <row r="19" spans="1:6" ht="15" customHeight="1" x14ac:dyDescent="0.2">
      <c r="A19" s="106" t="s">
        <v>949</v>
      </c>
      <c r="B19" s="288" t="s">
        <v>2324</v>
      </c>
      <c r="C19" s="106" t="s">
        <v>2337</v>
      </c>
      <c r="F19" s="248" t="s">
        <v>2344</v>
      </c>
    </row>
    <row r="20" spans="1:6" ht="15" customHeight="1" x14ac:dyDescent="0.2">
      <c r="A20" s="106" t="s">
        <v>950</v>
      </c>
      <c r="B20" s="288" t="s">
        <v>2324</v>
      </c>
      <c r="C20" s="106" t="s">
        <v>2337</v>
      </c>
      <c r="F20" s="248" t="s">
        <v>2345</v>
      </c>
    </row>
    <row r="21" spans="1:6" ht="15" customHeight="1" x14ac:dyDescent="0.2">
      <c r="A21" s="106" t="s">
        <v>951</v>
      </c>
      <c r="B21" s="288" t="s">
        <v>2324</v>
      </c>
      <c r="C21" s="106" t="s">
        <v>2337</v>
      </c>
      <c r="F21" s="248" t="s">
        <v>2346</v>
      </c>
    </row>
    <row r="22" spans="1:6" ht="15" customHeight="1" x14ac:dyDescent="0.2">
      <c r="A22" s="106" t="s">
        <v>952</v>
      </c>
      <c r="B22" s="288" t="s">
        <v>2324</v>
      </c>
      <c r="C22" s="106" t="s">
        <v>2337</v>
      </c>
      <c r="F22" s="248" t="s">
        <v>2347</v>
      </c>
    </row>
    <row r="23" spans="1:6" ht="15" customHeight="1" x14ac:dyDescent="0.2">
      <c r="A23" s="106" t="s">
        <v>722</v>
      </c>
      <c r="B23" s="288" t="s">
        <v>2348</v>
      </c>
      <c r="C23" s="106" t="s">
        <v>2349</v>
      </c>
      <c r="D23" s="812">
        <v>40</v>
      </c>
      <c r="E23" s="812">
        <v>75</v>
      </c>
      <c r="F23" s="248" t="s">
        <v>2350</v>
      </c>
    </row>
    <row r="24" spans="1:6" ht="15" customHeight="1" x14ac:dyDescent="0.2">
      <c r="A24" s="106" t="s">
        <v>956</v>
      </c>
      <c r="B24" s="288" t="s">
        <v>2348</v>
      </c>
      <c r="C24" s="106" t="s">
        <v>2349</v>
      </c>
      <c r="D24" s="812">
        <v>20</v>
      </c>
      <c r="E24" s="812">
        <v>45</v>
      </c>
      <c r="F24" s="248" t="s">
        <v>2351</v>
      </c>
    </row>
    <row r="25" spans="1:6" ht="15" customHeight="1" x14ac:dyDescent="0.2">
      <c r="A25" s="106" t="s">
        <v>308</v>
      </c>
      <c r="B25" s="288" t="s">
        <v>2348</v>
      </c>
      <c r="C25" s="106" t="s">
        <v>2349</v>
      </c>
      <c r="D25" s="812">
        <v>3</v>
      </c>
      <c r="E25" s="812">
        <v>8</v>
      </c>
      <c r="F25" s="248" t="s">
        <v>2352</v>
      </c>
    </row>
    <row r="26" spans="1:6" ht="15" customHeight="1" x14ac:dyDescent="0.2">
      <c r="A26" s="106" t="s">
        <v>957</v>
      </c>
      <c r="B26" s="288" t="s">
        <v>2348</v>
      </c>
      <c r="C26" s="106" t="s">
        <v>2349</v>
      </c>
      <c r="D26" s="812">
        <v>3</v>
      </c>
      <c r="E26" s="812">
        <v>10</v>
      </c>
      <c r="F26" s="248" t="s">
        <v>2353</v>
      </c>
    </row>
    <row r="27" spans="1:6" ht="15" customHeight="1" x14ac:dyDescent="0.2">
      <c r="A27" s="106" t="s">
        <v>725</v>
      </c>
      <c r="B27" s="288" t="s">
        <v>2348</v>
      </c>
      <c r="C27" s="106" t="s">
        <v>2354</v>
      </c>
      <c r="D27" s="812">
        <v>15</v>
      </c>
      <c r="E27" s="812">
        <v>35</v>
      </c>
      <c r="F27" s="248" t="s">
        <v>2355</v>
      </c>
    </row>
    <row r="28" spans="1:6" ht="15" customHeight="1" x14ac:dyDescent="0.2">
      <c r="A28" s="106" t="s">
        <v>958</v>
      </c>
      <c r="B28" s="288" t="s">
        <v>2348</v>
      </c>
      <c r="C28" s="106" t="s">
        <v>2356</v>
      </c>
      <c r="D28" s="812">
        <v>90</v>
      </c>
      <c r="E28" s="812">
        <v>140</v>
      </c>
      <c r="F28" s="248" t="s">
        <v>2357</v>
      </c>
    </row>
    <row r="29" spans="1:6" ht="15" customHeight="1" x14ac:dyDescent="0.2">
      <c r="A29" s="106" t="s">
        <v>701</v>
      </c>
      <c r="B29" s="288" t="s">
        <v>2348</v>
      </c>
      <c r="C29" s="106" t="s">
        <v>2358</v>
      </c>
      <c r="D29" s="812">
        <v>60</v>
      </c>
      <c r="E29" s="812">
        <v>85</v>
      </c>
      <c r="F29" s="248" t="s">
        <v>2359</v>
      </c>
    </row>
    <row r="30" spans="1:6" ht="15" customHeight="1" x14ac:dyDescent="0.2">
      <c r="A30" s="106" t="s">
        <v>959</v>
      </c>
      <c r="B30" s="288" t="s">
        <v>2348</v>
      </c>
      <c r="C30" s="106" t="s">
        <v>2358</v>
      </c>
      <c r="D30" s="812">
        <v>40</v>
      </c>
      <c r="E30" s="812">
        <v>60</v>
      </c>
      <c r="F30" s="248" t="s">
        <v>2360</v>
      </c>
    </row>
    <row r="31" spans="1:6" ht="15" customHeight="1" x14ac:dyDescent="0.2">
      <c r="A31" s="106" t="s">
        <v>960</v>
      </c>
      <c r="B31" s="288" t="s">
        <v>2348</v>
      </c>
      <c r="C31" s="106" t="s">
        <v>2358</v>
      </c>
      <c r="D31" s="812">
        <v>5</v>
      </c>
      <c r="E31" s="812">
        <v>15</v>
      </c>
      <c r="F31" s="248" t="s">
        <v>2361</v>
      </c>
    </row>
    <row r="32" spans="1:6" ht="15" customHeight="1" x14ac:dyDescent="0.2">
      <c r="A32" s="106" t="s">
        <v>710</v>
      </c>
      <c r="B32" s="288" t="s">
        <v>2348</v>
      </c>
      <c r="C32" s="106" t="s">
        <v>2362</v>
      </c>
      <c r="D32" s="812">
        <v>50</v>
      </c>
      <c r="E32" s="812">
        <v>80</v>
      </c>
      <c r="F32" s="248" t="s">
        <v>2363</v>
      </c>
    </row>
    <row r="33" spans="1:6" ht="15" customHeight="1" x14ac:dyDescent="0.2">
      <c r="A33" s="106" t="s">
        <v>714</v>
      </c>
      <c r="B33" s="288" t="s">
        <v>2348</v>
      </c>
      <c r="C33" s="106" t="s">
        <v>2362</v>
      </c>
      <c r="D33" s="812">
        <v>50</v>
      </c>
      <c r="E33" s="812">
        <v>90</v>
      </c>
      <c r="F33" s="248" t="s">
        <v>2364</v>
      </c>
    </row>
    <row r="34" spans="1:6" ht="15" customHeight="1" x14ac:dyDescent="0.2">
      <c r="A34" s="106" t="s">
        <v>961</v>
      </c>
      <c r="B34" s="288" t="s">
        <v>2348</v>
      </c>
      <c r="C34" s="106" t="s">
        <v>2365</v>
      </c>
      <c r="D34" s="812">
        <v>8</v>
      </c>
      <c r="E34" s="812">
        <v>18</v>
      </c>
      <c r="F34" s="248" t="s">
        <v>2366</v>
      </c>
    </row>
    <row r="35" spans="1:6" ht="15" customHeight="1" x14ac:dyDescent="0.2">
      <c r="A35" s="106" t="s">
        <v>962</v>
      </c>
      <c r="B35" s="288" t="s">
        <v>2348</v>
      </c>
      <c r="C35" s="106" t="s">
        <v>2365</v>
      </c>
      <c r="D35" s="812">
        <v>0</v>
      </c>
      <c r="E35" s="812">
        <v>15</v>
      </c>
      <c r="F35" s="248" t="s">
        <v>2367</v>
      </c>
    </row>
    <row r="36" spans="1:6" ht="15" customHeight="1" x14ac:dyDescent="0.2">
      <c r="A36" s="106" t="s">
        <v>963</v>
      </c>
      <c r="B36" s="288" t="s">
        <v>2348</v>
      </c>
      <c r="C36" s="106" t="s">
        <v>2365</v>
      </c>
      <c r="D36" s="812">
        <v>35</v>
      </c>
      <c r="E36" s="812">
        <v>70</v>
      </c>
      <c r="F36" s="248" t="s">
        <v>2368</v>
      </c>
    </row>
    <row r="37" spans="1:6" ht="15" customHeight="1" x14ac:dyDescent="0.2">
      <c r="A37" s="106" t="s">
        <v>964</v>
      </c>
      <c r="B37" s="288" t="s">
        <v>2348</v>
      </c>
      <c r="C37" s="106" t="s">
        <v>2365</v>
      </c>
      <c r="D37" s="812">
        <v>8</v>
      </c>
      <c r="E37" s="812">
        <v>16</v>
      </c>
      <c r="F37" s="248" t="s">
        <v>2369</v>
      </c>
    </row>
    <row r="38" spans="1:6" ht="15" customHeight="1" x14ac:dyDescent="0.2">
      <c r="A38" s="106" t="s">
        <v>965</v>
      </c>
      <c r="B38" s="288" t="s">
        <v>2348</v>
      </c>
      <c r="C38" s="106" t="s">
        <v>2365</v>
      </c>
      <c r="D38" s="812">
        <v>2</v>
      </c>
      <c r="E38" s="812">
        <v>8</v>
      </c>
      <c r="F38" s="248" t="s">
        <v>2370</v>
      </c>
    </row>
    <row r="39" spans="1:6" ht="15" customHeight="1" x14ac:dyDescent="0.2">
      <c r="A39" s="106" t="s">
        <v>966</v>
      </c>
      <c r="B39" s="288" t="s">
        <v>2348</v>
      </c>
      <c r="C39" s="106" t="s">
        <v>2371</v>
      </c>
      <c r="D39" s="812">
        <v>25</v>
      </c>
      <c r="E39" s="812">
        <v>50</v>
      </c>
      <c r="F39" s="248" t="s">
        <v>2372</v>
      </c>
    </row>
    <row r="40" spans="1:6" ht="15" customHeight="1" x14ac:dyDescent="0.2">
      <c r="A40" s="106" t="s">
        <v>724</v>
      </c>
      <c r="B40" s="288" t="s">
        <v>2348</v>
      </c>
      <c r="C40" s="106" t="s">
        <v>2373</v>
      </c>
      <c r="F40" s="248"/>
    </row>
    <row r="41" spans="1:6" ht="15" customHeight="1" x14ac:dyDescent="0.2">
      <c r="A41" s="106" t="s">
        <v>953</v>
      </c>
      <c r="B41" s="288" t="s">
        <v>2324</v>
      </c>
      <c r="C41" s="106" t="s">
        <v>2337</v>
      </c>
      <c r="F41" s="248"/>
    </row>
    <row r="42" spans="1:6" ht="15" customHeight="1" x14ac:dyDescent="0.2">
      <c r="A42" s="106" t="s">
        <v>2374</v>
      </c>
      <c r="B42" s="288" t="s">
        <v>2324</v>
      </c>
      <c r="C42" s="106" t="s">
        <v>2337</v>
      </c>
      <c r="F42" s="248"/>
    </row>
    <row r="43" spans="1:6" ht="15" customHeight="1" x14ac:dyDescent="0.2">
      <c r="A43" s="106" t="s">
        <v>2375</v>
      </c>
      <c r="B43" s="288" t="s">
        <v>2324</v>
      </c>
      <c r="C43" s="106" t="s">
        <v>2337</v>
      </c>
      <c r="F43" s="248"/>
    </row>
    <row r="44" spans="1:6" ht="15" customHeight="1" x14ac:dyDescent="0.2">
      <c r="A44" s="106" t="s">
        <v>2376</v>
      </c>
      <c r="B44" s="288" t="s">
        <v>2324</v>
      </c>
      <c r="C44" s="106" t="s">
        <v>2337</v>
      </c>
      <c r="F44" s="248"/>
    </row>
    <row r="45" spans="1:6" ht="15" customHeight="1" x14ac:dyDescent="0.2">
      <c r="A45" s="106" t="s">
        <v>2377</v>
      </c>
      <c r="B45" s="288" t="s">
        <v>2324</v>
      </c>
      <c r="C45" s="106" t="s">
        <v>2337</v>
      </c>
      <c r="F45" s="248"/>
    </row>
    <row r="46" spans="1:6" ht="15" customHeight="1" x14ac:dyDescent="0.2">
      <c r="A46" s="106" t="s">
        <v>2378</v>
      </c>
      <c r="B46" s="288" t="s">
        <v>2324</v>
      </c>
      <c r="C46" s="106" t="s">
        <v>2337</v>
      </c>
      <c r="F46" s="248"/>
    </row>
    <row r="47" spans="1:6" ht="15" customHeight="1" x14ac:dyDescent="0.2">
      <c r="A47" s="106" t="s">
        <v>2379</v>
      </c>
      <c r="B47" s="288" t="s">
        <v>2324</v>
      </c>
      <c r="C47" s="106" t="s">
        <v>2337</v>
      </c>
      <c r="F47" s="248"/>
    </row>
    <row r="48" spans="1:6" ht="15" customHeight="1" x14ac:dyDescent="0.2">
      <c r="A48" s="106" t="s">
        <v>2380</v>
      </c>
      <c r="B48" s="288" t="s">
        <v>2324</v>
      </c>
      <c r="C48" s="106" t="s">
        <v>2337</v>
      </c>
      <c r="F48" s="248"/>
    </row>
    <row r="49" spans="1:6" ht="15" customHeight="1" x14ac:dyDescent="0.2">
      <c r="A49" s="106" t="s">
        <v>324</v>
      </c>
      <c r="B49" s="288" t="s">
        <v>2324</v>
      </c>
      <c r="C49" s="106" t="s">
        <v>2337</v>
      </c>
      <c r="F49" s="248"/>
    </row>
    <row r="50" spans="1:6" ht="15" customHeight="1" x14ac:dyDescent="0.2">
      <c r="A50" s="106" t="s">
        <v>323</v>
      </c>
      <c r="B50" s="288" t="s">
        <v>2324</v>
      </c>
      <c r="C50" s="106" t="s">
        <v>2337</v>
      </c>
      <c r="F50" s="248"/>
    </row>
    <row r="51" spans="1:6" ht="15" customHeight="1" x14ac:dyDescent="0.2">
      <c r="A51" s="106" t="s">
        <v>325</v>
      </c>
      <c r="B51" s="288" t="s">
        <v>2324</v>
      </c>
      <c r="C51" s="106" t="s">
        <v>2337</v>
      </c>
      <c r="F51" s="248"/>
    </row>
    <row r="52" spans="1:6" ht="15" customHeight="1" x14ac:dyDescent="0.2">
      <c r="A52" s="106" t="s">
        <v>1430</v>
      </c>
      <c r="B52" s="288" t="s">
        <v>2324</v>
      </c>
      <c r="C52" s="106" t="s">
        <v>2337</v>
      </c>
      <c r="F52" s="248"/>
    </row>
    <row r="53" spans="1:6" ht="15" customHeight="1" x14ac:dyDescent="0.2">
      <c r="A53" s="106" t="s">
        <v>336</v>
      </c>
      <c r="B53" s="288" t="s">
        <v>2324</v>
      </c>
      <c r="C53" s="106" t="s">
        <v>2337</v>
      </c>
      <c r="F53" s="248"/>
    </row>
    <row r="54" spans="1:6" ht="15" customHeight="1" x14ac:dyDescent="0.2">
      <c r="A54" s="106" t="s">
        <v>2381</v>
      </c>
      <c r="B54" s="288"/>
      <c r="C54" s="106"/>
      <c r="F54" s="248"/>
    </row>
    <row r="55" spans="1:6" ht="15" customHeight="1" x14ac:dyDescent="0.2">
      <c r="A55" s="106" t="s">
        <v>2382</v>
      </c>
      <c r="B55" s="288"/>
      <c r="C55" s="106" t="s">
        <v>2383</v>
      </c>
      <c r="F55" s="248" t="s">
        <v>2384</v>
      </c>
    </row>
    <row r="56" spans="1:6" ht="15" customHeight="1" x14ac:dyDescent="0.2">
      <c r="A56" s="106" t="s">
        <v>2385</v>
      </c>
      <c r="B56" s="288"/>
      <c r="C56" s="106" t="s">
        <v>2386</v>
      </c>
      <c r="F56" s="248" t="s">
        <v>2387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Cover</vt:lpstr>
      <vt:lpstr>Dashboard</vt:lpstr>
      <vt:lpstr>Inputs</vt:lpstr>
      <vt:lpstr>Prop Info</vt:lpstr>
      <vt:lpstr>Data Refresh</vt:lpstr>
      <vt:lpstr>Data Checklist</vt:lpstr>
      <vt:lpstr>Scenarios</vt:lpstr>
      <vt:lpstr>Acquisition Costs</vt:lpstr>
      <vt:lpstr>T-12 Analysis</vt:lpstr>
      <vt:lpstr>Recapture &amp; Upside</vt:lpstr>
      <vt:lpstr>Rent Roll Analysis</vt:lpstr>
      <vt:lpstr>P&amp;L</vt:lpstr>
      <vt:lpstr>Lease-Up &amp; Capital Call</vt:lpstr>
      <vt:lpstr>Loans</vt:lpstr>
      <vt:lpstr>Rental Comps</vt:lpstr>
      <vt:lpstr>Capex</vt:lpstr>
      <vt:lpstr>Payroll</vt:lpstr>
      <vt:lpstr>Waterfall</vt:lpstr>
      <vt:lpstr>Exit Strategy</vt:lpstr>
      <vt:lpstr>XIRR Analysis</vt:lpstr>
      <vt:lpstr>Sensitivity</vt:lpstr>
      <vt:lpstr>LP Return Illustration</vt:lpstr>
      <vt:lpstr>Portfolio Rollup</vt:lpstr>
      <vt:lpstr>_StdCOA</vt:lpstr>
      <vt:lpstr>EGI</vt:lpstr>
      <vt:lpstr>StdBuckets</vt:lpstr>
      <vt:lpstr>Total_Payroll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Hidden Lakes Multifamily UW Model</dc:title>
  <dc:subject>Acquisition Underwriting</dc:subject>
  <dc:creator>MF Model Build</dc:creator>
  <cp:keywords>v2026.05.07_1521 multifamily underwriting Hidden Lakes rent roll v3</cp:keywords>
  <dc:description>v2026.05.13_1919 — Fixed HL Scenarios C38 (was =B38) and C40 (was hardcoded 0.15). Both now match SW and TP: C38=smart-source, C40=physical vacancy from RR.</dc:description>
  <cp:lastModifiedBy>Erik J</cp:lastModifiedBy>
  <cp:revision>10</cp:revision>
  <dcterms:created xsi:type="dcterms:W3CDTF">2026-03-25T21:57:35Z</dcterms:created>
  <dcterms:modified xsi:type="dcterms:W3CDTF">2026-06-20T22:33:39Z</dcterms:modified>
  <dc:language>en-US</dc:language>
</cp:coreProperties>
</file>