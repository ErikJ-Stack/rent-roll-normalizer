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jqaud1c2a4gqhh8ajiflt1bewfl-my.sharepoint.com/personal/erik_jlequitiescap_com/Documents/Deals/Acquisition/_Template/ALF Templates/"/>
    </mc:Choice>
  </mc:AlternateContent>
  <xr:revisionPtr revIDLastSave="19" documentId="11_68A9D9DBAE72238D09682327B566C8BD6A1956C9" xr6:coauthVersionLast="47" xr6:coauthVersionMax="47" xr10:uidLastSave="{50EFAA08-7305-4CEB-8F70-445A328A69D2}"/>
  <bookViews>
    <workbookView xWindow="25590" yWindow="15" windowWidth="25590" windowHeight="20970" tabRatio="894" activeTab="7" xr2:uid="{00000000-000D-0000-FFFF-FFFF00000000}"/>
  </bookViews>
  <sheets>
    <sheet name="Cover" sheetId="1" r:id="rId1"/>
    <sheet name="Prop Info" sheetId="2" r:id="rId2"/>
    <sheet name="Scenarios" sheetId="3" r:id="rId3"/>
    <sheet name="P&amp;L" sheetId="4" r:id="rId4"/>
    <sheet name="T-12 Analysis" sheetId="5" r:id="rId5"/>
    <sheet name="Acquisition Costs" sheetId="6" r:id="rId6"/>
    <sheet name="Staffing Matrix" sheetId="7" r:id="rId7"/>
    <sheet name="Rent Roll Analysis" sheetId="8" r:id="rId8"/>
    <sheet name="Rental Comps" sheetId="9" r:id="rId9"/>
    <sheet name="Capex" sheetId="10" r:id="rId10"/>
    <sheet name="Exit Strategy" sheetId="11" r:id="rId11"/>
    <sheet name="Waterfall" sheetId="12" r:id="rId12"/>
    <sheet name="LP Return Illustration" sheetId="13" r:id="rId13"/>
    <sheet name="Sensitivity" sheetId="14" r:id="rId14"/>
    <sheet name="XIRR Analysis" sheetId="15" r:id="rId15"/>
    <sheet name="Loans" sheetId="16" r:id="rId16"/>
  </sheets>
  <definedNames>
    <definedName name="Beds">'Prop Info'!$B$15</definedName>
    <definedName name="EGI">Scenarios!$F$50</definedName>
    <definedName name="Total_LPA_Equity">Scenarios!$F$33</definedName>
    <definedName name="Total_Payroll">'Staffing Matrix'!$M$67</definedName>
    <definedName name="Units">Scenarios!$B$8</definedName>
  </definedName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6" l="1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I5" i="15"/>
  <c r="G4" i="15"/>
  <c r="A34" i="14"/>
  <c r="A33" i="14"/>
  <c r="A32" i="14"/>
  <c r="A31" i="14"/>
  <c r="A30" i="14"/>
  <c r="A29" i="14"/>
  <c r="A28" i="14"/>
  <c r="A27" i="14"/>
  <c r="I26" i="14"/>
  <c r="H26" i="14"/>
  <c r="G26" i="14"/>
  <c r="F26" i="14"/>
  <c r="E26" i="14"/>
  <c r="D26" i="14"/>
  <c r="C26" i="14"/>
  <c r="B26" i="14"/>
  <c r="A23" i="14"/>
  <c r="A22" i="14"/>
  <c r="A21" i="14"/>
  <c r="A20" i="14"/>
  <c r="A19" i="14"/>
  <c r="A18" i="14"/>
  <c r="A17" i="14"/>
  <c r="H16" i="14"/>
  <c r="G16" i="14"/>
  <c r="F16" i="14"/>
  <c r="E16" i="14"/>
  <c r="D16" i="14"/>
  <c r="C16" i="14"/>
  <c r="B16" i="14"/>
  <c r="A13" i="14"/>
  <c r="A12" i="14"/>
  <c r="A11" i="14"/>
  <c r="A10" i="14"/>
  <c r="A9" i="14"/>
  <c r="A8" i="14"/>
  <c r="A7" i="14"/>
  <c r="A6" i="14"/>
  <c r="H5" i="14"/>
  <c r="G5" i="14"/>
  <c r="F5" i="14"/>
  <c r="E5" i="14"/>
  <c r="D5" i="14"/>
  <c r="C5" i="14"/>
  <c r="B5" i="14"/>
  <c r="L117" i="12"/>
  <c r="K117" i="12"/>
  <c r="J117" i="12"/>
  <c r="I117" i="12"/>
  <c r="H117" i="12"/>
  <c r="G117" i="12"/>
  <c r="F117" i="12"/>
  <c r="E117" i="12"/>
  <c r="D117" i="12"/>
  <c r="C117" i="12"/>
  <c r="B117" i="12"/>
  <c r="N76" i="12"/>
  <c r="L76" i="12"/>
  <c r="K76" i="12"/>
  <c r="J76" i="12"/>
  <c r="I76" i="12"/>
  <c r="H76" i="12"/>
  <c r="G76" i="12"/>
  <c r="F76" i="12"/>
  <c r="E76" i="12"/>
  <c r="D76" i="12"/>
  <c r="C76" i="12"/>
  <c r="B22" i="12"/>
  <c r="B19" i="12"/>
  <c r="P12" i="12"/>
  <c r="P11" i="12"/>
  <c r="C15" i="11"/>
  <c r="C8" i="11"/>
  <c r="C6" i="11"/>
  <c r="A4" i="11"/>
  <c r="D53" i="10"/>
  <c r="D52" i="10"/>
  <c r="D44" i="10"/>
  <c r="D43" i="10"/>
  <c r="D42" i="10"/>
  <c r="D41" i="10"/>
  <c r="D45" i="10" s="1"/>
  <c r="D37" i="10"/>
  <c r="D36" i="10"/>
  <c r="D35" i="10"/>
  <c r="D34" i="10"/>
  <c r="D33" i="10"/>
  <c r="D32" i="10"/>
  <c r="D28" i="10"/>
  <c r="D27" i="10"/>
  <c r="D26" i="10"/>
  <c r="D25" i="10"/>
  <c r="D24" i="10"/>
  <c r="D23" i="10"/>
  <c r="D19" i="10"/>
  <c r="D18" i="10"/>
  <c r="D17" i="10"/>
  <c r="D16" i="10"/>
  <c r="D15" i="10"/>
  <c r="D20" i="10" s="1"/>
  <c r="D14" i="10"/>
  <c r="D10" i="10"/>
  <c r="D9" i="10"/>
  <c r="D8" i="10"/>
  <c r="D7" i="10"/>
  <c r="D6" i="10"/>
  <c r="D5" i="10"/>
  <c r="I53" i="9"/>
  <c r="G53" i="9"/>
  <c r="F53" i="9"/>
  <c r="F54" i="9" s="1"/>
  <c r="K52" i="9"/>
  <c r="H52" i="9"/>
  <c r="K51" i="9"/>
  <c r="H51" i="9"/>
  <c r="K50" i="9"/>
  <c r="H50" i="9"/>
  <c r="K49" i="9"/>
  <c r="H49" i="9"/>
  <c r="K48" i="9"/>
  <c r="H48" i="9"/>
  <c r="K47" i="9"/>
  <c r="H47" i="9"/>
  <c r="K46" i="9"/>
  <c r="H46" i="9"/>
  <c r="K45" i="9"/>
  <c r="H45" i="9"/>
  <c r="K44" i="9"/>
  <c r="H44" i="9"/>
  <c r="K43" i="9"/>
  <c r="H43" i="9"/>
  <c r="K42" i="9"/>
  <c r="H42" i="9"/>
  <c r="K41" i="9"/>
  <c r="H41" i="9"/>
  <c r="H53" i="9" s="1"/>
  <c r="F37" i="9"/>
  <c r="I36" i="9"/>
  <c r="G36" i="9"/>
  <c r="F36" i="9"/>
  <c r="K35" i="9"/>
  <c r="H35" i="9"/>
  <c r="K34" i="9"/>
  <c r="H34" i="9"/>
  <c r="K33" i="9"/>
  <c r="H33" i="9"/>
  <c r="K32" i="9"/>
  <c r="H32" i="9"/>
  <c r="K31" i="9"/>
  <c r="H31" i="9"/>
  <c r="K30" i="9"/>
  <c r="H30" i="9"/>
  <c r="K29" i="9"/>
  <c r="H29" i="9"/>
  <c r="K28" i="9"/>
  <c r="H28" i="9"/>
  <c r="K27" i="9"/>
  <c r="H27" i="9"/>
  <c r="S26" i="9" a="1"/>
  <c r="S26" i="9" s="1"/>
  <c r="R26" i="9"/>
  <c r="Q26" i="9" a="1"/>
  <c r="Q26" i="9"/>
  <c r="K26" i="9"/>
  <c r="H26" i="9"/>
  <c r="U25" i="9"/>
  <c r="T25" i="9"/>
  <c r="K25" i="9"/>
  <c r="H25" i="9"/>
  <c r="K24" i="9"/>
  <c r="H24" i="9"/>
  <c r="U23" i="9"/>
  <c r="T23" i="9"/>
  <c r="U22" i="9"/>
  <c r="T22" i="9"/>
  <c r="U20" i="9"/>
  <c r="T20" i="9"/>
  <c r="F20" i="9"/>
  <c r="U19" i="9"/>
  <c r="T19" i="9"/>
  <c r="T26" i="9" s="1"/>
  <c r="U26" i="9" s="1"/>
  <c r="I19" i="9"/>
  <c r="G19" i="9"/>
  <c r="F19" i="9"/>
  <c r="K18" i="9"/>
  <c r="H18" i="9"/>
  <c r="K17" i="9"/>
  <c r="H17" i="9"/>
  <c r="K16" i="9"/>
  <c r="H16" i="9"/>
  <c r="K15" i="9"/>
  <c r="H15" i="9"/>
  <c r="Q14" i="9"/>
  <c r="K14" i="9"/>
  <c r="H14" i="9"/>
  <c r="Q13" i="9"/>
  <c r="K13" i="9"/>
  <c r="H13" i="9"/>
  <c r="K12" i="9"/>
  <c r="H12" i="9"/>
  <c r="Q11" i="9"/>
  <c r="K11" i="9"/>
  <c r="H11" i="9"/>
  <c r="Q10" i="9"/>
  <c r="K10" i="9"/>
  <c r="H10" i="9"/>
  <c r="Q9" i="9"/>
  <c r="K9" i="9"/>
  <c r="H9" i="9"/>
  <c r="K8" i="9"/>
  <c r="H8" i="9"/>
  <c r="Q7" i="9"/>
  <c r="K7" i="9"/>
  <c r="H7" i="9"/>
  <c r="Q6" i="9"/>
  <c r="Q5" i="9"/>
  <c r="H3" i="9"/>
  <c r="G3" i="9"/>
  <c r="F3" i="9"/>
  <c r="E3" i="9"/>
  <c r="AV623" i="8"/>
  <c r="AT623" i="8" a="1"/>
  <c r="AT623" i="8" s="1"/>
  <c r="AU623" i="8" s="1"/>
  <c r="AP623" i="8"/>
  <c r="AB623" i="8"/>
  <c r="AA623" i="8"/>
  <c r="Y623" i="8"/>
  <c r="X623" i="8"/>
  <c r="V623" i="8"/>
  <c r="W623" i="8" s="1"/>
  <c r="L623" i="8"/>
  <c r="K623" i="8"/>
  <c r="AV622" i="8"/>
  <c r="AT622" i="8" a="1"/>
  <c r="AT622" i="8"/>
  <c r="AU622" i="8" s="1"/>
  <c r="AP622" i="8"/>
  <c r="AB622" i="8"/>
  <c r="AA622" i="8"/>
  <c r="Y622" i="8"/>
  <c r="X622" i="8"/>
  <c r="W622" i="8"/>
  <c r="V622" i="8"/>
  <c r="L622" i="8"/>
  <c r="K622" i="8"/>
  <c r="AV621" i="8"/>
  <c r="AT621" i="8" a="1"/>
  <c r="AT621" i="8"/>
  <c r="AU621" i="8" s="1"/>
  <c r="AP621" i="8"/>
  <c r="AB621" i="8"/>
  <c r="AA621" i="8"/>
  <c r="Y621" i="8"/>
  <c r="X621" i="8"/>
  <c r="V621" i="8"/>
  <c r="W621" i="8" s="1"/>
  <c r="L621" i="8"/>
  <c r="K621" i="8"/>
  <c r="AV620" i="8"/>
  <c r="AT620" i="8" a="1"/>
  <c r="AT620" i="8" s="1"/>
  <c r="AU620" i="8" s="1"/>
  <c r="AP620" i="8"/>
  <c r="AB620" i="8"/>
  <c r="AA620" i="8"/>
  <c r="Y620" i="8"/>
  <c r="X620" i="8"/>
  <c r="V620" i="8"/>
  <c r="W620" i="8" s="1"/>
  <c r="L620" i="8"/>
  <c r="K620" i="8"/>
  <c r="AV619" i="8"/>
  <c r="AU619" i="8"/>
  <c r="AT619" i="8" a="1"/>
  <c r="AT619" i="8"/>
  <c r="AP619" i="8"/>
  <c r="AB619" i="8"/>
  <c r="AA619" i="8"/>
  <c r="Y619" i="8"/>
  <c r="X619" i="8"/>
  <c r="V619" i="8"/>
  <c r="W619" i="8" s="1"/>
  <c r="L619" i="8"/>
  <c r="K619" i="8"/>
  <c r="AV618" i="8"/>
  <c r="AT618" i="8" a="1"/>
  <c r="AT618" i="8"/>
  <c r="AU618" i="8" s="1"/>
  <c r="AP618" i="8"/>
  <c r="AB618" i="8"/>
  <c r="AA618" i="8"/>
  <c r="Y618" i="8"/>
  <c r="X618" i="8"/>
  <c r="W618" i="8"/>
  <c r="V618" i="8"/>
  <c r="L618" i="8"/>
  <c r="K618" i="8"/>
  <c r="AV617" i="8"/>
  <c r="AU617" i="8"/>
  <c r="AT617" i="8" a="1"/>
  <c r="AT617" i="8"/>
  <c r="AP617" i="8"/>
  <c r="AB617" i="8"/>
  <c r="AA617" i="8"/>
  <c r="Y617" i="8"/>
  <c r="X617" i="8"/>
  <c r="W617" i="8"/>
  <c r="V617" i="8"/>
  <c r="L617" i="8"/>
  <c r="K617" i="8"/>
  <c r="AV616" i="8"/>
  <c r="AT616" i="8" a="1"/>
  <c r="AT616" i="8"/>
  <c r="AU616" i="8" s="1"/>
  <c r="AP616" i="8"/>
  <c r="AB616" i="8"/>
  <c r="AA616" i="8"/>
  <c r="Y616" i="8"/>
  <c r="X616" i="8"/>
  <c r="V616" i="8"/>
  <c r="W616" i="8" s="1"/>
  <c r="L616" i="8"/>
  <c r="K616" i="8"/>
  <c r="AV615" i="8"/>
  <c r="AT615" i="8" a="1"/>
  <c r="AT615" i="8" s="1"/>
  <c r="AU615" i="8" s="1"/>
  <c r="AP615" i="8"/>
  <c r="AB615" i="8"/>
  <c r="AA615" i="8"/>
  <c r="Y615" i="8"/>
  <c r="X615" i="8"/>
  <c r="W615" i="8"/>
  <c r="V615" i="8"/>
  <c r="L615" i="8"/>
  <c r="K615" i="8"/>
  <c r="AV614" i="8"/>
  <c r="AT614" i="8" a="1"/>
  <c r="AT614" i="8" s="1"/>
  <c r="AU614" i="8" s="1"/>
  <c r="AP614" i="8"/>
  <c r="AB614" i="8"/>
  <c r="AA614" i="8"/>
  <c r="Y614" i="8"/>
  <c r="X614" i="8"/>
  <c r="V614" i="8"/>
  <c r="W614" i="8" s="1"/>
  <c r="L614" i="8"/>
  <c r="K614" i="8"/>
  <c r="AV613" i="8"/>
  <c r="AT613" i="8" a="1"/>
  <c r="AT613" i="8"/>
  <c r="AU613" i="8" s="1"/>
  <c r="AP613" i="8"/>
  <c r="AB613" i="8"/>
  <c r="AA613" i="8"/>
  <c r="Y613" i="8"/>
  <c r="X613" i="8"/>
  <c r="V613" i="8"/>
  <c r="W613" i="8" s="1"/>
  <c r="L613" i="8"/>
  <c r="K613" i="8"/>
  <c r="AV612" i="8"/>
  <c r="AT612" i="8" a="1"/>
  <c r="AT612" i="8" s="1"/>
  <c r="AU612" i="8" s="1"/>
  <c r="AP612" i="8"/>
  <c r="AB612" i="8"/>
  <c r="AA612" i="8"/>
  <c r="Y612" i="8"/>
  <c r="X612" i="8"/>
  <c r="W612" i="8"/>
  <c r="V612" i="8"/>
  <c r="L612" i="8"/>
  <c r="K612" i="8"/>
  <c r="AV611" i="8"/>
  <c r="AT611" i="8" a="1"/>
  <c r="AT611" i="8"/>
  <c r="AU611" i="8" s="1"/>
  <c r="AP611" i="8"/>
  <c r="AB611" i="8"/>
  <c r="AA611" i="8"/>
  <c r="Y611" i="8"/>
  <c r="X611" i="8"/>
  <c r="W611" i="8"/>
  <c r="V611" i="8"/>
  <c r="L611" i="8"/>
  <c r="K611" i="8"/>
  <c r="AV610" i="8"/>
  <c r="AT610" i="8" a="1"/>
  <c r="AT610" i="8"/>
  <c r="AU610" i="8" s="1"/>
  <c r="AP610" i="8"/>
  <c r="AB610" i="8"/>
  <c r="AA610" i="8"/>
  <c r="Y610" i="8"/>
  <c r="X610" i="8"/>
  <c r="V610" i="8"/>
  <c r="W610" i="8" s="1"/>
  <c r="L610" i="8"/>
  <c r="K610" i="8"/>
  <c r="AV609" i="8"/>
  <c r="AT609" i="8" a="1"/>
  <c r="AT609" i="8" s="1"/>
  <c r="AU609" i="8" s="1"/>
  <c r="AP609" i="8"/>
  <c r="AB609" i="8"/>
  <c r="AA609" i="8"/>
  <c r="Y609" i="8"/>
  <c r="X609" i="8"/>
  <c r="W609" i="8"/>
  <c r="V609" i="8"/>
  <c r="L609" i="8"/>
  <c r="K609" i="8"/>
  <c r="AV608" i="8"/>
  <c r="AT608" i="8" a="1"/>
  <c r="AT608" i="8" s="1"/>
  <c r="AU608" i="8" s="1"/>
  <c r="AP608" i="8"/>
  <c r="AB608" i="8"/>
  <c r="AA608" i="8"/>
  <c r="Y608" i="8"/>
  <c r="X608" i="8"/>
  <c r="W608" i="8"/>
  <c r="V608" i="8"/>
  <c r="L608" i="8"/>
  <c r="K608" i="8"/>
  <c r="AV607" i="8"/>
  <c r="AT607" i="8" a="1"/>
  <c r="AT607" i="8" s="1"/>
  <c r="AU607" i="8" s="1"/>
  <c r="AP607" i="8"/>
  <c r="AB607" i="8"/>
  <c r="AA607" i="8"/>
  <c r="Y607" i="8"/>
  <c r="X607" i="8"/>
  <c r="W607" i="8"/>
  <c r="V607" i="8"/>
  <c r="L607" i="8"/>
  <c r="K607" i="8"/>
  <c r="AV606" i="8"/>
  <c r="AT606" i="8" a="1"/>
  <c r="AT606" i="8" s="1"/>
  <c r="AU606" i="8" s="1"/>
  <c r="AP606" i="8"/>
  <c r="AB606" i="8"/>
  <c r="AA606" i="8"/>
  <c r="Y606" i="8"/>
  <c r="X606" i="8"/>
  <c r="V606" i="8"/>
  <c r="W606" i="8" s="1"/>
  <c r="L606" i="8"/>
  <c r="K606" i="8"/>
  <c r="AV605" i="8"/>
  <c r="AT605" i="8" a="1"/>
  <c r="AT605" i="8" s="1"/>
  <c r="AU605" i="8" s="1"/>
  <c r="AP605" i="8"/>
  <c r="AB605" i="8"/>
  <c r="AA605" i="8"/>
  <c r="Y605" i="8"/>
  <c r="X605" i="8"/>
  <c r="W605" i="8"/>
  <c r="V605" i="8"/>
  <c r="L605" i="8"/>
  <c r="K605" i="8"/>
  <c r="AV604" i="8"/>
  <c r="AT604" i="8" a="1"/>
  <c r="AT604" i="8" s="1"/>
  <c r="AU604" i="8" s="1"/>
  <c r="AP604" i="8"/>
  <c r="AB604" i="8"/>
  <c r="AA604" i="8"/>
  <c r="Y604" i="8"/>
  <c r="X604" i="8"/>
  <c r="V604" i="8"/>
  <c r="W604" i="8" s="1"/>
  <c r="L604" i="8"/>
  <c r="K604" i="8"/>
  <c r="AV603" i="8"/>
  <c r="AU603" i="8"/>
  <c r="AT603" i="8" a="1"/>
  <c r="AT603" i="8" s="1"/>
  <c r="AP603" i="8"/>
  <c r="AB603" i="8"/>
  <c r="AA603" i="8"/>
  <c r="Y603" i="8"/>
  <c r="X603" i="8"/>
  <c r="W603" i="8"/>
  <c r="V603" i="8"/>
  <c r="L603" i="8"/>
  <c r="K603" i="8"/>
  <c r="AV602" i="8"/>
  <c r="AT602" i="8" a="1"/>
  <c r="AT602" i="8" s="1"/>
  <c r="AU602" i="8" s="1"/>
  <c r="AP602" i="8"/>
  <c r="AB602" i="8"/>
  <c r="AA602" i="8"/>
  <c r="Y602" i="8"/>
  <c r="X602" i="8"/>
  <c r="V602" i="8"/>
  <c r="W602" i="8" s="1"/>
  <c r="L602" i="8"/>
  <c r="K602" i="8"/>
  <c r="AV601" i="8"/>
  <c r="AT601" i="8" a="1"/>
  <c r="AT601" i="8"/>
  <c r="AU601" i="8" s="1"/>
  <c r="AP601" i="8"/>
  <c r="AB601" i="8"/>
  <c r="AA601" i="8"/>
  <c r="Y601" i="8"/>
  <c r="X601" i="8"/>
  <c r="V601" i="8"/>
  <c r="W601" i="8" s="1"/>
  <c r="L601" i="8"/>
  <c r="K601" i="8"/>
  <c r="AV600" i="8"/>
  <c r="AU600" i="8"/>
  <c r="AT600" i="8" a="1"/>
  <c r="AT600" i="8" s="1"/>
  <c r="AP600" i="8"/>
  <c r="AB600" i="8"/>
  <c r="AA600" i="8"/>
  <c r="Y600" i="8"/>
  <c r="X600" i="8"/>
  <c r="V600" i="8"/>
  <c r="W600" i="8" s="1"/>
  <c r="L600" i="8"/>
  <c r="K600" i="8"/>
  <c r="AV599" i="8"/>
  <c r="AT599" i="8" a="1"/>
  <c r="AT599" i="8"/>
  <c r="AU599" i="8" s="1"/>
  <c r="AP599" i="8"/>
  <c r="AB599" i="8"/>
  <c r="AA599" i="8"/>
  <c r="Y599" i="8"/>
  <c r="X599" i="8"/>
  <c r="V599" i="8"/>
  <c r="W599" i="8" s="1"/>
  <c r="L599" i="8"/>
  <c r="K599" i="8"/>
  <c r="AV598" i="8"/>
  <c r="AU598" i="8"/>
  <c r="AT598" i="8" a="1"/>
  <c r="AT598" i="8"/>
  <c r="AP598" i="8"/>
  <c r="AB598" i="8"/>
  <c r="AA598" i="8"/>
  <c r="Y598" i="8"/>
  <c r="X598" i="8"/>
  <c r="V598" i="8"/>
  <c r="W598" i="8" s="1"/>
  <c r="L598" i="8"/>
  <c r="K598" i="8"/>
  <c r="AV597" i="8"/>
  <c r="AT597" i="8" a="1"/>
  <c r="AT597" i="8"/>
  <c r="AU597" i="8" s="1"/>
  <c r="AP597" i="8"/>
  <c r="AB597" i="8"/>
  <c r="AA597" i="8"/>
  <c r="Y597" i="8"/>
  <c r="X597" i="8"/>
  <c r="V597" i="8"/>
  <c r="W597" i="8" s="1"/>
  <c r="L597" i="8"/>
  <c r="K597" i="8"/>
  <c r="AV596" i="8"/>
  <c r="AT596" i="8" a="1"/>
  <c r="AT596" i="8" s="1"/>
  <c r="AU596" i="8" s="1"/>
  <c r="AP596" i="8"/>
  <c r="AB596" i="8"/>
  <c r="AA596" i="8"/>
  <c r="Y596" i="8"/>
  <c r="X596" i="8"/>
  <c r="V596" i="8"/>
  <c r="W596" i="8" s="1"/>
  <c r="L596" i="8"/>
  <c r="K596" i="8"/>
  <c r="AV595" i="8"/>
  <c r="AT595" i="8" a="1"/>
  <c r="AT595" i="8"/>
  <c r="AU595" i="8" s="1"/>
  <c r="AP595" i="8"/>
  <c r="AB595" i="8"/>
  <c r="AA595" i="8"/>
  <c r="Y595" i="8"/>
  <c r="X595" i="8"/>
  <c r="W595" i="8"/>
  <c r="V595" i="8"/>
  <c r="L595" i="8"/>
  <c r="K595" i="8"/>
  <c r="AV594" i="8"/>
  <c r="AT594" i="8" a="1"/>
  <c r="AT594" i="8" s="1"/>
  <c r="AU594" i="8" s="1"/>
  <c r="AP594" i="8"/>
  <c r="AB594" i="8"/>
  <c r="AA594" i="8"/>
  <c r="Y594" i="8"/>
  <c r="X594" i="8"/>
  <c r="V594" i="8"/>
  <c r="W594" i="8" s="1"/>
  <c r="L594" i="8"/>
  <c r="K594" i="8"/>
  <c r="AV593" i="8"/>
  <c r="AT593" i="8" a="1"/>
  <c r="AT593" i="8"/>
  <c r="AU593" i="8" s="1"/>
  <c r="AP593" i="8"/>
  <c r="AB593" i="8"/>
  <c r="AA593" i="8"/>
  <c r="Y593" i="8"/>
  <c r="X593" i="8"/>
  <c r="V593" i="8"/>
  <c r="W593" i="8" s="1"/>
  <c r="L593" i="8"/>
  <c r="K593" i="8"/>
  <c r="AV592" i="8"/>
  <c r="AT592" i="8" a="1"/>
  <c r="AT592" i="8"/>
  <c r="AU592" i="8" s="1"/>
  <c r="AP592" i="8"/>
  <c r="AB592" i="8"/>
  <c r="AA592" i="8"/>
  <c r="Y592" i="8"/>
  <c r="X592" i="8"/>
  <c r="W592" i="8"/>
  <c r="V592" i="8"/>
  <c r="L592" i="8"/>
  <c r="K592" i="8"/>
  <c r="AV591" i="8"/>
  <c r="AT591" i="8" a="1"/>
  <c r="AT591" i="8" s="1"/>
  <c r="AU591" i="8" s="1"/>
  <c r="AP591" i="8"/>
  <c r="AB591" i="8"/>
  <c r="AA591" i="8"/>
  <c r="Y591" i="8"/>
  <c r="X591" i="8"/>
  <c r="W591" i="8"/>
  <c r="V591" i="8"/>
  <c r="L591" i="8"/>
  <c r="K591" i="8"/>
  <c r="AV590" i="8"/>
  <c r="AT590" i="8" a="1"/>
  <c r="AT590" i="8" s="1"/>
  <c r="AU590" i="8" s="1"/>
  <c r="AP590" i="8"/>
  <c r="AB590" i="8"/>
  <c r="AA590" i="8"/>
  <c r="Y590" i="8"/>
  <c r="X590" i="8"/>
  <c r="V590" i="8"/>
  <c r="W590" i="8" s="1"/>
  <c r="L590" i="8"/>
  <c r="K590" i="8"/>
  <c r="AV589" i="8"/>
  <c r="AU589" i="8"/>
  <c r="AT589" i="8" a="1"/>
  <c r="AT589" i="8"/>
  <c r="AP589" i="8"/>
  <c r="AB589" i="8"/>
  <c r="AA589" i="8"/>
  <c r="Y589" i="8"/>
  <c r="X589" i="8"/>
  <c r="W589" i="8"/>
  <c r="V589" i="8"/>
  <c r="L589" i="8"/>
  <c r="K589" i="8"/>
  <c r="AV588" i="8"/>
  <c r="AT588" i="8" a="1"/>
  <c r="AT588" i="8"/>
  <c r="AU588" i="8" s="1"/>
  <c r="AP588" i="8"/>
  <c r="AB588" i="8"/>
  <c r="AA588" i="8"/>
  <c r="Y588" i="8"/>
  <c r="X588" i="8"/>
  <c r="W588" i="8"/>
  <c r="V588" i="8"/>
  <c r="L588" i="8"/>
  <c r="K588" i="8"/>
  <c r="AV587" i="8"/>
  <c r="AT587" i="8" a="1"/>
  <c r="AT587" i="8"/>
  <c r="AU587" i="8" s="1"/>
  <c r="AP587" i="8"/>
  <c r="AB587" i="8"/>
  <c r="AA587" i="8"/>
  <c r="Y587" i="8"/>
  <c r="X587" i="8"/>
  <c r="V587" i="8"/>
  <c r="W587" i="8" s="1"/>
  <c r="L587" i="8"/>
  <c r="K587" i="8"/>
  <c r="AV586" i="8"/>
  <c r="AT586" i="8" a="1"/>
  <c r="AT586" i="8"/>
  <c r="AU586" i="8" s="1"/>
  <c r="AP586" i="8"/>
  <c r="AB586" i="8"/>
  <c r="AA586" i="8"/>
  <c r="Y586" i="8"/>
  <c r="X586" i="8"/>
  <c r="W586" i="8"/>
  <c r="V586" i="8"/>
  <c r="L586" i="8"/>
  <c r="K586" i="8"/>
  <c r="AV585" i="8"/>
  <c r="AT585" i="8" a="1"/>
  <c r="AT585" i="8" s="1"/>
  <c r="AU585" i="8" s="1"/>
  <c r="AP585" i="8"/>
  <c r="AB585" i="8"/>
  <c r="AA585" i="8"/>
  <c r="Y585" i="8"/>
  <c r="X585" i="8"/>
  <c r="V585" i="8"/>
  <c r="W585" i="8" s="1"/>
  <c r="L585" i="8"/>
  <c r="K585" i="8"/>
  <c r="AV584" i="8"/>
  <c r="AT584" i="8" a="1"/>
  <c r="AT584" i="8"/>
  <c r="AU584" i="8" s="1"/>
  <c r="AP584" i="8"/>
  <c r="AB584" i="8"/>
  <c r="AA584" i="8"/>
  <c r="Y584" i="8"/>
  <c r="X584" i="8"/>
  <c r="W584" i="8"/>
  <c r="V584" i="8"/>
  <c r="L584" i="8"/>
  <c r="K584" i="8"/>
  <c r="AV583" i="8"/>
  <c r="AT583" i="8" a="1"/>
  <c r="AT583" i="8" s="1"/>
  <c r="AU583" i="8" s="1"/>
  <c r="AP583" i="8"/>
  <c r="AB583" i="8"/>
  <c r="AA583" i="8"/>
  <c r="Y583" i="8"/>
  <c r="X583" i="8"/>
  <c r="V583" i="8"/>
  <c r="W583" i="8" s="1"/>
  <c r="L583" i="8"/>
  <c r="K583" i="8"/>
  <c r="AV582" i="8"/>
  <c r="AT582" i="8" a="1"/>
  <c r="AT582" i="8"/>
  <c r="AU582" i="8" s="1"/>
  <c r="AP582" i="8"/>
  <c r="AB582" i="8"/>
  <c r="AA582" i="8"/>
  <c r="Y582" i="8"/>
  <c r="X582" i="8"/>
  <c r="W582" i="8"/>
  <c r="V582" i="8"/>
  <c r="L582" i="8"/>
  <c r="K582" i="8"/>
  <c r="AV581" i="8"/>
  <c r="AT581" i="8" a="1"/>
  <c r="AT581" i="8" s="1"/>
  <c r="AU581" i="8" s="1"/>
  <c r="AP581" i="8"/>
  <c r="AB581" i="8"/>
  <c r="AA581" i="8"/>
  <c r="Y581" i="8"/>
  <c r="X581" i="8"/>
  <c r="W581" i="8"/>
  <c r="V581" i="8"/>
  <c r="L581" i="8"/>
  <c r="K581" i="8"/>
  <c r="AV580" i="8"/>
  <c r="AU580" i="8"/>
  <c r="AT580" i="8" a="1"/>
  <c r="AT580" i="8"/>
  <c r="AP580" i="8"/>
  <c r="AB580" i="8"/>
  <c r="AA580" i="8"/>
  <c r="Y580" i="8"/>
  <c r="X580" i="8"/>
  <c r="W580" i="8"/>
  <c r="V580" i="8"/>
  <c r="L580" i="8"/>
  <c r="K580" i="8"/>
  <c r="AV579" i="8"/>
  <c r="AT579" i="8" a="1"/>
  <c r="AT579" i="8" s="1"/>
  <c r="AU579" i="8" s="1"/>
  <c r="AP579" i="8"/>
  <c r="AB579" i="8"/>
  <c r="AA579" i="8"/>
  <c r="Y579" i="8"/>
  <c r="X579" i="8"/>
  <c r="V579" i="8"/>
  <c r="W579" i="8" s="1"/>
  <c r="L579" i="8"/>
  <c r="K579" i="8"/>
  <c r="AV578" i="8"/>
  <c r="AT578" i="8" a="1"/>
  <c r="AT578" i="8" s="1"/>
  <c r="AU578" i="8" s="1"/>
  <c r="AP578" i="8"/>
  <c r="AB578" i="8"/>
  <c r="AA578" i="8"/>
  <c r="Y578" i="8"/>
  <c r="X578" i="8"/>
  <c r="V578" i="8"/>
  <c r="W578" i="8" s="1"/>
  <c r="L578" i="8"/>
  <c r="K578" i="8"/>
  <c r="AV577" i="8"/>
  <c r="AT577" i="8" a="1"/>
  <c r="AT577" i="8" s="1"/>
  <c r="AU577" i="8" s="1"/>
  <c r="AP577" i="8"/>
  <c r="AB577" i="8"/>
  <c r="AA577" i="8"/>
  <c r="Y577" i="8"/>
  <c r="X577" i="8"/>
  <c r="W577" i="8"/>
  <c r="V577" i="8"/>
  <c r="L577" i="8"/>
  <c r="K577" i="8"/>
  <c r="AV576" i="8"/>
  <c r="AU576" i="8"/>
  <c r="AT576" i="8" a="1"/>
  <c r="AT576" i="8"/>
  <c r="AP576" i="8"/>
  <c r="AB576" i="8"/>
  <c r="AA576" i="8"/>
  <c r="Y576" i="8"/>
  <c r="X576" i="8"/>
  <c r="W576" i="8"/>
  <c r="V576" i="8"/>
  <c r="L576" i="8"/>
  <c r="K576" i="8"/>
  <c r="AV575" i="8"/>
  <c r="AT575" i="8" a="1"/>
  <c r="AT575" i="8"/>
  <c r="AU575" i="8" s="1"/>
  <c r="AP575" i="8"/>
  <c r="AB575" i="8"/>
  <c r="AA575" i="8"/>
  <c r="Y575" i="8"/>
  <c r="X575" i="8"/>
  <c r="W575" i="8"/>
  <c r="V575" i="8"/>
  <c r="L575" i="8"/>
  <c r="K575" i="8"/>
  <c r="AV574" i="8"/>
  <c r="AU574" i="8"/>
  <c r="AT574" i="8" a="1"/>
  <c r="AT574" i="8" s="1"/>
  <c r="AP574" i="8"/>
  <c r="AB574" i="8"/>
  <c r="AA574" i="8"/>
  <c r="Y574" i="8"/>
  <c r="X574" i="8"/>
  <c r="W574" i="8"/>
  <c r="V574" i="8"/>
  <c r="L574" i="8"/>
  <c r="K574" i="8"/>
  <c r="AV573" i="8"/>
  <c r="AU573" i="8"/>
  <c r="AT573" i="8" a="1"/>
  <c r="AT573" i="8" s="1"/>
  <c r="AP573" i="8"/>
  <c r="AB573" i="8"/>
  <c r="AA573" i="8"/>
  <c r="Y573" i="8"/>
  <c r="X573" i="8"/>
  <c r="V573" i="8"/>
  <c r="W573" i="8" s="1"/>
  <c r="L573" i="8"/>
  <c r="K573" i="8"/>
  <c r="AV572" i="8"/>
  <c r="AT572" i="8" a="1"/>
  <c r="AT572" i="8"/>
  <c r="AU572" i="8" s="1"/>
  <c r="AP572" i="8"/>
  <c r="AB572" i="8"/>
  <c r="AA572" i="8"/>
  <c r="Y572" i="8"/>
  <c r="X572" i="8"/>
  <c r="V572" i="8"/>
  <c r="W572" i="8" s="1"/>
  <c r="L572" i="8"/>
  <c r="K572" i="8"/>
  <c r="AV571" i="8"/>
  <c r="AU571" i="8"/>
  <c r="AT571" i="8" a="1"/>
  <c r="AT571" i="8" s="1"/>
  <c r="AP571" i="8"/>
  <c r="AB571" i="8"/>
  <c r="AA571" i="8"/>
  <c r="Y571" i="8"/>
  <c r="X571" i="8"/>
  <c r="W571" i="8"/>
  <c r="V571" i="8"/>
  <c r="L571" i="8"/>
  <c r="K571" i="8"/>
  <c r="AV570" i="8"/>
  <c r="AT570" i="8" a="1"/>
  <c r="AT570" i="8" s="1"/>
  <c r="AU570" i="8" s="1"/>
  <c r="AP570" i="8"/>
  <c r="AB570" i="8"/>
  <c r="AA570" i="8"/>
  <c r="Y570" i="8"/>
  <c r="X570" i="8"/>
  <c r="V570" i="8"/>
  <c r="W570" i="8" s="1"/>
  <c r="L570" i="8"/>
  <c r="K570" i="8"/>
  <c r="AV569" i="8"/>
  <c r="AU569" i="8"/>
  <c r="AT569" i="8" a="1"/>
  <c r="AT569" i="8"/>
  <c r="AP569" i="8"/>
  <c r="AB569" i="8"/>
  <c r="AA569" i="8"/>
  <c r="Y569" i="8"/>
  <c r="X569" i="8"/>
  <c r="V569" i="8"/>
  <c r="W569" i="8" s="1"/>
  <c r="L569" i="8"/>
  <c r="K569" i="8"/>
  <c r="AV568" i="8"/>
  <c r="AU568" i="8"/>
  <c r="AT568" i="8" a="1"/>
  <c r="AT568" i="8" s="1"/>
  <c r="AP568" i="8"/>
  <c r="AB568" i="8"/>
  <c r="AA568" i="8"/>
  <c r="Y568" i="8"/>
  <c r="X568" i="8"/>
  <c r="V568" i="8"/>
  <c r="W568" i="8" s="1"/>
  <c r="L568" i="8"/>
  <c r="K568" i="8"/>
  <c r="AV567" i="8"/>
  <c r="AT567" i="8" a="1"/>
  <c r="AT567" i="8" s="1"/>
  <c r="AU567" i="8" s="1"/>
  <c r="AP567" i="8"/>
  <c r="AB567" i="8"/>
  <c r="AA567" i="8"/>
  <c r="Y567" i="8"/>
  <c r="X567" i="8"/>
  <c r="V567" i="8"/>
  <c r="W567" i="8" s="1"/>
  <c r="L567" i="8"/>
  <c r="K567" i="8"/>
  <c r="AV566" i="8"/>
  <c r="AU566" i="8"/>
  <c r="AT566" i="8" a="1"/>
  <c r="AT566" i="8"/>
  <c r="AP566" i="8"/>
  <c r="AB566" i="8"/>
  <c r="AA566" i="8"/>
  <c r="Y566" i="8"/>
  <c r="X566" i="8"/>
  <c r="V566" i="8"/>
  <c r="W566" i="8" s="1"/>
  <c r="L566" i="8"/>
  <c r="K566" i="8"/>
  <c r="AV565" i="8"/>
  <c r="AT565" i="8" a="1"/>
  <c r="AT565" i="8"/>
  <c r="AU565" i="8" s="1"/>
  <c r="AP565" i="8"/>
  <c r="AB565" i="8"/>
  <c r="AA565" i="8"/>
  <c r="Y565" i="8"/>
  <c r="X565" i="8"/>
  <c r="W565" i="8"/>
  <c r="V565" i="8"/>
  <c r="L565" i="8"/>
  <c r="K565" i="8"/>
  <c r="AV564" i="8"/>
  <c r="AT564" i="8" a="1"/>
  <c r="AT564" i="8" s="1"/>
  <c r="AU564" i="8" s="1"/>
  <c r="AP564" i="8"/>
  <c r="AB564" i="8"/>
  <c r="AA564" i="8"/>
  <c r="Y564" i="8"/>
  <c r="X564" i="8"/>
  <c r="V564" i="8"/>
  <c r="W564" i="8" s="1"/>
  <c r="L564" i="8"/>
  <c r="K564" i="8"/>
  <c r="AV563" i="8"/>
  <c r="AT563" i="8" a="1"/>
  <c r="AT563" i="8"/>
  <c r="AU563" i="8" s="1"/>
  <c r="AP563" i="8"/>
  <c r="AB563" i="8"/>
  <c r="AA563" i="8"/>
  <c r="Y563" i="8"/>
  <c r="X563" i="8"/>
  <c r="W563" i="8"/>
  <c r="V563" i="8"/>
  <c r="L563" i="8"/>
  <c r="K563" i="8"/>
  <c r="AV562" i="8"/>
  <c r="AU562" i="8"/>
  <c r="AT562" i="8" a="1"/>
  <c r="AT562" i="8"/>
  <c r="AP562" i="8"/>
  <c r="AB562" i="8"/>
  <c r="AA562" i="8"/>
  <c r="Y562" i="8"/>
  <c r="X562" i="8"/>
  <c r="W562" i="8"/>
  <c r="V562" i="8"/>
  <c r="L562" i="8"/>
  <c r="K562" i="8"/>
  <c r="AV561" i="8"/>
  <c r="AT561" i="8" a="1"/>
  <c r="AT561" i="8"/>
  <c r="AU561" i="8" s="1"/>
  <c r="AP561" i="8"/>
  <c r="AB561" i="8"/>
  <c r="AA561" i="8"/>
  <c r="Y561" i="8"/>
  <c r="X561" i="8"/>
  <c r="W561" i="8"/>
  <c r="V561" i="8"/>
  <c r="L561" i="8"/>
  <c r="K561" i="8"/>
  <c r="AV560" i="8"/>
  <c r="AT560" i="8" a="1"/>
  <c r="AT560" i="8" s="1"/>
  <c r="AU560" i="8" s="1"/>
  <c r="AP560" i="8"/>
  <c r="AB560" i="8"/>
  <c r="AA560" i="8"/>
  <c r="Y560" i="8"/>
  <c r="X560" i="8"/>
  <c r="V560" i="8"/>
  <c r="W560" i="8" s="1"/>
  <c r="L560" i="8"/>
  <c r="K560" i="8"/>
  <c r="AV559" i="8"/>
  <c r="AT559" i="8" a="1"/>
  <c r="AT559" i="8"/>
  <c r="AU559" i="8" s="1"/>
  <c r="AP559" i="8"/>
  <c r="AB559" i="8"/>
  <c r="AA559" i="8"/>
  <c r="Y559" i="8"/>
  <c r="X559" i="8"/>
  <c r="W559" i="8"/>
  <c r="V559" i="8"/>
  <c r="L559" i="8"/>
  <c r="K559" i="8"/>
  <c r="AV558" i="8"/>
  <c r="AT558" i="8" a="1"/>
  <c r="AT558" i="8"/>
  <c r="AU558" i="8" s="1"/>
  <c r="AP558" i="8"/>
  <c r="AB558" i="8"/>
  <c r="AA558" i="8"/>
  <c r="Y558" i="8"/>
  <c r="X558" i="8"/>
  <c r="W558" i="8"/>
  <c r="V558" i="8"/>
  <c r="L558" i="8"/>
  <c r="K558" i="8"/>
  <c r="AV557" i="8"/>
  <c r="AT557" i="8" a="1"/>
  <c r="AT557" i="8" s="1"/>
  <c r="AU557" i="8" s="1"/>
  <c r="AP557" i="8"/>
  <c r="AB557" i="8"/>
  <c r="AA557" i="8"/>
  <c r="Y557" i="8"/>
  <c r="X557" i="8"/>
  <c r="V557" i="8"/>
  <c r="W557" i="8" s="1"/>
  <c r="L557" i="8"/>
  <c r="K557" i="8"/>
  <c r="AV556" i="8"/>
  <c r="AT556" i="8" a="1"/>
  <c r="AT556" i="8"/>
  <c r="AU556" i="8" s="1"/>
  <c r="AP556" i="8"/>
  <c r="AB556" i="8"/>
  <c r="AA556" i="8"/>
  <c r="Y556" i="8"/>
  <c r="X556" i="8"/>
  <c r="W556" i="8"/>
  <c r="V556" i="8"/>
  <c r="L556" i="8"/>
  <c r="K556" i="8"/>
  <c r="AV555" i="8"/>
  <c r="AT555" i="8" a="1"/>
  <c r="AT555" i="8" s="1"/>
  <c r="AU555" i="8" s="1"/>
  <c r="AP555" i="8"/>
  <c r="AB555" i="8"/>
  <c r="AA555" i="8"/>
  <c r="Y555" i="8"/>
  <c r="X555" i="8"/>
  <c r="V555" i="8"/>
  <c r="W555" i="8" s="1"/>
  <c r="L555" i="8"/>
  <c r="K555" i="8"/>
  <c r="AV554" i="8"/>
  <c r="AT554" i="8" a="1"/>
  <c r="AT554" i="8"/>
  <c r="AU554" i="8" s="1"/>
  <c r="AP554" i="8"/>
  <c r="AB554" i="8"/>
  <c r="AA554" i="8"/>
  <c r="Y554" i="8"/>
  <c r="X554" i="8"/>
  <c r="W554" i="8"/>
  <c r="V554" i="8"/>
  <c r="L554" i="8"/>
  <c r="K554" i="8"/>
  <c r="AV553" i="8"/>
  <c r="AT553" i="8" a="1"/>
  <c r="AT553" i="8" s="1"/>
  <c r="AU553" i="8" s="1"/>
  <c r="AP553" i="8"/>
  <c r="AB553" i="8"/>
  <c r="AA553" i="8"/>
  <c r="Y553" i="8"/>
  <c r="X553" i="8"/>
  <c r="W553" i="8"/>
  <c r="V553" i="8"/>
  <c r="L553" i="8"/>
  <c r="K553" i="8"/>
  <c r="AV552" i="8"/>
  <c r="AU552" i="8"/>
  <c r="AT552" i="8" a="1"/>
  <c r="AT552" i="8"/>
  <c r="AP552" i="8"/>
  <c r="AB552" i="8"/>
  <c r="AA552" i="8"/>
  <c r="Y552" i="8"/>
  <c r="X552" i="8"/>
  <c r="W552" i="8"/>
  <c r="V552" i="8"/>
  <c r="L552" i="8"/>
  <c r="K552" i="8"/>
  <c r="AV551" i="8"/>
  <c r="AT551" i="8" a="1"/>
  <c r="AT551" i="8" s="1"/>
  <c r="AU551" i="8" s="1"/>
  <c r="AP551" i="8"/>
  <c r="AB551" i="8"/>
  <c r="AA551" i="8"/>
  <c r="Y551" i="8"/>
  <c r="X551" i="8"/>
  <c r="V551" i="8"/>
  <c r="W551" i="8" s="1"/>
  <c r="L551" i="8"/>
  <c r="K551" i="8"/>
  <c r="AV550" i="8"/>
  <c r="AT550" i="8" a="1"/>
  <c r="AT550" i="8" s="1"/>
  <c r="AU550" i="8" s="1"/>
  <c r="AP550" i="8"/>
  <c r="AB550" i="8"/>
  <c r="AA550" i="8"/>
  <c r="Y550" i="8"/>
  <c r="X550" i="8"/>
  <c r="V550" i="8"/>
  <c r="W550" i="8" s="1"/>
  <c r="L550" i="8"/>
  <c r="K550" i="8"/>
  <c r="AV549" i="8"/>
  <c r="AT549" i="8" a="1"/>
  <c r="AT549" i="8" s="1"/>
  <c r="AU549" i="8" s="1"/>
  <c r="AP549" i="8"/>
  <c r="AB549" i="8"/>
  <c r="AA549" i="8"/>
  <c r="Y549" i="8"/>
  <c r="X549" i="8"/>
  <c r="V549" i="8"/>
  <c r="W549" i="8" s="1"/>
  <c r="L549" i="8"/>
  <c r="K549" i="8"/>
  <c r="AV548" i="8"/>
  <c r="AU548" i="8"/>
  <c r="AT548" i="8" a="1"/>
  <c r="AT548" i="8"/>
  <c r="AP548" i="8"/>
  <c r="AB548" i="8"/>
  <c r="AA548" i="8"/>
  <c r="Y548" i="8"/>
  <c r="X548" i="8"/>
  <c r="V548" i="8"/>
  <c r="W548" i="8" s="1"/>
  <c r="L548" i="8"/>
  <c r="K548" i="8"/>
  <c r="AV547" i="8"/>
  <c r="AT547" i="8" a="1"/>
  <c r="AT547" i="8"/>
  <c r="AU547" i="8" s="1"/>
  <c r="AP547" i="8"/>
  <c r="AB547" i="8"/>
  <c r="AA547" i="8"/>
  <c r="Y547" i="8"/>
  <c r="X547" i="8"/>
  <c r="W547" i="8"/>
  <c r="V547" i="8"/>
  <c r="L547" i="8"/>
  <c r="K547" i="8"/>
  <c r="AV546" i="8"/>
  <c r="AU546" i="8"/>
  <c r="AT546" i="8" a="1"/>
  <c r="AT546" i="8"/>
  <c r="AP546" i="8"/>
  <c r="AB546" i="8"/>
  <c r="AA546" i="8"/>
  <c r="Y546" i="8"/>
  <c r="X546" i="8"/>
  <c r="W546" i="8"/>
  <c r="V546" i="8"/>
  <c r="L546" i="8"/>
  <c r="K546" i="8"/>
  <c r="AV545" i="8"/>
  <c r="AU545" i="8"/>
  <c r="AT545" i="8" a="1"/>
  <c r="AT545" i="8"/>
  <c r="AP545" i="8"/>
  <c r="AB545" i="8"/>
  <c r="AA545" i="8"/>
  <c r="Y545" i="8"/>
  <c r="X545" i="8"/>
  <c r="W545" i="8"/>
  <c r="V545" i="8"/>
  <c r="L545" i="8"/>
  <c r="K545" i="8"/>
  <c r="AV544" i="8"/>
  <c r="AT544" i="8" a="1"/>
  <c r="AT544" i="8" s="1"/>
  <c r="AU544" i="8" s="1"/>
  <c r="AP544" i="8"/>
  <c r="AB544" i="8"/>
  <c r="AA544" i="8"/>
  <c r="Y544" i="8"/>
  <c r="X544" i="8"/>
  <c r="W544" i="8"/>
  <c r="V544" i="8"/>
  <c r="L544" i="8"/>
  <c r="K544" i="8"/>
  <c r="AV543" i="8"/>
  <c r="AT543" i="8" a="1"/>
  <c r="AT543" i="8" s="1"/>
  <c r="AU543" i="8" s="1"/>
  <c r="AP543" i="8"/>
  <c r="AB543" i="8"/>
  <c r="AA543" i="8"/>
  <c r="Y543" i="8"/>
  <c r="X543" i="8"/>
  <c r="V543" i="8"/>
  <c r="W543" i="8" s="1"/>
  <c r="L543" i="8"/>
  <c r="K543" i="8"/>
  <c r="AV542" i="8"/>
  <c r="AT542" i="8" a="1"/>
  <c r="AT542" i="8" s="1"/>
  <c r="AU542" i="8" s="1"/>
  <c r="AP542" i="8"/>
  <c r="AB542" i="8"/>
  <c r="AA542" i="8"/>
  <c r="Y542" i="8"/>
  <c r="X542" i="8"/>
  <c r="W542" i="8"/>
  <c r="V542" i="8"/>
  <c r="L542" i="8"/>
  <c r="K542" i="8"/>
  <c r="AV541" i="8"/>
  <c r="AU541" i="8"/>
  <c r="AT541" i="8" a="1"/>
  <c r="AT541" i="8" s="1"/>
  <c r="AP541" i="8"/>
  <c r="AB541" i="8"/>
  <c r="AA541" i="8"/>
  <c r="Y541" i="8"/>
  <c r="X541" i="8"/>
  <c r="V541" i="8"/>
  <c r="W541" i="8" s="1"/>
  <c r="L541" i="8"/>
  <c r="K541" i="8"/>
  <c r="AV540" i="8"/>
  <c r="AT540" i="8" a="1"/>
  <c r="AT540" i="8" s="1"/>
  <c r="AU540" i="8" s="1"/>
  <c r="AP540" i="8"/>
  <c r="AB540" i="8"/>
  <c r="AA540" i="8"/>
  <c r="Y540" i="8"/>
  <c r="X540" i="8"/>
  <c r="V540" i="8"/>
  <c r="W540" i="8" s="1"/>
  <c r="L540" i="8"/>
  <c r="K540" i="8"/>
  <c r="AV539" i="8"/>
  <c r="AT539" i="8" a="1"/>
  <c r="AT539" i="8" s="1"/>
  <c r="AU539" i="8" s="1"/>
  <c r="AP539" i="8"/>
  <c r="AB539" i="8"/>
  <c r="AA539" i="8"/>
  <c r="Y539" i="8"/>
  <c r="X539" i="8"/>
  <c r="W539" i="8"/>
  <c r="V539" i="8"/>
  <c r="L539" i="8"/>
  <c r="K539" i="8"/>
  <c r="AV538" i="8"/>
  <c r="AT538" i="8" a="1"/>
  <c r="AT538" i="8"/>
  <c r="AU538" i="8" s="1"/>
  <c r="AP538" i="8"/>
  <c r="AB538" i="8"/>
  <c r="AA538" i="8"/>
  <c r="Y538" i="8"/>
  <c r="X538" i="8"/>
  <c r="W538" i="8"/>
  <c r="V538" i="8"/>
  <c r="L538" i="8"/>
  <c r="K538" i="8"/>
  <c r="AV537" i="8"/>
  <c r="AU537" i="8"/>
  <c r="AT537" i="8" a="1"/>
  <c r="AT537" i="8"/>
  <c r="AP537" i="8"/>
  <c r="AB537" i="8"/>
  <c r="AA537" i="8"/>
  <c r="Y537" i="8"/>
  <c r="X537" i="8"/>
  <c r="V537" i="8"/>
  <c r="W537" i="8" s="1"/>
  <c r="L537" i="8"/>
  <c r="K537" i="8"/>
  <c r="AV536" i="8"/>
  <c r="AT536" i="8" a="1"/>
  <c r="AT536" i="8" s="1"/>
  <c r="AU536" i="8" s="1"/>
  <c r="AP536" i="8"/>
  <c r="AB536" i="8"/>
  <c r="AA536" i="8"/>
  <c r="Y536" i="8"/>
  <c r="X536" i="8"/>
  <c r="W536" i="8"/>
  <c r="V536" i="8"/>
  <c r="L536" i="8"/>
  <c r="K536" i="8"/>
  <c r="AV535" i="8"/>
  <c r="AU535" i="8"/>
  <c r="AT535" i="8" a="1"/>
  <c r="AT535" i="8"/>
  <c r="AP535" i="8"/>
  <c r="AB535" i="8"/>
  <c r="AA535" i="8"/>
  <c r="Y535" i="8"/>
  <c r="X535" i="8"/>
  <c r="W535" i="8"/>
  <c r="V535" i="8"/>
  <c r="L535" i="8"/>
  <c r="K535" i="8"/>
  <c r="AV534" i="8"/>
  <c r="AU534" i="8"/>
  <c r="AT534" i="8" a="1"/>
  <c r="AT534" i="8"/>
  <c r="AP534" i="8"/>
  <c r="AB534" i="8"/>
  <c r="AA534" i="8"/>
  <c r="Y534" i="8"/>
  <c r="X534" i="8"/>
  <c r="V534" i="8"/>
  <c r="W534" i="8" s="1"/>
  <c r="L534" i="8"/>
  <c r="K534" i="8"/>
  <c r="AV533" i="8"/>
  <c r="AT533" i="8" a="1"/>
  <c r="AT533" i="8"/>
  <c r="AU533" i="8" s="1"/>
  <c r="AP533" i="8"/>
  <c r="AB533" i="8"/>
  <c r="AA533" i="8"/>
  <c r="Y533" i="8"/>
  <c r="X533" i="8"/>
  <c r="V533" i="8"/>
  <c r="W533" i="8" s="1"/>
  <c r="L533" i="8"/>
  <c r="K533" i="8"/>
  <c r="AV532" i="8"/>
  <c r="AT532" i="8" a="1"/>
  <c r="AT532" i="8"/>
  <c r="AU532" i="8" s="1"/>
  <c r="AP532" i="8"/>
  <c r="AB532" i="8"/>
  <c r="AA532" i="8"/>
  <c r="Y532" i="8"/>
  <c r="X532" i="8"/>
  <c r="W532" i="8"/>
  <c r="V532" i="8"/>
  <c r="L532" i="8"/>
  <c r="K532" i="8"/>
  <c r="AV531" i="8"/>
  <c r="AT531" i="8" a="1"/>
  <c r="AT531" i="8"/>
  <c r="AU531" i="8" s="1"/>
  <c r="AP531" i="8"/>
  <c r="AB531" i="8"/>
  <c r="AA531" i="8"/>
  <c r="Y531" i="8"/>
  <c r="X531" i="8"/>
  <c r="W531" i="8"/>
  <c r="V531" i="8"/>
  <c r="L531" i="8"/>
  <c r="K531" i="8"/>
  <c r="AV530" i="8"/>
  <c r="AT530" i="8" a="1"/>
  <c r="AT530" i="8" s="1"/>
  <c r="AU530" i="8" s="1"/>
  <c r="AP530" i="8"/>
  <c r="AB530" i="8"/>
  <c r="AA530" i="8"/>
  <c r="Y530" i="8"/>
  <c r="X530" i="8"/>
  <c r="V530" i="8"/>
  <c r="W530" i="8" s="1"/>
  <c r="L530" i="8"/>
  <c r="K530" i="8"/>
  <c r="AV529" i="8"/>
  <c r="AT529" i="8" a="1"/>
  <c r="AT529" i="8"/>
  <c r="AU529" i="8" s="1"/>
  <c r="AP529" i="8"/>
  <c r="AB529" i="8"/>
  <c r="AA529" i="8"/>
  <c r="Y529" i="8"/>
  <c r="X529" i="8"/>
  <c r="W529" i="8"/>
  <c r="V529" i="8"/>
  <c r="L529" i="8"/>
  <c r="K529" i="8"/>
  <c r="AV528" i="8"/>
  <c r="AU528" i="8"/>
  <c r="AT528" i="8" a="1"/>
  <c r="AT528" i="8"/>
  <c r="AP528" i="8"/>
  <c r="AB528" i="8"/>
  <c r="AA528" i="8"/>
  <c r="Y528" i="8"/>
  <c r="X528" i="8"/>
  <c r="W528" i="8"/>
  <c r="V528" i="8"/>
  <c r="L528" i="8"/>
  <c r="K528" i="8"/>
  <c r="AV527" i="8"/>
  <c r="AU527" i="8"/>
  <c r="AT527" i="8" a="1"/>
  <c r="AT527" i="8"/>
  <c r="AP527" i="8"/>
  <c r="AB527" i="8"/>
  <c r="AA527" i="8"/>
  <c r="Y527" i="8"/>
  <c r="X527" i="8"/>
  <c r="W527" i="8"/>
  <c r="V527" i="8"/>
  <c r="L527" i="8"/>
  <c r="K527" i="8"/>
  <c r="AV526" i="8"/>
  <c r="AT526" i="8" a="1"/>
  <c r="AT526" i="8" s="1"/>
  <c r="AU526" i="8" s="1"/>
  <c r="AP526" i="8"/>
  <c r="AB526" i="8"/>
  <c r="AA526" i="8"/>
  <c r="Y526" i="8"/>
  <c r="X526" i="8"/>
  <c r="V526" i="8"/>
  <c r="W526" i="8" s="1"/>
  <c r="L526" i="8"/>
  <c r="K526" i="8"/>
  <c r="AV525" i="8"/>
  <c r="AU525" i="8"/>
  <c r="AT525" i="8" a="1"/>
  <c r="AT525" i="8"/>
  <c r="AP525" i="8"/>
  <c r="AB525" i="8"/>
  <c r="AA525" i="8"/>
  <c r="Y525" i="8"/>
  <c r="X525" i="8"/>
  <c r="V525" i="8"/>
  <c r="W525" i="8" s="1"/>
  <c r="L525" i="8"/>
  <c r="K525" i="8"/>
  <c r="AV524" i="8"/>
  <c r="AT524" i="8" a="1"/>
  <c r="AT524" i="8"/>
  <c r="AU524" i="8" s="1"/>
  <c r="AP524" i="8"/>
  <c r="AB524" i="8"/>
  <c r="AA524" i="8"/>
  <c r="Y524" i="8"/>
  <c r="X524" i="8"/>
  <c r="W524" i="8"/>
  <c r="V524" i="8"/>
  <c r="L524" i="8"/>
  <c r="K524" i="8"/>
  <c r="AV523" i="8"/>
  <c r="AU523" i="8"/>
  <c r="AT523" i="8" a="1"/>
  <c r="AT523" i="8"/>
  <c r="AP523" i="8"/>
  <c r="AB523" i="8"/>
  <c r="AA523" i="8"/>
  <c r="Y523" i="8"/>
  <c r="X523" i="8"/>
  <c r="W523" i="8"/>
  <c r="V523" i="8"/>
  <c r="L523" i="8"/>
  <c r="K523" i="8"/>
  <c r="AV522" i="8"/>
  <c r="AU522" i="8"/>
  <c r="AT522" i="8" a="1"/>
  <c r="AT522" i="8"/>
  <c r="AP522" i="8"/>
  <c r="AB522" i="8"/>
  <c r="AA522" i="8"/>
  <c r="Y522" i="8"/>
  <c r="X522" i="8"/>
  <c r="V522" i="8"/>
  <c r="W522" i="8" s="1"/>
  <c r="L522" i="8"/>
  <c r="K522" i="8"/>
  <c r="AV521" i="8"/>
  <c r="AT521" i="8" a="1"/>
  <c r="AT521" i="8" s="1"/>
  <c r="AU521" i="8" s="1"/>
  <c r="AP521" i="8"/>
  <c r="AB521" i="8"/>
  <c r="AA521" i="8"/>
  <c r="Y521" i="8"/>
  <c r="X521" i="8"/>
  <c r="W521" i="8"/>
  <c r="V521" i="8"/>
  <c r="L521" i="8"/>
  <c r="K521" i="8"/>
  <c r="AV520" i="8"/>
  <c r="AT520" i="8" a="1"/>
  <c r="AT520" i="8" s="1"/>
  <c r="AU520" i="8" s="1"/>
  <c r="AP520" i="8"/>
  <c r="AB520" i="8"/>
  <c r="AA520" i="8"/>
  <c r="Y520" i="8"/>
  <c r="X520" i="8"/>
  <c r="V520" i="8"/>
  <c r="W520" i="8" s="1"/>
  <c r="L520" i="8"/>
  <c r="K520" i="8"/>
  <c r="AV519" i="8"/>
  <c r="AT519" i="8" a="1"/>
  <c r="AT519" i="8" s="1"/>
  <c r="AU519" i="8" s="1"/>
  <c r="AP519" i="8"/>
  <c r="AB519" i="8"/>
  <c r="AA519" i="8"/>
  <c r="Y519" i="8"/>
  <c r="X519" i="8"/>
  <c r="V519" i="8"/>
  <c r="W519" i="8" s="1"/>
  <c r="L519" i="8"/>
  <c r="K519" i="8"/>
  <c r="AV518" i="8"/>
  <c r="AT518" i="8" a="1"/>
  <c r="AT518" i="8" s="1"/>
  <c r="AU518" i="8" s="1"/>
  <c r="AP518" i="8"/>
  <c r="AB518" i="8"/>
  <c r="AA518" i="8"/>
  <c r="Y518" i="8"/>
  <c r="X518" i="8"/>
  <c r="W518" i="8"/>
  <c r="V518" i="8"/>
  <c r="L518" i="8"/>
  <c r="K518" i="8"/>
  <c r="AV517" i="8"/>
  <c r="AT517" i="8" a="1"/>
  <c r="AT517" i="8"/>
  <c r="AU517" i="8" s="1"/>
  <c r="AP517" i="8"/>
  <c r="AB517" i="8"/>
  <c r="AA517" i="8"/>
  <c r="Y517" i="8"/>
  <c r="X517" i="8"/>
  <c r="W517" i="8"/>
  <c r="V517" i="8"/>
  <c r="L517" i="8"/>
  <c r="K517" i="8"/>
  <c r="AV516" i="8"/>
  <c r="AT516" i="8" a="1"/>
  <c r="AT516" i="8"/>
  <c r="AU516" i="8" s="1"/>
  <c r="AP516" i="8"/>
  <c r="AB516" i="8"/>
  <c r="AA516" i="8"/>
  <c r="Y516" i="8"/>
  <c r="X516" i="8"/>
  <c r="V516" i="8"/>
  <c r="W516" i="8" s="1"/>
  <c r="L516" i="8"/>
  <c r="K516" i="8"/>
  <c r="AV515" i="8"/>
  <c r="AT515" i="8" a="1"/>
  <c r="AT515" i="8" s="1"/>
  <c r="AU515" i="8" s="1"/>
  <c r="AP515" i="8"/>
  <c r="AB515" i="8"/>
  <c r="AA515" i="8"/>
  <c r="Y515" i="8"/>
  <c r="X515" i="8"/>
  <c r="V515" i="8"/>
  <c r="W515" i="8" s="1"/>
  <c r="L515" i="8"/>
  <c r="K515" i="8"/>
  <c r="AV514" i="8"/>
  <c r="AT514" i="8" a="1"/>
  <c r="AT514" i="8" s="1"/>
  <c r="AU514" i="8" s="1"/>
  <c r="AP514" i="8"/>
  <c r="AB514" i="8"/>
  <c r="AA514" i="8"/>
  <c r="Y514" i="8"/>
  <c r="X514" i="8"/>
  <c r="V514" i="8"/>
  <c r="W514" i="8" s="1"/>
  <c r="L514" i="8"/>
  <c r="K514" i="8"/>
  <c r="AV513" i="8"/>
  <c r="AT513" i="8" a="1"/>
  <c r="AT513" i="8"/>
  <c r="AU513" i="8" s="1"/>
  <c r="AP513" i="8"/>
  <c r="AB513" i="8"/>
  <c r="AA513" i="8"/>
  <c r="Y513" i="8"/>
  <c r="X513" i="8"/>
  <c r="W513" i="8"/>
  <c r="V513" i="8"/>
  <c r="L513" i="8"/>
  <c r="K513" i="8"/>
  <c r="AV512" i="8"/>
  <c r="AT512" i="8" a="1"/>
  <c r="AT512" i="8"/>
  <c r="AU512" i="8" s="1"/>
  <c r="AP512" i="8"/>
  <c r="AB512" i="8"/>
  <c r="AA512" i="8"/>
  <c r="Y512" i="8"/>
  <c r="X512" i="8"/>
  <c r="W512" i="8"/>
  <c r="V512" i="8"/>
  <c r="L512" i="8"/>
  <c r="K512" i="8"/>
  <c r="AV511" i="8"/>
  <c r="AT511" i="8" a="1"/>
  <c r="AT511" i="8"/>
  <c r="AU511" i="8" s="1"/>
  <c r="AP511" i="8"/>
  <c r="AB511" i="8"/>
  <c r="AA511" i="8"/>
  <c r="Y511" i="8"/>
  <c r="X511" i="8"/>
  <c r="W511" i="8"/>
  <c r="V511" i="8"/>
  <c r="L511" i="8"/>
  <c r="K511" i="8"/>
  <c r="AV510" i="8"/>
  <c r="AU510" i="8"/>
  <c r="AT510" i="8" a="1"/>
  <c r="AT510" i="8" s="1"/>
  <c r="AP510" i="8"/>
  <c r="AB510" i="8"/>
  <c r="AA510" i="8"/>
  <c r="Y510" i="8"/>
  <c r="X510" i="8"/>
  <c r="W510" i="8"/>
  <c r="V510" i="8"/>
  <c r="L510" i="8"/>
  <c r="K510" i="8"/>
  <c r="AV509" i="8"/>
  <c r="AT509" i="8" a="1"/>
  <c r="AT509" i="8" s="1"/>
  <c r="AU509" i="8" s="1"/>
  <c r="AP509" i="8"/>
  <c r="AB509" i="8"/>
  <c r="AA509" i="8"/>
  <c r="Y509" i="8"/>
  <c r="X509" i="8"/>
  <c r="V509" i="8"/>
  <c r="W509" i="8" s="1"/>
  <c r="L509" i="8"/>
  <c r="K509" i="8"/>
  <c r="AV508" i="8"/>
  <c r="AT508" i="8" a="1"/>
  <c r="AT508" i="8" s="1"/>
  <c r="AU508" i="8" s="1"/>
  <c r="AP508" i="8"/>
  <c r="AB508" i="8"/>
  <c r="AA508" i="8"/>
  <c r="Y508" i="8"/>
  <c r="X508" i="8"/>
  <c r="V508" i="8"/>
  <c r="W508" i="8" s="1"/>
  <c r="L508" i="8"/>
  <c r="K508" i="8"/>
  <c r="AV507" i="8"/>
  <c r="AU507" i="8"/>
  <c r="AT507" i="8" a="1"/>
  <c r="AT507" i="8" s="1"/>
  <c r="AP507" i="8"/>
  <c r="AB507" i="8"/>
  <c r="AA507" i="8"/>
  <c r="Y507" i="8"/>
  <c r="X507" i="8"/>
  <c r="W507" i="8"/>
  <c r="V507" i="8"/>
  <c r="L507" i="8"/>
  <c r="K507" i="8"/>
  <c r="AV506" i="8"/>
  <c r="AT506" i="8" a="1"/>
  <c r="AT506" i="8" s="1"/>
  <c r="AU506" i="8" s="1"/>
  <c r="AP506" i="8"/>
  <c r="AB506" i="8"/>
  <c r="AA506" i="8"/>
  <c r="Y506" i="8"/>
  <c r="X506" i="8"/>
  <c r="V506" i="8"/>
  <c r="W506" i="8" s="1"/>
  <c r="L506" i="8"/>
  <c r="K506" i="8"/>
  <c r="AV505" i="8"/>
  <c r="AU505" i="8"/>
  <c r="AT505" i="8" a="1"/>
  <c r="AT505" i="8"/>
  <c r="AP505" i="8"/>
  <c r="AB505" i="8"/>
  <c r="AA505" i="8"/>
  <c r="Y505" i="8"/>
  <c r="X505" i="8"/>
  <c r="V505" i="8"/>
  <c r="W505" i="8" s="1"/>
  <c r="L505" i="8"/>
  <c r="K505" i="8"/>
  <c r="AV504" i="8"/>
  <c r="AU504" i="8"/>
  <c r="AT504" i="8" a="1"/>
  <c r="AT504" i="8" s="1"/>
  <c r="AP504" i="8"/>
  <c r="AB504" i="8"/>
  <c r="AA504" i="8"/>
  <c r="Y504" i="8"/>
  <c r="X504" i="8"/>
  <c r="V504" i="8"/>
  <c r="W504" i="8" s="1"/>
  <c r="L504" i="8"/>
  <c r="K504" i="8"/>
  <c r="AV503" i="8"/>
  <c r="AT503" i="8" a="1"/>
  <c r="AT503" i="8"/>
  <c r="AU503" i="8" s="1"/>
  <c r="AP503" i="8"/>
  <c r="AB503" i="8"/>
  <c r="AA503" i="8"/>
  <c r="Y503" i="8"/>
  <c r="X503" i="8"/>
  <c r="W503" i="8"/>
  <c r="V503" i="8"/>
  <c r="L503" i="8"/>
  <c r="K503" i="8"/>
  <c r="AV502" i="8"/>
  <c r="AT502" i="8" a="1"/>
  <c r="AT502" i="8"/>
  <c r="AU502" i="8" s="1"/>
  <c r="AP502" i="8"/>
  <c r="AB502" i="8"/>
  <c r="AA502" i="8"/>
  <c r="Y502" i="8"/>
  <c r="X502" i="8"/>
  <c r="V502" i="8"/>
  <c r="W502" i="8" s="1"/>
  <c r="L502" i="8"/>
  <c r="K502" i="8"/>
  <c r="AV501" i="8"/>
  <c r="AT501" i="8" a="1"/>
  <c r="AT501" i="8"/>
  <c r="AU501" i="8" s="1"/>
  <c r="AP501" i="8"/>
  <c r="AB501" i="8"/>
  <c r="AA501" i="8"/>
  <c r="Y501" i="8"/>
  <c r="X501" i="8"/>
  <c r="V501" i="8"/>
  <c r="W501" i="8" s="1"/>
  <c r="L501" i="8"/>
  <c r="K501" i="8"/>
  <c r="AV500" i="8"/>
  <c r="AT500" i="8" a="1"/>
  <c r="AT500" i="8" s="1"/>
  <c r="AU500" i="8" s="1"/>
  <c r="AP500" i="8"/>
  <c r="AB500" i="8"/>
  <c r="AA500" i="8"/>
  <c r="Y500" i="8"/>
  <c r="X500" i="8"/>
  <c r="V500" i="8"/>
  <c r="W500" i="8" s="1"/>
  <c r="L500" i="8"/>
  <c r="K500" i="8"/>
  <c r="AV499" i="8"/>
  <c r="AU499" i="8"/>
  <c r="AT499" i="8" a="1"/>
  <c r="AT499" i="8"/>
  <c r="AP499" i="8"/>
  <c r="AB499" i="8"/>
  <c r="AA499" i="8"/>
  <c r="Y499" i="8"/>
  <c r="X499" i="8"/>
  <c r="V499" i="8"/>
  <c r="W499" i="8" s="1"/>
  <c r="L499" i="8"/>
  <c r="K499" i="8"/>
  <c r="AV498" i="8"/>
  <c r="AT498" i="8" a="1"/>
  <c r="AT498" i="8" s="1"/>
  <c r="AU498" i="8" s="1"/>
  <c r="AP498" i="8"/>
  <c r="AB498" i="8"/>
  <c r="AA498" i="8"/>
  <c r="Y498" i="8"/>
  <c r="X498" i="8"/>
  <c r="V498" i="8"/>
  <c r="W498" i="8" s="1"/>
  <c r="L498" i="8"/>
  <c r="K498" i="8"/>
  <c r="AV497" i="8"/>
  <c r="AT497" i="8" a="1"/>
  <c r="AT497" i="8"/>
  <c r="AU497" i="8" s="1"/>
  <c r="AP497" i="8"/>
  <c r="AB497" i="8"/>
  <c r="AA497" i="8"/>
  <c r="Y497" i="8"/>
  <c r="X497" i="8"/>
  <c r="W497" i="8"/>
  <c r="V497" i="8"/>
  <c r="L497" i="8"/>
  <c r="K497" i="8"/>
  <c r="AV496" i="8"/>
  <c r="AT496" i="8" a="1"/>
  <c r="AT496" i="8"/>
  <c r="AU496" i="8" s="1"/>
  <c r="AP496" i="8"/>
  <c r="AB496" i="8"/>
  <c r="AA496" i="8"/>
  <c r="Y496" i="8"/>
  <c r="X496" i="8"/>
  <c r="V496" i="8"/>
  <c r="W496" i="8" s="1"/>
  <c r="L496" i="8"/>
  <c r="K496" i="8"/>
  <c r="AV495" i="8"/>
  <c r="AT495" i="8" a="1"/>
  <c r="AT495" i="8"/>
  <c r="AU495" i="8" s="1"/>
  <c r="AP495" i="8"/>
  <c r="AB495" i="8"/>
  <c r="AA495" i="8"/>
  <c r="Y495" i="8"/>
  <c r="X495" i="8"/>
  <c r="W495" i="8"/>
  <c r="V495" i="8"/>
  <c r="L495" i="8"/>
  <c r="K495" i="8"/>
  <c r="AV494" i="8"/>
  <c r="AT494" i="8" a="1"/>
  <c r="AT494" i="8" s="1"/>
  <c r="AU494" i="8" s="1"/>
  <c r="AP494" i="8"/>
  <c r="AB494" i="8"/>
  <c r="AA494" i="8"/>
  <c r="Y494" i="8"/>
  <c r="X494" i="8"/>
  <c r="V494" i="8"/>
  <c r="W494" i="8" s="1"/>
  <c r="L494" i="8"/>
  <c r="K494" i="8"/>
  <c r="AV493" i="8"/>
  <c r="AT493" i="8" a="1"/>
  <c r="AT493" i="8" s="1"/>
  <c r="AU493" i="8" s="1"/>
  <c r="AP493" i="8"/>
  <c r="AB493" i="8"/>
  <c r="AA493" i="8"/>
  <c r="Y493" i="8"/>
  <c r="X493" i="8"/>
  <c r="V493" i="8"/>
  <c r="W493" i="8" s="1"/>
  <c r="L493" i="8"/>
  <c r="K493" i="8"/>
  <c r="AV492" i="8"/>
  <c r="AT492" i="8" a="1"/>
  <c r="AT492" i="8"/>
  <c r="AU492" i="8" s="1"/>
  <c r="AP492" i="8"/>
  <c r="AB492" i="8"/>
  <c r="AA492" i="8"/>
  <c r="Y492" i="8"/>
  <c r="X492" i="8"/>
  <c r="W492" i="8"/>
  <c r="V492" i="8"/>
  <c r="L492" i="8"/>
  <c r="K492" i="8"/>
  <c r="AV491" i="8"/>
  <c r="AT491" i="8" a="1"/>
  <c r="AT491" i="8"/>
  <c r="AU491" i="8" s="1"/>
  <c r="AP491" i="8"/>
  <c r="AB491" i="8"/>
  <c r="AA491" i="8"/>
  <c r="Y491" i="8"/>
  <c r="X491" i="8"/>
  <c r="V491" i="8"/>
  <c r="W491" i="8" s="1"/>
  <c r="L491" i="8"/>
  <c r="K491" i="8"/>
  <c r="AV490" i="8"/>
  <c r="AT490" i="8" a="1"/>
  <c r="AT490" i="8"/>
  <c r="AU490" i="8" s="1"/>
  <c r="AP490" i="8"/>
  <c r="AB490" i="8"/>
  <c r="AA490" i="8"/>
  <c r="Y490" i="8"/>
  <c r="X490" i="8"/>
  <c r="W490" i="8"/>
  <c r="V490" i="8"/>
  <c r="L490" i="8"/>
  <c r="K490" i="8"/>
  <c r="AV489" i="8"/>
  <c r="AT489" i="8" a="1"/>
  <c r="AT489" i="8" s="1"/>
  <c r="AU489" i="8" s="1"/>
  <c r="AP489" i="8"/>
  <c r="AB489" i="8"/>
  <c r="AA489" i="8"/>
  <c r="Y489" i="8"/>
  <c r="X489" i="8"/>
  <c r="V489" i="8"/>
  <c r="W489" i="8" s="1"/>
  <c r="L489" i="8"/>
  <c r="K489" i="8"/>
  <c r="AV488" i="8"/>
  <c r="AU488" i="8"/>
  <c r="AT488" i="8" a="1"/>
  <c r="AT488" i="8"/>
  <c r="AP488" i="8"/>
  <c r="AB488" i="8"/>
  <c r="AA488" i="8"/>
  <c r="Y488" i="8"/>
  <c r="X488" i="8"/>
  <c r="W488" i="8"/>
  <c r="V488" i="8"/>
  <c r="L488" i="8"/>
  <c r="K488" i="8"/>
  <c r="AV487" i="8"/>
  <c r="AT487" i="8" a="1"/>
  <c r="AT487" i="8" s="1"/>
  <c r="AU487" i="8" s="1"/>
  <c r="AP487" i="8"/>
  <c r="AB487" i="8"/>
  <c r="AA487" i="8"/>
  <c r="Y487" i="8"/>
  <c r="X487" i="8"/>
  <c r="V487" i="8"/>
  <c r="W487" i="8" s="1"/>
  <c r="L487" i="8"/>
  <c r="K487" i="8"/>
  <c r="AV486" i="8"/>
  <c r="AT486" i="8" a="1"/>
  <c r="AT486" i="8"/>
  <c r="AU486" i="8" s="1"/>
  <c r="AP486" i="8"/>
  <c r="AB486" i="8"/>
  <c r="AA486" i="8"/>
  <c r="Y486" i="8"/>
  <c r="X486" i="8"/>
  <c r="W486" i="8"/>
  <c r="V486" i="8"/>
  <c r="L486" i="8"/>
  <c r="K486" i="8"/>
  <c r="AV485" i="8"/>
  <c r="AT485" i="8" a="1"/>
  <c r="AT485" i="8" s="1"/>
  <c r="AU485" i="8" s="1"/>
  <c r="AP485" i="8"/>
  <c r="AB485" i="8"/>
  <c r="AA485" i="8"/>
  <c r="Y485" i="8"/>
  <c r="X485" i="8"/>
  <c r="W485" i="8"/>
  <c r="V485" i="8"/>
  <c r="L485" i="8"/>
  <c r="K485" i="8"/>
  <c r="AV484" i="8"/>
  <c r="AU484" i="8"/>
  <c r="AT484" i="8" a="1"/>
  <c r="AT484" i="8"/>
  <c r="AP484" i="8"/>
  <c r="AB484" i="8"/>
  <c r="AA484" i="8"/>
  <c r="Y484" i="8"/>
  <c r="X484" i="8"/>
  <c r="W484" i="8"/>
  <c r="V484" i="8"/>
  <c r="L484" i="8"/>
  <c r="K484" i="8"/>
  <c r="AV483" i="8"/>
  <c r="AT483" i="8" a="1"/>
  <c r="AT483" i="8" s="1"/>
  <c r="AU483" i="8" s="1"/>
  <c r="AP483" i="8"/>
  <c r="AB483" i="8"/>
  <c r="AA483" i="8"/>
  <c r="Y483" i="8"/>
  <c r="X483" i="8"/>
  <c r="V483" i="8"/>
  <c r="W483" i="8" s="1"/>
  <c r="L483" i="8"/>
  <c r="K483" i="8"/>
  <c r="AV482" i="8"/>
  <c r="AT482" i="8" a="1"/>
  <c r="AT482" i="8" s="1"/>
  <c r="AU482" i="8" s="1"/>
  <c r="AP482" i="8"/>
  <c r="AB482" i="8"/>
  <c r="AA482" i="8"/>
  <c r="Y482" i="8"/>
  <c r="X482" i="8"/>
  <c r="V482" i="8"/>
  <c r="W482" i="8" s="1"/>
  <c r="L482" i="8"/>
  <c r="K482" i="8"/>
  <c r="AV481" i="8"/>
  <c r="AT481" i="8" a="1"/>
  <c r="AT481" i="8" s="1"/>
  <c r="AU481" i="8" s="1"/>
  <c r="AP481" i="8"/>
  <c r="AB481" i="8"/>
  <c r="AA481" i="8"/>
  <c r="Y481" i="8"/>
  <c r="X481" i="8"/>
  <c r="W481" i="8"/>
  <c r="V481" i="8"/>
  <c r="L481" i="8"/>
  <c r="K481" i="8"/>
  <c r="AV480" i="8"/>
  <c r="AU480" i="8"/>
  <c r="AT480" i="8" a="1"/>
  <c r="AT480" i="8"/>
  <c r="AP480" i="8"/>
  <c r="AB480" i="8"/>
  <c r="AA480" i="8"/>
  <c r="Y480" i="8"/>
  <c r="X480" i="8"/>
  <c r="V480" i="8"/>
  <c r="W480" i="8" s="1"/>
  <c r="L480" i="8"/>
  <c r="K480" i="8"/>
  <c r="AV479" i="8"/>
  <c r="AT479" i="8" a="1"/>
  <c r="AT479" i="8"/>
  <c r="AU479" i="8" s="1"/>
  <c r="AP479" i="8"/>
  <c r="AB479" i="8"/>
  <c r="AA479" i="8"/>
  <c r="Y479" i="8"/>
  <c r="X479" i="8"/>
  <c r="W479" i="8"/>
  <c r="V479" i="8"/>
  <c r="L479" i="8"/>
  <c r="K479" i="8"/>
  <c r="AV478" i="8"/>
  <c r="AU478" i="8"/>
  <c r="AT478" i="8" a="1"/>
  <c r="AT478" i="8" s="1"/>
  <c r="AP478" i="8"/>
  <c r="AB478" i="8"/>
  <c r="AA478" i="8"/>
  <c r="Y478" i="8"/>
  <c r="X478" i="8"/>
  <c r="V478" i="8"/>
  <c r="W478" i="8" s="1"/>
  <c r="L478" i="8"/>
  <c r="K478" i="8"/>
  <c r="AV477" i="8"/>
  <c r="AT477" i="8" a="1"/>
  <c r="AT477" i="8" s="1"/>
  <c r="AU477" i="8" s="1"/>
  <c r="AP477" i="8"/>
  <c r="AB477" i="8"/>
  <c r="AA477" i="8"/>
  <c r="Y477" i="8"/>
  <c r="X477" i="8"/>
  <c r="V477" i="8"/>
  <c r="W477" i="8" s="1"/>
  <c r="L477" i="8"/>
  <c r="K477" i="8"/>
  <c r="AV476" i="8"/>
  <c r="AT476" i="8" a="1"/>
  <c r="AT476" i="8" s="1"/>
  <c r="AU476" i="8" s="1"/>
  <c r="AP476" i="8"/>
  <c r="AB476" i="8"/>
  <c r="AA476" i="8"/>
  <c r="Y476" i="8"/>
  <c r="X476" i="8"/>
  <c r="V476" i="8"/>
  <c r="W476" i="8" s="1"/>
  <c r="L476" i="8"/>
  <c r="K476" i="8"/>
  <c r="AV475" i="8"/>
  <c r="AT475" i="8" a="1"/>
  <c r="AT475" i="8" s="1"/>
  <c r="AU475" i="8" s="1"/>
  <c r="AP475" i="8"/>
  <c r="AB475" i="8"/>
  <c r="AA475" i="8"/>
  <c r="Y475" i="8"/>
  <c r="X475" i="8"/>
  <c r="W475" i="8"/>
  <c r="V475" i="8"/>
  <c r="L475" i="8"/>
  <c r="K475" i="8"/>
  <c r="AV474" i="8"/>
  <c r="AU474" i="8"/>
  <c r="AT474" i="8" a="1"/>
  <c r="AT474" i="8"/>
  <c r="AP474" i="8"/>
  <c r="AB474" i="8"/>
  <c r="AA474" i="8"/>
  <c r="Y474" i="8"/>
  <c r="X474" i="8"/>
  <c r="W474" i="8"/>
  <c r="V474" i="8"/>
  <c r="L474" i="8"/>
  <c r="K474" i="8"/>
  <c r="AV473" i="8"/>
  <c r="AT473" i="8" a="1"/>
  <c r="AT473" i="8"/>
  <c r="AU473" i="8" s="1"/>
  <c r="AP473" i="8"/>
  <c r="AB473" i="8"/>
  <c r="AA473" i="8"/>
  <c r="Y473" i="8"/>
  <c r="X473" i="8"/>
  <c r="V473" i="8"/>
  <c r="W473" i="8" s="1"/>
  <c r="L473" i="8"/>
  <c r="K473" i="8"/>
  <c r="AV472" i="8"/>
  <c r="AU472" i="8"/>
  <c r="AT472" i="8" a="1"/>
  <c r="AT472" i="8" s="1"/>
  <c r="AP472" i="8"/>
  <c r="AB472" i="8"/>
  <c r="AA472" i="8"/>
  <c r="Y472" i="8"/>
  <c r="X472" i="8"/>
  <c r="V472" i="8"/>
  <c r="W472" i="8" s="1"/>
  <c r="L472" i="8"/>
  <c r="K472" i="8"/>
  <c r="AV471" i="8"/>
  <c r="AT471" i="8" a="1"/>
  <c r="AT471" i="8"/>
  <c r="AU471" i="8" s="1"/>
  <c r="AP471" i="8"/>
  <c r="AB471" i="8"/>
  <c r="AA471" i="8"/>
  <c r="Y471" i="8"/>
  <c r="X471" i="8"/>
  <c r="W471" i="8"/>
  <c r="V471" i="8"/>
  <c r="L471" i="8"/>
  <c r="K471" i="8"/>
  <c r="AV470" i="8"/>
  <c r="AT470" i="8" a="1"/>
  <c r="AT470" i="8" s="1"/>
  <c r="AU470" i="8" s="1"/>
  <c r="AP470" i="8"/>
  <c r="AB470" i="8"/>
  <c r="AA470" i="8"/>
  <c r="Y470" i="8"/>
  <c r="X470" i="8"/>
  <c r="V470" i="8"/>
  <c r="W470" i="8" s="1"/>
  <c r="L470" i="8"/>
  <c r="K470" i="8"/>
  <c r="AV469" i="8"/>
  <c r="AT469" i="8" a="1"/>
  <c r="AT469" i="8" s="1"/>
  <c r="AU469" i="8" s="1"/>
  <c r="AP469" i="8"/>
  <c r="AB469" i="8"/>
  <c r="AA469" i="8"/>
  <c r="Y469" i="8"/>
  <c r="X469" i="8"/>
  <c r="V469" i="8"/>
  <c r="W469" i="8" s="1"/>
  <c r="L469" i="8"/>
  <c r="K469" i="8"/>
  <c r="AV468" i="8"/>
  <c r="AT468" i="8" a="1"/>
  <c r="AT468" i="8" s="1"/>
  <c r="AU468" i="8" s="1"/>
  <c r="AP468" i="8"/>
  <c r="AB468" i="8"/>
  <c r="AA468" i="8"/>
  <c r="Y468" i="8"/>
  <c r="X468" i="8"/>
  <c r="V468" i="8"/>
  <c r="W468" i="8" s="1"/>
  <c r="L468" i="8"/>
  <c r="K468" i="8"/>
  <c r="AV467" i="8"/>
  <c r="AT467" i="8" a="1"/>
  <c r="AT467" i="8"/>
  <c r="AU467" i="8" s="1"/>
  <c r="AP467" i="8"/>
  <c r="AB467" i="8"/>
  <c r="AA467" i="8"/>
  <c r="Y467" i="8"/>
  <c r="X467" i="8"/>
  <c r="W467" i="8"/>
  <c r="V467" i="8"/>
  <c r="L467" i="8"/>
  <c r="K467" i="8"/>
  <c r="AV466" i="8"/>
  <c r="AT466" i="8" a="1"/>
  <c r="AT466" i="8"/>
  <c r="AU466" i="8" s="1"/>
  <c r="AP466" i="8"/>
  <c r="AB466" i="8"/>
  <c r="AA466" i="8"/>
  <c r="Y466" i="8"/>
  <c r="X466" i="8"/>
  <c r="V466" i="8"/>
  <c r="W466" i="8" s="1"/>
  <c r="L466" i="8"/>
  <c r="K466" i="8"/>
  <c r="AV465" i="8"/>
  <c r="AT465" i="8" a="1"/>
  <c r="AT465" i="8"/>
  <c r="AU465" i="8" s="1"/>
  <c r="AP465" i="8"/>
  <c r="AB465" i="8"/>
  <c r="AA465" i="8"/>
  <c r="Y465" i="8"/>
  <c r="X465" i="8"/>
  <c r="W465" i="8"/>
  <c r="V465" i="8"/>
  <c r="L465" i="8"/>
  <c r="K465" i="8"/>
  <c r="AV464" i="8"/>
  <c r="AT464" i="8" a="1"/>
  <c r="AT464" i="8" s="1"/>
  <c r="AU464" i="8" s="1"/>
  <c r="AP464" i="8"/>
  <c r="AB464" i="8"/>
  <c r="AA464" i="8"/>
  <c r="Y464" i="8"/>
  <c r="X464" i="8"/>
  <c r="V464" i="8"/>
  <c r="W464" i="8" s="1"/>
  <c r="L464" i="8"/>
  <c r="K464" i="8"/>
  <c r="AV463" i="8"/>
  <c r="AT463" i="8" a="1"/>
  <c r="AT463" i="8"/>
  <c r="AU463" i="8" s="1"/>
  <c r="AP463" i="8"/>
  <c r="AB463" i="8"/>
  <c r="AA463" i="8"/>
  <c r="Y463" i="8"/>
  <c r="X463" i="8"/>
  <c r="W463" i="8"/>
  <c r="V463" i="8"/>
  <c r="L463" i="8"/>
  <c r="K463" i="8"/>
  <c r="AV462" i="8"/>
  <c r="AT462" i="8" a="1"/>
  <c r="AT462" i="8"/>
  <c r="AU462" i="8" s="1"/>
  <c r="AP462" i="8"/>
  <c r="AB462" i="8"/>
  <c r="AA462" i="8"/>
  <c r="Y462" i="8"/>
  <c r="X462" i="8"/>
  <c r="W462" i="8"/>
  <c r="V462" i="8"/>
  <c r="L462" i="8"/>
  <c r="K462" i="8"/>
  <c r="AV461" i="8"/>
  <c r="AT461" i="8" a="1"/>
  <c r="AT461" i="8"/>
  <c r="AU461" i="8" s="1"/>
  <c r="AP461" i="8"/>
  <c r="AB461" i="8"/>
  <c r="AA461" i="8"/>
  <c r="Y461" i="8"/>
  <c r="X461" i="8"/>
  <c r="V461" i="8"/>
  <c r="W461" i="8" s="1"/>
  <c r="L461" i="8"/>
  <c r="K461" i="8"/>
  <c r="AV460" i="8"/>
  <c r="AT460" i="8" a="1"/>
  <c r="AT460" i="8"/>
  <c r="AU460" i="8" s="1"/>
  <c r="AP460" i="8"/>
  <c r="AB460" i="8"/>
  <c r="AA460" i="8"/>
  <c r="Y460" i="8"/>
  <c r="X460" i="8"/>
  <c r="W460" i="8"/>
  <c r="V460" i="8"/>
  <c r="L460" i="8"/>
  <c r="K460" i="8"/>
  <c r="AV459" i="8"/>
  <c r="AT459" i="8" a="1"/>
  <c r="AT459" i="8" s="1"/>
  <c r="AU459" i="8" s="1"/>
  <c r="AP459" i="8"/>
  <c r="AB459" i="8"/>
  <c r="AA459" i="8"/>
  <c r="Y459" i="8"/>
  <c r="X459" i="8"/>
  <c r="V459" i="8"/>
  <c r="W459" i="8" s="1"/>
  <c r="L459" i="8"/>
  <c r="K459" i="8"/>
  <c r="AV458" i="8"/>
  <c r="AT458" i="8" a="1"/>
  <c r="AT458" i="8"/>
  <c r="AU458" i="8" s="1"/>
  <c r="AP458" i="8"/>
  <c r="AB458" i="8"/>
  <c r="AA458" i="8"/>
  <c r="Y458" i="8"/>
  <c r="X458" i="8"/>
  <c r="W458" i="8"/>
  <c r="V458" i="8"/>
  <c r="L458" i="8"/>
  <c r="K458" i="8"/>
  <c r="AV457" i="8"/>
  <c r="AT457" i="8" a="1"/>
  <c r="AT457" i="8" s="1"/>
  <c r="AU457" i="8" s="1"/>
  <c r="AP457" i="8"/>
  <c r="AB457" i="8"/>
  <c r="AA457" i="8"/>
  <c r="Y457" i="8"/>
  <c r="X457" i="8"/>
  <c r="V457" i="8"/>
  <c r="W457" i="8" s="1"/>
  <c r="L457" i="8"/>
  <c r="K457" i="8"/>
  <c r="AV456" i="8"/>
  <c r="AT456" i="8" a="1"/>
  <c r="AT456" i="8"/>
  <c r="AU456" i="8" s="1"/>
  <c r="AP456" i="8"/>
  <c r="AB456" i="8"/>
  <c r="AA456" i="8"/>
  <c r="Y456" i="8"/>
  <c r="X456" i="8"/>
  <c r="W456" i="8"/>
  <c r="V456" i="8"/>
  <c r="L456" i="8"/>
  <c r="K456" i="8"/>
  <c r="AV455" i="8"/>
  <c r="AT455" i="8" a="1"/>
  <c r="AT455" i="8" s="1"/>
  <c r="AU455" i="8" s="1"/>
  <c r="AP455" i="8"/>
  <c r="AB455" i="8"/>
  <c r="AA455" i="8"/>
  <c r="Y455" i="8"/>
  <c r="X455" i="8"/>
  <c r="W455" i="8"/>
  <c r="V455" i="8"/>
  <c r="L455" i="8"/>
  <c r="K455" i="8"/>
  <c r="AV454" i="8"/>
  <c r="AU454" i="8"/>
  <c r="AT454" i="8" a="1"/>
  <c r="AT454" i="8"/>
  <c r="AP454" i="8"/>
  <c r="AB454" i="8"/>
  <c r="AA454" i="8"/>
  <c r="Y454" i="8"/>
  <c r="X454" i="8"/>
  <c r="W454" i="8"/>
  <c r="V454" i="8"/>
  <c r="L454" i="8"/>
  <c r="K454" i="8"/>
  <c r="AV453" i="8"/>
  <c r="AT453" i="8" a="1"/>
  <c r="AT453" i="8" s="1"/>
  <c r="AU453" i="8" s="1"/>
  <c r="AP453" i="8"/>
  <c r="AA453" i="8"/>
  <c r="AB453" i="8" s="1"/>
  <c r="Y453" i="8"/>
  <c r="X453" i="8"/>
  <c r="V453" i="8"/>
  <c r="W453" i="8" s="1"/>
  <c r="L453" i="8"/>
  <c r="K453" i="8"/>
  <c r="AV452" i="8"/>
  <c r="AT452" i="8" a="1"/>
  <c r="AT452" i="8" s="1"/>
  <c r="AU452" i="8" s="1"/>
  <c r="AP452" i="8"/>
  <c r="AA452" i="8"/>
  <c r="AB452" i="8" s="1"/>
  <c r="Y452" i="8"/>
  <c r="X452" i="8"/>
  <c r="V452" i="8"/>
  <c r="W452" i="8" s="1"/>
  <c r="L452" i="8"/>
  <c r="K452" i="8"/>
  <c r="AV451" i="8"/>
  <c r="AT451" i="8" a="1"/>
  <c r="AT451" i="8" s="1"/>
  <c r="AU451" i="8" s="1"/>
  <c r="AP451" i="8"/>
  <c r="AA451" i="8"/>
  <c r="AB451" i="8" s="1"/>
  <c r="Y451" i="8"/>
  <c r="X451" i="8"/>
  <c r="V451" i="8"/>
  <c r="W451" i="8" s="1"/>
  <c r="L451" i="8"/>
  <c r="K451" i="8"/>
  <c r="AV450" i="8"/>
  <c r="AU450" i="8"/>
  <c r="AT450" i="8" a="1"/>
  <c r="AT450" i="8"/>
  <c r="AP450" i="8"/>
  <c r="AA450" i="8"/>
  <c r="AB450" i="8" s="1"/>
  <c r="Y450" i="8"/>
  <c r="X450" i="8"/>
  <c r="W450" i="8"/>
  <c r="V450" i="8"/>
  <c r="L450" i="8"/>
  <c r="K450" i="8"/>
  <c r="AV449" i="8"/>
  <c r="AU449" i="8"/>
  <c r="AT449" i="8" a="1"/>
  <c r="AT449" i="8"/>
  <c r="AP449" i="8"/>
  <c r="AB449" i="8"/>
  <c r="AA449" i="8"/>
  <c r="Y449" i="8"/>
  <c r="X449" i="8"/>
  <c r="W449" i="8"/>
  <c r="V449" i="8"/>
  <c r="L449" i="8"/>
  <c r="K449" i="8"/>
  <c r="AV448" i="8"/>
  <c r="AT448" i="8" a="1"/>
  <c r="AT448" i="8" s="1"/>
  <c r="AU448" i="8" s="1"/>
  <c r="AP448" i="8"/>
  <c r="AA448" i="8"/>
  <c r="AB448" i="8" s="1"/>
  <c r="Y448" i="8"/>
  <c r="X448" i="8"/>
  <c r="V448" i="8"/>
  <c r="W448" i="8" s="1"/>
  <c r="L448" i="8"/>
  <c r="K448" i="8"/>
  <c r="AV447" i="8"/>
  <c r="AT447" i="8" a="1"/>
  <c r="AT447" i="8" s="1"/>
  <c r="AU447" i="8" s="1"/>
  <c r="AP447" i="8"/>
  <c r="AA447" i="8"/>
  <c r="AB447" i="8" s="1"/>
  <c r="Y447" i="8"/>
  <c r="X447" i="8"/>
  <c r="V447" i="8"/>
  <c r="W447" i="8" s="1"/>
  <c r="L447" i="8"/>
  <c r="K447" i="8"/>
  <c r="AV446" i="8"/>
  <c r="AT446" i="8" a="1"/>
  <c r="AT446" i="8" s="1"/>
  <c r="AU446" i="8" s="1"/>
  <c r="AP446" i="8"/>
  <c r="AA446" i="8"/>
  <c r="AB446" i="8" s="1"/>
  <c r="Y446" i="8"/>
  <c r="X446" i="8"/>
  <c r="W446" i="8"/>
  <c r="V446" i="8"/>
  <c r="L446" i="8"/>
  <c r="K446" i="8"/>
  <c r="AV445" i="8"/>
  <c r="AT445" i="8" a="1"/>
  <c r="AT445" i="8" s="1"/>
  <c r="AU445" i="8" s="1"/>
  <c r="AP445" i="8"/>
  <c r="AB445" i="8"/>
  <c r="AA445" i="8"/>
  <c r="Y445" i="8"/>
  <c r="X445" i="8"/>
  <c r="W445" i="8"/>
  <c r="V445" i="8"/>
  <c r="L445" i="8"/>
  <c r="K445" i="8"/>
  <c r="AV444" i="8"/>
  <c r="AU444" i="8"/>
  <c r="AT444" i="8" a="1"/>
  <c r="AT444" i="8"/>
  <c r="AP444" i="8"/>
  <c r="AB444" i="8"/>
  <c r="AA444" i="8"/>
  <c r="Y444" i="8"/>
  <c r="X444" i="8"/>
  <c r="V444" i="8"/>
  <c r="W444" i="8" s="1"/>
  <c r="L444" i="8"/>
  <c r="K444" i="8"/>
  <c r="AV443" i="8"/>
  <c r="AU443" i="8"/>
  <c r="AT443" i="8" a="1"/>
  <c r="AT443" i="8"/>
  <c r="AP443" i="8"/>
  <c r="AB443" i="8"/>
  <c r="AA443" i="8"/>
  <c r="Y443" i="8"/>
  <c r="X443" i="8"/>
  <c r="W443" i="8"/>
  <c r="V443" i="8"/>
  <c r="L443" i="8"/>
  <c r="K443" i="8"/>
  <c r="AV442" i="8"/>
  <c r="AT442" i="8" a="1"/>
  <c r="AT442" i="8" s="1"/>
  <c r="AU442" i="8" s="1"/>
  <c r="AP442" i="8"/>
  <c r="AA442" i="8"/>
  <c r="AB442" i="8" s="1"/>
  <c r="Y442" i="8"/>
  <c r="X442" i="8"/>
  <c r="V442" i="8"/>
  <c r="W442" i="8" s="1"/>
  <c r="L442" i="8"/>
  <c r="K442" i="8"/>
  <c r="AV441" i="8"/>
  <c r="AT441" i="8" a="1"/>
  <c r="AT441" i="8"/>
  <c r="AU441" i="8" s="1"/>
  <c r="AP441" i="8"/>
  <c r="AA441" i="8"/>
  <c r="AB441" i="8" s="1"/>
  <c r="Y441" i="8"/>
  <c r="X441" i="8"/>
  <c r="W441" i="8"/>
  <c r="V441" i="8"/>
  <c r="L441" i="8"/>
  <c r="K441" i="8"/>
  <c r="AV440" i="8"/>
  <c r="AT440" i="8" a="1"/>
  <c r="AT440" i="8" s="1"/>
  <c r="AU440" i="8" s="1"/>
  <c r="AP440" i="8"/>
  <c r="AB440" i="8"/>
  <c r="AA440" i="8"/>
  <c r="Y440" i="8"/>
  <c r="X440" i="8"/>
  <c r="W440" i="8"/>
  <c r="V440" i="8"/>
  <c r="L440" i="8"/>
  <c r="K440" i="8"/>
  <c r="AV439" i="8"/>
  <c r="AT439" i="8" a="1"/>
  <c r="AT439" i="8" s="1"/>
  <c r="AU439" i="8" s="1"/>
  <c r="AP439" i="8"/>
  <c r="AA439" i="8"/>
  <c r="AB439" i="8" s="1"/>
  <c r="Y439" i="8"/>
  <c r="X439" i="8"/>
  <c r="V439" i="8"/>
  <c r="W439" i="8" s="1"/>
  <c r="L439" i="8"/>
  <c r="K439" i="8"/>
  <c r="AV438" i="8"/>
  <c r="AU438" i="8"/>
  <c r="AT438" i="8" a="1"/>
  <c r="AT438" i="8"/>
  <c r="AP438" i="8"/>
  <c r="AB438" i="8"/>
  <c r="AA438" i="8"/>
  <c r="Y438" i="8"/>
  <c r="X438" i="8"/>
  <c r="V438" i="8"/>
  <c r="W438" i="8" s="1"/>
  <c r="L438" i="8"/>
  <c r="K438" i="8"/>
  <c r="AV437" i="8"/>
  <c r="AT437" i="8" a="1"/>
  <c r="AT437" i="8"/>
  <c r="AU437" i="8" s="1"/>
  <c r="AP437" i="8"/>
  <c r="AA437" i="8"/>
  <c r="AB437" i="8" s="1"/>
  <c r="Y437" i="8"/>
  <c r="X437" i="8"/>
  <c r="W437" i="8"/>
  <c r="V437" i="8"/>
  <c r="L437" i="8"/>
  <c r="K437" i="8"/>
  <c r="AV436" i="8"/>
  <c r="AT436" i="8" a="1"/>
  <c r="AT436" i="8" s="1"/>
  <c r="AU436" i="8" s="1"/>
  <c r="AP436" i="8"/>
  <c r="AB436" i="8"/>
  <c r="AA436" i="8"/>
  <c r="Y436" i="8"/>
  <c r="X436" i="8"/>
  <c r="W436" i="8"/>
  <c r="V436" i="8"/>
  <c r="L436" i="8"/>
  <c r="K436" i="8"/>
  <c r="AV435" i="8"/>
  <c r="AT435" i="8" a="1"/>
  <c r="AT435" i="8"/>
  <c r="AU435" i="8" s="1"/>
  <c r="AP435" i="8"/>
  <c r="AA435" i="8"/>
  <c r="AB435" i="8" s="1"/>
  <c r="Y435" i="8"/>
  <c r="X435" i="8"/>
  <c r="V435" i="8"/>
  <c r="W435" i="8" s="1"/>
  <c r="L435" i="8"/>
  <c r="K435" i="8"/>
  <c r="AV434" i="8"/>
  <c r="AT434" i="8" a="1"/>
  <c r="AT434" i="8" s="1"/>
  <c r="AU434" i="8" s="1"/>
  <c r="AP434" i="8"/>
  <c r="AA434" i="8"/>
  <c r="AB434" i="8" s="1"/>
  <c r="Y434" i="8"/>
  <c r="X434" i="8"/>
  <c r="V434" i="8"/>
  <c r="W434" i="8" s="1"/>
  <c r="L434" i="8"/>
  <c r="K434" i="8"/>
  <c r="AV433" i="8"/>
  <c r="AT433" i="8" a="1"/>
  <c r="AT433" i="8" s="1"/>
  <c r="AU433" i="8" s="1"/>
  <c r="AP433" i="8"/>
  <c r="AA433" i="8"/>
  <c r="AB433" i="8" s="1"/>
  <c r="Y433" i="8"/>
  <c r="X433" i="8"/>
  <c r="V433" i="8"/>
  <c r="W433" i="8" s="1"/>
  <c r="L433" i="8"/>
  <c r="K433" i="8"/>
  <c r="AV432" i="8"/>
  <c r="AT432" i="8" a="1"/>
  <c r="AT432" i="8"/>
  <c r="AU432" i="8" s="1"/>
  <c r="AP432" i="8"/>
  <c r="AA432" i="8"/>
  <c r="AB432" i="8" s="1"/>
  <c r="Y432" i="8"/>
  <c r="X432" i="8"/>
  <c r="W432" i="8"/>
  <c r="V432" i="8"/>
  <c r="L432" i="8"/>
  <c r="K432" i="8"/>
  <c r="AV431" i="8"/>
  <c r="AU431" i="8"/>
  <c r="AT431" i="8" a="1"/>
  <c r="AT431" i="8"/>
  <c r="AP431" i="8"/>
  <c r="AB431" i="8"/>
  <c r="AA431" i="8"/>
  <c r="Y431" i="8"/>
  <c r="X431" i="8"/>
  <c r="V431" i="8"/>
  <c r="W431" i="8" s="1"/>
  <c r="L431" i="8"/>
  <c r="K431" i="8"/>
  <c r="AV430" i="8"/>
  <c r="AT430" i="8" a="1"/>
  <c r="AT430" i="8" s="1"/>
  <c r="AU430" i="8" s="1"/>
  <c r="AP430" i="8"/>
  <c r="AA430" i="8"/>
  <c r="AB430" i="8" s="1"/>
  <c r="Y430" i="8"/>
  <c r="X430" i="8"/>
  <c r="V430" i="8"/>
  <c r="W430" i="8" s="1"/>
  <c r="L430" i="8"/>
  <c r="K430" i="8"/>
  <c r="AV429" i="8"/>
  <c r="AT429" i="8" a="1"/>
  <c r="AT429" i="8" s="1"/>
  <c r="AU429" i="8" s="1"/>
  <c r="AP429" i="8"/>
  <c r="AB429" i="8"/>
  <c r="AA429" i="8"/>
  <c r="Y429" i="8"/>
  <c r="X429" i="8"/>
  <c r="V429" i="8"/>
  <c r="W429" i="8" s="1"/>
  <c r="L429" i="8"/>
  <c r="K429" i="8"/>
  <c r="AV428" i="8"/>
  <c r="AT428" i="8" a="1"/>
  <c r="AT428" i="8" s="1"/>
  <c r="AU428" i="8" s="1"/>
  <c r="AP428" i="8"/>
  <c r="AA428" i="8"/>
  <c r="AB428" i="8" s="1"/>
  <c r="Y428" i="8"/>
  <c r="X428" i="8"/>
  <c r="V428" i="8"/>
  <c r="W428" i="8" s="1"/>
  <c r="L428" i="8"/>
  <c r="K428" i="8"/>
  <c r="AV427" i="8"/>
  <c r="AT427" i="8" a="1"/>
  <c r="AT427" i="8"/>
  <c r="AU427" i="8" s="1"/>
  <c r="AP427" i="8"/>
  <c r="AA427" i="8"/>
  <c r="AB427" i="8" s="1"/>
  <c r="Y427" i="8"/>
  <c r="X427" i="8"/>
  <c r="W427" i="8"/>
  <c r="V427" i="8"/>
  <c r="L427" i="8"/>
  <c r="K427" i="8"/>
  <c r="AV426" i="8"/>
  <c r="AU426" i="8"/>
  <c r="AT426" i="8" a="1"/>
  <c r="AT426" i="8"/>
  <c r="AP426" i="8"/>
  <c r="AB426" i="8"/>
  <c r="AA426" i="8"/>
  <c r="Y426" i="8"/>
  <c r="X426" i="8"/>
  <c r="V426" i="8"/>
  <c r="W426" i="8" s="1"/>
  <c r="L426" i="8"/>
  <c r="K426" i="8"/>
  <c r="AV425" i="8"/>
  <c r="AT425" i="8" a="1"/>
  <c r="AT425" i="8"/>
  <c r="AU425" i="8" s="1"/>
  <c r="AP425" i="8"/>
  <c r="AB425" i="8"/>
  <c r="AA425" i="8"/>
  <c r="Y425" i="8"/>
  <c r="X425" i="8"/>
  <c r="W425" i="8"/>
  <c r="V425" i="8"/>
  <c r="L425" i="8"/>
  <c r="K425" i="8"/>
  <c r="AV424" i="8"/>
  <c r="AT424" i="8" a="1"/>
  <c r="AT424" i="8" s="1"/>
  <c r="AU424" i="8" s="1"/>
  <c r="AP424" i="8"/>
  <c r="AA424" i="8"/>
  <c r="AB424" i="8" s="1"/>
  <c r="Y424" i="8"/>
  <c r="X424" i="8"/>
  <c r="V424" i="8"/>
  <c r="W424" i="8" s="1"/>
  <c r="L424" i="8"/>
  <c r="K424" i="8"/>
  <c r="AV423" i="8"/>
  <c r="AT423" i="8" a="1"/>
  <c r="AT423" i="8" s="1"/>
  <c r="AU423" i="8" s="1"/>
  <c r="AP423" i="8"/>
  <c r="AB423" i="8"/>
  <c r="AA423" i="8"/>
  <c r="Y423" i="8"/>
  <c r="X423" i="8"/>
  <c r="V423" i="8"/>
  <c r="W423" i="8" s="1"/>
  <c r="L423" i="8"/>
  <c r="K423" i="8"/>
  <c r="AV422" i="8"/>
  <c r="AT422" i="8" a="1"/>
  <c r="AT422" i="8"/>
  <c r="AU422" i="8" s="1"/>
  <c r="AP422" i="8"/>
  <c r="AA422" i="8"/>
  <c r="AB422" i="8" s="1"/>
  <c r="Y422" i="8"/>
  <c r="X422" i="8"/>
  <c r="W422" i="8"/>
  <c r="V422" i="8"/>
  <c r="L422" i="8"/>
  <c r="K422" i="8"/>
  <c r="AV421" i="8"/>
  <c r="AU421" i="8"/>
  <c r="AT421" i="8" a="1"/>
  <c r="AT421" i="8"/>
  <c r="AP421" i="8"/>
  <c r="AB421" i="8"/>
  <c r="AA421" i="8"/>
  <c r="Y421" i="8"/>
  <c r="X421" i="8"/>
  <c r="V421" i="8"/>
  <c r="W421" i="8" s="1"/>
  <c r="L421" i="8"/>
  <c r="K421" i="8"/>
  <c r="AV420" i="8"/>
  <c r="AT420" i="8" a="1"/>
  <c r="AT420" i="8"/>
  <c r="AU420" i="8" s="1"/>
  <c r="AP420" i="8"/>
  <c r="AB420" i="8"/>
  <c r="AA420" i="8"/>
  <c r="Y420" i="8"/>
  <c r="X420" i="8"/>
  <c r="W420" i="8"/>
  <c r="V420" i="8"/>
  <c r="L420" i="8"/>
  <c r="K420" i="8"/>
  <c r="AV419" i="8"/>
  <c r="AU419" i="8"/>
  <c r="AT419" i="8" a="1"/>
  <c r="AT419" i="8" s="1"/>
  <c r="AP419" i="8"/>
  <c r="AB419" i="8"/>
  <c r="AA419" i="8"/>
  <c r="Y419" i="8"/>
  <c r="X419" i="8"/>
  <c r="V419" i="8"/>
  <c r="W419" i="8" s="1"/>
  <c r="L419" i="8"/>
  <c r="K419" i="8"/>
  <c r="AV418" i="8"/>
  <c r="AU418" i="8"/>
  <c r="AT418" i="8" a="1"/>
  <c r="AT418" i="8"/>
  <c r="AP418" i="8"/>
  <c r="AA418" i="8"/>
  <c r="AB418" i="8" s="1"/>
  <c r="Y418" i="8"/>
  <c r="X418" i="8"/>
  <c r="V418" i="8"/>
  <c r="W418" i="8" s="1"/>
  <c r="L418" i="8"/>
  <c r="K418" i="8"/>
  <c r="AV417" i="8"/>
  <c r="AT417" i="8" a="1"/>
  <c r="AT417" i="8"/>
  <c r="AU417" i="8" s="1"/>
  <c r="AP417" i="8"/>
  <c r="AA417" i="8"/>
  <c r="AB417" i="8" s="1"/>
  <c r="Y417" i="8"/>
  <c r="X417" i="8"/>
  <c r="W417" i="8"/>
  <c r="V417" i="8"/>
  <c r="L417" i="8"/>
  <c r="K417" i="8"/>
  <c r="AV416" i="8"/>
  <c r="AU416" i="8"/>
  <c r="AT416" i="8" a="1"/>
  <c r="AT416" i="8"/>
  <c r="AP416" i="8"/>
  <c r="AB416" i="8"/>
  <c r="AA416" i="8"/>
  <c r="Y416" i="8"/>
  <c r="X416" i="8"/>
  <c r="V416" i="8"/>
  <c r="W416" i="8" s="1"/>
  <c r="L416" i="8"/>
  <c r="K416" i="8"/>
  <c r="AV415" i="8"/>
  <c r="AT415" i="8" a="1"/>
  <c r="AT415" i="8"/>
  <c r="AU415" i="8" s="1"/>
  <c r="AP415" i="8"/>
  <c r="AB415" i="8"/>
  <c r="AA415" i="8"/>
  <c r="Y415" i="8"/>
  <c r="X415" i="8"/>
  <c r="W415" i="8"/>
  <c r="V415" i="8"/>
  <c r="L415" i="8"/>
  <c r="K415" i="8"/>
  <c r="AV414" i="8"/>
  <c r="AT414" i="8" a="1"/>
  <c r="AT414" i="8" s="1"/>
  <c r="AU414" i="8" s="1"/>
  <c r="AP414" i="8"/>
  <c r="AA414" i="8"/>
  <c r="AB414" i="8" s="1"/>
  <c r="Y414" i="8"/>
  <c r="X414" i="8"/>
  <c r="V414" i="8"/>
  <c r="W414" i="8" s="1"/>
  <c r="L414" i="8"/>
  <c r="K414" i="8"/>
  <c r="AV413" i="8"/>
  <c r="AT413" i="8" a="1"/>
  <c r="AT413" i="8" s="1"/>
  <c r="AU413" i="8" s="1"/>
  <c r="AP413" i="8"/>
  <c r="AA413" i="8"/>
  <c r="AB413" i="8" s="1"/>
  <c r="Y413" i="8"/>
  <c r="X413" i="8"/>
  <c r="V413" i="8"/>
  <c r="W413" i="8" s="1"/>
  <c r="L413" i="8"/>
  <c r="K413" i="8"/>
  <c r="AV412" i="8"/>
  <c r="AT412" i="8" a="1"/>
  <c r="AT412" i="8"/>
  <c r="AU412" i="8" s="1"/>
  <c r="AP412" i="8"/>
  <c r="AA412" i="8"/>
  <c r="AB412" i="8" s="1"/>
  <c r="Y412" i="8"/>
  <c r="X412" i="8"/>
  <c r="V412" i="8"/>
  <c r="W412" i="8" s="1"/>
  <c r="L412" i="8"/>
  <c r="K412" i="8"/>
  <c r="AV411" i="8"/>
  <c r="AT411" i="8" a="1"/>
  <c r="AT411" i="8" s="1"/>
  <c r="AU411" i="8" s="1"/>
  <c r="AP411" i="8"/>
  <c r="AB411" i="8"/>
  <c r="AA411" i="8"/>
  <c r="Y411" i="8"/>
  <c r="X411" i="8"/>
  <c r="W411" i="8"/>
  <c r="V411" i="8"/>
  <c r="L411" i="8"/>
  <c r="K411" i="8"/>
  <c r="AV410" i="8"/>
  <c r="AT410" i="8" a="1"/>
  <c r="AT410" i="8" s="1"/>
  <c r="AU410" i="8" s="1"/>
  <c r="AP410" i="8"/>
  <c r="AA410" i="8"/>
  <c r="AB410" i="8" s="1"/>
  <c r="Y410" i="8"/>
  <c r="X410" i="8"/>
  <c r="V410" i="8"/>
  <c r="W410" i="8" s="1"/>
  <c r="L410" i="8"/>
  <c r="K410" i="8"/>
  <c r="AV409" i="8"/>
  <c r="AU409" i="8"/>
  <c r="AT409" i="8" a="1"/>
  <c r="AT409" i="8"/>
  <c r="AP409" i="8"/>
  <c r="AA409" i="8"/>
  <c r="AB409" i="8" s="1"/>
  <c r="Y409" i="8"/>
  <c r="X409" i="8"/>
  <c r="V409" i="8"/>
  <c r="W409" i="8" s="1"/>
  <c r="L409" i="8"/>
  <c r="K409" i="8"/>
  <c r="AV408" i="8"/>
  <c r="AT408" i="8" a="1"/>
  <c r="AT408" i="8" s="1"/>
  <c r="AU408" i="8" s="1"/>
  <c r="AP408" i="8"/>
  <c r="AB408" i="8"/>
  <c r="AA408" i="8"/>
  <c r="Y408" i="8"/>
  <c r="X408" i="8"/>
  <c r="W408" i="8"/>
  <c r="V408" i="8"/>
  <c r="L408" i="8"/>
  <c r="K408" i="8"/>
  <c r="AV407" i="8"/>
  <c r="AU407" i="8"/>
  <c r="AT407" i="8" a="1"/>
  <c r="AT407" i="8"/>
  <c r="AP407" i="8"/>
  <c r="AB407" i="8"/>
  <c r="AA407" i="8"/>
  <c r="Y407" i="8"/>
  <c r="X407" i="8"/>
  <c r="V407" i="8"/>
  <c r="W407" i="8" s="1"/>
  <c r="L407" i="8"/>
  <c r="K407" i="8"/>
  <c r="AV406" i="8"/>
  <c r="AT406" i="8" a="1"/>
  <c r="AT406" i="8" s="1"/>
  <c r="AU406" i="8" s="1"/>
  <c r="AP406" i="8"/>
  <c r="AB406" i="8"/>
  <c r="AA406" i="8"/>
  <c r="Y406" i="8"/>
  <c r="X406" i="8"/>
  <c r="V406" i="8"/>
  <c r="W406" i="8" s="1"/>
  <c r="L406" i="8"/>
  <c r="K406" i="8"/>
  <c r="AV405" i="8"/>
  <c r="AT405" i="8" a="1"/>
  <c r="AT405" i="8"/>
  <c r="AU405" i="8" s="1"/>
  <c r="AP405" i="8"/>
  <c r="AB405" i="8"/>
  <c r="AA405" i="8"/>
  <c r="Y405" i="8"/>
  <c r="X405" i="8"/>
  <c r="V405" i="8"/>
  <c r="W405" i="8" s="1"/>
  <c r="L405" i="8"/>
  <c r="K405" i="8"/>
  <c r="AV404" i="8"/>
  <c r="AT404" i="8" a="1"/>
  <c r="AT404" i="8"/>
  <c r="AU404" i="8" s="1"/>
  <c r="AP404" i="8"/>
  <c r="AB404" i="8"/>
  <c r="AA404" i="8"/>
  <c r="Y404" i="8"/>
  <c r="X404" i="8"/>
  <c r="W404" i="8"/>
  <c r="V404" i="8"/>
  <c r="L404" i="8"/>
  <c r="K404" i="8"/>
  <c r="AV403" i="8"/>
  <c r="AT403" i="8" a="1"/>
  <c r="AT403" i="8"/>
  <c r="AU403" i="8" s="1"/>
  <c r="AP403" i="8"/>
  <c r="AA403" i="8"/>
  <c r="AB403" i="8" s="1"/>
  <c r="Y403" i="8"/>
  <c r="X403" i="8"/>
  <c r="V403" i="8"/>
  <c r="W403" i="8" s="1"/>
  <c r="L403" i="8"/>
  <c r="K403" i="8"/>
  <c r="AV402" i="8"/>
  <c r="AU402" i="8"/>
  <c r="AT402" i="8" a="1"/>
  <c r="AT402" i="8" s="1"/>
  <c r="AP402" i="8"/>
  <c r="AB402" i="8"/>
  <c r="AA402" i="8"/>
  <c r="Y402" i="8"/>
  <c r="X402" i="8"/>
  <c r="V402" i="8"/>
  <c r="W402" i="8" s="1"/>
  <c r="L402" i="8"/>
  <c r="K402" i="8"/>
  <c r="AV401" i="8"/>
  <c r="AT401" i="8" a="1"/>
  <c r="AT401" i="8" s="1"/>
  <c r="AU401" i="8" s="1"/>
  <c r="AP401" i="8"/>
  <c r="AA401" i="8"/>
  <c r="AB401" i="8" s="1"/>
  <c r="Y401" i="8"/>
  <c r="X401" i="8"/>
  <c r="V401" i="8"/>
  <c r="W401" i="8" s="1"/>
  <c r="L401" i="8"/>
  <c r="K401" i="8"/>
  <c r="AV400" i="8"/>
  <c r="AU400" i="8"/>
  <c r="AT400" i="8" a="1"/>
  <c r="AT400" i="8"/>
  <c r="AP400" i="8"/>
  <c r="AB400" i="8"/>
  <c r="AA400" i="8"/>
  <c r="Y400" i="8"/>
  <c r="X400" i="8"/>
  <c r="V400" i="8"/>
  <c r="W400" i="8" s="1"/>
  <c r="L400" i="8"/>
  <c r="K400" i="8"/>
  <c r="AV399" i="8"/>
  <c r="AT399" i="8" a="1"/>
  <c r="AT399" i="8"/>
  <c r="AU399" i="8" s="1"/>
  <c r="AP399" i="8"/>
  <c r="AA399" i="8"/>
  <c r="AB399" i="8" s="1"/>
  <c r="Y399" i="8"/>
  <c r="X399" i="8"/>
  <c r="W399" i="8"/>
  <c r="V399" i="8"/>
  <c r="L399" i="8"/>
  <c r="K399" i="8"/>
  <c r="AV398" i="8"/>
  <c r="AT398" i="8" a="1"/>
  <c r="AT398" i="8"/>
  <c r="AU398" i="8" s="1"/>
  <c r="AP398" i="8"/>
  <c r="AA398" i="8"/>
  <c r="AB398" i="8" s="1"/>
  <c r="Y398" i="8"/>
  <c r="X398" i="8"/>
  <c r="V398" i="8"/>
  <c r="W398" i="8" s="1"/>
  <c r="L398" i="8"/>
  <c r="K398" i="8"/>
  <c r="AV397" i="8"/>
  <c r="AU397" i="8"/>
  <c r="AT397" i="8" a="1"/>
  <c r="AT397" i="8" s="1"/>
  <c r="AP397" i="8"/>
  <c r="AB397" i="8"/>
  <c r="AA397" i="8"/>
  <c r="Y397" i="8"/>
  <c r="X397" i="8"/>
  <c r="V397" i="8"/>
  <c r="W397" i="8" s="1"/>
  <c r="L397" i="8"/>
  <c r="K397" i="8"/>
  <c r="AV396" i="8"/>
  <c r="AU396" i="8"/>
  <c r="AT396" i="8" a="1"/>
  <c r="AT396" i="8" s="1"/>
  <c r="AP396" i="8"/>
  <c r="AA396" i="8"/>
  <c r="AB396" i="8" s="1"/>
  <c r="Y396" i="8"/>
  <c r="X396" i="8"/>
  <c r="V396" i="8"/>
  <c r="W396" i="8" s="1"/>
  <c r="L396" i="8"/>
  <c r="K396" i="8"/>
  <c r="AV395" i="8"/>
  <c r="AT395" i="8" a="1"/>
  <c r="AT395" i="8"/>
  <c r="AU395" i="8" s="1"/>
  <c r="AP395" i="8"/>
  <c r="AB395" i="8"/>
  <c r="AA395" i="8"/>
  <c r="Y395" i="8"/>
  <c r="X395" i="8"/>
  <c r="V395" i="8"/>
  <c r="W395" i="8" s="1"/>
  <c r="L395" i="8"/>
  <c r="K395" i="8"/>
  <c r="AV394" i="8"/>
  <c r="AT394" i="8" a="1"/>
  <c r="AT394" i="8"/>
  <c r="AU394" i="8" s="1"/>
  <c r="AP394" i="8"/>
  <c r="AA394" i="8"/>
  <c r="AB394" i="8" s="1"/>
  <c r="Y394" i="8"/>
  <c r="X394" i="8"/>
  <c r="W394" i="8"/>
  <c r="V394" i="8"/>
  <c r="L394" i="8"/>
  <c r="K394" i="8"/>
  <c r="AV393" i="8"/>
  <c r="AT393" i="8" a="1"/>
  <c r="AT393" i="8"/>
  <c r="AU393" i="8" s="1"/>
  <c r="AP393" i="8"/>
  <c r="AB393" i="8"/>
  <c r="AA393" i="8"/>
  <c r="Y393" i="8"/>
  <c r="X393" i="8"/>
  <c r="W393" i="8"/>
  <c r="V393" i="8"/>
  <c r="L393" i="8"/>
  <c r="K393" i="8"/>
  <c r="AV392" i="8"/>
  <c r="AU392" i="8"/>
  <c r="AT392" i="8" a="1"/>
  <c r="AT392" i="8"/>
  <c r="AP392" i="8"/>
  <c r="AA392" i="8"/>
  <c r="AB392" i="8" s="1"/>
  <c r="Y392" i="8"/>
  <c r="X392" i="8"/>
  <c r="W392" i="8"/>
  <c r="V392" i="8"/>
  <c r="L392" i="8"/>
  <c r="K392" i="8"/>
  <c r="AV391" i="8"/>
  <c r="AU391" i="8"/>
  <c r="AT391" i="8" a="1"/>
  <c r="AT391" i="8" s="1"/>
  <c r="AP391" i="8"/>
  <c r="AB391" i="8"/>
  <c r="AA391" i="8"/>
  <c r="Y391" i="8"/>
  <c r="X391" i="8"/>
  <c r="V391" i="8"/>
  <c r="W391" i="8" s="1"/>
  <c r="L391" i="8"/>
  <c r="K391" i="8"/>
  <c r="AV390" i="8"/>
  <c r="AT390" i="8" a="1"/>
  <c r="AT390" i="8"/>
  <c r="AU390" i="8" s="1"/>
  <c r="AP390" i="8"/>
  <c r="AB390" i="8"/>
  <c r="AA390" i="8"/>
  <c r="Y390" i="8"/>
  <c r="X390" i="8"/>
  <c r="V390" i="8"/>
  <c r="W390" i="8" s="1"/>
  <c r="L390" i="8"/>
  <c r="K390" i="8"/>
  <c r="AV389" i="8"/>
  <c r="AT389" i="8" a="1"/>
  <c r="AT389" i="8" s="1"/>
  <c r="AU389" i="8" s="1"/>
  <c r="AP389" i="8"/>
  <c r="AA389" i="8"/>
  <c r="AB389" i="8" s="1"/>
  <c r="Y389" i="8"/>
  <c r="X389" i="8"/>
  <c r="W389" i="8"/>
  <c r="V389" i="8"/>
  <c r="L389" i="8"/>
  <c r="K389" i="8"/>
  <c r="AV388" i="8"/>
  <c r="AT388" i="8" a="1"/>
  <c r="AT388" i="8"/>
  <c r="AU388" i="8" s="1"/>
  <c r="AP388" i="8"/>
  <c r="AB388" i="8"/>
  <c r="AA388" i="8"/>
  <c r="Y388" i="8"/>
  <c r="X388" i="8"/>
  <c r="W388" i="8"/>
  <c r="V388" i="8"/>
  <c r="L388" i="8"/>
  <c r="K388" i="8"/>
  <c r="AV387" i="8"/>
  <c r="AU387" i="8"/>
  <c r="AT387" i="8" a="1"/>
  <c r="AT387" i="8"/>
  <c r="AP387" i="8"/>
  <c r="AB387" i="8"/>
  <c r="AA387" i="8"/>
  <c r="Y387" i="8"/>
  <c r="X387" i="8"/>
  <c r="V387" i="8"/>
  <c r="W387" i="8" s="1"/>
  <c r="L387" i="8"/>
  <c r="K387" i="8"/>
  <c r="AV386" i="8"/>
  <c r="AU386" i="8"/>
  <c r="AT386" i="8" a="1"/>
  <c r="AT386" i="8" s="1"/>
  <c r="AP386" i="8"/>
  <c r="AA386" i="8"/>
  <c r="AB386" i="8" s="1"/>
  <c r="Y386" i="8"/>
  <c r="X386" i="8"/>
  <c r="V386" i="8"/>
  <c r="W386" i="8" s="1"/>
  <c r="L386" i="8"/>
  <c r="K386" i="8"/>
  <c r="AV385" i="8"/>
  <c r="AT385" i="8" a="1"/>
  <c r="AT385" i="8"/>
  <c r="AU385" i="8" s="1"/>
  <c r="AP385" i="8"/>
  <c r="AB385" i="8"/>
  <c r="AA385" i="8"/>
  <c r="Y385" i="8"/>
  <c r="X385" i="8"/>
  <c r="W385" i="8"/>
  <c r="V385" i="8"/>
  <c r="L385" i="8"/>
  <c r="K385" i="8"/>
  <c r="AV384" i="8"/>
  <c r="AT384" i="8" a="1"/>
  <c r="AT384" i="8" s="1"/>
  <c r="AU384" i="8" s="1"/>
  <c r="AP384" i="8"/>
  <c r="AA384" i="8"/>
  <c r="AB384" i="8" s="1"/>
  <c r="Y384" i="8"/>
  <c r="X384" i="8"/>
  <c r="W384" i="8"/>
  <c r="V384" i="8"/>
  <c r="L384" i="8"/>
  <c r="K384" i="8"/>
  <c r="AV383" i="8"/>
  <c r="AT383" i="8" a="1"/>
  <c r="AT383" i="8"/>
  <c r="AU383" i="8" s="1"/>
  <c r="AP383" i="8"/>
  <c r="AB383" i="8"/>
  <c r="AA383" i="8"/>
  <c r="Y383" i="8"/>
  <c r="X383" i="8"/>
  <c r="W383" i="8"/>
  <c r="V383" i="8"/>
  <c r="L383" i="8"/>
  <c r="K383" i="8"/>
  <c r="AV382" i="8"/>
  <c r="AU382" i="8"/>
  <c r="AT382" i="8" a="1"/>
  <c r="AT382" i="8" s="1"/>
  <c r="AP382" i="8"/>
  <c r="AB382" i="8"/>
  <c r="AA382" i="8"/>
  <c r="Y382" i="8"/>
  <c r="X382" i="8"/>
  <c r="V382" i="8"/>
  <c r="W382" i="8" s="1"/>
  <c r="L382" i="8"/>
  <c r="K382" i="8"/>
  <c r="AV381" i="8"/>
  <c r="AU381" i="8"/>
  <c r="AT381" i="8" a="1"/>
  <c r="AT381" i="8" s="1"/>
  <c r="AP381" i="8"/>
  <c r="AA381" i="8"/>
  <c r="AB381" i="8" s="1"/>
  <c r="Y381" i="8"/>
  <c r="X381" i="8"/>
  <c r="V381" i="8"/>
  <c r="W381" i="8" s="1"/>
  <c r="L381" i="8"/>
  <c r="K381" i="8"/>
  <c r="AV380" i="8"/>
  <c r="AU380" i="8"/>
  <c r="AT380" i="8" a="1"/>
  <c r="AT380" i="8"/>
  <c r="AP380" i="8"/>
  <c r="AB380" i="8"/>
  <c r="AA380" i="8"/>
  <c r="Y380" i="8"/>
  <c r="X380" i="8"/>
  <c r="V380" i="8"/>
  <c r="W380" i="8" s="1"/>
  <c r="L380" i="8"/>
  <c r="K380" i="8"/>
  <c r="AV379" i="8"/>
  <c r="AT379" i="8" a="1"/>
  <c r="AT379" i="8"/>
  <c r="AU379" i="8" s="1"/>
  <c r="AP379" i="8"/>
  <c r="AB379" i="8"/>
  <c r="AA379" i="8"/>
  <c r="Y379" i="8"/>
  <c r="X379" i="8"/>
  <c r="W379" i="8"/>
  <c r="V379" i="8"/>
  <c r="L379" i="8"/>
  <c r="K379" i="8"/>
  <c r="AV378" i="8"/>
  <c r="AT378" i="8" a="1"/>
  <c r="AT378" i="8"/>
  <c r="AU378" i="8" s="1"/>
  <c r="AP378" i="8"/>
  <c r="AA378" i="8"/>
  <c r="AB378" i="8" s="1"/>
  <c r="Y378" i="8"/>
  <c r="X378" i="8"/>
  <c r="V378" i="8"/>
  <c r="W378" i="8" s="1"/>
  <c r="L378" i="8"/>
  <c r="K378" i="8"/>
  <c r="AV377" i="8"/>
  <c r="AU377" i="8"/>
  <c r="AT377" i="8" a="1"/>
  <c r="AT377" i="8"/>
  <c r="AP377" i="8"/>
  <c r="AB377" i="8"/>
  <c r="AA377" i="8"/>
  <c r="Y377" i="8"/>
  <c r="X377" i="8"/>
  <c r="W377" i="8"/>
  <c r="V377" i="8"/>
  <c r="L377" i="8"/>
  <c r="K377" i="8"/>
  <c r="AV376" i="8"/>
  <c r="AT376" i="8" a="1"/>
  <c r="AT376" i="8" s="1"/>
  <c r="AU376" i="8" s="1"/>
  <c r="AP376" i="8"/>
  <c r="AA376" i="8"/>
  <c r="AB376" i="8" s="1"/>
  <c r="Y376" i="8"/>
  <c r="X376" i="8"/>
  <c r="V376" i="8"/>
  <c r="W376" i="8" s="1"/>
  <c r="L376" i="8"/>
  <c r="K376" i="8"/>
  <c r="AV375" i="8"/>
  <c r="AT375" i="8" a="1"/>
  <c r="AT375" i="8" s="1"/>
  <c r="AU375" i="8" s="1"/>
  <c r="AP375" i="8"/>
  <c r="AA375" i="8"/>
  <c r="AB375" i="8" s="1"/>
  <c r="Y375" i="8"/>
  <c r="X375" i="8"/>
  <c r="W375" i="8"/>
  <c r="V375" i="8"/>
  <c r="L375" i="8"/>
  <c r="K375" i="8"/>
  <c r="AV374" i="8"/>
  <c r="AT374" i="8" a="1"/>
  <c r="AT374" i="8"/>
  <c r="AU374" i="8" s="1"/>
  <c r="AP374" i="8"/>
  <c r="AB374" i="8"/>
  <c r="AA374" i="8"/>
  <c r="Y374" i="8"/>
  <c r="X374" i="8"/>
  <c r="V374" i="8"/>
  <c r="W374" i="8" s="1"/>
  <c r="L374" i="8"/>
  <c r="K374" i="8"/>
  <c r="AV373" i="8"/>
  <c r="AU373" i="8"/>
  <c r="AT373" i="8" a="1"/>
  <c r="AT373" i="8" s="1"/>
  <c r="AP373" i="8"/>
  <c r="AB373" i="8"/>
  <c r="AA373" i="8"/>
  <c r="Y373" i="8"/>
  <c r="X373" i="8"/>
  <c r="W373" i="8"/>
  <c r="V373" i="8"/>
  <c r="L373" i="8"/>
  <c r="K373" i="8"/>
  <c r="AV372" i="8"/>
  <c r="AT372" i="8" a="1"/>
  <c r="AT372" i="8"/>
  <c r="AU372" i="8" s="1"/>
  <c r="AP372" i="8"/>
  <c r="AA372" i="8"/>
  <c r="AB372" i="8" s="1"/>
  <c r="Y372" i="8"/>
  <c r="X372" i="8"/>
  <c r="V372" i="8"/>
  <c r="W372" i="8" s="1"/>
  <c r="L372" i="8"/>
  <c r="K372" i="8"/>
  <c r="AV371" i="8"/>
  <c r="AT371" i="8" a="1"/>
  <c r="AT371" i="8"/>
  <c r="AU371" i="8" s="1"/>
  <c r="AP371" i="8"/>
  <c r="AB371" i="8"/>
  <c r="AA371" i="8"/>
  <c r="Y371" i="8"/>
  <c r="X371" i="8"/>
  <c r="W371" i="8"/>
  <c r="V371" i="8"/>
  <c r="L371" i="8"/>
  <c r="K371" i="8"/>
  <c r="AV370" i="8"/>
  <c r="AT370" i="8" a="1"/>
  <c r="AT370" i="8"/>
  <c r="AU370" i="8" s="1"/>
  <c r="AP370" i="8"/>
  <c r="AB370" i="8"/>
  <c r="AA370" i="8"/>
  <c r="Y370" i="8"/>
  <c r="X370" i="8"/>
  <c r="W370" i="8"/>
  <c r="V370" i="8"/>
  <c r="L370" i="8"/>
  <c r="K370" i="8"/>
  <c r="AV369" i="8"/>
  <c r="AU369" i="8"/>
  <c r="AT369" i="8" a="1"/>
  <c r="AT369" i="8"/>
  <c r="AP369" i="8"/>
  <c r="AA369" i="8"/>
  <c r="AB369" i="8" s="1"/>
  <c r="Y369" i="8"/>
  <c r="X369" i="8"/>
  <c r="W369" i="8"/>
  <c r="V369" i="8"/>
  <c r="L369" i="8"/>
  <c r="K369" i="8"/>
  <c r="AV368" i="8"/>
  <c r="AU368" i="8"/>
  <c r="AT368" i="8" a="1"/>
  <c r="AT368" i="8" s="1"/>
  <c r="AP368" i="8"/>
  <c r="AB368" i="8"/>
  <c r="AA368" i="8"/>
  <c r="Y368" i="8"/>
  <c r="X368" i="8"/>
  <c r="W368" i="8"/>
  <c r="V368" i="8"/>
  <c r="L368" i="8"/>
  <c r="K368" i="8"/>
  <c r="AV367" i="8"/>
  <c r="AT367" i="8" a="1"/>
  <c r="AT367" i="8" s="1"/>
  <c r="AU367" i="8" s="1"/>
  <c r="AP367" i="8"/>
  <c r="AA367" i="8"/>
  <c r="AB367" i="8" s="1"/>
  <c r="Y367" i="8"/>
  <c r="X367" i="8"/>
  <c r="V367" i="8"/>
  <c r="W367" i="8" s="1"/>
  <c r="L367" i="8"/>
  <c r="K367" i="8"/>
  <c r="AV366" i="8"/>
  <c r="AT366" i="8" a="1"/>
  <c r="AT366" i="8"/>
  <c r="AU366" i="8" s="1"/>
  <c r="AP366" i="8"/>
  <c r="AB366" i="8"/>
  <c r="AA366" i="8"/>
  <c r="Y366" i="8"/>
  <c r="X366" i="8"/>
  <c r="W366" i="8"/>
  <c r="V366" i="8"/>
  <c r="L366" i="8"/>
  <c r="K366" i="8"/>
  <c r="AV365" i="8"/>
  <c r="AT365" i="8" a="1"/>
  <c r="AT365" i="8"/>
  <c r="AU365" i="8" s="1"/>
  <c r="AP365" i="8"/>
  <c r="AB365" i="8"/>
  <c r="AA365" i="8"/>
  <c r="Y365" i="8"/>
  <c r="X365" i="8"/>
  <c r="W365" i="8"/>
  <c r="V365" i="8"/>
  <c r="L365" i="8"/>
  <c r="K365" i="8"/>
  <c r="AV364" i="8"/>
  <c r="AU364" i="8"/>
  <c r="AT364" i="8" a="1"/>
  <c r="AT364" i="8"/>
  <c r="AP364" i="8"/>
  <c r="AA364" i="8"/>
  <c r="AB364" i="8" s="1"/>
  <c r="Y364" i="8"/>
  <c r="X364" i="8"/>
  <c r="V364" i="8"/>
  <c r="W364" i="8" s="1"/>
  <c r="L364" i="8"/>
  <c r="K364" i="8"/>
  <c r="AV363" i="8"/>
  <c r="AU363" i="8"/>
  <c r="AT363" i="8" a="1"/>
  <c r="AT363" i="8" s="1"/>
  <c r="AP363" i="8"/>
  <c r="AB363" i="8"/>
  <c r="AA363" i="8"/>
  <c r="Y363" i="8"/>
  <c r="X363" i="8"/>
  <c r="W363" i="8"/>
  <c r="V363" i="8"/>
  <c r="L363" i="8"/>
  <c r="K363" i="8"/>
  <c r="AV362" i="8"/>
  <c r="AT362" i="8" a="1"/>
  <c r="AT362" i="8" s="1"/>
  <c r="AU362" i="8" s="1"/>
  <c r="AP362" i="8"/>
  <c r="AA362" i="8"/>
  <c r="AB362" i="8" s="1"/>
  <c r="Y362" i="8"/>
  <c r="X362" i="8"/>
  <c r="V362" i="8"/>
  <c r="W362" i="8" s="1"/>
  <c r="L362" i="8"/>
  <c r="K362" i="8"/>
  <c r="AV361" i="8"/>
  <c r="AT361" i="8" a="1"/>
  <c r="AT361" i="8" s="1"/>
  <c r="AU361" i="8" s="1"/>
  <c r="AP361" i="8"/>
  <c r="AA361" i="8"/>
  <c r="AB361" i="8" s="1"/>
  <c r="Y361" i="8"/>
  <c r="X361" i="8"/>
  <c r="V361" i="8"/>
  <c r="W361" i="8" s="1"/>
  <c r="L361" i="8"/>
  <c r="K361" i="8"/>
  <c r="AV360" i="8"/>
  <c r="AT360" i="8" a="1"/>
  <c r="AT360" i="8" s="1"/>
  <c r="AU360" i="8" s="1"/>
  <c r="AP360" i="8"/>
  <c r="AA360" i="8"/>
  <c r="AB360" i="8" s="1"/>
  <c r="Y360" i="8"/>
  <c r="X360" i="8"/>
  <c r="W360" i="8"/>
  <c r="V360" i="8"/>
  <c r="L360" i="8"/>
  <c r="K360" i="8"/>
  <c r="AV359" i="8"/>
  <c r="AU359" i="8"/>
  <c r="AT359" i="8" a="1"/>
  <c r="AT359" i="8"/>
  <c r="AP359" i="8"/>
  <c r="AA359" i="8"/>
  <c r="AB359" i="8" s="1"/>
  <c r="Y359" i="8"/>
  <c r="X359" i="8"/>
  <c r="W359" i="8"/>
  <c r="V359" i="8"/>
  <c r="L359" i="8"/>
  <c r="K359" i="8"/>
  <c r="AV358" i="8"/>
  <c r="AT358" i="8" a="1"/>
  <c r="AT358" i="8" s="1"/>
  <c r="AU358" i="8" s="1"/>
  <c r="AP358" i="8"/>
  <c r="AB358" i="8"/>
  <c r="AA358" i="8"/>
  <c r="Y358" i="8"/>
  <c r="X358" i="8"/>
  <c r="W358" i="8"/>
  <c r="V358" i="8"/>
  <c r="L358" i="8"/>
  <c r="K358" i="8"/>
  <c r="AV357" i="8"/>
  <c r="AT357" i="8" a="1"/>
  <c r="AT357" i="8" s="1"/>
  <c r="AU357" i="8" s="1"/>
  <c r="AP357" i="8"/>
  <c r="AA357" i="8"/>
  <c r="AB357" i="8" s="1"/>
  <c r="Y357" i="8"/>
  <c r="X357" i="8"/>
  <c r="V357" i="8"/>
  <c r="W357" i="8" s="1"/>
  <c r="L357" i="8"/>
  <c r="K357" i="8"/>
  <c r="AV356" i="8"/>
  <c r="AT356" i="8" a="1"/>
  <c r="AT356" i="8" s="1"/>
  <c r="AU356" i="8" s="1"/>
  <c r="AP356" i="8"/>
  <c r="AA356" i="8"/>
  <c r="AB356" i="8" s="1"/>
  <c r="Y356" i="8"/>
  <c r="X356" i="8"/>
  <c r="V356" i="8"/>
  <c r="W356" i="8" s="1"/>
  <c r="L356" i="8"/>
  <c r="K356" i="8"/>
  <c r="AV355" i="8"/>
  <c r="AT355" i="8" a="1"/>
  <c r="AT355" i="8" s="1"/>
  <c r="AU355" i="8" s="1"/>
  <c r="AP355" i="8"/>
  <c r="AA355" i="8"/>
  <c r="AB355" i="8" s="1"/>
  <c r="Y355" i="8"/>
  <c r="X355" i="8"/>
  <c r="W355" i="8"/>
  <c r="V355" i="8"/>
  <c r="L355" i="8"/>
  <c r="K355" i="8"/>
  <c r="AV354" i="8"/>
  <c r="AT354" i="8" a="1"/>
  <c r="AT354" i="8"/>
  <c r="AU354" i="8" s="1"/>
  <c r="AP354" i="8"/>
  <c r="AB354" i="8"/>
  <c r="AA354" i="8"/>
  <c r="Y354" i="8"/>
  <c r="X354" i="8"/>
  <c r="W354" i="8"/>
  <c r="V354" i="8"/>
  <c r="L354" i="8"/>
  <c r="K354" i="8"/>
  <c r="AV353" i="8"/>
  <c r="AT353" i="8" a="1"/>
  <c r="AT353" i="8"/>
  <c r="AU353" i="8" s="1"/>
  <c r="AP353" i="8"/>
  <c r="AA353" i="8"/>
  <c r="AB353" i="8" s="1"/>
  <c r="Y353" i="8"/>
  <c r="X353" i="8"/>
  <c r="W353" i="8"/>
  <c r="V353" i="8"/>
  <c r="L353" i="8"/>
  <c r="K353" i="8"/>
  <c r="AV352" i="8"/>
  <c r="AT352" i="8" a="1"/>
  <c r="AT352" i="8" s="1"/>
  <c r="AU352" i="8" s="1"/>
  <c r="AP352" i="8"/>
  <c r="AA352" i="8"/>
  <c r="AB352" i="8" s="1"/>
  <c r="Y352" i="8"/>
  <c r="X352" i="8"/>
  <c r="V352" i="8"/>
  <c r="W352" i="8" s="1"/>
  <c r="L352" i="8"/>
  <c r="K352" i="8"/>
  <c r="AV351" i="8"/>
  <c r="AT351" i="8" a="1"/>
  <c r="AT351" i="8" s="1"/>
  <c r="AU351" i="8" s="1"/>
  <c r="AP351" i="8"/>
  <c r="AA351" i="8"/>
  <c r="AB351" i="8" s="1"/>
  <c r="Y351" i="8"/>
  <c r="X351" i="8"/>
  <c r="V351" i="8"/>
  <c r="W351" i="8" s="1"/>
  <c r="L351" i="8"/>
  <c r="K351" i="8"/>
  <c r="AV350" i="8"/>
  <c r="AU350" i="8"/>
  <c r="AT350" i="8" a="1"/>
  <c r="AT350" i="8" s="1"/>
  <c r="AP350" i="8"/>
  <c r="AA350" i="8"/>
  <c r="AB350" i="8" s="1"/>
  <c r="Y350" i="8"/>
  <c r="X350" i="8"/>
  <c r="W350" i="8"/>
  <c r="V350" i="8"/>
  <c r="L350" i="8"/>
  <c r="K350" i="8"/>
  <c r="AV349" i="8"/>
  <c r="AT349" i="8" a="1"/>
  <c r="AT349" i="8"/>
  <c r="AU349" i="8" s="1"/>
  <c r="AP349" i="8"/>
  <c r="AB349" i="8"/>
  <c r="AA349" i="8"/>
  <c r="Y349" i="8"/>
  <c r="X349" i="8"/>
  <c r="W349" i="8"/>
  <c r="V349" i="8"/>
  <c r="L349" i="8"/>
  <c r="K349" i="8"/>
  <c r="AV348" i="8"/>
  <c r="AT348" i="8" a="1"/>
  <c r="AT348" i="8"/>
  <c r="AU348" i="8" s="1"/>
  <c r="AP348" i="8"/>
  <c r="AA348" i="8"/>
  <c r="AB348" i="8" s="1"/>
  <c r="Y348" i="8"/>
  <c r="X348" i="8"/>
  <c r="V348" i="8"/>
  <c r="W348" i="8" s="1"/>
  <c r="L348" i="8"/>
  <c r="K348" i="8"/>
  <c r="AV347" i="8"/>
  <c r="AT347" i="8" a="1"/>
  <c r="AT347" i="8" s="1"/>
  <c r="AU347" i="8" s="1"/>
  <c r="AP347" i="8"/>
  <c r="AA347" i="8"/>
  <c r="AB347" i="8" s="1"/>
  <c r="Y347" i="8"/>
  <c r="X347" i="8"/>
  <c r="V347" i="8"/>
  <c r="W347" i="8" s="1"/>
  <c r="L347" i="8"/>
  <c r="K347" i="8"/>
  <c r="AV346" i="8"/>
  <c r="AT346" i="8" a="1"/>
  <c r="AT346" i="8"/>
  <c r="AU346" i="8" s="1"/>
  <c r="AP346" i="8"/>
  <c r="AA346" i="8"/>
  <c r="AB346" i="8" s="1"/>
  <c r="Y346" i="8"/>
  <c r="X346" i="8"/>
  <c r="V346" i="8"/>
  <c r="W346" i="8" s="1"/>
  <c r="L346" i="8"/>
  <c r="K346" i="8"/>
  <c r="AV345" i="8"/>
  <c r="AT345" i="8" a="1"/>
  <c r="AT345" i="8"/>
  <c r="AU345" i="8" s="1"/>
  <c r="AP345" i="8"/>
  <c r="AA345" i="8"/>
  <c r="AB345" i="8" s="1"/>
  <c r="Y345" i="8"/>
  <c r="X345" i="8"/>
  <c r="W345" i="8"/>
  <c r="V345" i="8"/>
  <c r="L345" i="8"/>
  <c r="K345" i="8"/>
  <c r="AV344" i="8"/>
  <c r="AT344" i="8" a="1"/>
  <c r="AT344" i="8"/>
  <c r="AU344" i="8" s="1"/>
  <c r="AP344" i="8"/>
  <c r="AB344" i="8"/>
  <c r="AA344" i="8"/>
  <c r="Y344" i="8"/>
  <c r="X344" i="8"/>
  <c r="W344" i="8"/>
  <c r="V344" i="8"/>
  <c r="L344" i="8"/>
  <c r="K344" i="8"/>
  <c r="AV343" i="8"/>
  <c r="AT343" i="8" a="1"/>
  <c r="AT343" i="8"/>
  <c r="AU343" i="8" s="1"/>
  <c r="AP343" i="8"/>
  <c r="AA343" i="8"/>
  <c r="AB343" i="8" s="1"/>
  <c r="Y343" i="8"/>
  <c r="X343" i="8"/>
  <c r="V343" i="8"/>
  <c r="W343" i="8" s="1"/>
  <c r="L343" i="8"/>
  <c r="K343" i="8"/>
  <c r="AV342" i="8"/>
  <c r="AT342" i="8" a="1"/>
  <c r="AT342" i="8" s="1"/>
  <c r="AU342" i="8" s="1"/>
  <c r="AP342" i="8"/>
  <c r="AB342" i="8"/>
  <c r="AA342" i="8"/>
  <c r="Y342" i="8"/>
  <c r="X342" i="8"/>
  <c r="V342" i="8"/>
  <c r="W342" i="8" s="1"/>
  <c r="L342" i="8"/>
  <c r="K342" i="8"/>
  <c r="AV341" i="8"/>
  <c r="AU341" i="8"/>
  <c r="AT341" i="8" a="1"/>
  <c r="AT341" i="8" s="1"/>
  <c r="AP341" i="8"/>
  <c r="AA341" i="8"/>
  <c r="AB341" i="8" s="1"/>
  <c r="Y341" i="8"/>
  <c r="X341" i="8"/>
  <c r="V341" i="8"/>
  <c r="W341" i="8" s="1"/>
  <c r="L341" i="8"/>
  <c r="K341" i="8"/>
  <c r="AV340" i="8"/>
  <c r="AT340" i="8" a="1"/>
  <c r="AT340" i="8" s="1"/>
  <c r="AU340" i="8" s="1"/>
  <c r="AP340" i="8"/>
  <c r="AA340" i="8"/>
  <c r="AB340" i="8" s="1"/>
  <c r="Y340" i="8"/>
  <c r="X340" i="8"/>
  <c r="W340" i="8"/>
  <c r="V340" i="8"/>
  <c r="L340" i="8"/>
  <c r="K340" i="8"/>
  <c r="AV339" i="8"/>
  <c r="AU339" i="8"/>
  <c r="AT339" i="8" a="1"/>
  <c r="AT339" i="8"/>
  <c r="AP339" i="8"/>
  <c r="AB339" i="8"/>
  <c r="AA339" i="8"/>
  <c r="Y339" i="8"/>
  <c r="X339" i="8"/>
  <c r="W339" i="8"/>
  <c r="V339" i="8"/>
  <c r="L339" i="8"/>
  <c r="K339" i="8"/>
  <c r="AV338" i="8"/>
  <c r="AT338" i="8" a="1"/>
  <c r="AT338" i="8"/>
  <c r="AU338" i="8" s="1"/>
  <c r="AP338" i="8"/>
  <c r="AA338" i="8"/>
  <c r="AB338" i="8" s="1"/>
  <c r="Y338" i="8"/>
  <c r="X338" i="8"/>
  <c r="V338" i="8"/>
  <c r="W338" i="8" s="1"/>
  <c r="L338" i="8"/>
  <c r="K338" i="8"/>
  <c r="AV337" i="8"/>
  <c r="AT337" i="8" a="1"/>
  <c r="AT337" i="8" s="1"/>
  <c r="AU337" i="8" s="1"/>
  <c r="AP337" i="8"/>
  <c r="AB337" i="8"/>
  <c r="AA337" i="8"/>
  <c r="Y337" i="8"/>
  <c r="X337" i="8"/>
  <c r="W337" i="8"/>
  <c r="V337" i="8"/>
  <c r="L337" i="8"/>
  <c r="K337" i="8"/>
  <c r="AV336" i="8"/>
  <c r="AU336" i="8"/>
  <c r="AT336" i="8" a="1"/>
  <c r="AT336" i="8" s="1"/>
  <c r="AP336" i="8"/>
  <c r="AA336" i="8"/>
  <c r="AB336" i="8" s="1"/>
  <c r="Y336" i="8"/>
  <c r="X336" i="8"/>
  <c r="V336" i="8"/>
  <c r="W336" i="8" s="1"/>
  <c r="L336" i="8"/>
  <c r="K336" i="8"/>
  <c r="AV335" i="8"/>
  <c r="AT335" i="8" a="1"/>
  <c r="AT335" i="8"/>
  <c r="AU335" i="8" s="1"/>
  <c r="AP335" i="8"/>
  <c r="AB335" i="8"/>
  <c r="AA335" i="8"/>
  <c r="Y335" i="8"/>
  <c r="X335" i="8"/>
  <c r="V335" i="8"/>
  <c r="W335" i="8" s="1"/>
  <c r="L335" i="8"/>
  <c r="K335" i="8"/>
  <c r="AV334" i="8"/>
  <c r="AT334" i="8" a="1"/>
  <c r="AT334" i="8" s="1"/>
  <c r="AU334" i="8" s="1"/>
  <c r="AP334" i="8"/>
  <c r="AA334" i="8"/>
  <c r="AB334" i="8" s="1"/>
  <c r="Y334" i="8"/>
  <c r="X334" i="8"/>
  <c r="W334" i="8"/>
  <c r="V334" i="8"/>
  <c r="L334" i="8"/>
  <c r="K334" i="8"/>
  <c r="AV333" i="8"/>
  <c r="AT333" i="8" a="1"/>
  <c r="AT333" i="8"/>
  <c r="AU333" i="8" s="1"/>
  <c r="AP333" i="8"/>
  <c r="AB333" i="8"/>
  <c r="AA333" i="8"/>
  <c r="Y333" i="8"/>
  <c r="X333" i="8"/>
  <c r="W333" i="8"/>
  <c r="V333" i="8"/>
  <c r="L333" i="8"/>
  <c r="K333" i="8"/>
  <c r="AV332" i="8"/>
  <c r="AU332" i="8"/>
  <c r="AT332" i="8" a="1"/>
  <c r="AT332" i="8"/>
  <c r="AP332" i="8"/>
  <c r="AA332" i="8"/>
  <c r="AB332" i="8" s="1"/>
  <c r="Y332" i="8"/>
  <c r="X332" i="8"/>
  <c r="V332" i="8"/>
  <c r="W332" i="8" s="1"/>
  <c r="L332" i="8"/>
  <c r="K332" i="8"/>
  <c r="AV331" i="8"/>
  <c r="AU331" i="8"/>
  <c r="AT331" i="8" a="1"/>
  <c r="AT331" i="8" s="1"/>
  <c r="AP331" i="8"/>
  <c r="AB331" i="8"/>
  <c r="AA331" i="8"/>
  <c r="Y331" i="8"/>
  <c r="X331" i="8"/>
  <c r="W331" i="8"/>
  <c r="V331" i="8"/>
  <c r="L331" i="8"/>
  <c r="K331" i="8"/>
  <c r="AV330" i="8"/>
  <c r="AT330" i="8" a="1"/>
  <c r="AT330" i="8" s="1"/>
  <c r="AU330" i="8" s="1"/>
  <c r="AP330" i="8"/>
  <c r="AA330" i="8"/>
  <c r="AB330" i="8" s="1"/>
  <c r="Y330" i="8"/>
  <c r="X330" i="8"/>
  <c r="V330" i="8"/>
  <c r="W330" i="8" s="1"/>
  <c r="L330" i="8"/>
  <c r="K330" i="8"/>
  <c r="AV329" i="8"/>
  <c r="AU329" i="8"/>
  <c r="AT329" i="8" a="1"/>
  <c r="AT329" i="8"/>
  <c r="AP329" i="8"/>
  <c r="AA329" i="8"/>
  <c r="AB329" i="8" s="1"/>
  <c r="Y329" i="8"/>
  <c r="X329" i="8"/>
  <c r="V329" i="8"/>
  <c r="W329" i="8" s="1"/>
  <c r="L329" i="8"/>
  <c r="K329" i="8"/>
  <c r="AV328" i="8"/>
  <c r="AT328" i="8" a="1"/>
  <c r="AT328" i="8" s="1"/>
  <c r="AU328" i="8" s="1"/>
  <c r="AP328" i="8"/>
  <c r="AA328" i="8"/>
  <c r="AB328" i="8" s="1"/>
  <c r="Y328" i="8"/>
  <c r="X328" i="8"/>
  <c r="W328" i="8"/>
  <c r="V328" i="8"/>
  <c r="L328" i="8"/>
  <c r="K328" i="8"/>
  <c r="AV327" i="8"/>
  <c r="AU327" i="8"/>
  <c r="AT327" i="8" a="1"/>
  <c r="AT327" i="8"/>
  <c r="AP327" i="8"/>
  <c r="AB327" i="8"/>
  <c r="AA327" i="8"/>
  <c r="Y327" i="8"/>
  <c r="X327" i="8"/>
  <c r="V327" i="8"/>
  <c r="W327" i="8" s="1"/>
  <c r="L327" i="8"/>
  <c r="K327" i="8"/>
  <c r="AV326" i="8"/>
  <c r="AT326" i="8" a="1"/>
  <c r="AT326" i="8" s="1"/>
  <c r="AU326" i="8" s="1"/>
  <c r="AP326" i="8"/>
  <c r="AB326" i="8"/>
  <c r="AA326" i="8"/>
  <c r="Y326" i="8"/>
  <c r="X326" i="8"/>
  <c r="W326" i="8"/>
  <c r="V326" i="8"/>
  <c r="L326" i="8"/>
  <c r="K326" i="8"/>
  <c r="AV325" i="8"/>
  <c r="AT325" i="8" a="1"/>
  <c r="AT325" i="8" s="1"/>
  <c r="AU325" i="8" s="1"/>
  <c r="AP325" i="8"/>
  <c r="AA325" i="8"/>
  <c r="AB325" i="8" s="1"/>
  <c r="Y325" i="8"/>
  <c r="X325" i="8"/>
  <c r="V325" i="8"/>
  <c r="W325" i="8" s="1"/>
  <c r="L325" i="8"/>
  <c r="K325" i="8"/>
  <c r="AV324" i="8"/>
  <c r="AT324" i="8" a="1"/>
  <c r="AT324" i="8"/>
  <c r="AU324" i="8" s="1"/>
  <c r="AP324" i="8"/>
  <c r="AA324" i="8"/>
  <c r="AB324" i="8" s="1"/>
  <c r="Y324" i="8"/>
  <c r="X324" i="8"/>
  <c r="V324" i="8"/>
  <c r="W324" i="8" s="1"/>
  <c r="L324" i="8"/>
  <c r="K324" i="8"/>
  <c r="AV323" i="8"/>
  <c r="AT323" i="8" a="1"/>
  <c r="AT323" i="8" s="1"/>
  <c r="AU323" i="8" s="1"/>
  <c r="AP323" i="8"/>
  <c r="AA323" i="8"/>
  <c r="AB323" i="8" s="1"/>
  <c r="Y323" i="8"/>
  <c r="X323" i="8"/>
  <c r="V323" i="8"/>
  <c r="W323" i="8" s="1"/>
  <c r="L323" i="8"/>
  <c r="K323" i="8"/>
  <c r="AV322" i="8"/>
  <c r="AT322" i="8" a="1"/>
  <c r="AT322" i="8"/>
  <c r="AU322" i="8" s="1"/>
  <c r="AP322" i="8"/>
  <c r="AB322" i="8"/>
  <c r="AA322" i="8"/>
  <c r="Y322" i="8"/>
  <c r="X322" i="8"/>
  <c r="W322" i="8"/>
  <c r="V322" i="8"/>
  <c r="L322" i="8"/>
  <c r="K322" i="8"/>
  <c r="AV321" i="8"/>
  <c r="AU321" i="8"/>
  <c r="AT321" i="8" a="1"/>
  <c r="AT321" i="8"/>
  <c r="AP321" i="8"/>
  <c r="AB321" i="8"/>
  <c r="AA321" i="8"/>
  <c r="Y321" i="8"/>
  <c r="X321" i="8"/>
  <c r="W321" i="8"/>
  <c r="V321" i="8"/>
  <c r="L321" i="8"/>
  <c r="K321" i="8"/>
  <c r="AV320" i="8"/>
  <c r="AT320" i="8" a="1"/>
  <c r="AT320" i="8"/>
  <c r="AU320" i="8" s="1"/>
  <c r="AP320" i="8"/>
  <c r="AB320" i="8"/>
  <c r="AA320" i="8"/>
  <c r="Y320" i="8"/>
  <c r="X320" i="8"/>
  <c r="V320" i="8"/>
  <c r="W320" i="8" s="1"/>
  <c r="L320" i="8"/>
  <c r="K320" i="8"/>
  <c r="AV319" i="8"/>
  <c r="AU319" i="8"/>
  <c r="AT319" i="8" a="1"/>
  <c r="AT319" i="8" s="1"/>
  <c r="AP319" i="8"/>
  <c r="AA319" i="8"/>
  <c r="AB319" i="8" s="1"/>
  <c r="Y319" i="8"/>
  <c r="X319" i="8"/>
  <c r="V319" i="8"/>
  <c r="W319" i="8" s="1"/>
  <c r="L319" i="8"/>
  <c r="K319" i="8"/>
  <c r="AV318" i="8"/>
  <c r="AU318" i="8"/>
  <c r="AT318" i="8" a="1"/>
  <c r="AT318" i="8" s="1"/>
  <c r="AP318" i="8"/>
  <c r="AA318" i="8"/>
  <c r="AB318" i="8" s="1"/>
  <c r="Y318" i="8"/>
  <c r="X318" i="8"/>
  <c r="V318" i="8"/>
  <c r="W318" i="8" s="1"/>
  <c r="L318" i="8"/>
  <c r="K318" i="8"/>
  <c r="AV317" i="8"/>
  <c r="AT317" i="8" a="1"/>
  <c r="AT317" i="8"/>
  <c r="AU317" i="8" s="1"/>
  <c r="AP317" i="8"/>
  <c r="AA317" i="8"/>
  <c r="AB317" i="8" s="1"/>
  <c r="Y317" i="8"/>
  <c r="X317" i="8"/>
  <c r="W317" i="8"/>
  <c r="V317" i="8"/>
  <c r="L317" i="8"/>
  <c r="K317" i="8"/>
  <c r="AV316" i="8"/>
  <c r="AU316" i="8"/>
  <c r="AT316" i="8" a="1"/>
  <c r="AT316" i="8"/>
  <c r="AP316" i="8"/>
  <c r="AB316" i="8"/>
  <c r="AA316" i="8"/>
  <c r="Y316" i="8"/>
  <c r="X316" i="8"/>
  <c r="V316" i="8"/>
  <c r="W316" i="8" s="1"/>
  <c r="L316" i="8"/>
  <c r="K316" i="8"/>
  <c r="AV315" i="8"/>
  <c r="AT315" i="8" a="1"/>
  <c r="AT315" i="8" s="1"/>
  <c r="AU315" i="8" s="1"/>
  <c r="AP315" i="8"/>
  <c r="AA315" i="8"/>
  <c r="AB315" i="8" s="1"/>
  <c r="Y315" i="8"/>
  <c r="X315" i="8"/>
  <c r="V315" i="8"/>
  <c r="W315" i="8" s="1"/>
  <c r="L315" i="8"/>
  <c r="K315" i="8"/>
  <c r="AV314" i="8"/>
  <c r="AT314" i="8" a="1"/>
  <c r="AT314" i="8" s="1"/>
  <c r="AU314" i="8" s="1"/>
  <c r="AP314" i="8"/>
  <c r="AA314" i="8"/>
  <c r="AB314" i="8" s="1"/>
  <c r="Y314" i="8"/>
  <c r="X314" i="8"/>
  <c r="V314" i="8"/>
  <c r="W314" i="8" s="1"/>
  <c r="L314" i="8"/>
  <c r="K314" i="8"/>
  <c r="AV313" i="8"/>
  <c r="AU313" i="8"/>
  <c r="AT313" i="8" a="1"/>
  <c r="AT313" i="8"/>
  <c r="AP313" i="8"/>
  <c r="AA313" i="8"/>
  <c r="AB313" i="8" s="1"/>
  <c r="Y313" i="8"/>
  <c r="X313" i="8"/>
  <c r="V313" i="8"/>
  <c r="W313" i="8" s="1"/>
  <c r="L313" i="8"/>
  <c r="K313" i="8"/>
  <c r="AV312" i="8"/>
  <c r="AT312" i="8" a="1"/>
  <c r="AT312" i="8"/>
  <c r="AU312" i="8" s="1"/>
  <c r="AP312" i="8"/>
  <c r="AB312" i="8"/>
  <c r="AA312" i="8"/>
  <c r="Y312" i="8"/>
  <c r="X312" i="8"/>
  <c r="W312" i="8"/>
  <c r="V312" i="8"/>
  <c r="L312" i="8"/>
  <c r="K312" i="8"/>
  <c r="AV311" i="8"/>
  <c r="AU311" i="8"/>
  <c r="AT311" i="8" a="1"/>
  <c r="AT311" i="8"/>
  <c r="AP311" i="8"/>
  <c r="AB311" i="8"/>
  <c r="AA311" i="8"/>
  <c r="Y311" i="8"/>
  <c r="X311" i="8"/>
  <c r="V311" i="8"/>
  <c r="W311" i="8" s="1"/>
  <c r="L311" i="8"/>
  <c r="K311" i="8"/>
  <c r="AV310" i="8"/>
  <c r="AT310" i="8" a="1"/>
  <c r="AT310" i="8"/>
  <c r="AU310" i="8" s="1"/>
  <c r="AP310" i="8"/>
  <c r="AB310" i="8"/>
  <c r="AA310" i="8"/>
  <c r="Y310" i="8"/>
  <c r="X310" i="8"/>
  <c r="V310" i="8"/>
  <c r="W310" i="8" s="1"/>
  <c r="L310" i="8"/>
  <c r="K310" i="8"/>
  <c r="AV309" i="8"/>
  <c r="AT309" i="8" a="1"/>
  <c r="AT309" i="8" s="1"/>
  <c r="AU309" i="8" s="1"/>
  <c r="AP309" i="8"/>
  <c r="AA309" i="8"/>
  <c r="AB309" i="8" s="1"/>
  <c r="Y309" i="8"/>
  <c r="X309" i="8"/>
  <c r="V309" i="8"/>
  <c r="W309" i="8" s="1"/>
  <c r="L309" i="8"/>
  <c r="K309" i="8"/>
  <c r="AV308" i="8"/>
  <c r="AT308" i="8" a="1"/>
  <c r="AT308" i="8" s="1"/>
  <c r="AU308" i="8" s="1"/>
  <c r="AP308" i="8"/>
  <c r="AA308" i="8"/>
  <c r="AB308" i="8" s="1"/>
  <c r="Y308" i="8"/>
  <c r="X308" i="8"/>
  <c r="V308" i="8"/>
  <c r="W308" i="8" s="1"/>
  <c r="L308" i="8"/>
  <c r="K308" i="8"/>
  <c r="AV307" i="8"/>
  <c r="AT307" i="8" a="1"/>
  <c r="AT307" i="8"/>
  <c r="AU307" i="8" s="1"/>
  <c r="AP307" i="8"/>
  <c r="AB307" i="8"/>
  <c r="AA307" i="8"/>
  <c r="Y307" i="8"/>
  <c r="X307" i="8"/>
  <c r="W307" i="8"/>
  <c r="V307" i="8"/>
  <c r="L307" i="8"/>
  <c r="K307" i="8"/>
  <c r="AV306" i="8"/>
  <c r="AU306" i="8"/>
  <c r="AT306" i="8" a="1"/>
  <c r="AT306" i="8"/>
  <c r="AP306" i="8"/>
  <c r="AB306" i="8"/>
  <c r="AA306" i="8"/>
  <c r="Y306" i="8"/>
  <c r="X306" i="8"/>
  <c r="V306" i="8"/>
  <c r="W306" i="8" s="1"/>
  <c r="L306" i="8"/>
  <c r="K306" i="8"/>
  <c r="AV305" i="8"/>
  <c r="AT305" i="8" a="1"/>
  <c r="AT305" i="8"/>
  <c r="AU305" i="8" s="1"/>
  <c r="AP305" i="8"/>
  <c r="AA305" i="8"/>
  <c r="AB305" i="8" s="1"/>
  <c r="Y305" i="8"/>
  <c r="X305" i="8"/>
  <c r="V305" i="8"/>
  <c r="W305" i="8" s="1"/>
  <c r="L305" i="8"/>
  <c r="K305" i="8"/>
  <c r="AV304" i="8"/>
  <c r="AT304" i="8" a="1"/>
  <c r="AT304" i="8" s="1"/>
  <c r="AU304" i="8" s="1"/>
  <c r="AP304" i="8"/>
  <c r="AB304" i="8"/>
  <c r="AA304" i="8"/>
  <c r="Y304" i="8"/>
  <c r="X304" i="8"/>
  <c r="V304" i="8"/>
  <c r="W304" i="8" s="1"/>
  <c r="L304" i="8"/>
  <c r="K304" i="8"/>
  <c r="AV303" i="8"/>
  <c r="AU303" i="8"/>
  <c r="AT303" i="8" a="1"/>
  <c r="AT303" i="8"/>
  <c r="AP303" i="8"/>
  <c r="AB303" i="8"/>
  <c r="AA303" i="8"/>
  <c r="Y303" i="8"/>
  <c r="X303" i="8"/>
  <c r="W303" i="8"/>
  <c r="V303" i="8"/>
  <c r="L303" i="8"/>
  <c r="K303" i="8"/>
  <c r="AV302" i="8"/>
  <c r="AT302" i="8" a="1"/>
  <c r="AT302" i="8" s="1"/>
  <c r="AU302" i="8" s="1"/>
  <c r="AP302" i="8"/>
  <c r="AA302" i="8"/>
  <c r="AB302" i="8" s="1"/>
  <c r="Y302" i="8"/>
  <c r="X302" i="8"/>
  <c r="V302" i="8"/>
  <c r="W302" i="8" s="1"/>
  <c r="L302" i="8"/>
  <c r="K302" i="8"/>
  <c r="AV301" i="8"/>
  <c r="AT301" i="8" a="1"/>
  <c r="AT301" i="8"/>
  <c r="AU301" i="8" s="1"/>
  <c r="AP301" i="8"/>
  <c r="AB301" i="8"/>
  <c r="AA301" i="8"/>
  <c r="Y301" i="8"/>
  <c r="X301" i="8"/>
  <c r="W301" i="8"/>
  <c r="V301" i="8"/>
  <c r="L301" i="8"/>
  <c r="K301" i="8"/>
  <c r="AV300" i="8"/>
  <c r="AT300" i="8" a="1"/>
  <c r="AT300" i="8" s="1"/>
  <c r="AU300" i="8" s="1"/>
  <c r="AP300" i="8"/>
  <c r="AB300" i="8"/>
  <c r="AA300" i="8"/>
  <c r="Y300" i="8"/>
  <c r="X300" i="8"/>
  <c r="W300" i="8"/>
  <c r="V300" i="8"/>
  <c r="L300" i="8"/>
  <c r="K300" i="8"/>
  <c r="AV299" i="8"/>
  <c r="AU299" i="8"/>
  <c r="AT299" i="8" a="1"/>
  <c r="AT299" i="8"/>
  <c r="AP299" i="8"/>
  <c r="AB299" i="8"/>
  <c r="AA299" i="8"/>
  <c r="Y299" i="8"/>
  <c r="X299" i="8"/>
  <c r="W299" i="8"/>
  <c r="V299" i="8"/>
  <c r="L299" i="8"/>
  <c r="K299" i="8"/>
  <c r="AV298" i="8"/>
  <c r="AT298" i="8" a="1"/>
  <c r="AT298" i="8" s="1"/>
  <c r="AU298" i="8" s="1"/>
  <c r="AP298" i="8"/>
  <c r="AA298" i="8"/>
  <c r="AB298" i="8" s="1"/>
  <c r="Y298" i="8"/>
  <c r="X298" i="8"/>
  <c r="V298" i="8"/>
  <c r="W298" i="8" s="1"/>
  <c r="L298" i="8"/>
  <c r="K298" i="8"/>
  <c r="AV297" i="8"/>
  <c r="AT297" i="8" a="1"/>
  <c r="AT297" i="8"/>
  <c r="AU297" i="8" s="1"/>
  <c r="AP297" i="8"/>
  <c r="AA297" i="8"/>
  <c r="AB297" i="8" s="1"/>
  <c r="Y297" i="8"/>
  <c r="X297" i="8"/>
  <c r="V297" i="8"/>
  <c r="W297" i="8" s="1"/>
  <c r="L297" i="8"/>
  <c r="K297" i="8"/>
  <c r="AV296" i="8"/>
  <c r="AT296" i="8" a="1"/>
  <c r="AT296" i="8" s="1"/>
  <c r="AU296" i="8" s="1"/>
  <c r="AP296" i="8"/>
  <c r="AA296" i="8"/>
  <c r="AB296" i="8" s="1"/>
  <c r="Y296" i="8"/>
  <c r="X296" i="8"/>
  <c r="W296" i="8"/>
  <c r="V296" i="8"/>
  <c r="L296" i="8"/>
  <c r="K296" i="8"/>
  <c r="AV295" i="8"/>
  <c r="AT295" i="8" a="1"/>
  <c r="AT295" i="8" s="1"/>
  <c r="AU295" i="8" s="1"/>
  <c r="AP295" i="8"/>
  <c r="AB295" i="8"/>
  <c r="AA295" i="8"/>
  <c r="Y295" i="8"/>
  <c r="X295" i="8"/>
  <c r="W295" i="8"/>
  <c r="V295" i="8"/>
  <c r="L295" i="8"/>
  <c r="K295" i="8"/>
  <c r="AV294" i="8"/>
  <c r="AU294" i="8"/>
  <c r="AT294" i="8" a="1"/>
  <c r="AT294" i="8"/>
  <c r="AP294" i="8"/>
  <c r="AB294" i="8"/>
  <c r="AA294" i="8"/>
  <c r="Y294" i="8"/>
  <c r="X294" i="8"/>
  <c r="W294" i="8"/>
  <c r="V294" i="8"/>
  <c r="L294" i="8"/>
  <c r="K294" i="8"/>
  <c r="AV293" i="8"/>
  <c r="AT293" i="8" a="1"/>
  <c r="AT293" i="8" s="1"/>
  <c r="AU293" i="8" s="1"/>
  <c r="AP293" i="8"/>
  <c r="AA293" i="8"/>
  <c r="AB293" i="8" s="1"/>
  <c r="Y293" i="8"/>
  <c r="X293" i="8"/>
  <c r="V293" i="8"/>
  <c r="W293" i="8" s="1"/>
  <c r="L293" i="8"/>
  <c r="K293" i="8"/>
  <c r="AV292" i="8"/>
  <c r="AT292" i="8" a="1"/>
  <c r="AT292" i="8" s="1"/>
  <c r="AU292" i="8" s="1"/>
  <c r="AP292" i="8"/>
  <c r="AA292" i="8"/>
  <c r="AB292" i="8" s="1"/>
  <c r="Y292" i="8"/>
  <c r="X292" i="8"/>
  <c r="V292" i="8"/>
  <c r="W292" i="8" s="1"/>
  <c r="L292" i="8"/>
  <c r="K292" i="8"/>
  <c r="AV291" i="8"/>
  <c r="AT291" i="8" a="1"/>
  <c r="AT291" i="8" s="1"/>
  <c r="AU291" i="8" s="1"/>
  <c r="AP291" i="8"/>
  <c r="AA291" i="8"/>
  <c r="AB291" i="8" s="1"/>
  <c r="Y291" i="8"/>
  <c r="X291" i="8"/>
  <c r="V291" i="8"/>
  <c r="W291" i="8" s="1"/>
  <c r="L291" i="8"/>
  <c r="K291" i="8"/>
  <c r="AV290" i="8"/>
  <c r="AT290" i="8" a="1"/>
  <c r="AT290" i="8"/>
  <c r="AU290" i="8" s="1"/>
  <c r="AP290" i="8"/>
  <c r="AA290" i="8"/>
  <c r="AB290" i="8" s="1"/>
  <c r="Y290" i="8"/>
  <c r="X290" i="8"/>
  <c r="W290" i="8"/>
  <c r="V290" i="8"/>
  <c r="L290" i="8"/>
  <c r="K290" i="8"/>
  <c r="AV289" i="8"/>
  <c r="AT289" i="8" a="1"/>
  <c r="AT289" i="8"/>
  <c r="AU289" i="8" s="1"/>
  <c r="AP289" i="8"/>
  <c r="AB289" i="8"/>
  <c r="AA289" i="8"/>
  <c r="Y289" i="8"/>
  <c r="X289" i="8"/>
  <c r="W289" i="8"/>
  <c r="V289" i="8"/>
  <c r="L289" i="8"/>
  <c r="K289" i="8"/>
  <c r="AV288" i="8"/>
  <c r="AT288" i="8" a="1"/>
  <c r="AT288" i="8"/>
  <c r="AU288" i="8" s="1"/>
  <c r="AP288" i="8"/>
  <c r="AB288" i="8"/>
  <c r="AA288" i="8"/>
  <c r="Y288" i="8"/>
  <c r="X288" i="8"/>
  <c r="V288" i="8"/>
  <c r="W288" i="8" s="1"/>
  <c r="L288" i="8"/>
  <c r="K288" i="8"/>
  <c r="AV287" i="8"/>
  <c r="AU287" i="8"/>
  <c r="AT287" i="8" a="1"/>
  <c r="AT287" i="8"/>
  <c r="AP287" i="8"/>
  <c r="AB287" i="8"/>
  <c r="AA287" i="8"/>
  <c r="Y287" i="8"/>
  <c r="X287" i="8"/>
  <c r="V287" i="8"/>
  <c r="W287" i="8" s="1"/>
  <c r="L287" i="8"/>
  <c r="K287" i="8"/>
  <c r="AV286" i="8"/>
  <c r="AU286" i="8"/>
  <c r="AT286" i="8" a="1"/>
  <c r="AT286" i="8" s="1"/>
  <c r="AP286" i="8"/>
  <c r="AA286" i="8"/>
  <c r="AB286" i="8" s="1"/>
  <c r="Y286" i="8"/>
  <c r="X286" i="8"/>
  <c r="V286" i="8"/>
  <c r="W286" i="8" s="1"/>
  <c r="L286" i="8"/>
  <c r="K286" i="8"/>
  <c r="AV285" i="8"/>
  <c r="AU285" i="8"/>
  <c r="AT285" i="8" a="1"/>
  <c r="AT285" i="8"/>
  <c r="AP285" i="8"/>
  <c r="AA285" i="8"/>
  <c r="AB285" i="8" s="1"/>
  <c r="Y285" i="8"/>
  <c r="X285" i="8"/>
  <c r="V285" i="8"/>
  <c r="W285" i="8" s="1"/>
  <c r="L285" i="8"/>
  <c r="K285" i="8"/>
  <c r="AV284" i="8"/>
  <c r="AT284" i="8" a="1"/>
  <c r="AT284" i="8"/>
  <c r="AU284" i="8" s="1"/>
  <c r="AP284" i="8"/>
  <c r="AB284" i="8"/>
  <c r="AA284" i="8"/>
  <c r="Y284" i="8"/>
  <c r="X284" i="8"/>
  <c r="V284" i="8"/>
  <c r="W284" i="8" s="1"/>
  <c r="L284" i="8"/>
  <c r="K284" i="8"/>
  <c r="AV283" i="8"/>
  <c r="AT283" i="8" a="1"/>
  <c r="AT283" i="8" s="1"/>
  <c r="AU283" i="8" s="1"/>
  <c r="AP283" i="8"/>
  <c r="AA283" i="8"/>
  <c r="AB283" i="8" s="1"/>
  <c r="Y283" i="8"/>
  <c r="X283" i="8"/>
  <c r="V283" i="8"/>
  <c r="W283" i="8" s="1"/>
  <c r="L283" i="8"/>
  <c r="K283" i="8"/>
  <c r="AV282" i="8"/>
  <c r="AU282" i="8"/>
  <c r="AT282" i="8" a="1"/>
  <c r="AT282" i="8"/>
  <c r="AP282" i="8"/>
  <c r="AA282" i="8"/>
  <c r="AB282" i="8" s="1"/>
  <c r="Y282" i="8"/>
  <c r="X282" i="8"/>
  <c r="V282" i="8"/>
  <c r="W282" i="8" s="1"/>
  <c r="L282" i="8"/>
  <c r="K282" i="8"/>
  <c r="AV281" i="8"/>
  <c r="AT281" i="8" a="1"/>
  <c r="AT281" i="8" s="1"/>
  <c r="AU281" i="8" s="1"/>
  <c r="AP281" i="8"/>
  <c r="AA281" i="8"/>
  <c r="AB281" i="8" s="1"/>
  <c r="Y281" i="8"/>
  <c r="X281" i="8"/>
  <c r="V281" i="8"/>
  <c r="W281" i="8" s="1"/>
  <c r="L281" i="8"/>
  <c r="K281" i="8"/>
  <c r="AV280" i="8"/>
  <c r="AT280" i="8" a="1"/>
  <c r="AT280" i="8"/>
  <c r="AU280" i="8" s="1"/>
  <c r="AP280" i="8"/>
  <c r="AA280" i="8"/>
  <c r="AB280" i="8" s="1"/>
  <c r="Y280" i="8"/>
  <c r="X280" i="8"/>
  <c r="V280" i="8"/>
  <c r="W280" i="8" s="1"/>
  <c r="L280" i="8"/>
  <c r="K280" i="8"/>
  <c r="AV279" i="8"/>
  <c r="AT279" i="8" a="1"/>
  <c r="AT279" i="8"/>
  <c r="AU279" i="8" s="1"/>
  <c r="AP279" i="8"/>
  <c r="AB279" i="8"/>
  <c r="AA279" i="8"/>
  <c r="Y279" i="8"/>
  <c r="X279" i="8"/>
  <c r="W279" i="8"/>
  <c r="V279" i="8"/>
  <c r="L279" i="8"/>
  <c r="K279" i="8"/>
  <c r="AV278" i="8"/>
  <c r="AU278" i="8"/>
  <c r="AT278" i="8" a="1"/>
  <c r="AT278" i="8"/>
  <c r="AP278" i="8"/>
  <c r="AA278" i="8"/>
  <c r="AB278" i="8" s="1"/>
  <c r="Y278" i="8"/>
  <c r="X278" i="8"/>
  <c r="V278" i="8"/>
  <c r="W278" i="8" s="1"/>
  <c r="L278" i="8"/>
  <c r="K278" i="8"/>
  <c r="AV277" i="8"/>
  <c r="AT277" i="8" a="1"/>
  <c r="AT277" i="8" s="1"/>
  <c r="AU277" i="8" s="1"/>
  <c r="AP277" i="8"/>
  <c r="AB277" i="8"/>
  <c r="AA277" i="8"/>
  <c r="Y277" i="8"/>
  <c r="X277" i="8"/>
  <c r="W277" i="8"/>
  <c r="V277" i="8"/>
  <c r="L277" i="8"/>
  <c r="K277" i="8"/>
  <c r="AV276" i="8"/>
  <c r="AT276" i="8" a="1"/>
  <c r="AT276" i="8" s="1"/>
  <c r="AU276" i="8" s="1"/>
  <c r="AP276" i="8"/>
  <c r="AB276" i="8"/>
  <c r="AA276" i="8"/>
  <c r="Y276" i="8"/>
  <c r="X276" i="8"/>
  <c r="W276" i="8"/>
  <c r="V276" i="8"/>
  <c r="L276" i="8"/>
  <c r="K276" i="8"/>
  <c r="AV275" i="8"/>
  <c r="AT275" i="8" a="1"/>
  <c r="AT275" i="8"/>
  <c r="AU275" i="8" s="1"/>
  <c r="AP275" i="8"/>
  <c r="AA275" i="8"/>
  <c r="AB275" i="8" s="1"/>
  <c r="Y275" i="8"/>
  <c r="X275" i="8"/>
  <c r="V275" i="8"/>
  <c r="W275" i="8" s="1"/>
  <c r="L275" i="8"/>
  <c r="K275" i="8"/>
  <c r="AV274" i="8"/>
  <c r="AT274" i="8" a="1"/>
  <c r="AT274" i="8" s="1"/>
  <c r="AU274" i="8" s="1"/>
  <c r="AP274" i="8"/>
  <c r="AA274" i="8"/>
  <c r="AB274" i="8" s="1"/>
  <c r="Y274" i="8"/>
  <c r="X274" i="8"/>
  <c r="V274" i="8"/>
  <c r="W274" i="8" s="1"/>
  <c r="L274" i="8"/>
  <c r="K274" i="8"/>
  <c r="AV273" i="8"/>
  <c r="AT273" i="8" a="1"/>
  <c r="AT273" i="8" s="1"/>
  <c r="AU273" i="8" s="1"/>
  <c r="AP273" i="8"/>
  <c r="AA273" i="8"/>
  <c r="AB273" i="8" s="1"/>
  <c r="Y273" i="8"/>
  <c r="X273" i="8"/>
  <c r="W273" i="8"/>
  <c r="V273" i="8"/>
  <c r="L273" i="8"/>
  <c r="K273" i="8"/>
  <c r="AV272" i="8"/>
  <c r="AT272" i="8" a="1"/>
  <c r="AT272" i="8" s="1"/>
  <c r="AU272" i="8" s="1"/>
  <c r="AP272" i="8"/>
  <c r="AB272" i="8"/>
  <c r="AA272" i="8"/>
  <c r="Y272" i="8"/>
  <c r="X272" i="8"/>
  <c r="W272" i="8"/>
  <c r="V272" i="8"/>
  <c r="L272" i="8"/>
  <c r="K272" i="8"/>
  <c r="AV271" i="8"/>
  <c r="AT271" i="8" a="1"/>
  <c r="AT271" i="8"/>
  <c r="AU271" i="8" s="1"/>
  <c r="AP271" i="8"/>
  <c r="AA271" i="8"/>
  <c r="AB271" i="8" s="1"/>
  <c r="Y271" i="8"/>
  <c r="X271" i="8"/>
  <c r="V271" i="8"/>
  <c r="W271" i="8" s="1"/>
  <c r="L271" i="8"/>
  <c r="K271" i="8"/>
  <c r="AV270" i="8"/>
  <c r="AT270" i="8" a="1"/>
  <c r="AT270" i="8" s="1"/>
  <c r="AU270" i="8" s="1"/>
  <c r="AP270" i="8"/>
  <c r="AB270" i="8"/>
  <c r="AA270" i="8"/>
  <c r="Y270" i="8"/>
  <c r="X270" i="8"/>
  <c r="V270" i="8"/>
  <c r="W270" i="8" s="1"/>
  <c r="L270" i="8"/>
  <c r="K270" i="8"/>
  <c r="AV269" i="8"/>
  <c r="AT269" i="8" a="1"/>
  <c r="AT269" i="8" s="1"/>
  <c r="AU269" i="8" s="1"/>
  <c r="AP269" i="8"/>
  <c r="AA269" i="8"/>
  <c r="AB269" i="8" s="1"/>
  <c r="Y269" i="8"/>
  <c r="X269" i="8"/>
  <c r="V269" i="8"/>
  <c r="W269" i="8" s="1"/>
  <c r="L269" i="8"/>
  <c r="K269" i="8"/>
  <c r="AV268" i="8"/>
  <c r="AT268" i="8" a="1"/>
  <c r="AT268" i="8"/>
  <c r="AU268" i="8" s="1"/>
  <c r="AP268" i="8"/>
  <c r="AB268" i="8"/>
  <c r="AA268" i="8"/>
  <c r="Y268" i="8"/>
  <c r="X268" i="8"/>
  <c r="V268" i="8"/>
  <c r="W268" i="8" s="1"/>
  <c r="L268" i="8"/>
  <c r="K268" i="8"/>
  <c r="AV267" i="8"/>
  <c r="AU267" i="8"/>
  <c r="AT267" i="8" a="1"/>
  <c r="AT267" i="8"/>
  <c r="AP267" i="8"/>
  <c r="AA267" i="8"/>
  <c r="AB267" i="8" s="1"/>
  <c r="Y267" i="8"/>
  <c r="X267" i="8"/>
  <c r="W267" i="8"/>
  <c r="V267" i="8"/>
  <c r="L267" i="8"/>
  <c r="K267" i="8"/>
  <c r="AV266" i="8"/>
  <c r="AT266" i="8" a="1"/>
  <c r="AT266" i="8"/>
  <c r="AU266" i="8" s="1"/>
  <c r="AP266" i="8"/>
  <c r="AB266" i="8"/>
  <c r="AA266" i="8"/>
  <c r="Y266" i="8"/>
  <c r="X266" i="8"/>
  <c r="W266" i="8"/>
  <c r="V266" i="8"/>
  <c r="L266" i="8"/>
  <c r="K266" i="8"/>
  <c r="AV265" i="8"/>
  <c r="AU265" i="8"/>
  <c r="AT265" i="8" a="1"/>
  <c r="AT265" i="8"/>
  <c r="AP265" i="8"/>
  <c r="AB265" i="8"/>
  <c r="AA265" i="8"/>
  <c r="Y265" i="8"/>
  <c r="X265" i="8"/>
  <c r="W265" i="8"/>
  <c r="V265" i="8"/>
  <c r="L265" i="8"/>
  <c r="K265" i="8"/>
  <c r="AV264" i="8"/>
  <c r="AT264" i="8" a="1"/>
  <c r="AT264" i="8" s="1"/>
  <c r="AU264" i="8" s="1"/>
  <c r="AP264" i="8"/>
  <c r="AB264" i="8"/>
  <c r="AA264" i="8"/>
  <c r="Y264" i="8"/>
  <c r="X264" i="8"/>
  <c r="W264" i="8"/>
  <c r="V264" i="8"/>
  <c r="L264" i="8"/>
  <c r="K264" i="8"/>
  <c r="AV263" i="8"/>
  <c r="AT263" i="8" a="1"/>
  <c r="AT263" i="8" s="1"/>
  <c r="AU263" i="8" s="1"/>
  <c r="AP263" i="8"/>
  <c r="AA263" i="8"/>
  <c r="AB263" i="8" s="1"/>
  <c r="Y263" i="8"/>
  <c r="X263" i="8"/>
  <c r="V263" i="8"/>
  <c r="W263" i="8" s="1"/>
  <c r="L263" i="8"/>
  <c r="K263" i="8"/>
  <c r="AV262" i="8"/>
  <c r="AT262" i="8" a="1"/>
  <c r="AT262" i="8" s="1"/>
  <c r="AU262" i="8" s="1"/>
  <c r="AP262" i="8"/>
  <c r="AA262" i="8"/>
  <c r="AB262" i="8" s="1"/>
  <c r="Y262" i="8"/>
  <c r="X262" i="8"/>
  <c r="V262" i="8"/>
  <c r="W262" i="8" s="1"/>
  <c r="L262" i="8"/>
  <c r="F102" i="8" s="1"/>
  <c r="K262" i="8"/>
  <c r="AV261" i="8"/>
  <c r="AT261" i="8" a="1"/>
  <c r="AT261" i="8" s="1"/>
  <c r="AU261" i="8" s="1"/>
  <c r="AP261" i="8"/>
  <c r="AA261" i="8"/>
  <c r="AB261" i="8" s="1"/>
  <c r="Y261" i="8"/>
  <c r="X261" i="8"/>
  <c r="V261" i="8"/>
  <c r="W261" i="8" s="1"/>
  <c r="L261" i="8"/>
  <c r="K261" i="8"/>
  <c r="AV260" i="8"/>
  <c r="AT260" i="8" a="1"/>
  <c r="AT260" i="8"/>
  <c r="AU260" i="8" s="1"/>
  <c r="AP260" i="8"/>
  <c r="AB260" i="8"/>
  <c r="AA260" i="8"/>
  <c r="Y260" i="8"/>
  <c r="X260" i="8"/>
  <c r="W260" i="8"/>
  <c r="V260" i="8"/>
  <c r="L260" i="8"/>
  <c r="K260" i="8"/>
  <c r="AV259" i="8"/>
  <c r="AU259" i="8"/>
  <c r="AT259" i="8" a="1"/>
  <c r="AT259" i="8"/>
  <c r="AP259" i="8"/>
  <c r="AB259" i="8"/>
  <c r="AA259" i="8"/>
  <c r="Y259" i="8"/>
  <c r="X259" i="8"/>
  <c r="V259" i="8"/>
  <c r="W259" i="8" s="1"/>
  <c r="L259" i="8"/>
  <c r="K259" i="8"/>
  <c r="AV258" i="8"/>
  <c r="AT258" i="8" a="1"/>
  <c r="AT258" i="8"/>
  <c r="AU258" i="8" s="1"/>
  <c r="AP258" i="8"/>
  <c r="AA258" i="8"/>
  <c r="AB258" i="8" s="1"/>
  <c r="Y258" i="8"/>
  <c r="X258" i="8"/>
  <c r="W258" i="8"/>
  <c r="V258" i="8"/>
  <c r="L258" i="8"/>
  <c r="K258" i="8"/>
  <c r="AV257" i="8"/>
  <c r="AU257" i="8"/>
  <c r="AT257" i="8" a="1"/>
  <c r="AT257" i="8" s="1"/>
  <c r="AP257" i="8"/>
  <c r="AA257" i="8"/>
  <c r="AB257" i="8" s="1"/>
  <c r="Y257" i="8"/>
  <c r="X257" i="8"/>
  <c r="W257" i="8"/>
  <c r="V257" i="8"/>
  <c r="L257" i="8"/>
  <c r="K257" i="8"/>
  <c r="AV256" i="8"/>
  <c r="AT256" i="8" a="1"/>
  <c r="AT256" i="8"/>
  <c r="AU256" i="8" s="1"/>
  <c r="AP256" i="8"/>
  <c r="AB256" i="8"/>
  <c r="AA256" i="8"/>
  <c r="Y256" i="8"/>
  <c r="X256" i="8"/>
  <c r="W256" i="8"/>
  <c r="V256" i="8"/>
  <c r="L256" i="8"/>
  <c r="K256" i="8"/>
  <c r="AV255" i="8"/>
  <c r="AT255" i="8" a="1"/>
  <c r="AT255" i="8" s="1"/>
  <c r="AU255" i="8" s="1"/>
  <c r="AP255" i="8"/>
  <c r="AB255" i="8"/>
  <c r="AA255" i="8"/>
  <c r="Y255" i="8"/>
  <c r="X255" i="8"/>
  <c r="V255" i="8"/>
  <c r="W255" i="8" s="1"/>
  <c r="L255" i="8"/>
  <c r="K255" i="8"/>
  <c r="AV254" i="8"/>
  <c r="AT254" i="8" a="1"/>
  <c r="AT254" i="8" s="1"/>
  <c r="AU254" i="8" s="1"/>
  <c r="AP254" i="8"/>
  <c r="AA254" i="8"/>
  <c r="AB254" i="8" s="1"/>
  <c r="Y254" i="8"/>
  <c r="X254" i="8"/>
  <c r="W254" i="8"/>
  <c r="V254" i="8"/>
  <c r="L254" i="8"/>
  <c r="K254" i="8"/>
  <c r="AV253" i="8"/>
  <c r="AT253" i="8" a="1"/>
  <c r="AT253" i="8" s="1"/>
  <c r="AU253" i="8" s="1"/>
  <c r="AP253" i="8"/>
  <c r="AB253" i="8"/>
  <c r="AA253" i="8"/>
  <c r="Y253" i="8"/>
  <c r="X253" i="8"/>
  <c r="V253" i="8"/>
  <c r="W253" i="8" s="1"/>
  <c r="L253" i="8"/>
  <c r="K253" i="8"/>
  <c r="AV252" i="8"/>
  <c r="AU252" i="8"/>
  <c r="AT252" i="8" a="1"/>
  <c r="AT252" i="8"/>
  <c r="AP252" i="8"/>
  <c r="AA252" i="8"/>
  <c r="AB252" i="8" s="1"/>
  <c r="Y252" i="8"/>
  <c r="X252" i="8"/>
  <c r="W252" i="8"/>
  <c r="V252" i="8"/>
  <c r="L252" i="8"/>
  <c r="K252" i="8"/>
  <c r="AV251" i="8"/>
  <c r="AT251" i="8" a="1"/>
  <c r="AT251" i="8" s="1"/>
  <c r="AU251" i="8" s="1"/>
  <c r="AP251" i="8"/>
  <c r="AA251" i="8"/>
  <c r="AB251" i="8" s="1"/>
  <c r="Y251" i="8"/>
  <c r="X251" i="8"/>
  <c r="V251" i="8"/>
  <c r="W251" i="8" s="1"/>
  <c r="L251" i="8"/>
  <c r="K251" i="8"/>
  <c r="AV250" i="8"/>
  <c r="AT250" i="8" a="1"/>
  <c r="AT250" i="8" s="1"/>
  <c r="AU250" i="8" s="1"/>
  <c r="AP250" i="8"/>
  <c r="AB250" i="8"/>
  <c r="AA250" i="8"/>
  <c r="Y250" i="8"/>
  <c r="X250" i="8"/>
  <c r="V250" i="8"/>
  <c r="W250" i="8" s="1"/>
  <c r="L250" i="8"/>
  <c r="K250" i="8"/>
  <c r="AV249" i="8"/>
  <c r="AT249" i="8" a="1"/>
  <c r="AT249" i="8" s="1"/>
  <c r="AU249" i="8" s="1"/>
  <c r="AP249" i="8"/>
  <c r="AA249" i="8"/>
  <c r="AB249" i="8" s="1"/>
  <c r="Y249" i="8"/>
  <c r="X249" i="8"/>
  <c r="V249" i="8"/>
  <c r="W249" i="8" s="1"/>
  <c r="L249" i="8"/>
  <c r="K249" i="8"/>
  <c r="AV248" i="8"/>
  <c r="AU248" i="8"/>
  <c r="AT248" i="8" a="1"/>
  <c r="AT248" i="8"/>
  <c r="AP248" i="8"/>
  <c r="AA248" i="8"/>
  <c r="AB248" i="8" s="1"/>
  <c r="Y248" i="8"/>
  <c r="X248" i="8"/>
  <c r="W248" i="8"/>
  <c r="V248" i="8"/>
  <c r="L248" i="8"/>
  <c r="K248" i="8"/>
  <c r="AV247" i="8"/>
  <c r="AT247" i="8" a="1"/>
  <c r="AT247" i="8"/>
  <c r="AU247" i="8" s="1"/>
  <c r="AP247" i="8"/>
  <c r="AB247" i="8"/>
  <c r="AA247" i="8"/>
  <c r="Y247" i="8"/>
  <c r="X247" i="8"/>
  <c r="W247" i="8"/>
  <c r="V247" i="8"/>
  <c r="L247" i="8"/>
  <c r="K247" i="8"/>
  <c r="AV246" i="8"/>
  <c r="AT246" i="8" a="1"/>
  <c r="AT246" i="8"/>
  <c r="AU246" i="8" s="1"/>
  <c r="AP246" i="8"/>
  <c r="AA246" i="8"/>
  <c r="AB246" i="8" s="1"/>
  <c r="Y246" i="8"/>
  <c r="X246" i="8"/>
  <c r="W246" i="8"/>
  <c r="V246" i="8"/>
  <c r="L246" i="8"/>
  <c r="K246" i="8"/>
  <c r="AV245" i="8"/>
  <c r="AT245" i="8" a="1"/>
  <c r="AT245" i="8"/>
  <c r="AU245" i="8" s="1"/>
  <c r="AP245" i="8"/>
  <c r="AA245" i="8"/>
  <c r="AB245" i="8" s="1"/>
  <c r="Y245" i="8"/>
  <c r="X245" i="8"/>
  <c r="V245" i="8"/>
  <c r="W245" i="8" s="1"/>
  <c r="L245" i="8"/>
  <c r="K245" i="8"/>
  <c r="AV244" i="8"/>
  <c r="AU244" i="8"/>
  <c r="AT244" i="8" a="1"/>
  <c r="AT244" i="8" s="1"/>
  <c r="AP244" i="8"/>
  <c r="AB244" i="8"/>
  <c r="AA244" i="8"/>
  <c r="Y244" i="8"/>
  <c r="X244" i="8"/>
  <c r="W244" i="8"/>
  <c r="V244" i="8"/>
  <c r="L244" i="8"/>
  <c r="K244" i="8"/>
  <c r="AV243" i="8"/>
  <c r="AT243" i="8" a="1"/>
  <c r="AT243" i="8"/>
  <c r="AU243" i="8" s="1"/>
  <c r="AP243" i="8"/>
  <c r="AA243" i="8"/>
  <c r="AB243" i="8" s="1"/>
  <c r="Y243" i="8"/>
  <c r="X243" i="8"/>
  <c r="W243" i="8"/>
  <c r="V243" i="8"/>
  <c r="L243" i="8"/>
  <c r="K243" i="8"/>
  <c r="AV242" i="8"/>
  <c r="AT242" i="8" a="1"/>
  <c r="AT242" i="8"/>
  <c r="AU242" i="8" s="1"/>
  <c r="AP242" i="8"/>
  <c r="AA242" i="8"/>
  <c r="AB242" i="8" s="1"/>
  <c r="Y242" i="8"/>
  <c r="X242" i="8"/>
  <c r="V242" i="8"/>
  <c r="W242" i="8" s="1"/>
  <c r="L242" i="8"/>
  <c r="K242" i="8"/>
  <c r="AV241" i="8"/>
  <c r="AT241" i="8" a="1"/>
  <c r="AT241" i="8" s="1"/>
  <c r="AU241" i="8" s="1"/>
  <c r="AP241" i="8"/>
  <c r="AA241" i="8"/>
  <c r="AB241" i="8" s="1"/>
  <c r="Y241" i="8"/>
  <c r="X241" i="8"/>
  <c r="W241" i="8"/>
  <c r="V241" i="8"/>
  <c r="L241" i="8"/>
  <c r="K241" i="8"/>
  <c r="AV240" i="8"/>
  <c r="AT240" i="8" a="1"/>
  <c r="AT240" i="8" s="1"/>
  <c r="AU240" i="8" s="1"/>
  <c r="AP240" i="8"/>
  <c r="AB240" i="8"/>
  <c r="AA240" i="8"/>
  <c r="Y240" i="8"/>
  <c r="X240" i="8"/>
  <c r="W240" i="8"/>
  <c r="V240" i="8"/>
  <c r="L240" i="8"/>
  <c r="K240" i="8"/>
  <c r="AV239" i="8"/>
  <c r="AT239" i="8" a="1"/>
  <c r="AT239" i="8"/>
  <c r="AU239" i="8" s="1"/>
  <c r="AP239" i="8"/>
  <c r="AA239" i="8"/>
  <c r="AB239" i="8" s="1"/>
  <c r="Y239" i="8"/>
  <c r="X239" i="8"/>
  <c r="V239" i="8"/>
  <c r="W239" i="8" s="1"/>
  <c r="L239" i="8"/>
  <c r="K239" i="8"/>
  <c r="AV238" i="8"/>
  <c r="AT238" i="8" a="1"/>
  <c r="AT238" i="8" s="1"/>
  <c r="AU238" i="8" s="1"/>
  <c r="AP238" i="8"/>
  <c r="AB238" i="8"/>
  <c r="AA238" i="8"/>
  <c r="Y238" i="8"/>
  <c r="X238" i="8"/>
  <c r="W238" i="8"/>
  <c r="V238" i="8"/>
  <c r="L238" i="8"/>
  <c r="K238" i="8"/>
  <c r="AV237" i="8"/>
  <c r="AT237" i="8" a="1"/>
  <c r="AT237" i="8"/>
  <c r="AU237" i="8" s="1"/>
  <c r="AP237" i="8"/>
  <c r="AA237" i="8"/>
  <c r="AB237" i="8" s="1"/>
  <c r="Y237" i="8"/>
  <c r="X237" i="8"/>
  <c r="V237" i="8"/>
  <c r="W237" i="8" s="1"/>
  <c r="L237" i="8"/>
  <c r="K237" i="8"/>
  <c r="AV236" i="8"/>
  <c r="AU236" i="8"/>
  <c r="AT236" i="8" a="1"/>
  <c r="AT236" i="8"/>
  <c r="AP236" i="8"/>
  <c r="AB236" i="8"/>
  <c r="AA236" i="8"/>
  <c r="Y236" i="8"/>
  <c r="X236" i="8"/>
  <c r="V236" i="8"/>
  <c r="W236" i="8" s="1"/>
  <c r="L236" i="8"/>
  <c r="K236" i="8"/>
  <c r="AV235" i="8"/>
  <c r="AT235" i="8" a="1"/>
  <c r="AT235" i="8"/>
  <c r="AU235" i="8" s="1"/>
  <c r="AP235" i="8"/>
  <c r="AA235" i="8"/>
  <c r="AB235" i="8" s="1"/>
  <c r="Y235" i="8"/>
  <c r="X235" i="8"/>
  <c r="W235" i="8"/>
  <c r="V235" i="8"/>
  <c r="L235" i="8"/>
  <c r="K235" i="8"/>
  <c r="AV234" i="8"/>
  <c r="AT234" i="8" a="1"/>
  <c r="AT234" i="8"/>
  <c r="AU234" i="8" s="1"/>
  <c r="AP234" i="8"/>
  <c r="AB234" i="8"/>
  <c r="AA234" i="8"/>
  <c r="Y234" i="8"/>
  <c r="X234" i="8"/>
  <c r="V234" i="8"/>
  <c r="W234" i="8" s="1"/>
  <c r="L234" i="8"/>
  <c r="K234" i="8"/>
  <c r="AV233" i="8"/>
  <c r="AU233" i="8"/>
  <c r="AT233" i="8" a="1"/>
  <c r="AT233" i="8"/>
  <c r="AP233" i="8"/>
  <c r="AA233" i="8"/>
  <c r="AB233" i="8" s="1"/>
  <c r="Y233" i="8"/>
  <c r="X233" i="8"/>
  <c r="V233" i="8"/>
  <c r="W233" i="8" s="1"/>
  <c r="L233" i="8"/>
  <c r="K233" i="8"/>
  <c r="AV232" i="8"/>
  <c r="AT232" i="8" a="1"/>
  <c r="AT232" i="8" s="1"/>
  <c r="AU232" i="8" s="1"/>
  <c r="AP232" i="8"/>
  <c r="AB232" i="8"/>
  <c r="AA232" i="8"/>
  <c r="Y232" i="8"/>
  <c r="X232" i="8"/>
  <c r="W232" i="8"/>
  <c r="V232" i="8"/>
  <c r="L232" i="8"/>
  <c r="K232" i="8"/>
  <c r="AV231" i="8"/>
  <c r="AT231" i="8" a="1"/>
  <c r="AT231" i="8" s="1"/>
  <c r="AU231" i="8" s="1"/>
  <c r="AP231" i="8"/>
  <c r="AA231" i="8"/>
  <c r="AB231" i="8" s="1"/>
  <c r="Y231" i="8"/>
  <c r="X231" i="8"/>
  <c r="V231" i="8"/>
  <c r="W231" i="8" s="1"/>
  <c r="L231" i="8"/>
  <c r="K231" i="8"/>
  <c r="AV230" i="8"/>
  <c r="AT230" i="8" a="1"/>
  <c r="AT230" i="8"/>
  <c r="AU230" i="8" s="1"/>
  <c r="AP230" i="8"/>
  <c r="AB230" i="8"/>
  <c r="AA230" i="8"/>
  <c r="Y230" i="8"/>
  <c r="X230" i="8"/>
  <c r="V230" i="8"/>
  <c r="W230" i="8" s="1"/>
  <c r="L230" i="8"/>
  <c r="K230" i="8"/>
  <c r="AV229" i="8"/>
  <c r="AT229" i="8" a="1"/>
  <c r="AT229" i="8" s="1"/>
  <c r="AU229" i="8" s="1"/>
  <c r="AP229" i="8"/>
  <c r="AA229" i="8"/>
  <c r="AB229" i="8" s="1"/>
  <c r="Y229" i="8"/>
  <c r="X229" i="8"/>
  <c r="V229" i="8"/>
  <c r="W229" i="8" s="1"/>
  <c r="L229" i="8"/>
  <c r="K229" i="8"/>
  <c r="AV228" i="8"/>
  <c r="AT228" i="8" a="1"/>
  <c r="AT228" i="8"/>
  <c r="AU228" i="8" s="1"/>
  <c r="AP228" i="8"/>
  <c r="AB228" i="8"/>
  <c r="AA228" i="8"/>
  <c r="Y228" i="8"/>
  <c r="X228" i="8"/>
  <c r="W228" i="8"/>
  <c r="V228" i="8"/>
  <c r="L228" i="8"/>
  <c r="K228" i="8"/>
  <c r="AV227" i="8"/>
  <c r="AU227" i="8"/>
  <c r="AT227" i="8" a="1"/>
  <c r="AT227" i="8"/>
  <c r="AP227" i="8"/>
  <c r="AB227" i="8"/>
  <c r="AA227" i="8"/>
  <c r="Y227" i="8"/>
  <c r="X227" i="8"/>
  <c r="V227" i="8"/>
  <c r="W227" i="8" s="1"/>
  <c r="L227" i="8"/>
  <c r="K227" i="8"/>
  <c r="AV226" i="8"/>
  <c r="AT226" i="8" a="1"/>
  <c r="AT226" i="8" s="1"/>
  <c r="AP226" i="8"/>
  <c r="AB226" i="8"/>
  <c r="AA226" i="8"/>
  <c r="Y226" i="8"/>
  <c r="X226" i="8"/>
  <c r="W226" i="8"/>
  <c r="V226" i="8"/>
  <c r="L226" i="8"/>
  <c r="K226" i="8"/>
  <c r="AV225" i="8"/>
  <c r="AT225" i="8" a="1"/>
  <c r="AT225" i="8" s="1"/>
  <c r="AU225" i="8" s="1"/>
  <c r="AP225" i="8"/>
  <c r="AA225" i="8"/>
  <c r="AB225" i="8" s="1"/>
  <c r="Y225" i="8"/>
  <c r="X225" i="8"/>
  <c r="W225" i="8"/>
  <c r="V225" i="8"/>
  <c r="L225" i="8"/>
  <c r="K225" i="8"/>
  <c r="AV224" i="8"/>
  <c r="AT224" i="8" a="1"/>
  <c r="AT224" i="8"/>
  <c r="AP224" i="8"/>
  <c r="AB224" i="8"/>
  <c r="AA224" i="8"/>
  <c r="Y224" i="8"/>
  <c r="X224" i="8"/>
  <c r="W224" i="8"/>
  <c r="V224" i="8"/>
  <c r="L224" i="8"/>
  <c r="K224" i="8"/>
  <c r="W211" i="8"/>
  <c r="X211" i="8" s="1"/>
  <c r="W210" i="8"/>
  <c r="W209" i="8"/>
  <c r="W208" i="8"/>
  <c r="W207" i="8"/>
  <c r="X207" i="8" s="1"/>
  <c r="W206" i="8"/>
  <c r="X206" i="8" s="1"/>
  <c r="C196" i="8" a="1"/>
  <c r="C196" i="8" s="1"/>
  <c r="AC195" i="8"/>
  <c r="AB195" i="8"/>
  <c r="AA195" i="8"/>
  <c r="U195" i="8"/>
  <c r="T195" i="8"/>
  <c r="P195" i="8"/>
  <c r="M195" i="8"/>
  <c r="L195" i="8"/>
  <c r="K195" i="8"/>
  <c r="J195" i="8"/>
  <c r="H195" i="8"/>
  <c r="G195" i="8"/>
  <c r="D195" i="8"/>
  <c r="C195" i="8" a="1"/>
  <c r="C195" i="8" s="1"/>
  <c r="B195" i="8"/>
  <c r="AB189" i="8"/>
  <c r="U189" i="8"/>
  <c r="N189" i="8"/>
  <c r="M189" i="8"/>
  <c r="I189" i="8"/>
  <c r="D189" i="8"/>
  <c r="C189" i="8" a="1"/>
  <c r="C189" i="8" s="1"/>
  <c r="C190" i="8" s="1" a="1"/>
  <c r="C190" i="8" s="1"/>
  <c r="AP186" i="8" a="1"/>
  <c r="AP186" i="8" s="1"/>
  <c r="AQ186" i="8" s="1" a="1"/>
  <c r="AQ186" i="8" s="1"/>
  <c r="AM186" i="8" s="1"/>
  <c r="AP185" i="8" a="1"/>
  <c r="AP185" i="8" s="1"/>
  <c r="AQ185" i="8" s="1" a="1"/>
  <c r="AQ185" i="8" s="1"/>
  <c r="AQ184" i="8" a="1"/>
  <c r="AQ184" i="8" s="1"/>
  <c r="AK184" i="8" s="1"/>
  <c r="AP184" i="8" a="1"/>
  <c r="AP184" i="8" s="1"/>
  <c r="AP183" i="8" a="1"/>
  <c r="AP183" i="8" s="1"/>
  <c r="AQ183" i="8" s="1" a="1"/>
  <c r="AQ183" i="8" s="1"/>
  <c r="V183" i="8"/>
  <c r="C183" i="8" a="1"/>
  <c r="C183" i="8" s="1"/>
  <c r="AQ182" i="8" a="1"/>
  <c r="AQ182" i="8" s="1"/>
  <c r="AN182" i="8" s="1"/>
  <c r="AP182" i="8" a="1"/>
  <c r="AP182" i="8"/>
  <c r="AP181" i="8" a="1"/>
  <c r="AP181" i="8" s="1"/>
  <c r="AQ181" i="8" s="1" a="1"/>
  <c r="AQ181" i="8" s="1"/>
  <c r="AP180" i="8" a="1"/>
  <c r="AP180" i="8"/>
  <c r="AQ180" i="8" s="1" a="1"/>
  <c r="AQ180" i="8" s="1"/>
  <c r="AL180" i="8" s="1"/>
  <c r="AP179" i="8" a="1"/>
  <c r="AP179" i="8"/>
  <c r="AQ179" i="8" s="1" a="1"/>
  <c r="AQ179" i="8" s="1"/>
  <c r="AK179" i="8" s="1"/>
  <c r="AP178" i="8" a="1"/>
  <c r="AP178" i="8"/>
  <c r="AQ178" i="8" s="1" a="1"/>
  <c r="AQ178" i="8" s="1"/>
  <c r="AP177" i="8" a="1"/>
  <c r="AP177" i="8" s="1"/>
  <c r="AQ177" i="8" s="1" a="1"/>
  <c r="AQ177" i="8" s="1"/>
  <c r="E177" i="8"/>
  <c r="C177" i="8" a="1"/>
  <c r="C177" i="8" s="1"/>
  <c r="B177" i="8" s="1"/>
  <c r="C171" i="8"/>
  <c r="B171" i="8" a="1"/>
  <c r="B171" i="8" s="1"/>
  <c r="A171" i="8"/>
  <c r="C170" i="8"/>
  <c r="B170" i="8" a="1"/>
  <c r="B170" i="8"/>
  <c r="D170" i="8" s="1"/>
  <c r="E170" i="8" s="1"/>
  <c r="F170" i="8" s="1"/>
  <c r="C169" i="8"/>
  <c r="B169" i="8" a="1"/>
  <c r="B169" i="8" s="1"/>
  <c r="D169" i="8" s="1"/>
  <c r="E169" i="8" s="1"/>
  <c r="F169" i="8" s="1"/>
  <c r="C168" i="8"/>
  <c r="B168" i="8" a="1"/>
  <c r="B168" i="8"/>
  <c r="B162" i="8"/>
  <c r="B161" i="8" a="1"/>
  <c r="B161" i="8" s="1"/>
  <c r="B159" i="8" a="1"/>
  <c r="B159" i="8" s="1"/>
  <c r="B158" i="8" a="1"/>
  <c r="B158" i="8" s="1"/>
  <c r="B150" i="8" a="1"/>
  <c r="B150" i="8" s="1"/>
  <c r="C150" i="8" s="1"/>
  <c r="D150" i="8" s="1"/>
  <c r="B149" i="8" a="1"/>
  <c r="B149" i="8" s="1"/>
  <c r="B148" i="8" a="1"/>
  <c r="B148" i="8" s="1"/>
  <c r="C148" i="8" s="1"/>
  <c r="D148" i="8" s="1"/>
  <c r="B147" i="8" a="1"/>
  <c r="B147" i="8"/>
  <c r="C147" i="8" s="1"/>
  <c r="D147" i="8" s="1"/>
  <c r="D146" i="8"/>
  <c r="B146" i="8" a="1"/>
  <c r="B146" i="8" s="1"/>
  <c r="C146" i="8" s="1"/>
  <c r="B145" i="8" a="1"/>
  <c r="B145" i="8"/>
  <c r="C145" i="8" s="1"/>
  <c r="D145" i="8" s="1"/>
  <c r="B144" i="8" a="1"/>
  <c r="B144" i="8" s="1"/>
  <c r="C144" i="8" s="1"/>
  <c r="D144" i="8" s="1"/>
  <c r="B143" i="8" a="1"/>
  <c r="B143" i="8" s="1"/>
  <c r="C143" i="8" s="1"/>
  <c r="D143" i="8" s="1"/>
  <c r="D142" i="8"/>
  <c r="B142" i="8" a="1"/>
  <c r="B142" i="8" s="1"/>
  <c r="C142" i="8" s="1"/>
  <c r="C141" i="8"/>
  <c r="D141" i="8" s="1"/>
  <c r="B141" i="8" a="1"/>
  <c r="B141" i="8" s="1"/>
  <c r="B140" i="8" a="1"/>
  <c r="B140" i="8" s="1"/>
  <c r="C140" i="8" s="1"/>
  <c r="D140" i="8" s="1"/>
  <c r="B139" i="8" a="1"/>
  <c r="B139" i="8" s="1"/>
  <c r="C132" i="8" a="1"/>
  <c r="C132" i="8"/>
  <c r="F132" i="8" s="1"/>
  <c r="B132" i="8" a="1"/>
  <c r="B132" i="8" s="1"/>
  <c r="E131" i="8"/>
  <c r="D131" i="8" a="1"/>
  <c r="D131" i="8" s="1"/>
  <c r="C131" i="8" a="1"/>
  <c r="C131" i="8"/>
  <c r="B131" i="8" a="1"/>
  <c r="B131" i="8"/>
  <c r="D130" i="8" a="1"/>
  <c r="D130" i="8"/>
  <c r="D133" i="8" s="1"/>
  <c r="E133" i="8" s="1"/>
  <c r="C130" i="8" a="1"/>
  <c r="C130" i="8"/>
  <c r="C133" i="8" s="1"/>
  <c r="B130" i="8" a="1"/>
  <c r="B130" i="8"/>
  <c r="E125" i="8"/>
  <c r="D125" i="8"/>
  <c r="F125" i="8" s="1"/>
  <c r="D124" i="8" a="1"/>
  <c r="D124" i="8" s="1"/>
  <c r="E124" i="8" s="1"/>
  <c r="B124" i="8" a="1"/>
  <c r="B124" i="8"/>
  <c r="C124" i="8" s="1"/>
  <c r="B123" i="8" a="1"/>
  <c r="B123" i="8" s="1"/>
  <c r="C123" i="8" s="1"/>
  <c r="D122" i="8" a="1"/>
  <c r="D122" i="8" s="1"/>
  <c r="E122" i="8" s="1"/>
  <c r="D117" i="8"/>
  <c r="F117" i="8" s="1"/>
  <c r="C117" i="8"/>
  <c r="D116" i="8"/>
  <c r="C116" i="8"/>
  <c r="F116" i="8" s="1"/>
  <c r="B116" i="8"/>
  <c r="A116" i="8"/>
  <c r="F115" i="8"/>
  <c r="D115" i="8"/>
  <c r="E115" i="8" s="1"/>
  <c r="C115" i="8"/>
  <c r="B115" i="8"/>
  <c r="D114" i="8"/>
  <c r="C114" i="8"/>
  <c r="E114" i="8" s="1"/>
  <c r="B114" i="8"/>
  <c r="F113" i="8"/>
  <c r="D113" i="8"/>
  <c r="C113" i="8"/>
  <c r="B113" i="8"/>
  <c r="B117" i="8" s="1"/>
  <c r="E104" i="8"/>
  <c r="D104" i="8"/>
  <c r="B104" i="8"/>
  <c r="C104" i="8" s="1"/>
  <c r="D103" i="8"/>
  <c r="E103" i="8" s="1"/>
  <c r="C103" i="8"/>
  <c r="B103" i="8"/>
  <c r="E102" i="8"/>
  <c r="D102" i="8"/>
  <c r="B102" i="8"/>
  <c r="C102" i="8" s="1"/>
  <c r="D101" i="8"/>
  <c r="F101" i="8" s="1"/>
  <c r="C101" i="8"/>
  <c r="E108" i="8" s="1"/>
  <c r="B101" i="8"/>
  <c r="D100" i="8"/>
  <c r="B100" i="8"/>
  <c r="B94" i="8" a="1"/>
  <c r="B94" i="8" s="1"/>
  <c r="B93" i="8" a="1"/>
  <c r="B93" i="8" s="1"/>
  <c r="B92" i="8" a="1"/>
  <c r="B92" i="8" s="1"/>
  <c r="D92" i="8" s="1"/>
  <c r="E92" i="8" s="1"/>
  <c r="B91" i="8" a="1"/>
  <c r="B91" i="8" s="1"/>
  <c r="D91" i="8" s="1"/>
  <c r="E91" i="8" s="1"/>
  <c r="F86" i="8"/>
  <c r="D86" i="8"/>
  <c r="B86" i="8" a="1"/>
  <c r="B86" i="8" s="1"/>
  <c r="H83" i="8"/>
  <c r="G83" i="8"/>
  <c r="F83" i="8" a="1"/>
  <c r="F83" i="8" s="1"/>
  <c r="E83" i="8" a="1"/>
  <c r="E83" i="8"/>
  <c r="D83" i="8" a="1"/>
  <c r="D83" i="8" s="1"/>
  <c r="C83" i="8" a="1"/>
  <c r="C83" i="8" s="1"/>
  <c r="B83" i="8" a="1"/>
  <c r="B83" i="8" s="1"/>
  <c r="H82" i="8"/>
  <c r="G82" i="8"/>
  <c r="F82" i="8" a="1"/>
  <c r="F82" i="8" s="1"/>
  <c r="E82" i="8" a="1"/>
  <c r="E82" i="8" s="1"/>
  <c r="D82" i="8" a="1"/>
  <c r="D82" i="8"/>
  <c r="C82" i="8" a="1"/>
  <c r="C82" i="8"/>
  <c r="B82" i="8" a="1"/>
  <c r="B82" i="8" s="1"/>
  <c r="H81" i="8"/>
  <c r="G81" i="8"/>
  <c r="F81" i="8" a="1"/>
  <c r="F81" i="8"/>
  <c r="E81" i="8" a="1"/>
  <c r="E81" i="8" s="1"/>
  <c r="D81" i="8" a="1"/>
  <c r="D81" i="8"/>
  <c r="C81" i="8" a="1"/>
  <c r="C81" i="8"/>
  <c r="B81" i="8" a="1"/>
  <c r="B81" i="8" s="1"/>
  <c r="H80" i="8"/>
  <c r="G80" i="8"/>
  <c r="F80" i="8" a="1"/>
  <c r="F80" i="8"/>
  <c r="E80" i="8" a="1"/>
  <c r="E80" i="8"/>
  <c r="D80" i="8" a="1"/>
  <c r="D80" i="8" s="1"/>
  <c r="C80" i="8" a="1"/>
  <c r="C80" i="8" s="1"/>
  <c r="B80" i="8" a="1"/>
  <c r="B80" i="8" s="1"/>
  <c r="H79" i="8"/>
  <c r="G79" i="8"/>
  <c r="F79" i="8" a="1"/>
  <c r="F79" i="8" s="1"/>
  <c r="E79" i="8" a="1"/>
  <c r="E79" i="8" s="1"/>
  <c r="D79" i="8" a="1"/>
  <c r="D79" i="8" s="1"/>
  <c r="C79" i="8" a="1"/>
  <c r="C79" i="8" s="1"/>
  <c r="B79" i="8" a="1"/>
  <c r="B79" i="8" s="1"/>
  <c r="H78" i="8"/>
  <c r="G78" i="8"/>
  <c r="F78" i="8" a="1"/>
  <c r="F78" i="8"/>
  <c r="E78" i="8" a="1"/>
  <c r="E78" i="8" s="1"/>
  <c r="D78" i="8" a="1"/>
  <c r="D78" i="8" s="1"/>
  <c r="C78" i="8" a="1"/>
  <c r="C78" i="8" s="1"/>
  <c r="B78" i="8" a="1"/>
  <c r="B78" i="8"/>
  <c r="H77" i="8"/>
  <c r="G77" i="8"/>
  <c r="F77" i="8" a="1"/>
  <c r="F77" i="8" s="1"/>
  <c r="E77" i="8" a="1"/>
  <c r="E77" i="8"/>
  <c r="D77" i="8" a="1"/>
  <c r="D77" i="8" s="1"/>
  <c r="C77" i="8" a="1"/>
  <c r="C77" i="8"/>
  <c r="B77" i="8" a="1"/>
  <c r="B77" i="8"/>
  <c r="H76" i="8"/>
  <c r="G76" i="8"/>
  <c r="F76" i="8" a="1"/>
  <c r="F76" i="8"/>
  <c r="E76" i="8" a="1"/>
  <c r="E76" i="8" s="1"/>
  <c r="D76" i="8" a="1"/>
  <c r="D76" i="8"/>
  <c r="C76" i="8" a="1"/>
  <c r="C76" i="8"/>
  <c r="B76" i="8" a="1"/>
  <c r="B76" i="8" s="1"/>
  <c r="H75" i="8"/>
  <c r="G75" i="8"/>
  <c r="F75" i="8" a="1"/>
  <c r="F75" i="8"/>
  <c r="E75" i="8" a="1"/>
  <c r="E75" i="8" s="1"/>
  <c r="D75" i="8" a="1"/>
  <c r="D75" i="8" s="1"/>
  <c r="C75" i="8" a="1"/>
  <c r="C75" i="8"/>
  <c r="B75" i="8" a="1"/>
  <c r="B75" i="8" s="1"/>
  <c r="H74" i="8"/>
  <c r="G74" i="8"/>
  <c r="G84" i="8" s="1"/>
  <c r="G85" i="8" s="1"/>
  <c r="F74" i="8" a="1"/>
  <c r="F74" i="8" s="1"/>
  <c r="E74" i="8" a="1"/>
  <c r="E74" i="8" s="1"/>
  <c r="D74" i="8" a="1"/>
  <c r="D74" i="8" s="1"/>
  <c r="C74" i="8" a="1"/>
  <c r="C74" i="8"/>
  <c r="B74" i="8" a="1"/>
  <c r="B74" i="8"/>
  <c r="C68" i="8"/>
  <c r="B68" i="8"/>
  <c r="E68" i="8" s="1"/>
  <c r="D67" i="8"/>
  <c r="C67" i="8"/>
  <c r="B67" i="8" a="1"/>
  <c r="B67" i="8"/>
  <c r="E67" i="8" s="1"/>
  <c r="D66" i="8"/>
  <c r="C66" i="8"/>
  <c r="B66" i="8" a="1"/>
  <c r="B66" i="8"/>
  <c r="E66" i="8" s="1"/>
  <c r="E65" i="8"/>
  <c r="C65" i="8"/>
  <c r="D65" i="8" s="1"/>
  <c r="B65" i="8" a="1"/>
  <c r="B65" i="8"/>
  <c r="D64" i="8"/>
  <c r="C64" i="8"/>
  <c r="F68" i="8" s="1"/>
  <c r="B64" i="8" a="1"/>
  <c r="B64" i="8"/>
  <c r="E64" i="8" s="1"/>
  <c r="D58" i="8"/>
  <c r="B58" i="8"/>
  <c r="C58" i="8" s="1"/>
  <c r="D57" i="8" a="1"/>
  <c r="D57" i="8" s="1"/>
  <c r="B57" i="8" a="1"/>
  <c r="B57" i="8" s="1"/>
  <c r="C57" i="8" s="1"/>
  <c r="D56" i="8" a="1"/>
  <c r="D56" i="8" s="1"/>
  <c r="B56" i="8" a="1"/>
  <c r="B56" i="8" s="1"/>
  <c r="C56" i="8" s="1"/>
  <c r="D55" i="8" a="1"/>
  <c r="D55" i="8" s="1"/>
  <c r="B55" i="8" a="1"/>
  <c r="B55" i="8" s="1"/>
  <c r="C55" i="8" s="1"/>
  <c r="D54" i="8" a="1"/>
  <c r="D54" i="8" s="1"/>
  <c r="B54" i="8" a="1"/>
  <c r="B54" i="8" s="1"/>
  <c r="C54" i="8" s="1"/>
  <c r="D53" i="8" a="1"/>
  <c r="D53" i="8" s="1"/>
  <c r="B53" i="8" a="1"/>
  <c r="B53" i="8" s="1"/>
  <c r="B47" i="8" a="1"/>
  <c r="B47" i="8" s="1"/>
  <c r="B46" i="8" a="1"/>
  <c r="B46" i="8" s="1"/>
  <c r="B45" i="8" a="1"/>
  <c r="B45" i="8" s="1"/>
  <c r="E45" i="8" s="1" a="1"/>
  <c r="E45" i="8" s="1"/>
  <c r="B44" i="8" a="1"/>
  <c r="B44" i="8" s="1"/>
  <c r="B43" i="8" a="1"/>
  <c r="B43" i="8" s="1"/>
  <c r="B40" i="8" a="1"/>
  <c r="B40" i="8" s="1"/>
  <c r="B39" i="8" a="1"/>
  <c r="B39" i="8"/>
  <c r="B36" i="8"/>
  <c r="B35" i="8"/>
  <c r="C35" i="8" s="1"/>
  <c r="C34" i="8"/>
  <c r="B34" i="8"/>
  <c r="B32" i="8" a="1"/>
  <c r="B32" i="8" s="1"/>
  <c r="B31" i="8" a="1"/>
  <c r="B31" i="8" s="1"/>
  <c r="B30" i="8"/>
  <c r="N83" i="5" s="1"/>
  <c r="D25" i="8"/>
  <c r="E25" i="8" s="1"/>
  <c r="B25" i="8"/>
  <c r="D24" i="8"/>
  <c r="B24" i="8"/>
  <c r="E24" i="8" s="1"/>
  <c r="B23" i="8"/>
  <c r="C23" i="8" s="1"/>
  <c r="B22" i="8"/>
  <c r="C22" i="8" s="1"/>
  <c r="F21" i="8"/>
  <c r="F25" i="8" s="1"/>
  <c r="E21" i="8"/>
  <c r="D21" i="8"/>
  <c r="C21" i="8"/>
  <c r="B21" i="8"/>
  <c r="F20" i="8"/>
  <c r="D20" i="8"/>
  <c r="B20" i="8"/>
  <c r="F19" i="8"/>
  <c r="D19" i="8"/>
  <c r="E19" i="8" s="1"/>
  <c r="C19" i="8"/>
  <c r="B19" i="8"/>
  <c r="F18" i="8"/>
  <c r="D18" i="8"/>
  <c r="E18" i="8" s="1"/>
  <c r="B18" i="8"/>
  <c r="C18" i="8" s="1"/>
  <c r="E17" i="8"/>
  <c r="D17" i="8"/>
  <c r="C17" i="8"/>
  <c r="B17" i="8"/>
  <c r="E13" i="8"/>
  <c r="H12" i="8"/>
  <c r="F12" i="8"/>
  <c r="E12" i="8"/>
  <c r="C12" i="8"/>
  <c r="G12" i="8" s="1"/>
  <c r="B12" i="8"/>
  <c r="A12" i="8"/>
  <c r="H11" i="8"/>
  <c r="G11" i="8"/>
  <c r="F11" i="8"/>
  <c r="E11" i="8"/>
  <c r="C11" i="8"/>
  <c r="B11" i="8"/>
  <c r="H10" i="8"/>
  <c r="E10" i="8"/>
  <c r="D10" i="8"/>
  <c r="C10" i="8"/>
  <c r="B10" i="8"/>
  <c r="H9" i="8"/>
  <c r="H13" i="8" s="1"/>
  <c r="G9" i="8"/>
  <c r="F9" i="8"/>
  <c r="E9" i="8"/>
  <c r="D9" i="8"/>
  <c r="C9" i="8"/>
  <c r="B9" i="8"/>
  <c r="R5" i="8"/>
  <c r="O5" i="8"/>
  <c r="L5" i="8"/>
  <c r="H5" i="8"/>
  <c r="F5" i="8"/>
  <c r="J5" i="8" s="1"/>
  <c r="D5" i="8"/>
  <c r="B120" i="7"/>
  <c r="B98" i="7"/>
  <c r="B99" i="7" s="1"/>
  <c r="B114" i="7" s="1"/>
  <c r="E114" i="7" s="1"/>
  <c r="I77" i="7"/>
  <c r="G77" i="7"/>
  <c r="F77" i="7"/>
  <c r="E77" i="7"/>
  <c r="D77" i="7"/>
  <c r="H77" i="7" s="1"/>
  <c r="C77" i="7"/>
  <c r="B77" i="7"/>
  <c r="G76" i="7"/>
  <c r="F76" i="7"/>
  <c r="B76" i="7"/>
  <c r="J75" i="7"/>
  <c r="G75" i="7"/>
  <c r="F75" i="7"/>
  <c r="E75" i="7"/>
  <c r="B75" i="7"/>
  <c r="G74" i="7"/>
  <c r="B74" i="7"/>
  <c r="J73" i="7"/>
  <c r="G73" i="7"/>
  <c r="E73" i="7"/>
  <c r="D73" i="7"/>
  <c r="B73" i="7"/>
  <c r="J72" i="7"/>
  <c r="G72" i="7"/>
  <c r="E72" i="7"/>
  <c r="D72" i="7"/>
  <c r="C72" i="7"/>
  <c r="B72" i="7"/>
  <c r="H65" i="7"/>
  <c r="G65" i="7"/>
  <c r="F65" i="7"/>
  <c r="E65" i="7"/>
  <c r="D65" i="7"/>
  <c r="C65" i="7"/>
  <c r="L64" i="7"/>
  <c r="I64" i="7"/>
  <c r="J64" i="7" s="1"/>
  <c r="M64" i="7" s="1"/>
  <c r="M63" i="7"/>
  <c r="L63" i="7"/>
  <c r="J63" i="7"/>
  <c r="I63" i="7"/>
  <c r="L62" i="7"/>
  <c r="I62" i="7"/>
  <c r="J62" i="7" s="1"/>
  <c r="M62" i="7" s="1"/>
  <c r="L61" i="7"/>
  <c r="I61" i="7"/>
  <c r="J61" i="7" s="1"/>
  <c r="M61" i="7" s="1"/>
  <c r="L60" i="7"/>
  <c r="J60" i="7"/>
  <c r="M60" i="7" s="1"/>
  <c r="I60" i="7"/>
  <c r="L59" i="7"/>
  <c r="I59" i="7"/>
  <c r="J59" i="7" s="1"/>
  <c r="M59" i="7" s="1"/>
  <c r="L58" i="7"/>
  <c r="M58" i="7" s="1"/>
  <c r="J58" i="7"/>
  <c r="I58" i="7"/>
  <c r="L57" i="7"/>
  <c r="M57" i="7" s="1"/>
  <c r="J57" i="7"/>
  <c r="I57" i="7"/>
  <c r="L56" i="7"/>
  <c r="J56" i="7"/>
  <c r="M56" i="7" s="1"/>
  <c r="I56" i="7"/>
  <c r="H53" i="7"/>
  <c r="G53" i="7"/>
  <c r="F53" i="7"/>
  <c r="E53" i="7"/>
  <c r="D53" i="7"/>
  <c r="C53" i="7"/>
  <c r="M52" i="7"/>
  <c r="L52" i="7"/>
  <c r="J52" i="7"/>
  <c r="I52" i="7"/>
  <c r="L51" i="7"/>
  <c r="I51" i="7"/>
  <c r="J51" i="7" s="1"/>
  <c r="M51" i="7" s="1"/>
  <c r="L50" i="7"/>
  <c r="I50" i="7"/>
  <c r="H47" i="7"/>
  <c r="G47" i="7"/>
  <c r="F47" i="7"/>
  <c r="E47" i="7"/>
  <c r="D47" i="7"/>
  <c r="C47" i="7"/>
  <c r="L46" i="7"/>
  <c r="M46" i="7" s="1"/>
  <c r="J46" i="7"/>
  <c r="I46" i="7"/>
  <c r="M45" i="7"/>
  <c r="L45" i="7"/>
  <c r="J45" i="7"/>
  <c r="I45" i="7"/>
  <c r="L44" i="7"/>
  <c r="M44" i="7" s="1"/>
  <c r="J44" i="7"/>
  <c r="I44" i="7"/>
  <c r="L43" i="7"/>
  <c r="J43" i="7"/>
  <c r="M43" i="7" s="1"/>
  <c r="M47" i="7" s="1"/>
  <c r="I43" i="7"/>
  <c r="I47" i="7" s="1"/>
  <c r="H40" i="7"/>
  <c r="H67" i="7" s="1"/>
  <c r="F40" i="7"/>
  <c r="F67" i="7" s="1"/>
  <c r="E40" i="7"/>
  <c r="E67" i="7" s="1"/>
  <c r="L39" i="7"/>
  <c r="H39" i="7"/>
  <c r="E39" i="7"/>
  <c r="G38" i="7"/>
  <c r="E76" i="7" s="1"/>
  <c r="D38" i="7"/>
  <c r="C76" i="7" s="1"/>
  <c r="F37" i="7"/>
  <c r="C37" i="7"/>
  <c r="H36" i="7"/>
  <c r="E36" i="7"/>
  <c r="G35" i="7"/>
  <c r="G40" i="7" s="1"/>
  <c r="G67" i="7" s="1"/>
  <c r="D35" i="7"/>
  <c r="M34" i="7"/>
  <c r="I34" i="7"/>
  <c r="J34" i="7" s="1"/>
  <c r="F34" i="7"/>
  <c r="F72" i="7" s="1"/>
  <c r="C34" i="7"/>
  <c r="L34" i="7" s="1"/>
  <c r="M33" i="7"/>
  <c r="L33" i="7"/>
  <c r="I33" i="7"/>
  <c r="J33" i="7" s="1"/>
  <c r="L32" i="7"/>
  <c r="J32" i="7"/>
  <c r="M32" i="7" s="1"/>
  <c r="I32" i="7"/>
  <c r="L31" i="7"/>
  <c r="J31" i="7"/>
  <c r="I31" i="7"/>
  <c r="C10" i="7"/>
  <c r="C9" i="7"/>
  <c r="D26" i="6"/>
  <c r="D23" i="6"/>
  <c r="B8" i="6"/>
  <c r="D4" i="6"/>
  <c r="D136" i="5"/>
  <c r="G134" i="5"/>
  <c r="G135" i="5" s="1"/>
  <c r="G136" i="5" s="1"/>
  <c r="F134" i="5"/>
  <c r="F135" i="5" s="1"/>
  <c r="F136" i="5" s="1"/>
  <c r="E134" i="5"/>
  <c r="E135" i="5" s="1"/>
  <c r="E136" i="5" s="1"/>
  <c r="I133" i="5"/>
  <c r="D133" i="5"/>
  <c r="K132" i="5"/>
  <c r="K133" i="5" s="1"/>
  <c r="I132" i="5"/>
  <c r="F132" i="5"/>
  <c r="F133" i="5" s="1"/>
  <c r="E132" i="5"/>
  <c r="E133" i="5" s="1"/>
  <c r="D132" i="5"/>
  <c r="C132" i="5"/>
  <c r="C133" i="5" s="1"/>
  <c r="B132" i="5"/>
  <c r="B133" i="5" s="1"/>
  <c r="O131" i="5"/>
  <c r="N131" i="5"/>
  <c r="M129" i="5"/>
  <c r="M134" i="5" s="1"/>
  <c r="M135" i="5" s="1"/>
  <c r="M136" i="5" s="1"/>
  <c r="L129" i="5"/>
  <c r="O129" i="5" s="1"/>
  <c r="K129" i="5"/>
  <c r="J129" i="5"/>
  <c r="I129" i="5"/>
  <c r="H129" i="5"/>
  <c r="G129" i="5"/>
  <c r="F129" i="5"/>
  <c r="E129" i="5"/>
  <c r="D129" i="5"/>
  <c r="D134" i="5" s="1"/>
  <c r="D135" i="5" s="1"/>
  <c r="C129" i="5"/>
  <c r="C134" i="5" s="1"/>
  <c r="C135" i="5" s="1"/>
  <c r="C136" i="5" s="1"/>
  <c r="B129" i="5"/>
  <c r="P128" i="5"/>
  <c r="O128" i="5"/>
  <c r="N128" i="5"/>
  <c r="P127" i="5"/>
  <c r="O127" i="5"/>
  <c r="N127" i="5"/>
  <c r="O126" i="5"/>
  <c r="N126" i="5"/>
  <c r="O125" i="5"/>
  <c r="N125" i="5"/>
  <c r="P125" i="5" s="1"/>
  <c r="P123" i="5"/>
  <c r="O123" i="5"/>
  <c r="N123" i="5"/>
  <c r="O122" i="5"/>
  <c r="N122" i="5"/>
  <c r="O121" i="5"/>
  <c r="N121" i="5"/>
  <c r="P121" i="5" s="1"/>
  <c r="O120" i="5"/>
  <c r="N120" i="5"/>
  <c r="P119" i="5"/>
  <c r="O119" i="5"/>
  <c r="N119" i="5"/>
  <c r="P118" i="5"/>
  <c r="O118" i="5"/>
  <c r="N118" i="5"/>
  <c r="P116" i="5"/>
  <c r="O116" i="5"/>
  <c r="N116" i="5"/>
  <c r="O115" i="5"/>
  <c r="N115" i="5"/>
  <c r="P114" i="5"/>
  <c r="O114" i="5"/>
  <c r="N114" i="5"/>
  <c r="O113" i="5"/>
  <c r="N113" i="5"/>
  <c r="P112" i="5"/>
  <c r="O112" i="5"/>
  <c r="N112" i="5"/>
  <c r="O111" i="5"/>
  <c r="N111" i="5"/>
  <c r="P111" i="5" s="1"/>
  <c r="O110" i="5"/>
  <c r="N110" i="5"/>
  <c r="P109" i="5"/>
  <c r="O109" i="5"/>
  <c r="N109" i="5"/>
  <c r="O108" i="5"/>
  <c r="N108" i="5"/>
  <c r="O107" i="5"/>
  <c r="N107" i="5"/>
  <c r="P107" i="5" s="1"/>
  <c r="O106" i="5"/>
  <c r="N106" i="5"/>
  <c r="P105" i="5"/>
  <c r="O105" i="5"/>
  <c r="N105" i="5"/>
  <c r="P104" i="5"/>
  <c r="O104" i="5"/>
  <c r="N104" i="5"/>
  <c r="B14" i="5" s="1"/>
  <c r="M102" i="5"/>
  <c r="L102" i="5"/>
  <c r="K102" i="5"/>
  <c r="J102" i="5"/>
  <c r="C13" i="5" s="1"/>
  <c r="I102" i="5"/>
  <c r="I134" i="5" s="1"/>
  <c r="I135" i="5" s="1"/>
  <c r="I136" i="5" s="1"/>
  <c r="H102" i="5"/>
  <c r="G102" i="5"/>
  <c r="F102" i="5"/>
  <c r="E102" i="5"/>
  <c r="D102" i="5"/>
  <c r="C102" i="5"/>
  <c r="B102" i="5"/>
  <c r="B134" i="5" s="1"/>
  <c r="B135" i="5" s="1"/>
  <c r="B136" i="5" s="1"/>
  <c r="O101" i="5"/>
  <c r="N101" i="5"/>
  <c r="P101" i="5" s="1"/>
  <c r="O100" i="5"/>
  <c r="N100" i="5"/>
  <c r="P99" i="5"/>
  <c r="O99" i="5"/>
  <c r="N99" i="5"/>
  <c r="O98" i="5"/>
  <c r="N98" i="5"/>
  <c r="P98" i="5" s="1"/>
  <c r="P97" i="5"/>
  <c r="O97" i="5"/>
  <c r="N97" i="5"/>
  <c r="P96" i="5"/>
  <c r="O96" i="5"/>
  <c r="N96" i="5"/>
  <c r="O95" i="5"/>
  <c r="N95" i="5"/>
  <c r="P95" i="5" s="1"/>
  <c r="P94" i="5"/>
  <c r="O94" i="5"/>
  <c r="N94" i="5"/>
  <c r="O93" i="5"/>
  <c r="N93" i="5"/>
  <c r="P92" i="5"/>
  <c r="O92" i="5"/>
  <c r="N92" i="5"/>
  <c r="P91" i="5"/>
  <c r="O91" i="5"/>
  <c r="N91" i="5"/>
  <c r="O90" i="5"/>
  <c r="N90" i="5"/>
  <c r="O89" i="5"/>
  <c r="N89" i="5"/>
  <c r="P89" i="5" s="1"/>
  <c r="O88" i="5"/>
  <c r="N88" i="5"/>
  <c r="N86" i="5"/>
  <c r="P85" i="5"/>
  <c r="N85" i="5"/>
  <c r="N84" i="5"/>
  <c r="O80" i="5"/>
  <c r="P79" i="5"/>
  <c r="O79" i="5"/>
  <c r="N79" i="5"/>
  <c r="P78" i="5"/>
  <c r="O78" i="5"/>
  <c r="N78" i="5"/>
  <c r="P77" i="5"/>
  <c r="O77" i="5"/>
  <c r="N77" i="5"/>
  <c r="O76" i="5"/>
  <c r="N76" i="5"/>
  <c r="P75" i="5"/>
  <c r="O75" i="5"/>
  <c r="N75" i="5"/>
  <c r="P74" i="5"/>
  <c r="O74" i="5"/>
  <c r="N74" i="5"/>
  <c r="P73" i="5"/>
  <c r="O73" i="5"/>
  <c r="N73" i="5"/>
  <c r="O72" i="5"/>
  <c r="N72" i="5"/>
  <c r="P71" i="5"/>
  <c r="O71" i="5"/>
  <c r="N71" i="5"/>
  <c r="O70" i="5"/>
  <c r="N70" i="5"/>
  <c r="P70" i="5" s="1"/>
  <c r="P69" i="5"/>
  <c r="O69" i="5"/>
  <c r="N69" i="5"/>
  <c r="O68" i="5"/>
  <c r="N68" i="5"/>
  <c r="P68" i="5" s="1"/>
  <c r="O67" i="5"/>
  <c r="P66" i="5"/>
  <c r="O66" i="5"/>
  <c r="N66" i="5"/>
  <c r="A66" i="5"/>
  <c r="O65" i="5"/>
  <c r="N65" i="5"/>
  <c r="P65" i="5" s="1"/>
  <c r="O64" i="5"/>
  <c r="N64" i="5"/>
  <c r="O63" i="5"/>
  <c r="N63" i="5"/>
  <c r="O62" i="5"/>
  <c r="P61" i="5"/>
  <c r="O61" i="5"/>
  <c r="N61" i="5"/>
  <c r="A61" i="5"/>
  <c r="P60" i="5"/>
  <c r="O60" i="5"/>
  <c r="N60" i="5"/>
  <c r="P59" i="5"/>
  <c r="O59" i="5"/>
  <c r="N59" i="5"/>
  <c r="O58" i="5"/>
  <c r="N58" i="5"/>
  <c r="M56" i="5"/>
  <c r="L56" i="5"/>
  <c r="K56" i="5"/>
  <c r="J56" i="5"/>
  <c r="I56" i="5"/>
  <c r="H56" i="5"/>
  <c r="G56" i="5"/>
  <c r="F56" i="5"/>
  <c r="E56" i="5"/>
  <c r="D56" i="5"/>
  <c r="C56" i="5"/>
  <c r="B56" i="5"/>
  <c r="B48" i="5"/>
  <c r="D34" i="5"/>
  <c r="B33" i="5"/>
  <c r="D33" i="5" s="1"/>
  <c r="B32" i="5"/>
  <c r="B31" i="5"/>
  <c r="B23" i="5"/>
  <c r="B21" i="5"/>
  <c r="D16" i="5"/>
  <c r="F16" i="5" s="1"/>
  <c r="G16" i="5" s="1"/>
  <c r="C16" i="5"/>
  <c r="B16" i="5"/>
  <c r="D15" i="5"/>
  <c r="C15" i="5"/>
  <c r="H14" i="5"/>
  <c r="F14" i="5"/>
  <c r="G14" i="5" s="1"/>
  <c r="E14" i="5"/>
  <c r="D14" i="5"/>
  <c r="C14" i="5"/>
  <c r="D13" i="5"/>
  <c r="F12" i="5"/>
  <c r="G12" i="5" s="1"/>
  <c r="D12" i="5"/>
  <c r="E12" i="5" s="1"/>
  <c r="C12" i="5"/>
  <c r="B12" i="5"/>
  <c r="D9" i="5"/>
  <c r="C9" i="5"/>
  <c r="D129" i="4"/>
  <c r="Q129" i="4" s="1"/>
  <c r="D95" i="4"/>
  <c r="C95" i="4"/>
  <c r="C93" i="4"/>
  <c r="C92" i="4"/>
  <c r="C91" i="4"/>
  <c r="D90" i="4"/>
  <c r="E90" i="4" s="1"/>
  <c r="F90" i="4" s="1"/>
  <c r="G90" i="4" s="1"/>
  <c r="H90" i="4" s="1"/>
  <c r="I90" i="4" s="1"/>
  <c r="C90" i="4"/>
  <c r="C89" i="4"/>
  <c r="D88" i="4"/>
  <c r="E88" i="4" s="1"/>
  <c r="F88" i="4" s="1"/>
  <c r="G88" i="4" s="1"/>
  <c r="H88" i="4" s="1"/>
  <c r="I88" i="4" s="1"/>
  <c r="C88" i="4"/>
  <c r="H87" i="4"/>
  <c r="I87" i="4" s="1"/>
  <c r="E87" i="4"/>
  <c r="F87" i="4" s="1"/>
  <c r="G87" i="4" s="1"/>
  <c r="D87" i="4"/>
  <c r="C87" i="4"/>
  <c r="C86" i="4"/>
  <c r="C85" i="4"/>
  <c r="C84" i="4"/>
  <c r="F83" i="4"/>
  <c r="G83" i="4" s="1"/>
  <c r="H83" i="4" s="1"/>
  <c r="I83" i="4" s="1"/>
  <c r="E83" i="4"/>
  <c r="D83" i="4"/>
  <c r="C83" i="4"/>
  <c r="D82" i="4"/>
  <c r="E82" i="4" s="1"/>
  <c r="F82" i="4" s="1"/>
  <c r="G82" i="4" s="1"/>
  <c r="H82" i="4" s="1"/>
  <c r="I82" i="4" s="1"/>
  <c r="C82" i="4"/>
  <c r="C81" i="4"/>
  <c r="C80" i="4"/>
  <c r="C79" i="4"/>
  <c r="D78" i="4"/>
  <c r="E78" i="4" s="1"/>
  <c r="F78" i="4" s="1"/>
  <c r="G78" i="4" s="1"/>
  <c r="H78" i="4" s="1"/>
  <c r="I78" i="4" s="1"/>
  <c r="C78" i="4"/>
  <c r="C77" i="4"/>
  <c r="D76" i="4"/>
  <c r="E76" i="4" s="1"/>
  <c r="F76" i="4" s="1"/>
  <c r="G76" i="4" s="1"/>
  <c r="H76" i="4" s="1"/>
  <c r="I76" i="4" s="1"/>
  <c r="C76" i="4"/>
  <c r="G75" i="4"/>
  <c r="H75" i="4" s="1"/>
  <c r="I75" i="4" s="1"/>
  <c r="D75" i="4"/>
  <c r="E75" i="4" s="1"/>
  <c r="F75" i="4" s="1"/>
  <c r="C75" i="4"/>
  <c r="E74" i="4"/>
  <c r="F74" i="4" s="1"/>
  <c r="G74" i="4" s="1"/>
  <c r="H74" i="4" s="1"/>
  <c r="I74" i="4" s="1"/>
  <c r="D74" i="4"/>
  <c r="C74" i="4"/>
  <c r="C73" i="4"/>
  <c r="C72" i="4"/>
  <c r="D71" i="4"/>
  <c r="E71" i="4" s="1"/>
  <c r="F71" i="4" s="1"/>
  <c r="G71" i="4" s="1"/>
  <c r="H71" i="4" s="1"/>
  <c r="C71" i="4"/>
  <c r="F68" i="4"/>
  <c r="G68" i="4" s="1"/>
  <c r="H68" i="4" s="1"/>
  <c r="I68" i="4" s="1"/>
  <c r="D68" i="4"/>
  <c r="E68" i="4" s="1"/>
  <c r="C68" i="4"/>
  <c r="C67" i="4"/>
  <c r="C66" i="4"/>
  <c r="C65" i="4"/>
  <c r="C64" i="4"/>
  <c r="D63" i="4"/>
  <c r="E63" i="4" s="1"/>
  <c r="C63" i="4"/>
  <c r="C60" i="4"/>
  <c r="D59" i="4"/>
  <c r="E59" i="4" s="1"/>
  <c r="F59" i="4" s="1"/>
  <c r="G59" i="4" s="1"/>
  <c r="H59" i="4" s="1"/>
  <c r="I59" i="4" s="1"/>
  <c r="C59" i="4"/>
  <c r="D58" i="4"/>
  <c r="E58" i="4" s="1"/>
  <c r="F58" i="4" s="1"/>
  <c r="G58" i="4" s="1"/>
  <c r="H58" i="4" s="1"/>
  <c r="I58" i="4" s="1"/>
  <c r="C58" i="4"/>
  <c r="C57" i="4"/>
  <c r="D56" i="4"/>
  <c r="E56" i="4" s="1"/>
  <c r="F56" i="4" s="1"/>
  <c r="G56" i="4" s="1"/>
  <c r="H56" i="4" s="1"/>
  <c r="I56" i="4" s="1"/>
  <c r="C56" i="4"/>
  <c r="E55" i="4"/>
  <c r="F55" i="4" s="1"/>
  <c r="G55" i="4" s="1"/>
  <c r="H55" i="4" s="1"/>
  <c r="I55" i="4" s="1"/>
  <c r="D55" i="4"/>
  <c r="C55" i="4"/>
  <c r="E54" i="4"/>
  <c r="F54" i="4" s="1"/>
  <c r="G54" i="4" s="1"/>
  <c r="H54" i="4" s="1"/>
  <c r="I54" i="4" s="1"/>
  <c r="D54" i="4"/>
  <c r="C54" i="4"/>
  <c r="D53" i="4"/>
  <c r="E53" i="4" s="1"/>
  <c r="C53" i="4"/>
  <c r="D49" i="4"/>
  <c r="C49" i="4"/>
  <c r="C48" i="4"/>
  <c r="C39" i="4"/>
  <c r="C37" i="4"/>
  <c r="D35" i="4"/>
  <c r="E35" i="4" s="1"/>
  <c r="C35" i="4"/>
  <c r="C34" i="4"/>
  <c r="C33" i="4"/>
  <c r="D32" i="4"/>
  <c r="C32" i="4"/>
  <c r="C29" i="4"/>
  <c r="C27" i="4"/>
  <c r="E25" i="4"/>
  <c r="F25" i="4" s="1"/>
  <c r="D25" i="4"/>
  <c r="C25" i="4"/>
  <c r="C24" i="4"/>
  <c r="C30" i="4" s="1"/>
  <c r="C23" i="4"/>
  <c r="C22" i="4"/>
  <c r="D19" i="4"/>
  <c r="E19" i="4" s="1"/>
  <c r="F19" i="4" s="1"/>
  <c r="G19" i="4" s="1"/>
  <c r="C19" i="4"/>
  <c r="D17" i="4"/>
  <c r="E17" i="4" s="1"/>
  <c r="F17" i="4" s="1"/>
  <c r="G17" i="4" s="1"/>
  <c r="C17" i="4"/>
  <c r="C15" i="4"/>
  <c r="C13" i="4"/>
  <c r="D12" i="4"/>
  <c r="C12" i="4"/>
  <c r="C14" i="4" s="1"/>
  <c r="I6" i="4"/>
  <c r="I5" i="4"/>
  <c r="J5" i="4" s="1"/>
  <c r="K5" i="4" s="1"/>
  <c r="L5" i="4" s="1"/>
  <c r="M5" i="4" s="1"/>
  <c r="H5" i="4"/>
  <c r="F173" i="3"/>
  <c r="C173" i="3"/>
  <c r="B170" i="3"/>
  <c r="F167" i="3"/>
  <c r="E167" i="3"/>
  <c r="C167" i="3"/>
  <c r="B167" i="3"/>
  <c r="E166" i="3"/>
  <c r="D166" i="3"/>
  <c r="C166" i="3"/>
  <c r="B166" i="3"/>
  <c r="F166" i="3" s="1"/>
  <c r="F164" i="3"/>
  <c r="E164" i="3"/>
  <c r="B164" i="3"/>
  <c r="E163" i="3"/>
  <c r="D163" i="3"/>
  <c r="C163" i="3"/>
  <c r="B163" i="3"/>
  <c r="F163" i="3" s="1"/>
  <c r="B162" i="3"/>
  <c r="F162" i="3" s="1"/>
  <c r="F160" i="3"/>
  <c r="D9" i="16" s="1"/>
  <c r="F159" i="3"/>
  <c r="D8" i="16" s="1"/>
  <c r="F158" i="3"/>
  <c r="D7" i="16" s="1"/>
  <c r="D158" i="3"/>
  <c r="C158" i="3"/>
  <c r="F157" i="3"/>
  <c r="D5" i="16" s="1"/>
  <c r="F156" i="3"/>
  <c r="D6" i="16" s="1"/>
  <c r="F155" i="3"/>
  <c r="C155" i="3"/>
  <c r="F153" i="3"/>
  <c r="C9" i="16" s="1"/>
  <c r="F152" i="3"/>
  <c r="C8" i="16" s="1"/>
  <c r="F151" i="3"/>
  <c r="C7" i="16" s="1"/>
  <c r="F150" i="3"/>
  <c r="F149" i="3"/>
  <c r="C6" i="16" s="1"/>
  <c r="F148" i="3"/>
  <c r="F146" i="3"/>
  <c r="B9" i="16" s="1"/>
  <c r="D146" i="3"/>
  <c r="E146" i="3" s="1"/>
  <c r="C146" i="3"/>
  <c r="F145" i="3"/>
  <c r="B8" i="16" s="1"/>
  <c r="D145" i="3"/>
  <c r="E145" i="3" s="1"/>
  <c r="C145" i="3"/>
  <c r="F144" i="3"/>
  <c r="B7" i="16" s="1"/>
  <c r="C144" i="3"/>
  <c r="D144" i="3" s="1"/>
  <c r="E144" i="3" s="1"/>
  <c r="F143" i="3"/>
  <c r="B5" i="16" s="1"/>
  <c r="C143" i="3"/>
  <c r="D143" i="3" s="1"/>
  <c r="E143" i="3" s="1"/>
  <c r="F142" i="3"/>
  <c r="B6" i="16" s="1"/>
  <c r="C142" i="3"/>
  <c r="D142" i="3" s="1"/>
  <c r="E142" i="3" s="1"/>
  <c r="F141" i="3"/>
  <c r="B141" i="3"/>
  <c r="B20" i="3" s="1"/>
  <c r="F136" i="3"/>
  <c r="C136" i="3"/>
  <c r="D136" i="3" s="1"/>
  <c r="E136" i="3" s="1"/>
  <c r="F135" i="3"/>
  <c r="E135" i="3"/>
  <c r="D135" i="3"/>
  <c r="C135" i="3"/>
  <c r="F133" i="3"/>
  <c r="C133" i="3"/>
  <c r="D133" i="3" s="1"/>
  <c r="E133" i="3" s="1"/>
  <c r="B124" i="3"/>
  <c r="F124" i="3" s="1"/>
  <c r="F123" i="3"/>
  <c r="B122" i="3"/>
  <c r="F121" i="3"/>
  <c r="C121" i="3"/>
  <c r="D121" i="3" s="1"/>
  <c r="E121" i="3" s="1"/>
  <c r="F120" i="3"/>
  <c r="C120" i="3"/>
  <c r="D120" i="3" s="1"/>
  <c r="E120" i="3" s="1"/>
  <c r="F119" i="3"/>
  <c r="D119" i="3"/>
  <c r="E119" i="3" s="1"/>
  <c r="C119" i="3"/>
  <c r="F118" i="3"/>
  <c r="C118" i="3"/>
  <c r="D118" i="3" s="1"/>
  <c r="E118" i="3" s="1"/>
  <c r="F117" i="3"/>
  <c r="D89" i="4" s="1"/>
  <c r="E89" i="4" s="1"/>
  <c r="F89" i="4" s="1"/>
  <c r="G89" i="4" s="1"/>
  <c r="H89" i="4" s="1"/>
  <c r="I89" i="4" s="1"/>
  <c r="D117" i="3"/>
  <c r="E117" i="3" s="1"/>
  <c r="C117" i="3"/>
  <c r="F116" i="3"/>
  <c r="C116" i="3"/>
  <c r="D116" i="3" s="1"/>
  <c r="E116" i="3" s="1"/>
  <c r="F115" i="3"/>
  <c r="E115" i="3"/>
  <c r="D115" i="3"/>
  <c r="C115" i="3"/>
  <c r="F114" i="3"/>
  <c r="C114" i="3"/>
  <c r="D114" i="3" s="1"/>
  <c r="E114" i="3" s="1"/>
  <c r="F113" i="3"/>
  <c r="E113" i="3"/>
  <c r="D113" i="3"/>
  <c r="C113" i="3"/>
  <c r="F112" i="3"/>
  <c r="D84" i="4" s="1"/>
  <c r="E84" i="4" s="1"/>
  <c r="F84" i="4" s="1"/>
  <c r="G84" i="4" s="1"/>
  <c r="H84" i="4" s="1"/>
  <c r="I84" i="4" s="1"/>
  <c r="C112" i="3"/>
  <c r="D112" i="3" s="1"/>
  <c r="E112" i="3" s="1"/>
  <c r="F111" i="3"/>
  <c r="D111" i="3"/>
  <c r="E111" i="3" s="1"/>
  <c r="C111" i="3"/>
  <c r="F110" i="3"/>
  <c r="D36" i="6" s="1"/>
  <c r="E110" i="3"/>
  <c r="D110" i="3"/>
  <c r="C110" i="3"/>
  <c r="F109" i="3"/>
  <c r="C109" i="3"/>
  <c r="D109" i="3" s="1"/>
  <c r="E109" i="3" s="1"/>
  <c r="F108" i="3"/>
  <c r="C108" i="3"/>
  <c r="D108" i="3" s="1"/>
  <c r="E108" i="3" s="1"/>
  <c r="F107" i="3"/>
  <c r="D79" i="4" s="1"/>
  <c r="E79" i="4" s="1"/>
  <c r="F79" i="4" s="1"/>
  <c r="G79" i="4" s="1"/>
  <c r="H79" i="4" s="1"/>
  <c r="I79" i="4" s="1"/>
  <c r="E107" i="3"/>
  <c r="D107" i="3"/>
  <c r="C107" i="3"/>
  <c r="F106" i="3"/>
  <c r="E106" i="3"/>
  <c r="D106" i="3"/>
  <c r="C106" i="3"/>
  <c r="F105" i="3"/>
  <c r="D77" i="4" s="1"/>
  <c r="E77" i="4" s="1"/>
  <c r="F77" i="4" s="1"/>
  <c r="G77" i="4" s="1"/>
  <c r="H77" i="4" s="1"/>
  <c r="I77" i="4" s="1"/>
  <c r="E105" i="3"/>
  <c r="C105" i="3"/>
  <c r="D105" i="3" s="1"/>
  <c r="F104" i="3"/>
  <c r="E104" i="3"/>
  <c r="D104" i="3"/>
  <c r="C104" i="3"/>
  <c r="F103" i="3"/>
  <c r="C103" i="3"/>
  <c r="D103" i="3" s="1"/>
  <c r="E103" i="3" s="1"/>
  <c r="F102" i="3"/>
  <c r="C102" i="3"/>
  <c r="D102" i="3" s="1"/>
  <c r="E102" i="3" s="1"/>
  <c r="F101" i="3"/>
  <c r="E101" i="3"/>
  <c r="D101" i="3"/>
  <c r="C101" i="3"/>
  <c r="F100" i="3"/>
  <c r="D72" i="4" s="1"/>
  <c r="E72" i="4" s="1"/>
  <c r="F72" i="4" s="1"/>
  <c r="G72" i="4" s="1"/>
  <c r="C100" i="3"/>
  <c r="D100" i="3" s="1"/>
  <c r="E100" i="3" s="1"/>
  <c r="F99" i="3"/>
  <c r="D99" i="3"/>
  <c r="E99" i="3" s="1"/>
  <c r="C99" i="3"/>
  <c r="B97" i="3"/>
  <c r="F97" i="3" s="1"/>
  <c r="F96" i="3"/>
  <c r="C96" i="3"/>
  <c r="D96" i="3" s="1"/>
  <c r="E96" i="3" s="1"/>
  <c r="F95" i="3"/>
  <c r="D67" i="4" s="1"/>
  <c r="E67" i="4" s="1"/>
  <c r="F67" i="4" s="1"/>
  <c r="G67" i="4" s="1"/>
  <c r="H67" i="4" s="1"/>
  <c r="I67" i="4" s="1"/>
  <c r="D95" i="3"/>
  <c r="E95" i="3" s="1"/>
  <c r="C95" i="3"/>
  <c r="F94" i="3"/>
  <c r="D66" i="4" s="1"/>
  <c r="E66" i="4" s="1"/>
  <c r="F66" i="4" s="1"/>
  <c r="G66" i="4" s="1"/>
  <c r="H66" i="4" s="1"/>
  <c r="I66" i="4" s="1"/>
  <c r="C94" i="3"/>
  <c r="D94" i="3" s="1"/>
  <c r="E94" i="3" s="1"/>
  <c r="F93" i="3"/>
  <c r="D28" i="1" s="1"/>
  <c r="D93" i="3"/>
  <c r="E93" i="3" s="1"/>
  <c r="C93" i="3"/>
  <c r="F92" i="3"/>
  <c r="D64" i="4" s="1"/>
  <c r="E64" i="4" s="1"/>
  <c r="F64" i="4" s="1"/>
  <c r="G64" i="4" s="1"/>
  <c r="H64" i="4" s="1"/>
  <c r="I64" i="4" s="1"/>
  <c r="C92" i="3"/>
  <c r="D92" i="3" s="1"/>
  <c r="E92" i="3" s="1"/>
  <c r="F91" i="3"/>
  <c r="C91" i="3"/>
  <c r="B89" i="3"/>
  <c r="F89" i="3" s="1"/>
  <c r="F88" i="3"/>
  <c r="D60" i="4" s="1"/>
  <c r="E60" i="4" s="1"/>
  <c r="F60" i="4" s="1"/>
  <c r="G60" i="4" s="1"/>
  <c r="H60" i="4" s="1"/>
  <c r="I60" i="4" s="1"/>
  <c r="C88" i="3"/>
  <c r="D88" i="3" s="1"/>
  <c r="E88" i="3" s="1"/>
  <c r="F87" i="3"/>
  <c r="C87" i="3"/>
  <c r="D87" i="3" s="1"/>
  <c r="E87" i="3" s="1"/>
  <c r="F86" i="3"/>
  <c r="E86" i="3"/>
  <c r="D86" i="3"/>
  <c r="C86" i="3"/>
  <c r="F85" i="3"/>
  <c r="D57" i="4" s="1"/>
  <c r="E57" i="4" s="1"/>
  <c r="F57" i="4" s="1"/>
  <c r="G57" i="4" s="1"/>
  <c r="H57" i="4" s="1"/>
  <c r="I57" i="4" s="1"/>
  <c r="E85" i="3"/>
  <c r="D85" i="3"/>
  <c r="C85" i="3"/>
  <c r="F84" i="3"/>
  <c r="D84" i="3"/>
  <c r="E84" i="3" s="1"/>
  <c r="C84" i="3"/>
  <c r="F83" i="3"/>
  <c r="E83" i="3"/>
  <c r="D83" i="3"/>
  <c r="C83" i="3"/>
  <c r="F82" i="3"/>
  <c r="C82" i="3"/>
  <c r="D82" i="3" s="1"/>
  <c r="E82" i="3" s="1"/>
  <c r="F81" i="3"/>
  <c r="C81" i="3"/>
  <c r="E79" i="3"/>
  <c r="F75" i="3"/>
  <c r="E75" i="3"/>
  <c r="D75" i="3"/>
  <c r="C75" i="3"/>
  <c r="F74" i="3"/>
  <c r="D48" i="4" s="1"/>
  <c r="C74" i="3"/>
  <c r="D74" i="3" s="1"/>
  <c r="E74" i="3" s="1"/>
  <c r="F72" i="3"/>
  <c r="D72" i="3"/>
  <c r="C72" i="3"/>
  <c r="F70" i="3"/>
  <c r="D70" i="3"/>
  <c r="E70" i="3" s="1"/>
  <c r="C70" i="3"/>
  <c r="F68" i="3"/>
  <c r="D27" i="4" s="1"/>
  <c r="E27" i="4" s="1"/>
  <c r="C68" i="3"/>
  <c r="B65" i="3"/>
  <c r="B71" i="3" s="1"/>
  <c r="F71" i="3" s="1"/>
  <c r="B64" i="3"/>
  <c r="F64" i="3" s="1"/>
  <c r="F63" i="3"/>
  <c r="G41" i="3" s="1"/>
  <c r="B63" i="3"/>
  <c r="F61" i="3"/>
  <c r="C61" i="3"/>
  <c r="B61" i="3"/>
  <c r="A61" i="3"/>
  <c r="F60" i="3"/>
  <c r="C60" i="3"/>
  <c r="D60" i="3" s="1"/>
  <c r="E60" i="3" s="1"/>
  <c r="A60" i="3"/>
  <c r="B59" i="3"/>
  <c r="F59" i="3" s="1"/>
  <c r="G59" i="3" s="1"/>
  <c r="A59" i="3"/>
  <c r="F58" i="3"/>
  <c r="C58" i="3"/>
  <c r="D58" i="3" s="1"/>
  <c r="E58" i="3" s="1"/>
  <c r="A58" i="3"/>
  <c r="F57" i="3"/>
  <c r="D57" i="3"/>
  <c r="C57" i="3"/>
  <c r="C59" i="3" s="1"/>
  <c r="A57" i="3"/>
  <c r="A56" i="3"/>
  <c r="F55" i="3"/>
  <c r="B55" i="3"/>
  <c r="F54" i="3"/>
  <c r="D54" i="3"/>
  <c r="E54" i="3" s="1"/>
  <c r="C54" i="3"/>
  <c r="C55" i="3" s="1"/>
  <c r="D53" i="3"/>
  <c r="C53" i="3"/>
  <c r="B53" i="3"/>
  <c r="B66" i="3" s="1"/>
  <c r="F52" i="3"/>
  <c r="D33" i="4" s="1"/>
  <c r="E33" i="4" s="1"/>
  <c r="F33" i="4" s="1"/>
  <c r="G33" i="4" s="1"/>
  <c r="H33" i="4" s="1"/>
  <c r="I33" i="4" s="1"/>
  <c r="J33" i="4" s="1"/>
  <c r="D52" i="3"/>
  <c r="E52" i="3" s="1"/>
  <c r="C52" i="3"/>
  <c r="F51" i="3"/>
  <c r="D51" i="3"/>
  <c r="E51" i="3" s="1"/>
  <c r="C51" i="3"/>
  <c r="F49" i="3"/>
  <c r="C49" i="3"/>
  <c r="B49" i="3"/>
  <c r="F48" i="3"/>
  <c r="D48" i="3"/>
  <c r="E48" i="3" s="1"/>
  <c r="C48" i="3"/>
  <c r="B47" i="3"/>
  <c r="F47" i="3" s="1"/>
  <c r="G47" i="3" s="1"/>
  <c r="F46" i="3"/>
  <c r="D23" i="4" s="1"/>
  <c r="E23" i="4" s="1"/>
  <c r="F23" i="4" s="1"/>
  <c r="G23" i="4" s="1"/>
  <c r="H23" i="4" s="1"/>
  <c r="I23" i="4" s="1"/>
  <c r="J23" i="4" s="1"/>
  <c r="D46" i="3"/>
  <c r="E46" i="3" s="1"/>
  <c r="C46" i="3"/>
  <c r="F45" i="3"/>
  <c r="D22" i="4" s="1"/>
  <c r="C45" i="3"/>
  <c r="F43" i="3"/>
  <c r="E43" i="3"/>
  <c r="C43" i="3"/>
  <c r="B43" i="3"/>
  <c r="F42" i="3"/>
  <c r="D15" i="4" s="1"/>
  <c r="E42" i="3"/>
  <c r="D42" i="3"/>
  <c r="C42" i="3"/>
  <c r="F41" i="3"/>
  <c r="B41" i="3"/>
  <c r="F40" i="3"/>
  <c r="D13" i="4" s="1"/>
  <c r="E13" i="4" s="1"/>
  <c r="F13" i="4" s="1"/>
  <c r="G13" i="4" s="1"/>
  <c r="H13" i="4" s="1"/>
  <c r="I13" i="4" s="1"/>
  <c r="J13" i="4" s="1"/>
  <c r="D40" i="3"/>
  <c r="E40" i="3" s="1"/>
  <c r="C40" i="3"/>
  <c r="C41" i="3" s="1"/>
  <c r="F39" i="3"/>
  <c r="E39" i="3"/>
  <c r="D39" i="3"/>
  <c r="C39" i="3"/>
  <c r="C36" i="3"/>
  <c r="B36" i="3"/>
  <c r="F36" i="3" s="1"/>
  <c r="F35" i="3"/>
  <c r="C112" i="4" s="1"/>
  <c r="C35" i="3"/>
  <c r="D35" i="3" s="1"/>
  <c r="E35" i="3" s="1"/>
  <c r="F32" i="3"/>
  <c r="B8" i="12" s="1"/>
  <c r="C32" i="3"/>
  <c r="D32" i="3" s="1"/>
  <c r="E32" i="3" s="1"/>
  <c r="B29" i="3"/>
  <c r="B30" i="3" s="1"/>
  <c r="F30" i="3" s="1"/>
  <c r="C33" i="1" s="1"/>
  <c r="F28" i="3"/>
  <c r="C31" i="1" s="1"/>
  <c r="C28" i="3"/>
  <c r="F22" i="3"/>
  <c r="E22" i="3"/>
  <c r="B22" i="3"/>
  <c r="F21" i="3"/>
  <c r="E21" i="3"/>
  <c r="D21" i="3"/>
  <c r="C21" i="3"/>
  <c r="B21" i="3"/>
  <c r="C16" i="3"/>
  <c r="C178" i="3" s="1"/>
  <c r="B16" i="3"/>
  <c r="B178" i="3" s="1"/>
  <c r="F15" i="3"/>
  <c r="E15" i="3"/>
  <c r="D15" i="3"/>
  <c r="C15" i="3"/>
  <c r="F11" i="3"/>
  <c r="G11" i="3" s="1"/>
  <c r="B11" i="3"/>
  <c r="F10" i="3"/>
  <c r="C10" i="3"/>
  <c r="D10" i="3" s="1"/>
  <c r="G9" i="3"/>
  <c r="B9" i="3"/>
  <c r="F9" i="3" s="1"/>
  <c r="B16" i="1" s="1"/>
  <c r="G8" i="3"/>
  <c r="F8" i="3"/>
  <c r="C8" i="3"/>
  <c r="D8" i="3" s="1"/>
  <c r="E8" i="3" s="1"/>
  <c r="F7" i="3"/>
  <c r="C7" i="3"/>
  <c r="G6" i="3"/>
  <c r="F6" i="3"/>
  <c r="D6" i="3"/>
  <c r="E6" i="3" s="1"/>
  <c r="C6" i="3"/>
  <c r="B46" i="1"/>
  <c r="E44" i="1"/>
  <c r="D44" i="1"/>
  <c r="E43" i="1"/>
  <c r="E38" i="1"/>
  <c r="B31" i="1"/>
  <c r="F30" i="1"/>
  <c r="E30" i="1"/>
  <c r="D30" i="1"/>
  <c r="B30" i="1"/>
  <c r="B29" i="1"/>
  <c r="F28" i="1"/>
  <c r="E28" i="1"/>
  <c r="B28" i="1"/>
  <c r="B24" i="1"/>
  <c r="B22" i="1"/>
  <c r="E20" i="1"/>
  <c r="B19" i="1"/>
  <c r="C16" i="1"/>
  <c r="B15" i="1"/>
  <c r="E12" i="1"/>
  <c r="D12" i="1"/>
  <c r="B12" i="1"/>
  <c r="B11" i="1"/>
  <c r="B10" i="1"/>
  <c r="B9" i="1"/>
  <c r="C8" i="1"/>
  <c r="B7" i="1"/>
  <c r="B6" i="1"/>
  <c r="B5" i="1"/>
  <c r="A45" i="2"/>
  <c r="A24" i="2"/>
  <c r="B20" i="2"/>
  <c r="A19" i="2"/>
  <c r="AN186" i="8" l="1"/>
  <c r="AG178" i="8"/>
  <c r="AL178" i="8"/>
  <c r="AK178" i="8"/>
  <c r="AH178" i="8"/>
  <c r="AM184" i="8"/>
  <c r="C92" i="8" a="1"/>
  <c r="C92" i="8" s="1"/>
  <c r="D93" i="8"/>
  <c r="E93" i="8" s="1"/>
  <c r="C93" i="8" a="1"/>
  <c r="C93" i="8" s="1"/>
  <c r="D94" i="8"/>
  <c r="E94" i="8" s="1"/>
  <c r="C94" i="8" a="1"/>
  <c r="C94" i="8" s="1"/>
  <c r="B59" i="8"/>
  <c r="C53" i="8"/>
  <c r="C59" i="8" s="1"/>
  <c r="F53" i="4"/>
  <c r="E61" i="4"/>
  <c r="D24" i="4"/>
  <c r="E22" i="4"/>
  <c r="O5" i="4"/>
  <c r="C105" i="7"/>
  <c r="F105" i="7" s="1"/>
  <c r="B105" i="7"/>
  <c r="H72" i="4"/>
  <c r="I72" i="4" s="1"/>
  <c r="C20" i="4"/>
  <c r="C43" i="4"/>
  <c r="C18" i="4"/>
  <c r="C16" i="4"/>
  <c r="D69" i="4"/>
  <c r="M65" i="7"/>
  <c r="E55" i="3"/>
  <c r="E53" i="3"/>
  <c r="F63" i="4"/>
  <c r="F20" i="3"/>
  <c r="B23" i="3"/>
  <c r="F66" i="3"/>
  <c r="B67" i="3"/>
  <c r="F67" i="3" s="1"/>
  <c r="K33" i="4"/>
  <c r="L33" i="4" s="1"/>
  <c r="M33" i="4" s="1"/>
  <c r="K13" i="4"/>
  <c r="L13" i="4" s="1"/>
  <c r="M13" i="4" s="1"/>
  <c r="E10" i="3"/>
  <c r="K23" i="4"/>
  <c r="L23" i="4" s="1"/>
  <c r="M23" i="4" s="1"/>
  <c r="E15" i="4"/>
  <c r="C64" i="3"/>
  <c r="I71" i="4"/>
  <c r="E4" i="11"/>
  <c r="B5" i="12"/>
  <c r="G11" i="11"/>
  <c r="B34" i="12" s="1"/>
  <c r="B50" i="1" s="1"/>
  <c r="D127" i="4"/>
  <c r="D61" i="4"/>
  <c r="C11" i="3"/>
  <c r="D73" i="4"/>
  <c r="E73" i="4" s="1"/>
  <c r="F73" i="4" s="1"/>
  <c r="G73" i="4" s="1"/>
  <c r="H73" i="4" s="1"/>
  <c r="I73" i="4" s="1"/>
  <c r="J134" i="5"/>
  <c r="J135" i="5" s="1"/>
  <c r="J136" i="5" s="1"/>
  <c r="J47" i="7"/>
  <c r="D91" i="3"/>
  <c r="C97" i="3"/>
  <c r="G6" i="11"/>
  <c r="B6" i="12"/>
  <c r="L134" i="5"/>
  <c r="L135" i="5" s="1"/>
  <c r="L136" i="5" s="1"/>
  <c r="P90" i="5"/>
  <c r="I53" i="7"/>
  <c r="J50" i="7"/>
  <c r="F53" i="3"/>
  <c r="G53" i="3" s="1"/>
  <c r="B169" i="3"/>
  <c r="F169" i="3" s="1"/>
  <c r="P100" i="5"/>
  <c r="M31" i="7"/>
  <c r="E43" i="8" a="1"/>
  <c r="E43" i="8" s="1"/>
  <c r="D43" i="8" a="1"/>
  <c r="D43" i="8" s="1"/>
  <c r="E20" i="8"/>
  <c r="C20" i="8"/>
  <c r="E44" i="8" a="1"/>
  <c r="E44" i="8" s="1"/>
  <c r="D44" i="8" a="1"/>
  <c r="D44" i="8" s="1"/>
  <c r="B13" i="3"/>
  <c r="C47" i="3"/>
  <c r="D45" i="3"/>
  <c r="H16" i="5"/>
  <c r="N67" i="5"/>
  <c r="P76" i="5"/>
  <c r="F10" i="8"/>
  <c r="B13" i="8"/>
  <c r="C30" i="8" s="1"/>
  <c r="D81" i="4"/>
  <c r="E81" i="4" s="1"/>
  <c r="F81" i="4" s="1"/>
  <c r="G81" i="4" s="1"/>
  <c r="H81" i="4" s="1"/>
  <c r="I81" i="4" s="1"/>
  <c r="F170" i="3"/>
  <c r="C40" i="4"/>
  <c r="P58" i="5"/>
  <c r="N62" i="5"/>
  <c r="P122" i="5"/>
  <c r="I73" i="7"/>
  <c r="G10" i="8"/>
  <c r="C13" i="8"/>
  <c r="P131" i="5"/>
  <c r="D55" i="3"/>
  <c r="B171" i="3"/>
  <c r="F171" i="3" s="1"/>
  <c r="J6" i="4"/>
  <c r="K6" i="4" s="1"/>
  <c r="L6" i="4" s="1"/>
  <c r="M6" i="4" s="1"/>
  <c r="H19" i="4"/>
  <c r="D93" i="4"/>
  <c r="E93" i="4" s="1"/>
  <c r="F93" i="4" s="1"/>
  <c r="G93" i="4" s="1"/>
  <c r="H93" i="4" s="1"/>
  <c r="I93" i="4" s="1"/>
  <c r="F73" i="7"/>
  <c r="E46" i="8" a="1"/>
  <c r="E46" i="8" s="1"/>
  <c r="B69" i="3"/>
  <c r="F69" i="3" s="1"/>
  <c r="B73" i="3"/>
  <c r="E47" i="8" a="1"/>
  <c r="E47" i="8" s="1"/>
  <c r="D47" i="8" a="1"/>
  <c r="D47" i="8" s="1"/>
  <c r="P93" i="5"/>
  <c r="H73" i="7"/>
  <c r="F65" i="3"/>
  <c r="C69" i="4"/>
  <c r="D31" i="5"/>
  <c r="B35" i="5"/>
  <c r="B11" i="12"/>
  <c r="D32" i="1"/>
  <c r="E48" i="4"/>
  <c r="F48" i="4" s="1"/>
  <c r="G48" i="4" s="1"/>
  <c r="H48" i="4" s="1"/>
  <c r="I48" i="4" s="1"/>
  <c r="J48" i="4" s="1"/>
  <c r="K48" i="4" s="1"/>
  <c r="L48" i="4" s="1"/>
  <c r="M48" i="4" s="1"/>
  <c r="D91" i="4"/>
  <c r="E91" i="4" s="1"/>
  <c r="F91" i="4" s="1"/>
  <c r="G91" i="4" s="1"/>
  <c r="H91" i="4" s="1"/>
  <c r="I91" i="4" s="1"/>
  <c r="G25" i="4"/>
  <c r="C36" i="4"/>
  <c r="D40" i="7"/>
  <c r="D67" i="7" s="1"/>
  <c r="L35" i="7"/>
  <c r="I35" i="7"/>
  <c r="C73" i="7"/>
  <c r="D119" i="4"/>
  <c r="Q119" i="4" s="1"/>
  <c r="C32" i="5"/>
  <c r="D7" i="3"/>
  <c r="D11" i="3" s="1"/>
  <c r="F35" i="4"/>
  <c r="D32" i="5"/>
  <c r="P113" i="5"/>
  <c r="B15" i="5"/>
  <c r="D59" i="8"/>
  <c r="D61" i="3"/>
  <c r="D59" i="3"/>
  <c r="E57" i="3"/>
  <c r="D65" i="4"/>
  <c r="E65" i="4" s="1"/>
  <c r="F65" i="4" s="1"/>
  <c r="G65" i="4" s="1"/>
  <c r="H65" i="4" s="1"/>
  <c r="I65" i="4" s="1"/>
  <c r="L132" i="5"/>
  <c r="J132" i="5"/>
  <c r="J133" i="5" s="1"/>
  <c r="C42" i="4"/>
  <c r="M132" i="5"/>
  <c r="M133" i="5" s="1"/>
  <c r="C141" i="3"/>
  <c r="D173" i="3"/>
  <c r="C63" i="3"/>
  <c r="B165" i="3"/>
  <c r="E12" i="4"/>
  <c r="D14" i="4"/>
  <c r="D36" i="4"/>
  <c r="D80" i="4"/>
  <c r="E80" i="4" s="1"/>
  <c r="F80" i="4" s="1"/>
  <c r="G80" i="4" s="1"/>
  <c r="H80" i="4" s="1"/>
  <c r="I80" i="4" s="1"/>
  <c r="J80" i="4" s="1"/>
  <c r="K80" i="4" s="1"/>
  <c r="L80" i="4" s="1"/>
  <c r="M80" i="4" s="1"/>
  <c r="H12" i="5"/>
  <c r="P126" i="5"/>
  <c r="C74" i="7"/>
  <c r="J74" i="7"/>
  <c r="D74" i="7"/>
  <c r="L36" i="7"/>
  <c r="I36" i="7"/>
  <c r="J36" i="7" s="1"/>
  <c r="M36" i="7" s="1"/>
  <c r="D92" i="4"/>
  <c r="E92" i="4" s="1"/>
  <c r="F92" i="4" s="1"/>
  <c r="G92" i="4" s="1"/>
  <c r="H92" i="4" s="1"/>
  <c r="I92" i="4" s="1"/>
  <c r="G7" i="3"/>
  <c r="B8" i="1"/>
  <c r="F16" i="3"/>
  <c r="D28" i="3"/>
  <c r="D43" i="3"/>
  <c r="B76" i="3"/>
  <c r="E74" i="7"/>
  <c r="F74" i="7"/>
  <c r="C21" i="11"/>
  <c r="G16" i="11"/>
  <c r="B4" i="16"/>
  <c r="J5" i="16"/>
  <c r="P84" i="5"/>
  <c r="D38" i="6"/>
  <c r="D37" i="6"/>
  <c r="D12" i="8"/>
  <c r="AB31" i="9"/>
  <c r="AB32" i="9"/>
  <c r="AB33" i="9"/>
  <c r="B22" i="5"/>
  <c r="P83" i="5"/>
  <c r="D85" i="4"/>
  <c r="E85" i="4" s="1"/>
  <c r="F85" i="4" s="1"/>
  <c r="G85" i="4" s="1"/>
  <c r="H85" i="4" s="1"/>
  <c r="I85" i="4" s="1"/>
  <c r="J85" i="4" s="1"/>
  <c r="K85" i="4" s="1"/>
  <c r="L85" i="4" s="1"/>
  <c r="M85" i="4" s="1"/>
  <c r="E49" i="4"/>
  <c r="F49" i="4" s="1"/>
  <c r="G49" i="4" s="1"/>
  <c r="H49" i="4" s="1"/>
  <c r="I49" i="4" s="1"/>
  <c r="J49" i="4" s="1"/>
  <c r="K49" i="4" s="1"/>
  <c r="L49" i="4" s="1"/>
  <c r="M49" i="4" s="1"/>
  <c r="C66" i="3"/>
  <c r="C67" i="3" s="1"/>
  <c r="C65" i="3"/>
  <c r="C69" i="3" s="1"/>
  <c r="D34" i="4"/>
  <c r="D42" i="4"/>
  <c r="P115" i="5"/>
  <c r="B47" i="5"/>
  <c r="C75" i="7"/>
  <c r="D75" i="7"/>
  <c r="I37" i="7"/>
  <c r="J37" i="7" s="1"/>
  <c r="C40" i="7"/>
  <c r="C67" i="7" s="1"/>
  <c r="C32" i="8"/>
  <c r="B33" i="8"/>
  <c r="C9" i="3"/>
  <c r="C29" i="3"/>
  <c r="C30" i="3" s="1"/>
  <c r="F122" i="3"/>
  <c r="C94" i="4"/>
  <c r="C5" i="16"/>
  <c r="E32" i="4"/>
  <c r="N129" i="5"/>
  <c r="D68" i="3"/>
  <c r="B21" i="6"/>
  <c r="C89" i="3"/>
  <c r="D86" i="4"/>
  <c r="D35" i="6"/>
  <c r="G7" i="11" s="1"/>
  <c r="D122" i="3"/>
  <c r="C38" i="4"/>
  <c r="P86" i="5"/>
  <c r="D21" i="6"/>
  <c r="L37" i="7"/>
  <c r="F29" i="3"/>
  <c r="D41" i="3"/>
  <c r="D81" i="3"/>
  <c r="H17" i="4"/>
  <c r="C28" i="4"/>
  <c r="C122" i="3"/>
  <c r="E41" i="3"/>
  <c r="F27" i="4"/>
  <c r="N49" i="4"/>
  <c r="P63" i="5"/>
  <c r="P106" i="5"/>
  <c r="C36" i="8"/>
  <c r="E122" i="3"/>
  <c r="J21" i="16"/>
  <c r="D4" i="16"/>
  <c r="N102" i="5"/>
  <c r="P88" i="5"/>
  <c r="C5" i="7"/>
  <c r="D76" i="7"/>
  <c r="I38" i="7"/>
  <c r="J38" i="7" s="1"/>
  <c r="L38" i="7"/>
  <c r="J76" i="7"/>
  <c r="J13" i="16"/>
  <c r="C4" i="16"/>
  <c r="D29" i="4"/>
  <c r="D39" i="4"/>
  <c r="C61" i="4"/>
  <c r="AJ183" i="8"/>
  <c r="AF183" i="8"/>
  <c r="AN183" i="8"/>
  <c r="AL183" i="8"/>
  <c r="AK183" i="8"/>
  <c r="AG183" i="8"/>
  <c r="AM183" i="8"/>
  <c r="AI183" i="8"/>
  <c r="AH183" i="8"/>
  <c r="M32" i="16"/>
  <c r="J24" i="16"/>
  <c r="J26" i="16" s="1"/>
  <c r="S17" i="16"/>
  <c r="L1" i="16"/>
  <c r="L32" i="16"/>
  <c r="S23" i="16"/>
  <c r="R17" i="16"/>
  <c r="S7" i="16"/>
  <c r="K1" i="16"/>
  <c r="K32" i="16"/>
  <c r="R23" i="16"/>
  <c r="Q17" i="16"/>
  <c r="R7" i="16"/>
  <c r="J1" i="16"/>
  <c r="R31" i="16"/>
  <c r="O23" i="16"/>
  <c r="N17" i="16"/>
  <c r="O7" i="16"/>
  <c r="Q31" i="16"/>
  <c r="N23" i="16"/>
  <c r="N27" i="16" s="1"/>
  <c r="M17" i="16"/>
  <c r="N7" i="16"/>
  <c r="P31" i="16"/>
  <c r="P33" i="16" s="1"/>
  <c r="M23" i="16"/>
  <c r="L17" i="16"/>
  <c r="S9" i="16"/>
  <c r="M7" i="16"/>
  <c r="O31" i="16"/>
  <c r="L23" i="16"/>
  <c r="K17" i="16"/>
  <c r="R9" i="16"/>
  <c r="L7" i="16"/>
  <c r="N31" i="16"/>
  <c r="N33" i="16" s="1"/>
  <c r="K23" i="16"/>
  <c r="K27" i="16" s="1"/>
  <c r="J17" i="16"/>
  <c r="Q9" i="16"/>
  <c r="K7" i="16"/>
  <c r="L31" i="16"/>
  <c r="L33" i="16" s="1"/>
  <c r="R16" i="16"/>
  <c r="R18" i="16" s="1"/>
  <c r="O9" i="16"/>
  <c r="J31" i="16"/>
  <c r="J33" i="16" s="1"/>
  <c r="S25" i="16"/>
  <c r="P16" i="16"/>
  <c r="P18" i="16" s="1"/>
  <c r="M9" i="16"/>
  <c r="S30" i="16"/>
  <c r="S34" i="16" s="1"/>
  <c r="R25" i="16"/>
  <c r="O16" i="16"/>
  <c r="L9" i="16"/>
  <c r="R30" i="16"/>
  <c r="Q25" i="16"/>
  <c r="N16" i="16"/>
  <c r="N18" i="16" s="1"/>
  <c r="K9" i="16"/>
  <c r="Q30" i="16"/>
  <c r="Q34" i="16" s="1"/>
  <c r="P25" i="16"/>
  <c r="M16" i="16"/>
  <c r="J9" i="16"/>
  <c r="J38" i="16" s="1"/>
  <c r="N30" i="16"/>
  <c r="M25" i="16"/>
  <c r="J16" i="16"/>
  <c r="J18" i="16" s="1"/>
  <c r="M30" i="16"/>
  <c r="M34" i="16" s="1"/>
  <c r="L25" i="16"/>
  <c r="S15" i="16"/>
  <c r="S19" i="16" s="1"/>
  <c r="S8" i="16"/>
  <c r="L30" i="16"/>
  <c r="K25" i="16"/>
  <c r="R15" i="16"/>
  <c r="R19" i="16" s="1"/>
  <c r="R8" i="16"/>
  <c r="K30" i="16"/>
  <c r="J25" i="16"/>
  <c r="Q15" i="16"/>
  <c r="Q8" i="16"/>
  <c r="S24" i="16"/>
  <c r="P15" i="16"/>
  <c r="P8" i="16"/>
  <c r="R24" i="16"/>
  <c r="O15" i="16"/>
  <c r="O19" i="16" s="1"/>
  <c r="O8" i="16"/>
  <c r="Q24" i="16"/>
  <c r="Q26" i="16" s="1"/>
  <c r="N15" i="16"/>
  <c r="N8" i="16"/>
  <c r="S1" i="16"/>
  <c r="S32" i="16"/>
  <c r="P24" i="16"/>
  <c r="M15" i="16"/>
  <c r="M19" i="16" s="1"/>
  <c r="M8" i="16"/>
  <c r="R1" i="16"/>
  <c r="R32" i="16"/>
  <c r="O24" i="16"/>
  <c r="L15" i="16"/>
  <c r="L19" i="16" s="1"/>
  <c r="L8" i="16"/>
  <c r="Q1" i="16"/>
  <c r="P32" i="16"/>
  <c r="M24" i="16"/>
  <c r="M26" i="16" s="1"/>
  <c r="J15" i="16"/>
  <c r="J19" i="16" s="1"/>
  <c r="J8" i="16"/>
  <c r="O1" i="16"/>
  <c r="O32" i="16"/>
  <c r="L24" i="16"/>
  <c r="L26" i="16" s="1"/>
  <c r="N1" i="16"/>
  <c r="N32" i="16"/>
  <c r="K24" i="16"/>
  <c r="M1" i="16"/>
  <c r="P17" i="16"/>
  <c r="O17" i="16"/>
  <c r="S16" i="16"/>
  <c r="S18" i="16" s="1"/>
  <c r="Q16" i="16"/>
  <c r="Q18" i="16" s="1"/>
  <c r="L16" i="16"/>
  <c r="L18" i="16" s="1"/>
  <c r="K16" i="16"/>
  <c r="K18" i="16" s="1"/>
  <c r="K15" i="16"/>
  <c r="Q32" i="16"/>
  <c r="J32" i="16"/>
  <c r="S31" i="16"/>
  <c r="M31" i="16"/>
  <c r="K31" i="16"/>
  <c r="P30" i="16"/>
  <c r="P34" i="16" s="1"/>
  <c r="O30" i="16"/>
  <c r="O34" i="16" s="1"/>
  <c r="P9" i="16"/>
  <c r="N9" i="16"/>
  <c r="N38" i="16" s="1"/>
  <c r="H101" i="4" s="1"/>
  <c r="K8" i="16"/>
  <c r="Q7" i="16"/>
  <c r="O25" i="16"/>
  <c r="P7" i="16"/>
  <c r="N25" i="16"/>
  <c r="J7" i="16"/>
  <c r="N24" i="16"/>
  <c r="N26" i="16" s="1"/>
  <c r="Q23" i="16"/>
  <c r="P23" i="16"/>
  <c r="J23" i="16"/>
  <c r="P1" i="16"/>
  <c r="B48" i="1"/>
  <c r="I72" i="7"/>
  <c r="H72" i="7"/>
  <c r="E113" i="8"/>
  <c r="AJ185" i="8"/>
  <c r="AI185" i="8"/>
  <c r="AH185" i="8"/>
  <c r="AF185" i="8"/>
  <c r="AM185" i="8"/>
  <c r="AN185" i="8"/>
  <c r="AL185" i="8"/>
  <c r="AK185" i="8"/>
  <c r="AG185" i="8"/>
  <c r="C210" i="8"/>
  <c r="AU226" i="8"/>
  <c r="B24" i="11"/>
  <c r="F19" i="11"/>
  <c r="B25" i="11"/>
  <c r="F20" i="11"/>
  <c r="P108" i="5"/>
  <c r="C120" i="7"/>
  <c r="P120" i="5"/>
  <c r="B41" i="5"/>
  <c r="I65" i="7"/>
  <c r="AJ177" i="8"/>
  <c r="AN177" i="8"/>
  <c r="AM177" i="8"/>
  <c r="AI177" i="8"/>
  <c r="AH177" i="8"/>
  <c r="AL177" i="8"/>
  <c r="AK177" i="8"/>
  <c r="AG177" i="8"/>
  <c r="AF177" i="8"/>
  <c r="D45" i="8" a="1"/>
  <c r="D45" i="8" s="1"/>
  <c r="F45" i="8" s="1"/>
  <c r="C45" i="8"/>
  <c r="E16" i="5"/>
  <c r="P72" i="5"/>
  <c r="P110" i="5"/>
  <c r="C24" i="8"/>
  <c r="C25" i="8" s="1"/>
  <c r="C100" i="8"/>
  <c r="B105" i="8"/>
  <c r="C105" i="8" s="1"/>
  <c r="C164" i="3"/>
  <c r="C22" i="3"/>
  <c r="P64" i="5"/>
  <c r="G132" i="5"/>
  <c r="G133" i="5" s="1"/>
  <c r="E100" i="8"/>
  <c r="F100" i="8"/>
  <c r="D105" i="8"/>
  <c r="E72" i="3"/>
  <c r="D155" i="3"/>
  <c r="C26" i="4"/>
  <c r="H132" i="5"/>
  <c r="H134" i="5"/>
  <c r="H135" i="5" s="1"/>
  <c r="H136" i="5" s="1"/>
  <c r="J77" i="7"/>
  <c r="I39" i="7"/>
  <c r="J39" i="7" s="1"/>
  <c r="M39" i="7" s="1"/>
  <c r="O102" i="5"/>
  <c r="B37" i="8"/>
  <c r="B153" i="8"/>
  <c r="B133" i="8"/>
  <c r="E65" i="12"/>
  <c r="B64" i="12"/>
  <c r="K134" i="5"/>
  <c r="J65" i="7"/>
  <c r="F13" i="8"/>
  <c r="AJ181" i="8"/>
  <c r="AN181" i="8"/>
  <c r="AK181" i="8"/>
  <c r="AI181" i="8"/>
  <c r="AG181" i="8"/>
  <c r="AF181" i="8"/>
  <c r="AM181" i="8"/>
  <c r="AL181" i="8"/>
  <c r="AH181" i="8"/>
  <c r="J183" i="8"/>
  <c r="C184" i="8" a="1"/>
  <c r="C184" i="8" s="1"/>
  <c r="I183" i="8"/>
  <c r="H183" i="8"/>
  <c r="F183" i="8"/>
  <c r="S183" i="8"/>
  <c r="M183" i="8"/>
  <c r="P183" i="8"/>
  <c r="N183" i="8"/>
  <c r="K183" i="8"/>
  <c r="E183" i="8"/>
  <c r="D183" i="8"/>
  <c r="AD183" i="8"/>
  <c r="AC183" i="8"/>
  <c r="AB183" i="8"/>
  <c r="AA183" i="8"/>
  <c r="T183" i="8"/>
  <c r="Q183" i="8"/>
  <c r="G183" i="8"/>
  <c r="D37" i="4"/>
  <c r="D11" i="8"/>
  <c r="B152" i="8" a="1"/>
  <c r="B152" i="8" s="1"/>
  <c r="C139" i="8"/>
  <c r="D139" i="8" s="1"/>
  <c r="L183" i="8"/>
  <c r="B172" i="8"/>
  <c r="D168" i="8"/>
  <c r="AJ180" i="8"/>
  <c r="R183" i="8"/>
  <c r="U183" i="8"/>
  <c r="AH180" i="8"/>
  <c r="AG180" i="8"/>
  <c r="AF180" i="8"/>
  <c r="AK180" i="8"/>
  <c r="AN180" i="8"/>
  <c r="AM180" i="8"/>
  <c r="AI180" i="8"/>
  <c r="AJ186" i="8"/>
  <c r="AL186" i="8"/>
  <c r="AG186" i="8"/>
  <c r="AH186" i="8"/>
  <c r="AF186" i="8"/>
  <c r="AK186" i="8"/>
  <c r="AI186" i="8"/>
  <c r="D171" i="8"/>
  <c r="E171" i="8" s="1"/>
  <c r="F171" i="8" s="1"/>
  <c r="AN178" i="8"/>
  <c r="AM178" i="8"/>
  <c r="AJ178" i="8"/>
  <c r="AI178" i="8"/>
  <c r="AF178" i="8"/>
  <c r="C91" i="8" a="1"/>
  <c r="C91" i="8" s="1"/>
  <c r="D46" i="8" a="1"/>
  <c r="D46" i="8" s="1"/>
  <c r="B122" i="8" a="1"/>
  <c r="B122" i="8" s="1"/>
  <c r="B160" i="8" a="1"/>
  <c r="B160" i="8" s="1"/>
  <c r="F114" i="8"/>
  <c r="E101" i="8"/>
  <c r="E130" i="8"/>
  <c r="N177" i="8"/>
  <c r="M177" i="8"/>
  <c r="L177" i="8"/>
  <c r="J177" i="8"/>
  <c r="R177" i="8"/>
  <c r="C178" i="8" a="1"/>
  <c r="C178" i="8" s="1"/>
  <c r="C179" i="8" s="1" a="1"/>
  <c r="C179" i="8" s="1"/>
  <c r="AD177" i="8"/>
  <c r="AC177" i="8"/>
  <c r="AA177" i="8"/>
  <c r="V177" i="8"/>
  <c r="S177" i="8"/>
  <c r="Q177" i="8"/>
  <c r="P177" i="8"/>
  <c r="K177" i="8"/>
  <c r="I177" i="8"/>
  <c r="F177" i="8"/>
  <c r="D177" i="8"/>
  <c r="D68" i="8"/>
  <c r="J190" i="8"/>
  <c r="I190" i="8"/>
  <c r="H190" i="8"/>
  <c r="F190" i="8"/>
  <c r="S190" i="8"/>
  <c r="M190" i="8"/>
  <c r="B190" i="8"/>
  <c r="C191" i="8" a="1"/>
  <c r="C191" i="8" s="1"/>
  <c r="C192" i="8" s="1" a="1"/>
  <c r="C192" i="8" s="1"/>
  <c r="AC190" i="8"/>
  <c r="AB190" i="8"/>
  <c r="V190" i="8"/>
  <c r="U190" i="8"/>
  <c r="R190" i="8"/>
  <c r="Q190" i="8"/>
  <c r="P190" i="8"/>
  <c r="N190" i="8"/>
  <c r="L190" i="8"/>
  <c r="K190" i="8"/>
  <c r="D190" i="8"/>
  <c r="G177" i="8"/>
  <c r="AN184" i="8"/>
  <c r="AL184" i="8"/>
  <c r="AJ184" i="8"/>
  <c r="AI184" i="8"/>
  <c r="AH184" i="8"/>
  <c r="AG184" i="8"/>
  <c r="AF184" i="8"/>
  <c r="F131" i="8"/>
  <c r="F133" i="8" s="1"/>
  <c r="H177" i="8"/>
  <c r="AF179" i="8"/>
  <c r="T177" i="8"/>
  <c r="AG179" i="8"/>
  <c r="C149" i="8"/>
  <c r="D149" i="8" s="1"/>
  <c r="U177" i="8"/>
  <c r="AF182" i="8"/>
  <c r="AB177" i="8"/>
  <c r="AN179" i="8"/>
  <c r="AM179" i="8"/>
  <c r="AL179" i="8"/>
  <c r="AJ179" i="8"/>
  <c r="AI179" i="8"/>
  <c r="AH179" i="8"/>
  <c r="AG182" i="8"/>
  <c r="AC196" i="8"/>
  <c r="AA196" i="8"/>
  <c r="S196" i="8"/>
  <c r="N196" i="8"/>
  <c r="K196" i="8"/>
  <c r="J196" i="8"/>
  <c r="C197" i="8" a="1"/>
  <c r="C197" i="8" s="1"/>
  <c r="AB196" i="8"/>
  <c r="V196" i="8"/>
  <c r="U196" i="8"/>
  <c r="T196" i="8"/>
  <c r="Q196" i="8"/>
  <c r="P196" i="8"/>
  <c r="M196" i="8"/>
  <c r="L196" i="8"/>
  <c r="I196" i="8"/>
  <c r="H196" i="8"/>
  <c r="G196" i="8"/>
  <c r="E196" i="8"/>
  <c r="D196" i="8"/>
  <c r="B196" i="8"/>
  <c r="F103" i="8"/>
  <c r="E116" i="8"/>
  <c r="AJ182" i="8"/>
  <c r="F196" i="8"/>
  <c r="E190" i="8"/>
  <c r="R196" i="8"/>
  <c r="G190" i="8"/>
  <c r="T190" i="8"/>
  <c r="AL182" i="8"/>
  <c r="AM182" i="8"/>
  <c r="AK182" i="8"/>
  <c r="AI182" i="8"/>
  <c r="AH182" i="8"/>
  <c r="AA190" i="8"/>
  <c r="F104" i="8"/>
  <c r="B183" i="8"/>
  <c r="S15" i="9"/>
  <c r="R10" i="9"/>
  <c r="R13" i="9"/>
  <c r="Q15" i="9"/>
  <c r="R6" i="9"/>
  <c r="R14" i="9"/>
  <c r="R9" i="9"/>
  <c r="R5" i="9"/>
  <c r="R11" i="9"/>
  <c r="R7" i="9"/>
  <c r="C172" i="8"/>
  <c r="C208" i="8"/>
  <c r="B209" i="8"/>
  <c r="AU224" i="8"/>
  <c r="B189" i="8"/>
  <c r="AA189" i="8"/>
  <c r="S189" i="8"/>
  <c r="J189" i="8"/>
  <c r="E189" i="8"/>
  <c r="B208" i="8"/>
  <c r="F189" i="8"/>
  <c r="G189" i="8"/>
  <c r="V14" i="9"/>
  <c r="V13" i="9"/>
  <c r="V25" i="9"/>
  <c r="H189" i="8"/>
  <c r="C209" i="8"/>
  <c r="K189" i="8"/>
  <c r="L189" i="8"/>
  <c r="B210" i="8"/>
  <c r="P189" i="8"/>
  <c r="Q189" i="8"/>
  <c r="R189" i="8"/>
  <c r="T189" i="8"/>
  <c r="S195" i="8"/>
  <c r="R195" i="8"/>
  <c r="Q195" i="8"/>
  <c r="N195" i="8"/>
  <c r="F195" i="8"/>
  <c r="V195" i="8"/>
  <c r="B211" i="8"/>
  <c r="V189" i="8"/>
  <c r="E195" i="8"/>
  <c r="AC189" i="8"/>
  <c r="I195" i="8"/>
  <c r="D38" i="10"/>
  <c r="H36" i="9"/>
  <c r="H19" i="9"/>
  <c r="M76" i="12"/>
  <c r="J34" i="16"/>
  <c r="D11" i="10"/>
  <c r="C23" i="11"/>
  <c r="C12" i="11"/>
  <c r="D29" i="10"/>
  <c r="F43" i="8" l="1"/>
  <c r="F47" i="8"/>
  <c r="F44" i="8"/>
  <c r="AC192" i="8"/>
  <c r="AA192" i="8"/>
  <c r="N192" i="8"/>
  <c r="J192" i="8"/>
  <c r="AB192" i="8"/>
  <c r="V192" i="8"/>
  <c r="U192" i="8"/>
  <c r="T192" i="8"/>
  <c r="S192" i="8"/>
  <c r="R192" i="8"/>
  <c r="P192" i="8"/>
  <c r="M192" i="8"/>
  <c r="K192" i="8"/>
  <c r="I192" i="8"/>
  <c r="H192" i="8"/>
  <c r="G192" i="8"/>
  <c r="F192" i="8"/>
  <c r="E192" i="8"/>
  <c r="B192" i="8"/>
  <c r="Q192" i="8"/>
  <c r="L192" i="8"/>
  <c r="D192" i="8"/>
  <c r="B179" i="8"/>
  <c r="S179" i="8"/>
  <c r="E179" i="8"/>
  <c r="G179" i="8"/>
  <c r="F179" i="8"/>
  <c r="AD179" i="8"/>
  <c r="AC179" i="8"/>
  <c r="AA179" i="8"/>
  <c r="V179" i="8"/>
  <c r="R179" i="8"/>
  <c r="Q179" i="8"/>
  <c r="P179" i="8"/>
  <c r="N179" i="8"/>
  <c r="M179" i="8"/>
  <c r="J179" i="8"/>
  <c r="H179" i="8"/>
  <c r="AB179" i="8"/>
  <c r="U179" i="8"/>
  <c r="T179" i="8"/>
  <c r="L179" i="8"/>
  <c r="K179" i="8"/>
  <c r="I179" i="8"/>
  <c r="D179" i="8"/>
  <c r="C106" i="8"/>
  <c r="B108" i="8"/>
  <c r="N19" i="16"/>
  <c r="O18" i="16"/>
  <c r="R33" i="16"/>
  <c r="I76" i="7"/>
  <c r="H76" i="7"/>
  <c r="J92" i="4"/>
  <c r="K92" i="4" s="1"/>
  <c r="L92" i="4" s="1"/>
  <c r="M92" i="4" s="1"/>
  <c r="J77" i="4"/>
  <c r="K77" i="4" s="1"/>
  <c r="L77" i="4" s="1"/>
  <c r="M77" i="4" s="1"/>
  <c r="E61" i="3"/>
  <c r="E59" i="3"/>
  <c r="D35" i="5"/>
  <c r="C35" i="5"/>
  <c r="G13" i="8"/>
  <c r="D13" i="8"/>
  <c r="J59" i="4"/>
  <c r="K59" i="4" s="1"/>
  <c r="L59" i="4" s="1"/>
  <c r="M59" i="4" s="1"/>
  <c r="C198" i="8" a="1"/>
  <c r="C198" i="8" s="1"/>
  <c r="C199" i="8" s="1" a="1"/>
  <c r="C199" i="8" s="1"/>
  <c r="K135" i="5"/>
  <c r="O134" i="5"/>
  <c r="K19" i="16"/>
  <c r="O40" i="16"/>
  <c r="O10" i="16"/>
  <c r="R37" i="16"/>
  <c r="R11" i="16"/>
  <c r="B42" i="5"/>
  <c r="E86" i="4"/>
  <c r="F86" i="4" s="1"/>
  <c r="G86" i="4" s="1"/>
  <c r="H86" i="4" s="1"/>
  <c r="I86" i="4" s="1"/>
  <c r="J86" i="4" s="1"/>
  <c r="K86" i="4" s="1"/>
  <c r="L86" i="4" s="1"/>
  <c r="M86" i="4" s="1"/>
  <c r="J68" i="4"/>
  <c r="K68" i="4" s="1"/>
  <c r="L68" i="4" s="1"/>
  <c r="M68" i="4" s="1"/>
  <c r="C107" i="7"/>
  <c r="F107" i="7" s="1"/>
  <c r="B107" i="7"/>
  <c r="M38" i="16"/>
  <c r="G101" i="4" s="1"/>
  <c r="B13" i="5"/>
  <c r="N132" i="5"/>
  <c r="P102" i="5"/>
  <c r="C39" i="8"/>
  <c r="J87" i="4"/>
  <c r="K87" i="4" s="1"/>
  <c r="L87" i="4" s="1"/>
  <c r="M87" i="4" s="1"/>
  <c r="R26" i="16"/>
  <c r="R27" i="16"/>
  <c r="P40" i="16"/>
  <c r="P10" i="16"/>
  <c r="E68" i="3"/>
  <c r="I74" i="7"/>
  <c r="H74" i="7"/>
  <c r="P19" i="16"/>
  <c r="D12" i="16"/>
  <c r="D11" i="16"/>
  <c r="D13" i="16"/>
  <c r="D10" i="16"/>
  <c r="C34" i="5"/>
  <c r="C33" i="5"/>
  <c r="E15" i="5"/>
  <c r="F15" i="5"/>
  <c r="C43" i="8"/>
  <c r="Q127" i="4"/>
  <c r="B44" i="1"/>
  <c r="J76" i="4"/>
  <c r="K76" i="4" s="1"/>
  <c r="L76" i="4" s="1"/>
  <c r="M76" i="4" s="1"/>
  <c r="S26" i="16"/>
  <c r="O38" i="16"/>
  <c r="I101" i="4" s="1"/>
  <c r="S11" i="16"/>
  <c r="S43" i="16" s="1"/>
  <c r="S37" i="16"/>
  <c r="P129" i="5"/>
  <c r="J83" i="4"/>
  <c r="K83" i="4" s="1"/>
  <c r="L83" i="4" s="1"/>
  <c r="M83" i="4" s="1"/>
  <c r="E117" i="8"/>
  <c r="Q40" i="16"/>
  <c r="Q10" i="16"/>
  <c r="C47" i="8"/>
  <c r="D24" i="13"/>
  <c r="B20" i="13"/>
  <c r="B16" i="13"/>
  <c r="C12" i="13"/>
  <c r="C8" i="13"/>
  <c r="K63" i="12"/>
  <c r="K44" i="12"/>
  <c r="E36" i="12"/>
  <c r="K26" i="12"/>
  <c r="C24" i="13"/>
  <c r="B24" i="13"/>
  <c r="K19" i="13"/>
  <c r="J15" i="13"/>
  <c r="K7" i="13"/>
  <c r="I63" i="12"/>
  <c r="I44" i="12"/>
  <c r="K38" i="12"/>
  <c r="C36" i="12"/>
  <c r="I26" i="12"/>
  <c r="I23" i="13"/>
  <c r="H19" i="13"/>
  <c r="G15" i="13"/>
  <c r="I11" i="13"/>
  <c r="H7" i="13"/>
  <c r="F63" i="12"/>
  <c r="F44" i="12"/>
  <c r="H38" i="12"/>
  <c r="F26" i="12"/>
  <c r="B45" i="13"/>
  <c r="H23" i="13"/>
  <c r="G19" i="13"/>
  <c r="F15" i="13"/>
  <c r="H11" i="13"/>
  <c r="G7" i="13"/>
  <c r="E63" i="12"/>
  <c r="E44" i="12"/>
  <c r="G38" i="12"/>
  <c r="E26" i="12"/>
  <c r="G23" i="13"/>
  <c r="F19" i="13"/>
  <c r="E15" i="13"/>
  <c r="G11" i="13"/>
  <c r="F7" i="13"/>
  <c r="D63" i="12"/>
  <c r="D44" i="12"/>
  <c r="F38" i="12"/>
  <c r="D26" i="12"/>
  <c r="F23" i="13"/>
  <c r="E19" i="13"/>
  <c r="D15" i="13"/>
  <c r="F11" i="13"/>
  <c r="E7" i="13"/>
  <c r="L108" i="12"/>
  <c r="C63" i="12"/>
  <c r="C44" i="12"/>
  <c r="E38" i="12"/>
  <c r="C26" i="12"/>
  <c r="E23" i="13"/>
  <c r="D19" i="13"/>
  <c r="C15" i="13"/>
  <c r="E11" i="13"/>
  <c r="D7" i="13"/>
  <c r="B44" i="12"/>
  <c r="D38" i="12"/>
  <c r="B26" i="12"/>
  <c r="C23" i="13"/>
  <c r="B19" i="13"/>
  <c r="C11" i="13"/>
  <c r="B7" i="13"/>
  <c r="K62" i="12"/>
  <c r="B38" i="12"/>
  <c r="J28" i="12"/>
  <c r="B44" i="13"/>
  <c r="K21" i="13"/>
  <c r="K18" i="13"/>
  <c r="K14" i="13"/>
  <c r="I21" i="13"/>
  <c r="I18" i="13"/>
  <c r="F41" i="15" s="1"/>
  <c r="I14" i="13"/>
  <c r="J10" i="13"/>
  <c r="G62" i="12"/>
  <c r="J37" i="12"/>
  <c r="F28" i="12"/>
  <c r="H21" i="13"/>
  <c r="H18" i="13"/>
  <c r="H14" i="13"/>
  <c r="I10" i="13"/>
  <c r="L79" i="12"/>
  <c r="L81" i="12" s="1"/>
  <c r="F62" i="12"/>
  <c r="I37" i="12"/>
  <c r="E28" i="12"/>
  <c r="E21" i="13"/>
  <c r="E18" i="13"/>
  <c r="E14" i="13"/>
  <c r="F10" i="13"/>
  <c r="L107" i="12"/>
  <c r="I79" i="12"/>
  <c r="I81" i="12" s="1"/>
  <c r="C62" i="12"/>
  <c r="F37" i="12"/>
  <c r="B28" i="12"/>
  <c r="B43" i="13"/>
  <c r="D21" i="13"/>
  <c r="D18" i="13"/>
  <c r="F21" i="15" s="1"/>
  <c r="D14" i="13"/>
  <c r="E10" i="13"/>
  <c r="H79" i="12"/>
  <c r="H81" i="12" s="1"/>
  <c r="L64" i="12"/>
  <c r="E37" i="12"/>
  <c r="C21" i="13"/>
  <c r="C18" i="13"/>
  <c r="C14" i="13"/>
  <c r="D10" i="13"/>
  <c r="G79" i="12"/>
  <c r="G81" i="12" s="1"/>
  <c r="L75" i="12"/>
  <c r="L77" i="12" s="1"/>
  <c r="K64" i="12"/>
  <c r="D37" i="12"/>
  <c r="K27" i="12"/>
  <c r="B21" i="13"/>
  <c r="B18" i="13"/>
  <c r="B14" i="13"/>
  <c r="C10" i="13"/>
  <c r="K88" i="12"/>
  <c r="F79" i="12"/>
  <c r="F81" i="12" s="1"/>
  <c r="K75" i="12"/>
  <c r="J64" i="12"/>
  <c r="K42" i="12"/>
  <c r="C37" i="12"/>
  <c r="J27" i="12"/>
  <c r="K20" i="13"/>
  <c r="K16" i="13"/>
  <c r="M12" i="13"/>
  <c r="B10" i="13"/>
  <c r="J88" i="12"/>
  <c r="E79" i="12"/>
  <c r="E81" i="12" s="1"/>
  <c r="J75" i="12"/>
  <c r="J77" i="12" s="1"/>
  <c r="I64" i="12"/>
  <c r="J42" i="12"/>
  <c r="B37" i="12"/>
  <c r="I27" i="12"/>
  <c r="B47" i="13"/>
  <c r="C47" i="13" s="1"/>
  <c r="J20" i="13"/>
  <c r="J16" i="13"/>
  <c r="K12" i="13"/>
  <c r="K8" i="13"/>
  <c r="I88" i="12"/>
  <c r="D79" i="12"/>
  <c r="D81" i="12" s="1"/>
  <c r="I75" i="12"/>
  <c r="I77" i="12" s="1"/>
  <c r="H64" i="12"/>
  <c r="I42" i="12"/>
  <c r="H27" i="12"/>
  <c r="J24" i="13"/>
  <c r="H20" i="13"/>
  <c r="H16" i="13"/>
  <c r="I12" i="13"/>
  <c r="I8" i="13"/>
  <c r="G88" i="12"/>
  <c r="G75" i="12"/>
  <c r="G77" i="12" s="1"/>
  <c r="F64" i="12"/>
  <c r="G42" i="12"/>
  <c r="K36" i="12"/>
  <c r="F27" i="12"/>
  <c r="I24" i="13"/>
  <c r="G20" i="13"/>
  <c r="G16" i="13"/>
  <c r="H12" i="13"/>
  <c r="H8" i="13"/>
  <c r="F88" i="12"/>
  <c r="F75" i="12"/>
  <c r="F77" i="12" s="1"/>
  <c r="E64" i="12"/>
  <c r="F42" i="12"/>
  <c r="J36" i="12"/>
  <c r="E27" i="12"/>
  <c r="G24" i="13"/>
  <c r="E20" i="13"/>
  <c r="E16" i="13"/>
  <c r="F12" i="13"/>
  <c r="F8" i="13"/>
  <c r="D88" i="12"/>
  <c r="D75" i="12"/>
  <c r="D77" i="12" s="1"/>
  <c r="C64" i="12"/>
  <c r="E69" i="12" s="1"/>
  <c r="E42" i="1" s="1"/>
  <c r="D42" i="12"/>
  <c r="H36" i="12"/>
  <c r="C27" i="12"/>
  <c r="F24" i="13"/>
  <c r="D20" i="13"/>
  <c r="D16" i="13"/>
  <c r="E12" i="13"/>
  <c r="E8" i="13"/>
  <c r="C88" i="12"/>
  <c r="C75" i="12"/>
  <c r="C77" i="12" s="1"/>
  <c r="C42" i="12"/>
  <c r="G36" i="12"/>
  <c r="B27" i="12"/>
  <c r="B46" i="13"/>
  <c r="E24" i="13"/>
  <c r="C20" i="13"/>
  <c r="C16" i="13"/>
  <c r="D12" i="13"/>
  <c r="D8" i="13"/>
  <c r="B88" i="12"/>
  <c r="L63" i="12"/>
  <c r="B42" i="12"/>
  <c r="F36" i="12"/>
  <c r="K11" i="13"/>
  <c r="K37" i="12"/>
  <c r="K24" i="13"/>
  <c r="J11" i="13"/>
  <c r="G64" i="12"/>
  <c r="H37" i="12"/>
  <c r="H24" i="13"/>
  <c r="D11" i="13"/>
  <c r="D64" i="12"/>
  <c r="G37" i="12"/>
  <c r="K23" i="13"/>
  <c r="B11" i="13"/>
  <c r="J63" i="12"/>
  <c r="J23" i="13"/>
  <c r="K10" i="13"/>
  <c r="K79" i="12"/>
  <c r="H63" i="12"/>
  <c r="I36" i="12"/>
  <c r="D23" i="13"/>
  <c r="H10" i="13"/>
  <c r="J79" i="12"/>
  <c r="J81" i="12" s="1"/>
  <c r="G63" i="12"/>
  <c r="D36" i="12"/>
  <c r="B23" i="13"/>
  <c r="G10" i="13"/>
  <c r="C79" i="12"/>
  <c r="C81" i="12" s="1"/>
  <c r="L62" i="12"/>
  <c r="B36" i="12"/>
  <c r="J21" i="13"/>
  <c r="J8" i="13"/>
  <c r="J62" i="12"/>
  <c r="G21" i="13"/>
  <c r="G8" i="13"/>
  <c r="I62" i="12"/>
  <c r="K28" i="12"/>
  <c r="F21" i="13"/>
  <c r="B8" i="13"/>
  <c r="H62" i="12"/>
  <c r="I28" i="12"/>
  <c r="I20" i="13"/>
  <c r="J7" i="13"/>
  <c r="E62" i="12"/>
  <c r="H28" i="12"/>
  <c r="B50" i="13"/>
  <c r="F20" i="13"/>
  <c r="I7" i="13"/>
  <c r="D62" i="12"/>
  <c r="G28" i="12"/>
  <c r="J19" i="13"/>
  <c r="C7" i="13"/>
  <c r="D28" i="12"/>
  <c r="B49" i="13"/>
  <c r="I19" i="13"/>
  <c r="C28" i="12"/>
  <c r="G5" i="15"/>
  <c r="C19" i="13"/>
  <c r="G27" i="12"/>
  <c r="B48" i="13"/>
  <c r="C48" i="13" s="1"/>
  <c r="J44" i="12"/>
  <c r="D27" i="12"/>
  <c r="J18" i="13"/>
  <c r="H44" i="12"/>
  <c r="J26" i="12"/>
  <c r="G18" i="13"/>
  <c r="F33" i="15" s="1"/>
  <c r="G44" i="12"/>
  <c r="H26" i="12"/>
  <c r="F18" i="13"/>
  <c r="F29" i="15" s="1"/>
  <c r="G26" i="12"/>
  <c r="I16" i="13"/>
  <c r="F16" i="13"/>
  <c r="K15" i="13"/>
  <c r="I15" i="13"/>
  <c r="H75" i="12"/>
  <c r="H77" i="12" s="1"/>
  <c r="H15" i="13"/>
  <c r="E75" i="12"/>
  <c r="E77" i="12" s="1"/>
  <c r="B15" i="13"/>
  <c r="H42" i="12"/>
  <c r="E42" i="12"/>
  <c r="J14" i="13"/>
  <c r="G14" i="13"/>
  <c r="H88" i="12"/>
  <c r="J38" i="12"/>
  <c r="F14" i="13"/>
  <c r="E88" i="12"/>
  <c r="I38" i="12"/>
  <c r="J12" i="13"/>
  <c r="C38" i="12"/>
  <c r="G12" i="13"/>
  <c r="B12" i="13"/>
  <c r="K118" i="4"/>
  <c r="E111" i="4"/>
  <c r="I111" i="4"/>
  <c r="H111" i="4"/>
  <c r="D118" i="4"/>
  <c r="Q118" i="4" s="1"/>
  <c r="L111" i="4"/>
  <c r="J118" i="4"/>
  <c r="G118" i="4"/>
  <c r="F118" i="4"/>
  <c r="E118" i="4"/>
  <c r="M111" i="4"/>
  <c r="K111" i="4"/>
  <c r="I118" i="4"/>
  <c r="M118" i="4"/>
  <c r="L118" i="4"/>
  <c r="J111" i="4"/>
  <c r="H118" i="4"/>
  <c r="G111" i="4"/>
  <c r="F111" i="4"/>
  <c r="D111" i="4"/>
  <c r="J57" i="4"/>
  <c r="K57" i="4" s="1"/>
  <c r="L57" i="4" s="1"/>
  <c r="M57" i="4" s="1"/>
  <c r="J82" i="4"/>
  <c r="K82" i="4" s="1"/>
  <c r="L82" i="4" s="1"/>
  <c r="M82" i="4" s="1"/>
  <c r="C185" i="8" a="1"/>
  <c r="C185" i="8" s="1"/>
  <c r="B38" i="8"/>
  <c r="C37" i="8"/>
  <c r="Q19" i="16"/>
  <c r="S27" i="16"/>
  <c r="E34" i="4"/>
  <c r="E36" i="4" s="1"/>
  <c r="F32" i="4"/>
  <c r="G35" i="4"/>
  <c r="Q62" i="5"/>
  <c r="P62" i="5"/>
  <c r="N80" i="5"/>
  <c r="Q102" i="5" s="1"/>
  <c r="C44" i="4"/>
  <c r="R15" i="9"/>
  <c r="T15" i="9" s="1"/>
  <c r="K26" i="16"/>
  <c r="K11" i="16"/>
  <c r="K43" i="16" s="1"/>
  <c r="K37" i="16"/>
  <c r="C45" i="4"/>
  <c r="C50" i="4" s="1"/>
  <c r="C97" i="4" s="1"/>
  <c r="E208" i="8"/>
  <c r="D208" i="8"/>
  <c r="X208" i="8" s="1"/>
  <c r="K34" i="16"/>
  <c r="Q38" i="16"/>
  <c r="K101" i="4" s="1"/>
  <c r="D7" i="6"/>
  <c r="C14" i="3"/>
  <c r="C177" i="3" s="1"/>
  <c r="E14" i="3"/>
  <c r="E177" i="3" s="1"/>
  <c r="D14" i="3"/>
  <c r="D177" i="3" s="1"/>
  <c r="B14" i="3"/>
  <c r="C10" i="4"/>
  <c r="R10" i="16"/>
  <c r="R40" i="16"/>
  <c r="T86" i="5"/>
  <c r="E94" i="4"/>
  <c r="H94" i="4"/>
  <c r="J66" i="4"/>
  <c r="K66" i="4" s="1"/>
  <c r="L66" i="4" s="1"/>
  <c r="M66" i="4" s="1"/>
  <c r="D94" i="4"/>
  <c r="D96" i="4" s="1"/>
  <c r="E7" i="3"/>
  <c r="D9" i="3"/>
  <c r="J71" i="4"/>
  <c r="I94" i="4"/>
  <c r="C46" i="4"/>
  <c r="J53" i="7"/>
  <c r="M50" i="7"/>
  <c r="O49" i="4"/>
  <c r="P49" i="4" s="1"/>
  <c r="B25" i="5"/>
  <c r="B26" i="5" s="1"/>
  <c r="B27" i="5" s="1"/>
  <c r="J72" i="4"/>
  <c r="K72" i="4" s="1"/>
  <c r="L72" i="4" s="1"/>
  <c r="M72" i="4" s="1"/>
  <c r="J27" i="16"/>
  <c r="L34" i="16"/>
  <c r="L37" i="16"/>
  <c r="L11" i="16"/>
  <c r="L43" i="16" s="1"/>
  <c r="G27" i="4"/>
  <c r="D43" i="4"/>
  <c r="D18" i="4"/>
  <c r="C47" i="4"/>
  <c r="F73" i="3"/>
  <c r="J81" i="4"/>
  <c r="K81" i="4" s="1"/>
  <c r="L81" i="4" s="1"/>
  <c r="M81" i="4" s="1"/>
  <c r="J60" i="4"/>
  <c r="K60" i="4" s="1"/>
  <c r="L60" i="4" s="1"/>
  <c r="M60" i="4" s="1"/>
  <c r="G94" i="4"/>
  <c r="U15" i="9"/>
  <c r="P27" i="16"/>
  <c r="J10" i="16"/>
  <c r="J40" i="16"/>
  <c r="S10" i="16"/>
  <c r="S40" i="16"/>
  <c r="R38" i="16"/>
  <c r="L101" i="4" s="1"/>
  <c r="E14" i="4"/>
  <c r="E42" i="4"/>
  <c r="F12" i="4"/>
  <c r="D20" i="4"/>
  <c r="G69" i="3"/>
  <c r="J55" i="4"/>
  <c r="K55" i="4" s="1"/>
  <c r="L55" i="4" s="1"/>
  <c r="M55" i="4" s="1"/>
  <c r="B197" i="8"/>
  <c r="AA197" i="8"/>
  <c r="T197" i="8"/>
  <c r="S197" i="8"/>
  <c r="J197" i="8"/>
  <c r="E197" i="8"/>
  <c r="H197" i="8"/>
  <c r="G197" i="8"/>
  <c r="D197" i="8"/>
  <c r="AD197" i="8"/>
  <c r="AC197" i="8"/>
  <c r="AB197" i="8"/>
  <c r="V197" i="8"/>
  <c r="U197" i="8"/>
  <c r="R197" i="8"/>
  <c r="Q197" i="8"/>
  <c r="P197" i="8"/>
  <c r="M197" i="8"/>
  <c r="L197" i="8"/>
  <c r="K197" i="8"/>
  <c r="I197" i="8"/>
  <c r="N197" i="8"/>
  <c r="F197" i="8"/>
  <c r="Q27" i="16"/>
  <c r="S86" i="5"/>
  <c r="B13" i="16"/>
  <c r="E13" i="16" s="1"/>
  <c r="B10" i="16"/>
  <c r="E10" i="16" s="1"/>
  <c r="E4" i="16"/>
  <c r="B18" i="1" s="1"/>
  <c r="B11" i="16"/>
  <c r="B12" i="16"/>
  <c r="F165" i="3"/>
  <c r="B168" i="3"/>
  <c r="C46" i="8"/>
  <c r="E16" i="4"/>
  <c r="F15" i="4"/>
  <c r="C193" i="8" a="1"/>
  <c r="C193" i="8" s="1"/>
  <c r="J29" i="16"/>
  <c r="C13" i="11"/>
  <c r="C16" i="11" s="1"/>
  <c r="Z13" i="9"/>
  <c r="Y13" i="9"/>
  <c r="F46" i="8"/>
  <c r="D16" i="4"/>
  <c r="H133" i="5"/>
  <c r="C10" i="5"/>
  <c r="C11" i="5" s="1"/>
  <c r="L27" i="16"/>
  <c r="D51" i="10"/>
  <c r="D48" i="10"/>
  <c r="D49" i="10" s="1"/>
  <c r="B44" i="5"/>
  <c r="B43" i="5"/>
  <c r="J37" i="16"/>
  <c r="J11" i="16"/>
  <c r="J43" i="16" s="1"/>
  <c r="O33" i="16"/>
  <c r="J35" i="7"/>
  <c r="I40" i="7"/>
  <c r="I67" i="7" s="1"/>
  <c r="J89" i="4"/>
  <c r="K89" i="4" s="1"/>
  <c r="L89" i="4" s="1"/>
  <c r="M89" i="4" s="1"/>
  <c r="J84" i="4"/>
  <c r="K84" i="4" s="1"/>
  <c r="L84" i="4" s="1"/>
  <c r="M84" i="4" s="1"/>
  <c r="C40" i="8"/>
  <c r="H178" i="8"/>
  <c r="G178" i="8"/>
  <c r="F178" i="8"/>
  <c r="D178" i="8"/>
  <c r="AC178" i="8"/>
  <c r="K178" i="8"/>
  <c r="AD178" i="8"/>
  <c r="AA178" i="8"/>
  <c r="V178" i="8"/>
  <c r="S178" i="8"/>
  <c r="R178" i="8"/>
  <c r="Q178" i="8"/>
  <c r="P178" i="8"/>
  <c r="N178" i="8"/>
  <c r="J178" i="8"/>
  <c r="E178" i="8"/>
  <c r="AB178" i="8"/>
  <c r="U178" i="8"/>
  <c r="T178" i="8"/>
  <c r="M178" i="8"/>
  <c r="L178" i="8"/>
  <c r="I178" i="8"/>
  <c r="B178" i="8"/>
  <c r="D167" i="3"/>
  <c r="D164" i="3"/>
  <c r="D22" i="3"/>
  <c r="M37" i="16"/>
  <c r="M11" i="16"/>
  <c r="M37" i="7"/>
  <c r="J93" i="4"/>
  <c r="K93" i="4" s="1"/>
  <c r="L93" i="4" s="1"/>
  <c r="M93" i="4" s="1"/>
  <c r="Q67" i="5"/>
  <c r="P67" i="5"/>
  <c r="G67" i="3"/>
  <c r="J54" i="4"/>
  <c r="K54" i="4" s="1"/>
  <c r="L54" i="4" s="1"/>
  <c r="M54" i="4" s="1"/>
  <c r="D184" i="8"/>
  <c r="AC184" i="8"/>
  <c r="U184" i="8"/>
  <c r="L184" i="8"/>
  <c r="G184" i="8"/>
  <c r="S184" i="8"/>
  <c r="R184" i="8"/>
  <c r="P184" i="8"/>
  <c r="M184" i="8"/>
  <c r="K184" i="8"/>
  <c r="J184" i="8"/>
  <c r="I184" i="8"/>
  <c r="E184" i="8"/>
  <c r="B184" i="8"/>
  <c r="AA184" i="8"/>
  <c r="T184" i="8"/>
  <c r="AD184" i="8"/>
  <c r="AB184" i="8"/>
  <c r="V184" i="8"/>
  <c r="Q184" i="8"/>
  <c r="N184" i="8"/>
  <c r="H184" i="8"/>
  <c r="F184" i="8"/>
  <c r="P11" i="16"/>
  <c r="P43" i="16" s="1"/>
  <c r="P37" i="16"/>
  <c r="L10" i="16"/>
  <c r="L40" i="16"/>
  <c r="S38" i="16"/>
  <c r="M101" i="4" s="1"/>
  <c r="H75" i="7"/>
  <c r="I75" i="7"/>
  <c r="E173" i="3"/>
  <c r="E141" i="3" s="1"/>
  <c r="D141" i="3"/>
  <c r="I19" i="4"/>
  <c r="J58" i="4"/>
  <c r="K58" i="4" s="1"/>
  <c r="L58" i="4" s="1"/>
  <c r="M58" i="4" s="1"/>
  <c r="J74" i="4"/>
  <c r="K74" i="4" s="1"/>
  <c r="L74" i="4" s="1"/>
  <c r="M74" i="4" s="1"/>
  <c r="Z25" i="9"/>
  <c r="Y25" i="9"/>
  <c r="X25" i="9"/>
  <c r="W25" i="9"/>
  <c r="Y14" i="9"/>
  <c r="Z14" i="9"/>
  <c r="N34" i="16"/>
  <c r="I17" i="4"/>
  <c r="C20" i="3"/>
  <c r="C23" i="3" s="1"/>
  <c r="C165" i="3"/>
  <c r="C168" i="3" s="1"/>
  <c r="C130" i="3" s="1"/>
  <c r="C162" i="3"/>
  <c r="C170" i="3"/>
  <c r="C169" i="3"/>
  <c r="C31" i="5"/>
  <c r="D49" i="3"/>
  <c r="D47" i="3"/>
  <c r="D65" i="3" s="1"/>
  <c r="E45" i="3"/>
  <c r="D63" i="3"/>
  <c r="E21" i="1"/>
  <c r="B47" i="1"/>
  <c r="B24" i="3"/>
  <c r="F24" i="3" s="1"/>
  <c r="F23" i="3"/>
  <c r="D5" i="6" s="1"/>
  <c r="D6" i="6" s="1"/>
  <c r="J75" i="4"/>
  <c r="K75" i="4" s="1"/>
  <c r="L75" i="4" s="1"/>
  <c r="M75" i="4" s="1"/>
  <c r="V20" i="9"/>
  <c r="V7" i="9"/>
  <c r="V6" i="9"/>
  <c r="V19" i="9"/>
  <c r="V5" i="9"/>
  <c r="V15" i="9"/>
  <c r="E105" i="8"/>
  <c r="D106" i="8"/>
  <c r="F105" i="8"/>
  <c r="Q11" i="16"/>
  <c r="Q37" i="16"/>
  <c r="O26" i="16"/>
  <c r="J39" i="16"/>
  <c r="K39" i="16" s="1"/>
  <c r="D101" i="4"/>
  <c r="M27" i="16"/>
  <c r="F94" i="4"/>
  <c r="O6" i="4"/>
  <c r="J90" i="4"/>
  <c r="K90" i="4" s="1"/>
  <c r="L90" i="4" s="1"/>
  <c r="M90" i="4" s="1"/>
  <c r="E209" i="8"/>
  <c r="D209" i="8"/>
  <c r="X209" i="8" s="1"/>
  <c r="F106" i="8"/>
  <c r="K10" i="16"/>
  <c r="K40" i="16"/>
  <c r="M18" i="16"/>
  <c r="C96" i="4"/>
  <c r="D89" i="3"/>
  <c r="E81" i="3"/>
  <c r="E89" i="3" s="1"/>
  <c r="B50" i="5"/>
  <c r="B49" i="5"/>
  <c r="H25" i="4"/>
  <c r="B176" i="3"/>
  <c r="C13" i="3"/>
  <c r="F13" i="3"/>
  <c r="D16" i="3"/>
  <c r="D178" i="3" s="1"/>
  <c r="J67" i="4"/>
  <c r="K67" i="4" s="1"/>
  <c r="L67" i="4" s="1"/>
  <c r="M67" i="4" s="1"/>
  <c r="E168" i="8"/>
  <c r="F168" i="8" s="1"/>
  <c r="D172" i="8"/>
  <c r="E172" i="8" s="1"/>
  <c r="E106" i="8"/>
  <c r="D40" i="4"/>
  <c r="E39" i="4"/>
  <c r="F76" i="3"/>
  <c r="G122" i="3" s="1"/>
  <c r="B126" i="3"/>
  <c r="J91" i="4"/>
  <c r="K91" i="4" s="1"/>
  <c r="L91" i="4" s="1"/>
  <c r="M91" i="4" s="1"/>
  <c r="C44" i="8"/>
  <c r="F22" i="4"/>
  <c r="E24" i="4"/>
  <c r="V22" i="9"/>
  <c r="V23" i="9"/>
  <c r="V10" i="9"/>
  <c r="V9" i="9"/>
  <c r="V11" i="9"/>
  <c r="N37" i="16"/>
  <c r="N11" i="16"/>
  <c r="N43" i="16" s="1"/>
  <c r="P38" i="16"/>
  <c r="J101" i="4" s="1"/>
  <c r="M10" i="16"/>
  <c r="M40" i="16"/>
  <c r="E29" i="4"/>
  <c r="D30" i="4"/>
  <c r="B15" i="12"/>
  <c r="C32" i="1"/>
  <c r="D64" i="3"/>
  <c r="D97" i="3"/>
  <c r="E91" i="3"/>
  <c r="E97" i="3" s="1"/>
  <c r="G63" i="4"/>
  <c r="F69" i="4"/>
  <c r="D28" i="4"/>
  <c r="K38" i="16"/>
  <c r="E101" i="4" s="1"/>
  <c r="C13" i="16"/>
  <c r="C10" i="16"/>
  <c r="C12" i="16"/>
  <c r="C11" i="16"/>
  <c r="C14" i="16" s="1"/>
  <c r="P42" i="4"/>
  <c r="O42" i="4"/>
  <c r="N42" i="4"/>
  <c r="E28" i="3"/>
  <c r="D29" i="3"/>
  <c r="D30" i="3" s="1"/>
  <c r="D36" i="3"/>
  <c r="J64" i="4"/>
  <c r="K64" i="4" s="1"/>
  <c r="L64" i="4" s="1"/>
  <c r="M64" i="4" s="1"/>
  <c r="E69" i="4"/>
  <c r="P26" i="16"/>
  <c r="Q33" i="16"/>
  <c r="N48" i="4"/>
  <c r="D26" i="4"/>
  <c r="C180" i="8" a="1"/>
  <c r="C180" i="8" s="1"/>
  <c r="K33" i="16"/>
  <c r="O37" i="16"/>
  <c r="O11" i="16"/>
  <c r="C76" i="3"/>
  <c r="C73" i="3"/>
  <c r="C71" i="3"/>
  <c r="M87" i="12"/>
  <c r="B87" i="12"/>
  <c r="F178" i="3"/>
  <c r="D8" i="6"/>
  <c r="G16" i="3"/>
  <c r="L133" i="5"/>
  <c r="O133" i="5" s="1"/>
  <c r="O132" i="5"/>
  <c r="D10" i="5"/>
  <c r="O48" i="4"/>
  <c r="P48" i="4" s="1"/>
  <c r="J56" i="4"/>
  <c r="K56" i="4" s="1"/>
  <c r="L56" i="4" s="1"/>
  <c r="M56" i="4" s="1"/>
  <c r="B125" i="8"/>
  <c r="C122" i="8"/>
  <c r="C125" i="8" s="1"/>
  <c r="E210" i="8"/>
  <c r="D210" i="8"/>
  <c r="X210" i="8" s="1"/>
  <c r="M33" i="16"/>
  <c r="R34" i="16"/>
  <c r="J65" i="4"/>
  <c r="K65" i="4" s="1"/>
  <c r="L65" i="4" s="1"/>
  <c r="M65" i="4" s="1"/>
  <c r="J73" i="4"/>
  <c r="K73" i="4" s="1"/>
  <c r="L73" i="4" s="1"/>
  <c r="M73" i="4" s="1"/>
  <c r="G53" i="4"/>
  <c r="F61" i="4"/>
  <c r="S191" i="8"/>
  <c r="R191" i="8"/>
  <c r="Q191" i="8"/>
  <c r="N191" i="8"/>
  <c r="F191" i="8"/>
  <c r="V191" i="8"/>
  <c r="AA191" i="8"/>
  <c r="U191" i="8"/>
  <c r="P191" i="8"/>
  <c r="M191" i="8"/>
  <c r="L191" i="8"/>
  <c r="K191" i="8"/>
  <c r="J191" i="8"/>
  <c r="I191" i="8"/>
  <c r="G191" i="8"/>
  <c r="E191" i="8"/>
  <c r="D191" i="8"/>
  <c r="B191" i="8"/>
  <c r="AC191" i="8"/>
  <c r="AB191" i="8"/>
  <c r="H191" i="8"/>
  <c r="T191" i="8"/>
  <c r="E37" i="4"/>
  <c r="D38" i="4"/>
  <c r="B106" i="8"/>
  <c r="S33" i="16"/>
  <c r="N10" i="16"/>
  <c r="N40" i="16"/>
  <c r="L38" i="16"/>
  <c r="F101" i="4" s="1"/>
  <c r="O27" i="16"/>
  <c r="M38" i="7"/>
  <c r="C31" i="8"/>
  <c r="H3" i="13"/>
  <c r="C35" i="13"/>
  <c r="P5" i="12"/>
  <c r="J78" i="4"/>
  <c r="K78" i="4" s="1"/>
  <c r="L78" i="4" s="1"/>
  <c r="M78" i="4" s="1"/>
  <c r="J88" i="4"/>
  <c r="K88" i="4" s="1"/>
  <c r="L88" i="4" s="1"/>
  <c r="M88" i="4" s="1"/>
  <c r="J79" i="4"/>
  <c r="K79" i="4" s="1"/>
  <c r="L79" i="4" s="1"/>
  <c r="M79" i="4" s="1"/>
  <c r="C200" i="8" l="1" a="1"/>
  <c r="C200" i="8" s="1"/>
  <c r="E200" i="8" s="1"/>
  <c r="R16" i="9"/>
  <c r="R27" i="9" s="1"/>
  <c r="Q16" i="9"/>
  <c r="C104" i="4"/>
  <c r="C124" i="4"/>
  <c r="C123" i="4"/>
  <c r="C122" i="4"/>
  <c r="D71" i="3"/>
  <c r="D73" i="3"/>
  <c r="D69" i="3"/>
  <c r="Q199" i="8"/>
  <c r="P199" i="8"/>
  <c r="N199" i="8"/>
  <c r="L199" i="8"/>
  <c r="J199" i="8"/>
  <c r="H199" i="8"/>
  <c r="D199" i="8"/>
  <c r="B199" i="8"/>
  <c r="AC199" i="8"/>
  <c r="T199" i="8"/>
  <c r="E199" i="8"/>
  <c r="AD199" i="8"/>
  <c r="AB199" i="8"/>
  <c r="AA199" i="8"/>
  <c r="V199" i="8"/>
  <c r="U199" i="8"/>
  <c r="S199" i="8"/>
  <c r="R199" i="8"/>
  <c r="K199" i="8"/>
  <c r="I199" i="8"/>
  <c r="G199" i="8"/>
  <c r="F199" i="8"/>
  <c r="M199" i="8"/>
  <c r="N75" i="12"/>
  <c r="K77" i="12"/>
  <c r="O43" i="16"/>
  <c r="Z5" i="9"/>
  <c r="Y5" i="9"/>
  <c r="B177" i="3"/>
  <c r="F14" i="3"/>
  <c r="S185" i="8"/>
  <c r="N185" i="8"/>
  <c r="F185" i="8"/>
  <c r="B185" i="8"/>
  <c r="V185" i="8"/>
  <c r="U185" i="8"/>
  <c r="R185" i="8"/>
  <c r="P185" i="8"/>
  <c r="M185" i="8"/>
  <c r="L185" i="8"/>
  <c r="K185" i="8"/>
  <c r="H185" i="8"/>
  <c r="G185" i="8"/>
  <c r="D185" i="8"/>
  <c r="AC185" i="8"/>
  <c r="AA185" i="8"/>
  <c r="AD185" i="8"/>
  <c r="AB185" i="8"/>
  <c r="T185" i="8"/>
  <c r="Q185" i="8"/>
  <c r="J185" i="8"/>
  <c r="I185" i="8"/>
  <c r="E185" i="8"/>
  <c r="G25" i="13"/>
  <c r="H26" i="13" s="1"/>
  <c r="D30" i="15"/>
  <c r="G43" i="12"/>
  <c r="N79" i="12"/>
  <c r="K81" i="12"/>
  <c r="E43" i="12"/>
  <c r="C45" i="13"/>
  <c r="P42" i="16"/>
  <c r="J100" i="4"/>
  <c r="J102" i="4" s="1"/>
  <c r="Z15" i="9"/>
  <c r="Y15" i="9"/>
  <c r="X15" i="9"/>
  <c r="W15" i="9"/>
  <c r="H63" i="4"/>
  <c r="G69" i="4"/>
  <c r="Z19" i="9"/>
  <c r="Y19" i="9"/>
  <c r="X19" i="9"/>
  <c r="V26" i="9" a="1"/>
  <c r="V26" i="9" s="1"/>
  <c r="W19" i="9"/>
  <c r="D42" i="15"/>
  <c r="J25" i="13"/>
  <c r="K26" i="13" s="1"/>
  <c r="Q42" i="16"/>
  <c r="K100" i="4"/>
  <c r="K102" i="4" s="1"/>
  <c r="F176" i="3"/>
  <c r="D10" i="6"/>
  <c r="D106" i="4"/>
  <c r="Z6" i="9"/>
  <c r="Y6" i="9"/>
  <c r="D10" i="4"/>
  <c r="B193" i="8"/>
  <c r="AA193" i="8"/>
  <c r="S193" i="8"/>
  <c r="J193" i="8"/>
  <c r="E193" i="8"/>
  <c r="P193" i="8"/>
  <c r="N193" i="8"/>
  <c r="L193" i="8"/>
  <c r="K193" i="8"/>
  <c r="I193" i="8"/>
  <c r="H193" i="8"/>
  <c r="G193" i="8"/>
  <c r="F193" i="8"/>
  <c r="AC193" i="8"/>
  <c r="AB193" i="8"/>
  <c r="U193" i="8"/>
  <c r="T193" i="8"/>
  <c r="R193" i="8"/>
  <c r="Q193" i="8"/>
  <c r="V193" i="8"/>
  <c r="M193" i="8"/>
  <c r="D193" i="8"/>
  <c r="H27" i="4"/>
  <c r="M14" i="13"/>
  <c r="B25" i="13"/>
  <c r="D10" i="15"/>
  <c r="L14" i="13"/>
  <c r="C186" i="8" a="1"/>
  <c r="C186" i="8" s="1"/>
  <c r="AC180" i="8"/>
  <c r="L180" i="8"/>
  <c r="G180" i="8"/>
  <c r="F180" i="8"/>
  <c r="D180" i="8"/>
  <c r="B180" i="8"/>
  <c r="AD180" i="8"/>
  <c r="AA180" i="8"/>
  <c r="V180" i="8"/>
  <c r="S180" i="8"/>
  <c r="R180" i="8"/>
  <c r="Q180" i="8"/>
  <c r="P180" i="8"/>
  <c r="N180" i="8"/>
  <c r="J180" i="8"/>
  <c r="H180" i="8"/>
  <c r="M180" i="8"/>
  <c r="K180" i="8"/>
  <c r="I180" i="8"/>
  <c r="E180" i="8"/>
  <c r="AB180" i="8"/>
  <c r="U180" i="8"/>
  <c r="T180" i="8"/>
  <c r="G15" i="4"/>
  <c r="C50" i="13"/>
  <c r="M11" i="13"/>
  <c r="F13" i="15"/>
  <c r="M18" i="13"/>
  <c r="H43" i="12"/>
  <c r="D34" i="15"/>
  <c r="H25" i="13"/>
  <c r="I26" i="13" s="1"/>
  <c r="C181" i="8" a="1"/>
  <c r="C181" i="8" s="1"/>
  <c r="C182" i="8" s="1" a="1"/>
  <c r="C182" i="8" s="1"/>
  <c r="Z7" i="9"/>
  <c r="Y7" i="9"/>
  <c r="I25" i="4"/>
  <c r="D66" i="3"/>
  <c r="D67" i="3" s="1"/>
  <c r="D76" i="3" s="1"/>
  <c r="P10" i="12"/>
  <c r="B16" i="12"/>
  <c r="F37" i="15"/>
  <c r="Q129" i="5"/>
  <c r="B130" i="3"/>
  <c r="F130" i="3" s="1"/>
  <c r="F29" i="1" s="1"/>
  <c r="F168" i="3"/>
  <c r="J19" i="4"/>
  <c r="E170" i="3"/>
  <c r="E20" i="3"/>
  <c r="E23" i="3" s="1"/>
  <c r="E169" i="3"/>
  <c r="E165" i="3"/>
  <c r="E168" i="3" s="1"/>
  <c r="E130" i="3" s="1"/>
  <c r="E162" i="3"/>
  <c r="S6" i="9"/>
  <c r="W6" i="9" s="1"/>
  <c r="S11" i="9"/>
  <c r="X11" i="9" s="1"/>
  <c r="S7" i="9"/>
  <c r="W7" i="9" s="1"/>
  <c r="S9" i="9"/>
  <c r="X9" i="9" s="1"/>
  <c r="S13" i="9"/>
  <c r="S14" i="9"/>
  <c r="S5" i="9"/>
  <c r="X5" i="9" s="1"/>
  <c r="S10" i="9"/>
  <c r="W10" i="9" s="1"/>
  <c r="Z20" i="9"/>
  <c r="Y20" i="9"/>
  <c r="X20" i="9"/>
  <c r="W20" i="9"/>
  <c r="D170" i="3"/>
  <c r="D20" i="3"/>
  <c r="D23" i="3" s="1"/>
  <c r="D169" i="3"/>
  <c r="D162" i="3"/>
  <c r="D165" i="3"/>
  <c r="D168" i="3" s="1"/>
  <c r="D130" i="3" s="1"/>
  <c r="E30" i="4"/>
  <c r="F29" i="4"/>
  <c r="G61" i="4"/>
  <c r="H53" i="4"/>
  <c r="M42" i="16"/>
  <c r="G100" i="4"/>
  <c r="G102" i="4" s="1"/>
  <c r="E12" i="16"/>
  <c r="D46" i="4"/>
  <c r="I43" i="12"/>
  <c r="F43" i="12"/>
  <c r="D13" i="3"/>
  <c r="C176" i="3"/>
  <c r="F14" i="4"/>
  <c r="F42" i="4"/>
  <c r="G12" i="4"/>
  <c r="N42" i="16"/>
  <c r="H100" i="4"/>
  <c r="H102" i="4" s="1"/>
  <c r="L42" i="16"/>
  <c r="F100" i="4"/>
  <c r="F102" i="4" s="1"/>
  <c r="E43" i="4"/>
  <c r="E18" i="4"/>
  <c r="E45" i="4" s="1"/>
  <c r="E20" i="4"/>
  <c r="M53" i="7"/>
  <c r="C25" i="13"/>
  <c r="D26" i="13" s="1"/>
  <c r="D14" i="15"/>
  <c r="N133" i="5"/>
  <c r="Q132" i="5"/>
  <c r="D5" i="5"/>
  <c r="P132" i="5"/>
  <c r="B10" i="5"/>
  <c r="K43" i="12"/>
  <c r="F17" i="15"/>
  <c r="E13" i="5"/>
  <c r="F13" i="5"/>
  <c r="K42" i="16"/>
  <c r="E100" i="4"/>
  <c r="E102" i="4" s="1"/>
  <c r="Z11" i="9"/>
  <c r="Y11" i="9"/>
  <c r="E49" i="3"/>
  <c r="E64" i="3" s="1"/>
  <c r="E47" i="3"/>
  <c r="E63" i="3"/>
  <c r="M43" i="16"/>
  <c r="M35" i="7"/>
  <c r="B84" i="7"/>
  <c r="B83" i="7"/>
  <c r="B82" i="7"/>
  <c r="J40" i="7"/>
  <c r="J67" i="7" s="1"/>
  <c r="C90" i="7" s="1"/>
  <c r="D38" i="15"/>
  <c r="I25" i="13"/>
  <c r="J26" i="13" s="1"/>
  <c r="S42" i="16"/>
  <c r="M100" i="4"/>
  <c r="M102" i="4" s="1"/>
  <c r="H15" i="5"/>
  <c r="G15" i="5"/>
  <c r="J42" i="16"/>
  <c r="J41" i="16"/>
  <c r="K41" i="16" s="1"/>
  <c r="L41" i="16" s="1"/>
  <c r="M41" i="16" s="1"/>
  <c r="N41" i="16" s="1"/>
  <c r="O41" i="16" s="1"/>
  <c r="P41" i="16" s="1"/>
  <c r="Q41" i="16" s="1"/>
  <c r="R41" i="16" s="1"/>
  <c r="S41" i="16" s="1"/>
  <c r="D100" i="4"/>
  <c r="K71" i="4"/>
  <c r="J94" i="4"/>
  <c r="M42" i="12"/>
  <c r="G14" i="11" s="1"/>
  <c r="K25" i="13"/>
  <c r="L26" i="13" s="1"/>
  <c r="D46" i="15"/>
  <c r="F37" i="4"/>
  <c r="E38" i="4"/>
  <c r="V16" i="9"/>
  <c r="F49" i="15"/>
  <c r="C171" i="3"/>
  <c r="F45" i="15"/>
  <c r="M88" i="12"/>
  <c r="D25" i="13"/>
  <c r="E26" i="13" s="1"/>
  <c r="D18" i="15"/>
  <c r="Z9" i="9"/>
  <c r="Y9" i="9"/>
  <c r="Y10" i="9"/>
  <c r="Z10" i="9"/>
  <c r="E9" i="3"/>
  <c r="E16" i="3"/>
  <c r="E178" i="3" s="1"/>
  <c r="Q73" i="5"/>
  <c r="Q94" i="5"/>
  <c r="Q80" i="5"/>
  <c r="B11" i="5"/>
  <c r="P80" i="5"/>
  <c r="Q127" i="5"/>
  <c r="Q99" i="5"/>
  <c r="B9" i="5"/>
  <c r="Q98" i="5"/>
  <c r="Q114" i="5"/>
  <c r="Q66" i="5"/>
  <c r="Q85" i="5"/>
  <c r="Q104" i="5"/>
  <c r="Q71" i="5"/>
  <c r="Q61" i="5"/>
  <c r="Q113" i="5"/>
  <c r="Q79" i="5"/>
  <c r="Q101" i="5"/>
  <c r="Q60" i="5"/>
  <c r="Q125" i="5"/>
  <c r="Q112" i="5"/>
  <c r="Q92" i="5"/>
  <c r="Q78" i="5"/>
  <c r="Q111" i="5"/>
  <c r="Q123" i="5"/>
  <c r="Q59" i="5"/>
  <c r="B24" i="5"/>
  <c r="Q91" i="5"/>
  <c r="Q109" i="5"/>
  <c r="Q75" i="5"/>
  <c r="N134" i="5"/>
  <c r="Q119" i="5"/>
  <c r="B5" i="5"/>
  <c r="Q89" i="5"/>
  <c r="Q65" i="5"/>
  <c r="Q107" i="5"/>
  <c r="Q74" i="5"/>
  <c r="Q118" i="5"/>
  <c r="Q76" i="5"/>
  <c r="Q63" i="5"/>
  <c r="Q131" i="5"/>
  <c r="Q108" i="5"/>
  <c r="Q115" i="5"/>
  <c r="Q96" i="5"/>
  <c r="Q100" i="5"/>
  <c r="Q120" i="5"/>
  <c r="Q105" i="5"/>
  <c r="Q126" i="5"/>
  <c r="Q110" i="5"/>
  <c r="Q86" i="5"/>
  <c r="Q90" i="5"/>
  <c r="Q68" i="5"/>
  <c r="Q121" i="5"/>
  <c r="Q84" i="5"/>
  <c r="Q69" i="5"/>
  <c r="Q106" i="5"/>
  <c r="Q116" i="5"/>
  <c r="Q93" i="5"/>
  <c r="Q70" i="5"/>
  <c r="Q95" i="5"/>
  <c r="Q58" i="5"/>
  <c r="Q72" i="5"/>
  <c r="Q77" i="5"/>
  <c r="Q122" i="5"/>
  <c r="Q128" i="5"/>
  <c r="Q83" i="5"/>
  <c r="Q64" i="5"/>
  <c r="Q88" i="5"/>
  <c r="Q97" i="5"/>
  <c r="C44" i="13"/>
  <c r="G22" i="4"/>
  <c r="F24" i="4"/>
  <c r="E12" i="3"/>
  <c r="D12" i="3"/>
  <c r="B12" i="3"/>
  <c r="J43" i="12"/>
  <c r="Z23" i="9"/>
  <c r="Y23" i="9"/>
  <c r="W23" i="9"/>
  <c r="X23" i="9"/>
  <c r="C24" i="3"/>
  <c r="C43" i="13"/>
  <c r="R43" i="16"/>
  <c r="B134" i="3"/>
  <c r="F134" i="3" s="1"/>
  <c r="F126" i="3"/>
  <c r="G126" i="3" s="1"/>
  <c r="B132" i="3"/>
  <c r="F132" i="3" s="1"/>
  <c r="B131" i="3"/>
  <c r="F131" i="3" s="1"/>
  <c r="E29" i="1" s="1"/>
  <c r="B129" i="3"/>
  <c r="F129" i="3" s="1"/>
  <c r="D29" i="1" s="1"/>
  <c r="O101" i="4"/>
  <c r="N101" i="4"/>
  <c r="M10" i="13"/>
  <c r="M28" i="12"/>
  <c r="B43" i="12"/>
  <c r="D14" i="16"/>
  <c r="E29" i="3"/>
  <c r="E30" i="3" s="1"/>
  <c r="E36" i="3"/>
  <c r="E26" i="4"/>
  <c r="E44" i="4" s="1"/>
  <c r="E28" i="4"/>
  <c r="G118" i="3"/>
  <c r="G88" i="3"/>
  <c r="G81" i="3"/>
  <c r="G87" i="3"/>
  <c r="G106" i="3"/>
  <c r="G83" i="3"/>
  <c r="G76" i="3"/>
  <c r="G86" i="3"/>
  <c r="G103" i="3"/>
  <c r="G74" i="3"/>
  <c r="G102" i="3"/>
  <c r="G84" i="3"/>
  <c r="G117" i="3"/>
  <c r="G92" i="3"/>
  <c r="G91" i="3"/>
  <c r="G123" i="3"/>
  <c r="C123" i="3" s="1"/>
  <c r="C124" i="3" s="1"/>
  <c r="C126" i="3" s="1"/>
  <c r="G115" i="3"/>
  <c r="G99" i="3"/>
  <c r="G107" i="3"/>
  <c r="G96" i="3"/>
  <c r="G119" i="3"/>
  <c r="G124" i="3"/>
  <c r="G95" i="3"/>
  <c r="G114" i="3"/>
  <c r="G82" i="3"/>
  <c r="G101" i="3"/>
  <c r="G75" i="3"/>
  <c r="G104" i="3"/>
  <c r="G109" i="3"/>
  <c r="G100" i="3"/>
  <c r="G93" i="3"/>
  <c r="G94" i="3"/>
  <c r="G116" i="3"/>
  <c r="G111" i="3"/>
  <c r="G89" i="3"/>
  <c r="G121" i="3"/>
  <c r="G110" i="3"/>
  <c r="G97" i="3"/>
  <c r="G108" i="3"/>
  <c r="G113" i="3"/>
  <c r="G112" i="3"/>
  <c r="G105" i="3"/>
  <c r="G120" i="3"/>
  <c r="G71" i="3"/>
  <c r="G85" i="3"/>
  <c r="L39" i="16"/>
  <c r="M39" i="16" s="1"/>
  <c r="N39" i="16" s="1"/>
  <c r="O39" i="16" s="1"/>
  <c r="P39" i="16" s="1"/>
  <c r="Q39" i="16" s="1"/>
  <c r="R39" i="16" s="1"/>
  <c r="S39" i="16" s="1"/>
  <c r="J17" i="4"/>
  <c r="H35" i="4"/>
  <c r="B14" i="16"/>
  <c r="E14" i="16" s="1"/>
  <c r="E11" i="16"/>
  <c r="X22" i="9"/>
  <c r="Z22" i="9"/>
  <c r="Y22" i="9"/>
  <c r="W22" i="9"/>
  <c r="F10" i="5"/>
  <c r="E10" i="5"/>
  <c r="D11" i="5"/>
  <c r="C46" i="13"/>
  <c r="O42" i="16"/>
  <c r="I100" i="4"/>
  <c r="I102" i="4" s="1"/>
  <c r="C194" i="8" a="1"/>
  <c r="C194" i="8" s="1"/>
  <c r="E40" i="4"/>
  <c r="F39" i="4"/>
  <c r="D44" i="4"/>
  <c r="D50" i="4" s="1"/>
  <c r="G32" i="4"/>
  <c r="F34" i="4"/>
  <c r="C43" i="12"/>
  <c r="M27" i="12"/>
  <c r="M19" i="13"/>
  <c r="E11" i="3"/>
  <c r="Q43" i="16"/>
  <c r="D47" i="4"/>
  <c r="G73" i="3"/>
  <c r="R42" i="16"/>
  <c r="L100" i="4"/>
  <c r="L102" i="4" s="1"/>
  <c r="C49" i="13"/>
  <c r="M26" i="12"/>
  <c r="K136" i="5"/>
  <c r="O136" i="5" s="1"/>
  <c r="O135" i="5"/>
  <c r="I198" i="8"/>
  <c r="H198" i="8"/>
  <c r="G198" i="8"/>
  <c r="E198" i="8"/>
  <c r="B198" i="8"/>
  <c r="AD198" i="8"/>
  <c r="R198" i="8"/>
  <c r="L198" i="8"/>
  <c r="AC198" i="8"/>
  <c r="AB198" i="8"/>
  <c r="AA198" i="8"/>
  <c r="V198" i="8"/>
  <c r="U198" i="8"/>
  <c r="T198" i="8"/>
  <c r="Q198" i="8"/>
  <c r="P198" i="8"/>
  <c r="N198" i="8"/>
  <c r="M198" i="8"/>
  <c r="K198" i="8"/>
  <c r="J198" i="8"/>
  <c r="F198" i="8"/>
  <c r="S198" i="8"/>
  <c r="D198" i="8"/>
  <c r="F25" i="13"/>
  <c r="G26" i="13" s="1"/>
  <c r="D26" i="15"/>
  <c r="D43" i="12"/>
  <c r="D22" i="15"/>
  <c r="E25" i="13"/>
  <c r="F26" i="13" s="1"/>
  <c r="D45" i="4"/>
  <c r="F25" i="15"/>
  <c r="M44" i="12"/>
  <c r="W9" i="9" l="1"/>
  <c r="D200" i="8"/>
  <c r="I200" i="8"/>
  <c r="J200" i="8"/>
  <c r="L200" i="8"/>
  <c r="M200" i="8"/>
  <c r="N200" i="8"/>
  <c r="Q200" i="8"/>
  <c r="S200" i="8"/>
  <c r="U200" i="8"/>
  <c r="AC200" i="8"/>
  <c r="AD200" i="8"/>
  <c r="G200" i="8"/>
  <c r="H200" i="8"/>
  <c r="K200" i="8"/>
  <c r="F200" i="8"/>
  <c r="P200" i="8"/>
  <c r="W11" i="9"/>
  <c r="X7" i="9"/>
  <c r="R200" i="8"/>
  <c r="T200" i="8"/>
  <c r="V200" i="8"/>
  <c r="AA200" i="8"/>
  <c r="AB200" i="8"/>
  <c r="B200" i="8"/>
  <c r="X6" i="9"/>
  <c r="X10" i="9"/>
  <c r="Q27" i="9"/>
  <c r="Q50" i="4"/>
  <c r="D97" i="4"/>
  <c r="B119" i="7"/>
  <c r="Q48" i="4"/>
  <c r="C119" i="7"/>
  <c r="Q95" i="4"/>
  <c r="Q49" i="4"/>
  <c r="Q34" i="4"/>
  <c r="Q24" i="4"/>
  <c r="Q14" i="4"/>
  <c r="Q111" i="4"/>
  <c r="Q43" i="4"/>
  <c r="D126" i="3"/>
  <c r="D123" i="3"/>
  <c r="D124" i="3" s="1"/>
  <c r="C134" i="3"/>
  <c r="C132" i="3"/>
  <c r="C131" i="3"/>
  <c r="C129" i="3"/>
  <c r="G24" i="4"/>
  <c r="H22" i="4"/>
  <c r="E49" i="15"/>
  <c r="G49" i="15" s="1"/>
  <c r="E48" i="15"/>
  <c r="G48" i="15" s="1"/>
  <c r="E47" i="15"/>
  <c r="G47" i="15" s="1"/>
  <c r="E46" i="15"/>
  <c r="G46" i="15" s="1"/>
  <c r="H13" i="5"/>
  <c r="G13" i="5"/>
  <c r="U11" i="9"/>
  <c r="T11" i="9"/>
  <c r="F11" i="5"/>
  <c r="E11" i="5"/>
  <c r="F9" i="5"/>
  <c r="E9" i="5"/>
  <c r="U6" i="9"/>
  <c r="T6" i="9"/>
  <c r="E45" i="15"/>
  <c r="G45" i="15" s="1"/>
  <c r="E44" i="15"/>
  <c r="G44" i="15" s="1"/>
  <c r="E43" i="15"/>
  <c r="G43" i="15" s="1"/>
  <c r="E42" i="15"/>
  <c r="G42" i="15" s="1"/>
  <c r="K112" i="4"/>
  <c r="W26" i="9"/>
  <c r="X26" i="9"/>
  <c r="M112" i="4"/>
  <c r="Q46" i="4"/>
  <c r="M43" i="12"/>
  <c r="D112" i="4"/>
  <c r="L71" i="4"/>
  <c r="K94" i="4"/>
  <c r="E24" i="3"/>
  <c r="Y26" i="9"/>
  <c r="Z26" i="9" s="1"/>
  <c r="O100" i="4"/>
  <c r="D102" i="4"/>
  <c r="N100" i="4"/>
  <c r="E171" i="3"/>
  <c r="K19" i="4"/>
  <c r="I63" i="4"/>
  <c r="H69" i="4"/>
  <c r="I53" i="4"/>
  <c r="H61" i="4"/>
  <c r="J25" i="4"/>
  <c r="E29" i="15"/>
  <c r="G29" i="15" s="1"/>
  <c r="E28" i="15"/>
  <c r="G28" i="15" s="1"/>
  <c r="E26" i="15"/>
  <c r="G26" i="15" s="1"/>
  <c r="E27" i="15"/>
  <c r="G27" i="15" s="1"/>
  <c r="N135" i="5"/>
  <c r="P134" i="5"/>
  <c r="Q134" i="5"/>
  <c r="Q45" i="4"/>
  <c r="I35" i="4"/>
  <c r="P133" i="5"/>
  <c r="Q133" i="5"/>
  <c r="G10" i="5"/>
  <c r="H10" i="5"/>
  <c r="E22" i="15"/>
  <c r="G22" i="15" s="1"/>
  <c r="E25" i="15"/>
  <c r="G25" i="15" s="1"/>
  <c r="E24" i="15"/>
  <c r="G24" i="15" s="1"/>
  <c r="E23" i="15"/>
  <c r="G23" i="15" s="1"/>
  <c r="F112" i="4"/>
  <c r="E15" i="15"/>
  <c r="G15" i="15" s="1"/>
  <c r="E14" i="15"/>
  <c r="G14" i="15" s="1"/>
  <c r="E17" i="15"/>
  <c r="G17" i="15" s="1"/>
  <c r="E16" i="15"/>
  <c r="G16" i="15" s="1"/>
  <c r="F30" i="4"/>
  <c r="G29" i="4"/>
  <c r="Q47" i="4"/>
  <c r="E47" i="4"/>
  <c r="F47" i="4" s="1"/>
  <c r="G47" i="4" s="1"/>
  <c r="H47" i="4" s="1"/>
  <c r="I47" i="4" s="1"/>
  <c r="J47" i="4" s="1"/>
  <c r="K47" i="4" s="1"/>
  <c r="L47" i="4" s="1"/>
  <c r="M47" i="4" s="1"/>
  <c r="K17" i="4"/>
  <c r="AA181" i="8"/>
  <c r="V181" i="8"/>
  <c r="U181" i="8"/>
  <c r="S181" i="8"/>
  <c r="F181" i="8"/>
  <c r="AD181" i="8"/>
  <c r="H181" i="8"/>
  <c r="G181" i="8"/>
  <c r="D181" i="8"/>
  <c r="B181" i="8"/>
  <c r="T181" i="8"/>
  <c r="R181" i="8"/>
  <c r="Q181" i="8"/>
  <c r="P181" i="8"/>
  <c r="N181" i="8"/>
  <c r="K181" i="8"/>
  <c r="I181" i="8"/>
  <c r="AC181" i="8"/>
  <c r="AB181" i="8"/>
  <c r="M181" i="8"/>
  <c r="L181" i="8"/>
  <c r="E181" i="8"/>
  <c r="J181" i="8"/>
  <c r="E41" i="15"/>
  <c r="G41" i="15" s="1"/>
  <c r="E40" i="15"/>
  <c r="G40" i="15" s="1"/>
  <c r="E39" i="15"/>
  <c r="G39" i="15" s="1"/>
  <c r="E38" i="15"/>
  <c r="G38" i="15" s="1"/>
  <c r="B106" i="7"/>
  <c r="C106" i="7"/>
  <c r="F106" i="7" s="1"/>
  <c r="E46" i="4"/>
  <c r="E37" i="15"/>
  <c r="G37" i="15" s="1"/>
  <c r="E36" i="15"/>
  <c r="G36" i="15" s="1"/>
  <c r="E35" i="15"/>
  <c r="G35" i="15" s="1"/>
  <c r="E34" i="15"/>
  <c r="G34" i="15" s="1"/>
  <c r="F177" i="3"/>
  <c r="G14" i="3"/>
  <c r="F82" i="7"/>
  <c r="E82" i="7"/>
  <c r="D24" i="3"/>
  <c r="J112" i="4"/>
  <c r="AC186" i="8"/>
  <c r="AB186" i="8"/>
  <c r="AA186" i="8"/>
  <c r="U186" i="8"/>
  <c r="L186" i="8"/>
  <c r="H186" i="8"/>
  <c r="V186" i="8"/>
  <c r="S186" i="8"/>
  <c r="R186" i="8"/>
  <c r="Q186" i="8"/>
  <c r="P186" i="8"/>
  <c r="K186" i="8"/>
  <c r="J186" i="8"/>
  <c r="G186" i="8"/>
  <c r="F186" i="8"/>
  <c r="E186" i="8"/>
  <c r="AD186" i="8"/>
  <c r="T186" i="8"/>
  <c r="N186" i="8"/>
  <c r="M186" i="8"/>
  <c r="I186" i="8"/>
  <c r="D186" i="8"/>
  <c r="B186" i="8"/>
  <c r="G112" i="4"/>
  <c r="F83" i="7"/>
  <c r="E83" i="7"/>
  <c r="E10" i="4"/>
  <c r="D171" i="3"/>
  <c r="W5" i="9"/>
  <c r="E21" i="15"/>
  <c r="G21" i="15" s="1"/>
  <c r="E19" i="15"/>
  <c r="G19" i="15" s="1"/>
  <c r="E20" i="15"/>
  <c r="G20" i="15" s="1"/>
  <c r="E18" i="15"/>
  <c r="G18" i="15" s="1"/>
  <c r="D127" i="7"/>
  <c r="F84" i="7"/>
  <c r="E84" i="7"/>
  <c r="B127" i="7"/>
  <c r="E12" i="15"/>
  <c r="G12" i="15" s="1"/>
  <c r="E10" i="15"/>
  <c r="E13" i="15"/>
  <c r="G13" i="15" s="1"/>
  <c r="E11" i="15"/>
  <c r="G11" i="15" s="1"/>
  <c r="M40" i="7"/>
  <c r="F51" i="15"/>
  <c r="C26" i="13"/>
  <c r="L25" i="13"/>
  <c r="Y16" i="9"/>
  <c r="Q182" i="8"/>
  <c r="P182" i="8"/>
  <c r="N182" i="8"/>
  <c r="L182" i="8"/>
  <c r="AC182" i="8"/>
  <c r="T182" i="8"/>
  <c r="I182" i="8"/>
  <c r="H182" i="8"/>
  <c r="F182" i="8"/>
  <c r="D182" i="8"/>
  <c r="B182" i="8"/>
  <c r="AD182" i="8"/>
  <c r="AB182" i="8"/>
  <c r="AA182" i="8"/>
  <c r="V182" i="8"/>
  <c r="U182" i="8"/>
  <c r="M182" i="8"/>
  <c r="J182" i="8"/>
  <c r="S182" i="8"/>
  <c r="R182" i="8"/>
  <c r="K182" i="8"/>
  <c r="G182" i="8"/>
  <c r="E182" i="8"/>
  <c r="E112" i="4"/>
  <c r="L112" i="4"/>
  <c r="I112" i="4"/>
  <c r="G14" i="4"/>
  <c r="G42" i="4"/>
  <c r="H12" i="4"/>
  <c r="E33" i="15"/>
  <c r="G33" i="15" s="1"/>
  <c r="E32" i="15"/>
  <c r="G32" i="15" s="1"/>
  <c r="E31" i="15"/>
  <c r="G31" i="15" s="1"/>
  <c r="E30" i="15"/>
  <c r="G30" i="15" s="1"/>
  <c r="F36" i="4"/>
  <c r="E65" i="3"/>
  <c r="H32" i="4"/>
  <c r="G34" i="4"/>
  <c r="G36" i="4" s="1"/>
  <c r="G16" i="4"/>
  <c r="H15" i="4"/>
  <c r="Q44" i="4"/>
  <c r="F18" i="4"/>
  <c r="F43" i="4"/>
  <c r="F20" i="4"/>
  <c r="F46" i="4" s="1"/>
  <c r="T10" i="9"/>
  <c r="U10" i="9"/>
  <c r="F16" i="4"/>
  <c r="I27" i="4"/>
  <c r="C187" i="8" a="1"/>
  <c r="C187" i="8" s="1"/>
  <c r="U5" i="9"/>
  <c r="T5" i="9"/>
  <c r="S16" i="9"/>
  <c r="S27" i="9" s="1"/>
  <c r="G39" i="4"/>
  <c r="F40" i="4"/>
  <c r="F12" i="3"/>
  <c r="B175" i="3"/>
  <c r="C12" i="3"/>
  <c r="B17" i="3"/>
  <c r="B179" i="3"/>
  <c r="D179" i="3"/>
  <c r="D175" i="3"/>
  <c r="D17" i="3"/>
  <c r="D31" i="3" s="1"/>
  <c r="V27" i="9"/>
  <c r="U14" i="9"/>
  <c r="T14" i="9"/>
  <c r="X14" i="9"/>
  <c r="W14" i="9"/>
  <c r="J194" i="8"/>
  <c r="I194" i="8"/>
  <c r="H194" i="8"/>
  <c r="F194" i="8"/>
  <c r="S194" i="8"/>
  <c r="M194" i="8"/>
  <c r="AC194" i="8"/>
  <c r="AB194" i="8"/>
  <c r="V194" i="8"/>
  <c r="U194" i="8"/>
  <c r="T194" i="8"/>
  <c r="R194" i="8"/>
  <c r="Q194" i="8"/>
  <c r="P194" i="8"/>
  <c r="N194" i="8"/>
  <c r="K194" i="8"/>
  <c r="G194" i="8"/>
  <c r="D194" i="8"/>
  <c r="B194" i="8"/>
  <c r="L194" i="8"/>
  <c r="E194" i="8"/>
  <c r="AA194" i="8"/>
  <c r="E175" i="3"/>
  <c r="U13" i="9"/>
  <c r="T13" i="9"/>
  <c r="X13" i="9"/>
  <c r="W13" i="9"/>
  <c r="F26" i="4"/>
  <c r="F28" i="4"/>
  <c r="G37" i="4"/>
  <c r="F38" i="4"/>
  <c r="E13" i="3"/>
  <c r="D176" i="3"/>
  <c r="U9" i="9"/>
  <c r="T9" i="9"/>
  <c r="H112" i="4"/>
  <c r="U7" i="9"/>
  <c r="T7" i="9"/>
  <c r="X16" i="9" l="1"/>
  <c r="W16" i="9"/>
  <c r="P135" i="5"/>
  <c r="F5" i="5"/>
  <c r="N136" i="5"/>
  <c r="Q135" i="5"/>
  <c r="F10" i="4"/>
  <c r="L17" i="4"/>
  <c r="D129" i="3"/>
  <c r="D132" i="3"/>
  <c r="D134" i="3"/>
  <c r="D131" i="3"/>
  <c r="E176" i="3"/>
  <c r="E17" i="3"/>
  <c r="H37" i="4"/>
  <c r="G38" i="4"/>
  <c r="N47" i="4"/>
  <c r="K25" i="4"/>
  <c r="O47" i="4"/>
  <c r="P47" i="4" s="1"/>
  <c r="I15" i="4"/>
  <c r="G30" i="4"/>
  <c r="H29" i="4"/>
  <c r="J53" i="4"/>
  <c r="I61" i="4"/>
  <c r="H34" i="4"/>
  <c r="H36" i="4" s="1"/>
  <c r="I32" i="4"/>
  <c r="I69" i="4"/>
  <c r="J63" i="4"/>
  <c r="X27" i="9"/>
  <c r="W27" i="9"/>
  <c r="E71" i="3"/>
  <c r="E73" i="3"/>
  <c r="E69" i="3"/>
  <c r="E76" i="3" s="1"/>
  <c r="D33" i="3"/>
  <c r="D34" i="3"/>
  <c r="E66" i="3"/>
  <c r="E67" i="3" s="1"/>
  <c r="L19" i="4"/>
  <c r="E179" i="3"/>
  <c r="N34" i="4"/>
  <c r="G9" i="5"/>
  <c r="H9" i="5"/>
  <c r="Q102" i="4"/>
  <c r="O102" i="4"/>
  <c r="N102" i="4"/>
  <c r="D121" i="4"/>
  <c r="Q121" i="4" s="1"/>
  <c r="H11" i="5"/>
  <c r="G11" i="5"/>
  <c r="C175" i="3"/>
  <c r="C179" i="3"/>
  <c r="C17" i="3"/>
  <c r="D172" i="3"/>
  <c r="B32" i="14"/>
  <c r="F28" i="14"/>
  <c r="E28" i="14"/>
  <c r="I31" i="14"/>
  <c r="D28" i="14"/>
  <c r="F31" i="14"/>
  <c r="E31" i="14"/>
  <c r="I27" i="14"/>
  <c r="I34" i="14"/>
  <c r="D31" i="14"/>
  <c r="H27" i="14"/>
  <c r="H34" i="14"/>
  <c r="C31" i="14"/>
  <c r="G27" i="14"/>
  <c r="G34" i="14"/>
  <c r="B31" i="14"/>
  <c r="F27" i="14"/>
  <c r="E34" i="14"/>
  <c r="I30" i="14"/>
  <c r="D27" i="14"/>
  <c r="C34" i="14"/>
  <c r="G30" i="14"/>
  <c r="B27" i="14"/>
  <c r="B34" i="14"/>
  <c r="F30" i="14"/>
  <c r="E30" i="14"/>
  <c r="I33" i="14"/>
  <c r="D30" i="14"/>
  <c r="F33" i="14"/>
  <c r="E33" i="14"/>
  <c r="I29" i="14"/>
  <c r="D33" i="14"/>
  <c r="H29" i="14"/>
  <c r="C33" i="14"/>
  <c r="G29" i="14"/>
  <c r="B33" i="14"/>
  <c r="F29" i="14"/>
  <c r="E29" i="14"/>
  <c r="H32" i="14"/>
  <c r="C29" i="14"/>
  <c r="G32" i="14"/>
  <c r="B29" i="14"/>
  <c r="E32" i="14"/>
  <c r="I28" i="14"/>
  <c r="D32" i="14"/>
  <c r="H28" i="14"/>
  <c r="C32" i="14"/>
  <c r="G28" i="14"/>
  <c r="D29" i="14"/>
  <c r="C28" i="14"/>
  <c r="B28" i="14"/>
  <c r="E27" i="14"/>
  <c r="C27" i="14"/>
  <c r="F34" i="14"/>
  <c r="D34" i="14"/>
  <c r="H33" i="14"/>
  <c r="G33" i="14"/>
  <c r="I32" i="14"/>
  <c r="F32" i="14"/>
  <c r="H31" i="14"/>
  <c r="G31" i="14"/>
  <c r="H30" i="14"/>
  <c r="C30" i="14"/>
  <c r="B30" i="14"/>
  <c r="C121" i="7"/>
  <c r="D120" i="4"/>
  <c r="Q120" i="4" s="1"/>
  <c r="Q97" i="4"/>
  <c r="B121" i="7"/>
  <c r="D104" i="4"/>
  <c r="D122" i="4"/>
  <c r="Q122" i="4" s="1"/>
  <c r="D98" i="4"/>
  <c r="B23" i="1"/>
  <c r="D124" i="4"/>
  <c r="Q124" i="4" s="1"/>
  <c r="D123" i="4"/>
  <c r="Q123" i="4" s="1"/>
  <c r="F175" i="3"/>
  <c r="D9" i="6"/>
  <c r="D11" i="6" s="1"/>
  <c r="G12" i="3"/>
  <c r="F179" i="3"/>
  <c r="H42" i="4"/>
  <c r="I12" i="4"/>
  <c r="H14" i="4"/>
  <c r="E50" i="4"/>
  <c r="B31" i="3"/>
  <c r="F17" i="3"/>
  <c r="B172" i="3"/>
  <c r="F172" i="3" s="1"/>
  <c r="B25" i="3"/>
  <c r="F25" i="3" s="1"/>
  <c r="G40" i="4"/>
  <c r="H39" i="4"/>
  <c r="G43" i="4"/>
  <c r="G20" i="4"/>
  <c r="G46" i="4" s="1"/>
  <c r="G18" i="4"/>
  <c r="D25" i="3"/>
  <c r="M71" i="4"/>
  <c r="M94" i="4" s="1"/>
  <c r="L94" i="4"/>
  <c r="T16" i="9"/>
  <c r="V31" i="9"/>
  <c r="Y27" i="9"/>
  <c r="Z27" i="9" s="1"/>
  <c r="Z16" i="9"/>
  <c r="D38" i="13"/>
  <c r="J35" i="4"/>
  <c r="Q112" i="4"/>
  <c r="S187" i="8"/>
  <c r="R187" i="8"/>
  <c r="Q187" i="8"/>
  <c r="N187" i="8"/>
  <c r="F187" i="8"/>
  <c r="V187" i="8"/>
  <c r="AC187" i="8"/>
  <c r="AB187" i="8"/>
  <c r="AA187" i="8"/>
  <c r="P187" i="8"/>
  <c r="M187" i="8"/>
  <c r="K187" i="8"/>
  <c r="J187" i="8"/>
  <c r="I187" i="8"/>
  <c r="G187" i="8"/>
  <c r="E187" i="8"/>
  <c r="B187" i="8"/>
  <c r="U187" i="8"/>
  <c r="T187" i="8"/>
  <c r="L187" i="8"/>
  <c r="H187" i="8"/>
  <c r="D187" i="8"/>
  <c r="H24" i="4"/>
  <c r="N24" i="4" s="1"/>
  <c r="I22" i="4"/>
  <c r="C188" i="8" a="1"/>
  <c r="C188" i="8" s="1"/>
  <c r="C104" i="7"/>
  <c r="B104" i="7"/>
  <c r="M67" i="7"/>
  <c r="G26" i="4"/>
  <c r="G44" i="4" s="1"/>
  <c r="G28" i="4"/>
  <c r="F44" i="4"/>
  <c r="F50" i="4" s="1"/>
  <c r="F45" i="4"/>
  <c r="J27" i="4"/>
  <c r="E51" i="15"/>
  <c r="G10" i="15"/>
  <c r="E123" i="3" l="1"/>
  <c r="E124" i="3" s="1"/>
  <c r="E126" i="3" s="1"/>
  <c r="F95" i="4"/>
  <c r="F96" i="4" s="1"/>
  <c r="F121" i="4" s="1"/>
  <c r="F97" i="4"/>
  <c r="B17" i="1"/>
  <c r="C29" i="1"/>
  <c r="G17" i="3"/>
  <c r="B20" i="1"/>
  <c r="C30" i="1"/>
  <c r="C28" i="1"/>
  <c r="L25" i="4"/>
  <c r="H43" i="4"/>
  <c r="H18" i="4"/>
  <c r="H20" i="4"/>
  <c r="H46" i="4" s="1"/>
  <c r="N14" i="4"/>
  <c r="I42" i="4"/>
  <c r="J12" i="4"/>
  <c r="I14" i="4"/>
  <c r="I37" i="4"/>
  <c r="H38" i="4"/>
  <c r="E31" i="3"/>
  <c r="E25" i="3"/>
  <c r="E172" i="3"/>
  <c r="M19" i="4"/>
  <c r="D129" i="7"/>
  <c r="F104" i="7"/>
  <c r="B129" i="7"/>
  <c r="K35" i="4"/>
  <c r="M17" i="4"/>
  <c r="B34" i="3"/>
  <c r="F34" i="3" s="1"/>
  <c r="B33" i="3"/>
  <c r="F33" i="3" s="1"/>
  <c r="F31" i="3"/>
  <c r="E95" i="4"/>
  <c r="Q136" i="5"/>
  <c r="P136" i="5"/>
  <c r="V33" i="9"/>
  <c r="V32" i="9"/>
  <c r="AC188" i="8"/>
  <c r="AC201" i="8" s="1"/>
  <c r="AA188" i="8"/>
  <c r="N188" i="8"/>
  <c r="J188" i="8"/>
  <c r="J201" i="8" s="1"/>
  <c r="G188" i="8"/>
  <c r="G201" i="8" s="1"/>
  <c r="F188" i="8"/>
  <c r="F201" i="8" s="1"/>
  <c r="D188" i="8"/>
  <c r="D201" i="8" s="1"/>
  <c r="B188" i="8"/>
  <c r="AB188" i="8"/>
  <c r="AB201" i="8" s="1"/>
  <c r="U188" i="8"/>
  <c r="T188" i="8"/>
  <c r="S188" i="8"/>
  <c r="R188" i="8"/>
  <c r="Q188" i="8"/>
  <c r="P188" i="8"/>
  <c r="P201" i="8" s="1"/>
  <c r="K188" i="8"/>
  <c r="I188" i="8"/>
  <c r="H188" i="8"/>
  <c r="H201" i="8" s="1"/>
  <c r="I201" i="8" s="1"/>
  <c r="V188" i="8"/>
  <c r="V201" i="8" s="1"/>
  <c r="M188" i="8"/>
  <c r="L188" i="8"/>
  <c r="E188" i="8"/>
  <c r="J32" i="4"/>
  <c r="I34" i="4"/>
  <c r="S31" i="9"/>
  <c r="V34" i="9" s="1"/>
  <c r="T27" i="9"/>
  <c r="U16" i="9"/>
  <c r="C31" i="3"/>
  <c r="C25" i="3"/>
  <c r="C172" i="3"/>
  <c r="J61" i="4"/>
  <c r="K53" i="4"/>
  <c r="I24" i="4"/>
  <c r="J22" i="4"/>
  <c r="H26" i="4"/>
  <c r="H28" i="4"/>
  <c r="G45" i="4"/>
  <c r="G50" i="4" s="1"/>
  <c r="C91" i="7"/>
  <c r="C108" i="7"/>
  <c r="B108" i="7"/>
  <c r="C122" i="7"/>
  <c r="E122" i="7" s="1"/>
  <c r="C89" i="7"/>
  <c r="B85" i="7"/>
  <c r="D131" i="7"/>
  <c r="B115" i="7"/>
  <c r="B131" i="7"/>
  <c r="N45" i="7"/>
  <c r="B122" i="7"/>
  <c r="N64" i="7"/>
  <c r="N61" i="7"/>
  <c r="N58" i="7"/>
  <c r="N32" i="7"/>
  <c r="N52" i="7"/>
  <c r="N63" i="7"/>
  <c r="N33" i="7"/>
  <c r="N59" i="7"/>
  <c r="N51" i="7"/>
  <c r="N60" i="7"/>
  <c r="N46" i="7"/>
  <c r="N44" i="7"/>
  <c r="N43" i="7"/>
  <c r="N56" i="7"/>
  <c r="N57" i="7"/>
  <c r="N62" i="7"/>
  <c r="N34" i="7"/>
  <c r="N31" i="7"/>
  <c r="N36" i="7"/>
  <c r="N39" i="7"/>
  <c r="N50" i="7"/>
  <c r="N38" i="7"/>
  <c r="N37" i="7"/>
  <c r="N35" i="7"/>
  <c r="Q104" i="4"/>
  <c r="D107" i="4"/>
  <c r="D108" i="4" s="1"/>
  <c r="E106" i="4" s="1"/>
  <c r="G10" i="4"/>
  <c r="H30" i="4"/>
  <c r="I29" i="4"/>
  <c r="H40" i="4"/>
  <c r="I39" i="4"/>
  <c r="J15" i="4"/>
  <c r="K63" i="4"/>
  <c r="J69" i="4"/>
  <c r="K27" i="4"/>
  <c r="H16" i="4"/>
  <c r="T201" i="8" l="1"/>
  <c r="U201" i="8" s="1"/>
  <c r="G95" i="4"/>
  <c r="G96" i="4" s="1"/>
  <c r="G121" i="4" s="1"/>
  <c r="G97" i="4"/>
  <c r="E131" i="3"/>
  <c r="E134" i="3"/>
  <c r="E132" i="3"/>
  <c r="E129" i="3"/>
  <c r="E33" i="3"/>
  <c r="E34" i="3"/>
  <c r="I38" i="4"/>
  <c r="J37" i="4"/>
  <c r="I43" i="4"/>
  <c r="I18" i="4"/>
  <c r="I45" i="4" s="1"/>
  <c r="I20" i="4"/>
  <c r="J202" i="8"/>
  <c r="J14" i="4"/>
  <c r="K12" i="4"/>
  <c r="J42" i="4"/>
  <c r="N46" i="4"/>
  <c r="H45" i="4"/>
  <c r="N45" i="4" s="1"/>
  <c r="H10" i="4"/>
  <c r="H50" i="4"/>
  <c r="N43" i="4"/>
  <c r="M25" i="4"/>
  <c r="C33" i="3"/>
  <c r="C34" i="3"/>
  <c r="S32" i="9"/>
  <c r="S33" i="9"/>
  <c r="AB34" i="9"/>
  <c r="H44" i="4"/>
  <c r="L27" i="4"/>
  <c r="E96" i="4"/>
  <c r="K15" i="4"/>
  <c r="C17" i="11"/>
  <c r="G13" i="11"/>
  <c r="B2" i="13"/>
  <c r="B9" i="12"/>
  <c r="B32" i="1"/>
  <c r="AD201" i="8"/>
  <c r="L53" i="4"/>
  <c r="K61" i="4"/>
  <c r="I36" i="4"/>
  <c r="B34" i="1"/>
  <c r="B21" i="1"/>
  <c r="C34" i="1"/>
  <c r="K201" i="8"/>
  <c r="I40" i="4"/>
  <c r="J39" i="4"/>
  <c r="I26" i="4"/>
  <c r="I28" i="4"/>
  <c r="I30" i="4"/>
  <c r="J29" i="4"/>
  <c r="E201" i="8"/>
  <c r="M201" i="8" s="1"/>
  <c r="J34" i="4"/>
  <c r="J36" i="4" s="1"/>
  <c r="K32" i="4"/>
  <c r="B14" i="12"/>
  <c r="B10" i="12"/>
  <c r="B33" i="1"/>
  <c r="L35" i="4"/>
  <c r="K22" i="4"/>
  <c r="J24" i="4"/>
  <c r="Y31" i="9"/>
  <c r="U27" i="9"/>
  <c r="I16" i="4"/>
  <c r="B130" i="7"/>
  <c r="E115" i="7"/>
  <c r="D130" i="7"/>
  <c r="F85" i="7"/>
  <c r="E85" i="7"/>
  <c r="L63" i="4"/>
  <c r="K69" i="4"/>
  <c r="F104" i="4"/>
  <c r="F107" i="4" s="1"/>
  <c r="F98" i="4"/>
  <c r="F122" i="4"/>
  <c r="F124" i="4"/>
  <c r="F120" i="4"/>
  <c r="F123" i="4"/>
  <c r="D128" i="7"/>
  <c r="B128" i="7"/>
  <c r="F108" i="7"/>
  <c r="K202" i="8" l="1"/>
  <c r="L201" i="8"/>
  <c r="N201" i="8"/>
  <c r="L61" i="4"/>
  <c r="M53" i="4"/>
  <c r="M61" i="4" s="1"/>
  <c r="B22" i="14"/>
  <c r="B18" i="14"/>
  <c r="F21" i="14"/>
  <c r="H23" i="14"/>
  <c r="C23" i="14"/>
  <c r="E21" i="14"/>
  <c r="H95" i="4"/>
  <c r="H20" i="14" s="1"/>
  <c r="K42" i="4"/>
  <c r="L12" i="4"/>
  <c r="K14" i="4"/>
  <c r="I50" i="4"/>
  <c r="I10" i="4"/>
  <c r="C19" i="11"/>
  <c r="C20" i="11"/>
  <c r="J38" i="4"/>
  <c r="K37" i="4"/>
  <c r="G9" i="15"/>
  <c r="D50" i="13"/>
  <c r="E50" i="13" s="1"/>
  <c r="B5" i="15"/>
  <c r="D49" i="13"/>
  <c r="E49" i="13" s="1"/>
  <c r="D44" i="13"/>
  <c r="E44" i="13" s="1"/>
  <c r="D48" i="13"/>
  <c r="E48" i="13" s="1"/>
  <c r="D47" i="13"/>
  <c r="E47" i="13" s="1"/>
  <c r="D35" i="13"/>
  <c r="E35" i="13" s="1"/>
  <c r="D46" i="13"/>
  <c r="E46" i="13" s="1"/>
  <c r="B30" i="13"/>
  <c r="G27" i="11" s="1"/>
  <c r="F3" i="13"/>
  <c r="D45" i="13"/>
  <c r="E45" i="13" s="1"/>
  <c r="D43" i="13"/>
  <c r="E43" i="13" s="1"/>
  <c r="B26" i="13"/>
  <c r="B28" i="13" s="1"/>
  <c r="H55" i="15" s="1"/>
  <c r="C38" i="13"/>
  <c r="B31" i="13"/>
  <c r="E38" i="13"/>
  <c r="B27" i="13"/>
  <c r="M25" i="13"/>
  <c r="E36" i="13"/>
  <c r="J43" i="4"/>
  <c r="J20" i="4"/>
  <c r="J18" i="4"/>
  <c r="I44" i="4"/>
  <c r="I46" i="4"/>
  <c r="E121" i="4"/>
  <c r="E97" i="4"/>
  <c r="Y32" i="9"/>
  <c r="Y34" i="9"/>
  <c r="Y33" i="9"/>
  <c r="C18" i="11"/>
  <c r="J16" i="4"/>
  <c r="N50" i="4"/>
  <c r="B65" i="12"/>
  <c r="B62" i="12"/>
  <c r="B79" i="12"/>
  <c r="B107" i="12"/>
  <c r="B75" i="12"/>
  <c r="B108" i="12"/>
  <c r="D65" i="12"/>
  <c r="D38" i="1"/>
  <c r="B38" i="1"/>
  <c r="E24" i="1"/>
  <c r="J26" i="4"/>
  <c r="J28" i="4"/>
  <c r="M35" i="4"/>
  <c r="J30" i="4"/>
  <c r="K29" i="4"/>
  <c r="G122" i="4"/>
  <c r="G120" i="4"/>
  <c r="G98" i="4"/>
  <c r="G104" i="4"/>
  <c r="G107" i="4" s="1"/>
  <c r="G124" i="4"/>
  <c r="G123" i="4"/>
  <c r="G5" i="11"/>
  <c r="L15" i="4"/>
  <c r="K45" i="12"/>
  <c r="J45" i="12"/>
  <c r="I45" i="12"/>
  <c r="H45" i="12"/>
  <c r="F45" i="12"/>
  <c r="E45" i="12"/>
  <c r="C45" i="12"/>
  <c r="B45" i="12"/>
  <c r="G45" i="12"/>
  <c r="D45" i="12"/>
  <c r="L37" i="12"/>
  <c r="K39" i="4"/>
  <c r="J40" i="4"/>
  <c r="L69" i="4"/>
  <c r="M63" i="4"/>
  <c r="M69" i="4" s="1"/>
  <c r="L22" i="4"/>
  <c r="K24" i="4"/>
  <c r="B63" i="12"/>
  <c r="C69" i="12" s="1"/>
  <c r="C42" i="1" s="1"/>
  <c r="C65" i="12"/>
  <c r="C38" i="1"/>
  <c r="C44" i="1"/>
  <c r="M27" i="4"/>
  <c r="L32" i="4"/>
  <c r="K34" i="4"/>
  <c r="N44" i="4"/>
  <c r="H19" i="14" l="1"/>
  <c r="B20" i="14"/>
  <c r="B31" i="12"/>
  <c r="G9" i="11"/>
  <c r="E123" i="4"/>
  <c r="E120" i="4"/>
  <c r="E98" i="4"/>
  <c r="E122" i="4"/>
  <c r="E124" i="4"/>
  <c r="E104" i="4"/>
  <c r="I95" i="4"/>
  <c r="I96" i="4" s="1"/>
  <c r="I121" i="4" s="1"/>
  <c r="K36" i="4"/>
  <c r="K43" i="4"/>
  <c r="K18" i="4"/>
  <c r="K20" i="4"/>
  <c r="K46" i="4" s="1"/>
  <c r="C20" i="14"/>
  <c r="M32" i="4"/>
  <c r="M34" i="4" s="1"/>
  <c r="M36" i="4" s="1"/>
  <c r="L34" i="4"/>
  <c r="L36" i="4" s="1"/>
  <c r="D20" i="14"/>
  <c r="G20" i="14"/>
  <c r="G23" i="14"/>
  <c r="J45" i="4"/>
  <c r="L14" i="4"/>
  <c r="M12" i="4"/>
  <c r="L42" i="4"/>
  <c r="J46" i="4"/>
  <c r="K30" i="4"/>
  <c r="L29" i="4"/>
  <c r="J10" i="4"/>
  <c r="H96" i="4"/>
  <c r="N95" i="4"/>
  <c r="B17" i="14"/>
  <c r="D18" i="14"/>
  <c r="B21" i="14"/>
  <c r="C19" i="14"/>
  <c r="D17" i="14"/>
  <c r="F19" i="14"/>
  <c r="D21" i="14"/>
  <c r="E20" i="14"/>
  <c r="F17" i="14"/>
  <c r="C21" i="14"/>
  <c r="G17" i="14"/>
  <c r="G21" i="14"/>
  <c r="G45" i="13"/>
  <c r="H45" i="13" s="1"/>
  <c r="F45" i="13"/>
  <c r="C22" i="14"/>
  <c r="H17" i="14"/>
  <c r="D22" i="14"/>
  <c r="H21" i="14"/>
  <c r="C17" i="14"/>
  <c r="E18" i="14"/>
  <c r="E22" i="14"/>
  <c r="L39" i="4"/>
  <c r="K40" i="4"/>
  <c r="F48" i="13"/>
  <c r="G48" i="13"/>
  <c r="H48" i="13" s="1"/>
  <c r="C18" i="14"/>
  <c r="F18" i="14"/>
  <c r="G43" i="13"/>
  <c r="H43" i="13" s="1"/>
  <c r="F43" i="13"/>
  <c r="G44" i="13"/>
  <c r="H44" i="13" s="1"/>
  <c r="F44" i="13"/>
  <c r="H18" i="14"/>
  <c r="F22" i="14"/>
  <c r="L56" i="12"/>
  <c r="M37" i="12"/>
  <c r="M79" i="12"/>
  <c r="M81" i="12" s="1"/>
  <c r="B81" i="12"/>
  <c r="G18" i="14"/>
  <c r="G46" i="13"/>
  <c r="H46" i="13" s="1"/>
  <c r="F46" i="13"/>
  <c r="M45" i="12"/>
  <c r="B56" i="12"/>
  <c r="B105" i="12"/>
  <c r="B46" i="12"/>
  <c r="B19" i="14"/>
  <c r="G22" i="14"/>
  <c r="F23" i="14"/>
  <c r="G56" i="12"/>
  <c r="G46" i="12"/>
  <c r="G106" i="12" s="1"/>
  <c r="G105" i="12"/>
  <c r="E56" i="12"/>
  <c r="E46" i="12"/>
  <c r="E106" i="12" s="1"/>
  <c r="E105" i="12"/>
  <c r="I56" i="12"/>
  <c r="I46" i="12"/>
  <c r="I106" i="12" s="1"/>
  <c r="I105" i="12"/>
  <c r="D19" i="14"/>
  <c r="G47" i="13"/>
  <c r="H47" i="13" s="1"/>
  <c r="F47" i="13"/>
  <c r="B77" i="12"/>
  <c r="M75" i="12"/>
  <c r="M77" i="12" s="1"/>
  <c r="J44" i="4"/>
  <c r="D23" i="14"/>
  <c r="D56" i="12"/>
  <c r="D105" i="12"/>
  <c r="D46" i="12"/>
  <c r="D106" i="12" s="1"/>
  <c r="G49" i="13"/>
  <c r="H49" i="13" s="1"/>
  <c r="F49" i="13"/>
  <c r="F56" i="12"/>
  <c r="F46" i="12"/>
  <c r="F106" i="12" s="1"/>
  <c r="F105" i="12"/>
  <c r="B23" i="14"/>
  <c r="E19" i="14"/>
  <c r="C56" i="12"/>
  <c r="C46" i="12"/>
  <c r="C106" i="12" s="1"/>
  <c r="C105" i="12"/>
  <c r="H56" i="12"/>
  <c r="H46" i="12"/>
  <c r="H106" i="12" s="1"/>
  <c r="H105" i="12"/>
  <c r="J56" i="12"/>
  <c r="J46" i="12"/>
  <c r="J106" i="12" s="1"/>
  <c r="J105" i="12"/>
  <c r="K16" i="4"/>
  <c r="K44" i="4" s="1"/>
  <c r="C24" i="11"/>
  <c r="C26" i="11" s="1"/>
  <c r="C27" i="11" s="1"/>
  <c r="C22" i="11"/>
  <c r="C25" i="11"/>
  <c r="E23" i="14"/>
  <c r="L202" i="8"/>
  <c r="Q201" i="8"/>
  <c r="K26" i="4"/>
  <c r="K28" i="4"/>
  <c r="F20" i="14"/>
  <c r="L24" i="4"/>
  <c r="M22" i="4"/>
  <c r="M24" i="4" s="1"/>
  <c r="M28" i="4" s="1"/>
  <c r="E17" i="14"/>
  <c r="H22" i="14"/>
  <c r="G50" i="13"/>
  <c r="H50" i="13" s="1"/>
  <c r="F50" i="13"/>
  <c r="H9" i="15"/>
  <c r="H10" i="15" s="1"/>
  <c r="H11" i="15" s="1"/>
  <c r="H12" i="15" s="1"/>
  <c r="H13" i="15" s="1"/>
  <c r="H14" i="15" s="1"/>
  <c r="H15" i="15" s="1"/>
  <c r="H16" i="15" s="1"/>
  <c r="H17" i="15" s="1"/>
  <c r="H18" i="15" s="1"/>
  <c r="H19" i="15" s="1"/>
  <c r="H20" i="15" s="1"/>
  <c r="H21" i="15" s="1"/>
  <c r="H22" i="15" s="1"/>
  <c r="H23" i="15" s="1"/>
  <c r="H24" i="15" s="1"/>
  <c r="H25" i="15" s="1"/>
  <c r="H26" i="15" s="1"/>
  <c r="H27" i="15" s="1"/>
  <c r="H28" i="15" s="1"/>
  <c r="H29" i="15" s="1"/>
  <c r="H30" i="15" s="1"/>
  <c r="H31" i="15" s="1"/>
  <c r="H32" i="15" s="1"/>
  <c r="H33" i="15" s="1"/>
  <c r="H34" i="15" s="1"/>
  <c r="H35" i="15" s="1"/>
  <c r="H36" i="15" s="1"/>
  <c r="H37" i="15" s="1"/>
  <c r="H38" i="15" s="1"/>
  <c r="H39" i="15" s="1"/>
  <c r="H40" i="15" s="1"/>
  <c r="H41" i="15" s="1"/>
  <c r="H42" i="15" s="1"/>
  <c r="H43" i="15" s="1"/>
  <c r="H44" i="15" s="1"/>
  <c r="H45" i="15" s="1"/>
  <c r="H46" i="15" s="1"/>
  <c r="H47" i="15" s="1"/>
  <c r="H48" i="15" s="1"/>
  <c r="H49" i="15" s="1"/>
  <c r="H54" i="15"/>
  <c r="G51" i="15"/>
  <c r="K38" i="4"/>
  <c r="L37" i="4"/>
  <c r="K56" i="12"/>
  <c r="K46" i="12"/>
  <c r="K106" i="12" s="1"/>
  <c r="K105" i="12"/>
  <c r="M15" i="4"/>
  <c r="G19" i="14"/>
  <c r="G26" i="11" l="1"/>
  <c r="H56" i="15"/>
  <c r="B29" i="13"/>
  <c r="B69" i="12"/>
  <c r="E120" i="12"/>
  <c r="E119" i="12"/>
  <c r="L40" i="4"/>
  <c r="M39" i="4"/>
  <c r="M40" i="4" s="1"/>
  <c r="M14" i="4"/>
  <c r="M42" i="4"/>
  <c r="L43" i="4"/>
  <c r="L20" i="4"/>
  <c r="L46" i="4" s="1"/>
  <c r="L18" i="4"/>
  <c r="L45" i="4" s="1"/>
  <c r="G120" i="12"/>
  <c r="G119" i="12"/>
  <c r="H119" i="12"/>
  <c r="H120" i="12"/>
  <c r="L16" i="4"/>
  <c r="L44" i="4" s="1"/>
  <c r="M16" i="4"/>
  <c r="M44" i="4" s="1"/>
  <c r="O44" i="4" s="1"/>
  <c r="P44" i="4" s="1"/>
  <c r="C120" i="12"/>
  <c r="C119" i="12"/>
  <c r="K119" i="12"/>
  <c r="K120" i="12"/>
  <c r="L38" i="4"/>
  <c r="M37" i="4"/>
  <c r="M38" i="4" s="1"/>
  <c r="B106" i="12"/>
  <c r="F120" i="12"/>
  <c r="F119" i="12"/>
  <c r="K45" i="4"/>
  <c r="K10" i="4"/>
  <c r="K50" i="4"/>
  <c r="O34" i="4"/>
  <c r="P34" i="4" s="1"/>
  <c r="D120" i="12"/>
  <c r="D119" i="12"/>
  <c r="I97" i="4"/>
  <c r="E107" i="4"/>
  <c r="E108" i="4" s="1"/>
  <c r="F106" i="4" s="1"/>
  <c r="F108" i="4" s="1"/>
  <c r="G106" i="4" s="1"/>
  <c r="G108" i="4" s="1"/>
  <c r="M56" i="12"/>
  <c r="H121" i="4"/>
  <c r="H97" i="4"/>
  <c r="H51" i="15"/>
  <c r="H58" i="15"/>
  <c r="H57" i="15"/>
  <c r="J50" i="4"/>
  <c r="G10" i="11"/>
  <c r="B32" i="12"/>
  <c r="G18" i="11"/>
  <c r="L26" i="4"/>
  <c r="L28" i="4"/>
  <c r="L30" i="4"/>
  <c r="M29" i="4"/>
  <c r="M30" i="4" s="1"/>
  <c r="O24" i="4"/>
  <c r="P24" i="4" s="1"/>
  <c r="M26" i="4"/>
  <c r="I119" i="12"/>
  <c r="I120" i="12"/>
  <c r="J119" i="12"/>
  <c r="J120" i="12"/>
  <c r="C66" i="12" l="1"/>
  <c r="C40" i="1"/>
  <c r="C39" i="1"/>
  <c r="C43" i="1"/>
  <c r="H106" i="4"/>
  <c r="G8" i="11"/>
  <c r="G12" i="11" s="1"/>
  <c r="G15" i="11" s="1"/>
  <c r="L10" i="4"/>
  <c r="L50" i="4"/>
  <c r="I122" i="4"/>
  <c r="I98" i="4"/>
  <c r="I120" i="4"/>
  <c r="I104" i="4"/>
  <c r="I107" i="4" s="1"/>
  <c r="I124" i="4"/>
  <c r="I123" i="4"/>
  <c r="F12" i="14"/>
  <c r="F8" i="14"/>
  <c r="E12" i="14"/>
  <c r="E8" i="14"/>
  <c r="D12" i="14"/>
  <c r="D8" i="14"/>
  <c r="H11" i="14"/>
  <c r="H7" i="14"/>
  <c r="G11" i="14"/>
  <c r="G7" i="14"/>
  <c r="F11" i="14"/>
  <c r="F7" i="14"/>
  <c r="E11" i="14"/>
  <c r="E7" i="14"/>
  <c r="C11" i="14"/>
  <c r="C7" i="14"/>
  <c r="H10" i="14"/>
  <c r="H6" i="14"/>
  <c r="G10" i="14"/>
  <c r="G6" i="14"/>
  <c r="F10" i="14"/>
  <c r="F6" i="14"/>
  <c r="C10" i="14"/>
  <c r="C6" i="14"/>
  <c r="B10" i="14"/>
  <c r="B6" i="14"/>
  <c r="H13" i="14"/>
  <c r="H9" i="14"/>
  <c r="G13" i="14"/>
  <c r="G9" i="14"/>
  <c r="F13" i="14"/>
  <c r="F9" i="14"/>
  <c r="D13" i="14"/>
  <c r="D9" i="14"/>
  <c r="C13" i="14"/>
  <c r="C9" i="14"/>
  <c r="H12" i="14"/>
  <c r="H8" i="14"/>
  <c r="G12" i="14"/>
  <c r="G8" i="14"/>
  <c r="E6" i="14"/>
  <c r="D6" i="14"/>
  <c r="E13" i="14"/>
  <c r="B13" i="14"/>
  <c r="C12" i="14"/>
  <c r="B12" i="14"/>
  <c r="D11" i="14"/>
  <c r="B11" i="14"/>
  <c r="E10" i="14"/>
  <c r="D10" i="14"/>
  <c r="E9" i="14"/>
  <c r="B9" i="14"/>
  <c r="C8" i="14"/>
  <c r="B8" i="14"/>
  <c r="D7" i="14"/>
  <c r="B7" i="14"/>
  <c r="H123" i="4"/>
  <c r="H122" i="4"/>
  <c r="H98" i="4"/>
  <c r="H120" i="4"/>
  <c r="H104" i="4"/>
  <c r="H124" i="4"/>
  <c r="N97" i="4"/>
  <c r="N98" i="4" s="1"/>
  <c r="K95" i="4"/>
  <c r="K96" i="4" s="1"/>
  <c r="K121" i="4" s="1"/>
  <c r="K97" i="4"/>
  <c r="M43" i="4"/>
  <c r="M18" i="4"/>
  <c r="M45" i="4" s="1"/>
  <c r="O45" i="4" s="1"/>
  <c r="P45" i="4" s="1"/>
  <c r="M20" i="4"/>
  <c r="M46" i="4" s="1"/>
  <c r="O46" i="4" s="1"/>
  <c r="P46" i="4" s="1"/>
  <c r="O14" i="4"/>
  <c r="P14" i="4" s="1"/>
  <c r="B119" i="12"/>
  <c r="B120" i="12"/>
  <c r="M90" i="12"/>
  <c r="B96" i="12" s="1"/>
  <c r="L90" i="12"/>
  <c r="B109" i="12"/>
  <c r="E37" i="13"/>
  <c r="P22" i="12"/>
  <c r="B42" i="1"/>
  <c r="E15" i="1"/>
  <c r="P21" i="12"/>
  <c r="D69" i="12"/>
  <c r="D42" i="1" s="1"/>
  <c r="E22" i="1"/>
  <c r="B49" i="1"/>
  <c r="B33" i="12"/>
  <c r="B35" i="12" s="1"/>
  <c r="J95" i="4"/>
  <c r="L46" i="12" l="1"/>
  <c r="L36" i="12"/>
  <c r="B51" i="1"/>
  <c r="E23" i="1"/>
  <c r="B111" i="12"/>
  <c r="L95" i="4"/>
  <c r="L96" i="4" s="1"/>
  <c r="L121" i="4" s="1"/>
  <c r="B110" i="12"/>
  <c r="B113" i="12" s="1"/>
  <c r="M10" i="4"/>
  <c r="M50" i="4"/>
  <c r="O43" i="4"/>
  <c r="P43" i="4" s="1"/>
  <c r="K124" i="4"/>
  <c r="K120" i="4"/>
  <c r="K104" i="4"/>
  <c r="K107" i="4" s="1"/>
  <c r="K98" i="4"/>
  <c r="K123" i="4"/>
  <c r="K122" i="4"/>
  <c r="G19" i="11"/>
  <c r="G17" i="11"/>
  <c r="G20" i="11"/>
  <c r="H108" i="4"/>
  <c r="I106" i="4" s="1"/>
  <c r="I108" i="4" s="1"/>
  <c r="J106" i="4" s="1"/>
  <c r="J96" i="4"/>
  <c r="H107" i="4"/>
  <c r="N104" i="4"/>
  <c r="C68" i="12"/>
  <c r="C67" i="12"/>
  <c r="C41" i="1" s="1"/>
  <c r="B48" i="12" l="1"/>
  <c r="B118" i="12"/>
  <c r="B114" i="12"/>
  <c r="B49" i="12" s="1"/>
  <c r="J121" i="4"/>
  <c r="J97" i="4"/>
  <c r="M95" i="4"/>
  <c r="O50" i="4"/>
  <c r="P50" i="4" s="1"/>
  <c r="G24" i="11"/>
  <c r="G21" i="11"/>
  <c r="G25" i="11" s="1"/>
  <c r="C107" i="12"/>
  <c r="L105" i="12"/>
  <c r="L38" i="12"/>
  <c r="M36" i="12"/>
  <c r="L97" i="4"/>
  <c r="B112" i="12"/>
  <c r="C108" i="12" s="1"/>
  <c r="L106" i="12"/>
  <c r="M46" i="12"/>
  <c r="L109" i="12" l="1"/>
  <c r="L111" i="12"/>
  <c r="B121" i="12"/>
  <c r="L122" i="4"/>
  <c r="L98" i="4"/>
  <c r="L120" i="4"/>
  <c r="L104" i="4"/>
  <c r="L107" i="4" s="1"/>
  <c r="L124" i="4"/>
  <c r="L123" i="4"/>
  <c r="C109" i="12"/>
  <c r="C111" i="12" s="1"/>
  <c r="J124" i="4"/>
  <c r="J120" i="4"/>
  <c r="J104" i="4"/>
  <c r="J98" i="4"/>
  <c r="J123" i="4"/>
  <c r="J122" i="4"/>
  <c r="L119" i="12"/>
  <c r="L120" i="12"/>
  <c r="L110" i="12"/>
  <c r="M91" i="12"/>
  <c r="L91" i="12"/>
  <c r="M38" i="12"/>
  <c r="M96" i="4"/>
  <c r="O95" i="4"/>
  <c r="P95" i="4" s="1"/>
  <c r="B58" i="12"/>
  <c r="B89" i="12"/>
  <c r="B55" i="12"/>
  <c r="D107" i="12" l="1"/>
  <c r="B92" i="12"/>
  <c r="D114" i="4"/>
  <c r="Q114" i="4" s="1"/>
  <c r="J107" i="4"/>
  <c r="J108" i="4" s="1"/>
  <c r="K106" i="4" s="1"/>
  <c r="K108" i="4" s="1"/>
  <c r="L106" i="4" s="1"/>
  <c r="L108" i="4" s="1"/>
  <c r="M106" i="4" s="1"/>
  <c r="M121" i="4"/>
  <c r="M97" i="4"/>
  <c r="C110" i="12"/>
  <c r="C112" i="12" s="1"/>
  <c r="L113" i="12"/>
  <c r="B57" i="12"/>
  <c r="D126" i="4"/>
  <c r="D113" i="4"/>
  <c r="L112" i="12"/>
  <c r="L121" i="12" s="1"/>
  <c r="D108" i="12" l="1"/>
  <c r="C121" i="12"/>
  <c r="B50" i="12"/>
  <c r="D128" i="4"/>
  <c r="Q128" i="4" s="1"/>
  <c r="C113" i="12"/>
  <c r="E18" i="1"/>
  <c r="Q126" i="4"/>
  <c r="Q113" i="4"/>
  <c r="D115" i="4"/>
  <c r="L118" i="12"/>
  <c r="L48" i="12"/>
  <c r="L55" i="12" s="1"/>
  <c r="L57" i="12" s="1"/>
  <c r="L114" i="12"/>
  <c r="L49" i="12" s="1"/>
  <c r="M122" i="4"/>
  <c r="M120" i="4"/>
  <c r="M98" i="4"/>
  <c r="M124" i="4"/>
  <c r="M123" i="4"/>
  <c r="M104" i="4"/>
  <c r="O97" i="4"/>
  <c r="D111" i="12"/>
  <c r="D109" i="12"/>
  <c r="E107" i="12" l="1"/>
  <c r="P97" i="4"/>
  <c r="O98" i="4"/>
  <c r="C48" i="12"/>
  <c r="C118" i="12"/>
  <c r="C114" i="12"/>
  <c r="C49" i="12" s="1"/>
  <c r="D110" i="12"/>
  <c r="D113" i="12" s="1"/>
  <c r="Q115" i="4"/>
  <c r="M107" i="4"/>
  <c r="M108" i="4" s="1"/>
  <c r="O104" i="4"/>
  <c r="L58" i="12"/>
  <c r="L89" i="12"/>
  <c r="L92" i="12" s="1"/>
  <c r="D112" i="12"/>
  <c r="E108" i="12" s="1"/>
  <c r="D48" i="12" l="1"/>
  <c r="D55" i="12" s="1"/>
  <c r="D118" i="12"/>
  <c r="D114" i="12"/>
  <c r="D49" i="12" s="1"/>
  <c r="C89" i="12"/>
  <c r="C58" i="12"/>
  <c r="C55" i="12"/>
  <c r="D121" i="12"/>
  <c r="E109" i="12"/>
  <c r="E113" i="12" l="1"/>
  <c r="E110" i="12"/>
  <c r="E112" i="12"/>
  <c r="F108" i="12" s="1"/>
  <c r="C57" i="12"/>
  <c r="E126" i="4"/>
  <c r="E113" i="4"/>
  <c r="C92" i="12"/>
  <c r="E111" i="12"/>
  <c r="E114" i="4"/>
  <c r="D58" i="12"/>
  <c r="F114" i="4" s="1"/>
  <c r="D89" i="12"/>
  <c r="D92" i="12" s="1"/>
  <c r="D57" i="12"/>
  <c r="F113" i="4"/>
  <c r="F115" i="4" s="1"/>
  <c r="F126" i="4"/>
  <c r="C50" i="12" l="1"/>
  <c r="E128" i="4"/>
  <c r="D50" i="12"/>
  <c r="F128" i="4"/>
  <c r="F107" i="12"/>
  <c r="E121" i="12"/>
  <c r="E115" i="4"/>
  <c r="E118" i="12"/>
  <c r="E48" i="12"/>
  <c r="E114" i="12"/>
  <c r="E49" i="12" s="1"/>
  <c r="E19" i="1" l="1"/>
  <c r="E58" i="12"/>
  <c r="E89" i="12"/>
  <c r="E55" i="12"/>
  <c r="F109" i="12"/>
  <c r="F111" i="12" s="1"/>
  <c r="G107" i="12" l="1"/>
  <c r="E57" i="12"/>
  <c r="G126" i="4"/>
  <c r="G113" i="4"/>
  <c r="E92" i="12"/>
  <c r="F110" i="12"/>
  <c r="F113" i="12" s="1"/>
  <c r="G114" i="4"/>
  <c r="F118" i="12" l="1"/>
  <c r="F48" i="12"/>
  <c r="F114" i="12"/>
  <c r="F49" i="12" s="1"/>
  <c r="F112" i="12"/>
  <c r="G115" i="4"/>
  <c r="E50" i="12"/>
  <c r="G128" i="4"/>
  <c r="G109" i="12"/>
  <c r="G108" i="12" l="1"/>
  <c r="F121" i="12"/>
  <c r="G111" i="12"/>
  <c r="F89" i="12"/>
  <c r="F58" i="12"/>
  <c r="F55" i="12"/>
  <c r="H114" i="4" l="1"/>
  <c r="F57" i="12"/>
  <c r="H113" i="4"/>
  <c r="H115" i="4" s="1"/>
  <c r="H126" i="4"/>
  <c r="F92" i="12"/>
  <c r="H107" i="12"/>
  <c r="G110" i="12"/>
  <c r="G113" i="12" s="1"/>
  <c r="G112" i="12" l="1"/>
  <c r="G48" i="12"/>
  <c r="G118" i="12"/>
  <c r="G114" i="12"/>
  <c r="G49" i="12" s="1"/>
  <c r="H109" i="12"/>
  <c r="H111" i="12" s="1"/>
  <c r="N115" i="4"/>
  <c r="F50" i="12"/>
  <c r="H128" i="4"/>
  <c r="I107" i="12" l="1"/>
  <c r="G55" i="12"/>
  <c r="G89" i="12"/>
  <c r="G92" i="12" s="1"/>
  <c r="G58" i="12"/>
  <c r="I114" i="4" s="1"/>
  <c r="H108" i="12"/>
  <c r="G121" i="12"/>
  <c r="G57" i="12" l="1"/>
  <c r="I126" i="4"/>
  <c r="I113" i="4"/>
  <c r="I115" i="4" s="1"/>
  <c r="H110" i="12"/>
  <c r="H113" i="12" s="1"/>
  <c r="I109" i="12"/>
  <c r="H118" i="12" l="1"/>
  <c r="H48" i="12"/>
  <c r="H55" i="12" s="1"/>
  <c r="H114" i="12"/>
  <c r="H49" i="12" s="1"/>
  <c r="I111" i="12"/>
  <c r="G50" i="12"/>
  <c r="I128" i="4"/>
  <c r="H112" i="12"/>
  <c r="J107" i="12" l="1"/>
  <c r="H57" i="12"/>
  <c r="J126" i="4"/>
  <c r="J113" i="4"/>
  <c r="I108" i="12"/>
  <c r="H121" i="12"/>
  <c r="H58" i="12"/>
  <c r="J114" i="4" s="1"/>
  <c r="H89" i="12"/>
  <c r="H92" i="12" s="1"/>
  <c r="I110" i="12" l="1"/>
  <c r="I113" i="12" s="1"/>
  <c r="J115" i="4"/>
  <c r="H50" i="12"/>
  <c r="J128" i="4"/>
  <c r="J109" i="12"/>
  <c r="J111" i="12" l="1"/>
  <c r="I48" i="12"/>
  <c r="I55" i="12" s="1"/>
  <c r="I118" i="12"/>
  <c r="I114" i="12"/>
  <c r="I49" i="12" s="1"/>
  <c r="I112" i="12"/>
  <c r="I57" i="12" l="1"/>
  <c r="K126" i="4"/>
  <c r="K113" i="4"/>
  <c r="J108" i="12"/>
  <c r="I121" i="12"/>
  <c r="I58" i="12"/>
  <c r="K114" i="4" s="1"/>
  <c r="I89" i="12"/>
  <c r="I92" i="12" s="1"/>
  <c r="K107" i="12"/>
  <c r="K115" i="4" l="1"/>
  <c r="K109" i="12"/>
  <c r="J110" i="12"/>
  <c r="J113" i="12" s="1"/>
  <c r="I50" i="12"/>
  <c r="K128" i="4"/>
  <c r="J48" i="12" l="1"/>
  <c r="J55" i="12" s="1"/>
  <c r="J118" i="12"/>
  <c r="J114" i="12"/>
  <c r="J49" i="12" s="1"/>
  <c r="K111" i="12"/>
  <c r="J112" i="12"/>
  <c r="K108" i="12" l="1"/>
  <c r="J121" i="12"/>
  <c r="J58" i="12"/>
  <c r="L114" i="4" s="1"/>
  <c r="J89" i="12"/>
  <c r="J92" i="12" s="1"/>
  <c r="J57" i="12"/>
  <c r="L126" i="4"/>
  <c r="L113" i="4"/>
  <c r="L115" i="4" s="1"/>
  <c r="J50" i="12" l="1"/>
  <c r="L128" i="4"/>
  <c r="K110" i="12"/>
  <c r="K113" i="12" s="1"/>
  <c r="K48" i="12" l="1"/>
  <c r="K118" i="12"/>
  <c r="K114" i="12"/>
  <c r="K49" i="12" s="1"/>
  <c r="K112" i="12"/>
  <c r="K121" i="12" s="1"/>
  <c r="K89" i="12" l="1"/>
  <c r="K58" i="12"/>
  <c r="M49" i="12"/>
  <c r="P25" i="12" s="1"/>
  <c r="K55" i="12"/>
  <c r="M48" i="12"/>
  <c r="K57" i="12" l="1"/>
  <c r="M113" i="4"/>
  <c r="M126" i="4"/>
  <c r="M55" i="12"/>
  <c r="M114" i="4"/>
  <c r="M58" i="12"/>
  <c r="K92" i="12"/>
  <c r="M89" i="12"/>
  <c r="B66" i="12" l="1"/>
  <c r="B40" i="1"/>
  <c r="B39" i="1"/>
  <c r="B43" i="1"/>
  <c r="P24" i="12"/>
  <c r="E66" i="12"/>
  <c r="E40" i="1"/>
  <c r="E39" i="1"/>
  <c r="B97" i="12"/>
  <c r="M92" i="12"/>
  <c r="M115" i="4"/>
  <c r="O115" i="4" s="1"/>
  <c r="K50" i="12"/>
  <c r="M50" i="12" s="1"/>
  <c r="M128" i="4"/>
  <c r="M57" i="12"/>
  <c r="P23" i="12" l="1"/>
  <c r="D66" i="12"/>
  <c r="D40" i="1"/>
  <c r="D39" i="1"/>
  <c r="D43" i="1"/>
  <c r="B99" i="12"/>
  <c r="C96" i="12"/>
  <c r="C97" i="12"/>
  <c r="E67" i="12"/>
  <c r="E41" i="1" s="1"/>
  <c r="E68" i="12"/>
  <c r="E16" i="1"/>
  <c r="B68" i="12"/>
  <c r="B67" i="12"/>
  <c r="E17" i="1" l="1"/>
  <c r="B41" i="1"/>
  <c r="D68" i="12"/>
  <c r="D67" i="12"/>
  <c r="D4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Javellana</author>
  </authors>
  <commentList>
    <comment ref="N59" authorId="0" shapeId="0" xr:uid="{00000000-0006-0000-0400-000001000000}">
      <text>
        <r>
          <rPr>
            <sz val="11"/>
            <color theme="1"/>
            <rFont val="Calibri"/>
            <family val="2"/>
            <charset val="1"/>
          </rPr>
          <t>Erik Javellana:
Analyzer LtL was -$332,093 = beds priced ABOVE market = positive adjustment. Entered as positive here.</t>
        </r>
      </text>
    </comment>
    <comment ref="N63" authorId="0" shapeId="0" xr:uid="{00000000-0006-0000-0400-000002000000}">
      <text>
        <r>
          <rPr>
            <sz val="11"/>
            <color theme="1"/>
            <rFont val="Calibri"/>
            <family val="2"/>
            <charset val="1"/>
          </rPr>
          <t>Erik Javellana:
Bad debt moved to expense side row 106</t>
        </r>
      </text>
    </comment>
    <comment ref="S86" authorId="0" shapeId="0" xr:uid="{00000000-0006-0000-0400-000003000000}">
      <text>
        <r>
          <rPr>
            <sz val="11"/>
            <color theme="1"/>
            <rFont val="Calibri"/>
            <family val="2"/>
            <charset val="1"/>
          </rPr>
          <t>Erik Javellana:
Projected forward run-rate Net Rent (Rent Roll annualized, T-1) minus T-12 actual Total Base Rent (N62). Positive = roll is pricing above trailing actuals.</t>
        </r>
      </text>
    </comment>
    <comment ref="N134" authorId="0" shapeId="0" xr:uid="{00000000-0006-0000-0400-000004000000}">
      <text>
        <r>
          <rPr>
            <sz val="11"/>
            <color theme="1"/>
            <rFont val="Calibri"/>
            <family val="2"/>
            <charset val="1"/>
          </rPr>
          <t>Erik Javellana:
EBITDARM = EGI - Labor - Non-Labor (BEFORE management fee)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Javellana</author>
  </authors>
  <commentList>
    <comment ref="D5" authorId="0" shapeId="0" xr:uid="{00000000-0006-0000-0500-000001000000}">
      <text>
        <r>
          <rPr>
            <sz val="11"/>
            <color theme="1"/>
            <rFont val="Calibri"/>
            <family val="2"/>
            <charset val="1"/>
          </rPr>
          <t>Erik Javellana:
Total debt (all tranches) from Scenarios!F23</t>
        </r>
      </text>
    </comment>
    <comment ref="B21" authorId="0" shapeId="0" xr:uid="{00000000-0006-0000-0500-000002000000}">
      <text>
        <r>
          <rPr>
            <sz val="11"/>
            <color theme="1"/>
            <rFont val="Calibri"/>
            <family val="2"/>
            <charset val="1"/>
          </rPr>
          <t>Erik Javellana:
Origination fee % — 1st loan from Scenarios!F140</t>
        </r>
      </text>
    </comment>
    <comment ref="D21" authorId="0" shapeId="0" xr:uid="{00000000-0006-0000-0500-000003000000}">
      <text>
        <r>
          <rPr>
            <sz val="11"/>
            <color theme="1"/>
            <rFont val="Calibri"/>
            <family val="2"/>
            <charset val="1"/>
          </rPr>
          <t>Erik Javellana:
Origination fee $ = sum across all 3 tranches (1st, 2nd, Supplemental)</t>
        </r>
      </text>
    </comment>
    <comment ref="D35" authorId="0" shapeId="0" xr:uid="{00000000-0006-0000-0500-000004000000}">
      <text>
        <r>
          <rPr>
            <sz val="11"/>
            <color theme="1"/>
            <rFont val="Calibri"/>
            <family val="2"/>
            <charset val="1"/>
          </rPr>
          <t>Erik Javellana:
RE Tax reserve: 3 months of annual RE Tax (Scenarios!F108)</t>
        </r>
      </text>
    </comment>
    <comment ref="D36" authorId="0" shapeId="0" xr:uid="{00000000-0006-0000-0500-000005000000}">
      <text>
        <r>
          <rPr>
            <sz val="11"/>
            <color theme="1"/>
            <rFont val="Calibri"/>
            <family val="2"/>
            <charset val="1"/>
          </rPr>
          <t>Erik Javellana:
Insurance reserve: 3 months of annual P&amp;C Insurance (Scenarios!F104)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Javellana</author>
  </authors>
  <commentList>
    <comment ref="O2" authorId="0" shapeId="0" xr:uid="{00000000-0006-0000-0800-000001000000}">
      <text>
        <r>
          <rPr>
            <sz val="11"/>
            <color theme="1"/>
            <rFont val="Calibri"/>
            <family val="2"/>
            <charset val="1"/>
          </rPr>
          <t>Erik Javellana:
Toggle between Average and Max. Drives S5:S15 below. Valid values: Average, Max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A00-000001000000}">
      <text>
        <r>
          <rPr>
            <sz val="11"/>
            <color theme="1"/>
            <rFont val="Calibri"/>
            <family val="2"/>
            <charset val="1"/>
          </rPr>
          <t>Erik Javellana:
  Model both a cash-out refi before exit AND final disposition. Set refi year to NA to skip.</t>
        </r>
      </text>
    </comment>
  </commentList>
</comments>
</file>

<file path=xl/sharedStrings.xml><?xml version="1.0" encoding="utf-8"?>
<sst xmlns="http://schemas.openxmlformats.org/spreadsheetml/2006/main" count="2168" uniqueCount="1685">
  <si>
    <t>PROPERTY INFORMATION &amp; MARKET DATA</t>
  </si>
  <si>
    <t xml:space="preserve">  Blue = manual input. Use the AI Market Research tool (separate app) to auto-populate market fields.</t>
  </si>
  <si>
    <t xml:space="preserve">  PROPERTY DETAILS</t>
  </si>
  <si>
    <t>OM Data</t>
  </si>
  <si>
    <t>Property Name</t>
  </si>
  <si>
    <t>Location / Address</t>
  </si>
  <si>
    <t># Units</t>
  </si>
  <si>
    <t># Buildings</t>
  </si>
  <si>
    <t>Height (stories)</t>
  </si>
  <si>
    <t>Year Built</t>
  </si>
  <si>
    <t>Lot Size (acres)</t>
  </si>
  <si>
    <t>Gross Sq Ft</t>
  </si>
  <si>
    <t>Parking Spaces</t>
  </si>
  <si>
    <t>Asset Class (IL/AL/MC/Other/Mix)</t>
  </si>
  <si>
    <t>Other Care Type name (deal/state):</t>
  </si>
  <si>
    <t>License Type</t>
  </si>
  <si>
    <t>Licensed Bed Count</t>
  </si>
  <si>
    <t>IL Units</t>
  </si>
  <si>
    <t>AL Units</t>
  </si>
  <si>
    <t>MC Units</t>
  </si>
  <si>
    <t>Occupied Beds — Total</t>
  </si>
  <si>
    <t>Occupied Beds — IL</t>
  </si>
  <si>
    <t>Occupied Beds — AL</t>
  </si>
  <si>
    <t>Occupied Beds — MC</t>
  </si>
  <si>
    <t xml:space="preserve">  MARKET DATA</t>
  </si>
  <si>
    <t>Market Research Data</t>
  </si>
  <si>
    <t>Links</t>
  </si>
  <si>
    <t>City / Market</t>
  </si>
  <si>
    <t>MSA Name</t>
  </si>
  <si>
    <t>MSA Population</t>
  </si>
  <si>
    <t>City Population</t>
  </si>
  <si>
    <t>MSA Population Growth Rate</t>
  </si>
  <si>
    <t>City Population Growth Rate</t>
  </si>
  <si>
    <t>Senior 65+ Population</t>
  </si>
  <si>
    <t>Senior 65+ Growth Rate</t>
  </si>
  <si>
    <t>Avg Household Income</t>
  </si>
  <si>
    <t>Median Income</t>
  </si>
  <si>
    <t>School Ratings (1-10)</t>
  </si>
  <si>
    <t xml:space="preserve">  COMPETITIVE MARKET</t>
  </si>
  <si>
    <t>Avg Monthly Base Rent — IL</t>
  </si>
  <si>
    <t>Avg Monthly Base Rent — AL</t>
  </si>
  <si>
    <t>Avg Monthly Base Rent — MC</t>
  </si>
  <si>
    <t>Avg Care Services Fee</t>
  </si>
  <si>
    <t>Competitor Occupancy — IL</t>
  </si>
  <si>
    <t>Competitor Occupancy — AL</t>
  </si>
  <si>
    <t>Competitor Occupancy — MC</t>
  </si>
  <si>
    <t>New Supply — Beds Under Construction</t>
  </si>
  <si>
    <t>Market Penetration Rate</t>
  </si>
  <si>
    <t xml:space="preserve">  UTILITIES</t>
  </si>
  <si>
    <t>Electric Meter</t>
  </si>
  <si>
    <t>Water Meter</t>
  </si>
  <si>
    <t>Gas</t>
  </si>
  <si>
    <t>Trash</t>
  </si>
  <si>
    <t xml:space="preserve">  OTHER NOTES</t>
  </si>
  <si>
    <t>Other Property Information</t>
  </si>
  <si>
    <t>Other Market Information</t>
  </si>
  <si>
    <t>Survey / Regulatory Notes</t>
  </si>
  <si>
    <t>Value-Add Thesis</t>
  </si>
  <si>
    <t>ASSISTED LIVING FACILITY — INVESTMENT SUMMARY</t>
  </si>
  <si>
    <t>Confidential — For Authorized Recipients Only</t>
  </si>
  <si>
    <t>Template Version 11.0 · Updated 2026-06-16 (RR Analysis hide-zero display + formula strip; dynamic Section R unit-type matrix IL/AL/MC/OTH x6; Prop Info OM/Market-Research/Links reformat) · versioning: whole number = structural, .## = non-structural</t>
  </si>
  <si>
    <t>PROPERTY INFORMATION</t>
  </si>
  <si>
    <t>Location</t>
  </si>
  <si>
    <t>Total Units  (physical rooms)</t>
  </si>
  <si>
    <t>Asset Class</t>
  </si>
  <si>
    <t>Active Scenario</t>
  </si>
  <si>
    <t>Licensed Beds  /  Occupied Beds (Y1)</t>
  </si>
  <si>
    <t xml:space="preserve"> / </t>
  </si>
  <si>
    <t>KEY DEAL METRICS</t>
  </si>
  <si>
    <t>Metric</t>
  </si>
  <si>
    <t>Value</t>
  </si>
  <si>
    <t>/ Beds</t>
  </si>
  <si>
    <t>Returns Metric</t>
  </si>
  <si>
    <t>Purchase Price</t>
  </si>
  <si>
    <t>LP IRR</t>
  </si>
  <si>
    <t>Price Per Room  /  Per Bed</t>
  </si>
  <si>
    <t>GP IRR</t>
  </si>
  <si>
    <t>Total Acquisition Cost</t>
  </si>
  <si>
    <t>LP Equity Multiple</t>
  </si>
  <si>
    <t>Loan Amount (Total)</t>
  </si>
  <si>
    <t>Y1 Cash-on-Cash</t>
  </si>
  <si>
    <t>LTV</t>
  </si>
  <si>
    <t>Year 5 NOI</t>
  </si>
  <si>
    <t>LTC</t>
  </si>
  <si>
    <t>Exit Year</t>
  </si>
  <si>
    <t>Equity Required</t>
  </si>
  <si>
    <t>Exit Cap Rate</t>
  </si>
  <si>
    <t>Down Payment %</t>
  </si>
  <si>
    <t>Gross Sale Price</t>
  </si>
  <si>
    <t>Entry Cap Rate</t>
  </si>
  <si>
    <t>Net to Equity (Exit)</t>
  </si>
  <si>
    <t>Stabilized Cap Rate (Y5)</t>
  </si>
  <si>
    <t>Avg Annual Return (LP)</t>
  </si>
  <si>
    <t>CAPITAL STACK</t>
  </si>
  <si>
    <t>Tranche</t>
  </si>
  <si>
    <t>Amount</t>
  </si>
  <si>
    <t>%</t>
  </si>
  <si>
    <t>Rate</t>
  </si>
  <si>
    <t>Term (yrs)</t>
  </si>
  <si>
    <t>Amort (yrs)</t>
  </si>
  <si>
    <t>Senior Loan (1st)</t>
  </si>
  <si>
    <t>2nd Loan</t>
  </si>
  <si>
    <t>Supplemental</t>
  </si>
  <si>
    <t>GP Equity</t>
  </si>
  <si>
    <t>—</t>
  </si>
  <si>
    <t>Class A LP Equity</t>
  </si>
  <si>
    <t>Class B LP Equity</t>
  </si>
  <si>
    <t>TOTAL</t>
  </si>
  <si>
    <t>INVESTOR RETURNS SUMMARY</t>
  </si>
  <si>
    <t>Class A LP</t>
  </si>
  <si>
    <t>Class B LP</t>
  </si>
  <si>
    <t>LP Combined</t>
  </si>
  <si>
    <t>GP</t>
  </si>
  <si>
    <t>Notes</t>
  </si>
  <si>
    <t>Total Equity Invested</t>
  </si>
  <si>
    <t>Capital contributed by each party</t>
  </si>
  <si>
    <t>Total Distributions</t>
  </si>
  <si>
    <t>Operating CF + exit proceeds</t>
  </si>
  <si>
    <t>Net Profit</t>
  </si>
  <si>
    <t>Equity Multiple (EM)</t>
  </si>
  <si>
    <t>Total value returned / capital in</t>
  </si>
  <si>
    <t>IRR</t>
  </si>
  <si>
    <t>Includes exit proceeds</t>
  </si>
  <si>
    <t>Avg Annual Return  (simple, incl. exit)</t>
  </si>
  <si>
    <t>Simple: (total distributions − equity) ÷ equity ÷ hold yrs. Not compounded.</t>
  </si>
  <si>
    <t>Avg Cash-on-Cash Return</t>
  </si>
  <si>
    <t>Annual operating cash ÷ equity invested</t>
  </si>
  <si>
    <t>EXIT &amp; DEAL METRICS</t>
  </si>
  <si>
    <t>Hold Period (yrs)</t>
  </si>
  <si>
    <t>Exit Year NOI</t>
  </si>
  <si>
    <t>Y5 NOI</t>
  </si>
  <si>
    <t>NOI ÷ exit cap</t>
  </si>
  <si>
    <t>Less: Loan Payoff</t>
  </si>
  <si>
    <t>Amortized balance</t>
  </si>
  <si>
    <t>Net Sale Proceeds</t>
  </si>
  <si>
    <t>After selling costs &amp; loan</t>
  </si>
  <si>
    <t>SIDE-BY-SIDE SCENARIO ANALYSIS  —  "The 10-Minute Offer"</t>
  </si>
  <si>
    <t>Active Scenario →</t>
  </si>
  <si>
    <t>Actuals (T-12)</t>
  </si>
  <si>
    <t xml:space="preserve">  Selecting an active scenario drives P&amp;L, Cover Sheet, and Waterfall calculations. All 4 columns always visible for comparison.</t>
  </si>
  <si>
    <t>Line Item</t>
  </si>
  <si>
    <t>2. My Version</t>
  </si>
  <si>
    <t>3. Projected</t>
  </si>
  <si>
    <t>4. Best Scenario</t>
  </si>
  <si>
    <t>Active
Scenario</t>
  </si>
  <si>
    <t>Licensed Beds / $/Bed</t>
  </si>
  <si>
    <t>Benchmark</t>
  </si>
  <si>
    <t>ACQUISITION</t>
  </si>
  <si>
    <t>Asking Price</t>
  </si>
  <si>
    <t>$8–16M typical 60-unit AL/MC</t>
  </si>
  <si>
    <t>Purchase Price / Offer</t>
  </si>
  <si>
    <t>Offer 5–15% below ask; value-add</t>
  </si>
  <si>
    <t># Units  (rooms)  /  Licensed Beds</t>
  </si>
  <si>
    <t>Licensed beds from Prop Info — drives GPR. Units = physical rooms.</t>
  </si>
  <si>
    <t>Price Per Unit  (physical room)</t>
  </si>
  <si>
    <t>Price per licensed bed = purchase price ÷ licensed beds</t>
  </si>
  <si>
    <t>25–35% down; 65–75% LTV target</t>
  </si>
  <si>
    <t>Down Payment $</t>
  </si>
  <si>
    <t>Auto-calculated from down payment</t>
  </si>
  <si>
    <t>Repairs / CapEx at Close</t>
  </si>
  <si>
    <t>Get contractor bid at LOI stage</t>
  </si>
  <si>
    <t>Operating Reserves</t>
  </si>
  <si>
    <t>3–6 months operating expenses</t>
  </si>
  <si>
    <t>Est. Closing Costs</t>
  </si>
  <si>
    <t>1.5–2.5% of purchase price</t>
  </si>
  <si>
    <t>Acquisition Fee (%)</t>
  </si>
  <si>
    <t>0.5–1.5% acq fee standard</t>
  </si>
  <si>
    <t>Acquisition Fee ($)</t>
  </si>
  <si>
    <t>Auto-calculated</t>
  </si>
  <si>
    <t>TOTAL ACQUISITION COST</t>
  </si>
  <si>
    <t>Auto-calculated total cost</t>
  </si>
  <si>
    <t>DEBT STRUCTURE</t>
  </si>
  <si>
    <t>Loan Amount (1st)</t>
  </si>
  <si>
    <t>60–70% LTV senior; 75% bridge max</t>
  </si>
  <si>
    <t>Loan Amount (2nd)</t>
  </si>
  <si>
    <t>$0 if no mezz; up to 10% of stack</t>
  </si>
  <si>
    <t>Supplemental Loan</t>
  </si>
  <si>
    <t>$0 supplemental; add if SBA/seller</t>
  </si>
  <si>
    <t>Total Debt</t>
  </si>
  <si>
    <t>Auto-calculated total debt</t>
  </si>
  <si>
    <t>LTV (Loan/Purchase Price)</t>
  </si>
  <si>
    <t>Target ≤70% LTV (senior only)</t>
  </si>
  <si>
    <t>LTC (Loan/Total Acq. Cost)</t>
  </si>
  <si>
    <t>Target ≤80–85% LTC (value-add)</t>
  </si>
  <si>
    <t>EQUITY STRUCTURE</t>
  </si>
  <si>
    <t>GP Ownership %</t>
  </si>
  <si>
    <t>GP co-invest 5–15% of total equity</t>
  </si>
  <si>
    <t>Class A LP %</t>
  </si>
  <si>
    <t>Class A LP 40–65% of total equity</t>
  </si>
  <si>
    <t>Class B LP % (auto)</t>
  </si>
  <si>
    <t>Class B LP 20–40% of total equity</t>
  </si>
  <si>
    <t>Total Equity (Acq Cost − Debt)</t>
  </si>
  <si>
    <t>GP Equity ($)</t>
  </si>
  <si>
    <t>Enter GP co-invest $ directly — not tied to GP Ownership %</t>
  </si>
  <si>
    <t>Class A LP Equity ($)</t>
  </si>
  <si>
    <t>Total Equity − GP co-invest. GP can be $0 (all-LP deal).</t>
  </si>
  <si>
    <t>Class B LP Equity ($)</t>
  </si>
  <si>
    <t>Class A Preferred Return %</t>
  </si>
  <si>
    <t>Class A pref: 6–9% typical</t>
  </si>
  <si>
    <t>GP Promote % (defaults to GP% — edit to override)</t>
  </si>
  <si>
    <t>Promote: 20–30% GP typical. Edit directly.</t>
  </si>
  <si>
    <t>INCOME (YEAR 1 SNAPSHOT)  —  4-Scenario Model</t>
  </si>
  <si>
    <t>── INDEPENDENT LIVING (IL) ──</t>
  </si>
  <si>
    <t xml:space="preserve">  Licensed Beds — IL</t>
  </si>
  <si>
    <t>Independent Living bed count</t>
  </si>
  <si>
    <t xml:space="preserve">  Avg Monthly Rate — IL</t>
  </si>
  <si>
    <t>IL blended market rate — pull from rent roll</t>
  </si>
  <si>
    <t xml:space="preserve">  GPR — IL</t>
  </si>
  <si>
    <t>Annual gross potential rent at full IL occupancy</t>
  </si>
  <si>
    <t xml:space="preserve">  Vacancy % — IL</t>
  </si>
  <si>
    <t>10% typical stabilized</t>
  </si>
  <si>
    <t xml:space="preserve">  Occupied Beds — IL</t>
  </si>
  <si>
    <t>IL occupied = IL beds × (1 − IL vac%)</t>
  </si>
  <si>
    <t>── ASSISTED LIVING (AL) ──</t>
  </si>
  <si>
    <t xml:space="preserve">  Licensed Beds — AL</t>
  </si>
  <si>
    <t>Assisted Living bed count</t>
  </si>
  <si>
    <t xml:space="preserve">  Avg Monthly Rate — AL</t>
  </si>
  <si>
    <t>AL median ~$4,774/mo nationally (2024); local range varies</t>
  </si>
  <si>
    <t xml:space="preserve">  GPR — AL</t>
  </si>
  <si>
    <t>Annual gross potential rent at full AL occupancy</t>
  </si>
  <si>
    <t xml:space="preserve">  Vacancy % — AL</t>
  </si>
  <si>
    <t>12% typical value-add</t>
  </si>
  <si>
    <t xml:space="preserve">  Occupied Beds — AL</t>
  </si>
  <si>
    <t>AL occupied = AL beds × (1 − AL vac%)</t>
  </si>
  <si>
    <t>── MEMORY CARE (MC) ──</t>
  </si>
  <si>
    <t xml:space="preserve">  Licensed Beds — MC</t>
  </si>
  <si>
    <t>Memory Care bed count</t>
  </si>
  <si>
    <t xml:space="preserve">  Avg Monthly Rate — MC</t>
  </si>
  <si>
    <t>MC ~$6,160/mo nationally (2024); premium 25-40% over AL</t>
  </si>
  <si>
    <t xml:space="preserve">  GPR — MC</t>
  </si>
  <si>
    <t>Annual gross potential rent at full MC occupancy</t>
  </si>
  <si>
    <t xml:space="preserve">  Vacancy % — MC</t>
  </si>
  <si>
    <t>MC typically tighter</t>
  </si>
  <si>
    <t xml:space="preserve">  Occupied Beds — MC</t>
  </si>
  <si>
    <t>MC occupied = MC beds × (1 − MC vac%)</t>
  </si>
  <si>
    <t>RHA (Residential Homes for the Aged, TN) bed count</t>
  </si>
  <si>
    <t>RHA blended monthly rate — typically below AL</t>
  </si>
  <si>
    <t>Annual gross potential rent at full RHA occupancy</t>
  </si>
  <si>
    <t>RHA vacancy assumption</t>
  </si>
  <si>
    <t>RHA occupied = RHA beds × (1 − RHA vac%)</t>
  </si>
  <si>
    <t>── TOTALS &amp; OTHER INCOME ──</t>
  </si>
  <si>
    <t xml:space="preserve">  Total Licensed Beds</t>
  </si>
  <si>
    <t>Sum of IL+AL+MC+RHA licensed beds — must match Prop Info!B15</t>
  </si>
  <si>
    <t xml:space="preserve">  Total Occupied Beds</t>
  </si>
  <si>
    <t>Total occupied beds — drives census-based metrics</t>
  </si>
  <si>
    <t>TOTAL GROSS POTENTIAL RENT</t>
  </si>
  <si>
    <t>beds × rate × 12 by level</t>
  </si>
  <si>
    <t xml:space="preserve">  Blended Vacancy % (GPR-Wtd)</t>
  </si>
  <si>
    <t>GPR-weighted across IL/AL/MC/RHA: Σ(vac%×GPR) ÷ Total_GPR</t>
  </si>
  <si>
    <t xml:space="preserve">  Vacancy ($)</t>
  </si>
  <si>
    <t>Vacancy $ = blended vac% × Total GPR (negative)</t>
  </si>
  <si>
    <t xml:space="preserve">  Loss to Lease %</t>
  </si>
  <si>
    <t>Loss-to-lease: rate concessions vs market rate</t>
  </si>
  <si>
    <t xml:space="preserve">  Loss to Lease ($)</t>
  </si>
  <si>
    <t>Loss to lease $ = -LtL% × Total GPR</t>
  </si>
  <si>
    <t xml:space="preserve">  Concessions / Bad Debt %</t>
  </si>
  <si>
    <t>Concessions/bad debt: 1-3% of GPR typical</t>
  </si>
  <si>
    <t xml:space="preserve">  Concessions / Bad Debt ($)</t>
  </si>
  <si>
    <t>Concessions $ = -Conc% × Total GPR</t>
  </si>
  <si>
    <t xml:space="preserve">  Care Services Fees %</t>
  </si>
  <si>
    <t>Care services upcharges by acuity level</t>
  </si>
  <si>
    <t xml:space="preserve">  Care Services Fees ($)</t>
  </si>
  <si>
    <t>Care services $ = % × Total GPR (positive add-back)</t>
  </si>
  <si>
    <t xml:space="preserve">  2nd Person Revenue</t>
  </si>
  <si>
    <t>Spousal/couples fee</t>
  </si>
  <si>
    <t xml:space="preserve">  Other Income</t>
  </si>
  <si>
    <t>Ancillary services, beauty, etc.</t>
  </si>
  <si>
    <t>EFFECTIVE GROSS INCOME</t>
  </si>
  <si>
    <t>EGI = GPR less vacancy/LtL/conc plus care/2P/other</t>
  </si>
  <si>
    <t>EXPENSES (YEAR 1)</t>
  </si>
  <si>
    <t>$/Bed | % EGI</t>
  </si>
  <si>
    <t>── DIRECT LABOR ──</t>
  </si>
  <si>
    <t xml:space="preserve">  Care staff labor (AL / MC / IL)</t>
  </si>
  <si>
    <t>Care labor: 20-30% EGI — largest line; tracks acuity &amp; ratios</t>
  </si>
  <si>
    <t xml:space="preserve">  Wellness / care coordinators</t>
  </si>
  <si>
    <t>Wellness/nursing leads: 2-4% EGI — RN/LPN salaries</t>
  </si>
  <si>
    <t xml:space="preserve">  Contract / agency labor</t>
  </si>
  <si>
    <t>Agency labor: 0-5% EGI stabilized; can spike 5-15% in lease-up</t>
  </si>
  <si>
    <t xml:space="preserve">  Activities labor</t>
  </si>
  <si>
    <t>Activities labor: 1-2% EGI — life enrichment program</t>
  </si>
  <si>
    <t xml:space="preserve">  Dining / food service labor</t>
  </si>
  <si>
    <t>Dining labor: 4-6% EGI — chef, cooks, servers, dishwashers</t>
  </si>
  <si>
    <t xml:space="preserve">  Maintenance &amp; housekeeping labor</t>
  </si>
  <si>
    <t>Maintenance &amp; housekeeping labor: 2-4% EGI</t>
  </si>
  <si>
    <t xml:space="preserve">  Administrative labor</t>
  </si>
  <si>
    <t>Administrative labor: 3-5% EGI — ED, business office, sales</t>
  </si>
  <si>
    <t xml:space="preserve">  Bonus wages</t>
  </si>
  <si>
    <t>Bonus wages: 0-1% EGI — incentive comp</t>
  </si>
  <si>
    <t>Total Direct Labor</t>
  </si>
  <si>
    <t>Total Direct Labor: 35-45% EGI stabilized AL/MC</t>
  </si>
  <si>
    <t>── PAYROLL BURDEN ──</t>
  </si>
  <si>
    <t xml:space="preserve">  Overtime wages</t>
  </si>
  <si>
    <t>Overtime: 1-3% EGI — agency/turnover leading indicator</t>
  </si>
  <si>
    <t xml:space="preserve">  PTO wages</t>
  </si>
  <si>
    <t>PTO accrual: 1-2% EGI — vacation/sick wages</t>
  </si>
  <si>
    <t xml:space="preserve">  Payroll taxes</t>
  </si>
  <si>
    <t>Payroll taxes: 3-4% EGI (~8-10% of wages: FICA/SUTA/FUTA)</t>
  </si>
  <si>
    <t xml:space="preserve">  Employee benefits (health/dental/vision)</t>
  </si>
  <si>
    <t>Health/dental/vision: 4-7% EGI (15-25% of base wages)</t>
  </si>
  <si>
    <t xml:space="preserve">  Workers' comp insurance</t>
  </si>
  <si>
    <t>Workers' comp: 1-2% EGI (2-5% of wages; high in care)</t>
  </si>
  <si>
    <t xml:space="preserve">  Employee 401(k) / retirement</t>
  </si>
  <si>
    <t>401(k)/retirement match: 0-1% EGI (1-4% of wages)</t>
  </si>
  <si>
    <t>Total Payroll Burden</t>
  </si>
  <si>
    <t>Total Payroll Burden: 10-15% EGI (25-35% load on labor)</t>
  </si>
  <si>
    <t>── NON-LABOR OPEX ──</t>
  </si>
  <si>
    <t xml:space="preserve">  Food cost</t>
  </si>
  <si>
    <t>Food cost: 4-6% EGI — $8-12 per resident per day target</t>
  </si>
  <si>
    <t xml:space="preserve">  Dining &amp; kitchen supplies</t>
  </si>
  <si>
    <t>Dining/kitchen supplies: 0.5-1% EGI — consumables, smallwares</t>
  </si>
  <si>
    <t xml:space="preserve">  Nursing &amp; care supplies</t>
  </si>
  <si>
    <t>Nursing/care supplies: 1-2% EGI — incontinence, PPE, wound</t>
  </si>
  <si>
    <t xml:space="preserve">  Recreation &amp; activity supplies</t>
  </si>
  <si>
    <t>Activity supplies: 0.2-0.5% EGI — programming materials</t>
  </si>
  <si>
    <t xml:space="preserve">  R&amp;M — fixed (contracts)</t>
  </si>
  <si>
    <t>R&amp;M fixed: 1-2% EGI — HVAC, elevator, fire/life contracts</t>
  </si>
  <si>
    <t xml:space="preserve">  R&amp;M — variable (repairs)</t>
  </si>
  <si>
    <t>R&amp;M variable: 1-2% EGI — repairs, parts, ad-hoc service</t>
  </si>
  <si>
    <t xml:space="preserve">  Housekeeping &amp; laundry supplies</t>
  </si>
  <si>
    <t>Housekeeping/laundry supplies: 0.5-1% EGI — chemicals, linens</t>
  </si>
  <si>
    <t xml:space="preserve">  Sales, advertising &amp; marketing</t>
  </si>
  <si>
    <t>Marketing: 2-4% EGI stabilized; 4-8% in lease-up</t>
  </si>
  <si>
    <t xml:space="preserve">  Referral fees</t>
  </si>
  <si>
    <t>Referral fees: 1-3% EGI; ~5% of new-move-in revenue</t>
  </si>
  <si>
    <t xml:space="preserve">  Utilities (electric, gas, water, trash)</t>
  </si>
  <si>
    <t>Utilities: 3-5% EGI — $3-6/sf annually for senior housing</t>
  </si>
  <si>
    <t xml:space="preserve">  Telephone / IT / technology</t>
  </si>
  <si>
    <t>Telephone/IT: 1-2% EGI — internet, phone, software</t>
  </si>
  <si>
    <t xml:space="preserve">  P&amp;C insurance (bundled)</t>
  </si>
  <si>
    <t>P&amp;C insurance: 2-4% EGI — GL + property; rising sharply</t>
  </si>
  <si>
    <t xml:space="preserve">  Auto insurance</t>
  </si>
  <si>
    <t>Auto insurance: 0.1-0.3% EGI — community vehicle/bus</t>
  </si>
  <si>
    <t xml:space="preserve">  Fire / security monitoring</t>
  </si>
  <si>
    <t>Fire/security monitoring: 0.2-0.5% EGI — life safety contracts</t>
  </si>
  <si>
    <t xml:space="preserve">  Pest elimination</t>
  </si>
  <si>
    <t>Pest control: 0.1-0.3% EGI — quarterly service</t>
  </si>
  <si>
    <t xml:space="preserve">  Real estate taxes</t>
  </si>
  <si>
    <t>Real estate taxes: 3-6% EGI — confirm assessor portal</t>
  </si>
  <si>
    <t xml:space="preserve">  Personal property taxes</t>
  </si>
  <si>
    <t>Personal property taxes: 0-0.5% EGI — FF&amp;E if applicable</t>
  </si>
  <si>
    <t xml:space="preserve">  Legal expenses</t>
  </si>
  <si>
    <t>Legal: 0.2-0.5% EGI — corporate, employment, regulatory</t>
  </si>
  <si>
    <t xml:space="preserve">  Professional services (acctg/consulting)</t>
  </si>
  <si>
    <t>Professional services: 0.3-0.7% EGI — accounting, consulting</t>
  </si>
  <si>
    <t xml:space="preserve">  Bad debt expense</t>
  </si>
  <si>
    <t>Bad debt: 0.5-1.5% EGI — uncollected resident receivables</t>
  </si>
  <si>
    <t xml:space="preserve">  Permits, licenses &amp; dues</t>
  </si>
  <si>
    <t>Permits/licenses/dues: 0.2-0.5% EGI — state licensing</t>
  </si>
  <si>
    <t xml:space="preserve">  Office, admin &amp; G&amp;A</t>
  </si>
  <si>
    <t>Office admin/G&amp;A: 0.5-1% EGI — supplies, postage, dues</t>
  </si>
  <si>
    <t xml:space="preserve">  Other / miscellaneous</t>
  </si>
  <si>
    <t>Misc/other: &lt;1% EGI — unallocated catch-all</t>
  </si>
  <si>
    <t>Total Non-Labor OpEx</t>
  </si>
  <si>
    <t>Total Non-Labor OpEx: 25-35% EGI stabilized</t>
  </si>
  <si>
    <t>Management Fee</t>
  </si>
  <si>
    <t>Management fee: 4-7% EGI for 3rd-party operators</t>
  </si>
  <si>
    <t>TOTAL EXPENSES</t>
  </si>
  <si>
    <t>TOTAL EXPENSES: 70-78% EGI stabilized; 80%+ value-add/lease-up</t>
  </si>
  <si>
    <t>NET OPERATING INCOME</t>
  </si>
  <si>
    <t>NOI margin: 25-35% EGI target stabilized AL/MC</t>
  </si>
  <si>
    <t>DEAL SUMMARY METRICS</t>
  </si>
  <si>
    <t>Cap Rate (NOI/Purchase Price)</t>
  </si>
  <si>
    <t>AL/MC cap rate: 6.5-8.5% stabilized; higher value-add</t>
  </si>
  <si>
    <t>Debt Service (Annual)</t>
  </si>
  <si>
    <t>DSCR target ≥1.20x; watch Y1</t>
  </si>
  <si>
    <t>Cash Flow After Debt Service</t>
  </si>
  <si>
    <t>Positive Y2+ for value-add</t>
  </si>
  <si>
    <t>Debt Coverage Ratio</t>
  </si>
  <si>
    <t>≥1.20x required; ≥1.35x preferred</t>
  </si>
  <si>
    <t>Market Cap Rate</t>
  </si>
  <si>
    <t>6.5–8.5% AL/MC market cap rate</t>
  </si>
  <si>
    <t>Fair Market Value (NOI/Mkt Cap)</t>
  </si>
  <si>
    <t>Implied FMV at market cap — sanity check vs offer</t>
  </si>
  <si>
    <t>Hold: 3–7 years typical PE</t>
  </si>
  <si>
    <t>Exit cap: entry cap + 25–75 bps</t>
  </si>
  <si>
    <t>DEBT STRUCTURE — PER-SCENARIO LOAN INPUTS  (drives Loans, Waterfall &amp; P&amp;L)</t>
  </si>
  <si>
    <t xml:space="preserve">  Blue = input per scenario. Active scenario col F feeds all downstream sheets. Use $0 for unused tranches.</t>
  </si>
  <si>
    <t xml:space="preserve">  1ST LOAN — SENIOR / PRIMARY</t>
  </si>
  <si>
    <t>Loan Amount — 1st ($)</t>
  </si>
  <si>
    <t>60–70% LTV first lien; $0 to disable</t>
  </si>
  <si>
    <t>Interest Rate — 1st (%)</t>
  </si>
  <si>
    <t>Bridge: 6.5–8%; perm: 5.5–6.5%</t>
  </si>
  <si>
    <t>Amortization (years) — 1st</t>
  </si>
  <si>
    <t>25–30yr amortization standard</t>
  </si>
  <si>
    <t>Loan Term (years) — 1st</t>
  </si>
  <si>
    <t>Match hold period</t>
  </si>
  <si>
    <t>Interest-Only Period (months) — 1st</t>
  </si>
  <si>
    <t>IO 0–24 months; 0=fully amortizing</t>
  </si>
  <si>
    <t>Origination Fee % — 1st</t>
  </si>
  <si>
    <t>0.5–1.5% origination fee typical</t>
  </si>
  <si>
    <t xml:space="preserve">  2ND LOAN — MEZZANINE / BRIDGE</t>
  </si>
  <si>
    <t>Loan Amount — 2nd ($)</t>
  </si>
  <si>
    <t>Interest Rate — 2nd (%)</t>
  </si>
  <si>
    <t>Mezz: 8–12% typical</t>
  </si>
  <si>
    <t>Amortization (years) — 2nd</t>
  </si>
  <si>
    <t>Loan Term (years) — 2nd</t>
  </si>
  <si>
    <t>Interest-Only Period (months) — 2nd</t>
  </si>
  <si>
    <t>Origination Fee % — 2nd</t>
  </si>
  <si>
    <t xml:space="preserve">  SUPPLEMENTAL — SBA / SELLER CARRY</t>
  </si>
  <si>
    <t>Loan Amount — Supplemental ($)</t>
  </si>
  <si>
    <t>$0 if no supplemental tranche</t>
  </si>
  <si>
    <t>Interest Rate — Supplemental (%)</t>
  </si>
  <si>
    <t>Amortization (years) — Supplemental</t>
  </si>
  <si>
    <t>Loan Term (years) — Supplemental</t>
  </si>
  <si>
    <t>Interest-Only Period (months) — Supplemental</t>
  </si>
  <si>
    <t>Origination Fee % — Supplemental</t>
  </si>
  <si>
    <t xml:space="preserve">  CALCULATED METRICS (auto — do not edit)</t>
  </si>
  <si>
    <t xml:space="preserve">  Monthly Payment — 1st</t>
  </si>
  <si>
    <t xml:space="preserve">  Monthly Payment — 2nd</t>
  </si>
  <si>
    <t xml:space="preserve">  Monthly Payment — Supplemental</t>
  </si>
  <si>
    <t>Annual DS — 1st</t>
  </si>
  <si>
    <t>Annual DS — 2nd</t>
  </si>
  <si>
    <t>Annual DS — Supplemental</t>
  </si>
  <si>
    <t>TOTAL ANNUAL DEBT SERVICE</t>
  </si>
  <si>
    <t>Auto-calculated total DS</t>
  </si>
  <si>
    <t>Total Loan Balance at Exit (payoff)</t>
  </si>
  <si>
    <t>CUMPRINC-based balloon payoff</t>
  </si>
  <si>
    <t>Total Debt — All Tranches</t>
  </si>
  <si>
    <t>LTV — Total Debt / Purchase Price</t>
  </si>
  <si>
    <t>LTC — Total Debt / Total Acquisition Cost</t>
  </si>
  <si>
    <t>Size Senior Loan off Total Acq Cost? (LTC)</t>
  </si>
  <si>
    <t>NO</t>
  </si>
  <si>
    <t>YES = loan sized off Total Acq Cost (LTC basis); NO = sized off Purchase Price (LTV basis)</t>
  </si>
  <si>
    <t>Wrapped into LTC:</t>
  </si>
  <si>
    <t>Soft costs wrapped into senior loan when LTC toggle = YES</t>
  </si>
  <si>
    <t xml:space="preserve">  Repairs / CapEx at Close</t>
  </si>
  <si>
    <t xml:space="preserve">  Operating Reserves</t>
  </si>
  <si>
    <t xml:space="preserve">  Est. Closing Costs</t>
  </si>
  <si>
    <t xml:space="preserve">  Acquisition Fee</t>
  </si>
  <si>
    <t>Total Soft Costs</t>
  </si>
  <si>
    <t>P&amp;L — 10-YEAR PRO FORMA PROJECTIONS  (Active Scenario drives all inputs)</t>
  </si>
  <si>
    <t xml:space="preserve">  Blue = input | Black = formula | Green = cross-sheet. Escalators auto-pulled from annual averages. Override any cell and highlight yellow.</t>
  </si>
  <si>
    <t>ESCALATORS &amp; ASSUMPTIONS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</si>
  <si>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</si>
  <si>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</si>
  <si>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</si>
  <si>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</si>
  <si>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</si>
  <si>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</si>
  <si>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</si>
  <si>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</si>
  <si>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</si>
  <si>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</si>
  <si>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Annual Revenue Escalator</t>
  </si>
  <si>
    <t>Avg:</t>
  </si>
  <si>
    <t>Annual Expense Escalator</t>
  </si>
  <si>
    <t>T-12 Actual</t>
  </si>
  <si>
    <t>Total
(Y1–Y5)</t>
  </si>
  <si>
    <t>Total
(Y1–Y10)</t>
  </si>
  <si>
    <t>Avg / Yr</t>
  </si>
  <si>
    <t>Y1 % EGI
/ Y1 Value</t>
  </si>
  <si>
    <t>INCOME</t>
  </si>
  <si>
    <t>Avg. Rent / Bed</t>
  </si>
  <si>
    <t xml:space="preserve">    Vacancy % — IL</t>
  </si>
  <si>
    <t xml:space="preserve">    Less: Vacancy — IL</t>
  </si>
  <si>
    <t xml:space="preserve">    Loss to Lease % — IL</t>
  </si>
  <si>
    <t xml:space="preserve">    Less: Loss to Lease — IL</t>
  </si>
  <si>
    <t xml:space="preserve">    Bad Debt / Concessions % — IL</t>
  </si>
  <si>
    <t xml:space="preserve">    Less: Concessions/Bad Debt — IL</t>
  </si>
  <si>
    <t xml:space="preserve">    Vacancy % — AL</t>
  </si>
  <si>
    <t xml:space="preserve">    Less: Vacancy — AL</t>
  </si>
  <si>
    <t xml:space="preserve">    Loss to Lease % — AL</t>
  </si>
  <si>
    <t xml:space="preserve">    Less: Loss to Lease — AL</t>
  </si>
  <si>
    <t xml:space="preserve">    Bad Debt / Concessions % — AL</t>
  </si>
  <si>
    <t xml:space="preserve">    Less: Concessions/Bad Debt — AL</t>
  </si>
  <si>
    <t xml:space="preserve">    Vacancy % — MC</t>
  </si>
  <si>
    <t xml:space="preserve">    Less: Vacancy — MC</t>
  </si>
  <si>
    <t xml:space="preserve">    Loss to Lease % — MC</t>
  </si>
  <si>
    <t xml:space="preserve">    Less: Loss to Lease — MC</t>
  </si>
  <si>
    <t xml:space="preserve">    Bad Debt / Concessions % — MC</t>
  </si>
  <si>
    <t xml:space="preserve">    Less: Concessions/Bad Debt — MC</t>
  </si>
  <si>
    <t>── SUMMARY ROLLUP ──</t>
  </si>
  <si>
    <t>Total Licensed Beds</t>
  </si>
  <si>
    <t xml:space="preserve">  Less: Total Vacancy</t>
  </si>
  <si>
    <t xml:space="preserve">  Less: Total Loss to Lease</t>
  </si>
  <si>
    <t xml:space="preserve">  Less: Total Concessions/Bad Debt</t>
  </si>
  <si>
    <t>Care Services Fees</t>
  </si>
  <si>
    <t>2nd Person Revenue</t>
  </si>
  <si>
    <t>Other Income</t>
  </si>
  <si>
    <t>EXPENSES</t>
  </si>
  <si>
    <t xml:space="preserve">  Care staff labor</t>
  </si>
  <si>
    <t xml:space="preserve">  Employee benefits</t>
  </si>
  <si>
    <t xml:space="preserve">  R&amp;M — fixed</t>
  </si>
  <si>
    <t xml:space="preserve">  R&amp;M — variable</t>
  </si>
  <si>
    <t xml:space="preserve">  Utilities</t>
  </si>
  <si>
    <t xml:space="preserve">  P&amp;C insurance</t>
  </si>
  <si>
    <t xml:space="preserve">  Professional services</t>
  </si>
  <si>
    <t>TOTAL OPERATING EXPENSES</t>
  </si>
  <si>
    <t>NET OPERATING INCOME (NOI)</t>
  </si>
  <si>
    <t>Operating Margin</t>
  </si>
  <si>
    <t>DEBT SERVICE</t>
  </si>
  <si>
    <t>Annual Principal Payment</t>
  </si>
  <si>
    <t>Annual Intereset Payment</t>
  </si>
  <si>
    <t>Annual Total Debt Service</t>
  </si>
  <si>
    <t>CASH FLOW AFTER DEBT SERVICE</t>
  </si>
  <si>
    <t>OPERATING RESERVE TRACKER</t>
  </si>
  <si>
    <t>Opening Reserve Balance</t>
  </si>
  <si>
    <t>Reserve Draw (CF deficit cover)</t>
  </si>
  <si>
    <t>Ending Reserve Balance</t>
  </si>
  <si>
    <t>DISTRIBUTIONS FROM CASH FLOW</t>
  </si>
  <si>
    <t>Asset Mgmt Fee (2.0% equity)</t>
  </si>
  <si>
    <t>Class A LP Preferred Return</t>
  </si>
  <si>
    <t>LP Excess CF Share (1 - GP Promote %)</t>
  </si>
  <si>
    <t>GP Excess CF Share (GP Promote %)</t>
  </si>
  <si>
    <t>KEY METRICS &amp; BREAKEVEN ANALYSIS</t>
  </si>
  <si>
    <t>Cash on Cash Return</t>
  </si>
  <si>
    <t>Average Cash on Cash (Y1–Y10)</t>
  </si>
  <si>
    <t>Breakeven Occupancy %</t>
  </si>
  <si>
    <t>NOI Margin</t>
  </si>
  <si>
    <t>Cap Rate (on Purchase Price)</t>
  </si>
  <si>
    <t>Property Value (@ 7% cap)</t>
  </si>
  <si>
    <t>LP-SPECIFIC CASH YIELD  (from Waterfall distributions ÷ LP equity)</t>
  </si>
  <si>
    <t>Class A LP Cash Yield (annual)</t>
  </si>
  <si>
    <t xml:space="preserve">  Avg Class A LP Cash Yield (hold period)</t>
  </si>
  <si>
    <t>Total LP Cash Yield  (Class A + B)</t>
  </si>
  <si>
    <t xml:space="preserve">  Avg Total LP Cash Yield (hold period)</t>
  </si>
  <si>
    <t xml:space="preserve">  Note: LP Cash Yield uses actual Waterfall distributions (after pref + promote). Deal-level CoC (R51) uses total pre-distribution CF — different denominator and numerator.</t>
  </si>
  <si>
    <t>T-12 ANALYSIS  —  Trailing 12 Diagnostic Layer (Senior Living)</t>
  </si>
  <si>
    <t>ANALYSIS on top. Standardized aggregation (Layer 3) and raw paste block (Layer 1) below — scroll down to access data. Per Bed/Month uses occupied beds from Rent Roll Analysis. Benchmarks calibrated to assisted/memory care community norms.</t>
  </si>
  <si>
    <t>B.  RECONCILIATION CHECK  —  Are all raw lines mapped?</t>
  </si>
  <si>
    <t>EGI:</t>
  </si>
  <si>
    <t>OpEx:</t>
  </si>
  <si>
    <t>EBITDAR:</t>
  </si>
  <si>
    <t>Unmapped $:</t>
  </si>
  <si>
    <t>🟢 all mapped</t>
  </si>
  <si>
    <t>EGI / Occ Bed / Mo:</t>
  </si>
  <si>
    <t>C.  TREND ANALYSIS  —  T-3 vs. T-6 vs. T-12 (annualized)</t>
  </si>
  <si>
    <t>T-6 Annlzd</t>
  </si>
  <si>
    <t>T-3 Annlzd</t>
  </si>
  <si>
    <t>T-3 vs T-12 Δ$</t>
  </si>
  <si>
    <t>T-3 vs T-12 Δ%</t>
  </si>
  <si>
    <t>Direction</t>
  </si>
  <si>
    <t>Read</t>
  </si>
  <si>
    <t>EGI</t>
  </si>
  <si>
    <t>Total OpEx</t>
  </si>
  <si>
    <t>EBITDAR</t>
  </si>
  <si>
    <t>Bad Debt + Write-offs</t>
  </si>
  <si>
    <t>Total Labor &amp; Burden</t>
  </si>
  <si>
    <t>Food Cost</t>
  </si>
  <si>
    <t>Utilities</t>
  </si>
  <si>
    <t>Overtime Wages</t>
  </si>
  <si>
    <t>D.  ECONOMIC vs. PHYSICAL OCCUPANCY RECONCILIATION</t>
  </si>
  <si>
    <t>Licensed Beds (IL + AL + MC)</t>
  </si>
  <si>
    <t>Physically Occupied Beds</t>
  </si>
  <si>
    <t>Physical Occupancy %</t>
  </si>
  <si>
    <t>Gross Potential Rent / GPR (annual)</t>
  </si>
  <si>
    <t>Net Rent Revenue (billed)</t>
  </si>
  <si>
    <t>Total Revenue / EGI</t>
  </si>
  <si>
    <t>Economic Occupancy % (Net Rent / GPR)</t>
  </si>
  <si>
    <t>Economic vs. Physical Gap</t>
  </si>
  <si>
    <t xml:space="preserve">  → Lost Revenue from Gap ($)</t>
  </si>
  <si>
    <t>E.  BAD DEBT &amp; WRITE-OFF LAYERED ANALYSIS</t>
  </si>
  <si>
    <t>Component</t>
  </si>
  <si>
    <t>% of GPR</t>
  </si>
  <si>
    <t>Per Bed/Mo</t>
  </si>
  <si>
    <t>Vacancy Loss</t>
  </si>
  <si>
    <t>5–10% GPR</t>
  </si>
  <si>
    <t>ok</t>
  </si>
  <si>
    <t>Bad Debt / Write-offs</t>
  </si>
  <si>
    <t>1–3% GPR</t>
  </si>
  <si>
    <t>Concessions &amp; Specials</t>
  </si>
  <si>
    <t>0.5–2% GPR</t>
  </si>
  <si>
    <t>Delinquency Change</t>
  </si>
  <si>
    <t>&lt;2% GPR</t>
  </si>
  <si>
    <t>Total Rent Reductions</t>
  </si>
  <si>
    <t>F.  TAX &amp; INSURANCE ACCRUAL CHECK</t>
  </si>
  <si>
    <t>T-12 actuals rarely equal pro forma. Triangulate RE taxes with reassessment estimate; insurance with lender quote.</t>
  </si>
  <si>
    <t>Real Estate Taxes</t>
  </si>
  <si>
    <t xml:space="preserve">  T-12 Actual</t>
  </si>
  <si>
    <t xml:space="preserve">  Pro Forma Estimate</t>
  </si>
  <si>
    <t xml:space="preserve">  Variance (Actual − PF)</t>
  </si>
  <si>
    <t xml:space="preserve">  Status</t>
  </si>
  <si>
    <t>P&amp;C Insurance</t>
  </si>
  <si>
    <t>↓  ↓  ↓   DATA TIER BELOW — Standardized Aggregation (Layer 3) and Raw T-12 (Layer 1)   ↓  ↓  ↓</t>
  </si>
  <si>
    <t>H.  LAYER 3: STANDARDIZED AGGREGATION  —  Bucket-level detail (paste from Analyzer UW Export, col E)</t>
  </si>
  <si>
    <t>Standardized Bucket</t>
  </si>
  <si>
    <t>T-12 Total</t>
  </si>
  <si>
    <t>% of EGI</t>
  </si>
  <si>
    <t>Bench Flag</t>
  </si>
  <si>
    <t>INCOME  (Actual — per T-12)</t>
  </si>
  <si>
    <t xml:space="preserve">  Base Rent — IL</t>
  </si>
  <si>
    <t xml:space="preserve">  Base Rent — AL</t>
  </si>
  <si>
    <t xml:space="preserve">  Base Rent — MC</t>
  </si>
  <si>
    <t xml:space="preserve">    Total Base Rent</t>
  </si>
  <si>
    <t xml:space="preserve">  LOC / Care Services — IL</t>
  </si>
  <si>
    <t xml:space="preserve">  LOC / Care Services — AL</t>
  </si>
  <si>
    <t xml:space="preserve">  LOC / Care Services — MC</t>
  </si>
  <si>
    <t xml:space="preserve">    Total LOC / Care Services</t>
  </si>
  <si>
    <t xml:space="preserve">  Community / Move-in Fees</t>
  </si>
  <si>
    <t xml:space="preserve">  Respite Care Revenue</t>
  </si>
  <si>
    <t xml:space="preserve">  Meal Income</t>
  </si>
  <si>
    <t xml:space="preserve">  Housekeeping Income</t>
  </si>
  <si>
    <t xml:space="preserve">  Laundry Income</t>
  </si>
  <si>
    <t xml:space="preserve">  Scooter Fee Revenue</t>
  </si>
  <si>
    <t xml:space="preserve">  Transfer Fee Revenue</t>
  </si>
  <si>
    <t xml:space="preserve">  Other Community Revenue</t>
  </si>
  <si>
    <t xml:space="preserve">  Less: Vacancy / Credit Loss (actual)</t>
  </si>
  <si>
    <t xml:space="preserve">  Concessions &amp; Specials  (contra)</t>
  </si>
  <si>
    <t xml:space="preserve">  Bad Debt / Write-offs  (contra)</t>
  </si>
  <si>
    <t>EFFECTIVE GROSS INCOME (EGI)</t>
  </si>
  <si>
    <t>GPR WATERFALL — DIAGNOSTIC  (RR market projection; NOT T-12 actual)</t>
  </si>
  <si>
    <t>vs T-12 Actual ($)</t>
  </si>
  <si>
    <t>vs T-12 (%)</t>
  </si>
  <si>
    <t xml:space="preserve">  Gross Potential Rent (GPR)</t>
  </si>
  <si>
    <t>Market GPR (RR ann.)</t>
  </si>
  <si>
    <t xml:space="preserve">  Less: Loss to Lease</t>
  </si>
  <si>
    <t xml:space="preserve">  Less: Vacancy Loss</t>
  </si>
  <si>
    <t xml:space="preserve">  Net Rent (projected)</t>
  </si>
  <si>
    <t>LABOR  —  Wages &amp; Burden</t>
  </si>
  <si>
    <t>Care Staff Labor</t>
  </si>
  <si>
    <t>&lt; $500/bed/mo target</t>
  </si>
  <si>
    <t xml:space="preserve">  Wellness / Care Coordinators</t>
  </si>
  <si>
    <t xml:space="preserve">  Contract / Agency Labor</t>
  </si>
  <si>
    <t>&lt; 2% of total labor ✓</t>
  </si>
  <si>
    <t xml:space="preserve">  Activities Labor</t>
  </si>
  <si>
    <t xml:space="preserve">  Dining / Food Service Labor</t>
  </si>
  <si>
    <t xml:space="preserve">  Maintenance &amp; HK Labor</t>
  </si>
  <si>
    <t xml:space="preserve">  Administrative Labor</t>
  </si>
  <si>
    <t xml:space="preserve">  Bonus Wages</t>
  </si>
  <si>
    <t xml:space="preserve">  Overtime Wages</t>
  </si>
  <si>
    <t>&lt; 6% of labor ✓; &gt; 8% ✗</t>
  </si>
  <si>
    <t xml:space="preserve">  PTO Wages</t>
  </si>
  <si>
    <t xml:space="preserve">  Payroll Taxes</t>
  </si>
  <si>
    <t>~7.65% of gross wages</t>
  </si>
  <si>
    <t xml:space="preserve">  Employee Benefits</t>
  </si>
  <si>
    <t xml:space="preserve">  Workers' Comp Insurance</t>
  </si>
  <si>
    <t xml:space="preserve">  Employee 401(k)</t>
  </si>
  <si>
    <t>TOTAL LABOR &amp; BURDEN</t>
  </si>
  <si>
    <t>&lt; 55% EGI ✓; &gt; 60% ✗</t>
  </si>
  <si>
    <t>NON-LABOR OPERATING EXPENSES</t>
  </si>
  <si>
    <t>&lt; $200/bed/mo ✓; &gt; $250 ✗</t>
  </si>
  <si>
    <t xml:space="preserve">  Dining &amp; Kitchen Supplies</t>
  </si>
  <si>
    <t xml:space="preserve">  Nursing &amp; Care Supplies</t>
  </si>
  <si>
    <t xml:space="preserve">  Recreation Supplies</t>
  </si>
  <si>
    <t>R&amp;M — Fixed</t>
  </si>
  <si>
    <t xml:space="preserve">  R&amp;M — Variable</t>
  </si>
  <si>
    <t xml:space="preserve">  HK &amp; Laundry Supplies</t>
  </si>
  <si>
    <t>Sales, Adv. &amp; Marketing</t>
  </si>
  <si>
    <t xml:space="preserve">  Referral Fees</t>
  </si>
  <si>
    <t>&lt; 3% EGI ✓; &gt; 5% ✗</t>
  </si>
  <si>
    <t xml:space="preserve">  Telephone / IT</t>
  </si>
  <si>
    <t xml:space="preserve">  Auto Insurance</t>
  </si>
  <si>
    <t xml:space="preserve">  Auto Expense</t>
  </si>
  <si>
    <t xml:space="preserve">  Fire / Security Monitoring</t>
  </si>
  <si>
    <t xml:space="preserve">  Pest Elimination</t>
  </si>
  <si>
    <t xml:space="preserve">  Personal Property Taxes</t>
  </si>
  <si>
    <t xml:space="preserve">  Legal Expenses</t>
  </si>
  <si>
    <t xml:space="preserve">  Professional Services</t>
  </si>
  <si>
    <t>Bad Debt Expense</t>
  </si>
  <si>
    <t xml:space="preserve">  Permits, Licenses &amp; Dues</t>
  </si>
  <si>
    <t>Office, Admin &amp; G&amp;A</t>
  </si>
  <si>
    <t xml:space="preserve">  Other / Miscellaneous</t>
  </si>
  <si>
    <t xml:space="preserve">  Lease / Ground Lease</t>
  </si>
  <si>
    <t>TOTAL NON-LABOR</t>
  </si>
  <si>
    <t>MANAGEMENT &amp; NOI</t>
  </si>
  <si>
    <t>Total Operating Expenses (excl. mgmt)</t>
  </si>
  <si>
    <t>EBITDARM</t>
  </si>
  <si>
    <t>EBITDAR  (= NOI)</t>
  </si>
  <si>
    <t>EBITDA</t>
  </si>
  <si>
    <t>I.  LAYER 1: RAW T-12  (paste operator data here, then map column P to Layer 3 bucket)</t>
  </si>
  <si>
    <t>Acct #</t>
  </si>
  <si>
    <t>Account Name (raw)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</si>
  <si>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</si>
  <si>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</si>
  <si>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</si>
  <si>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</si>
  <si>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</si>
  <si>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</si>
  <si>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</si>
  <si>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</si>
  <si>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</si>
  <si>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</si>
  <si>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</si>
  <si>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</si>
  <si>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→ MAPPING</t>
  </si>
  <si>
    <t>Variance</t>
  </si>
  <si>
    <t>Base Rent — IL</t>
  </si>
  <si>
    <t>Base Rent — AL</t>
  </si>
  <si>
    <t>Base Rent — MC</t>
  </si>
  <si>
    <t>LOC / Care Services — AL</t>
  </si>
  <si>
    <t>Respite Care Revenue</t>
  </si>
  <si>
    <t>Community / Move-in Fees</t>
  </si>
  <si>
    <t>Other Community Revenue</t>
  </si>
  <si>
    <t>Wellness / Care Coordinators</t>
  </si>
  <si>
    <t>Nursing &amp; Care Supplies</t>
  </si>
  <si>
    <t>Dining / Food Service Labor</t>
  </si>
  <si>
    <t>Activities Labor</t>
  </si>
  <si>
    <t>Maintenance &amp; HK Labor</t>
  </si>
  <si>
    <t>Administrative Labor</t>
  </si>
  <si>
    <t>Payroll Taxes</t>
  </si>
  <si>
    <t>Workers' Comp Insurance</t>
  </si>
  <si>
    <t>Employee 401(k)</t>
  </si>
  <si>
    <t>Dining &amp; Kitchen Supplies</t>
  </si>
  <si>
    <t>Recreation Supplies</t>
  </si>
  <si>
    <t>R&amp;M — Variable</t>
  </si>
  <si>
    <t>HK &amp; Laundry Supplies</t>
  </si>
  <si>
    <t>Referral Fees</t>
  </si>
  <si>
    <t>Telephone / IT</t>
  </si>
  <si>
    <t>Personal Property Taxes</t>
  </si>
  <si>
    <t>Legal Expenses</t>
  </si>
  <si>
    <t>Professional Services</t>
  </si>
  <si>
    <t>Permits, Licenses &amp; Dues</t>
  </si>
  <si>
    <t>Other / Miscellaneous</t>
  </si>
  <si>
    <t>J.  RAW TOTALS  —  Source-of-truth sums (should match Section H subtotals)</t>
  </si>
  <si>
    <t>Total Revenue (raw, income-mapped)</t>
  </si>
  <si>
    <t>Total OpEx (raw, expense-mapped)</t>
  </si>
  <si>
    <t>Unmapped lines:</t>
  </si>
  <si>
    <t>ACQUISITION COSTS — USE OF CAPITAL</t>
  </si>
  <si>
    <t>USE OF CAPITAL SUMMARY</t>
  </si>
  <si>
    <t>Less: Total Loan Amount</t>
  </si>
  <si>
    <t>Down Payment Required</t>
  </si>
  <si>
    <t>Closing Costs</t>
  </si>
  <si>
    <t>Acquisition Fee</t>
  </si>
  <si>
    <t>Repair Escrow / CapEx</t>
  </si>
  <si>
    <t>TOTAL CASH AT CLOSE</t>
  </si>
  <si>
    <t>CLOSING COSTS DETAIL</t>
  </si>
  <si>
    <t>Item</t>
  </si>
  <si>
    <t>Rate/Factor</t>
  </si>
  <si>
    <t>LENDER FEES &amp; THIRD-PARTY COSTS</t>
  </si>
  <si>
    <t>Environmental (EDR)</t>
  </si>
  <si>
    <t>Appraisal</t>
  </si>
  <si>
    <t>Structural Inspection</t>
  </si>
  <si>
    <t>Lender Legal Fees</t>
  </si>
  <si>
    <t>Bank Doc Prep Fee</t>
  </si>
  <si>
    <t>Origination Fee</t>
  </si>
  <si>
    <t>Total origination fees — all tranches</t>
  </si>
  <si>
    <t>TITLE &amp; CLOSING COSTS</t>
  </si>
  <si>
    <t>Title Policy</t>
  </si>
  <si>
    <t>0.30% of purchase price</t>
  </si>
  <si>
    <t>Survey</t>
  </si>
  <si>
    <t>Recording</t>
  </si>
  <si>
    <t>Transfer Taxes</t>
  </si>
  <si>
    <t>0.35% of purchase price</t>
  </si>
  <si>
    <t>Title Processing Fee</t>
  </si>
  <si>
    <t>Title Search</t>
  </si>
  <si>
    <t>Attorney Fees</t>
  </si>
  <si>
    <t>OTHER COSTS</t>
  </si>
  <si>
    <t>Legal (LLC, PPM, OA)</t>
  </si>
  <si>
    <t>Property Inspection</t>
  </si>
  <si>
    <t>Travel</t>
  </si>
  <si>
    <t>Miscellaneous</t>
  </si>
  <si>
    <t>RE Taxes</t>
  </si>
  <si>
    <t>Insurance</t>
  </si>
  <si>
    <t>TOTAL CLOSING &amp; OTHER COSTS</t>
  </si>
  <si>
    <t>Closing Costs excl. 1st-Loan Origination (LTC solver input)</t>
  </si>
  <si>
    <t>STAFFING MATRIX — PER-SHIFT | FTE BUILD | HPPD | TOTAL PAYROLL → P&amp;L R28</t>
  </si>
  <si>
    <t xml:space="preserve">  Blue=Input | Black=Formula | Green=Cross-sheet. Cell M69 (Total Payroll) feeds P&amp;L!C28 automatically. Census pulled from Scenarios sheet.</t>
  </si>
  <si>
    <t>SECTION 1 — CENSUS &amp; STAFFING RATE ASSUMPTIONS</t>
  </si>
  <si>
    <t>Total Units  (physical rooms, from Scenarios)</t>
  </si>
  <si>
    <t>Physical rooms ≠ licensed beds — see Prop Info for bed count</t>
  </si>
  <si>
    <t>AL Occupied Beds  (Y1 census)</t>
  </si>
  <si>
    <t>Enter occupied bed count, not room count</t>
  </si>
  <si>
    <t>MC Occupied Beds  (Y1 census)</t>
  </si>
  <si>
    <t>IL Occupied Beds  (Y1 census)</t>
  </si>
  <si>
    <t>Total Care Residents  (AL + MC occupied beds)</t>
  </si>
  <si>
    <t>Licensed Beds  (from Prop Info — regulatory ceiling)</t>
  </si>
  <si>
    <t>Licensed beds = regulatory max. Occupied beds ≤ licensed beds.</t>
  </si>
  <si>
    <t>Rate &amp; Cost Assumptions</t>
  </si>
  <si>
    <t>Benefits Load (FICA + health + 401k)</t>
  </si>
  <si>
    <t>Typical 18–22%</t>
  </si>
  <si>
    <t>Overtime Load</t>
  </si>
  <si>
    <t>5% of base wages; AL/MC often higher</t>
  </si>
  <si>
    <t>Eve Differential ($/hr premium)</t>
  </si>
  <si>
    <t>3p–11p shift</t>
  </si>
  <si>
    <t>Night Differential ($/hr premium)</t>
  </si>
  <si>
    <t>11p–7a shift</t>
  </si>
  <si>
    <t>Weekend Premium ($/hr)</t>
  </si>
  <si>
    <t>Added to shift differential</t>
  </si>
  <si>
    <t>Target Staffing Ratios (residents : 1 staff)</t>
  </si>
  <si>
    <t xml:space="preserve">  Ratio-driven CNA rows auto-calculate headcount. Verify against your state DOH minimum requirements.</t>
  </si>
  <si>
    <t>AL — Day Shift (1:X residents per aide)</t>
  </si>
  <si>
    <t>1:6 day; increase MC urgency</t>
  </si>
  <si>
    <t>AL — Evening Shift (1:X)</t>
  </si>
  <si>
    <t>1:7 eve; lighter acuity overnight</t>
  </si>
  <si>
    <t>AL — Night Shift (1:X)</t>
  </si>
  <si>
    <t>1:10 night minimum</t>
  </si>
  <si>
    <t>MC — Day Shift (1:X)</t>
  </si>
  <si>
    <t>1:5 MC day; CMS recommends closer to 1:4</t>
  </si>
  <si>
    <t>MC — Evening Shift (1:X)</t>
  </si>
  <si>
    <t>1:6 MC eve</t>
  </si>
  <si>
    <t>MC — Night Shift (1:X)</t>
  </si>
  <si>
    <t>1:8 MC night</t>
  </si>
  <si>
    <t>SECTION 2 — PER-SHIFT HEADCOUNT MATRIX  (staff per shift × 6 shifts)</t>
  </si>
  <si>
    <t>WEEKDAY</t>
  </si>
  <si>
    <t>WEEKEND</t>
  </si>
  <si>
    <t>Hrs/Wk</t>
  </si>
  <si>
    <t>FTEs</t>
  </si>
  <si>
    <t>Base
$/hr</t>
  </si>
  <si>
    <t>Shift-Adj
$/hr</t>
  </si>
  <si>
    <t>Annual
Cost ($)</t>
  </si>
  <si>
    <t>% Total
Payroll</t>
  </si>
  <si>
    <t>Position</t>
  </si>
  <si>
    <t>Dept</t>
  </si>
  <si>
    <t>Day
7a–3p</t>
  </si>
  <si>
    <t>Eve
3p–11p</t>
  </si>
  <si>
    <t>Night
11p–7a</t>
  </si>
  <si>
    <t xml:space="preserve">  Care Staff</t>
  </si>
  <si>
    <t>Director of Nursing</t>
  </si>
  <si>
    <t>Care</t>
  </si>
  <si>
    <t>RN / Asst DON</t>
  </si>
  <si>
    <t>Med Tech / CMA</t>
  </si>
  <si>
    <t>CNA — Day (AL)</t>
  </si>
  <si>
    <t>CNA — Eve (AL)</t>
  </si>
  <si>
    <t>CNA — Night (AL)</t>
  </si>
  <si>
    <t>CNA — Day (MC)</t>
  </si>
  <si>
    <t>CNA — Eve (MC)</t>
  </si>
  <si>
    <t>CNA — Night (MC)</t>
  </si>
  <si>
    <t xml:space="preserve">  Subtotal — Care Staff</t>
  </si>
  <si>
    <t xml:space="preserve">  Dining</t>
  </si>
  <si>
    <t>Dining Manager / Chef</t>
  </si>
  <si>
    <t>Dining</t>
  </si>
  <si>
    <t>Cook</t>
  </si>
  <si>
    <t>Dietary Aide / Server</t>
  </si>
  <si>
    <t>Dishwasher</t>
  </si>
  <si>
    <t xml:space="preserve">  Subtotal — Dining</t>
  </si>
  <si>
    <t xml:space="preserve">  Housekeeping / Laundry</t>
  </si>
  <si>
    <t>Housekeeper Sup.</t>
  </si>
  <si>
    <t>H/K</t>
  </si>
  <si>
    <t>Housekeeper</t>
  </si>
  <si>
    <t>Laundry Aide</t>
  </si>
  <si>
    <t xml:space="preserve">  Subtotal — Housekeeping / Laundry</t>
  </si>
  <si>
    <t xml:space="preserve">  Maintenance, Activities &amp; Admin</t>
  </si>
  <si>
    <t>Maintenance Sup.</t>
  </si>
  <si>
    <t>Maint</t>
  </si>
  <si>
    <t>Maintenance Tech</t>
  </si>
  <si>
    <t>Activities Director</t>
  </si>
  <si>
    <t>Admin</t>
  </si>
  <si>
    <t>Activities Aide</t>
  </si>
  <si>
    <t>Sales / Mktg Director</t>
  </si>
  <si>
    <t>Business Office Mgr</t>
  </si>
  <si>
    <t>Receptionist</t>
  </si>
  <si>
    <t>Transportation Driver</t>
  </si>
  <si>
    <t>Executive Director</t>
  </si>
  <si>
    <t xml:space="preserve">  Subtotal — Maintenance, Activities &amp; Admin</t>
  </si>
  <si>
    <t>TOTAL PAYROLL — ALL DEPARTMENTS  →→  feeds P&amp;L row 28</t>
  </si>
  <si>
    <t>Manual Entry</t>
  </si>
  <si>
    <t>SECTION 3 — STAFFING LOAD HEATMAP  (actual vs. target ratios per shift)</t>
  </si>
  <si>
    <t xml:space="preserve">  Green=at/below target | Orange=10–20% over target | Red=&gt;20% over (understaffing risk)</t>
  </si>
  <si>
    <t>Shift</t>
  </si>
  <si>
    <t>Residents</t>
  </si>
  <si>
    <t>WD Staff</t>
  </si>
  <si>
    <t>WD Ratio
(R:S)</t>
  </si>
  <si>
    <t>WE Staff</t>
  </si>
  <si>
    <t>WE Ratio
(R:S)</t>
  </si>
  <si>
    <t>Target
Ratio</t>
  </si>
  <si>
    <t>WD vs
Target</t>
  </si>
  <si>
    <t>Status</t>
  </si>
  <si>
    <t>HPPD</t>
  </si>
  <si>
    <t>AL — Day   (7a–3p)</t>
  </si>
  <si>
    <t>AL — Eve   (3p–11p)</t>
  </si>
  <si>
    <t>AL — Night (11p–7a)</t>
  </si>
  <si>
    <t>MC — Day   (7a–3p)</t>
  </si>
  <si>
    <t>MC — Eve   (3p–11p)</t>
  </si>
  <si>
    <t>MC — Night (11p–7a)</t>
  </si>
  <si>
    <t>SECTION 4 — HPPD TRACKER  (Hours Per Patient Day)</t>
  </si>
  <si>
    <t xml:space="preserve">  HPPD = care staff FTEs × 2080 ÷ 365 ÷ occupied beds. Benchmark: AL 2.5–3.5 | MC 3.5–4.5. Watched by buyers, lenders, and surveyors.</t>
  </si>
  <si>
    <t>Calculated</t>
  </si>
  <si>
    <t>Bench Low</t>
  </si>
  <si>
    <t>Bench High</t>
  </si>
  <si>
    <t>Delta vs Mid</t>
  </si>
  <si>
    <t>Care HPPD — AL</t>
  </si>
  <si>
    <t>Care HPPD — MC</t>
  </si>
  <si>
    <t>Care HPPD — Combined</t>
  </si>
  <si>
    <t>Labor Cost / Resident / Day ($)</t>
  </si>
  <si>
    <t>SECTION 5 — PAYROLL OUTPUT  →  P&amp;L FEED</t>
  </si>
  <si>
    <t xml:space="preserve">  Total Payroll (cell M67) feeds P&amp;L sheet row 28 automatically. Verify the P&amp;L Payroll row shows a green formula.</t>
  </si>
  <si>
    <t>Total Annual Payroll (all departments)</t>
  </si>
  <si>
    <t>← This value feeds P&amp;L!C28 (Year 1 Payroll)</t>
  </si>
  <si>
    <t>P&amp;L formula in C28: ='Staffing Matrix'!M67</t>
  </si>
  <si>
    <t>Total FTEs (all departments)</t>
  </si>
  <si>
    <t>Full-time equivalents across all 6 shifts</t>
  </si>
  <si>
    <t>Avg Annual Cost per FTE</t>
  </si>
  <si>
    <t>Loaded cost: wages + benefits + OT</t>
  </si>
  <si>
    <t>SECTION 6 — COST PER RESIDENT DAY (PRD) &amp; LABOR INTENSITY ANALYSIS</t>
  </si>
  <si>
    <t xml:space="preserve">  PRD ties labor cost to census — the lens operators and lenders use alongside HPPD. All figures are annual / occupied-bed based. Enter agency spend below; everything else auto-calculates.</t>
  </si>
  <si>
    <t xml:space="preserve">  A.  BASE — OCCUPIED RESIDENTS &amp; ANNUAL RESIDENT DAYS</t>
  </si>
  <si>
    <t>Total Occupied Residents  (AL + MC + IL)</t>
  </si>
  <si>
    <t>From Section 1 census inputs</t>
  </si>
  <si>
    <t>Annual Resident Days  (residents × 365)</t>
  </si>
  <si>
    <t>Denominator for all PRD metrics below</t>
  </si>
  <si>
    <t xml:space="preserve">  B.  LABOR COST PER RESIDENT DAY — BY DEPARTMENT  ($)</t>
  </si>
  <si>
    <t xml:space="preserve">  Benchmarks: NIC/Argentum/LeadingAge AL industry data. MC typically runs 25–40% higher.</t>
  </si>
  <si>
    <t>Department</t>
  </si>
  <si>
    <t>Annual Payroll ($)</t>
  </si>
  <si>
    <t>PRD Cost ($/day)</t>
  </si>
  <si>
    <t>Care Staff  (DON, RN, Med Tech, CNAs)</t>
  </si>
  <si>
    <t>Dining / Food Service</t>
  </si>
  <si>
    <t>Housekeeping &amp; Laundry</t>
  </si>
  <si>
    <t>Maintenance, Activities &amp; Admin</t>
  </si>
  <si>
    <t>TOTAL LABOR PRD  (all departments)</t>
  </si>
  <si>
    <t xml:space="preserve">  C.  CONTRACT / AGENCY LABOR EXPOSURE</t>
  </si>
  <si>
    <t xml:space="preserve">  Agency &gt;10–15% of total payroll is flagged by lenders and operators as a census-instability risk. Enter annual agency spend — PRD and exposure % calculate automatically.</t>
  </si>
  <si>
    <t>Contract / Agency Labor — Annual ($)  ← enter here</t>
  </si>
  <si>
    <t>Blue cell — enter actual or budgeted agency spend</t>
  </si>
  <si>
    <t>Agency Labor PRD  ($/resident day)</t>
  </si>
  <si>
    <t>Agency as % of Total Payroll</t>
  </si>
  <si>
    <t xml:space="preserve">  D.  REVENUE &amp; NOI PER RESIDENT DAY  (operational context)</t>
  </si>
  <si>
    <t>Annual ($)</t>
  </si>
  <si>
    <t>Per Resident Day</t>
  </si>
  <si>
    <t>Effective Gross Income (EGI)</t>
  </si>
  <si>
    <t>Total Operating Expenses</t>
  </si>
  <si>
    <t>Net Operating Income (NOI)</t>
  </si>
  <si>
    <t>Total Labor Cost as % of EGI</t>
  </si>
  <si>
    <t xml:space="preserve">  E.  KEY RATIOS — INVESTOR / LENDER WATCHLIST</t>
  </si>
  <si>
    <t xml:space="preserve">  Five ratios cross-checked at IC and in lender underwriting. Deviations signal operational opportunity or risk.</t>
  </si>
  <si>
    <t>This Property</t>
  </si>
  <si>
    <t>Target / Benchmark</t>
  </si>
  <si>
    <t>Signal</t>
  </si>
  <si>
    <t>Care HPPD — Combined (from Section 4)</t>
  </si>
  <si>
    <t>≥3.0 AL  /  ≥3.8 MC</t>
  </si>
  <si>
    <t>Total Labor PRD  ($/res day)</t>
  </si>
  <si>
    <t>$85 – $130  (AL/MC blended)</t>
  </si>
  <si>
    <t>Direct Care Labor PRD  ($/res day)</t>
  </si>
  <si>
    <t>$45 – $75</t>
  </si>
  <si>
    <t>&lt; 10%  (flag if &gt; 15%)</t>
  </si>
  <si>
    <t>Labor as % of EGI</t>
  </si>
  <si>
    <t>50% – 65%</t>
  </si>
  <si>
    <t>RENT ROLL ANALYSIS  —  Diagnostic Layer (Senior Living)</t>
  </si>
  <si>
    <t>ANALYSIS on top. Raw rent roll below — paste from RentrollApp-Cl output. AR aging columns Q–T blank (paste from Analyzer AR Input or operator AR aging report). Care level: IL = Independent Living · AL = Assisted Living · MC = Memory Care.</t>
  </si>
  <si>
    <t>B.  HEALTH CHECK  —  RR vs. Prop Info reconciliation</t>
  </si>
  <si>
    <t>Date:</t>
  </si>
  <si>
    <t>Property:</t>
  </si>
  <si>
    <t>Lic Beds (Prop):</t>
  </si>
  <si>
    <t>Lic Beds (RR):</t>
  </si>
  <si>
    <t>Match:</t>
  </si>
  <si>
    <t>Total AR:</t>
  </si>
  <si>
    <t>On Notice:</t>
  </si>
  <si>
    <t>Occupied:</t>
  </si>
  <si>
    <t>As of date for diagnostic</t>
  </si>
  <si>
    <t>C.  CARE LEVEL CENSUS  —  Licensed beds, occupancy, and rate by level</t>
  </si>
  <si>
    <t>Care Level</t>
  </si>
  <si>
    <t>Licensed Beds</t>
  </si>
  <si>
    <t>Occupied Beds</t>
  </si>
  <si>
    <t>Occupancy %</t>
  </si>
  <si>
    <t>Avg Monthly Rate</t>
  </si>
  <si>
    <t>GPR (ann.)</t>
  </si>
  <si>
    <t>Avg LOC Rev/Bed</t>
  </si>
  <si>
    <t>Total Revenue</t>
  </si>
  <si>
    <t>IL — Independent Living</t>
  </si>
  <si>
    <t>AL — Assisted Living</t>
  </si>
  <si>
    <t>MC — Memory Care</t>
  </si>
  <si>
    <t>D.  RESIDENT STATUS TAXONOMY  —  Where everyone stands</t>
  </si>
  <si>
    <t>Status Bucket</t>
  </si>
  <si>
    <t># Beds</t>
  </si>
  <si>
    <t>% of Total</t>
  </si>
  <si>
    <t>Sched Charges ($/mo)</t>
  </si>
  <si>
    <t>Avg Rate/Bed</t>
  </si>
  <si>
    <t>AR Balance</t>
  </si>
  <si>
    <t>Occupied — Current (paying, no balance)</t>
  </si>
  <si>
    <t>Occupied — Delinquent (30+ days past due)</t>
  </si>
  <si>
    <t>Occupied — On Notice (30-day notice given)</t>
  </si>
  <si>
    <t>Occupied — Respite / Short-term</t>
  </si>
  <si>
    <t>Occupied — Hospice</t>
  </si>
  <si>
    <t>Vacant — Turned (ready)</t>
  </si>
  <si>
    <t>Vacant — Not Turned</t>
  </si>
  <si>
    <t>Reserved / Pre-Admitted (signed, not in)</t>
  </si>
  <si>
    <t xml:space="preserve">  Tie-out: Occ + Vacant + Reserved = Licensed Beds  |  Occ Mkt + Vac Loss should tie to Section E GPR</t>
  </si>
  <si>
    <t>E.  GPR RECONCILIATION  —  Three views of potential revenue</t>
  </si>
  <si>
    <t>Annual Amount</t>
  </si>
  <si>
    <t>Market GPR  (all licensed beds × market rate × 12)</t>
  </si>
  <si>
    <t>Max revenue at 100% occupancy</t>
  </si>
  <si>
    <t>Scheduled GPR  (occupied × sched charges × 12)</t>
  </si>
  <si>
    <t>Contracted charges on occupied beds</t>
  </si>
  <si>
    <t>Loss to Lease  (achievable rate − in-place scheduled, occupied)</t>
  </si>
  <si>
    <t>Achievable = max scheduled rate within same care level (peer ceiling per CL)</t>
  </si>
  <si>
    <t>Loss to Lease %</t>
  </si>
  <si>
    <t>LTL as % of scheduled GPR</t>
  </si>
  <si>
    <t>Vacancy Loss  (vacant beds × market rate × 12)</t>
  </si>
  <si>
    <t>Lost revenue from empty beds</t>
  </si>
  <si>
    <t>Bad Debt Risk  (delinquent + on-notice × sched × 12)</t>
  </si>
  <si>
    <t>Annualized at-risk revenue</t>
  </si>
  <si>
    <t>LOC / Care Services Revenue  (Analyzer UW Output)</t>
  </si>
  <si>
    <t>Add-on care charges — source from Analyzer</t>
  </si>
  <si>
    <t>Economic GPR  (Market − LTL − Vac − Bad Debt + LOC)</t>
  </si>
  <si>
    <t>Realistic collected revenue estimate</t>
  </si>
  <si>
    <t>Economic Occupancy %  (Econ GPR / Market GPR)</t>
  </si>
  <si>
    <t>Compare to physical occupancy above</t>
  </si>
  <si>
    <t>Current RR GPR — Occupied Scheduled (point-in-time)</t>
  </si>
  <si>
    <t>Scheduled rent × occupied beds × 12</t>
  </si>
  <si>
    <t>Market vs Actual Collected  (operator posted rate − actual charges, occupied)</t>
  </si>
  <si>
    <t>Negative = collecting MORE than posted market (over-billing or care fees in I). Positive = collecting LESS than posted market (concessions / discounts in actuals).</t>
  </si>
  <si>
    <t>F.  LENGTH OF STAY COHORT  —  How long residents have been here</t>
  </si>
  <si>
    <t>Tenure</t>
  </si>
  <si>
    <t># Residents</t>
  </si>
  <si>
    <t>% Occupied</t>
  </si>
  <si>
    <t>Avg Sched Rate</t>
  </si>
  <si>
    <t>Avg Market Rate</t>
  </si>
  <si>
    <t>LTL/mo/bed</t>
  </si>
  <si>
    <t>0–6 months</t>
  </si>
  <si>
    <t>Recent admissions — high care needs assessment period</t>
  </si>
  <si>
    <t>6–12 months</t>
  </si>
  <si>
    <t>Stabilizing</t>
  </si>
  <si>
    <t>1–2 years</t>
  </si>
  <si>
    <t>Established residents</t>
  </si>
  <si>
    <t>2–3 years</t>
  </si>
  <si>
    <t>Likely below market rate</t>
  </si>
  <si>
    <t>3+ years</t>
  </si>
  <si>
    <t>Deep below market — rate increase opportunity</t>
  </si>
  <si>
    <t>G.  DAYS VACANT TRACKER  —  How long have the empty beds been empty?</t>
  </si>
  <si>
    <t xml:space="preserve">  Calculated from last discharge / move-out date. Blank discharge = unknown duration.</t>
  </si>
  <si>
    <t>Vacancy Bucket</t>
  </si>
  <si>
    <t>% of Vacant</t>
  </si>
  <si>
    <t>Lost Revenue ($/yr)</t>
  </si>
  <si>
    <t>Est. Turn Scope</t>
  </si>
  <si>
    <t>0–30 days since discharge</t>
  </si>
  <si>
    <t>Standard turn</t>
  </si>
  <si>
    <t>31–90 days</t>
  </si>
  <si>
    <t>Light to medium refurb</t>
  </si>
  <si>
    <t>90–180 days</t>
  </si>
  <si>
    <t>Medium refurb likely</t>
  </si>
  <si>
    <t>180–365 days</t>
  </si>
  <si>
    <t>Heavy refurb / deep clean</t>
  </si>
  <si>
    <t>365+ days</t>
  </si>
  <si>
    <t>Assess for off-line / renovation</t>
  </si>
  <si>
    <t>Discharge date unknown</t>
  </si>
  <si>
    <t>Investigate</t>
  </si>
  <si>
    <t>Total Lost Annual Revenue</t>
  </si>
  <si>
    <t>H.  DELINQUENCY  —  AR aging summary  (paste from Analyzer AR Input or operator aging report into cols Q–T)</t>
  </si>
  <si>
    <t>Aging Bucket</t>
  </si>
  <si>
    <t>Total $</t>
  </si>
  <si>
    <t>% of Total AR</t>
  </si>
  <si>
    <t>Avg per Resident</t>
  </si>
  <si>
    <t>Payer Mix Flag</t>
  </si>
  <si>
    <t>0–30 Days</t>
  </si>
  <si>
    <t>Current</t>
  </si>
  <si>
    <t>31–60 Days</t>
  </si>
  <si>
    <t>Watch</t>
  </si>
  <si>
    <t>61–90 Days</t>
  </si>
  <si>
    <t>Escalate</t>
  </si>
  <si>
    <t>90+ Days</t>
  </si>
  <si>
    <t>Collections</t>
  </si>
  <si>
    <t>Total AR (from balance col)</t>
  </si>
  <si>
    <t>I.  TOP-10 DELINQUENT RESIDENTS  —  Highest AR balances</t>
  </si>
  <si>
    <t xml:space="preserve">  Sorted by Balance descending. ✱✱ prefix = operator flagged for legal/collections action.</t>
  </si>
  <si>
    <t>Rank</t>
  </si>
  <si>
    <t>Wing</t>
  </si>
  <si>
    <t>Bed</t>
  </si>
  <si>
    <t>Resident</t>
  </si>
  <si>
    <t>Payer Type</t>
  </si>
  <si>
    <t>Deposit</t>
  </si>
  <si>
    <t>Flag</t>
  </si>
  <si>
    <t>Net Exposure</t>
  </si>
  <si>
    <t>=IFERROR(IF(LEFT(INDEX($S$211:$S$610,MATCH(LARGE($L$211:$L$610+ROW($L$211:$L$610)/1000000,ROW()-72),$L$211:$L$610+ROW($L$211:$L$610)/1000000,0)),2)="✱✱","✱✱",""),"")</t>
  </si>
  <si>
    <t>Top 10 Total</t>
  </si>
  <si>
    <t>Top 10 as % of total AR</t>
  </si>
  <si>
    <t>Collections-flagged Residents (count)</t>
  </si>
  <si>
    <t>Collections $ Exposure</t>
  </si>
  <si>
    <t>J.  ADMISSION VELOCITY  —  Recent move-ins (how fast is this property leasing?)</t>
  </si>
  <si>
    <t xml:space="preserve">  Move-ins within last N days. Annualized pace helps benchmark against stabilized absorption assumptions.</t>
  </si>
  <si>
    <t>Window</t>
  </si>
  <si>
    <t># New Admissions</t>
  </si>
  <si>
    <t>Avg Rate Achieved</t>
  </si>
  <si>
    <t>Annualized Pace (beds/yr)</t>
  </si>
  <si>
    <t>Mo to Stabilize at Pace</t>
  </si>
  <si>
    <t>Last 30 days</t>
  </si>
  <si>
    <t>Last 60 days</t>
  </si>
  <si>
    <t>Last 90 days</t>
  </si>
  <si>
    <t>Last 180 days</t>
  </si>
  <si>
    <t>K.  PAYER MIX  —  Revenue resilience and reimbursement risk</t>
  </si>
  <si>
    <t xml:space="preserve">  Medicaid/Medicare are government-backed (lower default risk). Private pay is market-sensitive. LTC Insurance is contractual but requires prior auth.</t>
  </si>
  <si>
    <t>Monthly Revenue</t>
  </si>
  <si>
    <t>Annual Revenue</t>
  </si>
  <si>
    <t>% of Sched</t>
  </si>
  <si>
    <t>Reliability</t>
  </si>
  <si>
    <t>90+ AR $</t>
  </si>
  <si>
    <t>Private Pay</t>
  </si>
  <si>
    <t>🟡 market-sensitive</t>
  </si>
  <si>
    <t>Medicaid</t>
  </si>
  <si>
    <t>🟢 govt-backed</t>
  </si>
  <si>
    <t>Medicare</t>
  </si>
  <si>
    <t>🟢 govt-backed (episodic)</t>
  </si>
  <si>
    <t>VA Benefits</t>
  </si>
  <si>
    <t>LTC Insurance</t>
  </si>
  <si>
    <t>🟡 contractual / prior-auth risk</t>
  </si>
  <si>
    <t>Other / Unknown</t>
  </si>
  <si>
    <t>Private Pay Concentration:</t>
  </si>
  <si>
    <t>Govt-backed (Medicaid+Medicare+VA):</t>
  </si>
  <si>
    <t>L.  RATE PER BED BY CARE LEVEL  —  Pricing posture vs. comp set</t>
  </si>
  <si>
    <t xml:space="preserve">  Compare avg scheduled rate to market rate from Rental Comps tab. &gt;5% below market = recapture opportunity.</t>
  </si>
  <si>
    <t># Occupied</t>
  </si>
  <si>
    <t>LTL/mo</t>
  </si>
  <si>
    <t>LTL %</t>
  </si>
  <si>
    <t>Annual Recapture</t>
  </si>
  <si>
    <t>vs Comp Flag</t>
  </si>
  <si>
    <t>— see Rental Comps —</t>
  </si>
  <si>
    <t>M.  CHARGE VARIANCE  —  Actual vs. Scheduled  (catches billing errors / undocumented concessions)</t>
  </si>
  <si>
    <t>Variance Bucket</t>
  </si>
  <si>
    <t>Total Variance ($/mo)</t>
  </si>
  <si>
    <t>Annualized</t>
  </si>
  <si>
    <t>Actual &gt; Scheduled (over-billed?)</t>
  </si>
  <si>
    <t>Actual = Scheduled (clean)</t>
  </si>
  <si>
    <t>Actual &lt; Scheduled (under-billed / concession)</t>
  </si>
  <si>
    <t>Net Variance (Actual − Scheduled, all occupied)</t>
  </si>
  <si>
    <t>N.  DEPOSIT COVERAGE ON DELINQUENT RESIDENTS  —  Recovery expectation at move-out</t>
  </si>
  <si>
    <t>Coverage Bucket</t>
  </si>
  <si>
    <t>Total Balance</t>
  </si>
  <si>
    <t>Total Deposits</t>
  </si>
  <si>
    <t>Coverage %</t>
  </si>
  <si>
    <t>Uncovered $</t>
  </si>
  <si>
    <t>Fully covered  (deposit ≥ balance)</t>
  </si>
  <si>
    <t>Partially covered  (0 &lt; deposit &lt; balance)</t>
  </si>
  <si>
    <t>Zero deposit + balance owed</t>
  </si>
  <si>
    <t>Total: Occupied with positive balance</t>
  </si>
  <si>
    <t>O.  MOVE-IN SEASONALITY  —  When did current residents sign on?</t>
  </si>
  <si>
    <t xml:space="preserve">  Distribution of current occupied residents by month-of-move-in. Predicts expiration clusters and occupancy seasonality.</t>
  </si>
  <si>
    <t>Move-In Month</t>
  </si>
  <si>
    <t>Bar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</si>
  <si>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</si>
  <si>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</si>
  <si>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</si>
  <si>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</si>
  <si>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</si>
  <si>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</si>
  <si>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</si>
  <si>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</si>
  <si>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</si>
  <si>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</si>
  <si>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</si>
  <si>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</si>
  <si>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Peak move-in month</t>
  </si>
  <si>
    <t>Q4 (Oct–Dec) % — typical SL peak</t>
  </si>
  <si>
    <t>P.  PRE-ADMISSION PIPELINE  —  Deposits paid / signed, not yet moved in</t>
  </si>
  <si>
    <t xml:space="preserve">  Detected as residents with Lease Start / Admission date in the future or with "Reserved" status in raw roll.</t>
  </si>
  <si>
    <t>Pipeline Metric</t>
  </si>
  <si>
    <t>Note</t>
  </si>
  <si>
    <t>Pre-admitted residents  (deposit paid)</t>
  </si>
  <si>
    <t>Count of pending admissions</t>
  </si>
  <si>
    <t>Pre-admitted on currently vacant beds</t>
  </si>
  <si>
    <t>Vacant beds already committed</t>
  </si>
  <si>
    <t>Total committed monthly revenue (annualized)</t>
  </si>
  <si>
    <t>Revenue locked in pre-occupancy</t>
  </si>
  <si>
    <t>Days to soonest admission</t>
  </si>
  <si>
    <t>How fast occupancy increases</t>
  </si>
  <si>
    <t>Avg days until pre-admission start</t>
  </si>
  <si>
    <t>Lead time on pipeline</t>
  </si>
  <si>
    <t>Q.  WING / CARE-LEVEL VACANCY CONCENTRATION  —  Catches localized issues</t>
  </si>
  <si>
    <t xml:space="preserve">  Vacancy clustered in one wing or care level often signals a localized problem (staffing, reputation, systems). Flag if any wing &gt; 50% vacant.</t>
  </si>
  <si>
    <t>Wing / Level</t>
  </si>
  <si>
    <t>Total Beds</t>
  </si>
  <si>
    <t>Occupied</t>
  </si>
  <si>
    <t>Vacant</t>
  </si>
  <si>
    <t>Vac %</t>
  </si>
  <si>
    <t>Collections Cases</t>
  </si>
  <si>
    <t>IL Wing</t>
  </si>
  <si>
    <t>AL Wing</t>
  </si>
  <si>
    <t>MC Wing</t>
  </si>
  <si>
    <t>R.  UNIT-TYPE MATRIX (EXTENDED)  —  Vacancy / Rent /mo / $/SF / Loss-to-Lease / Achievable, by care level x unit type</t>
  </si>
  <si>
    <t xml:space="preserve">  Label each care x unit row once in cols B-C (auto-populates from rent roll). In-Place = non-vacant. Achievable = avg of top-%ile in-place rents. Min/Max fall back to market when 0 in-place. Comp $/SF (col O) is a manual override.</t>
  </si>
  <si>
    <t>Top %ile %</t>
  </si>
  <si>
    <t>Conc amort term (mo) →</t>
  </si>
  <si>
    <t>TYPE</t>
  </si>
  <si>
    <t>UNIT MIX</t>
  </si>
  <si>
    <t>VACANCY</t>
  </si>
  <si>
    <t>RENT /mo (occ sched vs mkt)</t>
  </si>
  <si>
    <t>RENT $/SF</t>
  </si>
  <si>
    <t>LOSS TO LEASE</t>
  </si>
  <si>
    <t>SCHED RANGE</t>
  </si>
  <si>
    <t>ACHIEVABLE (top %ile)</t>
  </si>
  <si>
    <t>NET EFFECTIVE / CONCESSIONS</t>
  </si>
  <si>
    <t>RECENT MOVE-INS — LAST 10 (dynamic, most recent first)</t>
  </si>
  <si>
    <t>#</t>
  </si>
  <si>
    <t>Unit Type</t>
  </si>
  <si>
    <t>Avg SF</t>
  </si>
  <si>
    <t>Total SF</t>
  </si>
  <si>
    <t>In-Place</t>
  </si>
  <si>
    <t>Avg Sched</t>
  </si>
  <si>
    <t>Avg Market</t>
  </si>
  <si>
    <t>LTL /mo</t>
  </si>
  <si>
    <t>Sched $/SF</t>
  </si>
  <si>
    <t>Market $/SF</t>
  </si>
  <si>
    <t>Comp $/SF (ref)</t>
  </si>
  <si>
    <t>LTL Total /yr</t>
  </si>
  <si>
    <t>LTL % of Mkt</t>
  </si>
  <si>
    <t>Min Sched</t>
  </si>
  <si>
    <t>Max Sched</t>
  </si>
  <si>
    <t>Top X% Avg</t>
  </si>
  <si>
    <t>LTL vs Top /mo</t>
  </si>
  <si>
    <t>LTL vs Top /yr</t>
  </si>
  <si>
    <t>Logged Conc $/mo</t>
  </si>
  <si>
    <t># w/ Conc</t>
  </si>
  <si>
    <t>Avg NER /mo</t>
  </si>
  <si>
    <t>Move-In</t>
  </si>
  <si>
    <t>Unit/Bed</t>
  </si>
  <si>
    <t>Market</t>
  </si>
  <si>
    <t>Actual</t>
  </si>
  <si>
    <t>LOC</t>
  </si>
  <si>
    <t>Total Sched</t>
  </si>
  <si>
    <t>TOTAL / AVG</t>
  </si>
  <si>
    <t>TOTAL (annualized)</t>
  </si>
  <si>
    <t xml:space="preserve">  Beds=all units of type · In-Place=occupied/notice/respite/hospice · Avg Sched=in-place J+K · Avg Market=col I all units · LTL=Market-Sched · Achievable=avg of top-%ile in-place rents (set %ile in AA171).</t>
  </si>
  <si>
    <t>S.  CONCESSIONS AUDIT  —  Logged, parsed, and implied rate reductions</t>
  </si>
  <si>
    <t xml:space="preserve">  ⓘ Three signals: Structured = entered in col AD by ops · Notes-parsed = '$X/mo con' wording in col S, now backfilled to AD · Implied = market&gt;actual with no explanation logged. Step-up/Rate-swap = need date-aware formulas. Effective Conc in col AS.</t>
  </si>
  <si>
    <t>Source</t>
  </si>
  <si>
    <t>Total Monthly</t>
  </si>
  <si>
    <t>Structured (in col AD)</t>
  </si>
  <si>
    <t>Explicit concession entries from operator</t>
  </si>
  <si>
    <t>Notes-parsed (now backfilled)</t>
  </si>
  <si>
    <t>$X/mo con' wording parsed from Notes col S and written to AD</t>
  </si>
  <si>
    <t>Implied (market−actual gap)</t>
  </si>
  <si>
    <t>⚠ Undocumented rent reductions — likely legacy rates, downgrades, or unlogged concessions</t>
  </si>
  <si>
    <t>Step-up / Rate-swap (need formulas)</t>
  </si>
  <si>
    <t>see notes col S</t>
  </si>
  <si>
    <t>Quarterly step-ups or % rate substitutions — current effective amount depends on date</t>
  </si>
  <si>
    <t>Move-In Date</t>
  </si>
  <si>
    <t>Discharge Date</t>
  </si>
  <si>
    <t>Market Rate</t>
  </si>
  <si>
    <t>Actual Charges</t>
  </si>
  <si>
    <t>LOC Revenue</t>
  </si>
  <si>
    <t>Total Sched (Base+LOC)</t>
  </si>
  <si>
    <t>31–60</t>
  </si>
  <si>
    <t>61–90</t>
  </si>
  <si>
    <t>90+</t>
  </si>
  <si>
    <t>Sq Ft (est)</t>
  </si>
  <si>
    <t>$/SqFt/Mo</t>
  </si>
  <si>
    <t>$/SqFt/Yr</t>
  </si>
  <si>
    <t>Care|UnitType</t>
  </si>
  <si>
    <t>Care|Unit (all)</t>
  </si>
  <si>
    <t>_key</t>
  </si>
  <si>
    <t>Mkt-Actual $</t>
  </si>
  <si>
    <t>Mkt-Actual %</t>
  </si>
  <si>
    <t>Concession $</t>
  </si>
  <si>
    <t>Concession End</t>
  </si>
  <si>
    <t>Care Level $</t>
  </si>
  <si>
    <t>Med Mgmt $</t>
  </si>
  <si>
    <t>Pharmacy $</t>
  </si>
  <si>
    <t>Other LOC $</t>
  </si>
  <si>
    <t>2nd Person $</t>
  </si>
  <si>
    <t>Meal Plan $</t>
  </si>
  <si>
    <t>Scooter $</t>
  </si>
  <si>
    <t>Housekeeping $</t>
  </si>
  <si>
    <t>Laundry $</t>
  </si>
  <si>
    <t>Pet $</t>
  </si>
  <si>
    <t>Care Level Tier</t>
  </si>
  <si>
    <t>Total Ancillary $</t>
  </si>
  <si>
    <t>Preleased Date</t>
  </si>
  <si>
    <t>ACH</t>
  </si>
  <si>
    <t>Market PSF</t>
  </si>
  <si>
    <t>Conc Source</t>
  </si>
  <si>
    <t>Effective Conc $</t>
  </si>
  <si>
    <t>NER $/mo (amort)</t>
  </si>
  <si>
    <t>RENTAL COMPS — BY CARE LEVEL</t>
  </si>
  <si>
    <t>UNIT MIX &amp; TARGET RENT ANALYSIS  —  Reference only. Blue = input · Green = formula · Target defaults to comp avg for care level.</t>
  </si>
  <si>
    <t xml:space="preserve">  Enter up to 12 comps per care level. Summary auto-calculates averages and rate position vs. subject property.</t>
  </si>
  <si>
    <t>Rent Basis:</t>
  </si>
  <si>
    <t>Average</t>
  </si>
  <si>
    <t>Sq Ft</t>
  </si>
  <si>
    <t>Current Rent</t>
  </si>
  <si>
    <t>Target Rent</t>
  </si>
  <si>
    <t>SUBJECT PROPERTY →</t>
  </si>
  <si>
    <t>Type</t>
  </si>
  <si>
    <t>Avg / mo</t>
  </si>
  <si>
    <t>Total / mo</t>
  </si>
  <si>
    <t>$ / Sq Ft</t>
  </si>
  <si>
    <t>Target / mo</t>
  </si>
  <si>
    <t>Delta %</t>
  </si>
  <si>
    <t>Delta $</t>
  </si>
  <si>
    <t xml:space="preserve">  IL — INDEPENDENT LIVING</t>
  </si>
  <si>
    <t>INDEPENDENT LIVING (IL) COMPS</t>
  </si>
  <si>
    <t>IL Studio</t>
  </si>
  <si>
    <t>Distance (mi)</t>
  </si>
  <si>
    <t>Vintage</t>
  </si>
  <si>
    <t>Units</t>
  </si>
  <si>
    <t>Base Rent/mo</t>
  </si>
  <si>
    <t>Care Fee/mo</t>
  </si>
  <si>
    <t>All-In Rate</t>
  </si>
  <si>
    <t>$/Sq Ft</t>
  </si>
  <si>
    <t>IL 1-Bed</t>
  </si>
  <si>
    <t>IL 2-Bed</t>
  </si>
  <si>
    <t xml:space="preserve">  AL — ASSISTED LIVING</t>
  </si>
  <si>
    <t>AL Studio (Pvt)</t>
  </si>
  <si>
    <t>AL Semi-Private</t>
  </si>
  <si>
    <t>AL 1-Bed</t>
  </si>
  <si>
    <t xml:space="preserve">  MC — MEMORY CARE</t>
  </si>
  <si>
    <t>MC Studio (Pvt)</t>
  </si>
  <si>
    <t>MC Semi-Private</t>
  </si>
  <si>
    <t>Other</t>
  </si>
  <si>
    <t>Total / Average</t>
  </si>
  <si>
    <t>VALUE-ADD UNITS  (manual inputs — negative R = removed, positive R = added)</t>
  </si>
  <si>
    <t xml:space="preserve">  IL — Value-Add</t>
  </si>
  <si>
    <t xml:space="preserve">  AVG — IN</t>
  </si>
  <si>
    <t xml:space="preserve">  Add row 1 (label me)</t>
  </si>
  <si>
    <t xml:space="preserve">  Subj. vs. Avg IN Rent</t>
  </si>
  <si>
    <t xml:space="preserve">  Add row 2 (label me)</t>
  </si>
  <si>
    <t xml:space="preserve">  AL — Value-Add</t>
  </si>
  <si>
    <t>ASSISTED LIVING (AL) COMPS</t>
  </si>
  <si>
    <t xml:space="preserve">  MC — Value-Add</t>
  </si>
  <si>
    <t xml:space="preserve">  Subtotal — Value-Add</t>
  </si>
  <si>
    <t>TOTAL — STABILIZED  (In-Place + Value-Add)</t>
  </si>
  <si>
    <t>SUMMARY</t>
  </si>
  <si>
    <t>Toggle Avg/Max at O2 to flex Current rents</t>
  </si>
  <si>
    <t>Current (In-Place)</t>
  </si>
  <si>
    <t>Target (Comp Repriced)</t>
  </si>
  <si>
    <t>Projected (Stabilized)</t>
  </si>
  <si>
    <t>Gross Potential Revenue / mo</t>
  </si>
  <si>
    <t>Sum of In-Place rows T5:T15 (Avg/Max toggle drives this)</t>
  </si>
  <si>
    <t>T-12 historical GPR (12-mo billed rent before vacancy/LtL)</t>
  </si>
  <si>
    <t>Gross Potential Revenue / yr (annualized)</t>
  </si>
  <si>
    <t>row 31 x 12</t>
  </si>
  <si>
    <t>From T-12!N58 Gross Potential Rent</t>
  </si>
  <si>
    <t>Implied Avg Rate / Bed / mo</t>
  </si>
  <si>
    <t>row 31 / R16 (in-place); Projected uses R27 (stabilized)</t>
  </si>
  <si>
    <t>divided by 12 / licensed beds</t>
  </si>
  <si>
    <t>Gap vs Current ($/mo)</t>
  </si>
  <si>
    <t>-</t>
  </si>
  <si>
    <t>Uplift opportunity vs in-place</t>
  </si>
  <si>
    <t>Positive = current rent roll below historical; negative = above</t>
  </si>
  <si>
    <t xml:space="preserve">  AVG — AS</t>
  </si>
  <si>
    <t xml:space="preserve">  Subj. vs. Avg AS Rent</t>
  </si>
  <si>
    <t>MEMORY CARE (MC) COMPS</t>
  </si>
  <si>
    <t xml:space="preserve">  AVG — ME</t>
  </si>
  <si>
    <t xml:space="preserve">  Subj. vs. Avg ME Rent</t>
  </si>
  <si>
    <t>CAPITAL EXPENDITURE BUDGET — DETAILED BREAKDOWN</t>
  </si>
  <si>
    <t xml:space="preserve">  Classify each item as Value-Add (VA) or Maintenance (M). VA flows into LTC; Maintenance is operating reserve.</t>
  </si>
  <si>
    <t>Qty</t>
  </si>
  <si>
    <t>Unit Cost</t>
  </si>
  <si>
    <t>Total Cost</t>
  </si>
  <si>
    <t>VA or M?</t>
  </si>
  <si>
    <t>Funded By</t>
  </si>
  <si>
    <t xml:space="preserve">  EXTERIOR &amp; GROUNDS</t>
  </si>
  <si>
    <t>Roof Replacement</t>
  </si>
  <si>
    <t>Parking Lot Resurface</t>
  </si>
  <si>
    <t>Landscaping / Curb Appeal</t>
  </si>
  <si>
    <t>Signage</t>
  </si>
  <si>
    <t>Exterior Paint / Siding</t>
  </si>
  <si>
    <t>Lighting (exterior)</t>
  </si>
  <si>
    <t xml:space="preserve">  Subtotal — EXTERIOR &amp; GROUNDS</t>
  </si>
  <si>
    <t xml:space="preserve">  COMMON AREAS</t>
  </si>
  <si>
    <t>Lobby / Reception Renovation</t>
  </si>
  <si>
    <t>M</t>
  </si>
  <si>
    <t>Placeholders</t>
  </si>
  <si>
    <t>Dining Room Renovation</t>
  </si>
  <si>
    <t>Activity Room Renovation</t>
  </si>
  <si>
    <t>Hallway Flooring</t>
  </si>
  <si>
    <t>Common Area Furniture (FF&amp;E)</t>
  </si>
  <si>
    <t>placehodlers</t>
  </si>
  <si>
    <t>Elevator Modernization</t>
  </si>
  <si>
    <t xml:space="preserve">  Subtotal — COMMON AREAS</t>
  </si>
  <si>
    <t xml:space="preserve">  UNIT INTERIORS</t>
  </si>
  <si>
    <t>Unit Flooring (per unit)</t>
  </si>
  <si>
    <t>Unit Paint (per unit)</t>
  </si>
  <si>
    <t>Bathroom Grab Bars / ADA (per unit)</t>
  </si>
  <si>
    <t>Kitchen Appliances (per unit)</t>
  </si>
  <si>
    <t>Unit Door / Hardware Upgrade</t>
  </si>
  <si>
    <t>Window Replacement (per unit)</t>
  </si>
  <si>
    <t xml:space="preserve">  Subtotal — UNIT INTERIORS</t>
  </si>
  <si>
    <t xml:space="preserve">  MEDICAL &amp; SAFETY</t>
  </si>
  <si>
    <t>Nurse Call System Upgrade</t>
  </si>
  <si>
    <t>Fire Suppression / Sprinklers</t>
  </si>
  <si>
    <t>HVAC Units</t>
  </si>
  <si>
    <t>Emergency Generator</t>
  </si>
  <si>
    <t>Security Camera System</t>
  </si>
  <si>
    <t>Medication Management System</t>
  </si>
  <si>
    <t xml:space="preserve">  Subtotal — MEDICAL &amp; SAFETY</t>
  </si>
  <si>
    <t xml:space="preserve">  TECHNOLOGY &amp; SYSTEMS</t>
  </si>
  <si>
    <t>EHR / Resident Mgmt Software</t>
  </si>
  <si>
    <t>WiFi Infrastructure</t>
  </si>
  <si>
    <t>Telephone / Intercom System</t>
  </si>
  <si>
    <t>Access Control / Key Card</t>
  </si>
  <si>
    <t xml:space="preserve">  Subtotal — TECHNOLOGY &amp; SYSTEMS</t>
  </si>
  <si>
    <t xml:space="preserve">  CONTINGENCY</t>
  </si>
  <si>
    <t>Contingency (10%)</t>
  </si>
  <si>
    <t xml:space="preserve">  Subtotal — CONTINGENCY</t>
  </si>
  <si>
    <t>TOTAL CAPEX BUDGET</t>
  </si>
  <si>
    <t xml:space="preserve">  Value-Add CapEx (VA)</t>
  </si>
  <si>
    <t xml:space="preserve">  Maintenance CapEx (M)</t>
  </si>
  <si>
    <t>EXIT STRATEGY — REFINANCE &amp; SALE ANALYSIS</t>
  </si>
  <si>
    <t>Refi Year (or NA)</t>
  </si>
  <si>
    <t>NA</t>
  </si>
  <si>
    <t>Net Operating Income</t>
  </si>
  <si>
    <t>Cap Rate</t>
  </si>
  <si>
    <t>Cap Rate at Re-Finance</t>
  </si>
  <si>
    <t>Insurance/Tax/Lender Escrows</t>
  </si>
  <si>
    <t>Appraised Value</t>
  </si>
  <si>
    <t>Operating Reserves remaining</t>
  </si>
  <si>
    <t>Remaining capital in account for operating reserves</t>
  </si>
  <si>
    <t>Re-Finance LTV</t>
  </si>
  <si>
    <t>Sales Price</t>
  </si>
  <si>
    <t>Interest Rate</t>
  </si>
  <si>
    <t>Sales Cost</t>
  </si>
  <si>
    <t>Term / Amortization (Years)</t>
  </si>
  <si>
    <t>Outstanding Loan Balance</t>
  </si>
  <si>
    <t>Re-Finance Loan Amount</t>
  </si>
  <si>
    <t>Total Equity</t>
  </si>
  <si>
    <t xml:space="preserve">  - Re-Finance Costs</t>
  </si>
  <si>
    <t xml:space="preserve">  - Return of Member Capital</t>
  </si>
  <si>
    <t xml:space="preserve">  - Prepayment Penalty</t>
  </si>
  <si>
    <t xml:space="preserve">  - Members Preferred Return Deficiency</t>
  </si>
  <si>
    <t xml:space="preserve">  - Repay Outstanding Loan Balance</t>
  </si>
  <si>
    <t>Net Proceeds/Profit from Sale</t>
  </si>
  <si>
    <t>Gross Proceeds from Re-Finance</t>
  </si>
  <si>
    <t xml:space="preserve">    Principal Reduction</t>
  </si>
  <si>
    <t xml:space="preserve">    Appreciation</t>
  </si>
  <si>
    <t>Capital Account Balance After Re-Fi</t>
  </si>
  <si>
    <t>Capital Transaction Fee to Mgr</t>
  </si>
  <si>
    <t xml:space="preserve">  % of Initial Investment Returned</t>
  </si>
  <si>
    <t>Net Proceeds/Profit Paid to Members</t>
  </si>
  <si>
    <t>Net Proceeds/Profit from Re-Finance</t>
  </si>
  <si>
    <t>Net Proceeds/Profit Paid to Manager</t>
  </si>
  <si>
    <t>Total Cash to Members at Sale  (Init. Cptl. + Apprec.)</t>
  </si>
  <si>
    <t>After Final Disposition</t>
  </si>
  <si>
    <t>Total Profits from Appreciation Paid to Members</t>
  </si>
  <si>
    <t>Total Cash to Members</t>
  </si>
  <si>
    <t>Total Cash to Members at Refi  (Init. Cptl. + Apprec.)</t>
  </si>
  <si>
    <t>Internal Rate of Return (IRR)  — Class A LP</t>
  </si>
  <si>
    <t>Ending Capital Account Balance</t>
  </si>
  <si>
    <t>Average Cash on Cash Return  — Class A LP</t>
  </si>
  <si>
    <t>Re-Finance IO Period</t>
  </si>
  <si>
    <t>Scenarios Tab</t>
  </si>
  <si>
    <t>Loans Tab</t>
  </si>
  <si>
    <t>WATERFALL &amp; RETURNS — DYNAMIC DISTRIBUTION MODEL</t>
  </si>
  <si>
    <t xml:space="preserve">  Inputs at top. All distributions cascade automatically. Class A/B LP toggle in row 7. Active Scenario drives equity and NOI.</t>
  </si>
  <si>
    <t>HOW THE 3-TIER IRR-HURDLE PROMOTE WORKS   (live - updates with your inputs)</t>
  </si>
  <si>
    <t>WATERFALL INPUTS (auto-linked to active scenario — override here if needed)</t>
  </si>
  <si>
    <t>Distributable cash each period is paid in this order:</t>
  </si>
  <si>
    <t>Hold Period (years)</t>
  </si>
  <si>
    <t>From Scenarios — selectable exit year</t>
  </si>
  <si>
    <t>Applied to Y{hold} NOI</t>
  </si>
  <si>
    <t>2.  Return of capital at exit  (rows 36-38)</t>
  </si>
  <si>
    <t>Selling Costs at Exit</t>
  </si>
  <si>
    <t>2.5% of gross sale price</t>
  </si>
  <si>
    <t>3.  Residual promote - split LP / GP by IRR tier  (engine rows 104-114)</t>
  </si>
  <si>
    <t>Co-invest; promote governed by tiers below</t>
  </si>
  <si>
    <t>Preferred equity — priority capital return</t>
  </si>
  <si>
    <t>TIER SWITCHING  (on the LP cumulative IRR - pref + capital + promote)</t>
  </si>
  <si>
    <t>Common equity — participates in promote</t>
  </si>
  <si>
    <t>Annual pref on Class A equity</t>
  </si>
  <si>
    <t>Class B Preferred Return %</t>
  </si>
  <si>
    <t>Annual pref on Class B equity</t>
  </si>
  <si>
    <t>Class B Treatment →</t>
  </si>
  <si>
    <t>Pref Only</t>
  </si>
  <si>
    <t>Pref Only = Class B pref only, no promote.  Common Equity = Class B shares LP promote proportionally by equity.</t>
  </si>
  <si>
    <t>GP Preferred Return %</t>
  </si>
  <si>
    <t>Set 0 if GP pref not negotiated</t>
  </si>
  <si>
    <t>Use Two LP Classes? (YES/NO)</t>
  </si>
  <si>
    <t>Auto: YES only when Class B equity &gt; 0</t>
  </si>
  <si>
    <t>HOW IT WORKS  (accreting-hurdle method - no iteration)</t>
  </si>
  <si>
    <t>Tier 1 LP Split %</t>
  </si>
  <si>
    <t>LP share above pref, below Tier 1 hurdle</t>
  </si>
  <si>
    <t>Each IRR hurdle is an LP capital balance that grows at the hurdle rate and</t>
  </si>
  <si>
    <t>Tier 1 GP Split %</t>
  </si>
  <si>
    <t>Auto = 1 - LP %</t>
  </si>
  <si>
    <t>is paid down by every LP dollar (pref + return of capital + promote).</t>
  </si>
  <si>
    <t>Tier 1 IRR Hurdle</t>
  </si>
  <si>
    <t>LP blended IRR to trigger Tier 2</t>
  </si>
  <si>
    <t>When a balance reaches zero the LP has earned that IRR, and the promote</t>
  </si>
  <si>
    <t>Tier 2 LP Split %</t>
  </si>
  <si>
    <t>Above Tier 1 hurdle</t>
  </si>
  <si>
    <t>steps to the next tier.  Exit is folded into the hold year (B5).</t>
  </si>
  <si>
    <t>Tier 2 GP Split %</t>
  </si>
  <si>
    <t>GP promote above Tier 1</t>
  </si>
  <si>
    <t>Tier 2 IRR Hurdle</t>
  </si>
  <si>
    <t>LP blended IRR to trigger Tier 3</t>
  </si>
  <si>
    <t>LIVE RESULT  (IRR shown on XIRR basis)</t>
  </si>
  <si>
    <t>Tier 3 LP Split %</t>
  </si>
  <si>
    <t>Above Tier 2 hurdle</t>
  </si>
  <si>
    <t>Tier 3 GP Split %</t>
  </si>
  <si>
    <t>Super-promote above Tier 2</t>
  </si>
  <si>
    <t>Refi Proceeds Treatment</t>
  </si>
  <si>
    <t>Return of Capital</t>
  </si>
  <si>
    <t>Options: "Return of Capital"  or  "Waterfall"  — controls how refi cash-out is treated</t>
  </si>
  <si>
    <t>ANNUAL CASH FLOW &amp; DISTRIBUTION WATERFALL</t>
  </si>
  <si>
    <t>Exit
Proceeds</t>
  </si>
  <si>
    <t>Total ($)</t>
  </si>
  <si>
    <t>NOI (from P&amp;L)</t>
  </si>
  <si>
    <t>Less: Debt Service (annual)</t>
  </si>
  <si>
    <t>TO USE IT</t>
  </si>
  <si>
    <t>Free Cash Flow (FCF)</t>
  </si>
  <si>
    <t>Enter the three tier splits in B15 / B18 / B21 and the two IRR hurdles</t>
  </si>
  <si>
    <t>in B17 / B20.  With all splits equal (today default) the tiers act as one;</t>
  </si>
  <si>
    <t>EXIT PROCEEDS ANALYSIS</t>
  </si>
  <si>
    <t>enter a ladder (e.g. 90% / 70% / 50%) to engage the promote. B17 and B20</t>
  </si>
  <si>
    <t>then move the LP / GP split.</t>
  </si>
  <si>
    <t>Gross Sale Price (NOI ÷ Exit Cap)</t>
  </si>
  <si>
    <t>Less: Selling Costs + Disposition Fee</t>
  </si>
  <si>
    <t>GP distributions (row 58) run through the exit year (up to year 10).</t>
  </si>
  <si>
    <t>Audit: promote engine rows 104-114; visual rows 116-121.</t>
  </si>
  <si>
    <t>NET SALE PROCEEDS</t>
  </si>
  <si>
    <t xml:space="preserve">  Return of Capital — Class A LP</t>
  </si>
  <si>
    <t xml:space="preserve">  Return of Capital — Class B LP</t>
  </si>
  <si>
    <t xml:space="preserve">  Return of Capital — GP</t>
  </si>
  <si>
    <t>ANNUAL DISTRIBUTION WATERFALL</t>
  </si>
  <si>
    <t>Distribution Tier</t>
  </si>
  <si>
    <t>Exit Proceeds</t>
  </si>
  <si>
    <t xml:space="preserve">  Class A Pref Distributed</t>
  </si>
  <si>
    <t>Class B LP Preferred Return</t>
  </si>
  <si>
    <t xml:space="preserve">  Class B Pref Distributed</t>
  </si>
  <si>
    <t>FCF Remaining After Prefs</t>
  </si>
  <si>
    <t>LP Promote (FCF - 3-tier)</t>
  </si>
  <si>
    <t>GP Promote (FCF - 3-tier)</t>
  </si>
  <si>
    <t>LP Cash-on-Cash % (operating)</t>
  </si>
  <si>
    <t>TOTAL CLASS A LP DISTRIBUTIONS</t>
  </si>
  <si>
    <t>TOTAL CLASS B LP DISTRIBUTIONS</t>
  </si>
  <si>
    <t>TOTAL LP DISTRIBUTIONS (A+B)</t>
  </si>
  <si>
    <t>TOTAL GP DISTRIBUTIONS</t>
  </si>
  <si>
    <t>LP (Combined)</t>
  </si>
  <si>
    <t xml:space="preserve">  [IRR Helper] Class A LP Cash Flows</t>
  </si>
  <si>
    <t xml:space="preserve">  [IRR Helper] Class B LP Cash Flows</t>
  </si>
  <si>
    <t xml:space="preserve">  [IRR Helper] GP Cash Flows</t>
  </si>
  <si>
    <t xml:space="preserve">  [IRR Helper] Combined LP Cash Flows</t>
  </si>
  <si>
    <t>LP CAPITAL BALANCE TRACKER  (Unreturned Capital by Year)</t>
  </si>
  <si>
    <t>Party</t>
  </si>
  <si>
    <t>Y0 (Invested)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</si>
  <si>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</si>
  <si>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</si>
  <si>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</si>
  <si>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</si>
  <si>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</si>
  <si>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</si>
  <si>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</si>
  <si>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</si>
  <si>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</si>
  <si>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</si>
  <si>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Exit</t>
  </si>
  <si>
    <t>Class A LP — Invested Capital</t>
  </si>
  <si>
    <t xml:space="preserve">  Less: Refi — Return of Capital</t>
  </si>
  <si>
    <t xml:space="preserve">  Closing Balance</t>
  </si>
  <si>
    <t>Total LP — Invested Capital</t>
  </si>
  <si>
    <t xml:space="preserve">  Less: Refi — Return of Capital (Total LP)</t>
  </si>
  <si>
    <t xml:space="preserve">  Closing Balance (Total LP)</t>
  </si>
  <si>
    <t xml:space="preserve">  Note: When toggle = "Return of Capital", refi proceeds reduce LP capital balance and are excluded from operating FCF waterfall. When toggle = "Waterfall", refi proceeds flow through the distribution cascade as additional FCF.</t>
  </si>
  <si>
    <t>GP ECONOMICS SUMMARY  —  All Income Streams by Year</t>
  </si>
  <si>
    <t>Income Source</t>
  </si>
  <si>
    <t>TOTAL ($)</t>
  </si>
  <si>
    <t>Acquisition Fee  (one-time at close)</t>
  </si>
  <si>
    <t>Asset Management Fee  (annual)</t>
  </si>
  <si>
    <t>Operating Promote  (Waterfall — annual)</t>
  </si>
  <si>
    <t>Disposition Fee  (at exit)</t>
  </si>
  <si>
    <t>GP Co-invest Return  (at exit)</t>
  </si>
  <si>
    <t>TOTAL GP ECONOMICS</t>
  </si>
  <si>
    <t>GP ECONOMICS — BREAKDOWN BY TYPE</t>
  </si>
  <si>
    <t>Category</t>
  </si>
  <si>
    <t>% of GP Economics</t>
  </si>
  <si>
    <t>Total Fees  (Acq + Mgmt + Disposition)</t>
  </si>
  <si>
    <t>One-time + annual + exit fees</t>
  </si>
  <si>
    <t>Total Promote  (operating waterfall)</t>
  </si>
  <si>
    <t>GP share of FCF above LP pref</t>
  </si>
  <si>
    <t>Co-invest Return  (capital returned at exit)</t>
  </si>
  <si>
    <t>GRAND TOTAL</t>
  </si>
  <si>
    <t>All GP income streams combined</t>
  </si>
  <si>
    <t xml:space="preserve">  GP economics include: (1) Acquisition fee at close, (2) Asset mgmt fee annually, (3) Waterfall promote above LP pref, (4) Disposition fee at sale, (5) Return of GP co-invest equity. Promote tracks Scenarios!F36 (GP Promote %). Note: GP co-invest return is return OF capital, not profit — included for completeness.</t>
  </si>
  <si>
    <t>-- PROMOTE TIER ENGINE (IRR hurdles; pref counts toward IRR) --</t>
  </si>
  <si>
    <t>LP non-promote cash (pref + ROC)</t>
  </si>
  <si>
    <t>Residual to promote (after ROC)</t>
  </si>
  <si>
    <t>Tier-1 hurdle bal - start (accreted @ B17)</t>
  </si>
  <si>
    <t>Tier-2 hurdle bal - start (accreted @ B20)</t>
  </si>
  <si>
    <t>P1 (tier-1 residual portion)</t>
  </si>
  <si>
    <t>P2 (tier-2 residual portion)</t>
  </si>
  <si>
    <t>Tier-1 hurdle bal - end</t>
  </si>
  <si>
    <t>Tier-2 hurdle bal - end</t>
  </si>
  <si>
    <t>LP Promote (all tiers)</t>
  </si>
  <si>
    <t>GP Promote (all tiers)</t>
  </si>
  <si>
    <t>-- VISUAL: promote split &amp; hurdle clearance by period --</t>
  </si>
  <si>
    <t>Period</t>
  </si>
  <si>
    <t>LP share of period promote</t>
  </si>
  <si>
    <t>Split bar  (LP = block, GP = light)</t>
  </si>
  <si>
    <t>Tier reached this period</t>
  </si>
  <si>
    <t>Hurdle cleared (cumulative)</t>
  </si>
  <si>
    <t>LP RETURN ILLUSTRATION</t>
  </si>
  <si>
    <t>Investment Amount</t>
  </si>
  <si>
    <t>← Change this to illustrate any LP</t>
  </si>
  <si>
    <t>LP Class</t>
  </si>
  <si>
    <t>Class A</t>
  </si>
  <si>
    <t>← Select Class A or Class B</t>
  </si>
  <si>
    <t>Ownership % of LP Pool</t>
  </si>
  <si>
    <t>Pref Rate</t>
  </si>
  <si>
    <t>Member Returns Based On Specific $ Invested</t>
  </si>
  <si>
    <t>Return $</t>
  </si>
  <si>
    <t>Return %</t>
  </si>
  <si>
    <t xml:space="preserve">  A.  INVESTED CAPITAL</t>
  </si>
  <si>
    <t>Beginning Member Capital Account Balance</t>
  </si>
  <si>
    <t>% of Overall LP Pool Ownership for $ Invested</t>
  </si>
  <si>
    <t xml:space="preserve">  B.  PREFERRED RETURN TRACKING</t>
  </si>
  <si>
    <t>Preferred Return Accrued (Annual Target)</t>
  </si>
  <si>
    <t>Preferred Return Paid (Actual Distributed)</t>
  </si>
  <si>
    <t>Cumulative Preferred Return Shortfall</t>
  </si>
  <si>
    <t xml:space="preserve">  C.  ANNUAL CASH DISTRIBUTIONS</t>
  </si>
  <si>
    <t>Member Cashflow  (Total Distribution)</t>
  </si>
  <si>
    <t>Average Cash on Cash Return to Date</t>
  </si>
  <si>
    <t xml:space="preserve">  D.  CAPITAL EVENTS</t>
  </si>
  <si>
    <t>Net Proceeds from Refinance or Sale</t>
  </si>
  <si>
    <t>Return of Member Capital</t>
  </si>
  <si>
    <t>Cumulative Capital Returned</t>
  </si>
  <si>
    <t>Ending Member Capital Account Balance</t>
  </si>
  <si>
    <t xml:space="preserve">  E.  CUMULATIVE TOTALS</t>
  </si>
  <si>
    <t>Cumulative Cash Received  (Distributions + ROC)</t>
  </si>
  <si>
    <t>Average Annual Return to Date</t>
  </si>
  <si>
    <t>Total Return in Investment</t>
  </si>
  <si>
    <t>Average Annual Return</t>
  </si>
  <si>
    <t>XIRR</t>
  </si>
  <si>
    <t>Average Cash on Cash Return</t>
  </si>
  <si>
    <t xml:space="preserve">  F.  TARGET RETURN ANALYSIS  —  How much do I need to invest?</t>
  </si>
  <si>
    <t>Target</t>
  </si>
  <si>
    <t>Your Target</t>
  </si>
  <si>
    <t>Required Investment</t>
  </si>
  <si>
    <t>At $100k →</t>
  </si>
  <si>
    <t>vs Target</t>
  </si>
  <si>
    <t>Annual Pref Income ($/yr)</t>
  </si>
  <si>
    <t>Target Equity Multiple</t>
  </si>
  <si>
    <t>EM scales with deal, not investment size</t>
  </si>
  <si>
    <t>Target IRR</t>
  </si>
  <si>
    <t>IRR is deal-level — same at any investment size</t>
  </si>
  <si>
    <t>Target Total Cash Back ($)</t>
  </si>
  <si>
    <t xml:space="preserve">  G.  SENSITIVITY ANALYSIS  —  Your Returns at Different Exit Cap Rates</t>
  </si>
  <si>
    <t xml:space="preserve">  Assumes operating distributions unchanged. Only exit proceeds vary with cap rate.</t>
  </si>
  <si>
    <t>Net Proceeds to LP (exit)</t>
  </si>
  <si>
    <t>Your Exit $</t>
  </si>
  <si>
    <t>Total Received</t>
  </si>
  <si>
    <t>Equity Multiple</t>
  </si>
  <si>
    <t>vs Base EM</t>
  </si>
  <si>
    <t xml:space="preserve">  Base case (0.08 cap rate) highlighted. Selling costs and disposition fee deducted from sale price before LP split.</t>
  </si>
  <si>
    <t>SENSITIVITY ANALYSIS — THREE KEY TRADE-OFF TABLES</t>
  </si>
  <si>
    <t xml:space="preserve">  Green = meets investment threshold. Yellow = marginal. Red = below threshold. All cells are live formulas.</t>
  </si>
  <si>
    <t>TABLE 1 — OCCUPANCY vs EXIT CAP RATE → LP IRR (MOIC approximation)</t>
  </si>
  <si>
    <t>Occ % \ Exit Cap →</t>
  </si>
  <si>
    <t>Cap Start →</t>
  </si>
  <si>
    <t>Step →</t>
  </si>
  <si>
    <t>Occ Start →</t>
  </si>
  <si>
    <t>Occ Step →</t>
  </si>
  <si>
    <t>TABLE 2 — RATE GROWTH vs EXPENSE GROWTH → NOI MARGIN (Year 5)</t>
  </si>
  <si>
    <t>Rate Gr. \ Exp Gr. →</t>
  </si>
  <si>
    <t>Exp Gr Start →</t>
  </si>
  <si>
    <t>Rate Gr Start →</t>
  </si>
  <si>
    <t>TABLE 3 — PURCHASE PRICE MULTIPLE vs NOI MULTIPLE → GOING-IN CAP RATE</t>
  </si>
  <si>
    <t>PP Mult \ NOI Mult →</t>
  </si>
  <si>
    <t>NOI Mult Start →</t>
  </si>
  <si>
    <t>PP Mult Start →</t>
  </si>
  <si>
    <t>XIRR ANALYSIS — QUARTERLY DISTRIBUTION SCHEDULE</t>
  </si>
  <si>
    <t xml:space="preserve">  INPUTS</t>
  </si>
  <si>
    <t>Close / Funding Date</t>
  </si>
  <si>
    <t>← Today's date. Change to actual close date.</t>
  </si>
  <si>
    <t>← Change in LP Return sheet</t>
  </si>
  <si>
    <t>Hold Period</t>
  </si>
  <si>
    <t>Yrs  |  Pref Rate:</t>
  </si>
  <si>
    <t>Legend:</t>
  </si>
  <si>
    <t>Blue = editable</t>
  </si>
  <si>
    <t>Yellow = model ref (read-only)</t>
  </si>
  <si>
    <t>Quarterly Dist = Annual ÷ 4 by default. Override any cell in col E.</t>
  </si>
  <si>
    <t>Year</t>
  </si>
  <si>
    <t>Quarter</t>
  </si>
  <si>
    <t>XIRR Date</t>
  </si>
  <si>
    <t>Annual Dist
(from model)</t>
  </si>
  <si>
    <t>Quarterly Dist
(editable ↓)</t>
  </si>
  <si>
    <t>Exit / Refi
Proceeds</t>
  </si>
  <si>
    <t>Total CF
(XIRR input)</t>
  </si>
  <si>
    <t>Cumulative
Cash Received</t>
  </si>
  <si>
    <t>0</t>
  </si>
  <si>
    <t>Invest</t>
  </si>
  <si>
    <t>Initial member contribution</t>
  </si>
  <si>
    <t>Q1</t>
  </si>
  <si>
    <t>Distributions begin</t>
  </si>
  <si>
    <t>Q2</t>
  </si>
  <si>
    <t>Q3</t>
  </si>
  <si>
    <t>Q4</t>
  </si>
  <si>
    <t>TOTALS</t>
  </si>
  <si>
    <t xml:space="preserve">  RETURN SUMMARY</t>
  </si>
  <si>
    <t>XIRR  (quarterly distributions)</t>
  </si>
  <si>
    <t>Standard IRR  (annual, year-end)</t>
  </si>
  <si>
    <t>Difference  (XIRR − IRR)</t>
  </si>
  <si>
    <t>Equity Multiple  (XIRR basis)</t>
  </si>
  <si>
    <t>Total Cash Received</t>
  </si>
  <si>
    <t>LOAN SUMMARY — THREE-TRANCHE DEBT STRUCTURE</t>
  </si>
  <si>
    <t xml:space="preserve">  Inputs pull from active Scenario col F. Edit loan terms in the Scenarios tab per scenario.</t>
  </si>
  <si>
    <t>1st Loan (Senior)</t>
  </si>
  <si>
    <t>Loan Amount</t>
  </si>
  <si>
    <t>Amortization (yrs)</t>
  </si>
  <si>
    <t>1st Mortgage (Senior)</t>
  </si>
  <si>
    <t xml:space="preserve">  Exits at Refi? →</t>
  </si>
  <si>
    <t>YES</t>
  </si>
  <si>
    <t>Loan Term (yrs)</t>
  </si>
  <si>
    <t xml:space="preserve">  Beginning Balance</t>
  </si>
  <si>
    <t>Interest-Only Months</t>
  </si>
  <si>
    <t xml:space="preserve">  Principal Paid</t>
  </si>
  <si>
    <t>Origination Fee %</t>
  </si>
  <si>
    <t xml:space="preserve">  Interest Paid</t>
  </si>
  <si>
    <t>Origination Fee $</t>
  </si>
  <si>
    <t xml:space="preserve">  Total Debt Service</t>
  </si>
  <si>
    <t>Annual Debt Service</t>
  </si>
  <si>
    <t xml:space="preserve">  Ending Balance</t>
  </si>
  <si>
    <t>Monthly Payment</t>
  </si>
  <si>
    <t>Annual Interest (Y1)</t>
  </si>
  <si>
    <t>2nd Mortgage</t>
  </si>
  <si>
    <t>Annual Principal (Y1)</t>
  </si>
  <si>
    <t>1st Mortgage Refi</t>
  </si>
  <si>
    <t xml:space="preserve">  Cumulative Interest</t>
  </si>
  <si>
    <t xml:space="preserve">  Cumulative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</si>
</sst>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9">
    <numFmt numFmtId="164" formatCode="#,##0;\(#,##0\);\-"/>
    <numFmt numFmtId="165" formatCode="0.0%;\(0.0%\);\-"/>
    <numFmt numFmtId="166" formatCode="\$#,##0;&quot;($&quot;#,##0\);\-"/>
    <numFmt numFmtId="167" formatCode="0.00%;\(0.00%\);\-"/>
    <numFmt numFmtId="168" formatCode="0.00\x;\(0.00&quot;x)&quot;;\-"/>
    <numFmt numFmtId="169" formatCode="0.00\x"/>
    <numFmt numFmtId="170" formatCode="0.0%"/>
    <numFmt numFmtId="171" formatCode="\$#,##0;&quot;($&quot;#,##0\);&quot;&quot;"/>
    <numFmt numFmtId="172" formatCode="#,##0;\(#,##0\);&quot;&quot;"/>
    <numFmt numFmtId="173" formatCode="0.0%;\(0.0%\);&quot;&quot;"/>
    <numFmt numFmtId="174" formatCode="0.0&quot; mo&quot;;\-0.0&quot; mo&quot;;&quot;&quot;"/>
    <numFmt numFmtId="175" formatCode="\$#,##0.00_);[Red]&quot;($&quot;#,##0.00\)"/>
    <numFmt numFmtId="176" formatCode="0.0%;\-0.0%;&quot;&quot;"/>
    <numFmt numFmtId="177" formatCode="\$#,##0.00;&quot;($&quot;#,##0.00\);&quot;&quot;"/>
    <numFmt numFmtId="178" formatCode="#,##0;\-#,##0;&quot;&quot;"/>
    <numFmt numFmtId="179" formatCode="#,##0.0;\(#,##0.0\);&quot;&quot;"/>
    <numFmt numFmtId="180" formatCode="0.00%;\(0.00%\);&quot;&quot;"/>
    <numFmt numFmtId="183" formatCode="_(\$* #,##0.00_);_(\$* \(#,##0.00\);_(\$* \-??_);_(@_)"/>
    <numFmt numFmtId="184" formatCode="#,##0.00;\(#,##0.00\);\-"/>
    <numFmt numFmtId="186" formatCode="\$#,##0"/>
    <numFmt numFmtId="187" formatCode="\$#,##0;&quot;($&quot;#,##0\)"/>
    <numFmt numFmtId="188" formatCode="\$#,###,###,###"/>
    <numFmt numFmtId="189" formatCode="\$#,##0.00;&quot;($&quot;#,##0.00\);\-"/>
    <numFmt numFmtId="190" formatCode="mm/dd/yyyy"/>
    <numFmt numFmtId="191" formatCode="0.0"/>
    <numFmt numFmtId="192" formatCode="\$#,##0.00"/>
    <numFmt numFmtId="193" formatCode="\$0.00"/>
    <numFmt numFmtId="194" formatCode="\$#,##0;&quot;-$&quot;#,##0;&quot;&quot;"/>
    <numFmt numFmtId="195" formatCode="\+0.00\x;\-0.00\x"/>
    <numFmt numFmtId="196" formatCode="0.000%"/>
    <numFmt numFmtId="197" formatCode="0&quot; yrs&quot;"/>
    <numFmt numFmtId="198" formatCode="\+0.00%;\-0.00%"/>
    <numFmt numFmtId="199" formatCode="\$#,##0;&quot;($&quot;#,##0\);;@"/>
    <numFmt numFmtId="200" formatCode="#,##0;\-#,##0;;@"/>
    <numFmt numFmtId="201" formatCode="\$0.00;\-\$0.00;;@"/>
    <numFmt numFmtId="202" formatCode="0.0%;\-0.0%;;@"/>
    <numFmt numFmtId="203" formatCode="\$#,##0.00;\-\$#,##0.00;;@"/>
    <numFmt numFmtId="204" formatCode="###"/>
    <numFmt numFmtId="205" formatCode="General;\-General;;@"/>
    <numFmt numFmtId="206" formatCode="0.0%;\(0.0%\);"/>
    <numFmt numFmtId="207" formatCode="0.0%;\-0.0%;"/>
    <numFmt numFmtId="208" formatCode="\$#,##0;&quot;($&quot;#,##0\);"/>
    <numFmt numFmtId="209" formatCode="\$#,##0_);[Red]&quot;($&quot;#,##0\);"/>
    <numFmt numFmtId="210" formatCode="#,##0;\(#,##0\);"/>
    <numFmt numFmtId="211" formatCode="_(\$* #,##0.00_);_(\$* \(#,##0.00\);;_(@_)"/>
    <numFmt numFmtId="212" formatCode="0.00%;\-0.00%;"/>
    <numFmt numFmtId="213" formatCode="#,##0.00;\(#,##0.00\);"/>
    <numFmt numFmtId="214" formatCode="#,##0.0;\(#,##0.0\);"/>
    <numFmt numFmtId="215" formatCode="0.00%;\(0.00%\);"/>
  </numFmts>
  <fonts count="93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i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color rgb="FF006100"/>
      <name val="Arial"/>
      <family val="2"/>
      <charset val="1"/>
    </font>
    <font>
      <i/>
      <sz val="10"/>
      <color rgb="FF595959"/>
      <name val="Arial"/>
      <family val="2"/>
      <charset val="1"/>
    </font>
    <font>
      <sz val="10"/>
      <color rgb="FF595959"/>
      <name val="Arial"/>
      <family val="2"/>
      <charset val="1"/>
    </font>
    <font>
      <b/>
      <sz val="9"/>
      <color rgb="FFFFFFFF"/>
      <name val="Arial"/>
      <family val="2"/>
      <charset val="1"/>
    </font>
    <font>
      <b/>
      <i/>
      <sz val="9"/>
      <color rgb="FF595959"/>
      <name val="Arial"/>
      <family val="2"/>
      <charset val="1"/>
    </font>
    <font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006100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0"/>
      <color theme="1"/>
      <name val="Arial"/>
      <family val="2"/>
      <charset val="1"/>
    </font>
    <font>
      <i/>
      <sz val="9"/>
      <color rgb="FF006100"/>
      <name val="Arial"/>
      <family val="2"/>
      <charset val="1"/>
    </font>
    <font>
      <sz val="10"/>
      <color rgb="FF7F6000"/>
      <name val="Arial"/>
      <family val="2"/>
      <charset val="1"/>
    </font>
    <font>
      <i/>
      <sz val="10"/>
      <color rgb="FF0000FF"/>
      <name val="Arial"/>
      <family val="2"/>
      <charset val="1"/>
    </font>
    <font>
      <b/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b/>
      <sz val="9"/>
      <color rgb="FF1F3864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10"/>
      <color rgb="FF595959"/>
      <name val="Calibri"/>
      <family val="2"/>
      <charset val="1"/>
    </font>
    <font>
      <b/>
      <i/>
      <sz val="9"/>
      <color rgb="FF595959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FF"/>
      <name val="Calibri"/>
      <family val="2"/>
      <charset val="1"/>
    </font>
    <font>
      <sz val="10"/>
      <color rgb="FF595959"/>
      <name val="Calibri"/>
      <family val="2"/>
      <charset val="1"/>
    </font>
    <font>
      <i/>
      <sz val="9"/>
      <color rgb="FF595959"/>
      <name val="Calibri"/>
      <family val="2"/>
      <charset val="1"/>
    </font>
    <font>
      <b/>
      <sz val="10"/>
      <color rgb="FF595959"/>
      <name val="Arial"/>
      <family val="2"/>
      <charset val="1"/>
    </font>
    <font>
      <b/>
      <sz val="9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rgb="FF7030A0"/>
      <name val="Calibri"/>
      <family val="2"/>
      <charset val="1"/>
    </font>
    <font>
      <b/>
      <sz val="10"/>
      <color rgb="FF0000FF"/>
      <name val="Arial"/>
      <family val="2"/>
      <charset val="1"/>
    </font>
    <font>
      <b/>
      <sz val="10"/>
      <color theme="0"/>
      <name val="Arial"/>
      <family val="2"/>
      <charset val="1"/>
    </font>
    <font>
      <i/>
      <sz val="9"/>
      <color theme="0"/>
      <name val="Arial"/>
      <family val="2"/>
      <charset val="1"/>
    </font>
    <font>
      <sz val="9"/>
      <color theme="1"/>
      <name val="Arial"/>
      <family val="2"/>
      <charset val="1"/>
    </font>
    <font>
      <sz val="9"/>
      <color rgb="FF595959"/>
      <name val="Arial"/>
      <family val="2"/>
      <charset val="1"/>
    </font>
    <font>
      <sz val="10"/>
      <color rgb="FFBFBFBF"/>
      <name val="Arial"/>
      <family val="2"/>
      <charset val="1"/>
    </font>
    <font>
      <b/>
      <i/>
      <sz val="9"/>
      <color rgb="FF006100"/>
      <name val="Arial"/>
      <family val="2"/>
      <charset val="1"/>
    </font>
    <font>
      <b/>
      <i/>
      <sz val="9"/>
      <color rgb="FF000000"/>
      <name val="Arial"/>
      <family val="2"/>
      <charset val="1"/>
    </font>
    <font>
      <i/>
      <sz val="9"/>
      <color rgb="FF000000"/>
      <name val="Arial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10"/>
      <color rgb="FF375623"/>
      <name val="Arial"/>
      <family val="2"/>
      <charset val="1"/>
    </font>
    <font>
      <i/>
      <sz val="10"/>
      <color rgb="FF375623"/>
      <name val="Arial"/>
      <family val="2"/>
      <charset val="1"/>
    </font>
    <font>
      <sz val="10"/>
      <color rgb="FF375623"/>
      <name val="Arial"/>
      <family val="2"/>
      <charset val="1"/>
    </font>
    <font>
      <i/>
      <sz val="10"/>
      <color rgb="FF000000"/>
      <name val="Arial"/>
      <family val="2"/>
      <charset val="1"/>
    </font>
    <font>
      <b/>
      <sz val="12"/>
      <color rgb="FFFFFFFF"/>
      <name val="Calibri"/>
      <family val="2"/>
      <charset val="1"/>
    </font>
    <font>
      <i/>
      <sz val="10"/>
      <color rgb="FF595959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B050"/>
      <name val="Calibri"/>
      <family val="2"/>
      <charset val="1"/>
    </font>
    <font>
      <sz val="10"/>
      <color rgb="FF0000FF"/>
      <name val="Calibri"/>
      <family val="2"/>
      <charset val="1"/>
    </font>
    <font>
      <i/>
      <sz val="10"/>
      <color rgb="FF000000"/>
      <name val="Calibri"/>
      <family val="2"/>
      <charset val="1"/>
    </font>
    <font>
      <i/>
      <sz val="10"/>
      <color rgb="FFC00000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0"/>
      <color rgb="FF008000"/>
      <name val="Calibri"/>
      <family val="2"/>
      <charset val="1"/>
    </font>
    <font>
      <sz val="9"/>
      <color rgb="FF1F3864"/>
      <name val="Calibri"/>
      <family val="2"/>
      <charset val="1"/>
    </font>
    <font>
      <sz val="9"/>
      <color rgb="FF000000"/>
      <name val="Arial"/>
      <family val="2"/>
      <charset val="1"/>
    </font>
    <font>
      <i/>
      <sz val="9"/>
      <color rgb="FF375623"/>
      <name val="Arial"/>
      <family val="2"/>
      <charset val="1"/>
    </font>
    <font>
      <i/>
      <sz val="9"/>
      <color rgb="FF7030A0"/>
      <name val="Arial"/>
      <family val="2"/>
      <charset val="1"/>
    </font>
    <font>
      <i/>
      <sz val="10"/>
      <color rgb="FF7F6000"/>
      <name val="Arial"/>
      <family val="2"/>
      <charset val="1"/>
    </font>
    <font>
      <b/>
      <sz val="14"/>
      <color rgb="FFFFFFFF"/>
      <name val="Arial"/>
      <family val="2"/>
      <charset val="1"/>
    </font>
    <font>
      <sz val="10"/>
      <name val="Calibri"/>
      <family val="2"/>
      <charset val="1"/>
    </font>
    <font>
      <b/>
      <sz val="10"/>
      <name val="Calibri"/>
      <family val="2"/>
      <charset val="1"/>
    </font>
    <font>
      <i/>
      <sz val="8"/>
      <color rgb="FF808080"/>
      <name val="Calibri"/>
      <family val="2"/>
      <charset val="1"/>
    </font>
    <font>
      <b/>
      <sz val="9"/>
      <color rgb="FF0000FF"/>
      <name val="Calibri"/>
      <family val="2"/>
      <charset val="1"/>
    </font>
    <font>
      <b/>
      <sz val="10"/>
      <color rgb="FF1F3864"/>
      <name val="Arial"/>
      <family val="2"/>
      <charset val="1"/>
    </font>
    <font>
      <b/>
      <i/>
      <sz val="10"/>
      <color rgb="FF000000"/>
      <name val="Arial"/>
      <family val="2"/>
      <charset val="1"/>
    </font>
    <font>
      <sz val="8"/>
      <color theme="0" tint="-0.249977111117893"/>
      <name val="Arial"/>
      <family val="2"/>
      <charset val="1"/>
    </font>
    <font>
      <sz val="10"/>
      <color rgb="FFFF0000"/>
      <name val="Arial"/>
      <family val="2"/>
      <charset val="1"/>
    </font>
    <font>
      <b/>
      <sz val="11"/>
      <color rgb="FF375623"/>
      <name val="Arial"/>
      <family val="2"/>
      <charset val="1"/>
    </font>
    <font>
      <u/>
      <sz val="11"/>
      <color theme="10"/>
      <name val="Calibri"/>
      <family val="2"/>
      <charset val="1"/>
    </font>
    <font>
      <i/>
      <sz val="9"/>
      <color rgb="FF7F6000"/>
      <name val="Arial"/>
      <family val="2"/>
      <charset val="1"/>
    </font>
    <font>
      <b/>
      <sz val="10"/>
      <color rgb="FF7F6000"/>
      <name val="Arial"/>
      <family val="2"/>
      <charset val="1"/>
    </font>
    <font>
      <b/>
      <sz val="13"/>
      <color rgb="FFFFFFFF"/>
      <name val="Arial"/>
      <family val="2"/>
      <charset val="1"/>
    </font>
    <font>
      <sz val="6"/>
      <color rgb="FFFFFFFF"/>
      <name val="Arial"/>
      <family val="2"/>
      <charset val="1"/>
    </font>
    <font>
      <sz val="9"/>
      <name val="Arial"/>
      <family val="2"/>
      <charset val="1"/>
    </font>
    <font>
      <i/>
      <sz val="9"/>
      <name val="Arial"/>
      <family val="2"/>
      <charset val="1"/>
    </font>
    <font>
      <i/>
      <sz val="8"/>
      <color rgb="FF595959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9"/>
      <color rgb="FF0000FF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rgb="FF0000FF"/>
      <name val="Calibri"/>
    </font>
    <font>
      <b/>
      <sz val="11"/>
      <color theme="1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4472C4"/>
        <bgColor rgb="FF2E75B6"/>
      </patternFill>
    </fill>
    <fill>
      <patternFill patternType="solid">
        <fgColor rgb="FFF2F2F2"/>
        <bgColor rgb="FFEBF0F7"/>
      </patternFill>
    </fill>
    <fill>
      <patternFill patternType="solid">
        <fgColor rgb="FFFFFFFF"/>
        <bgColor rgb="FFF2F2F2"/>
      </patternFill>
    </fill>
    <fill>
      <patternFill patternType="solid">
        <fgColor rgb="FF1F7A6E"/>
        <bgColor rgb="FF2E75B6"/>
      </patternFill>
    </fill>
    <fill>
      <patternFill patternType="solid">
        <fgColor rgb="FFD6E4F0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2E75B6"/>
        <bgColor rgb="FF4472C4"/>
      </patternFill>
    </fill>
    <fill>
      <patternFill patternType="solid">
        <fgColor rgb="FFDCE6F1"/>
        <bgColor rgb="FFD6E4F0"/>
      </patternFill>
    </fill>
    <fill>
      <patternFill patternType="solid">
        <fgColor rgb="FFFFFF99"/>
        <bgColor rgb="FFFFFFCC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993366"/>
      </patternFill>
    </fill>
    <fill>
      <patternFill patternType="solid">
        <fgColor rgb="FFBDD7EE"/>
        <bgColor rgb="FFD6DCE4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FFFCC"/>
      </patternFill>
    </fill>
    <fill>
      <patternFill patternType="solid">
        <fgColor rgb="FFD6DCE4"/>
        <bgColor rgb="FFD9D9D9"/>
      </patternFill>
    </fill>
    <fill>
      <patternFill patternType="solid">
        <fgColor rgb="FFEBF0F7"/>
        <bgColor rgb="FFEBF3FB"/>
      </patternFill>
    </fill>
    <fill>
      <patternFill patternType="solid">
        <fgColor rgb="FFEBF3FB"/>
        <bgColor rgb="FFEBF0F7"/>
      </patternFill>
    </fill>
    <fill>
      <patternFill patternType="solid">
        <fgColor theme="3" tint="-0.249977111117893"/>
        <bgColor rgb="FF1F3864"/>
      </patternFill>
    </fill>
    <fill>
      <patternFill patternType="solid">
        <fgColor rgb="FFD9E1F2"/>
        <bgColor rgb="FFD6E4F0"/>
      </patternFill>
    </fill>
    <fill>
      <patternFill patternType="solid">
        <fgColor theme="0" tint="-0.14999847407452621"/>
        <bgColor rgb="FFD6DCE4"/>
      </patternFill>
    </fill>
    <fill>
      <patternFill patternType="solid">
        <fgColor rgb="FFEAD1DC"/>
        <bgColor rgb="FFD9D9D9"/>
      </patternFill>
    </fill>
    <fill>
      <patternFill patternType="solid">
        <fgColor rgb="FF0F2244"/>
        <bgColor rgb="FF17375E"/>
      </patternFill>
    </fill>
    <fill>
      <patternFill patternType="solid">
        <fgColor rgb="FF2F5496"/>
        <bgColor rgb="FF2E75B6"/>
      </patternFill>
    </fill>
    <fill>
      <patternFill patternType="solid">
        <fgColor rgb="FFDDEBF7"/>
        <bgColor rgb="FFDCE6F1"/>
      </patternFill>
    </fill>
    <fill>
      <patternFill patternType="solid">
        <fgColor rgb="FFBFBFBF"/>
        <bgColor rgb="FFBDD7EE"/>
      </patternFill>
    </fill>
    <fill>
      <patternFill patternType="solid">
        <fgColor rgb="FFC9A227"/>
        <bgColor rgb="FF92D050"/>
      </patternFill>
    </fill>
    <fill>
      <patternFill patternType="solid">
        <fgColor rgb="FF7F6000"/>
        <bgColor rgb="FF595959"/>
      </patternFill>
    </fill>
    <fill>
      <patternFill patternType="solid">
        <fgColor rgb="FF595959"/>
        <bgColor rgb="FF375623"/>
      </patternFill>
    </fill>
    <fill>
      <patternFill patternType="solid">
        <fgColor rgb="FFC6EBD8"/>
        <bgColor rgb="FFD6E4F0"/>
      </patternFill>
    </fill>
    <fill>
      <patternFill patternType="solid">
        <fgColor rgb="FFFFFFCC"/>
        <bgColor rgb="FFFFF2CC"/>
      </patternFill>
    </fill>
    <fill>
      <patternFill patternType="solid">
        <fgColor rgb="FF92D050"/>
        <bgColor rgb="FFBFBFBF"/>
      </patternFill>
    </fill>
    <fill>
      <patternFill patternType="solid">
        <fgColor rgb="FF1F3864"/>
      </patternFill>
    </fill>
    <fill>
      <patternFill patternType="solid">
        <fgColor rgb="FF2E75B6"/>
      </patternFill>
    </fill>
  </fills>
  <borders count="7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/>
      <right/>
      <top style="medium">
        <color rgb="FF1F3864"/>
      </top>
      <bottom/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1F3864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1F3864"/>
      </right>
      <top style="thin">
        <color rgb="FFBFBFBF"/>
      </top>
      <bottom style="thin">
        <color rgb="FFBFBFBF"/>
      </bottom>
      <diagonal/>
    </border>
    <border>
      <left/>
      <right style="medium">
        <color rgb="FF1F3864"/>
      </right>
      <top/>
      <bottom/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/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/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thin">
        <color rgb="FF1F3864"/>
      </right>
      <top style="thin">
        <color rgb="FFBFBFBF"/>
      </top>
      <bottom style="thin">
        <color rgb="FFD9D9D9"/>
      </bottom>
      <diagonal/>
    </border>
    <border>
      <left/>
      <right style="thin">
        <color rgb="FFBFBFBF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D9D9D9"/>
      </bottom>
      <diagonal/>
    </border>
    <border>
      <left style="medium">
        <color rgb="FF1F3864"/>
      </left>
      <right style="thin">
        <color rgb="FF1F3864"/>
      </right>
      <top style="thin">
        <color rgb="FFBFBFBF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/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1F3864"/>
      </right>
      <top style="thin">
        <color rgb="FFD9D9D9"/>
      </top>
      <bottom style="thin">
        <color rgb="FFD9D9D9"/>
      </bottom>
      <diagonal/>
    </border>
    <border>
      <left/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medium">
        <color rgb="FF1F3864"/>
      </right>
      <top style="thin">
        <color rgb="FFD9D9D9"/>
      </top>
      <bottom style="thin">
        <color rgb="FFD9D9D9"/>
      </bottom>
      <diagonal/>
    </border>
    <border>
      <left style="medium">
        <color rgb="FF1F3864"/>
      </left>
      <right style="thin">
        <color rgb="FF1F3864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medium">
        <color rgb="FF1F3864"/>
      </right>
      <top style="thin">
        <color rgb="FFD9D9D9"/>
      </top>
      <bottom style="thin">
        <color rgb="FFD9D9D9"/>
      </bottom>
      <diagonal/>
    </border>
    <border>
      <left style="medium">
        <color rgb="FF1F3864"/>
      </left>
      <right style="thin">
        <color rgb="FFBFBFBF"/>
      </right>
      <top style="thin">
        <color rgb="FFD9D9D9"/>
      </top>
      <bottom style="thin">
        <color rgb="FFBFBFBF"/>
      </bottom>
      <diagonal/>
    </border>
    <border>
      <left style="thin">
        <color rgb="FFBFBFBF"/>
      </left>
      <right/>
      <top style="thin">
        <color rgb="FFD9D9D9"/>
      </top>
      <bottom style="thin">
        <color rgb="FFBFBFBF"/>
      </bottom>
      <diagonal/>
    </border>
    <border>
      <left style="thin">
        <color rgb="FFBFBFBF"/>
      </left>
      <right style="thin">
        <color rgb="FF1F3864"/>
      </right>
      <top style="thin">
        <color rgb="FFD9D9D9"/>
      </top>
      <bottom style="thin">
        <color rgb="FFBFBFBF"/>
      </bottom>
      <diagonal/>
    </border>
    <border>
      <left/>
      <right style="thin">
        <color rgb="FFBFBFBF"/>
      </right>
      <top style="thin">
        <color rgb="FFD9D9D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D9D9D9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D9D9D9"/>
      </top>
      <bottom style="thin">
        <color rgb="FFBFBFBF"/>
      </bottom>
      <diagonal/>
    </border>
    <border>
      <left style="medium">
        <color rgb="FF1F3864"/>
      </left>
      <right style="thin">
        <color rgb="FF1F3864"/>
      </right>
      <top style="thin">
        <color rgb="FFD9D9D9"/>
      </top>
      <bottom style="thin">
        <color rgb="FFBFBFBF"/>
      </bottom>
      <diagonal/>
    </border>
    <border>
      <left/>
      <right/>
      <top style="thin">
        <color rgb="FFD9D9D9"/>
      </top>
      <bottom/>
      <diagonal/>
    </border>
    <border>
      <left/>
      <right style="medium">
        <color rgb="FF1F3864"/>
      </right>
      <top style="thin">
        <color rgb="FFD9D9D9"/>
      </top>
      <bottom/>
      <diagonal/>
    </border>
    <border>
      <left style="medium">
        <color rgb="FF1F3864"/>
      </left>
      <right style="thin">
        <color rgb="FFBFBFBF"/>
      </right>
      <top/>
      <bottom/>
      <diagonal/>
    </border>
    <border>
      <left/>
      <right style="thin">
        <color rgb="FF1F3864"/>
      </right>
      <top/>
      <bottom/>
      <diagonal/>
    </border>
    <border>
      <left style="medium">
        <color rgb="FF1F3864"/>
      </left>
      <right style="thin">
        <color rgb="FF1F3864"/>
      </right>
      <top/>
      <bottom/>
      <diagonal/>
    </border>
    <border>
      <left style="medium">
        <color rgb="FF1F3864"/>
      </left>
      <right style="thin">
        <color rgb="FFBFBFBF"/>
      </right>
      <top/>
      <bottom style="thin">
        <color rgb="FFD9D9D9"/>
      </bottom>
      <diagonal/>
    </border>
    <border>
      <left/>
      <right style="thin">
        <color rgb="FF1F3864"/>
      </right>
      <top/>
      <bottom style="thin">
        <color rgb="FFD9D9D9"/>
      </bottom>
      <diagonal/>
    </border>
    <border>
      <left style="medium">
        <color rgb="FF1F3864"/>
      </left>
      <right style="thin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1F3864"/>
      </right>
      <top style="thin">
        <color rgb="FFD9D9D9"/>
      </top>
      <bottom style="thin">
        <color rgb="FFD9D9D9"/>
      </bottom>
      <diagonal/>
    </border>
    <border>
      <left style="medium">
        <color rgb="FF1F3864"/>
      </left>
      <right/>
      <top style="thin">
        <color rgb="FFD9D9D9"/>
      </top>
      <bottom style="medium">
        <color rgb="FF1F3864"/>
      </bottom>
      <diagonal/>
    </border>
    <border>
      <left/>
      <right/>
      <top style="thin">
        <color rgb="FFD9D9D9"/>
      </top>
      <bottom style="medium">
        <color rgb="FF1F3864"/>
      </bottom>
      <diagonal/>
    </border>
    <border>
      <left/>
      <right style="thin">
        <color rgb="FF1F3864"/>
      </right>
      <top style="thin">
        <color rgb="FFD9D9D9"/>
      </top>
      <bottom style="medium">
        <color rgb="FF1F3864"/>
      </bottom>
      <diagonal/>
    </border>
    <border>
      <left/>
      <right style="medium">
        <color rgb="FF1F3864"/>
      </right>
      <top style="thin">
        <color rgb="FFD9D9D9"/>
      </top>
      <bottom style="medium">
        <color rgb="FF1F3864"/>
      </bottom>
      <diagonal/>
    </border>
    <border>
      <left style="medium">
        <color rgb="FF1F3864"/>
      </left>
      <right style="thin">
        <color rgb="FF1F3864"/>
      </right>
      <top style="thin">
        <color rgb="FFD9D9D9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/>
      <right style="thin">
        <color rgb="FFBFBFBF"/>
      </right>
      <top style="medium">
        <color rgb="FF1F3864"/>
      </top>
      <bottom/>
      <diagonal/>
    </border>
    <border>
      <left style="medium">
        <color rgb="FF1F3864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thin">
        <color rgb="FFBFBFBF"/>
      </right>
      <top/>
      <bottom style="thin">
        <color rgb="FFD9D9D9"/>
      </bottom>
      <diagonal/>
    </border>
    <border>
      <left/>
      <right style="thin">
        <color rgb="FFBFBFBF"/>
      </right>
      <top style="thin">
        <color rgb="FFD9D9D9"/>
      </top>
      <bottom style="medium">
        <color rgb="FF1F38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medium">
        <color rgb="FF1F3864"/>
      </top>
      <bottom style="thin">
        <color rgb="FFBFBFBF"/>
      </bottom>
      <diagonal/>
    </border>
    <border>
      <left/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</borders>
  <cellStyleXfs count="1">
    <xf numFmtId="0" fontId="0" fillId="0" borderId="0"/>
  </cellStyleXfs>
  <cellXfs count="985">
    <xf numFmtId="0" fontId="0" fillId="0" borderId="0" xfId="0"/>
    <xf numFmtId="0" fontId="3" fillId="4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49" fontId="5" fillId="4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horizontal="left" vertical="center" indent="1"/>
    </xf>
    <xf numFmtId="49" fontId="5" fillId="5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164" fontId="5" fillId="5" borderId="0" xfId="0" applyNumberFormat="1" applyFont="1" applyFill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3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right" vertical="center"/>
    </xf>
    <xf numFmtId="0" fontId="8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166" fontId="5" fillId="4" borderId="0" xfId="0" applyNumberFormat="1" applyFont="1" applyFill="1" applyAlignment="1">
      <alignment horizontal="right" vertical="center"/>
    </xf>
    <xf numFmtId="167" fontId="5" fillId="7" borderId="0" xfId="0" applyNumberFormat="1" applyFont="1" applyFill="1" applyAlignment="1">
      <alignment horizontal="right" vertical="center"/>
    </xf>
    <xf numFmtId="166" fontId="5" fillId="5" borderId="0" xfId="0" applyNumberFormat="1" applyFont="1" applyFill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168" fontId="5" fillId="7" borderId="0" xfId="0" applyNumberFormat="1" applyFont="1" applyFill="1" applyAlignment="1">
      <alignment horizontal="right" vertical="center"/>
    </xf>
    <xf numFmtId="0" fontId="10" fillId="4" borderId="0" xfId="0" applyFont="1" applyFill="1" applyAlignment="1">
      <alignment horizontal="left" vertical="center"/>
    </xf>
    <xf numFmtId="167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165" fontId="5" fillId="5" borderId="0" xfId="0" applyNumberFormat="1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 wrapText="1"/>
    </xf>
    <xf numFmtId="164" fontId="5" fillId="4" borderId="0" xfId="0" applyNumberFormat="1" applyFont="1" applyFill="1" applyAlignment="1">
      <alignment horizontal="right" vertical="center"/>
    </xf>
    <xf numFmtId="167" fontId="5" fillId="5" borderId="0" xfId="0" applyNumberFormat="1" applyFont="1" applyFill="1" applyAlignment="1">
      <alignment horizontal="right" vertical="center"/>
    </xf>
    <xf numFmtId="49" fontId="7" fillId="5" borderId="0" xfId="0" applyNumberFormat="1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indent="1"/>
    </xf>
    <xf numFmtId="166" fontId="12" fillId="2" borderId="0" xfId="0" applyNumberFormat="1" applyFont="1" applyFill="1" applyAlignment="1">
      <alignment horizontal="right" vertical="center"/>
    </xf>
    <xf numFmtId="165" fontId="1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 indent="1"/>
    </xf>
    <xf numFmtId="0" fontId="10" fillId="4" borderId="0" xfId="0" applyFont="1" applyFill="1" applyAlignment="1">
      <alignment horizontal="left" vertical="center" indent="2"/>
    </xf>
    <xf numFmtId="0" fontId="13" fillId="4" borderId="0" xfId="0" applyFont="1" applyFill="1" applyAlignment="1">
      <alignment horizontal="left" vertical="center" indent="1"/>
    </xf>
    <xf numFmtId="0" fontId="14" fillId="7" borderId="0" xfId="0" applyFont="1" applyFill="1" applyAlignment="1">
      <alignment horizontal="left" vertical="center" indent="2"/>
    </xf>
    <xf numFmtId="169" fontId="12" fillId="7" borderId="0" xfId="0" applyNumberFormat="1" applyFont="1" applyFill="1" applyAlignment="1">
      <alignment horizontal="right" vertical="center"/>
    </xf>
    <xf numFmtId="0" fontId="13" fillId="7" borderId="0" xfId="0" applyFont="1" applyFill="1" applyAlignment="1">
      <alignment horizontal="left" vertical="center" indent="1"/>
    </xf>
    <xf numFmtId="167" fontId="12" fillId="7" borderId="0" xfId="0" applyNumberFormat="1" applyFont="1" applyFill="1" applyAlignment="1">
      <alignment horizontal="right" vertical="center"/>
    </xf>
    <xf numFmtId="0" fontId="15" fillId="7" borderId="0" xfId="0" applyFont="1" applyFill="1" applyAlignment="1">
      <alignment horizontal="left" vertical="center" indent="2"/>
    </xf>
    <xf numFmtId="0" fontId="6" fillId="7" borderId="0" xfId="0" applyFont="1" applyFill="1" applyAlignment="1">
      <alignment horizontal="left" vertical="center"/>
    </xf>
    <xf numFmtId="0" fontId="15" fillId="7" borderId="1" xfId="0" applyFont="1" applyFill="1" applyBorder="1" applyAlignment="1">
      <alignment horizontal="left" vertical="center"/>
    </xf>
    <xf numFmtId="170" fontId="15" fillId="7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3" fontId="5" fillId="4" borderId="0" xfId="0" applyNumberFormat="1" applyFont="1" applyFill="1" applyAlignment="1">
      <alignment horizontal="right" vertical="center"/>
    </xf>
    <xf numFmtId="0" fontId="14" fillId="8" borderId="0" xfId="0" applyFont="1" applyFill="1" applyAlignment="1">
      <alignment horizontal="left" vertical="center" indent="2"/>
    </xf>
    <xf numFmtId="166" fontId="12" fillId="8" borderId="0" xfId="0" applyNumberFormat="1" applyFont="1" applyFill="1" applyAlignment="1">
      <alignment horizontal="right" vertical="center"/>
    </xf>
    <xf numFmtId="0" fontId="12" fillId="8" borderId="0" xfId="0" applyFont="1" applyFill="1" applyAlignment="1">
      <alignment horizontal="right" vertical="center"/>
    </xf>
    <xf numFmtId="0" fontId="13" fillId="8" borderId="0" xfId="0" applyFont="1" applyFill="1" applyAlignment="1">
      <alignment horizontal="left" vertical="center" indent="1"/>
    </xf>
    <xf numFmtId="0" fontId="4" fillId="2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7" fillId="2" borderId="0" xfId="0" applyFont="1" applyFill="1" applyAlignment="1">
      <alignment horizontal="center" vertical="center"/>
    </xf>
    <xf numFmtId="0" fontId="15" fillId="11" borderId="0" xfId="0" applyFont="1" applyFill="1"/>
    <xf numFmtId="0" fontId="16" fillId="11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indent="2"/>
    </xf>
    <xf numFmtId="171" fontId="16" fillId="4" borderId="0" xfId="0" applyNumberFormat="1" applyFont="1" applyFill="1" applyAlignment="1">
      <alignment horizontal="right" vertical="center"/>
    </xf>
    <xf numFmtId="171" fontId="3" fillId="8" borderId="0" xfId="0" applyNumberFormat="1" applyFont="1" applyFill="1" applyAlignment="1">
      <alignment horizontal="right" vertical="center"/>
    </xf>
    <xf numFmtId="171" fontId="3" fillId="8" borderId="0" xfId="0" applyNumberFormat="1" applyFont="1" applyFill="1" applyAlignment="1">
      <alignment horizontal="right" vertical="center" wrapText="1"/>
    </xf>
    <xf numFmtId="0" fontId="1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 indent="2"/>
    </xf>
    <xf numFmtId="171" fontId="16" fillId="5" borderId="0" xfId="0" applyNumberFormat="1" applyFont="1" applyFill="1" applyAlignment="1">
      <alignment horizontal="right" vertical="center"/>
    </xf>
    <xf numFmtId="0" fontId="13" fillId="5" borderId="0" xfId="0" applyFont="1" applyFill="1" applyAlignment="1">
      <alignment horizontal="left" vertical="center"/>
    </xf>
    <xf numFmtId="172" fontId="16" fillId="4" borderId="0" xfId="0" applyNumberFormat="1" applyFont="1" applyFill="1" applyAlignment="1">
      <alignment horizontal="right" vertical="center"/>
    </xf>
    <xf numFmtId="172" fontId="3" fillId="8" borderId="0" xfId="0" applyNumberFormat="1" applyFont="1" applyFill="1" applyAlignment="1">
      <alignment horizontal="right" vertical="center"/>
    </xf>
    <xf numFmtId="172" fontId="12" fillId="8" borderId="0" xfId="0" applyNumberFormat="1" applyFont="1" applyFill="1" applyAlignment="1">
      <alignment horizontal="center" vertical="center" wrapText="1"/>
    </xf>
    <xf numFmtId="171" fontId="3" fillId="5" borderId="0" xfId="0" applyNumberFormat="1" applyFont="1" applyFill="1" applyAlignment="1">
      <alignment horizontal="right" vertical="center"/>
    </xf>
    <xf numFmtId="171" fontId="12" fillId="8" borderId="0" xfId="0" applyNumberFormat="1" applyFont="1" applyFill="1" applyAlignment="1">
      <alignment horizontal="center" vertical="center" wrapText="1"/>
    </xf>
    <xf numFmtId="173" fontId="16" fillId="4" borderId="0" xfId="0" applyNumberFormat="1" applyFont="1" applyFill="1" applyAlignment="1">
      <alignment horizontal="right" vertical="center"/>
    </xf>
    <xf numFmtId="173" fontId="3" fillId="8" borderId="0" xfId="0" applyNumberFormat="1" applyFont="1" applyFill="1" applyAlignment="1">
      <alignment horizontal="right" vertical="center"/>
    </xf>
    <xf numFmtId="173" fontId="3" fillId="8" borderId="0" xfId="0" applyNumberFormat="1" applyFont="1" applyFill="1" applyAlignment="1">
      <alignment horizontal="right" vertical="center" wrapText="1"/>
    </xf>
    <xf numFmtId="171" fontId="3" fillId="4" borderId="0" xfId="0" applyNumberFormat="1" applyFont="1" applyFill="1" applyAlignment="1">
      <alignment horizontal="right" vertical="center"/>
    </xf>
    <xf numFmtId="174" fontId="3" fillId="8" borderId="0" xfId="0" applyNumberFormat="1" applyFont="1" applyFill="1" applyAlignment="1">
      <alignment horizontal="center" vertical="center" wrapText="1"/>
    </xf>
    <xf numFmtId="175" fontId="0" fillId="0" borderId="0" xfId="0" applyNumberFormat="1"/>
    <xf numFmtId="176" fontId="3" fillId="8" borderId="0" xfId="0" applyNumberFormat="1" applyFont="1" applyFill="1" applyAlignment="1">
      <alignment horizontal="right" vertical="center" wrapText="1"/>
    </xf>
    <xf numFmtId="173" fontId="16" fillId="5" borderId="0" xfId="0" applyNumberFormat="1" applyFont="1" applyFill="1" applyAlignment="1">
      <alignment horizontal="right" vertical="center"/>
    </xf>
    <xf numFmtId="171" fontId="15" fillId="7" borderId="0" xfId="0" applyNumberFormat="1" applyFont="1" applyFill="1" applyAlignment="1">
      <alignment horizontal="right" vertical="center"/>
    </xf>
    <xf numFmtId="171" fontId="15" fillId="8" borderId="0" xfId="0" applyNumberFormat="1" applyFont="1" applyFill="1" applyAlignment="1">
      <alignment horizontal="right" vertical="center"/>
    </xf>
    <xf numFmtId="171" fontId="15" fillId="8" borderId="0" xfId="0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171" fontId="5" fillId="4" borderId="0" xfId="0" applyNumberFormat="1" applyFont="1" applyFill="1" applyAlignment="1">
      <alignment horizontal="right" vertical="center"/>
    </xf>
    <xf numFmtId="171" fontId="5" fillId="8" borderId="0" xfId="0" applyNumberFormat="1" applyFont="1" applyFill="1" applyAlignment="1">
      <alignment horizontal="right" vertical="center"/>
    </xf>
    <xf numFmtId="171" fontId="5" fillId="8" borderId="0" xfId="0" applyNumberFormat="1" applyFont="1" applyFill="1" applyAlignment="1">
      <alignment horizontal="right" vertical="center" wrapText="1"/>
    </xf>
    <xf numFmtId="171" fontId="5" fillId="5" borderId="0" xfId="0" applyNumberFormat="1" applyFont="1" applyFill="1" applyAlignment="1">
      <alignment horizontal="right" vertical="center"/>
    </xf>
    <xf numFmtId="173" fontId="3" fillId="4" borderId="0" xfId="0" applyNumberFormat="1" applyFont="1" applyFill="1" applyAlignment="1">
      <alignment horizontal="right" vertical="center"/>
    </xf>
    <xf numFmtId="173" fontId="3" fillId="5" borderId="0" xfId="0" applyNumberFormat="1" applyFont="1" applyFill="1" applyAlignment="1">
      <alignment horizontal="right" vertical="center"/>
    </xf>
    <xf numFmtId="173" fontId="16" fillId="4" borderId="0" xfId="0" applyNumberFormat="1" applyFont="1" applyFill="1" applyAlignment="1">
      <alignment horizontal="center" vertical="center"/>
    </xf>
    <xf numFmtId="173" fontId="3" fillId="11" borderId="0" xfId="0" applyNumberFormat="1" applyFont="1" applyFill="1" applyAlignment="1">
      <alignment horizontal="right" vertical="center"/>
    </xf>
    <xf numFmtId="173" fontId="3" fillId="11" borderId="0" xfId="0" applyNumberFormat="1" applyFont="1" applyFill="1" applyAlignment="1">
      <alignment horizontal="right" vertical="center" wrapText="1"/>
    </xf>
    <xf numFmtId="173" fontId="18" fillId="4" borderId="0" xfId="0" applyNumberFormat="1" applyFont="1" applyFill="1" applyAlignment="1">
      <alignment horizontal="center" vertical="center"/>
    </xf>
    <xf numFmtId="173" fontId="3" fillId="7" borderId="0" xfId="0" applyNumberFormat="1" applyFont="1" applyFill="1" applyAlignment="1">
      <alignment horizontal="center" vertical="center"/>
    </xf>
    <xf numFmtId="0" fontId="15" fillId="8" borderId="0" xfId="0" applyFont="1" applyFill="1" applyAlignment="1">
      <alignment horizontal="left" vertical="center" indent="2"/>
    </xf>
    <xf numFmtId="171" fontId="15" fillId="8" borderId="0" xfId="0" applyNumberFormat="1" applyFont="1" applyFill="1" applyAlignment="1">
      <alignment horizontal="center" vertical="center"/>
    </xf>
    <xf numFmtId="171" fontId="3" fillId="11" borderId="0" xfId="0" applyNumberFormat="1" applyFont="1" applyFill="1" applyAlignment="1">
      <alignment horizontal="right" vertical="center"/>
    </xf>
    <xf numFmtId="171" fontId="3" fillId="11" borderId="0" xfId="0" applyNumberFormat="1" applyFont="1" applyFill="1" applyAlignment="1">
      <alignment horizontal="right" vertical="center" wrapText="1"/>
    </xf>
    <xf numFmtId="171" fontId="1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171" fontId="5" fillId="7" borderId="0" xfId="0" applyNumberFormat="1" applyFont="1" applyFill="1" applyAlignment="1">
      <alignment horizontal="center" vertical="center"/>
    </xf>
    <xf numFmtId="0" fontId="19" fillId="5" borderId="0" xfId="0" applyFont="1" applyFill="1" applyAlignment="1">
      <alignment horizontal="left" vertical="center"/>
    </xf>
    <xf numFmtId="171" fontId="3" fillId="7" borderId="0" xfId="0" applyNumberFormat="1" applyFont="1" applyFill="1" applyAlignment="1">
      <alignment horizontal="center" vertical="center"/>
    </xf>
    <xf numFmtId="173" fontId="16" fillId="5" borderId="0" xfId="0" applyNumberFormat="1" applyFont="1" applyFill="1" applyAlignment="1">
      <alignment horizontal="center" vertical="center"/>
    </xf>
    <xf numFmtId="0" fontId="20" fillId="11" borderId="0" xfId="0" applyFont="1" applyFill="1" applyAlignment="1">
      <alignment horizontal="left" vertical="center" indent="2"/>
    </xf>
    <xf numFmtId="173" fontId="21" fillId="11" borderId="0" xfId="0" applyNumberFormat="1" applyFont="1" applyFill="1" applyAlignment="1">
      <alignment horizontal="center" vertical="center"/>
    </xf>
    <xf numFmtId="0" fontId="13" fillId="11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23" fillId="0" borderId="0" xfId="0" applyFont="1"/>
    <xf numFmtId="0" fontId="24" fillId="14" borderId="0" xfId="0" applyFont="1" applyFill="1" applyAlignment="1">
      <alignment horizontal="left"/>
    </xf>
    <xf numFmtId="0" fontId="25" fillId="14" borderId="0" xfId="0" applyFont="1" applyFill="1" applyAlignment="1">
      <alignment horizontal="left"/>
    </xf>
    <xf numFmtId="173" fontId="26" fillId="14" borderId="0" xfId="0" applyNumberFormat="1" applyFont="1" applyFill="1" applyAlignment="1">
      <alignment horizontal="right" wrapText="1"/>
    </xf>
    <xf numFmtId="0" fontId="27" fillId="14" borderId="0" xfId="0" applyFont="1" applyFill="1" applyAlignment="1">
      <alignment horizontal="left"/>
    </xf>
    <xf numFmtId="0" fontId="28" fillId="5" borderId="0" xfId="0" applyFont="1" applyFill="1"/>
    <xf numFmtId="172" fontId="29" fillId="5" borderId="0" xfId="0" applyNumberFormat="1" applyFont="1" applyFill="1" applyAlignment="1">
      <alignment horizontal="center"/>
    </xf>
    <xf numFmtId="172" fontId="28" fillId="5" borderId="0" xfId="0" applyNumberFormat="1" applyFont="1" applyFill="1" applyAlignment="1">
      <alignment horizontal="center"/>
    </xf>
    <xf numFmtId="172" fontId="28" fillId="8" borderId="0" xfId="0" applyNumberFormat="1" applyFont="1" applyFill="1" applyAlignment="1">
      <alignment horizontal="center"/>
    </xf>
    <xf numFmtId="173" fontId="30" fillId="5" borderId="0" xfId="0" applyNumberFormat="1" applyFont="1" applyFill="1" applyAlignment="1">
      <alignment horizontal="right" wrapText="1"/>
    </xf>
    <xf numFmtId="0" fontId="31" fillId="5" borderId="0" xfId="0" applyFont="1" applyFill="1" applyAlignment="1">
      <alignment horizontal="left"/>
    </xf>
    <xf numFmtId="171" fontId="29" fillId="5" borderId="0" xfId="0" applyNumberFormat="1" applyFont="1" applyFill="1" applyAlignment="1">
      <alignment horizontal="center"/>
    </xf>
    <xf numFmtId="171" fontId="28" fillId="5" borderId="0" xfId="0" applyNumberFormat="1" applyFont="1" applyFill="1" applyAlignment="1">
      <alignment horizontal="center"/>
    </xf>
    <xf numFmtId="171" fontId="28" fillId="8" borderId="0" xfId="0" applyNumberFormat="1" applyFont="1" applyFill="1" applyAlignment="1">
      <alignment horizontal="center"/>
    </xf>
    <xf numFmtId="173" fontId="29" fillId="5" borderId="0" xfId="0" applyNumberFormat="1" applyFont="1" applyFill="1" applyAlignment="1">
      <alignment horizontal="center"/>
    </xf>
    <xf numFmtId="173" fontId="28" fillId="5" borderId="0" xfId="0" applyNumberFormat="1" applyFont="1" applyFill="1" applyAlignment="1">
      <alignment horizontal="center"/>
    </xf>
    <xf numFmtId="173" fontId="28" fillId="8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left"/>
    </xf>
    <xf numFmtId="0" fontId="28" fillId="5" borderId="0" xfId="0" applyFont="1" applyFill="1" applyAlignment="1">
      <alignment horizontal="left"/>
    </xf>
    <xf numFmtId="177" fontId="24" fillId="14" borderId="0" xfId="0" applyNumberFormat="1" applyFont="1" applyFill="1" applyAlignment="1">
      <alignment horizontal="left"/>
    </xf>
    <xf numFmtId="171" fontId="25" fillId="14" borderId="0" xfId="0" applyNumberFormat="1" applyFont="1" applyFill="1" applyAlignment="1">
      <alignment horizontal="left"/>
    </xf>
    <xf numFmtId="171" fontId="24" fillId="14" borderId="0" xfId="0" applyNumberFormat="1" applyFont="1" applyFill="1" applyAlignment="1">
      <alignment horizontal="left"/>
    </xf>
    <xf numFmtId="173" fontId="7" fillId="5" borderId="0" xfId="0" applyNumberFormat="1" applyFont="1" applyFill="1" applyAlignment="1">
      <alignment horizontal="right" wrapText="1"/>
    </xf>
    <xf numFmtId="173" fontId="32" fillId="5" borderId="0" xfId="0" applyNumberFormat="1" applyFont="1" applyFill="1" applyAlignment="1">
      <alignment horizontal="right" wrapText="1"/>
    </xf>
    <xf numFmtId="0" fontId="33" fillId="2" borderId="0" xfId="0" applyFont="1" applyFill="1" applyAlignment="1">
      <alignment horizontal="left"/>
    </xf>
    <xf numFmtId="176" fontId="33" fillId="2" borderId="0" xfId="0" applyNumberFormat="1" applyFont="1" applyFill="1" applyAlignment="1">
      <alignment horizontal="left"/>
    </xf>
    <xf numFmtId="176" fontId="25" fillId="2" borderId="0" xfId="0" applyNumberFormat="1" applyFont="1" applyFill="1" applyAlignment="1">
      <alignment horizontal="left"/>
    </xf>
    <xf numFmtId="173" fontId="26" fillId="2" borderId="0" xfId="0" applyNumberFormat="1" applyFont="1" applyFill="1" applyAlignment="1">
      <alignment horizontal="right" wrapText="1"/>
    </xf>
    <xf numFmtId="0" fontId="27" fillId="2" borderId="0" xfId="0" applyFont="1" applyFill="1" applyAlignment="1">
      <alignment horizontal="left"/>
    </xf>
    <xf numFmtId="0" fontId="34" fillId="5" borderId="0" xfId="0" applyFont="1" applyFill="1"/>
    <xf numFmtId="172" fontId="34" fillId="5" borderId="0" xfId="0" applyNumberFormat="1" applyFont="1" applyFill="1" applyAlignment="1">
      <alignment horizontal="center"/>
    </xf>
    <xf numFmtId="172" fontId="34" fillId="8" borderId="0" xfId="0" applyNumberFormat="1" applyFont="1" applyFill="1" applyAlignment="1">
      <alignment horizontal="center"/>
    </xf>
    <xf numFmtId="171" fontId="34" fillId="5" borderId="0" xfId="0" applyNumberFormat="1" applyFont="1" applyFill="1" applyAlignment="1">
      <alignment horizontal="center"/>
    </xf>
    <xf numFmtId="171" fontId="34" fillId="8" borderId="0" xfId="0" applyNumberFormat="1" applyFont="1" applyFill="1" applyAlignment="1">
      <alignment horizontal="center"/>
    </xf>
    <xf numFmtId="0" fontId="34" fillId="7" borderId="0" xfId="0" applyFont="1" applyFill="1"/>
    <xf numFmtId="171" fontId="34" fillId="7" borderId="0" xfId="0" applyNumberFormat="1" applyFont="1" applyFill="1" applyAlignment="1">
      <alignment horizontal="center"/>
    </xf>
    <xf numFmtId="173" fontId="30" fillId="7" borderId="0" xfId="0" applyNumberFormat="1" applyFont="1" applyFill="1" applyAlignment="1">
      <alignment horizontal="right" wrapText="1"/>
    </xf>
    <xf numFmtId="0" fontId="13" fillId="7" borderId="0" xfId="0" applyFont="1" applyFill="1" applyAlignment="1">
      <alignment horizontal="left"/>
    </xf>
    <xf numFmtId="0" fontId="35" fillId="4" borderId="0" xfId="0" applyFont="1" applyFill="1"/>
    <xf numFmtId="178" fontId="35" fillId="4" borderId="0" xfId="0" applyNumberFormat="1" applyFont="1" applyFill="1" applyAlignment="1">
      <alignment horizontal="center"/>
    </xf>
    <xf numFmtId="0" fontId="23" fillId="0" borderId="0" xfId="0" applyFont="1" applyAlignment="1">
      <alignment wrapText="1"/>
    </xf>
    <xf numFmtId="0" fontId="33" fillId="2" borderId="0" xfId="0" applyFont="1" applyFill="1" applyAlignment="1">
      <alignment horizontal="center"/>
    </xf>
    <xf numFmtId="0" fontId="3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left"/>
    </xf>
    <xf numFmtId="171" fontId="16" fillId="4" borderId="0" xfId="0" applyNumberFormat="1" applyFont="1" applyFill="1"/>
    <xf numFmtId="171" fontId="3" fillId="8" borderId="0" xfId="0" applyNumberFormat="1" applyFont="1" applyFill="1"/>
    <xf numFmtId="49" fontId="5" fillId="4" borderId="0" xfId="0" applyNumberFormat="1" applyFont="1" applyFill="1" applyAlignment="1">
      <alignment wrapText="1"/>
    </xf>
    <xf numFmtId="165" fontId="5" fillId="4" borderId="0" xfId="0" applyNumberFormat="1" applyFont="1" applyFill="1" applyAlignment="1">
      <alignment horizontal="left"/>
    </xf>
    <xf numFmtId="0" fontId="3" fillId="5" borderId="0" xfId="0" applyFont="1" applyFill="1"/>
    <xf numFmtId="171" fontId="16" fillId="5" borderId="0" xfId="0" applyNumberFormat="1" applyFont="1" applyFill="1"/>
    <xf numFmtId="173" fontId="3" fillId="4" borderId="0" xfId="0" applyNumberFormat="1" applyFont="1" applyFill="1" applyAlignment="1">
      <alignment horizontal="center" wrapText="1"/>
    </xf>
    <xf numFmtId="165" fontId="13" fillId="5" borderId="0" xfId="0" applyNumberFormat="1" applyFont="1" applyFill="1" applyAlignment="1">
      <alignment horizontal="left"/>
    </xf>
    <xf numFmtId="0" fontId="3" fillId="4" borderId="0" xfId="0" applyFont="1" applyFill="1"/>
    <xf numFmtId="173" fontId="3" fillId="5" borderId="0" xfId="0" applyNumberFormat="1" applyFont="1" applyFill="1" applyAlignment="1">
      <alignment horizontal="center" wrapText="1"/>
    </xf>
    <xf numFmtId="165" fontId="13" fillId="4" borderId="0" xfId="0" applyNumberFormat="1" applyFont="1" applyFill="1" applyAlignment="1">
      <alignment horizontal="left"/>
    </xf>
    <xf numFmtId="171" fontId="3" fillId="4" borderId="0" xfId="0" applyNumberFormat="1" applyFont="1" applyFill="1"/>
    <xf numFmtId="170" fontId="36" fillId="0" borderId="0" xfId="0" applyNumberFormat="1" applyFont="1"/>
    <xf numFmtId="0" fontId="15" fillId="7" borderId="0" xfId="0" applyFont="1" applyFill="1"/>
    <xf numFmtId="171" fontId="12" fillId="7" borderId="0" xfId="0" applyNumberFormat="1" applyFont="1" applyFill="1"/>
    <xf numFmtId="171" fontId="5" fillId="5" borderId="0" xfId="0" applyNumberFormat="1" applyFont="1" applyFill="1"/>
    <xf numFmtId="173" fontId="15" fillId="4" borderId="0" xfId="0" applyNumberFormat="1" applyFont="1" applyFill="1" applyAlignment="1">
      <alignment horizontal="center" wrapText="1"/>
    </xf>
    <xf numFmtId="49" fontId="5" fillId="4" borderId="0" xfId="0" applyNumberFormat="1" applyFont="1" applyFill="1" applyAlignment="1">
      <alignment horizontal="center" wrapText="1"/>
    </xf>
    <xf numFmtId="175" fontId="13" fillId="5" borderId="0" xfId="0" applyNumberFormat="1" applyFont="1" applyFill="1" applyAlignment="1">
      <alignment horizontal="left"/>
    </xf>
    <xf numFmtId="171" fontId="37" fillId="7" borderId="0" xfId="0" applyNumberFormat="1" applyFont="1" applyFill="1"/>
    <xf numFmtId="173" fontId="15" fillId="5" borderId="0" xfId="0" applyNumberFormat="1" applyFont="1" applyFill="1" applyAlignment="1">
      <alignment horizontal="center" wrapText="1"/>
    </xf>
    <xf numFmtId="165" fontId="3" fillId="4" borderId="0" xfId="0" applyNumberFormat="1" applyFont="1" applyFill="1" applyAlignment="1">
      <alignment horizontal="left"/>
    </xf>
    <xf numFmtId="0" fontId="35" fillId="8" borderId="0" xfId="0" applyFont="1" applyFill="1"/>
    <xf numFmtId="171" fontId="35" fillId="15" borderId="0" xfId="0" applyNumberFormat="1" applyFont="1" applyFill="1"/>
    <xf numFmtId="171" fontId="35" fillId="8" borderId="0" xfId="0" applyNumberFormat="1" applyFont="1" applyFill="1"/>
    <xf numFmtId="0" fontId="13" fillId="4" borderId="0" xfId="0" applyFont="1" applyFill="1" applyAlignment="1">
      <alignment horizontal="left"/>
    </xf>
    <xf numFmtId="0" fontId="23" fillId="0" borderId="0" xfId="0" applyFont="1" applyAlignment="1">
      <alignment horizontal="left"/>
    </xf>
    <xf numFmtId="0" fontId="35" fillId="16" borderId="0" xfId="0" applyFont="1" applyFill="1"/>
    <xf numFmtId="171" fontId="35" fillId="16" borderId="0" xfId="0" applyNumberFormat="1" applyFont="1" applyFill="1"/>
    <xf numFmtId="173" fontId="15" fillId="8" borderId="0" xfId="0" applyNumberFormat="1" applyFont="1" applyFill="1" applyAlignment="1">
      <alignment horizontal="center" wrapText="1"/>
    </xf>
    <xf numFmtId="173" fontId="3" fillId="5" borderId="0" xfId="0" applyNumberFormat="1" applyFont="1" applyFill="1"/>
    <xf numFmtId="173" fontId="3" fillId="8" borderId="0" xfId="0" applyNumberFormat="1" applyFont="1" applyFill="1"/>
    <xf numFmtId="173" fontId="3" fillId="8" borderId="0" xfId="0" applyNumberFormat="1" applyFont="1" applyFill="1" applyAlignment="1">
      <alignment wrapText="1"/>
    </xf>
    <xf numFmtId="171" fontId="5" fillId="4" borderId="0" xfId="0" applyNumberFormat="1" applyFont="1" applyFill="1"/>
    <xf numFmtId="171" fontId="5" fillId="8" borderId="0" xfId="0" applyNumberFormat="1" applyFont="1" applyFill="1"/>
    <xf numFmtId="171" fontId="5" fillId="8" borderId="0" xfId="0" applyNumberFormat="1" applyFont="1" applyFill="1" applyAlignment="1">
      <alignment wrapText="1"/>
    </xf>
    <xf numFmtId="171" fontId="3" fillId="5" borderId="0" xfId="0" applyNumberFormat="1" applyFont="1" applyFill="1"/>
    <xf numFmtId="171" fontId="3" fillId="8" borderId="0" xfId="0" applyNumberFormat="1" applyFont="1" applyFill="1" applyAlignment="1">
      <alignment wrapText="1"/>
    </xf>
    <xf numFmtId="179" fontId="3" fillId="4" borderId="0" xfId="0" applyNumberFormat="1" applyFont="1" applyFill="1"/>
    <xf numFmtId="179" fontId="3" fillId="8" borderId="0" xfId="0" applyNumberFormat="1" applyFont="1" applyFill="1"/>
    <xf numFmtId="179" fontId="3" fillId="8" borderId="0" xfId="0" applyNumberFormat="1" applyFont="1" applyFill="1" applyAlignment="1">
      <alignment wrapText="1"/>
    </xf>
    <xf numFmtId="173" fontId="16" fillId="5" borderId="0" xfId="0" applyNumberFormat="1" applyFont="1" applyFill="1"/>
    <xf numFmtId="172" fontId="16" fillId="5" borderId="0" xfId="0" applyNumberFormat="1" applyFont="1" applyFill="1"/>
    <xf numFmtId="172" fontId="3" fillId="8" borderId="0" xfId="0" applyNumberFormat="1" applyFont="1" applyFill="1"/>
    <xf numFmtId="172" fontId="3" fillId="8" borderId="0" xfId="0" applyNumberFormat="1" applyFont="1" applyFill="1" applyAlignment="1">
      <alignment wrapText="1"/>
    </xf>
    <xf numFmtId="173" fontId="16" fillId="4" borderId="0" xfId="0" applyNumberFormat="1" applyFont="1" applyFill="1"/>
    <xf numFmtId="171" fontId="16" fillId="5" borderId="0" xfId="0" applyNumberFormat="1" applyFont="1" applyFill="1" applyAlignment="1">
      <alignment horizontal="center" vertical="center"/>
    </xf>
    <xf numFmtId="171" fontId="3" fillId="11" borderId="0" xfId="0" applyNumberFormat="1" applyFont="1" applyFill="1" applyAlignment="1">
      <alignment horizontal="center" vertical="center"/>
    </xf>
    <xf numFmtId="171" fontId="3" fillId="11" borderId="0" xfId="0" applyNumberFormat="1" applyFont="1" applyFill="1" applyAlignment="1">
      <alignment horizontal="center" vertical="center" wrapText="1"/>
    </xf>
    <xf numFmtId="180" fontId="16" fillId="4" borderId="0" xfId="0" applyNumberFormat="1" applyFont="1" applyFill="1" applyAlignment="1">
      <alignment horizontal="center" vertical="center"/>
    </xf>
    <xf numFmtId="173" fontId="3" fillId="11" borderId="0" xfId="0" applyNumberFormat="1" applyFont="1" applyFill="1" applyAlignment="1">
      <alignment horizontal="center" vertical="center"/>
    </xf>
    <xf numFmtId="173" fontId="3" fillId="11" borderId="0" xfId="0" applyNumberFormat="1" applyFont="1" applyFill="1" applyAlignment="1">
      <alignment horizontal="center" vertical="center" wrapText="1"/>
    </xf>
    <xf numFmtId="172" fontId="16" fillId="5" borderId="0" xfId="0" applyNumberFormat="1" applyFont="1" applyFill="1" applyAlignment="1">
      <alignment horizontal="center" vertical="center"/>
    </xf>
    <xf numFmtId="172" fontId="3" fillId="11" borderId="0" xfId="0" applyNumberFormat="1" applyFont="1" applyFill="1" applyAlignment="1">
      <alignment horizontal="center" vertical="center"/>
    </xf>
    <xf numFmtId="172" fontId="3" fillId="11" borderId="0" xfId="0" applyNumberFormat="1" applyFont="1" applyFill="1" applyAlignment="1">
      <alignment horizontal="center" vertical="center" wrapText="1"/>
    </xf>
    <xf numFmtId="172" fontId="16" fillId="4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 indent="1"/>
    </xf>
    <xf numFmtId="0" fontId="11" fillId="12" borderId="0" xfId="0" applyFont="1" applyFill="1" applyAlignment="1">
      <alignment horizontal="left" vertical="center" indent="1"/>
    </xf>
    <xf numFmtId="0" fontId="38" fillId="2" borderId="0" xfId="0" applyFont="1" applyFill="1" applyAlignment="1">
      <alignment horizontal="left" vertical="center" indent="2"/>
    </xf>
    <xf numFmtId="171" fontId="38" fillId="2" borderId="0" xfId="0" applyNumberFormat="1" applyFont="1" applyFill="1" applyAlignment="1">
      <alignment horizontal="right" vertical="center"/>
    </xf>
    <xf numFmtId="171" fontId="38" fillId="2" borderId="0" xfId="0" applyNumberFormat="1" applyFont="1" applyFill="1" applyAlignment="1">
      <alignment horizontal="right" vertical="center" wrapText="1"/>
    </xf>
    <xf numFmtId="0" fontId="39" fillId="2" borderId="0" xfId="0" applyFont="1" applyFill="1" applyAlignment="1">
      <alignment horizontal="left" vertical="center"/>
    </xf>
    <xf numFmtId="166" fontId="15" fillId="8" borderId="0" xfId="0" applyNumberFormat="1" applyFont="1" applyFill="1" applyAlignment="1">
      <alignment horizontal="right" vertical="center"/>
    </xf>
    <xf numFmtId="166" fontId="15" fillId="11" borderId="0" xfId="0" applyNumberFormat="1" applyFont="1" applyFill="1" applyAlignment="1">
      <alignment horizontal="center" vertical="center"/>
    </xf>
    <xf numFmtId="166" fontId="15" fillId="11" borderId="0" xfId="0" applyNumberFormat="1" applyFont="1" applyFill="1" applyAlignment="1">
      <alignment horizontal="center" vertical="center" wrapText="1"/>
    </xf>
    <xf numFmtId="0" fontId="13" fillId="8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 indent="2"/>
    </xf>
    <xf numFmtId="166" fontId="3" fillId="7" borderId="0" xfId="0" applyNumberFormat="1" applyFont="1" applyFill="1" applyAlignment="1">
      <alignment horizontal="right" vertical="center"/>
    </xf>
    <xf numFmtId="166" fontId="3" fillId="11" borderId="0" xfId="0" applyNumberFormat="1" applyFont="1" applyFill="1" applyAlignment="1">
      <alignment horizontal="center" vertical="center"/>
    </xf>
    <xf numFmtId="166" fontId="3" fillId="11" borderId="0" xfId="0" applyNumberFormat="1" applyFont="1" applyFill="1" applyAlignment="1">
      <alignment horizontal="center" vertical="center" wrapText="1"/>
    </xf>
    <xf numFmtId="165" fontId="3" fillId="4" borderId="0" xfId="0" applyNumberFormat="1" applyFont="1" applyFill="1" applyAlignment="1">
      <alignment horizontal="right" vertical="center"/>
    </xf>
    <xf numFmtId="165" fontId="3" fillId="11" borderId="0" xfId="0" applyNumberFormat="1" applyFont="1" applyFill="1" applyAlignment="1">
      <alignment horizontal="center" vertical="center"/>
    </xf>
    <xf numFmtId="165" fontId="3" fillId="11" borderId="0" xfId="0" applyNumberFormat="1" applyFont="1" applyFill="1" applyAlignment="1">
      <alignment horizontal="center" vertical="center" wrapText="1"/>
    </xf>
    <xf numFmtId="0" fontId="3" fillId="8" borderId="0" xfId="0" applyFont="1" applyFill="1" applyAlignment="1">
      <alignment horizontal="left" vertical="center" indent="2"/>
    </xf>
    <xf numFmtId="165" fontId="3" fillId="8" borderId="0" xfId="0" applyNumberFormat="1" applyFont="1" applyFill="1" applyAlignment="1">
      <alignment horizontal="right" vertical="center"/>
    </xf>
    <xf numFmtId="0" fontId="3" fillId="8" borderId="0" xfId="0" applyFont="1" applyFill="1" applyAlignment="1">
      <alignment horizontal="left"/>
    </xf>
    <xf numFmtId="0" fontId="37" fillId="8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13" fillId="8" borderId="0" xfId="0" applyFont="1" applyFill="1" applyAlignment="1">
      <alignment horizontal="left"/>
    </xf>
    <xf numFmtId="0" fontId="40" fillId="4" borderId="0" xfId="0" applyFont="1" applyFill="1"/>
    <xf numFmtId="0" fontId="41" fillId="4" borderId="0" xfId="0" applyFont="1" applyFill="1" applyAlignment="1">
      <alignment horizontal="left"/>
    </xf>
    <xf numFmtId="171" fontId="41" fillId="4" borderId="0" xfId="0" applyNumberFormat="1" applyFont="1" applyFill="1" applyAlignment="1">
      <alignment horizontal="right"/>
    </xf>
    <xf numFmtId="0" fontId="9" fillId="4" borderId="0" xfId="0" applyFont="1" applyFill="1" applyAlignment="1">
      <alignment horizontal="left"/>
    </xf>
    <xf numFmtId="171" fontId="9" fillId="4" borderId="0" xfId="0" applyNumberFormat="1" applyFont="1" applyFill="1" applyAlignment="1">
      <alignment horizontal="right"/>
    </xf>
    <xf numFmtId="0" fontId="3" fillId="0" borderId="0" xfId="0" applyFont="1" applyAlignment="1">
      <alignment horizontal="left" vertical="center" indent="1"/>
    </xf>
    <xf numFmtId="165" fontId="0" fillId="0" borderId="0" xfId="0" applyNumberFormat="1"/>
    <xf numFmtId="166" fontId="5" fillId="4" borderId="0" xfId="0" applyNumberFormat="1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164" fontId="5" fillId="8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0" fontId="15" fillId="7" borderId="0" xfId="0" applyFont="1" applyFill="1" applyAlignment="1">
      <alignment horizontal="left" vertical="center" indent="1"/>
    </xf>
    <xf numFmtId="0" fontId="15" fillId="8" borderId="0" xfId="0" applyFont="1" applyFill="1" applyAlignment="1">
      <alignment horizontal="left" vertical="center" indent="1"/>
    </xf>
    <xf numFmtId="165" fontId="3" fillId="5" borderId="0" xfId="0" applyNumberFormat="1" applyFont="1" applyFill="1" applyAlignment="1">
      <alignment horizontal="right" vertical="center"/>
    </xf>
    <xf numFmtId="166" fontId="5" fillId="8" borderId="0" xfId="0" applyNumberFormat="1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6" fontId="3" fillId="5" borderId="0" xfId="0" applyNumberFormat="1" applyFont="1" applyFill="1" applyAlignment="1">
      <alignment horizontal="right" vertical="center"/>
    </xf>
    <xf numFmtId="166" fontId="3" fillId="5" borderId="0" xfId="0" applyNumberFormat="1" applyFont="1" applyFill="1" applyAlignment="1">
      <alignment horizontal="right"/>
    </xf>
    <xf numFmtId="166" fontId="15" fillId="4" borderId="0" xfId="0" applyNumberFormat="1" applyFont="1" applyFill="1" applyAlignment="1">
      <alignment horizontal="right" vertical="center"/>
    </xf>
    <xf numFmtId="165" fontId="15" fillId="8" borderId="0" xfId="0" applyNumberFormat="1" applyFont="1" applyFill="1" applyAlignment="1">
      <alignment horizontal="right" vertical="center"/>
    </xf>
    <xf numFmtId="166" fontId="15" fillId="5" borderId="0" xfId="0" applyNumberFormat="1" applyFont="1" applyFill="1" applyAlignment="1">
      <alignment horizontal="right" vertical="center"/>
    </xf>
    <xf numFmtId="166" fontId="15" fillId="7" borderId="0" xfId="0" applyNumberFormat="1" applyFont="1" applyFill="1" applyAlignment="1">
      <alignment horizontal="right" vertical="center"/>
    </xf>
    <xf numFmtId="184" fontId="5" fillId="4" borderId="0" xfId="0" applyNumberFormat="1" applyFont="1" applyFill="1" applyAlignment="1">
      <alignment horizontal="right" vertical="center"/>
    </xf>
    <xf numFmtId="184" fontId="3" fillId="4" borderId="0" xfId="0" applyNumberFormat="1" applyFont="1" applyFill="1" applyAlignment="1">
      <alignment horizontal="right" vertical="center"/>
    </xf>
    <xf numFmtId="183" fontId="0" fillId="0" borderId="0" xfId="0" applyNumberFormat="1"/>
    <xf numFmtId="0" fontId="53" fillId="0" borderId="0" xfId="0" applyFont="1" applyAlignment="1">
      <alignment horizontal="left" vertical="center"/>
    </xf>
    <xf numFmtId="0" fontId="54" fillId="17" borderId="0" xfId="0" applyFont="1" applyFill="1" applyAlignment="1">
      <alignment horizontal="left" vertical="center"/>
    </xf>
    <xf numFmtId="0" fontId="54" fillId="0" borderId="0" xfId="0" applyFont="1" applyAlignment="1">
      <alignment horizontal="left" vertical="center"/>
    </xf>
    <xf numFmtId="166" fontId="54" fillId="0" borderId="0" xfId="0" applyNumberFormat="1" applyFont="1" applyAlignment="1">
      <alignment horizontal="left" vertical="center"/>
    </xf>
    <xf numFmtId="186" fontId="55" fillId="0" borderId="0" xfId="0" applyNumberFormat="1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0" fontId="54" fillId="17" borderId="0" xfId="0" applyFont="1" applyFill="1" applyAlignment="1">
      <alignment horizontal="center" vertical="center"/>
    </xf>
    <xf numFmtId="0" fontId="55" fillId="0" borderId="0" xfId="0" applyFont="1" applyAlignment="1">
      <alignment horizontal="left" vertical="center"/>
    </xf>
    <xf numFmtId="166" fontId="55" fillId="0" borderId="0" xfId="0" applyNumberFormat="1" applyFont="1" applyAlignment="1">
      <alignment horizontal="center" vertical="center"/>
    </xf>
    <xf numFmtId="186" fontId="55" fillId="0" borderId="0" xfId="0" applyNumberFormat="1" applyFont="1" applyAlignment="1">
      <alignment horizontal="center" vertical="center"/>
    </xf>
    <xf numFmtId="187" fontId="55" fillId="0" borderId="0" xfId="0" applyNumberFormat="1" applyFont="1" applyAlignment="1">
      <alignment horizontal="center" vertical="center"/>
    </xf>
    <xf numFmtId="170" fontId="55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3" fontId="57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8" fillId="0" borderId="0" xfId="0" applyFont="1" applyAlignment="1">
      <alignment horizontal="left" vertical="center"/>
    </xf>
    <xf numFmtId="0" fontId="59" fillId="0" borderId="0" xfId="0" applyFont="1"/>
    <xf numFmtId="0" fontId="33" fillId="9" borderId="0" xfId="0" applyFont="1" applyFill="1" applyAlignment="1">
      <alignment horizontal="left" vertical="center"/>
    </xf>
    <xf numFmtId="17" fontId="33" fillId="9" borderId="0" xfId="0" applyNumberFormat="1" applyFont="1" applyFill="1" applyAlignment="1">
      <alignment horizontal="center" vertical="center"/>
    </xf>
    <xf numFmtId="0" fontId="33" fillId="9" borderId="0" xfId="0" applyFont="1" applyFill="1" applyAlignment="1">
      <alignment horizontal="center" vertical="center"/>
    </xf>
    <xf numFmtId="188" fontId="55" fillId="0" borderId="0" xfId="0" applyNumberFormat="1" applyFont="1" applyAlignment="1">
      <alignment horizontal="center" vertical="center"/>
    </xf>
    <xf numFmtId="188" fontId="57" fillId="0" borderId="0" xfId="0" applyNumberFormat="1" applyFont="1" applyAlignment="1">
      <alignment horizontal="center" vertical="center"/>
    </xf>
    <xf numFmtId="188" fontId="54" fillId="0" borderId="0" xfId="0" applyNumberFormat="1" applyFont="1" applyAlignment="1">
      <alignment horizontal="center" vertical="center"/>
    </xf>
    <xf numFmtId="0" fontId="54" fillId="19" borderId="0" xfId="0" applyFont="1" applyFill="1" applyAlignment="1">
      <alignment horizontal="left" vertical="center"/>
    </xf>
    <xf numFmtId="188" fontId="55" fillId="19" borderId="0" xfId="0" applyNumberFormat="1" applyFont="1" applyFill="1" applyAlignment="1">
      <alignment horizontal="center" vertical="center"/>
    </xf>
    <xf numFmtId="188" fontId="54" fillId="19" borderId="0" xfId="0" applyNumberFormat="1" applyFont="1" applyFill="1" applyAlignment="1">
      <alignment horizontal="center" vertical="center"/>
    </xf>
    <xf numFmtId="0" fontId="60" fillId="2" borderId="0" xfId="0" applyFont="1" applyFill="1" applyAlignment="1">
      <alignment vertical="center"/>
    </xf>
    <xf numFmtId="188" fontId="0" fillId="20" borderId="0" xfId="0" applyNumberFormat="1" applyFill="1"/>
    <xf numFmtId="188" fontId="33" fillId="20" borderId="0" xfId="0" applyNumberFormat="1" applyFont="1" applyFill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88" fontId="6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166" fontId="54" fillId="0" borderId="0" xfId="0" applyNumberFormat="1" applyFont="1" applyAlignment="1">
      <alignment horizontal="center" vertical="center"/>
    </xf>
    <xf numFmtId="170" fontId="46" fillId="0" borderId="0" xfId="0" applyNumberFormat="1" applyFont="1" applyAlignment="1">
      <alignment horizontal="center"/>
    </xf>
    <xf numFmtId="0" fontId="0" fillId="20" borderId="0" xfId="0" applyFill="1"/>
    <xf numFmtId="170" fontId="55" fillId="19" borderId="0" xfId="0" applyNumberFormat="1" applyFont="1" applyFill="1" applyAlignment="1">
      <alignment horizontal="center" vertical="center"/>
    </xf>
    <xf numFmtId="0" fontId="0" fillId="20" borderId="0" xfId="0" applyFill="1" applyAlignment="1">
      <alignment horizontal="left"/>
    </xf>
    <xf numFmtId="188" fontId="0" fillId="0" borderId="0" xfId="0" applyNumberFormat="1"/>
    <xf numFmtId="170" fontId="46" fillId="0" borderId="0" xfId="0" applyNumberFormat="1" applyFont="1"/>
    <xf numFmtId="188" fontId="55" fillId="21" borderId="0" xfId="0" applyNumberFormat="1" applyFont="1" applyFill="1" applyAlignment="1">
      <alignment horizontal="center" vertical="center"/>
    </xf>
    <xf numFmtId="170" fontId="55" fillId="21" borderId="0" xfId="0" applyNumberFormat="1" applyFont="1" applyFill="1" applyAlignment="1">
      <alignment horizontal="center" vertical="center"/>
    </xf>
    <xf numFmtId="0" fontId="54" fillId="21" borderId="0" xfId="0" applyFont="1" applyFill="1" applyAlignment="1">
      <alignment horizontal="left" vertical="center"/>
    </xf>
    <xf numFmtId="188" fontId="54" fillId="21" borderId="0" xfId="0" applyNumberFormat="1" applyFont="1" applyFill="1" applyAlignment="1">
      <alignment horizontal="center" vertical="center"/>
    </xf>
    <xf numFmtId="0" fontId="62" fillId="0" borderId="0" xfId="0" applyFont="1" applyAlignment="1">
      <alignment horizontal="left" vertical="center"/>
    </xf>
    <xf numFmtId="3" fontId="55" fillId="0" borderId="0" xfId="0" applyNumberFormat="1" applyFont="1" applyAlignment="1">
      <alignment horizontal="center" vertical="center"/>
    </xf>
    <xf numFmtId="166" fontId="16" fillId="5" borderId="0" xfId="0" applyNumberFormat="1" applyFont="1" applyFill="1" applyAlignment="1">
      <alignment horizontal="right" vertical="center"/>
    </xf>
    <xf numFmtId="166" fontId="0" fillId="0" borderId="0" xfId="0" applyNumberFormat="1"/>
    <xf numFmtId="10" fontId="0" fillId="0" borderId="0" xfId="0" applyNumberFormat="1"/>
    <xf numFmtId="0" fontId="0" fillId="5" borderId="0" xfId="0" applyFill="1" applyAlignment="1">
      <alignment horizontal="right"/>
    </xf>
    <xf numFmtId="0" fontId="0" fillId="4" borderId="0" xfId="0" applyFill="1"/>
    <xf numFmtId="166" fontId="16" fillId="4" borderId="0" xfId="0" applyNumberFormat="1" applyFont="1" applyFill="1" applyAlignment="1">
      <alignment horizontal="right" vertical="center"/>
    </xf>
    <xf numFmtId="10" fontId="16" fillId="4" borderId="0" xfId="0" applyNumberFormat="1" applyFont="1" applyFill="1" applyAlignment="1">
      <alignment horizontal="right" vertical="center"/>
    </xf>
    <xf numFmtId="49" fontId="6" fillId="4" borderId="0" xfId="0" applyNumberFormat="1" applyFont="1" applyFill="1" applyAlignment="1">
      <alignment horizontal="left" vertical="center" indent="1"/>
    </xf>
    <xf numFmtId="167" fontId="16" fillId="4" borderId="0" xfId="0" applyNumberFormat="1" applyFont="1" applyFill="1" applyAlignment="1">
      <alignment horizontal="right" vertical="center"/>
    </xf>
    <xf numFmtId="167" fontId="16" fillId="5" borderId="0" xfId="0" applyNumberFormat="1" applyFont="1" applyFill="1" applyAlignment="1">
      <alignment horizontal="right" vertical="center"/>
    </xf>
    <xf numFmtId="0" fontId="0" fillId="5" borderId="0" xfId="0" applyFill="1"/>
    <xf numFmtId="166" fontId="11" fillId="2" borderId="0" xfId="0" applyNumberFormat="1" applyFont="1" applyFill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4" fontId="12" fillId="11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left" vertical="center" indent="1"/>
    </xf>
    <xf numFmtId="0" fontId="3" fillId="4" borderId="0" xfId="0" applyFont="1" applyFill="1" applyAlignment="1">
      <alignment horizontal="left" vertical="center"/>
    </xf>
    <xf numFmtId="164" fontId="16" fillId="11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 indent="1"/>
    </xf>
    <xf numFmtId="164" fontId="15" fillId="8" borderId="0" xfId="0" applyNumberFormat="1" applyFont="1" applyFill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49" fillId="8" borderId="0" xfId="0" applyFont="1" applyFill="1" applyAlignment="1">
      <alignment horizontal="left" vertical="center" indent="1"/>
    </xf>
    <xf numFmtId="165" fontId="16" fillId="4" borderId="0" xfId="0" applyNumberFormat="1" applyFont="1" applyFill="1" applyAlignment="1">
      <alignment horizontal="center" vertical="center"/>
    </xf>
    <xf numFmtId="0" fontId="45" fillId="4" borderId="0" xfId="0" applyFont="1" applyFill="1" applyAlignment="1">
      <alignment horizontal="left" vertical="center" indent="1"/>
    </xf>
    <xf numFmtId="165" fontId="16" fillId="5" borderId="0" xfId="0" applyNumberFormat="1" applyFont="1" applyFill="1" applyAlignment="1">
      <alignment horizontal="center" vertical="center"/>
    </xf>
    <xf numFmtId="0" fontId="45" fillId="5" borderId="0" xfId="0" applyFont="1" applyFill="1" applyAlignment="1">
      <alignment horizontal="left" vertical="center" indent="1"/>
    </xf>
    <xf numFmtId="189" fontId="16" fillId="4" borderId="0" xfId="0" applyNumberFormat="1" applyFont="1" applyFill="1" applyAlignment="1">
      <alignment horizontal="center" vertical="center"/>
    </xf>
    <xf numFmtId="189" fontId="16" fillId="5" borderId="0" xfId="0" applyNumberFormat="1" applyFont="1" applyFill="1" applyAlignment="1">
      <alignment horizontal="center" vertical="center"/>
    </xf>
    <xf numFmtId="164" fontId="16" fillId="4" borderId="0" xfId="0" applyNumberFormat="1" applyFont="1" applyFill="1" applyAlignment="1">
      <alignment horizontal="center" vertical="center"/>
    </xf>
    <xf numFmtId="164" fontId="16" fillId="5" borderId="0" xfId="0" applyNumberFormat="1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 wrapText="1"/>
    </xf>
    <xf numFmtId="0" fontId="63" fillId="4" borderId="0" xfId="0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right" vertical="center"/>
    </xf>
    <xf numFmtId="189" fontId="16" fillId="10" borderId="0" xfId="0" applyNumberFormat="1" applyFont="1" applyFill="1" applyAlignment="1">
      <alignment horizontal="center" vertical="center"/>
    </xf>
    <xf numFmtId="189" fontId="3" fillId="4" borderId="0" xfId="0" applyNumberFormat="1" applyFont="1" applyFill="1" applyAlignment="1">
      <alignment horizontal="right" vertical="center"/>
    </xf>
    <xf numFmtId="0" fontId="63" fillId="5" borderId="0" xfId="0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right" vertical="center"/>
    </xf>
    <xf numFmtId="184" fontId="3" fillId="5" borderId="0" xfId="0" applyNumberFormat="1" applyFont="1" applyFill="1" applyAlignment="1">
      <alignment horizontal="right" vertical="center"/>
    </xf>
    <xf numFmtId="189" fontId="3" fillId="5" borderId="0" xfId="0" applyNumberFormat="1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center" vertical="center"/>
    </xf>
    <xf numFmtId="164" fontId="15" fillId="7" borderId="0" xfId="0" applyNumberFormat="1" applyFont="1" applyFill="1" applyAlignment="1">
      <alignment horizontal="right" vertical="center"/>
    </xf>
    <xf numFmtId="184" fontId="15" fillId="7" borderId="0" xfId="0" applyNumberFormat="1" applyFont="1" applyFill="1" applyAlignment="1">
      <alignment horizontal="right" vertical="center"/>
    </xf>
    <xf numFmtId="0" fontId="0" fillId="7" borderId="0" xfId="0" applyFill="1"/>
    <xf numFmtId="164" fontId="11" fillId="2" borderId="0" xfId="0" applyNumberFormat="1" applyFont="1" applyFill="1" applyAlignment="1">
      <alignment horizontal="right" vertical="center"/>
    </xf>
    <xf numFmtId="184" fontId="11" fillId="2" borderId="0" xfId="0" applyNumberFormat="1" applyFont="1" applyFill="1" applyAlignment="1">
      <alignment horizontal="right" vertical="center"/>
    </xf>
    <xf numFmtId="0" fontId="0" fillId="2" borderId="0" xfId="0" applyFill="1"/>
    <xf numFmtId="175" fontId="0" fillId="22" borderId="2" xfId="0" applyNumberFormat="1" applyFill="1" applyBorder="1"/>
    <xf numFmtId="0" fontId="0" fillId="0" borderId="2" xfId="0" applyBorder="1"/>
    <xf numFmtId="184" fontId="16" fillId="4" borderId="0" xfId="0" applyNumberFormat="1" applyFont="1" applyFill="1" applyAlignment="1">
      <alignment horizontal="center" vertical="center"/>
    </xf>
    <xf numFmtId="184" fontId="5" fillId="5" borderId="0" xfId="0" applyNumberFormat="1" applyFont="1" applyFill="1" applyAlignment="1">
      <alignment horizontal="right" vertical="center"/>
    </xf>
    <xf numFmtId="184" fontId="16" fillId="5" borderId="0" xfId="0" applyNumberFormat="1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 wrapText="1"/>
    </xf>
    <xf numFmtId="184" fontId="15" fillId="4" borderId="0" xfId="0" applyNumberFormat="1" applyFont="1" applyFill="1" applyAlignment="1">
      <alignment horizontal="right" vertical="center"/>
    </xf>
    <xf numFmtId="184" fontId="15" fillId="5" borderId="0" xfId="0" applyNumberFormat="1" applyFont="1" applyFill="1" applyAlignment="1">
      <alignment horizontal="right" vertical="center"/>
    </xf>
    <xf numFmtId="189" fontId="15" fillId="5" borderId="0" xfId="0" applyNumberFormat="1" applyFont="1" applyFill="1" applyAlignment="1">
      <alignment horizontal="right" vertical="center"/>
    </xf>
    <xf numFmtId="166" fontId="48" fillId="8" borderId="0" xfId="0" applyNumberFormat="1" applyFont="1" applyFill="1" applyAlignment="1">
      <alignment horizontal="right" vertical="center"/>
    </xf>
    <xf numFmtId="0" fontId="45" fillId="8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center" vertical="center"/>
    </xf>
    <xf numFmtId="189" fontId="5" fillId="4" borderId="0" xfId="0" applyNumberFormat="1" applyFont="1" applyFill="1" applyAlignment="1">
      <alignment horizontal="right" vertical="center"/>
    </xf>
    <xf numFmtId="189" fontId="6" fillId="4" borderId="0" xfId="0" applyNumberFormat="1" applyFont="1" applyFill="1" applyAlignment="1">
      <alignment horizontal="center" vertical="center"/>
    </xf>
    <xf numFmtId="0" fontId="11" fillId="12" borderId="0" xfId="0" applyFont="1" applyFill="1" applyAlignment="1">
      <alignment horizontal="right" vertical="center"/>
    </xf>
    <xf numFmtId="166" fontId="11" fillId="12" borderId="0" xfId="0" applyNumberFormat="1" applyFont="1" applyFill="1" applyAlignment="1">
      <alignment horizontal="right" vertical="center"/>
    </xf>
    <xf numFmtId="189" fontId="11" fillId="12" borderId="0" xfId="0" applyNumberFormat="1" applyFont="1" applyFill="1" applyAlignment="1">
      <alignment horizontal="right" vertical="center"/>
    </xf>
    <xf numFmtId="189" fontId="11" fillId="12" borderId="0" xfId="0" applyNumberFormat="1" applyFont="1" applyFill="1" applyAlignment="1">
      <alignment horizontal="center" vertical="center"/>
    </xf>
    <xf numFmtId="0" fontId="11" fillId="13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2"/>
    </xf>
    <xf numFmtId="166" fontId="16" fillId="11" borderId="0" xfId="0" applyNumberFormat="1" applyFont="1" applyFill="1" applyAlignment="1">
      <alignment horizontal="center" vertical="center"/>
    </xf>
    <xf numFmtId="0" fontId="66" fillId="11" borderId="0" xfId="0" applyFont="1" applyFill="1" applyAlignment="1">
      <alignment horizontal="left" vertical="center" indent="1"/>
    </xf>
    <xf numFmtId="165" fontId="6" fillId="4" borderId="0" xfId="0" applyNumberFormat="1" applyFont="1" applyFill="1" applyAlignment="1">
      <alignment horizontal="center" vertical="center"/>
    </xf>
    <xf numFmtId="165" fontId="48" fillId="8" borderId="0" xfId="0" applyNumberFormat="1" applyFont="1" applyFill="1" applyAlignment="1">
      <alignment horizontal="right" vertical="center"/>
    </xf>
    <xf numFmtId="165" fontId="50" fillId="8" borderId="0" xfId="0" applyNumberFormat="1" applyFont="1" applyFill="1" applyAlignment="1">
      <alignment horizontal="right" vertical="center"/>
    </xf>
    <xf numFmtId="4" fontId="48" fillId="8" borderId="0" xfId="0" applyNumberFormat="1" applyFont="1" applyFill="1" applyAlignment="1">
      <alignment horizontal="right" vertical="center"/>
    </xf>
    <xf numFmtId="0" fontId="49" fillId="8" borderId="0" xfId="0" applyFont="1" applyFill="1" applyAlignment="1">
      <alignment horizontal="center" vertical="center"/>
    </xf>
    <xf numFmtId="0" fontId="48" fillId="8" borderId="0" xfId="0" applyFont="1" applyFill="1" applyAlignment="1">
      <alignment horizontal="left" vertical="center" indent="1"/>
    </xf>
    <xf numFmtId="189" fontId="48" fillId="8" borderId="0" xfId="0" applyNumberFormat="1" applyFont="1" applyFill="1" applyAlignment="1">
      <alignment horizontal="right" vertical="center"/>
    </xf>
    <xf numFmtId="190" fontId="55" fillId="0" borderId="0" xfId="0" applyNumberFormat="1" applyFont="1" applyAlignment="1">
      <alignment horizontal="center" vertical="center"/>
    </xf>
    <xf numFmtId="0" fontId="0" fillId="0" borderId="3" xfId="0" applyBorder="1"/>
    <xf numFmtId="0" fontId="4" fillId="6" borderId="0" xfId="0" applyFont="1" applyFill="1" applyAlignment="1">
      <alignment horizontal="left" vertical="center"/>
    </xf>
    <xf numFmtId="165" fontId="55" fillId="0" borderId="0" xfId="0" applyNumberFormat="1" applyFont="1" applyAlignment="1">
      <alignment horizontal="center" vertical="center"/>
    </xf>
    <xf numFmtId="3" fontId="54" fillId="19" borderId="0" xfId="0" applyNumberFormat="1" applyFont="1" applyFill="1" applyAlignment="1">
      <alignment horizontal="center" vertical="center"/>
    </xf>
    <xf numFmtId="165" fontId="54" fillId="19" borderId="0" xfId="0" applyNumberFormat="1" applyFont="1" applyFill="1" applyAlignment="1">
      <alignment horizontal="center" vertical="center"/>
    </xf>
    <xf numFmtId="166" fontId="54" fillId="19" borderId="0" xfId="0" applyNumberFormat="1" applyFont="1" applyFill="1" applyAlignment="1">
      <alignment horizontal="center" vertical="center"/>
    </xf>
    <xf numFmtId="0" fontId="25" fillId="17" borderId="0" xfId="0" applyFont="1" applyFill="1" applyAlignment="1">
      <alignment horizontal="left" vertical="center"/>
    </xf>
    <xf numFmtId="0" fontId="25" fillId="17" borderId="0" xfId="0" applyFont="1" applyFill="1" applyAlignment="1">
      <alignment horizontal="center" vertical="center"/>
    </xf>
    <xf numFmtId="0" fontId="55" fillId="0" borderId="3" xfId="0" applyFont="1" applyBorder="1" applyAlignment="1">
      <alignment horizontal="left" vertical="center"/>
    </xf>
    <xf numFmtId="166" fontId="0" fillId="0" borderId="3" xfId="0" applyNumberFormat="1" applyBorder="1" applyAlignment="1">
      <alignment horizontal="center"/>
    </xf>
    <xf numFmtId="0" fontId="53" fillId="0" borderId="3" xfId="0" applyFont="1" applyBorder="1" applyAlignment="1">
      <alignment horizontal="left" vertical="center"/>
    </xf>
    <xf numFmtId="3" fontId="54" fillId="0" borderId="0" xfId="0" applyNumberFormat="1" applyFont="1" applyAlignment="1">
      <alignment horizontal="center" vertical="center"/>
    </xf>
    <xf numFmtId="165" fontId="54" fillId="0" borderId="0" xfId="0" applyNumberFormat="1" applyFont="1" applyAlignment="1">
      <alignment horizontal="center" vertical="center"/>
    </xf>
    <xf numFmtId="0" fontId="59" fillId="0" borderId="0" xfId="0" applyFont="1" applyAlignment="1">
      <alignment horizontal="left" vertical="center"/>
    </xf>
    <xf numFmtId="49" fontId="55" fillId="0" borderId="0" xfId="0" applyNumberFormat="1" applyFont="1" applyAlignment="1">
      <alignment horizontal="center" vertical="center"/>
    </xf>
    <xf numFmtId="186" fontId="54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165" fontId="54" fillId="0" borderId="0" xfId="0" applyNumberFormat="1" applyFont="1" applyAlignment="1">
      <alignment horizontal="left" vertical="center"/>
    </xf>
    <xf numFmtId="170" fontId="54" fillId="0" borderId="0" xfId="0" applyNumberFormat="1" applyFont="1" applyAlignment="1">
      <alignment horizontal="center" vertical="center"/>
    </xf>
    <xf numFmtId="191" fontId="55" fillId="0" borderId="0" xfId="0" applyNumberFormat="1" applyFont="1" applyAlignment="1">
      <alignment horizontal="center" vertical="center"/>
    </xf>
    <xf numFmtId="186" fontId="54" fillId="19" borderId="0" xfId="0" applyNumberFormat="1" applyFont="1" applyFill="1" applyAlignment="1">
      <alignment horizontal="center" vertical="center"/>
    </xf>
    <xf numFmtId="0" fontId="54" fillId="19" borderId="3" xfId="0" applyFont="1" applyFill="1" applyBorder="1" applyAlignment="1">
      <alignment horizontal="left" vertical="center"/>
    </xf>
    <xf numFmtId="3" fontId="54" fillId="19" borderId="3" xfId="0" applyNumberFormat="1" applyFont="1" applyFill="1" applyBorder="1" applyAlignment="1">
      <alignment horizontal="center" vertical="center"/>
    </xf>
    <xf numFmtId="165" fontId="54" fillId="19" borderId="3" xfId="0" applyNumberFormat="1" applyFont="1" applyFill="1" applyBorder="1" applyAlignment="1">
      <alignment horizontal="center" vertical="center"/>
    </xf>
    <xf numFmtId="186" fontId="54" fillId="19" borderId="3" xfId="0" applyNumberFormat="1" applyFont="1" applyFill="1" applyBorder="1" applyAlignment="1">
      <alignment horizontal="center" vertical="center"/>
    </xf>
    <xf numFmtId="0" fontId="56" fillId="0" borderId="3" xfId="0" applyFont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3" fontId="68" fillId="0" borderId="1" xfId="0" applyNumberFormat="1" applyFont="1" applyBorder="1" applyAlignment="1">
      <alignment horizontal="right" vertical="center"/>
    </xf>
    <xf numFmtId="0" fontId="69" fillId="26" borderId="1" xfId="0" applyFont="1" applyFill="1" applyBorder="1" applyAlignment="1">
      <alignment horizontal="center" vertical="center" wrapText="1"/>
    </xf>
    <xf numFmtId="1" fontId="68" fillId="0" borderId="1" xfId="0" applyNumberFormat="1" applyFont="1" applyBorder="1" applyAlignment="1">
      <alignment horizontal="center" vertical="center"/>
    </xf>
    <xf numFmtId="0" fontId="68" fillId="0" borderId="1" xfId="0" applyFont="1" applyBorder="1" applyAlignment="1">
      <alignment horizontal="left" vertical="center"/>
    </xf>
    <xf numFmtId="3" fontId="68" fillId="0" borderId="1" xfId="0" applyNumberFormat="1" applyFont="1" applyBorder="1" applyAlignment="1">
      <alignment horizontal="left" vertical="center"/>
    </xf>
    <xf numFmtId="170" fontId="68" fillId="0" borderId="1" xfId="0" applyNumberFormat="1" applyFont="1" applyBorder="1" applyAlignment="1">
      <alignment horizontal="right" vertical="center"/>
    </xf>
    <xf numFmtId="166" fontId="68" fillId="0" borderId="1" xfId="0" applyNumberFormat="1" applyFont="1" applyBorder="1" applyAlignment="1">
      <alignment horizontal="right" vertical="center"/>
    </xf>
    <xf numFmtId="192" fontId="68" fillId="0" borderId="1" xfId="0" applyNumberFormat="1" applyFont="1" applyBorder="1" applyAlignment="1">
      <alignment horizontal="right" vertical="center"/>
    </xf>
    <xf numFmtId="14" fontId="0" fillId="0" borderId="0" xfId="0" applyNumberFormat="1"/>
    <xf numFmtId="0" fontId="69" fillId="21" borderId="1" xfId="0" applyFont="1" applyFill="1" applyBorder="1" applyAlignment="1">
      <alignment horizontal="left" vertical="center"/>
    </xf>
    <xf numFmtId="3" fontId="69" fillId="21" borderId="1" xfId="0" applyNumberFormat="1" applyFont="1" applyFill="1" applyBorder="1" applyAlignment="1">
      <alignment horizontal="right" vertical="center"/>
    </xf>
    <xf numFmtId="0" fontId="69" fillId="21" borderId="1" xfId="0" applyFont="1" applyFill="1" applyBorder="1" applyAlignment="1">
      <alignment horizontal="right" vertical="center"/>
    </xf>
    <xf numFmtId="170" fontId="69" fillId="21" borderId="1" xfId="0" applyNumberFormat="1" applyFont="1" applyFill="1" applyBorder="1" applyAlignment="1">
      <alignment horizontal="right" vertical="center"/>
    </xf>
    <xf numFmtId="166" fontId="69" fillId="21" borderId="1" xfId="0" applyNumberFormat="1" applyFont="1" applyFill="1" applyBorder="1" applyAlignment="1">
      <alignment horizontal="right" vertical="center"/>
    </xf>
    <xf numFmtId="192" fontId="69" fillId="21" borderId="1" xfId="0" applyNumberFormat="1" applyFont="1" applyFill="1" applyBorder="1" applyAlignment="1">
      <alignment horizontal="right" vertical="center"/>
    </xf>
    <xf numFmtId="0" fontId="70" fillId="0" borderId="0" xfId="0" applyFont="1"/>
    <xf numFmtId="3" fontId="0" fillId="0" borderId="0" xfId="0" applyNumberFormat="1"/>
    <xf numFmtId="0" fontId="4" fillId="6" borderId="0" xfId="0" applyFont="1" applyFill="1" applyAlignment="1">
      <alignment horizontal="left"/>
    </xf>
    <xf numFmtId="0" fontId="46" fillId="0" borderId="0" xfId="0" applyFont="1"/>
    <xf numFmtId="0" fontId="33" fillId="9" borderId="0" xfId="0" applyFont="1" applyFill="1" applyAlignment="1">
      <alignment horizontal="center" vertical="center" wrapText="1"/>
    </xf>
    <xf numFmtId="3" fontId="71" fillId="9" borderId="0" xfId="0" applyNumberFormat="1" applyFont="1" applyFill="1" applyAlignment="1">
      <alignment horizontal="center" vertical="center" wrapText="1"/>
    </xf>
    <xf numFmtId="166" fontId="33" fillId="9" borderId="0" xfId="0" applyNumberFormat="1" applyFont="1" applyFill="1" applyAlignment="1">
      <alignment horizontal="center" vertical="center" wrapText="1"/>
    </xf>
    <xf numFmtId="193" fontId="33" fillId="9" borderId="0" xfId="0" applyNumberFormat="1" applyFont="1" applyFill="1" applyAlignment="1">
      <alignment horizontal="center" vertical="center" wrapText="1"/>
    </xf>
    <xf numFmtId="0" fontId="33" fillId="21" borderId="0" xfId="0" applyFont="1" applyFill="1" applyAlignment="1">
      <alignment horizontal="center" vertical="center" wrapText="1"/>
    </xf>
    <xf numFmtId="0" fontId="34" fillId="0" borderId="0" xfId="0" applyFont="1"/>
    <xf numFmtId="0" fontId="33" fillId="21" borderId="0" xfId="0" applyFont="1" applyFill="1" applyAlignment="1">
      <alignment horizontal="center"/>
    </xf>
    <xf numFmtId="190" fontId="28" fillId="0" borderId="0" xfId="0" applyNumberFormat="1" applyFont="1"/>
    <xf numFmtId="0" fontId="4" fillId="24" borderId="6" xfId="0" applyFont="1" applyFill="1" applyBorder="1" applyAlignment="1">
      <alignment horizontal="left" vertical="center"/>
    </xf>
    <xf numFmtId="0" fontId="4" fillId="24" borderId="7" xfId="0" applyFont="1" applyFill="1" applyBorder="1" applyAlignment="1">
      <alignment horizontal="left" vertical="center"/>
    </xf>
    <xf numFmtId="0" fontId="15" fillId="5" borderId="0" xfId="0" applyFont="1" applyFill="1" applyAlignment="1">
      <alignment horizontal="right"/>
    </xf>
    <xf numFmtId="0" fontId="37" fillId="10" borderId="0" xfId="0" applyFont="1" applyFill="1" applyAlignment="1">
      <alignment horizontal="center"/>
    </xf>
    <xf numFmtId="0" fontId="8" fillId="2" borderId="8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72" fillId="0" borderId="0" xfId="0" applyFont="1"/>
    <xf numFmtId="0" fontId="5" fillId="11" borderId="0" xfId="0" applyFont="1" applyFill="1" applyAlignment="1">
      <alignment horizontal="right" vertical="center"/>
    </xf>
    <xf numFmtId="166" fontId="5" fillId="11" borderId="0" xfId="0" applyNumberFormat="1" applyFont="1" applyFill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72" fillId="22" borderId="0" xfId="0" applyFont="1" applyFill="1" applyAlignment="1">
      <alignment horizontal="left"/>
    </xf>
    <xf numFmtId="0" fontId="72" fillId="22" borderId="12" xfId="0" applyFont="1" applyFill="1" applyBorder="1" applyAlignment="1">
      <alignment horizontal="left"/>
    </xf>
    <xf numFmtId="0" fontId="3" fillId="5" borderId="15" xfId="0" applyFont="1" applyFill="1" applyBorder="1" applyAlignment="1">
      <alignment horizontal="left" vertical="center"/>
    </xf>
    <xf numFmtId="3" fontId="3" fillId="5" borderId="16" xfId="0" applyNumberFormat="1" applyFont="1" applyFill="1" applyBorder="1" applyAlignment="1">
      <alignment horizontal="right" vertical="center"/>
    </xf>
    <xf numFmtId="3" fontId="3" fillId="5" borderId="17" xfId="0" applyNumberFormat="1" applyFont="1" applyFill="1" applyBorder="1" applyAlignment="1">
      <alignment horizontal="right" vertical="center"/>
    </xf>
    <xf numFmtId="166" fontId="15" fillId="5" borderId="18" xfId="0" applyNumberFormat="1" applyFont="1" applyFill="1" applyBorder="1" applyAlignment="1">
      <alignment horizontal="right" vertical="center"/>
    </xf>
    <xf numFmtId="166" fontId="3" fillId="5" borderId="19" xfId="0" applyNumberFormat="1" applyFont="1" applyFill="1" applyBorder="1" applyAlignment="1">
      <alignment horizontal="right" vertical="center"/>
    </xf>
    <xf numFmtId="192" fontId="3" fillId="5" borderId="20" xfId="0" applyNumberFormat="1" applyFont="1" applyFill="1" applyBorder="1" applyAlignment="1">
      <alignment horizontal="right" vertical="center"/>
    </xf>
    <xf numFmtId="166" fontId="3" fillId="5" borderId="18" xfId="0" applyNumberFormat="1" applyFont="1" applyFill="1" applyBorder="1" applyAlignment="1">
      <alignment horizontal="right" vertical="center"/>
    </xf>
    <xf numFmtId="165" fontId="3" fillId="5" borderId="19" xfId="0" applyNumberFormat="1" applyFont="1" applyFill="1" applyBorder="1" applyAlignment="1">
      <alignment horizontal="right" vertical="center"/>
    </xf>
    <xf numFmtId="192" fontId="3" fillId="5" borderId="16" xfId="0" applyNumberFormat="1" applyFont="1" applyFill="1" applyBorder="1" applyAlignment="1">
      <alignment horizontal="right" vertical="center"/>
    </xf>
    <xf numFmtId="0" fontId="13" fillId="5" borderId="21" xfId="0" applyFont="1" applyFill="1" applyBorder="1" applyAlignment="1">
      <alignment horizontal="left" vertical="center" wrapText="1"/>
    </xf>
    <xf numFmtId="0" fontId="3" fillId="5" borderId="22" xfId="0" applyFont="1" applyFill="1" applyBorder="1"/>
    <xf numFmtId="0" fontId="3" fillId="5" borderId="23" xfId="0" applyFont="1" applyFill="1" applyBorder="1"/>
    <xf numFmtId="0" fontId="3" fillId="5" borderId="24" xfId="0" applyFont="1" applyFill="1" applyBorder="1" applyAlignment="1">
      <alignment horizontal="left" vertical="center"/>
    </xf>
    <xf numFmtId="3" fontId="3" fillId="5" borderId="25" xfId="0" applyNumberFormat="1" applyFont="1" applyFill="1" applyBorder="1" applyAlignment="1">
      <alignment horizontal="right" vertical="center"/>
    </xf>
    <xf numFmtId="3" fontId="3" fillId="5" borderId="26" xfId="0" applyNumberFormat="1" applyFont="1" applyFill="1" applyBorder="1" applyAlignment="1">
      <alignment horizontal="right" vertical="center"/>
    </xf>
    <xf numFmtId="166" fontId="15" fillId="5" borderId="27" xfId="0" applyNumberFormat="1" applyFont="1" applyFill="1" applyBorder="1" applyAlignment="1">
      <alignment horizontal="right" vertical="center"/>
    </xf>
    <xf numFmtId="166" fontId="3" fillId="5" borderId="28" xfId="0" applyNumberFormat="1" applyFont="1" applyFill="1" applyBorder="1" applyAlignment="1">
      <alignment horizontal="right" vertical="center"/>
    </xf>
    <xf numFmtId="192" fontId="3" fillId="5" borderId="29" xfId="0" applyNumberFormat="1" applyFont="1" applyFill="1" applyBorder="1" applyAlignment="1">
      <alignment horizontal="right" vertical="center"/>
    </xf>
    <xf numFmtId="166" fontId="3" fillId="5" borderId="27" xfId="0" applyNumberFormat="1" applyFont="1" applyFill="1" applyBorder="1" applyAlignment="1">
      <alignment horizontal="right" vertical="center"/>
    </xf>
    <xf numFmtId="165" fontId="3" fillId="5" borderId="28" xfId="0" applyNumberFormat="1" applyFont="1" applyFill="1" applyBorder="1" applyAlignment="1">
      <alignment horizontal="right" vertical="center"/>
    </xf>
    <xf numFmtId="192" fontId="3" fillId="5" borderId="25" xfId="0" applyNumberFormat="1" applyFont="1" applyFill="1" applyBorder="1" applyAlignment="1">
      <alignment horizontal="right" vertical="center"/>
    </xf>
    <xf numFmtId="0" fontId="13" fillId="5" borderId="30" xfId="0" applyFont="1" applyFill="1" applyBorder="1" applyAlignment="1">
      <alignment horizontal="left" vertical="center" wrapText="1"/>
    </xf>
    <xf numFmtId="0" fontId="3" fillId="5" borderId="31" xfId="0" applyFont="1" applyFill="1" applyBorder="1"/>
    <xf numFmtId="0" fontId="3" fillId="5" borderId="32" xfId="0" applyFont="1" applyFill="1" applyBorder="1"/>
    <xf numFmtId="164" fontId="16" fillId="4" borderId="0" xfId="0" applyNumberFormat="1" applyFont="1" applyFill="1" applyAlignment="1">
      <alignment horizontal="right" vertical="center"/>
    </xf>
    <xf numFmtId="0" fontId="16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right" vertical="center"/>
    </xf>
    <xf numFmtId="165" fontId="16" fillId="4" borderId="0" xfId="0" applyNumberFormat="1" applyFont="1" applyFill="1" applyAlignment="1">
      <alignment horizontal="right" vertical="center"/>
    </xf>
    <xf numFmtId="164" fontId="16" fillId="5" borderId="0" xfId="0" applyNumberFormat="1" applyFont="1" applyFill="1" applyAlignment="1">
      <alignment horizontal="right" vertical="center"/>
    </xf>
    <xf numFmtId="0" fontId="16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right" vertical="center"/>
    </xf>
    <xf numFmtId="165" fontId="16" fillId="5" borderId="0" xfId="0" applyNumberFormat="1" applyFont="1" applyFill="1" applyAlignment="1">
      <alignment horizontal="right" vertical="center"/>
    </xf>
    <xf numFmtId="0" fontId="72" fillId="22" borderId="31" xfId="0" applyFont="1" applyFill="1" applyBorder="1" applyAlignment="1">
      <alignment horizontal="left"/>
    </xf>
    <xf numFmtId="0" fontId="72" fillId="22" borderId="32" xfId="0" applyFont="1" applyFill="1" applyBorder="1" applyAlignment="1">
      <alignment horizontal="left"/>
    </xf>
    <xf numFmtId="0" fontId="15" fillId="27" borderId="33" xfId="0" applyFont="1" applyFill="1" applyBorder="1" applyAlignment="1">
      <alignment horizontal="left" vertical="center"/>
    </xf>
    <xf numFmtId="3" fontId="15" fillId="27" borderId="34" xfId="0" applyNumberFormat="1" applyFont="1" applyFill="1" applyBorder="1" applyAlignment="1">
      <alignment horizontal="right" vertical="center"/>
    </xf>
    <xf numFmtId="3" fontId="15" fillId="27" borderId="35" xfId="0" applyNumberFormat="1" applyFont="1" applyFill="1" applyBorder="1" applyAlignment="1">
      <alignment horizontal="right" vertical="center"/>
    </xf>
    <xf numFmtId="166" fontId="15" fillId="27" borderId="36" xfId="0" applyNumberFormat="1" applyFont="1" applyFill="1" applyBorder="1" applyAlignment="1">
      <alignment horizontal="right" vertical="center"/>
    </xf>
    <xf numFmtId="166" fontId="15" fillId="27" borderId="37" xfId="0" applyNumberFormat="1" applyFont="1" applyFill="1" applyBorder="1" applyAlignment="1">
      <alignment horizontal="right" vertical="center"/>
    </xf>
    <xf numFmtId="192" fontId="15" fillId="27" borderId="38" xfId="0" applyNumberFormat="1" applyFont="1" applyFill="1" applyBorder="1" applyAlignment="1">
      <alignment horizontal="right" vertical="center"/>
    </xf>
    <xf numFmtId="165" fontId="15" fillId="27" borderId="37" xfId="0" applyNumberFormat="1" applyFont="1" applyFill="1" applyBorder="1" applyAlignment="1">
      <alignment horizontal="right" vertical="center"/>
    </xf>
    <xf numFmtId="192" fontId="15" fillId="27" borderId="34" xfId="0" applyNumberFormat="1" applyFont="1" applyFill="1" applyBorder="1" applyAlignment="1">
      <alignment horizontal="right" vertical="center"/>
    </xf>
    <xf numFmtId="0" fontId="15" fillId="27" borderId="39" xfId="0" applyFont="1" applyFill="1" applyBorder="1" applyAlignment="1">
      <alignment horizontal="right" vertical="center" wrapText="1"/>
    </xf>
    <xf numFmtId="0" fontId="15" fillId="27" borderId="40" xfId="0" applyFont="1" applyFill="1" applyBorder="1"/>
    <xf numFmtId="0" fontId="15" fillId="27" borderId="41" xfId="0" applyFont="1" applyFill="1" applyBorder="1"/>
    <xf numFmtId="0" fontId="4" fillId="24" borderId="42" xfId="0" applyFont="1" applyFill="1" applyBorder="1" applyAlignment="1">
      <alignment horizontal="left" vertical="center"/>
    </xf>
    <xf numFmtId="0" fontId="4" fillId="24" borderId="0" xfId="0" applyFont="1" applyFill="1" applyAlignment="1">
      <alignment horizontal="left"/>
    </xf>
    <xf numFmtId="0" fontId="4" fillId="24" borderId="43" xfId="0" applyFont="1" applyFill="1" applyBorder="1" applyAlignment="1">
      <alignment horizontal="left"/>
    </xf>
    <xf numFmtId="0" fontId="4" fillId="24" borderId="12" xfId="0" applyFont="1" applyFill="1" applyBorder="1" applyAlignment="1">
      <alignment horizontal="left"/>
    </xf>
    <xf numFmtId="0" fontId="4" fillId="24" borderId="44" xfId="0" applyFont="1" applyFill="1" applyBorder="1" applyAlignment="1">
      <alignment horizontal="left"/>
    </xf>
    <xf numFmtId="0" fontId="72" fillId="22" borderId="45" xfId="0" applyFont="1" applyFill="1" applyBorder="1" applyAlignment="1">
      <alignment horizontal="left" vertical="center"/>
    </xf>
    <xf numFmtId="0" fontId="72" fillId="22" borderId="22" xfId="0" applyFont="1" applyFill="1" applyBorder="1" applyAlignment="1">
      <alignment horizontal="left"/>
    </xf>
    <xf numFmtId="0" fontId="72" fillId="22" borderId="46" xfId="0" applyFont="1" applyFill="1" applyBorder="1" applyAlignment="1">
      <alignment horizontal="left"/>
    </xf>
    <xf numFmtId="0" fontId="72" fillId="22" borderId="23" xfId="0" applyFont="1" applyFill="1" applyBorder="1" applyAlignment="1">
      <alignment horizontal="left"/>
    </xf>
    <xf numFmtId="0" fontId="72" fillId="22" borderId="47" xfId="0" applyFont="1" applyFill="1" applyBorder="1" applyAlignment="1">
      <alignment horizontal="left"/>
    </xf>
    <xf numFmtId="0" fontId="3" fillId="5" borderId="48" xfId="0" applyFont="1" applyFill="1" applyBorder="1" applyAlignment="1">
      <alignment horizontal="left"/>
    </xf>
    <xf numFmtId="3" fontId="16" fillId="16" borderId="31" xfId="0" applyNumberFormat="1" applyFont="1" applyFill="1" applyBorder="1" applyAlignment="1">
      <alignment horizontal="right"/>
    </xf>
    <xf numFmtId="164" fontId="16" fillId="16" borderId="49" xfId="0" applyNumberFormat="1" applyFont="1" applyFill="1" applyBorder="1" applyAlignment="1">
      <alignment horizontal="right"/>
    </xf>
    <xf numFmtId="166" fontId="16" fillId="16" borderId="31" xfId="0" applyNumberFormat="1" applyFont="1" applyFill="1" applyBorder="1" applyAlignment="1">
      <alignment horizontal="right"/>
    </xf>
    <xf numFmtId="166" fontId="3" fillId="5" borderId="31" xfId="0" applyNumberFormat="1" applyFont="1" applyFill="1" applyBorder="1" applyAlignment="1">
      <alignment horizontal="right"/>
    </xf>
    <xf numFmtId="189" fontId="3" fillId="5" borderId="32" xfId="0" applyNumberFormat="1" applyFont="1" applyFill="1" applyBorder="1" applyAlignment="1">
      <alignment horizontal="right"/>
    </xf>
    <xf numFmtId="166" fontId="16" fillId="10" borderId="31" xfId="0" applyNumberFormat="1" applyFont="1" applyFill="1" applyBorder="1" applyAlignment="1">
      <alignment horizontal="right"/>
    </xf>
    <xf numFmtId="165" fontId="3" fillId="5" borderId="31" xfId="0" applyNumberFormat="1" applyFont="1" applyFill="1" applyBorder="1" applyAlignment="1">
      <alignment horizontal="right"/>
    </xf>
    <xf numFmtId="189" fontId="3" fillId="5" borderId="31" xfId="0" applyNumberFormat="1" applyFont="1" applyFill="1" applyBorder="1" applyAlignment="1">
      <alignment horizontal="right"/>
    </xf>
    <xf numFmtId="0" fontId="3" fillId="5" borderId="30" xfId="0" applyFont="1" applyFill="1" applyBorder="1"/>
    <xf numFmtId="0" fontId="3" fillId="11" borderId="0" xfId="0" applyFont="1" applyFill="1" applyAlignment="1">
      <alignment horizontal="left" vertical="center" indent="1"/>
    </xf>
    <xf numFmtId="0" fontId="72" fillId="22" borderId="48" xfId="0" applyFont="1" applyFill="1" applyBorder="1" applyAlignment="1">
      <alignment horizontal="left"/>
    </xf>
    <xf numFmtId="0" fontId="72" fillId="22" borderId="49" xfId="0" applyFont="1" applyFill="1" applyBorder="1" applyAlignment="1">
      <alignment horizontal="left"/>
    </xf>
    <xf numFmtId="0" fontId="72" fillId="22" borderId="30" xfId="0" applyFont="1" applyFill="1" applyBorder="1" applyAlignment="1">
      <alignment horizontal="left"/>
    </xf>
    <xf numFmtId="166" fontId="72" fillId="22" borderId="31" xfId="0" applyNumberFormat="1" applyFont="1" applyFill="1" applyBorder="1" applyAlignment="1">
      <alignment horizontal="left"/>
    </xf>
    <xf numFmtId="175" fontId="72" fillId="22" borderId="31" xfId="0" applyNumberFormat="1" applyFont="1" applyFill="1" applyBorder="1" applyAlignment="1">
      <alignment horizontal="left"/>
    </xf>
    <xf numFmtId="175" fontId="72" fillId="22" borderId="32" xfId="0" applyNumberFormat="1" applyFont="1" applyFill="1" applyBorder="1" applyAlignment="1">
      <alignment horizontal="left"/>
    </xf>
    <xf numFmtId="0" fontId="15" fillId="27" borderId="48" xfId="0" applyFont="1" applyFill="1" applyBorder="1" applyAlignment="1">
      <alignment horizontal="left"/>
    </xf>
    <xf numFmtId="3" fontId="15" fillId="27" borderId="31" xfId="0" applyNumberFormat="1" applyFont="1" applyFill="1" applyBorder="1" applyAlignment="1">
      <alignment horizontal="right"/>
    </xf>
    <xf numFmtId="164" fontId="15" fillId="27" borderId="49" xfId="0" applyNumberFormat="1" applyFont="1" applyFill="1" applyBorder="1" applyAlignment="1">
      <alignment horizontal="right"/>
    </xf>
    <xf numFmtId="166" fontId="15" fillId="27" borderId="31" xfId="0" applyNumberFormat="1" applyFont="1" applyFill="1" applyBorder="1" applyAlignment="1">
      <alignment horizontal="right"/>
    </xf>
    <xf numFmtId="189" fontId="15" fillId="27" borderId="32" xfId="0" applyNumberFormat="1" applyFont="1" applyFill="1" applyBorder="1" applyAlignment="1">
      <alignment horizontal="right"/>
    </xf>
    <xf numFmtId="165" fontId="15" fillId="27" borderId="31" xfId="0" applyNumberFormat="1" applyFont="1" applyFill="1" applyBorder="1" applyAlignment="1">
      <alignment horizontal="right"/>
    </xf>
    <xf numFmtId="189" fontId="15" fillId="27" borderId="31" xfId="0" applyNumberFormat="1" applyFont="1" applyFill="1" applyBorder="1" applyAlignment="1">
      <alignment horizontal="right"/>
    </xf>
    <xf numFmtId="0" fontId="15" fillId="27" borderId="30" xfId="0" applyFont="1" applyFill="1" applyBorder="1"/>
    <xf numFmtId="0" fontId="15" fillId="27" borderId="31" xfId="0" applyFont="1" applyFill="1" applyBorder="1"/>
    <xf numFmtId="0" fontId="15" fillId="27" borderId="32" xfId="0" applyFont="1" applyFill="1" applyBorder="1"/>
    <xf numFmtId="0" fontId="4" fillId="2" borderId="50" xfId="0" applyFont="1" applyFill="1" applyBorder="1" applyAlignment="1">
      <alignment horizontal="left"/>
    </xf>
    <xf numFmtId="3" fontId="4" fillId="2" borderId="51" xfId="0" applyNumberFormat="1" applyFont="1" applyFill="1" applyBorder="1" applyAlignment="1">
      <alignment horizontal="right"/>
    </xf>
    <xf numFmtId="164" fontId="4" fillId="2" borderId="52" xfId="0" applyNumberFormat="1" applyFont="1" applyFill="1" applyBorder="1" applyAlignment="1">
      <alignment horizontal="right"/>
    </xf>
    <xf numFmtId="166" fontId="4" fillId="2" borderId="51" xfId="0" applyNumberFormat="1" applyFont="1" applyFill="1" applyBorder="1" applyAlignment="1">
      <alignment horizontal="right"/>
    </xf>
    <xf numFmtId="189" fontId="4" fillId="2" borderId="53" xfId="0" applyNumberFormat="1" applyFont="1" applyFill="1" applyBorder="1" applyAlignment="1">
      <alignment horizontal="right"/>
    </xf>
    <xf numFmtId="165" fontId="4" fillId="2" borderId="51" xfId="0" applyNumberFormat="1" applyFont="1" applyFill="1" applyBorder="1" applyAlignment="1">
      <alignment horizontal="right"/>
    </xf>
    <xf numFmtId="189" fontId="4" fillId="2" borderId="51" xfId="0" applyNumberFormat="1" applyFont="1" applyFill="1" applyBorder="1" applyAlignment="1">
      <alignment horizontal="right"/>
    </xf>
    <xf numFmtId="0" fontId="4" fillId="2" borderId="54" xfId="0" applyFont="1" applyFill="1" applyBorder="1"/>
    <xf numFmtId="0" fontId="4" fillId="2" borderId="51" xfId="0" applyFont="1" applyFill="1" applyBorder="1"/>
    <xf numFmtId="0" fontId="4" fillId="2" borderId="53" xfId="0" applyFont="1" applyFill="1" applyBorder="1"/>
    <xf numFmtId="0" fontId="4" fillId="24" borderId="55" xfId="0" applyFont="1" applyFill="1" applyBorder="1" applyAlignment="1">
      <alignment horizontal="left"/>
    </xf>
    <xf numFmtId="0" fontId="4" fillId="24" borderId="6" xfId="0" applyFont="1" applyFill="1" applyBorder="1" applyAlignment="1">
      <alignment horizontal="left"/>
    </xf>
    <xf numFmtId="0" fontId="4" fillId="24" borderId="56" xfId="0" applyFont="1" applyFill="1" applyBorder="1" applyAlignment="1">
      <alignment horizontal="left"/>
    </xf>
    <xf numFmtId="0" fontId="4" fillId="24" borderId="7" xfId="0" applyFont="1" applyFill="1" applyBorder="1" applyAlignment="1">
      <alignment horizontal="left"/>
    </xf>
    <xf numFmtId="0" fontId="0" fillId="0" borderId="57" xfId="0" applyBorder="1"/>
    <xf numFmtId="0" fontId="11" fillId="2" borderId="58" xfId="0" applyFont="1" applyFill="1" applyBorder="1" applyAlignment="1">
      <alignment horizontal="center"/>
    </xf>
    <xf numFmtId="0" fontId="0" fillId="0" borderId="12" xfId="0" applyBorder="1"/>
    <xf numFmtId="0" fontId="15" fillId="4" borderId="59" xfId="0" applyFont="1" applyFill="1" applyBorder="1" applyAlignment="1">
      <alignment horizontal="left"/>
    </xf>
    <xf numFmtId="0" fontId="3" fillId="4" borderId="22" xfId="0" applyFont="1" applyFill="1" applyBorder="1"/>
    <xf numFmtId="166" fontId="15" fillId="4" borderId="60" xfId="0" applyNumberFormat="1" applyFont="1" applyFill="1" applyBorder="1" applyAlignment="1">
      <alignment horizontal="right"/>
    </xf>
    <xf numFmtId="0" fontId="13" fillId="4" borderId="23" xfId="0" applyFont="1" applyFill="1" applyBorder="1" applyAlignment="1">
      <alignment horizontal="left" wrapText="1"/>
    </xf>
    <xf numFmtId="0" fontId="15" fillId="5" borderId="48" xfId="0" applyFont="1" applyFill="1" applyBorder="1" applyAlignment="1">
      <alignment horizontal="left"/>
    </xf>
    <xf numFmtId="166" fontId="15" fillId="5" borderId="27" xfId="0" applyNumberFormat="1" applyFont="1" applyFill="1" applyBorder="1" applyAlignment="1">
      <alignment horizontal="right"/>
    </xf>
    <xf numFmtId="0" fontId="51" fillId="5" borderId="31" xfId="0" applyFont="1" applyFill="1" applyBorder="1" applyAlignment="1">
      <alignment horizontal="left"/>
    </xf>
    <xf numFmtId="0" fontId="13" fillId="5" borderId="32" xfId="0" applyFont="1" applyFill="1" applyBorder="1" applyAlignment="1">
      <alignment horizontal="left" wrapText="1"/>
    </xf>
    <xf numFmtId="0" fontId="15" fillId="4" borderId="48" xfId="0" applyFont="1" applyFill="1" applyBorder="1" applyAlignment="1">
      <alignment horizontal="left"/>
    </xf>
    <xf numFmtId="0" fontId="3" fillId="4" borderId="31" xfId="0" applyFont="1" applyFill="1" applyBorder="1"/>
    <xf numFmtId="166" fontId="3" fillId="4" borderId="27" xfId="0" applyNumberFormat="1" applyFont="1" applyFill="1" applyBorder="1" applyAlignment="1">
      <alignment horizontal="right"/>
    </xf>
    <xf numFmtId="0" fontId="51" fillId="4" borderId="31" xfId="0" applyFont="1" applyFill="1" applyBorder="1" applyAlignment="1">
      <alignment horizontal="left"/>
    </xf>
    <xf numFmtId="0" fontId="13" fillId="4" borderId="32" xfId="0" applyFont="1" applyFill="1" applyBorder="1" applyAlignment="1">
      <alignment horizontal="left" wrapText="1"/>
    </xf>
    <xf numFmtId="0" fontId="15" fillId="16" borderId="50" xfId="0" applyFont="1" applyFill="1" applyBorder="1" applyAlignment="1">
      <alignment horizontal="left"/>
    </xf>
    <xf numFmtId="0" fontId="15" fillId="16" borderId="51" xfId="0" applyFont="1" applyFill="1" applyBorder="1"/>
    <xf numFmtId="166" fontId="15" fillId="16" borderId="61" xfId="0" applyNumberFormat="1" applyFont="1" applyFill="1" applyBorder="1" applyAlignment="1">
      <alignment horizontal="right"/>
    </xf>
    <xf numFmtId="0" fontId="73" fillId="16" borderId="51" xfId="0" applyFont="1" applyFill="1" applyBorder="1" applyAlignment="1">
      <alignment horizontal="left"/>
    </xf>
    <xf numFmtId="0" fontId="9" fillId="16" borderId="53" xfId="0" applyFont="1" applyFill="1" applyBorder="1" applyAlignment="1">
      <alignment horizontal="left" wrapText="1"/>
    </xf>
    <xf numFmtId="0" fontId="3" fillId="8" borderId="0" xfId="0" applyFont="1" applyFill="1" applyAlignment="1">
      <alignment horizontal="left" vertical="center" indent="1"/>
    </xf>
    <xf numFmtId="166" fontId="3" fillId="8" borderId="0" xfId="0" applyNumberFormat="1" applyFont="1" applyFill="1" applyAlignment="1">
      <alignment horizontal="right" vertical="center"/>
    </xf>
    <xf numFmtId="0" fontId="3" fillId="0" borderId="0" xfId="0" applyFont="1"/>
    <xf numFmtId="0" fontId="4" fillId="5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right" vertical="center"/>
    </xf>
    <xf numFmtId="1" fontId="16" fillId="5" borderId="0" xfId="0" applyNumberFormat="1" applyFont="1" applyFill="1" applyAlignment="1">
      <alignment horizontal="right" vertical="center"/>
    </xf>
    <xf numFmtId="164" fontId="3" fillId="5" borderId="0" xfId="0" applyNumberFormat="1" applyFont="1" applyFill="1" applyAlignment="1">
      <alignment horizontal="left" vertical="center"/>
    </xf>
    <xf numFmtId="187" fontId="3" fillId="5" borderId="0" xfId="0" applyNumberFormat="1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/>
    </xf>
    <xf numFmtId="166" fontId="3" fillId="4" borderId="0" xfId="0" applyNumberFormat="1" applyFont="1" applyFill="1" applyAlignment="1">
      <alignment horizontal="left" vertical="center"/>
    </xf>
    <xf numFmtId="10" fontId="5" fillId="4" borderId="0" xfId="0" applyNumberFormat="1" applyFont="1" applyFill="1" applyAlignment="1">
      <alignment horizontal="right" vertical="center"/>
    </xf>
    <xf numFmtId="10" fontId="3" fillId="5" borderId="0" xfId="0" applyNumberFormat="1" applyFont="1" applyFill="1" applyAlignment="1">
      <alignment horizontal="right" vertical="center"/>
    </xf>
    <xf numFmtId="10" fontId="16" fillId="5" borderId="0" xfId="0" applyNumberFormat="1" applyFont="1" applyFill="1" applyAlignment="1">
      <alignment horizontal="right" vertical="center"/>
    </xf>
    <xf numFmtId="165" fontId="3" fillId="5" borderId="0" xfId="0" applyNumberFormat="1" applyFont="1" applyFill="1" applyAlignment="1">
      <alignment horizontal="left" vertical="center"/>
    </xf>
    <xf numFmtId="187" fontId="37" fillId="5" borderId="0" xfId="0" applyNumberFormat="1" applyFont="1" applyFill="1" applyAlignment="1">
      <alignment horizontal="right" vertical="center"/>
    </xf>
    <xf numFmtId="0" fontId="15" fillId="7" borderId="0" xfId="0" applyFont="1" applyFill="1" applyAlignment="1">
      <alignment horizontal="left" vertical="center"/>
    </xf>
    <xf numFmtId="170" fontId="3" fillId="4" borderId="0" xfId="0" applyNumberFormat="1" applyFont="1" applyFill="1" applyAlignment="1">
      <alignment horizontal="center"/>
    </xf>
    <xf numFmtId="0" fontId="74" fillId="5" borderId="0" xfId="0" applyFont="1" applyFill="1" applyAlignment="1">
      <alignment horizontal="left" vertical="center"/>
    </xf>
    <xf numFmtId="0" fontId="63" fillId="5" borderId="0" xfId="0" applyFont="1" applyFill="1" applyAlignment="1">
      <alignment horizontal="left" vertical="center"/>
    </xf>
    <xf numFmtId="165" fontId="15" fillId="7" borderId="0" xfId="0" applyNumberFormat="1" applyFont="1" applyFill="1" applyAlignment="1">
      <alignment horizontal="left" vertical="center"/>
    </xf>
    <xf numFmtId="187" fontId="15" fillId="5" borderId="0" xfId="0" applyNumberFormat="1" applyFont="1" applyFill="1" applyAlignment="1">
      <alignment horizontal="right" vertical="center"/>
    </xf>
    <xf numFmtId="10" fontId="16" fillId="4" borderId="0" xfId="0" applyNumberFormat="1" applyFont="1" applyFill="1" applyAlignment="1">
      <alignment horizontal="center" vertical="center"/>
    </xf>
    <xf numFmtId="170" fontId="37" fillId="5" borderId="0" xfId="0" applyNumberFormat="1" applyFont="1" applyFill="1" applyAlignment="1">
      <alignment horizontal="center" vertical="center"/>
    </xf>
    <xf numFmtId="187" fontId="75" fillId="5" borderId="0" xfId="0" applyNumberFormat="1" applyFont="1" applyFill="1" applyAlignment="1">
      <alignment horizontal="right" vertical="center"/>
    </xf>
    <xf numFmtId="166" fontId="3" fillId="5" borderId="0" xfId="0" applyNumberFormat="1" applyFont="1" applyFill="1" applyAlignment="1">
      <alignment horizontal="left" vertical="center"/>
    </xf>
    <xf numFmtId="166" fontId="15" fillId="7" borderId="0" xfId="0" applyNumberFormat="1" applyFont="1" applyFill="1" applyAlignment="1">
      <alignment horizontal="right"/>
    </xf>
    <xf numFmtId="166" fontId="15" fillId="7" borderId="0" xfId="0" applyNumberFormat="1" applyFont="1" applyFill="1" applyAlignment="1">
      <alignment horizontal="left" vertical="center"/>
    </xf>
    <xf numFmtId="10" fontId="16" fillId="5" borderId="0" xfId="0" applyNumberFormat="1" applyFont="1" applyFill="1" applyAlignment="1">
      <alignment horizontal="center" vertical="center"/>
    </xf>
    <xf numFmtId="187" fontId="7" fillId="5" borderId="0" xfId="0" applyNumberFormat="1" applyFont="1" applyFill="1" applyAlignment="1">
      <alignment horizontal="right" vertical="center"/>
    </xf>
    <xf numFmtId="170" fontId="3" fillId="5" borderId="0" xfId="0" applyNumberFormat="1" applyFont="1" applyFill="1" applyAlignment="1">
      <alignment horizontal="right" vertical="center"/>
    </xf>
    <xf numFmtId="170" fontId="3" fillId="5" borderId="0" xfId="0" applyNumberFormat="1" applyFont="1" applyFill="1" applyAlignment="1">
      <alignment horizontal="center" vertical="center"/>
    </xf>
    <xf numFmtId="170" fontId="15" fillId="5" borderId="0" xfId="0" applyNumberFormat="1" applyFont="1" applyFill="1" applyAlignment="1">
      <alignment horizontal="center" vertical="center"/>
    </xf>
    <xf numFmtId="170" fontId="3" fillId="4" borderId="0" xfId="0" applyNumberFormat="1" applyFont="1" applyFill="1" applyAlignment="1">
      <alignment horizontal="center" vertical="center"/>
    </xf>
    <xf numFmtId="166" fontId="4" fillId="6" borderId="0" xfId="0" applyNumberFormat="1" applyFont="1" applyFill="1" applyAlignment="1">
      <alignment horizontal="right" vertical="center"/>
    </xf>
    <xf numFmtId="0" fontId="4" fillId="6" borderId="0" xfId="0" applyFont="1" applyFill="1"/>
    <xf numFmtId="0" fontId="11" fillId="5" borderId="0" xfId="0" applyFont="1" applyFill="1" applyAlignment="1">
      <alignment horizontal="left" vertical="center" indent="1"/>
    </xf>
    <xf numFmtId="187" fontId="11" fillId="5" borderId="0" xfId="0" applyNumberFormat="1" applyFont="1" applyFill="1" applyAlignment="1">
      <alignment horizontal="right" vertical="center"/>
    </xf>
    <xf numFmtId="166" fontId="4" fillId="2" borderId="0" xfId="0" applyNumberFormat="1" applyFont="1" applyFill="1" applyAlignment="1">
      <alignment horizontal="right" vertical="center"/>
    </xf>
    <xf numFmtId="170" fontId="15" fillId="7" borderId="0" xfId="0" applyNumberFormat="1" applyFont="1" applyFill="1" applyAlignment="1">
      <alignment horizontal="right" vertical="center"/>
    </xf>
    <xf numFmtId="0" fontId="48" fillId="5" borderId="0" xfId="0" applyFont="1" applyFill="1" applyAlignment="1">
      <alignment horizontal="left" vertical="center" indent="1"/>
    </xf>
    <xf numFmtId="10" fontId="76" fillId="5" borderId="0" xfId="0" applyNumberFormat="1" applyFont="1" applyFill="1" applyAlignment="1">
      <alignment horizontal="right" vertical="center"/>
    </xf>
    <xf numFmtId="170" fontId="15" fillId="5" borderId="0" xfId="0" applyNumberFormat="1" applyFont="1" applyFill="1" applyAlignment="1">
      <alignment horizontal="right" vertical="center"/>
    </xf>
    <xf numFmtId="1" fontId="16" fillId="4" borderId="0" xfId="0" applyNumberFormat="1" applyFont="1" applyFill="1" applyAlignment="1">
      <alignment horizontal="right" vertical="center"/>
    </xf>
    <xf numFmtId="0" fontId="77" fillId="0" borderId="0" xfId="0" applyFont="1"/>
    <xf numFmtId="0" fontId="13" fillId="5" borderId="0" xfId="0" applyFont="1" applyFill="1" applyAlignment="1">
      <alignment horizontal="left" vertical="center" indent="1"/>
    </xf>
    <xf numFmtId="0" fontId="78" fillId="16" borderId="0" xfId="0" applyFont="1" applyFill="1" applyAlignment="1">
      <alignment horizontal="right" vertical="center"/>
    </xf>
    <xf numFmtId="0" fontId="37" fillId="1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79" fillId="11" borderId="0" xfId="0" applyFont="1" applyFill="1" applyAlignment="1">
      <alignment horizontal="left" vertical="center"/>
    </xf>
    <xf numFmtId="0" fontId="37" fillId="11" borderId="0" xfId="0" applyFont="1" applyFill="1" applyAlignment="1">
      <alignment horizontal="center" vertical="center"/>
    </xf>
    <xf numFmtId="0" fontId="66" fillId="11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6" fontId="10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 indent="1"/>
    </xf>
    <xf numFmtId="166" fontId="3" fillId="6" borderId="0" xfId="0" applyNumberFormat="1" applyFont="1" applyFill="1" applyAlignment="1">
      <alignment horizontal="right" vertical="center"/>
    </xf>
    <xf numFmtId="166" fontId="11" fillId="6" borderId="0" xfId="0" applyNumberFormat="1" applyFont="1" applyFill="1" applyAlignment="1">
      <alignment horizontal="right" vertical="center"/>
    </xf>
    <xf numFmtId="166" fontId="3" fillId="13" borderId="0" xfId="0" applyNumberFormat="1" applyFont="1" applyFill="1" applyAlignment="1">
      <alignment horizontal="right" vertical="center"/>
    </xf>
    <xf numFmtId="166" fontId="11" fillId="13" borderId="0" xfId="0" applyNumberFormat="1" applyFont="1" applyFill="1" applyAlignment="1">
      <alignment horizontal="right" vertical="center"/>
    </xf>
    <xf numFmtId="166" fontId="13" fillId="4" borderId="0" xfId="0" applyNumberFormat="1" applyFont="1" applyFill="1" applyAlignment="1">
      <alignment horizontal="right" vertical="center"/>
    </xf>
    <xf numFmtId="168" fontId="3" fillId="4" borderId="0" xfId="0" applyNumberFormat="1" applyFont="1" applyFill="1" applyAlignment="1">
      <alignment horizontal="right" vertical="center"/>
    </xf>
    <xf numFmtId="167" fontId="14" fillId="4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166" fontId="48" fillId="7" borderId="0" xfId="0" applyNumberFormat="1" applyFont="1" applyFill="1" applyAlignment="1">
      <alignment horizontal="right" vertical="center"/>
    </xf>
    <xf numFmtId="166" fontId="50" fillId="7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horizontal="left" vertical="center" indent="2"/>
    </xf>
    <xf numFmtId="0" fontId="7" fillId="4" borderId="0" xfId="0" applyFont="1" applyFill="1" applyAlignment="1">
      <alignment horizontal="center" vertical="center"/>
    </xf>
    <xf numFmtId="166" fontId="7" fillId="4" borderId="0" xfId="0" applyNumberFormat="1" applyFont="1" applyFill="1" applyAlignment="1">
      <alignment horizontal="right" vertical="center"/>
    </xf>
    <xf numFmtId="0" fontId="49" fillId="8" borderId="0" xfId="0" applyFont="1" applyFill="1" applyAlignment="1">
      <alignment horizontal="left" vertical="center" indent="2"/>
    </xf>
    <xf numFmtId="166" fontId="50" fillId="8" borderId="0" xfId="0" applyNumberFormat="1" applyFont="1" applyFill="1" applyAlignment="1">
      <alignment horizontal="right" vertical="center"/>
    </xf>
    <xf numFmtId="0" fontId="4" fillId="28" borderId="0" xfId="0" applyFont="1" applyFill="1" applyAlignment="1">
      <alignment horizontal="left" vertical="center" indent="1"/>
    </xf>
    <xf numFmtId="0" fontId="20" fillId="16" borderId="0" xfId="0" applyFont="1" applyFill="1" applyAlignment="1">
      <alignment horizontal="left" vertical="center" indent="1"/>
    </xf>
    <xf numFmtId="166" fontId="20" fillId="16" borderId="0" xfId="0" applyNumberFormat="1" applyFont="1" applyFill="1" applyAlignment="1">
      <alignment horizontal="right" vertical="center"/>
    </xf>
    <xf numFmtId="166" fontId="7" fillId="16" borderId="0" xfId="0" applyNumberFormat="1" applyFont="1" applyFill="1" applyAlignment="1">
      <alignment horizontal="right" vertical="center"/>
    </xf>
    <xf numFmtId="166" fontId="79" fillId="16" borderId="0" xfId="0" applyNumberFormat="1" applyFont="1" applyFill="1" applyAlignment="1">
      <alignment horizontal="right" vertical="center"/>
    </xf>
    <xf numFmtId="0" fontId="11" fillId="28" borderId="0" xfId="0" applyFont="1" applyFill="1" applyAlignment="1">
      <alignment horizontal="left" vertical="center" indent="1"/>
    </xf>
    <xf numFmtId="166" fontId="11" fillId="28" borderId="0" xfId="0" applyNumberFormat="1" applyFont="1" applyFill="1" applyAlignment="1">
      <alignment horizontal="right" vertical="center"/>
    </xf>
    <xf numFmtId="0" fontId="4" fillId="29" borderId="0" xfId="0" applyFont="1" applyFill="1" applyAlignment="1">
      <alignment horizontal="left" vertical="center" indent="1"/>
    </xf>
    <xf numFmtId="165" fontId="20" fillId="16" borderId="0" xfId="0" applyNumberFormat="1" applyFont="1" applyFill="1" applyAlignment="1">
      <alignment horizontal="right" vertical="center"/>
    </xf>
    <xf numFmtId="0" fontId="6" fillId="16" borderId="0" xfId="0" applyFont="1" applyFill="1" applyAlignment="1">
      <alignment horizontal="left" vertical="center" indent="1"/>
    </xf>
    <xf numFmtId="165" fontId="11" fillId="28" borderId="0" xfId="0" applyNumberFormat="1" applyFont="1" applyFill="1" applyAlignment="1">
      <alignment horizontal="right" vertical="center"/>
    </xf>
    <xf numFmtId="170" fontId="14" fillId="7" borderId="1" xfId="0" applyNumberFormat="1" applyFont="1" applyFill="1" applyBorder="1" applyAlignment="1">
      <alignment horizontal="center" vertical="center"/>
    </xf>
    <xf numFmtId="194" fontId="37" fillId="16" borderId="1" xfId="0" applyNumberFormat="1" applyFont="1" applyFill="1" applyBorder="1" applyAlignment="1">
      <alignment horizontal="right" vertical="center"/>
    </xf>
    <xf numFmtId="0" fontId="13" fillId="4" borderId="1" xfId="0" applyFont="1" applyFill="1" applyBorder="1" applyAlignment="1">
      <alignment horizontal="left" vertical="center"/>
    </xf>
    <xf numFmtId="0" fontId="37" fillId="1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10" fontId="14" fillId="4" borderId="1" xfId="0" applyNumberFormat="1" applyFont="1" applyFill="1" applyBorder="1" applyAlignment="1">
      <alignment horizontal="center" vertical="center"/>
    </xf>
    <xf numFmtId="170" fontId="14" fillId="4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11" fillId="2" borderId="1" xfId="0" applyFont="1" applyFill="1" applyBorder="1" applyAlignment="1">
      <alignment horizontal="left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71" fontId="10" fillId="5" borderId="1" xfId="0" applyNumberFormat="1" applyFont="1" applyFill="1" applyBorder="1" applyAlignment="1">
      <alignment horizontal="right" vertical="center"/>
    </xf>
    <xf numFmtId="10" fontId="10" fillId="4" borderId="1" xfId="0" applyNumberFormat="1" applyFont="1" applyFill="1" applyBorder="1" applyAlignment="1">
      <alignment horizontal="right" vertical="center"/>
    </xf>
    <xf numFmtId="171" fontId="10" fillId="4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  <xf numFmtId="171" fontId="10" fillId="8" borderId="1" xfId="0" applyNumberFormat="1" applyFont="1" applyFill="1" applyBorder="1" applyAlignment="1">
      <alignment horizontal="right" vertical="center"/>
    </xf>
    <xf numFmtId="10" fontId="10" fillId="5" borderId="1" xfId="0" applyNumberFormat="1" applyFont="1" applyFill="1" applyBorder="1" applyAlignment="1">
      <alignment horizontal="right" vertical="center"/>
    </xf>
    <xf numFmtId="171" fontId="14" fillId="7" borderId="1" xfId="0" applyNumberFormat="1" applyFont="1" applyFill="1" applyBorder="1" applyAlignment="1">
      <alignment horizontal="right" vertical="center"/>
    </xf>
    <xf numFmtId="10" fontId="14" fillId="7" borderId="1" xfId="0" applyNumberFormat="1" applyFont="1" applyFill="1" applyBorder="1" applyAlignment="1">
      <alignment horizontal="right" vertical="center"/>
    </xf>
    <xf numFmtId="171" fontId="81" fillId="0" borderId="0" xfId="0" applyNumberFormat="1" applyFont="1" applyAlignment="1">
      <alignment horizontal="right" vertical="center"/>
    </xf>
    <xf numFmtId="0" fontId="11" fillId="30" borderId="1" xfId="0" applyFont="1" applyFill="1" applyBorder="1" applyAlignment="1">
      <alignment vertical="center"/>
    </xf>
    <xf numFmtId="10" fontId="11" fillId="30" borderId="1" xfId="0" applyNumberFormat="1" applyFont="1" applyFill="1" applyBorder="1" applyAlignment="1">
      <alignment horizontal="right" vertical="center"/>
    </xf>
    <xf numFmtId="0" fontId="0" fillId="0" borderId="62" xfId="0" applyBorder="1"/>
    <xf numFmtId="0" fontId="0" fillId="0" borderId="10" xfId="0" applyBorder="1"/>
    <xf numFmtId="0" fontId="11" fillId="30" borderId="1" xfId="0" applyFont="1" applyFill="1" applyBorder="1" applyAlignment="1">
      <alignment horizontal="left" vertical="center" indent="1"/>
    </xf>
    <xf numFmtId="169" fontId="11" fillId="30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194" fontId="82" fillId="4" borderId="1" xfId="0" applyNumberFormat="1" applyFont="1" applyFill="1" applyBorder="1" applyAlignment="1">
      <alignment horizontal="right" vertical="center"/>
    </xf>
    <xf numFmtId="194" fontId="10" fillId="4" borderId="1" xfId="0" applyNumberFormat="1" applyFont="1" applyFill="1" applyBorder="1" applyAlignment="1">
      <alignment horizontal="right" vertical="center"/>
    </xf>
    <xf numFmtId="0" fontId="83" fillId="4" borderId="1" xfId="0" applyFont="1" applyFill="1" applyBorder="1" applyAlignment="1">
      <alignment horizontal="left" vertical="center"/>
    </xf>
    <xf numFmtId="169" fontId="37" fillId="16" borderId="1" xfId="0" applyNumberFormat="1" applyFont="1" applyFill="1" applyBorder="1" applyAlignment="1">
      <alignment horizontal="right" vertical="center"/>
    </xf>
    <xf numFmtId="0" fontId="83" fillId="5" borderId="1" xfId="0" applyFont="1" applyFill="1" applyBorder="1" applyAlignment="1">
      <alignment horizontal="center" vertical="center"/>
    </xf>
    <xf numFmtId="0" fontId="83" fillId="5" borderId="1" xfId="0" applyFont="1" applyFill="1" applyBorder="1" applyAlignment="1">
      <alignment horizontal="left" vertical="center"/>
    </xf>
    <xf numFmtId="170" fontId="37" fillId="16" borderId="1" xfId="0" applyNumberFormat="1" applyFont="1" applyFill="1" applyBorder="1" applyAlignment="1">
      <alignment horizontal="right" vertical="center"/>
    </xf>
    <xf numFmtId="0" fontId="83" fillId="4" borderId="1" xfId="0" applyFont="1" applyFill="1" applyBorder="1" applyAlignment="1">
      <alignment horizontal="center" vertical="center"/>
    </xf>
    <xf numFmtId="194" fontId="82" fillId="5" borderId="1" xfId="0" applyNumberFormat="1" applyFont="1" applyFill="1" applyBorder="1" applyAlignment="1">
      <alignment horizontal="right" vertical="center"/>
    </xf>
    <xf numFmtId="194" fontId="10" fillId="5" borderId="1" xfId="0" applyNumberFormat="1" applyFont="1" applyFill="1" applyBorder="1" applyAlignment="1">
      <alignment horizontal="right" vertical="center"/>
    </xf>
    <xf numFmtId="170" fontId="10" fillId="4" borderId="1" xfId="0" applyNumberFormat="1" applyFont="1" applyFill="1" applyBorder="1" applyAlignment="1">
      <alignment horizontal="center" vertical="center"/>
    </xf>
    <xf numFmtId="169" fontId="10" fillId="4" borderId="1" xfId="0" applyNumberFormat="1" applyFont="1" applyFill="1" applyBorder="1" applyAlignment="1">
      <alignment horizontal="right" vertical="center"/>
    </xf>
    <xf numFmtId="195" fontId="10" fillId="4" borderId="1" xfId="0" applyNumberFormat="1" applyFont="1" applyFill="1" applyBorder="1" applyAlignment="1">
      <alignment horizontal="right" vertical="center"/>
    </xf>
    <xf numFmtId="170" fontId="10" fillId="5" borderId="1" xfId="0" applyNumberFormat="1" applyFont="1" applyFill="1" applyBorder="1" applyAlignment="1">
      <alignment horizontal="center" vertical="center"/>
    </xf>
    <xf numFmtId="169" fontId="10" fillId="5" borderId="1" xfId="0" applyNumberFormat="1" applyFont="1" applyFill="1" applyBorder="1" applyAlignment="1">
      <alignment horizontal="right" vertical="center"/>
    </xf>
    <xf numFmtId="195" fontId="10" fillId="5" borderId="1" xfId="0" applyNumberFormat="1" applyFont="1" applyFill="1" applyBorder="1" applyAlignment="1">
      <alignment horizontal="right" vertical="center"/>
    </xf>
    <xf numFmtId="169" fontId="14" fillId="7" borderId="1" xfId="0" applyNumberFormat="1" applyFont="1" applyFill="1" applyBorder="1" applyAlignment="1">
      <alignment horizontal="right" vertical="center"/>
    </xf>
    <xf numFmtId="195" fontId="14" fillId="7" borderId="1" xfId="0" applyNumberFormat="1" applyFont="1" applyFill="1" applyBorder="1" applyAlignment="1">
      <alignment horizontal="right" vertical="center"/>
    </xf>
    <xf numFmtId="0" fontId="8" fillId="9" borderId="0" xfId="0" applyFont="1" applyFill="1" applyAlignment="1">
      <alignment horizontal="center" vertical="center"/>
    </xf>
    <xf numFmtId="10" fontId="8" fillId="2" borderId="0" xfId="0" applyNumberFormat="1" applyFont="1" applyFill="1" applyAlignment="1">
      <alignment horizontal="center" vertical="center"/>
    </xf>
    <xf numFmtId="0" fontId="84" fillId="0" borderId="0" xfId="0" applyFont="1" applyAlignment="1">
      <alignment horizontal="right" vertical="center"/>
    </xf>
    <xf numFmtId="196" fontId="37" fillId="16" borderId="0" xfId="0" applyNumberFormat="1" applyFont="1" applyFill="1" applyAlignment="1">
      <alignment horizontal="center" vertical="center"/>
    </xf>
    <xf numFmtId="170" fontId="37" fillId="16" borderId="0" xfId="0" applyNumberFormat="1" applyFont="1" applyFill="1" applyAlignment="1">
      <alignment horizontal="center" vertical="center"/>
    </xf>
    <xf numFmtId="170" fontId="8" fillId="2" borderId="0" xfId="0" applyNumberFormat="1" applyFont="1" applyFill="1" applyAlignment="1">
      <alignment horizontal="center" vertical="center"/>
    </xf>
    <xf numFmtId="170" fontId="0" fillId="15" borderId="0" xfId="0" applyNumberFormat="1" applyFill="1" applyAlignment="1">
      <alignment horizontal="center" vertical="center"/>
    </xf>
    <xf numFmtId="170" fontId="0" fillId="11" borderId="0" xfId="0" applyNumberFormat="1" applyFill="1" applyAlignment="1">
      <alignment horizontal="center" vertical="center"/>
    </xf>
    <xf numFmtId="170" fontId="0" fillId="31" borderId="0" xfId="0" applyNumberForma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9" fontId="8" fillId="2" borderId="0" xfId="0" applyNumberFormat="1" applyFont="1" applyFill="1" applyAlignment="1">
      <alignment horizontal="center" vertical="center"/>
    </xf>
    <xf numFmtId="9" fontId="37" fillId="16" borderId="0" xfId="0" applyNumberFormat="1" applyFont="1" applyFill="1" applyAlignment="1">
      <alignment horizontal="center" vertical="center"/>
    </xf>
    <xf numFmtId="14" fontId="37" fillId="16" borderId="1" xfId="0" applyNumberFormat="1" applyFont="1" applyFill="1" applyBorder="1" applyAlignment="1">
      <alignment horizontal="center" vertical="center"/>
    </xf>
    <xf numFmtId="186" fontId="37" fillId="16" borderId="1" xfId="0" applyNumberFormat="1" applyFont="1" applyFill="1" applyBorder="1" applyAlignment="1">
      <alignment horizontal="right" vertical="center"/>
    </xf>
    <xf numFmtId="197" fontId="14" fillId="4" borderId="1" xfId="0" applyNumberFormat="1" applyFont="1" applyFill="1" applyBorder="1" applyAlignment="1">
      <alignment horizontal="center" vertical="center"/>
    </xf>
    <xf numFmtId="0" fontId="85" fillId="4" borderId="1" xfId="0" applyFont="1" applyFill="1" applyBorder="1" applyAlignment="1">
      <alignment horizontal="left" vertical="center"/>
    </xf>
    <xf numFmtId="0" fontId="86" fillId="16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4" fontId="14" fillId="4" borderId="1" xfId="0" applyNumberFormat="1" applyFont="1" applyFill="1" applyBorder="1" applyAlignment="1">
      <alignment horizontal="center" vertical="center"/>
    </xf>
    <xf numFmtId="187" fontId="87" fillId="4" borderId="1" xfId="0" applyNumberFormat="1" applyFont="1" applyFill="1" applyBorder="1" applyAlignment="1">
      <alignment horizontal="right" vertical="center"/>
    </xf>
    <xf numFmtId="187" fontId="10" fillId="4" borderId="1" xfId="0" applyNumberFormat="1" applyFont="1" applyFill="1" applyBorder="1" applyAlignment="1">
      <alignment horizontal="right" vertical="center"/>
    </xf>
    <xf numFmtId="0" fontId="1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10" fillId="5" borderId="1" xfId="0" applyNumberFormat="1" applyFont="1" applyFill="1" applyBorder="1" applyAlignment="1">
      <alignment horizontal="center" vertical="center"/>
    </xf>
    <xf numFmtId="187" fontId="66" fillId="32" borderId="1" xfId="0" applyNumberFormat="1" applyFont="1" applyFill="1" applyBorder="1" applyAlignment="1">
      <alignment horizontal="right" vertical="center"/>
    </xf>
    <xf numFmtId="187" fontId="37" fillId="16" borderId="1" xfId="0" applyNumberFormat="1" applyFont="1" applyFill="1" applyBorder="1" applyAlignment="1">
      <alignment horizontal="right" vertical="center"/>
    </xf>
    <xf numFmtId="187" fontId="7" fillId="5" borderId="1" xfId="0" applyNumberFormat="1" applyFont="1" applyFill="1" applyBorder="1" applyAlignment="1">
      <alignment horizontal="right" vertical="center"/>
    </xf>
    <xf numFmtId="187" fontId="10" fillId="5" borderId="1" xfId="0" applyNumberFormat="1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10" fillId="4" borderId="1" xfId="0" applyNumberFormat="1" applyFont="1" applyFill="1" applyBorder="1" applyAlignment="1">
      <alignment horizontal="center" vertical="center"/>
    </xf>
    <xf numFmtId="187" fontId="7" fillId="4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87" fontId="11" fillId="2" borderId="1" xfId="0" applyNumberFormat="1" applyFont="1" applyFill="1" applyBorder="1" applyAlignment="1">
      <alignment horizontal="right" vertical="center"/>
    </xf>
    <xf numFmtId="10" fontId="76" fillId="33" borderId="1" xfId="0" applyNumberFormat="1" applyFont="1" applyFill="1" applyBorder="1" applyAlignment="1">
      <alignment horizontal="right" vertical="center"/>
    </xf>
    <xf numFmtId="0" fontId="3" fillId="33" borderId="1" xfId="0" applyFont="1" applyFill="1" applyBorder="1" applyAlignment="1">
      <alignment horizontal="left" vertical="center"/>
    </xf>
    <xf numFmtId="10" fontId="3" fillId="5" borderId="1" xfId="0" applyNumberFormat="1" applyFont="1" applyFill="1" applyBorder="1" applyAlignment="1">
      <alignment horizontal="right" vertical="center"/>
    </xf>
    <xf numFmtId="198" fontId="3" fillId="4" borderId="1" xfId="0" applyNumberFormat="1" applyFont="1" applyFill="1" applyBorder="1" applyAlignment="1">
      <alignment horizontal="right" vertical="center"/>
    </xf>
    <xf numFmtId="169" fontId="3" fillId="5" borderId="1" xfId="0" applyNumberFormat="1" applyFont="1" applyFill="1" applyBorder="1" applyAlignment="1">
      <alignment horizontal="right" vertical="center"/>
    </xf>
    <xf numFmtId="187" fontId="3" fillId="4" borderId="1" xfId="0" applyNumberFormat="1" applyFont="1" applyFill="1" applyBorder="1" applyAlignment="1">
      <alignment horizontal="right" vertical="center"/>
    </xf>
    <xf numFmtId="0" fontId="15" fillId="5" borderId="1" xfId="0" applyFont="1" applyFill="1" applyBorder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164" fontId="3" fillId="7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center" vertical="center"/>
    </xf>
    <xf numFmtId="165" fontId="3" fillId="7" borderId="0" xfId="0" applyNumberFormat="1" applyFont="1" applyFill="1" applyAlignment="1">
      <alignment horizontal="right" vertical="center"/>
    </xf>
    <xf numFmtId="0" fontId="78" fillId="16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/>
    </xf>
    <xf numFmtId="187" fontId="3" fillId="5" borderId="1" xfId="0" applyNumberFormat="1" applyFont="1" applyFill="1" applyBorder="1" applyAlignment="1">
      <alignment horizontal="right" vertical="center"/>
    </xf>
    <xf numFmtId="165" fontId="5" fillId="5" borderId="0" xfId="0" applyNumberFormat="1" applyFont="1" applyFill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187" fontId="15" fillId="5" borderId="1" xfId="0" applyNumberFormat="1" applyFont="1" applyFill="1" applyBorder="1" applyAlignment="1">
      <alignment horizontal="right" vertical="center"/>
    </xf>
    <xf numFmtId="0" fontId="15" fillId="8" borderId="1" xfId="0" applyFont="1" applyFill="1" applyBorder="1" applyAlignment="1">
      <alignment horizontal="left" vertical="center"/>
    </xf>
    <xf numFmtId="187" fontId="15" fillId="8" borderId="1" xfId="0" applyNumberFormat="1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left" vertical="center"/>
    </xf>
    <xf numFmtId="187" fontId="11" fillId="9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187" fontId="11" fillId="6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left" vertical="center"/>
    </xf>
    <xf numFmtId="187" fontId="11" fillId="13" borderId="1" xfId="0" applyNumberFormat="1" applyFont="1" applyFill="1" applyBorder="1" applyAlignment="1">
      <alignment horizontal="right" vertical="center"/>
    </xf>
    <xf numFmtId="0" fontId="3" fillId="1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187" fontId="15" fillId="4" borderId="1" xfId="0" applyNumberFormat="1" applyFont="1" applyFill="1" applyBorder="1" applyAlignment="1">
      <alignment horizontal="right" vertical="center"/>
    </xf>
    <xf numFmtId="199" fontId="0" fillId="0" borderId="0" xfId="0" applyNumberFormat="1"/>
    <xf numFmtId="200" fontId="0" fillId="0" borderId="0" xfId="0" applyNumberFormat="1"/>
    <xf numFmtId="201" fontId="0" fillId="0" borderId="0" xfId="0" applyNumberFormat="1"/>
    <xf numFmtId="202" fontId="0" fillId="0" borderId="0" xfId="0" applyNumberFormat="1"/>
    <xf numFmtId="199" fontId="28" fillId="0" borderId="0" xfId="0" applyNumberFormat="1" applyFont="1"/>
    <xf numFmtId="203" fontId="28" fillId="0" borderId="0" xfId="0" applyNumberFormat="1" applyFont="1"/>
    <xf numFmtId="199" fontId="68" fillId="0" borderId="1" xfId="0" applyNumberFormat="1" applyFont="1" applyBorder="1" applyAlignment="1">
      <alignment horizontal="right" vertical="center"/>
    </xf>
    <xf numFmtId="0" fontId="88" fillId="34" borderId="0" xfId="0" applyFont="1" applyFill="1" applyAlignment="1">
      <alignment vertical="center"/>
    </xf>
    <xf numFmtId="0" fontId="88" fillId="34" borderId="0" xfId="0" applyFont="1" applyFill="1"/>
    <xf numFmtId="0" fontId="89" fillId="35" borderId="67" xfId="0" applyFont="1" applyFill="1" applyBorder="1" applyAlignment="1">
      <alignment horizontal="left" vertical="center" indent="1"/>
    </xf>
    <xf numFmtId="0" fontId="89" fillId="35" borderId="67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horizontal="left" vertical="center" indent="1"/>
    </xf>
    <xf numFmtId="0" fontId="16" fillId="10" borderId="68" xfId="0" applyFont="1" applyFill="1" applyBorder="1" applyAlignment="1">
      <alignment vertical="center"/>
    </xf>
    <xf numFmtId="0" fontId="0" fillId="0" borderId="68" xfId="0" applyBorder="1"/>
    <xf numFmtId="0" fontId="3" fillId="5" borderId="68" xfId="0" applyFont="1" applyFill="1" applyBorder="1" applyAlignment="1">
      <alignment horizontal="left" vertical="center" indent="1"/>
    </xf>
    <xf numFmtId="0" fontId="90" fillId="4" borderId="68" xfId="0" applyFont="1" applyFill="1" applyBorder="1" applyAlignment="1">
      <alignment horizontal="left" vertical="center" indent="2"/>
    </xf>
    <xf numFmtId="0" fontId="92" fillId="0" borderId="68" xfId="0" applyFont="1" applyBorder="1"/>
    <xf numFmtId="0" fontId="3" fillId="5" borderId="68" xfId="0" applyFont="1" applyFill="1" applyBorder="1" applyAlignment="1">
      <alignment horizontal="left" vertical="center" indent="2"/>
    </xf>
    <xf numFmtId="0" fontId="3" fillId="4" borderId="68" xfId="0" applyFont="1" applyFill="1" applyBorder="1" applyAlignment="1">
      <alignment horizontal="left" vertical="center" indent="2"/>
    </xf>
    <xf numFmtId="0" fontId="3" fillId="5" borderId="69" xfId="0" applyFont="1" applyFill="1" applyBorder="1" applyAlignment="1">
      <alignment horizontal="left" vertical="center" indent="2"/>
    </xf>
    <xf numFmtId="0" fontId="16" fillId="10" borderId="69" xfId="0" applyFont="1" applyFill="1" applyBorder="1" applyAlignment="1">
      <alignment vertical="center"/>
    </xf>
    <xf numFmtId="0" fontId="0" fillId="0" borderId="69" xfId="0" applyBorder="1"/>
    <xf numFmtId="170" fontId="16" fillId="10" borderId="68" xfId="0" applyNumberFormat="1" applyFont="1" applyFill="1" applyBorder="1" applyAlignment="1">
      <alignment vertical="center"/>
    </xf>
    <xf numFmtId="170" fontId="16" fillId="10" borderId="68" xfId="0" applyNumberFormat="1" applyFont="1" applyFill="1" applyBorder="1" applyAlignment="1">
      <alignment horizontal="left" vertical="center"/>
    </xf>
    <xf numFmtId="166" fontId="16" fillId="10" borderId="68" xfId="0" applyNumberFormat="1" applyFont="1" applyFill="1" applyBorder="1" applyAlignment="1">
      <alignment vertical="center"/>
    </xf>
    <xf numFmtId="0" fontId="3" fillId="5" borderId="69" xfId="0" applyFont="1" applyFill="1" applyBorder="1" applyAlignment="1">
      <alignment horizontal="left" vertical="center" indent="1"/>
    </xf>
    <xf numFmtId="170" fontId="16" fillId="10" borderId="69" xfId="0" applyNumberFormat="1" applyFont="1" applyFill="1" applyBorder="1" applyAlignment="1">
      <alignment vertical="center"/>
    </xf>
    <xf numFmtId="0" fontId="3" fillId="4" borderId="69" xfId="0" applyFont="1" applyFill="1" applyBorder="1" applyAlignment="1">
      <alignment horizontal="left" vertical="center" indent="1"/>
    </xf>
    <xf numFmtId="0" fontId="5" fillId="4" borderId="0" xfId="0" applyFont="1" applyFill="1" applyAlignment="1">
      <alignment horizontal="righ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3" fillId="4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left" vertical="center" indent="1"/>
    </xf>
    <xf numFmtId="0" fontId="22" fillId="2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left" vertical="center" indent="1"/>
    </xf>
    <xf numFmtId="0" fontId="11" fillId="6" borderId="0" xfId="0" applyFont="1" applyFill="1" applyAlignment="1">
      <alignment horizontal="left" vertical="center" indent="1"/>
    </xf>
    <xf numFmtId="0" fontId="11" fillId="12" borderId="0" xfId="0" applyFont="1" applyFill="1" applyAlignment="1">
      <alignment horizontal="left" vertical="center" indent="1"/>
    </xf>
    <xf numFmtId="0" fontId="17" fillId="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left" vertical="center" indent="1"/>
    </xf>
    <xf numFmtId="0" fontId="4" fillId="9" borderId="0" xfId="0" applyFont="1" applyFill="1" applyAlignment="1">
      <alignment horizontal="left" vertical="center" indent="1"/>
    </xf>
    <xf numFmtId="0" fontId="54" fillId="17" borderId="0" xfId="0" applyFont="1" applyFill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60" fillId="2" borderId="0" xfId="0" applyFont="1" applyFill="1" applyAlignment="1">
      <alignment horizontal="left" vertical="center"/>
    </xf>
    <xf numFmtId="0" fontId="52" fillId="2" borderId="0" xfId="0" applyFont="1" applyFill="1" applyAlignment="1">
      <alignment horizontal="left" vertical="center"/>
    </xf>
    <xf numFmtId="0" fontId="54" fillId="18" borderId="0" xfId="0" applyFont="1" applyFill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4" fillId="12" borderId="0" xfId="0" applyFont="1" applyFill="1" applyAlignment="1">
      <alignment horizontal="left" vertical="center" indent="1"/>
    </xf>
    <xf numFmtId="0" fontId="65" fillId="23" borderId="0" xfId="0" applyFont="1" applyFill="1" applyAlignment="1">
      <alignment horizontal="left" vertical="center" indent="1"/>
    </xf>
    <xf numFmtId="0" fontId="11" fillId="6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left" vertical="center" indent="2"/>
    </xf>
    <xf numFmtId="0" fontId="64" fillId="8" borderId="0" xfId="0" applyFont="1" applyFill="1" applyAlignment="1">
      <alignment horizontal="left" vertical="center" indent="1"/>
    </xf>
    <xf numFmtId="0" fontId="11" fillId="9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left" vertical="center" indent="1"/>
    </xf>
    <xf numFmtId="0" fontId="31" fillId="5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/>
    </xf>
    <xf numFmtId="0" fontId="22" fillId="25" borderId="1" xfId="0" applyFont="1" applyFill="1" applyBorder="1" applyAlignment="1">
      <alignment horizontal="center" vertical="center"/>
    </xf>
    <xf numFmtId="0" fontId="0" fillId="0" borderId="62" xfId="0" applyBorder="1"/>
    <xf numFmtId="0" fontId="0" fillId="0" borderId="10" xfId="0" applyBorder="1"/>
    <xf numFmtId="0" fontId="4" fillId="2" borderId="0" xfId="0" applyFont="1" applyFill="1" applyAlignment="1">
      <alignment horizontal="left" vertical="center"/>
    </xf>
    <xf numFmtId="0" fontId="69" fillId="26" borderId="4" xfId="0" applyFont="1" applyFill="1" applyBorder="1" applyAlignment="1">
      <alignment horizontal="center" vertical="center" wrapText="1"/>
    </xf>
    <xf numFmtId="0" fontId="67" fillId="24" borderId="0" xfId="0" applyFont="1" applyFill="1" applyAlignment="1">
      <alignment horizontal="left" vertical="center"/>
    </xf>
    <xf numFmtId="0" fontId="4" fillId="24" borderId="5" xfId="0" applyFont="1" applyFill="1" applyBorder="1" applyAlignment="1">
      <alignment horizontal="left" vertical="center" indent="1"/>
    </xf>
    <xf numFmtId="0" fontId="0" fillId="0" borderId="65" xfId="0" applyBorder="1"/>
    <xf numFmtId="0" fontId="0" fillId="0" borderId="66" xfId="0" applyBorder="1"/>
    <xf numFmtId="0" fontId="8" fillId="2" borderId="10" xfId="0" applyFont="1" applyFill="1" applyBorder="1" applyAlignment="1">
      <alignment horizontal="center" vertical="center" wrapText="1"/>
    </xf>
    <xf numFmtId="0" fontId="72" fillId="22" borderId="24" xfId="0" applyFont="1" applyFill="1" applyBorder="1" applyAlignment="1">
      <alignment horizontal="left" vertical="center" indent="1"/>
    </xf>
    <xf numFmtId="0" fontId="0" fillId="0" borderId="31" xfId="0" applyBorder="1"/>
    <xf numFmtId="0" fontId="0" fillId="0" borderId="27" xfId="0" applyBorder="1"/>
    <xf numFmtId="0" fontId="72" fillId="22" borderId="14" xfId="0" applyFont="1" applyFill="1" applyBorder="1" applyAlignment="1">
      <alignment horizontal="left" vertical="center" indent="1"/>
    </xf>
    <xf numFmtId="0" fontId="0" fillId="0" borderId="63" xfId="0" applyBorder="1"/>
    <xf numFmtId="0" fontId="0" fillId="0" borderId="64" xfId="0" applyBorder="1"/>
    <xf numFmtId="0" fontId="3" fillId="5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15" fillId="7" borderId="0" xfId="0" applyFont="1" applyFill="1" applyAlignment="1">
      <alignment horizontal="left" vertical="center" indent="1"/>
    </xf>
    <xf numFmtId="0" fontId="13" fillId="5" borderId="0" xfId="0" applyFont="1" applyFill="1" applyAlignment="1">
      <alignment horizontal="left" vertical="center" indent="1"/>
    </xf>
    <xf numFmtId="0" fontId="13" fillId="0" borderId="0" xfId="0" applyFont="1"/>
    <xf numFmtId="0" fontId="78" fillId="16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 indent="2"/>
    </xf>
    <xf numFmtId="0" fontId="20" fillId="16" borderId="0" xfId="0" applyFont="1" applyFill="1" applyAlignment="1">
      <alignment horizontal="left" vertical="center" indent="1"/>
    </xf>
    <xf numFmtId="0" fontId="72" fillId="7" borderId="1" xfId="0" applyFont="1" applyFill="1" applyBorder="1" applyAlignment="1">
      <alignment horizontal="left" vertical="center" indent="1"/>
    </xf>
    <xf numFmtId="0" fontId="80" fillId="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15" fillId="33" borderId="1" xfId="0" applyFont="1" applyFill="1" applyBorder="1" applyAlignment="1">
      <alignment horizontal="left" vertical="center"/>
    </xf>
    <xf numFmtId="0" fontId="78" fillId="32" borderId="1" xfId="0" applyFont="1" applyFill="1" applyBorder="1" applyAlignment="1">
      <alignment horizontal="center" vertical="center"/>
    </xf>
    <xf numFmtId="204" fontId="91" fillId="10" borderId="68" xfId="0" applyNumberFormat="1" applyFont="1" applyFill="1" applyBorder="1" applyAlignment="1">
      <alignment vertical="center"/>
    </xf>
    <xf numFmtId="205" fontId="17" fillId="2" borderId="0" xfId="0" applyNumberFormat="1" applyFont="1" applyFill="1" applyAlignment="1">
      <alignment horizontal="center" vertical="center"/>
    </xf>
    <xf numFmtId="205" fontId="0" fillId="0" borderId="0" xfId="0" applyNumberFormat="1"/>
    <xf numFmtId="205" fontId="13" fillId="4" borderId="0" xfId="0" applyNumberFormat="1" applyFont="1" applyFill="1" applyAlignment="1">
      <alignment horizontal="left" vertical="center" indent="1"/>
    </xf>
    <xf numFmtId="205" fontId="0" fillId="0" borderId="0" xfId="0" applyNumberFormat="1"/>
    <xf numFmtId="205" fontId="4" fillId="6" borderId="0" xfId="0" applyNumberFormat="1" applyFont="1" applyFill="1" applyAlignment="1">
      <alignment vertical="center"/>
    </xf>
    <xf numFmtId="205" fontId="8" fillId="2" borderId="0" xfId="0" applyNumberFormat="1" applyFont="1" applyFill="1" applyAlignment="1">
      <alignment horizontal="center" vertical="center" wrapText="1"/>
    </xf>
    <xf numFmtId="205" fontId="3" fillId="0" borderId="0" xfId="0" applyNumberFormat="1" applyFont="1" applyAlignment="1">
      <alignment horizontal="left" vertical="center" indent="1"/>
    </xf>
    <xf numFmtId="206" fontId="42" fillId="10" borderId="0" xfId="0" applyNumberFormat="1" applyFont="1" applyFill="1" applyAlignment="1">
      <alignment horizontal="center" vertical="center"/>
    </xf>
    <xf numFmtId="207" fontId="37" fillId="7" borderId="0" xfId="0" applyNumberFormat="1" applyFont="1" applyFill="1" applyAlignment="1">
      <alignment horizontal="center" vertical="center"/>
    </xf>
    <xf numFmtId="206" fontId="3" fillId="8" borderId="0" xfId="0" applyNumberFormat="1" applyFont="1" applyFill="1" applyAlignment="1">
      <alignment horizontal="right" vertical="center"/>
    </xf>
    <xf numFmtId="205" fontId="8" fillId="2" borderId="0" xfId="0" applyNumberFormat="1" applyFont="1" applyFill="1" applyAlignment="1">
      <alignment horizontal="center" vertical="center"/>
    </xf>
    <xf numFmtId="205" fontId="8" fillId="3" borderId="0" xfId="0" applyNumberFormat="1" applyFont="1" applyFill="1" applyAlignment="1">
      <alignment horizontal="center" vertical="center" wrapText="1"/>
    </xf>
    <xf numFmtId="205" fontId="8" fillId="6" borderId="0" xfId="0" applyNumberFormat="1" applyFont="1" applyFill="1" applyAlignment="1">
      <alignment horizontal="center" vertical="center" wrapText="1"/>
    </xf>
    <xf numFmtId="205" fontId="4" fillId="2" borderId="0" xfId="0" applyNumberFormat="1" applyFont="1" applyFill="1" applyAlignment="1">
      <alignment horizontal="left" vertical="center" indent="1"/>
    </xf>
    <xf numFmtId="205" fontId="3" fillId="4" borderId="0" xfId="0" applyNumberFormat="1" applyFont="1" applyFill="1" applyAlignment="1">
      <alignment horizontal="left" vertical="center" indent="2"/>
    </xf>
    <xf numFmtId="208" fontId="5" fillId="5" borderId="0" xfId="0" applyNumberFormat="1" applyFont="1" applyFill="1" applyAlignment="1">
      <alignment horizontal="center"/>
    </xf>
    <xf numFmtId="208" fontId="3" fillId="5" borderId="0" xfId="0" applyNumberFormat="1" applyFont="1" applyFill="1" applyAlignment="1">
      <alignment horizontal="center"/>
    </xf>
    <xf numFmtId="205" fontId="4" fillId="2" borderId="0" xfId="0" applyNumberFormat="1" applyFont="1" applyFill="1" applyAlignment="1">
      <alignment horizontal="left" vertical="center" indent="2"/>
    </xf>
    <xf numFmtId="209" fontId="0" fillId="0" borderId="0" xfId="0" applyNumberFormat="1" applyAlignment="1">
      <alignment horizontal="center"/>
    </xf>
    <xf numFmtId="210" fontId="5" fillId="4" borderId="0" xfId="0" applyNumberFormat="1" applyFont="1" applyFill="1" applyAlignment="1">
      <alignment horizontal="center"/>
    </xf>
    <xf numFmtId="210" fontId="5" fillId="8" borderId="0" xfId="0" applyNumberFormat="1" applyFont="1" applyFill="1" applyAlignment="1">
      <alignment horizontal="center"/>
    </xf>
    <xf numFmtId="210" fontId="3" fillId="4" borderId="0" xfId="0" applyNumberFormat="1" applyFont="1" applyFill="1" applyAlignment="1">
      <alignment horizontal="center"/>
    </xf>
    <xf numFmtId="205" fontId="0" fillId="0" borderId="0" xfId="0" applyNumberFormat="1" applyAlignment="1">
      <alignment horizontal="center"/>
    </xf>
    <xf numFmtId="208" fontId="5" fillId="4" borderId="0" xfId="0" applyNumberFormat="1" applyFont="1" applyFill="1" applyAlignment="1">
      <alignment horizontal="center"/>
    </xf>
    <xf numFmtId="208" fontId="5" fillId="8" borderId="0" xfId="0" applyNumberFormat="1" applyFont="1" applyFill="1" applyAlignment="1">
      <alignment horizontal="center"/>
    </xf>
    <xf numFmtId="208" fontId="3" fillId="4" borderId="0" xfId="0" applyNumberFormat="1" applyFont="1" applyFill="1" applyAlignment="1">
      <alignment horizontal="center"/>
    </xf>
    <xf numFmtId="208" fontId="0" fillId="0" borderId="0" xfId="0" applyNumberFormat="1" applyAlignment="1">
      <alignment horizontal="center"/>
    </xf>
    <xf numFmtId="206" fontId="0" fillId="0" borderId="0" xfId="0" applyNumberFormat="1"/>
    <xf numFmtId="205" fontId="9" fillId="16" borderId="0" xfId="0" applyNumberFormat="1" applyFont="1" applyFill="1" applyAlignment="1">
      <alignment horizontal="left" vertical="center" indent="2"/>
    </xf>
    <xf numFmtId="206" fontId="43" fillId="16" borderId="0" xfId="0" applyNumberFormat="1" applyFont="1" applyFill="1" applyAlignment="1">
      <alignment horizontal="center"/>
    </xf>
    <xf numFmtId="206" fontId="44" fillId="16" borderId="0" xfId="0" applyNumberFormat="1" applyFont="1" applyFill="1" applyAlignment="1">
      <alignment horizontal="center"/>
    </xf>
    <xf numFmtId="205" fontId="15" fillId="5" borderId="0" xfId="0" applyNumberFormat="1" applyFont="1" applyFill="1" applyAlignment="1">
      <alignment horizontal="left" vertical="center" indent="2"/>
    </xf>
    <xf numFmtId="205" fontId="13" fillId="16" borderId="0" xfId="0" applyNumberFormat="1" applyFont="1" applyFill="1" applyAlignment="1">
      <alignment horizontal="left" vertical="center" indent="2"/>
    </xf>
    <xf numFmtId="206" fontId="19" fillId="16" borderId="0" xfId="0" applyNumberFormat="1" applyFont="1" applyFill="1" applyAlignment="1">
      <alignment horizontal="center"/>
    </xf>
    <xf numFmtId="206" fontId="45" fillId="16" borderId="0" xfId="0" applyNumberFormat="1" applyFont="1" applyFill="1" applyAlignment="1">
      <alignment horizontal="center"/>
    </xf>
    <xf numFmtId="205" fontId="3" fillId="5" borderId="0" xfId="0" applyNumberFormat="1" applyFont="1" applyFill="1" applyAlignment="1">
      <alignment horizontal="left" vertical="center" indent="2"/>
    </xf>
    <xf numFmtId="205" fontId="15" fillId="4" borderId="0" xfId="0" applyNumberFormat="1" applyFont="1" applyFill="1" applyAlignment="1">
      <alignment horizontal="left" vertical="center" indent="2"/>
    </xf>
    <xf numFmtId="208" fontId="15" fillId="4" borderId="0" xfId="0" applyNumberFormat="1" applyFont="1" applyFill="1" applyAlignment="1">
      <alignment horizontal="center" vertical="center"/>
    </xf>
    <xf numFmtId="208" fontId="12" fillId="8" borderId="0" xfId="0" applyNumberFormat="1" applyFont="1" applyFill="1" applyAlignment="1">
      <alignment horizontal="center" vertical="center"/>
    </xf>
    <xf numFmtId="208" fontId="3" fillId="4" borderId="0" xfId="0" applyNumberFormat="1" applyFont="1" applyFill="1" applyAlignment="1">
      <alignment horizontal="center" vertical="center"/>
    </xf>
    <xf numFmtId="206" fontId="3" fillId="4" borderId="0" xfId="0" applyNumberFormat="1" applyFont="1" applyFill="1" applyAlignment="1">
      <alignment horizontal="right" vertical="center"/>
    </xf>
    <xf numFmtId="205" fontId="13" fillId="16" borderId="0" xfId="0" applyNumberFormat="1" applyFont="1" applyFill="1" applyAlignment="1">
      <alignment horizontal="left" vertical="center" indent="3"/>
    </xf>
    <xf numFmtId="206" fontId="43" fillId="16" borderId="0" xfId="0" applyNumberFormat="1" applyFont="1" applyFill="1" applyAlignment="1">
      <alignment horizontal="center" vertical="center"/>
    </xf>
    <xf numFmtId="206" fontId="44" fillId="16" borderId="0" xfId="0" applyNumberFormat="1" applyFont="1" applyFill="1" applyAlignment="1">
      <alignment horizontal="center" vertical="center"/>
    </xf>
    <xf numFmtId="206" fontId="13" fillId="16" borderId="0" xfId="0" applyNumberFormat="1" applyFont="1" applyFill="1" applyAlignment="1">
      <alignment horizontal="center" vertical="center"/>
    </xf>
    <xf numFmtId="208" fontId="13" fillId="16" borderId="0" xfId="0" applyNumberFormat="1" applyFont="1" applyFill="1" applyAlignment="1">
      <alignment horizontal="center" vertical="center"/>
    </xf>
    <xf numFmtId="208" fontId="15" fillId="5" borderId="0" xfId="0" applyNumberFormat="1" applyFont="1" applyFill="1" applyAlignment="1">
      <alignment horizontal="center" vertical="center"/>
    </xf>
    <xf numFmtId="211" fontId="13" fillId="16" borderId="0" xfId="0" applyNumberFormat="1" applyFont="1" applyFill="1" applyAlignment="1">
      <alignment horizontal="center" vertical="center"/>
    </xf>
    <xf numFmtId="208" fontId="3" fillId="5" borderId="0" xfId="0" applyNumberFormat="1" applyFont="1" applyFill="1" applyAlignment="1">
      <alignment horizontal="center" vertical="center"/>
    </xf>
    <xf numFmtId="206" fontId="13" fillId="16" borderId="0" xfId="0" applyNumberFormat="1" applyFont="1" applyFill="1" applyAlignment="1">
      <alignment horizontal="right" vertical="center"/>
    </xf>
    <xf numFmtId="208" fontId="5" fillId="8" borderId="0" xfId="0" applyNumberFormat="1" applyFont="1" applyFill="1" applyAlignment="1">
      <alignment horizontal="center" vertical="center"/>
    </xf>
    <xf numFmtId="208" fontId="5" fillId="4" borderId="0" xfId="0" applyNumberFormat="1" applyFont="1" applyFill="1" applyAlignment="1">
      <alignment horizontal="center" vertical="center"/>
    </xf>
    <xf numFmtId="210" fontId="5" fillId="4" borderId="0" xfId="0" applyNumberFormat="1" applyFont="1" applyFill="1" applyAlignment="1">
      <alignment horizontal="center" vertical="center"/>
    </xf>
    <xf numFmtId="210" fontId="5" fillId="8" borderId="0" xfId="0" applyNumberFormat="1" applyFont="1" applyFill="1" applyAlignment="1">
      <alignment horizontal="center" vertical="center"/>
    </xf>
    <xf numFmtId="210" fontId="3" fillId="4" borderId="0" xfId="0" applyNumberFormat="1" applyFont="1" applyFill="1" applyAlignment="1">
      <alignment horizontal="center" vertical="center"/>
    </xf>
    <xf numFmtId="207" fontId="3" fillId="4" borderId="0" xfId="0" applyNumberFormat="1" applyFont="1" applyFill="1" applyAlignment="1">
      <alignment horizontal="right" vertical="center"/>
    </xf>
    <xf numFmtId="205" fontId="15" fillId="4" borderId="0" xfId="0" applyNumberFormat="1" applyFont="1" applyFill="1" applyAlignment="1">
      <alignment horizontal="left" vertical="center" indent="1"/>
    </xf>
    <xf numFmtId="208" fontId="15" fillId="8" borderId="0" xfId="0" applyNumberFormat="1" applyFont="1" applyFill="1" applyAlignment="1">
      <alignment horizontal="center" vertical="center"/>
    </xf>
    <xf numFmtId="206" fontId="15" fillId="7" borderId="0" xfId="0" applyNumberFormat="1" applyFont="1" applyFill="1" applyAlignment="1">
      <alignment horizontal="right" vertical="center"/>
    </xf>
    <xf numFmtId="205" fontId="9" fillId="16" borderId="0" xfId="0" applyNumberFormat="1" applyFont="1" applyFill="1" applyAlignment="1">
      <alignment horizontal="left" vertical="center" indent="1"/>
    </xf>
    <xf numFmtId="205" fontId="15" fillId="5" borderId="0" xfId="0" applyNumberFormat="1" applyFont="1" applyFill="1" applyAlignment="1">
      <alignment horizontal="left" vertical="center" indent="1"/>
    </xf>
    <xf numFmtId="205" fontId="4" fillId="6" borderId="0" xfId="0" applyNumberFormat="1" applyFont="1" applyFill="1" applyAlignment="1">
      <alignment horizontal="left" vertical="center" indent="1"/>
    </xf>
    <xf numFmtId="205" fontId="15" fillId="7" borderId="0" xfId="0" applyNumberFormat="1" applyFont="1" applyFill="1" applyAlignment="1">
      <alignment horizontal="left" vertical="center" indent="1"/>
    </xf>
    <xf numFmtId="210" fontId="15" fillId="7" borderId="0" xfId="0" applyNumberFormat="1" applyFont="1" applyFill="1" applyAlignment="1">
      <alignment horizontal="center" vertical="center"/>
    </xf>
    <xf numFmtId="210" fontId="15" fillId="8" borderId="0" xfId="0" applyNumberFormat="1" applyFont="1" applyFill="1" applyAlignment="1">
      <alignment horizontal="center" vertical="center"/>
    </xf>
    <xf numFmtId="205" fontId="15" fillId="8" borderId="0" xfId="0" applyNumberFormat="1" applyFont="1" applyFill="1" applyAlignment="1">
      <alignment horizontal="left" vertical="center" indent="1"/>
    </xf>
    <xf numFmtId="208" fontId="12" fillId="4" borderId="0" xfId="0" applyNumberFormat="1" applyFont="1" applyFill="1" applyAlignment="1">
      <alignment horizontal="center" vertical="center"/>
    </xf>
    <xf numFmtId="205" fontId="15" fillId="8" borderId="0" xfId="0" applyNumberFormat="1" applyFont="1" applyFill="1" applyAlignment="1">
      <alignment horizontal="left" vertical="center" indent="2"/>
    </xf>
    <xf numFmtId="206" fontId="3" fillId="5" borderId="0" xfId="0" applyNumberFormat="1" applyFont="1" applyFill="1" applyAlignment="1">
      <alignment horizontal="right" vertical="center"/>
    </xf>
    <xf numFmtId="205" fontId="4" fillId="9" borderId="0" xfId="0" applyNumberFormat="1" applyFont="1" applyFill="1" applyAlignment="1">
      <alignment horizontal="left" vertical="center" indent="1"/>
    </xf>
    <xf numFmtId="208" fontId="5" fillId="4" borderId="0" xfId="0" applyNumberFormat="1" applyFont="1" applyFill="1" applyAlignment="1">
      <alignment horizontal="right" vertical="center"/>
    </xf>
    <xf numFmtId="208" fontId="5" fillId="8" borderId="0" xfId="0" applyNumberFormat="1" applyFont="1" applyFill="1" applyAlignment="1">
      <alignment horizontal="right" vertical="center"/>
    </xf>
    <xf numFmtId="208" fontId="3" fillId="4" borderId="0" xfId="0" applyNumberFormat="1" applyFont="1" applyFill="1" applyAlignment="1">
      <alignment horizontal="right" vertical="center"/>
    </xf>
    <xf numFmtId="208" fontId="3" fillId="5" borderId="0" xfId="0" applyNumberFormat="1" applyFont="1" applyFill="1" applyAlignment="1">
      <alignment horizontal="right" vertical="center"/>
    </xf>
    <xf numFmtId="205" fontId="15" fillId="7" borderId="0" xfId="0" applyNumberFormat="1" applyFont="1" applyFill="1" applyAlignment="1">
      <alignment horizontal="left" vertical="center" indent="2"/>
    </xf>
    <xf numFmtId="208" fontId="12" fillId="5" borderId="0" xfId="0" applyNumberFormat="1" applyFont="1" applyFill="1" applyAlignment="1">
      <alignment horizontal="center" vertical="center"/>
    </xf>
    <xf numFmtId="206" fontId="3" fillId="4" borderId="0" xfId="0" applyNumberFormat="1" applyFont="1" applyFill="1" applyAlignment="1">
      <alignment horizontal="center" vertical="center"/>
    </xf>
    <xf numFmtId="205" fontId="15" fillId="15" borderId="0" xfId="0" applyNumberFormat="1" applyFont="1" applyFill="1" applyAlignment="1">
      <alignment horizontal="left" vertical="center" indent="1"/>
    </xf>
    <xf numFmtId="208" fontId="12" fillId="15" borderId="0" xfId="0" applyNumberFormat="1" applyFont="1" applyFill="1" applyAlignment="1">
      <alignment horizontal="center" vertical="center"/>
    </xf>
    <xf numFmtId="208" fontId="15" fillId="15" borderId="0" xfId="0" applyNumberFormat="1" applyFont="1" applyFill="1" applyAlignment="1">
      <alignment horizontal="center" vertical="center"/>
    </xf>
    <xf numFmtId="206" fontId="15" fillId="15" borderId="0" xfId="0" applyNumberFormat="1" applyFont="1" applyFill="1" applyAlignment="1">
      <alignment horizontal="center" vertical="center"/>
    </xf>
    <xf numFmtId="205" fontId="15" fillId="15" borderId="0" xfId="0" applyNumberFormat="1" applyFont="1" applyFill="1" applyAlignment="1">
      <alignment horizontal="left" vertical="center" indent="2"/>
    </xf>
    <xf numFmtId="208" fontId="46" fillId="0" borderId="0" xfId="0" applyNumberFormat="1" applyFont="1" applyAlignment="1">
      <alignment horizontal="center"/>
    </xf>
    <xf numFmtId="205" fontId="11" fillId="12" borderId="0" xfId="0" applyNumberFormat="1" applyFont="1" applyFill="1" applyAlignment="1">
      <alignment horizontal="left" vertical="center" indent="1"/>
    </xf>
    <xf numFmtId="208" fontId="11" fillId="12" borderId="0" xfId="0" applyNumberFormat="1" applyFont="1" applyFill="1" applyAlignment="1">
      <alignment horizontal="center" vertical="center"/>
    </xf>
    <xf numFmtId="206" fontId="11" fillId="12" borderId="0" xfId="0" applyNumberFormat="1" applyFont="1" applyFill="1" applyAlignment="1">
      <alignment horizontal="center" vertical="center"/>
    </xf>
    <xf numFmtId="206" fontId="3" fillId="5" borderId="0" xfId="0" applyNumberFormat="1" applyFont="1" applyFill="1" applyAlignment="1">
      <alignment horizontal="center"/>
    </xf>
    <xf numFmtId="205" fontId="4" fillId="6" borderId="0" xfId="0" applyNumberFormat="1" applyFont="1" applyFill="1" applyAlignment="1">
      <alignment horizontal="left" vertical="center" indent="1"/>
    </xf>
    <xf numFmtId="205" fontId="47" fillId="0" borderId="0" xfId="0" applyNumberFormat="1" applyFont="1" applyAlignment="1">
      <alignment horizontal="left" vertical="center" indent="1"/>
    </xf>
    <xf numFmtId="208" fontId="3" fillId="5" borderId="0" xfId="0" applyNumberFormat="1" applyFont="1" applyFill="1" applyAlignment="1">
      <alignment horizontal="right"/>
    </xf>
    <xf numFmtId="205" fontId="18" fillId="0" borderId="0" xfId="0" applyNumberFormat="1" applyFont="1" applyAlignment="1">
      <alignment horizontal="left" vertical="center" indent="1"/>
    </xf>
    <xf numFmtId="205" fontId="3" fillId="4" borderId="0" xfId="0" applyNumberFormat="1" applyFont="1" applyFill="1" applyAlignment="1">
      <alignment horizontal="left" vertical="center" indent="1"/>
    </xf>
    <xf numFmtId="208" fontId="15" fillId="4" borderId="0" xfId="0" applyNumberFormat="1" applyFont="1" applyFill="1" applyAlignment="1">
      <alignment horizontal="right" vertical="center"/>
    </xf>
    <xf numFmtId="208" fontId="15" fillId="8" borderId="0" xfId="0" applyNumberFormat="1" applyFont="1" applyFill="1" applyAlignment="1">
      <alignment horizontal="right" vertical="center"/>
    </xf>
    <xf numFmtId="206" fontId="15" fillId="8" borderId="0" xfId="0" applyNumberFormat="1" applyFont="1" applyFill="1" applyAlignment="1">
      <alignment horizontal="right" vertical="center"/>
    </xf>
    <xf numFmtId="205" fontId="4" fillId="2" borderId="0" xfId="0" applyNumberFormat="1" applyFont="1" applyFill="1" applyAlignment="1">
      <alignment horizontal="left" vertical="center" indent="1"/>
    </xf>
    <xf numFmtId="208" fontId="4" fillId="2" borderId="0" xfId="0" applyNumberFormat="1" applyFont="1" applyFill="1" applyAlignment="1">
      <alignment horizontal="left" vertical="center"/>
    </xf>
    <xf numFmtId="208" fontId="15" fillId="5" borderId="0" xfId="0" applyNumberFormat="1" applyFont="1" applyFill="1" applyAlignment="1">
      <alignment horizontal="right" vertical="center"/>
    </xf>
    <xf numFmtId="208" fontId="15" fillId="7" borderId="0" xfId="0" applyNumberFormat="1" applyFont="1" applyFill="1" applyAlignment="1">
      <alignment horizontal="right" vertical="center"/>
    </xf>
    <xf numFmtId="208" fontId="16" fillId="10" borderId="0" xfId="0" applyNumberFormat="1" applyFont="1" applyFill="1" applyAlignment="1">
      <alignment horizontal="center" vertical="center"/>
    </xf>
    <xf numFmtId="205" fontId="4" fillId="13" borderId="0" xfId="0" applyNumberFormat="1" applyFont="1" applyFill="1" applyAlignment="1">
      <alignment horizontal="left" vertical="center" indent="1"/>
    </xf>
    <xf numFmtId="212" fontId="0" fillId="0" borderId="0" xfId="0" applyNumberFormat="1" applyAlignment="1">
      <alignment horizontal="center"/>
    </xf>
    <xf numFmtId="206" fontId="5" fillId="4" borderId="0" xfId="0" applyNumberFormat="1" applyFont="1" applyFill="1" applyAlignment="1">
      <alignment horizontal="right" vertical="center"/>
    </xf>
    <xf numFmtId="206" fontId="3" fillId="4" borderId="0" xfId="0" applyNumberFormat="1" applyFont="1" applyFill="1" applyAlignment="1">
      <alignment horizontal="center" vertical="center"/>
    </xf>
    <xf numFmtId="213" fontId="5" fillId="4" borderId="0" xfId="0" applyNumberFormat="1" applyFont="1" applyFill="1" applyAlignment="1">
      <alignment horizontal="right" vertical="center"/>
    </xf>
    <xf numFmtId="213" fontId="3" fillId="4" borderId="0" xfId="0" applyNumberFormat="1" applyFont="1" applyFill="1" applyAlignment="1">
      <alignment horizontal="right" vertical="center"/>
    </xf>
    <xf numFmtId="214" fontId="3" fillId="4" borderId="0" xfId="0" applyNumberFormat="1" applyFont="1" applyFill="1" applyAlignment="1">
      <alignment horizontal="right" vertical="center"/>
    </xf>
    <xf numFmtId="205" fontId="15" fillId="11" borderId="0" xfId="0" applyNumberFormat="1" applyFont="1" applyFill="1" applyAlignment="1">
      <alignment horizontal="left" vertical="center" indent="1"/>
    </xf>
    <xf numFmtId="206" fontId="15" fillId="11" borderId="0" xfId="0" applyNumberFormat="1" applyFont="1" applyFill="1" applyAlignment="1">
      <alignment horizontal="right" vertical="center"/>
    </xf>
    <xf numFmtId="206" fontId="3" fillId="8" borderId="0" xfId="0" applyNumberFormat="1" applyFont="1" applyFill="1" applyAlignment="1">
      <alignment horizontal="right" vertical="center"/>
    </xf>
    <xf numFmtId="215" fontId="3" fillId="4" borderId="0" xfId="0" applyNumberFormat="1" applyFont="1" applyFill="1" applyAlignment="1">
      <alignment horizontal="right" vertical="center"/>
    </xf>
    <xf numFmtId="211" fontId="0" fillId="0" borderId="0" xfId="0" applyNumberFormat="1"/>
    <xf numFmtId="205" fontId="11" fillId="2" borderId="0" xfId="0" applyNumberFormat="1" applyFont="1" applyFill="1" applyAlignment="1">
      <alignment horizontal="left" vertical="center" indent="1"/>
    </xf>
    <xf numFmtId="205" fontId="48" fillId="8" borderId="0" xfId="0" applyNumberFormat="1" applyFont="1" applyFill="1" applyAlignment="1">
      <alignment horizontal="left" vertical="center" indent="2"/>
    </xf>
    <xf numFmtId="215" fontId="48" fillId="8" borderId="0" xfId="0" applyNumberFormat="1" applyFont="1" applyFill="1" applyAlignment="1">
      <alignment horizontal="right" vertical="center"/>
    </xf>
    <xf numFmtId="205" fontId="49" fillId="8" borderId="0" xfId="0" applyNumberFormat="1" applyFont="1" applyFill="1" applyAlignment="1">
      <alignment horizontal="left" vertical="center" indent="3"/>
    </xf>
    <xf numFmtId="215" fontId="50" fillId="8" borderId="0" xfId="0" applyNumberFormat="1" applyFont="1" applyFill="1" applyAlignment="1">
      <alignment horizontal="right" vertical="center"/>
    </xf>
    <xf numFmtId="215" fontId="15" fillId="7" borderId="0" xfId="0" applyNumberFormat="1" applyFont="1" applyFill="1" applyAlignment="1">
      <alignment horizontal="right" vertical="center"/>
    </xf>
    <xf numFmtId="205" fontId="51" fillId="7" borderId="0" xfId="0" applyNumberFormat="1" applyFont="1" applyFill="1" applyAlignment="1">
      <alignment horizontal="left" vertical="center" indent="3"/>
    </xf>
    <xf numFmtId="215" fontId="3" fillId="7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C00000"/>
      <rgbColor rgb="FF008000"/>
      <rgbColor rgb="FF000080"/>
      <rgbColor rgb="FF7F6000"/>
      <rgbColor rgb="FF800080"/>
      <rgbColor rgb="FF1F7A6E"/>
      <rgbColor rgb="FFBFBFBF"/>
      <rgbColor rgb="FF808080"/>
      <rgbColor rgb="FFD9E1F2"/>
      <rgbColor rgb="FF7030A0"/>
      <rgbColor rgb="FFFFFFCC"/>
      <rgbColor rgb="FFDDEBF7"/>
      <rgbColor rgb="FF660066"/>
      <rgbColor rgb="FFEBF0F7"/>
      <rgbColor rgb="FF2E75B6"/>
      <rgbColor rgb="FFBDD7EE"/>
      <rgbColor rgb="FF000080"/>
      <rgbColor rgb="FFFF00FF"/>
      <rgbColor rgb="FFE2EFDA"/>
      <rgbColor rgb="FF00FFFF"/>
      <rgbColor rgb="FF800080"/>
      <rgbColor rgb="FF800000"/>
      <rgbColor rgb="FF006100"/>
      <rgbColor rgb="FF0000FF"/>
      <rgbColor rgb="FF00CCFF"/>
      <rgbColor rgb="FFEBF3FB"/>
      <rgbColor rgb="FFC6EBD8"/>
      <rgbColor rgb="FFFFFF99"/>
      <rgbColor rgb="FFD6DCE4"/>
      <rgbColor rgb="FFFCE4D6"/>
      <rgbColor rgb="FFD9D9D9"/>
      <rgbColor rgb="FFEAD1DC"/>
      <rgbColor rgb="FF4472C4"/>
      <rgbColor rgb="FFF2F2F2"/>
      <rgbColor rgb="FF92D050"/>
      <rgbColor rgb="FFDCE6F1"/>
      <rgbColor rgb="FFC9A227"/>
      <rgbColor rgb="FFFF6600"/>
      <rgbColor rgb="FF595959"/>
      <rgbColor rgb="FFD6E4F0"/>
      <rgbColor rgb="FF17375E"/>
      <rgbColor rgb="FF00B050"/>
      <rgbColor rgb="FF0F2244"/>
      <rgbColor rgb="FF375623"/>
      <rgbColor rgb="FF993300"/>
      <rgbColor rgb="FF993366"/>
      <rgbColor rgb="FF2F5496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71D95AC-6629-49F8-98C3-7A4F9AB9CACD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13049a07-c977-49f6-a0cb-474b92f32da9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showGridLines="0" topLeftCell="A11" zoomScale="115" zoomScaleNormal="115" workbookViewId="0">
      <selection activeCell="A33" sqref="A33"/>
    </sheetView>
  </sheetViews>
  <sheetFormatPr defaultColWidth="8.85546875" defaultRowHeight="15" x14ac:dyDescent="0.25"/>
  <cols>
    <col min="1" max="1" width="30" customWidth="1"/>
    <col min="2" max="5" width="14" customWidth="1"/>
    <col min="6" max="6" width="30" customWidth="1"/>
  </cols>
  <sheetData>
    <row r="1" spans="1:6" ht="39.75" customHeight="1" x14ac:dyDescent="0.25">
      <c r="A1" s="802" t="s">
        <v>58</v>
      </c>
      <c r="B1" s="798"/>
      <c r="C1" s="798"/>
      <c r="D1" s="798"/>
      <c r="E1" s="798"/>
      <c r="F1" s="798"/>
    </row>
    <row r="2" spans="1:6" ht="19.5" customHeight="1" x14ac:dyDescent="0.25">
      <c r="A2" s="799" t="s">
        <v>59</v>
      </c>
      <c r="B2" s="798"/>
      <c r="C2" s="798"/>
      <c r="D2" s="798"/>
      <c r="E2" s="798"/>
      <c r="F2" s="798"/>
    </row>
    <row r="3" spans="1:6" ht="15" customHeight="1" x14ac:dyDescent="0.25">
      <c r="A3" s="1" t="s">
        <v>60</v>
      </c>
    </row>
    <row r="4" spans="1:6" ht="24" customHeight="1" x14ac:dyDescent="0.25">
      <c r="A4" s="801" t="s">
        <v>61</v>
      </c>
      <c r="B4" s="798"/>
      <c r="C4" s="798"/>
      <c r="D4" s="798"/>
      <c r="E4" s="798"/>
      <c r="F4" s="798"/>
    </row>
    <row r="5" spans="1:6" ht="18" customHeight="1" x14ac:dyDescent="0.25">
      <c r="A5" s="1" t="s">
        <v>4</v>
      </c>
      <c r="B5" s="3">
        <f>'Prop Info'!B4</f>
        <v>0</v>
      </c>
    </row>
    <row r="6" spans="1:6" ht="18" customHeight="1" x14ac:dyDescent="0.25">
      <c r="A6" s="4" t="s">
        <v>62</v>
      </c>
      <c r="B6" s="5">
        <f>'Prop Info'!B5</f>
        <v>0</v>
      </c>
    </row>
    <row r="7" spans="1:6" ht="18" customHeight="1" x14ac:dyDescent="0.25">
      <c r="A7" s="1" t="s">
        <v>9</v>
      </c>
      <c r="B7" s="3">
        <f>'Prop Info'!B9</f>
        <v>0</v>
      </c>
    </row>
    <row r="8" spans="1:6" ht="18" customHeight="1" x14ac:dyDescent="0.25">
      <c r="A8" s="6" t="s">
        <v>63</v>
      </c>
      <c r="B8" s="7">
        <f>Scenarios!F8</f>
        <v>0</v>
      </c>
      <c r="C8" s="8">
        <f>IFERROR('Prop Info'!$B$15,0)</f>
        <v>0</v>
      </c>
    </row>
    <row r="9" spans="1:6" ht="18" customHeight="1" x14ac:dyDescent="0.25">
      <c r="A9" s="1" t="s">
        <v>11</v>
      </c>
      <c r="B9" s="3">
        <f>'Prop Info'!B11</f>
        <v>0</v>
      </c>
    </row>
    <row r="10" spans="1:6" ht="18" customHeight="1" x14ac:dyDescent="0.25">
      <c r="A10" s="4" t="s">
        <v>64</v>
      </c>
      <c r="B10" s="5">
        <f>'Prop Info'!B13</f>
        <v>0</v>
      </c>
    </row>
    <row r="11" spans="1:6" ht="18" customHeight="1" x14ac:dyDescent="0.25">
      <c r="A11" s="1" t="s">
        <v>65</v>
      </c>
      <c r="B11" s="797" t="str">
        <f>Scenarios!B2</f>
        <v>Actuals (T-12)</v>
      </c>
      <c r="C11" s="798"/>
      <c r="D11" s="798"/>
    </row>
    <row r="12" spans="1:6" ht="18" customHeight="1" x14ac:dyDescent="0.25">
      <c r="A12" s="10" t="s">
        <v>66</v>
      </c>
      <c r="B12" s="11">
        <f>IFERROR('Prop Info'!$B$15,0)</f>
        <v>0</v>
      </c>
      <c r="C12" s="12" t="s">
        <v>67</v>
      </c>
      <c r="D12" s="11">
        <f>IFERROR(Scenarios!F51,0)</f>
        <v>0</v>
      </c>
      <c r="E12" s="13">
        <f>IFERROR(Scenarios!F51/'Prop Info'!$B$15,0)</f>
        <v>0</v>
      </c>
    </row>
    <row r="13" spans="1:6" ht="24" customHeight="1" x14ac:dyDescent="0.25">
      <c r="A13" s="800" t="s">
        <v>68</v>
      </c>
      <c r="B13" s="798"/>
      <c r="C13" s="798"/>
      <c r="D13" s="798"/>
      <c r="E13" s="798"/>
      <c r="F13" s="798"/>
    </row>
    <row r="14" spans="1:6" ht="30" customHeight="1" x14ac:dyDescent="0.25">
      <c r="A14" s="14" t="s">
        <v>69</v>
      </c>
      <c r="B14" s="14" t="s">
        <v>70</v>
      </c>
      <c r="C14" s="15" t="s">
        <v>71</v>
      </c>
      <c r="D14" s="14" t="s">
        <v>72</v>
      </c>
      <c r="E14" s="14" t="s">
        <v>70</v>
      </c>
      <c r="F14" s="14"/>
    </row>
    <row r="15" spans="1:6" ht="18" customHeight="1" x14ac:dyDescent="0.25">
      <c r="A15" s="1" t="s">
        <v>73</v>
      </c>
      <c r="B15" s="16">
        <f>Scenarios!F7</f>
        <v>0</v>
      </c>
      <c r="D15" s="1" t="s">
        <v>74</v>
      </c>
      <c r="E15" s="17">
        <f>Waterfall!B69</f>
        <v>0</v>
      </c>
    </row>
    <row r="16" spans="1:6" ht="18" customHeight="1" x14ac:dyDescent="0.25">
      <c r="A16" s="6" t="s">
        <v>75</v>
      </c>
      <c r="B16" s="18" t="str">
        <f>Scenarios!F9</f>
        <v/>
      </c>
      <c r="C16" s="19">
        <f>IFERROR(Scenarios!F7/'Prop Info'!$B$15,0)</f>
        <v>0</v>
      </c>
      <c r="D16" s="4" t="s">
        <v>76</v>
      </c>
      <c r="E16" s="17">
        <f>Waterfall!E66</f>
        <v>0</v>
      </c>
    </row>
    <row r="17" spans="1:6" ht="18" customHeight="1" x14ac:dyDescent="0.25">
      <c r="A17" s="1" t="s">
        <v>77</v>
      </c>
      <c r="B17" s="16" t="str">
        <f>Scenarios!F17</f>
        <v/>
      </c>
      <c r="D17" s="1" t="s">
        <v>78</v>
      </c>
      <c r="E17" s="20">
        <f>IFERROR(Waterfall!B67,0)</f>
        <v>0</v>
      </c>
    </row>
    <row r="18" spans="1:6" ht="18" customHeight="1" x14ac:dyDescent="0.25">
      <c r="A18" s="4" t="s">
        <v>79</v>
      </c>
      <c r="B18" s="18">
        <f>Loans!E4</f>
        <v>0</v>
      </c>
      <c r="D18" s="21" t="s">
        <v>80</v>
      </c>
      <c r="E18" s="22">
        <f>'P&amp;L'!D126</f>
        <v>0</v>
      </c>
    </row>
    <row r="19" spans="1:6" ht="18" customHeight="1" x14ac:dyDescent="0.25">
      <c r="A19" s="1" t="s">
        <v>81</v>
      </c>
      <c r="B19" s="23">
        <f>IFERROR(Scenarios!F150/Scenarios!F7,0)</f>
        <v>0</v>
      </c>
      <c r="D19" s="1" t="s">
        <v>82</v>
      </c>
      <c r="E19" s="24">
        <f>IFERROR(INDEX('P&amp;L'!D115:M116,1,Scenarios!F86),0)+IFERROR(INDEX('P&amp;L'!D112:M113,1,Scenarios!F86),0)</f>
        <v>0</v>
      </c>
    </row>
    <row r="20" spans="1:6" ht="18" customHeight="1" x14ac:dyDescent="0.25">
      <c r="A20" s="4" t="s">
        <v>83</v>
      </c>
      <c r="B20" s="25">
        <f>IFERROR(Scenarios!F150/Scenarios!F17,0)</f>
        <v>0</v>
      </c>
      <c r="D20" s="4" t="s">
        <v>84</v>
      </c>
      <c r="E20" s="26">
        <f>Scenarios!F86</f>
        <v>0</v>
      </c>
    </row>
    <row r="21" spans="1:6" ht="18" customHeight="1" x14ac:dyDescent="0.25">
      <c r="A21" s="1" t="s">
        <v>85</v>
      </c>
      <c r="B21" s="16">
        <f>Scenarios!F31</f>
        <v>0</v>
      </c>
      <c r="D21" s="1" t="s">
        <v>86</v>
      </c>
      <c r="E21" s="17">
        <f>Waterfall!B6</f>
        <v>0</v>
      </c>
    </row>
    <row r="22" spans="1:6" ht="18" customHeight="1" x14ac:dyDescent="0.25">
      <c r="A22" s="4" t="s">
        <v>87</v>
      </c>
      <c r="B22" s="25">
        <f>Scenarios!F10</f>
        <v>0</v>
      </c>
      <c r="D22" s="4" t="s">
        <v>88</v>
      </c>
      <c r="E22" s="24">
        <f>Waterfall!B32</f>
        <v>0</v>
      </c>
    </row>
    <row r="23" spans="1:6" ht="18" customHeight="1" x14ac:dyDescent="0.25">
      <c r="A23" s="1" t="s">
        <v>89</v>
      </c>
      <c r="B23" s="23">
        <f>IFERROR('P&amp;L'!D97/Scenarios!F7,0)</f>
        <v>0</v>
      </c>
      <c r="D23" s="1" t="s">
        <v>90</v>
      </c>
      <c r="E23" s="24">
        <f>Waterfall!B35</f>
        <v>0</v>
      </c>
    </row>
    <row r="24" spans="1:6" ht="18" customHeight="1" x14ac:dyDescent="0.25">
      <c r="A24" s="4" t="s">
        <v>91</v>
      </c>
      <c r="B24" s="25">
        <f>IFERROR((IFERROR(INDEX('P&amp;L'!D115:M116,1,Scenarios!F86),0)+IFERROR(INDEX('P&amp;L'!D112:M113,1,Scenarios!F86),0))/Scenarios!F7,0)</f>
        <v>0</v>
      </c>
      <c r="D24" s="21" t="s">
        <v>92</v>
      </c>
      <c r="E24" s="22">
        <f>IFERROR((Waterfall!M54-(Waterfall!B9+Waterfall!B10))/(Waterfall!B9+Waterfall!B10)/Scenarios!F86,0)</f>
        <v>0</v>
      </c>
    </row>
    <row r="26" spans="1:6" ht="24" customHeight="1" x14ac:dyDescent="0.25">
      <c r="A26" s="801" t="s">
        <v>93</v>
      </c>
      <c r="B26" s="798"/>
      <c r="C26" s="798"/>
      <c r="D26" s="798"/>
      <c r="E26" s="798"/>
      <c r="F26" s="798"/>
    </row>
    <row r="27" spans="1:6" ht="30" customHeight="1" x14ac:dyDescent="0.25">
      <c r="A27" s="27" t="s">
        <v>94</v>
      </c>
      <c r="B27" s="27" t="s">
        <v>95</v>
      </c>
      <c r="C27" s="27" t="s">
        <v>96</v>
      </c>
      <c r="D27" s="27" t="s">
        <v>97</v>
      </c>
      <c r="E27" s="27" t="s">
        <v>98</v>
      </c>
      <c r="F27" s="27" t="s">
        <v>99</v>
      </c>
    </row>
    <row r="28" spans="1:6" ht="18" customHeight="1" x14ac:dyDescent="0.25">
      <c r="A28" s="1" t="s">
        <v>100</v>
      </c>
      <c r="B28" s="16">
        <f>Scenarios!F92</f>
        <v>0</v>
      </c>
      <c r="C28" s="23">
        <f>IFERROR(Scenarios!F92/Scenarios!F17,0)</f>
        <v>0</v>
      </c>
      <c r="D28" s="22">
        <f>Scenarios!F93</f>
        <v>0</v>
      </c>
      <c r="E28" s="28">
        <f>Scenarios!F124</f>
        <v>0</v>
      </c>
      <c r="F28" s="28">
        <f>Scenarios!F94</f>
        <v>0</v>
      </c>
    </row>
    <row r="29" spans="1:6" ht="18" customHeight="1" x14ac:dyDescent="0.25">
      <c r="A29" s="4" t="s">
        <v>101</v>
      </c>
      <c r="B29" s="18">
        <f>Scenarios!F128</f>
        <v>0</v>
      </c>
      <c r="C29" s="25">
        <f>IFERROR(Scenarios!F128/Scenarios!F17,0)</f>
        <v>0</v>
      </c>
      <c r="D29" s="29">
        <f>Scenarios!F129</f>
        <v>0</v>
      </c>
      <c r="E29" s="7">
        <f>Scenarios!F131</f>
        <v>0</v>
      </c>
      <c r="F29" s="7">
        <f>Scenarios!F130</f>
        <v>0</v>
      </c>
    </row>
    <row r="30" spans="1:6" ht="18" customHeight="1" x14ac:dyDescent="0.25">
      <c r="A30" s="1" t="s">
        <v>102</v>
      </c>
      <c r="B30" s="16">
        <f>Scenarios!F135</f>
        <v>0</v>
      </c>
      <c r="C30" s="23">
        <f>IFERROR(Scenarios!F135/Scenarios!F17,0)</f>
        <v>0</v>
      </c>
      <c r="D30" s="22">
        <f>Scenarios!F136</f>
        <v>0</v>
      </c>
      <c r="E30" s="28">
        <f>Scenarios!F138</f>
        <v>0</v>
      </c>
      <c r="F30" s="28">
        <f>Scenarios!F137</f>
        <v>0</v>
      </c>
    </row>
    <row r="31" spans="1:6" ht="18" customHeight="1" x14ac:dyDescent="0.25">
      <c r="A31" s="4" t="s">
        <v>103</v>
      </c>
      <c r="B31" s="18">
        <f>Scenarios!F32</f>
        <v>0</v>
      </c>
      <c r="C31" s="25">
        <f>Scenarios!F28</f>
        <v>0.6</v>
      </c>
      <c r="D31" s="30" t="s">
        <v>104</v>
      </c>
      <c r="E31" s="30" t="s">
        <v>104</v>
      </c>
      <c r="F31" s="30" t="s">
        <v>104</v>
      </c>
    </row>
    <row r="32" spans="1:6" ht="18" customHeight="1" x14ac:dyDescent="0.25">
      <c r="A32" s="1" t="s">
        <v>105</v>
      </c>
      <c r="B32" s="16">
        <f>Scenarios!F33</f>
        <v>0</v>
      </c>
      <c r="C32" s="23">
        <f>Scenarios!F29</f>
        <v>0.4</v>
      </c>
      <c r="D32" s="23">
        <f>Scenarios!F35</f>
        <v>0</v>
      </c>
      <c r="E32" s="31" t="s">
        <v>104</v>
      </c>
      <c r="F32" s="31" t="s">
        <v>104</v>
      </c>
    </row>
    <row r="33" spans="1:6" ht="18" customHeight="1" x14ac:dyDescent="0.25">
      <c r="A33" s="4" t="s">
        <v>106</v>
      </c>
      <c r="B33" s="18">
        <f>Scenarios!F34</f>
        <v>0</v>
      </c>
      <c r="C33" s="25">
        <f>Scenarios!F30</f>
        <v>0</v>
      </c>
      <c r="D33" s="32" t="s">
        <v>104</v>
      </c>
      <c r="E33" s="32" t="s">
        <v>104</v>
      </c>
      <c r="F33" s="32" t="s">
        <v>104</v>
      </c>
    </row>
    <row r="34" spans="1:6" ht="18" customHeight="1" x14ac:dyDescent="0.25">
      <c r="A34" s="33" t="s">
        <v>107</v>
      </c>
      <c r="B34" s="34">
        <f>Scenarios!F31</f>
        <v>0</v>
      </c>
      <c r="C34" s="35">
        <f>IFERROR(Scenarios!F31/Scenarios!F17,0)</f>
        <v>0</v>
      </c>
      <c r="D34" s="36" t="s">
        <v>104</v>
      </c>
      <c r="E34" s="36" t="s">
        <v>104</v>
      </c>
      <c r="F34" s="36" t="s">
        <v>104</v>
      </c>
    </row>
    <row r="36" spans="1:6" ht="21.75" customHeight="1" x14ac:dyDescent="0.25">
      <c r="A36" s="801" t="s">
        <v>108</v>
      </c>
      <c r="B36" s="798"/>
      <c r="C36" s="798"/>
      <c r="D36" s="798"/>
      <c r="E36" s="798"/>
      <c r="F36" s="798"/>
    </row>
    <row r="37" spans="1:6" ht="15.75" customHeight="1" x14ac:dyDescent="0.25">
      <c r="A37" s="37" t="s">
        <v>69</v>
      </c>
      <c r="B37" s="37" t="s">
        <v>109</v>
      </c>
      <c r="C37" s="37" t="s">
        <v>110</v>
      </c>
      <c r="D37" s="37" t="s">
        <v>111</v>
      </c>
      <c r="E37" s="37" t="s">
        <v>112</v>
      </c>
      <c r="F37" s="38" t="s">
        <v>113</v>
      </c>
    </row>
    <row r="38" spans="1:6" ht="18" customHeight="1" x14ac:dyDescent="0.25">
      <c r="A38" s="39" t="s">
        <v>114</v>
      </c>
      <c r="B38" s="16">
        <f>Waterfall!B9</f>
        <v>0</v>
      </c>
      <c r="C38" s="16">
        <f>Waterfall!B10</f>
        <v>0</v>
      </c>
      <c r="D38" s="16">
        <f>Waterfall!B9+Waterfall!B10</f>
        <v>0</v>
      </c>
      <c r="E38" s="16">
        <f>Waterfall!B8</f>
        <v>0</v>
      </c>
      <c r="F38" s="40" t="s">
        <v>115</v>
      </c>
    </row>
    <row r="39" spans="1:6" ht="18" customHeight="1" x14ac:dyDescent="0.25">
      <c r="A39" s="39" t="s">
        <v>116</v>
      </c>
      <c r="B39" s="16">
        <f>Waterfall!M55</f>
        <v>0</v>
      </c>
      <c r="C39" s="16">
        <f>Waterfall!M56</f>
        <v>0</v>
      </c>
      <c r="D39" s="16">
        <f>Waterfall!M57</f>
        <v>0</v>
      </c>
      <c r="E39" s="16">
        <f>Waterfall!M58</f>
        <v>0</v>
      </c>
      <c r="F39" s="40" t="s">
        <v>117</v>
      </c>
    </row>
    <row r="40" spans="1:6" ht="18" customHeight="1" x14ac:dyDescent="0.25">
      <c r="A40" s="39" t="s">
        <v>118</v>
      </c>
      <c r="B40" s="16">
        <f>Waterfall!M55-Waterfall!B9</f>
        <v>0</v>
      </c>
      <c r="C40" s="16">
        <f>IFERROR(Waterfall!M56-Waterfall!B10,0)</f>
        <v>0</v>
      </c>
      <c r="D40" s="16">
        <f>Waterfall!M57-(Waterfall!B9+Waterfall!B10)</f>
        <v>0</v>
      </c>
      <c r="E40" s="16">
        <f>Waterfall!M58-Waterfall!B8</f>
        <v>0</v>
      </c>
    </row>
    <row r="41" spans="1:6" ht="18" customHeight="1" x14ac:dyDescent="0.25">
      <c r="A41" s="41" t="s">
        <v>119</v>
      </c>
      <c r="B41" s="42">
        <f>IFERROR(Waterfall!B67,0)</f>
        <v>0</v>
      </c>
      <c r="C41" s="42">
        <f>IFERROR(Waterfall!C67,0)</f>
        <v>0</v>
      </c>
      <c r="D41" s="42">
        <f>IFERROR(Waterfall!D67,0)</f>
        <v>0</v>
      </c>
      <c r="E41" s="42">
        <f>IFERROR(Waterfall!E67,0)</f>
        <v>0</v>
      </c>
      <c r="F41" s="43" t="s">
        <v>120</v>
      </c>
    </row>
    <row r="42" spans="1:6" ht="18" customHeight="1" x14ac:dyDescent="0.25">
      <c r="A42" s="41" t="s">
        <v>121</v>
      </c>
      <c r="B42" s="44">
        <f>Waterfall!B69</f>
        <v>0</v>
      </c>
      <c r="C42" s="44">
        <f>Waterfall!C69</f>
        <v>0</v>
      </c>
      <c r="D42" s="44">
        <f>Waterfall!D69</f>
        <v>0</v>
      </c>
      <c r="E42" s="44">
        <f>Waterfall!E69</f>
        <v>0</v>
      </c>
      <c r="F42" s="43" t="s">
        <v>122</v>
      </c>
    </row>
    <row r="43" spans="1:6" ht="18" customHeight="1" x14ac:dyDescent="0.25">
      <c r="A43" s="45" t="s">
        <v>123</v>
      </c>
      <c r="B43" s="44">
        <f>IFERROR((Waterfall!M55-Waterfall!B9)/Waterfall!B9/Scenarios!F86,0)</f>
        <v>0</v>
      </c>
      <c r="C43" s="44">
        <f>IFERROR((Waterfall!M56-Waterfall!B10)/Waterfall!B10/Scenarios!F86,0)</f>
        <v>0</v>
      </c>
      <c r="D43" s="44">
        <f>IFERROR((Waterfall!M57-(Waterfall!B9+Waterfall!B10))/(Waterfall!B9+Waterfall!B10)/Scenarios!F86,0)</f>
        <v>0</v>
      </c>
      <c r="E43" s="44" t="str">
        <f>IFERROR(IF(Waterfall!B8=0,"N/A",(Waterfall!M58-Waterfall!B8)/Waterfall!B8/Scenarios!F86),0)</f>
        <v>N/A</v>
      </c>
      <c r="F43" s="46" t="s">
        <v>124</v>
      </c>
    </row>
    <row r="44" spans="1:6" ht="16.5" customHeight="1" x14ac:dyDescent="0.25">
      <c r="A44" s="47" t="s">
        <v>125</v>
      </c>
      <c r="B44" s="48">
        <f ca="1">'P&amp;L'!D127</f>
        <v>0</v>
      </c>
      <c r="C44" s="48">
        <f ca="1">IFERROR(IF(Waterfall!B10=0,0,AVERAGE(OFFSET(Waterfall!B53,0,0,1,MIN(Scenarios!F86,10)))/Waterfall!B10),0)</f>
        <v>0</v>
      </c>
      <c r="D44" s="48">
        <f ca="1">'P&amp;L'!D129</f>
        <v>0</v>
      </c>
      <c r="E44" s="48">
        <f ca="1">IFERROR(IF(Waterfall!B8=0,0,AVERAGE(OFFSET(Waterfall!B55,0,0,1,MIN(Scenarios!F86,10)))/Waterfall!B8),0)</f>
        <v>0</v>
      </c>
      <c r="F44" s="49" t="s">
        <v>126</v>
      </c>
    </row>
    <row r="45" spans="1:6" ht="21.75" customHeight="1" x14ac:dyDescent="0.25">
      <c r="A45" s="801" t="s">
        <v>127</v>
      </c>
      <c r="B45" s="798"/>
      <c r="C45" s="798"/>
      <c r="D45" s="798"/>
      <c r="E45" s="798"/>
      <c r="F45" s="798"/>
    </row>
    <row r="46" spans="1:6" ht="18" customHeight="1" x14ac:dyDescent="0.25">
      <c r="A46" s="39" t="s">
        <v>128</v>
      </c>
      <c r="B46" s="50">
        <f>Scenarios!F86</f>
        <v>0</v>
      </c>
      <c r="C46" s="9"/>
      <c r="D46" s="9"/>
      <c r="E46" s="9"/>
    </row>
    <row r="47" spans="1:6" ht="18" customHeight="1" x14ac:dyDescent="0.25">
      <c r="A47" s="39" t="s">
        <v>86</v>
      </c>
      <c r="B47" s="23">
        <f>Waterfall!B6</f>
        <v>0</v>
      </c>
      <c r="C47" s="9"/>
      <c r="D47" s="9"/>
      <c r="E47" s="9"/>
      <c r="F47" s="40"/>
    </row>
    <row r="48" spans="1:6" ht="18" customHeight="1" x14ac:dyDescent="0.25">
      <c r="A48" s="39" t="s">
        <v>129</v>
      </c>
      <c r="B48" s="16">
        <f>IFERROR(INDEX('P&amp;L'!D115:M116,1,Scenarios!F86)+INDEX('P&amp;L'!D112:M113,1,Scenarios!F86),0)</f>
        <v>0</v>
      </c>
      <c r="C48" s="9"/>
      <c r="D48" s="9"/>
      <c r="E48" s="9"/>
      <c r="F48" s="40" t="s">
        <v>130</v>
      </c>
    </row>
    <row r="49" spans="1:6" ht="18" customHeight="1" x14ac:dyDescent="0.25">
      <c r="A49" s="39" t="s">
        <v>88</v>
      </c>
      <c r="B49" s="16">
        <f>Waterfall!B32</f>
        <v>0</v>
      </c>
      <c r="C49" s="9"/>
      <c r="D49" s="9"/>
      <c r="E49" s="9"/>
      <c r="F49" s="40" t="s">
        <v>131</v>
      </c>
    </row>
    <row r="50" spans="1:6" ht="18" customHeight="1" x14ac:dyDescent="0.25">
      <c r="A50" s="39" t="s">
        <v>132</v>
      </c>
      <c r="B50" s="16">
        <f>Waterfall!B34</f>
        <v>0</v>
      </c>
      <c r="C50" s="9"/>
      <c r="D50" s="9"/>
      <c r="E50" s="9"/>
      <c r="F50" s="40" t="s">
        <v>133</v>
      </c>
    </row>
    <row r="51" spans="1:6" ht="18" customHeight="1" x14ac:dyDescent="0.25">
      <c r="A51" s="51" t="s">
        <v>134</v>
      </c>
      <c r="B51" s="52">
        <f>Waterfall!B35</f>
        <v>0</v>
      </c>
      <c r="C51" s="53"/>
      <c r="D51" s="53"/>
      <c r="E51" s="53"/>
      <c r="F51" s="54" t="s">
        <v>135</v>
      </c>
    </row>
    <row r="52" spans="1:6" ht="16.5" customHeight="1" x14ac:dyDescent="0.25"/>
  </sheetData>
  <mergeCells count="8">
    <mergeCell ref="A45:F45"/>
    <mergeCell ref="A4:F4"/>
    <mergeCell ref="A26:F26"/>
    <mergeCell ref="B11:D11"/>
    <mergeCell ref="A2:F2"/>
    <mergeCell ref="A13:F13"/>
    <mergeCell ref="A36:F36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zoomScaleNormal="100" workbookViewId="0">
      <selection activeCell="B28" sqref="B28"/>
    </sheetView>
  </sheetViews>
  <sheetFormatPr defaultColWidth="8.85546875" defaultRowHeight="15" x14ac:dyDescent="0.25"/>
  <cols>
    <col min="1" max="1" width="36.85546875" customWidth="1"/>
    <col min="2" max="2" width="38.85546875" customWidth="1"/>
    <col min="3" max="4" width="45" customWidth="1"/>
  </cols>
  <sheetData>
    <row r="1" spans="1:4" ht="26.1" customHeight="1" x14ac:dyDescent="0.3">
      <c r="A1" s="776" t="s">
        <v>0</v>
      </c>
      <c r="B1" s="777"/>
      <c r="C1" s="777"/>
      <c r="D1" s="777"/>
    </row>
    <row r="2" spans="1:4" ht="15.75" customHeight="1" x14ac:dyDescent="0.25">
      <c r="A2" s="56" t="s">
        <v>1</v>
      </c>
    </row>
    <row r="3" spans="1:4" ht="21.95" customHeight="1" x14ac:dyDescent="0.25">
      <c r="A3" s="778" t="s">
        <v>2</v>
      </c>
      <c r="B3" s="779" t="s">
        <v>3</v>
      </c>
      <c r="C3" s="779"/>
      <c r="D3" s="779"/>
    </row>
    <row r="4" spans="1:4" ht="18" customHeight="1" x14ac:dyDescent="0.25">
      <c r="A4" s="780" t="s">
        <v>4</v>
      </c>
      <c r="B4" s="781"/>
      <c r="C4" s="782"/>
      <c r="D4" s="782"/>
    </row>
    <row r="5" spans="1:4" ht="18" customHeight="1" x14ac:dyDescent="0.25">
      <c r="A5" s="783" t="s">
        <v>5</v>
      </c>
      <c r="B5" s="781"/>
      <c r="C5" s="782"/>
      <c r="D5" s="782"/>
    </row>
    <row r="6" spans="1:4" ht="18" customHeight="1" x14ac:dyDescent="0.25">
      <c r="A6" s="780" t="s">
        <v>6</v>
      </c>
      <c r="B6" s="781"/>
      <c r="C6" s="782"/>
      <c r="D6" s="782"/>
    </row>
    <row r="7" spans="1:4" ht="18" customHeight="1" x14ac:dyDescent="0.25">
      <c r="A7" s="783" t="s">
        <v>7</v>
      </c>
      <c r="B7" s="781"/>
      <c r="C7" s="782"/>
      <c r="D7" s="782"/>
    </row>
    <row r="8" spans="1:4" ht="18" customHeight="1" x14ac:dyDescent="0.25">
      <c r="A8" s="780" t="s">
        <v>8</v>
      </c>
      <c r="B8" s="781"/>
      <c r="C8" s="782"/>
      <c r="D8" s="782"/>
    </row>
    <row r="9" spans="1:4" ht="18" customHeight="1" x14ac:dyDescent="0.25">
      <c r="A9" s="783" t="s">
        <v>9</v>
      </c>
      <c r="B9" s="781"/>
      <c r="C9" s="782"/>
      <c r="D9" s="782"/>
    </row>
    <row r="10" spans="1:4" ht="18" customHeight="1" x14ac:dyDescent="0.25">
      <c r="A10" s="780" t="s">
        <v>10</v>
      </c>
      <c r="B10" s="781"/>
      <c r="C10" s="782"/>
      <c r="D10" s="782"/>
    </row>
    <row r="11" spans="1:4" ht="18" customHeight="1" x14ac:dyDescent="0.25">
      <c r="A11" s="783" t="s">
        <v>11</v>
      </c>
      <c r="B11" s="781"/>
      <c r="C11" s="782"/>
      <c r="D11" s="782"/>
    </row>
    <row r="12" spans="1:4" ht="18" customHeight="1" x14ac:dyDescent="0.25">
      <c r="A12" s="780" t="s">
        <v>12</v>
      </c>
      <c r="B12" s="781"/>
      <c r="C12" s="782"/>
      <c r="D12" s="782"/>
    </row>
    <row r="13" spans="1:4" ht="18" customHeight="1" x14ac:dyDescent="0.25">
      <c r="A13" s="783" t="s">
        <v>13</v>
      </c>
      <c r="B13" s="781"/>
      <c r="C13" s="783" t="s">
        <v>14</v>
      </c>
      <c r="D13" s="781"/>
    </row>
    <row r="14" spans="1:4" ht="18" customHeight="1" x14ac:dyDescent="0.25">
      <c r="A14" s="780" t="s">
        <v>15</v>
      </c>
      <c r="B14" s="781"/>
      <c r="C14" s="782"/>
      <c r="D14" s="782"/>
    </row>
    <row r="15" spans="1:4" ht="18" customHeight="1" x14ac:dyDescent="0.25">
      <c r="A15" s="783" t="s">
        <v>16</v>
      </c>
      <c r="B15" s="781"/>
      <c r="C15" s="782"/>
      <c r="D15" s="782"/>
    </row>
    <row r="16" spans="1:4" ht="18" customHeight="1" x14ac:dyDescent="0.25">
      <c r="A16" s="780" t="s">
        <v>17</v>
      </c>
      <c r="B16" s="781"/>
      <c r="C16" s="782"/>
      <c r="D16" s="782"/>
    </row>
    <row r="17" spans="1:4" ht="18" customHeight="1" x14ac:dyDescent="0.25">
      <c r="A17" s="783" t="s">
        <v>18</v>
      </c>
      <c r="B17" s="781"/>
      <c r="C17" s="782"/>
      <c r="D17" s="782"/>
    </row>
    <row r="18" spans="1:4" ht="18" customHeight="1" x14ac:dyDescent="0.25">
      <c r="A18" s="780" t="s">
        <v>19</v>
      </c>
      <c r="B18" s="781"/>
      <c r="C18" s="782"/>
      <c r="D18" s="782"/>
    </row>
    <row r="19" spans="1:4" ht="18" customHeight="1" x14ac:dyDescent="0.25">
      <c r="A19" s="780" t="str">
        <f>"Other Care ("&amp;$D$13&amp;") Units"</f>
        <v>Other Care () Units</v>
      </c>
      <c r="B19" s="781"/>
      <c r="C19" s="782"/>
      <c r="D19" s="782"/>
    </row>
    <row r="20" spans="1:4" ht="18" customHeight="1" x14ac:dyDescent="0.25">
      <c r="A20" s="784" t="s">
        <v>20</v>
      </c>
      <c r="B20" s="864">
        <f>SUM(B21:B24)</f>
        <v>0</v>
      </c>
      <c r="C20" s="785"/>
      <c r="D20" s="785"/>
    </row>
    <row r="21" spans="1:4" ht="18" customHeight="1" x14ac:dyDescent="0.25">
      <c r="A21" s="786" t="s">
        <v>21</v>
      </c>
      <c r="B21" s="781"/>
      <c r="C21" s="782"/>
      <c r="D21" s="782"/>
    </row>
    <row r="22" spans="1:4" ht="18" customHeight="1" x14ac:dyDescent="0.25">
      <c r="A22" s="787" t="s">
        <v>22</v>
      </c>
      <c r="B22" s="781"/>
      <c r="C22" s="782"/>
      <c r="D22" s="782"/>
    </row>
    <row r="23" spans="1:4" ht="18" customHeight="1" x14ac:dyDescent="0.25">
      <c r="A23" s="786" t="s">
        <v>23</v>
      </c>
      <c r="B23" s="781"/>
      <c r="C23" s="782"/>
      <c r="D23" s="782"/>
    </row>
    <row r="24" spans="1:4" ht="18" customHeight="1" x14ac:dyDescent="0.25">
      <c r="A24" s="788" t="str">
        <f>"Occupied Beds — Other Care ("&amp;$D$13&amp;")"</f>
        <v>Occupied Beds — Other Care ()</v>
      </c>
      <c r="B24" s="789"/>
      <c r="C24" s="790"/>
      <c r="D24" s="790"/>
    </row>
    <row r="25" spans="1:4" ht="21.95" customHeight="1" x14ac:dyDescent="0.25">
      <c r="A25" s="778" t="s">
        <v>24</v>
      </c>
      <c r="B25" s="779" t="s">
        <v>3</v>
      </c>
      <c r="C25" s="779" t="s">
        <v>25</v>
      </c>
      <c r="D25" s="779" t="s">
        <v>26</v>
      </c>
    </row>
    <row r="26" spans="1:4" ht="18" customHeight="1" x14ac:dyDescent="0.25">
      <c r="A26" s="780" t="s">
        <v>27</v>
      </c>
      <c r="B26" s="781"/>
      <c r="C26" s="782"/>
      <c r="D26" s="782"/>
    </row>
    <row r="27" spans="1:4" ht="18" customHeight="1" x14ac:dyDescent="0.25">
      <c r="A27" s="783" t="s">
        <v>28</v>
      </c>
      <c r="B27" s="781"/>
      <c r="C27" s="782"/>
      <c r="D27" s="782"/>
    </row>
    <row r="28" spans="1:4" ht="18" customHeight="1" x14ac:dyDescent="0.25">
      <c r="A28" s="780" t="s">
        <v>29</v>
      </c>
      <c r="B28" s="781"/>
      <c r="C28" s="782"/>
      <c r="D28" s="782"/>
    </row>
    <row r="29" spans="1:4" ht="18" customHeight="1" x14ac:dyDescent="0.25">
      <c r="A29" s="783" t="s">
        <v>30</v>
      </c>
      <c r="B29" s="781"/>
      <c r="C29" s="782"/>
      <c r="D29" s="782"/>
    </row>
    <row r="30" spans="1:4" ht="18" customHeight="1" x14ac:dyDescent="0.25">
      <c r="A30" s="780" t="s">
        <v>31</v>
      </c>
      <c r="B30" s="791"/>
      <c r="C30" s="782"/>
      <c r="D30" s="782"/>
    </row>
    <row r="31" spans="1:4" ht="18" customHeight="1" x14ac:dyDescent="0.25">
      <c r="A31" s="780" t="s">
        <v>32</v>
      </c>
      <c r="B31" s="792"/>
      <c r="C31" s="782"/>
      <c r="D31" s="782"/>
    </row>
    <row r="32" spans="1:4" ht="18" customHeight="1" x14ac:dyDescent="0.25">
      <c r="A32" s="783" t="s">
        <v>33</v>
      </c>
      <c r="B32" s="781"/>
      <c r="C32" s="782"/>
      <c r="D32" s="782"/>
    </row>
    <row r="33" spans="1:4" ht="18" customHeight="1" x14ac:dyDescent="0.25">
      <c r="A33" s="780" t="s">
        <v>34</v>
      </c>
      <c r="B33" s="791"/>
      <c r="C33" s="782"/>
      <c r="D33" s="782"/>
    </row>
    <row r="34" spans="1:4" ht="18" customHeight="1" x14ac:dyDescent="0.25">
      <c r="A34" s="783" t="s">
        <v>35</v>
      </c>
      <c r="B34" s="793"/>
      <c r="C34" s="782"/>
      <c r="D34" s="782"/>
    </row>
    <row r="35" spans="1:4" ht="18" customHeight="1" x14ac:dyDescent="0.25">
      <c r="A35" s="780" t="s">
        <v>36</v>
      </c>
      <c r="B35" s="793"/>
      <c r="C35" s="782"/>
      <c r="D35" s="782"/>
    </row>
    <row r="36" spans="1:4" ht="18" customHeight="1" x14ac:dyDescent="0.25">
      <c r="A36" s="794" t="s">
        <v>37</v>
      </c>
      <c r="B36" s="789"/>
      <c r="C36" s="790"/>
      <c r="D36" s="790"/>
    </row>
    <row r="37" spans="1:4" ht="21.95" customHeight="1" x14ac:dyDescent="0.25">
      <c r="A37" s="778" t="s">
        <v>38</v>
      </c>
      <c r="B37" s="779" t="s">
        <v>3</v>
      </c>
      <c r="C37" s="779" t="s">
        <v>25</v>
      </c>
      <c r="D37" s="779" t="s">
        <v>26</v>
      </c>
    </row>
    <row r="38" spans="1:4" ht="18" customHeight="1" x14ac:dyDescent="0.25">
      <c r="A38" s="786" t="s">
        <v>39</v>
      </c>
      <c r="B38" s="793"/>
      <c r="C38" s="782"/>
      <c r="D38" s="782"/>
    </row>
    <row r="39" spans="1:4" ht="18" customHeight="1" x14ac:dyDescent="0.25">
      <c r="A39" s="787" t="s">
        <v>40</v>
      </c>
      <c r="B39" s="793"/>
      <c r="C39" s="782"/>
      <c r="D39" s="782"/>
    </row>
    <row r="40" spans="1:4" ht="18" customHeight="1" x14ac:dyDescent="0.25">
      <c r="A40" s="786" t="s">
        <v>41</v>
      </c>
      <c r="B40" s="793"/>
      <c r="C40" s="782"/>
      <c r="D40" s="782"/>
    </row>
    <row r="41" spans="1:4" ht="18" customHeight="1" x14ac:dyDescent="0.25">
      <c r="A41" s="780" t="s">
        <v>42</v>
      </c>
      <c r="B41" s="793"/>
      <c r="C41" s="782"/>
      <c r="D41" s="782"/>
    </row>
    <row r="42" spans="1:4" ht="18" customHeight="1" x14ac:dyDescent="0.25">
      <c r="A42" s="786" t="s">
        <v>43</v>
      </c>
      <c r="B42" s="791"/>
      <c r="C42" s="782"/>
      <c r="D42" s="782"/>
    </row>
    <row r="43" spans="1:4" ht="18" customHeight="1" x14ac:dyDescent="0.25">
      <c r="A43" s="787" t="s">
        <v>44</v>
      </c>
      <c r="B43" s="791"/>
      <c r="C43" s="782"/>
      <c r="D43" s="782"/>
    </row>
    <row r="44" spans="1:4" ht="18" customHeight="1" x14ac:dyDescent="0.25">
      <c r="A44" s="786" t="s">
        <v>45</v>
      </c>
      <c r="B44" s="791"/>
      <c r="C44" s="782"/>
      <c r="D44" s="782"/>
    </row>
    <row r="45" spans="1:4" ht="18" customHeight="1" x14ac:dyDescent="0.25">
      <c r="A45" s="787" t="str">
        <f>"Competitor Occupancy — Other Care ("&amp;$D$13&amp;")"</f>
        <v>Competitor Occupancy — Other Care ()</v>
      </c>
      <c r="B45" s="791"/>
      <c r="C45" s="782"/>
      <c r="D45" s="782"/>
    </row>
    <row r="46" spans="1:4" ht="18" customHeight="1" x14ac:dyDescent="0.25">
      <c r="A46" s="787" t="s">
        <v>46</v>
      </c>
      <c r="B46" s="781"/>
      <c r="C46" s="782"/>
      <c r="D46" s="782"/>
    </row>
    <row r="47" spans="1:4" ht="18" customHeight="1" x14ac:dyDescent="0.25">
      <c r="A47" s="794" t="s">
        <v>47</v>
      </c>
      <c r="B47" s="795"/>
      <c r="C47" s="790"/>
      <c r="D47" s="790"/>
    </row>
    <row r="48" spans="1:4" ht="21.95" customHeight="1" x14ac:dyDescent="0.25">
      <c r="A48" s="778" t="s">
        <v>48</v>
      </c>
      <c r="B48" s="779"/>
      <c r="C48" s="779"/>
      <c r="D48" s="779"/>
    </row>
    <row r="49" spans="1:4" ht="18" customHeight="1" x14ac:dyDescent="0.25">
      <c r="A49" s="783" t="s">
        <v>49</v>
      </c>
      <c r="B49" s="781"/>
      <c r="C49" s="782"/>
      <c r="D49" s="782"/>
    </row>
    <row r="50" spans="1:4" ht="18" customHeight="1" x14ac:dyDescent="0.25">
      <c r="A50" s="780" t="s">
        <v>50</v>
      </c>
      <c r="B50" s="781"/>
      <c r="C50" s="782"/>
      <c r="D50" s="782"/>
    </row>
    <row r="51" spans="1:4" ht="18" customHeight="1" x14ac:dyDescent="0.25">
      <c r="A51" s="783" t="s">
        <v>51</v>
      </c>
      <c r="B51" s="781"/>
      <c r="C51" s="782"/>
      <c r="D51" s="782"/>
    </row>
    <row r="52" spans="1:4" ht="18" customHeight="1" x14ac:dyDescent="0.25">
      <c r="A52" s="796" t="s">
        <v>52</v>
      </c>
      <c r="B52" s="789"/>
      <c r="C52" s="790"/>
      <c r="D52" s="790"/>
    </row>
    <row r="53" spans="1:4" ht="21.95" customHeight="1" x14ac:dyDescent="0.25">
      <c r="A53" s="778" t="s">
        <v>53</v>
      </c>
      <c r="B53" s="779" t="s">
        <v>3</v>
      </c>
      <c r="C53" s="779" t="s">
        <v>25</v>
      </c>
      <c r="D53" s="779" t="s">
        <v>26</v>
      </c>
    </row>
    <row r="54" spans="1:4" ht="18" customHeight="1" x14ac:dyDescent="0.25">
      <c r="A54" s="780" t="s">
        <v>54</v>
      </c>
      <c r="B54" s="781"/>
      <c r="C54" s="782"/>
      <c r="D54" s="782"/>
    </row>
    <row r="55" spans="1:4" ht="18" customHeight="1" x14ac:dyDescent="0.25">
      <c r="A55" s="783" t="s">
        <v>55</v>
      </c>
      <c r="B55" s="781"/>
      <c r="C55" s="782"/>
      <c r="D55" s="782"/>
    </row>
    <row r="56" spans="1:4" ht="18" customHeight="1" x14ac:dyDescent="0.25">
      <c r="A56" s="780" t="s">
        <v>56</v>
      </c>
      <c r="B56" s="781"/>
      <c r="C56" s="782"/>
      <c r="D56" s="782"/>
    </row>
    <row r="57" spans="1:4" ht="18" customHeight="1" x14ac:dyDescent="0.25">
      <c r="A57" s="783" t="s">
        <v>57</v>
      </c>
      <c r="B57" s="781"/>
      <c r="C57" s="782"/>
      <c r="D57" s="78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2"/>
  <sheetViews>
    <sheetView zoomScaleNormal="100" workbookViewId="0">
      <pane xSplit="1" ySplit="4" topLeftCell="B63" activePane="bottomRight" state="frozen"/>
      <selection pane="topRight" activeCell="B1" sqref="B1"/>
      <selection pane="bottomLeft" activeCell="A144" sqref="A144"/>
      <selection pane="bottomRight" activeCell="G126" sqref="G126"/>
    </sheetView>
  </sheetViews>
  <sheetFormatPr defaultColWidth="8.85546875" defaultRowHeight="15" outlineLevelRow="3" x14ac:dyDescent="0.25"/>
  <cols>
    <col min="1" max="1" width="43.7109375" customWidth="1"/>
    <col min="2" max="5" width="18" customWidth="1"/>
    <col min="6" max="6" width="16" customWidth="1"/>
    <col min="7" max="7" width="17.140625" style="57" customWidth="1"/>
    <col min="8" max="8" width="45.28515625" style="58" customWidth="1"/>
    <col min="9" max="9" width="14" customWidth="1"/>
    <col min="10" max="10" width="16" customWidth="1"/>
  </cols>
  <sheetData>
    <row r="1" spans="1:9" ht="30" customHeight="1" x14ac:dyDescent="0.25">
      <c r="A1" s="812" t="s">
        <v>136</v>
      </c>
      <c r="B1" s="798"/>
      <c r="C1" s="798"/>
      <c r="D1" s="798"/>
      <c r="E1" s="798"/>
      <c r="F1" s="798"/>
      <c r="G1" s="804"/>
      <c r="H1" s="805"/>
    </row>
    <row r="2" spans="1:9" ht="18" customHeight="1" x14ac:dyDescent="0.25">
      <c r="A2" s="60" t="s">
        <v>137</v>
      </c>
      <c r="B2" s="61" t="s">
        <v>138</v>
      </c>
    </row>
    <row r="3" spans="1:9" ht="15.75" customHeight="1" x14ac:dyDescent="0.25">
      <c r="A3" s="806" t="s">
        <v>139</v>
      </c>
      <c r="B3" s="798"/>
      <c r="C3" s="798"/>
      <c r="D3" s="798"/>
      <c r="E3" s="798"/>
      <c r="F3" s="798"/>
      <c r="G3" s="804"/>
      <c r="H3" s="805"/>
    </row>
    <row r="4" spans="1:9" ht="30" customHeight="1" x14ac:dyDescent="0.25">
      <c r="A4" s="37" t="s">
        <v>140</v>
      </c>
      <c r="B4" s="27" t="s">
        <v>138</v>
      </c>
      <c r="C4" s="62" t="s">
        <v>141</v>
      </c>
      <c r="D4" s="62" t="s">
        <v>142</v>
      </c>
      <c r="E4" s="62" t="s">
        <v>143</v>
      </c>
      <c r="F4" s="63" t="s">
        <v>144</v>
      </c>
      <c r="G4" s="27" t="s">
        <v>145</v>
      </c>
      <c r="H4" s="37" t="s">
        <v>146</v>
      </c>
    </row>
    <row r="5" spans="1:9" ht="24" customHeight="1" x14ac:dyDescent="0.25">
      <c r="A5" s="55" t="s">
        <v>147</v>
      </c>
      <c r="B5" s="55"/>
      <c r="C5" s="55"/>
      <c r="D5" s="55"/>
      <c r="E5" s="55"/>
      <c r="F5" s="55"/>
      <c r="G5" s="64"/>
      <c r="H5" s="65"/>
    </row>
    <row r="6" spans="1:9" ht="18" customHeight="1" outlineLevel="1" x14ac:dyDescent="0.25">
      <c r="A6" s="66" t="s">
        <v>148</v>
      </c>
      <c r="B6" s="67"/>
      <c r="C6" s="67">
        <f t="shared" ref="C6:E7" si="0">B6</f>
        <v>0</v>
      </c>
      <c r="D6" s="67">
        <f t="shared" si="0"/>
        <v>0</v>
      </c>
      <c r="E6" s="67">
        <f t="shared" si="0"/>
        <v>0</v>
      </c>
      <c r="F6" s="68">
        <f>CHOOSE(MATCH(B$2,$B$4:$E$4,0),B6,C6,D6,E6)</f>
        <v>0</v>
      </c>
      <c r="G6" s="69">
        <f>IFERROR(F6/F$8,0)</f>
        <v>0</v>
      </c>
      <c r="H6" s="70" t="s">
        <v>149</v>
      </c>
    </row>
    <row r="7" spans="1:9" ht="18" customHeight="1" outlineLevel="1" x14ac:dyDescent="0.25">
      <c r="A7" s="71" t="s">
        <v>150</v>
      </c>
      <c r="B7" s="72"/>
      <c r="C7" s="72">
        <f t="shared" si="0"/>
        <v>0</v>
      </c>
      <c r="D7" s="72">
        <f t="shared" si="0"/>
        <v>0</v>
      </c>
      <c r="E7" s="72">
        <f t="shared" si="0"/>
        <v>0</v>
      </c>
      <c r="F7" s="68">
        <f>CHOOSE(MATCH(B$2,$B$4:$E$4,0),B7,C7,D7,E7)</f>
        <v>0</v>
      </c>
      <c r="G7" s="69">
        <f>IFERROR(F7/F$8,0)</f>
        <v>0</v>
      </c>
      <c r="H7" s="73" t="s">
        <v>151</v>
      </c>
    </row>
    <row r="8" spans="1:9" ht="18" customHeight="1" outlineLevel="1" x14ac:dyDescent="0.25">
      <c r="A8" s="21" t="s">
        <v>152</v>
      </c>
      <c r="B8" s="74"/>
      <c r="C8" s="74">
        <f>Units</f>
        <v>0</v>
      </c>
      <c r="D8" s="74">
        <f>C8</f>
        <v>0</v>
      </c>
      <c r="E8" s="74">
        <f>D8</f>
        <v>0</v>
      </c>
      <c r="F8" s="75">
        <f>CHOOSE(MATCH(B$2,$B$4:$E$4,0),B8,C8,D8,E8)</f>
        <v>0</v>
      </c>
      <c r="G8" s="76">
        <f>'Prop Info'!$B$15</f>
        <v>0</v>
      </c>
      <c r="H8" s="70" t="s">
        <v>153</v>
      </c>
    </row>
    <row r="9" spans="1:9" ht="18" customHeight="1" outlineLevel="1" x14ac:dyDescent="0.25">
      <c r="A9" s="6" t="s">
        <v>154</v>
      </c>
      <c r="B9" s="77" t="str">
        <f>IFERROR(B7/B8,"")</f>
        <v/>
      </c>
      <c r="C9" s="77" t="str">
        <f>IFERROR(C7/C8,"")</f>
        <v/>
      </c>
      <c r="D9" s="77" t="str">
        <f>IFERROR(D7/D8,"")</f>
        <v/>
      </c>
      <c r="E9" s="77" t="str">
        <f>IFERROR(E7/E8,"")</f>
        <v/>
      </c>
      <c r="F9" s="68" t="str">
        <f>IFERROR(CHOOSE(MATCH(B$2,$B$4:$E$4,0),B9,C9,D9,E9),"")</f>
        <v/>
      </c>
      <c r="G9" s="78" t="str">
        <f>IFERROR(F7/'Prop Info'!$B$15,"")</f>
        <v/>
      </c>
      <c r="H9" s="73" t="s">
        <v>155</v>
      </c>
    </row>
    <row r="10" spans="1:9" ht="18" customHeight="1" outlineLevel="1" x14ac:dyDescent="0.25">
      <c r="A10" s="66" t="s">
        <v>87</v>
      </c>
      <c r="B10" s="79"/>
      <c r="C10" s="79">
        <f>B10</f>
        <v>0</v>
      </c>
      <c r="D10" s="79">
        <f>C10</f>
        <v>0</v>
      </c>
      <c r="E10" s="79">
        <f>D10</f>
        <v>0</v>
      </c>
      <c r="F10" s="80">
        <f t="shared" ref="F10:F16" si="1">CHOOSE(MATCH(B$2,$B$4:$E$4,0),B10,C10,D10,E10)</f>
        <v>0</v>
      </c>
      <c r="G10" s="81"/>
      <c r="H10" s="70" t="s">
        <v>156</v>
      </c>
    </row>
    <row r="11" spans="1:9" ht="18" customHeight="1" outlineLevel="1" x14ac:dyDescent="0.25">
      <c r="A11" s="71" t="s">
        <v>157</v>
      </c>
      <c r="B11" s="77">
        <f>B10*B7</f>
        <v>0</v>
      </c>
      <c r="C11" s="77">
        <f>C10*C7</f>
        <v>0</v>
      </c>
      <c r="D11" s="77">
        <f>D10*D7</f>
        <v>0</v>
      </c>
      <c r="E11" s="77">
        <f>E10*E7</f>
        <v>0</v>
      </c>
      <c r="F11" s="68">
        <f t="shared" si="1"/>
        <v>0</v>
      </c>
      <c r="G11" s="69">
        <f>IFERROR(F11/F$8,0)</f>
        <v>0</v>
      </c>
      <c r="H11" s="73" t="s">
        <v>158</v>
      </c>
    </row>
    <row r="12" spans="1:9" ht="18" customHeight="1" outlineLevel="1" x14ac:dyDescent="0.25">
      <c r="A12" s="66" t="s">
        <v>159</v>
      </c>
      <c r="B12" s="82">
        <f>Capex!$D$51</f>
        <v>0</v>
      </c>
      <c r="C12" s="82">
        <f>B12</f>
        <v>0</v>
      </c>
      <c r="D12" s="82">
        <f>Capex!$D$51</f>
        <v>0</v>
      </c>
      <c r="E12" s="82">
        <f>Capex!$D$51</f>
        <v>0</v>
      </c>
      <c r="F12" s="68">
        <f t="shared" si="1"/>
        <v>0</v>
      </c>
      <c r="G12" s="69">
        <f>IFERROR(F12/F$8,0)</f>
        <v>0</v>
      </c>
      <c r="H12" s="70" t="s">
        <v>160</v>
      </c>
    </row>
    <row r="13" spans="1:9" ht="18" customHeight="1" outlineLevel="1" x14ac:dyDescent="0.25">
      <c r="A13" s="71" t="s">
        <v>161</v>
      </c>
      <c r="B13" s="77">
        <f>(B124/12)*$G$13</f>
        <v>0</v>
      </c>
      <c r="C13" s="77">
        <f>B13</f>
        <v>0</v>
      </c>
      <c r="D13" s="77">
        <f>C13</f>
        <v>0</v>
      </c>
      <c r="E13" s="77">
        <f>D13</f>
        <v>0</v>
      </c>
      <c r="F13" s="68">
        <f t="shared" si="1"/>
        <v>0</v>
      </c>
      <c r="G13" s="83">
        <v>1</v>
      </c>
      <c r="H13" s="73" t="s">
        <v>162</v>
      </c>
      <c r="I13" s="84"/>
    </row>
    <row r="14" spans="1:9" ht="18" customHeight="1" outlineLevel="1" x14ac:dyDescent="0.25">
      <c r="A14" s="66" t="s">
        <v>163</v>
      </c>
      <c r="B14" s="82" t="str">
        <f>'Acquisition Costs'!$D$37</f>
        <v/>
      </c>
      <c r="C14" s="82" t="str">
        <f>'Acquisition Costs'!$D$37</f>
        <v/>
      </c>
      <c r="D14" s="82" t="str">
        <f>'Acquisition Costs'!$D$37</f>
        <v/>
      </c>
      <c r="E14" s="82" t="str">
        <f>'Acquisition Costs'!$D$37</f>
        <v/>
      </c>
      <c r="F14" s="68" t="str">
        <f t="shared" si="1"/>
        <v/>
      </c>
      <c r="G14" s="85" t="str">
        <f>IFERROR(F14/F7,"")</f>
        <v/>
      </c>
      <c r="H14" s="70" t="s">
        <v>164</v>
      </c>
    </row>
    <row r="15" spans="1:9" ht="18" customHeight="1" outlineLevel="1" x14ac:dyDescent="0.25">
      <c r="A15" s="71" t="s">
        <v>165</v>
      </c>
      <c r="B15" s="86">
        <v>0</v>
      </c>
      <c r="C15" s="86">
        <f>B15</f>
        <v>0</v>
      </c>
      <c r="D15" s="86">
        <f>C15</f>
        <v>0</v>
      </c>
      <c r="E15" s="86">
        <f>D15</f>
        <v>0</v>
      </c>
      <c r="F15" s="80">
        <f t="shared" si="1"/>
        <v>0</v>
      </c>
      <c r="G15" s="81"/>
      <c r="H15" s="73" t="s">
        <v>166</v>
      </c>
    </row>
    <row r="16" spans="1:9" ht="18" customHeight="1" outlineLevel="1" x14ac:dyDescent="0.25">
      <c r="A16" s="66" t="s">
        <v>167</v>
      </c>
      <c r="B16" s="82">
        <f>B15*B7</f>
        <v>0</v>
      </c>
      <c r="C16" s="82">
        <f>C15*C7</f>
        <v>0</v>
      </c>
      <c r="D16" s="82">
        <f>D15*D7</f>
        <v>0</v>
      </c>
      <c r="E16" s="82">
        <f>E15*E7</f>
        <v>0</v>
      </c>
      <c r="F16" s="68">
        <f t="shared" si="1"/>
        <v>0</v>
      </c>
      <c r="G16" s="69">
        <f>IFERROR(F16/F$8,0)</f>
        <v>0</v>
      </c>
      <c r="H16" s="70" t="s">
        <v>168</v>
      </c>
    </row>
    <row r="17" spans="1:8" ht="18" customHeight="1" x14ac:dyDescent="0.25">
      <c r="A17" s="45" t="s">
        <v>169</v>
      </c>
      <c r="B17" s="87" t="str">
        <f>IFERROR(B7+B12+B13+B14+B16,"")</f>
        <v/>
      </c>
      <c r="C17" s="87" t="str">
        <f>IFERROR(C7+C12+C13+C14+C16,"")</f>
        <v/>
      </c>
      <c r="D17" s="87" t="str">
        <f>IFERROR(D7+D12+D13+D14+D16,"")</f>
        <v/>
      </c>
      <c r="E17" s="87" t="str">
        <f>IFERROR(E7+E12+E13+E14+E16,"")</f>
        <v/>
      </c>
      <c r="F17" s="88" t="str">
        <f>IFERROR(CHOOSE(MATCH(B$2,$B$4:$E$4,0),B17,C17,D17,E17),"")</f>
        <v/>
      </c>
      <c r="G17" s="89" t="str">
        <f>IFERROR(F17/F$8,"")</f>
        <v/>
      </c>
      <c r="H17" s="90" t="s">
        <v>170</v>
      </c>
    </row>
    <row r="19" spans="1:8" ht="24" customHeight="1" x14ac:dyDescent="0.25">
      <c r="A19" s="800" t="s">
        <v>171</v>
      </c>
      <c r="B19" s="798"/>
      <c r="C19" s="798"/>
      <c r="D19" s="798"/>
      <c r="E19" s="798"/>
      <c r="F19" s="798"/>
      <c r="G19" s="804"/>
      <c r="H19" s="805"/>
    </row>
    <row r="20" spans="1:8" ht="18" customHeight="1" outlineLevel="1" x14ac:dyDescent="0.25">
      <c r="A20" s="66" t="s">
        <v>172</v>
      </c>
      <c r="B20" s="91">
        <f>B141</f>
        <v>0</v>
      </c>
      <c r="C20" s="91">
        <f>C141</f>
        <v>0</v>
      </c>
      <c r="D20" s="91">
        <f>D141</f>
        <v>0</v>
      </c>
      <c r="E20" s="91">
        <f>E141</f>
        <v>0</v>
      </c>
      <c r="F20" s="92">
        <f t="shared" ref="F20:F25" si="2">CHOOSE(MATCH(B$2,$B$4:$E$4,0),B20,C20,D20,E20)</f>
        <v>0</v>
      </c>
      <c r="G20" s="93"/>
      <c r="H20" s="70" t="s">
        <v>173</v>
      </c>
    </row>
    <row r="21" spans="1:8" ht="18" customHeight="1" outlineLevel="1" x14ac:dyDescent="0.25">
      <c r="A21" s="71" t="s">
        <v>174</v>
      </c>
      <c r="B21" s="94">
        <f>B148</f>
        <v>0</v>
      </c>
      <c r="C21" s="94">
        <f>C148</f>
        <v>0</v>
      </c>
      <c r="D21" s="94">
        <f>D148</f>
        <v>0</v>
      </c>
      <c r="E21" s="94">
        <f>E148</f>
        <v>0</v>
      </c>
      <c r="F21" s="92">
        <f t="shared" si="2"/>
        <v>0</v>
      </c>
      <c r="G21" s="93"/>
      <c r="H21" s="73" t="s">
        <v>175</v>
      </c>
    </row>
    <row r="22" spans="1:8" ht="18" customHeight="1" outlineLevel="1" x14ac:dyDescent="0.25">
      <c r="A22" s="66" t="s">
        <v>176</v>
      </c>
      <c r="B22" s="91">
        <f>B155</f>
        <v>0</v>
      </c>
      <c r="C22" s="91">
        <f>C155</f>
        <v>0</v>
      </c>
      <c r="D22" s="91">
        <f>D155</f>
        <v>0</v>
      </c>
      <c r="E22" s="91">
        <f>E155</f>
        <v>0</v>
      </c>
      <c r="F22" s="92">
        <f t="shared" si="2"/>
        <v>0</v>
      </c>
      <c r="G22" s="93"/>
      <c r="H22" s="70" t="s">
        <v>177</v>
      </c>
    </row>
    <row r="23" spans="1:8" ht="18" customHeight="1" x14ac:dyDescent="0.25">
      <c r="A23" s="45" t="s">
        <v>178</v>
      </c>
      <c r="B23" s="87">
        <f>B20+B21+B22</f>
        <v>0</v>
      </c>
      <c r="C23" s="87">
        <f>C20+C21+C22</f>
        <v>0</v>
      </c>
      <c r="D23" s="87">
        <f>D20+D21+D22</f>
        <v>0</v>
      </c>
      <c r="E23" s="87">
        <f>E20+E21+E22</f>
        <v>0</v>
      </c>
      <c r="F23" s="88">
        <f t="shared" si="2"/>
        <v>0</v>
      </c>
      <c r="G23" s="89"/>
      <c r="H23" s="90" t="s">
        <v>179</v>
      </c>
    </row>
    <row r="24" spans="1:8" ht="18" customHeight="1" x14ac:dyDescent="0.25">
      <c r="A24" s="66" t="s">
        <v>180</v>
      </c>
      <c r="B24" s="95">
        <f>IFERROR(B23/B7,0)</f>
        <v>0</v>
      </c>
      <c r="C24" s="95">
        <f>IFERROR(C23/C7,0)</f>
        <v>0</v>
      </c>
      <c r="D24" s="95">
        <f>IFERROR(D23/D7,0)</f>
        <v>0</v>
      </c>
      <c r="E24" s="95">
        <f>IFERROR(E23/E7,0)</f>
        <v>0</v>
      </c>
      <c r="F24" s="80">
        <f t="shared" si="2"/>
        <v>0</v>
      </c>
      <c r="G24" s="81"/>
      <c r="H24" s="70" t="s">
        <v>181</v>
      </c>
    </row>
    <row r="25" spans="1:8" ht="18" customHeight="1" x14ac:dyDescent="0.25">
      <c r="A25" s="71" t="s">
        <v>182</v>
      </c>
      <c r="B25" s="96">
        <f>IFERROR(B23/B17,0)</f>
        <v>0</v>
      </c>
      <c r="C25" s="96">
        <f>IFERROR(C23/C17,0)</f>
        <v>0</v>
      </c>
      <c r="D25" s="96">
        <f>IFERROR(D23/D17,0)</f>
        <v>0</v>
      </c>
      <c r="E25" s="96">
        <f>IFERROR(E23/E17,0)</f>
        <v>0</v>
      </c>
      <c r="F25" s="80">
        <f t="shared" si="2"/>
        <v>0</v>
      </c>
      <c r="G25" s="81"/>
      <c r="H25" s="73" t="s">
        <v>183</v>
      </c>
    </row>
    <row r="27" spans="1:8" ht="24" customHeight="1" x14ac:dyDescent="0.25">
      <c r="A27" s="813" t="s">
        <v>184</v>
      </c>
      <c r="B27" s="798"/>
      <c r="C27" s="798"/>
      <c r="D27" s="798"/>
      <c r="E27" s="798"/>
      <c r="F27" s="798"/>
      <c r="G27" s="804"/>
      <c r="H27" s="805"/>
    </row>
    <row r="28" spans="1:8" ht="18" customHeight="1" outlineLevel="1" x14ac:dyDescent="0.25">
      <c r="A28" s="66" t="s">
        <v>185</v>
      </c>
      <c r="B28" s="97">
        <v>0.6</v>
      </c>
      <c r="C28" s="97">
        <f>B28</f>
        <v>0.6</v>
      </c>
      <c r="D28" s="97">
        <f>C28</f>
        <v>0.6</v>
      </c>
      <c r="E28" s="97">
        <f>D28</f>
        <v>0.6</v>
      </c>
      <c r="F28" s="98">
        <f t="shared" ref="F28:F36" si="3">CHOOSE(MATCH(B$2,$B$4:$E$4,0),B28,C28,D28,E28)</f>
        <v>0.6</v>
      </c>
      <c r="G28" s="99"/>
      <c r="H28" s="70" t="s">
        <v>186</v>
      </c>
    </row>
    <row r="29" spans="1:8" ht="18" customHeight="1" outlineLevel="1" x14ac:dyDescent="0.25">
      <c r="A29" s="66" t="s">
        <v>187</v>
      </c>
      <c r="B29" s="100">
        <f>1-B28</f>
        <v>0.4</v>
      </c>
      <c r="C29" s="100">
        <f>1-C28</f>
        <v>0.4</v>
      </c>
      <c r="D29" s="100">
        <f>1-D28</f>
        <v>0.4</v>
      </c>
      <c r="E29" s="100">
        <f>1-E28</f>
        <v>0.4</v>
      </c>
      <c r="F29" s="98">
        <f t="shared" si="3"/>
        <v>0.4</v>
      </c>
      <c r="G29" s="99"/>
      <c r="H29" s="73" t="s">
        <v>188</v>
      </c>
    </row>
    <row r="30" spans="1:8" ht="18" customHeight="1" outlineLevel="1" x14ac:dyDescent="0.25">
      <c r="A30" s="66" t="s">
        <v>189</v>
      </c>
      <c r="B30" s="101">
        <f>1-B28-B29</f>
        <v>0</v>
      </c>
      <c r="C30" s="101">
        <f>1-C28-C29</f>
        <v>0</v>
      </c>
      <c r="D30" s="101">
        <f>1-D28-D29</f>
        <v>0</v>
      </c>
      <c r="E30" s="101">
        <f>1-E28-E29</f>
        <v>0</v>
      </c>
      <c r="F30" s="98">
        <f t="shared" si="3"/>
        <v>0</v>
      </c>
      <c r="G30" s="99"/>
      <c r="H30" s="70" t="s">
        <v>190</v>
      </c>
    </row>
    <row r="31" spans="1:8" ht="18" customHeight="1" outlineLevel="1" x14ac:dyDescent="0.25">
      <c r="A31" s="102" t="s">
        <v>191</v>
      </c>
      <c r="B31" s="103">
        <f>IFERROR(B17-B170,0)</f>
        <v>0</v>
      </c>
      <c r="C31" s="103">
        <f>IFERROR(C17-C170,0)</f>
        <v>0</v>
      </c>
      <c r="D31" s="103">
        <f>IFERROR(D17-D170,0)</f>
        <v>0</v>
      </c>
      <c r="E31" s="103">
        <f>IFERROR(E17-E170,0)</f>
        <v>0</v>
      </c>
      <c r="F31" s="104">
        <f t="shared" si="3"/>
        <v>0</v>
      </c>
      <c r="G31" s="105"/>
      <c r="H31" s="90" t="s">
        <v>168</v>
      </c>
    </row>
    <row r="32" spans="1:8" ht="18" customHeight="1" outlineLevel="1" x14ac:dyDescent="0.25">
      <c r="A32" s="66" t="s">
        <v>192</v>
      </c>
      <c r="B32" s="106"/>
      <c r="C32" s="106">
        <f>B32</f>
        <v>0</v>
      </c>
      <c r="D32" s="106">
        <f>C32</f>
        <v>0</v>
      </c>
      <c r="E32" s="106">
        <f>D32</f>
        <v>0</v>
      </c>
      <c r="F32" s="104">
        <f t="shared" si="3"/>
        <v>0</v>
      </c>
      <c r="G32" s="105"/>
      <c r="H32" s="107" t="s">
        <v>193</v>
      </c>
    </row>
    <row r="33" spans="1:11" ht="18" customHeight="1" outlineLevel="1" x14ac:dyDescent="0.25">
      <c r="A33" s="66" t="s">
        <v>194</v>
      </c>
      <c r="B33" s="108">
        <f>B31-B32</f>
        <v>0</v>
      </c>
      <c r="C33" s="108">
        <f>C31-C32</f>
        <v>0</v>
      </c>
      <c r="D33" s="108">
        <f>D31-D32</f>
        <v>0</v>
      </c>
      <c r="E33" s="108">
        <f>E31-E32</f>
        <v>0</v>
      </c>
      <c r="F33" s="104">
        <f t="shared" si="3"/>
        <v>0</v>
      </c>
      <c r="G33" s="105"/>
      <c r="H33" s="109" t="s">
        <v>195</v>
      </c>
    </row>
    <row r="34" spans="1:11" ht="18" customHeight="1" outlineLevel="1" x14ac:dyDescent="0.25">
      <c r="A34" s="66" t="s">
        <v>196</v>
      </c>
      <c r="B34" s="110">
        <f>B30*B31</f>
        <v>0</v>
      </c>
      <c r="C34" s="110">
        <f>C30*C31</f>
        <v>0</v>
      </c>
      <c r="D34" s="110">
        <f>D30*D31</f>
        <v>0</v>
      </c>
      <c r="E34" s="110">
        <f>E30*E31</f>
        <v>0</v>
      </c>
      <c r="F34" s="104">
        <f t="shared" si="3"/>
        <v>0</v>
      </c>
      <c r="G34" s="105"/>
      <c r="H34" s="70" t="s">
        <v>168</v>
      </c>
    </row>
    <row r="35" spans="1:11" ht="18" customHeight="1" outlineLevel="1" x14ac:dyDescent="0.25">
      <c r="A35" s="71" t="s">
        <v>197</v>
      </c>
      <c r="B35" s="111">
        <v>0</v>
      </c>
      <c r="C35" s="111">
        <f>B35</f>
        <v>0</v>
      </c>
      <c r="D35" s="111">
        <f>C35</f>
        <v>0</v>
      </c>
      <c r="E35" s="111">
        <f>D35</f>
        <v>0</v>
      </c>
      <c r="F35" s="80">
        <f t="shared" si="3"/>
        <v>0</v>
      </c>
      <c r="G35" s="81"/>
      <c r="H35" s="73" t="s">
        <v>198</v>
      </c>
    </row>
    <row r="36" spans="1:11" ht="18" customHeight="1" outlineLevel="1" x14ac:dyDescent="0.25">
      <c r="A36" s="112" t="s">
        <v>199</v>
      </c>
      <c r="B36" s="113">
        <f>B28</f>
        <v>0.6</v>
      </c>
      <c r="C36" s="113">
        <f>C28</f>
        <v>0.6</v>
      </c>
      <c r="D36" s="113">
        <f>D28</f>
        <v>0.6</v>
      </c>
      <c r="E36" s="113">
        <f>E28</f>
        <v>0.6</v>
      </c>
      <c r="F36" s="98">
        <f t="shared" si="3"/>
        <v>0.6</v>
      </c>
      <c r="G36" s="99"/>
      <c r="H36" s="114" t="s">
        <v>200</v>
      </c>
    </row>
    <row r="37" spans="1:11" ht="21.75" customHeight="1" x14ac:dyDescent="0.25">
      <c r="A37" s="808" t="s">
        <v>201</v>
      </c>
      <c r="B37" s="798"/>
      <c r="C37" s="798"/>
      <c r="D37" s="798"/>
      <c r="E37" s="798"/>
      <c r="F37" s="798"/>
      <c r="G37" s="804"/>
      <c r="H37" s="805"/>
      <c r="I37" s="116"/>
      <c r="J37" s="116"/>
      <c r="K37" s="116"/>
    </row>
    <row r="38" spans="1:11" ht="18" customHeight="1" x14ac:dyDescent="0.25">
      <c r="A38" s="117" t="s">
        <v>202</v>
      </c>
      <c r="B38" s="117"/>
      <c r="C38" s="118"/>
      <c r="D38" s="118"/>
      <c r="E38" s="118"/>
      <c r="F38" s="117"/>
      <c r="G38" s="119"/>
      <c r="H38" s="120"/>
      <c r="I38" s="116"/>
      <c r="J38" s="116"/>
      <c r="K38" s="116"/>
    </row>
    <row r="39" spans="1:11" ht="18" customHeight="1" outlineLevel="3" x14ac:dyDescent="0.25">
      <c r="A39" s="121" t="s">
        <v>203</v>
      </c>
      <c r="B39" s="122">
        <v>0</v>
      </c>
      <c r="C39" s="123">
        <f t="shared" ref="C39:E40" si="4">B39</f>
        <v>0</v>
      </c>
      <c r="D39" s="123">
        <f t="shared" si="4"/>
        <v>0</v>
      </c>
      <c r="E39" s="123">
        <f t="shared" si="4"/>
        <v>0</v>
      </c>
      <c r="F39" s="124">
        <f>CHOOSE(MATCH(B$2,$B$4:$E$4,0),B39,C39,D39,E39)</f>
        <v>0</v>
      </c>
      <c r="G39" s="125"/>
      <c r="H39" s="126" t="s">
        <v>204</v>
      </c>
      <c r="I39" s="116"/>
      <c r="J39" s="116"/>
      <c r="K39" s="116"/>
    </row>
    <row r="40" spans="1:11" ht="18" customHeight="1" outlineLevel="3" x14ac:dyDescent="0.25">
      <c r="A40" s="121" t="s">
        <v>205</v>
      </c>
      <c r="B40" s="127">
        <v>0</v>
      </c>
      <c r="C40" s="128">
        <f t="shared" si="4"/>
        <v>0</v>
      </c>
      <c r="D40" s="128">
        <f t="shared" si="4"/>
        <v>0</v>
      </c>
      <c r="E40" s="128">
        <f t="shared" si="4"/>
        <v>0</v>
      </c>
      <c r="F40" s="129">
        <f>CHOOSE(MATCH(B$2,$B$4:$E$4,0),B40,C40,D40,E40)</f>
        <v>0</v>
      </c>
      <c r="G40" s="125"/>
      <c r="H40" s="126" t="s">
        <v>206</v>
      </c>
      <c r="I40" s="116"/>
      <c r="J40" s="116"/>
      <c r="K40" s="116"/>
    </row>
    <row r="41" spans="1:11" ht="18" customHeight="1" outlineLevel="3" x14ac:dyDescent="0.25">
      <c r="A41" s="121" t="s">
        <v>207</v>
      </c>
      <c r="B41" s="128">
        <f>B39*B40*12</f>
        <v>0</v>
      </c>
      <c r="C41" s="128">
        <f>C39*C40*12</f>
        <v>0</v>
      </c>
      <c r="D41" s="128">
        <f>D39*D40*12</f>
        <v>0</v>
      </c>
      <c r="E41" s="128">
        <f>E39*E40*12</f>
        <v>0</v>
      </c>
      <c r="F41" s="129">
        <f>CHOOSE(MATCH(B$2,$B$4:$E$4,0),B41,C41,D41,E41)</f>
        <v>0</v>
      </c>
      <c r="G41" s="125">
        <f>IFERROR(F41/F$63/12,0)</f>
        <v>0</v>
      </c>
      <c r="H41" s="126" t="s">
        <v>208</v>
      </c>
      <c r="I41" s="116"/>
      <c r="J41" s="116"/>
      <c r="K41" s="116"/>
    </row>
    <row r="42" spans="1:11" ht="18" customHeight="1" outlineLevel="3" x14ac:dyDescent="0.25">
      <c r="A42" s="121" t="s">
        <v>209</v>
      </c>
      <c r="B42" s="130">
        <v>0</v>
      </c>
      <c r="C42" s="131">
        <f>B42</f>
        <v>0</v>
      </c>
      <c r="D42" s="131">
        <f>C42</f>
        <v>0</v>
      </c>
      <c r="E42" s="131">
        <f>D42</f>
        <v>0</v>
      </c>
      <c r="F42" s="132">
        <f>CHOOSE(MATCH(B$2,$B$4:$E$4,0),B42,C42,D42,E42)</f>
        <v>0</v>
      </c>
      <c r="G42" s="125"/>
      <c r="H42" s="133" t="s">
        <v>210</v>
      </c>
      <c r="I42" s="116"/>
      <c r="J42" s="116"/>
      <c r="K42" s="116"/>
    </row>
    <row r="43" spans="1:11" ht="18" customHeight="1" outlineLevel="3" x14ac:dyDescent="0.25">
      <c r="A43" s="134" t="s">
        <v>211</v>
      </c>
      <c r="B43" s="123">
        <f>ROUND(B39*(1-B42),0)</f>
        <v>0</v>
      </c>
      <c r="C43" s="123">
        <f>ROUND(C39*(1-C42),0)</f>
        <v>0</v>
      </c>
      <c r="D43" s="123">
        <f>ROUND(D39*(1-D42),0)</f>
        <v>0</v>
      </c>
      <c r="E43" s="123">
        <f>ROUND(E39*(1-E42),0)</f>
        <v>0</v>
      </c>
      <c r="F43" s="124">
        <f>CHOOSE(MATCH(B$2,$B$4:$E$4,0),B43,C43,D43,E43)</f>
        <v>0</v>
      </c>
      <c r="G43" s="125"/>
      <c r="H43" s="126" t="s">
        <v>212</v>
      </c>
      <c r="I43" s="116"/>
      <c r="J43" s="116"/>
      <c r="K43" s="116"/>
    </row>
    <row r="44" spans="1:11" ht="18" customHeight="1" x14ac:dyDescent="0.25">
      <c r="A44" s="117" t="s">
        <v>213</v>
      </c>
      <c r="B44" s="135"/>
      <c r="C44" s="136"/>
      <c r="D44" s="136"/>
      <c r="E44" s="136"/>
      <c r="F44" s="137"/>
      <c r="G44" s="119"/>
      <c r="H44" s="120"/>
      <c r="I44" s="116"/>
      <c r="J44" s="116"/>
      <c r="K44" s="116"/>
    </row>
    <row r="45" spans="1:11" ht="18" customHeight="1" outlineLevel="2" x14ac:dyDescent="0.25">
      <c r="A45" s="121" t="s">
        <v>214</v>
      </c>
      <c r="B45" s="122">
        <v>0</v>
      </c>
      <c r="C45" s="123">
        <f t="shared" ref="C45:E46" si="5">B45</f>
        <v>0</v>
      </c>
      <c r="D45" s="123">
        <f t="shared" si="5"/>
        <v>0</v>
      </c>
      <c r="E45" s="123">
        <f t="shared" si="5"/>
        <v>0</v>
      </c>
      <c r="F45" s="124">
        <f>CHOOSE(MATCH(B$2,$B$4:$E$4,0),B45,C45,D45,E45)</f>
        <v>0</v>
      </c>
      <c r="G45" s="125"/>
      <c r="H45" s="133" t="s">
        <v>215</v>
      </c>
      <c r="I45" s="116"/>
      <c r="J45" s="116"/>
      <c r="K45" s="116"/>
    </row>
    <row r="46" spans="1:11" ht="18" customHeight="1" outlineLevel="2" x14ac:dyDescent="0.25">
      <c r="A46" s="121" t="s">
        <v>216</v>
      </c>
      <c r="B46" s="127">
        <v>0</v>
      </c>
      <c r="C46" s="128">
        <f t="shared" si="5"/>
        <v>0</v>
      </c>
      <c r="D46" s="128">
        <f t="shared" si="5"/>
        <v>0</v>
      </c>
      <c r="E46" s="128">
        <f t="shared" si="5"/>
        <v>0</v>
      </c>
      <c r="F46" s="129">
        <f>CHOOSE(MATCH(B$2,$B$4:$E$4,0),B46,C46,D46,E46)</f>
        <v>0</v>
      </c>
      <c r="G46" s="125"/>
      <c r="H46" s="133" t="s">
        <v>217</v>
      </c>
      <c r="I46" s="116"/>
      <c r="J46" s="116"/>
      <c r="K46" s="116"/>
    </row>
    <row r="47" spans="1:11" ht="18" customHeight="1" outlineLevel="2" x14ac:dyDescent="0.25">
      <c r="A47" s="134" t="s">
        <v>218</v>
      </c>
      <c r="B47" s="128">
        <f>B45*B46*12</f>
        <v>0</v>
      </c>
      <c r="C47" s="128">
        <f>C45*C46*12</f>
        <v>0</v>
      </c>
      <c r="D47" s="128">
        <f>D45*D46*12</f>
        <v>0</v>
      </c>
      <c r="E47" s="128">
        <f>E45*E46*12</f>
        <v>0</v>
      </c>
      <c r="F47" s="129">
        <f>CHOOSE(MATCH(B$2,$B$4:$E$4,0),B47,C47,D47,E47)</f>
        <v>0</v>
      </c>
      <c r="G47" s="125">
        <f>IFERROR(F47/F$63/12,0)</f>
        <v>0</v>
      </c>
      <c r="H47" s="133" t="s">
        <v>219</v>
      </c>
      <c r="I47" s="116"/>
      <c r="J47" s="116"/>
      <c r="K47" s="116"/>
    </row>
    <row r="48" spans="1:11" ht="18" customHeight="1" outlineLevel="2" x14ac:dyDescent="0.25">
      <c r="A48" s="121" t="s">
        <v>220</v>
      </c>
      <c r="B48" s="130">
        <v>0</v>
      </c>
      <c r="C48" s="131">
        <f>B48</f>
        <v>0</v>
      </c>
      <c r="D48" s="131">
        <f>C48</f>
        <v>0</v>
      </c>
      <c r="E48" s="131">
        <f>D48</f>
        <v>0</v>
      </c>
      <c r="F48" s="132">
        <f>CHOOSE(MATCH(B$2,$B$4:$E$4,0),B48,C48,D48,E48)</f>
        <v>0</v>
      </c>
      <c r="G48" s="138"/>
      <c r="H48" s="133" t="s">
        <v>221</v>
      </c>
      <c r="I48" s="116"/>
      <c r="J48" s="116"/>
      <c r="K48" s="116"/>
    </row>
    <row r="49" spans="1:11" ht="18" customHeight="1" outlineLevel="2" x14ac:dyDescent="0.25">
      <c r="A49" s="121" t="s">
        <v>222</v>
      </c>
      <c r="B49" s="123">
        <f>ROUND(B45*(1-B48),0)</f>
        <v>0</v>
      </c>
      <c r="C49" s="123">
        <f>ROUND(C45*(1-C48),0)</f>
        <v>0</v>
      </c>
      <c r="D49" s="123">
        <f>ROUND(D45*(1-D48),0)</f>
        <v>0</v>
      </c>
      <c r="E49" s="123">
        <f>ROUND(E45*(1-E48),0)</f>
        <v>0</v>
      </c>
      <c r="F49" s="124">
        <f>CHOOSE(MATCH(B$2,$B$4:$E$4,0),B49,C49,D49,E49)</f>
        <v>0</v>
      </c>
      <c r="G49" s="138"/>
      <c r="H49" s="133" t="s">
        <v>223</v>
      </c>
      <c r="I49" s="116"/>
      <c r="J49" s="116"/>
      <c r="K49" s="116"/>
    </row>
    <row r="50" spans="1:11" ht="18" customHeight="1" x14ac:dyDescent="0.25">
      <c r="A50" s="117" t="s">
        <v>224</v>
      </c>
      <c r="B50" s="137"/>
      <c r="C50" s="136"/>
      <c r="D50" s="136"/>
      <c r="E50" s="136"/>
      <c r="F50" s="137"/>
      <c r="G50" s="119"/>
      <c r="H50" s="120"/>
      <c r="I50" s="116"/>
      <c r="J50" s="116"/>
      <c r="K50" s="116"/>
    </row>
    <row r="51" spans="1:11" ht="24" customHeight="1" outlineLevel="2" x14ac:dyDescent="0.25">
      <c r="A51" s="121" t="s">
        <v>225</v>
      </c>
      <c r="B51" s="122">
        <v>0</v>
      </c>
      <c r="C51" s="123">
        <f t="shared" ref="C51:E52" si="6">B51</f>
        <v>0</v>
      </c>
      <c r="D51" s="123">
        <f t="shared" si="6"/>
        <v>0</v>
      </c>
      <c r="E51" s="123">
        <f t="shared" si="6"/>
        <v>0</v>
      </c>
      <c r="F51" s="124">
        <f>CHOOSE(MATCH(B$2,$B$4:$E$4,0),B51,C51,D51,E51)</f>
        <v>0</v>
      </c>
      <c r="G51" s="139"/>
      <c r="H51" s="126" t="s">
        <v>226</v>
      </c>
      <c r="I51" s="116"/>
      <c r="J51" s="116"/>
      <c r="K51" s="116"/>
    </row>
    <row r="52" spans="1:11" ht="18" customHeight="1" outlineLevel="2" x14ac:dyDescent="0.25">
      <c r="A52" s="134" t="s">
        <v>227</v>
      </c>
      <c r="B52" s="127">
        <v>0</v>
      </c>
      <c r="C52" s="128">
        <f t="shared" si="6"/>
        <v>0</v>
      </c>
      <c r="D52" s="128">
        <f t="shared" si="6"/>
        <v>0</v>
      </c>
      <c r="E52" s="128">
        <f t="shared" si="6"/>
        <v>0</v>
      </c>
      <c r="F52" s="129">
        <f>CHOOSE(MATCH(B$2,$B$4:$E$4,0),B52,C52,D52,E52)</f>
        <v>0</v>
      </c>
      <c r="G52" s="125"/>
      <c r="H52" s="133" t="s">
        <v>228</v>
      </c>
      <c r="I52" s="116"/>
      <c r="J52" s="116"/>
      <c r="K52" s="116"/>
    </row>
    <row r="53" spans="1:11" ht="18" customHeight="1" outlineLevel="2" x14ac:dyDescent="0.25">
      <c r="A53" s="121" t="s">
        <v>229</v>
      </c>
      <c r="B53" s="128">
        <f>B51*B52*12</f>
        <v>0</v>
      </c>
      <c r="C53" s="128">
        <f>C51*C52*12</f>
        <v>0</v>
      </c>
      <c r="D53" s="128">
        <f>D51*D52*12</f>
        <v>0</v>
      </c>
      <c r="E53" s="128">
        <f>E51*E52*12</f>
        <v>0</v>
      </c>
      <c r="F53" s="129">
        <f>CHOOSE(MATCH(B$2,$B$4:$E$4,0),B53,C53,D53,E53)</f>
        <v>0</v>
      </c>
      <c r="G53" s="125">
        <f>IFERROR(F53/F$63/12,0)</f>
        <v>0</v>
      </c>
      <c r="H53" s="126" t="s">
        <v>230</v>
      </c>
      <c r="I53" s="116"/>
      <c r="J53" s="116"/>
      <c r="K53" s="116"/>
    </row>
    <row r="54" spans="1:11" ht="18" customHeight="1" outlineLevel="2" x14ac:dyDescent="0.25">
      <c r="A54" s="121" t="s">
        <v>231</v>
      </c>
      <c r="B54" s="130">
        <v>0</v>
      </c>
      <c r="C54" s="131">
        <f>B54</f>
        <v>0</v>
      </c>
      <c r="D54" s="131">
        <f>C54</f>
        <v>0</v>
      </c>
      <c r="E54" s="131">
        <f>D54</f>
        <v>0</v>
      </c>
      <c r="F54" s="132">
        <f>CHOOSE(MATCH(B$2,$B$4:$E$4,0),B54,C54,D54,E54)</f>
        <v>0</v>
      </c>
      <c r="G54" s="125"/>
      <c r="H54" s="126" t="s">
        <v>232</v>
      </c>
      <c r="I54" s="116"/>
      <c r="J54" s="116"/>
      <c r="K54" s="116"/>
    </row>
    <row r="55" spans="1:11" ht="18" customHeight="1" outlineLevel="2" x14ac:dyDescent="0.25">
      <c r="A55" s="121" t="s">
        <v>233</v>
      </c>
      <c r="B55" s="123">
        <f>ROUND(B51*(1-B54),0)</f>
        <v>0</v>
      </c>
      <c r="C55" s="123">
        <f>ROUND(C51*(1-C54),0)</f>
        <v>0</v>
      </c>
      <c r="D55" s="123">
        <f>ROUND(D51*(1-D54),0)</f>
        <v>0</v>
      </c>
      <c r="E55" s="123">
        <f>ROUND(E51*(1-E54),0)</f>
        <v>0</v>
      </c>
      <c r="F55" s="124">
        <f>CHOOSE(MATCH(B$2,$B$4:$E$4,0),B55,C55,D55,E55)</f>
        <v>0</v>
      </c>
      <c r="G55" s="125"/>
      <c r="H55" s="126" t="s">
        <v>234</v>
      </c>
      <c r="I55" s="116"/>
      <c r="J55" s="116"/>
      <c r="K55" s="116"/>
    </row>
    <row r="56" spans="1:11" ht="18" customHeight="1" x14ac:dyDescent="0.25">
      <c r="A56" s="117" t="str">
        <f>"── OTHER CARE ("&amp;'Prop Info'!$D$13&amp;") ──"</f>
        <v>── OTHER CARE () ──</v>
      </c>
      <c r="B56" s="137"/>
      <c r="C56" s="136"/>
      <c r="D56" s="136"/>
      <c r="E56" s="136"/>
      <c r="F56" s="137"/>
      <c r="G56" s="119"/>
      <c r="H56" s="120"/>
      <c r="I56" s="116"/>
      <c r="J56" s="116"/>
      <c r="K56" s="116"/>
    </row>
    <row r="57" spans="1:11" ht="24" customHeight="1" outlineLevel="2" x14ac:dyDescent="0.25">
      <c r="A57" s="121" t="str">
        <f>"  Licensed Beds — Other Care ("&amp;'Prop Info'!$D$13&amp;")"</f>
        <v xml:space="preserve">  Licensed Beds — Other Care ()</v>
      </c>
      <c r="B57" s="122">
        <v>0</v>
      </c>
      <c r="C57" s="123">
        <f t="shared" ref="C57:E58" si="7">B57</f>
        <v>0</v>
      </c>
      <c r="D57" s="123">
        <f t="shared" si="7"/>
        <v>0</v>
      </c>
      <c r="E57" s="123">
        <f t="shared" si="7"/>
        <v>0</v>
      </c>
      <c r="F57" s="124">
        <f>CHOOSE(MATCH(B$2,$B$4:$E$4,0),B57,C57,D57,E57)</f>
        <v>0</v>
      </c>
      <c r="G57" s="139"/>
      <c r="H57" s="126" t="s">
        <v>235</v>
      </c>
      <c r="I57" s="116"/>
      <c r="J57" s="116"/>
      <c r="K57" s="116"/>
    </row>
    <row r="58" spans="1:11" ht="18" customHeight="1" outlineLevel="2" x14ac:dyDescent="0.25">
      <c r="A58" s="134" t="str">
        <f>"  Avg Monthly Rate — Other Care ("&amp;'Prop Info'!$D$13&amp;")"</f>
        <v xml:space="preserve">  Avg Monthly Rate — Other Care ()</v>
      </c>
      <c r="B58" s="127">
        <v>0</v>
      </c>
      <c r="C58" s="128">
        <f t="shared" si="7"/>
        <v>0</v>
      </c>
      <c r="D58" s="128">
        <f t="shared" si="7"/>
        <v>0</v>
      </c>
      <c r="E58" s="128">
        <f t="shared" si="7"/>
        <v>0</v>
      </c>
      <c r="F58" s="129">
        <f>CHOOSE(MATCH(B$2,$B$4:$E$4,0),B58,C58,D58,E58)</f>
        <v>0</v>
      </c>
      <c r="G58" s="125"/>
      <c r="H58" s="133" t="s">
        <v>236</v>
      </c>
      <c r="I58" s="116"/>
      <c r="J58" s="116"/>
      <c r="K58" s="116"/>
    </row>
    <row r="59" spans="1:11" ht="18" customHeight="1" outlineLevel="2" x14ac:dyDescent="0.25">
      <c r="A59" s="121" t="str">
        <f>"  GPR — Other Care ("&amp;'Prop Info'!$D$13&amp;")"</f>
        <v xml:space="preserve">  GPR — Other Care ()</v>
      </c>
      <c r="B59" s="128">
        <f>B57*B58*12</f>
        <v>0</v>
      </c>
      <c r="C59" s="128">
        <f>C57*C58*12</f>
        <v>0</v>
      </c>
      <c r="D59" s="128">
        <f>D57*D58*12</f>
        <v>0</v>
      </c>
      <c r="E59" s="128">
        <f>E57*E58*12</f>
        <v>0</v>
      </c>
      <c r="F59" s="129">
        <f>CHOOSE(MATCH(B$2,$B$4:$E$4,0),B59,C59,D59,E59)</f>
        <v>0</v>
      </c>
      <c r="G59" s="125">
        <f>IFERROR(F59/F$63/12,0)</f>
        <v>0</v>
      </c>
      <c r="H59" s="126" t="s">
        <v>237</v>
      </c>
      <c r="I59" s="116"/>
      <c r="J59" s="116"/>
      <c r="K59" s="116"/>
    </row>
    <row r="60" spans="1:11" ht="18" customHeight="1" outlineLevel="2" x14ac:dyDescent="0.25">
      <c r="A60" s="121" t="str">
        <f>"  Vacancy % — Other Care ("&amp;'Prop Info'!$D$13&amp;")"</f>
        <v xml:space="preserve">  Vacancy % — Other Care ()</v>
      </c>
      <c r="B60" s="130">
        <v>0</v>
      </c>
      <c r="C60" s="131">
        <f>B60</f>
        <v>0</v>
      </c>
      <c r="D60" s="131">
        <f>C60</f>
        <v>0</v>
      </c>
      <c r="E60" s="131">
        <f>D60</f>
        <v>0</v>
      </c>
      <c r="F60" s="132">
        <f>CHOOSE(MATCH(B$2,$B$4:$E$4,0),B60,C60,D60,E60)</f>
        <v>0</v>
      </c>
      <c r="G60" s="125"/>
      <c r="H60" s="126" t="s">
        <v>238</v>
      </c>
      <c r="I60" s="116"/>
      <c r="J60" s="116"/>
      <c r="K60" s="116"/>
    </row>
    <row r="61" spans="1:11" ht="18" customHeight="1" outlineLevel="2" x14ac:dyDescent="0.25">
      <c r="A61" s="121" t="str">
        <f>"  Occupied Beds — Other Care ("&amp;'Prop Info'!$D$13&amp;")"</f>
        <v xml:space="preserve">  Occupied Beds — Other Care ()</v>
      </c>
      <c r="B61" s="123">
        <f>ROUND(B57*(1-B60),0)</f>
        <v>0</v>
      </c>
      <c r="C61" s="123">
        <f>ROUND(C57*(1-C60),0)</f>
        <v>0</v>
      </c>
      <c r="D61" s="123">
        <f>ROUND(D57*(1-D60),0)</f>
        <v>0</v>
      </c>
      <c r="E61" s="123">
        <f>ROUND(E57*(1-E60),0)</f>
        <v>0</v>
      </c>
      <c r="F61" s="124">
        <f>CHOOSE(MATCH(B$2,$B$4:$E$4,0),B61,C61,D61,E61)</f>
        <v>0</v>
      </c>
      <c r="G61" s="125"/>
      <c r="H61" s="126" t="s">
        <v>239</v>
      </c>
      <c r="I61" s="116"/>
      <c r="J61" s="116"/>
      <c r="K61" s="116"/>
    </row>
    <row r="62" spans="1:11" ht="18" customHeight="1" x14ac:dyDescent="0.25">
      <c r="A62" s="140" t="s">
        <v>240</v>
      </c>
      <c r="B62" s="141"/>
      <c r="C62" s="142"/>
      <c r="D62" s="142"/>
      <c r="E62" s="142"/>
      <c r="F62" s="141"/>
      <c r="G62" s="143"/>
      <c r="H62" s="144"/>
      <c r="I62" s="116"/>
      <c r="J62" s="116"/>
      <c r="K62" s="116"/>
    </row>
    <row r="63" spans="1:11" ht="18" customHeight="1" x14ac:dyDescent="0.25">
      <c r="A63" s="145" t="s">
        <v>241</v>
      </c>
      <c r="B63" s="146">
        <f>B39+B45+B51+B57</f>
        <v>0</v>
      </c>
      <c r="C63" s="146">
        <f>C39+C45+C51+C57</f>
        <v>0</v>
      </c>
      <c r="D63" s="146">
        <f>D39+D45+D51+D57</f>
        <v>0</v>
      </c>
      <c r="E63" s="146">
        <f>E39+E45+E51+E57</f>
        <v>0</v>
      </c>
      <c r="F63" s="147">
        <f t="shared" ref="F63:F76" si="8">CHOOSE(MATCH(B$2,$B$4:$E$4,0),B63,C63,D63,E63)</f>
        <v>0</v>
      </c>
      <c r="G63" s="138"/>
      <c r="H63" s="133" t="s">
        <v>242</v>
      </c>
      <c r="I63" s="116"/>
      <c r="J63" s="116"/>
      <c r="K63" s="116"/>
    </row>
    <row r="64" spans="1:11" ht="18" customHeight="1" x14ac:dyDescent="0.25">
      <c r="A64" s="145" t="s">
        <v>243</v>
      </c>
      <c r="B64" s="146">
        <f>B43+B49+B55+B61</f>
        <v>0</v>
      </c>
      <c r="C64" s="146">
        <f>C43+C49+C55+C61</f>
        <v>0</v>
      </c>
      <c r="D64" s="146">
        <f>D43+D49+D55+D61</f>
        <v>0</v>
      </c>
      <c r="E64" s="146">
        <f>E43+E49+E55+E61</f>
        <v>0</v>
      </c>
      <c r="F64" s="147">
        <f t="shared" si="8"/>
        <v>0</v>
      </c>
      <c r="G64" s="125"/>
      <c r="H64" s="133" t="s">
        <v>244</v>
      </c>
      <c r="I64" s="116"/>
      <c r="J64" s="116"/>
      <c r="K64" s="116"/>
    </row>
    <row r="65" spans="1:11" ht="18" customHeight="1" x14ac:dyDescent="0.25">
      <c r="A65" s="145" t="s">
        <v>245</v>
      </c>
      <c r="B65" s="148">
        <f>B41+B47+B53+B59</f>
        <v>0</v>
      </c>
      <c r="C65" s="148">
        <f>C41+C47+C53+C59</f>
        <v>0</v>
      </c>
      <c r="D65" s="148">
        <f>D41+D47+D53+D59</f>
        <v>0</v>
      </c>
      <c r="E65" s="148">
        <f>E41+E47+E53+E59</f>
        <v>0</v>
      </c>
      <c r="F65" s="149">
        <f t="shared" si="8"/>
        <v>0</v>
      </c>
      <c r="G65" s="138"/>
      <c r="H65" s="133" t="s">
        <v>246</v>
      </c>
      <c r="I65" s="116"/>
      <c r="J65" s="116"/>
      <c r="K65" s="116"/>
    </row>
    <row r="66" spans="1:11" ht="18" customHeight="1" outlineLevel="1" x14ac:dyDescent="0.25">
      <c r="A66" s="121" t="s">
        <v>247</v>
      </c>
      <c r="B66" s="131">
        <f>IFERROR((B42*B41+B48*B47+B54*B53+B60*B59)/B65,0)</f>
        <v>0</v>
      </c>
      <c r="C66" s="131">
        <f>IFERROR((C42*C41+C48*C47+C54*C53+C60*C59)/C65,0)</f>
        <v>0</v>
      </c>
      <c r="D66" s="131">
        <f>IFERROR((D42*D41+D48*D47+D54*D53+D60*D59)/D65,0)</f>
        <v>0</v>
      </c>
      <c r="E66" s="131">
        <f>IFERROR((E42*E41+E48*E47+E54*E53+E60*E59)/E65,0)</f>
        <v>0</v>
      </c>
      <c r="F66" s="132">
        <f t="shared" si="8"/>
        <v>0</v>
      </c>
      <c r="G66" s="125"/>
      <c r="H66" s="133" t="s">
        <v>248</v>
      </c>
      <c r="I66" s="116"/>
      <c r="J66" s="116"/>
      <c r="K66" s="116"/>
    </row>
    <row r="67" spans="1:11" ht="18" customHeight="1" outlineLevel="1" x14ac:dyDescent="0.25">
      <c r="A67" s="121" t="s">
        <v>249</v>
      </c>
      <c r="B67" s="128">
        <f>-B66*B65</f>
        <v>0</v>
      </c>
      <c r="C67" s="128">
        <f>-C66*C65</f>
        <v>0</v>
      </c>
      <c r="D67" s="128">
        <f>-D66*D65</f>
        <v>0</v>
      </c>
      <c r="E67" s="128">
        <f>-E66*E65</f>
        <v>0</v>
      </c>
      <c r="F67" s="129">
        <f t="shared" si="8"/>
        <v>0</v>
      </c>
      <c r="G67" s="138">
        <f>IFERROR(F67/F$76,0)</f>
        <v>0</v>
      </c>
      <c r="H67" s="133" t="s">
        <v>250</v>
      </c>
      <c r="I67" s="116"/>
      <c r="J67" s="116"/>
      <c r="K67" s="116"/>
    </row>
    <row r="68" spans="1:11" ht="18" customHeight="1" outlineLevel="1" x14ac:dyDescent="0.25">
      <c r="A68" s="121" t="s">
        <v>251</v>
      </c>
      <c r="B68" s="130">
        <v>0</v>
      </c>
      <c r="C68" s="131">
        <f>B68</f>
        <v>0</v>
      </c>
      <c r="D68" s="131">
        <f>C68</f>
        <v>0</v>
      </c>
      <c r="E68" s="131">
        <f>D68</f>
        <v>0</v>
      </c>
      <c r="F68" s="132">
        <f t="shared" si="8"/>
        <v>0</v>
      </c>
      <c r="G68" s="125"/>
      <c r="H68" s="133" t="s">
        <v>252</v>
      </c>
      <c r="I68" s="116"/>
      <c r="J68" s="116"/>
      <c r="K68" s="116"/>
    </row>
    <row r="69" spans="1:11" ht="18" customHeight="1" outlineLevel="1" x14ac:dyDescent="0.25">
      <c r="A69" s="121" t="s">
        <v>253</v>
      </c>
      <c r="B69" s="128">
        <f>-B68*B65</f>
        <v>0</v>
      </c>
      <c r="C69" s="128">
        <f>-C68*C65</f>
        <v>0</v>
      </c>
      <c r="D69" s="128">
        <f>-D68*D65</f>
        <v>0</v>
      </c>
      <c r="E69" s="128">
        <f>-E68*E65</f>
        <v>0</v>
      </c>
      <c r="F69" s="129">
        <f t="shared" si="8"/>
        <v>0</v>
      </c>
      <c r="G69" s="138">
        <f>IFERROR(F69/F$76,0)</f>
        <v>0</v>
      </c>
      <c r="H69" s="133" t="s">
        <v>254</v>
      </c>
      <c r="I69" s="116"/>
      <c r="J69" s="116"/>
      <c r="K69" s="116"/>
    </row>
    <row r="70" spans="1:11" ht="18" customHeight="1" outlineLevel="1" x14ac:dyDescent="0.25">
      <c r="A70" s="121" t="s">
        <v>255</v>
      </c>
      <c r="B70" s="130">
        <v>0</v>
      </c>
      <c r="C70" s="131">
        <f>B70</f>
        <v>0</v>
      </c>
      <c r="D70" s="131">
        <f>C70</f>
        <v>0</v>
      </c>
      <c r="E70" s="131">
        <f>D70</f>
        <v>0</v>
      </c>
      <c r="F70" s="132">
        <f t="shared" si="8"/>
        <v>0</v>
      </c>
      <c r="G70" s="138"/>
      <c r="H70" s="126" t="s">
        <v>256</v>
      </c>
      <c r="I70" s="116"/>
      <c r="J70" s="116"/>
      <c r="K70" s="116"/>
    </row>
    <row r="71" spans="1:11" ht="18" customHeight="1" outlineLevel="1" x14ac:dyDescent="0.25">
      <c r="A71" s="121" t="s">
        <v>257</v>
      </c>
      <c r="B71" s="128">
        <f>-B70*B65</f>
        <v>0</v>
      </c>
      <c r="C71" s="128">
        <f>-C70*C65</f>
        <v>0</v>
      </c>
      <c r="D71" s="128">
        <f>-D70*D65</f>
        <v>0</v>
      </c>
      <c r="E71" s="128">
        <f>-E70*E65</f>
        <v>0</v>
      </c>
      <c r="F71" s="129">
        <f t="shared" si="8"/>
        <v>0</v>
      </c>
      <c r="G71" s="138">
        <f>IFERROR(F71/F$76,0)</f>
        <v>0</v>
      </c>
      <c r="H71" s="126" t="s">
        <v>258</v>
      </c>
      <c r="I71" s="116"/>
      <c r="J71" s="116"/>
      <c r="K71" s="116"/>
    </row>
    <row r="72" spans="1:11" ht="18" customHeight="1" outlineLevel="1" x14ac:dyDescent="0.25">
      <c r="A72" s="121" t="s">
        <v>259</v>
      </c>
      <c r="B72" s="130">
        <v>0</v>
      </c>
      <c r="C72" s="131">
        <f>B72</f>
        <v>0</v>
      </c>
      <c r="D72" s="131">
        <f>C72</f>
        <v>0</v>
      </c>
      <c r="E72" s="131">
        <f>D72</f>
        <v>0</v>
      </c>
      <c r="F72" s="132">
        <f t="shared" si="8"/>
        <v>0</v>
      </c>
      <c r="G72" s="139"/>
      <c r="H72" s="133" t="s">
        <v>260</v>
      </c>
      <c r="I72" s="116"/>
      <c r="J72" s="116"/>
      <c r="K72" s="116"/>
    </row>
    <row r="73" spans="1:11" ht="18" customHeight="1" outlineLevel="1" x14ac:dyDescent="0.25">
      <c r="A73" s="134" t="s">
        <v>261</v>
      </c>
      <c r="B73" s="128">
        <f>B72*B65</f>
        <v>0</v>
      </c>
      <c r="C73" s="128">
        <f>C72*C65</f>
        <v>0</v>
      </c>
      <c r="D73" s="128">
        <f>D72*D65</f>
        <v>0</v>
      </c>
      <c r="E73" s="128">
        <f>E72*E65</f>
        <v>0</v>
      </c>
      <c r="F73" s="129">
        <f t="shared" si="8"/>
        <v>0</v>
      </c>
      <c r="G73" s="125">
        <f>IFERROR(F73/F$76,0)</f>
        <v>0</v>
      </c>
      <c r="H73" s="133" t="s">
        <v>262</v>
      </c>
      <c r="I73" s="116"/>
      <c r="J73" s="116"/>
      <c r="K73" s="116"/>
    </row>
    <row r="74" spans="1:11" ht="18" customHeight="1" outlineLevel="1" x14ac:dyDescent="0.25">
      <c r="A74" s="121" t="s">
        <v>263</v>
      </c>
      <c r="B74" s="127">
        <v>0</v>
      </c>
      <c r="C74" s="128">
        <f t="shared" ref="C74:E75" si="9">B74</f>
        <v>0</v>
      </c>
      <c r="D74" s="128">
        <f t="shared" si="9"/>
        <v>0</v>
      </c>
      <c r="E74" s="128">
        <f t="shared" si="9"/>
        <v>0</v>
      </c>
      <c r="F74" s="129">
        <f t="shared" si="8"/>
        <v>0</v>
      </c>
      <c r="G74" s="125">
        <f>IFERROR(F74/F$76,0)</f>
        <v>0</v>
      </c>
      <c r="H74" s="133" t="s">
        <v>264</v>
      </c>
      <c r="I74" s="116"/>
      <c r="J74" s="116"/>
      <c r="K74" s="116"/>
    </row>
    <row r="75" spans="1:11" ht="18" customHeight="1" outlineLevel="1" x14ac:dyDescent="0.25">
      <c r="A75" s="121" t="s">
        <v>265</v>
      </c>
      <c r="B75" s="127">
        <v>0</v>
      </c>
      <c r="C75" s="128">
        <f t="shared" si="9"/>
        <v>0</v>
      </c>
      <c r="D75" s="128">
        <f t="shared" si="9"/>
        <v>0</v>
      </c>
      <c r="E75" s="128">
        <f t="shared" si="9"/>
        <v>0</v>
      </c>
      <c r="F75" s="129">
        <f t="shared" si="8"/>
        <v>0</v>
      </c>
      <c r="G75" s="125">
        <f>IFERROR(F75/F$76,0)</f>
        <v>0</v>
      </c>
      <c r="H75" s="133" t="s">
        <v>266</v>
      </c>
      <c r="I75" s="116"/>
      <c r="J75" s="116"/>
      <c r="K75" s="116"/>
    </row>
    <row r="76" spans="1:11" ht="18" customHeight="1" x14ac:dyDescent="0.25">
      <c r="A76" s="150" t="s">
        <v>267</v>
      </c>
      <c r="B76" s="151">
        <f>B65+B67+B69+B71+B73+B74+B75</f>
        <v>0</v>
      </c>
      <c r="C76" s="151">
        <f>C65+C67+C69+C71+C73+C74+C75</f>
        <v>0</v>
      </c>
      <c r="D76" s="151">
        <f>D65+D67+D69+D71+D73+D74+D75</f>
        <v>0</v>
      </c>
      <c r="E76" s="151">
        <f>E65+E67+E69+E71+E73+E74+E75</f>
        <v>0</v>
      </c>
      <c r="F76" s="151">
        <f t="shared" si="8"/>
        <v>0</v>
      </c>
      <c r="G76" s="152">
        <f>IFERROR(F76/F$65,0)</f>
        <v>0</v>
      </c>
      <c r="H76" s="153" t="s">
        <v>268</v>
      </c>
      <c r="I76" s="116"/>
      <c r="J76" s="116"/>
      <c r="K76" s="116"/>
    </row>
    <row r="77" spans="1:11" ht="15" customHeight="1" x14ac:dyDescent="0.25">
      <c r="A77" s="154"/>
      <c r="B77" s="155"/>
      <c r="C77" s="155"/>
      <c r="D77" s="155"/>
      <c r="E77" s="155"/>
      <c r="F77" s="155"/>
      <c r="G77" s="156"/>
      <c r="H77" s="133"/>
      <c r="I77" s="116"/>
      <c r="J77" s="116"/>
      <c r="K77" s="116"/>
    </row>
    <row r="78" spans="1:11" ht="24" customHeight="1" x14ac:dyDescent="0.25">
      <c r="A78" s="808" t="s">
        <v>269</v>
      </c>
      <c r="B78" s="798"/>
      <c r="C78" s="798"/>
      <c r="D78" s="798"/>
      <c r="E78" s="798"/>
      <c r="F78" s="798"/>
      <c r="G78" s="804"/>
      <c r="H78" s="805"/>
      <c r="I78" s="116"/>
      <c r="J78" s="116"/>
      <c r="K78" s="116"/>
    </row>
    <row r="79" spans="1:11" ht="18" customHeight="1" x14ac:dyDescent="0.25">
      <c r="A79" s="157" t="s">
        <v>140</v>
      </c>
      <c r="B79" s="157" t="s">
        <v>138</v>
      </c>
      <c r="C79" s="157" t="s">
        <v>141</v>
      </c>
      <c r="D79" s="157" t="s">
        <v>142</v>
      </c>
      <c r="E79" s="157" t="str">
        <f>E4</f>
        <v>4. Best Scenario</v>
      </c>
      <c r="F79" s="157" t="s">
        <v>65</v>
      </c>
      <c r="G79" s="158" t="s">
        <v>270</v>
      </c>
      <c r="H79" s="140" t="s">
        <v>113</v>
      </c>
      <c r="I79" s="116"/>
      <c r="J79" s="116"/>
      <c r="K79" s="116"/>
    </row>
    <row r="80" spans="1:11" ht="18" customHeight="1" x14ac:dyDescent="0.25">
      <c r="A80" s="159" t="s">
        <v>271</v>
      </c>
      <c r="B80" s="160"/>
      <c r="C80" s="160"/>
      <c r="D80" s="160"/>
      <c r="E80" s="160"/>
      <c r="F80" s="161"/>
      <c r="G80" s="162"/>
      <c r="H80" s="163"/>
      <c r="J80" s="116"/>
      <c r="K80" s="116"/>
    </row>
    <row r="81" spans="1:11" ht="18" customHeight="1" outlineLevel="3" x14ac:dyDescent="0.25">
      <c r="A81" s="164" t="s">
        <v>272</v>
      </c>
      <c r="B81" s="165"/>
      <c r="C81" s="165">
        <f t="shared" ref="C81:E88" si="10">B81</f>
        <v>0</v>
      </c>
      <c r="D81" s="165">
        <f t="shared" si="10"/>
        <v>0</v>
      </c>
      <c r="E81" s="165">
        <f t="shared" si="10"/>
        <v>0</v>
      </c>
      <c r="F81" s="161">
        <f t="shared" ref="F81:F89" si="11">CHOOSE(MATCH(B$2,$B$4:$E$4,0),B81,C81,D81,E81)</f>
        <v>0</v>
      </c>
      <c r="G81" s="166">
        <f t="shared" ref="G81:G89" si="12">IFERROR(F81/F$76,0)</f>
        <v>0</v>
      </c>
      <c r="H81" s="167" t="s">
        <v>273</v>
      </c>
      <c r="J81" s="116"/>
      <c r="K81" s="116"/>
    </row>
    <row r="82" spans="1:11" ht="18" customHeight="1" outlineLevel="3" x14ac:dyDescent="0.25">
      <c r="A82" s="168" t="s">
        <v>274</v>
      </c>
      <c r="B82" s="160"/>
      <c r="C82" s="160">
        <f t="shared" si="10"/>
        <v>0</v>
      </c>
      <c r="D82" s="160">
        <f t="shared" si="10"/>
        <v>0</v>
      </c>
      <c r="E82" s="160">
        <f t="shared" si="10"/>
        <v>0</v>
      </c>
      <c r="F82" s="161">
        <f t="shared" si="11"/>
        <v>0</v>
      </c>
      <c r="G82" s="169">
        <f t="shared" si="12"/>
        <v>0</v>
      </c>
      <c r="H82" s="170" t="s">
        <v>275</v>
      </c>
      <c r="J82" s="116"/>
      <c r="K82" s="116"/>
    </row>
    <row r="83" spans="1:11" ht="18" customHeight="1" outlineLevel="3" x14ac:dyDescent="0.25">
      <c r="A83" s="164" t="s">
        <v>276</v>
      </c>
      <c r="B83" s="165"/>
      <c r="C83" s="165">
        <f t="shared" si="10"/>
        <v>0</v>
      </c>
      <c r="D83" s="165">
        <f t="shared" si="10"/>
        <v>0</v>
      </c>
      <c r="E83" s="165">
        <f t="shared" si="10"/>
        <v>0</v>
      </c>
      <c r="F83" s="161">
        <f t="shared" si="11"/>
        <v>0</v>
      </c>
      <c r="G83" s="166">
        <f t="shared" si="12"/>
        <v>0</v>
      </c>
      <c r="H83" s="167" t="s">
        <v>277</v>
      </c>
      <c r="J83" s="116"/>
      <c r="K83" s="116"/>
    </row>
    <row r="84" spans="1:11" ht="18" customHeight="1" outlineLevel="3" x14ac:dyDescent="0.25">
      <c r="A84" s="168" t="s">
        <v>278</v>
      </c>
      <c r="B84" s="160"/>
      <c r="C84" s="160">
        <f t="shared" si="10"/>
        <v>0</v>
      </c>
      <c r="D84" s="160">
        <f t="shared" si="10"/>
        <v>0</v>
      </c>
      <c r="E84" s="160">
        <f t="shared" si="10"/>
        <v>0</v>
      </c>
      <c r="F84" s="161">
        <f t="shared" si="11"/>
        <v>0</v>
      </c>
      <c r="G84" s="169">
        <f t="shared" si="12"/>
        <v>0</v>
      </c>
      <c r="H84" s="170" t="s">
        <v>279</v>
      </c>
      <c r="J84" s="116"/>
      <c r="K84" s="116"/>
    </row>
    <row r="85" spans="1:11" ht="18" customHeight="1" outlineLevel="3" x14ac:dyDescent="0.25">
      <c r="A85" s="164" t="s">
        <v>280</v>
      </c>
      <c r="B85" s="165"/>
      <c r="C85" s="165">
        <f t="shared" si="10"/>
        <v>0</v>
      </c>
      <c r="D85" s="165">
        <f t="shared" si="10"/>
        <v>0</v>
      </c>
      <c r="E85" s="165">
        <f t="shared" si="10"/>
        <v>0</v>
      </c>
      <c r="F85" s="161">
        <f t="shared" si="11"/>
        <v>0</v>
      </c>
      <c r="G85" s="166">
        <f t="shared" si="12"/>
        <v>0</v>
      </c>
      <c r="H85" s="167" t="s">
        <v>281</v>
      </c>
      <c r="J85" s="116"/>
      <c r="K85" s="116"/>
    </row>
    <row r="86" spans="1:11" ht="18" customHeight="1" outlineLevel="3" x14ac:dyDescent="0.25">
      <c r="A86" s="168" t="s">
        <v>282</v>
      </c>
      <c r="B86" s="160"/>
      <c r="C86" s="160">
        <f t="shared" si="10"/>
        <v>0</v>
      </c>
      <c r="D86" s="160">
        <f t="shared" si="10"/>
        <v>0</v>
      </c>
      <c r="E86" s="160">
        <f t="shared" si="10"/>
        <v>0</v>
      </c>
      <c r="F86" s="161">
        <f t="shared" si="11"/>
        <v>0</v>
      </c>
      <c r="G86" s="169">
        <f t="shared" si="12"/>
        <v>0</v>
      </c>
      <c r="H86" s="170" t="s">
        <v>283</v>
      </c>
      <c r="J86" s="116"/>
      <c r="K86" s="116"/>
    </row>
    <row r="87" spans="1:11" ht="24.75" customHeight="1" outlineLevel="3" x14ac:dyDescent="0.25">
      <c r="A87" s="164" t="s">
        <v>284</v>
      </c>
      <c r="B87" s="165"/>
      <c r="C87" s="165">
        <f t="shared" si="10"/>
        <v>0</v>
      </c>
      <c r="D87" s="165">
        <f t="shared" si="10"/>
        <v>0</v>
      </c>
      <c r="E87" s="165">
        <f t="shared" si="10"/>
        <v>0</v>
      </c>
      <c r="F87" s="161">
        <f t="shared" si="11"/>
        <v>0</v>
      </c>
      <c r="G87" s="166">
        <f t="shared" si="12"/>
        <v>0</v>
      </c>
      <c r="H87" s="167" t="s">
        <v>285</v>
      </c>
      <c r="J87" s="116"/>
      <c r="K87" s="116"/>
    </row>
    <row r="88" spans="1:11" ht="24" customHeight="1" outlineLevel="3" x14ac:dyDescent="0.25">
      <c r="A88" s="168" t="s">
        <v>286</v>
      </c>
      <c r="B88" s="160"/>
      <c r="C88" s="171">
        <f t="shared" si="10"/>
        <v>0</v>
      </c>
      <c r="D88" s="171">
        <f t="shared" si="10"/>
        <v>0</v>
      </c>
      <c r="E88" s="171">
        <f t="shared" si="10"/>
        <v>0</v>
      </c>
      <c r="F88" s="161">
        <f t="shared" si="11"/>
        <v>0</v>
      </c>
      <c r="G88" s="169">
        <f t="shared" si="12"/>
        <v>0</v>
      </c>
      <c r="H88" s="170" t="s">
        <v>287</v>
      </c>
      <c r="I88" s="172"/>
      <c r="J88" s="116"/>
      <c r="K88" s="116"/>
    </row>
    <row r="89" spans="1:11" ht="15.75" customHeight="1" x14ac:dyDescent="0.25">
      <c r="A89" s="173" t="s">
        <v>288</v>
      </c>
      <c r="B89" s="174">
        <f>SUM(B81:B88)</f>
        <v>0</v>
      </c>
      <c r="C89" s="175">
        <f>SUM(C81:C88)</f>
        <v>0</v>
      </c>
      <c r="D89" s="175">
        <f>SUM(D81:D88)</f>
        <v>0</v>
      </c>
      <c r="E89" s="175">
        <f>SUM(E81:E88)</f>
        <v>0</v>
      </c>
      <c r="F89" s="161">
        <f t="shared" si="11"/>
        <v>0</v>
      </c>
      <c r="G89" s="176">
        <f t="shared" si="12"/>
        <v>0</v>
      </c>
      <c r="H89" s="167" t="s">
        <v>289</v>
      </c>
      <c r="J89" s="116"/>
      <c r="K89" s="116"/>
    </row>
    <row r="90" spans="1:11" ht="19.5" customHeight="1" x14ac:dyDescent="0.25">
      <c r="A90" s="159" t="s">
        <v>290</v>
      </c>
      <c r="B90" s="160"/>
      <c r="C90" s="160"/>
      <c r="D90" s="160"/>
      <c r="E90" s="160"/>
      <c r="F90" s="161"/>
      <c r="G90" s="177"/>
      <c r="H90" s="163"/>
      <c r="J90" s="116"/>
      <c r="K90" s="116"/>
    </row>
    <row r="91" spans="1:11" ht="18" customHeight="1" outlineLevel="3" x14ac:dyDescent="0.25">
      <c r="A91" s="164" t="s">
        <v>291</v>
      </c>
      <c r="B91" s="165"/>
      <c r="C91" s="165">
        <f t="shared" ref="C91:E96" si="13">B91</f>
        <v>0</v>
      </c>
      <c r="D91" s="165">
        <f t="shared" si="13"/>
        <v>0</v>
      </c>
      <c r="E91" s="165">
        <f t="shared" si="13"/>
        <v>0</v>
      </c>
      <c r="F91" s="161">
        <f t="shared" ref="F91:F97" si="14">CHOOSE(MATCH(B$2,$B$4:$E$4,0),B91,C91,D91,E91)</f>
        <v>0</v>
      </c>
      <c r="G91" s="169">
        <f t="shared" ref="G91:G97" si="15">IFERROR(F91/F$76,0)</f>
        <v>0</v>
      </c>
      <c r="H91" s="167" t="s">
        <v>292</v>
      </c>
      <c r="J91" s="116"/>
      <c r="K91" s="116"/>
    </row>
    <row r="92" spans="1:11" ht="18" customHeight="1" outlineLevel="3" x14ac:dyDescent="0.25">
      <c r="A92" s="168" t="s">
        <v>293</v>
      </c>
      <c r="B92" s="160"/>
      <c r="C92" s="160">
        <f t="shared" si="13"/>
        <v>0</v>
      </c>
      <c r="D92" s="160">
        <f t="shared" si="13"/>
        <v>0</v>
      </c>
      <c r="E92" s="160">
        <f t="shared" si="13"/>
        <v>0</v>
      </c>
      <c r="F92" s="161">
        <f t="shared" si="14"/>
        <v>0</v>
      </c>
      <c r="G92" s="166">
        <f t="shared" si="15"/>
        <v>0</v>
      </c>
      <c r="H92" s="170" t="s">
        <v>294</v>
      </c>
      <c r="J92" s="116"/>
      <c r="K92" s="116"/>
    </row>
    <row r="93" spans="1:11" ht="18" customHeight="1" outlineLevel="3" x14ac:dyDescent="0.25">
      <c r="A93" s="164" t="s">
        <v>295</v>
      </c>
      <c r="B93" s="165"/>
      <c r="C93" s="165">
        <f t="shared" si="13"/>
        <v>0</v>
      </c>
      <c r="D93" s="165">
        <f t="shared" si="13"/>
        <v>0</v>
      </c>
      <c r="E93" s="165">
        <f t="shared" si="13"/>
        <v>0</v>
      </c>
      <c r="F93" s="161">
        <f t="shared" si="14"/>
        <v>0</v>
      </c>
      <c r="G93" s="169">
        <f t="shared" si="15"/>
        <v>0</v>
      </c>
      <c r="H93" s="178" t="s">
        <v>296</v>
      </c>
      <c r="I93" s="84"/>
      <c r="J93" s="116"/>
      <c r="K93" s="116"/>
    </row>
    <row r="94" spans="1:11" ht="18" customHeight="1" outlineLevel="3" x14ac:dyDescent="0.25">
      <c r="A94" s="168" t="s">
        <v>297</v>
      </c>
      <c r="B94" s="160"/>
      <c r="C94" s="160">
        <f t="shared" si="13"/>
        <v>0</v>
      </c>
      <c r="D94" s="160">
        <f t="shared" si="13"/>
        <v>0</v>
      </c>
      <c r="E94" s="160">
        <f t="shared" si="13"/>
        <v>0</v>
      </c>
      <c r="F94" s="161">
        <f t="shared" si="14"/>
        <v>0</v>
      </c>
      <c r="G94" s="166">
        <f t="shared" si="15"/>
        <v>0</v>
      </c>
      <c r="H94" s="170" t="s">
        <v>298</v>
      </c>
      <c r="J94" s="116"/>
      <c r="K94" s="116"/>
    </row>
    <row r="95" spans="1:11" ht="18" customHeight="1" outlineLevel="3" x14ac:dyDescent="0.25">
      <c r="A95" s="168" t="s">
        <v>299</v>
      </c>
      <c r="B95" s="160"/>
      <c r="C95" s="160">
        <f t="shared" si="13"/>
        <v>0</v>
      </c>
      <c r="D95" s="160">
        <f t="shared" si="13"/>
        <v>0</v>
      </c>
      <c r="E95" s="160">
        <f t="shared" si="13"/>
        <v>0</v>
      </c>
      <c r="F95" s="161">
        <f t="shared" si="14"/>
        <v>0</v>
      </c>
      <c r="G95" s="169">
        <f t="shared" si="15"/>
        <v>0</v>
      </c>
      <c r="H95" s="167" t="s">
        <v>300</v>
      </c>
      <c r="J95" s="116"/>
      <c r="K95" s="116"/>
    </row>
    <row r="96" spans="1:11" ht="18" customHeight="1" outlineLevel="3" x14ac:dyDescent="0.25">
      <c r="A96" s="168" t="s">
        <v>301</v>
      </c>
      <c r="B96" s="160"/>
      <c r="C96" s="160">
        <f t="shared" si="13"/>
        <v>0</v>
      </c>
      <c r="D96" s="160">
        <f t="shared" si="13"/>
        <v>0</v>
      </c>
      <c r="E96" s="160">
        <f t="shared" si="13"/>
        <v>0</v>
      </c>
      <c r="F96" s="161">
        <f t="shared" si="14"/>
        <v>0</v>
      </c>
      <c r="G96" s="166">
        <f t="shared" si="15"/>
        <v>0</v>
      </c>
      <c r="H96" s="170" t="s">
        <v>302</v>
      </c>
      <c r="J96" s="116"/>
      <c r="K96" s="116"/>
    </row>
    <row r="97" spans="1:11" ht="18" customHeight="1" x14ac:dyDescent="0.25">
      <c r="A97" s="173" t="s">
        <v>303</v>
      </c>
      <c r="B97" s="179">
        <f>SUM(B91:B96)</f>
        <v>0</v>
      </c>
      <c r="C97" s="160">
        <f>SUM(C91:C96)</f>
        <v>0</v>
      </c>
      <c r="D97" s="160">
        <f>SUM(D91:D96)</f>
        <v>0</v>
      </c>
      <c r="E97" s="160">
        <f>SUM(E91:E96)</f>
        <v>0</v>
      </c>
      <c r="F97" s="161">
        <f t="shared" si="14"/>
        <v>0</v>
      </c>
      <c r="G97" s="180">
        <f t="shared" si="15"/>
        <v>0</v>
      </c>
      <c r="H97" s="167" t="s">
        <v>304</v>
      </c>
      <c r="J97" s="116"/>
      <c r="K97" s="116"/>
    </row>
    <row r="98" spans="1:11" ht="18" customHeight="1" x14ac:dyDescent="0.25">
      <c r="A98" s="159" t="s">
        <v>305</v>
      </c>
      <c r="B98" s="160"/>
      <c r="C98" s="160"/>
      <c r="D98" s="160"/>
      <c r="E98" s="160"/>
      <c r="F98" s="161"/>
      <c r="G98" s="177"/>
      <c r="H98" s="181"/>
      <c r="J98" s="116"/>
      <c r="K98" s="116"/>
    </row>
    <row r="99" spans="1:11" ht="18" customHeight="1" outlineLevel="3" x14ac:dyDescent="0.25">
      <c r="A99" s="168" t="s">
        <v>306</v>
      </c>
      <c r="B99" s="160"/>
      <c r="C99" s="160">
        <f t="shared" ref="C99:E121" si="16">B99</f>
        <v>0</v>
      </c>
      <c r="D99" s="160">
        <f t="shared" si="16"/>
        <v>0</v>
      </c>
      <c r="E99" s="160">
        <f t="shared" si="16"/>
        <v>0</v>
      </c>
      <c r="F99" s="161">
        <f t="shared" ref="F99:F124" si="17">CHOOSE(MATCH(B$2,$B$4:$E$4,0),B99,C99,D99,E99)</f>
        <v>0</v>
      </c>
      <c r="G99" s="166" t="str">
        <f>IFERROR(TEXT(F99/F$76,"0.0%")&amp;" | "&amp;TEXT(F99/F64/365,"$0.00"),"")</f>
        <v/>
      </c>
      <c r="H99" s="167" t="s">
        <v>307</v>
      </c>
      <c r="J99" s="116"/>
      <c r="K99" s="116"/>
    </row>
    <row r="100" spans="1:11" ht="18" customHeight="1" outlineLevel="3" x14ac:dyDescent="0.25">
      <c r="A100" s="168" t="s">
        <v>308</v>
      </c>
      <c r="B100" s="160"/>
      <c r="C100" s="160">
        <f t="shared" si="16"/>
        <v>0</v>
      </c>
      <c r="D100" s="160">
        <f t="shared" si="16"/>
        <v>0</v>
      </c>
      <c r="E100" s="160">
        <f t="shared" si="16"/>
        <v>0</v>
      </c>
      <c r="F100" s="161">
        <f t="shared" si="17"/>
        <v>0</v>
      </c>
      <c r="G100" s="169">
        <f t="shared" ref="G100:G124" si="18">IFERROR(F100/F$76,0)</f>
        <v>0</v>
      </c>
      <c r="H100" s="170" t="s">
        <v>309</v>
      </c>
      <c r="J100" s="116"/>
      <c r="K100" s="116"/>
    </row>
    <row r="101" spans="1:11" ht="18" customHeight="1" outlineLevel="3" x14ac:dyDescent="0.25">
      <c r="A101" s="168" t="s">
        <v>310</v>
      </c>
      <c r="B101" s="160"/>
      <c r="C101" s="160">
        <f t="shared" si="16"/>
        <v>0</v>
      </c>
      <c r="D101" s="160">
        <f t="shared" si="16"/>
        <v>0</v>
      </c>
      <c r="E101" s="160">
        <f t="shared" si="16"/>
        <v>0</v>
      </c>
      <c r="F101" s="161">
        <f t="shared" si="17"/>
        <v>0</v>
      </c>
      <c r="G101" s="166">
        <f t="shared" si="18"/>
        <v>0</v>
      </c>
      <c r="H101" s="167" t="s">
        <v>311</v>
      </c>
      <c r="J101" s="116"/>
      <c r="K101" s="116"/>
    </row>
    <row r="102" spans="1:11" ht="18" customHeight="1" outlineLevel="3" x14ac:dyDescent="0.25">
      <c r="A102" s="168" t="s">
        <v>312</v>
      </c>
      <c r="B102" s="160"/>
      <c r="C102" s="160">
        <f t="shared" si="16"/>
        <v>0</v>
      </c>
      <c r="D102" s="160">
        <f t="shared" si="16"/>
        <v>0</v>
      </c>
      <c r="E102" s="160">
        <f t="shared" si="16"/>
        <v>0</v>
      </c>
      <c r="F102" s="161">
        <f t="shared" si="17"/>
        <v>0</v>
      </c>
      <c r="G102" s="169">
        <f t="shared" si="18"/>
        <v>0</v>
      </c>
      <c r="H102" s="170" t="s">
        <v>313</v>
      </c>
      <c r="J102" s="116"/>
      <c r="K102" s="116"/>
    </row>
    <row r="103" spans="1:11" ht="18" customHeight="1" outlineLevel="3" x14ac:dyDescent="0.25">
      <c r="A103" s="168" t="s">
        <v>314</v>
      </c>
      <c r="B103" s="160"/>
      <c r="C103" s="160">
        <f t="shared" si="16"/>
        <v>0</v>
      </c>
      <c r="D103" s="160">
        <f t="shared" si="16"/>
        <v>0</v>
      </c>
      <c r="E103" s="160">
        <f t="shared" si="16"/>
        <v>0</v>
      </c>
      <c r="F103" s="161">
        <f t="shared" si="17"/>
        <v>0</v>
      </c>
      <c r="G103" s="166">
        <f t="shared" si="18"/>
        <v>0</v>
      </c>
      <c r="H103" s="167" t="s">
        <v>315</v>
      </c>
      <c r="J103" s="116"/>
      <c r="K103" s="116"/>
    </row>
    <row r="104" spans="1:11" ht="18" customHeight="1" outlineLevel="3" x14ac:dyDescent="0.25">
      <c r="A104" s="168" t="s">
        <v>316</v>
      </c>
      <c r="B104" s="160"/>
      <c r="C104" s="160">
        <f t="shared" si="16"/>
        <v>0</v>
      </c>
      <c r="D104" s="160">
        <f t="shared" si="16"/>
        <v>0</v>
      </c>
      <c r="E104" s="160">
        <f t="shared" si="16"/>
        <v>0</v>
      </c>
      <c r="F104" s="161">
        <f t="shared" si="17"/>
        <v>0</v>
      </c>
      <c r="G104" s="169">
        <f t="shared" si="18"/>
        <v>0</v>
      </c>
      <c r="H104" s="170" t="s">
        <v>317</v>
      </c>
      <c r="J104" s="116"/>
      <c r="K104" s="116"/>
    </row>
    <row r="105" spans="1:11" ht="18" customHeight="1" outlineLevel="3" x14ac:dyDescent="0.25">
      <c r="A105" s="168" t="s">
        <v>318</v>
      </c>
      <c r="B105" s="160"/>
      <c r="C105" s="160">
        <f t="shared" si="16"/>
        <v>0</v>
      </c>
      <c r="D105" s="160">
        <f t="shared" si="16"/>
        <v>0</v>
      </c>
      <c r="E105" s="160">
        <f t="shared" si="16"/>
        <v>0</v>
      </c>
      <c r="F105" s="161">
        <f t="shared" si="17"/>
        <v>0</v>
      </c>
      <c r="G105" s="166">
        <f t="shared" si="18"/>
        <v>0</v>
      </c>
      <c r="H105" s="167" t="s">
        <v>319</v>
      </c>
      <c r="J105" s="116"/>
      <c r="K105" s="116"/>
    </row>
    <row r="106" spans="1:11" ht="18" customHeight="1" outlineLevel="3" x14ac:dyDescent="0.25">
      <c r="A106" s="168" t="s">
        <v>320</v>
      </c>
      <c r="B106" s="160"/>
      <c r="C106" s="160">
        <f t="shared" si="16"/>
        <v>0</v>
      </c>
      <c r="D106" s="160">
        <f t="shared" si="16"/>
        <v>0</v>
      </c>
      <c r="E106" s="160">
        <f t="shared" si="16"/>
        <v>0</v>
      </c>
      <c r="F106" s="161">
        <f t="shared" si="17"/>
        <v>0</v>
      </c>
      <c r="G106" s="169">
        <f t="shared" si="18"/>
        <v>0</v>
      </c>
      <c r="H106" s="170" t="s">
        <v>321</v>
      </c>
      <c r="J106" s="116"/>
      <c r="K106" s="116"/>
    </row>
    <row r="107" spans="1:11" ht="18" customHeight="1" outlineLevel="3" x14ac:dyDescent="0.25">
      <c r="A107" s="168" t="s">
        <v>322</v>
      </c>
      <c r="B107" s="160"/>
      <c r="C107" s="160">
        <f t="shared" si="16"/>
        <v>0</v>
      </c>
      <c r="D107" s="160">
        <f t="shared" si="16"/>
        <v>0</v>
      </c>
      <c r="E107" s="160">
        <f t="shared" si="16"/>
        <v>0</v>
      </c>
      <c r="F107" s="161">
        <f t="shared" si="17"/>
        <v>0</v>
      </c>
      <c r="G107" s="166">
        <f t="shared" si="18"/>
        <v>0</v>
      </c>
      <c r="H107" s="167" t="s">
        <v>323</v>
      </c>
      <c r="J107" s="116"/>
      <c r="K107" s="116"/>
    </row>
    <row r="108" spans="1:11" ht="18" customHeight="1" outlineLevel="3" x14ac:dyDescent="0.25">
      <c r="A108" s="168" t="s">
        <v>324</v>
      </c>
      <c r="B108" s="160"/>
      <c r="C108" s="160">
        <f t="shared" si="16"/>
        <v>0</v>
      </c>
      <c r="D108" s="160">
        <f t="shared" si="16"/>
        <v>0</v>
      </c>
      <c r="E108" s="160">
        <f t="shared" si="16"/>
        <v>0</v>
      </c>
      <c r="F108" s="161">
        <f t="shared" si="17"/>
        <v>0</v>
      </c>
      <c r="G108" s="169">
        <f t="shared" si="18"/>
        <v>0</v>
      </c>
      <c r="H108" s="170" t="s">
        <v>325</v>
      </c>
      <c r="J108" s="116"/>
      <c r="K108" s="116"/>
    </row>
    <row r="109" spans="1:11" ht="18" customHeight="1" outlineLevel="3" x14ac:dyDescent="0.25">
      <c r="A109" s="168" t="s">
        <v>326</v>
      </c>
      <c r="B109" s="160"/>
      <c r="C109" s="160">
        <f t="shared" si="16"/>
        <v>0</v>
      </c>
      <c r="D109" s="160">
        <f t="shared" si="16"/>
        <v>0</v>
      </c>
      <c r="E109" s="160">
        <f t="shared" si="16"/>
        <v>0</v>
      </c>
      <c r="F109" s="161">
        <f t="shared" si="17"/>
        <v>0</v>
      </c>
      <c r="G109" s="166">
        <f t="shared" si="18"/>
        <v>0</v>
      </c>
      <c r="H109" s="167" t="s">
        <v>327</v>
      </c>
      <c r="J109" s="116"/>
      <c r="K109" s="116"/>
    </row>
    <row r="110" spans="1:11" ht="18" customHeight="1" outlineLevel="3" x14ac:dyDescent="0.25">
      <c r="A110" s="168" t="s">
        <v>328</v>
      </c>
      <c r="B110" s="160"/>
      <c r="C110" s="160">
        <f t="shared" si="16"/>
        <v>0</v>
      </c>
      <c r="D110" s="160">
        <f t="shared" si="16"/>
        <v>0</v>
      </c>
      <c r="E110" s="160">
        <f t="shared" si="16"/>
        <v>0</v>
      </c>
      <c r="F110" s="161">
        <f t="shared" si="17"/>
        <v>0</v>
      </c>
      <c r="G110" s="169">
        <f t="shared" si="18"/>
        <v>0</v>
      </c>
      <c r="H110" s="170" t="s">
        <v>329</v>
      </c>
      <c r="J110" s="116"/>
      <c r="K110" s="116"/>
    </row>
    <row r="111" spans="1:11" ht="18" customHeight="1" outlineLevel="3" x14ac:dyDescent="0.25">
      <c r="A111" s="168" t="s">
        <v>330</v>
      </c>
      <c r="B111" s="160"/>
      <c r="C111" s="160">
        <f t="shared" si="16"/>
        <v>0</v>
      </c>
      <c r="D111" s="160">
        <f t="shared" si="16"/>
        <v>0</v>
      </c>
      <c r="E111" s="160">
        <f t="shared" si="16"/>
        <v>0</v>
      </c>
      <c r="F111" s="161">
        <f t="shared" si="17"/>
        <v>0</v>
      </c>
      <c r="G111" s="166">
        <f t="shared" si="18"/>
        <v>0</v>
      </c>
      <c r="H111" s="167" t="s">
        <v>331</v>
      </c>
      <c r="J111" s="116"/>
      <c r="K111" s="116"/>
    </row>
    <row r="112" spans="1:11" ht="18" customHeight="1" outlineLevel="3" x14ac:dyDescent="0.25">
      <c r="A112" s="168" t="s">
        <v>332</v>
      </c>
      <c r="B112" s="160"/>
      <c r="C112" s="160">
        <f t="shared" si="16"/>
        <v>0</v>
      </c>
      <c r="D112" s="160">
        <f t="shared" si="16"/>
        <v>0</v>
      </c>
      <c r="E112" s="160">
        <f t="shared" si="16"/>
        <v>0</v>
      </c>
      <c r="F112" s="161">
        <f t="shared" si="17"/>
        <v>0</v>
      </c>
      <c r="G112" s="169">
        <f t="shared" si="18"/>
        <v>0</v>
      </c>
      <c r="H112" s="170" t="s">
        <v>333</v>
      </c>
      <c r="J112" s="116"/>
      <c r="K112" s="116"/>
    </row>
    <row r="113" spans="1:11" ht="18" customHeight="1" outlineLevel="3" x14ac:dyDescent="0.25">
      <c r="A113" s="168" t="s">
        <v>334</v>
      </c>
      <c r="B113" s="160"/>
      <c r="C113" s="160">
        <f t="shared" si="16"/>
        <v>0</v>
      </c>
      <c r="D113" s="160">
        <f t="shared" si="16"/>
        <v>0</v>
      </c>
      <c r="E113" s="160">
        <f t="shared" si="16"/>
        <v>0</v>
      </c>
      <c r="F113" s="161">
        <f t="shared" si="17"/>
        <v>0</v>
      </c>
      <c r="G113" s="166">
        <f t="shared" si="18"/>
        <v>0</v>
      </c>
      <c r="H113" s="167" t="s">
        <v>335</v>
      </c>
      <c r="J113" s="116"/>
      <c r="K113" s="116"/>
    </row>
    <row r="114" spans="1:11" ht="18" customHeight="1" outlineLevel="3" x14ac:dyDescent="0.25">
      <c r="A114" s="168" t="s">
        <v>336</v>
      </c>
      <c r="B114" s="160"/>
      <c r="C114" s="160">
        <f t="shared" si="16"/>
        <v>0</v>
      </c>
      <c r="D114" s="160">
        <f t="shared" si="16"/>
        <v>0</v>
      </c>
      <c r="E114" s="160">
        <f t="shared" si="16"/>
        <v>0</v>
      </c>
      <c r="F114" s="161">
        <f t="shared" si="17"/>
        <v>0</v>
      </c>
      <c r="G114" s="169">
        <f t="shared" si="18"/>
        <v>0</v>
      </c>
      <c r="H114" s="170" t="s">
        <v>337</v>
      </c>
      <c r="J114" s="116"/>
      <c r="K114" s="116"/>
    </row>
    <row r="115" spans="1:11" ht="18" customHeight="1" outlineLevel="3" x14ac:dyDescent="0.25">
      <c r="A115" s="168" t="s">
        <v>338</v>
      </c>
      <c r="B115" s="160"/>
      <c r="C115" s="160">
        <f t="shared" si="16"/>
        <v>0</v>
      </c>
      <c r="D115" s="160">
        <f t="shared" si="16"/>
        <v>0</v>
      </c>
      <c r="E115" s="160">
        <f t="shared" si="16"/>
        <v>0</v>
      </c>
      <c r="F115" s="161">
        <f t="shared" si="17"/>
        <v>0</v>
      </c>
      <c r="G115" s="166">
        <f t="shared" si="18"/>
        <v>0</v>
      </c>
      <c r="H115" s="167" t="s">
        <v>339</v>
      </c>
      <c r="J115" s="116"/>
      <c r="K115" s="116"/>
    </row>
    <row r="116" spans="1:11" ht="18" customHeight="1" outlineLevel="3" x14ac:dyDescent="0.25">
      <c r="A116" s="168" t="s">
        <v>340</v>
      </c>
      <c r="B116" s="160"/>
      <c r="C116" s="160">
        <f t="shared" si="16"/>
        <v>0</v>
      </c>
      <c r="D116" s="160">
        <f t="shared" si="16"/>
        <v>0</v>
      </c>
      <c r="E116" s="160">
        <f t="shared" si="16"/>
        <v>0</v>
      </c>
      <c r="F116" s="161">
        <f t="shared" si="17"/>
        <v>0</v>
      </c>
      <c r="G116" s="169">
        <f t="shared" si="18"/>
        <v>0</v>
      </c>
      <c r="H116" s="170" t="s">
        <v>341</v>
      </c>
      <c r="J116" s="116"/>
      <c r="K116" s="116"/>
    </row>
    <row r="117" spans="1:11" ht="18" customHeight="1" outlineLevel="3" x14ac:dyDescent="0.25">
      <c r="A117" s="168" t="s">
        <v>342</v>
      </c>
      <c r="B117" s="160"/>
      <c r="C117" s="160">
        <f t="shared" si="16"/>
        <v>0</v>
      </c>
      <c r="D117" s="160">
        <f t="shared" si="16"/>
        <v>0</v>
      </c>
      <c r="E117" s="160">
        <f t="shared" si="16"/>
        <v>0</v>
      </c>
      <c r="F117" s="161">
        <f t="shared" si="17"/>
        <v>0</v>
      </c>
      <c r="G117" s="166">
        <f t="shared" si="18"/>
        <v>0</v>
      </c>
      <c r="H117" s="167" t="s">
        <v>343</v>
      </c>
      <c r="J117" s="116"/>
      <c r="K117" s="116"/>
    </row>
    <row r="118" spans="1:11" ht="18" customHeight="1" outlineLevel="3" x14ac:dyDescent="0.25">
      <c r="A118" s="168" t="s">
        <v>344</v>
      </c>
      <c r="B118" s="160"/>
      <c r="C118" s="160">
        <f t="shared" si="16"/>
        <v>0</v>
      </c>
      <c r="D118" s="160">
        <f t="shared" si="16"/>
        <v>0</v>
      </c>
      <c r="E118" s="160">
        <f t="shared" si="16"/>
        <v>0</v>
      </c>
      <c r="F118" s="161">
        <f t="shared" si="17"/>
        <v>0</v>
      </c>
      <c r="G118" s="169">
        <f t="shared" si="18"/>
        <v>0</v>
      </c>
      <c r="H118" s="170" t="s">
        <v>345</v>
      </c>
      <c r="J118" s="116"/>
      <c r="K118" s="116"/>
    </row>
    <row r="119" spans="1:11" ht="18" customHeight="1" outlineLevel="3" x14ac:dyDescent="0.25">
      <c r="A119" s="168" t="s">
        <v>346</v>
      </c>
      <c r="B119" s="160"/>
      <c r="C119" s="160">
        <f t="shared" si="16"/>
        <v>0</v>
      </c>
      <c r="D119" s="160">
        <f t="shared" si="16"/>
        <v>0</v>
      </c>
      <c r="E119" s="160">
        <f t="shared" si="16"/>
        <v>0</v>
      </c>
      <c r="F119" s="161">
        <f t="shared" si="17"/>
        <v>0</v>
      </c>
      <c r="G119" s="166">
        <f t="shared" si="18"/>
        <v>0</v>
      </c>
      <c r="H119" s="167" t="s">
        <v>347</v>
      </c>
      <c r="J119" s="116"/>
      <c r="K119" s="116"/>
    </row>
    <row r="120" spans="1:11" ht="18" customHeight="1" outlineLevel="3" x14ac:dyDescent="0.25">
      <c r="A120" s="168" t="s">
        <v>348</v>
      </c>
      <c r="B120" s="160"/>
      <c r="C120" s="160">
        <f t="shared" si="16"/>
        <v>0</v>
      </c>
      <c r="D120" s="160">
        <f t="shared" si="16"/>
        <v>0</v>
      </c>
      <c r="E120" s="160">
        <f t="shared" si="16"/>
        <v>0</v>
      </c>
      <c r="F120" s="161">
        <f t="shared" si="17"/>
        <v>0</v>
      </c>
      <c r="G120" s="169">
        <f t="shared" si="18"/>
        <v>0</v>
      </c>
      <c r="H120" s="170" t="s">
        <v>349</v>
      </c>
      <c r="J120" s="116"/>
      <c r="K120" s="116"/>
    </row>
    <row r="121" spans="1:11" ht="18" customHeight="1" outlineLevel="3" x14ac:dyDescent="0.25">
      <c r="A121" s="168" t="s">
        <v>350</v>
      </c>
      <c r="B121" s="160"/>
      <c r="C121" s="160">
        <f t="shared" si="16"/>
        <v>0</v>
      </c>
      <c r="D121" s="160">
        <f t="shared" si="16"/>
        <v>0</v>
      </c>
      <c r="E121" s="160">
        <f t="shared" si="16"/>
        <v>0</v>
      </c>
      <c r="F121" s="161">
        <f t="shared" si="17"/>
        <v>0</v>
      </c>
      <c r="G121" s="166">
        <f t="shared" si="18"/>
        <v>0</v>
      </c>
      <c r="H121" s="167" t="s">
        <v>351</v>
      </c>
      <c r="J121" s="116"/>
      <c r="K121" s="116"/>
    </row>
    <row r="122" spans="1:11" ht="18" customHeight="1" x14ac:dyDescent="0.25">
      <c r="A122" s="173" t="s">
        <v>352</v>
      </c>
      <c r="B122" s="179">
        <f>SUM(B99:B121)</f>
        <v>0</v>
      </c>
      <c r="C122" s="160">
        <f>SUM(C99:C121)</f>
        <v>0</v>
      </c>
      <c r="D122" s="160">
        <f>SUM(D99:D121)</f>
        <v>0</v>
      </c>
      <c r="E122" s="160">
        <f>SUM(E99:E121)</f>
        <v>0</v>
      </c>
      <c r="F122" s="161">
        <f t="shared" si="17"/>
        <v>0</v>
      </c>
      <c r="G122" s="180">
        <f t="shared" si="18"/>
        <v>0</v>
      </c>
      <c r="H122" s="170" t="s">
        <v>353</v>
      </c>
      <c r="J122" s="116"/>
      <c r="K122" s="116"/>
    </row>
    <row r="123" spans="1:11" ht="18" customHeight="1" x14ac:dyDescent="0.25">
      <c r="A123" s="173" t="s">
        <v>354</v>
      </c>
      <c r="B123" s="160"/>
      <c r="C123" s="160">
        <f>C76*$G$123</f>
        <v>0</v>
      </c>
      <c r="D123" s="160">
        <f>D76*$G$123</f>
        <v>0</v>
      </c>
      <c r="E123" s="160">
        <f>E76*$G$123</f>
        <v>0</v>
      </c>
      <c r="F123" s="161">
        <f t="shared" si="17"/>
        <v>0</v>
      </c>
      <c r="G123" s="176">
        <f t="shared" si="18"/>
        <v>0</v>
      </c>
      <c r="H123" s="167" t="s">
        <v>355</v>
      </c>
      <c r="J123" s="116"/>
      <c r="K123" s="116"/>
    </row>
    <row r="124" spans="1:11" ht="18" customHeight="1" x14ac:dyDescent="0.25">
      <c r="A124" s="182" t="s">
        <v>356</v>
      </c>
      <c r="B124" s="183">
        <f>B89+B97+B122+B123</f>
        <v>0</v>
      </c>
      <c r="C124" s="184">
        <f>C89+C97+C122+C123</f>
        <v>0</v>
      </c>
      <c r="D124" s="184">
        <f>D89+D97+D122+D123</f>
        <v>0</v>
      </c>
      <c r="E124" s="184">
        <f>E89+E97+E122+E123</f>
        <v>0</v>
      </c>
      <c r="F124" s="184">
        <f t="shared" si="17"/>
        <v>0</v>
      </c>
      <c r="G124" s="180">
        <f t="shared" si="18"/>
        <v>0</v>
      </c>
      <c r="H124" s="185" t="s">
        <v>357</v>
      </c>
      <c r="I124" s="116"/>
      <c r="J124" s="116"/>
      <c r="K124" s="116"/>
    </row>
    <row r="125" spans="1:11" ht="18" customHeight="1" x14ac:dyDescent="0.25">
      <c r="A125" s="116"/>
      <c r="B125" s="116"/>
      <c r="C125" s="116"/>
      <c r="D125" s="116"/>
      <c r="E125" s="116"/>
      <c r="F125" s="116"/>
      <c r="G125" s="156"/>
      <c r="H125" s="186"/>
      <c r="I125" s="116"/>
      <c r="J125" s="116"/>
      <c r="K125" s="116"/>
    </row>
    <row r="126" spans="1:11" ht="19.5" customHeight="1" x14ac:dyDescent="0.25">
      <c r="A126" s="187" t="s">
        <v>358</v>
      </c>
      <c r="B126" s="188">
        <f>B76-B124</f>
        <v>0</v>
      </c>
      <c r="C126" s="188">
        <f>C76-C124</f>
        <v>0</v>
      </c>
      <c r="D126" s="188">
        <f>D76-D124</f>
        <v>0</v>
      </c>
      <c r="E126" s="188">
        <f>E76-E124</f>
        <v>0</v>
      </c>
      <c r="F126" s="188">
        <f>CHOOSE(MATCH(B$2,$B$4:$E$4,0),B126,C126,D126,E126)</f>
        <v>0</v>
      </c>
      <c r="G126" s="189">
        <f>IFERROR(F126/F$76,0)</f>
        <v>0</v>
      </c>
      <c r="H126" s="185" t="s">
        <v>359</v>
      </c>
      <c r="I126" s="116"/>
      <c r="J126" s="116"/>
      <c r="K126" s="116"/>
    </row>
    <row r="127" spans="1:11" ht="18" customHeight="1" x14ac:dyDescent="0.25">
      <c r="A127" s="116"/>
      <c r="B127" s="116"/>
      <c r="C127" s="116"/>
      <c r="D127" s="116"/>
      <c r="E127" s="116"/>
      <c r="F127" s="116"/>
      <c r="G127" s="156"/>
      <c r="H127" s="186"/>
      <c r="I127" s="116"/>
      <c r="J127" s="116"/>
      <c r="K127" s="116"/>
    </row>
    <row r="128" spans="1:11" ht="18" customHeight="1" x14ac:dyDescent="0.25">
      <c r="A128" s="808" t="s">
        <v>360</v>
      </c>
      <c r="B128" s="798"/>
      <c r="C128" s="798"/>
      <c r="D128" s="798"/>
      <c r="E128" s="798"/>
      <c r="F128" s="798"/>
      <c r="G128" s="804"/>
      <c r="H128" s="805"/>
      <c r="I128" s="116"/>
      <c r="J128" s="116"/>
      <c r="K128" s="116"/>
    </row>
    <row r="129" spans="1:11" ht="18" customHeight="1" outlineLevel="1" x14ac:dyDescent="0.25">
      <c r="A129" s="164" t="s">
        <v>361</v>
      </c>
      <c r="B129" s="190">
        <f>IFERROR(B126/B7,0)</f>
        <v>0</v>
      </c>
      <c r="C129" s="190">
        <f>IFERROR(C126/C7,0)</f>
        <v>0</v>
      </c>
      <c r="D129" s="190">
        <f>IFERROR(D126/D7,0)</f>
        <v>0</v>
      </c>
      <c r="E129" s="190">
        <f>IFERROR(E126/E7,0)</f>
        <v>0</v>
      </c>
      <c r="F129" s="191">
        <f t="shared" ref="F129:F136" si="19">CHOOSE(MATCH(B$2,$B$4:$E$4,0),B129,C129,D129,E129)</f>
        <v>0</v>
      </c>
      <c r="G129" s="192"/>
      <c r="H129" s="133" t="s">
        <v>362</v>
      </c>
      <c r="J129" s="116"/>
      <c r="K129" s="116"/>
    </row>
    <row r="130" spans="1:11" ht="18" customHeight="1" outlineLevel="1" x14ac:dyDescent="0.25">
      <c r="A130" s="168" t="s">
        <v>363</v>
      </c>
      <c r="B130" s="193">
        <f>B168</f>
        <v>0</v>
      </c>
      <c r="C130" s="193">
        <f>C168</f>
        <v>0</v>
      </c>
      <c r="D130" s="193">
        <f>D168</f>
        <v>0</v>
      </c>
      <c r="E130" s="193">
        <f>E168</f>
        <v>0</v>
      </c>
      <c r="F130" s="194">
        <f t="shared" si="19"/>
        <v>0</v>
      </c>
      <c r="G130" s="195"/>
      <c r="H130" s="185" t="s">
        <v>364</v>
      </c>
      <c r="J130" s="116"/>
      <c r="K130" s="116"/>
    </row>
    <row r="131" spans="1:11" ht="18" customHeight="1" outlineLevel="1" x14ac:dyDescent="0.25">
      <c r="A131" s="164" t="s">
        <v>365</v>
      </c>
      <c r="B131" s="196">
        <f>B126-B130</f>
        <v>0</v>
      </c>
      <c r="C131" s="196">
        <f>C126-C130</f>
        <v>0</v>
      </c>
      <c r="D131" s="196">
        <f>D126-D130</f>
        <v>0</v>
      </c>
      <c r="E131" s="196">
        <f>E126-E130</f>
        <v>0</v>
      </c>
      <c r="F131" s="161">
        <f t="shared" si="19"/>
        <v>0</v>
      </c>
      <c r="G131" s="197"/>
      <c r="H131" s="133" t="s">
        <v>366</v>
      </c>
      <c r="J131" s="116"/>
      <c r="K131" s="116"/>
    </row>
    <row r="132" spans="1:11" ht="18" customHeight="1" outlineLevel="1" x14ac:dyDescent="0.25">
      <c r="A132" s="168" t="s">
        <v>367</v>
      </c>
      <c r="B132" s="198">
        <f>IFERROR(B126/B130,0)</f>
        <v>0</v>
      </c>
      <c r="C132" s="198">
        <f>IFERROR(C126/C130,0)</f>
        <v>0</v>
      </c>
      <c r="D132" s="198">
        <f>IFERROR(D126/D130,0)</f>
        <v>0</v>
      </c>
      <c r="E132" s="198">
        <f>IFERROR(E126/E130,0)</f>
        <v>0</v>
      </c>
      <c r="F132" s="199">
        <f t="shared" si="19"/>
        <v>0</v>
      </c>
      <c r="G132" s="200"/>
      <c r="H132" s="185" t="s">
        <v>368</v>
      </c>
      <c r="J132" s="116"/>
      <c r="K132" s="116"/>
    </row>
    <row r="133" spans="1:11" ht="19.5" customHeight="1" outlineLevel="1" x14ac:dyDescent="0.25">
      <c r="A133" s="164" t="s">
        <v>369</v>
      </c>
      <c r="B133" s="201"/>
      <c r="C133" s="201">
        <f>B133</f>
        <v>0</v>
      </c>
      <c r="D133" s="201">
        <f>C133</f>
        <v>0</v>
      </c>
      <c r="E133" s="201">
        <f>D133</f>
        <v>0</v>
      </c>
      <c r="F133" s="191">
        <f t="shared" si="19"/>
        <v>0</v>
      </c>
      <c r="G133" s="192"/>
      <c r="H133" s="133" t="s">
        <v>370</v>
      </c>
      <c r="J133" s="116"/>
      <c r="K133" s="116"/>
    </row>
    <row r="134" spans="1:11" ht="18" customHeight="1" outlineLevel="1" x14ac:dyDescent="0.25">
      <c r="A134" s="168" t="s">
        <v>371</v>
      </c>
      <c r="B134" s="171">
        <f>IFERROR(B126/B133,0)</f>
        <v>0</v>
      </c>
      <c r="C134" s="171">
        <f>IFERROR(C126/C133,0)</f>
        <v>0</v>
      </c>
      <c r="D134" s="171">
        <f>IFERROR(D126/D133,0)</f>
        <v>0</v>
      </c>
      <c r="E134" s="171">
        <f>IFERROR(E126/E133,0)</f>
        <v>0</v>
      </c>
      <c r="F134" s="161">
        <f t="shared" si="19"/>
        <v>0</v>
      </c>
      <c r="G134" s="197"/>
      <c r="H134" s="185" t="s">
        <v>372</v>
      </c>
      <c r="J134" s="116"/>
      <c r="K134" s="116"/>
    </row>
    <row r="135" spans="1:11" ht="18" customHeight="1" outlineLevel="1" x14ac:dyDescent="0.25">
      <c r="A135" s="164" t="s">
        <v>84</v>
      </c>
      <c r="B135" s="202"/>
      <c r="C135" s="202">
        <f t="shared" ref="C135:E136" si="20">B135</f>
        <v>0</v>
      </c>
      <c r="D135" s="202">
        <f t="shared" si="20"/>
        <v>0</v>
      </c>
      <c r="E135" s="202">
        <f t="shared" si="20"/>
        <v>0</v>
      </c>
      <c r="F135" s="203">
        <f t="shared" si="19"/>
        <v>0</v>
      </c>
      <c r="G135" s="204"/>
      <c r="H135" s="133" t="s">
        <v>373</v>
      </c>
      <c r="J135" s="116"/>
      <c r="K135" s="116"/>
    </row>
    <row r="136" spans="1:11" ht="18" customHeight="1" outlineLevel="1" x14ac:dyDescent="0.25">
      <c r="A136" s="168" t="s">
        <v>86</v>
      </c>
      <c r="B136" s="205"/>
      <c r="C136" s="205">
        <f t="shared" si="20"/>
        <v>0</v>
      </c>
      <c r="D136" s="205">
        <f t="shared" si="20"/>
        <v>0</v>
      </c>
      <c r="E136" s="205">
        <f t="shared" si="20"/>
        <v>0</v>
      </c>
      <c r="F136" s="191">
        <f t="shared" si="19"/>
        <v>0</v>
      </c>
      <c r="G136" s="192"/>
      <c r="H136" s="185" t="s">
        <v>374</v>
      </c>
      <c r="J136" s="116"/>
      <c r="K136" s="116"/>
    </row>
    <row r="137" spans="1:11" ht="18" customHeight="1" x14ac:dyDescent="0.25">
      <c r="A137" s="116"/>
      <c r="B137" s="116"/>
      <c r="C137" s="116"/>
      <c r="D137" s="116"/>
      <c r="E137" s="116"/>
      <c r="F137" s="116"/>
      <c r="G137" s="156"/>
      <c r="H137" s="186"/>
      <c r="I137" s="116"/>
      <c r="J137" s="116"/>
      <c r="K137" s="116"/>
    </row>
    <row r="138" spans="1:11" ht="18" customHeight="1" x14ac:dyDescent="0.25">
      <c r="A138" s="801" t="s">
        <v>375</v>
      </c>
      <c r="B138" s="798"/>
      <c r="C138" s="798"/>
      <c r="D138" s="798"/>
      <c r="E138" s="798"/>
      <c r="F138" s="798"/>
      <c r="G138" s="804"/>
      <c r="H138" s="805"/>
      <c r="J138" s="116"/>
      <c r="K138" s="116"/>
    </row>
    <row r="139" spans="1:11" ht="18" customHeight="1" x14ac:dyDescent="0.25">
      <c r="A139" s="803" t="s">
        <v>376</v>
      </c>
      <c r="B139" s="798"/>
      <c r="C139" s="798"/>
      <c r="D139" s="798"/>
      <c r="E139" s="798"/>
      <c r="F139" s="798"/>
      <c r="G139" s="804"/>
      <c r="H139" s="805"/>
      <c r="J139" s="116"/>
      <c r="K139" s="116"/>
    </row>
    <row r="140" spans="1:11" ht="19.5" customHeight="1" x14ac:dyDescent="0.25">
      <c r="A140" s="807" t="s">
        <v>377</v>
      </c>
      <c r="B140" s="798"/>
      <c r="C140" s="798"/>
      <c r="D140" s="798"/>
      <c r="E140" s="798"/>
      <c r="F140" s="798"/>
      <c r="G140" s="804"/>
      <c r="H140" s="805"/>
      <c r="J140" s="116"/>
      <c r="K140" s="116"/>
    </row>
    <row r="141" spans="1:11" ht="18" customHeight="1" outlineLevel="1" x14ac:dyDescent="0.25">
      <c r="A141" s="71" t="s">
        <v>378</v>
      </c>
      <c r="B141" s="206">
        <f>IF(B173="YES",((1-B10)*(B7+B12+B13+B16+'Acquisition Costs'!$D$38))/(1-(1-B10)*B146),B7*(1-B10))</f>
        <v>0</v>
      </c>
      <c r="C141" s="206">
        <f>IF(C173="YES",((1-C10)*(C7+C12+C13+C16+'Acquisition Costs'!$D$38))/(1-(1-C10)*C146),C7*(1-C10))</f>
        <v>0</v>
      </c>
      <c r="D141" s="206">
        <f>IF(D173="YES",((1-D10)*(D7+D12+D13+D16+'Acquisition Costs'!$D$38))/(1-(1-D10)*D146),D7*(1-D10))</f>
        <v>0</v>
      </c>
      <c r="E141" s="206">
        <f>IF(E173="YES",((1-E10)*(E7+E12+E13+E16+'Acquisition Costs'!$D$38))/(1-(1-E10)*E146),E7*(1-E10))</f>
        <v>0</v>
      </c>
      <c r="F141" s="207">
        <f t="shared" ref="F141:F146" si="21">CHOOSE(MATCH(B$2,$B$4:$E$4,0),B141,C141,D141,E141)</f>
        <v>0</v>
      </c>
      <c r="G141" s="208"/>
      <c r="H141" s="73" t="s">
        <v>379</v>
      </c>
      <c r="J141" s="116"/>
      <c r="K141" s="116"/>
    </row>
    <row r="142" spans="1:11" ht="18" customHeight="1" outlineLevel="1" x14ac:dyDescent="0.25">
      <c r="A142" s="66" t="s">
        <v>380</v>
      </c>
      <c r="B142" s="209"/>
      <c r="C142" s="209">
        <f t="shared" ref="C142:E146" si="22">B142</f>
        <v>0</v>
      </c>
      <c r="D142" s="209">
        <f t="shared" si="22"/>
        <v>0</v>
      </c>
      <c r="E142" s="97">
        <f t="shared" si="22"/>
        <v>0</v>
      </c>
      <c r="F142" s="210">
        <f t="shared" si="21"/>
        <v>0</v>
      </c>
      <c r="G142" s="211"/>
      <c r="H142" s="70" t="s">
        <v>381</v>
      </c>
      <c r="J142" s="116"/>
      <c r="K142" s="116"/>
    </row>
    <row r="143" spans="1:11" ht="18" customHeight="1" outlineLevel="1" x14ac:dyDescent="0.25">
      <c r="A143" s="71" t="s">
        <v>382</v>
      </c>
      <c r="B143" s="212"/>
      <c r="C143" s="212">
        <f t="shared" si="22"/>
        <v>0</v>
      </c>
      <c r="D143" s="212">
        <f t="shared" si="22"/>
        <v>0</v>
      </c>
      <c r="E143" s="212">
        <f t="shared" si="22"/>
        <v>0</v>
      </c>
      <c r="F143" s="213">
        <f t="shared" si="21"/>
        <v>0</v>
      </c>
      <c r="G143" s="214"/>
      <c r="H143" s="73" t="s">
        <v>383</v>
      </c>
      <c r="J143" s="116"/>
      <c r="K143" s="116"/>
    </row>
    <row r="144" spans="1:11" ht="18" customHeight="1" outlineLevel="1" x14ac:dyDescent="0.25">
      <c r="A144" s="66" t="s">
        <v>384</v>
      </c>
      <c r="B144" s="215"/>
      <c r="C144" s="215">
        <f t="shared" si="22"/>
        <v>0</v>
      </c>
      <c r="D144" s="215">
        <f t="shared" si="22"/>
        <v>0</v>
      </c>
      <c r="E144" s="215">
        <f t="shared" si="22"/>
        <v>0</v>
      </c>
      <c r="F144" s="213">
        <f t="shared" si="21"/>
        <v>0</v>
      </c>
      <c r="G144" s="214"/>
      <c r="H144" s="70" t="s">
        <v>385</v>
      </c>
      <c r="J144" s="116"/>
      <c r="K144" s="116"/>
    </row>
    <row r="145" spans="1:11" ht="18" customHeight="1" outlineLevel="1" x14ac:dyDescent="0.25">
      <c r="A145" s="71" t="s">
        <v>386</v>
      </c>
      <c r="B145" s="212"/>
      <c r="C145" s="212">
        <f t="shared" si="22"/>
        <v>0</v>
      </c>
      <c r="D145" s="212">
        <f t="shared" si="22"/>
        <v>0</v>
      </c>
      <c r="E145" s="212">
        <f t="shared" si="22"/>
        <v>0</v>
      </c>
      <c r="F145" s="213">
        <f t="shared" si="21"/>
        <v>0</v>
      </c>
      <c r="G145" s="214"/>
      <c r="H145" s="73" t="s">
        <v>387</v>
      </c>
      <c r="J145" s="116"/>
      <c r="K145" s="116"/>
    </row>
    <row r="146" spans="1:11" ht="18" customHeight="1" outlineLevel="1" x14ac:dyDescent="0.25">
      <c r="A146" s="66" t="s">
        <v>388</v>
      </c>
      <c r="B146" s="97"/>
      <c r="C146" s="97">
        <f t="shared" si="22"/>
        <v>0</v>
      </c>
      <c r="D146" s="97">
        <f t="shared" si="22"/>
        <v>0</v>
      </c>
      <c r="E146" s="97">
        <f t="shared" si="22"/>
        <v>0</v>
      </c>
      <c r="F146" s="210">
        <f t="shared" si="21"/>
        <v>0</v>
      </c>
      <c r="G146" s="211"/>
      <c r="H146" s="70" t="s">
        <v>389</v>
      </c>
      <c r="J146" s="116"/>
      <c r="K146" s="116"/>
    </row>
    <row r="147" spans="1:11" ht="18" customHeight="1" x14ac:dyDescent="0.25">
      <c r="A147" s="809" t="s">
        <v>390</v>
      </c>
      <c r="B147" s="798"/>
      <c r="C147" s="798"/>
      <c r="D147" s="798"/>
      <c r="E147" s="798"/>
      <c r="F147" s="798"/>
      <c r="G147" s="804"/>
      <c r="H147" s="805"/>
      <c r="J147" s="116"/>
      <c r="K147" s="116"/>
    </row>
    <row r="148" spans="1:11" ht="18" customHeight="1" outlineLevel="1" x14ac:dyDescent="0.25">
      <c r="A148" s="66" t="s">
        <v>391</v>
      </c>
      <c r="B148" s="106"/>
      <c r="C148" s="106"/>
      <c r="D148" s="106"/>
      <c r="E148" s="106"/>
      <c r="F148" s="207">
        <f t="shared" ref="F148:F153" si="23">CHOOSE(MATCH(B$2,$B$4:$E$4,0),B148,C148,D148,E148)</f>
        <v>0</v>
      </c>
      <c r="G148" s="208"/>
      <c r="H148" s="70" t="s">
        <v>175</v>
      </c>
      <c r="J148" s="116"/>
      <c r="K148" s="116"/>
    </row>
    <row r="149" spans="1:11" ht="18" customHeight="1" outlineLevel="1" x14ac:dyDescent="0.25">
      <c r="A149" s="71" t="s">
        <v>392</v>
      </c>
      <c r="B149" s="111"/>
      <c r="C149" s="111"/>
      <c r="D149" s="111"/>
      <c r="E149" s="111"/>
      <c r="F149" s="210">
        <f t="shared" si="23"/>
        <v>0</v>
      </c>
      <c r="G149" s="211"/>
      <c r="H149" s="73" t="s">
        <v>393</v>
      </c>
      <c r="J149" s="116"/>
      <c r="K149" s="116"/>
    </row>
    <row r="150" spans="1:11" ht="18" customHeight="1" outlineLevel="1" x14ac:dyDescent="0.25">
      <c r="A150" s="66" t="s">
        <v>394</v>
      </c>
      <c r="B150" s="215"/>
      <c r="C150" s="215"/>
      <c r="D150" s="215"/>
      <c r="E150" s="215"/>
      <c r="F150" s="213">
        <f t="shared" si="23"/>
        <v>0</v>
      </c>
      <c r="G150" s="214"/>
      <c r="J150" s="116"/>
      <c r="K150" s="116"/>
    </row>
    <row r="151" spans="1:11" ht="18" customHeight="1" outlineLevel="1" x14ac:dyDescent="0.25">
      <c r="A151" s="71" t="s">
        <v>395</v>
      </c>
      <c r="B151" s="212"/>
      <c r="C151" s="212"/>
      <c r="D151" s="212"/>
      <c r="E151" s="212"/>
      <c r="F151" s="213">
        <f t="shared" si="23"/>
        <v>0</v>
      </c>
      <c r="G151" s="214"/>
      <c r="J151" s="116"/>
      <c r="K151" s="116"/>
    </row>
    <row r="152" spans="1:11" ht="15" customHeight="1" outlineLevel="1" x14ac:dyDescent="0.25">
      <c r="A152" s="66" t="s">
        <v>396</v>
      </c>
      <c r="B152" s="215"/>
      <c r="C152" s="215"/>
      <c r="D152" s="215"/>
      <c r="E152" s="215"/>
      <c r="F152" s="213">
        <f t="shared" si="23"/>
        <v>0</v>
      </c>
      <c r="G152" s="214"/>
      <c r="J152" s="116"/>
      <c r="K152" s="116"/>
    </row>
    <row r="153" spans="1:11" ht="15" customHeight="1" outlineLevel="1" x14ac:dyDescent="0.25">
      <c r="A153" s="71" t="s">
        <v>397</v>
      </c>
      <c r="B153" s="111"/>
      <c r="C153" s="111"/>
      <c r="D153" s="111"/>
      <c r="E153" s="111"/>
      <c r="F153" s="210">
        <f t="shared" si="23"/>
        <v>0</v>
      </c>
      <c r="G153" s="211"/>
      <c r="J153" s="116"/>
      <c r="K153" s="116"/>
    </row>
    <row r="154" spans="1:11" ht="15" customHeight="1" x14ac:dyDescent="0.25">
      <c r="A154" s="810" t="s">
        <v>398</v>
      </c>
      <c r="B154" s="798"/>
      <c r="C154" s="798"/>
      <c r="D154" s="798"/>
      <c r="E154" s="798"/>
      <c r="F154" s="798"/>
      <c r="G154" s="804"/>
      <c r="H154" s="805"/>
      <c r="J154" s="116"/>
      <c r="K154" s="116"/>
    </row>
    <row r="155" spans="1:11" ht="15" customHeight="1" outlineLevel="1" x14ac:dyDescent="0.25">
      <c r="A155" s="71" t="s">
        <v>399</v>
      </c>
      <c r="B155" s="206"/>
      <c r="C155" s="206">
        <f>B155</f>
        <v>0</v>
      </c>
      <c r="D155" s="206">
        <f>C155</f>
        <v>0</v>
      </c>
      <c r="E155" s="206"/>
      <c r="F155" s="207">
        <f t="shared" ref="F155:F160" si="24">CHOOSE(MATCH(B$2,$B$4:$E$4,0),B155,C155,D155,E155)</f>
        <v>0</v>
      </c>
      <c r="G155" s="208"/>
      <c r="H155" s="73" t="s">
        <v>400</v>
      </c>
      <c r="J155" s="116"/>
      <c r="K155" s="116"/>
    </row>
    <row r="156" spans="1:11" ht="15" customHeight="1" outlineLevel="1" x14ac:dyDescent="0.25">
      <c r="A156" s="66" t="s">
        <v>401</v>
      </c>
      <c r="B156" s="97">
        <v>0</v>
      </c>
      <c r="C156" s="97"/>
      <c r="D156" s="97"/>
      <c r="E156" s="97"/>
      <c r="F156" s="210">
        <f t="shared" si="24"/>
        <v>0</v>
      </c>
      <c r="G156" s="211"/>
      <c r="J156" s="116"/>
      <c r="K156" s="116"/>
    </row>
    <row r="157" spans="1:11" ht="15" customHeight="1" outlineLevel="1" x14ac:dyDescent="0.25">
      <c r="A157" s="71" t="s">
        <v>402</v>
      </c>
      <c r="B157" s="212">
        <v>0</v>
      </c>
      <c r="C157" s="212"/>
      <c r="D157" s="212"/>
      <c r="E157" s="212"/>
      <c r="F157" s="213">
        <f t="shared" si="24"/>
        <v>0</v>
      </c>
      <c r="G157" s="214"/>
      <c r="J157" s="116"/>
      <c r="K157" s="116"/>
    </row>
    <row r="158" spans="1:11" ht="15" customHeight="1" outlineLevel="1" x14ac:dyDescent="0.25">
      <c r="A158" s="66" t="s">
        <v>403</v>
      </c>
      <c r="B158" s="215"/>
      <c r="C158" s="215">
        <f>B158</f>
        <v>0</v>
      </c>
      <c r="D158" s="215">
        <f>C158</f>
        <v>0</v>
      </c>
      <c r="E158" s="215"/>
      <c r="F158" s="213">
        <f t="shared" si="24"/>
        <v>0</v>
      </c>
      <c r="G158" s="214"/>
      <c r="J158" s="116"/>
      <c r="K158" s="116"/>
    </row>
    <row r="159" spans="1:11" ht="15" customHeight="1" outlineLevel="1" x14ac:dyDescent="0.25">
      <c r="A159" s="71" t="s">
        <v>404</v>
      </c>
      <c r="B159" s="212"/>
      <c r="C159" s="212"/>
      <c r="D159" s="212"/>
      <c r="E159" s="212"/>
      <c r="F159" s="213">
        <f t="shared" si="24"/>
        <v>0</v>
      </c>
      <c r="G159" s="214"/>
      <c r="J159" s="116"/>
      <c r="K159" s="116"/>
    </row>
    <row r="160" spans="1:11" ht="15" customHeight="1" outlineLevel="1" x14ac:dyDescent="0.25">
      <c r="A160" s="66" t="s">
        <v>405</v>
      </c>
      <c r="B160" s="97">
        <v>0</v>
      </c>
      <c r="C160" s="97"/>
      <c r="D160" s="97"/>
      <c r="E160" s="97"/>
      <c r="F160" s="210">
        <f t="shared" si="24"/>
        <v>0</v>
      </c>
      <c r="G160" s="211"/>
      <c r="J160" s="116"/>
      <c r="K160" s="116"/>
    </row>
    <row r="161" spans="1:11" ht="15" customHeight="1" x14ac:dyDescent="0.25">
      <c r="A161" s="811" t="s">
        <v>406</v>
      </c>
      <c r="B161" s="798"/>
      <c r="C161" s="798"/>
      <c r="D161" s="798"/>
      <c r="E161" s="798"/>
      <c r="F161" s="798"/>
      <c r="G161" s="804"/>
      <c r="H161" s="805"/>
      <c r="J161" s="116"/>
      <c r="K161" s="116"/>
    </row>
    <row r="162" spans="1:11" ht="15" customHeight="1" outlineLevel="1" x14ac:dyDescent="0.25">
      <c r="A162" s="66" t="s">
        <v>407</v>
      </c>
      <c r="B162" s="82">
        <f>IFERROR(IF(B141=0,0,IF(B145&gt;0,B141*B142/12,-PMT(B142/12,B143*12,B141))),0)</f>
        <v>0</v>
      </c>
      <c r="C162" s="82">
        <f>IFERROR(IF(C141=0,0,IF(C145&gt;0,C141*C142/12,-PMT(C142/12,C143*12,C141))),0)</f>
        <v>0</v>
      </c>
      <c r="D162" s="82">
        <f>IFERROR(IF(D141=0,0,IF(D145&gt;0,D141*D142/12,-PMT(D142/12,D143*12,D141))),0)</f>
        <v>0</v>
      </c>
      <c r="E162" s="82">
        <f>IFERROR(IF(E141=0,0,IF(E145&gt;0,E141*E142/12,-PMT(E142/12,E143*12,E141))),0)</f>
        <v>0</v>
      </c>
      <c r="F162" s="207">
        <f t="shared" ref="F162:F173" si="25">CHOOSE(MATCH(B$2,$B$4:$E$4,0),B162,C162,D162,E162)</f>
        <v>0</v>
      </c>
      <c r="G162" s="208"/>
      <c r="J162" s="116"/>
      <c r="K162" s="116"/>
    </row>
    <row r="163" spans="1:11" ht="15" customHeight="1" outlineLevel="1" x14ac:dyDescent="0.25">
      <c r="A163" s="66" t="s">
        <v>408</v>
      </c>
      <c r="B163" s="82">
        <f>IFERROR(IF(B148=0,0,IF(B152&gt;0,B148*B149/12,-PMT(B149/12,B150*12,B148))),0)</f>
        <v>0</v>
      </c>
      <c r="C163" s="82">
        <f>IFERROR(IF(C148=0,0,IF(C152&gt;0,C148*C149/12,-PMT(C149/12,C150*12,C148))),0)</f>
        <v>0</v>
      </c>
      <c r="D163" s="82">
        <f>IFERROR(IF(D148=0,0,IF(D152&gt;0,D148*D149/12,-PMT(D149/12,D150*12,D148))),0)</f>
        <v>0</v>
      </c>
      <c r="E163" s="82">
        <f>IFERROR(IF(E148=0,0,IF(E152&gt;0,E148*E149/12,-PMT(E149/12,E150*12,E148))),0)</f>
        <v>0</v>
      </c>
      <c r="F163" s="207">
        <f t="shared" si="25"/>
        <v>0</v>
      </c>
      <c r="G163" s="208"/>
      <c r="J163" s="116"/>
      <c r="K163" s="116"/>
    </row>
    <row r="164" spans="1:11" ht="15" customHeight="1" outlineLevel="1" x14ac:dyDescent="0.25">
      <c r="A164" s="66" t="s">
        <v>409</v>
      </c>
      <c r="B164" s="82">
        <f>IFERROR(IF(B155=0,0,IF(B159&gt;0,B155*B156/12,-PMT(B156/12,B157*12,B155))),0)</f>
        <v>0</v>
      </c>
      <c r="C164" s="82">
        <f>IFERROR(IF(C155=0,0,IF(C159&gt;0,C155*C156/12,-PMT(C156/12,C157*12,C155))),0)</f>
        <v>0</v>
      </c>
      <c r="D164" s="82">
        <f>IFERROR(IF(D155=0,0,IF(D159&gt;0,D155*D156/12,-PMT(D156/12,D157*12,D155))),0)</f>
        <v>0</v>
      </c>
      <c r="E164" s="82">
        <f>IFERROR(IF(E155=0,0,IF(E159&gt;0,E155*E156/12,-PMT(E156/12,E157*12,E155))),0)</f>
        <v>0</v>
      </c>
      <c r="F164" s="207">
        <f t="shared" si="25"/>
        <v>0</v>
      </c>
      <c r="G164" s="208"/>
      <c r="J164" s="116"/>
      <c r="K164" s="116"/>
    </row>
    <row r="165" spans="1:11" ht="15" customHeight="1" outlineLevel="1" x14ac:dyDescent="0.25">
      <c r="A165" s="66" t="s">
        <v>410</v>
      </c>
      <c r="B165" s="82">
        <f>IFERROR(IF(B141=0,0,B162*12),0)</f>
        <v>0</v>
      </c>
      <c r="C165" s="82">
        <f>IFERROR(IF(C141=0,0,C162*12),0)</f>
        <v>0</v>
      </c>
      <c r="D165" s="82">
        <f>IFERROR(IF(D141=0,0,D162*12),0)</f>
        <v>0</v>
      </c>
      <c r="E165" s="82">
        <f>IFERROR(IF(E141=0,0,E162*12),0)</f>
        <v>0</v>
      </c>
      <c r="F165" s="207">
        <f t="shared" si="25"/>
        <v>0</v>
      </c>
      <c r="G165" s="208"/>
      <c r="J165" s="116"/>
      <c r="K165" s="116"/>
    </row>
    <row r="166" spans="1:11" ht="15" customHeight="1" outlineLevel="1" x14ac:dyDescent="0.25">
      <c r="A166" s="66" t="s">
        <v>411</v>
      </c>
      <c r="B166" s="82">
        <f>IFERROR(IF(B148=0,0,B163*12),0)</f>
        <v>0</v>
      </c>
      <c r="C166" s="82">
        <f>IFERROR(IF(C148=0,0,C163*12),0)</f>
        <v>0</v>
      </c>
      <c r="D166" s="82">
        <f>IFERROR(IF(D148=0,0,D163*12),0)</f>
        <v>0</v>
      </c>
      <c r="E166" s="82">
        <f>IFERROR(IF(E148=0,0,E163*12),0)</f>
        <v>0</v>
      </c>
      <c r="F166" s="207">
        <f t="shared" si="25"/>
        <v>0</v>
      </c>
      <c r="G166" s="208"/>
      <c r="J166" s="116"/>
      <c r="K166" s="116"/>
    </row>
    <row r="167" spans="1:11" ht="15" customHeight="1" outlineLevel="1" x14ac:dyDescent="0.25">
      <c r="A167" s="66" t="s">
        <v>412</v>
      </c>
      <c r="B167" s="82">
        <f>IFERROR(IF(B155=0,0,B164*12),0)</f>
        <v>0</v>
      </c>
      <c r="C167" s="82">
        <f>IFERROR(IF(C155=0,0,C164*12),0)</f>
        <v>0</v>
      </c>
      <c r="D167" s="82">
        <f>IFERROR(IF(D155=0,0,D164*12),0)</f>
        <v>0</v>
      </c>
      <c r="E167" s="82">
        <f>IFERROR(IF(E155=0,0,E164*12),0)</f>
        <v>0</v>
      </c>
      <c r="F167" s="207">
        <f t="shared" si="25"/>
        <v>0</v>
      </c>
      <c r="G167" s="208"/>
      <c r="J167" s="116"/>
      <c r="K167" s="116"/>
    </row>
    <row r="168" spans="1:11" ht="15" customHeight="1" x14ac:dyDescent="0.25">
      <c r="A168" s="218" t="s">
        <v>413</v>
      </c>
      <c r="B168" s="219">
        <f>B165+B166+B167</f>
        <v>0</v>
      </c>
      <c r="C168" s="219">
        <f>C165+C166+C167</f>
        <v>0</v>
      </c>
      <c r="D168" s="219">
        <f>D165+D166+D167</f>
        <v>0</v>
      </c>
      <c r="E168" s="219">
        <f>E165+E166+E167</f>
        <v>0</v>
      </c>
      <c r="F168" s="219">
        <f t="shared" si="25"/>
        <v>0</v>
      </c>
      <c r="G168" s="220"/>
      <c r="H168" s="221" t="s">
        <v>414</v>
      </c>
      <c r="J168" s="116"/>
      <c r="K168" s="116"/>
    </row>
    <row r="169" spans="1:11" ht="15" customHeight="1" x14ac:dyDescent="0.25">
      <c r="A169" s="102" t="s">
        <v>415</v>
      </c>
      <c r="B169" s="222">
        <f>IFERROR(IF(B141=0,0,IF(B145&gt;0,B141,B141+CUMPRINC(B142/12,B143*12,B141,1,B135*12,0))),0)+IFERROR(IF(B148=0,0,IF(B152&gt;0,B148,B148+CUMPRINC(B149/12,B150*12,B148,1,B135*12,0))),0)+IFERROR(IF(B155=0,0,IF(B159&gt;0,B155,B155+CUMPRINC(B156/12,B157*12,B155,1,B135*12,0))),0)</f>
        <v>0</v>
      </c>
      <c r="C169" s="222">
        <f>IFERROR(IF(C141=0,0,IF(C145&gt;0,C141,C141+CUMPRINC(C142/12,C143*12,C141,1,C135*12,0))),0)+IFERROR(IF(C148=0,0,IF(C152&gt;0,C148,C148+CUMPRINC(C149/12,C150*12,C148,1,C135*12,0))),0)+IFERROR(IF(C155=0,0,IF(C159&gt;0,C155,C155+CUMPRINC(C156/12,C157*12,C155,1,C135*12,0))),0)</f>
        <v>0</v>
      </c>
      <c r="D169" s="222">
        <f>IFERROR(IF(D141=0,0,IF(D145&gt;0,D141,D141+CUMPRINC(D142/12,D143*12,D141,1,D135*12,0))),0)+IFERROR(IF(D148=0,0,IF(D152&gt;0,D148,D148+CUMPRINC(D149/12,D150*12,D148,1,D135*12,0))),0)+IFERROR(IF(D155=0,0,IF(D159&gt;0,D155,D155+CUMPRINC(D156/12,D157*12,D155,1,D135*12,0))),0)</f>
        <v>0</v>
      </c>
      <c r="E169" s="222">
        <f>IFERROR(IF(E141=0,0,IF(E145&gt;0,E141,E141+CUMPRINC(E142/12,E143*12,E141,1,E135*12,0))),0)+IFERROR(IF(E148=0,0,IF(E152&gt;0,E148,E148+CUMPRINC(E149/12,E150*12,E148,1,E135*12,0))),0)+IFERROR(IF(E155=0,0,IF(E159&gt;0,E155,E155+CUMPRINC(E156/12,E157*12,E155,1,E135*12,0))),0)</f>
        <v>0</v>
      </c>
      <c r="F169" s="223">
        <f t="shared" si="25"/>
        <v>0</v>
      </c>
      <c r="G169" s="224"/>
      <c r="H169" s="225" t="s">
        <v>416</v>
      </c>
      <c r="J169" s="116"/>
      <c r="K169" s="116"/>
    </row>
    <row r="170" spans="1:11" ht="15" customHeight="1" x14ac:dyDescent="0.25">
      <c r="A170" s="226" t="s">
        <v>417</v>
      </c>
      <c r="B170" s="227">
        <f>B141+B148+B155</f>
        <v>0</v>
      </c>
      <c r="C170" s="227">
        <f>C141+C148+C155</f>
        <v>0</v>
      </c>
      <c r="D170" s="227">
        <f>D141+D148+D155</f>
        <v>0</v>
      </c>
      <c r="E170" s="227">
        <f>E141+E148+E155</f>
        <v>0</v>
      </c>
      <c r="F170" s="228">
        <f t="shared" si="25"/>
        <v>0</v>
      </c>
      <c r="G170" s="229"/>
      <c r="H170" s="90" t="s">
        <v>179</v>
      </c>
      <c r="J170" s="116"/>
      <c r="K170" s="116"/>
    </row>
    <row r="171" spans="1:11" ht="15" customHeight="1" x14ac:dyDescent="0.25">
      <c r="A171" s="66" t="s">
        <v>418</v>
      </c>
      <c r="B171" s="230">
        <f>IFERROR(B170/B7,0)</f>
        <v>0</v>
      </c>
      <c r="C171" s="230">
        <f>IFERROR(C170/C7,0)</f>
        <v>0</v>
      </c>
      <c r="D171" s="230">
        <f>IFERROR(D170/D7,0)</f>
        <v>0</v>
      </c>
      <c r="E171" s="230">
        <f>IFERROR(E170/E7,0)</f>
        <v>0</v>
      </c>
      <c r="F171" s="231">
        <f t="shared" si="25"/>
        <v>0</v>
      </c>
      <c r="G171" s="232"/>
      <c r="H171" s="70" t="s">
        <v>181</v>
      </c>
      <c r="J171" s="116"/>
      <c r="K171" s="116"/>
    </row>
    <row r="172" spans="1:11" ht="15" customHeight="1" x14ac:dyDescent="0.25">
      <c r="A172" s="233" t="s">
        <v>419</v>
      </c>
      <c r="B172" s="234">
        <f>IFERROR(B170/B17,0)</f>
        <v>0</v>
      </c>
      <c r="C172" s="234">
        <f>IFERROR(C170/C17,0)</f>
        <v>0</v>
      </c>
      <c r="D172" s="234">
        <f>IFERROR(D170/D17,0)</f>
        <v>0</v>
      </c>
      <c r="E172" s="234">
        <f>IFERROR(E170/E17,0)</f>
        <v>0</v>
      </c>
      <c r="F172" s="231">
        <f t="shared" si="25"/>
        <v>0</v>
      </c>
      <c r="G172" s="232"/>
      <c r="H172" s="225" t="s">
        <v>183</v>
      </c>
      <c r="J172" s="116"/>
      <c r="K172" s="116"/>
    </row>
    <row r="173" spans="1:11" ht="15" customHeight="1" x14ac:dyDescent="0.25">
      <c r="A173" s="235" t="s">
        <v>420</v>
      </c>
      <c r="B173" s="236" t="s">
        <v>421</v>
      </c>
      <c r="C173" s="236" t="str">
        <f>B173</f>
        <v>NO</v>
      </c>
      <c r="D173" s="236" t="str">
        <f>C173</f>
        <v>NO</v>
      </c>
      <c r="E173" s="236" t="str">
        <f>D173</f>
        <v>NO</v>
      </c>
      <c r="F173" s="237" t="str">
        <f t="shared" si="25"/>
        <v>NO</v>
      </c>
      <c r="H173" s="238" t="s">
        <v>422</v>
      </c>
      <c r="J173" s="116"/>
      <c r="K173" s="116"/>
    </row>
    <row r="174" spans="1:11" ht="15" customHeight="1" x14ac:dyDescent="0.25">
      <c r="A174" s="185" t="s">
        <v>423</v>
      </c>
      <c r="B174" s="239"/>
      <c r="C174" s="239"/>
      <c r="D174" s="239"/>
      <c r="E174" s="239"/>
      <c r="F174" s="239"/>
      <c r="H174" s="185" t="s">
        <v>424</v>
      </c>
      <c r="J174" s="116"/>
      <c r="K174" s="116"/>
    </row>
    <row r="175" spans="1:11" ht="15" customHeight="1" x14ac:dyDescent="0.25">
      <c r="A175" s="240" t="s">
        <v>425</v>
      </c>
      <c r="B175" s="241">
        <f t="shared" ref="B175:F177" si="26">B12</f>
        <v>0</v>
      </c>
      <c r="C175" s="241">
        <f t="shared" si="26"/>
        <v>0</v>
      </c>
      <c r="D175" s="241">
        <f t="shared" si="26"/>
        <v>0</v>
      </c>
      <c r="E175" s="241">
        <f t="shared" si="26"/>
        <v>0</v>
      </c>
      <c r="F175" s="241">
        <f t="shared" si="26"/>
        <v>0</v>
      </c>
      <c r="J175" s="116"/>
      <c r="K175" s="116"/>
    </row>
    <row r="176" spans="1:11" ht="15" customHeight="1" x14ac:dyDescent="0.25">
      <c r="A176" s="240" t="s">
        <v>426</v>
      </c>
      <c r="B176" s="241">
        <f t="shared" si="26"/>
        <v>0</v>
      </c>
      <c r="C176" s="241">
        <f t="shared" si="26"/>
        <v>0</v>
      </c>
      <c r="D176" s="241">
        <f t="shared" si="26"/>
        <v>0</v>
      </c>
      <c r="E176" s="241">
        <f t="shared" si="26"/>
        <v>0</v>
      </c>
      <c r="F176" s="241">
        <f t="shared" si="26"/>
        <v>0</v>
      </c>
      <c r="J176" s="116"/>
      <c r="K176" s="116"/>
    </row>
    <row r="177" spans="1:11" ht="15" customHeight="1" x14ac:dyDescent="0.25">
      <c r="A177" s="240" t="s">
        <v>427</v>
      </c>
      <c r="B177" s="241" t="str">
        <f t="shared" si="26"/>
        <v/>
      </c>
      <c r="C177" s="241" t="str">
        <f t="shared" si="26"/>
        <v/>
      </c>
      <c r="D177" s="241" t="str">
        <f t="shared" si="26"/>
        <v/>
      </c>
      <c r="E177" s="241" t="str">
        <f t="shared" si="26"/>
        <v/>
      </c>
      <c r="F177" s="241" t="str">
        <f t="shared" si="26"/>
        <v/>
      </c>
      <c r="J177" s="116"/>
      <c r="K177" s="116"/>
    </row>
    <row r="178" spans="1:11" ht="15" customHeight="1" x14ac:dyDescent="0.25">
      <c r="A178" s="240" t="s">
        <v>428</v>
      </c>
      <c r="B178" s="241">
        <f>B16</f>
        <v>0</v>
      </c>
      <c r="C178" s="241">
        <f>C16</f>
        <v>0</v>
      </c>
      <c r="D178" s="241">
        <f>D16</f>
        <v>0</v>
      </c>
      <c r="E178" s="241">
        <f>E16</f>
        <v>0</v>
      </c>
      <c r="F178" s="241">
        <f>F16</f>
        <v>0</v>
      </c>
      <c r="J178" s="116"/>
      <c r="K178" s="116"/>
    </row>
    <row r="179" spans="1:11" ht="15" customHeight="1" x14ac:dyDescent="0.25">
      <c r="A179" s="242" t="s">
        <v>429</v>
      </c>
      <c r="B179" s="243">
        <f>IFERROR(B12+B13+B14+B16,B12+B13+B16)</f>
        <v>0</v>
      </c>
      <c r="C179" s="243">
        <f>IFERROR(C12+C13+C14+C16,C12+C13+C16)</f>
        <v>0</v>
      </c>
      <c r="D179" s="243">
        <f>IFERROR(D12+D13+D14+D16,D12+D13+D16)</f>
        <v>0</v>
      </c>
      <c r="E179" s="243">
        <f>IFERROR(E12+E13+E14+E16,E12+E13+E16)</f>
        <v>0</v>
      </c>
      <c r="F179" s="243">
        <f>IFERROR(F12+F13+F14+F16,F12+F13+F16)</f>
        <v>0</v>
      </c>
      <c r="J179" s="116"/>
      <c r="K179" s="116"/>
    </row>
    <row r="180" spans="1:11" ht="15" customHeight="1" x14ac:dyDescent="0.25">
      <c r="J180" s="116"/>
      <c r="K180" s="116"/>
    </row>
    <row r="181" spans="1:11" ht="15" customHeight="1" x14ac:dyDescent="0.25">
      <c r="J181" s="116"/>
      <c r="K181" s="116"/>
    </row>
    <row r="182" spans="1:11" ht="15" customHeight="1" x14ac:dyDescent="0.25">
      <c r="J182" s="116"/>
      <c r="K182" s="116"/>
    </row>
    <row r="183" spans="1:11" ht="15" customHeight="1" x14ac:dyDescent="0.25">
      <c r="J183" s="116"/>
      <c r="K183" s="116"/>
    </row>
    <row r="184" spans="1:11" ht="15" customHeight="1" x14ac:dyDescent="0.25">
      <c r="J184" s="116"/>
      <c r="K184" s="116"/>
    </row>
    <row r="185" spans="1:11" ht="15" customHeight="1" x14ac:dyDescent="0.25">
      <c r="J185" s="116"/>
      <c r="K185" s="116"/>
    </row>
    <row r="186" spans="1:11" ht="15" customHeight="1" x14ac:dyDescent="0.25">
      <c r="J186" s="116"/>
      <c r="K186" s="116"/>
    </row>
    <row r="187" spans="1:11" ht="15" customHeight="1" x14ac:dyDescent="0.25">
      <c r="J187" s="116"/>
      <c r="K187" s="116"/>
    </row>
    <row r="188" spans="1:11" ht="15" customHeight="1" x14ac:dyDescent="0.25">
      <c r="J188" s="116"/>
      <c r="K188" s="116"/>
    </row>
    <row r="189" spans="1:11" ht="15" customHeight="1" x14ac:dyDescent="0.25">
      <c r="J189" s="116"/>
      <c r="K189" s="116"/>
    </row>
    <row r="190" spans="1:11" ht="15" customHeight="1" x14ac:dyDescent="0.25">
      <c r="J190" s="116"/>
      <c r="K190" s="116"/>
    </row>
    <row r="191" spans="1:11" ht="15" customHeight="1" x14ac:dyDescent="0.25"/>
    <row r="192" spans="1:11" ht="15" customHeight="1" x14ac:dyDescent="0.25"/>
  </sheetData>
  <mergeCells count="13">
    <mergeCell ref="A1:H1"/>
    <mergeCell ref="A37:H37"/>
    <mergeCell ref="A27:H27"/>
    <mergeCell ref="A154:H154"/>
    <mergeCell ref="A161:H161"/>
    <mergeCell ref="A128:H128"/>
    <mergeCell ref="A19:H19"/>
    <mergeCell ref="A138:H138"/>
    <mergeCell ref="A139:H139"/>
    <mergeCell ref="A3:H3"/>
    <mergeCell ref="A140:H140"/>
    <mergeCell ref="A78:H78"/>
    <mergeCell ref="A147:H147"/>
  </mergeCells>
  <dataValidations count="2">
    <dataValidation type="list" sqref="B2" xr:uid="{00000000-0002-0000-0200-000000000000}">
      <formula1>$B$4:$E$4</formula1>
      <formula2>0</formula2>
    </dataValidation>
    <dataValidation type="list" allowBlank="1" showInputMessage="1" showErrorMessage="1" errorTitle="Invalid Entry" error="Please select YES or NO." sqref="B173:E173" xr:uid="{00000000-0002-0000-02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1"/>
  <sheetViews>
    <sheetView zoomScaleNormal="100" workbookViewId="0">
      <pane xSplit="1" ySplit="7" topLeftCell="B102" activePane="bottomRight" state="frozen"/>
      <selection pane="topRight" activeCell="B1" sqref="B1"/>
      <selection pane="bottomLeft" activeCell="A15" sqref="A15"/>
      <selection pane="bottomRight" activeCell="B103" sqref="B103"/>
    </sheetView>
  </sheetViews>
  <sheetFormatPr defaultColWidth="8.85546875" defaultRowHeight="15" outlineLevelRow="1" x14ac:dyDescent="0.25"/>
  <cols>
    <col min="1" max="1" width="37.28515625" customWidth="1"/>
    <col min="2" max="2" width="5.42578125" customWidth="1"/>
    <col min="3" max="3" width="15.28515625" customWidth="1"/>
    <col min="4" max="8" width="15.7109375" customWidth="1"/>
    <col min="9" max="13" width="17" customWidth="1"/>
    <col min="14" max="16" width="14" customWidth="1"/>
    <col min="17" max="18" width="16" customWidth="1"/>
  </cols>
  <sheetData>
    <row r="1" spans="1:18" ht="27.75" customHeight="1" x14ac:dyDescent="0.25">
      <c r="A1" s="865" t="s">
        <v>430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</row>
    <row r="2" spans="1:18" ht="15.75" customHeight="1" x14ac:dyDescent="0.25">
      <c r="A2" s="867" t="s">
        <v>431</v>
      </c>
      <c r="B2" s="866"/>
      <c r="C2" s="866"/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  <c r="R2" s="866"/>
    </row>
    <row r="3" spans="1:18" x14ac:dyDescent="0.25">
      <c r="A3" s="868"/>
      <c r="B3" s="868"/>
      <c r="C3" s="868"/>
      <c r="D3" s="868"/>
      <c r="E3" s="868"/>
      <c r="F3" s="868"/>
      <c r="G3" s="868"/>
      <c r="H3" s="868"/>
      <c r="I3" s="868"/>
      <c r="J3" s="868"/>
      <c r="K3" s="868"/>
      <c r="L3" s="868"/>
      <c r="M3" s="868"/>
      <c r="N3" s="868"/>
      <c r="O3" s="868"/>
      <c r="P3" s="868"/>
      <c r="Q3" s="868"/>
      <c r="R3" s="868"/>
    </row>
    <row r="4" spans="1:18" ht="24" customHeight="1" x14ac:dyDescent="0.25">
      <c r="A4" s="869" t="s">
        <v>432</v>
      </c>
      <c r="B4" s="869"/>
      <c r="C4" s="869"/>
      <c r="D4" s="870" t="s">
        <v>433</v>
      </c>
      <c r="E4" s="870" t="s">
        <v>434</v>
      </c>
      <c r="F4" s="870" t="s">
        <v>435</v>
      </c>
      <c r="G4" s="870" t="s">
        <v>436</v>
      </c>
      <c r="H4" s="870" t="s">
        <v>437</v>
      </c>
      <c r="I4" s="870" t="s">
        <v>438</v>
      </c>
      <c r="J4" s="870" t="s">
        <v>439</v>
      </c>
      <c r="K4" s="870" t="s">
        <v>440</v>
      </c>
      <c r="L4" s="870" t="s">
        <v>441</v>
      </c>
      <c r="M4" s="870" t="s">
        <v>442</v>
      </c>
      <c r="N4" s="869"/>
      <c r="O4" s="869"/>
      <c r="P4" s="869"/>
      <c r="Q4" s="869"/>
      <c r="R4" s="868"/>
    </row>
    <row r="5" spans="1:18" ht="18" customHeight="1" x14ac:dyDescent="0.25">
      <c r="A5" s="871" t="s">
        <v>443</v>
      </c>
      <c r="B5" s="871"/>
      <c r="C5" s="872" t="s">
        <v>104</v>
      </c>
      <c r="D5" s="873">
        <v>0.04</v>
      </c>
      <c r="E5" s="873">
        <v>0.04</v>
      </c>
      <c r="F5" s="873">
        <v>0.04</v>
      </c>
      <c r="G5" s="873">
        <v>0.04</v>
      </c>
      <c r="H5" s="873">
        <f t="shared" ref="H5:M5" si="0">G5</f>
        <v>0.04</v>
      </c>
      <c r="I5" s="873">
        <f t="shared" si="0"/>
        <v>0.04</v>
      </c>
      <c r="J5" s="873">
        <f t="shared" si="0"/>
        <v>0.04</v>
      </c>
      <c r="K5" s="873">
        <f t="shared" si="0"/>
        <v>0.04</v>
      </c>
      <c r="L5" s="873">
        <f t="shared" si="0"/>
        <v>0.04</v>
      </c>
      <c r="M5" s="873">
        <f t="shared" si="0"/>
        <v>0.04</v>
      </c>
      <c r="N5" s="871" t="s">
        <v>444</v>
      </c>
      <c r="O5" s="874">
        <f>AVERAGE(D5:M5)</f>
        <v>3.9999999999999994E-2</v>
      </c>
      <c r="P5" s="866"/>
      <c r="Q5" s="868"/>
      <c r="R5" s="868"/>
    </row>
    <row r="6" spans="1:18" ht="18" customHeight="1" x14ac:dyDescent="0.25">
      <c r="A6" s="871" t="s">
        <v>445</v>
      </c>
      <c r="B6" s="871"/>
      <c r="C6" s="872" t="s">
        <v>104</v>
      </c>
      <c r="D6" s="873">
        <v>0.03</v>
      </c>
      <c r="E6" s="873">
        <v>0.03</v>
      </c>
      <c r="F6" s="873">
        <v>0.03</v>
      </c>
      <c r="G6" s="873">
        <v>0.03</v>
      </c>
      <c r="H6" s="873">
        <v>0.03</v>
      </c>
      <c r="I6" s="873">
        <f>H6</f>
        <v>0.03</v>
      </c>
      <c r="J6" s="873">
        <f>I6</f>
        <v>0.03</v>
      </c>
      <c r="K6" s="873">
        <f>J6</f>
        <v>0.03</v>
      </c>
      <c r="L6" s="873">
        <f>K6</f>
        <v>0.03</v>
      </c>
      <c r="M6" s="873">
        <f>L6</f>
        <v>0.03</v>
      </c>
      <c r="N6" s="871" t="s">
        <v>444</v>
      </c>
      <c r="O6" s="874">
        <f>AVERAGE(D6:M6)</f>
        <v>3.0000000000000006E-2</v>
      </c>
      <c r="P6" s="866"/>
      <c r="Q6" s="868"/>
      <c r="R6" s="868"/>
    </row>
    <row r="7" spans="1:18" x14ac:dyDescent="0.25">
      <c r="A7" s="868"/>
      <c r="B7" s="868"/>
      <c r="C7" s="868"/>
      <c r="D7" s="868"/>
      <c r="E7" s="868"/>
      <c r="F7" s="868"/>
      <c r="G7" s="868"/>
      <c r="H7" s="868"/>
      <c r="I7" s="868"/>
      <c r="J7" s="868"/>
      <c r="K7" s="868"/>
      <c r="L7" s="868"/>
      <c r="M7" s="868"/>
      <c r="N7" s="868"/>
      <c r="O7" s="868"/>
      <c r="P7" s="868"/>
      <c r="Q7" s="868"/>
      <c r="R7" s="868"/>
    </row>
    <row r="8" spans="1:18" ht="30" customHeight="1" x14ac:dyDescent="0.25">
      <c r="A8" s="875" t="s">
        <v>140</v>
      </c>
      <c r="B8" s="875"/>
      <c r="C8" s="876" t="s">
        <v>446</v>
      </c>
      <c r="D8" s="870" t="s">
        <v>433</v>
      </c>
      <c r="E8" s="870" t="s">
        <v>434</v>
      </c>
      <c r="F8" s="870" t="s">
        <v>435</v>
      </c>
      <c r="G8" s="870" t="s">
        <v>436</v>
      </c>
      <c r="H8" s="870" t="s">
        <v>437</v>
      </c>
      <c r="I8" s="870" t="s">
        <v>438</v>
      </c>
      <c r="J8" s="870" t="s">
        <v>439</v>
      </c>
      <c r="K8" s="870" t="s">
        <v>440</v>
      </c>
      <c r="L8" s="870" t="s">
        <v>441</v>
      </c>
      <c r="M8" s="870" t="s">
        <v>442</v>
      </c>
      <c r="N8" s="870" t="s">
        <v>447</v>
      </c>
      <c r="O8" s="870" t="s">
        <v>448</v>
      </c>
      <c r="P8" s="870" t="s">
        <v>449</v>
      </c>
      <c r="Q8" s="877" t="s">
        <v>450</v>
      </c>
      <c r="R8" s="868"/>
    </row>
    <row r="9" spans="1:18" ht="24" customHeight="1" x14ac:dyDescent="0.25">
      <c r="A9" s="878" t="s">
        <v>451</v>
      </c>
      <c r="B9" s="866"/>
      <c r="C9" s="866"/>
      <c r="D9" s="866"/>
      <c r="E9" s="866"/>
      <c r="F9" s="866"/>
      <c r="G9" s="866"/>
      <c r="H9" s="866"/>
      <c r="I9" s="866"/>
      <c r="J9" s="866"/>
      <c r="K9" s="866"/>
      <c r="L9" s="866"/>
      <c r="M9" s="866"/>
      <c r="N9" s="866"/>
      <c r="O9" s="866"/>
      <c r="P9" s="866"/>
      <c r="Q9" s="866"/>
      <c r="R9" s="866"/>
    </row>
    <row r="10" spans="1:18" ht="24" customHeight="1" x14ac:dyDescent="0.25">
      <c r="A10" s="879" t="s">
        <v>452</v>
      </c>
      <c r="B10" s="879"/>
      <c r="C10" s="880">
        <f t="shared" ref="C10:M10" si="1">IFERROR((C43/C42)/12,0)</f>
        <v>0</v>
      </c>
      <c r="D10" s="880">
        <f t="shared" si="1"/>
        <v>0</v>
      </c>
      <c r="E10" s="881">
        <f t="shared" si="1"/>
        <v>0</v>
      </c>
      <c r="F10" s="881">
        <f t="shared" si="1"/>
        <v>0</v>
      </c>
      <c r="G10" s="881">
        <f t="shared" si="1"/>
        <v>0</v>
      </c>
      <c r="H10" s="881">
        <f t="shared" si="1"/>
        <v>0</v>
      </c>
      <c r="I10" s="881">
        <f t="shared" si="1"/>
        <v>0</v>
      </c>
      <c r="J10" s="881">
        <f t="shared" si="1"/>
        <v>0</v>
      </c>
      <c r="K10" s="881">
        <f t="shared" si="1"/>
        <v>0</v>
      </c>
      <c r="L10" s="881">
        <f t="shared" si="1"/>
        <v>0</v>
      </c>
      <c r="M10" s="881">
        <f t="shared" si="1"/>
        <v>0</v>
      </c>
      <c r="N10" s="868"/>
      <c r="O10" s="868"/>
      <c r="P10" s="868"/>
      <c r="Q10" s="868"/>
      <c r="R10" s="868"/>
    </row>
    <row r="11" spans="1:18" ht="24" customHeight="1" x14ac:dyDescent="0.25">
      <c r="A11" s="882" t="s">
        <v>202</v>
      </c>
      <c r="B11" s="882"/>
      <c r="C11" s="868"/>
      <c r="D11" s="883"/>
      <c r="E11" s="883"/>
      <c r="F11" s="883"/>
      <c r="G11" s="883"/>
      <c r="H11" s="883"/>
      <c r="I11" s="883"/>
      <c r="J11" s="883"/>
      <c r="K11" s="883"/>
      <c r="L11" s="883"/>
      <c r="M11" s="883"/>
      <c r="N11" s="868"/>
      <c r="O11" s="868"/>
      <c r="P11" s="868"/>
      <c r="Q11" s="868"/>
      <c r="R11" s="868"/>
    </row>
    <row r="12" spans="1:18" ht="24" customHeight="1" outlineLevel="1" x14ac:dyDescent="0.25">
      <c r="A12" s="879" t="s">
        <v>203</v>
      </c>
      <c r="B12" s="879"/>
      <c r="C12" s="884">
        <f>Scenarios!B39</f>
        <v>0</v>
      </c>
      <c r="D12" s="885">
        <f>Scenarios!F39</f>
        <v>0</v>
      </c>
      <c r="E12" s="886">
        <f t="shared" ref="E12:M12" si="2">D12</f>
        <v>0</v>
      </c>
      <c r="F12" s="886">
        <f t="shared" si="2"/>
        <v>0</v>
      </c>
      <c r="G12" s="886">
        <f t="shared" si="2"/>
        <v>0</v>
      </c>
      <c r="H12" s="886">
        <f t="shared" si="2"/>
        <v>0</v>
      </c>
      <c r="I12" s="886">
        <f t="shared" si="2"/>
        <v>0</v>
      </c>
      <c r="J12" s="886">
        <f t="shared" si="2"/>
        <v>0</v>
      </c>
      <c r="K12" s="886">
        <f t="shared" si="2"/>
        <v>0</v>
      </c>
      <c r="L12" s="886">
        <f t="shared" si="2"/>
        <v>0</v>
      </c>
      <c r="M12" s="886">
        <f t="shared" si="2"/>
        <v>0</v>
      </c>
      <c r="N12" s="887"/>
      <c r="O12" s="887"/>
      <c r="P12" s="887"/>
      <c r="Q12" s="868"/>
      <c r="R12" s="868"/>
    </row>
    <row r="13" spans="1:18" ht="24" customHeight="1" outlineLevel="1" x14ac:dyDescent="0.25">
      <c r="A13" s="879" t="s">
        <v>205</v>
      </c>
      <c r="B13" s="879"/>
      <c r="C13" s="888">
        <f>Scenarios!B40</f>
        <v>0</v>
      </c>
      <c r="D13" s="889">
        <f>Scenarios!F40</f>
        <v>0</v>
      </c>
      <c r="E13" s="890">
        <f t="shared" ref="E13:M13" si="3">D13*(1+E$5)</f>
        <v>0</v>
      </c>
      <c r="F13" s="890">
        <f t="shared" si="3"/>
        <v>0</v>
      </c>
      <c r="G13" s="890">
        <f t="shared" si="3"/>
        <v>0</v>
      </c>
      <c r="H13" s="890">
        <f t="shared" si="3"/>
        <v>0</v>
      </c>
      <c r="I13" s="890">
        <f t="shared" si="3"/>
        <v>0</v>
      </c>
      <c r="J13" s="890">
        <f t="shared" si="3"/>
        <v>0</v>
      </c>
      <c r="K13" s="890">
        <f t="shared" si="3"/>
        <v>0</v>
      </c>
      <c r="L13" s="890">
        <f t="shared" si="3"/>
        <v>0</v>
      </c>
      <c r="M13" s="890">
        <f t="shared" si="3"/>
        <v>0</v>
      </c>
      <c r="N13" s="887"/>
      <c r="O13" s="887"/>
      <c r="P13" s="887"/>
      <c r="Q13" s="868"/>
      <c r="R13" s="868"/>
    </row>
    <row r="14" spans="1:18" ht="24" customHeight="1" outlineLevel="1" x14ac:dyDescent="0.25">
      <c r="A14" s="879" t="s">
        <v>207</v>
      </c>
      <c r="B14" s="879"/>
      <c r="C14" s="890">
        <f t="shared" ref="C14:M14" si="4">C12*C13*12</f>
        <v>0</v>
      </c>
      <c r="D14" s="889">
        <f t="shared" si="4"/>
        <v>0</v>
      </c>
      <c r="E14" s="890">
        <f t="shared" si="4"/>
        <v>0</v>
      </c>
      <c r="F14" s="890">
        <f t="shared" si="4"/>
        <v>0</v>
      </c>
      <c r="G14" s="890">
        <f t="shared" si="4"/>
        <v>0</v>
      </c>
      <c r="H14" s="890">
        <f t="shared" si="4"/>
        <v>0</v>
      </c>
      <c r="I14" s="890">
        <f t="shared" si="4"/>
        <v>0</v>
      </c>
      <c r="J14" s="890">
        <f t="shared" si="4"/>
        <v>0</v>
      </c>
      <c r="K14" s="890">
        <f t="shared" si="4"/>
        <v>0</v>
      </c>
      <c r="L14" s="890">
        <f t="shared" si="4"/>
        <v>0</v>
      </c>
      <c r="M14" s="890">
        <f t="shared" si="4"/>
        <v>0</v>
      </c>
      <c r="N14" s="890">
        <f>SUM(D14:H14)</f>
        <v>0</v>
      </c>
      <c r="O14" s="890">
        <f>SUM(D14:M14)</f>
        <v>0</v>
      </c>
      <c r="P14" s="891">
        <f>IFERROR(O14/10,0)</f>
        <v>0</v>
      </c>
      <c r="Q14" s="892">
        <f>IFERROR(D14/$D$50,0)</f>
        <v>0</v>
      </c>
      <c r="R14" s="868"/>
    </row>
    <row r="15" spans="1:18" ht="24" customHeight="1" outlineLevel="1" x14ac:dyDescent="0.25">
      <c r="A15" s="893" t="s">
        <v>453</v>
      </c>
      <c r="B15" s="893"/>
      <c r="C15" s="894">
        <f>Scenarios!B42</f>
        <v>0</v>
      </c>
      <c r="D15" s="894">
        <f>Scenarios!F42</f>
        <v>0</v>
      </c>
      <c r="E15" s="895">
        <f t="shared" ref="E15:M15" si="5">D15</f>
        <v>0</v>
      </c>
      <c r="F15" s="895">
        <f t="shared" si="5"/>
        <v>0</v>
      </c>
      <c r="G15" s="895">
        <f t="shared" si="5"/>
        <v>0</v>
      </c>
      <c r="H15" s="895">
        <f t="shared" si="5"/>
        <v>0</v>
      </c>
      <c r="I15" s="895">
        <f t="shared" si="5"/>
        <v>0</v>
      </c>
      <c r="J15" s="895">
        <f t="shared" si="5"/>
        <v>0</v>
      </c>
      <c r="K15" s="895">
        <f t="shared" si="5"/>
        <v>0</v>
      </c>
      <c r="L15" s="895">
        <f t="shared" si="5"/>
        <v>0</v>
      </c>
      <c r="M15" s="895">
        <f t="shared" si="5"/>
        <v>0</v>
      </c>
      <c r="N15" s="887"/>
      <c r="O15" s="887"/>
      <c r="P15" s="887"/>
      <c r="Q15" s="868"/>
      <c r="R15" s="868"/>
    </row>
    <row r="16" spans="1:18" ht="24" customHeight="1" outlineLevel="1" x14ac:dyDescent="0.25">
      <c r="A16" s="896" t="s">
        <v>454</v>
      </c>
      <c r="B16" s="896"/>
      <c r="C16" s="881">
        <f t="shared" ref="C16:M16" si="6">IFERROR(-C15*C14,0)</f>
        <v>0</v>
      </c>
      <c r="D16" s="889">
        <f t="shared" si="6"/>
        <v>0</v>
      </c>
      <c r="E16" s="881">
        <f t="shared" si="6"/>
        <v>0</v>
      </c>
      <c r="F16" s="881">
        <f t="shared" si="6"/>
        <v>0</v>
      </c>
      <c r="G16" s="881">
        <f t="shared" si="6"/>
        <v>0</v>
      </c>
      <c r="H16" s="881">
        <f t="shared" si="6"/>
        <v>0</v>
      </c>
      <c r="I16" s="881">
        <f t="shared" si="6"/>
        <v>0</v>
      </c>
      <c r="J16" s="881">
        <f t="shared" si="6"/>
        <v>0</v>
      </c>
      <c r="K16" s="881">
        <f t="shared" si="6"/>
        <v>0</v>
      </c>
      <c r="L16" s="881">
        <f t="shared" si="6"/>
        <v>0</v>
      </c>
      <c r="M16" s="881">
        <f t="shared" si="6"/>
        <v>0</v>
      </c>
      <c r="N16" s="887"/>
      <c r="O16" s="887"/>
      <c r="P16" s="887"/>
      <c r="Q16" s="868"/>
      <c r="R16" s="868"/>
    </row>
    <row r="17" spans="1:18" ht="24" customHeight="1" outlineLevel="1" x14ac:dyDescent="0.25">
      <c r="A17" s="897" t="s">
        <v>455</v>
      </c>
      <c r="B17" s="897"/>
      <c r="C17" s="898">
        <f>Scenarios!B68</f>
        <v>0</v>
      </c>
      <c r="D17" s="898">
        <f>Scenarios!F68</f>
        <v>0</v>
      </c>
      <c r="E17" s="899">
        <f t="shared" ref="E17:M17" si="7">D17</f>
        <v>0</v>
      </c>
      <c r="F17" s="899">
        <f t="shared" si="7"/>
        <v>0</v>
      </c>
      <c r="G17" s="899">
        <f t="shared" si="7"/>
        <v>0</v>
      </c>
      <c r="H17" s="899">
        <f t="shared" si="7"/>
        <v>0</v>
      </c>
      <c r="I17" s="899">
        <f t="shared" si="7"/>
        <v>0</v>
      </c>
      <c r="J17" s="899">
        <f t="shared" si="7"/>
        <v>0</v>
      </c>
      <c r="K17" s="899">
        <f t="shared" si="7"/>
        <v>0</v>
      </c>
      <c r="L17" s="899">
        <f t="shared" si="7"/>
        <v>0</v>
      </c>
      <c r="M17" s="899">
        <f t="shared" si="7"/>
        <v>0</v>
      </c>
      <c r="N17" s="887"/>
      <c r="O17" s="887"/>
      <c r="P17" s="887"/>
      <c r="Q17" s="868"/>
      <c r="R17" s="868"/>
    </row>
    <row r="18" spans="1:18" ht="24" customHeight="1" outlineLevel="1" x14ac:dyDescent="0.25">
      <c r="A18" s="900" t="s">
        <v>456</v>
      </c>
      <c r="B18" s="900"/>
      <c r="C18" s="881">
        <f t="shared" ref="C18:M18" si="8">IFERROR(-C17*C14,0)</f>
        <v>0</v>
      </c>
      <c r="D18" s="889">
        <f t="shared" si="8"/>
        <v>0</v>
      </c>
      <c r="E18" s="881">
        <f t="shared" si="8"/>
        <v>0</v>
      </c>
      <c r="F18" s="881">
        <f t="shared" si="8"/>
        <v>0</v>
      </c>
      <c r="G18" s="881">
        <f t="shared" si="8"/>
        <v>0</v>
      </c>
      <c r="H18" s="881">
        <f t="shared" si="8"/>
        <v>0</v>
      </c>
      <c r="I18" s="881">
        <f t="shared" si="8"/>
        <v>0</v>
      </c>
      <c r="J18" s="881">
        <f t="shared" si="8"/>
        <v>0</v>
      </c>
      <c r="K18" s="881">
        <f t="shared" si="8"/>
        <v>0</v>
      </c>
      <c r="L18" s="881">
        <f t="shared" si="8"/>
        <v>0</v>
      </c>
      <c r="M18" s="881">
        <f t="shared" si="8"/>
        <v>0</v>
      </c>
      <c r="N18" s="887"/>
      <c r="O18" s="887"/>
      <c r="P18" s="887"/>
      <c r="Q18" s="868"/>
      <c r="R18" s="868"/>
    </row>
    <row r="19" spans="1:18" ht="24" customHeight="1" outlineLevel="1" x14ac:dyDescent="0.25">
      <c r="A19" s="897" t="s">
        <v>457</v>
      </c>
      <c r="B19" s="897"/>
      <c r="C19" s="898">
        <f>Scenarios!B70</f>
        <v>0</v>
      </c>
      <c r="D19" s="898">
        <f>Scenarios!F70</f>
        <v>0</v>
      </c>
      <c r="E19" s="899">
        <f t="shared" ref="E19:M19" si="9">D19</f>
        <v>0</v>
      </c>
      <c r="F19" s="899">
        <f t="shared" si="9"/>
        <v>0</v>
      </c>
      <c r="G19" s="899">
        <f t="shared" si="9"/>
        <v>0</v>
      </c>
      <c r="H19" s="899">
        <f t="shared" si="9"/>
        <v>0</v>
      </c>
      <c r="I19" s="899">
        <f t="shared" si="9"/>
        <v>0</v>
      </c>
      <c r="J19" s="899">
        <f t="shared" si="9"/>
        <v>0</v>
      </c>
      <c r="K19" s="899">
        <f t="shared" si="9"/>
        <v>0</v>
      </c>
      <c r="L19" s="899">
        <f t="shared" si="9"/>
        <v>0</v>
      </c>
      <c r="M19" s="899">
        <f t="shared" si="9"/>
        <v>0</v>
      </c>
      <c r="N19" s="887"/>
      <c r="O19" s="887"/>
      <c r="P19" s="887"/>
      <c r="Q19" s="868"/>
      <c r="R19" s="868"/>
    </row>
    <row r="20" spans="1:18" ht="24" customHeight="1" outlineLevel="1" x14ac:dyDescent="0.25">
      <c r="A20" s="896" t="s">
        <v>458</v>
      </c>
      <c r="B20" s="896"/>
      <c r="C20" s="881">
        <f t="shared" ref="C20:M20" si="10">IFERROR(-C19*C14,0)</f>
        <v>0</v>
      </c>
      <c r="D20" s="889">
        <f t="shared" si="10"/>
        <v>0</v>
      </c>
      <c r="E20" s="881">
        <f t="shared" si="10"/>
        <v>0</v>
      </c>
      <c r="F20" s="881">
        <f t="shared" si="10"/>
        <v>0</v>
      </c>
      <c r="G20" s="881">
        <f t="shared" si="10"/>
        <v>0</v>
      </c>
      <c r="H20" s="881">
        <f t="shared" si="10"/>
        <v>0</v>
      </c>
      <c r="I20" s="881">
        <f t="shared" si="10"/>
        <v>0</v>
      </c>
      <c r="J20" s="881">
        <f t="shared" si="10"/>
        <v>0</v>
      </c>
      <c r="K20" s="881">
        <f t="shared" si="10"/>
        <v>0</v>
      </c>
      <c r="L20" s="881">
        <f t="shared" si="10"/>
        <v>0</v>
      </c>
      <c r="M20" s="881">
        <f t="shared" si="10"/>
        <v>0</v>
      </c>
      <c r="N20" s="887"/>
      <c r="O20" s="887"/>
      <c r="P20" s="887"/>
      <c r="Q20" s="868"/>
      <c r="R20" s="868"/>
    </row>
    <row r="21" spans="1:18" ht="24" customHeight="1" x14ac:dyDescent="0.25">
      <c r="A21" s="882" t="s">
        <v>213</v>
      </c>
      <c r="B21" s="882"/>
      <c r="C21" s="890"/>
      <c r="D21" s="890"/>
      <c r="E21" s="890"/>
      <c r="F21" s="890"/>
      <c r="G21" s="890"/>
      <c r="H21" s="890"/>
      <c r="I21" s="890"/>
      <c r="J21" s="890"/>
      <c r="K21" s="890"/>
      <c r="L21" s="890"/>
      <c r="M21" s="890"/>
      <c r="N21" s="887"/>
      <c r="O21" s="887"/>
      <c r="P21" s="887"/>
      <c r="Q21" s="868"/>
      <c r="R21" s="868"/>
    </row>
    <row r="22" spans="1:18" ht="24" customHeight="1" outlineLevel="1" x14ac:dyDescent="0.25">
      <c r="A22" s="879" t="s">
        <v>214</v>
      </c>
      <c r="B22" s="879"/>
      <c r="C22" s="884">
        <f>Scenarios!B45</f>
        <v>0</v>
      </c>
      <c r="D22" s="885">
        <f>Scenarios!F45</f>
        <v>0</v>
      </c>
      <c r="E22" s="886">
        <f t="shared" ref="E22:M22" si="11">D22</f>
        <v>0</v>
      </c>
      <c r="F22" s="886">
        <f t="shared" si="11"/>
        <v>0</v>
      </c>
      <c r="G22" s="886">
        <f t="shared" si="11"/>
        <v>0</v>
      </c>
      <c r="H22" s="886">
        <f t="shared" si="11"/>
        <v>0</v>
      </c>
      <c r="I22" s="886">
        <f t="shared" si="11"/>
        <v>0</v>
      </c>
      <c r="J22" s="886">
        <f t="shared" si="11"/>
        <v>0</v>
      </c>
      <c r="K22" s="886">
        <f t="shared" si="11"/>
        <v>0</v>
      </c>
      <c r="L22" s="886">
        <f t="shared" si="11"/>
        <v>0</v>
      </c>
      <c r="M22" s="886">
        <f t="shared" si="11"/>
        <v>0</v>
      </c>
      <c r="N22" s="887"/>
      <c r="O22" s="887"/>
      <c r="P22" s="887"/>
      <c r="Q22" s="868"/>
      <c r="R22" s="868"/>
    </row>
    <row r="23" spans="1:18" ht="24" customHeight="1" outlineLevel="1" x14ac:dyDescent="0.25">
      <c r="A23" s="879" t="s">
        <v>216</v>
      </c>
      <c r="B23" s="879"/>
      <c r="C23" s="888">
        <f>Scenarios!B46</f>
        <v>0</v>
      </c>
      <c r="D23" s="889">
        <f>Scenarios!F46</f>
        <v>0</v>
      </c>
      <c r="E23" s="890">
        <f t="shared" ref="E23:M23" si="12">D23*(1+E$5)</f>
        <v>0</v>
      </c>
      <c r="F23" s="890">
        <f t="shared" si="12"/>
        <v>0</v>
      </c>
      <c r="G23" s="890">
        <f t="shared" si="12"/>
        <v>0</v>
      </c>
      <c r="H23" s="890">
        <f t="shared" si="12"/>
        <v>0</v>
      </c>
      <c r="I23" s="890">
        <f t="shared" si="12"/>
        <v>0</v>
      </c>
      <c r="J23" s="890">
        <f t="shared" si="12"/>
        <v>0</v>
      </c>
      <c r="K23" s="890">
        <f t="shared" si="12"/>
        <v>0</v>
      </c>
      <c r="L23" s="890">
        <f t="shared" si="12"/>
        <v>0</v>
      </c>
      <c r="M23" s="890">
        <f t="shared" si="12"/>
        <v>0</v>
      </c>
      <c r="N23" s="887"/>
      <c r="O23" s="887"/>
      <c r="P23" s="887"/>
      <c r="Q23" s="868"/>
      <c r="R23" s="868"/>
    </row>
    <row r="24" spans="1:18" ht="18" customHeight="1" outlineLevel="1" x14ac:dyDescent="0.25">
      <c r="A24" s="901" t="s">
        <v>218</v>
      </c>
      <c r="B24" s="901"/>
      <c r="C24" s="902">
        <f t="shared" ref="C24:M24" si="13">C22*C23*12</f>
        <v>0</v>
      </c>
      <c r="D24" s="903">
        <f t="shared" si="13"/>
        <v>0</v>
      </c>
      <c r="E24" s="902">
        <f t="shared" si="13"/>
        <v>0</v>
      </c>
      <c r="F24" s="902">
        <f t="shared" si="13"/>
        <v>0</v>
      </c>
      <c r="G24" s="902">
        <f t="shared" si="13"/>
        <v>0</v>
      </c>
      <c r="H24" s="902">
        <f t="shared" si="13"/>
        <v>0</v>
      </c>
      <c r="I24" s="902">
        <f t="shared" si="13"/>
        <v>0</v>
      </c>
      <c r="J24" s="902">
        <f t="shared" si="13"/>
        <v>0</v>
      </c>
      <c r="K24" s="902">
        <f t="shared" si="13"/>
        <v>0</v>
      </c>
      <c r="L24" s="902">
        <f t="shared" si="13"/>
        <v>0</v>
      </c>
      <c r="M24" s="902">
        <f t="shared" si="13"/>
        <v>0</v>
      </c>
      <c r="N24" s="904">
        <f>SUM(D24:H24)</f>
        <v>0</v>
      </c>
      <c r="O24" s="904">
        <f>SUM(D24:M24)</f>
        <v>0</v>
      </c>
      <c r="P24" s="904">
        <f>IFERROR(O24/10,0)</f>
        <v>0</v>
      </c>
      <c r="Q24" s="905">
        <f>IFERROR(D24/$D$50,0)</f>
        <v>0</v>
      </c>
      <c r="R24" s="868"/>
    </row>
    <row r="25" spans="1:18" ht="15" customHeight="1" outlineLevel="1" x14ac:dyDescent="0.25">
      <c r="A25" s="906" t="s">
        <v>459</v>
      </c>
      <c r="B25" s="906"/>
      <c r="C25" s="907">
        <f>Scenarios!B48</f>
        <v>0</v>
      </c>
      <c r="D25" s="907">
        <f>Scenarios!F48</f>
        <v>0</v>
      </c>
      <c r="E25" s="908">
        <f t="shared" ref="E25:M25" si="14">D25</f>
        <v>0</v>
      </c>
      <c r="F25" s="908">
        <f t="shared" si="14"/>
        <v>0</v>
      </c>
      <c r="G25" s="908">
        <f t="shared" si="14"/>
        <v>0</v>
      </c>
      <c r="H25" s="908">
        <f t="shared" si="14"/>
        <v>0</v>
      </c>
      <c r="I25" s="908">
        <f t="shared" si="14"/>
        <v>0</v>
      </c>
      <c r="J25" s="908">
        <f t="shared" si="14"/>
        <v>0</v>
      </c>
      <c r="K25" s="908">
        <f t="shared" si="14"/>
        <v>0</v>
      </c>
      <c r="L25" s="908">
        <f t="shared" si="14"/>
        <v>0</v>
      </c>
      <c r="M25" s="908">
        <f t="shared" si="14"/>
        <v>0</v>
      </c>
      <c r="N25" s="909"/>
      <c r="O25" s="909"/>
      <c r="P25" s="910"/>
      <c r="Q25" s="909"/>
      <c r="R25" s="868"/>
    </row>
    <row r="26" spans="1:18" ht="18" customHeight="1" outlineLevel="1" x14ac:dyDescent="0.25">
      <c r="A26" s="900" t="s">
        <v>460</v>
      </c>
      <c r="B26" s="900"/>
      <c r="C26" s="911">
        <f t="shared" ref="C26:M26" si="15">IFERROR(-C25*C24,0)</f>
        <v>0</v>
      </c>
      <c r="D26" s="903">
        <f t="shared" si="15"/>
        <v>0</v>
      </c>
      <c r="E26" s="911">
        <f t="shared" si="15"/>
        <v>0</v>
      </c>
      <c r="F26" s="911">
        <f t="shared" si="15"/>
        <v>0</v>
      </c>
      <c r="G26" s="911">
        <f t="shared" si="15"/>
        <v>0</v>
      </c>
      <c r="H26" s="911">
        <f t="shared" si="15"/>
        <v>0</v>
      </c>
      <c r="I26" s="911">
        <f t="shared" si="15"/>
        <v>0</v>
      </c>
      <c r="J26" s="911">
        <f t="shared" si="15"/>
        <v>0</v>
      </c>
      <c r="K26" s="911">
        <f t="shared" si="15"/>
        <v>0</v>
      </c>
      <c r="L26" s="911">
        <f t="shared" si="15"/>
        <v>0</v>
      </c>
      <c r="M26" s="911">
        <f t="shared" si="15"/>
        <v>0</v>
      </c>
      <c r="N26" s="912"/>
      <c r="O26" s="912"/>
      <c r="P26" s="913"/>
      <c r="Q26" s="914"/>
      <c r="R26" s="868"/>
    </row>
    <row r="27" spans="1:18" ht="15" customHeight="1" outlineLevel="1" x14ac:dyDescent="0.25">
      <c r="A27" s="906" t="s">
        <v>461</v>
      </c>
      <c r="B27" s="906"/>
      <c r="C27" s="907">
        <f>Scenarios!B68</f>
        <v>0</v>
      </c>
      <c r="D27" s="907">
        <f>Scenarios!F68</f>
        <v>0</v>
      </c>
      <c r="E27" s="908">
        <f t="shared" ref="E27:M27" si="16">D27</f>
        <v>0</v>
      </c>
      <c r="F27" s="908">
        <f t="shared" si="16"/>
        <v>0</v>
      </c>
      <c r="G27" s="908">
        <f t="shared" si="16"/>
        <v>0</v>
      </c>
      <c r="H27" s="908">
        <f t="shared" si="16"/>
        <v>0</v>
      </c>
      <c r="I27" s="908">
        <f t="shared" si="16"/>
        <v>0</v>
      </c>
      <c r="J27" s="908">
        <f t="shared" si="16"/>
        <v>0</v>
      </c>
      <c r="K27" s="908">
        <f t="shared" si="16"/>
        <v>0</v>
      </c>
      <c r="L27" s="908">
        <f t="shared" si="16"/>
        <v>0</v>
      </c>
      <c r="M27" s="908">
        <f t="shared" si="16"/>
        <v>0</v>
      </c>
      <c r="N27" s="909"/>
      <c r="O27" s="909"/>
      <c r="P27" s="910"/>
      <c r="Q27" s="909"/>
      <c r="R27" s="868"/>
    </row>
    <row r="28" spans="1:18" ht="18" customHeight="1" outlineLevel="1" x14ac:dyDescent="0.25">
      <c r="A28" s="900" t="s">
        <v>462</v>
      </c>
      <c r="B28" s="900"/>
      <c r="C28" s="913">
        <f t="shared" ref="C28:M28" si="17">IFERROR(-C27*C24,0)</f>
        <v>0</v>
      </c>
      <c r="D28" s="915">
        <f t="shared" si="17"/>
        <v>0</v>
      </c>
      <c r="E28" s="913">
        <f t="shared" si="17"/>
        <v>0</v>
      </c>
      <c r="F28" s="913">
        <f t="shared" si="17"/>
        <v>0</v>
      </c>
      <c r="G28" s="913">
        <f t="shared" si="17"/>
        <v>0</v>
      </c>
      <c r="H28" s="913">
        <f t="shared" si="17"/>
        <v>0</v>
      </c>
      <c r="I28" s="913">
        <f t="shared" si="17"/>
        <v>0</v>
      </c>
      <c r="J28" s="913">
        <f t="shared" si="17"/>
        <v>0</v>
      </c>
      <c r="K28" s="913">
        <f t="shared" si="17"/>
        <v>0</v>
      </c>
      <c r="L28" s="913">
        <f t="shared" si="17"/>
        <v>0</v>
      </c>
      <c r="M28" s="913">
        <f t="shared" si="17"/>
        <v>0</v>
      </c>
      <c r="N28" s="913"/>
      <c r="O28" s="913"/>
      <c r="P28" s="913"/>
      <c r="Q28" s="905"/>
      <c r="R28" s="868"/>
    </row>
    <row r="29" spans="1:18" ht="15" customHeight="1" outlineLevel="1" x14ac:dyDescent="0.25">
      <c r="A29" s="906" t="s">
        <v>463</v>
      </c>
      <c r="B29" s="906"/>
      <c r="C29" s="907">
        <f>Scenarios!B70</f>
        <v>0</v>
      </c>
      <c r="D29" s="907">
        <f>Scenarios!F70</f>
        <v>0</v>
      </c>
      <c r="E29" s="908">
        <f t="shared" ref="E29:M29" si="18">D29</f>
        <v>0</v>
      </c>
      <c r="F29" s="908">
        <f t="shared" si="18"/>
        <v>0</v>
      </c>
      <c r="G29" s="908">
        <f t="shared" si="18"/>
        <v>0</v>
      </c>
      <c r="H29" s="908">
        <f t="shared" si="18"/>
        <v>0</v>
      </c>
      <c r="I29" s="908">
        <f t="shared" si="18"/>
        <v>0</v>
      </c>
      <c r="J29" s="908">
        <f t="shared" si="18"/>
        <v>0</v>
      </c>
      <c r="K29" s="908">
        <f t="shared" si="18"/>
        <v>0</v>
      </c>
      <c r="L29" s="908">
        <f t="shared" si="18"/>
        <v>0</v>
      </c>
      <c r="M29" s="908">
        <f t="shared" si="18"/>
        <v>0</v>
      </c>
      <c r="N29" s="909"/>
      <c r="O29" s="909"/>
      <c r="P29" s="910"/>
      <c r="Q29" s="909"/>
      <c r="R29" s="868"/>
    </row>
    <row r="30" spans="1:18" ht="18" customHeight="1" outlineLevel="1" x14ac:dyDescent="0.25">
      <c r="A30" s="900" t="s">
        <v>464</v>
      </c>
      <c r="B30" s="900"/>
      <c r="C30" s="913">
        <f t="shared" ref="C30:M30" si="19">IFERROR(-C29*C24,0)</f>
        <v>0</v>
      </c>
      <c r="D30" s="915">
        <f t="shared" si="19"/>
        <v>0</v>
      </c>
      <c r="E30" s="913">
        <f t="shared" si="19"/>
        <v>0</v>
      </c>
      <c r="F30" s="913">
        <f t="shared" si="19"/>
        <v>0</v>
      </c>
      <c r="G30" s="913">
        <f t="shared" si="19"/>
        <v>0</v>
      </c>
      <c r="H30" s="913">
        <f t="shared" si="19"/>
        <v>0</v>
      </c>
      <c r="I30" s="913">
        <f t="shared" si="19"/>
        <v>0</v>
      </c>
      <c r="J30" s="913">
        <f t="shared" si="19"/>
        <v>0</v>
      </c>
      <c r="K30" s="913">
        <f t="shared" si="19"/>
        <v>0</v>
      </c>
      <c r="L30" s="913">
        <f t="shared" si="19"/>
        <v>0</v>
      </c>
      <c r="M30" s="913">
        <f t="shared" si="19"/>
        <v>0</v>
      </c>
      <c r="N30" s="913"/>
      <c r="O30" s="913"/>
      <c r="P30" s="913"/>
      <c r="Q30" s="905"/>
      <c r="R30" s="868"/>
    </row>
    <row r="31" spans="1:18" ht="18" customHeight="1" x14ac:dyDescent="0.25">
      <c r="A31" s="882" t="s">
        <v>224</v>
      </c>
      <c r="B31" s="882"/>
      <c r="C31" s="916"/>
      <c r="D31" s="915"/>
      <c r="E31" s="904"/>
      <c r="F31" s="904"/>
      <c r="G31" s="904"/>
      <c r="H31" s="904"/>
      <c r="I31" s="904"/>
      <c r="J31" s="904"/>
      <c r="K31" s="904"/>
      <c r="L31" s="904"/>
      <c r="M31" s="904"/>
      <c r="N31" s="904"/>
      <c r="O31" s="904"/>
      <c r="P31" s="904"/>
      <c r="Q31" s="905"/>
      <c r="R31" s="868"/>
    </row>
    <row r="32" spans="1:18" ht="18" customHeight="1" outlineLevel="1" x14ac:dyDescent="0.25">
      <c r="A32" s="879" t="s">
        <v>225</v>
      </c>
      <c r="B32" s="879"/>
      <c r="C32" s="917">
        <f>Scenarios!B51</f>
        <v>0</v>
      </c>
      <c r="D32" s="918">
        <f>Scenarios!F51</f>
        <v>0</v>
      </c>
      <c r="E32" s="919">
        <f t="shared" ref="E32:M32" si="20">D32</f>
        <v>0</v>
      </c>
      <c r="F32" s="919">
        <f t="shared" si="20"/>
        <v>0</v>
      </c>
      <c r="G32" s="919">
        <f t="shared" si="20"/>
        <v>0</v>
      </c>
      <c r="H32" s="919">
        <f t="shared" si="20"/>
        <v>0</v>
      </c>
      <c r="I32" s="919">
        <f t="shared" si="20"/>
        <v>0</v>
      </c>
      <c r="J32" s="919">
        <f t="shared" si="20"/>
        <v>0</v>
      </c>
      <c r="K32" s="919">
        <f t="shared" si="20"/>
        <v>0</v>
      </c>
      <c r="L32" s="919">
        <f t="shared" si="20"/>
        <v>0</v>
      </c>
      <c r="M32" s="919">
        <f t="shared" si="20"/>
        <v>0</v>
      </c>
      <c r="N32" s="904"/>
      <c r="O32" s="904"/>
      <c r="P32" s="904"/>
      <c r="Q32" s="920"/>
      <c r="R32" s="868"/>
    </row>
    <row r="33" spans="1:18" ht="18" customHeight="1" outlineLevel="1" x14ac:dyDescent="0.25">
      <c r="A33" s="879" t="s">
        <v>227</v>
      </c>
      <c r="B33" s="879"/>
      <c r="C33" s="916">
        <f>Scenarios!B52</f>
        <v>0</v>
      </c>
      <c r="D33" s="915">
        <f>Scenarios!F52</f>
        <v>0</v>
      </c>
      <c r="E33" s="904">
        <f t="shared" ref="E33:M33" si="21">D33*(1+E$5)</f>
        <v>0</v>
      </c>
      <c r="F33" s="904">
        <f t="shared" si="21"/>
        <v>0</v>
      </c>
      <c r="G33" s="904">
        <f t="shared" si="21"/>
        <v>0</v>
      </c>
      <c r="H33" s="904">
        <f t="shared" si="21"/>
        <v>0</v>
      </c>
      <c r="I33" s="904">
        <f t="shared" si="21"/>
        <v>0</v>
      </c>
      <c r="J33" s="904">
        <f t="shared" si="21"/>
        <v>0</v>
      </c>
      <c r="K33" s="904">
        <f t="shared" si="21"/>
        <v>0</v>
      </c>
      <c r="L33" s="904">
        <f t="shared" si="21"/>
        <v>0</v>
      </c>
      <c r="M33" s="904">
        <f t="shared" si="21"/>
        <v>0</v>
      </c>
      <c r="N33" s="913"/>
      <c r="O33" s="913"/>
      <c r="P33" s="913"/>
      <c r="Q33" s="905"/>
      <c r="R33" s="868"/>
    </row>
    <row r="34" spans="1:18" ht="18" customHeight="1" outlineLevel="1" x14ac:dyDescent="0.25">
      <c r="A34" s="921" t="s">
        <v>229</v>
      </c>
      <c r="B34" s="921"/>
      <c r="C34" s="902">
        <f t="shared" ref="C34:M34" si="22">C32*C33*12</f>
        <v>0</v>
      </c>
      <c r="D34" s="903">
        <f t="shared" si="22"/>
        <v>0</v>
      </c>
      <c r="E34" s="902">
        <f t="shared" si="22"/>
        <v>0</v>
      </c>
      <c r="F34" s="902">
        <f t="shared" si="22"/>
        <v>0</v>
      </c>
      <c r="G34" s="902">
        <f t="shared" si="22"/>
        <v>0</v>
      </c>
      <c r="H34" s="902">
        <f t="shared" si="22"/>
        <v>0</v>
      </c>
      <c r="I34" s="902">
        <f t="shared" si="22"/>
        <v>0</v>
      </c>
      <c r="J34" s="902">
        <f t="shared" si="22"/>
        <v>0</v>
      </c>
      <c r="K34" s="902">
        <f t="shared" si="22"/>
        <v>0</v>
      </c>
      <c r="L34" s="902">
        <f t="shared" si="22"/>
        <v>0</v>
      </c>
      <c r="M34" s="902">
        <f t="shared" si="22"/>
        <v>0</v>
      </c>
      <c r="N34" s="922">
        <f>SUM(D34:H34)</f>
        <v>0</v>
      </c>
      <c r="O34" s="922">
        <f>SUM(D34:M34)</f>
        <v>0</v>
      </c>
      <c r="P34" s="922">
        <f>IFERROR(O34/10,0)</f>
        <v>0</v>
      </c>
      <c r="Q34" s="923">
        <f>IFERROR(D34/$D$50,0)</f>
        <v>0</v>
      </c>
      <c r="R34" s="868"/>
    </row>
    <row r="35" spans="1:18" ht="18" customHeight="1" outlineLevel="1" x14ac:dyDescent="0.25">
      <c r="A35" s="924" t="s">
        <v>465</v>
      </c>
      <c r="B35" s="924"/>
      <c r="C35" s="907">
        <f>Scenarios!B54</f>
        <v>0</v>
      </c>
      <c r="D35" s="907">
        <f>Scenarios!F54</f>
        <v>0</v>
      </c>
      <c r="E35" s="908">
        <f t="shared" ref="E35:M35" si="23">D35</f>
        <v>0</v>
      </c>
      <c r="F35" s="908">
        <f t="shared" si="23"/>
        <v>0</v>
      </c>
      <c r="G35" s="908">
        <f t="shared" si="23"/>
        <v>0</v>
      </c>
      <c r="H35" s="908">
        <f t="shared" si="23"/>
        <v>0</v>
      </c>
      <c r="I35" s="908">
        <f t="shared" si="23"/>
        <v>0</v>
      </c>
      <c r="J35" s="908">
        <f t="shared" si="23"/>
        <v>0</v>
      </c>
      <c r="K35" s="908">
        <f t="shared" si="23"/>
        <v>0</v>
      </c>
      <c r="L35" s="908">
        <f t="shared" si="23"/>
        <v>0</v>
      </c>
      <c r="M35" s="908">
        <f t="shared" si="23"/>
        <v>0</v>
      </c>
      <c r="N35" s="922"/>
      <c r="O35" s="922"/>
      <c r="P35" s="922"/>
      <c r="Q35" s="923"/>
      <c r="R35" s="868"/>
    </row>
    <row r="36" spans="1:18" ht="18" customHeight="1" outlineLevel="1" x14ac:dyDescent="0.25">
      <c r="A36" s="925" t="s">
        <v>466</v>
      </c>
      <c r="B36" s="925"/>
      <c r="C36" s="911">
        <f t="shared" ref="C36:M36" si="24">IFERROR(-C35*C34,0)</f>
        <v>0</v>
      </c>
      <c r="D36" s="903">
        <f t="shared" si="24"/>
        <v>0</v>
      </c>
      <c r="E36" s="911">
        <f t="shared" si="24"/>
        <v>0</v>
      </c>
      <c r="F36" s="911">
        <f t="shared" si="24"/>
        <v>0</v>
      </c>
      <c r="G36" s="911">
        <f t="shared" si="24"/>
        <v>0</v>
      </c>
      <c r="H36" s="911">
        <f t="shared" si="24"/>
        <v>0</v>
      </c>
      <c r="I36" s="911">
        <f t="shared" si="24"/>
        <v>0</v>
      </c>
      <c r="J36" s="911">
        <f t="shared" si="24"/>
        <v>0</v>
      </c>
      <c r="K36" s="911">
        <f t="shared" si="24"/>
        <v>0</v>
      </c>
      <c r="L36" s="911">
        <f t="shared" si="24"/>
        <v>0</v>
      </c>
      <c r="M36" s="911">
        <f t="shared" si="24"/>
        <v>0</v>
      </c>
      <c r="N36" s="922"/>
      <c r="O36" s="922"/>
      <c r="P36" s="922"/>
      <c r="Q36" s="923"/>
      <c r="R36" s="868"/>
    </row>
    <row r="37" spans="1:18" ht="18" customHeight="1" outlineLevel="1" x14ac:dyDescent="0.25">
      <c r="A37" s="924" t="s">
        <v>467</v>
      </c>
      <c r="B37" s="924"/>
      <c r="C37" s="907">
        <f>Scenarios!B68</f>
        <v>0</v>
      </c>
      <c r="D37" s="907">
        <f>Scenarios!F68</f>
        <v>0</v>
      </c>
      <c r="E37" s="908">
        <f t="shared" ref="E37:M37" si="25">D37</f>
        <v>0</v>
      </c>
      <c r="F37" s="908">
        <f t="shared" si="25"/>
        <v>0</v>
      </c>
      <c r="G37" s="908">
        <f t="shared" si="25"/>
        <v>0</v>
      </c>
      <c r="H37" s="908">
        <f t="shared" si="25"/>
        <v>0</v>
      </c>
      <c r="I37" s="908">
        <f t="shared" si="25"/>
        <v>0</v>
      </c>
      <c r="J37" s="908">
        <f t="shared" si="25"/>
        <v>0</v>
      </c>
      <c r="K37" s="908">
        <f t="shared" si="25"/>
        <v>0</v>
      </c>
      <c r="L37" s="908">
        <f t="shared" si="25"/>
        <v>0</v>
      </c>
      <c r="M37" s="908">
        <f t="shared" si="25"/>
        <v>0</v>
      </c>
      <c r="N37" s="922"/>
      <c r="O37" s="922"/>
      <c r="P37" s="922"/>
      <c r="Q37" s="923"/>
      <c r="R37" s="868"/>
    </row>
    <row r="38" spans="1:18" ht="18" customHeight="1" outlineLevel="1" x14ac:dyDescent="0.25">
      <c r="A38" s="925" t="s">
        <v>468</v>
      </c>
      <c r="B38" s="925"/>
      <c r="C38" s="911">
        <f t="shared" ref="C38:M38" si="26">IFERROR(-C37*C34,0)</f>
        <v>0</v>
      </c>
      <c r="D38" s="903">
        <f t="shared" si="26"/>
        <v>0</v>
      </c>
      <c r="E38" s="911">
        <f t="shared" si="26"/>
        <v>0</v>
      </c>
      <c r="F38" s="911">
        <f t="shared" si="26"/>
        <v>0</v>
      </c>
      <c r="G38" s="911">
        <f t="shared" si="26"/>
        <v>0</v>
      </c>
      <c r="H38" s="911">
        <f t="shared" si="26"/>
        <v>0</v>
      </c>
      <c r="I38" s="911">
        <f t="shared" si="26"/>
        <v>0</v>
      </c>
      <c r="J38" s="911">
        <f t="shared" si="26"/>
        <v>0</v>
      </c>
      <c r="K38" s="911">
        <f t="shared" si="26"/>
        <v>0</v>
      </c>
      <c r="L38" s="911">
        <f t="shared" si="26"/>
        <v>0</v>
      </c>
      <c r="M38" s="911">
        <f t="shared" si="26"/>
        <v>0</v>
      </c>
      <c r="N38" s="922"/>
      <c r="O38" s="922"/>
      <c r="P38" s="922"/>
      <c r="Q38" s="923"/>
      <c r="R38" s="868"/>
    </row>
    <row r="39" spans="1:18" ht="18" customHeight="1" outlineLevel="1" x14ac:dyDescent="0.25">
      <c r="A39" s="924" t="s">
        <v>469</v>
      </c>
      <c r="B39" s="924"/>
      <c r="C39" s="907">
        <f>Scenarios!B70</f>
        <v>0</v>
      </c>
      <c r="D39" s="907">
        <f>Scenarios!F70</f>
        <v>0</v>
      </c>
      <c r="E39" s="908">
        <f t="shared" ref="E39:M39" si="27">D39</f>
        <v>0</v>
      </c>
      <c r="F39" s="908">
        <f t="shared" si="27"/>
        <v>0</v>
      </c>
      <c r="G39" s="908">
        <f t="shared" si="27"/>
        <v>0</v>
      </c>
      <c r="H39" s="908">
        <f t="shared" si="27"/>
        <v>0</v>
      </c>
      <c r="I39" s="908">
        <f t="shared" si="27"/>
        <v>0</v>
      </c>
      <c r="J39" s="908">
        <f t="shared" si="27"/>
        <v>0</v>
      </c>
      <c r="K39" s="908">
        <f t="shared" si="27"/>
        <v>0</v>
      </c>
      <c r="L39" s="908">
        <f t="shared" si="27"/>
        <v>0</v>
      </c>
      <c r="M39" s="908">
        <f t="shared" si="27"/>
        <v>0</v>
      </c>
      <c r="N39" s="922"/>
      <c r="O39" s="922"/>
      <c r="P39" s="922"/>
      <c r="Q39" s="923"/>
      <c r="R39" s="868"/>
    </row>
    <row r="40" spans="1:18" ht="18" customHeight="1" outlineLevel="1" x14ac:dyDescent="0.25">
      <c r="A40" s="925" t="s">
        <v>470</v>
      </c>
      <c r="B40" s="925"/>
      <c r="C40" s="911">
        <f t="shared" ref="C40:M40" si="28">IFERROR(-C39*C34,0)</f>
        <v>0</v>
      </c>
      <c r="D40" s="903">
        <f t="shared" si="28"/>
        <v>0</v>
      </c>
      <c r="E40" s="911">
        <f t="shared" si="28"/>
        <v>0</v>
      </c>
      <c r="F40" s="911">
        <f t="shared" si="28"/>
        <v>0</v>
      </c>
      <c r="G40" s="911">
        <f t="shared" si="28"/>
        <v>0</v>
      </c>
      <c r="H40" s="911">
        <f t="shared" si="28"/>
        <v>0</v>
      </c>
      <c r="I40" s="911">
        <f t="shared" si="28"/>
        <v>0</v>
      </c>
      <c r="J40" s="911">
        <f t="shared" si="28"/>
        <v>0</v>
      </c>
      <c r="K40" s="911">
        <f t="shared" si="28"/>
        <v>0</v>
      </c>
      <c r="L40" s="911">
        <f t="shared" si="28"/>
        <v>0</v>
      </c>
      <c r="M40" s="911">
        <f t="shared" si="28"/>
        <v>0</v>
      </c>
      <c r="N40" s="922"/>
      <c r="O40" s="922"/>
      <c r="P40" s="922"/>
      <c r="Q40" s="923"/>
      <c r="R40" s="868"/>
    </row>
    <row r="41" spans="1:18" ht="18" customHeight="1" x14ac:dyDescent="0.25">
      <c r="A41" s="926" t="s">
        <v>471</v>
      </c>
      <c r="B41" s="926"/>
      <c r="C41" s="903"/>
      <c r="D41" s="922"/>
      <c r="E41" s="922"/>
      <c r="F41" s="922"/>
      <c r="G41" s="922"/>
      <c r="H41" s="922"/>
      <c r="I41" s="922"/>
      <c r="J41" s="922"/>
      <c r="K41" s="922"/>
      <c r="L41" s="922"/>
      <c r="M41" s="922"/>
      <c r="N41" s="922"/>
      <c r="O41" s="922"/>
      <c r="P41" s="922"/>
      <c r="Q41" s="923"/>
      <c r="R41" s="868"/>
    </row>
    <row r="42" spans="1:18" ht="18" customHeight="1" x14ac:dyDescent="0.25">
      <c r="A42" s="927" t="s">
        <v>472</v>
      </c>
      <c r="B42" s="927"/>
      <c r="C42" s="928">
        <f t="shared" ref="C42:M42" si="29">C12+C22+C32</f>
        <v>0</v>
      </c>
      <c r="D42" s="928">
        <f t="shared" si="29"/>
        <v>0</v>
      </c>
      <c r="E42" s="928">
        <f t="shared" si="29"/>
        <v>0</v>
      </c>
      <c r="F42" s="928">
        <f t="shared" si="29"/>
        <v>0</v>
      </c>
      <c r="G42" s="928">
        <f t="shared" si="29"/>
        <v>0</v>
      </c>
      <c r="H42" s="928">
        <f t="shared" si="29"/>
        <v>0</v>
      </c>
      <c r="I42" s="928">
        <f t="shared" si="29"/>
        <v>0</v>
      </c>
      <c r="J42" s="928">
        <f t="shared" si="29"/>
        <v>0</v>
      </c>
      <c r="K42" s="928">
        <f t="shared" si="29"/>
        <v>0</v>
      </c>
      <c r="L42" s="928">
        <f t="shared" si="29"/>
        <v>0</v>
      </c>
      <c r="M42" s="928">
        <f t="shared" si="29"/>
        <v>0</v>
      </c>
      <c r="N42" s="929">
        <f>D42</f>
        <v>0</v>
      </c>
      <c r="O42" s="929">
        <f>D42</f>
        <v>0</v>
      </c>
      <c r="P42" s="929">
        <f>D42</f>
        <v>0</v>
      </c>
      <c r="Q42" s="923"/>
      <c r="R42" s="868"/>
    </row>
    <row r="43" spans="1:18" ht="18" customHeight="1" x14ac:dyDescent="0.25">
      <c r="A43" s="930" t="s">
        <v>245</v>
      </c>
      <c r="B43" s="930"/>
      <c r="C43" s="922">
        <f t="shared" ref="C43:M43" si="30">C14+C24+C34</f>
        <v>0</v>
      </c>
      <c r="D43" s="922">
        <f t="shared" si="30"/>
        <v>0</v>
      </c>
      <c r="E43" s="922">
        <f t="shared" si="30"/>
        <v>0</v>
      </c>
      <c r="F43" s="922">
        <f t="shared" si="30"/>
        <v>0</v>
      </c>
      <c r="G43" s="922">
        <f t="shared" si="30"/>
        <v>0</v>
      </c>
      <c r="H43" s="922">
        <f t="shared" si="30"/>
        <v>0</v>
      </c>
      <c r="I43" s="922">
        <f t="shared" si="30"/>
        <v>0</v>
      </c>
      <c r="J43" s="922">
        <f t="shared" si="30"/>
        <v>0</v>
      </c>
      <c r="K43" s="922">
        <f t="shared" si="30"/>
        <v>0</v>
      </c>
      <c r="L43" s="922">
        <f t="shared" si="30"/>
        <v>0</v>
      </c>
      <c r="M43" s="922">
        <f t="shared" si="30"/>
        <v>0</v>
      </c>
      <c r="N43" s="922">
        <f t="shared" ref="N43:N50" si="31">SUM(D43:H43)</f>
        <v>0</v>
      </c>
      <c r="O43" s="922">
        <f t="shared" ref="O43:O50" si="32">SUM(D43:M43)</f>
        <v>0</v>
      </c>
      <c r="P43" s="922">
        <f t="shared" ref="P43:P50" si="33">IFERROR(O43/10,0)</f>
        <v>0</v>
      </c>
      <c r="Q43" s="923">
        <f t="shared" ref="Q43:Q50" si="34">IFERROR(D43/$D$50,0)</f>
        <v>0</v>
      </c>
      <c r="R43" s="868"/>
    </row>
    <row r="44" spans="1:18" ht="18" customHeight="1" x14ac:dyDescent="0.25">
      <c r="A44" s="921" t="s">
        <v>473</v>
      </c>
      <c r="B44" s="921"/>
      <c r="C44" s="902">
        <f t="shared" ref="C44:M44" si="35">C16+C26+C36</f>
        <v>0</v>
      </c>
      <c r="D44" s="902">
        <f t="shared" si="35"/>
        <v>0</v>
      </c>
      <c r="E44" s="902">
        <f t="shared" si="35"/>
        <v>0</v>
      </c>
      <c r="F44" s="902">
        <f t="shared" si="35"/>
        <v>0</v>
      </c>
      <c r="G44" s="902">
        <f t="shared" si="35"/>
        <v>0</v>
      </c>
      <c r="H44" s="902">
        <f t="shared" si="35"/>
        <v>0</v>
      </c>
      <c r="I44" s="902">
        <f t="shared" si="35"/>
        <v>0</v>
      </c>
      <c r="J44" s="902">
        <f t="shared" si="35"/>
        <v>0</v>
      </c>
      <c r="K44" s="902">
        <f t="shared" si="35"/>
        <v>0</v>
      </c>
      <c r="L44" s="902">
        <f t="shared" si="35"/>
        <v>0</v>
      </c>
      <c r="M44" s="902">
        <f t="shared" si="35"/>
        <v>0</v>
      </c>
      <c r="N44" s="922">
        <f t="shared" si="31"/>
        <v>0</v>
      </c>
      <c r="O44" s="922">
        <f t="shared" si="32"/>
        <v>0</v>
      </c>
      <c r="P44" s="922">
        <f t="shared" si="33"/>
        <v>0</v>
      </c>
      <c r="Q44" s="923">
        <f t="shared" si="34"/>
        <v>0</v>
      </c>
      <c r="R44" s="868"/>
    </row>
    <row r="45" spans="1:18" ht="18" customHeight="1" x14ac:dyDescent="0.25">
      <c r="A45" s="921" t="s">
        <v>474</v>
      </c>
      <c r="B45" s="921"/>
      <c r="C45" s="902">
        <f t="shared" ref="C45:M45" si="36">C18+C28+C38</f>
        <v>0</v>
      </c>
      <c r="D45" s="902">
        <f t="shared" si="36"/>
        <v>0</v>
      </c>
      <c r="E45" s="902">
        <f t="shared" si="36"/>
        <v>0</v>
      </c>
      <c r="F45" s="902">
        <f t="shared" si="36"/>
        <v>0</v>
      </c>
      <c r="G45" s="902">
        <f t="shared" si="36"/>
        <v>0</v>
      </c>
      <c r="H45" s="902">
        <f t="shared" si="36"/>
        <v>0</v>
      </c>
      <c r="I45" s="902">
        <f t="shared" si="36"/>
        <v>0</v>
      </c>
      <c r="J45" s="902">
        <f t="shared" si="36"/>
        <v>0</v>
      </c>
      <c r="K45" s="902">
        <f t="shared" si="36"/>
        <v>0</v>
      </c>
      <c r="L45" s="902">
        <f t="shared" si="36"/>
        <v>0</v>
      </c>
      <c r="M45" s="902">
        <f t="shared" si="36"/>
        <v>0</v>
      </c>
      <c r="N45" s="922">
        <f t="shared" si="31"/>
        <v>0</v>
      </c>
      <c r="O45" s="922">
        <f t="shared" si="32"/>
        <v>0</v>
      </c>
      <c r="P45" s="922">
        <f t="shared" si="33"/>
        <v>0</v>
      </c>
      <c r="Q45" s="923">
        <f t="shared" si="34"/>
        <v>0</v>
      </c>
      <c r="R45" s="868"/>
    </row>
    <row r="46" spans="1:18" ht="18" customHeight="1" x14ac:dyDescent="0.25">
      <c r="A46" s="921" t="s">
        <v>475</v>
      </c>
      <c r="B46" s="921"/>
      <c r="C46" s="902">
        <f t="shared" ref="C46:M46" si="37">C20+C30+C40</f>
        <v>0</v>
      </c>
      <c r="D46" s="902">
        <f t="shared" si="37"/>
        <v>0</v>
      </c>
      <c r="E46" s="902">
        <f t="shared" si="37"/>
        <v>0</v>
      </c>
      <c r="F46" s="902">
        <f t="shared" si="37"/>
        <v>0</v>
      </c>
      <c r="G46" s="902">
        <f t="shared" si="37"/>
        <v>0</v>
      </c>
      <c r="H46" s="902">
        <f t="shared" si="37"/>
        <v>0</v>
      </c>
      <c r="I46" s="902">
        <f t="shared" si="37"/>
        <v>0</v>
      </c>
      <c r="J46" s="902">
        <f t="shared" si="37"/>
        <v>0</v>
      </c>
      <c r="K46" s="902">
        <f t="shared" si="37"/>
        <v>0</v>
      </c>
      <c r="L46" s="902">
        <f t="shared" si="37"/>
        <v>0</v>
      </c>
      <c r="M46" s="902">
        <f t="shared" si="37"/>
        <v>0</v>
      </c>
      <c r="N46" s="922">
        <f t="shared" si="31"/>
        <v>0</v>
      </c>
      <c r="O46" s="922">
        <f t="shared" si="32"/>
        <v>0</v>
      </c>
      <c r="P46" s="922">
        <f t="shared" si="33"/>
        <v>0</v>
      </c>
      <c r="Q46" s="923">
        <f t="shared" si="34"/>
        <v>0</v>
      </c>
      <c r="R46" s="868"/>
    </row>
    <row r="47" spans="1:18" ht="18" customHeight="1" x14ac:dyDescent="0.25">
      <c r="A47" s="921" t="s">
        <v>476</v>
      </c>
      <c r="B47" s="921"/>
      <c r="C47" s="931">
        <f>Scenarios!B73</f>
        <v>0</v>
      </c>
      <c r="D47" s="903">
        <f>Scenarios!F73</f>
        <v>0</v>
      </c>
      <c r="E47" s="902">
        <f t="shared" ref="E47:M47" si="38">D47*(1+E$5)</f>
        <v>0</v>
      </c>
      <c r="F47" s="902">
        <f t="shared" si="38"/>
        <v>0</v>
      </c>
      <c r="G47" s="902">
        <f t="shared" si="38"/>
        <v>0</v>
      </c>
      <c r="H47" s="902">
        <f t="shared" si="38"/>
        <v>0</v>
      </c>
      <c r="I47" s="902">
        <f t="shared" si="38"/>
        <v>0</v>
      </c>
      <c r="J47" s="902">
        <f t="shared" si="38"/>
        <v>0</v>
      </c>
      <c r="K47" s="902">
        <f t="shared" si="38"/>
        <v>0</v>
      </c>
      <c r="L47" s="902">
        <f t="shared" si="38"/>
        <v>0</v>
      </c>
      <c r="M47" s="902">
        <f t="shared" si="38"/>
        <v>0</v>
      </c>
      <c r="N47" s="922">
        <f t="shared" si="31"/>
        <v>0</v>
      </c>
      <c r="O47" s="922">
        <f t="shared" si="32"/>
        <v>0</v>
      </c>
      <c r="P47" s="922">
        <f t="shared" si="33"/>
        <v>0</v>
      </c>
      <c r="Q47" s="923">
        <f t="shared" si="34"/>
        <v>0</v>
      </c>
      <c r="R47" s="868"/>
    </row>
    <row r="48" spans="1:18" ht="18" customHeight="1" x14ac:dyDescent="0.25">
      <c r="A48" s="921" t="s">
        <v>477</v>
      </c>
      <c r="B48" s="921"/>
      <c r="C48" s="931">
        <f>Scenarios!B74</f>
        <v>0</v>
      </c>
      <c r="D48" s="903">
        <f>Scenarios!F74</f>
        <v>0</v>
      </c>
      <c r="E48" s="902">
        <f t="shared" ref="E48:M48" si="39">D48*(1+E$5)</f>
        <v>0</v>
      </c>
      <c r="F48" s="902">
        <f t="shared" si="39"/>
        <v>0</v>
      </c>
      <c r="G48" s="902">
        <f t="shared" si="39"/>
        <v>0</v>
      </c>
      <c r="H48" s="902">
        <f t="shared" si="39"/>
        <v>0</v>
      </c>
      <c r="I48" s="902">
        <f t="shared" si="39"/>
        <v>0</v>
      </c>
      <c r="J48" s="902">
        <f t="shared" si="39"/>
        <v>0</v>
      </c>
      <c r="K48" s="902">
        <f t="shared" si="39"/>
        <v>0</v>
      </c>
      <c r="L48" s="902">
        <f t="shared" si="39"/>
        <v>0</v>
      </c>
      <c r="M48" s="902">
        <f t="shared" si="39"/>
        <v>0</v>
      </c>
      <c r="N48" s="922">
        <f t="shared" si="31"/>
        <v>0</v>
      </c>
      <c r="O48" s="922">
        <f t="shared" si="32"/>
        <v>0</v>
      </c>
      <c r="P48" s="922">
        <f t="shared" si="33"/>
        <v>0</v>
      </c>
      <c r="Q48" s="923">
        <f t="shared" si="34"/>
        <v>0</v>
      </c>
      <c r="R48" s="868"/>
    </row>
    <row r="49" spans="1:18" ht="18" customHeight="1" x14ac:dyDescent="0.25">
      <c r="A49" s="921" t="s">
        <v>478</v>
      </c>
      <c r="B49" s="921"/>
      <c r="C49" s="931">
        <f>Scenarios!B75</f>
        <v>0</v>
      </c>
      <c r="D49" s="903">
        <f>Scenarios!F75</f>
        <v>0</v>
      </c>
      <c r="E49" s="902">
        <f t="shared" ref="E49:M49" si="40">D49*(1+E$5)</f>
        <v>0</v>
      </c>
      <c r="F49" s="902">
        <f t="shared" si="40"/>
        <v>0</v>
      </c>
      <c r="G49" s="902">
        <f t="shared" si="40"/>
        <v>0</v>
      </c>
      <c r="H49" s="902">
        <f t="shared" si="40"/>
        <v>0</v>
      </c>
      <c r="I49" s="902">
        <f t="shared" si="40"/>
        <v>0</v>
      </c>
      <c r="J49" s="902">
        <f t="shared" si="40"/>
        <v>0</v>
      </c>
      <c r="K49" s="902">
        <f t="shared" si="40"/>
        <v>0</v>
      </c>
      <c r="L49" s="902">
        <f t="shared" si="40"/>
        <v>0</v>
      </c>
      <c r="M49" s="902">
        <f t="shared" si="40"/>
        <v>0</v>
      </c>
      <c r="N49" s="922">
        <f t="shared" si="31"/>
        <v>0</v>
      </c>
      <c r="O49" s="922">
        <f t="shared" si="32"/>
        <v>0</v>
      </c>
      <c r="P49" s="922">
        <f t="shared" si="33"/>
        <v>0</v>
      </c>
      <c r="Q49" s="923">
        <f t="shared" si="34"/>
        <v>0</v>
      </c>
      <c r="R49" s="868"/>
    </row>
    <row r="50" spans="1:18" ht="24" customHeight="1" x14ac:dyDescent="0.25">
      <c r="A50" s="932" t="s">
        <v>267</v>
      </c>
      <c r="B50" s="932"/>
      <c r="C50" s="922">
        <f t="shared" ref="C50:M50" si="41">C43+C44+C45+C46+C47+C48+C49</f>
        <v>0</v>
      </c>
      <c r="D50" s="922">
        <f t="shared" si="41"/>
        <v>0</v>
      </c>
      <c r="E50" s="922">
        <f t="shared" si="41"/>
        <v>0</v>
      </c>
      <c r="F50" s="922">
        <f t="shared" si="41"/>
        <v>0</v>
      </c>
      <c r="G50" s="922">
        <f t="shared" si="41"/>
        <v>0</v>
      </c>
      <c r="H50" s="922">
        <f t="shared" si="41"/>
        <v>0</v>
      </c>
      <c r="I50" s="922">
        <f t="shared" si="41"/>
        <v>0</v>
      </c>
      <c r="J50" s="922">
        <f t="shared" si="41"/>
        <v>0</v>
      </c>
      <c r="K50" s="922">
        <f t="shared" si="41"/>
        <v>0</v>
      </c>
      <c r="L50" s="922">
        <f t="shared" si="41"/>
        <v>0</v>
      </c>
      <c r="M50" s="922">
        <f t="shared" si="41"/>
        <v>0</v>
      </c>
      <c r="N50" s="913">
        <f t="shared" si="31"/>
        <v>0</v>
      </c>
      <c r="O50" s="913">
        <f t="shared" si="32"/>
        <v>0</v>
      </c>
      <c r="P50" s="913">
        <f t="shared" si="33"/>
        <v>0</v>
      </c>
      <c r="Q50" s="933">
        <f t="shared" si="34"/>
        <v>0</v>
      </c>
      <c r="R50" s="868"/>
    </row>
    <row r="51" spans="1:18" ht="18" customHeight="1" x14ac:dyDescent="0.25">
      <c r="A51" s="934" t="s">
        <v>479</v>
      </c>
      <c r="B51" s="866"/>
      <c r="C51" s="866"/>
      <c r="D51" s="866"/>
      <c r="E51" s="866"/>
      <c r="F51" s="866"/>
      <c r="G51" s="866"/>
      <c r="H51" s="866"/>
      <c r="I51" s="866"/>
      <c r="J51" s="866"/>
      <c r="K51" s="866"/>
      <c r="L51" s="866"/>
      <c r="M51" s="866"/>
      <c r="N51" s="866"/>
      <c r="O51" s="866"/>
      <c r="P51" s="866"/>
      <c r="Q51" s="866"/>
      <c r="R51" s="866"/>
    </row>
    <row r="52" spans="1:18" ht="18" customHeight="1" x14ac:dyDescent="0.25">
      <c r="A52" s="882" t="s">
        <v>271</v>
      </c>
      <c r="B52" s="879"/>
      <c r="C52" s="935"/>
      <c r="D52" s="936"/>
      <c r="E52" s="937"/>
      <c r="F52" s="937"/>
      <c r="G52" s="937"/>
      <c r="H52" s="937"/>
      <c r="I52" s="937"/>
      <c r="J52" s="937"/>
      <c r="K52" s="937"/>
      <c r="L52" s="937"/>
      <c r="M52" s="937"/>
      <c r="N52" s="937"/>
      <c r="O52" s="937"/>
      <c r="P52" s="937"/>
      <c r="Q52" s="905"/>
      <c r="R52" s="868"/>
    </row>
    <row r="53" spans="1:18" ht="18" customHeight="1" outlineLevel="1" x14ac:dyDescent="0.25">
      <c r="A53" s="900" t="s">
        <v>480</v>
      </c>
      <c r="B53" s="900"/>
      <c r="C53" s="916">
        <f>Scenarios!B81</f>
        <v>0</v>
      </c>
      <c r="D53" s="915">
        <f>Scenarios!F81</f>
        <v>0</v>
      </c>
      <c r="E53" s="913">
        <f t="shared" ref="E53:M53" si="42">D53*(1+E$6)</f>
        <v>0</v>
      </c>
      <c r="F53" s="913">
        <f t="shared" si="42"/>
        <v>0</v>
      </c>
      <c r="G53" s="913">
        <f t="shared" si="42"/>
        <v>0</v>
      </c>
      <c r="H53" s="913">
        <f t="shared" si="42"/>
        <v>0</v>
      </c>
      <c r="I53" s="913">
        <f t="shared" si="42"/>
        <v>0</v>
      </c>
      <c r="J53" s="913">
        <f t="shared" si="42"/>
        <v>0</v>
      </c>
      <c r="K53" s="913">
        <f t="shared" si="42"/>
        <v>0</v>
      </c>
      <c r="L53" s="913">
        <f t="shared" si="42"/>
        <v>0</v>
      </c>
      <c r="M53" s="913">
        <f t="shared" si="42"/>
        <v>0</v>
      </c>
      <c r="N53" s="938"/>
      <c r="O53" s="938"/>
      <c r="P53" s="938"/>
      <c r="Q53" s="933"/>
      <c r="R53" s="868"/>
    </row>
    <row r="54" spans="1:18" ht="18" customHeight="1" outlineLevel="1" x14ac:dyDescent="0.25">
      <c r="A54" s="879" t="s">
        <v>274</v>
      </c>
      <c r="B54" s="879"/>
      <c r="C54" s="916">
        <f>Scenarios!B82</f>
        <v>0</v>
      </c>
      <c r="D54" s="915">
        <f>Scenarios!F82</f>
        <v>0</v>
      </c>
      <c r="E54" s="904">
        <f t="shared" ref="E54:M54" si="43">D54*(1+E$6)</f>
        <v>0</v>
      </c>
      <c r="F54" s="904">
        <f t="shared" si="43"/>
        <v>0</v>
      </c>
      <c r="G54" s="904">
        <f t="shared" si="43"/>
        <v>0</v>
      </c>
      <c r="H54" s="904">
        <f t="shared" si="43"/>
        <v>0</v>
      </c>
      <c r="I54" s="904">
        <f t="shared" si="43"/>
        <v>0</v>
      </c>
      <c r="J54" s="904">
        <f t="shared" si="43"/>
        <v>0</v>
      </c>
      <c r="K54" s="904">
        <f t="shared" si="43"/>
        <v>0</v>
      </c>
      <c r="L54" s="904">
        <f t="shared" si="43"/>
        <v>0</v>
      </c>
      <c r="M54" s="904">
        <f t="shared" si="43"/>
        <v>0</v>
      </c>
      <c r="N54" s="937"/>
      <c r="O54" s="937"/>
      <c r="P54" s="937"/>
      <c r="Q54" s="905"/>
      <c r="R54" s="868"/>
    </row>
    <row r="55" spans="1:18" ht="18" customHeight="1" outlineLevel="1" x14ac:dyDescent="0.25">
      <c r="A55" s="900" t="s">
        <v>276</v>
      </c>
      <c r="B55" s="900"/>
      <c r="C55" s="916">
        <f>Scenarios!B83</f>
        <v>0</v>
      </c>
      <c r="D55" s="915">
        <f>Scenarios!F83</f>
        <v>0</v>
      </c>
      <c r="E55" s="913">
        <f t="shared" ref="E55:M55" si="44">D55*(1+E$6)</f>
        <v>0</v>
      </c>
      <c r="F55" s="913">
        <f t="shared" si="44"/>
        <v>0</v>
      </c>
      <c r="G55" s="913">
        <f t="shared" si="44"/>
        <v>0</v>
      </c>
      <c r="H55" s="913">
        <f t="shared" si="44"/>
        <v>0</v>
      </c>
      <c r="I55" s="913">
        <f t="shared" si="44"/>
        <v>0</v>
      </c>
      <c r="J55" s="913">
        <f t="shared" si="44"/>
        <v>0</v>
      </c>
      <c r="K55" s="913">
        <f t="shared" si="44"/>
        <v>0</v>
      </c>
      <c r="L55" s="913">
        <f t="shared" si="44"/>
        <v>0</v>
      </c>
      <c r="M55" s="913">
        <f t="shared" si="44"/>
        <v>0</v>
      </c>
      <c r="N55" s="938"/>
      <c r="O55" s="938"/>
      <c r="P55" s="938"/>
      <c r="Q55" s="933"/>
      <c r="R55" s="868"/>
    </row>
    <row r="56" spans="1:18" ht="18" customHeight="1" outlineLevel="1" x14ac:dyDescent="0.25">
      <c r="A56" s="879" t="s">
        <v>278</v>
      </c>
      <c r="B56" s="879"/>
      <c r="C56" s="916">
        <f>Scenarios!B84</f>
        <v>0</v>
      </c>
      <c r="D56" s="915">
        <f>Scenarios!F84</f>
        <v>0</v>
      </c>
      <c r="E56" s="904">
        <f t="shared" ref="E56:M56" si="45">D56*(1+E$6)</f>
        <v>0</v>
      </c>
      <c r="F56" s="904">
        <f t="shared" si="45"/>
        <v>0</v>
      </c>
      <c r="G56" s="904">
        <f t="shared" si="45"/>
        <v>0</v>
      </c>
      <c r="H56" s="904">
        <f t="shared" si="45"/>
        <v>0</v>
      </c>
      <c r="I56" s="904">
        <f t="shared" si="45"/>
        <v>0</v>
      </c>
      <c r="J56" s="904">
        <f t="shared" si="45"/>
        <v>0</v>
      </c>
      <c r="K56" s="904">
        <f t="shared" si="45"/>
        <v>0</v>
      </c>
      <c r="L56" s="904">
        <f t="shared" si="45"/>
        <v>0</v>
      </c>
      <c r="M56" s="904">
        <f t="shared" si="45"/>
        <v>0</v>
      </c>
      <c r="N56" s="937"/>
      <c r="O56" s="937"/>
      <c r="P56" s="937"/>
      <c r="Q56" s="905"/>
      <c r="R56" s="868"/>
    </row>
    <row r="57" spans="1:18" ht="18" customHeight="1" outlineLevel="1" x14ac:dyDescent="0.25">
      <c r="A57" s="900" t="s">
        <v>280</v>
      </c>
      <c r="B57" s="900"/>
      <c r="C57" s="916">
        <f>Scenarios!B85</f>
        <v>0</v>
      </c>
      <c r="D57" s="915">
        <f>Scenarios!F85</f>
        <v>0</v>
      </c>
      <c r="E57" s="913">
        <f t="shared" ref="E57:M57" si="46">D57*(1+E$6)</f>
        <v>0</v>
      </c>
      <c r="F57" s="913">
        <f t="shared" si="46"/>
        <v>0</v>
      </c>
      <c r="G57" s="913">
        <f t="shared" si="46"/>
        <v>0</v>
      </c>
      <c r="H57" s="913">
        <f t="shared" si="46"/>
        <v>0</v>
      </c>
      <c r="I57" s="913">
        <f t="shared" si="46"/>
        <v>0</v>
      </c>
      <c r="J57" s="913">
        <f t="shared" si="46"/>
        <v>0</v>
      </c>
      <c r="K57" s="913">
        <f t="shared" si="46"/>
        <v>0</v>
      </c>
      <c r="L57" s="913">
        <f t="shared" si="46"/>
        <v>0</v>
      </c>
      <c r="M57" s="913">
        <f t="shared" si="46"/>
        <v>0</v>
      </c>
      <c r="N57" s="938"/>
      <c r="O57" s="938"/>
      <c r="P57" s="938"/>
      <c r="Q57" s="933"/>
      <c r="R57" s="868"/>
    </row>
    <row r="58" spans="1:18" ht="18" customHeight="1" outlineLevel="1" x14ac:dyDescent="0.25">
      <c r="A58" s="879" t="s">
        <v>282</v>
      </c>
      <c r="B58" s="879"/>
      <c r="C58" s="916">
        <f>Scenarios!B86</f>
        <v>0</v>
      </c>
      <c r="D58" s="915">
        <f>Scenarios!F86</f>
        <v>0</v>
      </c>
      <c r="E58" s="904">
        <f t="shared" ref="E58:M58" si="47">D58*(1+E$6)</f>
        <v>0</v>
      </c>
      <c r="F58" s="904">
        <f t="shared" si="47"/>
        <v>0</v>
      </c>
      <c r="G58" s="904">
        <f t="shared" si="47"/>
        <v>0</v>
      </c>
      <c r="H58" s="904">
        <f t="shared" si="47"/>
        <v>0</v>
      </c>
      <c r="I58" s="904">
        <f t="shared" si="47"/>
        <v>0</v>
      </c>
      <c r="J58" s="904">
        <f t="shared" si="47"/>
        <v>0</v>
      </c>
      <c r="K58" s="904">
        <f t="shared" si="47"/>
        <v>0</v>
      </c>
      <c r="L58" s="904">
        <f t="shared" si="47"/>
        <v>0</v>
      </c>
      <c r="M58" s="904">
        <f t="shared" si="47"/>
        <v>0</v>
      </c>
      <c r="N58" s="937"/>
      <c r="O58" s="937"/>
      <c r="P58" s="937"/>
      <c r="Q58" s="905"/>
      <c r="R58" s="868"/>
    </row>
    <row r="59" spans="1:18" ht="18" customHeight="1" outlineLevel="1" x14ac:dyDescent="0.25">
      <c r="A59" s="900" t="s">
        <v>284</v>
      </c>
      <c r="B59" s="900"/>
      <c r="C59" s="916">
        <f>Scenarios!B87</f>
        <v>0</v>
      </c>
      <c r="D59" s="915">
        <f>Scenarios!F87</f>
        <v>0</v>
      </c>
      <c r="E59" s="913">
        <f t="shared" ref="E59:M59" si="48">D59*(1+E$6)</f>
        <v>0</v>
      </c>
      <c r="F59" s="913">
        <f t="shared" si="48"/>
        <v>0</v>
      </c>
      <c r="G59" s="913">
        <f t="shared" si="48"/>
        <v>0</v>
      </c>
      <c r="H59" s="913">
        <f t="shared" si="48"/>
        <v>0</v>
      </c>
      <c r="I59" s="913">
        <f t="shared" si="48"/>
        <v>0</v>
      </c>
      <c r="J59" s="913">
        <f t="shared" si="48"/>
        <v>0</v>
      </c>
      <c r="K59" s="913">
        <f t="shared" si="48"/>
        <v>0</v>
      </c>
      <c r="L59" s="913">
        <f t="shared" si="48"/>
        <v>0</v>
      </c>
      <c r="M59" s="913">
        <f t="shared" si="48"/>
        <v>0</v>
      </c>
      <c r="N59" s="938"/>
      <c r="O59" s="938"/>
      <c r="P59" s="938"/>
      <c r="Q59" s="933"/>
      <c r="R59" s="868"/>
    </row>
    <row r="60" spans="1:18" ht="18" customHeight="1" outlineLevel="1" x14ac:dyDescent="0.25">
      <c r="A60" s="879" t="s">
        <v>286</v>
      </c>
      <c r="B60" s="879"/>
      <c r="C60" s="916">
        <f>Scenarios!B88</f>
        <v>0</v>
      </c>
      <c r="D60" s="915">
        <f>Scenarios!F88</f>
        <v>0</v>
      </c>
      <c r="E60" s="904">
        <f t="shared" ref="E60:M60" si="49">D60*(1+E$6)</f>
        <v>0</v>
      </c>
      <c r="F60" s="904">
        <f t="shared" si="49"/>
        <v>0</v>
      </c>
      <c r="G60" s="904">
        <f t="shared" si="49"/>
        <v>0</v>
      </c>
      <c r="H60" s="904">
        <f t="shared" si="49"/>
        <v>0</v>
      </c>
      <c r="I60" s="904">
        <f t="shared" si="49"/>
        <v>0</v>
      </c>
      <c r="J60" s="904">
        <f t="shared" si="49"/>
        <v>0</v>
      </c>
      <c r="K60" s="904">
        <f t="shared" si="49"/>
        <v>0</v>
      </c>
      <c r="L60" s="904">
        <f t="shared" si="49"/>
        <v>0</v>
      </c>
      <c r="M60" s="904">
        <f t="shared" si="49"/>
        <v>0</v>
      </c>
      <c r="N60" s="937"/>
      <c r="O60" s="937"/>
      <c r="P60" s="937"/>
      <c r="Q60" s="905"/>
      <c r="R60" s="868"/>
    </row>
    <row r="61" spans="1:18" ht="18" customHeight="1" x14ac:dyDescent="0.25">
      <c r="A61" s="939" t="s">
        <v>288</v>
      </c>
      <c r="B61" s="900"/>
      <c r="C61" s="916">
        <f>Scenarios!B89</f>
        <v>0</v>
      </c>
      <c r="D61" s="915">
        <f>Scenarios!F89</f>
        <v>0</v>
      </c>
      <c r="E61" s="940">
        <f t="shared" ref="E61:M61" si="50">SUM(E53:E60)</f>
        <v>0</v>
      </c>
      <c r="F61" s="940">
        <f t="shared" si="50"/>
        <v>0</v>
      </c>
      <c r="G61" s="940">
        <f t="shared" si="50"/>
        <v>0</v>
      </c>
      <c r="H61" s="940">
        <f t="shared" si="50"/>
        <v>0</v>
      </c>
      <c r="I61" s="940">
        <f t="shared" si="50"/>
        <v>0</v>
      </c>
      <c r="J61" s="940">
        <f t="shared" si="50"/>
        <v>0</v>
      </c>
      <c r="K61" s="940">
        <f t="shared" si="50"/>
        <v>0</v>
      </c>
      <c r="L61" s="940">
        <f t="shared" si="50"/>
        <v>0</v>
      </c>
      <c r="M61" s="940">
        <f t="shared" si="50"/>
        <v>0</v>
      </c>
      <c r="N61" s="938"/>
      <c r="O61" s="938"/>
      <c r="P61" s="938"/>
      <c r="Q61" s="933"/>
      <c r="R61" s="868"/>
    </row>
    <row r="62" spans="1:18" ht="18" customHeight="1" x14ac:dyDescent="0.25">
      <c r="A62" s="882" t="s">
        <v>290</v>
      </c>
      <c r="B62" s="879"/>
      <c r="C62" s="916"/>
      <c r="D62" s="915"/>
      <c r="E62" s="904"/>
      <c r="F62" s="904"/>
      <c r="G62" s="904"/>
      <c r="H62" s="904"/>
      <c r="I62" s="904"/>
      <c r="J62" s="904"/>
      <c r="K62" s="904"/>
      <c r="L62" s="904"/>
      <c r="M62" s="904"/>
      <c r="N62" s="937"/>
      <c r="O62" s="937"/>
      <c r="P62" s="937"/>
      <c r="Q62" s="905"/>
      <c r="R62" s="868"/>
    </row>
    <row r="63" spans="1:18" ht="18" customHeight="1" outlineLevel="1" x14ac:dyDescent="0.25">
      <c r="A63" s="900" t="s">
        <v>291</v>
      </c>
      <c r="B63" s="900"/>
      <c r="C63" s="916">
        <f>Scenarios!B91</f>
        <v>0</v>
      </c>
      <c r="D63" s="915">
        <f>Scenarios!F91</f>
        <v>0</v>
      </c>
      <c r="E63" s="913">
        <f t="shared" ref="E63:M63" si="51">D63*(1+E$6)</f>
        <v>0</v>
      </c>
      <c r="F63" s="913">
        <f t="shared" si="51"/>
        <v>0</v>
      </c>
      <c r="G63" s="913">
        <f t="shared" si="51"/>
        <v>0</v>
      </c>
      <c r="H63" s="913">
        <f t="shared" si="51"/>
        <v>0</v>
      </c>
      <c r="I63" s="913">
        <f t="shared" si="51"/>
        <v>0</v>
      </c>
      <c r="J63" s="913">
        <f t="shared" si="51"/>
        <v>0</v>
      </c>
      <c r="K63" s="913">
        <f t="shared" si="51"/>
        <v>0</v>
      </c>
      <c r="L63" s="913">
        <f t="shared" si="51"/>
        <v>0</v>
      </c>
      <c r="M63" s="913">
        <f t="shared" si="51"/>
        <v>0</v>
      </c>
      <c r="N63" s="938"/>
      <c r="O63" s="938"/>
      <c r="P63" s="938"/>
      <c r="Q63" s="933"/>
      <c r="R63" s="868"/>
    </row>
    <row r="64" spans="1:18" ht="18" customHeight="1" outlineLevel="1" x14ac:dyDescent="0.25">
      <c r="A64" s="879" t="s">
        <v>293</v>
      </c>
      <c r="B64" s="879"/>
      <c r="C64" s="916">
        <f>Scenarios!B92</f>
        <v>0</v>
      </c>
      <c r="D64" s="915">
        <f>Scenarios!F92</f>
        <v>0</v>
      </c>
      <c r="E64" s="904">
        <f t="shared" ref="E64:M64" si="52">D64*(1+E$6)</f>
        <v>0</v>
      </c>
      <c r="F64" s="904">
        <f t="shared" si="52"/>
        <v>0</v>
      </c>
      <c r="G64" s="904">
        <f t="shared" si="52"/>
        <v>0</v>
      </c>
      <c r="H64" s="904">
        <f t="shared" si="52"/>
        <v>0</v>
      </c>
      <c r="I64" s="904">
        <f t="shared" si="52"/>
        <v>0</v>
      </c>
      <c r="J64" s="904">
        <f t="shared" si="52"/>
        <v>0</v>
      </c>
      <c r="K64" s="904">
        <f t="shared" si="52"/>
        <v>0</v>
      </c>
      <c r="L64" s="904">
        <f t="shared" si="52"/>
        <v>0</v>
      </c>
      <c r="M64" s="904">
        <f t="shared" si="52"/>
        <v>0</v>
      </c>
      <c r="N64" s="937"/>
      <c r="O64" s="937"/>
      <c r="P64" s="937"/>
      <c r="Q64" s="905"/>
      <c r="R64" s="868"/>
    </row>
    <row r="65" spans="1:18" ht="18" customHeight="1" outlineLevel="1" x14ac:dyDescent="0.25">
      <c r="A65" s="900" t="s">
        <v>295</v>
      </c>
      <c r="B65" s="900"/>
      <c r="C65" s="916">
        <f>Scenarios!B93</f>
        <v>0</v>
      </c>
      <c r="D65" s="915">
        <f>Scenarios!F93</f>
        <v>0</v>
      </c>
      <c r="E65" s="913">
        <f t="shared" ref="E65:M65" si="53">D65*(1+E$6)</f>
        <v>0</v>
      </c>
      <c r="F65" s="913">
        <f t="shared" si="53"/>
        <v>0</v>
      </c>
      <c r="G65" s="913">
        <f t="shared" si="53"/>
        <v>0</v>
      </c>
      <c r="H65" s="913">
        <f t="shared" si="53"/>
        <v>0</v>
      </c>
      <c r="I65" s="913">
        <f t="shared" si="53"/>
        <v>0</v>
      </c>
      <c r="J65" s="913">
        <f t="shared" si="53"/>
        <v>0</v>
      </c>
      <c r="K65" s="913">
        <f t="shared" si="53"/>
        <v>0</v>
      </c>
      <c r="L65" s="913">
        <f t="shared" si="53"/>
        <v>0</v>
      </c>
      <c r="M65" s="913">
        <f t="shared" si="53"/>
        <v>0</v>
      </c>
      <c r="N65" s="938"/>
      <c r="O65" s="938"/>
      <c r="P65" s="938"/>
      <c r="Q65" s="933"/>
      <c r="R65" s="868"/>
    </row>
    <row r="66" spans="1:18" ht="18" customHeight="1" outlineLevel="1" x14ac:dyDescent="0.25">
      <c r="A66" s="879" t="s">
        <v>481</v>
      </c>
      <c r="B66" s="879"/>
      <c r="C66" s="916">
        <f>Scenarios!B94</f>
        <v>0</v>
      </c>
      <c r="D66" s="915">
        <f>Scenarios!F94</f>
        <v>0</v>
      </c>
      <c r="E66" s="904">
        <f t="shared" ref="E66:M66" si="54">D66*(1+E$6)</f>
        <v>0</v>
      </c>
      <c r="F66" s="904">
        <f t="shared" si="54"/>
        <v>0</v>
      </c>
      <c r="G66" s="904">
        <f t="shared" si="54"/>
        <v>0</v>
      </c>
      <c r="H66" s="904">
        <f t="shared" si="54"/>
        <v>0</v>
      </c>
      <c r="I66" s="904">
        <f t="shared" si="54"/>
        <v>0</v>
      </c>
      <c r="J66" s="904">
        <f t="shared" si="54"/>
        <v>0</v>
      </c>
      <c r="K66" s="904">
        <f t="shared" si="54"/>
        <v>0</v>
      </c>
      <c r="L66" s="904">
        <f t="shared" si="54"/>
        <v>0</v>
      </c>
      <c r="M66" s="904">
        <f t="shared" si="54"/>
        <v>0</v>
      </c>
      <c r="N66" s="937"/>
      <c r="O66" s="937"/>
      <c r="P66" s="937"/>
      <c r="Q66" s="905"/>
      <c r="R66" s="868"/>
    </row>
    <row r="67" spans="1:18" ht="18" customHeight="1" outlineLevel="1" x14ac:dyDescent="0.25">
      <c r="A67" s="879" t="s">
        <v>299</v>
      </c>
      <c r="B67" s="879"/>
      <c r="C67" s="916">
        <f>Scenarios!B95</f>
        <v>0</v>
      </c>
      <c r="D67" s="915">
        <f>Scenarios!F95</f>
        <v>0</v>
      </c>
      <c r="E67" s="904">
        <f t="shared" ref="E67:M67" si="55">D67*(1+E$6)</f>
        <v>0</v>
      </c>
      <c r="F67" s="904">
        <f t="shared" si="55"/>
        <v>0</v>
      </c>
      <c r="G67" s="904">
        <f t="shared" si="55"/>
        <v>0</v>
      </c>
      <c r="H67" s="904">
        <f t="shared" si="55"/>
        <v>0</v>
      </c>
      <c r="I67" s="904">
        <f t="shared" si="55"/>
        <v>0</v>
      </c>
      <c r="J67" s="904">
        <f t="shared" si="55"/>
        <v>0</v>
      </c>
      <c r="K67" s="904">
        <f t="shared" si="55"/>
        <v>0</v>
      </c>
      <c r="L67" s="904">
        <f t="shared" si="55"/>
        <v>0</v>
      </c>
      <c r="M67" s="904">
        <f t="shared" si="55"/>
        <v>0</v>
      </c>
      <c r="N67" s="937"/>
      <c r="O67" s="937"/>
      <c r="P67" s="937"/>
      <c r="Q67" s="905"/>
      <c r="R67" s="868"/>
    </row>
    <row r="68" spans="1:18" ht="18" customHeight="1" outlineLevel="1" x14ac:dyDescent="0.25">
      <c r="A68" s="879" t="s">
        <v>301</v>
      </c>
      <c r="B68" s="879"/>
      <c r="C68" s="916">
        <f>Scenarios!B96</f>
        <v>0</v>
      </c>
      <c r="D68" s="915">
        <f>Scenarios!F96</f>
        <v>0</v>
      </c>
      <c r="E68" s="904">
        <f t="shared" ref="E68:M68" si="56">D68*(1+E$6)</f>
        <v>0</v>
      </c>
      <c r="F68" s="904">
        <f t="shared" si="56"/>
        <v>0</v>
      </c>
      <c r="G68" s="904">
        <f t="shared" si="56"/>
        <v>0</v>
      </c>
      <c r="H68" s="904">
        <f t="shared" si="56"/>
        <v>0</v>
      </c>
      <c r="I68" s="904">
        <f t="shared" si="56"/>
        <v>0</v>
      </c>
      <c r="J68" s="904">
        <f t="shared" si="56"/>
        <v>0</v>
      </c>
      <c r="K68" s="904">
        <f t="shared" si="56"/>
        <v>0</v>
      </c>
      <c r="L68" s="904">
        <f t="shared" si="56"/>
        <v>0</v>
      </c>
      <c r="M68" s="904">
        <f t="shared" si="56"/>
        <v>0</v>
      </c>
      <c r="N68" s="937"/>
      <c r="O68" s="937"/>
      <c r="P68" s="937"/>
      <c r="Q68" s="905"/>
      <c r="R68" s="868"/>
    </row>
    <row r="69" spans="1:18" ht="18" customHeight="1" x14ac:dyDescent="0.25">
      <c r="A69" s="939" t="s">
        <v>303</v>
      </c>
      <c r="B69" s="879"/>
      <c r="C69" s="916">
        <f>Scenarios!B97</f>
        <v>0</v>
      </c>
      <c r="D69" s="915">
        <f>Scenarios!F97</f>
        <v>0</v>
      </c>
      <c r="E69" s="902">
        <f t="shared" ref="E69:M69" si="57">SUM(E63:E68)</f>
        <v>0</v>
      </c>
      <c r="F69" s="902">
        <f t="shared" si="57"/>
        <v>0</v>
      </c>
      <c r="G69" s="902">
        <f t="shared" si="57"/>
        <v>0</v>
      </c>
      <c r="H69" s="902">
        <f t="shared" si="57"/>
        <v>0</v>
      </c>
      <c r="I69" s="902">
        <f t="shared" si="57"/>
        <v>0</v>
      </c>
      <c r="J69" s="902">
        <f t="shared" si="57"/>
        <v>0</v>
      </c>
      <c r="K69" s="902">
        <f t="shared" si="57"/>
        <v>0</v>
      </c>
      <c r="L69" s="902">
        <f t="shared" si="57"/>
        <v>0</v>
      </c>
      <c r="M69" s="902">
        <f t="shared" si="57"/>
        <v>0</v>
      </c>
      <c r="N69" s="937"/>
      <c r="O69" s="937"/>
      <c r="P69" s="937"/>
      <c r="Q69" s="905"/>
      <c r="R69" s="868"/>
    </row>
    <row r="70" spans="1:18" ht="18" customHeight="1" x14ac:dyDescent="0.25">
      <c r="A70" s="882" t="s">
        <v>305</v>
      </c>
      <c r="B70" s="879"/>
      <c r="C70" s="916"/>
      <c r="D70" s="915"/>
      <c r="E70" s="904"/>
      <c r="F70" s="904"/>
      <c r="G70" s="904"/>
      <c r="H70" s="904"/>
      <c r="I70" s="904"/>
      <c r="J70" s="904"/>
      <c r="K70" s="904"/>
      <c r="L70" s="904"/>
      <c r="M70" s="904"/>
      <c r="N70" s="937"/>
      <c r="O70" s="937"/>
      <c r="P70" s="937"/>
      <c r="Q70" s="905"/>
      <c r="R70" s="868"/>
    </row>
    <row r="71" spans="1:18" ht="18" customHeight="1" outlineLevel="1" x14ac:dyDescent="0.25">
      <c r="A71" s="879" t="s">
        <v>306</v>
      </c>
      <c r="B71" s="879"/>
      <c r="C71" s="916">
        <f>Scenarios!B99</f>
        <v>0</v>
      </c>
      <c r="D71" s="915">
        <f>Scenarios!F99</f>
        <v>0</v>
      </c>
      <c r="E71" s="904">
        <f t="shared" ref="E71:M71" si="58">D71*(1+E$6)</f>
        <v>0</v>
      </c>
      <c r="F71" s="904">
        <f t="shared" si="58"/>
        <v>0</v>
      </c>
      <c r="G71" s="904">
        <f t="shared" si="58"/>
        <v>0</v>
      </c>
      <c r="H71" s="904">
        <f t="shared" si="58"/>
        <v>0</v>
      </c>
      <c r="I71" s="904">
        <f t="shared" si="58"/>
        <v>0</v>
      </c>
      <c r="J71" s="904">
        <f t="shared" si="58"/>
        <v>0</v>
      </c>
      <c r="K71" s="904">
        <f t="shared" si="58"/>
        <v>0</v>
      </c>
      <c r="L71" s="904">
        <f t="shared" si="58"/>
        <v>0</v>
      </c>
      <c r="M71" s="904">
        <f t="shared" si="58"/>
        <v>0</v>
      </c>
      <c r="N71" s="904"/>
      <c r="O71" s="904"/>
      <c r="P71" s="904"/>
      <c r="Q71" s="941"/>
      <c r="R71" s="868"/>
    </row>
    <row r="72" spans="1:18" ht="18" customHeight="1" outlineLevel="1" x14ac:dyDescent="0.25">
      <c r="A72" s="879" t="s">
        <v>308</v>
      </c>
      <c r="B72" s="879"/>
      <c r="C72" s="916">
        <f>Scenarios!B100</f>
        <v>0</v>
      </c>
      <c r="D72" s="915">
        <f>Scenarios!F100</f>
        <v>0</v>
      </c>
      <c r="E72" s="904">
        <f t="shared" ref="E72:M72" si="59">D72*(1+E$6)</f>
        <v>0</v>
      </c>
      <c r="F72" s="904">
        <f t="shared" si="59"/>
        <v>0</v>
      </c>
      <c r="G72" s="904">
        <f t="shared" si="59"/>
        <v>0</v>
      </c>
      <c r="H72" s="904">
        <f t="shared" si="59"/>
        <v>0</v>
      </c>
      <c r="I72" s="904">
        <f t="shared" si="59"/>
        <v>0</v>
      </c>
      <c r="J72" s="904">
        <f t="shared" si="59"/>
        <v>0</v>
      </c>
      <c r="K72" s="904">
        <f t="shared" si="59"/>
        <v>0</v>
      </c>
      <c r="L72" s="904">
        <f t="shared" si="59"/>
        <v>0</v>
      </c>
      <c r="M72" s="904">
        <f t="shared" si="59"/>
        <v>0</v>
      </c>
      <c r="N72" s="904"/>
      <c r="O72" s="904"/>
      <c r="P72" s="904"/>
      <c r="Q72" s="941"/>
      <c r="R72" s="868"/>
    </row>
    <row r="73" spans="1:18" ht="18" customHeight="1" outlineLevel="1" x14ac:dyDescent="0.25">
      <c r="A73" s="879" t="s">
        <v>310</v>
      </c>
      <c r="B73" s="879"/>
      <c r="C73" s="916">
        <f>Scenarios!B101</f>
        <v>0</v>
      </c>
      <c r="D73" s="915">
        <f>Scenarios!F101</f>
        <v>0</v>
      </c>
      <c r="E73" s="904">
        <f t="shared" ref="E73:M73" si="60">D73*(1+E$6)</f>
        <v>0</v>
      </c>
      <c r="F73" s="904">
        <f t="shared" si="60"/>
        <v>0</v>
      </c>
      <c r="G73" s="904">
        <f t="shared" si="60"/>
        <v>0</v>
      </c>
      <c r="H73" s="904">
        <f t="shared" si="60"/>
        <v>0</v>
      </c>
      <c r="I73" s="904">
        <f t="shared" si="60"/>
        <v>0</v>
      </c>
      <c r="J73" s="904">
        <f t="shared" si="60"/>
        <v>0</v>
      </c>
      <c r="K73" s="904">
        <f t="shared" si="60"/>
        <v>0</v>
      </c>
      <c r="L73" s="904">
        <f t="shared" si="60"/>
        <v>0</v>
      </c>
      <c r="M73" s="904">
        <f t="shared" si="60"/>
        <v>0</v>
      </c>
      <c r="N73" s="904"/>
      <c r="O73" s="904"/>
      <c r="P73" s="904"/>
      <c r="Q73" s="941"/>
      <c r="R73" s="868"/>
    </row>
    <row r="74" spans="1:18" ht="18" customHeight="1" outlineLevel="1" x14ac:dyDescent="0.25">
      <c r="A74" s="879" t="s">
        <v>312</v>
      </c>
      <c r="B74" s="879"/>
      <c r="C74" s="916">
        <f>Scenarios!B102</f>
        <v>0</v>
      </c>
      <c r="D74" s="915">
        <f>Scenarios!F102</f>
        <v>0</v>
      </c>
      <c r="E74" s="904">
        <f t="shared" ref="E74:M74" si="61">D74*(1+E$6)</f>
        <v>0</v>
      </c>
      <c r="F74" s="904">
        <f t="shared" si="61"/>
        <v>0</v>
      </c>
      <c r="G74" s="904">
        <f t="shared" si="61"/>
        <v>0</v>
      </c>
      <c r="H74" s="904">
        <f t="shared" si="61"/>
        <v>0</v>
      </c>
      <c r="I74" s="904">
        <f t="shared" si="61"/>
        <v>0</v>
      </c>
      <c r="J74" s="904">
        <f t="shared" si="61"/>
        <v>0</v>
      </c>
      <c r="K74" s="904">
        <f t="shared" si="61"/>
        <v>0</v>
      </c>
      <c r="L74" s="904">
        <f t="shared" si="61"/>
        <v>0</v>
      </c>
      <c r="M74" s="904">
        <f t="shared" si="61"/>
        <v>0</v>
      </c>
      <c r="N74" s="904"/>
      <c r="O74" s="904"/>
      <c r="P74" s="904"/>
      <c r="Q74" s="941"/>
      <c r="R74" s="868"/>
    </row>
    <row r="75" spans="1:18" ht="18" customHeight="1" outlineLevel="1" x14ac:dyDescent="0.25">
      <c r="A75" s="879" t="s">
        <v>482</v>
      </c>
      <c r="B75" s="879"/>
      <c r="C75" s="916">
        <f>Scenarios!B103</f>
        <v>0</v>
      </c>
      <c r="D75" s="915">
        <f>Scenarios!F103</f>
        <v>0</v>
      </c>
      <c r="E75" s="904">
        <f t="shared" ref="E75:M75" si="62">D75*(1+E$6)</f>
        <v>0</v>
      </c>
      <c r="F75" s="904">
        <f t="shared" si="62"/>
        <v>0</v>
      </c>
      <c r="G75" s="904">
        <f t="shared" si="62"/>
        <v>0</v>
      </c>
      <c r="H75" s="904">
        <f t="shared" si="62"/>
        <v>0</v>
      </c>
      <c r="I75" s="904">
        <f t="shared" si="62"/>
        <v>0</v>
      </c>
      <c r="J75" s="904">
        <f t="shared" si="62"/>
        <v>0</v>
      </c>
      <c r="K75" s="904">
        <f t="shared" si="62"/>
        <v>0</v>
      </c>
      <c r="L75" s="904">
        <f t="shared" si="62"/>
        <v>0</v>
      </c>
      <c r="M75" s="904">
        <f t="shared" si="62"/>
        <v>0</v>
      </c>
      <c r="N75" s="904"/>
      <c r="O75" s="904"/>
      <c r="P75" s="904"/>
      <c r="Q75" s="941"/>
      <c r="R75" s="868"/>
    </row>
    <row r="76" spans="1:18" ht="18" customHeight="1" outlineLevel="1" x14ac:dyDescent="0.25">
      <c r="A76" s="879" t="s">
        <v>483</v>
      </c>
      <c r="B76" s="879"/>
      <c r="C76" s="916">
        <f>Scenarios!B104</f>
        <v>0</v>
      </c>
      <c r="D76" s="915">
        <f>Scenarios!F104</f>
        <v>0</v>
      </c>
      <c r="E76" s="904">
        <f t="shared" ref="E76:M76" si="63">D76*(1+E$6)</f>
        <v>0</v>
      </c>
      <c r="F76" s="904">
        <f t="shared" si="63"/>
        <v>0</v>
      </c>
      <c r="G76" s="904">
        <f t="shared" si="63"/>
        <v>0</v>
      </c>
      <c r="H76" s="904">
        <f t="shared" si="63"/>
        <v>0</v>
      </c>
      <c r="I76" s="904">
        <f t="shared" si="63"/>
        <v>0</v>
      </c>
      <c r="J76" s="904">
        <f t="shared" si="63"/>
        <v>0</v>
      </c>
      <c r="K76" s="904">
        <f t="shared" si="63"/>
        <v>0</v>
      </c>
      <c r="L76" s="904">
        <f t="shared" si="63"/>
        <v>0</v>
      </c>
      <c r="M76" s="904">
        <f t="shared" si="63"/>
        <v>0</v>
      </c>
      <c r="N76" s="904"/>
      <c r="O76" s="904"/>
      <c r="P76" s="904"/>
      <c r="Q76" s="941"/>
      <c r="R76" s="868"/>
    </row>
    <row r="77" spans="1:18" ht="18" customHeight="1" outlineLevel="1" x14ac:dyDescent="0.25">
      <c r="A77" s="879" t="s">
        <v>318</v>
      </c>
      <c r="B77" s="879"/>
      <c r="C77" s="916">
        <f>Scenarios!B105</f>
        <v>0</v>
      </c>
      <c r="D77" s="915">
        <f>Scenarios!F105</f>
        <v>0</v>
      </c>
      <c r="E77" s="904">
        <f t="shared" ref="E77:M77" si="64">D77*(1+E$6)</f>
        <v>0</v>
      </c>
      <c r="F77" s="904">
        <f t="shared" si="64"/>
        <v>0</v>
      </c>
      <c r="G77" s="904">
        <f t="shared" si="64"/>
        <v>0</v>
      </c>
      <c r="H77" s="904">
        <f t="shared" si="64"/>
        <v>0</v>
      </c>
      <c r="I77" s="904">
        <f t="shared" si="64"/>
        <v>0</v>
      </c>
      <c r="J77" s="904">
        <f t="shared" si="64"/>
        <v>0</v>
      </c>
      <c r="K77" s="904">
        <f t="shared" si="64"/>
        <v>0</v>
      </c>
      <c r="L77" s="904">
        <f t="shared" si="64"/>
        <v>0</v>
      </c>
      <c r="M77" s="904">
        <f t="shared" si="64"/>
        <v>0</v>
      </c>
      <c r="N77" s="904"/>
      <c r="O77" s="904"/>
      <c r="P77" s="904"/>
      <c r="Q77" s="941"/>
      <c r="R77" s="868"/>
    </row>
    <row r="78" spans="1:18" ht="18" customHeight="1" outlineLevel="1" x14ac:dyDescent="0.25">
      <c r="A78" s="879" t="s">
        <v>320</v>
      </c>
      <c r="B78" s="879"/>
      <c r="C78" s="916">
        <f>Scenarios!B106</f>
        <v>0</v>
      </c>
      <c r="D78" s="915">
        <f>Scenarios!F106</f>
        <v>0</v>
      </c>
      <c r="E78" s="904">
        <f t="shared" ref="E78:M78" si="65">D78*(1+E$6)</f>
        <v>0</v>
      </c>
      <c r="F78" s="904">
        <f t="shared" si="65"/>
        <v>0</v>
      </c>
      <c r="G78" s="904">
        <f t="shared" si="65"/>
        <v>0</v>
      </c>
      <c r="H78" s="904">
        <f t="shared" si="65"/>
        <v>0</v>
      </c>
      <c r="I78" s="904">
        <f t="shared" si="65"/>
        <v>0</v>
      </c>
      <c r="J78" s="904">
        <f t="shared" si="65"/>
        <v>0</v>
      </c>
      <c r="K78" s="904">
        <f t="shared" si="65"/>
        <v>0</v>
      </c>
      <c r="L78" s="904">
        <f t="shared" si="65"/>
        <v>0</v>
      </c>
      <c r="M78" s="904">
        <f t="shared" si="65"/>
        <v>0</v>
      </c>
      <c r="N78" s="904"/>
      <c r="O78" s="904"/>
      <c r="P78" s="904"/>
      <c r="Q78" s="941"/>
      <c r="R78" s="868"/>
    </row>
    <row r="79" spans="1:18" ht="18" customHeight="1" outlineLevel="1" x14ac:dyDescent="0.25">
      <c r="A79" s="879" t="s">
        <v>322</v>
      </c>
      <c r="B79" s="879"/>
      <c r="C79" s="916">
        <f>Scenarios!B107</f>
        <v>0</v>
      </c>
      <c r="D79" s="915">
        <f>Scenarios!F107</f>
        <v>0</v>
      </c>
      <c r="E79" s="904">
        <f t="shared" ref="E79:M79" si="66">D79*(1+E$6)</f>
        <v>0</v>
      </c>
      <c r="F79" s="904">
        <f t="shared" si="66"/>
        <v>0</v>
      </c>
      <c r="G79" s="904">
        <f t="shared" si="66"/>
        <v>0</v>
      </c>
      <c r="H79" s="904">
        <f t="shared" si="66"/>
        <v>0</v>
      </c>
      <c r="I79" s="904">
        <f t="shared" si="66"/>
        <v>0</v>
      </c>
      <c r="J79" s="904">
        <f t="shared" si="66"/>
        <v>0</v>
      </c>
      <c r="K79" s="904">
        <f t="shared" si="66"/>
        <v>0</v>
      </c>
      <c r="L79" s="904">
        <f t="shared" si="66"/>
        <v>0</v>
      </c>
      <c r="M79" s="904">
        <f t="shared" si="66"/>
        <v>0</v>
      </c>
      <c r="N79" s="904"/>
      <c r="O79" s="904"/>
      <c r="P79" s="904"/>
      <c r="Q79" s="941"/>
      <c r="R79" s="868"/>
    </row>
    <row r="80" spans="1:18" ht="18" customHeight="1" outlineLevel="1" x14ac:dyDescent="0.25">
      <c r="A80" s="879" t="s">
        <v>484</v>
      </c>
      <c r="B80" s="879"/>
      <c r="C80" s="916">
        <f>Scenarios!B108</f>
        <v>0</v>
      </c>
      <c r="D80" s="915">
        <f>Scenarios!F108</f>
        <v>0</v>
      </c>
      <c r="E80" s="904">
        <f t="shared" ref="E80:M80" si="67">D80*(1+E$6)</f>
        <v>0</v>
      </c>
      <c r="F80" s="904">
        <f t="shared" si="67"/>
        <v>0</v>
      </c>
      <c r="G80" s="904">
        <f t="shared" si="67"/>
        <v>0</v>
      </c>
      <c r="H80" s="904">
        <f t="shared" si="67"/>
        <v>0</v>
      </c>
      <c r="I80" s="904">
        <f t="shared" si="67"/>
        <v>0</v>
      </c>
      <c r="J80" s="904">
        <f t="shared" si="67"/>
        <v>0</v>
      </c>
      <c r="K80" s="904">
        <f t="shared" si="67"/>
        <v>0</v>
      </c>
      <c r="L80" s="904">
        <f t="shared" si="67"/>
        <v>0</v>
      </c>
      <c r="M80" s="904">
        <f t="shared" si="67"/>
        <v>0</v>
      </c>
      <c r="N80" s="904"/>
      <c r="O80" s="904"/>
      <c r="P80" s="904"/>
      <c r="Q80" s="941"/>
      <c r="R80" s="868"/>
    </row>
    <row r="81" spans="1:18" ht="18" customHeight="1" outlineLevel="1" x14ac:dyDescent="0.25">
      <c r="A81" s="879" t="s">
        <v>326</v>
      </c>
      <c r="B81" s="879"/>
      <c r="C81" s="916">
        <f>Scenarios!B109</f>
        <v>0</v>
      </c>
      <c r="D81" s="915">
        <f>Scenarios!F109</f>
        <v>0</v>
      </c>
      <c r="E81" s="904">
        <f t="shared" ref="E81:M81" si="68">D81*(1+E$6)</f>
        <v>0</v>
      </c>
      <c r="F81" s="904">
        <f t="shared" si="68"/>
        <v>0</v>
      </c>
      <c r="G81" s="904">
        <f t="shared" si="68"/>
        <v>0</v>
      </c>
      <c r="H81" s="904">
        <f t="shared" si="68"/>
        <v>0</v>
      </c>
      <c r="I81" s="904">
        <f t="shared" si="68"/>
        <v>0</v>
      </c>
      <c r="J81" s="904">
        <f t="shared" si="68"/>
        <v>0</v>
      </c>
      <c r="K81" s="904">
        <f t="shared" si="68"/>
        <v>0</v>
      </c>
      <c r="L81" s="904">
        <f t="shared" si="68"/>
        <v>0</v>
      </c>
      <c r="M81" s="904">
        <f t="shared" si="68"/>
        <v>0</v>
      </c>
      <c r="N81" s="904"/>
      <c r="O81" s="904"/>
      <c r="P81" s="904"/>
      <c r="Q81" s="941"/>
      <c r="R81" s="868"/>
    </row>
    <row r="82" spans="1:18" ht="18" customHeight="1" outlineLevel="1" x14ac:dyDescent="0.25">
      <c r="A82" s="879" t="s">
        <v>485</v>
      </c>
      <c r="B82" s="879"/>
      <c r="C82" s="916">
        <f>Scenarios!B110</f>
        <v>0</v>
      </c>
      <c r="D82" s="915">
        <f>Scenarios!F110</f>
        <v>0</v>
      </c>
      <c r="E82" s="904">
        <f t="shared" ref="E82:M82" si="69">D82*(1+E$6)</f>
        <v>0</v>
      </c>
      <c r="F82" s="904">
        <f t="shared" si="69"/>
        <v>0</v>
      </c>
      <c r="G82" s="904">
        <f t="shared" si="69"/>
        <v>0</v>
      </c>
      <c r="H82" s="904">
        <f t="shared" si="69"/>
        <v>0</v>
      </c>
      <c r="I82" s="904">
        <f t="shared" si="69"/>
        <v>0</v>
      </c>
      <c r="J82" s="904">
        <f t="shared" si="69"/>
        <v>0</v>
      </c>
      <c r="K82" s="904">
        <f t="shared" si="69"/>
        <v>0</v>
      </c>
      <c r="L82" s="904">
        <f t="shared" si="69"/>
        <v>0</v>
      </c>
      <c r="M82" s="904">
        <f t="shared" si="69"/>
        <v>0</v>
      </c>
      <c r="N82" s="904"/>
      <c r="O82" s="904"/>
      <c r="P82" s="904"/>
      <c r="Q82" s="941"/>
      <c r="R82" s="868"/>
    </row>
    <row r="83" spans="1:18" ht="18" customHeight="1" outlineLevel="1" x14ac:dyDescent="0.25">
      <c r="A83" s="879" t="s">
        <v>330</v>
      </c>
      <c r="B83" s="879"/>
      <c r="C83" s="916">
        <f>Scenarios!B111</f>
        <v>0</v>
      </c>
      <c r="D83" s="915">
        <f>Scenarios!F111</f>
        <v>0</v>
      </c>
      <c r="E83" s="904">
        <f t="shared" ref="E83:M83" si="70">D83*(1+E$6)</f>
        <v>0</v>
      </c>
      <c r="F83" s="904">
        <f t="shared" si="70"/>
        <v>0</v>
      </c>
      <c r="G83" s="904">
        <f t="shared" si="70"/>
        <v>0</v>
      </c>
      <c r="H83" s="904">
        <f t="shared" si="70"/>
        <v>0</v>
      </c>
      <c r="I83" s="904">
        <f t="shared" si="70"/>
        <v>0</v>
      </c>
      <c r="J83" s="904">
        <f t="shared" si="70"/>
        <v>0</v>
      </c>
      <c r="K83" s="904">
        <f t="shared" si="70"/>
        <v>0</v>
      </c>
      <c r="L83" s="904">
        <f t="shared" si="70"/>
        <v>0</v>
      </c>
      <c r="M83" s="904">
        <f t="shared" si="70"/>
        <v>0</v>
      </c>
      <c r="N83" s="904"/>
      <c r="O83" s="904"/>
      <c r="P83" s="904"/>
      <c r="Q83" s="941"/>
      <c r="R83" s="868"/>
    </row>
    <row r="84" spans="1:18" ht="18" customHeight="1" outlineLevel="1" x14ac:dyDescent="0.25">
      <c r="A84" s="879" t="s">
        <v>332</v>
      </c>
      <c r="B84" s="879"/>
      <c r="C84" s="916">
        <f>Scenarios!B112</f>
        <v>0</v>
      </c>
      <c r="D84" s="915">
        <f>Scenarios!F112</f>
        <v>0</v>
      </c>
      <c r="E84" s="904">
        <f t="shared" ref="E84:M84" si="71">D84*(1+E$6)</f>
        <v>0</v>
      </c>
      <c r="F84" s="904">
        <f t="shared" si="71"/>
        <v>0</v>
      </c>
      <c r="G84" s="904">
        <f t="shared" si="71"/>
        <v>0</v>
      </c>
      <c r="H84" s="904">
        <f t="shared" si="71"/>
        <v>0</v>
      </c>
      <c r="I84" s="904">
        <f t="shared" si="71"/>
        <v>0</v>
      </c>
      <c r="J84" s="904">
        <f t="shared" si="71"/>
        <v>0</v>
      </c>
      <c r="K84" s="904">
        <f t="shared" si="71"/>
        <v>0</v>
      </c>
      <c r="L84" s="904">
        <f t="shared" si="71"/>
        <v>0</v>
      </c>
      <c r="M84" s="904">
        <f t="shared" si="71"/>
        <v>0</v>
      </c>
      <c r="N84" s="904"/>
      <c r="O84" s="904"/>
      <c r="P84" s="904"/>
      <c r="Q84" s="941"/>
      <c r="R84" s="868"/>
    </row>
    <row r="85" spans="1:18" ht="18" customHeight="1" outlineLevel="1" x14ac:dyDescent="0.25">
      <c r="A85" s="879" t="s">
        <v>334</v>
      </c>
      <c r="B85" s="879"/>
      <c r="C85" s="916">
        <f>Scenarios!B113</f>
        <v>0</v>
      </c>
      <c r="D85" s="915">
        <f>Scenarios!F113</f>
        <v>0</v>
      </c>
      <c r="E85" s="904">
        <f t="shared" ref="E85:M85" si="72">D85*(1+E$6)</f>
        <v>0</v>
      </c>
      <c r="F85" s="904">
        <f t="shared" si="72"/>
        <v>0</v>
      </c>
      <c r="G85" s="904">
        <f t="shared" si="72"/>
        <v>0</v>
      </c>
      <c r="H85" s="904">
        <f t="shared" si="72"/>
        <v>0</v>
      </c>
      <c r="I85" s="904">
        <f t="shared" si="72"/>
        <v>0</v>
      </c>
      <c r="J85" s="904">
        <f t="shared" si="72"/>
        <v>0</v>
      </c>
      <c r="K85" s="904">
        <f t="shared" si="72"/>
        <v>0</v>
      </c>
      <c r="L85" s="904">
        <f t="shared" si="72"/>
        <v>0</v>
      </c>
      <c r="M85" s="904">
        <f t="shared" si="72"/>
        <v>0</v>
      </c>
      <c r="N85" s="904"/>
      <c r="O85" s="904"/>
      <c r="P85" s="904"/>
      <c r="Q85" s="941"/>
      <c r="R85" s="868"/>
    </row>
    <row r="86" spans="1:18" ht="18" customHeight="1" outlineLevel="1" x14ac:dyDescent="0.25">
      <c r="A86" s="879" t="s">
        <v>336</v>
      </c>
      <c r="B86" s="879"/>
      <c r="C86" s="916">
        <f>Scenarios!B114</f>
        <v>0</v>
      </c>
      <c r="D86" s="915">
        <f>Scenarios!F114</f>
        <v>0</v>
      </c>
      <c r="E86" s="904">
        <f t="shared" ref="E86:M86" si="73">D86*(1+E$6)</f>
        <v>0</v>
      </c>
      <c r="F86" s="904">
        <f t="shared" si="73"/>
        <v>0</v>
      </c>
      <c r="G86" s="904">
        <f t="shared" si="73"/>
        <v>0</v>
      </c>
      <c r="H86" s="904">
        <f t="shared" si="73"/>
        <v>0</v>
      </c>
      <c r="I86" s="904">
        <f t="shared" si="73"/>
        <v>0</v>
      </c>
      <c r="J86" s="904">
        <f t="shared" si="73"/>
        <v>0</v>
      </c>
      <c r="K86" s="904">
        <f t="shared" si="73"/>
        <v>0</v>
      </c>
      <c r="L86" s="904">
        <f t="shared" si="73"/>
        <v>0</v>
      </c>
      <c r="M86" s="904">
        <f t="shared" si="73"/>
        <v>0</v>
      </c>
      <c r="N86" s="904"/>
      <c r="O86" s="904"/>
      <c r="P86" s="904"/>
      <c r="Q86" s="941"/>
      <c r="R86" s="868"/>
    </row>
    <row r="87" spans="1:18" ht="18" customHeight="1" outlineLevel="1" x14ac:dyDescent="0.25">
      <c r="A87" s="879" t="s">
        <v>338</v>
      </c>
      <c r="B87" s="879"/>
      <c r="C87" s="916">
        <f>Scenarios!B115</f>
        <v>0</v>
      </c>
      <c r="D87" s="915">
        <f>Scenarios!F115</f>
        <v>0</v>
      </c>
      <c r="E87" s="904">
        <f t="shared" ref="E87:M87" si="74">D87*(1+E$6)</f>
        <v>0</v>
      </c>
      <c r="F87" s="904">
        <f t="shared" si="74"/>
        <v>0</v>
      </c>
      <c r="G87" s="904">
        <f t="shared" si="74"/>
        <v>0</v>
      </c>
      <c r="H87" s="904">
        <f t="shared" si="74"/>
        <v>0</v>
      </c>
      <c r="I87" s="904">
        <f t="shared" si="74"/>
        <v>0</v>
      </c>
      <c r="J87" s="904">
        <f t="shared" si="74"/>
        <v>0</v>
      </c>
      <c r="K87" s="904">
        <f t="shared" si="74"/>
        <v>0</v>
      </c>
      <c r="L87" s="904">
        <f t="shared" si="74"/>
        <v>0</v>
      </c>
      <c r="M87" s="904">
        <f t="shared" si="74"/>
        <v>0</v>
      </c>
      <c r="N87" s="904"/>
      <c r="O87" s="904"/>
      <c r="P87" s="904"/>
      <c r="Q87" s="941"/>
      <c r="R87" s="868"/>
    </row>
    <row r="88" spans="1:18" ht="18" customHeight="1" outlineLevel="1" x14ac:dyDescent="0.25">
      <c r="A88" s="879" t="s">
        <v>340</v>
      </c>
      <c r="B88" s="879"/>
      <c r="C88" s="916">
        <f>Scenarios!B116</f>
        <v>0</v>
      </c>
      <c r="D88" s="915">
        <f>Scenarios!F116</f>
        <v>0</v>
      </c>
      <c r="E88" s="904">
        <f t="shared" ref="E88:M88" si="75">D88*(1+E$6)</f>
        <v>0</v>
      </c>
      <c r="F88" s="904">
        <f t="shared" si="75"/>
        <v>0</v>
      </c>
      <c r="G88" s="904">
        <f t="shared" si="75"/>
        <v>0</v>
      </c>
      <c r="H88" s="904">
        <f t="shared" si="75"/>
        <v>0</v>
      </c>
      <c r="I88" s="904">
        <f t="shared" si="75"/>
        <v>0</v>
      </c>
      <c r="J88" s="904">
        <f t="shared" si="75"/>
        <v>0</v>
      </c>
      <c r="K88" s="904">
        <f t="shared" si="75"/>
        <v>0</v>
      </c>
      <c r="L88" s="904">
        <f t="shared" si="75"/>
        <v>0</v>
      </c>
      <c r="M88" s="904">
        <f t="shared" si="75"/>
        <v>0</v>
      </c>
      <c r="N88" s="904"/>
      <c r="O88" s="904"/>
      <c r="P88" s="904"/>
      <c r="Q88" s="941"/>
      <c r="R88" s="868"/>
    </row>
    <row r="89" spans="1:18" ht="18" customHeight="1" outlineLevel="1" x14ac:dyDescent="0.25">
      <c r="A89" s="879" t="s">
        <v>486</v>
      </c>
      <c r="B89" s="879"/>
      <c r="C89" s="916">
        <f>Scenarios!B117</f>
        <v>0</v>
      </c>
      <c r="D89" s="915">
        <f>Scenarios!F117</f>
        <v>0</v>
      </c>
      <c r="E89" s="904">
        <f t="shared" ref="E89:M89" si="76">D89*(1+E$6)</f>
        <v>0</v>
      </c>
      <c r="F89" s="904">
        <f t="shared" si="76"/>
        <v>0</v>
      </c>
      <c r="G89" s="904">
        <f t="shared" si="76"/>
        <v>0</v>
      </c>
      <c r="H89" s="904">
        <f t="shared" si="76"/>
        <v>0</v>
      </c>
      <c r="I89" s="904">
        <f t="shared" si="76"/>
        <v>0</v>
      </c>
      <c r="J89" s="904">
        <f t="shared" si="76"/>
        <v>0</v>
      </c>
      <c r="K89" s="904">
        <f t="shared" si="76"/>
        <v>0</v>
      </c>
      <c r="L89" s="904">
        <f t="shared" si="76"/>
        <v>0</v>
      </c>
      <c r="M89" s="904">
        <f t="shared" si="76"/>
        <v>0</v>
      </c>
      <c r="N89" s="904"/>
      <c r="O89" s="904"/>
      <c r="P89" s="904"/>
      <c r="Q89" s="941"/>
      <c r="R89" s="868"/>
    </row>
    <row r="90" spans="1:18" ht="18" customHeight="1" outlineLevel="1" x14ac:dyDescent="0.25">
      <c r="A90" s="879" t="s">
        <v>344</v>
      </c>
      <c r="B90" s="879"/>
      <c r="C90" s="916">
        <f>Scenarios!B118</f>
        <v>0</v>
      </c>
      <c r="D90" s="915">
        <f>Scenarios!F118</f>
        <v>0</v>
      </c>
      <c r="E90" s="904">
        <f t="shared" ref="E90:M90" si="77">D90*(1+E$6)</f>
        <v>0</v>
      </c>
      <c r="F90" s="904">
        <f t="shared" si="77"/>
        <v>0</v>
      </c>
      <c r="G90" s="904">
        <f t="shared" si="77"/>
        <v>0</v>
      </c>
      <c r="H90" s="904">
        <f t="shared" si="77"/>
        <v>0</v>
      </c>
      <c r="I90" s="904">
        <f t="shared" si="77"/>
        <v>0</v>
      </c>
      <c r="J90" s="904">
        <f t="shared" si="77"/>
        <v>0</v>
      </c>
      <c r="K90" s="904">
        <f t="shared" si="77"/>
        <v>0</v>
      </c>
      <c r="L90" s="904">
        <f t="shared" si="77"/>
        <v>0</v>
      </c>
      <c r="M90" s="904">
        <f t="shared" si="77"/>
        <v>0</v>
      </c>
      <c r="N90" s="904"/>
      <c r="O90" s="904"/>
      <c r="P90" s="904"/>
      <c r="Q90" s="941"/>
      <c r="R90" s="868"/>
    </row>
    <row r="91" spans="1:18" ht="18" customHeight="1" outlineLevel="1" x14ac:dyDescent="0.25">
      <c r="A91" s="879" t="s">
        <v>346</v>
      </c>
      <c r="B91" s="879"/>
      <c r="C91" s="916">
        <f>Scenarios!B119</f>
        <v>0</v>
      </c>
      <c r="D91" s="915">
        <f>Scenarios!F119</f>
        <v>0</v>
      </c>
      <c r="E91" s="904">
        <f t="shared" ref="E91:M91" si="78">D91*(1+E$6)</f>
        <v>0</v>
      </c>
      <c r="F91" s="904">
        <f t="shared" si="78"/>
        <v>0</v>
      </c>
      <c r="G91" s="904">
        <f t="shared" si="78"/>
        <v>0</v>
      </c>
      <c r="H91" s="904">
        <f t="shared" si="78"/>
        <v>0</v>
      </c>
      <c r="I91" s="904">
        <f t="shared" si="78"/>
        <v>0</v>
      </c>
      <c r="J91" s="904">
        <f t="shared" si="78"/>
        <v>0</v>
      </c>
      <c r="K91" s="904">
        <f t="shared" si="78"/>
        <v>0</v>
      </c>
      <c r="L91" s="904">
        <f t="shared" si="78"/>
        <v>0</v>
      </c>
      <c r="M91" s="904">
        <f t="shared" si="78"/>
        <v>0</v>
      </c>
      <c r="N91" s="904"/>
      <c r="O91" s="904"/>
      <c r="P91" s="904"/>
      <c r="Q91" s="941"/>
      <c r="R91" s="868"/>
    </row>
    <row r="92" spans="1:18" ht="18" customHeight="1" outlineLevel="1" x14ac:dyDescent="0.25">
      <c r="A92" s="879" t="s">
        <v>348</v>
      </c>
      <c r="B92" s="879"/>
      <c r="C92" s="916">
        <f>Scenarios!B120</f>
        <v>0</v>
      </c>
      <c r="D92" s="915">
        <f>Scenarios!F120</f>
        <v>0</v>
      </c>
      <c r="E92" s="904">
        <f t="shared" ref="E92:M92" si="79">D92*(1+E$6)</f>
        <v>0</v>
      </c>
      <c r="F92" s="904">
        <f t="shared" si="79"/>
        <v>0</v>
      </c>
      <c r="G92" s="904">
        <f t="shared" si="79"/>
        <v>0</v>
      </c>
      <c r="H92" s="904">
        <f t="shared" si="79"/>
        <v>0</v>
      </c>
      <c r="I92" s="904">
        <f t="shared" si="79"/>
        <v>0</v>
      </c>
      <c r="J92" s="904">
        <f t="shared" si="79"/>
        <v>0</v>
      </c>
      <c r="K92" s="904">
        <f t="shared" si="79"/>
        <v>0</v>
      </c>
      <c r="L92" s="904">
        <f t="shared" si="79"/>
        <v>0</v>
      </c>
      <c r="M92" s="904">
        <f t="shared" si="79"/>
        <v>0</v>
      </c>
      <c r="N92" s="904"/>
      <c r="O92" s="904"/>
      <c r="P92" s="904"/>
      <c r="Q92" s="941"/>
      <c r="R92" s="868"/>
    </row>
    <row r="93" spans="1:18" ht="18" customHeight="1" outlineLevel="1" x14ac:dyDescent="0.25">
      <c r="A93" s="879" t="s">
        <v>350</v>
      </c>
      <c r="B93" s="879"/>
      <c r="C93" s="916">
        <f>Scenarios!B121</f>
        <v>0</v>
      </c>
      <c r="D93" s="915">
        <f>Scenarios!F121</f>
        <v>0</v>
      </c>
      <c r="E93" s="904">
        <f t="shared" ref="E93:M93" si="80">D93*(1+E$6)</f>
        <v>0</v>
      </c>
      <c r="F93" s="904">
        <f t="shared" si="80"/>
        <v>0</v>
      </c>
      <c r="G93" s="904">
        <f t="shared" si="80"/>
        <v>0</v>
      </c>
      <c r="H93" s="904">
        <f t="shared" si="80"/>
        <v>0</v>
      </c>
      <c r="I93" s="904">
        <f t="shared" si="80"/>
        <v>0</v>
      </c>
      <c r="J93" s="904">
        <f t="shared" si="80"/>
        <v>0</v>
      </c>
      <c r="K93" s="904">
        <f t="shared" si="80"/>
        <v>0</v>
      </c>
      <c r="L93" s="904">
        <f t="shared" si="80"/>
        <v>0</v>
      </c>
      <c r="M93" s="904">
        <f t="shared" si="80"/>
        <v>0</v>
      </c>
      <c r="N93" s="904"/>
      <c r="O93" s="904"/>
      <c r="P93" s="904"/>
      <c r="Q93" s="941"/>
      <c r="R93" s="868"/>
    </row>
    <row r="94" spans="1:18" ht="18" customHeight="1" x14ac:dyDescent="0.25">
      <c r="A94" s="939" t="s">
        <v>352</v>
      </c>
      <c r="B94" s="879"/>
      <c r="C94" s="916">
        <f>Scenarios!B122</f>
        <v>0</v>
      </c>
      <c r="D94" s="915">
        <f>Scenarios!F122</f>
        <v>0</v>
      </c>
      <c r="E94" s="902">
        <f t="shared" ref="E94:M94" si="81">SUM(E71:E93)</f>
        <v>0</v>
      </c>
      <c r="F94" s="902">
        <f t="shared" si="81"/>
        <v>0</v>
      </c>
      <c r="G94" s="902">
        <f t="shared" si="81"/>
        <v>0</v>
      </c>
      <c r="H94" s="902">
        <f t="shared" si="81"/>
        <v>0</v>
      </c>
      <c r="I94" s="902">
        <f t="shared" si="81"/>
        <v>0</v>
      </c>
      <c r="J94" s="902">
        <f t="shared" si="81"/>
        <v>0</v>
      </c>
      <c r="K94" s="902">
        <f t="shared" si="81"/>
        <v>0</v>
      </c>
      <c r="L94" s="902">
        <f t="shared" si="81"/>
        <v>0</v>
      </c>
      <c r="M94" s="902">
        <f t="shared" si="81"/>
        <v>0</v>
      </c>
      <c r="N94" s="904"/>
      <c r="O94" s="904"/>
      <c r="P94" s="904"/>
      <c r="Q94" s="941"/>
      <c r="R94" s="868"/>
    </row>
    <row r="95" spans="1:18" ht="18" customHeight="1" x14ac:dyDescent="0.25">
      <c r="A95" s="927" t="s">
        <v>354</v>
      </c>
      <c r="B95" s="942"/>
      <c r="C95" s="943">
        <f>Scenarios!B123</f>
        <v>0</v>
      </c>
      <c r="D95" s="944">
        <f>Scenarios!F123</f>
        <v>0</v>
      </c>
      <c r="E95" s="944">
        <f t="shared" ref="E95:M95" si="82">E50*0.05</f>
        <v>0</v>
      </c>
      <c r="F95" s="944">
        <f t="shared" si="82"/>
        <v>0</v>
      </c>
      <c r="G95" s="944">
        <f t="shared" si="82"/>
        <v>0</v>
      </c>
      <c r="H95" s="944">
        <f t="shared" si="82"/>
        <v>0</v>
      </c>
      <c r="I95" s="944">
        <f t="shared" si="82"/>
        <v>0</v>
      </c>
      <c r="J95" s="944">
        <f t="shared" si="82"/>
        <v>0</v>
      </c>
      <c r="K95" s="944">
        <f t="shared" si="82"/>
        <v>0</v>
      </c>
      <c r="L95" s="944">
        <f t="shared" si="82"/>
        <v>0</v>
      </c>
      <c r="M95" s="944">
        <f t="shared" si="82"/>
        <v>0</v>
      </c>
      <c r="N95" s="944">
        <f>SUM(D95:H95)</f>
        <v>0</v>
      </c>
      <c r="O95" s="944">
        <f>SUM(D95:M95)</f>
        <v>0</v>
      </c>
      <c r="P95" s="944">
        <f>IFERROR(O95/10,0)</f>
        <v>0</v>
      </c>
      <c r="Q95" s="945">
        <f>IFERROR(D95/D50,0)</f>
        <v>0</v>
      </c>
      <c r="R95" s="868"/>
    </row>
    <row r="96" spans="1:18" ht="18" customHeight="1" x14ac:dyDescent="0.25">
      <c r="A96" s="946" t="s">
        <v>487</v>
      </c>
      <c r="B96" s="868"/>
      <c r="C96" s="891">
        <f t="shared" ref="C96:M96" si="83">C61+C69+C94+C95</f>
        <v>0</v>
      </c>
      <c r="D96" s="891">
        <f t="shared" si="83"/>
        <v>0</v>
      </c>
      <c r="E96" s="947">
        <f t="shared" si="83"/>
        <v>0</v>
      </c>
      <c r="F96" s="947">
        <f t="shared" si="83"/>
        <v>0</v>
      </c>
      <c r="G96" s="947">
        <f t="shared" si="83"/>
        <v>0</v>
      </c>
      <c r="H96" s="947">
        <f t="shared" si="83"/>
        <v>0</v>
      </c>
      <c r="I96" s="947">
        <f t="shared" si="83"/>
        <v>0</v>
      </c>
      <c r="J96" s="947">
        <f t="shared" si="83"/>
        <v>0</v>
      </c>
      <c r="K96" s="947">
        <f t="shared" si="83"/>
        <v>0</v>
      </c>
      <c r="L96" s="947">
        <f t="shared" si="83"/>
        <v>0</v>
      </c>
      <c r="M96" s="947">
        <f t="shared" si="83"/>
        <v>0</v>
      </c>
      <c r="N96" s="887"/>
      <c r="O96" s="887"/>
      <c r="P96" s="887"/>
      <c r="Q96" s="887"/>
      <c r="R96" s="868"/>
    </row>
    <row r="97" spans="1:18" ht="18" customHeight="1" x14ac:dyDescent="0.25">
      <c r="A97" s="948" t="s">
        <v>488</v>
      </c>
      <c r="B97" s="948"/>
      <c r="C97" s="949">
        <f t="shared" ref="C97:M97" si="84">C50-C96</f>
        <v>0</v>
      </c>
      <c r="D97" s="949">
        <f t="shared" si="84"/>
        <v>0</v>
      </c>
      <c r="E97" s="949">
        <f t="shared" si="84"/>
        <v>0</v>
      </c>
      <c r="F97" s="949">
        <f t="shared" si="84"/>
        <v>0</v>
      </c>
      <c r="G97" s="949">
        <f t="shared" si="84"/>
        <v>0</v>
      </c>
      <c r="H97" s="949">
        <f t="shared" si="84"/>
        <v>0</v>
      </c>
      <c r="I97" s="949">
        <f t="shared" si="84"/>
        <v>0</v>
      </c>
      <c r="J97" s="949">
        <f t="shared" si="84"/>
        <v>0</v>
      </c>
      <c r="K97" s="949">
        <f t="shared" si="84"/>
        <v>0</v>
      </c>
      <c r="L97" s="949">
        <f t="shared" si="84"/>
        <v>0</v>
      </c>
      <c r="M97" s="949">
        <f t="shared" si="84"/>
        <v>0</v>
      </c>
      <c r="N97" s="949">
        <f>SUM(D97:H97)</f>
        <v>0</v>
      </c>
      <c r="O97" s="949">
        <f>SUM(D97:M97)</f>
        <v>0</v>
      </c>
      <c r="P97" s="949">
        <f>IFERROR(O97/10,0)</f>
        <v>0</v>
      </c>
      <c r="Q97" s="950">
        <f>IFERROR(D97/D50,0)</f>
        <v>0</v>
      </c>
      <c r="R97" s="868"/>
    </row>
    <row r="98" spans="1:18" ht="24" customHeight="1" x14ac:dyDescent="0.25">
      <c r="A98" s="868" t="s">
        <v>489</v>
      </c>
      <c r="B98" s="868"/>
      <c r="C98" s="951"/>
      <c r="D98" s="951" t="e">
        <f t="shared" ref="D98:M98" si="85">D97/D50</f>
        <v>#DIV/0!</v>
      </c>
      <c r="E98" s="951" t="e">
        <f t="shared" si="85"/>
        <v>#DIV/0!</v>
      </c>
      <c r="F98" s="951" t="e">
        <f t="shared" si="85"/>
        <v>#DIV/0!</v>
      </c>
      <c r="G98" s="951" t="e">
        <f t="shared" si="85"/>
        <v>#DIV/0!</v>
      </c>
      <c r="H98" s="951" t="e">
        <f t="shared" si="85"/>
        <v>#DIV/0!</v>
      </c>
      <c r="I98" s="951" t="e">
        <f t="shared" si="85"/>
        <v>#DIV/0!</v>
      </c>
      <c r="J98" s="951" t="e">
        <f t="shared" si="85"/>
        <v>#DIV/0!</v>
      </c>
      <c r="K98" s="951" t="e">
        <f t="shared" si="85"/>
        <v>#DIV/0!</v>
      </c>
      <c r="L98" s="951" t="e">
        <f t="shared" si="85"/>
        <v>#DIV/0!</v>
      </c>
      <c r="M98" s="951" t="e">
        <f t="shared" si="85"/>
        <v>#DIV/0!</v>
      </c>
      <c r="N98" s="951">
        <f>IFERROR(N97/N50,0)</f>
        <v>0</v>
      </c>
      <c r="O98" s="951">
        <f>IFERROR(O97/O50,0)</f>
        <v>0</v>
      </c>
      <c r="P98" s="868"/>
      <c r="Q98" s="868"/>
      <c r="R98" s="868"/>
    </row>
    <row r="99" spans="1:18" ht="18" customHeight="1" x14ac:dyDescent="0.25">
      <c r="A99" s="952" t="s">
        <v>490</v>
      </c>
      <c r="B99" s="866"/>
      <c r="C99" s="866"/>
      <c r="D99" s="866"/>
      <c r="E99" s="866"/>
      <c r="F99" s="866"/>
      <c r="G99" s="866"/>
      <c r="H99" s="866"/>
      <c r="I99" s="866"/>
      <c r="J99" s="866"/>
      <c r="K99" s="866"/>
      <c r="L99" s="866"/>
      <c r="M99" s="866"/>
      <c r="N99" s="866"/>
      <c r="O99" s="866"/>
      <c r="P99" s="866"/>
      <c r="Q99" s="866"/>
      <c r="R99" s="866"/>
    </row>
    <row r="100" spans="1:18" ht="18" customHeight="1" outlineLevel="1" x14ac:dyDescent="0.25">
      <c r="A100" s="953" t="s">
        <v>491</v>
      </c>
      <c r="B100" s="868"/>
      <c r="C100" s="868"/>
      <c r="D100" s="954">
        <f>-IFERROR(Loans!J40,0)</f>
        <v>0</v>
      </c>
      <c r="E100" s="954">
        <f>-IFERROR(Loans!K40,0)</f>
        <v>0</v>
      </c>
      <c r="F100" s="954">
        <f>-IFERROR(Loans!L40,0)</f>
        <v>0</v>
      </c>
      <c r="G100" s="954">
        <f>-IFERROR(Loans!M40,0)</f>
        <v>0</v>
      </c>
      <c r="H100" s="954">
        <f>-IFERROR(Loans!N40,0)</f>
        <v>0</v>
      </c>
      <c r="I100" s="954">
        <f>-IFERROR(Loans!O40,0)</f>
        <v>0</v>
      </c>
      <c r="J100" s="954">
        <f>-IFERROR(Loans!P40,0)</f>
        <v>0</v>
      </c>
      <c r="K100" s="954">
        <f>-IFERROR(Loans!Q40,0)</f>
        <v>0</v>
      </c>
      <c r="L100" s="954">
        <f>-IFERROR(Loans!R40,0)</f>
        <v>0</v>
      </c>
      <c r="M100" s="954">
        <f>-IFERROR(Loans!S40,0)</f>
        <v>0</v>
      </c>
      <c r="N100" s="954">
        <f>SUM(D100:H100)</f>
        <v>0</v>
      </c>
      <c r="O100" s="954">
        <f>SUM(D100:M100)</f>
        <v>0</v>
      </c>
      <c r="P100" s="868"/>
      <c r="Q100" s="868"/>
      <c r="R100" s="868"/>
    </row>
    <row r="101" spans="1:18" ht="18" customHeight="1" outlineLevel="1" x14ac:dyDescent="0.25">
      <c r="A101" s="953" t="s">
        <v>492</v>
      </c>
      <c r="B101" s="868"/>
      <c r="C101" s="868"/>
      <c r="D101" s="954">
        <f>-IFERROR(Loans!J38,0)</f>
        <v>0</v>
      </c>
      <c r="E101" s="954">
        <f>-IFERROR(Loans!K38,0)</f>
        <v>0</v>
      </c>
      <c r="F101" s="954">
        <f>-IFERROR(Loans!L38,0)</f>
        <v>0</v>
      </c>
      <c r="G101" s="954">
        <f>-IFERROR(Loans!M38,0)</f>
        <v>0</v>
      </c>
      <c r="H101" s="954">
        <f>-IFERROR(Loans!N38,0)</f>
        <v>0</v>
      </c>
      <c r="I101" s="954">
        <f>-IFERROR(Loans!O38,0)</f>
        <v>0</v>
      </c>
      <c r="J101" s="954">
        <f>-IFERROR(Loans!P38,0)</f>
        <v>0</v>
      </c>
      <c r="K101" s="954">
        <f>-IFERROR(Loans!Q38,0)</f>
        <v>0</v>
      </c>
      <c r="L101" s="954">
        <f>-IFERROR(Loans!R38,0)</f>
        <v>0</v>
      </c>
      <c r="M101" s="954">
        <f>-IFERROR(Loans!S38,0)</f>
        <v>0</v>
      </c>
      <c r="N101" s="954">
        <f>SUM(D101:H101)</f>
        <v>0</v>
      </c>
      <c r="O101" s="954">
        <f>SUM(D101:M101)</f>
        <v>0</v>
      </c>
      <c r="P101" s="868"/>
      <c r="Q101" s="868"/>
      <c r="R101" s="868"/>
    </row>
    <row r="102" spans="1:18" ht="18" customHeight="1" x14ac:dyDescent="0.25">
      <c r="A102" s="955" t="s">
        <v>493</v>
      </c>
      <c r="B102" s="956"/>
      <c r="C102" s="957"/>
      <c r="D102" s="957">
        <f t="shared" ref="D102:M102" si="86">D100+D101</f>
        <v>0</v>
      </c>
      <c r="E102" s="957">
        <f t="shared" si="86"/>
        <v>0</v>
      </c>
      <c r="F102" s="957">
        <f t="shared" si="86"/>
        <v>0</v>
      </c>
      <c r="G102" s="957">
        <f t="shared" si="86"/>
        <v>0</v>
      </c>
      <c r="H102" s="957">
        <f t="shared" si="86"/>
        <v>0</v>
      </c>
      <c r="I102" s="957">
        <f t="shared" si="86"/>
        <v>0</v>
      </c>
      <c r="J102" s="957">
        <f t="shared" si="86"/>
        <v>0</v>
      </c>
      <c r="K102" s="957">
        <f t="shared" si="86"/>
        <v>0</v>
      </c>
      <c r="L102" s="957">
        <f t="shared" si="86"/>
        <v>0</v>
      </c>
      <c r="M102" s="957">
        <f t="shared" si="86"/>
        <v>0</v>
      </c>
      <c r="N102" s="957">
        <f>SUM(D102:H102)</f>
        <v>0</v>
      </c>
      <c r="O102" s="957">
        <f>SUM(D102:M102)</f>
        <v>0</v>
      </c>
      <c r="P102" s="868"/>
      <c r="Q102" s="905">
        <f>IFERROR(ABS(D102)/D50,0)</f>
        <v>0</v>
      </c>
      <c r="R102" s="868"/>
    </row>
    <row r="103" spans="1:18" ht="18" customHeight="1" x14ac:dyDescent="0.25">
      <c r="A103" s="868"/>
      <c r="B103" s="868"/>
      <c r="C103" s="868"/>
      <c r="D103" s="868"/>
      <c r="E103" s="868"/>
      <c r="F103" s="868"/>
      <c r="G103" s="868"/>
      <c r="H103" s="868"/>
      <c r="I103" s="868"/>
      <c r="J103" s="868"/>
      <c r="K103" s="868"/>
      <c r="L103" s="868"/>
      <c r="M103" s="868"/>
      <c r="N103" s="868"/>
      <c r="O103" s="868"/>
      <c r="P103" s="868"/>
      <c r="Q103" s="868"/>
      <c r="R103" s="868"/>
    </row>
    <row r="104" spans="1:18" ht="18" customHeight="1" x14ac:dyDescent="0.25">
      <c r="A104" s="930" t="s">
        <v>494</v>
      </c>
      <c r="B104" s="930"/>
      <c r="C104" s="958">
        <f t="shared" ref="C104:M104" si="87">C97+C102</f>
        <v>0</v>
      </c>
      <c r="D104" s="958">
        <f t="shared" si="87"/>
        <v>0</v>
      </c>
      <c r="E104" s="958">
        <f t="shared" si="87"/>
        <v>0</v>
      </c>
      <c r="F104" s="958">
        <f t="shared" si="87"/>
        <v>0</v>
      </c>
      <c r="G104" s="958">
        <f t="shared" si="87"/>
        <v>0</v>
      </c>
      <c r="H104" s="958">
        <f t="shared" si="87"/>
        <v>0</v>
      </c>
      <c r="I104" s="958">
        <f t="shared" si="87"/>
        <v>0</v>
      </c>
      <c r="J104" s="958">
        <f t="shared" si="87"/>
        <v>0</v>
      </c>
      <c r="K104" s="958">
        <f t="shared" si="87"/>
        <v>0</v>
      </c>
      <c r="L104" s="958">
        <f t="shared" si="87"/>
        <v>0</v>
      </c>
      <c r="M104" s="958">
        <f t="shared" si="87"/>
        <v>0</v>
      </c>
      <c r="N104" s="958">
        <f>SUM(D104:H104)</f>
        <v>0</v>
      </c>
      <c r="O104" s="958">
        <f>SUM(D104:M104)</f>
        <v>0</v>
      </c>
      <c r="P104" s="868"/>
      <c r="Q104" s="959">
        <f>IFERROR(D104/D50,0)</f>
        <v>0</v>
      </c>
      <c r="R104" s="868"/>
    </row>
    <row r="105" spans="1:18" ht="19.5" customHeight="1" x14ac:dyDescent="0.25">
      <c r="A105" s="960" t="s">
        <v>495</v>
      </c>
      <c r="B105" s="960"/>
      <c r="C105" s="961"/>
      <c r="D105" s="961"/>
      <c r="E105" s="961"/>
      <c r="F105" s="961"/>
      <c r="G105" s="961"/>
      <c r="H105" s="961"/>
      <c r="I105" s="961"/>
      <c r="J105" s="961"/>
      <c r="K105" s="961"/>
      <c r="L105" s="961"/>
      <c r="M105" s="961"/>
      <c r="N105" s="958"/>
      <c r="O105" s="958"/>
      <c r="P105" s="868"/>
      <c r="Q105" s="959"/>
      <c r="R105" s="868"/>
    </row>
    <row r="106" spans="1:18" ht="15.75" customHeight="1" x14ac:dyDescent="0.25">
      <c r="A106" s="921" t="s">
        <v>496</v>
      </c>
      <c r="B106" s="921"/>
      <c r="C106" s="957"/>
      <c r="D106" s="957">
        <f>Scenarios!F13</f>
        <v>0</v>
      </c>
      <c r="E106" s="957">
        <f t="shared" ref="E106:M106" si="88">D108</f>
        <v>0</v>
      </c>
      <c r="F106" s="957">
        <f t="shared" si="88"/>
        <v>0</v>
      </c>
      <c r="G106" s="957">
        <f t="shared" si="88"/>
        <v>0</v>
      </c>
      <c r="H106" s="957">
        <f t="shared" si="88"/>
        <v>0</v>
      </c>
      <c r="I106" s="957">
        <f t="shared" si="88"/>
        <v>0</v>
      </c>
      <c r="J106" s="957">
        <f t="shared" si="88"/>
        <v>0</v>
      </c>
      <c r="K106" s="957">
        <f t="shared" si="88"/>
        <v>0</v>
      </c>
      <c r="L106" s="957">
        <f t="shared" si="88"/>
        <v>0</v>
      </c>
      <c r="M106" s="957">
        <f t="shared" si="88"/>
        <v>0</v>
      </c>
      <c r="N106" s="958"/>
      <c r="O106" s="958"/>
      <c r="P106" s="868"/>
      <c r="Q106" s="959"/>
      <c r="R106" s="868"/>
    </row>
    <row r="107" spans="1:18" ht="15.75" customHeight="1" x14ac:dyDescent="0.25">
      <c r="A107" s="925" t="s">
        <v>497</v>
      </c>
      <c r="B107" s="925"/>
      <c r="C107" s="962"/>
      <c r="D107" s="962">
        <f t="shared" ref="D107:M107" si="89">IF(D104&lt;0,MAX(D104,-D106),0)</f>
        <v>0</v>
      </c>
      <c r="E107" s="962">
        <f t="shared" si="89"/>
        <v>0</v>
      </c>
      <c r="F107" s="962">
        <f t="shared" si="89"/>
        <v>0</v>
      </c>
      <c r="G107" s="962">
        <f t="shared" si="89"/>
        <v>0</v>
      </c>
      <c r="H107" s="962">
        <f t="shared" si="89"/>
        <v>0</v>
      </c>
      <c r="I107" s="962">
        <f t="shared" si="89"/>
        <v>0</v>
      </c>
      <c r="J107" s="962">
        <f t="shared" si="89"/>
        <v>0</v>
      </c>
      <c r="K107" s="962">
        <f t="shared" si="89"/>
        <v>0</v>
      </c>
      <c r="L107" s="962">
        <f t="shared" si="89"/>
        <v>0</v>
      </c>
      <c r="M107" s="962">
        <f t="shared" si="89"/>
        <v>0</v>
      </c>
      <c r="N107" s="958"/>
      <c r="O107" s="958"/>
      <c r="P107" s="868"/>
      <c r="Q107" s="959"/>
      <c r="R107" s="868"/>
    </row>
    <row r="108" spans="1:18" ht="15.75" customHeight="1" x14ac:dyDescent="0.25">
      <c r="A108" s="927" t="s">
        <v>498</v>
      </c>
      <c r="B108" s="927"/>
      <c r="C108" s="963"/>
      <c r="D108" s="963">
        <f t="shared" ref="D108:M108" si="90">D106+D107</f>
        <v>0</v>
      </c>
      <c r="E108" s="963">
        <f t="shared" si="90"/>
        <v>0</v>
      </c>
      <c r="F108" s="963">
        <f t="shared" si="90"/>
        <v>0</v>
      </c>
      <c r="G108" s="963">
        <f t="shared" si="90"/>
        <v>0</v>
      </c>
      <c r="H108" s="963">
        <f t="shared" si="90"/>
        <v>0</v>
      </c>
      <c r="I108" s="963">
        <f t="shared" si="90"/>
        <v>0</v>
      </c>
      <c r="J108" s="963">
        <f t="shared" si="90"/>
        <v>0</v>
      </c>
      <c r="K108" s="963">
        <f t="shared" si="90"/>
        <v>0</v>
      </c>
      <c r="L108" s="963">
        <f t="shared" si="90"/>
        <v>0</v>
      </c>
      <c r="M108" s="963">
        <f t="shared" si="90"/>
        <v>0</v>
      </c>
      <c r="N108" s="958"/>
      <c r="O108" s="958"/>
      <c r="P108" s="868"/>
      <c r="Q108" s="959"/>
      <c r="R108" s="868"/>
    </row>
    <row r="109" spans="1:18" ht="24" customHeight="1" x14ac:dyDescent="0.25">
      <c r="A109" s="900"/>
      <c r="B109" s="900"/>
      <c r="C109" s="964"/>
      <c r="D109" s="935"/>
      <c r="E109" s="935"/>
      <c r="F109" s="935"/>
      <c r="G109" s="935"/>
      <c r="H109" s="935"/>
      <c r="I109" s="935"/>
      <c r="J109" s="935"/>
      <c r="K109" s="935"/>
      <c r="L109" s="935"/>
      <c r="M109" s="935"/>
      <c r="N109" s="868"/>
      <c r="O109" s="868"/>
      <c r="P109" s="868"/>
      <c r="Q109" s="905"/>
      <c r="R109" s="868"/>
    </row>
    <row r="110" spans="1:18" ht="18" customHeight="1" x14ac:dyDescent="0.25">
      <c r="A110" s="965" t="s">
        <v>499</v>
      </c>
      <c r="B110" s="866"/>
      <c r="C110" s="866"/>
      <c r="D110" s="866"/>
      <c r="E110" s="866"/>
      <c r="F110" s="866"/>
      <c r="G110" s="866"/>
      <c r="H110" s="866"/>
      <c r="I110" s="866"/>
      <c r="J110" s="866"/>
      <c r="K110" s="866"/>
      <c r="L110" s="866"/>
      <c r="M110" s="866"/>
      <c r="N110" s="866"/>
      <c r="O110" s="866"/>
      <c r="P110" s="866"/>
      <c r="Q110" s="866"/>
      <c r="R110" s="866"/>
    </row>
    <row r="111" spans="1:18" ht="18" customHeight="1" x14ac:dyDescent="0.25">
      <c r="A111" s="879" t="s">
        <v>500</v>
      </c>
      <c r="B111" s="879"/>
      <c r="C111" s="966">
        <v>0.01</v>
      </c>
      <c r="D111" s="935">
        <f>IF(1&gt;Waterfall!$B$5,0,D50*$C$111)</f>
        <v>0</v>
      </c>
      <c r="E111" s="935">
        <f>IF(2&gt;Waterfall!$B$5,0,E50*$C$111)</f>
        <v>0</v>
      </c>
      <c r="F111" s="935">
        <f>IF(3&gt;Waterfall!$B$5,0,F50*$C$111)</f>
        <v>0</v>
      </c>
      <c r="G111" s="935">
        <f>IF(4&gt;Waterfall!$B$5,0,G50*$C$111)</f>
        <v>0</v>
      </c>
      <c r="H111" s="935">
        <f>IF(5&gt;Waterfall!$B$5,0,H50*$C$111)</f>
        <v>0</v>
      </c>
      <c r="I111" s="935">
        <f>IF(6&gt;Waterfall!$B$5,0,I50*$C$111)</f>
        <v>0</v>
      </c>
      <c r="J111" s="935">
        <f>IF(7&gt;Waterfall!$B$5,0,J50*$C$111)</f>
        <v>0</v>
      </c>
      <c r="K111" s="935">
        <f>IF(8&gt;Waterfall!$B$5,0,K50*$C$111)</f>
        <v>0</v>
      </c>
      <c r="L111" s="935">
        <f>IF(9&gt;Waterfall!$B$5,0,L50*$C$111)</f>
        <v>0</v>
      </c>
      <c r="M111" s="935">
        <f>IF(10&gt;Waterfall!$B$5,0,M50*$C$111)</f>
        <v>0</v>
      </c>
      <c r="N111" s="868"/>
      <c r="O111" s="868"/>
      <c r="P111" s="868"/>
      <c r="Q111" s="905">
        <f>IFERROR(D111/D50,0)</f>
        <v>0</v>
      </c>
      <c r="R111" s="868"/>
    </row>
    <row r="112" spans="1:18" ht="18" customHeight="1" x14ac:dyDescent="0.25">
      <c r="A112" s="900" t="s">
        <v>501</v>
      </c>
      <c r="B112" s="900"/>
      <c r="C112" s="966">
        <f>Scenarios!F35</f>
        <v>0</v>
      </c>
      <c r="D112" s="935">
        <f>IFERROR(Waterfall!B43,0)</f>
        <v>0</v>
      </c>
      <c r="E112" s="935">
        <f>IFERROR(Waterfall!C43,0)</f>
        <v>0</v>
      </c>
      <c r="F112" s="935">
        <f>IFERROR(Waterfall!D43,0)</f>
        <v>0</v>
      </c>
      <c r="G112" s="935">
        <f>IFERROR(Waterfall!E43,0)</f>
        <v>0</v>
      </c>
      <c r="H112" s="935">
        <f>IFERROR(Waterfall!F43,0)</f>
        <v>0</v>
      </c>
      <c r="I112" s="935">
        <f>IFERROR(Waterfall!G43,0)</f>
        <v>0</v>
      </c>
      <c r="J112" s="935">
        <f>IFERROR(Waterfall!H43,0)</f>
        <v>0</v>
      </c>
      <c r="K112" s="935">
        <f>IFERROR(Waterfall!I43,0)</f>
        <v>0</v>
      </c>
      <c r="L112" s="935">
        <f>IFERROR(Waterfall!J43,0)</f>
        <v>0</v>
      </c>
      <c r="M112" s="935">
        <f>IFERROR(Waterfall!K43,0)</f>
        <v>0</v>
      </c>
      <c r="N112" s="963"/>
      <c r="O112" s="963"/>
      <c r="P112" s="868"/>
      <c r="Q112" s="905">
        <f>IFERROR(D112/D50,0)</f>
        <v>0</v>
      </c>
      <c r="R112" s="868"/>
    </row>
    <row r="113" spans="1:18" ht="18" customHeight="1" x14ac:dyDescent="0.25">
      <c r="A113" s="879" t="s">
        <v>502</v>
      </c>
      <c r="B113" s="879"/>
      <c r="C113" s="964"/>
      <c r="D113" s="935">
        <f>IFERROR((Waterfall!B55-Waterfall!B43)+Waterfall!B56,0)</f>
        <v>0</v>
      </c>
      <c r="E113" s="935">
        <f>IFERROR((Waterfall!C55-Waterfall!C43)+Waterfall!C56,0)</f>
        <v>0</v>
      </c>
      <c r="F113" s="935">
        <f>IFERROR((Waterfall!D55-Waterfall!D43)+Waterfall!D56,0)</f>
        <v>0</v>
      </c>
      <c r="G113" s="935">
        <f>IFERROR((Waterfall!E55-Waterfall!E43)+Waterfall!E56,0)</f>
        <v>0</v>
      </c>
      <c r="H113" s="935">
        <f>IFERROR((Waterfall!F55-Waterfall!F43)+Waterfall!F56,0)</f>
        <v>0</v>
      </c>
      <c r="I113" s="935">
        <f>IFERROR((Waterfall!G55-Waterfall!G43)+Waterfall!G56,0)</f>
        <v>0</v>
      </c>
      <c r="J113" s="935">
        <f>IFERROR((Waterfall!H55-Waterfall!H43)+Waterfall!H56,0)</f>
        <v>0</v>
      </c>
      <c r="K113" s="935">
        <f>IFERROR((Waterfall!I55-Waterfall!I43)+Waterfall!I56,0)</f>
        <v>0</v>
      </c>
      <c r="L113" s="935">
        <f>IFERROR((Waterfall!J55-Waterfall!J43)+Waterfall!J56,0)</f>
        <v>0</v>
      </c>
      <c r="M113" s="935">
        <f>IFERROR((Waterfall!K55-Waterfall!K43)+Waterfall!K56,0)</f>
        <v>0</v>
      </c>
      <c r="N113" s="868"/>
      <c r="O113" s="868"/>
      <c r="P113" s="868"/>
      <c r="Q113" s="905">
        <f>IFERROR(D113/D50,0)</f>
        <v>0</v>
      </c>
      <c r="R113" s="868"/>
    </row>
    <row r="114" spans="1:18" ht="18" customHeight="1" x14ac:dyDescent="0.25">
      <c r="A114" s="900" t="s">
        <v>503</v>
      </c>
      <c r="B114" s="900"/>
      <c r="C114" s="964"/>
      <c r="D114" s="935">
        <f>IFERROR(Waterfall!B58,0)</f>
        <v>0</v>
      </c>
      <c r="E114" s="935">
        <f>IFERROR(Waterfall!C58,0)</f>
        <v>0</v>
      </c>
      <c r="F114" s="935">
        <f>IFERROR(Waterfall!D58,0)</f>
        <v>0</v>
      </c>
      <c r="G114" s="935">
        <f>IFERROR(Waterfall!E58,0)</f>
        <v>0</v>
      </c>
      <c r="H114" s="935">
        <f>IFERROR(Waterfall!F58,0)</f>
        <v>0</v>
      </c>
      <c r="I114" s="935">
        <f>IFERROR(Waterfall!G58,0)</f>
        <v>0</v>
      </c>
      <c r="J114" s="935">
        <f>IFERROR(Waterfall!H58,0)</f>
        <v>0</v>
      </c>
      <c r="K114" s="935">
        <f>IFERROR(Waterfall!I58,0)</f>
        <v>0</v>
      </c>
      <c r="L114" s="935">
        <f>IFERROR(Waterfall!J58,0)</f>
        <v>0</v>
      </c>
      <c r="M114" s="935">
        <f>IFERROR(Waterfall!K58,0)</f>
        <v>0</v>
      </c>
      <c r="N114" s="868"/>
      <c r="O114" s="868"/>
      <c r="P114" s="868"/>
      <c r="Q114" s="905">
        <f>IFERROR(D114/D50,0)</f>
        <v>0</v>
      </c>
      <c r="R114" s="868"/>
    </row>
    <row r="115" spans="1:18" ht="18" customHeight="1" x14ac:dyDescent="0.25">
      <c r="A115" s="927" t="s">
        <v>116</v>
      </c>
      <c r="B115" s="927"/>
      <c r="C115" s="963"/>
      <c r="D115" s="963">
        <f t="shared" ref="D115:M115" si="91">SUM(D111:D114)</f>
        <v>0</v>
      </c>
      <c r="E115" s="963">
        <f t="shared" si="91"/>
        <v>0</v>
      </c>
      <c r="F115" s="963">
        <f t="shared" si="91"/>
        <v>0</v>
      </c>
      <c r="G115" s="963">
        <f t="shared" si="91"/>
        <v>0</v>
      </c>
      <c r="H115" s="963">
        <f t="shared" si="91"/>
        <v>0</v>
      </c>
      <c r="I115" s="963">
        <f t="shared" si="91"/>
        <v>0</v>
      </c>
      <c r="J115" s="963">
        <f t="shared" si="91"/>
        <v>0</v>
      </c>
      <c r="K115" s="963">
        <f t="shared" si="91"/>
        <v>0</v>
      </c>
      <c r="L115" s="963">
        <f t="shared" si="91"/>
        <v>0</v>
      </c>
      <c r="M115" s="963">
        <f t="shared" si="91"/>
        <v>0</v>
      </c>
      <c r="N115" s="963">
        <f>SUM(D115:H115)</f>
        <v>0</v>
      </c>
      <c r="O115" s="963">
        <f>SUM(D115:M115)</f>
        <v>0</v>
      </c>
      <c r="P115" s="868"/>
      <c r="Q115" s="923">
        <f>IFERROR(D115/D50,0)</f>
        <v>0</v>
      </c>
      <c r="R115" s="868"/>
    </row>
    <row r="116" spans="1:18" ht="24" customHeight="1" x14ac:dyDescent="0.25">
      <c r="A116" s="921"/>
      <c r="B116" s="921"/>
      <c r="C116" s="868"/>
      <c r="D116" s="941"/>
      <c r="E116" s="868"/>
      <c r="F116" s="868"/>
      <c r="G116" s="868"/>
      <c r="H116" s="868"/>
      <c r="I116" s="868"/>
      <c r="J116" s="868"/>
      <c r="K116" s="868"/>
      <c r="L116" s="868"/>
      <c r="M116" s="868"/>
      <c r="N116" s="868"/>
      <c r="O116" s="868"/>
      <c r="P116" s="868"/>
      <c r="Q116" s="905"/>
      <c r="R116" s="868"/>
    </row>
    <row r="117" spans="1:18" ht="18" customHeight="1" x14ac:dyDescent="0.25">
      <c r="A117" s="878" t="s">
        <v>504</v>
      </c>
      <c r="B117" s="866"/>
      <c r="C117" s="866"/>
      <c r="D117" s="866"/>
      <c r="E117" s="866"/>
      <c r="F117" s="866"/>
      <c r="G117" s="866"/>
      <c r="H117" s="866"/>
      <c r="I117" s="866"/>
      <c r="J117" s="866"/>
      <c r="K117" s="866"/>
      <c r="L117" s="866"/>
      <c r="M117" s="866"/>
      <c r="N117" s="866"/>
      <c r="O117" s="866"/>
      <c r="P117" s="866"/>
      <c r="Q117" s="866"/>
      <c r="R117" s="866"/>
    </row>
    <row r="118" spans="1:18" ht="18" customHeight="1" x14ac:dyDescent="0.25">
      <c r="A118" s="956" t="s">
        <v>505</v>
      </c>
      <c r="B118" s="956"/>
      <c r="C118" s="967"/>
      <c r="D118" s="905">
        <f>IF(1&gt;Waterfall!$B$5,0,IFERROR(D104/Scenarios!F31,0))</f>
        <v>0</v>
      </c>
      <c r="E118" s="905">
        <f>IF(2&gt;Waterfall!$B$5,0,IFERROR(E104/Scenarios!F31,0))</f>
        <v>0</v>
      </c>
      <c r="F118" s="905">
        <f>IF(3&gt;Waterfall!$B$5,0,IFERROR(F104/Scenarios!F31,0))</f>
        <v>0</v>
      </c>
      <c r="G118" s="905">
        <f>IF(4&gt;Waterfall!$B$5,0,IFERROR(G104/Scenarios!F31,0))</f>
        <v>0</v>
      </c>
      <c r="H118" s="905">
        <f>IF(5&gt;Waterfall!$B$5,0,IFERROR(H104/Scenarios!F31,0))</f>
        <v>0</v>
      </c>
      <c r="I118" s="905">
        <f>IF(6&gt;Waterfall!$B$5,0,IFERROR(I104/Scenarios!F31,0))</f>
        <v>0</v>
      </c>
      <c r="J118" s="905">
        <f>IF(7&gt;Waterfall!$B$5,0,IFERROR(J104/Scenarios!F31,0))</f>
        <v>0</v>
      </c>
      <c r="K118" s="905">
        <f>IF(8&gt;Waterfall!$B$5,0,IFERROR(K104/Scenarios!F31,0))</f>
        <v>0</v>
      </c>
      <c r="L118" s="905">
        <f>IF(9&gt;Waterfall!$B$5,0,IFERROR(L104/Scenarios!F31,0))</f>
        <v>0</v>
      </c>
      <c r="M118" s="905">
        <f>IF(10&gt;Waterfall!$B$5,0,IFERROR(M104/Scenarios!F31,0))</f>
        <v>0</v>
      </c>
      <c r="N118" s="868"/>
      <c r="O118" s="868"/>
      <c r="P118" s="868"/>
      <c r="Q118" s="905">
        <f t="shared" ref="Q118:Q124" si="92">D118</f>
        <v>0</v>
      </c>
      <c r="R118" s="868"/>
    </row>
    <row r="119" spans="1:18" ht="18" customHeight="1" x14ac:dyDescent="0.25">
      <c r="A119" s="921" t="s">
        <v>506</v>
      </c>
      <c r="B119" s="921"/>
      <c r="C119" s="967"/>
      <c r="D119" s="968">
        <f ca="1">IFERROR(AVERAGE(OFFSET(D118,0,0,1,MIN(Scenarios!$F$135,10))),0)</f>
        <v>0</v>
      </c>
      <c r="E119" s="866"/>
      <c r="F119" s="866"/>
      <c r="G119" s="866"/>
      <c r="H119" s="866"/>
      <c r="I119" s="866"/>
      <c r="J119" s="866"/>
      <c r="K119" s="866"/>
      <c r="L119" s="866"/>
      <c r="M119" s="866"/>
      <c r="N119" s="868"/>
      <c r="O119" s="868"/>
      <c r="P119" s="868"/>
      <c r="Q119" s="905">
        <f t="shared" ca="1" si="92"/>
        <v>0</v>
      </c>
      <c r="R119" s="868"/>
    </row>
    <row r="120" spans="1:18" ht="18" customHeight="1" x14ac:dyDescent="0.25">
      <c r="A120" s="956" t="s">
        <v>367</v>
      </c>
      <c r="B120" s="956"/>
      <c r="C120" s="969"/>
      <c r="D120" s="970">
        <f t="shared" ref="D120:M120" si="93">IFERROR(D97/ABS(D102),0)</f>
        <v>0</v>
      </c>
      <c r="E120" s="970">
        <f t="shared" si="93"/>
        <v>0</v>
      </c>
      <c r="F120" s="970">
        <f t="shared" si="93"/>
        <v>0</v>
      </c>
      <c r="G120" s="970">
        <f t="shared" si="93"/>
        <v>0</v>
      </c>
      <c r="H120" s="970">
        <f t="shared" si="93"/>
        <v>0</v>
      </c>
      <c r="I120" s="970">
        <f t="shared" si="93"/>
        <v>0</v>
      </c>
      <c r="J120" s="970">
        <f t="shared" si="93"/>
        <v>0</v>
      </c>
      <c r="K120" s="970">
        <f t="shared" si="93"/>
        <v>0</v>
      </c>
      <c r="L120" s="970">
        <f t="shared" si="93"/>
        <v>0</v>
      </c>
      <c r="M120" s="970">
        <f t="shared" si="93"/>
        <v>0</v>
      </c>
      <c r="N120" s="868"/>
      <c r="O120" s="868"/>
      <c r="P120" s="868"/>
      <c r="Q120" s="971">
        <f t="shared" si="92"/>
        <v>0</v>
      </c>
      <c r="R120" s="868"/>
    </row>
    <row r="121" spans="1:18" ht="18" customHeight="1" x14ac:dyDescent="0.25">
      <c r="A121" s="972" t="s">
        <v>507</v>
      </c>
      <c r="B121" s="972"/>
      <c r="C121" s="967"/>
      <c r="D121" s="973">
        <f t="shared" ref="D121:M121" si="94">IFERROR((D96+ABS(D102))/D43,0)</f>
        <v>0</v>
      </c>
      <c r="E121" s="973">
        <f t="shared" si="94"/>
        <v>0</v>
      </c>
      <c r="F121" s="973">
        <f t="shared" si="94"/>
        <v>0</v>
      </c>
      <c r="G121" s="973">
        <f t="shared" si="94"/>
        <v>0</v>
      </c>
      <c r="H121" s="973">
        <f t="shared" si="94"/>
        <v>0</v>
      </c>
      <c r="I121" s="973">
        <f t="shared" si="94"/>
        <v>0</v>
      </c>
      <c r="J121" s="973">
        <f t="shared" si="94"/>
        <v>0</v>
      </c>
      <c r="K121" s="973">
        <f t="shared" si="94"/>
        <v>0</v>
      </c>
      <c r="L121" s="973">
        <f t="shared" si="94"/>
        <v>0</v>
      </c>
      <c r="M121" s="973">
        <f t="shared" si="94"/>
        <v>0</v>
      </c>
      <c r="N121" s="868"/>
      <c r="O121" s="868"/>
      <c r="P121" s="868"/>
      <c r="Q121" s="905">
        <f t="shared" si="92"/>
        <v>0</v>
      </c>
      <c r="R121" s="868"/>
    </row>
    <row r="122" spans="1:18" ht="18" customHeight="1" x14ac:dyDescent="0.25">
      <c r="A122" s="956" t="s">
        <v>508</v>
      </c>
      <c r="B122" s="956"/>
      <c r="C122" s="967">
        <f t="shared" ref="C122:M122" si="95">IFERROR(C97/C50,0)</f>
        <v>0</v>
      </c>
      <c r="D122" s="905">
        <f t="shared" si="95"/>
        <v>0</v>
      </c>
      <c r="E122" s="905">
        <f t="shared" si="95"/>
        <v>0</v>
      </c>
      <c r="F122" s="905">
        <f t="shared" si="95"/>
        <v>0</v>
      </c>
      <c r="G122" s="905">
        <f t="shared" si="95"/>
        <v>0</v>
      </c>
      <c r="H122" s="905">
        <f t="shared" si="95"/>
        <v>0</v>
      </c>
      <c r="I122" s="905">
        <f t="shared" si="95"/>
        <v>0</v>
      </c>
      <c r="J122" s="905">
        <f t="shared" si="95"/>
        <v>0</v>
      </c>
      <c r="K122" s="905">
        <f t="shared" si="95"/>
        <v>0</v>
      </c>
      <c r="L122" s="905">
        <f t="shared" si="95"/>
        <v>0</v>
      </c>
      <c r="M122" s="905">
        <f t="shared" si="95"/>
        <v>0</v>
      </c>
      <c r="N122" s="868"/>
      <c r="O122" s="868"/>
      <c r="P122" s="868"/>
      <c r="Q122" s="974">
        <f t="shared" si="92"/>
        <v>0</v>
      </c>
      <c r="R122" s="868"/>
    </row>
    <row r="123" spans="1:18" ht="18" customHeight="1" x14ac:dyDescent="0.25">
      <c r="A123" s="956" t="s">
        <v>509</v>
      </c>
      <c r="B123" s="956"/>
      <c r="C123" s="967">
        <f>IFERROR(C97/Scenarios!F7,0)</f>
        <v>0</v>
      </c>
      <c r="D123" s="905">
        <f>IFERROR(D97/Scenarios!F7,0)</f>
        <v>0</v>
      </c>
      <c r="E123" s="905">
        <f>IFERROR(E97/Scenarios!F7,0)</f>
        <v>0</v>
      </c>
      <c r="F123" s="905">
        <f>IFERROR(F97/Scenarios!F7,0)</f>
        <v>0</v>
      </c>
      <c r="G123" s="905">
        <f>IFERROR(G97/Scenarios!F7,0)</f>
        <v>0</v>
      </c>
      <c r="H123" s="905">
        <f>IFERROR(H97/Scenarios!F7,0)</f>
        <v>0</v>
      </c>
      <c r="I123" s="905">
        <f>IFERROR(I97/Scenarios!F7,0)</f>
        <v>0</v>
      </c>
      <c r="J123" s="905">
        <f>IFERROR(J97/Scenarios!F7,0)</f>
        <v>0</v>
      </c>
      <c r="K123" s="905">
        <f>IFERROR(K97/Scenarios!F7,0)</f>
        <v>0</v>
      </c>
      <c r="L123" s="905">
        <f>IFERROR(L97/Scenarios!F7,0)</f>
        <v>0</v>
      </c>
      <c r="M123" s="905">
        <f>IFERROR(M97/Scenarios!F7,0)</f>
        <v>0</v>
      </c>
      <c r="N123" s="868"/>
      <c r="O123" s="868"/>
      <c r="P123" s="868"/>
      <c r="Q123" s="975">
        <f t="shared" si="92"/>
        <v>0</v>
      </c>
      <c r="R123" s="868"/>
    </row>
    <row r="124" spans="1:18" ht="19.5" customHeight="1" x14ac:dyDescent="0.25">
      <c r="A124" s="956" t="s">
        <v>510</v>
      </c>
      <c r="B124" s="956"/>
      <c r="C124" s="976">
        <f t="shared" ref="C124:M124" si="96">IFERROR(C97/0.07,0)</f>
        <v>0</v>
      </c>
      <c r="D124" s="937">
        <f t="shared" si="96"/>
        <v>0</v>
      </c>
      <c r="E124" s="937">
        <f t="shared" si="96"/>
        <v>0</v>
      </c>
      <c r="F124" s="937">
        <f t="shared" si="96"/>
        <v>0</v>
      </c>
      <c r="G124" s="937">
        <f t="shared" si="96"/>
        <v>0</v>
      </c>
      <c r="H124" s="937">
        <f t="shared" si="96"/>
        <v>0</v>
      </c>
      <c r="I124" s="937">
        <f t="shared" si="96"/>
        <v>0</v>
      </c>
      <c r="J124" s="937">
        <f t="shared" si="96"/>
        <v>0</v>
      </c>
      <c r="K124" s="937">
        <f t="shared" si="96"/>
        <v>0</v>
      </c>
      <c r="L124" s="937">
        <f t="shared" si="96"/>
        <v>0</v>
      </c>
      <c r="M124" s="937">
        <f t="shared" si="96"/>
        <v>0</v>
      </c>
      <c r="N124" s="868"/>
      <c r="O124" s="868"/>
      <c r="P124" s="868"/>
      <c r="Q124" s="937">
        <f t="shared" si="92"/>
        <v>0</v>
      </c>
      <c r="R124" s="868"/>
    </row>
    <row r="125" spans="1:18" ht="18" customHeight="1" x14ac:dyDescent="0.25">
      <c r="A125" s="977" t="s">
        <v>511</v>
      </c>
      <c r="B125" s="866"/>
      <c r="C125" s="866"/>
      <c r="D125" s="866"/>
      <c r="E125" s="866"/>
      <c r="F125" s="866"/>
      <c r="G125" s="866"/>
      <c r="H125" s="866"/>
      <c r="I125" s="866"/>
      <c r="J125" s="866"/>
      <c r="K125" s="866"/>
      <c r="L125" s="866"/>
      <c r="M125" s="866"/>
      <c r="N125" s="866"/>
      <c r="O125" s="866"/>
      <c r="P125" s="866"/>
      <c r="Q125" s="866"/>
      <c r="R125" s="868"/>
    </row>
    <row r="126" spans="1:18" ht="18" customHeight="1" x14ac:dyDescent="0.25">
      <c r="A126" s="978" t="s">
        <v>512</v>
      </c>
      <c r="B126" s="978"/>
      <c r="C126" s="975"/>
      <c r="D126" s="979">
        <f>IFERROR(Waterfall!B55/Waterfall!$B$9,0)</f>
        <v>0</v>
      </c>
      <c r="E126" s="979">
        <f>IFERROR(Waterfall!C55/Waterfall!$B$9,0)</f>
        <v>0</v>
      </c>
      <c r="F126" s="979">
        <f>IFERROR(Waterfall!D55/Waterfall!$B$9,0)</f>
        <v>0</v>
      </c>
      <c r="G126" s="979">
        <f>IFERROR(Waterfall!E55/Waterfall!$B$9,0)</f>
        <v>0</v>
      </c>
      <c r="H126" s="979">
        <f>IFERROR(Waterfall!F55/Waterfall!$B$9,0)</f>
        <v>0</v>
      </c>
      <c r="I126" s="979">
        <f>IFERROR(Waterfall!G55/Waterfall!$B$9,0)</f>
        <v>0</v>
      </c>
      <c r="J126" s="979">
        <f>IFERROR(Waterfall!H55/Waterfall!$B$9,0)</f>
        <v>0</v>
      </c>
      <c r="K126" s="979">
        <f>IFERROR(Waterfall!I55/Waterfall!$B$9,0)</f>
        <v>0</v>
      </c>
      <c r="L126" s="979">
        <f>IFERROR(Waterfall!J55/Waterfall!$B$9,0)</f>
        <v>0</v>
      </c>
      <c r="M126" s="979">
        <f>IFERROR(Waterfall!K55/Waterfall!$B$9,0)</f>
        <v>0</v>
      </c>
      <c r="N126" s="868"/>
      <c r="O126" s="868"/>
      <c r="P126" s="868"/>
      <c r="Q126" s="979">
        <f>D126</f>
        <v>0</v>
      </c>
      <c r="R126" s="868"/>
    </row>
    <row r="127" spans="1:18" ht="18" customHeight="1" x14ac:dyDescent="0.25">
      <c r="A127" s="980" t="s">
        <v>513</v>
      </c>
      <c r="B127" s="980"/>
      <c r="C127" s="868"/>
      <c r="D127" s="981">
        <f ca="1">IFERROR(AVERAGE(OFFSET(D126,0,0,1,MIN(Scenarios!$F$135,10))),0)</f>
        <v>0</v>
      </c>
      <c r="E127" s="868"/>
      <c r="F127" s="868"/>
      <c r="G127" s="868"/>
      <c r="H127" s="868"/>
      <c r="I127" s="868"/>
      <c r="J127" s="868"/>
      <c r="K127" s="868"/>
      <c r="L127" s="868"/>
      <c r="M127" s="868"/>
      <c r="N127" s="868"/>
      <c r="O127" s="868"/>
      <c r="P127" s="868"/>
      <c r="Q127" s="981">
        <f ca="1">D127</f>
        <v>0</v>
      </c>
      <c r="R127" s="868"/>
    </row>
    <row r="128" spans="1:18" ht="18" customHeight="1" x14ac:dyDescent="0.25">
      <c r="A128" s="939" t="s">
        <v>514</v>
      </c>
      <c r="B128" s="939"/>
      <c r="C128" s="975"/>
      <c r="D128" s="982">
        <f>IFERROR(Waterfall!B57/(Waterfall!$B$9+Waterfall!$B$10),0)</f>
        <v>0</v>
      </c>
      <c r="E128" s="982">
        <f>IFERROR(Waterfall!C57/(Waterfall!$B$9+Waterfall!$B$10),0)</f>
        <v>0</v>
      </c>
      <c r="F128" s="982">
        <f>IFERROR(Waterfall!D57/(Waterfall!$B$9+Waterfall!$B$10),0)</f>
        <v>0</v>
      </c>
      <c r="G128" s="982">
        <f>IFERROR(Waterfall!E57/(Waterfall!$B$9+Waterfall!$B$10),0)</f>
        <v>0</v>
      </c>
      <c r="H128" s="982">
        <f>IFERROR(Waterfall!F57/(Waterfall!$B$9+Waterfall!$B$10),0)</f>
        <v>0</v>
      </c>
      <c r="I128" s="982">
        <f>IFERROR(Waterfall!G57/(Waterfall!$B$9+Waterfall!$B$10),0)</f>
        <v>0</v>
      </c>
      <c r="J128" s="982">
        <f>IFERROR(Waterfall!H57/(Waterfall!$B$9+Waterfall!$B$10),0)</f>
        <v>0</v>
      </c>
      <c r="K128" s="982">
        <f>IFERROR(Waterfall!I57/(Waterfall!$B$9+Waterfall!$B$10),0)</f>
        <v>0</v>
      </c>
      <c r="L128" s="982">
        <f>IFERROR(Waterfall!J57/(Waterfall!$B$9+Waterfall!$B$10),0)</f>
        <v>0</v>
      </c>
      <c r="M128" s="982">
        <f>IFERROR(Waterfall!K57/(Waterfall!$B$9+Waterfall!$B$10),0)</f>
        <v>0</v>
      </c>
      <c r="N128" s="868"/>
      <c r="O128" s="868"/>
      <c r="P128" s="868"/>
      <c r="Q128" s="982">
        <f>D128</f>
        <v>0</v>
      </c>
      <c r="R128" s="868"/>
    </row>
    <row r="129" spans="1:18" ht="15.75" customHeight="1" x14ac:dyDescent="0.25">
      <c r="A129" s="983" t="s">
        <v>515</v>
      </c>
      <c r="B129" s="983"/>
      <c r="C129" s="868"/>
      <c r="D129" s="984">
        <f ca="1">IFERROR(AVERAGE(OFFSET(D128,0,0,1,MIN(Scenarios!$F$135,10))),0)</f>
        <v>0</v>
      </c>
      <c r="E129" s="868"/>
      <c r="F129" s="868"/>
      <c r="G129" s="868"/>
      <c r="H129" s="868"/>
      <c r="I129" s="868"/>
      <c r="J129" s="868"/>
      <c r="K129" s="868"/>
      <c r="L129" s="868"/>
      <c r="M129" s="868"/>
      <c r="N129" s="868"/>
      <c r="O129" s="868"/>
      <c r="P129" s="868"/>
      <c r="Q129" s="984">
        <f ca="1">D129</f>
        <v>0</v>
      </c>
      <c r="R129" s="868"/>
    </row>
    <row r="130" spans="1:18" ht="15" customHeight="1" x14ac:dyDescent="0.25">
      <c r="A130" s="867" t="s">
        <v>516</v>
      </c>
      <c r="B130" s="866"/>
      <c r="C130" s="866"/>
      <c r="D130" s="866"/>
      <c r="E130" s="866"/>
      <c r="F130" s="866"/>
      <c r="G130" s="866"/>
      <c r="H130" s="866"/>
      <c r="I130" s="866"/>
      <c r="J130" s="866"/>
      <c r="K130" s="866"/>
      <c r="L130" s="866"/>
      <c r="M130" s="866"/>
      <c r="N130" s="866"/>
      <c r="O130" s="866"/>
      <c r="P130" s="866"/>
      <c r="Q130" s="866"/>
      <c r="R130" s="868"/>
    </row>
    <row r="131" spans="1:18" x14ac:dyDescent="0.25">
      <c r="A131" s="868"/>
      <c r="B131" s="868"/>
      <c r="C131" s="868"/>
      <c r="D131" s="868"/>
      <c r="E131" s="868"/>
      <c r="F131" s="868"/>
      <c r="G131" s="868"/>
      <c r="H131" s="868"/>
      <c r="I131" s="868"/>
      <c r="J131" s="868"/>
      <c r="K131" s="868"/>
      <c r="L131" s="868"/>
      <c r="M131" s="868"/>
      <c r="N131" s="868"/>
      <c r="O131" s="868"/>
      <c r="P131" s="868"/>
      <c r="Q131" s="868"/>
      <c r="R131" s="868"/>
    </row>
  </sheetData>
  <mergeCells count="12">
    <mergeCell ref="A1:R1"/>
    <mergeCell ref="A117:R117"/>
    <mergeCell ref="A110:R110"/>
    <mergeCell ref="D119:M119"/>
    <mergeCell ref="A9:R9"/>
    <mergeCell ref="A130:Q130"/>
    <mergeCell ref="O5:P5"/>
    <mergeCell ref="A2:R2"/>
    <mergeCell ref="A51:R51"/>
    <mergeCell ref="A99:R99"/>
    <mergeCell ref="O6:P6"/>
    <mergeCell ref="A125:Q12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97"/>
  <sheetViews>
    <sheetView showGridLines="0" topLeftCell="A11" zoomScaleNormal="100" workbookViewId="0">
      <selection activeCell="B20" sqref="B20"/>
    </sheetView>
  </sheetViews>
  <sheetFormatPr defaultColWidth="8.85546875" defaultRowHeight="15" x14ac:dyDescent="0.25"/>
  <cols>
    <col min="1" max="1" width="38" customWidth="1"/>
    <col min="2" max="2" width="14" customWidth="1"/>
    <col min="3" max="16" width="11" customWidth="1"/>
    <col min="17" max="17" width="10" customWidth="1"/>
    <col min="18" max="18" width="12" customWidth="1"/>
    <col min="19" max="19" width="12" style="58" customWidth="1"/>
  </cols>
  <sheetData>
    <row r="1" spans="1:19" ht="18" customHeight="1" x14ac:dyDescent="0.25">
      <c r="A1" s="818" t="s">
        <v>517</v>
      </c>
      <c r="B1" s="798"/>
      <c r="C1" s="798"/>
      <c r="D1" s="798"/>
      <c r="E1" s="798"/>
      <c r="F1" s="798"/>
      <c r="G1" s="798"/>
      <c r="H1" s="798"/>
      <c r="I1" s="798"/>
      <c r="J1" s="798"/>
      <c r="K1" s="798"/>
      <c r="L1" s="798"/>
      <c r="M1" s="798"/>
      <c r="N1" s="798"/>
      <c r="O1" s="798"/>
      <c r="P1" s="798"/>
      <c r="Q1" s="798"/>
      <c r="R1" s="798"/>
      <c r="S1" s="805"/>
    </row>
    <row r="2" spans="1:19" ht="30" customHeight="1" x14ac:dyDescent="0.25">
      <c r="A2" s="816" t="s">
        <v>518</v>
      </c>
      <c r="B2" s="798"/>
      <c r="C2" s="798"/>
      <c r="D2" s="798"/>
      <c r="E2" s="798"/>
      <c r="F2" s="798"/>
      <c r="G2" s="798"/>
      <c r="H2" s="798"/>
      <c r="I2" s="798"/>
      <c r="J2" s="798"/>
      <c r="K2" s="798"/>
      <c r="L2" s="798"/>
      <c r="M2" s="798"/>
      <c r="N2" s="798"/>
      <c r="O2" s="798"/>
      <c r="P2" s="798"/>
      <c r="Q2" s="798"/>
      <c r="R2" s="798"/>
      <c r="S2" s="805"/>
    </row>
    <row r="4" spans="1:19" ht="15.75" customHeight="1" x14ac:dyDescent="0.25">
      <c r="A4" s="815" t="s">
        <v>519</v>
      </c>
      <c r="B4" s="798"/>
      <c r="C4" s="798"/>
      <c r="D4" s="798"/>
      <c r="E4" s="798"/>
      <c r="F4" s="798"/>
      <c r="G4" s="798"/>
      <c r="H4" s="798"/>
      <c r="I4" s="798"/>
      <c r="J4" s="798"/>
      <c r="K4" s="798"/>
      <c r="L4" s="798"/>
      <c r="M4" s="798"/>
      <c r="N4" s="798"/>
      <c r="O4" s="798"/>
      <c r="P4" s="798"/>
      <c r="Q4" s="798"/>
      <c r="R4" s="798"/>
    </row>
    <row r="5" spans="1:19" ht="15" customHeight="1" x14ac:dyDescent="0.25">
      <c r="A5" s="266" t="s">
        <v>520</v>
      </c>
      <c r="B5" s="267">
        <f>N80</f>
        <v>0</v>
      </c>
      <c r="C5" s="266" t="s">
        <v>521</v>
      </c>
      <c r="D5" s="267">
        <f>N132</f>
        <v>0</v>
      </c>
      <c r="E5" s="266" t="s">
        <v>522</v>
      </c>
      <c r="F5" s="268">
        <f>N135</f>
        <v>0</v>
      </c>
      <c r="G5" s="266" t="s">
        <v>523</v>
      </c>
      <c r="H5" s="268">
        <v>0</v>
      </c>
      <c r="I5" s="269" t="s">
        <v>524</v>
      </c>
      <c r="L5" s="266" t="s">
        <v>525</v>
      </c>
      <c r="M5" s="268">
        <v>0</v>
      </c>
    </row>
    <row r="7" spans="1:19" ht="15" customHeight="1" x14ac:dyDescent="0.25">
      <c r="A7" s="815" t="s">
        <v>526</v>
      </c>
      <c r="B7" s="798"/>
      <c r="C7" s="798"/>
      <c r="D7" s="798"/>
      <c r="E7" s="798"/>
      <c r="F7" s="798"/>
      <c r="G7" s="798"/>
      <c r="H7" s="798"/>
      <c r="I7" s="798"/>
      <c r="J7" s="798"/>
      <c r="K7" s="798"/>
      <c r="L7" s="798"/>
      <c r="M7" s="798"/>
      <c r="N7" s="798"/>
      <c r="O7" s="798"/>
      <c r="P7" s="798"/>
      <c r="Q7" s="798"/>
      <c r="R7" s="798"/>
    </row>
    <row r="8" spans="1:19" ht="15" customHeight="1" x14ac:dyDescent="0.25">
      <c r="A8" s="265" t="s">
        <v>69</v>
      </c>
      <c r="B8" s="270" t="s">
        <v>446</v>
      </c>
      <c r="C8" s="270" t="s">
        <v>527</v>
      </c>
      <c r="D8" s="270" t="s">
        <v>528</v>
      </c>
      <c r="E8" s="270" t="s">
        <v>529</v>
      </c>
      <c r="F8" s="270" t="s">
        <v>530</v>
      </c>
      <c r="G8" s="270" t="s">
        <v>531</v>
      </c>
      <c r="H8" s="270" t="s">
        <v>532</v>
      </c>
    </row>
    <row r="9" spans="1:19" ht="15" customHeight="1" x14ac:dyDescent="0.25">
      <c r="A9" s="271" t="s">
        <v>533</v>
      </c>
      <c r="B9" s="272">
        <f>N80</f>
        <v>0</v>
      </c>
      <c r="C9" s="273">
        <f>(SUM(H58:M61)+SUM(H63:M66)+SUM(H68:M79))*2</f>
        <v>0</v>
      </c>
      <c r="D9" s="273">
        <f>(SUM(K58:M61)+SUM(K63:M66)+SUM(K68:M79))*4</f>
        <v>0</v>
      </c>
      <c r="E9" s="274">
        <f t="shared" ref="E9:E16" si="0">D9-B9</f>
        <v>0</v>
      </c>
      <c r="F9" s="275">
        <f t="shared" ref="F9:F16" si="1">IFERROR((D9-B9)/B9,0)</f>
        <v>0</v>
      </c>
      <c r="G9" s="276" t="str">
        <f t="shared" ref="G9:G16" si="2">IF(ABS(F9)&lt;0.02,"→ stable",IF(F9&gt;0,"↑ rising","↓ falling"))</f>
        <v>→ stable</v>
      </c>
      <c r="H9" s="276" t="str">
        <f t="shared" ref="H9:H16" si="3">IF(ABS(F9)&lt;0.05,"stable","review")</f>
        <v>stable</v>
      </c>
    </row>
    <row r="10" spans="1:19" ht="15" customHeight="1" x14ac:dyDescent="0.25">
      <c r="A10" s="271" t="s">
        <v>534</v>
      </c>
      <c r="B10" s="272">
        <f>N132</f>
        <v>0</v>
      </c>
      <c r="C10" s="273">
        <f>SUM(H132:M132)*2</f>
        <v>0</v>
      </c>
      <c r="D10" s="273">
        <f>SUM(K132:M132)*4</f>
        <v>0</v>
      </c>
      <c r="E10" s="274">
        <f t="shared" si="0"/>
        <v>0</v>
      </c>
      <c r="F10" s="275">
        <f t="shared" si="1"/>
        <v>0</v>
      </c>
      <c r="G10" s="276" t="str">
        <f t="shared" si="2"/>
        <v>→ stable</v>
      </c>
      <c r="H10" s="276" t="str">
        <f t="shared" si="3"/>
        <v>stable</v>
      </c>
    </row>
    <row r="11" spans="1:19" ht="15" customHeight="1" x14ac:dyDescent="0.25">
      <c r="A11" s="271" t="s">
        <v>535</v>
      </c>
      <c r="B11" s="272">
        <f>N80-N132</f>
        <v>0</v>
      </c>
      <c r="C11" s="273">
        <f>C9-C10</f>
        <v>0</v>
      </c>
      <c r="D11" s="273">
        <f>D9-D10</f>
        <v>0</v>
      </c>
      <c r="E11" s="274">
        <f t="shared" si="0"/>
        <v>0</v>
      </c>
      <c r="F11" s="275">
        <f t="shared" si="1"/>
        <v>0</v>
      </c>
      <c r="G11" s="276" t="str">
        <f t="shared" si="2"/>
        <v>→ stable</v>
      </c>
      <c r="H11" s="276" t="str">
        <f t="shared" si="3"/>
        <v>stable</v>
      </c>
    </row>
    <row r="12" spans="1:19" ht="15" customHeight="1" x14ac:dyDescent="0.25">
      <c r="A12" s="271" t="s">
        <v>536</v>
      </c>
      <c r="B12" s="272">
        <f>-N79</f>
        <v>0</v>
      </c>
      <c r="C12" s="273">
        <f>-SUM(H79:M79)*2</f>
        <v>0</v>
      </c>
      <c r="D12" s="273">
        <f>-SUM(K79:M79)*4</f>
        <v>0</v>
      </c>
      <c r="E12" s="274">
        <f t="shared" si="0"/>
        <v>0</v>
      </c>
      <c r="F12" s="275">
        <f t="shared" si="1"/>
        <v>0</v>
      </c>
      <c r="G12" s="276" t="str">
        <f t="shared" si="2"/>
        <v>→ stable</v>
      </c>
      <c r="H12" s="276" t="str">
        <f t="shared" si="3"/>
        <v>stable</v>
      </c>
    </row>
    <row r="13" spans="1:19" ht="15" customHeight="1" x14ac:dyDescent="0.25">
      <c r="A13" s="271" t="s">
        <v>537</v>
      </c>
      <c r="B13" s="272">
        <f>N102</f>
        <v>0</v>
      </c>
      <c r="C13" s="273">
        <f>SUM(H102:M102)*2</f>
        <v>0</v>
      </c>
      <c r="D13" s="273">
        <f>SUM(K102:M102)*4</f>
        <v>0</v>
      </c>
      <c r="E13" s="274">
        <f t="shared" si="0"/>
        <v>0</v>
      </c>
      <c r="F13" s="275">
        <f t="shared" si="1"/>
        <v>0</v>
      </c>
      <c r="G13" s="276" t="str">
        <f t="shared" si="2"/>
        <v>→ stable</v>
      </c>
      <c r="H13" s="276" t="str">
        <f t="shared" si="3"/>
        <v>stable</v>
      </c>
    </row>
    <row r="14" spans="1:19" ht="15" customHeight="1" x14ac:dyDescent="0.25">
      <c r="A14" s="271" t="s">
        <v>538</v>
      </c>
      <c r="B14" s="272">
        <f>N104</f>
        <v>0</v>
      </c>
      <c r="C14" s="273">
        <f>SUM(H104:M104)*2</f>
        <v>0</v>
      </c>
      <c r="D14" s="273">
        <f>SUM(K104:M104)*4</f>
        <v>0</v>
      </c>
      <c r="E14" s="274">
        <f t="shared" si="0"/>
        <v>0</v>
      </c>
      <c r="F14" s="275">
        <f t="shared" si="1"/>
        <v>0</v>
      </c>
      <c r="G14" s="276" t="str">
        <f t="shared" si="2"/>
        <v>→ stable</v>
      </c>
      <c r="H14" s="276" t="str">
        <f t="shared" si="3"/>
        <v>stable</v>
      </c>
    </row>
    <row r="15" spans="1:19" ht="15" customHeight="1" x14ac:dyDescent="0.25">
      <c r="A15" s="271" t="s">
        <v>539</v>
      </c>
      <c r="B15" s="272">
        <f>N113</f>
        <v>0</v>
      </c>
      <c r="C15" s="273">
        <f>SUM(H113:M113)*2</f>
        <v>0</v>
      </c>
      <c r="D15" s="273">
        <f>SUM(K113:M113)*4</f>
        <v>0</v>
      </c>
      <c r="E15" s="274">
        <f t="shared" si="0"/>
        <v>0</v>
      </c>
      <c r="F15" s="275">
        <f t="shared" si="1"/>
        <v>0</v>
      </c>
      <c r="G15" s="276" t="str">
        <f t="shared" si="2"/>
        <v>→ stable</v>
      </c>
      <c r="H15" s="276" t="str">
        <f t="shared" si="3"/>
        <v>stable</v>
      </c>
    </row>
    <row r="16" spans="1:19" ht="15" customHeight="1" x14ac:dyDescent="0.25">
      <c r="A16" s="271" t="s">
        <v>540</v>
      </c>
      <c r="B16" s="272">
        <f>N96</f>
        <v>0</v>
      </c>
      <c r="C16" s="273">
        <f>SUM(H96:M96)*2</f>
        <v>0</v>
      </c>
      <c r="D16" s="273">
        <f>SUM(K96:M96)*4</f>
        <v>0</v>
      </c>
      <c r="E16" s="274">
        <f t="shared" si="0"/>
        <v>0</v>
      </c>
      <c r="F16" s="275">
        <f t="shared" si="1"/>
        <v>0</v>
      </c>
      <c r="G16" s="276" t="str">
        <f t="shared" si="2"/>
        <v>→ stable</v>
      </c>
      <c r="H16" s="276" t="str">
        <f t="shared" si="3"/>
        <v>stable</v>
      </c>
    </row>
    <row r="18" spans="1:18" ht="15" customHeight="1" x14ac:dyDescent="0.25">
      <c r="A18" s="815" t="s">
        <v>541</v>
      </c>
      <c r="B18" s="798"/>
      <c r="C18" s="798"/>
      <c r="D18" s="798"/>
      <c r="E18" s="798"/>
      <c r="F18" s="798"/>
      <c r="G18" s="798"/>
      <c r="H18" s="798"/>
      <c r="I18" s="798"/>
      <c r="J18" s="798"/>
      <c r="K18" s="798"/>
      <c r="L18" s="798"/>
      <c r="M18" s="798"/>
      <c r="N18" s="798"/>
      <c r="O18" s="798"/>
      <c r="P18" s="798"/>
      <c r="Q18" s="798"/>
      <c r="R18" s="798"/>
    </row>
    <row r="19" spans="1:18" ht="15" customHeight="1" x14ac:dyDescent="0.25">
      <c r="A19" s="266" t="s">
        <v>542</v>
      </c>
      <c r="B19" s="277"/>
    </row>
    <row r="20" spans="1:18" ht="15" customHeight="1" x14ac:dyDescent="0.25">
      <c r="A20" s="266" t="s">
        <v>543</v>
      </c>
      <c r="B20" s="277"/>
    </row>
    <row r="21" spans="1:18" ht="15" customHeight="1" x14ac:dyDescent="0.25">
      <c r="A21" s="266" t="s">
        <v>544</v>
      </c>
      <c r="B21" s="275">
        <f>IFERROR(B20/B19,0)</f>
        <v>0</v>
      </c>
    </row>
    <row r="22" spans="1:18" ht="15" customHeight="1" x14ac:dyDescent="0.25">
      <c r="A22" s="266" t="s">
        <v>545</v>
      </c>
      <c r="B22" s="272">
        <f>N83</f>
        <v>0</v>
      </c>
    </row>
    <row r="23" spans="1:18" ht="15" customHeight="1" x14ac:dyDescent="0.25">
      <c r="A23" s="266" t="s">
        <v>546</v>
      </c>
      <c r="B23" s="272">
        <f>N86</f>
        <v>0</v>
      </c>
    </row>
    <row r="24" spans="1:18" ht="15" customHeight="1" x14ac:dyDescent="0.25">
      <c r="A24" s="266" t="s">
        <v>547</v>
      </c>
      <c r="B24" s="272">
        <f>N80</f>
        <v>0</v>
      </c>
    </row>
    <row r="25" spans="1:18" ht="15" customHeight="1" x14ac:dyDescent="0.25">
      <c r="A25" s="266" t="s">
        <v>548</v>
      </c>
      <c r="B25" s="275">
        <f>IFERROR(B23/B22,0)</f>
        <v>0</v>
      </c>
    </row>
    <row r="26" spans="1:18" ht="15" customHeight="1" x14ac:dyDescent="0.25">
      <c r="A26" s="266" t="s">
        <v>549</v>
      </c>
      <c r="B26" s="273">
        <f>B21-B25</f>
        <v>0</v>
      </c>
    </row>
    <row r="27" spans="1:18" ht="15" customHeight="1" x14ac:dyDescent="0.25">
      <c r="A27" s="271" t="s">
        <v>550</v>
      </c>
      <c r="B27" s="273">
        <f>B22*B26</f>
        <v>0</v>
      </c>
    </row>
    <row r="29" spans="1:18" ht="15" customHeight="1" x14ac:dyDescent="0.25">
      <c r="A29" s="815" t="s">
        <v>551</v>
      </c>
      <c r="B29" s="798"/>
      <c r="C29" s="798"/>
      <c r="D29" s="798"/>
      <c r="E29" s="798"/>
      <c r="F29" s="798"/>
      <c r="G29" s="798"/>
      <c r="H29" s="798"/>
      <c r="I29" s="798"/>
      <c r="J29" s="798"/>
      <c r="K29" s="798"/>
      <c r="L29" s="798"/>
      <c r="M29" s="798"/>
      <c r="N29" s="798"/>
      <c r="O29" s="798"/>
      <c r="P29" s="798"/>
      <c r="Q29" s="798"/>
      <c r="R29" s="798"/>
    </row>
    <row r="30" spans="1:18" ht="15" customHeight="1" x14ac:dyDescent="0.25">
      <c r="A30" s="265" t="s">
        <v>552</v>
      </c>
      <c r="B30" s="270" t="s">
        <v>95</v>
      </c>
      <c r="C30" s="270" t="s">
        <v>553</v>
      </c>
      <c r="D30" s="270" t="s">
        <v>554</v>
      </c>
      <c r="E30" s="270" t="s">
        <v>146</v>
      </c>
      <c r="F30" s="270" t="s">
        <v>532</v>
      </c>
    </row>
    <row r="31" spans="1:18" ht="15" customHeight="1" x14ac:dyDescent="0.25">
      <c r="A31" s="271" t="s">
        <v>555</v>
      </c>
      <c r="B31" s="273">
        <f>-N77</f>
        <v>0</v>
      </c>
      <c r="C31" s="275">
        <f>IFERROR(B31/$B$22,0)</f>
        <v>0</v>
      </c>
      <c r="D31" s="273">
        <f>IFERROR(B31/($B$19*12),0)</f>
        <v>0</v>
      </c>
      <c r="E31" s="278" t="s">
        <v>556</v>
      </c>
      <c r="F31" s="279" t="s">
        <v>557</v>
      </c>
    </row>
    <row r="32" spans="1:18" ht="15" customHeight="1" x14ac:dyDescent="0.25">
      <c r="A32" s="271" t="s">
        <v>558</v>
      </c>
      <c r="B32" s="273">
        <f>-N79</f>
        <v>0</v>
      </c>
      <c r="C32" s="275">
        <f>IFERROR(B32/$B$22,0)</f>
        <v>0</v>
      </c>
      <c r="D32" s="273">
        <f>IFERROR(B32/($B$19*12),0)</f>
        <v>0</v>
      </c>
      <c r="E32" s="278" t="s">
        <v>559</v>
      </c>
      <c r="F32" s="279" t="s">
        <v>557</v>
      </c>
    </row>
    <row r="33" spans="1:19" ht="15" customHeight="1" x14ac:dyDescent="0.25">
      <c r="A33" s="271" t="s">
        <v>560</v>
      </c>
      <c r="B33" s="273">
        <f>-N78</f>
        <v>0</v>
      </c>
      <c r="C33" s="275">
        <f>IFERROR(B33/$B$22,0)</f>
        <v>0</v>
      </c>
      <c r="D33" s="273">
        <f>IFERROR(B33/($B$19*12),0)</f>
        <v>0</v>
      </c>
      <c r="E33" s="278" t="s">
        <v>561</v>
      </c>
      <c r="F33" s="279" t="s">
        <v>557</v>
      </c>
    </row>
    <row r="34" spans="1:19" ht="15" customHeight="1" x14ac:dyDescent="0.25">
      <c r="A34" s="271" t="s">
        <v>562</v>
      </c>
      <c r="B34" s="273">
        <v>0</v>
      </c>
      <c r="C34" s="275">
        <f>IFERROR(B34/$B$22,0)</f>
        <v>0</v>
      </c>
      <c r="D34" s="273">
        <f>IFERROR(B34/($B$19*12),0)</f>
        <v>0</v>
      </c>
      <c r="E34" s="278" t="s">
        <v>563</v>
      </c>
      <c r="F34" s="279" t="s">
        <v>557</v>
      </c>
    </row>
    <row r="35" spans="1:19" ht="15" customHeight="1" x14ac:dyDescent="0.25">
      <c r="A35" s="266" t="s">
        <v>564</v>
      </c>
      <c r="B35" s="273">
        <f>SUM(B31:B34)</f>
        <v>0</v>
      </c>
      <c r="C35" s="275">
        <f>IFERROR(B35/$B$22,0)</f>
        <v>0</v>
      </c>
      <c r="D35" s="273">
        <f>IFERROR(B35/($B$19*12),0)</f>
        <v>0</v>
      </c>
      <c r="E35" s="278"/>
      <c r="F35" s="279" t="s">
        <v>557</v>
      </c>
    </row>
    <row r="37" spans="1:19" ht="15" customHeight="1" x14ac:dyDescent="0.25">
      <c r="A37" s="815" t="s">
        <v>565</v>
      </c>
      <c r="B37" s="798"/>
      <c r="C37" s="798"/>
      <c r="D37" s="798"/>
      <c r="E37" s="798"/>
      <c r="F37" s="798"/>
      <c r="G37" s="798"/>
      <c r="H37" s="798"/>
      <c r="I37" s="798"/>
      <c r="J37" s="798"/>
      <c r="K37" s="798"/>
      <c r="L37" s="798"/>
      <c r="M37" s="798"/>
      <c r="N37" s="798"/>
      <c r="O37" s="798"/>
      <c r="P37" s="798"/>
      <c r="Q37" s="798"/>
      <c r="R37" s="798"/>
    </row>
    <row r="38" spans="1:19" ht="15" customHeight="1" x14ac:dyDescent="0.25">
      <c r="A38" s="816" t="s">
        <v>566</v>
      </c>
      <c r="B38" s="798"/>
      <c r="C38" s="798"/>
      <c r="D38" s="798"/>
      <c r="E38" s="798"/>
      <c r="F38" s="798"/>
      <c r="G38" s="798"/>
      <c r="H38" s="798"/>
      <c r="I38" s="798"/>
      <c r="J38" s="798"/>
      <c r="K38" s="798"/>
      <c r="L38" s="798"/>
      <c r="M38" s="798"/>
      <c r="N38" s="798"/>
      <c r="O38" s="798"/>
      <c r="P38" s="798"/>
      <c r="Q38" s="798"/>
      <c r="R38" s="798"/>
      <c r="S38" s="805"/>
    </row>
    <row r="40" spans="1:19" ht="15" customHeight="1" x14ac:dyDescent="0.25">
      <c r="A40" s="819" t="s">
        <v>567</v>
      </c>
      <c r="B40" s="798"/>
      <c r="C40" s="798"/>
      <c r="D40" s="798"/>
      <c r="E40" s="798"/>
      <c r="F40" s="798"/>
      <c r="G40" s="798"/>
      <c r="H40" s="798"/>
      <c r="I40" s="798"/>
      <c r="J40" s="798"/>
      <c r="K40" s="798"/>
      <c r="L40" s="798"/>
      <c r="M40" s="798"/>
      <c r="N40" s="798"/>
      <c r="O40" s="798"/>
      <c r="P40" s="798"/>
      <c r="Q40" s="798"/>
      <c r="R40" s="798"/>
    </row>
    <row r="41" spans="1:19" ht="15" customHeight="1" x14ac:dyDescent="0.25">
      <c r="A41" s="280" t="s">
        <v>568</v>
      </c>
      <c r="B41" s="273">
        <f>N120</f>
        <v>0</v>
      </c>
    </row>
    <row r="42" spans="1:19" ht="15" customHeight="1" x14ac:dyDescent="0.25">
      <c r="A42" s="280" t="s">
        <v>569</v>
      </c>
      <c r="B42" s="273">
        <f>'P&amp;L'!D86</f>
        <v>0</v>
      </c>
    </row>
    <row r="43" spans="1:19" ht="15" customHeight="1" x14ac:dyDescent="0.25">
      <c r="A43" s="280" t="s">
        <v>570</v>
      </c>
      <c r="B43" s="274">
        <f>B41-B42</f>
        <v>0</v>
      </c>
    </row>
    <row r="44" spans="1:19" ht="15" customHeight="1" x14ac:dyDescent="0.25">
      <c r="A44" s="280" t="s">
        <v>571</v>
      </c>
      <c r="B44" s="281" t="str">
        <f>IF(B41=0,"⚠ not in T-12 — verify with operator / broker",IF(IFERROR(ABS(B43)/B42,1)&gt;0.1,"⚠ variance &gt;10% — review","✓ in range"))</f>
        <v>⚠ not in T-12 — verify with operator / broker</v>
      </c>
    </row>
    <row r="46" spans="1:19" ht="15" customHeight="1" x14ac:dyDescent="0.25">
      <c r="A46" s="819" t="s">
        <v>572</v>
      </c>
      <c r="B46" s="798"/>
      <c r="C46" s="798"/>
      <c r="D46" s="798"/>
      <c r="E46" s="798"/>
      <c r="F46" s="798"/>
      <c r="G46" s="798"/>
      <c r="H46" s="798"/>
      <c r="I46" s="798"/>
      <c r="J46" s="798"/>
      <c r="K46" s="798"/>
      <c r="L46" s="798"/>
      <c r="M46" s="798"/>
      <c r="N46" s="798"/>
      <c r="O46" s="798"/>
      <c r="P46" s="798"/>
      <c r="Q46" s="798"/>
      <c r="R46" s="798"/>
    </row>
    <row r="47" spans="1:19" ht="15" customHeight="1" x14ac:dyDescent="0.25">
      <c r="A47" s="280" t="s">
        <v>568</v>
      </c>
      <c r="B47" s="273">
        <f>N115</f>
        <v>0</v>
      </c>
    </row>
    <row r="48" spans="1:19" ht="15" customHeight="1" x14ac:dyDescent="0.25">
      <c r="A48" s="280" t="s">
        <v>569</v>
      </c>
      <c r="B48" s="273">
        <f>'P&amp;L'!D82</f>
        <v>0</v>
      </c>
    </row>
    <row r="49" spans="1:19" ht="15" customHeight="1" x14ac:dyDescent="0.25">
      <c r="A49" s="280" t="s">
        <v>570</v>
      </c>
      <c r="B49" s="274">
        <f>B47-B48</f>
        <v>0</v>
      </c>
    </row>
    <row r="50" spans="1:19" ht="15" customHeight="1" x14ac:dyDescent="0.25">
      <c r="A50" s="280" t="s">
        <v>571</v>
      </c>
      <c r="B50" s="281" t="str">
        <f>IF(B47=0,"⚠ not in T-12 — verify with operator / broker",IF(IFERROR(ABS(B49)/B48,1)&gt;0.1,"⚠ variance &gt;10% — review","✓ in range"))</f>
        <v>⚠ not in T-12 — verify with operator / broker</v>
      </c>
    </row>
    <row r="54" spans="1:19" ht="15" customHeight="1" x14ac:dyDescent="0.25">
      <c r="A54" s="821" t="s">
        <v>573</v>
      </c>
      <c r="B54" s="798"/>
      <c r="C54" s="798"/>
      <c r="D54" s="798"/>
      <c r="E54" s="798"/>
      <c r="F54" s="798"/>
      <c r="G54" s="798"/>
      <c r="H54" s="798"/>
      <c r="I54" s="798"/>
      <c r="J54" s="798"/>
      <c r="K54" s="798"/>
      <c r="L54" s="798"/>
      <c r="M54" s="798"/>
      <c r="N54" s="798"/>
      <c r="O54" s="798"/>
      <c r="P54" s="798"/>
      <c r="Q54" s="798"/>
      <c r="R54" s="798"/>
      <c r="S54" s="805"/>
    </row>
    <row r="55" spans="1:19" ht="15" customHeight="1" x14ac:dyDescent="0.25">
      <c r="A55" s="815" t="s">
        <v>574</v>
      </c>
      <c r="B55" s="798"/>
      <c r="C55" s="798"/>
      <c r="D55" s="798"/>
      <c r="E55" s="798"/>
      <c r="F55" s="798"/>
      <c r="G55" s="798"/>
      <c r="H55" s="798"/>
      <c r="I55" s="798"/>
      <c r="J55" s="798"/>
      <c r="K55" s="798"/>
      <c r="L55" s="798"/>
      <c r="M55" s="798"/>
      <c r="N55" s="798"/>
      <c r="O55" s="798"/>
      <c r="P55" s="798"/>
      <c r="Q55" s="798"/>
      <c r="R55" s="798"/>
    </row>
    <row r="56" spans="1:19" ht="15" customHeight="1" x14ac:dyDescent="0.25">
      <c r="A56" s="282" t="s">
        <v>575</v>
      </c>
      <c r="B56" s="283" t="str">
        <f t="shared" ref="B56:M56" si="4">C140</f>
        <v>Apr-25</v>
      </c>
      <c r="C56" s="283" t="str">
        <f t="shared" si="4"/>
        <v>May-25</v>
      </c>
      <c r="D56" s="283" t="str">
        <f t="shared" si="4"/>
        <v>Jun-25</v>
      </c>
      <c r="E56" s="283" t="str">
        <f t="shared" si="4"/>
        <v>Jul-25</v>
      </c>
      <c r="F56" s="283" t="str">
        <f t="shared" si="4"/>
        <v>Aug-25</v>
      </c>
      <c r="G56" s="283" t="str">
        <f t="shared" si="4"/>
        <v>Sep-25</v>
      </c>
      <c r="H56" s="283" t="str">
        <f t="shared" si="4"/>
        <v>Oct-25</v>
      </c>
      <c r="I56" s="283" t="str">
        <f t="shared" si="4"/>
        <v>Nov-25</v>
      </c>
      <c r="J56" s="283" t="str">
        <f t="shared" si="4"/>
        <v>Dec-25</v>
      </c>
      <c r="K56" s="283" t="str">
        <f t="shared" si="4"/>
        <v>Jan-26</v>
      </c>
      <c r="L56" s="283" t="str">
        <f t="shared" si="4"/>
        <v>Feb-26</v>
      </c>
      <c r="M56" s="283" t="str">
        <f t="shared" si="4"/>
        <v>Mar-26</v>
      </c>
      <c r="N56" s="284" t="s">
        <v>576</v>
      </c>
      <c r="O56" s="284" t="s">
        <v>528</v>
      </c>
      <c r="P56" s="284" t="s">
        <v>554</v>
      </c>
      <c r="Q56" s="284" t="s">
        <v>577</v>
      </c>
      <c r="R56" s="284" t="s">
        <v>578</v>
      </c>
    </row>
    <row r="57" spans="1:19" ht="15" customHeight="1" x14ac:dyDescent="0.25">
      <c r="A57" s="817" t="s">
        <v>579</v>
      </c>
      <c r="B57" s="798"/>
      <c r="C57" s="798"/>
      <c r="D57" s="798"/>
      <c r="E57" s="798"/>
      <c r="F57" s="798"/>
      <c r="G57" s="798"/>
      <c r="H57" s="798"/>
      <c r="I57" s="798"/>
      <c r="J57" s="798"/>
      <c r="K57" s="798"/>
      <c r="L57" s="798"/>
      <c r="M57" s="798"/>
      <c r="N57" s="798"/>
      <c r="O57" s="798"/>
      <c r="P57" s="798"/>
      <c r="Q57" s="798"/>
      <c r="R57" s="798"/>
    </row>
    <row r="58" spans="1:19" ht="15" customHeight="1" x14ac:dyDescent="0.25">
      <c r="A58" s="271" t="s">
        <v>580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6">
        <f>SUM(B58:M58)</f>
        <v>0</v>
      </c>
      <c r="O58" s="285">
        <f t="shared" ref="O58:O80" si="5">SUM(K58:M58)*4</f>
        <v>0</v>
      </c>
      <c r="P58" s="285">
        <f t="shared" ref="P58:P80" si="6">IFERROR(N58/$B$20/12,0)</f>
        <v>0</v>
      </c>
      <c r="Q58" s="275">
        <f t="shared" ref="Q58:Q80" si="7">IFERROR(N58/N$80,0)</f>
        <v>0</v>
      </c>
      <c r="R58" s="275"/>
      <c r="S58" s="271"/>
    </row>
    <row r="59" spans="1:19" ht="15" customHeight="1" x14ac:dyDescent="0.25">
      <c r="A59" s="271" t="s">
        <v>581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6">
        <f>SUM(B59:M59)</f>
        <v>0</v>
      </c>
      <c r="O59" s="285">
        <f t="shared" si="5"/>
        <v>0</v>
      </c>
      <c r="P59" s="285">
        <f t="shared" si="6"/>
        <v>0</v>
      </c>
      <c r="Q59" s="275">
        <f t="shared" si="7"/>
        <v>0</v>
      </c>
      <c r="R59" s="275"/>
      <c r="S59" s="271"/>
    </row>
    <row r="60" spans="1:19" ht="15" customHeight="1" x14ac:dyDescent="0.25">
      <c r="A60" s="271" t="s">
        <v>582</v>
      </c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6">
        <f>SUM(B60:M60)</f>
        <v>0</v>
      </c>
      <c r="O60" s="285">
        <f t="shared" si="5"/>
        <v>0</v>
      </c>
      <c r="P60" s="285">
        <f t="shared" si="6"/>
        <v>0</v>
      </c>
      <c r="Q60" s="275">
        <f t="shared" si="7"/>
        <v>0</v>
      </c>
      <c r="R60" s="275"/>
      <c r="S60" s="271"/>
    </row>
    <row r="61" spans="1:19" ht="15" customHeight="1" x14ac:dyDescent="0.25">
      <c r="A61" s="271" t="str">
        <f>"  Base Rent — Other Care ("&amp;'Prop Info'!$D$13&amp;")"</f>
        <v xml:space="preserve">  Base Rent — Other Care ()</v>
      </c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6">
        <f>SUM(B61:M61)</f>
        <v>0</v>
      </c>
      <c r="O61" s="285">
        <f t="shared" si="5"/>
        <v>0</v>
      </c>
      <c r="P61" s="285">
        <f t="shared" si="6"/>
        <v>0</v>
      </c>
      <c r="Q61" s="275">
        <f t="shared" si="7"/>
        <v>0</v>
      </c>
      <c r="R61" s="275"/>
      <c r="S61" s="271"/>
    </row>
    <row r="62" spans="1:19" ht="15" customHeight="1" x14ac:dyDescent="0.25">
      <c r="A62" s="266" t="s">
        <v>583</v>
      </c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7">
        <f>SUM(N58:N61)</f>
        <v>0</v>
      </c>
      <c r="O62" s="285">
        <f t="shared" si="5"/>
        <v>0</v>
      </c>
      <c r="P62" s="285">
        <f t="shared" si="6"/>
        <v>0</v>
      </c>
      <c r="Q62" s="275">
        <f t="shared" si="7"/>
        <v>0</v>
      </c>
      <c r="R62" s="275"/>
      <c r="S62" s="271"/>
    </row>
    <row r="63" spans="1:19" ht="15" customHeight="1" x14ac:dyDescent="0.25">
      <c r="A63" s="271" t="s">
        <v>584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6">
        <f>SUM(B63:M63)</f>
        <v>0</v>
      </c>
      <c r="O63" s="285">
        <f t="shared" si="5"/>
        <v>0</v>
      </c>
      <c r="P63" s="285">
        <f t="shared" si="6"/>
        <v>0</v>
      </c>
      <c r="Q63" s="275">
        <f t="shared" si="7"/>
        <v>0</v>
      </c>
      <c r="R63" s="275"/>
      <c r="S63" s="271"/>
    </row>
    <row r="64" spans="1:19" ht="15" customHeight="1" x14ac:dyDescent="0.25">
      <c r="A64" s="271" t="s">
        <v>585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6">
        <f>SUM(B64:M64)</f>
        <v>0</v>
      </c>
      <c r="O64" s="285">
        <f t="shared" si="5"/>
        <v>0</v>
      </c>
      <c r="P64" s="285">
        <f t="shared" si="6"/>
        <v>0</v>
      </c>
      <c r="Q64" s="275">
        <f t="shared" si="7"/>
        <v>0</v>
      </c>
      <c r="R64" s="275"/>
      <c r="S64" s="271"/>
    </row>
    <row r="65" spans="1:19" ht="15" customHeight="1" x14ac:dyDescent="0.25">
      <c r="A65" s="271" t="s">
        <v>586</v>
      </c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6">
        <f>SUM(B65:M65)</f>
        <v>0</v>
      </c>
      <c r="O65" s="285">
        <f t="shared" si="5"/>
        <v>0</v>
      </c>
      <c r="P65" s="285">
        <f t="shared" si="6"/>
        <v>0</v>
      </c>
      <c r="Q65" s="275">
        <f t="shared" si="7"/>
        <v>0</v>
      </c>
      <c r="R65" s="275"/>
      <c r="S65" s="271"/>
    </row>
    <row r="66" spans="1:19" ht="15" customHeight="1" x14ac:dyDescent="0.25">
      <c r="A66" s="271" t="str">
        <f>"  LOC / Care Services — Other Care ("&amp;'Prop Info'!$D$13&amp;")"</f>
        <v xml:space="preserve">  LOC / Care Services — Other Care ()</v>
      </c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6">
        <f>SUM(B66:M66)</f>
        <v>0</v>
      </c>
      <c r="O66" s="285">
        <f t="shared" si="5"/>
        <v>0</v>
      </c>
      <c r="P66" s="285">
        <f t="shared" si="6"/>
        <v>0</v>
      </c>
      <c r="Q66" s="275">
        <f t="shared" si="7"/>
        <v>0</v>
      </c>
      <c r="R66" s="275"/>
      <c r="S66" s="271"/>
    </row>
    <row r="67" spans="1:19" ht="15" customHeight="1" x14ac:dyDescent="0.25">
      <c r="A67" s="266" t="s">
        <v>587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7">
        <f>SUM(N63:N66)</f>
        <v>0</v>
      </c>
      <c r="O67" s="285">
        <f t="shared" si="5"/>
        <v>0</v>
      </c>
      <c r="P67" s="285">
        <f t="shared" si="6"/>
        <v>0</v>
      </c>
      <c r="Q67" s="275">
        <f t="shared" si="7"/>
        <v>0</v>
      </c>
      <c r="R67" s="275"/>
      <c r="S67" s="271"/>
    </row>
    <row r="68" spans="1:19" ht="15" customHeight="1" x14ac:dyDescent="0.25">
      <c r="A68" s="271" t="s">
        <v>263</v>
      </c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6">
        <f t="shared" ref="N68:N79" si="8">SUM(B68:M68)</f>
        <v>0</v>
      </c>
      <c r="O68" s="285">
        <f t="shared" si="5"/>
        <v>0</v>
      </c>
      <c r="P68" s="285">
        <f t="shared" si="6"/>
        <v>0</v>
      </c>
      <c r="Q68" s="275">
        <f t="shared" si="7"/>
        <v>0</v>
      </c>
      <c r="R68" s="275"/>
      <c r="S68" s="271"/>
    </row>
    <row r="69" spans="1:19" ht="15" customHeight="1" x14ac:dyDescent="0.25">
      <c r="A69" s="271" t="s">
        <v>588</v>
      </c>
      <c r="B69" s="285"/>
      <c r="C69" s="285"/>
      <c r="D69" s="285"/>
      <c r="E69" s="285"/>
      <c r="F69" s="285"/>
      <c r="G69" s="285"/>
      <c r="H69" s="285"/>
      <c r="I69" s="285"/>
      <c r="J69" s="285"/>
      <c r="K69" s="285"/>
      <c r="L69" s="285"/>
      <c r="M69" s="285"/>
      <c r="N69" s="286">
        <f t="shared" si="8"/>
        <v>0</v>
      </c>
      <c r="O69" s="285">
        <f t="shared" si="5"/>
        <v>0</v>
      </c>
      <c r="P69" s="285">
        <f t="shared" si="6"/>
        <v>0</v>
      </c>
      <c r="Q69" s="275">
        <f t="shared" si="7"/>
        <v>0</v>
      </c>
      <c r="R69" s="275"/>
      <c r="S69" s="271"/>
    </row>
    <row r="70" spans="1:19" ht="15" customHeight="1" x14ac:dyDescent="0.25">
      <c r="A70" s="271" t="s">
        <v>589</v>
      </c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6">
        <f t="shared" si="8"/>
        <v>0</v>
      </c>
      <c r="O70" s="285">
        <f t="shared" si="5"/>
        <v>0</v>
      </c>
      <c r="P70" s="285">
        <f t="shared" si="6"/>
        <v>0</v>
      </c>
      <c r="Q70" s="275">
        <f t="shared" si="7"/>
        <v>0</v>
      </c>
      <c r="R70" s="275"/>
      <c r="S70" s="271"/>
    </row>
    <row r="71" spans="1:19" ht="15" customHeight="1" x14ac:dyDescent="0.25">
      <c r="A71" s="271" t="s">
        <v>590</v>
      </c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6">
        <f t="shared" si="8"/>
        <v>0</v>
      </c>
      <c r="O71" s="285">
        <f t="shared" si="5"/>
        <v>0</v>
      </c>
      <c r="P71" s="285">
        <f t="shared" si="6"/>
        <v>0</v>
      </c>
      <c r="Q71" s="275">
        <f t="shared" si="7"/>
        <v>0</v>
      </c>
      <c r="R71" s="275"/>
      <c r="S71" s="271"/>
    </row>
    <row r="72" spans="1:19" ht="15" customHeight="1" x14ac:dyDescent="0.25">
      <c r="A72" s="271" t="s">
        <v>591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6">
        <f t="shared" si="8"/>
        <v>0</v>
      </c>
      <c r="O72" s="285">
        <f t="shared" si="5"/>
        <v>0</v>
      </c>
      <c r="P72" s="285">
        <f t="shared" si="6"/>
        <v>0</v>
      </c>
      <c r="Q72" s="275">
        <f t="shared" si="7"/>
        <v>0</v>
      </c>
      <c r="R72" s="275"/>
      <c r="S72" s="271"/>
    </row>
    <row r="73" spans="1:19" ht="15" customHeight="1" x14ac:dyDescent="0.25">
      <c r="A73" s="271" t="s">
        <v>592</v>
      </c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6">
        <f t="shared" si="8"/>
        <v>0</v>
      </c>
      <c r="O73" s="285">
        <f t="shared" si="5"/>
        <v>0</v>
      </c>
      <c r="P73" s="285">
        <f t="shared" si="6"/>
        <v>0</v>
      </c>
      <c r="Q73" s="275">
        <f t="shared" si="7"/>
        <v>0</v>
      </c>
      <c r="R73" s="275"/>
      <c r="S73" s="271"/>
    </row>
    <row r="74" spans="1:19" ht="15" customHeight="1" x14ac:dyDescent="0.25">
      <c r="A74" s="271" t="s">
        <v>593</v>
      </c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6">
        <f t="shared" si="8"/>
        <v>0</v>
      </c>
      <c r="O74" s="285">
        <f t="shared" si="5"/>
        <v>0</v>
      </c>
      <c r="P74" s="285">
        <f t="shared" si="6"/>
        <v>0</v>
      </c>
      <c r="Q74" s="275">
        <f t="shared" si="7"/>
        <v>0</v>
      </c>
      <c r="R74" s="275"/>
      <c r="S74" s="271"/>
    </row>
    <row r="75" spans="1:19" ht="15" customHeight="1" x14ac:dyDescent="0.25">
      <c r="A75" s="271" t="s">
        <v>594</v>
      </c>
      <c r="B75" s="285"/>
      <c r="C75" s="285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286">
        <f t="shared" si="8"/>
        <v>0</v>
      </c>
      <c r="O75" s="285">
        <f t="shared" si="5"/>
        <v>0</v>
      </c>
      <c r="P75" s="285">
        <f t="shared" si="6"/>
        <v>0</v>
      </c>
      <c r="Q75" s="275">
        <f t="shared" si="7"/>
        <v>0</v>
      </c>
      <c r="R75" s="275"/>
      <c r="S75" s="271"/>
    </row>
    <row r="76" spans="1:19" ht="15" customHeight="1" x14ac:dyDescent="0.25">
      <c r="A76" s="271" t="s">
        <v>595</v>
      </c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6">
        <f t="shared" si="8"/>
        <v>0</v>
      </c>
      <c r="O76" s="285">
        <f t="shared" si="5"/>
        <v>0</v>
      </c>
      <c r="P76" s="285">
        <f t="shared" si="6"/>
        <v>0</v>
      </c>
      <c r="Q76" s="275">
        <f t="shared" si="7"/>
        <v>0</v>
      </c>
      <c r="R76" s="275"/>
      <c r="S76" s="271"/>
    </row>
    <row r="77" spans="1:19" ht="15" customHeight="1" x14ac:dyDescent="0.25">
      <c r="A77" s="271" t="s">
        <v>596</v>
      </c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6">
        <f t="shared" si="8"/>
        <v>0</v>
      </c>
      <c r="O77" s="285">
        <f t="shared" si="5"/>
        <v>0</v>
      </c>
      <c r="P77" s="285">
        <f t="shared" si="6"/>
        <v>0</v>
      </c>
      <c r="Q77" s="275">
        <f t="shared" si="7"/>
        <v>0</v>
      </c>
      <c r="R77" s="275"/>
      <c r="S77" s="271"/>
    </row>
    <row r="78" spans="1:19" ht="15" customHeight="1" x14ac:dyDescent="0.25">
      <c r="A78" s="271" t="s">
        <v>597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6">
        <f t="shared" si="8"/>
        <v>0</v>
      </c>
      <c r="O78" s="285">
        <f t="shared" si="5"/>
        <v>0</v>
      </c>
      <c r="P78" s="285">
        <f t="shared" si="6"/>
        <v>0</v>
      </c>
      <c r="Q78" s="275">
        <f t="shared" si="7"/>
        <v>0</v>
      </c>
      <c r="R78" s="275"/>
      <c r="S78" s="271"/>
    </row>
    <row r="79" spans="1:19" ht="15" customHeight="1" x14ac:dyDescent="0.25">
      <c r="A79" s="271" t="s">
        <v>598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6">
        <f t="shared" si="8"/>
        <v>0</v>
      </c>
      <c r="O79" s="285">
        <f t="shared" si="5"/>
        <v>0</v>
      </c>
      <c r="P79" s="285">
        <f t="shared" si="6"/>
        <v>0</v>
      </c>
      <c r="Q79" s="275">
        <f t="shared" si="7"/>
        <v>0</v>
      </c>
      <c r="R79" s="275"/>
      <c r="S79" s="271"/>
    </row>
    <row r="80" spans="1:19" ht="15" customHeight="1" x14ac:dyDescent="0.25">
      <c r="A80" s="288" t="s">
        <v>599</v>
      </c>
      <c r="B80" s="289"/>
      <c r="C80" s="289"/>
      <c r="D80" s="289"/>
      <c r="E80" s="289"/>
      <c r="F80" s="289"/>
      <c r="G80" s="289"/>
      <c r="H80" s="289"/>
      <c r="I80" s="289"/>
      <c r="J80" s="289"/>
      <c r="K80" s="289"/>
      <c r="L80" s="289"/>
      <c r="M80" s="289"/>
      <c r="N80" s="290">
        <f>N62+N67+SUM(N68:N79)</f>
        <v>0</v>
      </c>
      <c r="O80" s="289">
        <f t="shared" si="5"/>
        <v>0</v>
      </c>
      <c r="P80" s="285">
        <f t="shared" si="6"/>
        <v>0</v>
      </c>
      <c r="Q80" s="275">
        <f t="shared" si="7"/>
        <v>0</v>
      </c>
      <c r="R80" s="275"/>
      <c r="S80" s="271"/>
    </row>
    <row r="81" spans="1:20" ht="15" customHeight="1" x14ac:dyDescent="0.25">
      <c r="A81" s="271"/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6"/>
      <c r="O81" s="285"/>
      <c r="P81" s="285"/>
      <c r="Q81" s="273"/>
      <c r="R81" s="275"/>
      <c r="S81" s="271"/>
    </row>
    <row r="82" spans="1:20" ht="15" customHeight="1" x14ac:dyDescent="0.25">
      <c r="A82" s="291" t="s">
        <v>600</v>
      </c>
      <c r="B82" s="292"/>
      <c r="C82" s="292"/>
      <c r="D82" s="292"/>
      <c r="E82" s="292"/>
      <c r="F82" s="292"/>
      <c r="G82" s="292"/>
      <c r="H82" s="292"/>
      <c r="I82" s="292"/>
      <c r="J82" s="292"/>
      <c r="K82" s="292"/>
      <c r="L82" s="292"/>
      <c r="M82" s="292"/>
      <c r="N82" s="293" t="s">
        <v>576</v>
      </c>
      <c r="O82" s="293" t="s">
        <v>528</v>
      </c>
      <c r="P82" s="293" t="s">
        <v>554</v>
      </c>
      <c r="Q82" s="294" t="s">
        <v>577</v>
      </c>
      <c r="R82" s="294" t="s">
        <v>578</v>
      </c>
      <c r="S82" s="157" t="s">
        <v>601</v>
      </c>
      <c r="T82" s="157" t="s">
        <v>602</v>
      </c>
    </row>
    <row r="83" spans="1:20" ht="15" customHeight="1" x14ac:dyDescent="0.25">
      <c r="A83" s="271" t="s">
        <v>603</v>
      </c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95">
        <f>IFERROR('Rent Roll Analysis'!B30,0)</f>
        <v>0</v>
      </c>
      <c r="O83" s="285"/>
      <c r="P83" s="285">
        <f>IFERROR(N83/$B$20/12,0)</f>
        <v>0</v>
      </c>
      <c r="Q83" s="275">
        <f>IFERROR(N83/N$80,0)</f>
        <v>0</v>
      </c>
      <c r="R83" s="275"/>
      <c r="S83" s="296" t="s">
        <v>604</v>
      </c>
    </row>
    <row r="84" spans="1:20" ht="15" customHeight="1" x14ac:dyDescent="0.25">
      <c r="A84" s="271" t="s">
        <v>605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95">
        <f>-IFERROR('Rent Roll Analysis'!B32,0)</f>
        <v>0</v>
      </c>
      <c r="O84" s="285"/>
      <c r="P84" s="285">
        <f>IFERROR(N84/$B$20/12,0)</f>
        <v>0</v>
      </c>
      <c r="Q84" s="275">
        <f>IFERROR(N84/N$80,0)</f>
        <v>0</v>
      </c>
      <c r="R84" s="275"/>
      <c r="S84" s="271"/>
    </row>
    <row r="85" spans="1:20" ht="15" customHeight="1" x14ac:dyDescent="0.25">
      <c r="A85" s="271" t="s">
        <v>606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95">
        <f>-IFERROR('Rent Roll Analysis'!B34,0)</f>
        <v>0</v>
      </c>
      <c r="O85" s="285"/>
      <c r="P85" s="285">
        <f>IFERROR(N85/$B$20/12,0)</f>
        <v>0</v>
      </c>
      <c r="Q85" s="275">
        <f>IFERROR(N85/N$80,0)</f>
        <v>0</v>
      </c>
      <c r="R85" s="275"/>
      <c r="S85" s="271"/>
    </row>
    <row r="86" spans="1:20" ht="15" customHeight="1" x14ac:dyDescent="0.25">
      <c r="A86" s="266" t="s">
        <v>607</v>
      </c>
      <c r="B86" s="285"/>
      <c r="C86" s="285"/>
      <c r="D86" s="285"/>
      <c r="E86" s="285"/>
      <c r="F86" s="285"/>
      <c r="G86" s="285"/>
      <c r="H86" s="285"/>
      <c r="I86" s="285"/>
      <c r="J86" s="285"/>
      <c r="K86" s="285"/>
      <c r="L86" s="285"/>
      <c r="M86" s="285"/>
      <c r="N86" s="287">
        <f>N83+N84+N85</f>
        <v>0</v>
      </c>
      <c r="O86" s="285"/>
      <c r="P86" s="285">
        <f>IFERROR(N86/$B$20/12,0)</f>
        <v>0</v>
      </c>
      <c r="Q86" s="275">
        <f>IFERROR(N86/N$80,0)</f>
        <v>0</v>
      </c>
      <c r="R86" s="275"/>
      <c r="S86" s="297">
        <f>N86-N62</f>
        <v>0</v>
      </c>
      <c r="T86" s="298">
        <f>IFERROR(N86/N62-1,0)</f>
        <v>0</v>
      </c>
    </row>
    <row r="87" spans="1:20" ht="15" customHeight="1" x14ac:dyDescent="0.25">
      <c r="A87" s="291" t="s">
        <v>608</v>
      </c>
      <c r="B87" s="292"/>
      <c r="C87" s="292"/>
      <c r="D87" s="292"/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92"/>
      <c r="P87" s="292"/>
      <c r="Q87" s="299"/>
      <c r="R87" s="299"/>
    </row>
    <row r="88" spans="1:20" ht="15" customHeight="1" x14ac:dyDescent="0.25">
      <c r="A88" s="271" t="s">
        <v>609</v>
      </c>
      <c r="B88" s="285">
        <v>0</v>
      </c>
      <c r="C88" s="285">
        <v>0</v>
      </c>
      <c r="D88" s="285">
        <v>0</v>
      </c>
      <c r="E88" s="285">
        <v>0</v>
      </c>
      <c r="F88" s="285">
        <v>0</v>
      </c>
      <c r="G88" s="285">
        <v>0</v>
      </c>
      <c r="H88" s="285">
        <v>0</v>
      </c>
      <c r="I88" s="285">
        <v>0</v>
      </c>
      <c r="J88" s="285">
        <v>0</v>
      </c>
      <c r="K88" s="285">
        <v>0</v>
      </c>
      <c r="L88" s="285">
        <v>0</v>
      </c>
      <c r="M88" s="285">
        <v>0</v>
      </c>
      <c r="N88" s="286">
        <f t="shared" ref="N88:N101" si="9">SUM(B88:M88)</f>
        <v>0</v>
      </c>
      <c r="O88" s="285">
        <f t="shared" ref="O88:O102" si="10">SUM(K88:M88)*4</f>
        <v>0</v>
      </c>
      <c r="P88" s="285">
        <f t="shared" ref="P88:P102" si="11">IFERROR(N88/$B$20/12,0)</f>
        <v>0</v>
      </c>
      <c r="Q88" s="275">
        <f t="shared" ref="Q88:Q102" si="12">IFERROR(N88/N$80,0)</f>
        <v>0</v>
      </c>
      <c r="R88" s="296" t="s">
        <v>610</v>
      </c>
    </row>
    <row r="89" spans="1:20" ht="15" customHeight="1" x14ac:dyDescent="0.25">
      <c r="A89" s="271" t="s">
        <v>611</v>
      </c>
      <c r="B89" s="285">
        <v>0</v>
      </c>
      <c r="C89" s="285">
        <v>0</v>
      </c>
      <c r="D89" s="285">
        <v>0</v>
      </c>
      <c r="E89" s="285">
        <v>0</v>
      </c>
      <c r="F89" s="285">
        <v>0</v>
      </c>
      <c r="G89" s="285">
        <v>0</v>
      </c>
      <c r="H89" s="285">
        <v>0</v>
      </c>
      <c r="I89" s="285">
        <v>0</v>
      </c>
      <c r="J89" s="285">
        <v>0</v>
      </c>
      <c r="K89" s="285">
        <v>0</v>
      </c>
      <c r="L89" s="285">
        <v>0</v>
      </c>
      <c r="M89" s="285">
        <v>0</v>
      </c>
      <c r="N89" s="286">
        <f t="shared" si="9"/>
        <v>0</v>
      </c>
      <c r="O89" s="285">
        <f t="shared" si="10"/>
        <v>0</v>
      </c>
      <c r="P89" s="285">
        <f t="shared" si="11"/>
        <v>0</v>
      </c>
      <c r="Q89" s="275">
        <f t="shared" si="12"/>
        <v>0</v>
      </c>
      <c r="R89" s="296"/>
    </row>
    <row r="90" spans="1:20" ht="15" customHeight="1" x14ac:dyDescent="0.25">
      <c r="A90" s="271" t="s">
        <v>612</v>
      </c>
      <c r="B90" s="285">
        <v>0</v>
      </c>
      <c r="C90" s="285">
        <v>0</v>
      </c>
      <c r="D90" s="285">
        <v>0</v>
      </c>
      <c r="E90" s="285">
        <v>0</v>
      </c>
      <c r="F90" s="285">
        <v>0</v>
      </c>
      <c r="G90" s="285">
        <v>0</v>
      </c>
      <c r="H90" s="285">
        <v>0</v>
      </c>
      <c r="I90" s="285">
        <v>0</v>
      </c>
      <c r="J90" s="285">
        <v>0</v>
      </c>
      <c r="K90" s="285">
        <v>0</v>
      </c>
      <c r="L90" s="285">
        <v>0</v>
      </c>
      <c r="M90" s="285">
        <v>0</v>
      </c>
      <c r="N90" s="286">
        <f t="shared" si="9"/>
        <v>0</v>
      </c>
      <c r="O90" s="285">
        <f t="shared" si="10"/>
        <v>0</v>
      </c>
      <c r="P90" s="285">
        <f t="shared" si="11"/>
        <v>0</v>
      </c>
      <c r="Q90" s="275">
        <f t="shared" si="12"/>
        <v>0</v>
      </c>
      <c r="R90" s="296" t="s">
        <v>613</v>
      </c>
    </row>
    <row r="91" spans="1:20" ht="15" customHeight="1" x14ac:dyDescent="0.25">
      <c r="A91" s="271" t="s">
        <v>614</v>
      </c>
      <c r="B91" s="285">
        <v>0</v>
      </c>
      <c r="C91" s="285">
        <v>0</v>
      </c>
      <c r="D91" s="285">
        <v>0</v>
      </c>
      <c r="E91" s="285">
        <v>0</v>
      </c>
      <c r="F91" s="285">
        <v>0</v>
      </c>
      <c r="G91" s="285">
        <v>0</v>
      </c>
      <c r="H91" s="285">
        <v>0</v>
      </c>
      <c r="I91" s="285">
        <v>0</v>
      </c>
      <c r="J91" s="285">
        <v>0</v>
      </c>
      <c r="K91" s="285">
        <v>0</v>
      </c>
      <c r="L91" s="285">
        <v>0</v>
      </c>
      <c r="M91" s="285">
        <v>0</v>
      </c>
      <c r="N91" s="286">
        <f t="shared" si="9"/>
        <v>0</v>
      </c>
      <c r="O91" s="285">
        <f t="shared" si="10"/>
        <v>0</v>
      </c>
      <c r="P91" s="285">
        <f t="shared" si="11"/>
        <v>0</v>
      </c>
      <c r="Q91" s="275">
        <f t="shared" si="12"/>
        <v>0</v>
      </c>
      <c r="R91" s="296"/>
    </row>
    <row r="92" spans="1:20" ht="15" customHeight="1" x14ac:dyDescent="0.25">
      <c r="A92" s="271" t="s">
        <v>615</v>
      </c>
      <c r="B92" s="285">
        <v>0</v>
      </c>
      <c r="C92" s="285">
        <v>0</v>
      </c>
      <c r="D92" s="285">
        <v>0</v>
      </c>
      <c r="E92" s="285">
        <v>0</v>
      </c>
      <c r="F92" s="285">
        <v>0</v>
      </c>
      <c r="G92" s="285">
        <v>0</v>
      </c>
      <c r="H92" s="285">
        <v>0</v>
      </c>
      <c r="I92" s="285">
        <v>0</v>
      </c>
      <c r="J92" s="285">
        <v>0</v>
      </c>
      <c r="K92" s="285">
        <v>0</v>
      </c>
      <c r="L92" s="285">
        <v>0</v>
      </c>
      <c r="M92" s="285">
        <v>0</v>
      </c>
      <c r="N92" s="286">
        <f t="shared" si="9"/>
        <v>0</v>
      </c>
      <c r="O92" s="285">
        <f t="shared" si="10"/>
        <v>0</v>
      </c>
      <c r="P92" s="285">
        <f t="shared" si="11"/>
        <v>0</v>
      </c>
      <c r="Q92" s="275">
        <f t="shared" si="12"/>
        <v>0</v>
      </c>
      <c r="R92" s="296"/>
    </row>
    <row r="93" spans="1:20" ht="15" customHeight="1" x14ac:dyDescent="0.25">
      <c r="A93" s="271" t="s">
        <v>616</v>
      </c>
      <c r="B93" s="285">
        <v>0</v>
      </c>
      <c r="C93" s="285">
        <v>0</v>
      </c>
      <c r="D93" s="285">
        <v>0</v>
      </c>
      <c r="E93" s="285">
        <v>0</v>
      </c>
      <c r="F93" s="285">
        <v>0</v>
      </c>
      <c r="G93" s="285">
        <v>0</v>
      </c>
      <c r="H93" s="285">
        <v>0</v>
      </c>
      <c r="I93" s="285">
        <v>0</v>
      </c>
      <c r="J93" s="285">
        <v>0</v>
      </c>
      <c r="K93" s="285">
        <v>0</v>
      </c>
      <c r="L93" s="285">
        <v>0</v>
      </c>
      <c r="M93" s="285">
        <v>0</v>
      </c>
      <c r="N93" s="286">
        <f t="shared" si="9"/>
        <v>0</v>
      </c>
      <c r="O93" s="285">
        <f t="shared" si="10"/>
        <v>0</v>
      </c>
      <c r="P93" s="285">
        <f t="shared" si="11"/>
        <v>0</v>
      </c>
      <c r="Q93" s="275">
        <f t="shared" si="12"/>
        <v>0</v>
      </c>
      <c r="R93" s="296"/>
    </row>
    <row r="94" spans="1:20" ht="15" customHeight="1" x14ac:dyDescent="0.25">
      <c r="A94" s="271" t="s">
        <v>617</v>
      </c>
      <c r="B94" s="285">
        <v>0</v>
      </c>
      <c r="C94" s="285">
        <v>0</v>
      </c>
      <c r="D94" s="285">
        <v>0</v>
      </c>
      <c r="E94" s="285">
        <v>0</v>
      </c>
      <c r="F94" s="285">
        <v>0</v>
      </c>
      <c r="G94" s="285">
        <v>0</v>
      </c>
      <c r="H94" s="285">
        <v>0</v>
      </c>
      <c r="I94" s="285">
        <v>0</v>
      </c>
      <c r="J94" s="285">
        <v>0</v>
      </c>
      <c r="K94" s="285">
        <v>0</v>
      </c>
      <c r="L94" s="285">
        <v>0</v>
      </c>
      <c r="M94" s="285">
        <v>0</v>
      </c>
      <c r="N94" s="286">
        <f t="shared" si="9"/>
        <v>0</v>
      </c>
      <c r="O94" s="285">
        <f t="shared" si="10"/>
        <v>0</v>
      </c>
      <c r="P94" s="285">
        <f t="shared" si="11"/>
        <v>0</v>
      </c>
      <c r="Q94" s="275">
        <f t="shared" si="12"/>
        <v>0</v>
      </c>
      <c r="R94" s="296"/>
    </row>
    <row r="95" spans="1:20" ht="15" customHeight="1" x14ac:dyDescent="0.25">
      <c r="A95" s="271" t="s">
        <v>618</v>
      </c>
      <c r="B95" s="285">
        <v>0</v>
      </c>
      <c r="C95" s="285">
        <v>0</v>
      </c>
      <c r="D95" s="285">
        <v>0</v>
      </c>
      <c r="E95" s="285">
        <v>0</v>
      </c>
      <c r="F95" s="285">
        <v>0</v>
      </c>
      <c r="G95" s="285">
        <v>0</v>
      </c>
      <c r="H95" s="285">
        <v>0</v>
      </c>
      <c r="I95" s="285">
        <v>0</v>
      </c>
      <c r="J95" s="285">
        <v>0</v>
      </c>
      <c r="K95" s="285">
        <v>0</v>
      </c>
      <c r="L95" s="285">
        <v>0</v>
      </c>
      <c r="M95" s="285">
        <v>0</v>
      </c>
      <c r="N95" s="286">
        <f t="shared" si="9"/>
        <v>0</v>
      </c>
      <c r="O95" s="285">
        <f t="shared" si="10"/>
        <v>0</v>
      </c>
      <c r="P95" s="285">
        <f t="shared" si="11"/>
        <v>0</v>
      </c>
      <c r="Q95" s="275">
        <f t="shared" si="12"/>
        <v>0</v>
      </c>
      <c r="R95" s="296"/>
    </row>
    <row r="96" spans="1:20" ht="15" customHeight="1" x14ac:dyDescent="0.25">
      <c r="A96" s="271" t="s">
        <v>619</v>
      </c>
      <c r="B96" s="285">
        <v>0</v>
      </c>
      <c r="C96" s="285">
        <v>0</v>
      </c>
      <c r="D96" s="285">
        <v>0</v>
      </c>
      <c r="E96" s="285">
        <v>0</v>
      </c>
      <c r="F96" s="285">
        <v>0</v>
      </c>
      <c r="G96" s="285">
        <v>0</v>
      </c>
      <c r="H96" s="285">
        <v>0</v>
      </c>
      <c r="I96" s="285">
        <v>0</v>
      </c>
      <c r="J96" s="285">
        <v>0</v>
      </c>
      <c r="K96" s="285">
        <v>0</v>
      </c>
      <c r="L96" s="285">
        <v>0</v>
      </c>
      <c r="M96" s="285">
        <v>0</v>
      </c>
      <c r="N96" s="286">
        <f t="shared" si="9"/>
        <v>0</v>
      </c>
      <c r="O96" s="285">
        <f t="shared" si="10"/>
        <v>0</v>
      </c>
      <c r="P96" s="285">
        <f t="shared" si="11"/>
        <v>0</v>
      </c>
      <c r="Q96" s="275">
        <f t="shared" si="12"/>
        <v>0</v>
      </c>
      <c r="R96" s="296" t="s">
        <v>620</v>
      </c>
    </row>
    <row r="97" spans="1:18" ht="15" customHeight="1" x14ac:dyDescent="0.25">
      <c r="A97" s="271" t="s">
        <v>621</v>
      </c>
      <c r="B97" s="285">
        <v>0</v>
      </c>
      <c r="C97" s="285">
        <v>0</v>
      </c>
      <c r="D97" s="285">
        <v>0</v>
      </c>
      <c r="E97" s="285">
        <v>0</v>
      </c>
      <c r="F97" s="285">
        <v>0</v>
      </c>
      <c r="G97" s="285">
        <v>0</v>
      </c>
      <c r="H97" s="285">
        <v>0</v>
      </c>
      <c r="I97" s="285">
        <v>0</v>
      </c>
      <c r="J97" s="285">
        <v>0</v>
      </c>
      <c r="K97" s="285">
        <v>0</v>
      </c>
      <c r="L97" s="285">
        <v>0</v>
      </c>
      <c r="M97" s="285">
        <v>0</v>
      </c>
      <c r="N97" s="286">
        <f t="shared" si="9"/>
        <v>0</v>
      </c>
      <c r="O97" s="285">
        <f t="shared" si="10"/>
        <v>0</v>
      </c>
      <c r="P97" s="285">
        <f t="shared" si="11"/>
        <v>0</v>
      </c>
      <c r="Q97" s="275">
        <f t="shared" si="12"/>
        <v>0</v>
      </c>
      <c r="R97" s="296"/>
    </row>
    <row r="98" spans="1:18" ht="15" customHeight="1" x14ac:dyDescent="0.25">
      <c r="A98" s="271" t="s">
        <v>622</v>
      </c>
      <c r="B98" s="285">
        <v>0</v>
      </c>
      <c r="C98" s="285">
        <v>0</v>
      </c>
      <c r="D98" s="285">
        <v>0</v>
      </c>
      <c r="E98" s="285">
        <v>0</v>
      </c>
      <c r="F98" s="285">
        <v>0</v>
      </c>
      <c r="G98" s="285">
        <v>0</v>
      </c>
      <c r="H98" s="285">
        <v>0</v>
      </c>
      <c r="I98" s="285">
        <v>0</v>
      </c>
      <c r="J98" s="285">
        <v>0</v>
      </c>
      <c r="K98" s="285">
        <v>0</v>
      </c>
      <c r="L98" s="285">
        <v>0</v>
      </c>
      <c r="M98" s="285">
        <v>0</v>
      </c>
      <c r="N98" s="286">
        <f t="shared" si="9"/>
        <v>0</v>
      </c>
      <c r="O98" s="285">
        <f t="shared" si="10"/>
        <v>0</v>
      </c>
      <c r="P98" s="285">
        <f t="shared" si="11"/>
        <v>0</v>
      </c>
      <c r="Q98" s="275">
        <f t="shared" si="12"/>
        <v>0</v>
      </c>
      <c r="R98" s="296" t="s">
        <v>623</v>
      </c>
    </row>
    <row r="99" spans="1:18" ht="15" customHeight="1" x14ac:dyDescent="0.25">
      <c r="A99" s="271" t="s">
        <v>624</v>
      </c>
      <c r="B99" s="285">
        <v>0</v>
      </c>
      <c r="C99" s="285">
        <v>0</v>
      </c>
      <c r="D99" s="285">
        <v>0</v>
      </c>
      <c r="E99" s="285">
        <v>0</v>
      </c>
      <c r="F99" s="285">
        <v>0</v>
      </c>
      <c r="G99" s="285">
        <v>0</v>
      </c>
      <c r="H99" s="285">
        <v>0</v>
      </c>
      <c r="I99" s="285">
        <v>0</v>
      </c>
      <c r="J99" s="285">
        <v>0</v>
      </c>
      <c r="K99" s="285">
        <v>0</v>
      </c>
      <c r="L99" s="285">
        <v>0</v>
      </c>
      <c r="M99" s="285">
        <v>0</v>
      </c>
      <c r="N99" s="286">
        <f t="shared" si="9"/>
        <v>0</v>
      </c>
      <c r="O99" s="285">
        <f t="shared" si="10"/>
        <v>0</v>
      </c>
      <c r="P99" s="285">
        <f t="shared" si="11"/>
        <v>0</v>
      </c>
      <c r="Q99" s="275">
        <f t="shared" si="12"/>
        <v>0</v>
      </c>
      <c r="R99" s="296"/>
    </row>
    <row r="100" spans="1:18" ht="15" customHeight="1" x14ac:dyDescent="0.25">
      <c r="A100" s="271" t="s">
        <v>625</v>
      </c>
      <c r="B100" s="285">
        <v>0</v>
      </c>
      <c r="C100" s="285">
        <v>0</v>
      </c>
      <c r="D100" s="285">
        <v>0</v>
      </c>
      <c r="E100" s="285">
        <v>0</v>
      </c>
      <c r="F100" s="285">
        <v>0</v>
      </c>
      <c r="G100" s="285">
        <v>0</v>
      </c>
      <c r="H100" s="285">
        <v>0</v>
      </c>
      <c r="I100" s="285">
        <v>0</v>
      </c>
      <c r="J100" s="285">
        <v>0</v>
      </c>
      <c r="K100" s="285">
        <v>0</v>
      </c>
      <c r="L100" s="285">
        <v>0</v>
      </c>
      <c r="M100" s="285">
        <v>0</v>
      </c>
      <c r="N100" s="286">
        <f t="shared" si="9"/>
        <v>0</v>
      </c>
      <c r="O100" s="285">
        <f t="shared" si="10"/>
        <v>0</v>
      </c>
      <c r="P100" s="285">
        <f t="shared" si="11"/>
        <v>0</v>
      </c>
      <c r="Q100" s="275">
        <f t="shared" si="12"/>
        <v>0</v>
      </c>
      <c r="R100" s="296"/>
    </row>
    <row r="101" spans="1:18" ht="15" customHeight="1" x14ac:dyDescent="0.25">
      <c r="A101" s="271" t="s">
        <v>626</v>
      </c>
      <c r="B101" s="285">
        <v>0</v>
      </c>
      <c r="C101" s="285">
        <v>0</v>
      </c>
      <c r="D101" s="285">
        <v>0</v>
      </c>
      <c r="E101" s="285">
        <v>0</v>
      </c>
      <c r="F101" s="285">
        <v>0</v>
      </c>
      <c r="G101" s="285">
        <v>0</v>
      </c>
      <c r="H101" s="285">
        <v>0</v>
      </c>
      <c r="I101" s="285">
        <v>0</v>
      </c>
      <c r="J101" s="285">
        <v>0</v>
      </c>
      <c r="K101" s="285">
        <v>0</v>
      </c>
      <c r="L101" s="285">
        <v>0</v>
      </c>
      <c r="M101" s="285">
        <v>0</v>
      </c>
      <c r="N101" s="286">
        <f t="shared" si="9"/>
        <v>0</v>
      </c>
      <c r="O101" s="285">
        <f t="shared" si="10"/>
        <v>0</v>
      </c>
      <c r="P101" s="285">
        <f t="shared" si="11"/>
        <v>0</v>
      </c>
      <c r="Q101" s="275">
        <f t="shared" si="12"/>
        <v>0</v>
      </c>
      <c r="R101" s="296"/>
    </row>
    <row r="102" spans="1:18" ht="15" customHeight="1" x14ac:dyDescent="0.25">
      <c r="A102" s="288" t="s">
        <v>627</v>
      </c>
      <c r="B102" s="289">
        <f t="shared" ref="B102:N102" si="13">SUM(B88:B101)</f>
        <v>0</v>
      </c>
      <c r="C102" s="289">
        <f t="shared" si="13"/>
        <v>0</v>
      </c>
      <c r="D102" s="289">
        <f t="shared" si="13"/>
        <v>0</v>
      </c>
      <c r="E102" s="289">
        <f t="shared" si="13"/>
        <v>0</v>
      </c>
      <c r="F102" s="289">
        <f t="shared" si="13"/>
        <v>0</v>
      </c>
      <c r="G102" s="289">
        <f t="shared" si="13"/>
        <v>0</v>
      </c>
      <c r="H102" s="289">
        <f t="shared" si="13"/>
        <v>0</v>
      </c>
      <c r="I102" s="289">
        <f t="shared" si="13"/>
        <v>0</v>
      </c>
      <c r="J102" s="289">
        <f t="shared" si="13"/>
        <v>0</v>
      </c>
      <c r="K102" s="289">
        <f t="shared" si="13"/>
        <v>0</v>
      </c>
      <c r="L102" s="289">
        <f t="shared" si="13"/>
        <v>0</v>
      </c>
      <c r="M102" s="289">
        <f t="shared" si="13"/>
        <v>0</v>
      </c>
      <c r="N102" s="290">
        <f t="shared" si="13"/>
        <v>0</v>
      </c>
      <c r="O102" s="289">
        <f t="shared" si="10"/>
        <v>0</v>
      </c>
      <c r="P102" s="289">
        <f t="shared" si="11"/>
        <v>0</v>
      </c>
      <c r="Q102" s="300">
        <f t="shared" si="12"/>
        <v>0</v>
      </c>
      <c r="R102" s="296" t="s">
        <v>628</v>
      </c>
    </row>
    <row r="103" spans="1:18" ht="15" customHeight="1" x14ac:dyDescent="0.25">
      <c r="A103" s="291" t="s">
        <v>629</v>
      </c>
      <c r="B103" s="292"/>
      <c r="C103" s="292"/>
      <c r="D103" s="292"/>
      <c r="E103" s="292"/>
      <c r="F103" s="292"/>
      <c r="G103" s="292"/>
      <c r="H103" s="292"/>
      <c r="I103" s="292"/>
      <c r="J103" s="292"/>
      <c r="K103" s="292"/>
      <c r="L103" s="292"/>
      <c r="M103" s="292"/>
      <c r="N103" s="292"/>
      <c r="O103" s="292"/>
      <c r="P103" s="292"/>
      <c r="Q103" s="299"/>
      <c r="R103" s="301"/>
    </row>
    <row r="104" spans="1:18" ht="15" customHeight="1" x14ac:dyDescent="0.25">
      <c r="A104" s="271" t="s">
        <v>538</v>
      </c>
      <c r="B104" s="285">
        <v>0</v>
      </c>
      <c r="C104" s="285">
        <v>0</v>
      </c>
      <c r="D104" s="285">
        <v>0</v>
      </c>
      <c r="E104" s="285">
        <v>0</v>
      </c>
      <c r="F104" s="285">
        <v>0</v>
      </c>
      <c r="G104" s="285">
        <v>0</v>
      </c>
      <c r="H104" s="285">
        <v>0</v>
      </c>
      <c r="I104" s="285">
        <v>0</v>
      </c>
      <c r="J104" s="285">
        <v>0</v>
      </c>
      <c r="K104" s="285">
        <v>0</v>
      </c>
      <c r="L104" s="285">
        <v>0</v>
      </c>
      <c r="M104" s="285">
        <v>0</v>
      </c>
      <c r="N104" s="285">
        <f t="shared" ref="N104:N116" si="14">SUM(B104:M104)</f>
        <v>0</v>
      </c>
      <c r="O104" s="285">
        <f t="shared" ref="O104:O116" si="15">SUM(K104:M104)*4</f>
        <v>0</v>
      </c>
      <c r="P104" s="285">
        <f t="shared" ref="P104:P116" si="16">IFERROR(N104/$B$20/12,0)</f>
        <v>0</v>
      </c>
      <c r="Q104" s="275">
        <f t="shared" ref="Q104:Q116" si="17">IFERROR(N104/N$80,0)</f>
        <v>0</v>
      </c>
      <c r="R104" s="296" t="s">
        <v>630</v>
      </c>
    </row>
    <row r="105" spans="1:18" ht="15" customHeight="1" x14ac:dyDescent="0.25">
      <c r="A105" s="271" t="s">
        <v>631</v>
      </c>
      <c r="B105" s="285">
        <v>0</v>
      </c>
      <c r="C105" s="285">
        <v>0</v>
      </c>
      <c r="D105" s="285">
        <v>0</v>
      </c>
      <c r="E105" s="285">
        <v>0</v>
      </c>
      <c r="F105" s="285">
        <v>0</v>
      </c>
      <c r="G105" s="285">
        <v>0</v>
      </c>
      <c r="H105" s="285">
        <v>0</v>
      </c>
      <c r="I105" s="285">
        <v>0</v>
      </c>
      <c r="J105" s="285">
        <v>0</v>
      </c>
      <c r="K105" s="285">
        <v>0</v>
      </c>
      <c r="L105" s="285">
        <v>0</v>
      </c>
      <c r="M105" s="285">
        <v>0</v>
      </c>
      <c r="N105" s="285">
        <f t="shared" si="14"/>
        <v>0</v>
      </c>
      <c r="O105" s="285">
        <f t="shared" si="15"/>
        <v>0</v>
      </c>
      <c r="P105" s="285">
        <f t="shared" si="16"/>
        <v>0</v>
      </c>
      <c r="Q105" s="275">
        <f t="shared" si="17"/>
        <v>0</v>
      </c>
      <c r="R105" s="296"/>
    </row>
    <row r="106" spans="1:18" ht="15" customHeight="1" x14ac:dyDescent="0.25">
      <c r="A106" s="271" t="s">
        <v>632</v>
      </c>
      <c r="B106" s="285">
        <v>0</v>
      </c>
      <c r="C106" s="285">
        <v>0</v>
      </c>
      <c r="D106" s="285">
        <v>0</v>
      </c>
      <c r="E106" s="285">
        <v>0</v>
      </c>
      <c r="F106" s="285">
        <v>0</v>
      </c>
      <c r="G106" s="285">
        <v>0</v>
      </c>
      <c r="H106" s="285">
        <v>0</v>
      </c>
      <c r="I106" s="285">
        <v>0</v>
      </c>
      <c r="J106" s="285">
        <v>0</v>
      </c>
      <c r="K106" s="285">
        <v>0</v>
      </c>
      <c r="L106" s="285">
        <v>0</v>
      </c>
      <c r="M106" s="285">
        <v>0</v>
      </c>
      <c r="N106" s="285">
        <f t="shared" si="14"/>
        <v>0</v>
      </c>
      <c r="O106" s="285">
        <f t="shared" si="15"/>
        <v>0</v>
      </c>
      <c r="P106" s="285">
        <f t="shared" si="16"/>
        <v>0</v>
      </c>
      <c r="Q106" s="275">
        <f t="shared" si="17"/>
        <v>0</v>
      </c>
      <c r="R106" s="296"/>
    </row>
    <row r="107" spans="1:18" ht="15" customHeight="1" x14ac:dyDescent="0.25">
      <c r="A107" s="271" t="s">
        <v>633</v>
      </c>
      <c r="B107" s="285">
        <v>0</v>
      </c>
      <c r="C107" s="285">
        <v>0</v>
      </c>
      <c r="D107" s="285">
        <v>0</v>
      </c>
      <c r="E107" s="285">
        <v>0</v>
      </c>
      <c r="F107" s="285">
        <v>0</v>
      </c>
      <c r="G107" s="285">
        <v>0</v>
      </c>
      <c r="H107" s="285">
        <v>0</v>
      </c>
      <c r="I107" s="285">
        <v>0</v>
      </c>
      <c r="J107" s="285">
        <v>0</v>
      </c>
      <c r="K107" s="285">
        <v>0</v>
      </c>
      <c r="L107" s="285">
        <v>0</v>
      </c>
      <c r="M107" s="285">
        <v>0</v>
      </c>
      <c r="N107" s="285">
        <f t="shared" si="14"/>
        <v>0</v>
      </c>
      <c r="O107" s="285">
        <f t="shared" si="15"/>
        <v>0</v>
      </c>
      <c r="P107" s="285">
        <f t="shared" si="16"/>
        <v>0</v>
      </c>
      <c r="Q107" s="275">
        <f t="shared" si="17"/>
        <v>0</v>
      </c>
      <c r="R107" s="296"/>
    </row>
    <row r="108" spans="1:18" ht="15" customHeight="1" x14ac:dyDescent="0.25">
      <c r="A108" s="271" t="s">
        <v>634</v>
      </c>
      <c r="B108" s="285">
        <v>0</v>
      </c>
      <c r="C108" s="285">
        <v>0</v>
      </c>
      <c r="D108" s="285">
        <v>0</v>
      </c>
      <c r="E108" s="285">
        <v>0</v>
      </c>
      <c r="F108" s="285">
        <v>0</v>
      </c>
      <c r="G108" s="285">
        <v>0</v>
      </c>
      <c r="H108" s="285">
        <v>0</v>
      </c>
      <c r="I108" s="285">
        <v>0</v>
      </c>
      <c r="J108" s="285">
        <v>0</v>
      </c>
      <c r="K108" s="285">
        <v>0</v>
      </c>
      <c r="L108" s="285">
        <v>0</v>
      </c>
      <c r="M108" s="285">
        <v>0</v>
      </c>
      <c r="N108" s="285">
        <f t="shared" si="14"/>
        <v>0</v>
      </c>
      <c r="O108" s="285">
        <f t="shared" si="15"/>
        <v>0</v>
      </c>
      <c r="P108" s="285">
        <f t="shared" si="16"/>
        <v>0</v>
      </c>
      <c r="Q108" s="275">
        <f t="shared" si="17"/>
        <v>0</v>
      </c>
      <c r="R108" s="296"/>
    </row>
    <row r="109" spans="1:18" ht="15" customHeight="1" x14ac:dyDescent="0.25">
      <c r="A109" s="271" t="s">
        <v>635</v>
      </c>
      <c r="B109" s="285">
        <v>0</v>
      </c>
      <c r="C109" s="285">
        <v>0</v>
      </c>
      <c r="D109" s="285">
        <v>0</v>
      </c>
      <c r="E109" s="285">
        <v>0</v>
      </c>
      <c r="F109" s="285">
        <v>0</v>
      </c>
      <c r="G109" s="285">
        <v>0</v>
      </c>
      <c r="H109" s="285">
        <v>0</v>
      </c>
      <c r="I109" s="285">
        <v>0</v>
      </c>
      <c r="J109" s="285">
        <v>0</v>
      </c>
      <c r="K109" s="285">
        <v>0</v>
      </c>
      <c r="L109" s="285">
        <v>0</v>
      </c>
      <c r="M109" s="285">
        <v>0</v>
      </c>
      <c r="N109" s="285">
        <f t="shared" si="14"/>
        <v>0</v>
      </c>
      <c r="O109" s="285">
        <f t="shared" si="15"/>
        <v>0</v>
      </c>
      <c r="P109" s="285">
        <f t="shared" si="16"/>
        <v>0</v>
      </c>
      <c r="Q109" s="275">
        <f t="shared" si="17"/>
        <v>0</v>
      </c>
      <c r="R109" s="296"/>
    </row>
    <row r="110" spans="1:18" ht="15" customHeight="1" x14ac:dyDescent="0.25">
      <c r="A110" s="271" t="s">
        <v>636</v>
      </c>
      <c r="B110" s="285">
        <v>0</v>
      </c>
      <c r="C110" s="285">
        <v>0</v>
      </c>
      <c r="D110" s="285">
        <v>0</v>
      </c>
      <c r="E110" s="285">
        <v>0</v>
      </c>
      <c r="F110" s="285">
        <v>0</v>
      </c>
      <c r="G110" s="285">
        <v>0</v>
      </c>
      <c r="H110" s="285">
        <v>0</v>
      </c>
      <c r="I110" s="285">
        <v>0</v>
      </c>
      <c r="J110" s="285">
        <v>0</v>
      </c>
      <c r="K110" s="285">
        <v>0</v>
      </c>
      <c r="L110" s="285">
        <v>0</v>
      </c>
      <c r="M110" s="285">
        <v>0</v>
      </c>
      <c r="N110" s="285">
        <f t="shared" si="14"/>
        <v>0</v>
      </c>
      <c r="O110" s="285">
        <f t="shared" si="15"/>
        <v>0</v>
      </c>
      <c r="P110" s="285">
        <f t="shared" si="16"/>
        <v>0</v>
      </c>
      <c r="Q110" s="275">
        <f t="shared" si="17"/>
        <v>0</v>
      </c>
      <c r="R110" s="296"/>
    </row>
    <row r="111" spans="1:18" ht="15" customHeight="1" x14ac:dyDescent="0.25">
      <c r="A111" s="271" t="s">
        <v>637</v>
      </c>
      <c r="B111" s="285">
        <v>0</v>
      </c>
      <c r="C111" s="285">
        <v>0</v>
      </c>
      <c r="D111" s="285">
        <v>0</v>
      </c>
      <c r="E111" s="285">
        <v>0</v>
      </c>
      <c r="F111" s="285">
        <v>0</v>
      </c>
      <c r="G111" s="285">
        <v>0</v>
      </c>
      <c r="H111" s="285">
        <v>0</v>
      </c>
      <c r="I111" s="285">
        <v>0</v>
      </c>
      <c r="J111" s="285">
        <v>0</v>
      </c>
      <c r="K111" s="285">
        <v>0</v>
      </c>
      <c r="L111" s="285">
        <v>0</v>
      </c>
      <c r="M111" s="285">
        <v>0</v>
      </c>
      <c r="N111" s="285">
        <f t="shared" si="14"/>
        <v>0</v>
      </c>
      <c r="O111" s="285">
        <f t="shared" si="15"/>
        <v>0</v>
      </c>
      <c r="P111" s="285">
        <f t="shared" si="16"/>
        <v>0</v>
      </c>
      <c r="Q111" s="275">
        <f t="shared" si="17"/>
        <v>0</v>
      </c>
      <c r="R111" s="296"/>
    </row>
    <row r="112" spans="1:18" ht="15" customHeight="1" x14ac:dyDescent="0.25">
      <c r="A112" s="271" t="s">
        <v>638</v>
      </c>
      <c r="B112" s="285">
        <v>0</v>
      </c>
      <c r="C112" s="285">
        <v>0</v>
      </c>
      <c r="D112" s="285">
        <v>0</v>
      </c>
      <c r="E112" s="285">
        <v>0</v>
      </c>
      <c r="F112" s="285">
        <v>0</v>
      </c>
      <c r="G112" s="285">
        <v>0</v>
      </c>
      <c r="H112" s="285">
        <v>0</v>
      </c>
      <c r="I112" s="285">
        <v>0</v>
      </c>
      <c r="J112" s="285">
        <v>0</v>
      </c>
      <c r="K112" s="285">
        <v>0</v>
      </c>
      <c r="L112" s="285">
        <v>0</v>
      </c>
      <c r="M112" s="285">
        <v>0</v>
      </c>
      <c r="N112" s="285">
        <f t="shared" si="14"/>
        <v>0</v>
      </c>
      <c r="O112" s="285">
        <f t="shared" si="15"/>
        <v>0</v>
      </c>
      <c r="P112" s="285">
        <f t="shared" si="16"/>
        <v>0</v>
      </c>
      <c r="Q112" s="275">
        <f t="shared" si="17"/>
        <v>0</v>
      </c>
      <c r="R112" s="296" t="s">
        <v>639</v>
      </c>
    </row>
    <row r="113" spans="1:18" ht="15" customHeight="1" x14ac:dyDescent="0.25">
      <c r="A113" s="271" t="s">
        <v>539</v>
      </c>
      <c r="B113" s="285">
        <v>0</v>
      </c>
      <c r="C113" s="285">
        <v>0</v>
      </c>
      <c r="D113" s="285">
        <v>0</v>
      </c>
      <c r="E113" s="285">
        <v>0</v>
      </c>
      <c r="F113" s="285">
        <v>0</v>
      </c>
      <c r="G113" s="285">
        <v>0</v>
      </c>
      <c r="H113" s="285">
        <v>0</v>
      </c>
      <c r="I113" s="285">
        <v>0</v>
      </c>
      <c r="J113" s="285">
        <v>0</v>
      </c>
      <c r="K113" s="285">
        <v>0</v>
      </c>
      <c r="L113" s="285">
        <v>0</v>
      </c>
      <c r="M113" s="285">
        <v>0</v>
      </c>
      <c r="N113" s="285">
        <f t="shared" si="14"/>
        <v>0</v>
      </c>
      <c r="O113" s="285">
        <f t="shared" si="15"/>
        <v>0</v>
      </c>
      <c r="P113" s="285">
        <f t="shared" si="16"/>
        <v>0</v>
      </c>
      <c r="Q113" s="275">
        <f t="shared" si="17"/>
        <v>0</v>
      </c>
      <c r="R113" s="296"/>
    </row>
    <row r="114" spans="1:18" ht="15" customHeight="1" x14ac:dyDescent="0.25">
      <c r="A114" s="271" t="s">
        <v>640</v>
      </c>
      <c r="B114" s="285">
        <v>0</v>
      </c>
      <c r="C114" s="285">
        <v>0</v>
      </c>
      <c r="D114" s="285">
        <v>0</v>
      </c>
      <c r="E114" s="285">
        <v>0</v>
      </c>
      <c r="F114" s="285">
        <v>0</v>
      </c>
      <c r="G114" s="285">
        <v>0</v>
      </c>
      <c r="H114" s="285">
        <v>0</v>
      </c>
      <c r="I114" s="285">
        <v>0</v>
      </c>
      <c r="J114" s="285">
        <v>0</v>
      </c>
      <c r="K114" s="285">
        <v>0</v>
      </c>
      <c r="L114" s="285">
        <v>0</v>
      </c>
      <c r="M114" s="285">
        <v>0</v>
      </c>
      <c r="N114" s="285">
        <f t="shared" si="14"/>
        <v>0</v>
      </c>
      <c r="O114" s="285">
        <f t="shared" si="15"/>
        <v>0</v>
      </c>
      <c r="P114" s="285">
        <f t="shared" si="16"/>
        <v>0</v>
      </c>
      <c r="Q114" s="275">
        <f t="shared" si="17"/>
        <v>0</v>
      </c>
      <c r="R114" s="296"/>
    </row>
    <row r="115" spans="1:18" ht="15" customHeight="1" x14ac:dyDescent="0.25">
      <c r="A115" s="271" t="s">
        <v>572</v>
      </c>
      <c r="B115" s="285">
        <v>0</v>
      </c>
      <c r="C115" s="285">
        <v>0</v>
      </c>
      <c r="D115" s="285">
        <v>0</v>
      </c>
      <c r="E115" s="285">
        <v>0</v>
      </c>
      <c r="F115" s="285">
        <v>0</v>
      </c>
      <c r="G115" s="285">
        <v>0</v>
      </c>
      <c r="H115" s="285">
        <v>0</v>
      </c>
      <c r="I115" s="285">
        <v>0</v>
      </c>
      <c r="J115" s="285">
        <v>0</v>
      </c>
      <c r="K115" s="285">
        <v>0</v>
      </c>
      <c r="L115" s="285">
        <v>0</v>
      </c>
      <c r="M115" s="285">
        <v>0</v>
      </c>
      <c r="N115" s="285">
        <f t="shared" si="14"/>
        <v>0</v>
      </c>
      <c r="O115" s="285">
        <f t="shared" si="15"/>
        <v>0</v>
      </c>
      <c r="P115" s="285">
        <f t="shared" si="16"/>
        <v>0</v>
      </c>
      <c r="Q115" s="275">
        <f t="shared" si="17"/>
        <v>0</v>
      </c>
      <c r="R115" s="296"/>
    </row>
    <row r="116" spans="1:18" ht="15" customHeight="1" x14ac:dyDescent="0.25">
      <c r="A116" s="271" t="s">
        <v>641</v>
      </c>
      <c r="B116" s="285">
        <v>0</v>
      </c>
      <c r="C116" s="285">
        <v>0</v>
      </c>
      <c r="D116" s="285">
        <v>0</v>
      </c>
      <c r="E116" s="285">
        <v>0</v>
      </c>
      <c r="F116" s="285">
        <v>0</v>
      </c>
      <c r="G116" s="285">
        <v>0</v>
      </c>
      <c r="H116" s="285">
        <v>0</v>
      </c>
      <c r="I116" s="285">
        <v>0</v>
      </c>
      <c r="J116" s="285">
        <v>0</v>
      </c>
      <c r="K116" s="285">
        <v>0</v>
      </c>
      <c r="L116" s="285">
        <v>0</v>
      </c>
      <c r="M116" s="285">
        <v>0</v>
      </c>
      <c r="N116" s="285">
        <f t="shared" si="14"/>
        <v>0</v>
      </c>
      <c r="O116" s="285">
        <f t="shared" si="15"/>
        <v>0</v>
      </c>
      <c r="P116" s="285">
        <f t="shared" si="16"/>
        <v>0</v>
      </c>
      <c r="Q116" s="275">
        <f t="shared" si="17"/>
        <v>0</v>
      </c>
      <c r="R116" s="296"/>
    </row>
    <row r="117" spans="1:18" ht="15" customHeight="1" x14ac:dyDescent="0.25">
      <c r="A117" s="271" t="s">
        <v>642</v>
      </c>
      <c r="B117" s="285"/>
      <c r="C117" s="285"/>
      <c r="D117" s="285"/>
      <c r="E117" s="285"/>
      <c r="F117" s="285"/>
      <c r="G117" s="285"/>
      <c r="H117" s="285"/>
      <c r="I117" s="285"/>
      <c r="J117" s="285"/>
      <c r="K117" s="285"/>
      <c r="L117" s="285"/>
      <c r="M117" s="285"/>
      <c r="N117" s="285"/>
      <c r="O117" s="285"/>
      <c r="P117" s="285"/>
      <c r="Q117" s="275"/>
      <c r="R117" s="296"/>
    </row>
    <row r="118" spans="1:18" ht="15" customHeight="1" x14ac:dyDescent="0.25">
      <c r="A118" s="271" t="s">
        <v>643</v>
      </c>
      <c r="B118" s="285">
        <v>0</v>
      </c>
      <c r="C118" s="285">
        <v>0</v>
      </c>
      <c r="D118" s="285">
        <v>0</v>
      </c>
      <c r="E118" s="285">
        <v>0</v>
      </c>
      <c r="F118" s="285">
        <v>0</v>
      </c>
      <c r="G118" s="285">
        <v>0</v>
      </c>
      <c r="H118" s="285">
        <v>0</v>
      </c>
      <c r="I118" s="285">
        <v>0</v>
      </c>
      <c r="J118" s="285">
        <v>0</v>
      </c>
      <c r="K118" s="285">
        <v>0</v>
      </c>
      <c r="L118" s="285">
        <v>0</v>
      </c>
      <c r="M118" s="285">
        <v>0</v>
      </c>
      <c r="N118" s="285">
        <f t="shared" ref="N118:N123" si="18">SUM(B118:M118)</f>
        <v>0</v>
      </c>
      <c r="O118" s="285">
        <f t="shared" ref="O118:O123" si="19">SUM(K118:M118)*4</f>
        <v>0</v>
      </c>
      <c r="P118" s="285">
        <f t="shared" ref="P118:P123" si="20">IFERROR(N118/$B$20/12,0)</f>
        <v>0</v>
      </c>
      <c r="Q118" s="275">
        <f t="shared" ref="Q118:Q123" si="21">IFERROR(N118/N$80,0)</f>
        <v>0</v>
      </c>
      <c r="R118" s="296"/>
    </row>
    <row r="119" spans="1:18" ht="15" customHeight="1" x14ac:dyDescent="0.25">
      <c r="A119" s="271" t="s">
        <v>644</v>
      </c>
      <c r="B119" s="285">
        <v>0</v>
      </c>
      <c r="C119" s="285">
        <v>0</v>
      </c>
      <c r="D119" s="285">
        <v>0</v>
      </c>
      <c r="E119" s="285">
        <v>0</v>
      </c>
      <c r="F119" s="285">
        <v>0</v>
      </c>
      <c r="G119" s="285">
        <v>0</v>
      </c>
      <c r="H119" s="285">
        <v>0</v>
      </c>
      <c r="I119" s="285">
        <v>0</v>
      </c>
      <c r="J119" s="285">
        <v>0</v>
      </c>
      <c r="K119" s="285">
        <v>0</v>
      </c>
      <c r="L119" s="285">
        <v>0</v>
      </c>
      <c r="M119" s="285">
        <v>0</v>
      </c>
      <c r="N119" s="285">
        <f t="shared" si="18"/>
        <v>0</v>
      </c>
      <c r="O119" s="285">
        <f t="shared" si="19"/>
        <v>0</v>
      </c>
      <c r="P119" s="285">
        <f t="shared" si="20"/>
        <v>0</v>
      </c>
      <c r="Q119" s="275">
        <f t="shared" si="21"/>
        <v>0</v>
      </c>
      <c r="R119" s="296"/>
    </row>
    <row r="120" spans="1:18" ht="15" customHeight="1" x14ac:dyDescent="0.25">
      <c r="A120" s="271" t="s">
        <v>567</v>
      </c>
      <c r="B120" s="285">
        <v>0</v>
      </c>
      <c r="C120" s="285">
        <v>0</v>
      </c>
      <c r="D120" s="285">
        <v>0</v>
      </c>
      <c r="E120" s="285">
        <v>0</v>
      </c>
      <c r="F120" s="285">
        <v>0</v>
      </c>
      <c r="G120" s="285">
        <v>0</v>
      </c>
      <c r="H120" s="285">
        <v>0</v>
      </c>
      <c r="I120" s="285">
        <v>0</v>
      </c>
      <c r="J120" s="285">
        <v>0</v>
      </c>
      <c r="K120" s="285">
        <v>0</v>
      </c>
      <c r="L120" s="285">
        <v>0</v>
      </c>
      <c r="M120" s="285">
        <v>0</v>
      </c>
      <c r="N120" s="285">
        <f t="shared" si="18"/>
        <v>0</v>
      </c>
      <c r="O120" s="285">
        <f t="shared" si="19"/>
        <v>0</v>
      </c>
      <c r="P120" s="285">
        <f t="shared" si="20"/>
        <v>0</v>
      </c>
      <c r="Q120" s="275">
        <f t="shared" si="21"/>
        <v>0</v>
      </c>
      <c r="R120" s="296"/>
    </row>
    <row r="121" spans="1:18" ht="15" customHeight="1" x14ac:dyDescent="0.25">
      <c r="A121" s="271" t="s">
        <v>645</v>
      </c>
      <c r="B121" s="285">
        <v>0</v>
      </c>
      <c r="C121" s="285">
        <v>0</v>
      </c>
      <c r="D121" s="285">
        <v>0</v>
      </c>
      <c r="E121" s="285">
        <v>0</v>
      </c>
      <c r="F121" s="285">
        <v>0</v>
      </c>
      <c r="G121" s="285">
        <v>0</v>
      </c>
      <c r="H121" s="285">
        <v>0</v>
      </c>
      <c r="I121" s="285">
        <v>0</v>
      </c>
      <c r="J121" s="285">
        <v>0</v>
      </c>
      <c r="K121" s="285">
        <v>0</v>
      </c>
      <c r="L121" s="285">
        <v>0</v>
      </c>
      <c r="M121" s="285">
        <v>0</v>
      </c>
      <c r="N121" s="285">
        <f t="shared" si="18"/>
        <v>0</v>
      </c>
      <c r="O121" s="285">
        <f t="shared" si="19"/>
        <v>0</v>
      </c>
      <c r="P121" s="285">
        <f t="shared" si="20"/>
        <v>0</v>
      </c>
      <c r="Q121" s="275">
        <f t="shared" si="21"/>
        <v>0</v>
      </c>
      <c r="R121" s="296"/>
    </row>
    <row r="122" spans="1:18" ht="15" customHeight="1" x14ac:dyDescent="0.25">
      <c r="A122" s="271" t="s">
        <v>646</v>
      </c>
      <c r="B122" s="285">
        <v>0</v>
      </c>
      <c r="C122" s="285">
        <v>0</v>
      </c>
      <c r="D122" s="285">
        <v>0</v>
      </c>
      <c r="E122" s="285">
        <v>0</v>
      </c>
      <c r="F122" s="285">
        <v>0</v>
      </c>
      <c r="G122" s="285">
        <v>0</v>
      </c>
      <c r="H122" s="285">
        <v>0</v>
      </c>
      <c r="I122" s="285">
        <v>0</v>
      </c>
      <c r="J122" s="285">
        <v>0</v>
      </c>
      <c r="K122" s="285">
        <v>0</v>
      </c>
      <c r="L122" s="285">
        <v>0</v>
      </c>
      <c r="M122" s="285">
        <v>0</v>
      </c>
      <c r="N122" s="285">
        <f t="shared" si="18"/>
        <v>0</v>
      </c>
      <c r="O122" s="285">
        <f t="shared" si="19"/>
        <v>0</v>
      </c>
      <c r="P122" s="285">
        <f t="shared" si="20"/>
        <v>0</v>
      </c>
      <c r="Q122" s="275">
        <f t="shared" si="21"/>
        <v>0</v>
      </c>
      <c r="R122" s="296"/>
    </row>
    <row r="123" spans="1:18" ht="15" customHeight="1" x14ac:dyDescent="0.25">
      <c r="A123" s="271" t="s">
        <v>647</v>
      </c>
      <c r="B123" s="285">
        <v>0</v>
      </c>
      <c r="C123" s="285">
        <v>0</v>
      </c>
      <c r="D123" s="285">
        <v>0</v>
      </c>
      <c r="E123" s="285">
        <v>0</v>
      </c>
      <c r="F123" s="285">
        <v>0</v>
      </c>
      <c r="G123" s="285">
        <v>0</v>
      </c>
      <c r="H123" s="285">
        <v>0</v>
      </c>
      <c r="I123" s="285">
        <v>0</v>
      </c>
      <c r="J123" s="285">
        <v>0</v>
      </c>
      <c r="K123" s="285">
        <v>0</v>
      </c>
      <c r="L123" s="285">
        <v>0</v>
      </c>
      <c r="M123" s="285">
        <v>0</v>
      </c>
      <c r="N123" s="285">
        <f t="shared" si="18"/>
        <v>0</v>
      </c>
      <c r="O123" s="285">
        <f t="shared" si="19"/>
        <v>0</v>
      </c>
      <c r="P123" s="285">
        <f t="shared" si="20"/>
        <v>0</v>
      </c>
      <c r="Q123" s="275">
        <f t="shared" si="21"/>
        <v>0</v>
      </c>
      <c r="R123" s="296"/>
    </row>
    <row r="124" spans="1:18" ht="15" customHeight="1" x14ac:dyDescent="0.25">
      <c r="A124" s="271" t="s">
        <v>648</v>
      </c>
      <c r="B124" s="302"/>
      <c r="C124" s="302"/>
      <c r="D124" s="302"/>
      <c r="E124" s="302"/>
      <c r="F124" s="302"/>
      <c r="G124" s="302"/>
      <c r="H124" s="302"/>
      <c r="I124" s="302"/>
      <c r="J124" s="302"/>
      <c r="K124" s="302"/>
      <c r="L124" s="302"/>
      <c r="M124" s="302"/>
      <c r="N124" s="302"/>
      <c r="O124" s="302"/>
      <c r="P124" s="302"/>
      <c r="R124" s="58"/>
    </row>
    <row r="125" spans="1:18" ht="15" customHeight="1" x14ac:dyDescent="0.25">
      <c r="A125" s="271" t="s">
        <v>649</v>
      </c>
      <c r="B125" s="285">
        <v>0</v>
      </c>
      <c r="C125" s="285">
        <v>0</v>
      </c>
      <c r="D125" s="285">
        <v>0</v>
      </c>
      <c r="E125" s="285">
        <v>0</v>
      </c>
      <c r="F125" s="285">
        <v>0</v>
      </c>
      <c r="G125" s="285">
        <v>0</v>
      </c>
      <c r="H125" s="285">
        <v>0</v>
      </c>
      <c r="I125" s="285">
        <v>0</v>
      </c>
      <c r="J125" s="285">
        <v>0</v>
      </c>
      <c r="K125" s="285">
        <v>0</v>
      </c>
      <c r="L125" s="285">
        <v>0</v>
      </c>
      <c r="M125" s="285">
        <v>0</v>
      </c>
      <c r="N125" s="285">
        <f>SUM(B125:M125)</f>
        <v>0</v>
      </c>
      <c r="O125" s="285">
        <f>SUM(K125:M125)*4</f>
        <v>0</v>
      </c>
      <c r="P125" s="285">
        <f>IFERROR(N125/$B$20/12,0)</f>
        <v>0</v>
      </c>
      <c r="Q125" s="275">
        <f>IFERROR(N125/N$80,0)</f>
        <v>0</v>
      </c>
      <c r="R125" s="296"/>
    </row>
    <row r="126" spans="1:18" ht="15" customHeight="1" x14ac:dyDescent="0.25">
      <c r="A126" s="271" t="s">
        <v>650</v>
      </c>
      <c r="B126" s="285">
        <v>0</v>
      </c>
      <c r="C126" s="285">
        <v>0</v>
      </c>
      <c r="D126" s="285">
        <v>0</v>
      </c>
      <c r="E126" s="285">
        <v>0</v>
      </c>
      <c r="F126" s="285">
        <v>0</v>
      </c>
      <c r="G126" s="285">
        <v>0</v>
      </c>
      <c r="H126" s="285">
        <v>0</v>
      </c>
      <c r="I126" s="285">
        <v>0</v>
      </c>
      <c r="J126" s="285">
        <v>0</v>
      </c>
      <c r="K126" s="285">
        <v>0</v>
      </c>
      <c r="L126" s="285">
        <v>0</v>
      </c>
      <c r="M126" s="285">
        <v>0</v>
      </c>
      <c r="N126" s="285">
        <f>SUM(B126:M126)</f>
        <v>0</v>
      </c>
      <c r="O126" s="285">
        <f>SUM(K126:M126)*4</f>
        <v>0</v>
      </c>
      <c r="P126" s="285">
        <f>IFERROR(N126/$B$20/12,0)</f>
        <v>0</v>
      </c>
      <c r="Q126" s="275">
        <f>IFERROR(N126/N$80,0)</f>
        <v>0</v>
      </c>
      <c r="R126" s="296"/>
    </row>
    <row r="127" spans="1:18" ht="15" customHeight="1" x14ac:dyDescent="0.25">
      <c r="A127" s="271" t="s">
        <v>651</v>
      </c>
      <c r="B127" s="285">
        <v>0</v>
      </c>
      <c r="C127" s="285">
        <v>0</v>
      </c>
      <c r="D127" s="285">
        <v>0</v>
      </c>
      <c r="E127" s="285">
        <v>0</v>
      </c>
      <c r="F127" s="285">
        <v>0</v>
      </c>
      <c r="G127" s="285">
        <v>0</v>
      </c>
      <c r="H127" s="285">
        <v>0</v>
      </c>
      <c r="I127" s="285">
        <v>0</v>
      </c>
      <c r="J127" s="285">
        <v>0</v>
      </c>
      <c r="K127" s="285">
        <v>0</v>
      </c>
      <c r="L127" s="285">
        <v>0</v>
      </c>
      <c r="M127" s="285">
        <v>0</v>
      </c>
      <c r="N127" s="285">
        <f>SUM(B127:M127)</f>
        <v>0</v>
      </c>
      <c r="O127" s="285">
        <f>SUM(K127:M127)*4</f>
        <v>0</v>
      </c>
      <c r="P127" s="285">
        <f>IFERROR(N127/$B$20/12,0)</f>
        <v>0</v>
      </c>
      <c r="Q127" s="275">
        <f>IFERROR(N127/N$80,0)</f>
        <v>0</v>
      </c>
      <c r="R127" s="296"/>
    </row>
    <row r="128" spans="1:18" ht="15" customHeight="1" x14ac:dyDescent="0.25">
      <c r="A128" s="271" t="s">
        <v>652</v>
      </c>
      <c r="B128" s="285">
        <v>0</v>
      </c>
      <c r="C128" s="285">
        <v>0</v>
      </c>
      <c r="D128" s="285">
        <v>0</v>
      </c>
      <c r="E128" s="285">
        <v>0</v>
      </c>
      <c r="F128" s="285">
        <v>0</v>
      </c>
      <c r="G128" s="285">
        <v>0</v>
      </c>
      <c r="H128" s="285">
        <v>0</v>
      </c>
      <c r="I128" s="285">
        <v>0</v>
      </c>
      <c r="J128" s="285">
        <v>0</v>
      </c>
      <c r="K128" s="285">
        <v>0</v>
      </c>
      <c r="L128" s="285">
        <v>0</v>
      </c>
      <c r="M128" s="285">
        <v>0</v>
      </c>
      <c r="N128" s="285">
        <f>SUM(B128:M128)</f>
        <v>0</v>
      </c>
      <c r="O128" s="285">
        <f>SUM(K128:M128)*4</f>
        <v>0</v>
      </c>
      <c r="P128" s="285">
        <f>IFERROR(N128/$B$20/12,0)</f>
        <v>0</v>
      </c>
      <c r="Q128" s="275">
        <f>IFERROR(N128/N$80,0)</f>
        <v>0</v>
      </c>
      <c r="R128" s="296"/>
    </row>
    <row r="129" spans="1:19" ht="15" customHeight="1" x14ac:dyDescent="0.25">
      <c r="A129" s="288" t="s">
        <v>653</v>
      </c>
      <c r="B129" s="285">
        <f t="shared" ref="B129:N129" si="22">SUM(B104:B128)</f>
        <v>0</v>
      </c>
      <c r="C129" s="285">
        <f t="shared" si="22"/>
        <v>0</v>
      </c>
      <c r="D129" s="285">
        <f t="shared" si="22"/>
        <v>0</v>
      </c>
      <c r="E129" s="285">
        <f t="shared" si="22"/>
        <v>0</v>
      </c>
      <c r="F129" s="285">
        <f t="shared" si="22"/>
        <v>0</v>
      </c>
      <c r="G129" s="285">
        <f t="shared" si="22"/>
        <v>0</v>
      </c>
      <c r="H129" s="285">
        <f t="shared" si="22"/>
        <v>0</v>
      </c>
      <c r="I129" s="285">
        <f t="shared" si="22"/>
        <v>0</v>
      </c>
      <c r="J129" s="285">
        <f t="shared" si="22"/>
        <v>0</v>
      </c>
      <c r="K129" s="285">
        <f t="shared" si="22"/>
        <v>0</v>
      </c>
      <c r="L129" s="285">
        <f t="shared" si="22"/>
        <v>0</v>
      </c>
      <c r="M129" s="285">
        <f t="shared" si="22"/>
        <v>0</v>
      </c>
      <c r="N129" s="285">
        <f t="shared" si="22"/>
        <v>0</v>
      </c>
      <c r="O129" s="285">
        <f>SUM(K129:M129)*4</f>
        <v>0</v>
      </c>
      <c r="P129" s="285">
        <f>IFERROR(N129/$B$20/12,0)</f>
        <v>0</v>
      </c>
      <c r="Q129" s="303">
        <f>IFERROR(N129/N$80,0)</f>
        <v>0</v>
      </c>
      <c r="R129" s="296"/>
    </row>
    <row r="130" spans="1:19" ht="15" customHeight="1" x14ac:dyDescent="0.25">
      <c r="A130" s="291" t="s">
        <v>654</v>
      </c>
      <c r="B130" s="292"/>
      <c r="C130" s="292"/>
      <c r="D130" s="292"/>
      <c r="E130" s="292"/>
      <c r="F130" s="292"/>
      <c r="G130" s="292"/>
      <c r="H130" s="292"/>
      <c r="I130" s="292"/>
      <c r="J130" s="292"/>
      <c r="K130" s="292"/>
      <c r="L130" s="292"/>
      <c r="M130" s="292"/>
      <c r="N130" s="292"/>
      <c r="O130" s="292"/>
      <c r="P130" s="292"/>
      <c r="Q130" s="299"/>
      <c r="R130" s="301"/>
    </row>
    <row r="131" spans="1:19" ht="15" customHeight="1" x14ac:dyDescent="0.25">
      <c r="A131" s="271" t="s">
        <v>354</v>
      </c>
      <c r="B131" s="285">
        <v>0</v>
      </c>
      <c r="C131" s="285">
        <v>0</v>
      </c>
      <c r="D131" s="285">
        <v>0</v>
      </c>
      <c r="E131" s="285">
        <v>0</v>
      </c>
      <c r="F131" s="285">
        <v>0</v>
      </c>
      <c r="G131" s="285">
        <v>0</v>
      </c>
      <c r="H131" s="285">
        <v>0</v>
      </c>
      <c r="I131" s="285">
        <v>0</v>
      </c>
      <c r="J131" s="285">
        <v>0</v>
      </c>
      <c r="K131" s="285">
        <v>0</v>
      </c>
      <c r="L131" s="285">
        <v>0</v>
      </c>
      <c r="M131" s="285">
        <v>0</v>
      </c>
      <c r="N131" s="286">
        <f>SUM(B131:M131)</f>
        <v>0</v>
      </c>
      <c r="O131" s="304">
        <f t="shared" ref="O131:O136" si="23">SUM(K131:M131)*4</f>
        <v>0</v>
      </c>
      <c r="P131" s="304">
        <f t="shared" ref="P131:P136" si="24">IFERROR(N131/$B$20/12,0)</f>
        <v>0</v>
      </c>
      <c r="Q131" s="305">
        <f t="shared" ref="Q131:Q136" si="25">IFERROR(N131/N$80,0)</f>
        <v>0</v>
      </c>
      <c r="R131" s="271"/>
    </row>
    <row r="132" spans="1:19" ht="15" customHeight="1" x14ac:dyDescent="0.25">
      <c r="A132" s="306" t="s">
        <v>487</v>
      </c>
      <c r="B132" s="304">
        <f t="shared" ref="B132:N132" si="26">B102+B129+B131</f>
        <v>0</v>
      </c>
      <c r="C132" s="304">
        <f t="shared" si="26"/>
        <v>0</v>
      </c>
      <c r="D132" s="304">
        <f t="shared" si="26"/>
        <v>0</v>
      </c>
      <c r="E132" s="304">
        <f t="shared" si="26"/>
        <v>0</v>
      </c>
      <c r="F132" s="304">
        <f t="shared" si="26"/>
        <v>0</v>
      </c>
      <c r="G132" s="304">
        <f t="shared" si="26"/>
        <v>0</v>
      </c>
      <c r="H132" s="304">
        <f t="shared" si="26"/>
        <v>0</v>
      </c>
      <c r="I132" s="304">
        <f t="shared" si="26"/>
        <v>0</v>
      </c>
      <c r="J132" s="304">
        <f t="shared" si="26"/>
        <v>0</v>
      </c>
      <c r="K132" s="304">
        <f t="shared" si="26"/>
        <v>0</v>
      </c>
      <c r="L132" s="304">
        <f t="shared" si="26"/>
        <v>0</v>
      </c>
      <c r="M132" s="304">
        <f t="shared" si="26"/>
        <v>0</v>
      </c>
      <c r="N132" s="307">
        <f t="shared" si="26"/>
        <v>0</v>
      </c>
      <c r="O132" s="304">
        <f t="shared" si="23"/>
        <v>0</v>
      </c>
      <c r="P132" s="304">
        <f t="shared" si="24"/>
        <v>0</v>
      </c>
      <c r="Q132" s="305">
        <f t="shared" si="25"/>
        <v>0</v>
      </c>
      <c r="R132" s="271"/>
    </row>
    <row r="133" spans="1:19" ht="15" customHeight="1" x14ac:dyDescent="0.25">
      <c r="A133" s="306" t="s">
        <v>655</v>
      </c>
      <c r="B133" s="304">
        <f t="shared" ref="B133:N133" si="27">B132-B131</f>
        <v>0</v>
      </c>
      <c r="C133" s="304">
        <f t="shared" si="27"/>
        <v>0</v>
      </c>
      <c r="D133" s="304">
        <f t="shared" si="27"/>
        <v>0</v>
      </c>
      <c r="E133" s="304">
        <f t="shared" si="27"/>
        <v>0</v>
      </c>
      <c r="F133" s="304">
        <f t="shared" si="27"/>
        <v>0</v>
      </c>
      <c r="G133" s="304">
        <f t="shared" si="27"/>
        <v>0</v>
      </c>
      <c r="H133" s="304">
        <f t="shared" si="27"/>
        <v>0</v>
      </c>
      <c r="I133" s="304">
        <f t="shared" si="27"/>
        <v>0</v>
      </c>
      <c r="J133" s="304">
        <f t="shared" si="27"/>
        <v>0</v>
      </c>
      <c r="K133" s="304">
        <f t="shared" si="27"/>
        <v>0</v>
      </c>
      <c r="L133" s="304">
        <f t="shared" si="27"/>
        <v>0</v>
      </c>
      <c r="M133" s="304">
        <f t="shared" si="27"/>
        <v>0</v>
      </c>
      <c r="N133" s="307">
        <f t="shared" si="27"/>
        <v>0</v>
      </c>
      <c r="O133" s="304">
        <f t="shared" si="23"/>
        <v>0</v>
      </c>
      <c r="P133" s="304">
        <f t="shared" si="24"/>
        <v>0</v>
      </c>
      <c r="Q133" s="305">
        <f t="shared" si="25"/>
        <v>0</v>
      </c>
      <c r="R133" s="271"/>
    </row>
    <row r="134" spans="1:19" ht="15" customHeight="1" x14ac:dyDescent="0.25">
      <c r="A134" s="306" t="s">
        <v>656</v>
      </c>
      <c r="B134" s="304">
        <f t="shared" ref="B134:N134" si="28">B80-B102-B129</f>
        <v>0</v>
      </c>
      <c r="C134" s="304">
        <f t="shared" si="28"/>
        <v>0</v>
      </c>
      <c r="D134" s="304">
        <f t="shared" si="28"/>
        <v>0</v>
      </c>
      <c r="E134" s="304">
        <f t="shared" si="28"/>
        <v>0</v>
      </c>
      <c r="F134" s="304">
        <f t="shared" si="28"/>
        <v>0</v>
      </c>
      <c r="G134" s="304">
        <f t="shared" si="28"/>
        <v>0</v>
      </c>
      <c r="H134" s="304">
        <f t="shared" si="28"/>
        <v>0</v>
      </c>
      <c r="I134" s="304">
        <f t="shared" si="28"/>
        <v>0</v>
      </c>
      <c r="J134" s="304">
        <f t="shared" si="28"/>
        <v>0</v>
      </c>
      <c r="K134" s="304">
        <f t="shared" si="28"/>
        <v>0</v>
      </c>
      <c r="L134" s="304">
        <f t="shared" si="28"/>
        <v>0</v>
      </c>
      <c r="M134" s="304">
        <f t="shared" si="28"/>
        <v>0</v>
      </c>
      <c r="N134" s="307">
        <f t="shared" si="28"/>
        <v>0</v>
      </c>
      <c r="O134" s="304">
        <f t="shared" si="23"/>
        <v>0</v>
      </c>
      <c r="P134" s="304">
        <f t="shared" si="24"/>
        <v>0</v>
      </c>
      <c r="Q134" s="305">
        <f t="shared" si="25"/>
        <v>0</v>
      </c>
      <c r="R134" s="271"/>
    </row>
    <row r="135" spans="1:19" ht="15" customHeight="1" x14ac:dyDescent="0.25">
      <c r="A135" s="306" t="s">
        <v>657</v>
      </c>
      <c r="B135" s="304">
        <f t="shared" ref="B135:N135" si="29">B134-B131</f>
        <v>0</v>
      </c>
      <c r="C135" s="304">
        <f t="shared" si="29"/>
        <v>0</v>
      </c>
      <c r="D135" s="304">
        <f t="shared" si="29"/>
        <v>0</v>
      </c>
      <c r="E135" s="304">
        <f t="shared" si="29"/>
        <v>0</v>
      </c>
      <c r="F135" s="304">
        <f t="shared" si="29"/>
        <v>0</v>
      </c>
      <c r="G135" s="304">
        <f t="shared" si="29"/>
        <v>0</v>
      </c>
      <c r="H135" s="304">
        <f t="shared" si="29"/>
        <v>0</v>
      </c>
      <c r="I135" s="304">
        <f t="shared" si="29"/>
        <v>0</v>
      </c>
      <c r="J135" s="304">
        <f t="shared" si="29"/>
        <v>0</v>
      </c>
      <c r="K135" s="304">
        <f t="shared" si="29"/>
        <v>0</v>
      </c>
      <c r="L135" s="304">
        <f t="shared" si="29"/>
        <v>0</v>
      </c>
      <c r="M135" s="304">
        <f t="shared" si="29"/>
        <v>0</v>
      </c>
      <c r="N135" s="304">
        <f t="shared" si="29"/>
        <v>0</v>
      </c>
      <c r="O135" s="304">
        <f t="shared" si="23"/>
        <v>0</v>
      </c>
      <c r="P135" s="304">
        <f t="shared" si="24"/>
        <v>0</v>
      </c>
      <c r="Q135" s="305">
        <f t="shared" si="25"/>
        <v>0</v>
      </c>
      <c r="R135" s="271"/>
    </row>
    <row r="136" spans="1:19" ht="15" customHeight="1" x14ac:dyDescent="0.25">
      <c r="A136" s="306" t="s">
        <v>658</v>
      </c>
      <c r="B136" s="304">
        <f t="shared" ref="B136:N136" si="30">B135-B128</f>
        <v>0</v>
      </c>
      <c r="C136" s="304">
        <f t="shared" si="30"/>
        <v>0</v>
      </c>
      <c r="D136" s="304">
        <f t="shared" si="30"/>
        <v>0</v>
      </c>
      <c r="E136" s="304">
        <f t="shared" si="30"/>
        <v>0</v>
      </c>
      <c r="F136" s="304">
        <f t="shared" si="30"/>
        <v>0</v>
      </c>
      <c r="G136" s="304">
        <f t="shared" si="30"/>
        <v>0</v>
      </c>
      <c r="H136" s="304">
        <f t="shared" si="30"/>
        <v>0</v>
      </c>
      <c r="I136" s="304">
        <f t="shared" si="30"/>
        <v>0</v>
      </c>
      <c r="J136" s="304">
        <f t="shared" si="30"/>
        <v>0</v>
      </c>
      <c r="K136" s="304">
        <f t="shared" si="30"/>
        <v>0</v>
      </c>
      <c r="L136" s="304">
        <f t="shared" si="30"/>
        <v>0</v>
      </c>
      <c r="M136" s="304">
        <f t="shared" si="30"/>
        <v>0</v>
      </c>
      <c r="N136" s="307">
        <f t="shared" si="30"/>
        <v>0</v>
      </c>
      <c r="O136" s="304">
        <f t="shared" si="23"/>
        <v>0</v>
      </c>
      <c r="P136" s="304">
        <f t="shared" si="24"/>
        <v>0</v>
      </c>
      <c r="Q136" s="305">
        <f t="shared" si="25"/>
        <v>0</v>
      </c>
      <c r="R136" s="271"/>
    </row>
    <row r="139" spans="1:19" ht="15" customHeight="1" x14ac:dyDescent="0.25">
      <c r="A139" s="820" t="s">
        <v>659</v>
      </c>
      <c r="B139" s="798"/>
      <c r="C139" s="798"/>
      <c r="D139" s="798"/>
      <c r="E139" s="798"/>
      <c r="F139" s="798"/>
      <c r="G139" s="798"/>
      <c r="H139" s="798"/>
      <c r="I139" s="798"/>
      <c r="J139" s="798"/>
      <c r="K139" s="798"/>
      <c r="L139" s="798"/>
      <c r="M139" s="798"/>
      <c r="N139" s="798"/>
      <c r="O139" s="798"/>
      <c r="P139" s="798"/>
      <c r="Q139" s="798"/>
      <c r="R139" s="798"/>
      <c r="S139" s="805"/>
    </row>
    <row r="140" spans="1:19" ht="15" customHeight="1" x14ac:dyDescent="0.25">
      <c r="A140" s="282" t="s">
        <v>660</v>
      </c>
      <c r="B140" s="282" t="s">
        <v>661</v>
      </c>
      <c r="C140" s="284" t="s">
        <v>662</v>
      </c>
      <c r="D140" s="284" t="s">
        <v>663</v>
      </c>
      <c r="E140" s="284" t="s">
        <v>664</v>
      </c>
      <c r="F140" s="284" t="s">
        <v>665</v>
      </c>
      <c r="G140" s="284" t="s">
        <v>666</v>
      </c>
      <c r="H140" s="284" t="s">
        <v>667</v>
      </c>
      <c r="I140" s="284" t="s">
        <v>668</v>
      </c>
      <c r="J140" s="284" t="s">
        <v>669</v>
      </c>
      <c r="K140" s="284" t="s">
        <v>670</v>
      </c>
      <c r="L140" s="284" t="s">
        <v>671</v>
      </c>
      <c r="M140" s="284" t="s">
        <v>672</v>
      </c>
      <c r="N140" s="284" t="s">
        <v>673</v>
      </c>
      <c r="O140" s="284" t="s">
        <v>576</v>
      </c>
      <c r="P140" s="284" t="s">
        <v>674</v>
      </c>
      <c r="Q140" s="284" t="s">
        <v>675</v>
      </c>
      <c r="R140" s="284" t="s">
        <v>113</v>
      </c>
    </row>
    <row r="141" spans="1:19" ht="15" customHeight="1" x14ac:dyDescent="0.25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308" t="s">
        <v>676</v>
      </c>
    </row>
    <row r="142" spans="1:19" ht="15" customHeight="1" x14ac:dyDescent="0.25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308" t="s">
        <v>677</v>
      </c>
    </row>
    <row r="143" spans="1:19" ht="15" customHeight="1" x14ac:dyDescent="0.25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308" t="s">
        <v>678</v>
      </c>
    </row>
    <row r="144" spans="1:19" ht="15" customHeight="1" x14ac:dyDescent="0.25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308" t="s">
        <v>477</v>
      </c>
    </row>
    <row r="145" spans="1:16" ht="15" customHeight="1" x14ac:dyDescent="0.25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308" t="s">
        <v>560</v>
      </c>
    </row>
    <row r="146" spans="1:16" ht="15" customHeight="1" x14ac:dyDescent="0.25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308" t="s">
        <v>679</v>
      </c>
    </row>
    <row r="147" spans="1:16" ht="15" customHeight="1" x14ac:dyDescent="0.25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308" t="s">
        <v>680</v>
      </c>
    </row>
    <row r="148" spans="1:16" ht="15" customHeight="1" x14ac:dyDescent="0.25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308" t="s">
        <v>681</v>
      </c>
    </row>
    <row r="149" spans="1:16" ht="15" customHeight="1" x14ac:dyDescent="0.25">
      <c r="A149" s="271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308" t="s">
        <v>682</v>
      </c>
    </row>
    <row r="150" spans="1:16" ht="15" customHeight="1" x14ac:dyDescent="0.25">
      <c r="A150" s="271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308" t="s">
        <v>558</v>
      </c>
    </row>
    <row r="151" spans="1:16" ht="15" customHeight="1" x14ac:dyDescent="0.25">
      <c r="A151" s="271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308" t="s">
        <v>609</v>
      </c>
    </row>
    <row r="152" spans="1:16" ht="15" customHeight="1" x14ac:dyDescent="0.25">
      <c r="A152" s="271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308" t="s">
        <v>683</v>
      </c>
    </row>
    <row r="153" spans="1:16" ht="15" customHeight="1" x14ac:dyDescent="0.25">
      <c r="A153" s="271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308" t="s">
        <v>684</v>
      </c>
    </row>
    <row r="154" spans="1:16" ht="15" customHeight="1" x14ac:dyDescent="0.25">
      <c r="A154" s="271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308" t="s">
        <v>685</v>
      </c>
    </row>
    <row r="155" spans="1:16" ht="15" customHeight="1" x14ac:dyDescent="0.25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308" t="s">
        <v>686</v>
      </c>
    </row>
    <row r="156" spans="1:16" ht="15" customHeight="1" x14ac:dyDescent="0.25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308" t="s">
        <v>687</v>
      </c>
    </row>
    <row r="157" spans="1:16" ht="15" customHeight="1" x14ac:dyDescent="0.25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308" t="s">
        <v>634</v>
      </c>
    </row>
    <row r="158" spans="1:16" ht="15" customHeight="1" x14ac:dyDescent="0.25">
      <c r="A158" s="271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308" t="s">
        <v>688</v>
      </c>
    </row>
    <row r="159" spans="1:16" ht="15" customHeight="1" x14ac:dyDescent="0.25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308" t="s">
        <v>650</v>
      </c>
    </row>
    <row r="160" spans="1:16" ht="15" customHeight="1" x14ac:dyDescent="0.25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308" t="s">
        <v>689</v>
      </c>
    </row>
    <row r="161" spans="1:16" ht="15" customHeight="1" x14ac:dyDescent="0.25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308" t="s">
        <v>572</v>
      </c>
    </row>
    <row r="162" spans="1:16" ht="15" customHeight="1" x14ac:dyDescent="0.25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308" t="s">
        <v>539</v>
      </c>
    </row>
    <row r="163" spans="1:16" ht="15" customHeight="1" x14ac:dyDescent="0.25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308" t="s">
        <v>354</v>
      </c>
    </row>
    <row r="164" spans="1:16" ht="15" customHeight="1" x14ac:dyDescent="0.25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308" t="s">
        <v>558</v>
      </c>
    </row>
    <row r="165" spans="1:16" ht="15" customHeight="1" x14ac:dyDescent="0.25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308" t="s">
        <v>690</v>
      </c>
    </row>
    <row r="166" spans="1:16" ht="15" customHeight="1" x14ac:dyDescent="0.25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308" t="s">
        <v>691</v>
      </c>
    </row>
    <row r="167" spans="1:16" ht="15" customHeight="1" x14ac:dyDescent="0.25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308" t="s">
        <v>538</v>
      </c>
    </row>
    <row r="168" spans="1:16" ht="15" customHeight="1" x14ac:dyDescent="0.25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308" t="s">
        <v>692</v>
      </c>
    </row>
    <row r="169" spans="1:16" ht="15" customHeight="1" x14ac:dyDescent="0.25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308" t="s">
        <v>684</v>
      </c>
    </row>
    <row r="170" spans="1:16" ht="15" customHeight="1" x14ac:dyDescent="0.25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308" t="s">
        <v>693</v>
      </c>
    </row>
    <row r="171" spans="1:16" ht="15" customHeight="1" x14ac:dyDescent="0.25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308" t="s">
        <v>634</v>
      </c>
    </row>
    <row r="172" spans="1:16" ht="15" customHeight="1" x14ac:dyDescent="0.25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308" t="s">
        <v>694</v>
      </c>
    </row>
    <row r="173" spans="1:16" ht="15" customHeight="1" x14ac:dyDescent="0.25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308" t="s">
        <v>694</v>
      </c>
    </row>
    <row r="174" spans="1:16" ht="15" customHeight="1" x14ac:dyDescent="0.25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308" t="s">
        <v>695</v>
      </c>
    </row>
    <row r="175" spans="1:16" ht="15" customHeight="1" x14ac:dyDescent="0.25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308" t="s">
        <v>637</v>
      </c>
    </row>
    <row r="176" spans="1:16" ht="15" customHeight="1" x14ac:dyDescent="0.25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308" t="s">
        <v>696</v>
      </c>
    </row>
    <row r="177" spans="1:16" ht="15" customHeight="1" x14ac:dyDescent="0.25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308" t="s">
        <v>539</v>
      </c>
    </row>
    <row r="178" spans="1:16" ht="15" customHeight="1" x14ac:dyDescent="0.25">
      <c r="A178" s="271"/>
    </row>
    <row r="179" spans="1:16" ht="15" customHeight="1" x14ac:dyDescent="0.25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308" t="s">
        <v>539</v>
      </c>
    </row>
    <row r="180" spans="1:16" ht="15" customHeight="1" x14ac:dyDescent="0.25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308" t="s">
        <v>697</v>
      </c>
    </row>
    <row r="181" spans="1:16" ht="15" customHeight="1" x14ac:dyDescent="0.25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308" t="s">
        <v>572</v>
      </c>
    </row>
    <row r="182" spans="1:16" ht="15" customHeight="1" x14ac:dyDescent="0.25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308" t="s">
        <v>567</v>
      </c>
    </row>
    <row r="183" spans="1:16" ht="15" customHeight="1" x14ac:dyDescent="0.25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308" t="s">
        <v>698</v>
      </c>
    </row>
    <row r="184" spans="1:16" ht="15" customHeight="1" x14ac:dyDescent="0.25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308" t="s">
        <v>699</v>
      </c>
    </row>
    <row r="185" spans="1:16" ht="15" customHeight="1" x14ac:dyDescent="0.25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308" t="s">
        <v>700</v>
      </c>
    </row>
    <row r="186" spans="1:16" ht="15" customHeight="1" x14ac:dyDescent="0.25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308" t="s">
        <v>648</v>
      </c>
    </row>
    <row r="187" spans="1:16" ht="15" customHeight="1" x14ac:dyDescent="0.25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308" t="s">
        <v>701</v>
      </c>
    </row>
    <row r="188" spans="1:16" ht="15" customHeight="1" x14ac:dyDescent="0.25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308" t="s">
        <v>650</v>
      </c>
    </row>
    <row r="189" spans="1:16" ht="15" customHeight="1" x14ac:dyDescent="0.25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308" t="s">
        <v>702</v>
      </c>
    </row>
    <row r="190" spans="1:16" ht="15" customHeight="1" x14ac:dyDescent="0.25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308" t="s">
        <v>354</v>
      </c>
    </row>
    <row r="193" spans="1:18" ht="15" customHeight="1" x14ac:dyDescent="0.25">
      <c r="A193" s="815" t="s">
        <v>703</v>
      </c>
      <c r="B193" s="798"/>
      <c r="C193" s="798"/>
      <c r="D193" s="798"/>
      <c r="E193" s="798"/>
      <c r="F193" s="798"/>
      <c r="G193" s="798"/>
      <c r="H193" s="798"/>
      <c r="I193" s="798"/>
      <c r="J193" s="798"/>
      <c r="K193" s="798"/>
      <c r="L193" s="798"/>
      <c r="M193" s="798"/>
      <c r="N193" s="798"/>
      <c r="O193" s="798"/>
      <c r="P193" s="798"/>
      <c r="Q193" s="798"/>
      <c r="R193" s="798"/>
    </row>
    <row r="194" spans="1:18" ht="15" customHeight="1" x14ac:dyDescent="0.25">
      <c r="A194" s="266" t="s">
        <v>704</v>
      </c>
      <c r="O194" s="273">
        <v>0</v>
      </c>
    </row>
    <row r="195" spans="1:18" ht="15" customHeight="1" x14ac:dyDescent="0.25">
      <c r="A195" s="266" t="s">
        <v>705</v>
      </c>
      <c r="O195" s="273">
        <v>0</v>
      </c>
    </row>
    <row r="196" spans="1:18" ht="15" customHeight="1" x14ac:dyDescent="0.25">
      <c r="A196" s="266" t="s">
        <v>535</v>
      </c>
      <c r="O196" s="273">
        <v>0</v>
      </c>
    </row>
    <row r="197" spans="1:18" ht="15" customHeight="1" x14ac:dyDescent="0.25">
      <c r="A197" s="266" t="s">
        <v>706</v>
      </c>
      <c r="C197" s="309">
        <v>0</v>
      </c>
      <c r="D197" s="269" t="s">
        <v>524</v>
      </c>
    </row>
  </sheetData>
  <mergeCells count="15">
    <mergeCell ref="A1:S1"/>
    <mergeCell ref="A46:R46"/>
    <mergeCell ref="A193:R193"/>
    <mergeCell ref="A37:R37"/>
    <mergeCell ref="A139:S139"/>
    <mergeCell ref="A38:S38"/>
    <mergeCell ref="A54:S54"/>
    <mergeCell ref="A40:R40"/>
    <mergeCell ref="A18:R18"/>
    <mergeCell ref="A4:R4"/>
    <mergeCell ref="A55:R55"/>
    <mergeCell ref="A29:R29"/>
    <mergeCell ref="A7:R7"/>
    <mergeCell ref="A2:S2"/>
    <mergeCell ref="A57:R57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topLeftCell="A12" zoomScale="137" zoomScaleNormal="137" workbookViewId="0">
      <selection activeCell="F33" sqref="F33"/>
    </sheetView>
  </sheetViews>
  <sheetFormatPr defaultColWidth="8.85546875" defaultRowHeight="15" x14ac:dyDescent="0.25"/>
  <cols>
    <col min="1" max="1" width="27.28515625" customWidth="1"/>
    <col min="2" max="2" width="10.28515625" customWidth="1"/>
    <col min="3" max="3" width="33.42578125" customWidth="1"/>
    <col min="4" max="4" width="16" customWidth="1"/>
    <col min="6" max="6" width="10.42578125" customWidth="1"/>
    <col min="7" max="7" width="12.140625" customWidth="1"/>
    <col min="8" max="8" width="13.85546875" customWidth="1"/>
  </cols>
  <sheetData>
    <row r="1" spans="1:8" ht="24" customHeight="1" x14ac:dyDescent="0.25">
      <c r="A1" s="801" t="s">
        <v>707</v>
      </c>
      <c r="B1" s="798"/>
      <c r="C1" s="798"/>
      <c r="D1" s="798"/>
    </row>
    <row r="3" spans="1:8" ht="24" customHeight="1" x14ac:dyDescent="0.25">
      <c r="A3" s="800" t="s">
        <v>708</v>
      </c>
      <c r="B3" s="798"/>
      <c r="C3" s="798"/>
      <c r="D3" s="798"/>
    </row>
    <row r="4" spans="1:8" ht="18" customHeight="1" x14ac:dyDescent="0.25">
      <c r="A4" s="1" t="s">
        <v>73</v>
      </c>
      <c r="D4" s="16">
        <f>Scenarios!F7</f>
        <v>0</v>
      </c>
    </row>
    <row r="5" spans="1:8" ht="18" customHeight="1" x14ac:dyDescent="0.25">
      <c r="A5" s="4" t="s">
        <v>709</v>
      </c>
      <c r="D5" s="310">
        <f>-Scenarios!F23</f>
        <v>0</v>
      </c>
      <c r="F5" s="311"/>
      <c r="G5" s="84"/>
      <c r="H5" s="84"/>
    </row>
    <row r="6" spans="1:8" ht="18" customHeight="1" x14ac:dyDescent="0.25">
      <c r="A6" s="1" t="s">
        <v>710</v>
      </c>
      <c r="D6" s="16">
        <f>D4+D5</f>
        <v>0</v>
      </c>
    </row>
    <row r="7" spans="1:8" ht="18" customHeight="1" x14ac:dyDescent="0.25">
      <c r="A7" s="4" t="s">
        <v>711</v>
      </c>
      <c r="D7" s="24" t="str">
        <f>D37</f>
        <v/>
      </c>
    </row>
    <row r="8" spans="1:8" ht="18" customHeight="1" x14ac:dyDescent="0.25">
      <c r="A8" s="1" t="s">
        <v>712</v>
      </c>
      <c r="B8" s="312">
        <f>Scenarios!F15</f>
        <v>0</v>
      </c>
      <c r="D8" s="16">
        <f>Scenarios!F16</f>
        <v>0</v>
      </c>
    </row>
    <row r="9" spans="1:8" ht="18" customHeight="1" x14ac:dyDescent="0.25">
      <c r="A9" s="4" t="s">
        <v>713</v>
      </c>
      <c r="D9" s="18">
        <f>Scenarios!F12</f>
        <v>0</v>
      </c>
    </row>
    <row r="10" spans="1:8" ht="18" customHeight="1" x14ac:dyDescent="0.25">
      <c r="A10" s="1" t="s">
        <v>161</v>
      </c>
      <c r="D10" s="16">
        <f>Scenarios!F13</f>
        <v>0</v>
      </c>
    </row>
    <row r="11" spans="1:8" ht="18" customHeight="1" x14ac:dyDescent="0.25">
      <c r="A11" s="251" t="s">
        <v>714</v>
      </c>
      <c r="D11" s="222">
        <f>SUM(D6:D10)</f>
        <v>0</v>
      </c>
      <c r="F11" s="311"/>
    </row>
    <row r="13" spans="1:8" ht="24" customHeight="1" x14ac:dyDescent="0.25">
      <c r="A13" s="801" t="s">
        <v>715</v>
      </c>
      <c r="B13" s="798"/>
      <c r="C13" s="798"/>
      <c r="D13" s="798"/>
    </row>
    <row r="14" spans="1:8" ht="30" customHeight="1" x14ac:dyDescent="0.25">
      <c r="A14" s="27" t="s">
        <v>716</v>
      </c>
      <c r="B14" s="27" t="s">
        <v>717</v>
      </c>
      <c r="C14" s="27" t="s">
        <v>113</v>
      </c>
      <c r="D14" s="27" t="s">
        <v>95</v>
      </c>
    </row>
    <row r="15" spans="1:8" ht="19.5" customHeight="1" x14ac:dyDescent="0.25">
      <c r="A15" s="809" t="s">
        <v>718</v>
      </c>
      <c r="B15" s="798"/>
      <c r="C15" s="798"/>
      <c r="D15" s="798"/>
    </row>
    <row r="16" spans="1:8" ht="18" customHeight="1" x14ac:dyDescent="0.25">
      <c r="A16" s="71" t="s">
        <v>719</v>
      </c>
      <c r="C16" s="313"/>
      <c r="D16" s="310"/>
    </row>
    <row r="17" spans="1:4" ht="18" customHeight="1" x14ac:dyDescent="0.25">
      <c r="A17" s="66" t="s">
        <v>720</v>
      </c>
      <c r="C17" s="314"/>
      <c r="D17" s="315"/>
    </row>
    <row r="18" spans="1:4" ht="18" customHeight="1" x14ac:dyDescent="0.25">
      <c r="A18" s="71" t="s">
        <v>721</v>
      </c>
      <c r="D18" s="310"/>
    </row>
    <row r="19" spans="1:4" ht="18" customHeight="1" x14ac:dyDescent="0.25">
      <c r="A19" s="66" t="s">
        <v>722</v>
      </c>
      <c r="D19" s="315"/>
    </row>
    <row r="20" spans="1:4" ht="18" customHeight="1" x14ac:dyDescent="0.25">
      <c r="A20" s="71" t="s">
        <v>723</v>
      </c>
      <c r="D20" s="310"/>
    </row>
    <row r="21" spans="1:4" ht="18" customHeight="1" x14ac:dyDescent="0.25">
      <c r="A21" s="66" t="s">
        <v>724</v>
      </c>
      <c r="B21" s="316">
        <f>Scenarios!F146</f>
        <v>0</v>
      </c>
      <c r="C21" s="317" t="s">
        <v>725</v>
      </c>
      <c r="D21" s="254">
        <f>Scenarios!F146*Scenarios!F141+Scenarios!F153*Scenarios!F148+Scenarios!F160*Scenarios!F155</f>
        <v>0</v>
      </c>
    </row>
    <row r="22" spans="1:4" ht="19.5" customHeight="1" x14ac:dyDescent="0.25">
      <c r="A22" s="809" t="s">
        <v>726</v>
      </c>
      <c r="B22" s="798"/>
      <c r="C22" s="798"/>
      <c r="D22" s="798"/>
    </row>
    <row r="23" spans="1:4" ht="18" customHeight="1" x14ac:dyDescent="0.25">
      <c r="A23" s="66" t="s">
        <v>727</v>
      </c>
      <c r="B23" s="318">
        <v>3.0000000000000001E-3</v>
      </c>
      <c r="C23" s="314" t="s">
        <v>728</v>
      </c>
      <c r="D23" s="16">
        <f>B23*Scenarios!F7</f>
        <v>0</v>
      </c>
    </row>
    <row r="24" spans="1:4" ht="18" customHeight="1" x14ac:dyDescent="0.25">
      <c r="A24" s="71" t="s">
        <v>729</v>
      </c>
      <c r="D24" s="310"/>
    </row>
    <row r="25" spans="1:4" ht="18" customHeight="1" x14ac:dyDescent="0.25">
      <c r="A25" s="66" t="s">
        <v>730</v>
      </c>
      <c r="D25" s="315"/>
    </row>
    <row r="26" spans="1:4" ht="18" customHeight="1" x14ac:dyDescent="0.25">
      <c r="A26" s="71" t="s">
        <v>731</v>
      </c>
      <c r="B26" s="319">
        <v>3.5000000000000001E-3</v>
      </c>
      <c r="C26" s="320" t="s">
        <v>732</v>
      </c>
      <c r="D26" s="16">
        <f>B26*Scenarios!F7</f>
        <v>0</v>
      </c>
    </row>
    <row r="27" spans="1:4" ht="18" customHeight="1" x14ac:dyDescent="0.25">
      <c r="A27" s="66" t="s">
        <v>733</v>
      </c>
      <c r="D27" s="315"/>
    </row>
    <row r="28" spans="1:4" ht="18" customHeight="1" x14ac:dyDescent="0.25">
      <c r="A28" s="71" t="s">
        <v>734</v>
      </c>
      <c r="D28" s="310"/>
    </row>
    <row r="29" spans="1:4" ht="18" customHeight="1" x14ac:dyDescent="0.25">
      <c r="A29" s="66" t="s">
        <v>735</v>
      </c>
      <c r="D29" s="315"/>
    </row>
    <row r="30" spans="1:4" ht="19.5" customHeight="1" x14ac:dyDescent="0.25">
      <c r="A30" s="809" t="s">
        <v>736</v>
      </c>
      <c r="B30" s="798"/>
      <c r="C30" s="798"/>
      <c r="D30" s="798"/>
    </row>
    <row r="31" spans="1:4" ht="18" customHeight="1" x14ac:dyDescent="0.25">
      <c r="A31" s="66" t="s">
        <v>737</v>
      </c>
      <c r="D31" s="315"/>
    </row>
    <row r="32" spans="1:4" ht="18" customHeight="1" x14ac:dyDescent="0.25">
      <c r="A32" s="71" t="s">
        <v>738</v>
      </c>
      <c r="C32" s="263"/>
      <c r="D32" s="310"/>
    </row>
    <row r="33" spans="1:5" ht="18" customHeight="1" x14ac:dyDescent="0.25">
      <c r="A33" s="66" t="s">
        <v>739</v>
      </c>
      <c r="D33" s="315"/>
    </row>
    <row r="34" spans="1:5" ht="18" customHeight="1" x14ac:dyDescent="0.25">
      <c r="A34" s="71" t="s">
        <v>740</v>
      </c>
      <c r="D34" s="310"/>
    </row>
    <row r="35" spans="1:5" ht="18" customHeight="1" x14ac:dyDescent="0.25">
      <c r="A35" s="71" t="s">
        <v>741</v>
      </c>
      <c r="D35" s="255">
        <f>Scenarios!F114/4</f>
        <v>0</v>
      </c>
    </row>
    <row r="36" spans="1:5" ht="18" customHeight="1" x14ac:dyDescent="0.25">
      <c r="A36" s="71" t="s">
        <v>742</v>
      </c>
      <c r="D36" s="255">
        <f>Scenarios!F110/4</f>
        <v>0</v>
      </c>
    </row>
    <row r="37" spans="1:5" ht="18" customHeight="1" x14ac:dyDescent="0.25">
      <c r="A37" s="807" t="s">
        <v>743</v>
      </c>
      <c r="B37" s="798"/>
      <c r="C37" s="798"/>
      <c r="D37" s="321" t="str">
        <f>IF(D4=0, "",SUM(D16:D36))</f>
        <v/>
      </c>
      <c r="E37" s="311"/>
    </row>
    <row r="38" spans="1:5" ht="15" customHeight="1" x14ac:dyDescent="0.25">
      <c r="A38" s="71" t="s">
        <v>744</v>
      </c>
      <c r="D38" s="255">
        <f>IF(D4=0,0,SUM(D16:D20)+SUM(D22:D36)+Scenarios!F153*Scenarios!F148+Scenarios!F160*Scenarios!F155)</f>
        <v>0</v>
      </c>
    </row>
  </sheetData>
  <mergeCells count="7">
    <mergeCell ref="A1:D1"/>
    <mergeCell ref="A22:D22"/>
    <mergeCell ref="A37:C37"/>
    <mergeCell ref="A3:D3"/>
    <mergeCell ref="A30:D30"/>
    <mergeCell ref="A15:D15"/>
    <mergeCell ref="A13:D1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31"/>
  <sheetViews>
    <sheetView zoomScaleNormal="100" workbookViewId="0">
      <pane xSplit="2" ySplit="9" topLeftCell="C41" activePane="bottomRight" state="frozen"/>
      <selection pane="topRight" activeCell="C1" sqref="C1"/>
      <selection pane="bottomLeft" activeCell="A41" sqref="A41"/>
      <selection pane="bottomRight" activeCell="D78" sqref="D78"/>
    </sheetView>
  </sheetViews>
  <sheetFormatPr defaultColWidth="8.85546875" defaultRowHeight="15" x14ac:dyDescent="0.25"/>
  <cols>
    <col min="1" max="1" width="28" customWidth="1"/>
    <col min="2" max="2" width="15.28515625" customWidth="1"/>
    <col min="3" max="3" width="26.28515625" customWidth="1"/>
    <col min="4" max="4" width="59" customWidth="1"/>
    <col min="5" max="5" width="46.28515625" customWidth="1"/>
    <col min="6" max="6" width="8.7109375" customWidth="1"/>
    <col min="7" max="7" width="7" customWidth="1"/>
    <col min="8" max="8" width="9" customWidth="1"/>
    <col min="9" max="10" width="10" customWidth="1"/>
    <col min="11" max="12" width="12" customWidth="1"/>
    <col min="13" max="13" width="14" customWidth="1"/>
    <col min="14" max="14" width="10" customWidth="1"/>
    <col min="15" max="15" width="18" customWidth="1"/>
    <col min="16" max="16" width="12.42578125" customWidth="1"/>
  </cols>
  <sheetData>
    <row r="1" spans="1:15" ht="24" customHeight="1" x14ac:dyDescent="0.25">
      <c r="A1" s="801" t="s">
        <v>745</v>
      </c>
      <c r="B1" s="798"/>
      <c r="C1" s="798"/>
      <c r="D1" s="798"/>
      <c r="E1" s="798"/>
      <c r="F1" s="798"/>
      <c r="G1" s="798"/>
      <c r="H1" s="798"/>
      <c r="I1" s="798"/>
      <c r="J1" s="798"/>
      <c r="K1" s="798"/>
      <c r="L1" s="798"/>
      <c r="M1" s="798"/>
      <c r="N1" s="798"/>
      <c r="O1" s="798"/>
    </row>
    <row r="2" spans="1:15" ht="15.75" customHeight="1" x14ac:dyDescent="0.25">
      <c r="A2" s="806" t="s">
        <v>746</v>
      </c>
      <c r="B2" s="798"/>
      <c r="C2" s="798"/>
      <c r="D2" s="798"/>
      <c r="E2" s="798"/>
      <c r="F2" s="798"/>
      <c r="G2" s="798"/>
      <c r="H2" s="798"/>
      <c r="I2" s="798"/>
      <c r="J2" s="798"/>
      <c r="K2" s="798"/>
      <c r="L2" s="798"/>
      <c r="M2" s="798"/>
      <c r="N2" s="798"/>
      <c r="O2" s="798"/>
    </row>
    <row r="4" spans="1:15" ht="24" customHeight="1" x14ac:dyDescent="0.25">
      <c r="A4" s="800" t="s">
        <v>747</v>
      </c>
      <c r="B4" s="798"/>
      <c r="C4" s="798"/>
      <c r="D4" s="798"/>
      <c r="E4" s="798"/>
      <c r="F4" s="798"/>
      <c r="G4" s="798"/>
      <c r="H4" s="798"/>
      <c r="I4" s="798"/>
      <c r="J4" s="798"/>
      <c r="K4" s="798"/>
      <c r="L4" s="798"/>
      <c r="M4" s="798"/>
      <c r="N4" s="798"/>
      <c r="O4" s="798"/>
    </row>
    <row r="5" spans="1:15" ht="18" customHeight="1" x14ac:dyDescent="0.25">
      <c r="A5" s="322" t="s">
        <v>748</v>
      </c>
      <c r="C5" s="323">
        <f>IFERROR(Scenarios!F8,90)</f>
        <v>0</v>
      </c>
      <c r="D5" s="324" t="s">
        <v>749</v>
      </c>
    </row>
    <row r="6" spans="1:15" ht="18" customHeight="1" x14ac:dyDescent="0.25">
      <c r="A6" s="325" t="s">
        <v>750</v>
      </c>
      <c r="C6" s="326"/>
      <c r="D6" s="327" t="s">
        <v>751</v>
      </c>
    </row>
    <row r="7" spans="1:15" ht="18" customHeight="1" x14ac:dyDescent="0.25">
      <c r="A7" s="325" t="s">
        <v>752</v>
      </c>
      <c r="C7" s="326"/>
      <c r="D7" s="327" t="s">
        <v>751</v>
      </c>
    </row>
    <row r="8" spans="1:15" ht="18" customHeight="1" x14ac:dyDescent="0.25">
      <c r="A8" s="325" t="s">
        <v>753</v>
      </c>
      <c r="C8" s="326"/>
    </row>
    <row r="9" spans="1:15" ht="18" customHeight="1" x14ac:dyDescent="0.25">
      <c r="A9" s="322" t="s">
        <v>754</v>
      </c>
      <c r="C9" s="328">
        <f>C6+C7</f>
        <v>0</v>
      </c>
    </row>
    <row r="10" spans="1:15" ht="18" customHeight="1" x14ac:dyDescent="0.25">
      <c r="A10" s="329" t="s">
        <v>755</v>
      </c>
      <c r="C10" s="248">
        <f>IFERROR('Prop Info'!$B$15,0)</f>
        <v>0</v>
      </c>
      <c r="D10" s="330" t="s">
        <v>756</v>
      </c>
    </row>
    <row r="11" spans="1:15" ht="19.5" customHeight="1" x14ac:dyDescent="0.25">
      <c r="A11" s="809" t="s">
        <v>757</v>
      </c>
      <c r="B11" s="798"/>
      <c r="C11" s="798"/>
      <c r="D11" s="798"/>
      <c r="E11" s="798"/>
      <c r="F11" s="798"/>
      <c r="G11" s="798"/>
      <c r="H11" s="798"/>
      <c r="I11" s="798"/>
      <c r="J11" s="798"/>
      <c r="K11" s="798"/>
      <c r="L11" s="798"/>
      <c r="M11" s="798"/>
      <c r="N11" s="798"/>
      <c r="O11" s="798"/>
    </row>
    <row r="12" spans="1:15" ht="18" customHeight="1" x14ac:dyDescent="0.25">
      <c r="A12" s="66" t="s">
        <v>758</v>
      </c>
      <c r="C12" s="331">
        <v>0.2</v>
      </c>
      <c r="D12" s="332" t="s">
        <v>759</v>
      </c>
    </row>
    <row r="13" spans="1:15" ht="18" customHeight="1" x14ac:dyDescent="0.25">
      <c r="A13" s="71" t="s">
        <v>760</v>
      </c>
      <c r="C13" s="333">
        <v>0.05</v>
      </c>
      <c r="D13" s="334" t="s">
        <v>761</v>
      </c>
    </row>
    <row r="14" spans="1:15" ht="18" customHeight="1" x14ac:dyDescent="0.25">
      <c r="A14" s="66" t="s">
        <v>762</v>
      </c>
      <c r="C14" s="335">
        <v>1.5</v>
      </c>
      <c r="D14" s="332" t="s">
        <v>763</v>
      </c>
    </row>
    <row r="15" spans="1:15" ht="18" customHeight="1" x14ac:dyDescent="0.25">
      <c r="A15" s="71" t="s">
        <v>764</v>
      </c>
      <c r="C15" s="336">
        <v>2.5</v>
      </c>
      <c r="D15" s="334" t="s">
        <v>765</v>
      </c>
    </row>
    <row r="16" spans="1:15" ht="18" customHeight="1" x14ac:dyDescent="0.25">
      <c r="A16" s="66" t="s">
        <v>766</v>
      </c>
      <c r="C16" s="335">
        <v>0.75</v>
      </c>
      <c r="D16" s="332" t="s">
        <v>767</v>
      </c>
    </row>
    <row r="18" spans="1:15" ht="19.5" customHeight="1" x14ac:dyDescent="0.25">
      <c r="A18" s="809" t="s">
        <v>768</v>
      </c>
      <c r="B18" s="798"/>
      <c r="C18" s="798"/>
      <c r="D18" s="798"/>
      <c r="E18" s="798"/>
      <c r="F18" s="798"/>
      <c r="G18" s="798"/>
      <c r="H18" s="798"/>
      <c r="I18" s="798"/>
      <c r="J18" s="798"/>
      <c r="K18" s="798"/>
      <c r="L18" s="798"/>
      <c r="M18" s="798"/>
      <c r="N18" s="798"/>
      <c r="O18" s="798"/>
    </row>
    <row r="19" spans="1:15" ht="15.75" customHeight="1" x14ac:dyDescent="0.25">
      <c r="A19" s="806" t="s">
        <v>769</v>
      </c>
      <c r="B19" s="798"/>
      <c r="C19" s="798"/>
      <c r="D19" s="798"/>
      <c r="E19" s="798"/>
      <c r="F19" s="798"/>
      <c r="G19" s="798"/>
      <c r="H19" s="798"/>
      <c r="I19" s="798"/>
      <c r="J19" s="798"/>
      <c r="K19" s="798"/>
      <c r="L19" s="798"/>
      <c r="M19" s="798"/>
      <c r="N19" s="798"/>
      <c r="O19" s="798"/>
    </row>
    <row r="20" spans="1:15" ht="18" customHeight="1" x14ac:dyDescent="0.25">
      <c r="A20" s="66" t="s">
        <v>770</v>
      </c>
      <c r="C20" s="337">
        <v>6</v>
      </c>
      <c r="D20" s="332" t="s">
        <v>771</v>
      </c>
    </row>
    <row r="21" spans="1:15" ht="18" customHeight="1" x14ac:dyDescent="0.25">
      <c r="A21" s="71" t="s">
        <v>772</v>
      </c>
      <c r="C21" s="338">
        <v>7</v>
      </c>
      <c r="D21" s="334" t="s">
        <v>773</v>
      </c>
    </row>
    <row r="22" spans="1:15" ht="18" customHeight="1" x14ac:dyDescent="0.25">
      <c r="A22" s="66" t="s">
        <v>774</v>
      </c>
      <c r="C22" s="337">
        <v>10</v>
      </c>
      <c r="D22" s="332" t="s">
        <v>775</v>
      </c>
    </row>
    <row r="23" spans="1:15" ht="18" customHeight="1" x14ac:dyDescent="0.25">
      <c r="A23" s="71" t="s">
        <v>776</v>
      </c>
      <c r="C23" s="338">
        <v>5</v>
      </c>
      <c r="D23" s="334" t="s">
        <v>777</v>
      </c>
    </row>
    <row r="24" spans="1:15" ht="18" customHeight="1" x14ac:dyDescent="0.25">
      <c r="A24" s="66" t="s">
        <v>778</v>
      </c>
      <c r="C24" s="337">
        <v>6</v>
      </c>
      <c r="D24" s="332" t="s">
        <v>779</v>
      </c>
    </row>
    <row r="25" spans="1:15" ht="18" customHeight="1" x14ac:dyDescent="0.25">
      <c r="A25" s="71" t="s">
        <v>780</v>
      </c>
      <c r="C25" s="338">
        <v>8</v>
      </c>
      <c r="D25" s="334" t="s">
        <v>781</v>
      </c>
    </row>
    <row r="27" spans="1:15" ht="24" customHeight="1" x14ac:dyDescent="0.25">
      <c r="A27" s="801" t="s">
        <v>782</v>
      </c>
      <c r="B27" s="798"/>
      <c r="C27" s="798"/>
      <c r="D27" s="798"/>
      <c r="E27" s="798"/>
      <c r="F27" s="798"/>
      <c r="G27" s="798"/>
      <c r="H27" s="798"/>
      <c r="I27" s="798"/>
      <c r="J27" s="798"/>
      <c r="K27" s="798"/>
      <c r="L27" s="798"/>
      <c r="M27" s="798"/>
      <c r="N27" s="798"/>
      <c r="O27" s="798"/>
    </row>
    <row r="28" spans="1:15" ht="27.75" customHeight="1" x14ac:dyDescent="0.25">
      <c r="C28" s="827" t="s">
        <v>783</v>
      </c>
      <c r="D28" s="798"/>
      <c r="E28" s="798"/>
      <c r="F28" s="824" t="s">
        <v>784</v>
      </c>
      <c r="G28" s="798"/>
      <c r="H28" s="798"/>
      <c r="I28" s="27" t="s">
        <v>785</v>
      </c>
      <c r="J28" s="27" t="s">
        <v>786</v>
      </c>
      <c r="K28" s="27" t="s">
        <v>787</v>
      </c>
      <c r="L28" s="27" t="s">
        <v>788</v>
      </c>
      <c r="M28" s="27" t="s">
        <v>789</v>
      </c>
      <c r="N28" s="27" t="s">
        <v>790</v>
      </c>
    </row>
    <row r="29" spans="1:15" ht="27.75" customHeight="1" x14ac:dyDescent="0.25">
      <c r="A29" s="38" t="s">
        <v>791</v>
      </c>
      <c r="B29" s="27" t="s">
        <v>792</v>
      </c>
      <c r="C29" s="339" t="s">
        <v>793</v>
      </c>
      <c r="D29" s="339" t="s">
        <v>794</v>
      </c>
      <c r="E29" s="339" t="s">
        <v>795</v>
      </c>
      <c r="F29" s="14" t="s">
        <v>793</v>
      </c>
      <c r="G29" s="14" t="s">
        <v>794</v>
      </c>
      <c r="H29" s="14" t="s">
        <v>795</v>
      </c>
    </row>
    <row r="30" spans="1:15" ht="19.5" customHeight="1" x14ac:dyDescent="0.25">
      <c r="A30" s="809" t="s">
        <v>796</v>
      </c>
      <c r="B30" s="798"/>
      <c r="C30" s="798"/>
      <c r="D30" s="798"/>
      <c r="E30" s="798"/>
      <c r="F30" s="798"/>
      <c r="G30" s="798"/>
      <c r="H30" s="798"/>
      <c r="I30" s="798"/>
      <c r="J30" s="798"/>
      <c r="K30" s="798"/>
      <c r="L30" s="798"/>
      <c r="M30" s="798"/>
      <c r="N30" s="798"/>
      <c r="O30" s="798"/>
    </row>
    <row r="31" spans="1:15" ht="18" customHeight="1" x14ac:dyDescent="0.25">
      <c r="A31" s="66" t="s">
        <v>797</v>
      </c>
      <c r="B31" s="340" t="s">
        <v>798</v>
      </c>
      <c r="C31" s="337"/>
      <c r="D31" s="249">
        <v>0</v>
      </c>
      <c r="E31" s="249">
        <v>0</v>
      </c>
      <c r="F31" s="337"/>
      <c r="G31" s="249">
        <v>0</v>
      </c>
      <c r="H31" s="249">
        <v>0</v>
      </c>
      <c r="I31" s="341">
        <f t="shared" ref="I31:I39" si="0">((C31+D31+E31)*5+(F31+G31+H31)*2)*8</f>
        <v>0</v>
      </c>
      <c r="J31" s="262">
        <f t="shared" ref="J31:J39" si="1">IFERROR(I31*52/2080,0)</f>
        <v>0</v>
      </c>
      <c r="K31" s="342"/>
      <c r="L31" s="343">
        <f t="shared" ref="L31:L39" si="2">IFERROR((C31*K31+D31*(K31+$C$14)+E31*(K31+$C$15)+F31*(K31+$C$16)+G31*(K31+$C$14+$C$16)+H31*(K31+$C$15+$C$16))/MAX(C31+D31+E31+F31+G31+H31,1),K31)</f>
        <v>0</v>
      </c>
      <c r="M31" s="254">
        <f t="shared" ref="M31:M39" si="3">IFERROR(J31*2080*L31*(1+$C$12)*(1+$C$13),0)</f>
        <v>0</v>
      </c>
      <c r="N31" s="230">
        <f>IFERROR(M31/M67,0)</f>
        <v>0</v>
      </c>
    </row>
    <row r="32" spans="1:15" ht="18" customHeight="1" x14ac:dyDescent="0.25">
      <c r="A32" s="71" t="s">
        <v>799</v>
      </c>
      <c r="B32" s="344" t="s">
        <v>798</v>
      </c>
      <c r="C32" s="338"/>
      <c r="D32" s="338"/>
      <c r="E32" s="345">
        <v>0</v>
      </c>
      <c r="F32" s="338"/>
      <c r="G32" s="345">
        <v>0</v>
      </c>
      <c r="H32" s="345">
        <v>0</v>
      </c>
      <c r="I32" s="346">
        <f t="shared" si="0"/>
        <v>0</v>
      </c>
      <c r="J32" s="347">
        <f t="shared" si="1"/>
        <v>0</v>
      </c>
      <c r="K32" s="342"/>
      <c r="L32" s="348">
        <f t="shared" si="2"/>
        <v>0</v>
      </c>
      <c r="M32" s="255">
        <f t="shared" si="3"/>
        <v>0</v>
      </c>
      <c r="N32" s="252">
        <f>IFERROR(M32/M67,0)</f>
        <v>0</v>
      </c>
    </row>
    <row r="33" spans="1:15" ht="18" customHeight="1" x14ac:dyDescent="0.25">
      <c r="A33" s="66" t="s">
        <v>800</v>
      </c>
      <c r="B33" s="340" t="s">
        <v>798</v>
      </c>
      <c r="C33" s="337"/>
      <c r="D33" s="337"/>
      <c r="E33" s="337"/>
      <c r="F33" s="337"/>
      <c r="G33" s="337"/>
      <c r="H33" s="337"/>
      <c r="I33" s="341">
        <f t="shared" si="0"/>
        <v>0</v>
      </c>
      <c r="J33" s="262">
        <f t="shared" si="1"/>
        <v>0</v>
      </c>
      <c r="K33" s="342"/>
      <c r="L33" s="343">
        <f t="shared" si="2"/>
        <v>0</v>
      </c>
      <c r="M33" s="254">
        <f t="shared" si="3"/>
        <v>0</v>
      </c>
      <c r="N33" s="230">
        <f>IFERROR(M33/M67,0)</f>
        <v>0</v>
      </c>
    </row>
    <row r="34" spans="1:15" ht="18" customHeight="1" x14ac:dyDescent="0.25">
      <c r="A34" s="71" t="s">
        <v>801</v>
      </c>
      <c r="B34" s="344" t="s">
        <v>798</v>
      </c>
      <c r="C34" s="349">
        <f>IFERROR(CEILING(C6/C20,1),0)</f>
        <v>0</v>
      </c>
      <c r="D34" s="345">
        <v>0</v>
      </c>
      <c r="E34" s="345">
        <v>0</v>
      </c>
      <c r="F34" s="349">
        <f>IFERROR(CEILING(C6/C20,1),0)</f>
        <v>0</v>
      </c>
      <c r="G34" s="345">
        <v>0</v>
      </c>
      <c r="H34" s="345">
        <v>0</v>
      </c>
      <c r="I34" s="346">
        <f t="shared" si="0"/>
        <v>0</v>
      </c>
      <c r="J34" s="347">
        <f t="shared" si="1"/>
        <v>0</v>
      </c>
      <c r="K34" s="342"/>
      <c r="L34" s="348">
        <f t="shared" si="2"/>
        <v>0</v>
      </c>
      <c r="M34" s="255">
        <f t="shared" si="3"/>
        <v>0</v>
      </c>
      <c r="N34" s="252">
        <f>IFERROR(M34/M67,0)</f>
        <v>0</v>
      </c>
    </row>
    <row r="35" spans="1:15" ht="18" customHeight="1" x14ac:dyDescent="0.25">
      <c r="A35" s="66" t="s">
        <v>802</v>
      </c>
      <c r="B35" s="340" t="s">
        <v>798</v>
      </c>
      <c r="C35" s="249">
        <v>0</v>
      </c>
      <c r="D35" s="349">
        <f>IFERROR(CEILING(C6/C21,1),0)</f>
        <v>0</v>
      </c>
      <c r="E35" s="249">
        <v>0</v>
      </c>
      <c r="F35" s="249">
        <v>0</v>
      </c>
      <c r="G35" s="349">
        <f>IFERROR(CEILING(C6/C21,1),0)</f>
        <v>0</v>
      </c>
      <c r="H35" s="249">
        <v>0</v>
      </c>
      <c r="I35" s="341">
        <f t="shared" si="0"/>
        <v>0</v>
      </c>
      <c r="J35" s="262">
        <f t="shared" si="1"/>
        <v>0</v>
      </c>
      <c r="K35" s="342"/>
      <c r="L35" s="343">
        <f t="shared" si="2"/>
        <v>0</v>
      </c>
      <c r="M35" s="254">
        <f t="shared" si="3"/>
        <v>0</v>
      </c>
      <c r="N35" s="230">
        <f>IFERROR(M35/M67,0)</f>
        <v>0</v>
      </c>
    </row>
    <row r="36" spans="1:15" ht="18" customHeight="1" x14ac:dyDescent="0.25">
      <c r="A36" s="71" t="s">
        <v>803</v>
      </c>
      <c r="B36" s="344" t="s">
        <v>798</v>
      </c>
      <c r="C36" s="345">
        <v>0</v>
      </c>
      <c r="D36" s="345">
        <v>0</v>
      </c>
      <c r="E36" s="349">
        <f>IFERROR(CEILING(C6/C22,1),0)</f>
        <v>0</v>
      </c>
      <c r="F36" s="345">
        <v>0</v>
      </c>
      <c r="G36" s="345">
        <v>0</v>
      </c>
      <c r="H36" s="349">
        <f>IFERROR(CEILING(C6/C22,1),0)</f>
        <v>0</v>
      </c>
      <c r="I36" s="346">
        <f t="shared" si="0"/>
        <v>0</v>
      </c>
      <c r="J36" s="347">
        <f t="shared" si="1"/>
        <v>0</v>
      </c>
      <c r="K36" s="342"/>
      <c r="L36" s="348">
        <f t="shared" si="2"/>
        <v>0</v>
      </c>
      <c r="M36" s="255">
        <f t="shared" si="3"/>
        <v>0</v>
      </c>
      <c r="N36" s="252">
        <f>IFERROR(M36/M67,0)</f>
        <v>0</v>
      </c>
    </row>
    <row r="37" spans="1:15" ht="18" customHeight="1" x14ac:dyDescent="0.25">
      <c r="A37" s="66" t="s">
        <v>804</v>
      </c>
      <c r="B37" s="340" t="s">
        <v>798</v>
      </c>
      <c r="C37" s="349">
        <f>IFERROR(CEILING(C7/C23,1),0)</f>
        <v>0</v>
      </c>
      <c r="D37" s="249">
        <v>0</v>
      </c>
      <c r="E37" s="249">
        <v>0</v>
      </c>
      <c r="F37" s="349">
        <f>IFERROR(CEILING(C7/C23,1),0)</f>
        <v>0</v>
      </c>
      <c r="G37" s="249">
        <v>0</v>
      </c>
      <c r="H37" s="249">
        <v>0</v>
      </c>
      <c r="I37" s="341">
        <f t="shared" si="0"/>
        <v>0</v>
      </c>
      <c r="J37" s="262">
        <f t="shared" si="1"/>
        <v>0</v>
      </c>
      <c r="K37" s="342"/>
      <c r="L37" s="343">
        <f t="shared" si="2"/>
        <v>0</v>
      </c>
      <c r="M37" s="254">
        <f t="shared" si="3"/>
        <v>0</v>
      </c>
      <c r="N37" s="230">
        <f>IFERROR(M37/M67,0)</f>
        <v>0</v>
      </c>
    </row>
    <row r="38" spans="1:15" ht="18" customHeight="1" x14ac:dyDescent="0.25">
      <c r="A38" s="71" t="s">
        <v>805</v>
      </c>
      <c r="B38" s="344" t="s">
        <v>798</v>
      </c>
      <c r="C38" s="345">
        <v>0</v>
      </c>
      <c r="D38" s="349">
        <f>IFERROR(CEILING(C7/C24,1),0)</f>
        <v>0</v>
      </c>
      <c r="E38" s="345">
        <v>0</v>
      </c>
      <c r="F38" s="345">
        <v>0</v>
      </c>
      <c r="G38" s="349">
        <f>IFERROR(CEILING(C7/C24,1),0)</f>
        <v>0</v>
      </c>
      <c r="H38" s="345">
        <v>0</v>
      </c>
      <c r="I38" s="346">
        <f t="shared" si="0"/>
        <v>0</v>
      </c>
      <c r="J38" s="347">
        <f t="shared" si="1"/>
        <v>0</v>
      </c>
      <c r="K38" s="342"/>
      <c r="L38" s="348">
        <f t="shared" si="2"/>
        <v>0</v>
      </c>
      <c r="M38" s="255">
        <f t="shared" si="3"/>
        <v>0</v>
      </c>
      <c r="N38" s="252">
        <f>IFERROR(M38/M67,0)</f>
        <v>0</v>
      </c>
    </row>
    <row r="39" spans="1:15" ht="18" customHeight="1" x14ac:dyDescent="0.25">
      <c r="A39" s="66" t="s">
        <v>806</v>
      </c>
      <c r="B39" s="340" t="s">
        <v>798</v>
      </c>
      <c r="C39" s="249">
        <v>0</v>
      </c>
      <c r="D39" s="249">
        <v>0</v>
      </c>
      <c r="E39" s="349">
        <f>IFERROR(CEILING(C7/C25,1),0)</f>
        <v>0</v>
      </c>
      <c r="F39" s="249">
        <v>0</v>
      </c>
      <c r="G39" s="249">
        <v>0</v>
      </c>
      <c r="H39" s="349">
        <f>IFERROR(CEILING(C7/C25,1),0)</f>
        <v>0</v>
      </c>
      <c r="I39" s="341">
        <f t="shared" si="0"/>
        <v>0</v>
      </c>
      <c r="J39" s="262">
        <f t="shared" si="1"/>
        <v>0</v>
      </c>
      <c r="K39" s="342"/>
      <c r="L39" s="343">
        <f t="shared" si="2"/>
        <v>0</v>
      </c>
      <c r="M39" s="254">
        <f t="shared" si="3"/>
        <v>0</v>
      </c>
      <c r="N39" s="230">
        <f>IFERROR(M39/M67,0)</f>
        <v>0</v>
      </c>
    </row>
    <row r="40" spans="1:15" ht="18" customHeight="1" x14ac:dyDescent="0.25">
      <c r="A40" s="825" t="s">
        <v>807</v>
      </c>
      <c r="B40" s="798"/>
      <c r="C40" s="350">
        <f t="shared" ref="C40:J40" si="4">SUM(C31:C39)</f>
        <v>0</v>
      </c>
      <c r="D40" s="350">
        <f t="shared" si="4"/>
        <v>0</v>
      </c>
      <c r="E40" s="350">
        <f t="shared" si="4"/>
        <v>0</v>
      </c>
      <c r="F40" s="350">
        <f t="shared" si="4"/>
        <v>0</v>
      </c>
      <c r="G40" s="350">
        <f t="shared" si="4"/>
        <v>0</v>
      </c>
      <c r="H40" s="350">
        <f t="shared" si="4"/>
        <v>0</v>
      </c>
      <c r="I40" s="350">
        <f t="shared" si="4"/>
        <v>0</v>
      </c>
      <c r="J40" s="351">
        <f t="shared" si="4"/>
        <v>0</v>
      </c>
      <c r="K40" s="352"/>
      <c r="L40" s="352"/>
      <c r="M40" s="260">
        <f>SUM(M31:M39)</f>
        <v>0</v>
      </c>
      <c r="N40" s="352"/>
    </row>
    <row r="42" spans="1:15" ht="19.5" customHeight="1" x14ac:dyDescent="0.25">
      <c r="A42" s="809" t="s">
        <v>808</v>
      </c>
      <c r="B42" s="798"/>
      <c r="C42" s="798"/>
      <c r="D42" s="798"/>
      <c r="E42" s="798"/>
      <c r="F42" s="798"/>
      <c r="G42" s="798"/>
      <c r="H42" s="798"/>
      <c r="I42" s="798"/>
      <c r="J42" s="798"/>
      <c r="K42" s="798"/>
      <c r="L42" s="798"/>
      <c r="M42" s="798"/>
      <c r="N42" s="798"/>
      <c r="O42" s="798"/>
    </row>
    <row r="43" spans="1:15" ht="18" customHeight="1" x14ac:dyDescent="0.25">
      <c r="A43" s="66" t="s">
        <v>809</v>
      </c>
      <c r="B43" s="340" t="s">
        <v>810</v>
      </c>
      <c r="C43" s="337"/>
      <c r="D43" s="337"/>
      <c r="E43" s="249">
        <v>0</v>
      </c>
      <c r="F43" s="337"/>
      <c r="G43" s="337"/>
      <c r="H43" s="249">
        <v>0</v>
      </c>
      <c r="I43" s="341">
        <f>((C43+D43+E43)*5+(F43+G43+H43)*2)*8</f>
        <v>0</v>
      </c>
      <c r="J43" s="262">
        <f>IFERROR(I43*52/2080,0)</f>
        <v>0</v>
      </c>
      <c r="K43" s="342"/>
      <c r="L43" s="343">
        <f>IFERROR((C43*K43+D43*(K43+$C$14)+E43*(K43+$C$15)+F43*(K43+$C$16)+G43*(K43+$C$14+$C$16)+H43*(K43+$C$15+$C$16))/MAX(C43+D43+E43+F43+G43+H43,1),K43)</f>
        <v>0</v>
      </c>
      <c r="M43" s="254">
        <f>IFERROR(J43*2080*L43*(1+$C$12)*(1+$C$13),0)</f>
        <v>0</v>
      </c>
      <c r="N43" s="230">
        <f>IFERROR(M43/M67,0)</f>
        <v>0</v>
      </c>
    </row>
    <row r="44" spans="1:15" ht="18" customHeight="1" x14ac:dyDescent="0.25">
      <c r="A44" s="71" t="s">
        <v>811</v>
      </c>
      <c r="B44" s="344" t="s">
        <v>810</v>
      </c>
      <c r="C44" s="338"/>
      <c r="D44" s="338"/>
      <c r="E44" s="345">
        <v>0</v>
      </c>
      <c r="F44" s="338"/>
      <c r="G44" s="338"/>
      <c r="H44" s="345">
        <v>0</v>
      </c>
      <c r="I44" s="346">
        <f>((C44+D44+E44)*5+(F44+G44+H44)*2)*8</f>
        <v>0</v>
      </c>
      <c r="J44" s="347">
        <f>IFERROR(I44*52/2080,0)</f>
        <v>0</v>
      </c>
      <c r="K44" s="342"/>
      <c r="L44" s="348">
        <f>IFERROR((C44*K44+D44*(K44+$C$14)+E44*(K44+$C$15)+F44*(K44+$C$16)+G44*(K44+$C$14+$C$16)+H44*(K44+$C$15+$C$16))/MAX(C44+D44+E44+F44+G44+H44,1),K44)</f>
        <v>0</v>
      </c>
      <c r="M44" s="255">
        <f>IFERROR(J44*2080*L44*(1+$C$12)*(1+$C$13),0)</f>
        <v>0</v>
      </c>
      <c r="N44" s="252">
        <f>IFERROR(M44/M67,0)</f>
        <v>0</v>
      </c>
    </row>
    <row r="45" spans="1:15" ht="18" customHeight="1" x14ac:dyDescent="0.25">
      <c r="A45" s="66" t="s">
        <v>812</v>
      </c>
      <c r="B45" s="340" t="s">
        <v>810</v>
      </c>
      <c r="C45" s="337"/>
      <c r="D45" s="337"/>
      <c r="E45" s="249">
        <v>0</v>
      </c>
      <c r="F45" s="337"/>
      <c r="G45" s="337"/>
      <c r="H45" s="249">
        <v>0</v>
      </c>
      <c r="I45" s="341">
        <f>((C45+D45+E45)*5+(F45+G45+H45)*2)*8</f>
        <v>0</v>
      </c>
      <c r="J45" s="262">
        <f>IFERROR(I45*52/2080,0)</f>
        <v>0</v>
      </c>
      <c r="K45" s="342"/>
      <c r="L45" s="343">
        <f>IFERROR((C45*K45+D45*(K45+$C$14)+E45*(K45+$C$15)+F45*(K45+$C$16)+G45*(K45+$C$14+$C$16)+H45*(K45+$C$15+$C$16))/MAX(C45+D45+E45+F45+G45+H45,1),K45)</f>
        <v>0</v>
      </c>
      <c r="M45" s="254">
        <f>IFERROR(J45*2080*L45*(1+$C$12)*(1+$C$13),0)</f>
        <v>0</v>
      </c>
      <c r="N45" s="230">
        <f>IFERROR(M45/M67,0)</f>
        <v>0</v>
      </c>
    </row>
    <row r="46" spans="1:15" ht="18" customHeight="1" x14ac:dyDescent="0.25">
      <c r="A46" s="71" t="s">
        <v>813</v>
      </c>
      <c r="B46" s="344" t="s">
        <v>810</v>
      </c>
      <c r="C46" s="338"/>
      <c r="D46" s="338"/>
      <c r="E46" s="345">
        <v>0</v>
      </c>
      <c r="F46" s="338"/>
      <c r="G46" s="338"/>
      <c r="H46" s="345">
        <v>0</v>
      </c>
      <c r="I46" s="346">
        <f>((C46+D46+E46)*5+(F46+G46+H46)*2)*8</f>
        <v>0</v>
      </c>
      <c r="J46" s="347">
        <f>IFERROR(I46*52/2080,0)</f>
        <v>0</v>
      </c>
      <c r="K46" s="342"/>
      <c r="L46" s="348">
        <f>IFERROR((C46*K46+D46*(K46+$C$14)+E46*(K46+$C$15)+F46*(K46+$C$16)+G46*(K46+$C$14+$C$16)+H46*(K46+$C$15+$C$16))/MAX(C46+D46+E46+F46+G46+H46,1),K46)</f>
        <v>0</v>
      </c>
      <c r="M46" s="255">
        <f>IFERROR(J46*2080*L46*(1+$C$12)*(1+$C$13),0)</f>
        <v>0</v>
      </c>
      <c r="N46" s="252">
        <f>IFERROR(M46/M67,0)</f>
        <v>0</v>
      </c>
    </row>
    <row r="47" spans="1:15" ht="18" customHeight="1" x14ac:dyDescent="0.25">
      <c r="A47" s="825" t="s">
        <v>814</v>
      </c>
      <c r="B47" s="798"/>
      <c r="C47" s="350">
        <f t="shared" ref="C47:J47" si="5">SUM(C43:C46)</f>
        <v>0</v>
      </c>
      <c r="D47" s="350">
        <f t="shared" si="5"/>
        <v>0</v>
      </c>
      <c r="E47" s="350">
        <f t="shared" si="5"/>
        <v>0</v>
      </c>
      <c r="F47" s="350">
        <f t="shared" si="5"/>
        <v>0</v>
      </c>
      <c r="G47" s="350">
        <f t="shared" si="5"/>
        <v>0</v>
      </c>
      <c r="H47" s="350">
        <f t="shared" si="5"/>
        <v>0</v>
      </c>
      <c r="I47" s="350">
        <f t="shared" si="5"/>
        <v>0</v>
      </c>
      <c r="J47" s="351">
        <f t="shared" si="5"/>
        <v>0</v>
      </c>
      <c r="K47" s="352"/>
      <c r="L47" s="352"/>
      <c r="M47" s="260">
        <f>SUM(M43:M46)</f>
        <v>0</v>
      </c>
      <c r="N47" s="352"/>
    </row>
    <row r="49" spans="1:15" ht="19.5" customHeight="1" x14ac:dyDescent="0.25">
      <c r="A49" s="809" t="s">
        <v>815</v>
      </c>
      <c r="B49" s="798"/>
      <c r="C49" s="798"/>
      <c r="D49" s="798"/>
      <c r="E49" s="798"/>
      <c r="F49" s="798"/>
      <c r="G49" s="798"/>
      <c r="H49" s="798"/>
      <c r="I49" s="798"/>
      <c r="J49" s="798"/>
      <c r="K49" s="798"/>
      <c r="L49" s="798"/>
      <c r="M49" s="798"/>
      <c r="N49" s="798"/>
      <c r="O49" s="798"/>
    </row>
    <row r="50" spans="1:15" ht="18" customHeight="1" x14ac:dyDescent="0.25">
      <c r="A50" s="66" t="s">
        <v>816</v>
      </c>
      <c r="B50" s="340" t="s">
        <v>817</v>
      </c>
      <c r="C50" s="337"/>
      <c r="D50" s="249">
        <v>0</v>
      </c>
      <c r="E50" s="249">
        <v>0</v>
      </c>
      <c r="F50" s="337"/>
      <c r="G50" s="249">
        <v>0</v>
      </c>
      <c r="H50" s="249">
        <v>0</v>
      </c>
      <c r="I50" s="341">
        <f>((C50+D50+E50)*5+(F50+G50+H50)*2)*8</f>
        <v>0</v>
      </c>
      <c r="J50" s="262">
        <f>IFERROR(I50*52/2080,0)</f>
        <v>0</v>
      </c>
      <c r="K50" s="342"/>
      <c r="L50" s="343">
        <f>IFERROR((C50*K50+D50*(K50+$C$14)+E50*(K50+$C$15)+F50*(K50+$C$16)+G50*(K50+$C$14+$C$16)+H50*(K50+$C$15+$C$16))/MAX(C50+D50+E50+F50+G50+H50,1),K50)</f>
        <v>0</v>
      </c>
      <c r="M50" s="254">
        <f>IFERROR(J50*2080*L50*(1+$C$12)*(1+$C$13),0)</f>
        <v>0</v>
      </c>
      <c r="N50" s="230">
        <f>IFERROR(M50/M67,0)</f>
        <v>0</v>
      </c>
    </row>
    <row r="51" spans="1:15" ht="18" customHeight="1" x14ac:dyDescent="0.25">
      <c r="A51" s="71" t="s">
        <v>818</v>
      </c>
      <c r="B51" s="344" t="s">
        <v>817</v>
      </c>
      <c r="C51" s="338"/>
      <c r="D51" s="345">
        <v>0</v>
      </c>
      <c r="E51" s="345">
        <v>0</v>
      </c>
      <c r="F51" s="338"/>
      <c r="G51" s="345">
        <v>0</v>
      </c>
      <c r="H51" s="345">
        <v>0</v>
      </c>
      <c r="I51" s="346">
        <f>((C51+D51+E51)*5+(F51+G51+H51)*2)*8</f>
        <v>0</v>
      </c>
      <c r="J51" s="347">
        <f>IFERROR(I51*52/2080,0)</f>
        <v>0</v>
      </c>
      <c r="K51" s="342"/>
      <c r="L51" s="348">
        <f>IFERROR((C51*K51+D51*(K51+$C$14)+E51*(K51+$C$15)+F51*(K51+$C$16)+G51*(K51+$C$14+$C$16)+H51*(K51+$C$15+$C$16))/MAX(C51+D51+E51+F51+G51+H51,1),K51)</f>
        <v>0</v>
      </c>
      <c r="M51" s="255">
        <f>IFERROR(J51*2080*L51*(1+$C$12)*(1+$C$13),0)</f>
        <v>0</v>
      </c>
      <c r="N51" s="252">
        <f>IFERROR(M51/M67,0)</f>
        <v>0</v>
      </c>
    </row>
    <row r="52" spans="1:15" ht="18" customHeight="1" x14ac:dyDescent="0.25">
      <c r="A52" s="66" t="s">
        <v>819</v>
      </c>
      <c r="B52" s="340" t="s">
        <v>817</v>
      </c>
      <c r="C52" s="337"/>
      <c r="D52" s="337"/>
      <c r="E52" s="249">
        <v>0</v>
      </c>
      <c r="F52" s="337"/>
      <c r="G52" s="249">
        <v>0</v>
      </c>
      <c r="H52" s="249">
        <v>0</v>
      </c>
      <c r="I52" s="341">
        <f>((C52+D52+E52)*5+(F52+G52+H52)*2)*8</f>
        <v>0</v>
      </c>
      <c r="J52" s="262">
        <f>IFERROR(I52*52/2080,0)</f>
        <v>0</v>
      </c>
      <c r="K52" s="342"/>
      <c r="L52" s="343">
        <f>IFERROR((C52*K52+D52*(K52+$C$14)+E52*(K52+$C$15)+F52*(K52+$C$16)+G52*(K52+$C$14+$C$16)+H52*(K52+$C$15+$C$16))/MAX(C52+D52+E52+F52+G52+H52,1),K52)</f>
        <v>0</v>
      </c>
      <c r="M52" s="254">
        <f>IFERROR(J52*2080*L52*(1+$C$12)*(1+$C$13),0)</f>
        <v>0</v>
      </c>
      <c r="N52" s="230">
        <f>IFERROR(M52/M67,0)</f>
        <v>0</v>
      </c>
    </row>
    <row r="53" spans="1:15" ht="18" customHeight="1" x14ac:dyDescent="0.25">
      <c r="A53" s="825" t="s">
        <v>820</v>
      </c>
      <c r="B53" s="798"/>
      <c r="C53" s="350">
        <f t="shared" ref="C53:J53" si="6">SUM(C50:C52)</f>
        <v>0</v>
      </c>
      <c r="D53" s="350">
        <f t="shared" si="6"/>
        <v>0</v>
      </c>
      <c r="E53" s="350">
        <f t="shared" si="6"/>
        <v>0</v>
      </c>
      <c r="F53" s="350">
        <f t="shared" si="6"/>
        <v>0</v>
      </c>
      <c r="G53" s="350">
        <f t="shared" si="6"/>
        <v>0</v>
      </c>
      <c r="H53" s="350">
        <f t="shared" si="6"/>
        <v>0</v>
      </c>
      <c r="I53" s="350">
        <f t="shared" si="6"/>
        <v>0</v>
      </c>
      <c r="J53" s="351">
        <f t="shared" si="6"/>
        <v>0</v>
      </c>
      <c r="K53" s="352"/>
      <c r="L53" s="352"/>
      <c r="M53" s="260">
        <f>SUM(M50:M52)</f>
        <v>0</v>
      </c>
      <c r="N53" s="352"/>
    </row>
    <row r="55" spans="1:15" ht="19.5" customHeight="1" x14ac:dyDescent="0.25">
      <c r="A55" s="809" t="s">
        <v>821</v>
      </c>
      <c r="B55" s="798"/>
      <c r="C55" s="798"/>
      <c r="D55" s="798"/>
      <c r="E55" s="798"/>
      <c r="F55" s="798"/>
      <c r="G55" s="798"/>
      <c r="H55" s="798"/>
      <c r="I55" s="798"/>
      <c r="J55" s="798"/>
      <c r="K55" s="798"/>
      <c r="L55" s="798"/>
      <c r="M55" s="798"/>
      <c r="N55" s="798"/>
      <c r="O55" s="798"/>
    </row>
    <row r="56" spans="1:15" ht="18" customHeight="1" x14ac:dyDescent="0.25">
      <c r="A56" s="66" t="s">
        <v>822</v>
      </c>
      <c r="B56" s="340" t="s">
        <v>823</v>
      </c>
      <c r="C56" s="337"/>
      <c r="D56" s="249">
        <v>0</v>
      </c>
      <c r="E56" s="249">
        <v>0</v>
      </c>
      <c r="F56" s="337"/>
      <c r="G56" s="249">
        <v>0</v>
      </c>
      <c r="H56" s="249">
        <v>0</v>
      </c>
      <c r="I56" s="341">
        <f t="shared" ref="I56:I64" si="7">((C56+D56+E56)*5+(F56+G56+H56)*2)*8</f>
        <v>0</v>
      </c>
      <c r="J56" s="262">
        <f t="shared" ref="J56:J64" si="8">IFERROR(I56*52/2080,0)</f>
        <v>0</v>
      </c>
      <c r="K56" s="342"/>
      <c r="L56" s="343">
        <f t="shared" ref="L56:L64" si="9">IFERROR((C56*K56+D56*(K56+$C$14)+E56*(K56+$C$15)+F56*(K56+$C$16)+G56*(K56+$C$14+$C$16)+H56*(K56+$C$15+$C$16))/MAX(C56+D56+E56+F56+G56+H56,1),K56)</f>
        <v>0</v>
      </c>
      <c r="M56" s="254">
        <f t="shared" ref="M56:M64" si="10">IFERROR(J56*2080*L56*(1+$C$12)*(1+$C$13),0)</f>
        <v>0</v>
      </c>
      <c r="N56" s="230">
        <f>IFERROR(M56/M67,0)</f>
        <v>0</v>
      </c>
    </row>
    <row r="57" spans="1:15" ht="18" customHeight="1" x14ac:dyDescent="0.25">
      <c r="A57" s="71" t="s">
        <v>824</v>
      </c>
      <c r="B57" s="344" t="s">
        <v>823</v>
      </c>
      <c r="C57" s="338"/>
      <c r="D57" s="345">
        <v>0</v>
      </c>
      <c r="E57" s="345">
        <v>0</v>
      </c>
      <c r="F57" s="338"/>
      <c r="G57" s="345">
        <v>0</v>
      </c>
      <c r="H57" s="345">
        <v>0</v>
      </c>
      <c r="I57" s="346">
        <f t="shared" si="7"/>
        <v>0</v>
      </c>
      <c r="J57" s="347">
        <f t="shared" si="8"/>
        <v>0</v>
      </c>
      <c r="K57" s="342"/>
      <c r="L57" s="348">
        <f t="shared" si="9"/>
        <v>0</v>
      </c>
      <c r="M57" s="255">
        <f t="shared" si="10"/>
        <v>0</v>
      </c>
      <c r="N57" s="252">
        <f>IFERROR(M57/M67,0)</f>
        <v>0</v>
      </c>
    </row>
    <row r="58" spans="1:15" ht="18" customHeight="1" x14ac:dyDescent="0.25">
      <c r="A58" s="66" t="s">
        <v>825</v>
      </c>
      <c r="B58" s="340" t="s">
        <v>826</v>
      </c>
      <c r="C58" s="337"/>
      <c r="D58" s="337"/>
      <c r="E58" s="249">
        <v>0</v>
      </c>
      <c r="F58" s="337"/>
      <c r="G58" s="337"/>
      <c r="H58" s="249">
        <v>0</v>
      </c>
      <c r="I58" s="341">
        <f t="shared" si="7"/>
        <v>0</v>
      </c>
      <c r="J58" s="262">
        <f t="shared" si="8"/>
        <v>0</v>
      </c>
      <c r="K58" s="342"/>
      <c r="L58" s="343">
        <f t="shared" si="9"/>
        <v>0</v>
      </c>
      <c r="M58" s="254">
        <f t="shared" si="10"/>
        <v>0</v>
      </c>
      <c r="N58" s="230">
        <f>IFERROR(M58/M67,0)</f>
        <v>0</v>
      </c>
    </row>
    <row r="59" spans="1:15" ht="18" customHeight="1" x14ac:dyDescent="0.25">
      <c r="A59" s="71" t="s">
        <v>827</v>
      </c>
      <c r="B59" s="344" t="s">
        <v>826</v>
      </c>
      <c r="C59" s="338"/>
      <c r="D59" s="338"/>
      <c r="E59" s="345">
        <v>0</v>
      </c>
      <c r="F59" s="338"/>
      <c r="G59" s="338"/>
      <c r="H59" s="345">
        <v>0</v>
      </c>
      <c r="I59" s="346">
        <f t="shared" si="7"/>
        <v>0</v>
      </c>
      <c r="J59" s="347">
        <f t="shared" si="8"/>
        <v>0</v>
      </c>
      <c r="K59" s="342"/>
      <c r="L59" s="348">
        <f t="shared" si="9"/>
        <v>0</v>
      </c>
      <c r="M59" s="255">
        <f t="shared" si="10"/>
        <v>0</v>
      </c>
      <c r="N59" s="252">
        <f>IFERROR(M59/M67,0)</f>
        <v>0</v>
      </c>
    </row>
    <row r="60" spans="1:15" ht="18" customHeight="1" x14ac:dyDescent="0.25">
      <c r="A60" s="66" t="s">
        <v>828</v>
      </c>
      <c r="B60" s="340" t="s">
        <v>826</v>
      </c>
      <c r="C60" s="337"/>
      <c r="D60" s="249">
        <v>0</v>
      </c>
      <c r="E60" s="249">
        <v>0</v>
      </c>
      <c r="F60" s="337"/>
      <c r="G60" s="249">
        <v>0</v>
      </c>
      <c r="H60" s="249">
        <v>0</v>
      </c>
      <c r="I60" s="341">
        <f t="shared" si="7"/>
        <v>0</v>
      </c>
      <c r="J60" s="262">
        <f t="shared" si="8"/>
        <v>0</v>
      </c>
      <c r="K60" s="342"/>
      <c r="L60" s="343">
        <f t="shared" si="9"/>
        <v>0</v>
      </c>
      <c r="M60" s="254">
        <f t="shared" si="10"/>
        <v>0</v>
      </c>
      <c r="N60" s="230">
        <f>IFERROR(M60/M67,0)</f>
        <v>0</v>
      </c>
    </row>
    <row r="61" spans="1:15" ht="18" customHeight="1" x14ac:dyDescent="0.25">
      <c r="A61" s="71" t="s">
        <v>829</v>
      </c>
      <c r="B61" s="344" t="s">
        <v>826</v>
      </c>
      <c r="C61" s="338"/>
      <c r="D61" s="345">
        <v>0</v>
      </c>
      <c r="E61" s="345">
        <v>0</v>
      </c>
      <c r="F61" s="345">
        <v>0</v>
      </c>
      <c r="G61" s="345">
        <v>0</v>
      </c>
      <c r="H61" s="345">
        <v>0</v>
      </c>
      <c r="I61" s="346">
        <f t="shared" si="7"/>
        <v>0</v>
      </c>
      <c r="J61" s="347">
        <f t="shared" si="8"/>
        <v>0</v>
      </c>
      <c r="K61" s="342"/>
      <c r="L61" s="348">
        <f t="shared" si="9"/>
        <v>0</v>
      </c>
      <c r="M61" s="255">
        <f t="shared" si="10"/>
        <v>0</v>
      </c>
      <c r="N61" s="252">
        <f>IFERROR(M61/M67,0)</f>
        <v>0</v>
      </c>
    </row>
    <row r="62" spans="1:15" ht="18" customHeight="1" x14ac:dyDescent="0.25">
      <c r="A62" s="66" t="s">
        <v>830</v>
      </c>
      <c r="B62" s="340" t="s">
        <v>826</v>
      </c>
      <c r="C62" s="337"/>
      <c r="D62" s="337"/>
      <c r="E62" s="249">
        <v>0</v>
      </c>
      <c r="F62" s="337"/>
      <c r="G62" s="249">
        <v>0</v>
      </c>
      <c r="H62" s="249">
        <v>0</v>
      </c>
      <c r="I62" s="341">
        <f t="shared" si="7"/>
        <v>0</v>
      </c>
      <c r="J62" s="262">
        <f t="shared" si="8"/>
        <v>0</v>
      </c>
      <c r="K62" s="342"/>
      <c r="L62" s="343">
        <f t="shared" si="9"/>
        <v>0</v>
      </c>
      <c r="M62" s="254">
        <f t="shared" si="10"/>
        <v>0</v>
      </c>
      <c r="N62" s="230">
        <f>IFERROR(M62/M67,0)</f>
        <v>0</v>
      </c>
    </row>
    <row r="63" spans="1:15" ht="18" customHeight="1" x14ac:dyDescent="0.25">
      <c r="A63" s="71" t="s">
        <v>831</v>
      </c>
      <c r="B63" s="344" t="s">
        <v>826</v>
      </c>
      <c r="C63" s="338"/>
      <c r="D63" s="345">
        <v>0</v>
      </c>
      <c r="E63" s="345">
        <v>0</v>
      </c>
      <c r="F63" s="345">
        <v>0</v>
      </c>
      <c r="G63" s="345">
        <v>0</v>
      </c>
      <c r="H63" s="345">
        <v>0</v>
      </c>
      <c r="I63" s="346">
        <f t="shared" si="7"/>
        <v>0</v>
      </c>
      <c r="J63" s="347">
        <f t="shared" si="8"/>
        <v>0</v>
      </c>
      <c r="K63" s="342"/>
      <c r="L63" s="348">
        <f t="shared" si="9"/>
        <v>0</v>
      </c>
      <c r="M63" s="255">
        <f t="shared" si="10"/>
        <v>0</v>
      </c>
      <c r="N63" s="252">
        <f>IFERROR(M63/M67,0)</f>
        <v>0</v>
      </c>
    </row>
    <row r="64" spans="1:15" ht="18" customHeight="1" x14ac:dyDescent="0.25">
      <c r="A64" s="66" t="s">
        <v>832</v>
      </c>
      <c r="B64" s="340" t="s">
        <v>826</v>
      </c>
      <c r="C64" s="337"/>
      <c r="D64" s="249">
        <v>0</v>
      </c>
      <c r="E64" s="249">
        <v>0</v>
      </c>
      <c r="F64" s="249">
        <v>0</v>
      </c>
      <c r="G64" s="249">
        <v>0</v>
      </c>
      <c r="H64" s="249">
        <v>0</v>
      </c>
      <c r="I64" s="341">
        <f t="shared" si="7"/>
        <v>0</v>
      </c>
      <c r="J64" s="262">
        <f t="shared" si="8"/>
        <v>0</v>
      </c>
      <c r="K64" s="342"/>
      <c r="L64" s="343">
        <f t="shared" si="9"/>
        <v>0</v>
      </c>
      <c r="M64" s="254">
        <f t="shared" si="10"/>
        <v>0</v>
      </c>
      <c r="N64" s="230">
        <f>IFERROR(M64/M67,0)</f>
        <v>0</v>
      </c>
    </row>
    <row r="65" spans="1:16" ht="18" customHeight="1" x14ac:dyDescent="0.25">
      <c r="A65" s="825" t="s">
        <v>833</v>
      </c>
      <c r="B65" s="798"/>
      <c r="C65" s="350">
        <f t="shared" ref="C65:J65" si="11">SUM(C56:C64)</f>
        <v>0</v>
      </c>
      <c r="D65" s="350">
        <f t="shared" si="11"/>
        <v>0</v>
      </c>
      <c r="E65" s="350">
        <f t="shared" si="11"/>
        <v>0</v>
      </c>
      <c r="F65" s="350">
        <f t="shared" si="11"/>
        <v>0</v>
      </c>
      <c r="G65" s="350">
        <f t="shared" si="11"/>
        <v>0</v>
      </c>
      <c r="H65" s="350">
        <f t="shared" si="11"/>
        <v>0</v>
      </c>
      <c r="I65" s="350">
        <f t="shared" si="11"/>
        <v>0</v>
      </c>
      <c r="J65" s="351">
        <f t="shared" si="11"/>
        <v>0</v>
      </c>
      <c r="K65" s="352"/>
      <c r="L65" s="352"/>
      <c r="M65" s="260">
        <f>SUM(M56:M64)</f>
        <v>0</v>
      </c>
      <c r="N65" s="352"/>
    </row>
    <row r="67" spans="1:16" ht="21.75" customHeight="1" x14ac:dyDescent="0.25">
      <c r="A67" s="801" t="s">
        <v>834</v>
      </c>
      <c r="B67" s="798"/>
      <c r="C67" s="353">
        <f t="shared" ref="C67:J67" si="12">C40+C47+C53+C65</f>
        <v>0</v>
      </c>
      <c r="D67" s="353">
        <f t="shared" si="12"/>
        <v>0</v>
      </c>
      <c r="E67" s="353">
        <f t="shared" si="12"/>
        <v>0</v>
      </c>
      <c r="F67" s="353">
        <f t="shared" si="12"/>
        <v>0</v>
      </c>
      <c r="G67" s="353">
        <f t="shared" si="12"/>
        <v>0</v>
      </c>
      <c r="H67" s="353">
        <f t="shared" si="12"/>
        <v>0</v>
      </c>
      <c r="I67" s="353">
        <f t="shared" si="12"/>
        <v>0</v>
      </c>
      <c r="J67" s="354">
        <f t="shared" si="12"/>
        <v>0</v>
      </c>
      <c r="K67" s="355"/>
      <c r="L67" s="355"/>
      <c r="M67" s="321">
        <f>M40+M47+M53+M65+O67</f>
        <v>0</v>
      </c>
      <c r="N67" s="355"/>
      <c r="O67" s="356"/>
      <c r="P67" s="357" t="s">
        <v>835</v>
      </c>
    </row>
    <row r="69" spans="1:16" ht="24" customHeight="1" x14ac:dyDescent="0.25">
      <c r="A69" s="800" t="s">
        <v>836</v>
      </c>
      <c r="B69" s="798"/>
      <c r="C69" s="798"/>
      <c r="D69" s="798"/>
      <c r="E69" s="798"/>
      <c r="F69" s="798"/>
      <c r="G69" s="798"/>
      <c r="H69" s="798"/>
      <c r="I69" s="798"/>
      <c r="J69" s="798"/>
      <c r="K69" s="798"/>
      <c r="L69" s="798"/>
      <c r="M69" s="798"/>
      <c r="N69" s="798"/>
      <c r="O69" s="798"/>
    </row>
    <row r="70" spans="1:16" ht="15.75" customHeight="1" x14ac:dyDescent="0.25">
      <c r="A70" s="826" t="s">
        <v>837</v>
      </c>
      <c r="B70" s="798"/>
      <c r="C70" s="798"/>
      <c r="D70" s="798"/>
      <c r="E70" s="798"/>
      <c r="F70" s="798"/>
      <c r="G70" s="798"/>
      <c r="H70" s="798"/>
      <c r="I70" s="798"/>
      <c r="J70" s="798"/>
      <c r="K70" s="798"/>
      <c r="L70" s="798"/>
      <c r="M70" s="798"/>
      <c r="N70" s="798"/>
      <c r="O70" s="798"/>
    </row>
    <row r="71" spans="1:16" ht="27.75" customHeight="1" x14ac:dyDescent="0.25">
      <c r="A71" s="14" t="s">
        <v>838</v>
      </c>
      <c r="B71" s="14" t="s">
        <v>839</v>
      </c>
      <c r="C71" s="14" t="s">
        <v>840</v>
      </c>
      <c r="D71" s="14" t="s">
        <v>841</v>
      </c>
      <c r="E71" s="14" t="s">
        <v>842</v>
      </c>
      <c r="F71" s="14" t="s">
        <v>843</v>
      </c>
      <c r="G71" s="14" t="s">
        <v>844</v>
      </c>
      <c r="H71" s="14" t="s">
        <v>845</v>
      </c>
      <c r="I71" s="14" t="s">
        <v>846</v>
      </c>
      <c r="J71" s="14" t="s">
        <v>847</v>
      </c>
      <c r="K71" s="14" t="s">
        <v>146</v>
      </c>
    </row>
    <row r="72" spans="1:16" ht="18" customHeight="1" x14ac:dyDescent="0.25">
      <c r="A72" s="1" t="s">
        <v>848</v>
      </c>
      <c r="B72" s="28">
        <f>C6</f>
        <v>0</v>
      </c>
      <c r="C72" s="28">
        <f>C34</f>
        <v>0</v>
      </c>
      <c r="D72" s="262">
        <f>IFERROR(C6/C34,0)</f>
        <v>0</v>
      </c>
      <c r="E72" s="28">
        <f>F34</f>
        <v>0</v>
      </c>
      <c r="F72" s="262">
        <f>IFERROR(C6/F34,0)</f>
        <v>0</v>
      </c>
      <c r="G72" s="261">
        <f t="shared" ref="G72:G77" si="13">C20</f>
        <v>6</v>
      </c>
      <c r="H72" s="262">
        <f t="shared" ref="H72:H77" si="14">IFERROR(D72-G72,0)</f>
        <v>-6</v>
      </c>
      <c r="I72" s="31" t="str">
        <f t="shared" ref="I72:I77" si="15">IFERROR(IF(D72&lt;=G72,"On target",IF(D72&lt;=G72*1.2,"Slightly over","Understaffed")),"-")</f>
        <v>On target</v>
      </c>
      <c r="J72" s="262">
        <f>IFERROR(C34*8/C6,0)</f>
        <v>0</v>
      </c>
      <c r="K72" s="358"/>
    </row>
    <row r="73" spans="1:16" ht="18" customHeight="1" x14ac:dyDescent="0.25">
      <c r="A73" s="4" t="s">
        <v>849</v>
      </c>
      <c r="B73" s="7">
        <f>C6</f>
        <v>0</v>
      </c>
      <c r="C73" s="7">
        <f>D35</f>
        <v>0</v>
      </c>
      <c r="D73" s="347">
        <f>IFERROR(C6/D35,0)</f>
        <v>0</v>
      </c>
      <c r="E73" s="7">
        <f>G35</f>
        <v>0</v>
      </c>
      <c r="F73" s="347">
        <f>IFERROR(C6/G35,0)</f>
        <v>0</v>
      </c>
      <c r="G73" s="359">
        <f t="shared" si="13"/>
        <v>7</v>
      </c>
      <c r="H73" s="347">
        <f t="shared" si="14"/>
        <v>-7</v>
      </c>
      <c r="I73" s="32" t="str">
        <f t="shared" si="15"/>
        <v>On target</v>
      </c>
      <c r="J73" s="347">
        <f>IFERROR(D35*8/C6,0)</f>
        <v>0</v>
      </c>
      <c r="K73" s="360"/>
    </row>
    <row r="74" spans="1:16" ht="18" customHeight="1" x14ac:dyDescent="0.25">
      <c r="A74" s="1" t="s">
        <v>850</v>
      </c>
      <c r="B74" s="28">
        <f>C6</f>
        <v>0</v>
      </c>
      <c r="C74" s="28">
        <f>E36</f>
        <v>0</v>
      </c>
      <c r="D74" s="262">
        <f>IFERROR(C6/E36,0)</f>
        <v>0</v>
      </c>
      <c r="E74" s="28">
        <f>H36</f>
        <v>0</v>
      </c>
      <c r="F74" s="262">
        <f>IFERROR(C6/H36,0)</f>
        <v>0</v>
      </c>
      <c r="G74" s="261">
        <f t="shared" si="13"/>
        <v>10</v>
      </c>
      <c r="H74" s="262">
        <f t="shared" si="14"/>
        <v>-10</v>
      </c>
      <c r="I74" s="31" t="str">
        <f t="shared" si="15"/>
        <v>On target</v>
      </c>
      <c r="J74" s="262">
        <f>IFERROR(E36*8/C6,0)</f>
        <v>0</v>
      </c>
      <c r="K74" s="358"/>
    </row>
    <row r="75" spans="1:16" ht="18" customHeight="1" x14ac:dyDescent="0.25">
      <c r="A75" s="4" t="s">
        <v>851</v>
      </c>
      <c r="B75" s="7">
        <f>C7</f>
        <v>0</v>
      </c>
      <c r="C75" s="7">
        <f>C37</f>
        <v>0</v>
      </c>
      <c r="D75" s="347">
        <f>IFERROR(C7/C37,0)</f>
        <v>0</v>
      </c>
      <c r="E75" s="7">
        <f>F37</f>
        <v>0</v>
      </c>
      <c r="F75" s="347">
        <f>IFERROR(C7/F37,0)</f>
        <v>0</v>
      </c>
      <c r="G75" s="359">
        <f t="shared" si="13"/>
        <v>5</v>
      </c>
      <c r="H75" s="347">
        <f t="shared" si="14"/>
        <v>-5</v>
      </c>
      <c r="I75" s="32" t="str">
        <f t="shared" si="15"/>
        <v>On target</v>
      </c>
      <c r="J75" s="347">
        <f>IFERROR(C37*8/C7,0)</f>
        <v>0</v>
      </c>
      <c r="K75" s="360"/>
    </row>
    <row r="76" spans="1:16" ht="18" customHeight="1" x14ac:dyDescent="0.25">
      <c r="A76" s="1" t="s">
        <v>852</v>
      </c>
      <c r="B76" s="28">
        <f>C7</f>
        <v>0</v>
      </c>
      <c r="C76" s="28">
        <f>D38</f>
        <v>0</v>
      </c>
      <c r="D76" s="262">
        <f>IFERROR(C7/D38,0)</f>
        <v>0</v>
      </c>
      <c r="E76" s="28">
        <f>G38</f>
        <v>0</v>
      </c>
      <c r="F76" s="262">
        <f>IFERROR(C7/G38,0)</f>
        <v>0</v>
      </c>
      <c r="G76" s="261">
        <f t="shared" si="13"/>
        <v>6</v>
      </c>
      <c r="H76" s="262">
        <f t="shared" si="14"/>
        <v>-6</v>
      </c>
      <c r="I76" s="31" t="str">
        <f t="shared" si="15"/>
        <v>On target</v>
      </c>
      <c r="J76" s="262">
        <f>IFERROR(D38*8/C7,0)</f>
        <v>0</v>
      </c>
      <c r="K76" s="358"/>
    </row>
    <row r="77" spans="1:16" ht="18" customHeight="1" x14ac:dyDescent="0.25">
      <c r="A77" s="4" t="s">
        <v>853</v>
      </c>
      <c r="B77" s="7">
        <f>C7</f>
        <v>0</v>
      </c>
      <c r="C77" s="7">
        <f>E39</f>
        <v>0</v>
      </c>
      <c r="D77" s="347">
        <f>IFERROR(C7/E39,0)</f>
        <v>0</v>
      </c>
      <c r="E77" s="7">
        <f>H39</f>
        <v>0</v>
      </c>
      <c r="F77" s="347">
        <f>IFERROR(C7/H39,0)</f>
        <v>0</v>
      </c>
      <c r="G77" s="359">
        <f t="shared" si="13"/>
        <v>8</v>
      </c>
      <c r="H77" s="347">
        <f t="shared" si="14"/>
        <v>-8</v>
      </c>
      <c r="I77" s="32" t="str">
        <f t="shared" si="15"/>
        <v>On target</v>
      </c>
      <c r="J77" s="347">
        <f>IFERROR(E39*8/C7,0)</f>
        <v>0</v>
      </c>
      <c r="K77" s="360"/>
    </row>
    <row r="79" spans="1:16" ht="24" customHeight="1" x14ac:dyDescent="0.25">
      <c r="A79" s="813" t="s">
        <v>854</v>
      </c>
      <c r="B79" s="798"/>
      <c r="C79" s="798"/>
      <c r="D79" s="798"/>
      <c r="E79" s="798"/>
      <c r="F79" s="798"/>
      <c r="G79" s="798"/>
      <c r="H79" s="798"/>
      <c r="I79" s="798"/>
      <c r="J79" s="798"/>
      <c r="K79" s="798"/>
      <c r="L79" s="798"/>
      <c r="M79" s="798"/>
      <c r="N79" s="798"/>
      <c r="O79" s="798"/>
    </row>
    <row r="80" spans="1:16" ht="15.75" customHeight="1" x14ac:dyDescent="0.25">
      <c r="A80" s="823" t="s">
        <v>855</v>
      </c>
      <c r="B80" s="798"/>
      <c r="C80" s="798"/>
      <c r="D80" s="798"/>
      <c r="E80" s="798"/>
      <c r="F80" s="798"/>
      <c r="G80" s="798"/>
      <c r="H80" s="798"/>
      <c r="I80" s="798"/>
      <c r="J80" s="798"/>
      <c r="K80" s="798"/>
      <c r="L80" s="798"/>
      <c r="M80" s="798"/>
      <c r="N80" s="798"/>
      <c r="O80" s="798"/>
    </row>
    <row r="81" spans="1:15" ht="24" customHeight="1" x14ac:dyDescent="0.25">
      <c r="A81" s="361" t="s">
        <v>69</v>
      </c>
      <c r="B81" s="361" t="s">
        <v>856</v>
      </c>
      <c r="C81" s="361" t="s">
        <v>857</v>
      </c>
      <c r="D81" s="361" t="s">
        <v>858</v>
      </c>
      <c r="E81" s="361" t="s">
        <v>846</v>
      </c>
      <c r="F81" s="361" t="s">
        <v>859</v>
      </c>
    </row>
    <row r="82" spans="1:15" ht="18" customHeight="1" x14ac:dyDescent="0.25">
      <c r="A82" s="66" t="s">
        <v>860</v>
      </c>
      <c r="B82" s="362">
        <f>IFERROR((J31+J32+J33+J34+J35+J36+J37+J38+J39)*2080/365/C6,0)</f>
        <v>0</v>
      </c>
      <c r="C82" s="358">
        <v>2.5</v>
      </c>
      <c r="D82" s="358">
        <v>3.5</v>
      </c>
      <c r="E82" s="31" t="str">
        <f>IFERROR(IF(B82&lt;C82,"Below bench",IF(B82&gt;D82,"Above bench","In range")),"-")</f>
        <v>Below bench</v>
      </c>
      <c r="F82" s="262">
        <f>IFERROR(B82-(C82+D82)/2,0)</f>
        <v>-3</v>
      </c>
    </row>
    <row r="83" spans="1:15" ht="18" customHeight="1" x14ac:dyDescent="0.25">
      <c r="A83" s="71" t="s">
        <v>861</v>
      </c>
      <c r="B83" s="363">
        <f>IFERROR((J31+J32+J33+J34+J35+J36+J37+J38+J39)*2080/365/C7,0)</f>
        <v>0</v>
      </c>
      <c r="C83" s="360">
        <v>3.5</v>
      </c>
      <c r="D83" s="360">
        <v>4.5</v>
      </c>
      <c r="E83" s="32" t="str">
        <f>IFERROR(IF(B83&lt;C83,"Below bench",IF(B83&gt;D83,"Above bench","In range")),"-")</f>
        <v>Below bench</v>
      </c>
      <c r="F83" s="347">
        <f>IFERROR(B83-(C83+D83)/2,0)</f>
        <v>-4</v>
      </c>
    </row>
    <row r="84" spans="1:15" ht="18" customHeight="1" x14ac:dyDescent="0.25">
      <c r="A84" s="66" t="s">
        <v>862</v>
      </c>
      <c r="B84" s="362">
        <f>IFERROR((J31+J32+J33+J34+J35+J36+J37+J38+J39)*2080/365/(C6+C7),0)</f>
        <v>0</v>
      </c>
      <c r="C84" s="358">
        <v>3</v>
      </c>
      <c r="D84" s="358">
        <v>4</v>
      </c>
      <c r="E84" s="31" t="str">
        <f>IFERROR(IF(B84&lt;C84,"Below bench",IF(B84&gt;D84,"Above bench","In range")),"-")</f>
        <v>Below bench</v>
      </c>
      <c r="F84" s="262">
        <f>IFERROR(B84-(C84+D84)/2,0)</f>
        <v>-3.5</v>
      </c>
    </row>
    <row r="85" spans="1:15" ht="18" customHeight="1" x14ac:dyDescent="0.25">
      <c r="A85" s="71" t="s">
        <v>863</v>
      </c>
      <c r="B85" s="364">
        <f>IFERROR(M67/365/(C6+C7+C8),0)</f>
        <v>0</v>
      </c>
      <c r="C85" s="336">
        <v>80</v>
      </c>
      <c r="D85" s="336">
        <v>140</v>
      </c>
      <c r="E85" s="32" t="str">
        <f>IFERROR(IF(B85&lt;C85,"Below bench",IF(B85&gt;D85,"Above bench","In range")),"-")</f>
        <v>Below bench</v>
      </c>
      <c r="F85" s="348">
        <f>IFERROR(B85-(C85+D85)/2,0)</f>
        <v>-110</v>
      </c>
    </row>
    <row r="87" spans="1:15" ht="24" customHeight="1" x14ac:dyDescent="0.25">
      <c r="A87" s="822" t="s">
        <v>864</v>
      </c>
      <c r="B87" s="798"/>
      <c r="C87" s="798"/>
      <c r="D87" s="798"/>
      <c r="E87" s="798"/>
      <c r="F87" s="798"/>
      <c r="G87" s="798"/>
      <c r="H87" s="798"/>
      <c r="I87" s="798"/>
      <c r="J87" s="798"/>
      <c r="K87" s="798"/>
      <c r="L87" s="798"/>
      <c r="M87" s="798"/>
      <c r="N87" s="798"/>
      <c r="O87" s="798"/>
    </row>
    <row r="88" spans="1:15" ht="15.75" customHeight="1" x14ac:dyDescent="0.25">
      <c r="A88" s="826" t="s">
        <v>865</v>
      </c>
      <c r="B88" s="798"/>
      <c r="C88" s="798"/>
      <c r="D88" s="798"/>
      <c r="E88" s="798"/>
      <c r="F88" s="798"/>
      <c r="G88" s="798"/>
      <c r="H88" s="798"/>
      <c r="I88" s="798"/>
      <c r="J88" s="798"/>
      <c r="K88" s="798"/>
      <c r="L88" s="798"/>
      <c r="M88" s="798"/>
      <c r="N88" s="798"/>
      <c r="O88" s="798"/>
    </row>
    <row r="89" spans="1:15" ht="18" customHeight="1" x14ac:dyDescent="0.25">
      <c r="A89" s="102" t="s">
        <v>866</v>
      </c>
      <c r="C89" s="365">
        <f>M67</f>
        <v>0</v>
      </c>
      <c r="D89" s="366" t="s">
        <v>867</v>
      </c>
      <c r="E89" s="826" t="s">
        <v>868</v>
      </c>
      <c r="F89" s="798"/>
      <c r="G89" s="798"/>
      <c r="H89" s="798"/>
      <c r="I89" s="798"/>
      <c r="J89" s="798"/>
    </row>
    <row r="90" spans="1:15" ht="18" customHeight="1" x14ac:dyDescent="0.25">
      <c r="A90" s="66" t="s">
        <v>869</v>
      </c>
      <c r="C90" s="262">
        <f>J67</f>
        <v>0</v>
      </c>
      <c r="D90" s="332" t="s">
        <v>870</v>
      </c>
    </row>
    <row r="91" spans="1:15" ht="18" customHeight="1" x14ac:dyDescent="0.25">
      <c r="A91" s="71" t="s">
        <v>871</v>
      </c>
      <c r="C91" s="255">
        <f>IFERROR(M67/J67,0)</f>
        <v>0</v>
      </c>
      <c r="D91" s="334" t="s">
        <v>872</v>
      </c>
    </row>
    <row r="93" spans="1:15" ht="21.75" customHeight="1" x14ac:dyDescent="0.25">
      <c r="A93" s="801" t="s">
        <v>873</v>
      </c>
      <c r="B93" s="798"/>
      <c r="C93" s="798"/>
      <c r="D93" s="798"/>
      <c r="E93" s="798"/>
      <c r="F93" s="798"/>
      <c r="G93" s="798"/>
      <c r="H93" s="798"/>
      <c r="I93" s="798"/>
      <c r="J93" s="798"/>
    </row>
    <row r="94" spans="1:15" ht="15.75" customHeight="1" x14ac:dyDescent="0.25">
      <c r="A94" s="806" t="s">
        <v>874</v>
      </c>
      <c r="B94" s="798"/>
      <c r="C94" s="798"/>
      <c r="D94" s="798"/>
      <c r="E94" s="798"/>
      <c r="F94" s="798"/>
      <c r="G94" s="798"/>
      <c r="H94" s="798"/>
      <c r="I94" s="798"/>
      <c r="J94" s="798"/>
    </row>
    <row r="96" spans="1:15" ht="18" customHeight="1" x14ac:dyDescent="0.25">
      <c r="A96" s="810" t="s">
        <v>875</v>
      </c>
      <c r="B96" s="798"/>
      <c r="C96" s="798"/>
      <c r="D96" s="798"/>
      <c r="E96" s="798"/>
      <c r="F96" s="798"/>
      <c r="G96" s="798"/>
      <c r="H96" s="798"/>
      <c r="I96" s="798"/>
      <c r="J96" s="798"/>
    </row>
    <row r="97" spans="1:10" ht="15.75" customHeight="1" x14ac:dyDescent="0.25">
      <c r="A97" s="37" t="s">
        <v>69</v>
      </c>
      <c r="B97" s="37" t="s">
        <v>70</v>
      </c>
      <c r="C97" s="37" t="s">
        <v>857</v>
      </c>
      <c r="D97" s="37" t="s">
        <v>858</v>
      </c>
      <c r="E97" s="37" t="s">
        <v>113</v>
      </c>
    </row>
    <row r="98" spans="1:10" ht="18" customHeight="1" x14ac:dyDescent="0.25">
      <c r="A98" s="66" t="s">
        <v>876</v>
      </c>
      <c r="B98" s="28">
        <f>C6+C7+C8</f>
        <v>0</v>
      </c>
      <c r="C98" s="367" t="s">
        <v>104</v>
      </c>
      <c r="D98" s="367" t="s">
        <v>104</v>
      </c>
      <c r="E98" s="327" t="s">
        <v>877</v>
      </c>
    </row>
    <row r="99" spans="1:10" ht="18" customHeight="1" x14ac:dyDescent="0.25">
      <c r="A99" s="66" t="s">
        <v>878</v>
      </c>
      <c r="B99" s="28">
        <f>IFERROR(B98*365,0)</f>
        <v>0</v>
      </c>
      <c r="C99" s="367" t="s">
        <v>104</v>
      </c>
      <c r="D99" s="367" t="s">
        <v>104</v>
      </c>
      <c r="E99" s="327" t="s">
        <v>879</v>
      </c>
    </row>
    <row r="101" spans="1:10" ht="18" customHeight="1" x14ac:dyDescent="0.25">
      <c r="A101" s="809" t="s">
        <v>880</v>
      </c>
      <c r="B101" s="798"/>
      <c r="C101" s="798"/>
      <c r="D101" s="798"/>
      <c r="E101" s="798"/>
      <c r="F101" s="798"/>
      <c r="G101" s="798"/>
      <c r="H101" s="798"/>
      <c r="I101" s="798"/>
      <c r="J101" s="798"/>
    </row>
    <row r="102" spans="1:10" ht="15.75" customHeight="1" x14ac:dyDescent="0.25">
      <c r="A102" s="806" t="s">
        <v>881</v>
      </c>
      <c r="B102" s="798"/>
      <c r="C102" s="798"/>
      <c r="D102" s="798"/>
      <c r="E102" s="798"/>
      <c r="F102" s="798"/>
      <c r="G102" s="798"/>
      <c r="H102" s="798"/>
      <c r="I102" s="798"/>
      <c r="J102" s="798"/>
    </row>
    <row r="103" spans="1:10" ht="15.75" customHeight="1" x14ac:dyDescent="0.25">
      <c r="A103" s="37" t="s">
        <v>882</v>
      </c>
      <c r="B103" s="37" t="s">
        <v>883</v>
      </c>
      <c r="C103" s="37" t="s">
        <v>884</v>
      </c>
      <c r="D103" s="37" t="s">
        <v>857</v>
      </c>
      <c r="E103" s="37" t="s">
        <v>858</v>
      </c>
      <c r="F103" s="37" t="s">
        <v>846</v>
      </c>
    </row>
    <row r="104" spans="1:10" ht="18" customHeight="1" x14ac:dyDescent="0.25">
      <c r="A104" s="66" t="s">
        <v>885</v>
      </c>
      <c r="B104" s="16">
        <f>M40</f>
        <v>0</v>
      </c>
      <c r="C104" s="368">
        <f>IFERROR(M40/B99,0)</f>
        <v>0</v>
      </c>
      <c r="D104" s="369">
        <v>45</v>
      </c>
      <c r="E104" s="369">
        <v>75</v>
      </c>
      <c r="F104" s="9" t="str">
        <f>IFERROR(IF(C104=0,"—",IF(C104&lt;D104,"Below bench",IF(C104&gt;E104,"Above bench","In range"))),"")</f>
        <v>—</v>
      </c>
    </row>
    <row r="105" spans="1:10" ht="18" customHeight="1" x14ac:dyDescent="0.25">
      <c r="A105" s="66" t="s">
        <v>886</v>
      </c>
      <c r="B105" s="16">
        <f>M47</f>
        <v>0</v>
      </c>
      <c r="C105" s="368">
        <f>IFERROR(M47/B99,0)</f>
        <v>0</v>
      </c>
      <c r="D105" s="369">
        <v>12</v>
      </c>
      <c r="E105" s="369">
        <v>22</v>
      </c>
      <c r="F105" s="9" t="str">
        <f>IFERROR(IF(C105=0,"—",IF(C105&lt;D105,"Below bench",IF(C105&gt;E105,"Above bench","In range"))),"")</f>
        <v>—</v>
      </c>
    </row>
    <row r="106" spans="1:10" ht="18" customHeight="1" x14ac:dyDescent="0.25">
      <c r="A106" s="66" t="s">
        <v>887</v>
      </c>
      <c r="B106" s="16">
        <f>M53</f>
        <v>0</v>
      </c>
      <c r="C106" s="368">
        <f>IFERROR(M53/B99,0)</f>
        <v>0</v>
      </c>
      <c r="D106" s="369">
        <v>6</v>
      </c>
      <c r="E106" s="369">
        <v>14</v>
      </c>
      <c r="F106" s="9" t="str">
        <f>IFERROR(IF(C106=0,"—",IF(C106&lt;D106,"Below bench",IF(C106&gt;E106,"Above bench","In range"))),"")</f>
        <v>—</v>
      </c>
    </row>
    <row r="107" spans="1:10" ht="18" customHeight="1" x14ac:dyDescent="0.25">
      <c r="A107" s="66" t="s">
        <v>888</v>
      </c>
      <c r="B107" s="16">
        <f>M65</f>
        <v>0</v>
      </c>
      <c r="C107" s="368">
        <f>IFERROR(M65/B99,0)</f>
        <v>0</v>
      </c>
      <c r="D107" s="369">
        <v>8</v>
      </c>
      <c r="E107" s="369">
        <v>18</v>
      </c>
      <c r="F107" s="9" t="str">
        <f>IFERROR(IF(C107=0,"—",IF(C107&lt;D107,"Below bench",IF(C107&gt;E107,"Above bench","In range"))),"")</f>
        <v>—</v>
      </c>
    </row>
    <row r="108" spans="1:10" ht="18" customHeight="1" x14ac:dyDescent="0.25">
      <c r="A108" s="370" t="s">
        <v>889</v>
      </c>
      <c r="B108" s="371">
        <f>M67</f>
        <v>0</v>
      </c>
      <c r="C108" s="372">
        <f>IFERROR(M67/B99,0)</f>
        <v>0</v>
      </c>
      <c r="D108" s="373">
        <v>85</v>
      </c>
      <c r="E108" s="373">
        <v>130</v>
      </c>
      <c r="F108" s="370" t="str">
        <f>IFERROR(IF(C108=0,"—",IF(C108&lt;D108,"Below bench",IF(C108&gt;E108,"Above bench","In range"))),"")</f>
        <v>—</v>
      </c>
    </row>
    <row r="110" spans="1:10" ht="18" customHeight="1" x14ac:dyDescent="0.25">
      <c r="A110" s="828" t="s">
        <v>890</v>
      </c>
      <c r="B110" s="798"/>
      <c r="C110" s="798"/>
      <c r="D110" s="798"/>
      <c r="E110" s="798"/>
      <c r="F110" s="798"/>
      <c r="G110" s="798"/>
      <c r="H110" s="798"/>
      <c r="I110" s="798"/>
      <c r="J110" s="798"/>
    </row>
    <row r="111" spans="1:10" ht="15.75" customHeight="1" x14ac:dyDescent="0.25">
      <c r="A111" s="806" t="s">
        <v>891</v>
      </c>
      <c r="B111" s="798"/>
      <c r="C111" s="798"/>
      <c r="D111" s="798"/>
      <c r="E111" s="798"/>
      <c r="F111" s="798"/>
      <c r="G111" s="798"/>
      <c r="H111" s="798"/>
      <c r="I111" s="798"/>
      <c r="J111" s="798"/>
    </row>
    <row r="112" spans="1:10" ht="15.75" customHeight="1" x14ac:dyDescent="0.25">
      <c r="A112" s="37" t="s">
        <v>69</v>
      </c>
      <c r="B112" s="37" t="s">
        <v>70</v>
      </c>
      <c r="C112" s="37" t="s">
        <v>857</v>
      </c>
      <c r="D112" s="37" t="s">
        <v>858</v>
      </c>
      <c r="E112" s="37" t="s">
        <v>846</v>
      </c>
    </row>
    <row r="113" spans="1:10" ht="18" customHeight="1" x14ac:dyDescent="0.25">
      <c r="A113" s="375" t="s">
        <v>892</v>
      </c>
      <c r="B113" s="376">
        <v>0</v>
      </c>
      <c r="C113" s="367" t="s">
        <v>104</v>
      </c>
      <c r="D113" s="367" t="s">
        <v>104</v>
      </c>
      <c r="E113" s="377" t="s">
        <v>893</v>
      </c>
    </row>
    <row r="114" spans="1:10" ht="18" customHeight="1" x14ac:dyDescent="0.25">
      <c r="A114" s="66" t="s">
        <v>894</v>
      </c>
      <c r="B114" s="368">
        <f>IFERROR(B113/B99,0)</f>
        <v>0</v>
      </c>
      <c r="C114" s="369">
        <v>0</v>
      </c>
      <c r="D114" s="369">
        <v>20</v>
      </c>
      <c r="E114" s="9" t="str">
        <f>IFERROR(IF(B114=0,"—",IF(B114&lt;=D114,"In range",IF(B114&lt;=D114*1.5,"Watch","High — review"))),"")</f>
        <v>—</v>
      </c>
    </row>
    <row r="115" spans="1:10" ht="18" customHeight="1" x14ac:dyDescent="0.25">
      <c r="A115" s="66" t="s">
        <v>895</v>
      </c>
      <c r="B115" s="23">
        <f>IFERROR(B113/M67,0)</f>
        <v>0</v>
      </c>
      <c r="C115" s="378">
        <v>0</v>
      </c>
      <c r="D115" s="378">
        <v>0.15</v>
      </c>
      <c r="E115" s="9" t="str">
        <f>IFERROR(IF(B115=0,"—",IF(B115&lt;0.1,"Good (&lt;10%)",IF(B115&lt;0.15,"Watch (10–15%)",IF(B115&gt;=0.15,"Flag (&gt;15%)")))),"")</f>
        <v>—</v>
      </c>
    </row>
    <row r="117" spans="1:10" ht="18" customHeight="1" x14ac:dyDescent="0.25">
      <c r="A117" s="810" t="s">
        <v>896</v>
      </c>
      <c r="B117" s="798"/>
      <c r="C117" s="798"/>
      <c r="D117" s="798"/>
      <c r="E117" s="798"/>
      <c r="F117" s="798"/>
      <c r="G117" s="798"/>
      <c r="H117" s="798"/>
      <c r="I117" s="798"/>
      <c r="J117" s="798"/>
    </row>
    <row r="118" spans="1:10" ht="15.75" customHeight="1" x14ac:dyDescent="0.25">
      <c r="A118" s="37" t="s">
        <v>69</v>
      </c>
      <c r="B118" s="37" t="s">
        <v>897</v>
      </c>
      <c r="C118" s="37" t="s">
        <v>898</v>
      </c>
      <c r="D118" s="37" t="s">
        <v>857</v>
      </c>
      <c r="E118" s="37" t="s">
        <v>858</v>
      </c>
    </row>
    <row r="119" spans="1:10" ht="18" customHeight="1" x14ac:dyDescent="0.25">
      <c r="A119" s="66" t="s">
        <v>899</v>
      </c>
      <c r="B119" s="16">
        <f>'P&amp;L'!D50</f>
        <v>0</v>
      </c>
      <c r="C119" s="368">
        <f>IFERROR('P&amp;L'!D50/B99,0)</f>
        <v>0</v>
      </c>
      <c r="D119" s="369">
        <v>120</v>
      </c>
      <c r="E119" s="369">
        <v>200</v>
      </c>
    </row>
    <row r="120" spans="1:10" ht="18" customHeight="1" x14ac:dyDescent="0.25">
      <c r="A120" s="66" t="s">
        <v>900</v>
      </c>
      <c r="B120" s="16">
        <f>'P&amp;L'!D95</f>
        <v>0</v>
      </c>
      <c r="C120" s="368">
        <f>IFERROR('P&amp;L'!D95/B99,0)</f>
        <v>0</v>
      </c>
      <c r="D120" s="369">
        <v>90</v>
      </c>
      <c r="E120" s="369">
        <v>155</v>
      </c>
    </row>
    <row r="121" spans="1:10" ht="18" customHeight="1" x14ac:dyDescent="0.25">
      <c r="A121" s="66" t="s">
        <v>901</v>
      </c>
      <c r="B121" s="16">
        <f>'P&amp;L'!D97</f>
        <v>0</v>
      </c>
      <c r="C121" s="368">
        <f>IFERROR('P&amp;L'!D97/B99,0)</f>
        <v>0</v>
      </c>
      <c r="D121" s="369">
        <v>25</v>
      </c>
      <c r="E121" s="369">
        <v>55</v>
      </c>
    </row>
    <row r="122" spans="1:10" ht="18" customHeight="1" x14ac:dyDescent="0.25">
      <c r="A122" s="233" t="s">
        <v>902</v>
      </c>
      <c r="B122" s="253">
        <f>M67</f>
        <v>0</v>
      </c>
      <c r="C122" s="379">
        <f>IFERROR(M67/'P&amp;L'!D50,0)</f>
        <v>0</v>
      </c>
      <c r="D122" s="378">
        <v>0.5</v>
      </c>
      <c r="E122" s="380" t="str">
        <f>IFERROR(IF(C122&lt;D122,"Low",IF(C122&lt;=D122,"In range","High — flag")),"")</f>
        <v>Low</v>
      </c>
    </row>
    <row r="124" spans="1:10" ht="18" customHeight="1" x14ac:dyDescent="0.25">
      <c r="A124" s="807" t="s">
        <v>903</v>
      </c>
      <c r="B124" s="798"/>
      <c r="C124" s="798"/>
      <c r="D124" s="798"/>
      <c r="E124" s="798"/>
      <c r="F124" s="798"/>
      <c r="G124" s="798"/>
      <c r="H124" s="798"/>
      <c r="I124" s="798"/>
      <c r="J124" s="798"/>
    </row>
    <row r="125" spans="1:10" ht="15.75" customHeight="1" x14ac:dyDescent="0.25">
      <c r="A125" s="806" t="s">
        <v>904</v>
      </c>
      <c r="B125" s="798"/>
      <c r="C125" s="798"/>
      <c r="D125" s="798"/>
      <c r="E125" s="798"/>
      <c r="F125" s="798"/>
      <c r="G125" s="798"/>
      <c r="H125" s="798"/>
      <c r="I125" s="798"/>
      <c r="J125" s="798"/>
    </row>
    <row r="126" spans="1:10" ht="15.75" customHeight="1" x14ac:dyDescent="0.25">
      <c r="A126" s="37" t="s">
        <v>69</v>
      </c>
      <c r="B126" s="37" t="s">
        <v>905</v>
      </c>
      <c r="C126" s="37" t="s">
        <v>906</v>
      </c>
      <c r="D126" s="37" t="s">
        <v>907</v>
      </c>
    </row>
    <row r="127" spans="1:10" ht="18" customHeight="1" x14ac:dyDescent="0.25">
      <c r="A127" s="233" t="s">
        <v>908</v>
      </c>
      <c r="B127" s="381">
        <f>B84</f>
        <v>0</v>
      </c>
      <c r="C127" s="382" t="s">
        <v>909</v>
      </c>
      <c r="D127" s="383" t="str">
        <f>IFERROR(IF(B84=0,"—",IF(B84&gt;=3,"On target","Below — check ratios")),"")</f>
        <v>—</v>
      </c>
    </row>
    <row r="128" spans="1:10" ht="18" customHeight="1" x14ac:dyDescent="0.25">
      <c r="A128" s="233" t="s">
        <v>910</v>
      </c>
      <c r="B128" s="384">
        <f>C108</f>
        <v>0</v>
      </c>
      <c r="C128" s="382" t="s">
        <v>911</v>
      </c>
      <c r="D128" s="383" t="str">
        <f>IFERROR(IF(C108=0,"—",IF(C108&lt;85,"Low — check wages",IF(C108&lt;=130,"In range","High — review"))),"")</f>
        <v>—</v>
      </c>
    </row>
    <row r="129" spans="1:4" ht="18" customHeight="1" x14ac:dyDescent="0.25">
      <c r="A129" s="233" t="s">
        <v>912</v>
      </c>
      <c r="B129" s="384">
        <f>C104</f>
        <v>0</v>
      </c>
      <c r="C129" s="382" t="s">
        <v>913</v>
      </c>
      <c r="D129" s="383" t="str">
        <f>IFERROR(IF(C104=0,"—",IF(C104&lt;45,"Low",IF(C104&lt;=75,"In range","High"))),"")</f>
        <v>—</v>
      </c>
    </row>
    <row r="130" spans="1:4" ht="18" customHeight="1" x14ac:dyDescent="0.25">
      <c r="A130" s="233" t="s">
        <v>895</v>
      </c>
      <c r="B130" s="379">
        <f>B115</f>
        <v>0</v>
      </c>
      <c r="C130" s="382" t="s">
        <v>914</v>
      </c>
      <c r="D130" s="383" t="str">
        <f>IFERROR(IF(B115=0,"—",IF(B115&lt;0.1,"Good",IF(B115&lt;0.15,"Watch","Flag"))),"")</f>
        <v>—</v>
      </c>
    </row>
    <row r="131" spans="1:4" ht="18" customHeight="1" x14ac:dyDescent="0.25">
      <c r="A131" s="233" t="s">
        <v>915</v>
      </c>
      <c r="B131" s="379">
        <f>IFERROR(M67/'P&amp;L'!D50,0)</f>
        <v>0</v>
      </c>
      <c r="C131" s="382" t="s">
        <v>916</v>
      </c>
      <c r="D131" s="383" t="str">
        <f>IFERROR(IF(M67/'P&amp;L'!D50&lt;0.5,"Low",IF(M67/'P&amp;L'!D50&lt;=0.65,"In range","High — flag")),"—")</f>
        <v>—</v>
      </c>
    </row>
  </sheetData>
  <mergeCells count="35">
    <mergeCell ref="A1:O1"/>
    <mergeCell ref="A79:O79"/>
    <mergeCell ref="A101:J101"/>
    <mergeCell ref="A40:B40"/>
    <mergeCell ref="A88:O88"/>
    <mergeCell ref="A67:B67"/>
    <mergeCell ref="A70:O70"/>
    <mergeCell ref="A2:O2"/>
    <mergeCell ref="F28:H28"/>
    <mergeCell ref="A65:B65"/>
    <mergeCell ref="E89:J89"/>
    <mergeCell ref="A42:O42"/>
    <mergeCell ref="A4:O4"/>
    <mergeCell ref="C28:E28"/>
    <mergeCell ref="A19:O19"/>
    <mergeCell ref="A47:B47"/>
    <mergeCell ref="A53:B53"/>
    <mergeCell ref="A30:O30"/>
    <mergeCell ref="A11:O11"/>
    <mergeCell ref="A49:O49"/>
    <mergeCell ref="A125:J125"/>
    <mergeCell ref="A18:O18"/>
    <mergeCell ref="A55:O55"/>
    <mergeCell ref="A102:J102"/>
    <mergeCell ref="A117:J117"/>
    <mergeCell ref="A93:J93"/>
    <mergeCell ref="A111:J111"/>
    <mergeCell ref="A94:J94"/>
    <mergeCell ref="A110:J110"/>
    <mergeCell ref="A124:J124"/>
    <mergeCell ref="A69:O69"/>
    <mergeCell ref="A87:O87"/>
    <mergeCell ref="A80:O80"/>
    <mergeCell ref="A27:O27"/>
    <mergeCell ref="A96:J9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623"/>
  <sheetViews>
    <sheetView showGridLines="0" tabSelected="1" topLeftCell="A149" zoomScale="85" zoomScaleNormal="85" workbookViewId="0">
      <selection activeCell="AG183" sqref="AG183"/>
    </sheetView>
  </sheetViews>
  <sheetFormatPr defaultColWidth="8.85546875" defaultRowHeight="15" outlineLevelRow="1" outlineLevelCol="2" x14ac:dyDescent="0.25"/>
  <cols>
    <col min="1" max="1" width="52.28515625" customWidth="1"/>
    <col min="2" max="4" width="13" customWidth="1"/>
    <col min="5" max="5" width="14.7109375" customWidth="1"/>
    <col min="6" max="9" width="14.42578125" customWidth="1"/>
    <col min="10" max="10" width="18.42578125" customWidth="1"/>
    <col min="11" max="11" width="15.42578125" customWidth="1"/>
    <col min="12" max="12" width="10.7109375" customWidth="1"/>
    <col min="13" max="13" width="9.28515625" customWidth="1"/>
    <col min="14" max="14" width="10.140625" customWidth="1"/>
    <col min="15" max="15" width="14.42578125" customWidth="1"/>
    <col min="16" max="16" width="15.140625" customWidth="1"/>
    <col min="17" max="17" width="14.28515625" customWidth="1"/>
    <col min="18" max="22" width="13" customWidth="1"/>
    <col min="23" max="23" width="9.140625" customWidth="1" outlineLevel="2"/>
    <col min="24" max="24" width="8.85546875" customWidth="1" outlineLevel="2"/>
    <col min="25" max="25" width="9.140625" customWidth="1" outlineLevel="1"/>
    <col min="26" max="28" width="8.85546875" customWidth="1" outlineLevel="2"/>
    <col min="42" max="42" width="15" customWidth="1"/>
    <col min="43" max="43" width="18.28515625" customWidth="1"/>
    <col min="44" max="44" width="15" customWidth="1"/>
  </cols>
  <sheetData>
    <row r="1" spans="1:22" ht="27.75" customHeight="1" x14ac:dyDescent="0.25">
      <c r="A1" s="836" t="s">
        <v>917</v>
      </c>
      <c r="B1" s="798"/>
      <c r="C1" s="798"/>
      <c r="D1" s="798"/>
      <c r="E1" s="798"/>
      <c r="F1" s="798"/>
      <c r="G1" s="798"/>
      <c r="H1" s="798"/>
      <c r="I1" s="798"/>
      <c r="J1" s="798"/>
      <c r="K1" s="798"/>
      <c r="L1" s="798"/>
      <c r="M1" s="798"/>
      <c r="N1" s="798"/>
      <c r="O1" s="798"/>
      <c r="P1" s="798"/>
      <c r="Q1" s="798"/>
      <c r="R1" s="798"/>
      <c r="S1" s="798"/>
      <c r="T1" s="798"/>
      <c r="U1" s="798"/>
      <c r="V1" s="798"/>
    </row>
    <row r="2" spans="1:22" ht="15" customHeight="1" x14ac:dyDescent="0.25">
      <c r="A2" s="829" t="s">
        <v>918</v>
      </c>
      <c r="B2" s="798"/>
      <c r="C2" s="798"/>
      <c r="D2" s="798"/>
      <c r="E2" s="798"/>
      <c r="F2" s="798"/>
      <c r="G2" s="798"/>
      <c r="H2" s="798"/>
      <c r="I2" s="798"/>
      <c r="J2" s="798"/>
      <c r="K2" s="798"/>
      <c r="L2" s="798"/>
      <c r="M2" s="798"/>
      <c r="N2" s="798"/>
      <c r="O2" s="798"/>
      <c r="P2" s="798"/>
      <c r="Q2" s="798"/>
      <c r="R2" s="798"/>
      <c r="S2" s="798"/>
      <c r="T2" s="798"/>
      <c r="U2" s="798"/>
      <c r="V2" s="798"/>
    </row>
    <row r="4" spans="1:22" ht="21.75" customHeight="1" x14ac:dyDescent="0.25">
      <c r="A4" s="834" t="s">
        <v>919</v>
      </c>
      <c r="B4" s="798"/>
      <c r="C4" s="798"/>
      <c r="D4" s="798"/>
      <c r="E4" s="798"/>
      <c r="F4" s="798"/>
      <c r="G4" s="798"/>
      <c r="H4" s="798"/>
      <c r="I4" s="798"/>
      <c r="J4" s="798"/>
      <c r="K4" s="798"/>
      <c r="L4" s="798"/>
      <c r="M4" s="798"/>
      <c r="N4" s="798"/>
      <c r="O4" s="798"/>
      <c r="P4" s="798"/>
      <c r="Q4" s="798"/>
      <c r="R4" s="798"/>
      <c r="S4" s="798"/>
      <c r="T4" s="798"/>
      <c r="U4" s="798"/>
      <c r="V4" s="798"/>
    </row>
    <row r="5" spans="1:22" ht="15" customHeight="1" outlineLevel="1" x14ac:dyDescent="0.25">
      <c r="A5" s="266" t="s">
        <v>920</v>
      </c>
      <c r="B5" s="276"/>
      <c r="C5" s="266" t="s">
        <v>921</v>
      </c>
      <c r="D5" s="385">
        <f ca="1">TODAY()</f>
        <v>46189</v>
      </c>
      <c r="E5" s="266" t="s">
        <v>922</v>
      </c>
      <c r="F5" s="276">
        <f>'Prop Info'!B15</f>
        <v>0</v>
      </c>
      <c r="G5" s="266" t="s">
        <v>923</v>
      </c>
      <c r="H5" s="276">
        <f>COUNTA(B224:B623)</f>
        <v>0</v>
      </c>
      <c r="I5" s="266" t="s">
        <v>924</v>
      </c>
      <c r="J5" s="276" t="str">
        <f>IF(F5=H5,"✓ match","⚠ mismatch: "&amp;(H5-F5))</f>
        <v>✓ match</v>
      </c>
      <c r="K5" s="266" t="s">
        <v>925</v>
      </c>
      <c r="L5" s="272">
        <f>SUM(M224:M623)</f>
        <v>0</v>
      </c>
      <c r="N5" s="266" t="s">
        <v>926</v>
      </c>
      <c r="O5" s="276">
        <f>COUNTIF(E224:E623,"Notice")</f>
        <v>0</v>
      </c>
      <c r="Q5" s="266" t="s">
        <v>927</v>
      </c>
      <c r="R5" s="276">
        <f>COUNTIF(E224:E623,"Occupied")+COUNTIF(E224:E623,"Notice")</f>
        <v>0</v>
      </c>
    </row>
    <row r="6" spans="1:22" ht="15" customHeight="1" outlineLevel="1" x14ac:dyDescent="0.25">
      <c r="A6" s="386"/>
      <c r="B6" s="386"/>
      <c r="C6" s="386"/>
      <c r="D6" s="386" t="s">
        <v>928</v>
      </c>
      <c r="E6" s="386"/>
      <c r="F6" s="386"/>
      <c r="G6" s="386"/>
      <c r="H6" s="386"/>
      <c r="I6" s="386"/>
      <c r="J6" s="386"/>
      <c r="K6" s="386"/>
      <c r="L6" s="386"/>
      <c r="M6" s="386"/>
      <c r="N6" s="386"/>
    </row>
    <row r="7" spans="1:22" ht="21.75" customHeight="1" x14ac:dyDescent="0.25">
      <c r="A7" s="830" t="s">
        <v>929</v>
      </c>
      <c r="B7" s="798"/>
      <c r="C7" s="798"/>
      <c r="D7" s="798"/>
      <c r="E7" s="798"/>
      <c r="F7" s="798"/>
      <c r="G7" s="798"/>
      <c r="H7" s="798"/>
      <c r="I7" s="798"/>
      <c r="J7" s="798"/>
      <c r="K7" s="798"/>
      <c r="L7" s="798"/>
      <c r="M7" s="798"/>
      <c r="N7" s="798"/>
      <c r="O7" s="798"/>
      <c r="P7" s="798"/>
      <c r="Q7" s="798"/>
      <c r="R7" s="798"/>
      <c r="S7" s="798"/>
      <c r="T7" s="798"/>
      <c r="U7" s="798"/>
      <c r="V7" s="798"/>
    </row>
    <row r="8" spans="1:22" ht="15" customHeight="1" outlineLevel="1" x14ac:dyDescent="0.25">
      <c r="A8" s="282" t="s">
        <v>930</v>
      </c>
      <c r="B8" s="284" t="s">
        <v>931</v>
      </c>
      <c r="C8" s="284" t="s">
        <v>932</v>
      </c>
      <c r="D8" s="284" t="s">
        <v>933</v>
      </c>
      <c r="E8" s="284" t="s">
        <v>934</v>
      </c>
      <c r="F8" s="284" t="s">
        <v>935</v>
      </c>
      <c r="G8" s="284" t="s">
        <v>936</v>
      </c>
      <c r="H8" s="284" t="s">
        <v>937</v>
      </c>
    </row>
    <row r="9" spans="1:22" ht="15" customHeight="1" outlineLevel="1" x14ac:dyDescent="0.25">
      <c r="A9" s="271" t="s">
        <v>938</v>
      </c>
      <c r="B9" s="309">
        <f>COUNTIF($C$224:$C$623,"IL")</f>
        <v>0</v>
      </c>
      <c r="C9" s="309">
        <f>COUNTIFS($C$224:$C$623,"IL",$E$224:$E$623,"Occupied")+COUNTIFS($C$224:$C$623,"IL",$E$224:$E$623,"Notice")</f>
        <v>0</v>
      </c>
      <c r="D9" s="388">
        <f>IFERROR(C9/B9,0)</f>
        <v>0</v>
      </c>
      <c r="E9" s="272">
        <f>IFERROR(AVERAGEIFS($L$224:$L$623,$C$224:$C$623,"IL",$L$224:$L$623,"&gt;0"),0)</f>
        <v>0</v>
      </c>
      <c r="F9" s="272">
        <f>IFERROR(B9*AVERAGEIFS($I$224:$I$623,$C$224:$C$623,"IL",$I$224:$I$623,"&gt;0")*12,0)</f>
        <v>0</v>
      </c>
      <c r="G9" s="272">
        <f>IFERROR(SUMIFS($K$224:$K$623,$C$224:$C$623,"IL")/MAX(C9,1),0)</f>
        <v>0</v>
      </c>
      <c r="H9" s="272">
        <f>SUMIFS($L$224:$L$623,$C$224:$C$623,"IL")*12</f>
        <v>0</v>
      </c>
    </row>
    <row r="10" spans="1:22" ht="15" customHeight="1" outlineLevel="1" x14ac:dyDescent="0.25">
      <c r="A10" s="271" t="s">
        <v>939</v>
      </c>
      <c r="B10" s="309">
        <f>COUNTIF($C$224:$C$623,"AL")</f>
        <v>0</v>
      </c>
      <c r="C10" s="309">
        <f>COUNTIFS($C$224:$C$623,"AL",$E$224:$E$623,"Occupied")+COUNTIFS($C$224:$C$623,"AL",$E$224:$E$623,"Notice")</f>
        <v>0</v>
      </c>
      <c r="D10" s="388">
        <f>IFERROR(C10/B10,0)</f>
        <v>0</v>
      </c>
      <c r="E10" s="272">
        <f>IFERROR(AVERAGEIFS($L$224:$L$623,$C$224:$C$623,"AL",$L$224:$L$623,"&gt;0"),0)</f>
        <v>0</v>
      </c>
      <c r="F10" s="272">
        <f>IFERROR(B10*AVERAGEIFS($I$224:$I$623,$C$224:$C$623,"AL",$I$224:$I$623,"&gt;0")*12,0)</f>
        <v>0</v>
      </c>
      <c r="G10" s="272">
        <f>IFERROR(SUMIFS($K$224:$K$623,$C$224:$C$623,"AL")/MAX(C10,1),0)</f>
        <v>0</v>
      </c>
      <c r="H10" s="272">
        <f>SUMIFS($L$224:$L$623,$C$224:$C$623,"AL")*12</f>
        <v>0</v>
      </c>
    </row>
    <row r="11" spans="1:22" ht="15" customHeight="1" outlineLevel="1" x14ac:dyDescent="0.25">
      <c r="A11" s="271" t="s">
        <v>940</v>
      </c>
      <c r="B11" s="309">
        <f>COUNTIF($C$224:$C$623,"MC")</f>
        <v>0</v>
      </c>
      <c r="C11" s="309">
        <f>COUNTIFS($C$224:$C$623,"MC",$E$224:$E$623,"Occupied")+COUNTIFS($C$224:$C$623,"MC",$E$224:$E$623,"Notice")</f>
        <v>0</v>
      </c>
      <c r="D11" s="388">
        <f>IFERROR(C11/B11,0)</f>
        <v>0</v>
      </c>
      <c r="E11" s="272">
        <f>IFERROR(AVERAGEIFS($L$224:$L$623,$C$224:$C$623,"MC",$L$224:$L$623,"&gt;0"),0)</f>
        <v>0</v>
      </c>
      <c r="F11" s="272">
        <f>IFERROR(B11*AVERAGEIFS($I$224:$I$623,$C$224:$C$623,"MC",$I$224:$I$623,"&gt;0")*12,0)</f>
        <v>0</v>
      </c>
      <c r="G11" s="272">
        <f>IFERROR(SUMIFS($K$224:$K$623,$C$224:$C$623,"MC")/MAX(C11,1),0)</f>
        <v>0</v>
      </c>
      <c r="H11" s="272">
        <f>SUMIFS($L$224:$L$623,$C$224:$C$623,"MC")*12</f>
        <v>0</v>
      </c>
    </row>
    <row r="12" spans="1:22" ht="15" customHeight="1" outlineLevel="1" x14ac:dyDescent="0.25">
      <c r="A12" s="271" t="str">
        <f>'Prop Info'!$D$13&amp;" — Other Care"</f>
        <v xml:space="preserve"> — Other Care</v>
      </c>
      <c r="B12" s="309">
        <f>COUNTIF($C$224:$C$623,"OTH")</f>
        <v>0</v>
      </c>
      <c r="C12" s="309">
        <f>COUNTIFS($C$224:$C$623,"OTH",$E$224:$E$623,"Occupied")+COUNTIFS($C$224:$C$623,"OTH",$E$224:$E$623,"Notice")</f>
        <v>0</v>
      </c>
      <c r="D12" s="388">
        <f>IFERROR(C12/B12,0)</f>
        <v>0</v>
      </c>
      <c r="E12" s="272">
        <f>IFERROR(AVERAGEIFS($L$224:$L$623,$C$224:$C$623,"OTH",$L$224:$L$623,"&gt;0"),0)</f>
        <v>0</v>
      </c>
      <c r="F12" s="272">
        <f>IFERROR(B12*AVERAGEIFS($I$224:$I$623,$C$224:$C$623,"OTH",$I$224:$I$623,"&gt;0")*12,0)</f>
        <v>0</v>
      </c>
      <c r="G12" s="272">
        <f>IFERROR(SUMIFS($K$224:$K$623,$C$224:$C$623,"OTH")/MAX(C12,1),0)</f>
        <v>0</v>
      </c>
      <c r="H12" s="272">
        <f>SUMIFS($L$224:$L$623,$C$224:$C$623,"OTH")*12</f>
        <v>0</v>
      </c>
    </row>
    <row r="13" spans="1:22" ht="15" customHeight="1" outlineLevel="1" x14ac:dyDescent="0.25">
      <c r="A13" s="288" t="s">
        <v>107</v>
      </c>
      <c r="B13" s="389">
        <f>SUM(B9:B12)</f>
        <v>0</v>
      </c>
      <c r="C13" s="389">
        <f>SUM(C9:C12)</f>
        <v>0</v>
      </c>
      <c r="D13" s="390">
        <f>IFERROR(C13/B13,0)</f>
        <v>0</v>
      </c>
      <c r="E13" s="391">
        <f>IFERROR(SUMIFS($L$224:$L$623,$L$224:$L$623,"&gt;0")/COUNTIFS($L$224:$L$623,"&gt;0"),0)</f>
        <v>0</v>
      </c>
      <c r="F13" s="391">
        <f>SUM(F9:F12)</f>
        <v>0</v>
      </c>
      <c r="G13" s="391">
        <f>IFERROR(SUM(K224:K623)/MAX(C13,1),0)</f>
        <v>0</v>
      </c>
      <c r="H13" s="391">
        <f>SUM(H9:H12)</f>
        <v>0</v>
      </c>
    </row>
    <row r="14" spans="1:22" ht="15" customHeight="1" outlineLevel="1" x14ac:dyDescent="0.25">
      <c r="A14" s="386"/>
      <c r="B14" s="386"/>
      <c r="C14" s="386"/>
      <c r="D14" s="386"/>
      <c r="E14" s="386"/>
      <c r="F14" s="386"/>
      <c r="G14" s="386"/>
      <c r="H14" s="386"/>
      <c r="I14" s="386"/>
      <c r="J14" s="386"/>
      <c r="K14" s="386"/>
      <c r="L14" s="386"/>
      <c r="M14" s="386"/>
      <c r="N14" s="386"/>
    </row>
    <row r="15" spans="1:22" ht="21.75" customHeight="1" x14ac:dyDescent="0.25">
      <c r="A15" s="834" t="s">
        <v>941</v>
      </c>
      <c r="B15" s="798"/>
      <c r="C15" s="798"/>
      <c r="D15" s="798"/>
      <c r="E15" s="798"/>
      <c r="F15" s="798"/>
      <c r="G15" s="798"/>
      <c r="H15" s="798"/>
      <c r="I15" s="798"/>
      <c r="J15" s="798"/>
      <c r="K15" s="798"/>
      <c r="L15" s="798"/>
      <c r="M15" s="798"/>
      <c r="N15" s="798"/>
      <c r="O15" s="798"/>
      <c r="P15" s="798"/>
      <c r="Q15" s="798"/>
      <c r="R15" s="798"/>
      <c r="S15" s="798"/>
      <c r="T15" s="798"/>
      <c r="U15" s="798"/>
      <c r="V15" s="798"/>
    </row>
    <row r="16" spans="1:22" ht="15" customHeight="1" outlineLevel="1" x14ac:dyDescent="0.25">
      <c r="A16" s="392" t="s">
        <v>942</v>
      </c>
      <c r="B16" s="393" t="s">
        <v>943</v>
      </c>
      <c r="C16" s="393" t="s">
        <v>944</v>
      </c>
      <c r="D16" s="393" t="s">
        <v>945</v>
      </c>
      <c r="E16" s="393" t="s">
        <v>946</v>
      </c>
      <c r="F16" s="393" t="s">
        <v>947</v>
      </c>
    </row>
    <row r="17" spans="1:22" ht="15" customHeight="1" outlineLevel="1" x14ac:dyDescent="0.25">
      <c r="A17" s="271" t="s">
        <v>948</v>
      </c>
      <c r="B17" s="309">
        <f>COUNTIFS($E$224:$E$623,"Occupied",$M$224:$M$623,"&lt;=0")+COUNTIFS($E$224:$E$623,"Occupied",$M$224:$M$623,"")</f>
        <v>0</v>
      </c>
      <c r="C17" s="388">
        <f t="shared" ref="C17:C24" si="0">IFERROR(B17/$B$25,0)</f>
        <v>0</v>
      </c>
      <c r="D17" s="272">
        <f>IFERROR(SUMIFS($L$224:$L$623,$E$224:$E$623,"Occupied",$M$224:$M$623,"&lt;=0")+SUMIFS($L$224:$L$623,$E$224:$E$623,"Occupied",$M$224:$M$623,""),0)</f>
        <v>0</v>
      </c>
      <c r="E17" s="272">
        <f>IFERROR(D17/MAX(B17,1),0)</f>
        <v>0</v>
      </c>
      <c r="F17" s="272">
        <v>0</v>
      </c>
    </row>
    <row r="18" spans="1:22" ht="15" customHeight="1" outlineLevel="1" x14ac:dyDescent="0.25">
      <c r="A18" s="271" t="s">
        <v>949</v>
      </c>
      <c r="B18" s="309">
        <f>COUNTIFS($E$224:$E$623,"Occupied",$M$224:$M$623,"&gt;0")+COUNTIFS($E$224:$E$623,"Notice",$M$224:$M$623,"&gt;0")</f>
        <v>0</v>
      </c>
      <c r="C18" s="388">
        <f t="shared" si="0"/>
        <v>0</v>
      </c>
      <c r="D18" s="272">
        <f>SUMIFS($L$224:$L$623,$E$224:$E$623,"Occupied",$M$224:$M$623,"&gt;0")+SUMIFS($L$224:$L$623,$E$224:$E$623,"Notice",$M$224:$M$623,"&gt;0")</f>
        <v>0</v>
      </c>
      <c r="E18" s="272">
        <f>IFERROR(D18/MAX(B18,1),0)</f>
        <v>0</v>
      </c>
      <c r="F18" s="272">
        <f>SUMIFS($M$224:$M$623,$E$224:$E$623,"Occupied",$M$224:$M$623,"&gt;0")+SUMIFS($M$224:$M$623,$E$224:$E$623,"Notice",$M$224:$M$623,"&gt;0")</f>
        <v>0</v>
      </c>
    </row>
    <row r="19" spans="1:22" ht="15" customHeight="1" outlineLevel="1" x14ac:dyDescent="0.25">
      <c r="A19" s="271" t="s">
        <v>950</v>
      </c>
      <c r="B19" s="309">
        <f>COUNTIF($E$224:$E$623,"Notice")</f>
        <v>0</v>
      </c>
      <c r="C19" s="388">
        <f t="shared" si="0"/>
        <v>0</v>
      </c>
      <c r="D19" s="272">
        <f>SUMIFS($L$224:$L$623,$E$224:$E$623,"Notice")</f>
        <v>0</v>
      </c>
      <c r="E19" s="272">
        <f>IFERROR(D19/MAX(B19,1),0)</f>
        <v>0</v>
      </c>
      <c r="F19" s="272">
        <f>SUMIFS($M$224:$M$623,$E$224:$E$623,"Notice")</f>
        <v>0</v>
      </c>
    </row>
    <row r="20" spans="1:22" ht="15" customHeight="1" outlineLevel="1" x14ac:dyDescent="0.25">
      <c r="A20" s="271" t="s">
        <v>951</v>
      </c>
      <c r="B20" s="309">
        <f>COUNTIF($E$224:$E$623,"Respite")</f>
        <v>0</v>
      </c>
      <c r="C20" s="388">
        <f t="shared" si="0"/>
        <v>0</v>
      </c>
      <c r="D20" s="272">
        <f>SUMIFS($L$224:$L$623,$E$224:$E$623,"Respite")</f>
        <v>0</v>
      </c>
      <c r="E20" s="272">
        <f>IFERROR(D20/MAX(B20,1),0)</f>
        <v>0</v>
      </c>
      <c r="F20" s="272">
        <f>SUMIFS($M$224:$M$623,$E$224:$E$623,"Respite")</f>
        <v>0</v>
      </c>
    </row>
    <row r="21" spans="1:22" ht="15" customHeight="1" outlineLevel="1" x14ac:dyDescent="0.25">
      <c r="A21" s="271" t="s">
        <v>952</v>
      </c>
      <c r="B21" s="309">
        <f>COUNTIF($E$224:$E$623,"Hospice")</f>
        <v>0</v>
      </c>
      <c r="C21" s="388">
        <f t="shared" si="0"/>
        <v>0</v>
      </c>
      <c r="D21" s="272">
        <f>SUMIFS($L$224:$L$623,$E$224:$E$623,"Hospice")</f>
        <v>0</v>
      </c>
      <c r="E21" s="272">
        <f>IFERROR(D21/MAX(B21,1),0)</f>
        <v>0</v>
      </c>
      <c r="F21" s="272">
        <f>SUMIFS($M$224:$M$623,$E$224:$E$623,"Hospice")</f>
        <v>0</v>
      </c>
    </row>
    <row r="22" spans="1:22" ht="15" customHeight="1" outlineLevel="1" x14ac:dyDescent="0.25">
      <c r="A22" s="271" t="s">
        <v>953</v>
      </c>
      <c r="B22" s="309">
        <f>COUNTIFS($E$224:$E$623,"Vacant",$H$224:$H$623,"&lt;&gt;")</f>
        <v>0</v>
      </c>
      <c r="C22" s="388">
        <f t="shared" si="0"/>
        <v>0</v>
      </c>
      <c r="D22" s="272">
        <v>0</v>
      </c>
      <c r="E22" s="272">
        <v>0</v>
      </c>
      <c r="F22" s="272">
        <v>0</v>
      </c>
    </row>
    <row r="23" spans="1:22" ht="15" customHeight="1" outlineLevel="1" x14ac:dyDescent="0.25">
      <c r="A23" s="271" t="s">
        <v>954</v>
      </c>
      <c r="B23" s="309">
        <f>COUNTIFS($E$224:$E$623,"Vacant",$H$224:$H$623,"")</f>
        <v>0</v>
      </c>
      <c r="C23" s="388">
        <f t="shared" si="0"/>
        <v>0</v>
      </c>
      <c r="D23" s="272">
        <v>0</v>
      </c>
      <c r="E23" s="272">
        <v>0</v>
      </c>
      <c r="F23" s="272">
        <v>0</v>
      </c>
    </row>
    <row r="24" spans="1:22" ht="15" customHeight="1" outlineLevel="1" x14ac:dyDescent="0.25">
      <c r="A24" s="271" t="s">
        <v>955</v>
      </c>
      <c r="B24" s="309">
        <f ca="1">COUNTIF($E$224:$E$623,"Reserved")+COUNTIFS($E$224:$E$623,"Vacant",$G$224:$G$623,"&gt;"&amp;TODAY())</f>
        <v>0</v>
      </c>
      <c r="C24" s="388">
        <f t="shared" ca="1" si="0"/>
        <v>0</v>
      </c>
      <c r="D24" s="272">
        <f>SUMIFS($L$224:$L$623,$E$224:$E$623,"Reserved")</f>
        <v>0</v>
      </c>
      <c r="E24" s="272">
        <f ca="1">IFERROR(D24/MAX(B24,1),0)</f>
        <v>0</v>
      </c>
      <c r="F24" s="272">
        <v>0</v>
      </c>
    </row>
    <row r="25" spans="1:22" ht="15" customHeight="1" outlineLevel="1" x14ac:dyDescent="0.25">
      <c r="A25" s="288" t="s">
        <v>107</v>
      </c>
      <c r="B25" s="389">
        <f>COUNTA($B$224:$B$623)</f>
        <v>0</v>
      </c>
      <c r="C25" s="390">
        <f ca="1">SUM(C17:C24)</f>
        <v>0</v>
      </c>
      <c r="D25" s="391">
        <f>SUM(D17:D24)</f>
        <v>0</v>
      </c>
      <c r="E25" s="391">
        <f>IFERROR(D25/MAX(B25,1),0)</f>
        <v>0</v>
      </c>
      <c r="F25" s="391">
        <f>SUM(F17:F24)</f>
        <v>0</v>
      </c>
    </row>
    <row r="26" spans="1:22" ht="15" customHeight="1" outlineLevel="1" x14ac:dyDescent="0.25">
      <c r="A26" s="816" t="s">
        <v>956</v>
      </c>
      <c r="B26" s="798"/>
      <c r="C26" s="798"/>
      <c r="D26" s="798"/>
      <c r="E26" s="798"/>
      <c r="F26" s="798"/>
      <c r="G26" s="798"/>
      <c r="H26" s="798"/>
      <c r="I26" s="798"/>
      <c r="J26" s="798"/>
      <c r="K26" s="798"/>
      <c r="L26" s="798"/>
    </row>
    <row r="27" spans="1:22" ht="15" customHeight="1" outlineLevel="1" x14ac:dyDescent="0.25">
      <c r="A27" s="386"/>
      <c r="B27" s="386"/>
      <c r="C27" s="386"/>
      <c r="D27" s="386"/>
      <c r="E27" s="386"/>
      <c r="F27" s="386"/>
      <c r="G27" s="386"/>
      <c r="H27" s="386"/>
      <c r="I27" s="386"/>
      <c r="J27" s="386"/>
      <c r="K27" s="386"/>
      <c r="L27" s="386"/>
      <c r="M27" s="386"/>
      <c r="N27" s="386"/>
    </row>
    <row r="28" spans="1:22" ht="21.75" customHeight="1" x14ac:dyDescent="0.25">
      <c r="A28" s="830" t="s">
        <v>957</v>
      </c>
      <c r="B28" s="798"/>
      <c r="C28" s="798"/>
      <c r="D28" s="798"/>
      <c r="E28" s="798"/>
      <c r="F28" s="798"/>
      <c r="G28" s="798"/>
      <c r="H28" s="798"/>
      <c r="I28" s="798"/>
      <c r="J28" s="798"/>
      <c r="K28" s="798"/>
      <c r="L28" s="798"/>
      <c r="M28" s="798"/>
      <c r="N28" s="798"/>
      <c r="O28" s="798"/>
      <c r="P28" s="798"/>
      <c r="Q28" s="798"/>
      <c r="R28" s="798"/>
      <c r="S28" s="798"/>
      <c r="T28" s="798"/>
      <c r="U28" s="798"/>
      <c r="V28" s="798"/>
    </row>
    <row r="29" spans="1:22" ht="15" customHeight="1" outlineLevel="1" x14ac:dyDescent="0.25">
      <c r="A29" s="392" t="s">
        <v>69</v>
      </c>
      <c r="B29" s="393" t="s">
        <v>958</v>
      </c>
      <c r="C29" s="393" t="s">
        <v>554</v>
      </c>
      <c r="D29" s="393" t="s">
        <v>113</v>
      </c>
    </row>
    <row r="30" spans="1:22" ht="15" customHeight="1" outlineLevel="1" x14ac:dyDescent="0.25">
      <c r="A30" s="266" t="s">
        <v>959</v>
      </c>
      <c r="B30" s="297">
        <f>SUM(I224:I623)*12</f>
        <v>0</v>
      </c>
      <c r="C30" s="297">
        <f>IFERROR(B30/12/MAX(B13,1),0)</f>
        <v>0</v>
      </c>
      <c r="D30" s="264" t="s">
        <v>960</v>
      </c>
    </row>
    <row r="31" spans="1:22" ht="15" customHeight="1" outlineLevel="1" x14ac:dyDescent="0.25">
      <c r="A31" s="271" t="s">
        <v>961</v>
      </c>
      <c r="B31" s="272">
        <f t="array" ref="B31">SUMPRODUCT((($E$224:$E$623="Occupied")+($E$224:$E$623="Notice"))*$L$224:$L$623)*12</f>
        <v>0</v>
      </c>
      <c r="C31" s="272">
        <f>IFERROR(B31/12/MAX(C13,1),0)</f>
        <v>0</v>
      </c>
      <c r="D31" s="264" t="s">
        <v>962</v>
      </c>
    </row>
    <row r="32" spans="1:22" ht="15" customHeight="1" outlineLevel="1" x14ac:dyDescent="0.25">
      <c r="A32" s="271" t="s">
        <v>963</v>
      </c>
      <c r="B32" s="272">
        <f t="array" ref="B32">(SUMPRODUCT((($C$224:$C$623="IL")*(($E$224:$E$623="Occupied")+($E$224:$E$623="Notice")))*(_xlfn.MAXIFS($L$224:$L$623,$C$224:$C$623,"IL",$E$224:$E$623,"Occupied")-$L$224:$L$623))+SUMPRODUCT((($C$224:$C$623="AL")*(($E$224:$E$623="Occupied")+($E$224:$E$623="Notice")))*(_xlfn.MAXIFS($L$224:$L$623,$C$224:$C$623,"AL",$E$224:$E$623,"Occupied")-$L$224:$L$623))+SUMPRODUCT((($C$224:$C$623="MC")*(($E$224:$E$623="Occupied")+($E$224:$E$623="Notice")))*(_xlfn.MAXIFS($L$224:$L$623,$C$224:$C$623,"MC",$E$224:$E$623,"Occupied")-$L$224:$L$623)))*12</f>
        <v>0</v>
      </c>
      <c r="C32" s="272">
        <f>IFERROR(B32/12/MAX(C13,1),0)</f>
        <v>0</v>
      </c>
      <c r="D32" s="264" t="s">
        <v>964</v>
      </c>
    </row>
    <row r="33" spans="1:22" ht="15" customHeight="1" outlineLevel="1" x14ac:dyDescent="0.25">
      <c r="A33" s="271" t="s">
        <v>965</v>
      </c>
      <c r="B33" s="388">
        <f>IFERROR(B32/B31,0)</f>
        <v>0</v>
      </c>
      <c r="C33" s="276"/>
      <c r="D33" s="264" t="s">
        <v>966</v>
      </c>
    </row>
    <row r="34" spans="1:22" ht="15" customHeight="1" outlineLevel="1" x14ac:dyDescent="0.25">
      <c r="A34" s="271" t="s">
        <v>967</v>
      </c>
      <c r="B34" s="272">
        <f>SUMIFS($I$224:$I$623,$E$224:$E$623,"Vacant")*12</f>
        <v>0</v>
      </c>
      <c r="C34" s="272">
        <f>IFERROR(B34/12/MAX(COUNTIF($E$224:$E$623,"Vacant"),1),0)</f>
        <v>0</v>
      </c>
      <c r="D34" s="264" t="s">
        <v>968</v>
      </c>
    </row>
    <row r="35" spans="1:22" ht="15" customHeight="1" outlineLevel="1" x14ac:dyDescent="0.25">
      <c r="A35" s="271" t="s">
        <v>969</v>
      </c>
      <c r="B35" s="272">
        <f>F18*12+F19*12</f>
        <v>0</v>
      </c>
      <c r="C35" s="272">
        <f>IFERROR(B35/12/MAX(B18+B19,1),0)</f>
        <v>0</v>
      </c>
      <c r="D35" s="264" t="s">
        <v>970</v>
      </c>
    </row>
    <row r="36" spans="1:22" ht="15" customHeight="1" outlineLevel="1" x14ac:dyDescent="0.25">
      <c r="A36" s="271" t="s">
        <v>971</v>
      </c>
      <c r="B36" s="272">
        <f>SUM(K224:K623)*12</f>
        <v>0</v>
      </c>
      <c r="C36" s="272">
        <f>IFERROR(B36/12/MAX(C13,1),0)</f>
        <v>0</v>
      </c>
      <c r="D36" s="264" t="s">
        <v>972</v>
      </c>
    </row>
    <row r="37" spans="1:22" ht="15" customHeight="1" outlineLevel="1" x14ac:dyDescent="0.25">
      <c r="A37" s="266" t="s">
        <v>973</v>
      </c>
      <c r="B37" s="297">
        <f>B30-B32-B34-B35+B36</f>
        <v>0</v>
      </c>
      <c r="C37" s="297">
        <f>IFERROR(B37/12/MAX(B13,1),0)</f>
        <v>0</v>
      </c>
      <c r="D37" s="264" t="s">
        <v>974</v>
      </c>
    </row>
    <row r="38" spans="1:22" ht="15" customHeight="1" outlineLevel="1" x14ac:dyDescent="0.25">
      <c r="A38" s="271" t="s">
        <v>975</v>
      </c>
      <c r="B38" s="388">
        <f>IFERROR(B37/B30,0)</f>
        <v>0</v>
      </c>
      <c r="C38" s="276"/>
      <c r="D38" s="264" t="s">
        <v>976</v>
      </c>
    </row>
    <row r="39" spans="1:22" ht="15" customHeight="1" outlineLevel="1" x14ac:dyDescent="0.25">
      <c r="A39" s="271" t="s">
        <v>977</v>
      </c>
      <c r="B39" s="272">
        <f t="array" ref="B39">SUMPRODUCT((($E$224:$E$623="Occupied")+($E$224:$E$623="Notice"))*$L$224:$L$623)*12</f>
        <v>0</v>
      </c>
      <c r="C39" s="272">
        <f>IFERROR(B39/12/MAX(C13,1),0)</f>
        <v>0</v>
      </c>
      <c r="D39" s="264" t="s">
        <v>978</v>
      </c>
    </row>
    <row r="40" spans="1:22" ht="15" customHeight="1" outlineLevel="1" x14ac:dyDescent="0.25">
      <c r="A40" s="394" t="s">
        <v>979</v>
      </c>
      <c r="B40" s="395">
        <f t="array" ref="B40">SUMPRODUCT((($E$224:$E$623="Occupied")+($E$224:$E$623="Notice"))*($I$224:$I$623-$J$224:$J$623))*12</f>
        <v>0</v>
      </c>
      <c r="C40" s="395">
        <f>IFERROR(B40/12/MAX(C13,1),0)</f>
        <v>0</v>
      </c>
      <c r="D40" s="396" t="s">
        <v>980</v>
      </c>
      <c r="E40" s="386"/>
      <c r="F40" s="386"/>
      <c r="G40" s="386"/>
      <c r="H40" s="386"/>
      <c r="I40" s="386"/>
      <c r="J40" s="386"/>
      <c r="K40" s="386"/>
      <c r="L40" s="386"/>
      <c r="M40" s="386"/>
      <c r="N40" s="386"/>
    </row>
    <row r="41" spans="1:22" ht="21.75" customHeight="1" x14ac:dyDescent="0.25">
      <c r="A41" s="834" t="s">
        <v>981</v>
      </c>
      <c r="B41" s="798"/>
      <c r="C41" s="798"/>
      <c r="D41" s="798"/>
      <c r="E41" s="798"/>
      <c r="F41" s="798"/>
      <c r="G41" s="798"/>
      <c r="H41" s="798"/>
      <c r="I41" s="798"/>
      <c r="J41" s="798"/>
      <c r="K41" s="798"/>
      <c r="L41" s="798"/>
      <c r="M41" s="798"/>
      <c r="N41" s="798"/>
      <c r="O41" s="798"/>
      <c r="P41" s="798"/>
      <c r="Q41" s="798"/>
      <c r="R41" s="798"/>
      <c r="S41" s="798"/>
      <c r="T41" s="798"/>
      <c r="U41" s="798"/>
      <c r="V41" s="798"/>
    </row>
    <row r="42" spans="1:22" ht="15" customHeight="1" outlineLevel="1" x14ac:dyDescent="0.25">
      <c r="A42" s="392" t="s">
        <v>982</v>
      </c>
      <c r="B42" s="393" t="s">
        <v>983</v>
      </c>
      <c r="C42" s="393" t="s">
        <v>984</v>
      </c>
      <c r="D42" s="393" t="s">
        <v>985</v>
      </c>
      <c r="E42" s="393" t="s">
        <v>986</v>
      </c>
      <c r="F42" s="393" t="s">
        <v>987</v>
      </c>
      <c r="G42" s="393" t="s">
        <v>532</v>
      </c>
    </row>
    <row r="43" spans="1:22" ht="15" customHeight="1" outlineLevel="1" x14ac:dyDescent="0.25">
      <c r="A43" s="271" t="s">
        <v>988</v>
      </c>
      <c r="B43" s="309">
        <f t="array" aca="1" ref="B43" ca="1">SUMPRODUCT((($E$224:$E$623="Occupied")+($E$224:$E$623="Notice"))*($G$224:$G$623&gt;=TODAY()-180)*($G$224:$G$623&lt;&gt;""))</f>
        <v>0</v>
      </c>
      <c r="C43" s="388">
        <f ca="1">IFERROR(B43/MAX($C$13,1),0)</f>
        <v>0</v>
      </c>
      <c r="D43" s="272">
        <f t="array" aca="1" ref="D43" ca="1">IFERROR(SUMPRODUCT((($E$224:$E$623="Occupied")+($E$224:$E$623="Notice"))*($G$224:$G$623&gt;=TODAY()-180)*($G$224:$G$623&lt;&gt;"")*$L$224:$L$623)/MAX(B43,1),0)</f>
        <v>0</v>
      </c>
      <c r="E43" s="272">
        <f t="array" aca="1" ref="E43" ca="1">IFERROR(SUMPRODUCT((($E$224:$E$623="Occupied")+($E$224:$E$623="Notice"))*($G$224:$G$623&gt;=TODAY()-180)*($G$224:$G$623&lt;&gt;"")*$I$224:$I$623)/MAX(B43,1),0)</f>
        <v>0</v>
      </c>
      <c r="F43" s="272">
        <f ca="1">IFERROR(E43-D43,0)</f>
        <v>0</v>
      </c>
      <c r="G43" s="264" t="s">
        <v>989</v>
      </c>
    </row>
    <row r="44" spans="1:22" ht="15" customHeight="1" outlineLevel="1" x14ac:dyDescent="0.25">
      <c r="A44" s="271" t="s">
        <v>990</v>
      </c>
      <c r="B44" s="309">
        <f t="array" aca="1" ref="B44" ca="1">SUMPRODUCT((($E$224:$E$623="Occupied")+($E$224:$E$623="Notice"))*($G$224:$G$623&gt;=TODAY()-365)*($G$224:$G$623&lt;TODAY()-180)*($G$224:$G$623&lt;&gt;""))</f>
        <v>0</v>
      </c>
      <c r="C44" s="388">
        <f ca="1">IFERROR(B44/MAX($C$13,1),0)</f>
        <v>0</v>
      </c>
      <c r="D44" s="272">
        <f t="array" aca="1" ref="D44" ca="1">IFERROR(SUMPRODUCT((($E$224:$E$623="Occupied")+($E$224:$E$623="Notice"))*($G$224:$G$623&gt;=TODAY()-365)*($G$224:$G$623&lt;TODAY()-180)*($G$224:$G$623&lt;&gt;"")*$L$224:$L$623)/MAX(B44,1),0)</f>
        <v>0</v>
      </c>
      <c r="E44" s="272">
        <f t="array" aca="1" ref="E44" ca="1">IFERROR(SUMPRODUCT((($E$224:$E$623="Occupied")+($E$224:$E$623="Notice"))*($G$224:$G$623&gt;=TODAY()-365)*($G$224:$G$623&lt;TODAY()-180)*($G$224:$G$623&lt;&gt;"")*$I$224:$I$623)/MAX(B44,1),0)</f>
        <v>0</v>
      </c>
      <c r="F44" s="272">
        <f ca="1">IFERROR(E44-D44,0)</f>
        <v>0</v>
      </c>
      <c r="G44" s="264" t="s">
        <v>991</v>
      </c>
    </row>
    <row r="45" spans="1:22" ht="15" customHeight="1" outlineLevel="1" x14ac:dyDescent="0.25">
      <c r="A45" s="271" t="s">
        <v>992</v>
      </c>
      <c r="B45" s="309">
        <f t="array" aca="1" ref="B45" ca="1">SUMPRODUCT((($E$224:$E$623="Occupied")+($E$224:$E$623="Notice"))*($G$224:$G$623&gt;=TODAY()-730)*($G$224:$G$623&lt;TODAY()-365)*($G$224:$G$623&lt;&gt;""))</f>
        <v>0</v>
      </c>
      <c r="C45" s="388">
        <f ca="1">IFERROR(B45/MAX($C$13,1),0)</f>
        <v>0</v>
      </c>
      <c r="D45" s="272">
        <f t="array" aca="1" ref="D45" ca="1">IFERROR(SUMPRODUCT((($E$224:$E$623="Occupied")+($E$224:$E$623="Notice"))*($G$224:$G$623&gt;=TODAY()-730)*($G$224:$G$623&lt;TODAY()-365)*($G$224:$G$623&lt;&gt;"")*$L$224:$L$623)/MAX(B45,1),0)</f>
        <v>0</v>
      </c>
      <c r="E45" s="272">
        <f t="array" aca="1" ref="E45" ca="1">IFERROR(SUMPRODUCT((($E$224:$E$623="Occupied")+($E$224:$E$623="Notice"))*($G$224:$G$623&gt;=TODAY()-730)*($G$224:$G$623&lt;TODAY()-365)*($G$224:$G$623&lt;&gt;"")*$I$224:$I$623)/MAX(B45,1),0)</f>
        <v>0</v>
      </c>
      <c r="F45" s="272">
        <f ca="1">IFERROR(E45-D45,0)</f>
        <v>0</v>
      </c>
      <c r="G45" s="264" t="s">
        <v>993</v>
      </c>
    </row>
    <row r="46" spans="1:22" ht="15" customHeight="1" outlineLevel="1" x14ac:dyDescent="0.25">
      <c r="A46" s="271" t="s">
        <v>994</v>
      </c>
      <c r="B46" s="309">
        <f t="array" aca="1" ref="B46" ca="1">SUMPRODUCT((($E$224:$E$623="Occupied")+($E$224:$E$623="Notice"))*($G$224:$G$623&gt;=TODAY()-1095)*($G$224:$G$623&lt;TODAY()-730)*($G$224:$G$623&lt;&gt;""))</f>
        <v>0</v>
      </c>
      <c r="C46" s="388">
        <f ca="1">IFERROR(B46/MAX($C$13,1),0)</f>
        <v>0</v>
      </c>
      <c r="D46" s="272">
        <f t="array" aca="1" ref="D46" ca="1">IFERROR(SUMPRODUCT((($E$224:$E$623="Occupied")+($E$224:$E$623="Notice"))*($G$224:$G$623&gt;=TODAY()-1095)*($G$224:$G$623&lt;TODAY()-730)*($G$224:$G$623&lt;&gt;"")*$L$224:$L$623)/MAX(B46,1),0)</f>
        <v>0</v>
      </c>
      <c r="E46" s="272">
        <f t="array" aca="1" ref="E46" ca="1">IFERROR(SUMPRODUCT((($E$224:$E$623="Occupied")+($E$224:$E$623="Notice"))*($G$224:$G$623&gt;=TODAY()-1095)*($G$224:$G$623&lt;TODAY()-730)*($G$224:$G$623&lt;&gt;"")*$I$224:$I$623)/MAX(B46,1),0)</f>
        <v>0</v>
      </c>
      <c r="F46" s="272">
        <f ca="1">IFERROR(E46-D46,0)</f>
        <v>0</v>
      </c>
      <c r="G46" s="264" t="s">
        <v>995</v>
      </c>
    </row>
    <row r="47" spans="1:22" ht="15" customHeight="1" outlineLevel="1" x14ac:dyDescent="0.25">
      <c r="A47" s="271" t="s">
        <v>996</v>
      </c>
      <c r="B47" s="309">
        <f t="array" aca="1" ref="B47" ca="1">SUMPRODUCT((($E$224:$E$623="Occupied")+($E$224:$E$623="Notice"))*($G$224:$G$623&lt;TODAY()-1095)*($G$224:$G$623&lt;&gt;""))</f>
        <v>0</v>
      </c>
      <c r="C47" s="388">
        <f ca="1">IFERROR(B47/MAX($C$13,1),0)</f>
        <v>0</v>
      </c>
      <c r="D47" s="272">
        <f t="array" aca="1" ref="D47" ca="1">IFERROR(SUMPRODUCT((($E$224:$E$623="Occupied")+($E$224:$E$623="Notice"))*($G$224:$G$623&lt;TODAY()-1095)*($G$224:$G$623&lt;&gt;"")*$L$224:$L$623)/MAX(B47,1),0)</f>
        <v>0</v>
      </c>
      <c r="E47" s="272">
        <f t="array" aca="1" ref="E47" ca="1">IFERROR(SUMPRODUCT((($E$224:$E$623="Occupied")+($E$224:$E$623="Notice"))*($G$224:$G$623&lt;TODAY()-1095)*($G$224:$G$623&lt;&gt;"")*$I$224:$I$623)/MAX(B47,1),0)</f>
        <v>0</v>
      </c>
      <c r="F47" s="272">
        <f ca="1">IFERROR(E47-D47,0)</f>
        <v>0</v>
      </c>
      <c r="G47" s="264" t="s">
        <v>997</v>
      </c>
    </row>
    <row r="48" spans="1:22" ht="15" customHeight="1" outlineLevel="1" x14ac:dyDescent="0.25"/>
    <row r="49" spans="1:22" ht="15" customHeight="1" outlineLevel="1" x14ac:dyDescent="0.25">
      <c r="A49" s="386"/>
      <c r="B49" s="386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6"/>
    </row>
    <row r="50" spans="1:22" ht="21.75" customHeight="1" x14ac:dyDescent="0.25">
      <c r="A50" s="830" t="s">
        <v>998</v>
      </c>
      <c r="B50" s="798"/>
      <c r="C50" s="798"/>
      <c r="D50" s="798"/>
      <c r="E50" s="798"/>
      <c r="F50" s="798"/>
      <c r="G50" s="798"/>
      <c r="H50" s="798"/>
      <c r="I50" s="798"/>
      <c r="J50" s="798"/>
      <c r="K50" s="798"/>
      <c r="L50" s="798"/>
      <c r="M50" s="798"/>
      <c r="N50" s="798"/>
      <c r="O50" s="798"/>
      <c r="P50" s="798"/>
      <c r="Q50" s="798"/>
      <c r="R50" s="798"/>
      <c r="S50" s="798"/>
      <c r="T50" s="798"/>
      <c r="U50" s="798"/>
      <c r="V50" s="798"/>
    </row>
    <row r="51" spans="1:22" ht="15" customHeight="1" outlineLevel="1" x14ac:dyDescent="0.25">
      <c r="A51" s="816" t="s">
        <v>999</v>
      </c>
      <c r="B51" s="798"/>
      <c r="C51" s="798"/>
      <c r="D51" s="798"/>
      <c r="E51" s="798"/>
      <c r="F51" s="798"/>
      <c r="G51" s="798"/>
      <c r="H51" s="798"/>
      <c r="I51" s="798"/>
      <c r="J51" s="798"/>
      <c r="K51" s="798"/>
      <c r="L51" s="798"/>
    </row>
    <row r="52" spans="1:22" ht="15" customHeight="1" outlineLevel="1" x14ac:dyDescent="0.25">
      <c r="A52" s="392" t="s">
        <v>1000</v>
      </c>
      <c r="B52" s="393" t="s">
        <v>943</v>
      </c>
      <c r="C52" s="393" t="s">
        <v>1001</v>
      </c>
      <c r="D52" s="393" t="s">
        <v>1002</v>
      </c>
      <c r="E52" s="393" t="s">
        <v>1003</v>
      </c>
    </row>
    <row r="53" spans="1:22" ht="15" customHeight="1" outlineLevel="1" x14ac:dyDescent="0.25">
      <c r="A53" s="271" t="s">
        <v>1004</v>
      </c>
      <c r="B53" s="309">
        <f t="array" aca="1" ref="B53" ca="1">SUMPRODUCT(($E$224:$E$623="Vacant")*($H$224:$H$623&gt;=TODAY()-30)*($H$224:$H$623&lt;&gt;""))</f>
        <v>0</v>
      </c>
      <c r="C53" s="388">
        <f t="shared" ref="C53:C58" ca="1" si="1">IFERROR(B53/MAX(COUNTIF($E$224:$E$623,"Vacant"),1),0)</f>
        <v>0</v>
      </c>
      <c r="D53" s="272">
        <f t="array" aca="1" ref="D53" ca="1">SUMPRODUCT(($E$224:$E$623="Vacant")*($H$224:$H$623&gt;=TODAY()-30)*($H$224:$H$623&lt;&gt;"")*$I$224:$I$623)*12</f>
        <v>0</v>
      </c>
      <c r="E53" s="264" t="s">
        <v>1005</v>
      </c>
    </row>
    <row r="54" spans="1:22" ht="15" customHeight="1" outlineLevel="1" x14ac:dyDescent="0.25">
      <c r="A54" s="271" t="s">
        <v>1006</v>
      </c>
      <c r="B54" s="309">
        <f t="array" aca="1" ref="B54" ca="1">SUMPRODUCT(($E$224:$E$623="Vacant")*($H$224:$H$623&gt;=TODAY()-90)*($H$224:$H$623&lt;TODAY()-30)*($H$224:$H$623&lt;&gt;""))</f>
        <v>0</v>
      </c>
      <c r="C54" s="388">
        <f t="shared" ca="1" si="1"/>
        <v>0</v>
      </c>
      <c r="D54" s="272">
        <f t="array" aca="1" ref="D54" ca="1">SUMPRODUCT(($E$224:$E$623="Vacant")*($H$224:$H$623&gt;=TODAY()-90)*($H$224:$H$623&lt;TODAY()-30)*($H$224:$H$623&lt;&gt;"")*$I$224:$I$623)*12</f>
        <v>0</v>
      </c>
      <c r="E54" s="264" t="s">
        <v>1007</v>
      </c>
    </row>
    <row r="55" spans="1:22" ht="15" customHeight="1" outlineLevel="1" x14ac:dyDescent="0.25">
      <c r="A55" s="271" t="s">
        <v>1008</v>
      </c>
      <c r="B55" s="309">
        <f t="array" aca="1" ref="B55" ca="1">SUMPRODUCT(($E$224:$E$623="Vacant")*($H$224:$H$623&gt;=TODAY()-180)*($H$224:$H$623&lt;TODAY()-90)*($H$224:$H$623&lt;&gt;""))</f>
        <v>0</v>
      </c>
      <c r="C55" s="388">
        <f t="shared" ca="1" si="1"/>
        <v>0</v>
      </c>
      <c r="D55" s="272">
        <f t="array" aca="1" ref="D55" ca="1">SUMPRODUCT(($E$224:$E$623="Vacant")*($H$224:$H$623&gt;=TODAY()-180)*($H$224:$H$623&lt;TODAY()-90)*($H$224:$H$623&lt;&gt;"")*$I$224:$I$623)*12</f>
        <v>0</v>
      </c>
      <c r="E55" s="264" t="s">
        <v>1009</v>
      </c>
    </row>
    <row r="56" spans="1:22" ht="15" customHeight="1" outlineLevel="1" x14ac:dyDescent="0.25">
      <c r="A56" s="271" t="s">
        <v>1010</v>
      </c>
      <c r="B56" s="309">
        <f t="array" aca="1" ref="B56" ca="1">SUMPRODUCT(($E$224:$E$623="Vacant")*($H$224:$H$623&gt;=TODAY()-365)*($H$224:$H$623&lt;TODAY()-180)*($H$224:$H$623&lt;&gt;""))</f>
        <v>0</v>
      </c>
      <c r="C56" s="388">
        <f t="shared" ca="1" si="1"/>
        <v>0</v>
      </c>
      <c r="D56" s="272">
        <f t="array" aca="1" ref="D56" ca="1">SUMPRODUCT(($E$224:$E$623="Vacant")*($H$224:$H$623&gt;=TODAY()-365)*($H$224:$H$623&lt;TODAY()-180)*($H$224:$H$623&lt;&gt;"")*$I$224:$I$623)*12</f>
        <v>0</v>
      </c>
      <c r="E56" s="264" t="s">
        <v>1011</v>
      </c>
    </row>
    <row r="57" spans="1:22" ht="15" customHeight="1" outlineLevel="1" x14ac:dyDescent="0.25">
      <c r="A57" s="271" t="s">
        <v>1012</v>
      </c>
      <c r="B57" s="309">
        <f t="array" aca="1" ref="B57" ca="1">SUMPRODUCT(($E$224:$E$623="Vacant")*($H$224:$H$623&lt;TODAY()-365)*($H$224:$H$623&lt;&gt;""))</f>
        <v>0</v>
      </c>
      <c r="C57" s="388">
        <f t="shared" ca="1" si="1"/>
        <v>0</v>
      </c>
      <c r="D57" s="272">
        <f t="array" aca="1" ref="D57" ca="1">SUMPRODUCT(($E$224:$E$623="Vacant")*($H$224:$H$623&lt;TODAY()-365)*($H$224:$H$623&lt;&gt;"")*$I$224:$I$623)*12</f>
        <v>0</v>
      </c>
      <c r="E57" s="264" t="s">
        <v>1013</v>
      </c>
    </row>
    <row r="58" spans="1:22" ht="15" customHeight="1" outlineLevel="1" x14ac:dyDescent="0.25">
      <c r="A58" s="271" t="s">
        <v>1014</v>
      </c>
      <c r="B58" s="309">
        <f>COUNTIFS($E$224:$E$623,"Vacant",$H$224:$H$623,"")</f>
        <v>0</v>
      </c>
      <c r="C58" s="388">
        <f t="shared" si="1"/>
        <v>0</v>
      </c>
      <c r="D58" s="272">
        <f>SUMIFS($I$224:$I$623,$E$224:$E$623,"Vacant",$H$224:$H$623,"")*12</f>
        <v>0</v>
      </c>
      <c r="E58" s="264" t="s">
        <v>1015</v>
      </c>
    </row>
    <row r="59" spans="1:22" ht="15" customHeight="1" outlineLevel="1" x14ac:dyDescent="0.25">
      <c r="A59" s="266" t="s">
        <v>1016</v>
      </c>
      <c r="B59" s="397">
        <f ca="1">SUM(B53:B58)</f>
        <v>0</v>
      </c>
      <c r="C59" s="398">
        <f ca="1">SUM(C53:C58)</f>
        <v>0</v>
      </c>
      <c r="D59" s="297">
        <f ca="1">SUM(D53:D58)</f>
        <v>0</v>
      </c>
      <c r="E59" s="264"/>
    </row>
    <row r="60" spans="1:22" ht="15" customHeight="1" outlineLevel="1" x14ac:dyDescent="0.25"/>
    <row r="61" spans="1:22" ht="15" customHeight="1" outlineLevel="1" x14ac:dyDescent="0.25">
      <c r="A61" s="386"/>
      <c r="B61" s="386"/>
      <c r="C61" s="386"/>
      <c r="D61" s="386"/>
      <c r="E61" s="386"/>
      <c r="F61" s="386"/>
      <c r="G61" s="386"/>
      <c r="H61" s="386"/>
      <c r="I61" s="386"/>
      <c r="J61" s="386"/>
      <c r="K61" s="386"/>
      <c r="L61" s="386"/>
      <c r="M61" s="386"/>
      <c r="N61" s="386"/>
    </row>
    <row r="62" spans="1:22" ht="21.75" customHeight="1" x14ac:dyDescent="0.25">
      <c r="A62" s="834" t="s">
        <v>1017</v>
      </c>
      <c r="B62" s="798"/>
      <c r="C62" s="798"/>
      <c r="D62" s="798"/>
      <c r="E62" s="798"/>
      <c r="F62" s="798"/>
      <c r="G62" s="798"/>
      <c r="H62" s="798"/>
      <c r="I62" s="798"/>
      <c r="J62" s="798"/>
      <c r="K62" s="798"/>
      <c r="L62" s="798"/>
      <c r="M62" s="798"/>
      <c r="N62" s="798"/>
      <c r="O62" s="798"/>
      <c r="P62" s="798"/>
      <c r="Q62" s="798"/>
      <c r="R62" s="798"/>
      <c r="S62" s="798"/>
      <c r="T62" s="798"/>
      <c r="U62" s="798"/>
      <c r="V62" s="798"/>
    </row>
    <row r="63" spans="1:22" ht="15" customHeight="1" outlineLevel="1" x14ac:dyDescent="0.25">
      <c r="A63" s="392" t="s">
        <v>1018</v>
      </c>
      <c r="B63" s="393" t="s">
        <v>983</v>
      </c>
      <c r="C63" s="393" t="s">
        <v>1019</v>
      </c>
      <c r="D63" s="393" t="s">
        <v>1020</v>
      </c>
      <c r="E63" s="393" t="s">
        <v>1021</v>
      </c>
      <c r="F63" s="393" t="s">
        <v>1022</v>
      </c>
    </row>
    <row r="64" spans="1:22" ht="15" customHeight="1" outlineLevel="1" x14ac:dyDescent="0.25">
      <c r="A64" s="271" t="s">
        <v>1023</v>
      </c>
      <c r="B64" s="309">
        <f t="array" ref="B64">SUMPRODUCT(($O$224:$O$623&gt;0)*1)</f>
        <v>0</v>
      </c>
      <c r="C64" s="272">
        <f>SUM(O224:O623)</f>
        <v>0</v>
      </c>
      <c r="D64" s="388">
        <f>IFERROR(C64/MAX(SUM($M$224:$M$623),1),0)</f>
        <v>0</v>
      </c>
      <c r="E64" s="272">
        <f>IFERROR(C64/MAX(B64,1),0)</f>
        <v>0</v>
      </c>
      <c r="F64" s="399" t="s">
        <v>1024</v>
      </c>
    </row>
    <row r="65" spans="1:22" ht="15" customHeight="1" outlineLevel="1" x14ac:dyDescent="0.25">
      <c r="A65" s="271" t="s">
        <v>1025</v>
      </c>
      <c r="B65" s="309">
        <f t="array" ref="B65">SUMPRODUCT(($P$224:$P$623&gt;0)*1)</f>
        <v>0</v>
      </c>
      <c r="C65" s="272">
        <f>SUM(P224:P623)</f>
        <v>0</v>
      </c>
      <c r="D65" s="388">
        <f>IFERROR(C65/MAX(SUM($M$224:$M$623),1),0)</f>
        <v>0</v>
      </c>
      <c r="E65" s="272">
        <f>IFERROR(C65/MAX(B65,1),0)</f>
        <v>0</v>
      </c>
      <c r="F65" s="399" t="s">
        <v>1026</v>
      </c>
    </row>
    <row r="66" spans="1:22" ht="15" customHeight="1" outlineLevel="1" x14ac:dyDescent="0.25">
      <c r="A66" s="271" t="s">
        <v>1027</v>
      </c>
      <c r="B66" s="309">
        <f t="array" ref="B66">SUMPRODUCT(($Q$224:$Q$623&gt;0)*1)</f>
        <v>0</v>
      </c>
      <c r="C66" s="272">
        <f>SUM(Q224:Q623)</f>
        <v>0</v>
      </c>
      <c r="D66" s="388">
        <f>IFERROR(C66/MAX(SUM($M$224:$M$623),1),0)</f>
        <v>0</v>
      </c>
      <c r="E66" s="272">
        <f>IFERROR(C66/MAX(B66,1),0)</f>
        <v>0</v>
      </c>
      <c r="F66" s="399" t="s">
        <v>1028</v>
      </c>
    </row>
    <row r="67" spans="1:22" ht="15" customHeight="1" outlineLevel="1" x14ac:dyDescent="0.25">
      <c r="A67" s="266" t="s">
        <v>1029</v>
      </c>
      <c r="B67" s="397">
        <f t="array" ref="B67">SUMPRODUCT(($R$224:$R$623&gt;0)*1)</f>
        <v>0</v>
      </c>
      <c r="C67" s="297">
        <f>SUM(R224:R623)</f>
        <v>0</v>
      </c>
      <c r="D67" s="398">
        <f>IFERROR(C67/MAX(SUM($M$224:$M$623),1),0)</f>
        <v>0</v>
      </c>
      <c r="E67" s="297">
        <f>IFERROR(C67/MAX(B67,1),0)</f>
        <v>0</v>
      </c>
      <c r="F67" s="399" t="s">
        <v>1030</v>
      </c>
    </row>
    <row r="68" spans="1:22" ht="15" customHeight="1" outlineLevel="1" x14ac:dyDescent="0.25">
      <c r="A68" s="266" t="s">
        <v>1031</v>
      </c>
      <c r="B68" s="397">
        <f>COUNTIF($M$224:$M$623,"&gt;0")</f>
        <v>0</v>
      </c>
      <c r="C68" s="297">
        <f>SUM(M224:M623)</f>
        <v>0</v>
      </c>
      <c r="D68" s="398">
        <f>IF(SUM(C64:C67)=0,0,SUM(C64:C67)/MAX(C68,1))</f>
        <v>0</v>
      </c>
      <c r="E68" s="297">
        <f>IFERROR(C68/MAX(B68,1),0)</f>
        <v>0</v>
      </c>
      <c r="F68" s="399" t="str">
        <f>IF(SUM(C64:C67)=0,"⚠ aging not loaded — paste aging report into N–Q","✓ aging loaded")</f>
        <v>⚠ aging not loaded — paste aging report into N–Q</v>
      </c>
    </row>
    <row r="69" spans="1:22" ht="15" customHeight="1" outlineLevel="1" x14ac:dyDescent="0.25"/>
    <row r="70" spans="1:22" ht="15" customHeight="1" outlineLevel="1" x14ac:dyDescent="0.25">
      <c r="A70" s="386"/>
      <c r="B70" s="386"/>
      <c r="C70" s="386"/>
      <c r="D70" s="386"/>
      <c r="E70" s="386"/>
      <c r="F70" s="386"/>
      <c r="G70" s="386"/>
      <c r="H70" s="386"/>
      <c r="I70" s="386"/>
      <c r="J70" s="386"/>
      <c r="K70" s="386"/>
      <c r="L70" s="386"/>
      <c r="M70" s="386"/>
      <c r="N70" s="386"/>
    </row>
    <row r="71" spans="1:22" ht="21.75" customHeight="1" x14ac:dyDescent="0.25">
      <c r="A71" s="830" t="s">
        <v>1032</v>
      </c>
      <c r="B71" s="798"/>
      <c r="C71" s="798"/>
      <c r="D71" s="798"/>
      <c r="E71" s="798"/>
      <c r="F71" s="798"/>
      <c r="G71" s="798"/>
      <c r="H71" s="798"/>
      <c r="I71" s="798"/>
      <c r="J71" s="798"/>
      <c r="K71" s="798"/>
      <c r="L71" s="798"/>
      <c r="M71" s="798"/>
      <c r="N71" s="798"/>
      <c r="O71" s="798"/>
      <c r="P71" s="798"/>
      <c r="Q71" s="798"/>
      <c r="R71" s="798"/>
      <c r="S71" s="798"/>
      <c r="T71" s="798"/>
      <c r="U71" s="798"/>
      <c r="V71" s="798"/>
    </row>
    <row r="72" spans="1:22" ht="15" customHeight="1" outlineLevel="1" x14ac:dyDescent="0.25">
      <c r="A72" s="816" t="s">
        <v>1033</v>
      </c>
      <c r="B72" s="798"/>
      <c r="C72" s="798"/>
      <c r="D72" s="798"/>
      <c r="E72" s="798"/>
      <c r="F72" s="798"/>
      <c r="G72" s="798"/>
      <c r="H72" s="798"/>
      <c r="I72" s="798"/>
      <c r="J72" s="798"/>
      <c r="K72" s="798"/>
      <c r="L72" s="798"/>
    </row>
    <row r="73" spans="1:22" ht="15" customHeight="1" outlineLevel="1" x14ac:dyDescent="0.25">
      <c r="A73" s="392" t="s">
        <v>1034</v>
      </c>
      <c r="B73" s="393" t="s">
        <v>1035</v>
      </c>
      <c r="C73" s="393" t="s">
        <v>1036</v>
      </c>
      <c r="D73" s="393" t="s">
        <v>1037</v>
      </c>
      <c r="E73" s="393" t="s">
        <v>930</v>
      </c>
      <c r="F73" s="393" t="s">
        <v>1038</v>
      </c>
      <c r="G73" s="393" t="s">
        <v>947</v>
      </c>
      <c r="H73" s="393" t="s">
        <v>1039</v>
      </c>
      <c r="I73" s="393" t="s">
        <v>1040</v>
      </c>
      <c r="J73" s="393" t="s">
        <v>1039</v>
      </c>
      <c r="K73" s="393" t="s">
        <v>1041</v>
      </c>
      <c r="L73" s="393" t="s">
        <v>113</v>
      </c>
    </row>
    <row r="74" spans="1:22" ht="15" customHeight="1" outlineLevel="1" x14ac:dyDescent="0.25">
      <c r="A74" s="271">
        <v>1</v>
      </c>
      <c r="B74">
        <f t="array" ref="B74">IFERROR(INDEX($A$224:$A$623,MATCH(LARGE($M$224:$M$623+ROW($M$224:$M$623)/1000000,ROW()-72),$M$224:$M$623+ROW($M$224:$M$623)/1000000,0)),"")</f>
        <v>0</v>
      </c>
      <c r="C74">
        <f t="array" ref="C74">IFERROR(INDEX($B$224:$B$623,MATCH(LARGE($M$224:$M$623+ROW($M$224:$M$623)/1000000,ROW()-72),$M$224:$M$623+ROW($M$224:$M$623)/1000000,0)),"")</f>
        <v>0</v>
      </c>
      <c r="D74">
        <f t="array" ref="D74">IFERROR(INDEX($F$224:$F$623,MATCH(LARGE($M$224:$M$623+ROW($M$224:$M$623)/1000000,ROW()-72),$M$224:$M$623+ROW($M$224:$M$623)/1000000,0)),"")</f>
        <v>0</v>
      </c>
      <c r="E74">
        <f t="array" ref="E74">IFERROR(INDEX($C$224:$C$623,MATCH(LARGE($M$224:$M$623+ROW($M$224:$M$623)/1000000,ROW()-72),$M$224:$M$623+ROW($M$224:$M$623)/1000000,0)),"")</f>
        <v>0</v>
      </c>
      <c r="F74">
        <f t="array" ref="F74">IFERROR(INDEX($S$224:$S$623,MATCH(LARGE($M$224:$M$623+ROW($M$224:$M$623)/1000000,ROW()-72),$M$224:$M$623+ROW($M$224:$M$623)/1000000,0)),"")</f>
        <v>0</v>
      </c>
      <c r="G74" s="272">
        <f t="shared" ref="G74:G83" si="2">IFERROR(LARGE($M$224:$M$623,ROW()-72),0)</f>
        <v>0</v>
      </c>
      <c r="H74" s="272">
        <f t="shared" ref="H74:H83" si="3">IFERROR(INDEX($N$224:$N$623,MATCH(LARGE($M$224:$M$623+ROW($M$224:$M$623)/1000000,ROW()-72),$M$224:$M$623+ROW($M$224:$M$623)/1000000,0)),0)</f>
        <v>0</v>
      </c>
      <c r="I74" s="400" t="s">
        <v>1042</v>
      </c>
      <c r="J74" s="273">
        <v>0</v>
      </c>
      <c r="K74" s="273">
        <v>0</v>
      </c>
    </row>
    <row r="75" spans="1:22" ht="15" customHeight="1" outlineLevel="1" x14ac:dyDescent="0.25">
      <c r="A75" s="271">
        <v>2</v>
      </c>
      <c r="B75">
        <f t="array" ref="B75">IFERROR(INDEX($A$224:$A$623,MATCH(LARGE($M$224:$M$623+ROW($M$224:$M$623)/1000000,ROW()-72),$M$224:$M$623+ROW($M$224:$M$623)/1000000,0)),"")</f>
        <v>0</v>
      </c>
      <c r="C75">
        <f t="array" ref="C75">IFERROR(INDEX($B$224:$B$623,MATCH(LARGE($M$224:$M$623+ROW($M$224:$M$623)/1000000,ROW()-72),$M$224:$M$623+ROW($M$224:$M$623)/1000000,0)),"")</f>
        <v>0</v>
      </c>
      <c r="D75">
        <f t="array" ref="D75">IFERROR(INDEX($F$224:$F$623,MATCH(LARGE($M$224:$M$623+ROW($M$224:$M$623)/1000000,ROW()-72),$M$224:$M$623+ROW($M$224:$M$623)/1000000,0)),"")</f>
        <v>0</v>
      </c>
      <c r="E75">
        <f t="array" ref="E75">IFERROR(INDEX($C$224:$C$623,MATCH(LARGE($M$224:$M$623+ROW($M$224:$M$623)/1000000,ROW()-72),$M$224:$M$623+ROW($M$224:$M$623)/1000000,0)),"")</f>
        <v>0</v>
      </c>
      <c r="F75">
        <f t="array" ref="F75">IFERROR(INDEX($S$224:$S$623,MATCH(LARGE($M$224:$M$623+ROW($M$224:$M$623)/1000000,ROW()-72),$M$224:$M$623+ROW($M$224:$M$623)/1000000,0)),"")</f>
        <v>0</v>
      </c>
      <c r="G75" s="272">
        <f t="shared" si="2"/>
        <v>0</v>
      </c>
      <c r="H75" s="272">
        <f t="shared" si="3"/>
        <v>0</v>
      </c>
      <c r="I75" s="400" t="s">
        <v>1042</v>
      </c>
      <c r="J75" s="273">
        <v>0</v>
      </c>
      <c r="K75" s="273">
        <v>0</v>
      </c>
    </row>
    <row r="76" spans="1:22" ht="15" customHeight="1" outlineLevel="1" x14ac:dyDescent="0.25">
      <c r="A76" s="271">
        <v>3</v>
      </c>
      <c r="B76">
        <f t="array" ref="B76">IFERROR(INDEX($A$224:$A$623,MATCH(LARGE($M$224:$M$623+ROW($M$224:$M$623)/1000000,ROW()-72),$M$224:$M$623+ROW($M$224:$M$623)/1000000,0)),"")</f>
        <v>0</v>
      </c>
      <c r="C76">
        <f t="array" ref="C76">IFERROR(INDEX($B$224:$B$623,MATCH(LARGE($M$224:$M$623+ROW($M$224:$M$623)/1000000,ROW()-72),$M$224:$M$623+ROW($M$224:$M$623)/1000000,0)),"")</f>
        <v>0</v>
      </c>
      <c r="D76">
        <f t="array" ref="D76">IFERROR(INDEX($F$224:$F$623,MATCH(LARGE($M$224:$M$623+ROW($M$224:$M$623)/1000000,ROW()-72),$M$224:$M$623+ROW($M$224:$M$623)/1000000,0)),"")</f>
        <v>0</v>
      </c>
      <c r="E76">
        <f t="array" ref="E76">IFERROR(INDEX($C$224:$C$623,MATCH(LARGE($M$224:$M$623+ROW($M$224:$M$623)/1000000,ROW()-72),$M$224:$M$623+ROW($M$224:$M$623)/1000000,0)),"")</f>
        <v>0</v>
      </c>
      <c r="F76">
        <f t="array" ref="F76">IFERROR(INDEX($S$224:$S$623,MATCH(LARGE($M$224:$M$623+ROW($M$224:$M$623)/1000000,ROW()-72),$M$224:$M$623+ROW($M$224:$M$623)/1000000,0)),"")</f>
        <v>0</v>
      </c>
      <c r="G76" s="272">
        <f t="shared" si="2"/>
        <v>0</v>
      </c>
      <c r="H76" s="272">
        <f t="shared" si="3"/>
        <v>0</v>
      </c>
      <c r="I76" s="400" t="s">
        <v>1042</v>
      </c>
      <c r="J76" s="273">
        <v>0</v>
      </c>
      <c r="K76" s="273">
        <v>0</v>
      </c>
    </row>
    <row r="77" spans="1:22" ht="15" customHeight="1" outlineLevel="1" x14ac:dyDescent="0.25">
      <c r="A77" s="271">
        <v>4</v>
      </c>
      <c r="B77">
        <f t="array" ref="B77">IFERROR(INDEX($A$224:$A$623,MATCH(LARGE($M$224:$M$623+ROW($M$224:$M$623)/1000000,ROW()-72),$M$224:$M$623+ROW($M$224:$M$623)/1000000,0)),"")</f>
        <v>0</v>
      </c>
      <c r="C77">
        <f t="array" ref="C77">IFERROR(INDEX($B$224:$B$623,MATCH(LARGE($M$224:$M$623+ROW($M$224:$M$623)/1000000,ROW()-72),$M$224:$M$623+ROW($M$224:$M$623)/1000000,0)),"")</f>
        <v>0</v>
      </c>
      <c r="D77">
        <f t="array" ref="D77">IFERROR(INDEX($F$224:$F$623,MATCH(LARGE($M$224:$M$623+ROW($M$224:$M$623)/1000000,ROW()-72),$M$224:$M$623+ROW($M$224:$M$623)/1000000,0)),"")</f>
        <v>0</v>
      </c>
      <c r="E77">
        <f t="array" ref="E77">IFERROR(INDEX($C$224:$C$623,MATCH(LARGE($M$224:$M$623+ROW($M$224:$M$623)/1000000,ROW()-72),$M$224:$M$623+ROW($M$224:$M$623)/1000000,0)),"")</f>
        <v>0</v>
      </c>
      <c r="F77">
        <f t="array" ref="F77">IFERROR(INDEX($S$224:$S$623,MATCH(LARGE($M$224:$M$623+ROW($M$224:$M$623)/1000000,ROW()-72),$M$224:$M$623+ROW($M$224:$M$623)/1000000,0)),"")</f>
        <v>0</v>
      </c>
      <c r="G77" s="272">
        <f t="shared" si="2"/>
        <v>0</v>
      </c>
      <c r="H77" s="272">
        <f t="shared" si="3"/>
        <v>0</v>
      </c>
      <c r="I77" s="400" t="s">
        <v>1042</v>
      </c>
      <c r="J77" s="273">
        <v>0</v>
      </c>
      <c r="K77" s="273">
        <v>0</v>
      </c>
    </row>
    <row r="78" spans="1:22" ht="15" customHeight="1" outlineLevel="1" x14ac:dyDescent="0.25">
      <c r="A78" s="271">
        <v>5</v>
      </c>
      <c r="B78">
        <f t="array" ref="B78">IFERROR(INDEX($A$224:$A$623,MATCH(LARGE($M$224:$M$623+ROW($M$224:$M$623)/1000000,ROW()-72),$M$224:$M$623+ROW($M$224:$M$623)/1000000,0)),"")</f>
        <v>0</v>
      </c>
      <c r="C78">
        <f t="array" ref="C78">IFERROR(INDEX($B$224:$B$623,MATCH(LARGE($M$224:$M$623+ROW($M$224:$M$623)/1000000,ROW()-72),$M$224:$M$623+ROW($M$224:$M$623)/1000000,0)),"")</f>
        <v>0</v>
      </c>
      <c r="D78">
        <f t="array" ref="D78">IFERROR(INDEX($F$224:$F$623,MATCH(LARGE($M$224:$M$623+ROW($M$224:$M$623)/1000000,ROW()-72),$M$224:$M$623+ROW($M$224:$M$623)/1000000,0)),"")</f>
        <v>0</v>
      </c>
      <c r="E78">
        <f t="array" ref="E78">IFERROR(INDEX($C$224:$C$623,MATCH(LARGE($M$224:$M$623+ROW($M$224:$M$623)/1000000,ROW()-72),$M$224:$M$623+ROW($M$224:$M$623)/1000000,0)),"")</f>
        <v>0</v>
      </c>
      <c r="F78">
        <f t="array" ref="F78">IFERROR(INDEX($S$224:$S$623,MATCH(LARGE($M$224:$M$623+ROW($M$224:$M$623)/1000000,ROW()-72),$M$224:$M$623+ROW($M$224:$M$623)/1000000,0)),"")</f>
        <v>0</v>
      </c>
      <c r="G78" s="272">
        <f t="shared" si="2"/>
        <v>0</v>
      </c>
      <c r="H78" s="272">
        <f t="shared" si="3"/>
        <v>0</v>
      </c>
      <c r="I78" s="400" t="s">
        <v>1042</v>
      </c>
      <c r="J78" s="273">
        <v>0</v>
      </c>
      <c r="K78" s="273">
        <v>0</v>
      </c>
    </row>
    <row r="79" spans="1:22" ht="15" customHeight="1" outlineLevel="1" x14ac:dyDescent="0.25">
      <c r="A79" s="271">
        <v>6</v>
      </c>
      <c r="B79">
        <f t="array" ref="B79">IFERROR(INDEX($A$224:$A$623,MATCH(LARGE($M$224:$M$623+ROW($M$224:$M$623)/1000000,ROW()-72),$M$224:$M$623+ROW($M$224:$M$623)/1000000,0)),"")</f>
        <v>0</v>
      </c>
      <c r="C79">
        <f t="array" ref="C79">IFERROR(INDEX($B$224:$B$623,MATCH(LARGE($M$224:$M$623+ROW($M$224:$M$623)/1000000,ROW()-72),$M$224:$M$623+ROW($M$224:$M$623)/1000000,0)),"")</f>
        <v>0</v>
      </c>
      <c r="D79">
        <f t="array" ref="D79">IFERROR(INDEX($F$224:$F$623,MATCH(LARGE($M$224:$M$623+ROW($M$224:$M$623)/1000000,ROW()-72),$M$224:$M$623+ROW($M$224:$M$623)/1000000,0)),"")</f>
        <v>0</v>
      </c>
      <c r="E79">
        <f t="array" ref="E79">IFERROR(INDEX($C$224:$C$623,MATCH(LARGE($M$224:$M$623+ROW($M$224:$M$623)/1000000,ROW()-72),$M$224:$M$623+ROW($M$224:$M$623)/1000000,0)),"")</f>
        <v>0</v>
      </c>
      <c r="F79">
        <f t="array" ref="F79">IFERROR(INDEX($S$224:$S$623,MATCH(LARGE($M$224:$M$623+ROW($M$224:$M$623)/1000000,ROW()-72),$M$224:$M$623+ROW($M$224:$M$623)/1000000,0)),"")</f>
        <v>0</v>
      </c>
      <c r="G79" s="272">
        <f t="shared" si="2"/>
        <v>0</v>
      </c>
      <c r="H79" s="272">
        <f t="shared" si="3"/>
        <v>0</v>
      </c>
      <c r="I79" s="400" t="s">
        <v>1042</v>
      </c>
      <c r="J79" s="273">
        <v>0</v>
      </c>
      <c r="K79" s="273">
        <v>0</v>
      </c>
    </row>
    <row r="80" spans="1:22" ht="15" customHeight="1" outlineLevel="1" x14ac:dyDescent="0.25">
      <c r="A80" s="271">
        <v>7</v>
      </c>
      <c r="B80">
        <f t="array" ref="B80">IFERROR(INDEX($A$224:$A$623,MATCH(LARGE($M$224:$M$623+ROW($M$224:$M$623)/1000000,ROW()-72),$M$224:$M$623+ROW($M$224:$M$623)/1000000,0)),"")</f>
        <v>0</v>
      </c>
      <c r="C80">
        <f t="array" ref="C80">IFERROR(INDEX($B$224:$B$623,MATCH(LARGE($M$224:$M$623+ROW($M$224:$M$623)/1000000,ROW()-72),$M$224:$M$623+ROW($M$224:$M$623)/1000000,0)),"")</f>
        <v>0</v>
      </c>
      <c r="D80">
        <f t="array" ref="D80">IFERROR(INDEX($F$224:$F$623,MATCH(LARGE($M$224:$M$623+ROW($M$224:$M$623)/1000000,ROW()-72),$M$224:$M$623+ROW($M$224:$M$623)/1000000,0)),"")</f>
        <v>0</v>
      </c>
      <c r="E80">
        <f t="array" ref="E80">IFERROR(INDEX($C$224:$C$623,MATCH(LARGE($M$224:$M$623+ROW($M$224:$M$623)/1000000,ROW()-72),$M$224:$M$623+ROW($M$224:$M$623)/1000000,0)),"")</f>
        <v>0</v>
      </c>
      <c r="F80">
        <f t="array" ref="F80">IFERROR(INDEX($S$224:$S$623,MATCH(LARGE($M$224:$M$623+ROW($M$224:$M$623)/1000000,ROW()-72),$M$224:$M$623+ROW($M$224:$M$623)/1000000,0)),"")</f>
        <v>0</v>
      </c>
      <c r="G80" s="272">
        <f t="shared" si="2"/>
        <v>0</v>
      </c>
      <c r="H80" s="272">
        <f t="shared" si="3"/>
        <v>0</v>
      </c>
      <c r="I80" s="400" t="s">
        <v>1042</v>
      </c>
      <c r="J80" s="273">
        <v>0</v>
      </c>
      <c r="K80" s="273">
        <v>0</v>
      </c>
    </row>
    <row r="81" spans="1:22" ht="15" customHeight="1" outlineLevel="1" x14ac:dyDescent="0.25">
      <c r="A81" s="271">
        <v>8</v>
      </c>
      <c r="B81">
        <f t="array" ref="B81">IFERROR(INDEX($A$224:$A$623,MATCH(LARGE($M$224:$M$623+ROW($M$224:$M$623)/1000000,ROW()-72),$M$224:$M$623+ROW($M$224:$M$623)/1000000,0)),"")</f>
        <v>0</v>
      </c>
      <c r="C81">
        <f t="array" ref="C81">IFERROR(INDEX($B$224:$B$623,MATCH(LARGE($M$224:$M$623+ROW($M$224:$M$623)/1000000,ROW()-72),$M$224:$M$623+ROW($M$224:$M$623)/1000000,0)),"")</f>
        <v>0</v>
      </c>
      <c r="D81">
        <f t="array" ref="D81">IFERROR(INDEX($F$224:$F$623,MATCH(LARGE($M$224:$M$623+ROW($M$224:$M$623)/1000000,ROW()-72),$M$224:$M$623+ROW($M$224:$M$623)/1000000,0)),"")</f>
        <v>0</v>
      </c>
      <c r="E81">
        <f t="array" ref="E81">IFERROR(INDEX($C$224:$C$623,MATCH(LARGE($M$224:$M$623+ROW($M$224:$M$623)/1000000,ROW()-72),$M$224:$M$623+ROW($M$224:$M$623)/1000000,0)),"")</f>
        <v>0</v>
      </c>
      <c r="F81">
        <f t="array" ref="F81">IFERROR(INDEX($S$224:$S$623,MATCH(LARGE($M$224:$M$623+ROW($M$224:$M$623)/1000000,ROW()-72),$M$224:$M$623+ROW($M$224:$M$623)/1000000,0)),"")</f>
        <v>0</v>
      </c>
      <c r="G81" s="272">
        <f t="shared" si="2"/>
        <v>0</v>
      </c>
      <c r="H81" s="272">
        <f t="shared" si="3"/>
        <v>0</v>
      </c>
      <c r="I81" s="400" t="s">
        <v>1042</v>
      </c>
      <c r="J81" s="273">
        <v>0</v>
      </c>
      <c r="K81" s="273">
        <v>0</v>
      </c>
    </row>
    <row r="82" spans="1:22" ht="15" customHeight="1" outlineLevel="1" x14ac:dyDescent="0.25">
      <c r="A82" s="271">
        <v>9</v>
      </c>
      <c r="B82">
        <f t="array" ref="B82">IFERROR(INDEX($A$224:$A$623,MATCH(LARGE($M$224:$M$623+ROW($M$224:$M$623)/1000000,ROW()-72),$M$224:$M$623+ROW($M$224:$M$623)/1000000,0)),"")</f>
        <v>0</v>
      </c>
      <c r="C82">
        <f t="array" ref="C82">IFERROR(INDEX($B$224:$B$623,MATCH(LARGE($M$224:$M$623+ROW($M$224:$M$623)/1000000,ROW()-72),$M$224:$M$623+ROW($M$224:$M$623)/1000000,0)),"")</f>
        <v>0</v>
      </c>
      <c r="D82">
        <f t="array" ref="D82">IFERROR(INDEX($F$224:$F$623,MATCH(LARGE($M$224:$M$623+ROW($M$224:$M$623)/1000000,ROW()-72),$M$224:$M$623+ROW($M$224:$M$623)/1000000,0)),"")</f>
        <v>0</v>
      </c>
      <c r="E82">
        <f t="array" ref="E82">IFERROR(INDEX($C$224:$C$623,MATCH(LARGE($M$224:$M$623+ROW($M$224:$M$623)/1000000,ROW()-72),$M$224:$M$623+ROW($M$224:$M$623)/1000000,0)),"")</f>
        <v>0</v>
      </c>
      <c r="F82">
        <f t="array" ref="F82">IFERROR(INDEX($S$224:$S$623,MATCH(LARGE($M$224:$M$623+ROW($M$224:$M$623)/1000000,ROW()-72),$M$224:$M$623+ROW($M$224:$M$623)/1000000,0)),"")</f>
        <v>0</v>
      </c>
      <c r="G82" s="272">
        <f t="shared" si="2"/>
        <v>0</v>
      </c>
      <c r="H82" s="272">
        <f t="shared" si="3"/>
        <v>0</v>
      </c>
      <c r="I82" s="400" t="s">
        <v>1042</v>
      </c>
      <c r="J82" s="273">
        <v>0</v>
      </c>
      <c r="K82" s="273">
        <v>0</v>
      </c>
    </row>
    <row r="83" spans="1:22" ht="15" customHeight="1" outlineLevel="1" x14ac:dyDescent="0.25">
      <c r="A83" s="271">
        <v>10</v>
      </c>
      <c r="B83">
        <f t="array" ref="B83">IFERROR(INDEX($A$224:$A$623,MATCH(LARGE($M$224:$M$623+ROW($M$224:$M$623)/1000000,ROW()-72),$M$224:$M$623+ROW($M$224:$M$623)/1000000,0)),"")</f>
        <v>0</v>
      </c>
      <c r="C83">
        <f t="array" ref="C83">IFERROR(INDEX($B$224:$B$623,MATCH(LARGE($M$224:$M$623+ROW($M$224:$M$623)/1000000,ROW()-72),$M$224:$M$623+ROW($M$224:$M$623)/1000000,0)),"")</f>
        <v>0</v>
      </c>
      <c r="D83">
        <f t="array" ref="D83">IFERROR(INDEX($F$224:$F$623,MATCH(LARGE($M$224:$M$623+ROW($M$224:$M$623)/1000000,ROW()-72),$M$224:$M$623+ROW($M$224:$M$623)/1000000,0)),"")</f>
        <v>0</v>
      </c>
      <c r="E83">
        <f t="array" ref="E83">IFERROR(INDEX($C$224:$C$623,MATCH(LARGE($M$224:$M$623+ROW($M$224:$M$623)/1000000,ROW()-72),$M$224:$M$623+ROW($M$224:$M$623)/1000000,0)),"")</f>
        <v>0</v>
      </c>
      <c r="F83">
        <f t="array" ref="F83">IFERROR(INDEX($S$224:$S$623,MATCH(LARGE($M$224:$M$623+ROW($M$224:$M$623)/1000000,ROW()-72),$M$224:$M$623+ROW($M$224:$M$623)/1000000,0)),"")</f>
        <v>0</v>
      </c>
      <c r="G83" s="272">
        <f t="shared" si="2"/>
        <v>0</v>
      </c>
      <c r="H83" s="272">
        <f t="shared" si="3"/>
        <v>0</v>
      </c>
      <c r="I83" s="400" t="s">
        <v>1042</v>
      </c>
      <c r="J83" s="273">
        <v>0</v>
      </c>
      <c r="K83" s="273">
        <v>0</v>
      </c>
    </row>
    <row r="84" spans="1:22" ht="15" customHeight="1" outlineLevel="1" x14ac:dyDescent="0.25">
      <c r="A84" s="271" t="s">
        <v>1043</v>
      </c>
      <c r="G84" s="297">
        <f>SUM(G74:G83)</f>
        <v>0</v>
      </c>
      <c r="H84" s="401">
        <v>0</v>
      </c>
      <c r="I84" s="402">
        <v>0</v>
      </c>
      <c r="J84" s="401">
        <v>0</v>
      </c>
      <c r="K84" s="401">
        <v>0</v>
      </c>
    </row>
    <row r="85" spans="1:22" ht="15" customHeight="1" outlineLevel="1" x14ac:dyDescent="0.25">
      <c r="A85" s="266" t="s">
        <v>1044</v>
      </c>
      <c r="G85" s="398">
        <f>IFERROR(G84/MAX(SUM($M$224:$M$623),1),0)</f>
        <v>0</v>
      </c>
      <c r="I85" s="398">
        <v>0</v>
      </c>
    </row>
    <row r="86" spans="1:22" ht="15" customHeight="1" outlineLevel="1" x14ac:dyDescent="0.25">
      <c r="A86" s="266" t="s">
        <v>1045</v>
      </c>
      <c r="B86" s="397">
        <f t="array" ref="B86">SUMPRODUCT((LEFT($T$224:$T$623,2)="✱✱")*1)</f>
        <v>0</v>
      </c>
      <c r="C86" s="266" t="s">
        <v>1046</v>
      </c>
      <c r="D86" s="297">
        <f>SUMIFS($M$224:$M$623,$T$224:$T$623,"✱✱*")</f>
        <v>0</v>
      </c>
      <c r="F86" s="403">
        <f>IFERROR(D86/MAX(SUM($M$224:$M$623),1),0)</f>
        <v>0</v>
      </c>
      <c r="G86" s="404">
        <v>0</v>
      </c>
    </row>
    <row r="87" spans="1:22" ht="15" customHeight="1" outlineLevel="1" x14ac:dyDescent="0.25">
      <c r="A87" s="386"/>
      <c r="B87" s="386"/>
      <c r="C87" s="386"/>
      <c r="D87" s="386"/>
      <c r="E87" s="386"/>
      <c r="F87" s="386"/>
      <c r="G87" s="386"/>
      <c r="H87" s="386"/>
      <c r="I87" s="386"/>
      <c r="J87" s="386"/>
      <c r="K87" s="386"/>
      <c r="L87" s="386"/>
      <c r="M87" s="386"/>
      <c r="N87" s="386"/>
    </row>
    <row r="88" spans="1:22" ht="21.75" customHeight="1" x14ac:dyDescent="0.25">
      <c r="A88" s="834" t="s">
        <v>1047</v>
      </c>
      <c r="B88" s="798"/>
      <c r="C88" s="798"/>
      <c r="D88" s="798"/>
      <c r="E88" s="798"/>
      <c r="F88" s="798"/>
      <c r="G88" s="798"/>
      <c r="H88" s="798"/>
      <c r="I88" s="798"/>
      <c r="J88" s="798"/>
      <c r="K88" s="798"/>
      <c r="L88" s="798"/>
      <c r="M88" s="798"/>
      <c r="N88" s="798"/>
      <c r="O88" s="798"/>
      <c r="P88" s="798"/>
      <c r="Q88" s="798"/>
      <c r="R88" s="798"/>
      <c r="S88" s="798"/>
      <c r="T88" s="798"/>
      <c r="U88" s="798"/>
      <c r="V88" s="798"/>
    </row>
    <row r="89" spans="1:22" ht="15" customHeight="1" outlineLevel="1" x14ac:dyDescent="0.25">
      <c r="A89" s="816" t="s">
        <v>1048</v>
      </c>
      <c r="B89" s="798"/>
      <c r="C89" s="798"/>
      <c r="D89" s="798"/>
      <c r="E89" s="798"/>
      <c r="F89" s="798"/>
      <c r="G89" s="798"/>
      <c r="H89" s="798"/>
      <c r="I89" s="798"/>
      <c r="J89" s="798"/>
      <c r="K89" s="798"/>
      <c r="L89" s="798"/>
    </row>
    <row r="90" spans="1:22" ht="15" customHeight="1" outlineLevel="1" x14ac:dyDescent="0.25">
      <c r="A90" s="392" t="s">
        <v>1049</v>
      </c>
      <c r="B90" s="393" t="s">
        <v>1050</v>
      </c>
      <c r="C90" s="393" t="s">
        <v>1051</v>
      </c>
      <c r="D90" s="393" t="s">
        <v>1052</v>
      </c>
      <c r="E90" s="393" t="s">
        <v>1053</v>
      </c>
    </row>
    <row r="91" spans="1:22" ht="15" customHeight="1" outlineLevel="1" x14ac:dyDescent="0.25">
      <c r="A91" s="271" t="s">
        <v>1054</v>
      </c>
      <c r="B91" s="309">
        <f t="array" aca="1" ref="B91" ca="1">SUMPRODUCT(($G$224:$G$623&gt;=TODAY()-30)*($G$224:$G$623&lt;&gt;""))</f>
        <v>0</v>
      </c>
      <c r="C91" s="272">
        <f t="array" aca="1" ref="C91" ca="1">IFERROR(SUMPRODUCT(($G$224:$G$623&gt;=TODAY()-30)*($G$224:$G$623&lt;&gt;"")*$L$224:$L$623)/MAX(B91,1),0)</f>
        <v>0</v>
      </c>
      <c r="D91" s="309">
        <f ca="1">B91*(365/30)</f>
        <v>0</v>
      </c>
      <c r="E91" s="405">
        <f ca="1">IFERROR((COUNTIFS($E$224:$E$623,"Vacant")+COUNTIFS($E$224:$E$623,"Vacant - Available")+COUNTIFS($E$224:$E$623,"Vacant - Not Turned"))/MAX(D91,0.001)*12,0)</f>
        <v>0</v>
      </c>
    </row>
    <row r="92" spans="1:22" ht="15" customHeight="1" outlineLevel="1" x14ac:dyDescent="0.25">
      <c r="A92" s="271" t="s">
        <v>1055</v>
      </c>
      <c r="B92" s="309">
        <f t="array" aca="1" ref="B92" ca="1">SUMPRODUCT(($G$224:$G$623&gt;=TODAY()-60)*($G$224:$G$623&lt;&gt;""))</f>
        <v>0</v>
      </c>
      <c r="C92" s="272">
        <f t="array" aca="1" ref="C92" ca="1">IFERROR(SUMPRODUCT(($G$224:$G$623&gt;=TODAY()-60)*($G$224:$G$623&lt;&gt;"")*$L$224:$L$623)/MAX(B92,1),0)</f>
        <v>0</v>
      </c>
      <c r="D92" s="309">
        <f ca="1">B92*(365/60)</f>
        <v>0</v>
      </c>
      <c r="E92" s="405">
        <f ca="1">IFERROR((COUNTIFS($E$224:$E$623,"Vacant")+COUNTIFS($E$224:$E$623,"Vacant - Available")+COUNTIFS($E$224:$E$623,"Vacant - Not Turned"))/MAX(D92,0.001)*12,0)</f>
        <v>0</v>
      </c>
    </row>
    <row r="93" spans="1:22" ht="15" customHeight="1" outlineLevel="1" x14ac:dyDescent="0.25">
      <c r="A93" s="271" t="s">
        <v>1056</v>
      </c>
      <c r="B93" s="309">
        <f t="array" aca="1" ref="B93" ca="1">SUMPRODUCT(($G$224:$G$623&gt;=TODAY()-90)*($G$224:$G$623&lt;&gt;""))</f>
        <v>0</v>
      </c>
      <c r="C93" s="272">
        <f t="array" aca="1" ref="C93" ca="1">IFERROR(SUMPRODUCT(($G$224:$G$623&gt;=TODAY()-90)*($G$224:$G$623&lt;&gt;"")*$L$224:$L$623)/MAX(B93,1),0)</f>
        <v>0</v>
      </c>
      <c r="D93" s="309">
        <f ca="1">B93*(365/90)</f>
        <v>0</v>
      </c>
      <c r="E93" s="405">
        <f ca="1">IFERROR((COUNTIFS($E$224:$E$623,"Vacant")+COUNTIFS($E$224:$E$623,"Vacant - Available")+COUNTIFS($E$224:$E$623,"Vacant - Not Turned"))/MAX(D93,0.001)*12,0)</f>
        <v>0</v>
      </c>
    </row>
    <row r="94" spans="1:22" ht="15" customHeight="1" outlineLevel="1" x14ac:dyDescent="0.25">
      <c r="A94" s="271" t="s">
        <v>1057</v>
      </c>
      <c r="B94" s="309">
        <f t="array" aca="1" ref="B94" ca="1">SUMPRODUCT(($G$224:$G$623&gt;=TODAY()-180)*($G$224:$G$623&lt;&gt;""))</f>
        <v>0</v>
      </c>
      <c r="C94" s="272">
        <f t="array" aca="1" ref="C94" ca="1">IFERROR(SUMPRODUCT(($G$224:$G$623&gt;=TODAY()-180)*($G$224:$G$623&lt;&gt;"")*$L$224:$L$623)/MAX(B94,1),0)</f>
        <v>0</v>
      </c>
      <c r="D94" s="309">
        <f ca="1">B94*(365/180)</f>
        <v>0</v>
      </c>
      <c r="E94" s="405">
        <f ca="1">IFERROR((COUNTIFS($E$224:$E$623,"Vacant")+COUNTIFS($E$224:$E$623,"Vacant - Available")+COUNTIFS($E$224:$E$623,"Vacant - Not Turned"))/MAX(D94,0.001)*12,0)</f>
        <v>0</v>
      </c>
    </row>
    <row r="95" spans="1:22" ht="15" customHeight="1" outlineLevel="1" x14ac:dyDescent="0.25"/>
    <row r="96" spans="1:22" ht="15" customHeight="1" outlineLevel="1" x14ac:dyDescent="0.25">
      <c r="A96" s="386"/>
      <c r="B96" s="386"/>
      <c r="C96" s="386"/>
      <c r="D96" s="386"/>
      <c r="E96" s="386"/>
      <c r="F96" s="386"/>
      <c r="G96" s="386"/>
      <c r="H96" s="386"/>
      <c r="I96" s="386"/>
      <c r="J96" s="386"/>
      <c r="K96" s="386"/>
      <c r="L96" s="386"/>
      <c r="M96" s="386"/>
      <c r="N96" s="386"/>
    </row>
    <row r="97" spans="1:22" ht="21.75" customHeight="1" x14ac:dyDescent="0.25">
      <c r="A97" s="830" t="s">
        <v>1058</v>
      </c>
      <c r="B97" s="798"/>
      <c r="C97" s="798"/>
      <c r="D97" s="798"/>
      <c r="E97" s="798"/>
      <c r="F97" s="798"/>
      <c r="G97" s="798"/>
      <c r="H97" s="798"/>
      <c r="I97" s="798"/>
      <c r="J97" s="798"/>
      <c r="K97" s="798"/>
      <c r="L97" s="798"/>
      <c r="M97" s="798"/>
      <c r="N97" s="798"/>
      <c r="O97" s="798"/>
      <c r="P97" s="798"/>
      <c r="Q97" s="798"/>
      <c r="R97" s="798"/>
      <c r="S97" s="798"/>
      <c r="T97" s="798"/>
      <c r="U97" s="798"/>
      <c r="V97" s="798"/>
    </row>
    <row r="98" spans="1:22" ht="15" customHeight="1" outlineLevel="1" x14ac:dyDescent="0.25">
      <c r="A98" s="816" t="s">
        <v>1059</v>
      </c>
      <c r="B98" s="798"/>
      <c r="C98" s="798"/>
      <c r="D98" s="798"/>
      <c r="E98" s="798"/>
      <c r="F98" s="798"/>
      <c r="G98" s="798"/>
      <c r="H98" s="798"/>
      <c r="I98" s="798"/>
      <c r="J98" s="798"/>
      <c r="K98" s="798"/>
      <c r="L98" s="798"/>
    </row>
    <row r="99" spans="1:22" ht="15" customHeight="1" outlineLevel="1" x14ac:dyDescent="0.25">
      <c r="A99" s="282" t="s">
        <v>1038</v>
      </c>
      <c r="B99" s="284" t="s">
        <v>983</v>
      </c>
      <c r="C99" s="284" t="s">
        <v>984</v>
      </c>
      <c r="D99" s="284" t="s">
        <v>1060</v>
      </c>
      <c r="E99" s="284" t="s">
        <v>1061</v>
      </c>
      <c r="F99" s="284" t="s">
        <v>1062</v>
      </c>
      <c r="G99" s="284" t="s">
        <v>1063</v>
      </c>
      <c r="H99" s="284" t="s">
        <v>1064</v>
      </c>
    </row>
    <row r="100" spans="1:22" ht="15" customHeight="1" outlineLevel="1" x14ac:dyDescent="0.25">
      <c r="A100" s="271" t="s">
        <v>1065</v>
      </c>
      <c r="B100" s="309">
        <f>COUNTIF($S$224:$S$623,"Private Pay")</f>
        <v>0</v>
      </c>
      <c r="C100" s="388">
        <f t="shared" ref="C100:C105" si="4">IFERROR(B100/MAX(COUNTIF($E$224:$E$623,"Occupied")+COUNTIF($E$224:$E$623,"Notice"),1),0)</f>
        <v>0</v>
      </c>
      <c r="D100" s="272">
        <f>SUMIF($S$224:$S$623,"Private Pay",$L$224:$L$623)</f>
        <v>0</v>
      </c>
      <c r="E100" s="272">
        <f t="shared" ref="E100:E105" si="5">D100*12</f>
        <v>0</v>
      </c>
      <c r="F100" s="388">
        <f t="shared" ref="F100:F105" si="6">IFERROR(D100/MAX(SUM($L$224:$L$623),1),0)</f>
        <v>0</v>
      </c>
      <c r="G100" s="273">
        <v>0</v>
      </c>
      <c r="H100" s="264" t="s">
        <v>1066</v>
      </c>
    </row>
    <row r="101" spans="1:22" ht="15" customHeight="1" outlineLevel="1" x14ac:dyDescent="0.25">
      <c r="A101" s="271" t="s">
        <v>1067</v>
      </c>
      <c r="B101" s="309">
        <f>COUNTIF($S$224:$S$623,"Medicaid")</f>
        <v>0</v>
      </c>
      <c r="C101" s="388">
        <f t="shared" si="4"/>
        <v>0</v>
      </c>
      <c r="D101" s="272">
        <f>SUMIF($S$224:$S$623,"Medicaid",$L$224:$L$623)</f>
        <v>0</v>
      </c>
      <c r="E101" s="272">
        <f t="shared" si="5"/>
        <v>0</v>
      </c>
      <c r="F101" s="388">
        <f t="shared" si="6"/>
        <v>0</v>
      </c>
      <c r="G101" s="273">
        <v>0</v>
      </c>
      <c r="H101" s="264" t="s">
        <v>1068</v>
      </c>
    </row>
    <row r="102" spans="1:22" ht="15" customHeight="1" outlineLevel="1" x14ac:dyDescent="0.25">
      <c r="A102" s="271" t="s">
        <v>1069</v>
      </c>
      <c r="B102" s="309">
        <f>COUNTIF($S$224:$S$623,"Medicare")</f>
        <v>0</v>
      </c>
      <c r="C102" s="388">
        <f t="shared" si="4"/>
        <v>0</v>
      </c>
      <c r="D102" s="272">
        <f>SUMIF($S$224:$S$623,"Medicare",$L$224:$L$623)</f>
        <v>0</v>
      </c>
      <c r="E102" s="272">
        <f t="shared" si="5"/>
        <v>0</v>
      </c>
      <c r="F102" s="388">
        <f t="shared" si="6"/>
        <v>0</v>
      </c>
      <c r="G102" s="273">
        <v>0</v>
      </c>
      <c r="H102" s="264" t="s">
        <v>1070</v>
      </c>
    </row>
    <row r="103" spans="1:22" ht="15" customHeight="1" outlineLevel="1" x14ac:dyDescent="0.25">
      <c r="A103" s="271" t="s">
        <v>1071</v>
      </c>
      <c r="B103" s="309">
        <f>COUNTIF($S$224:$S$623,"VA*")</f>
        <v>0</v>
      </c>
      <c r="C103" s="388">
        <f t="shared" si="4"/>
        <v>0</v>
      </c>
      <c r="D103" s="272">
        <f>SUMIF($S$224:$S$623,"VA*",$L$224:$L$623)</f>
        <v>0</v>
      </c>
      <c r="E103" s="272">
        <f t="shared" si="5"/>
        <v>0</v>
      </c>
      <c r="F103" s="388">
        <f t="shared" si="6"/>
        <v>0</v>
      </c>
      <c r="G103" s="273">
        <v>0</v>
      </c>
      <c r="H103" s="264" t="s">
        <v>1068</v>
      </c>
    </row>
    <row r="104" spans="1:22" ht="15" customHeight="1" outlineLevel="1" x14ac:dyDescent="0.25">
      <c r="A104" s="271" t="s">
        <v>1072</v>
      </c>
      <c r="B104" s="309">
        <f>COUNTIF($S$224:$S$623,"LTC*")</f>
        <v>0</v>
      </c>
      <c r="C104" s="388">
        <f t="shared" si="4"/>
        <v>0</v>
      </c>
      <c r="D104" s="272">
        <f>SUMIF($S$224:$S$623,"LTC*",$L$224:$L$623)</f>
        <v>0</v>
      </c>
      <c r="E104" s="272">
        <f t="shared" si="5"/>
        <v>0</v>
      </c>
      <c r="F104" s="388">
        <f t="shared" si="6"/>
        <v>0</v>
      </c>
      <c r="G104" s="273">
        <v>0</v>
      </c>
      <c r="H104" s="264" t="s">
        <v>1073</v>
      </c>
    </row>
    <row r="105" spans="1:22" ht="15" customHeight="1" outlineLevel="1" x14ac:dyDescent="0.25">
      <c r="A105" s="271" t="s">
        <v>1074</v>
      </c>
      <c r="B105" s="309">
        <f>COUNTIFS($E$224:$E$623,"Occupied")+COUNTIFS($E$224:$E$623,"Notice")-SUM(B100:B104)</f>
        <v>0</v>
      </c>
      <c r="C105" s="388">
        <f t="shared" si="4"/>
        <v>0</v>
      </c>
      <c r="D105" s="272">
        <f>SUMIFS($L$224:$L$623,$E$224:$E$623,"Occupied")+SUMIFS($L$224:$L$623,$E$224:$E$623,"Notice")-SUM(D100:D104)</f>
        <v>0</v>
      </c>
      <c r="E105" s="272">
        <f t="shared" si="5"/>
        <v>0</v>
      </c>
      <c r="F105" s="388">
        <f t="shared" si="6"/>
        <v>0</v>
      </c>
      <c r="G105" s="273">
        <v>0</v>
      </c>
      <c r="H105" s="264"/>
    </row>
    <row r="106" spans="1:22" ht="15" customHeight="1" outlineLevel="1" x14ac:dyDescent="0.25">
      <c r="A106" s="288" t="s">
        <v>107</v>
      </c>
      <c r="B106" s="389">
        <f>SUM(B100:B105)</f>
        <v>0</v>
      </c>
      <c r="C106" s="390">
        <f>SUM(C100:C105)</f>
        <v>0</v>
      </c>
      <c r="D106" s="391">
        <f>SUM(D100:D105)</f>
        <v>0</v>
      </c>
      <c r="E106" s="391">
        <f>SUM(E100:E105)</f>
        <v>0</v>
      </c>
      <c r="F106" s="390">
        <f>SUM(F100:F105)</f>
        <v>0</v>
      </c>
      <c r="G106" s="406">
        <v>0</v>
      </c>
      <c r="H106" s="264"/>
    </row>
    <row r="107" spans="1:22" ht="15" customHeight="1" outlineLevel="1" x14ac:dyDescent="0.25"/>
    <row r="108" spans="1:22" ht="15" customHeight="1" outlineLevel="1" x14ac:dyDescent="0.25">
      <c r="A108" s="266" t="s">
        <v>1075</v>
      </c>
      <c r="B108" s="398">
        <f>C100</f>
        <v>0</v>
      </c>
      <c r="D108" s="266" t="s">
        <v>1076</v>
      </c>
      <c r="E108" s="398">
        <f>C101+C102+C103</f>
        <v>0</v>
      </c>
    </row>
    <row r="109" spans="1:22" ht="15" customHeight="1" outlineLevel="1" x14ac:dyDescent="0.25">
      <c r="A109" s="386"/>
      <c r="B109" s="386"/>
      <c r="C109" s="386"/>
      <c r="D109" s="386"/>
      <c r="E109" s="386"/>
      <c r="F109" s="386"/>
      <c r="G109" s="386"/>
      <c r="H109" s="386"/>
      <c r="I109" s="386"/>
      <c r="J109" s="386"/>
      <c r="K109" s="386"/>
      <c r="L109" s="386"/>
      <c r="M109" s="386"/>
      <c r="N109" s="386"/>
    </row>
    <row r="110" spans="1:22" ht="21.75" customHeight="1" x14ac:dyDescent="0.25">
      <c r="A110" s="834" t="s">
        <v>1077</v>
      </c>
      <c r="B110" s="798"/>
      <c r="C110" s="798"/>
      <c r="D110" s="798"/>
      <c r="E110" s="798"/>
      <c r="F110" s="798"/>
      <c r="G110" s="798"/>
      <c r="H110" s="798"/>
      <c r="I110" s="798"/>
      <c r="J110" s="798"/>
      <c r="K110" s="798"/>
      <c r="L110" s="798"/>
      <c r="M110" s="798"/>
      <c r="N110" s="798"/>
      <c r="O110" s="798"/>
      <c r="P110" s="798"/>
      <c r="Q110" s="798"/>
      <c r="R110" s="798"/>
      <c r="S110" s="798"/>
      <c r="T110" s="798"/>
      <c r="U110" s="798"/>
      <c r="V110" s="798"/>
    </row>
    <row r="111" spans="1:22" ht="15" customHeight="1" outlineLevel="1" x14ac:dyDescent="0.25">
      <c r="A111" s="816" t="s">
        <v>1078</v>
      </c>
      <c r="B111" s="798"/>
      <c r="C111" s="798"/>
      <c r="D111" s="798"/>
      <c r="E111" s="798"/>
      <c r="F111" s="798"/>
      <c r="G111" s="798"/>
      <c r="H111" s="798"/>
      <c r="I111" s="798"/>
      <c r="J111" s="798"/>
      <c r="K111" s="798"/>
      <c r="L111" s="798"/>
    </row>
    <row r="112" spans="1:22" ht="15" customHeight="1" outlineLevel="1" x14ac:dyDescent="0.25">
      <c r="A112" s="392" t="s">
        <v>930</v>
      </c>
      <c r="B112" s="393" t="s">
        <v>1079</v>
      </c>
      <c r="C112" s="393" t="s">
        <v>985</v>
      </c>
      <c r="D112" s="393" t="s">
        <v>986</v>
      </c>
      <c r="E112" s="393" t="s">
        <v>1080</v>
      </c>
      <c r="F112" s="393" t="s">
        <v>1081</v>
      </c>
      <c r="G112" s="393" t="s">
        <v>1082</v>
      </c>
      <c r="H112" s="393" t="s">
        <v>1083</v>
      </c>
    </row>
    <row r="113" spans="1:22" ht="15" customHeight="1" outlineLevel="1" x14ac:dyDescent="0.25">
      <c r="A113" s="271" t="s">
        <v>938</v>
      </c>
      <c r="B113" s="309">
        <f>COUNTIFS($C$224:$C$623,"IL",$E$224:$E$623,"Occupied")+COUNTIFS($C$224:$C$623,"IL",$E$224:$E$623,"Notice")</f>
        <v>0</v>
      </c>
      <c r="C113" s="272">
        <f>IFERROR(SUMIFS($L$224:$L$623,$C$224:$C$623,"IL",$E$224:$E$623,"Occupied")/MAX(COUNTIFS($C$224:$C$623,"IL",$E$224:$E$623,"Occupied"),1),0)</f>
        <v>0</v>
      </c>
      <c r="D113" s="272">
        <f>IFERROR(SUMIFS($I$224:$I$623,$C$224:$C$623,"IL")/MAX(COUNTIF($C$224:$C$623,"IL"),1),0)</f>
        <v>0</v>
      </c>
      <c r="E113" s="272">
        <f>MAX(D113-C113,0)*B113</f>
        <v>0</v>
      </c>
      <c r="F113" s="388">
        <f>IFERROR((D113-C113)/MAX(D113,1),0)</f>
        <v>0</v>
      </c>
      <c r="G113" s="273">
        <v>0</v>
      </c>
      <c r="H113" s="264" t="s">
        <v>1084</v>
      </c>
    </row>
    <row r="114" spans="1:22" ht="15" customHeight="1" outlineLevel="1" x14ac:dyDescent="0.25">
      <c r="A114" s="271" t="s">
        <v>939</v>
      </c>
      <c r="B114" s="309">
        <f>COUNTIFS($C$224:$C$623,"AL",$E$224:$E$623,"Occupied")+COUNTIFS($C$224:$C$623,"AL",$E$224:$E$623,"Notice")</f>
        <v>0</v>
      </c>
      <c r="C114" s="272">
        <f>IFERROR(SUMIFS($L$224:$L$623,$C$224:$C$623,"AL",$E$224:$E$623,"Occupied")/MAX(COUNTIFS($C$224:$C$623,"AL",$E$224:$E$623,"Occupied"),1),0)</f>
        <v>0</v>
      </c>
      <c r="D114" s="272">
        <f>IFERROR(SUMIFS($I$224:$I$623,$C$224:$C$623,"AL")/MAX(COUNTIF($C$224:$C$623,"AL"),1),0)</f>
        <v>0</v>
      </c>
      <c r="E114" s="272">
        <f>MAX(D114-C114,0)*B114</f>
        <v>0</v>
      </c>
      <c r="F114" s="388">
        <f>IFERROR((D114-C114)/MAX(D114,1),0)</f>
        <v>0</v>
      </c>
      <c r="G114" s="273">
        <v>0</v>
      </c>
      <c r="H114" s="264" t="s">
        <v>1084</v>
      </c>
    </row>
    <row r="115" spans="1:22" ht="15" customHeight="1" outlineLevel="1" x14ac:dyDescent="0.25">
      <c r="A115" s="271" t="s">
        <v>940</v>
      </c>
      <c r="B115" s="309">
        <f>COUNTIFS($C$224:$C$623,"MC",$E$224:$E$623,"Occupied")+COUNTIFS($C$224:$C$623,"MC",$E$224:$E$623,"Notice")</f>
        <v>0</v>
      </c>
      <c r="C115" s="272">
        <f>IFERROR(SUMIFS($L$224:$L$623,$C$224:$C$623,"MC",$E$224:$E$623,"Occupied")/MAX(COUNTIFS($C$224:$C$623,"MC",$E$224:$E$623,"Occupied"),1),0)</f>
        <v>0</v>
      </c>
      <c r="D115" s="272">
        <f>IFERROR(SUMIFS($I$224:$I$623,$C$224:$C$623,"MC")/MAX(COUNTIF($C$224:$C$623,"MC"),1),0)</f>
        <v>0</v>
      </c>
      <c r="E115" s="272">
        <f>MAX(D115-C115,0)*B115</f>
        <v>0</v>
      </c>
      <c r="F115" s="388">
        <f>IFERROR((D115-C115)/MAX(D115,1),0)</f>
        <v>0</v>
      </c>
      <c r="G115" s="273">
        <v>0</v>
      </c>
      <c r="H115" s="264" t="s">
        <v>1084</v>
      </c>
    </row>
    <row r="116" spans="1:22" ht="15" customHeight="1" outlineLevel="1" x14ac:dyDescent="0.25">
      <c r="A116" s="271" t="str">
        <f>'Prop Info'!$D$13&amp;" — Other Care"</f>
        <v xml:space="preserve"> — Other Care</v>
      </c>
      <c r="B116" s="309">
        <f>COUNTIFS($C$224:$C$623,"OTH",$E$224:$E$623,"Occupied")+COUNTIFS($C$224:$C$623,"OTH",$E$224:$E$623,"Notice")</f>
        <v>0</v>
      </c>
      <c r="C116" s="272">
        <f>IFERROR(SUMIFS($L$224:$L$623,$C$224:$C$623,"OTH",$E$224:$E$623,"Occupied")/MAX(COUNTIFS($C$224:$C$623,"OTH",$E$224:$E$623,"Occupied"),1),0)</f>
        <v>0</v>
      </c>
      <c r="D116" s="272">
        <f>IFERROR(SUMIFS($I$224:$I$623,$C$224:$C$623,"OTH")/MAX(COUNTIF($C$224:$C$623,"OTH"),1),0)</f>
        <v>0</v>
      </c>
      <c r="E116" s="272">
        <f>MAX(D116-C116,0)*B116</f>
        <v>0</v>
      </c>
      <c r="F116" s="388">
        <f>IFERROR((D116-C116)/MAX(D116,1),0)</f>
        <v>0</v>
      </c>
      <c r="G116" s="273">
        <v>0</v>
      </c>
      <c r="H116" s="264" t="s">
        <v>1084</v>
      </c>
    </row>
    <row r="117" spans="1:22" ht="15" customHeight="1" outlineLevel="1" x14ac:dyDescent="0.25">
      <c r="A117" s="288" t="s">
        <v>107</v>
      </c>
      <c r="B117" s="389">
        <f>SUM(B113:B116)</f>
        <v>0</v>
      </c>
      <c r="C117" s="391">
        <f>IFERROR(SUMIFS($L$224:$L$623,$E$224:$E$623,"Occupied")/MAX(COUNTIFS($E$224:$E$623,"Occupied"),1),0)</f>
        <v>0</v>
      </c>
      <c r="D117" s="391">
        <f>IFERROR(SUM($I$224:$I$623)/MAX(COUNTA($B$224:$B$623),1),0)</f>
        <v>0</v>
      </c>
      <c r="E117" s="391">
        <f>SUM(E113:E116)</f>
        <v>0</v>
      </c>
      <c r="F117" s="390">
        <f>IFERROR((D117-C117)/MAX(D117,1),0)</f>
        <v>0</v>
      </c>
      <c r="G117" s="406">
        <v>0</v>
      </c>
      <c r="H117" s="264" t="s">
        <v>1084</v>
      </c>
    </row>
    <row r="118" spans="1:22" ht="15" customHeight="1" outlineLevel="1" x14ac:dyDescent="0.25"/>
    <row r="119" spans="1:22" ht="15" customHeight="1" outlineLevel="1" x14ac:dyDescent="0.25">
      <c r="A119" s="386"/>
      <c r="B119" s="386"/>
      <c r="C119" s="386"/>
      <c r="D119" s="386"/>
      <c r="E119" s="386"/>
      <c r="F119" s="386"/>
      <c r="G119" s="386"/>
      <c r="H119" s="386"/>
      <c r="I119" s="386"/>
      <c r="J119" s="386"/>
      <c r="K119" s="386"/>
      <c r="L119" s="386"/>
      <c r="M119" s="386"/>
      <c r="N119" s="386"/>
    </row>
    <row r="120" spans="1:22" ht="21.75" customHeight="1" x14ac:dyDescent="0.25">
      <c r="A120" s="830" t="s">
        <v>1085</v>
      </c>
      <c r="B120" s="798"/>
      <c r="C120" s="798"/>
      <c r="D120" s="798"/>
      <c r="E120" s="798"/>
      <c r="F120" s="798"/>
      <c r="G120" s="798"/>
      <c r="H120" s="798"/>
      <c r="I120" s="798"/>
      <c r="J120" s="798"/>
      <c r="K120" s="798"/>
      <c r="L120" s="798"/>
      <c r="M120" s="798"/>
      <c r="N120" s="798"/>
      <c r="O120" s="798"/>
      <c r="P120" s="798"/>
      <c r="Q120" s="798"/>
      <c r="R120" s="798"/>
      <c r="S120" s="798"/>
      <c r="T120" s="798"/>
      <c r="U120" s="798"/>
      <c r="V120" s="798"/>
    </row>
    <row r="121" spans="1:22" ht="15" customHeight="1" outlineLevel="1" x14ac:dyDescent="0.25">
      <c r="A121" s="392" t="s">
        <v>1086</v>
      </c>
      <c r="B121" s="393" t="s">
        <v>983</v>
      </c>
      <c r="C121" s="393" t="s">
        <v>984</v>
      </c>
      <c r="D121" s="393" t="s">
        <v>1087</v>
      </c>
      <c r="E121" s="393" t="s">
        <v>1088</v>
      </c>
    </row>
    <row r="122" spans="1:22" ht="15" customHeight="1" outlineLevel="1" x14ac:dyDescent="0.25">
      <c r="A122" s="271" t="s">
        <v>1089</v>
      </c>
      <c r="B122" s="309">
        <f t="array" ref="B122">SUMPRODUCT(($E$224:$E$623="Occupied")*($J$224:$J$623&gt;$L$224:$L$623))</f>
        <v>0</v>
      </c>
      <c r="C122" s="388">
        <f>IFERROR(B122/MAX(COUNTIFS($E$224:$E$623,"Occupied"),1),0)</f>
        <v>0</v>
      </c>
      <c r="D122" s="272">
        <f t="array" ref="D122">SUMPRODUCT(($E$224:$E$623="Occupied")*($J$224:$J$623&gt;$L$224:$L$623)*($J$224:$J$623-$L$224:$L$623))</f>
        <v>0</v>
      </c>
      <c r="E122" s="272">
        <f>D122*12</f>
        <v>0</v>
      </c>
    </row>
    <row r="123" spans="1:22" ht="15" customHeight="1" outlineLevel="1" x14ac:dyDescent="0.25">
      <c r="A123" s="271" t="s">
        <v>1090</v>
      </c>
      <c r="B123" s="309">
        <f t="array" ref="B123">SUMPRODUCT(($E$224:$E$623="Occupied")*($J$224:$J$623=$L$224:$L$623))</f>
        <v>0</v>
      </c>
      <c r="C123" s="388">
        <f>IFERROR(B123/MAX(COUNTIFS($E$224:$E$623,"Occupied"),1),0)</f>
        <v>0</v>
      </c>
      <c r="D123" s="272">
        <v>0</v>
      </c>
      <c r="E123" s="272">
        <v>0</v>
      </c>
    </row>
    <row r="124" spans="1:22" ht="15" customHeight="1" outlineLevel="1" x14ac:dyDescent="0.25">
      <c r="A124" s="271" t="s">
        <v>1091</v>
      </c>
      <c r="B124" s="309">
        <f t="array" ref="B124">SUMPRODUCT(($E$224:$E$623="Occupied")*($J$224:$J$623&lt;$L$224:$L$623))</f>
        <v>0</v>
      </c>
      <c r="C124" s="388">
        <f>IFERROR(B124/MAX(COUNTIFS($E$224:$E$623,"Occupied"),1),0)</f>
        <v>0</v>
      </c>
      <c r="D124" s="272">
        <f t="array" ref="D124">-SUMPRODUCT(($E$224:$E$623="Occupied")*($J$224:$J$623&lt;$L$224:$L$623)*($L$224:$L$623-$J$224:$J$623))</f>
        <v>0</v>
      </c>
      <c r="E124" s="272">
        <f>D124*12</f>
        <v>0</v>
      </c>
    </row>
    <row r="125" spans="1:22" ht="15" customHeight="1" outlineLevel="1" x14ac:dyDescent="0.25">
      <c r="A125" s="266" t="s">
        <v>1092</v>
      </c>
      <c r="B125" s="397">
        <f>B122+B123+B124</f>
        <v>0</v>
      </c>
      <c r="C125" s="398">
        <f>SUM(C122:C124)</f>
        <v>0</v>
      </c>
      <c r="D125" s="297">
        <f>SUMIFS($J$224:$J$623,$E$224:$E$623,"Occupied")-SUMIFS($L$224:$L$623,$E$224:$E$623,"Occupied")</f>
        <v>0</v>
      </c>
      <c r="E125" s="297">
        <f>D125*12</f>
        <v>0</v>
      </c>
      <c r="F125" s="269" t="str">
        <f>IF(ABS(D125)&lt;MAX(SUMIFS($L$224:$L$623,$E$224:$E$623,"Occupied"),1)*0.01,"🟢 minimal variance",IF(D125&lt;0,"🟡 net under-billing — investigate","🟢 net over-collection"))</f>
        <v>🟢 minimal variance</v>
      </c>
    </row>
    <row r="126" spans="1:22" ht="15" customHeight="1" outlineLevel="1" x14ac:dyDescent="0.25"/>
    <row r="127" spans="1:22" ht="15" customHeight="1" outlineLevel="1" x14ac:dyDescent="0.25">
      <c r="A127" s="386"/>
      <c r="B127" s="386"/>
      <c r="C127" s="386"/>
      <c r="D127" s="386"/>
      <c r="E127" s="386"/>
      <c r="F127" s="386"/>
      <c r="G127" s="386"/>
      <c r="H127" s="386"/>
      <c r="I127" s="386"/>
      <c r="J127" s="386"/>
      <c r="K127" s="386"/>
      <c r="L127" s="386"/>
      <c r="M127" s="386"/>
      <c r="N127" s="386"/>
    </row>
    <row r="128" spans="1:22" ht="21.75" customHeight="1" x14ac:dyDescent="0.25">
      <c r="A128" s="834" t="s">
        <v>1093</v>
      </c>
      <c r="B128" s="798"/>
      <c r="C128" s="798"/>
      <c r="D128" s="798"/>
      <c r="E128" s="798"/>
      <c r="F128" s="798"/>
      <c r="G128" s="798"/>
      <c r="H128" s="798"/>
      <c r="I128" s="798"/>
      <c r="J128" s="798"/>
      <c r="K128" s="798"/>
      <c r="L128" s="798"/>
      <c r="M128" s="798"/>
      <c r="N128" s="798"/>
      <c r="O128" s="798"/>
      <c r="P128" s="798"/>
      <c r="Q128" s="798"/>
      <c r="R128" s="798"/>
      <c r="S128" s="798"/>
      <c r="T128" s="798"/>
      <c r="U128" s="798"/>
      <c r="V128" s="798"/>
    </row>
    <row r="129" spans="1:22" ht="15" customHeight="1" outlineLevel="1" x14ac:dyDescent="0.25">
      <c r="A129" s="392" t="s">
        <v>1094</v>
      </c>
      <c r="B129" s="393" t="s">
        <v>983</v>
      </c>
      <c r="C129" s="393" t="s">
        <v>1095</v>
      </c>
      <c r="D129" s="393" t="s">
        <v>1096</v>
      </c>
      <c r="E129" s="393" t="s">
        <v>1097</v>
      </c>
      <c r="F129" s="393" t="s">
        <v>1098</v>
      </c>
    </row>
    <row r="130" spans="1:22" ht="15" customHeight="1" outlineLevel="1" x14ac:dyDescent="0.25">
      <c r="A130" s="271" t="s">
        <v>1099</v>
      </c>
      <c r="B130" s="309">
        <f t="array" ref="B130">SUMPRODUCT(($M$224:$M$623&gt;0)*($N$224:$N$623&gt;=$M$224:$M$623)*($E$224:$E$623&lt;&gt;"Vacant"))</f>
        <v>0</v>
      </c>
      <c r="C130" s="272">
        <f t="array" ref="C130">SUMPRODUCT(($M$224:$M$623&gt;0)*($N$224:$N$623&gt;=$M$224:$M$623)*($E$224:$E$623&lt;&gt;"Vacant")*$M$224:$M$623)</f>
        <v>0</v>
      </c>
      <c r="D130" s="272">
        <f t="array" ref="D130">SUMPRODUCT(($M$224:$M$623&gt;0)*($N$224:$N$623&gt;=$M$224:$M$623)*($E$224:$E$623&lt;&gt;"Vacant")*$N$224:$N$623)</f>
        <v>0</v>
      </c>
      <c r="E130" s="388">
        <f>IFERROR(D130/MAX(C130,1),0)</f>
        <v>0</v>
      </c>
      <c r="F130" s="272">
        <v>0</v>
      </c>
    </row>
    <row r="131" spans="1:22" ht="15" customHeight="1" outlineLevel="1" x14ac:dyDescent="0.25">
      <c r="A131" s="271" t="s">
        <v>1100</v>
      </c>
      <c r="B131" s="309">
        <f t="array" ref="B131">SUMPRODUCT(($M$224:$M$623&gt;0)*($N$224:$N$623&gt;0)*($N$224:$N$623&lt;$M$224:$M$623))</f>
        <v>0</v>
      </c>
      <c r="C131" s="272">
        <f t="array" ref="C131">SUMPRODUCT(($M$224:$M$623&gt;0)*($N$224:$N$623&gt;0)*($N$224:$N$623&lt;$M$224:$M$623)*$M$224:$M$623)</f>
        <v>0</v>
      </c>
      <c r="D131" s="272">
        <f t="array" ref="D131">SUMPRODUCT(($M$224:$M$623&gt;0)*($N$224:$N$623&gt;0)*($N$224:$N$623&lt;$M$224:$M$623)*$N$224:$N$623)</f>
        <v>0</v>
      </c>
      <c r="E131" s="388">
        <f>IFERROR(D131/MAX(C131,1),0)</f>
        <v>0</v>
      </c>
      <c r="F131" s="272">
        <f>C131-D131</f>
        <v>0</v>
      </c>
    </row>
    <row r="132" spans="1:22" ht="15" customHeight="1" outlineLevel="1" x14ac:dyDescent="0.25">
      <c r="A132" s="271" t="s">
        <v>1101</v>
      </c>
      <c r="B132" s="309">
        <f t="array" ref="B132">SUMPRODUCT(($M$224:$M$623&gt;0)*(IFERROR(($N$224:$N$623=0)+($N$224:$N$623=""),0)))</f>
        <v>0</v>
      </c>
      <c r="C132" s="272">
        <f t="array" ref="C132">SUMPRODUCT(($M$224:$M$623&gt;0)*(IFERROR(($N$224:$N$623=0)+($N$224:$N$623=""),0))*$M$224:$M$623)</f>
        <v>0</v>
      </c>
      <c r="D132" s="272">
        <v>0</v>
      </c>
      <c r="E132" s="388">
        <v>0</v>
      </c>
      <c r="F132" s="272">
        <f>C132</f>
        <v>0</v>
      </c>
    </row>
    <row r="133" spans="1:22" ht="15" customHeight="1" outlineLevel="1" x14ac:dyDescent="0.25">
      <c r="A133" s="288" t="s">
        <v>1102</v>
      </c>
      <c r="B133" s="389">
        <f>SUM(B130:B132)</f>
        <v>0</v>
      </c>
      <c r="C133" s="391">
        <f>SUM(C130:C132)</f>
        <v>0</v>
      </c>
      <c r="D133" s="391">
        <f>SUM(D130:D132)</f>
        <v>0</v>
      </c>
      <c r="E133" s="390">
        <f>IFERROR(D133/MAX(C133,1),0)</f>
        <v>0</v>
      </c>
      <c r="F133" s="391">
        <f>SUM(F130:F132)</f>
        <v>0</v>
      </c>
    </row>
    <row r="134" spans="1:22" ht="15" customHeight="1" outlineLevel="1" x14ac:dyDescent="0.25"/>
    <row r="135" spans="1:22" ht="15" customHeight="1" outlineLevel="1" x14ac:dyDescent="0.25">
      <c r="A135" s="386"/>
      <c r="B135" s="386"/>
      <c r="C135" s="386"/>
      <c r="D135" s="386"/>
      <c r="E135" s="386"/>
      <c r="F135" s="386"/>
      <c r="G135" s="386"/>
      <c r="H135" s="386"/>
      <c r="I135" s="386"/>
      <c r="J135" s="386"/>
      <c r="K135" s="386"/>
      <c r="L135" s="386"/>
      <c r="M135" s="386"/>
      <c r="N135" s="386"/>
    </row>
    <row r="136" spans="1:22" ht="21.75" customHeight="1" x14ac:dyDescent="0.25">
      <c r="A136" s="830" t="s">
        <v>1103</v>
      </c>
      <c r="B136" s="798"/>
      <c r="C136" s="798"/>
      <c r="D136" s="798"/>
      <c r="E136" s="798"/>
      <c r="F136" s="798"/>
      <c r="G136" s="798"/>
      <c r="H136" s="798"/>
      <c r="I136" s="798"/>
      <c r="J136" s="798"/>
      <c r="K136" s="798"/>
      <c r="L136" s="798"/>
      <c r="M136" s="798"/>
      <c r="N136" s="798"/>
      <c r="O136" s="798"/>
      <c r="P136" s="798"/>
      <c r="Q136" s="798"/>
      <c r="R136" s="798"/>
      <c r="S136" s="798"/>
      <c r="T136" s="798"/>
      <c r="U136" s="798"/>
      <c r="V136" s="798"/>
    </row>
    <row r="137" spans="1:22" ht="15" customHeight="1" outlineLevel="1" x14ac:dyDescent="0.25">
      <c r="A137" s="816" t="s">
        <v>1104</v>
      </c>
      <c r="B137" s="798"/>
      <c r="C137" s="798"/>
      <c r="D137" s="798"/>
      <c r="E137" s="798"/>
      <c r="F137" s="798"/>
      <c r="G137" s="798"/>
      <c r="H137" s="798"/>
      <c r="I137" s="798"/>
      <c r="J137" s="798"/>
      <c r="K137" s="798"/>
      <c r="L137" s="798"/>
    </row>
    <row r="138" spans="1:22" ht="15" customHeight="1" outlineLevel="1" x14ac:dyDescent="0.25">
      <c r="A138" s="392" t="s">
        <v>1105</v>
      </c>
      <c r="B138" s="393" t="s">
        <v>983</v>
      </c>
      <c r="C138" s="393" t="s">
        <v>984</v>
      </c>
      <c r="D138" s="393" t="s">
        <v>1106</v>
      </c>
    </row>
    <row r="139" spans="1:22" ht="15" customHeight="1" outlineLevel="1" x14ac:dyDescent="0.25">
      <c r="A139" s="271" t="s">
        <v>1107</v>
      </c>
      <c r="B139" s="309">
        <f t="array" ref="B139">SUMPRODUCT(($E$224:$E$623="Occupied")*(MONTH($G$224:$G$623)=1)*($G$224:$G$623&lt;&gt;""))</f>
        <v>0</v>
      </c>
      <c r="C139" s="388">
        <f t="shared" ref="C139:C150" si="7">IFERROR(B139/MAX(COUNTIF($E$224:$E$623,"Occupied"),1),0)</f>
        <v>0</v>
      </c>
      <c r="D139" t="str">
        <f t="shared" ref="D139:D150" si="8">REPT("█",ROUND(C139*100,0))</f>
        <v/>
      </c>
    </row>
    <row r="140" spans="1:22" ht="15" customHeight="1" outlineLevel="1" x14ac:dyDescent="0.25">
      <c r="A140" s="271" t="s">
        <v>1108</v>
      </c>
      <c r="B140" s="309">
        <f t="array" ref="B140">SUMPRODUCT(($E$224:$E$623="Occupied")*(MONTH($G$224:$G$623)=2)*($G$224:$G$623&lt;&gt;""))</f>
        <v>0</v>
      </c>
      <c r="C140" s="388">
        <f t="shared" si="7"/>
        <v>0</v>
      </c>
      <c r="D140" t="str">
        <f t="shared" si="8"/>
        <v/>
      </c>
    </row>
    <row r="141" spans="1:22" ht="15" customHeight="1" outlineLevel="1" x14ac:dyDescent="0.25">
      <c r="A141" s="271" t="s">
        <v>1109</v>
      </c>
      <c r="B141" s="309">
        <f t="array" ref="B141">SUMPRODUCT(($E$224:$E$623="Occupied")*(MONTH($G$224:$G$623)=3)*($G$224:$G$623&lt;&gt;""))</f>
        <v>0</v>
      </c>
      <c r="C141" s="388">
        <f t="shared" si="7"/>
        <v>0</v>
      </c>
      <c r="D141" t="str">
        <f t="shared" si="8"/>
        <v/>
      </c>
    </row>
    <row r="142" spans="1:22" ht="15" customHeight="1" outlineLevel="1" x14ac:dyDescent="0.25">
      <c r="A142" s="271" t="s">
        <v>1110</v>
      </c>
      <c r="B142" s="309">
        <f t="array" ref="B142">SUMPRODUCT(($E$224:$E$623="Occupied")*(MONTH($G$224:$G$623)=4)*($G$224:$G$623&lt;&gt;""))</f>
        <v>0</v>
      </c>
      <c r="C142" s="388">
        <f t="shared" si="7"/>
        <v>0</v>
      </c>
      <c r="D142" t="str">
        <f t="shared" si="8"/>
        <v/>
      </c>
    </row>
    <row r="143" spans="1:22" ht="15" customHeight="1" outlineLevel="1" x14ac:dyDescent="0.25">
      <c r="A143" s="271" t="s">
        <v>1111</v>
      </c>
      <c r="B143" s="309">
        <f t="array" ref="B143">SUMPRODUCT(($E$224:$E$623="Occupied")*(MONTH($G$224:$G$623)=5)*($G$224:$G$623&lt;&gt;""))</f>
        <v>0</v>
      </c>
      <c r="C143" s="388">
        <f t="shared" si="7"/>
        <v>0</v>
      </c>
      <c r="D143" t="str">
        <f t="shared" si="8"/>
        <v/>
      </c>
    </row>
    <row r="144" spans="1:22" ht="15" customHeight="1" outlineLevel="1" x14ac:dyDescent="0.25">
      <c r="A144" s="271" t="s">
        <v>1112</v>
      </c>
      <c r="B144" s="309">
        <f t="array" ref="B144">SUMPRODUCT(($E$224:$E$623="Occupied")*(MONTH($G$224:$G$623)=6)*($G$224:$G$623&lt;&gt;""))</f>
        <v>0</v>
      </c>
      <c r="C144" s="388">
        <f t="shared" si="7"/>
        <v>0</v>
      </c>
      <c r="D144" t="str">
        <f t="shared" si="8"/>
        <v/>
      </c>
    </row>
    <row r="145" spans="1:22" ht="15" customHeight="1" outlineLevel="1" x14ac:dyDescent="0.25">
      <c r="A145" s="271" t="s">
        <v>1113</v>
      </c>
      <c r="B145" s="309">
        <f t="array" ref="B145">SUMPRODUCT(($E$224:$E$623="Occupied")*(MONTH($G$224:$G$623)=7)*($G$224:$G$623&lt;&gt;""))</f>
        <v>0</v>
      </c>
      <c r="C145" s="388">
        <f t="shared" si="7"/>
        <v>0</v>
      </c>
      <c r="D145" t="str">
        <f t="shared" si="8"/>
        <v/>
      </c>
    </row>
    <row r="146" spans="1:22" ht="15" customHeight="1" outlineLevel="1" x14ac:dyDescent="0.25">
      <c r="A146" s="271" t="s">
        <v>1114</v>
      </c>
      <c r="B146" s="309">
        <f t="array" ref="B146">SUMPRODUCT(($E$224:$E$623="Occupied")*(MONTH($G$224:$G$623)=8)*($G$224:$G$623&lt;&gt;""))</f>
        <v>0</v>
      </c>
      <c r="C146" s="388">
        <f t="shared" si="7"/>
        <v>0</v>
      </c>
      <c r="D146" t="str">
        <f t="shared" si="8"/>
        <v/>
      </c>
    </row>
    <row r="147" spans="1:22" ht="15" customHeight="1" outlineLevel="1" x14ac:dyDescent="0.25">
      <c r="A147" s="271" t="s">
        <v>1115</v>
      </c>
      <c r="B147" s="309">
        <f t="array" ref="B147">SUMPRODUCT(($E$224:$E$623="Occupied")*(MONTH($G$224:$G$623)=9)*($G$224:$G$623&lt;&gt;""))</f>
        <v>0</v>
      </c>
      <c r="C147" s="388">
        <f t="shared" si="7"/>
        <v>0</v>
      </c>
      <c r="D147" t="str">
        <f t="shared" si="8"/>
        <v/>
      </c>
    </row>
    <row r="148" spans="1:22" ht="15" customHeight="1" outlineLevel="1" x14ac:dyDescent="0.25">
      <c r="A148" s="271" t="s">
        <v>1116</v>
      </c>
      <c r="B148" s="309">
        <f t="array" ref="B148">SUMPRODUCT(($E$224:$E$623="Occupied")*(MONTH($G$224:$G$623)=10)*($G$224:$G$623&lt;&gt;""))</f>
        <v>0</v>
      </c>
      <c r="C148" s="388">
        <f t="shared" si="7"/>
        <v>0</v>
      </c>
      <c r="D148" t="str">
        <f t="shared" si="8"/>
        <v/>
      </c>
    </row>
    <row r="149" spans="1:22" ht="15" customHeight="1" outlineLevel="1" x14ac:dyDescent="0.25">
      <c r="A149" s="271" t="s">
        <v>1117</v>
      </c>
      <c r="B149" s="309">
        <f t="array" ref="B149">SUMPRODUCT(($E$224:$E$623="Occupied")*(MONTH($G$224:$G$623)=11)*($G$224:$G$623&lt;&gt;""))</f>
        <v>0</v>
      </c>
      <c r="C149" s="388">
        <f t="shared" si="7"/>
        <v>0</v>
      </c>
      <c r="D149" t="str">
        <f t="shared" si="8"/>
        <v/>
      </c>
    </row>
    <row r="150" spans="1:22" ht="15" customHeight="1" outlineLevel="1" x14ac:dyDescent="0.25">
      <c r="A150" s="271" t="s">
        <v>1118</v>
      </c>
      <c r="B150" s="309">
        <f t="array" ref="B150">SUMPRODUCT(($E$224:$E$623="Occupied")*(MONTH($G$224:$G$623)=12)*($G$224:$G$623&lt;&gt;""))</f>
        <v>0</v>
      </c>
      <c r="C150" s="388">
        <f t="shared" si="7"/>
        <v>0</v>
      </c>
      <c r="D150" t="str">
        <f t="shared" si="8"/>
        <v/>
      </c>
    </row>
    <row r="151" spans="1:22" ht="15" customHeight="1" outlineLevel="1" x14ac:dyDescent="0.25"/>
    <row r="152" spans="1:22" ht="15" customHeight="1" outlineLevel="1" x14ac:dyDescent="0.25">
      <c r="A152" s="266" t="s">
        <v>1119</v>
      </c>
      <c r="B152" s="276" t="str">
        <f t="array" ref="B152">INDEX({"Jan";"Feb";"Mar";"Apr";"May";"Jun";"Jul";"Aug";"Sep";"Oct";"Nov";"Dec"},MATCH(MAX(B139:B150),B139:B150,0))</f>
        <v>Jan</v>
      </c>
    </row>
    <row r="153" spans="1:22" ht="15" customHeight="1" outlineLevel="1" x14ac:dyDescent="0.25">
      <c r="A153" s="266" t="s">
        <v>1120</v>
      </c>
      <c r="B153" s="388">
        <f>IFERROR((B148+B149+B150)/MAX(SUM(B139:B150),1),0)</f>
        <v>0</v>
      </c>
    </row>
    <row r="154" spans="1:22" ht="15" customHeight="1" outlineLevel="1" x14ac:dyDescent="0.25">
      <c r="A154" s="386"/>
      <c r="B154" s="386"/>
      <c r="C154" s="386"/>
      <c r="D154" s="386"/>
      <c r="E154" s="386"/>
      <c r="F154" s="386"/>
      <c r="G154" s="386"/>
      <c r="H154" s="386"/>
      <c r="I154" s="386"/>
      <c r="J154" s="386"/>
      <c r="K154" s="386"/>
      <c r="L154" s="386"/>
      <c r="M154" s="386"/>
      <c r="N154" s="386"/>
    </row>
    <row r="155" spans="1:22" ht="21.75" customHeight="1" x14ac:dyDescent="0.25">
      <c r="A155" s="834" t="s">
        <v>1121</v>
      </c>
      <c r="B155" s="798"/>
      <c r="C155" s="798"/>
      <c r="D155" s="798"/>
      <c r="E155" s="798"/>
      <c r="F155" s="798"/>
      <c r="G155" s="798"/>
      <c r="H155" s="798"/>
      <c r="I155" s="798"/>
      <c r="J155" s="798"/>
      <c r="K155" s="798"/>
      <c r="L155" s="798"/>
      <c r="M155" s="798"/>
      <c r="N155" s="798"/>
      <c r="O155" s="798"/>
      <c r="P155" s="798"/>
      <c r="Q155" s="798"/>
      <c r="R155" s="798"/>
      <c r="S155" s="798"/>
      <c r="T155" s="798"/>
      <c r="U155" s="798"/>
      <c r="V155" s="798"/>
    </row>
    <row r="156" spans="1:22" ht="15" customHeight="1" outlineLevel="1" x14ac:dyDescent="0.25">
      <c r="A156" s="816" t="s">
        <v>1122</v>
      </c>
      <c r="B156" s="798"/>
      <c r="C156" s="798"/>
      <c r="D156" s="798"/>
      <c r="E156" s="798"/>
      <c r="F156" s="798"/>
      <c r="G156" s="798"/>
      <c r="H156" s="798"/>
      <c r="I156" s="798"/>
      <c r="J156" s="798"/>
      <c r="K156" s="798"/>
      <c r="L156" s="798"/>
    </row>
    <row r="157" spans="1:22" ht="15" customHeight="1" outlineLevel="1" x14ac:dyDescent="0.25">
      <c r="A157" s="392" t="s">
        <v>1123</v>
      </c>
      <c r="B157" s="393" t="s">
        <v>70</v>
      </c>
      <c r="C157" s="393" t="s">
        <v>1124</v>
      </c>
    </row>
    <row r="158" spans="1:22" ht="15" customHeight="1" outlineLevel="1" x14ac:dyDescent="0.25">
      <c r="A158" s="271" t="s">
        <v>1125</v>
      </c>
      <c r="B158" s="276">
        <f t="array" aca="1" ref="B158" ca="1">COUNTIF($E$224:$E$623,"Reserved")+COUNTIF($E$224:$E$623,"Pre-Admit*")+SUMPRODUCT(($G$224:$G$623&gt;TODAY())*($G$224:$G$623&lt;&gt;""))</f>
        <v>0</v>
      </c>
      <c r="C158" s="264" t="s">
        <v>1126</v>
      </c>
    </row>
    <row r="159" spans="1:22" ht="15" customHeight="1" outlineLevel="1" x14ac:dyDescent="0.25">
      <c r="A159" s="271" t="s">
        <v>1127</v>
      </c>
      <c r="B159" s="276">
        <f t="array" aca="1" ref="B159" ca="1">SUMPRODUCT(($E$224:$E$623="Vacant")*($G$224:$G$623&gt;TODAY())*($G$224:$G$623&lt;&gt;""))+SUMPRODUCT(($E$224:$E$623="Reserved")*1)</f>
        <v>0</v>
      </c>
      <c r="C159" s="264" t="s">
        <v>1128</v>
      </c>
    </row>
    <row r="160" spans="1:22" ht="15" customHeight="1" outlineLevel="1" x14ac:dyDescent="0.25">
      <c r="A160" s="271" t="s">
        <v>1129</v>
      </c>
      <c r="B160" s="272">
        <f t="array" aca="1" ref="B160" ca="1">(SUMIFS($L$224:$L$623,$E$224:$E$623,"Reserved")+SUMIFS($L$224:$L$623,$E$224:$E$623,"Pre-Admit*")+SUMPRODUCT(($G$224:$G$623&gt;TODAY())*($G$224:$G$623&lt;&gt;"")*$L$224:$L$623))*12</f>
        <v>0</v>
      </c>
      <c r="C160" s="264" t="s">
        <v>1130</v>
      </c>
    </row>
    <row r="161" spans="1:40" ht="15" customHeight="1" outlineLevel="1" x14ac:dyDescent="0.25">
      <c r="A161" s="271" t="s">
        <v>1131</v>
      </c>
      <c r="B161" s="276">
        <f t="array" aca="1" ref="B161" ca="1">IFERROR(MIN(IF(($G$224:$G$623&gt;TODAY())*($G$224:$G$623&lt;&gt;""),$G$224:$G$623-TODAY())),"none")</f>
        <v>0</v>
      </c>
      <c r="C161" s="264" t="s">
        <v>1132</v>
      </c>
    </row>
    <row r="162" spans="1:40" ht="15" customHeight="1" outlineLevel="1" x14ac:dyDescent="0.25">
      <c r="A162" s="271" t="s">
        <v>1133</v>
      </c>
      <c r="B162" s="276" t="str">
        <f ca="1">IFERROR(AVERAGEIFS($G$224:$G$623,$G$224:$G$623,"&gt;"&amp;TODAY())-TODAY(),"none")</f>
        <v>none</v>
      </c>
      <c r="C162" s="264" t="s">
        <v>1134</v>
      </c>
    </row>
    <row r="163" spans="1:40" ht="15" customHeight="1" outlineLevel="1" x14ac:dyDescent="0.25"/>
    <row r="164" spans="1:40" ht="15" customHeight="1" outlineLevel="1" x14ac:dyDescent="0.25">
      <c r="A164" s="386"/>
      <c r="B164" s="386"/>
      <c r="C164" s="386"/>
      <c r="D164" s="386"/>
      <c r="E164" s="386"/>
      <c r="F164" s="386"/>
      <c r="G164" s="386"/>
      <c r="H164" s="386"/>
      <c r="I164" s="386"/>
      <c r="J164" s="386"/>
      <c r="K164" s="386"/>
      <c r="L164" s="386"/>
      <c r="M164" s="386"/>
      <c r="N164" s="386"/>
    </row>
    <row r="165" spans="1:40" ht="21.75" customHeight="1" x14ac:dyDescent="0.25">
      <c r="A165" s="830" t="s">
        <v>1135</v>
      </c>
      <c r="B165" s="798"/>
      <c r="C165" s="798"/>
      <c r="D165" s="798"/>
      <c r="E165" s="798"/>
      <c r="F165" s="798"/>
      <c r="G165" s="798"/>
      <c r="H165" s="798"/>
      <c r="I165" s="798"/>
      <c r="J165" s="798"/>
      <c r="K165" s="798"/>
      <c r="L165" s="798"/>
      <c r="M165" s="798"/>
      <c r="N165" s="798"/>
      <c r="O165" s="798"/>
      <c r="P165" s="798"/>
      <c r="Q165" s="798"/>
      <c r="R165" s="798"/>
      <c r="S165" s="798"/>
      <c r="T165" s="798"/>
      <c r="U165" s="798"/>
      <c r="V165" s="798"/>
    </row>
    <row r="166" spans="1:40" ht="15" customHeight="1" outlineLevel="1" x14ac:dyDescent="0.25">
      <c r="A166" s="816" t="s">
        <v>1136</v>
      </c>
      <c r="B166" s="798"/>
      <c r="C166" s="798"/>
      <c r="D166" s="798"/>
      <c r="E166" s="798"/>
      <c r="F166" s="798"/>
      <c r="G166" s="798"/>
      <c r="H166" s="798"/>
      <c r="I166" s="798"/>
      <c r="J166" s="798"/>
      <c r="K166" s="798"/>
      <c r="L166" s="798"/>
    </row>
    <row r="167" spans="1:40" ht="15" customHeight="1" outlineLevel="1" x14ac:dyDescent="0.25">
      <c r="A167" s="392" t="s">
        <v>1137</v>
      </c>
      <c r="B167" s="393" t="s">
        <v>1138</v>
      </c>
      <c r="C167" s="393" t="s">
        <v>1139</v>
      </c>
      <c r="D167" s="393" t="s">
        <v>1140</v>
      </c>
      <c r="E167" s="393" t="s">
        <v>1141</v>
      </c>
      <c r="F167" s="393" t="s">
        <v>1142</v>
      </c>
      <c r="G167" s="393" t="s">
        <v>947</v>
      </c>
      <c r="H167" s="393" t="s">
        <v>532</v>
      </c>
    </row>
    <row r="168" spans="1:40" ht="15" customHeight="1" outlineLevel="1" x14ac:dyDescent="0.25">
      <c r="A168" s="271" t="s">
        <v>1143</v>
      </c>
      <c r="B168" s="309">
        <f t="array" ref="B168">SUMPRODUCT(($C$224:$C$623="IL")*1)</f>
        <v>0</v>
      </c>
      <c r="C168" s="309">
        <f>COUNTIFS($C$224:$C$623,"IL",$E$224:$E$623,"Occupied")+COUNTIFS($C$224:$C$623,"IL",$E$224:$E$623,"Notice")</f>
        <v>0</v>
      </c>
      <c r="D168" s="309">
        <f>B168-C168</f>
        <v>0</v>
      </c>
      <c r="E168" s="388">
        <f>IFERROR(D168/MAX(B168,1),0)</f>
        <v>0</v>
      </c>
      <c r="F168" s="273" t="str">
        <f>IF(E168&gt;0.5,"⚠ &gt;50% vacant — flag",IF(E168&gt;0.3,"🟡 elevated","🟢 within norm"))</f>
        <v>🟢 within norm</v>
      </c>
      <c r="G168" s="273">
        <v>0</v>
      </c>
      <c r="H168" s="279" t="s">
        <v>557</v>
      </c>
    </row>
    <row r="169" spans="1:40" ht="15" customHeight="1" outlineLevel="1" x14ac:dyDescent="0.25">
      <c r="A169" s="271" t="s">
        <v>1144</v>
      </c>
      <c r="B169" s="309">
        <f t="array" ref="B169">SUMPRODUCT(($C$224:$C$623="AL")*1)</f>
        <v>0</v>
      </c>
      <c r="C169" s="309">
        <f>COUNTIFS($C$224:$C$623,"AL",$E$224:$E$623,"Occupied")+COUNTIFS($C$224:$C$623,"AL",$E$224:$E$623,"Notice")</f>
        <v>0</v>
      </c>
      <c r="D169" s="309">
        <f>B169-C169</f>
        <v>0</v>
      </c>
      <c r="E169" s="388">
        <f>IFERROR(D169/MAX(B169,1),0)</f>
        <v>0</v>
      </c>
      <c r="F169" s="273" t="str">
        <f>IF(E169&gt;0.5,"⚠ &gt;50% vacant — flag",IF(E169&gt;0.3,"🟡 elevated","🟢 within norm"))</f>
        <v>🟢 within norm</v>
      </c>
      <c r="G169" s="273">
        <v>0</v>
      </c>
      <c r="H169" s="279" t="s">
        <v>557</v>
      </c>
    </row>
    <row r="170" spans="1:40" ht="15" customHeight="1" outlineLevel="1" x14ac:dyDescent="0.25">
      <c r="A170" s="271" t="s">
        <v>1145</v>
      </c>
      <c r="B170" s="309">
        <f t="array" ref="B170">SUMPRODUCT(($C$224:$C$623="MC")*1)</f>
        <v>0</v>
      </c>
      <c r="C170" s="309">
        <f>COUNTIFS($C$224:$C$623,"MC",$E$224:$E$623,"Occupied")+COUNTIFS($C$224:$C$623,"MC",$E$224:$E$623,"Notice")</f>
        <v>0</v>
      </c>
      <c r="D170" s="309">
        <f>B170-C170</f>
        <v>0</v>
      </c>
      <c r="E170" s="388">
        <f>IFERROR(D170/MAX(B170,1),0)</f>
        <v>0</v>
      </c>
      <c r="F170" s="273" t="str">
        <f>IF(E170&gt;0.5,"⚠ &gt;50% vacant — flag",IF(E170&gt;0.3,"🟡 elevated","🟢 within norm"))</f>
        <v>🟢 within norm</v>
      </c>
      <c r="G170" s="273">
        <v>0</v>
      </c>
      <c r="H170" s="279" t="s">
        <v>557</v>
      </c>
    </row>
    <row r="171" spans="1:40" ht="15" customHeight="1" outlineLevel="1" x14ac:dyDescent="0.25">
      <c r="A171" s="271" t="str">
        <f>'Prop Info'!$D$13&amp;" — Other Care"</f>
        <v xml:space="preserve"> — Other Care</v>
      </c>
      <c r="B171" s="309">
        <f t="array" ref="B171">SUMPRODUCT(($C$224:$C$623="OTH")*1)</f>
        <v>0</v>
      </c>
      <c r="C171" s="309">
        <f>COUNTIFS($C$224:$C$623,"OTH",$E$224:$E$623,"Occupied")+COUNTIFS($C$224:$C$623,"OTH",$E$224:$E$623,"Notice")</f>
        <v>0</v>
      </c>
      <c r="D171" s="309">
        <f>B171-C171</f>
        <v>0</v>
      </c>
      <c r="E171" s="388">
        <f>IFERROR(D171/MAX(B171,1),0)</f>
        <v>0</v>
      </c>
      <c r="F171" s="273" t="str">
        <f>IF(E171&gt;0.5,"⚠ &gt;50% vacant — flag",IF(E171&gt;0.3,"🟡 elevated","🟢 within norm"))</f>
        <v>🟢 within norm</v>
      </c>
      <c r="G171" s="273">
        <v>0</v>
      </c>
      <c r="H171" s="279" t="s">
        <v>557</v>
      </c>
    </row>
    <row r="172" spans="1:40" ht="15" customHeight="1" outlineLevel="1" x14ac:dyDescent="0.25">
      <c r="A172" s="407" t="s">
        <v>107</v>
      </c>
      <c r="B172" s="408">
        <f>SUM(B168:B171)</f>
        <v>0</v>
      </c>
      <c r="C172" s="408">
        <f>SUM(C168:C171)</f>
        <v>0</v>
      </c>
      <c r="D172" s="408">
        <f>SUM(D168:D171)</f>
        <v>0</v>
      </c>
      <c r="E172" s="409">
        <f>IFERROR(D172/MAX(B172,1),0)</f>
        <v>0</v>
      </c>
      <c r="F172" s="410">
        <v>0</v>
      </c>
      <c r="G172" s="410">
        <v>0</v>
      </c>
      <c r="H172" s="411" t="s">
        <v>557</v>
      </c>
      <c r="I172" s="386"/>
      <c r="J172" s="386"/>
      <c r="K172" s="386"/>
      <c r="L172" s="386"/>
      <c r="M172" s="386"/>
      <c r="N172" s="386"/>
    </row>
    <row r="173" spans="1:40" ht="21.75" customHeight="1" x14ac:dyDescent="0.25">
      <c r="A173" s="115" t="s">
        <v>1146</v>
      </c>
      <c r="B173" s="412"/>
      <c r="C173" s="412"/>
      <c r="D173" s="412"/>
      <c r="E173" s="412"/>
      <c r="F173" s="412"/>
      <c r="G173" s="412"/>
      <c r="H173" s="412"/>
      <c r="I173" s="412"/>
      <c r="J173" s="412"/>
      <c r="K173" s="412"/>
      <c r="L173" s="412"/>
      <c r="M173" s="412"/>
      <c r="N173" s="412"/>
      <c r="O173" s="412"/>
      <c r="P173" s="412"/>
      <c r="Q173" s="412"/>
      <c r="R173" s="412"/>
      <c r="S173" s="412"/>
      <c r="T173" s="412"/>
      <c r="U173" s="412"/>
      <c r="V173" s="412"/>
    </row>
    <row r="174" spans="1:40" ht="15" customHeight="1" outlineLevel="1" x14ac:dyDescent="0.25">
      <c r="A174" s="271" t="s">
        <v>1147</v>
      </c>
      <c r="Z174" t="s">
        <v>1148</v>
      </c>
      <c r="AA174">
        <v>25</v>
      </c>
      <c r="AB174" s="271" t="s">
        <v>1149</v>
      </c>
      <c r="AC174" s="413">
        <v>12</v>
      </c>
    </row>
    <row r="175" spans="1:40" ht="18" customHeight="1" outlineLevel="1" x14ac:dyDescent="0.25">
      <c r="A175" s="831" t="s">
        <v>1150</v>
      </c>
      <c r="B175" s="832"/>
      <c r="C175" s="833"/>
      <c r="D175" s="831" t="s">
        <v>1151</v>
      </c>
      <c r="E175" s="832"/>
      <c r="F175" s="833"/>
      <c r="G175" s="831" t="s">
        <v>1152</v>
      </c>
      <c r="H175" s="832"/>
      <c r="I175" s="833"/>
      <c r="J175" s="831" t="s">
        <v>1153</v>
      </c>
      <c r="K175" s="832"/>
      <c r="L175" s="833"/>
      <c r="M175" s="831" t="s">
        <v>1154</v>
      </c>
      <c r="N175" s="832"/>
      <c r="O175" s="833"/>
      <c r="P175" s="831" t="s">
        <v>1155</v>
      </c>
      <c r="Q175" s="833"/>
      <c r="R175" s="831" t="s">
        <v>1156</v>
      </c>
      <c r="S175" s="833"/>
      <c r="T175" s="831" t="s">
        <v>1157</v>
      </c>
      <c r="U175" s="832"/>
      <c r="V175" s="833"/>
      <c r="AB175" s="835" t="s">
        <v>1158</v>
      </c>
      <c r="AC175" s="832"/>
      <c r="AD175" s="832"/>
      <c r="AF175" s="808" t="s">
        <v>1159</v>
      </c>
      <c r="AG175" s="798"/>
      <c r="AH175" s="798"/>
      <c r="AI175" s="798"/>
      <c r="AJ175" s="798"/>
      <c r="AK175" s="798"/>
      <c r="AL175" s="798"/>
      <c r="AM175" s="798"/>
      <c r="AN175" s="798"/>
    </row>
    <row r="176" spans="1:40" ht="30" customHeight="1" outlineLevel="1" x14ac:dyDescent="0.25">
      <c r="A176" s="414" t="s">
        <v>1160</v>
      </c>
      <c r="B176" s="414" t="s">
        <v>930</v>
      </c>
      <c r="C176" s="414" t="s">
        <v>1161</v>
      </c>
      <c r="D176" s="414" t="s">
        <v>1138</v>
      </c>
      <c r="E176" s="414" t="s">
        <v>1162</v>
      </c>
      <c r="F176" s="414" t="s">
        <v>1163</v>
      </c>
      <c r="G176" s="414" t="s">
        <v>1164</v>
      </c>
      <c r="H176" s="414" t="s">
        <v>1140</v>
      </c>
      <c r="I176" s="414" t="s">
        <v>1141</v>
      </c>
      <c r="J176" s="414" t="s">
        <v>1165</v>
      </c>
      <c r="K176" s="414" t="s">
        <v>1166</v>
      </c>
      <c r="L176" s="414" t="s">
        <v>1167</v>
      </c>
      <c r="M176" s="414" t="s">
        <v>1168</v>
      </c>
      <c r="N176" s="414" t="s">
        <v>1169</v>
      </c>
      <c r="O176" s="414" t="s">
        <v>1170</v>
      </c>
      <c r="P176" s="414" t="s">
        <v>1171</v>
      </c>
      <c r="Q176" s="414" t="s">
        <v>1172</v>
      </c>
      <c r="R176" s="414" t="s">
        <v>1173</v>
      </c>
      <c r="S176" s="414" t="s">
        <v>1174</v>
      </c>
      <c r="T176" s="414" t="s">
        <v>1175</v>
      </c>
      <c r="U176" s="414" t="s">
        <v>1176</v>
      </c>
      <c r="V176" s="414" t="s">
        <v>1177</v>
      </c>
      <c r="AB176" s="414" t="s">
        <v>1178</v>
      </c>
      <c r="AC176" s="414" t="s">
        <v>1179</v>
      </c>
      <c r="AD176" s="414" t="s">
        <v>1180</v>
      </c>
      <c r="AF176" s="414" t="s">
        <v>1181</v>
      </c>
      <c r="AG176" s="414" t="s">
        <v>1182</v>
      </c>
      <c r="AH176" s="414" t="s">
        <v>798</v>
      </c>
      <c r="AI176" s="414" t="s">
        <v>1161</v>
      </c>
      <c r="AJ176" s="414" t="s">
        <v>1037</v>
      </c>
      <c r="AK176" s="414" t="s">
        <v>1183</v>
      </c>
      <c r="AL176" s="414" t="s">
        <v>1184</v>
      </c>
      <c r="AM176" s="414" t="s">
        <v>1185</v>
      </c>
      <c r="AN176" s="414" t="s">
        <v>1186</v>
      </c>
    </row>
    <row r="177" spans="1:43" ht="15" customHeight="1" outlineLevel="1" x14ac:dyDescent="0.25">
      <c r="A177" s="415">
        <v>1</v>
      </c>
      <c r="B177" s="416" t="str">
        <f t="shared" ref="B177:B182" si="9">IF($C177="","","IL")</f>
        <v/>
      </c>
      <c r="C177" s="417" t="str">
        <f t="array" ref="C177">IFERROR(INDEX($D$224:$D$623,MATCH(0,IF(($C$224:$C$623="IL")*($D$224:$D$623&lt;&gt;""),0,1),0)),"")</f>
        <v/>
      </c>
      <c r="D177" s="413" t="str">
        <f t="shared" ref="D177:D200" si="10">IF($C177="","",COUNTIF($Y$224:$Y$623,$B177&amp;"|"&amp;$C177))</f>
        <v/>
      </c>
      <c r="E177" s="413" t="str">
        <f t="shared" ref="E177:E200" si="11">IF($C177="","",IFERROR($F177/$D177,0))</f>
        <v/>
      </c>
      <c r="F177" s="413" t="str">
        <f t="shared" ref="F177:F200" si="12">IF($C177="","",SUMIFS($U$224:$U$623,$C$224:$C$623,$B177,$D$224:$D$623,$C177))</f>
        <v/>
      </c>
      <c r="G177" s="413" t="str">
        <f t="shared" ref="G177:G200" si="13">IF($C177="","",COUNTIF($X$224:$X$623,$B177&amp;"|"&amp;$C177))</f>
        <v/>
      </c>
      <c r="H177" s="413" t="str">
        <f t="shared" ref="H177:H200" si="14">IF($C177="","",COUNTIFS($C$224:$C$623,$B177,$D$224:$D$623,$C177,$E$224:$E$623,"Vacant"))</f>
        <v/>
      </c>
      <c r="I177" s="418" t="str">
        <f t="shared" ref="I177:I200" si="15">IF($C177="","",IFERROR($H177/$D177,0))</f>
        <v/>
      </c>
      <c r="J177" s="419" t="str">
        <f t="shared" ref="J177:J200" si="16">IF($C177="","",IFERROR(AVERAGEIFS($L$224:$L$623,$X$224:$X$623,$B177&amp;"|"&amp;$C177),0))</f>
        <v/>
      </c>
      <c r="K177" s="419" t="str">
        <f t="shared" ref="K177:K200" si="17">IF($C177="","",IFERROR(AVERAGEIFS($I$224:$I$623,$Y$224:$Y$623,$B177&amp;"|"&amp;$C177),0))</f>
        <v/>
      </c>
      <c r="L177" s="419" t="str">
        <f t="shared" ref="L177:L200" si="18">IF($C177="","",$K177-$J177)</f>
        <v/>
      </c>
      <c r="M177" s="420" t="str">
        <f t="shared" ref="M177:M200" si="19">IF($C177="","",IFERROR($J177/$E177,0))</f>
        <v/>
      </c>
      <c r="N177" s="420" t="str">
        <f t="shared" ref="N177:N200" si="20">IF($C177="","",IFERROR($K177/$E177,0))</f>
        <v/>
      </c>
      <c r="O177" s="420"/>
      <c r="P177" s="419" t="str">
        <f t="shared" ref="P177:P200" si="21">IF($C177="","",$L177*$G177*12)</f>
        <v/>
      </c>
      <c r="Q177" s="418" t="str">
        <f t="shared" ref="Q177:Q200" si="22">IF($C177="","",IFERROR($L177/$K177,0))</f>
        <v/>
      </c>
      <c r="R177" s="419" t="str">
        <f t="shared" ref="R177:R200" si="23">IF($C177="","",IF($G177&gt;0,_xlfn.MINIFS($L$224:$L$623,$X$224:$X$623,$B177&amp;"|"&amp;$C177),IFERROR(_xlfn.MINIFS($I$224:$I$623,$Y$224:$Y$623,$B177&amp;"|"&amp;$C177),0)))</f>
        <v/>
      </c>
      <c r="S177" s="419" t="str">
        <f t="shared" ref="S177:S200" si="24">IF($C177="","",IF($G177&gt;0,_xlfn.MAXIFS($L$224:$L$623,$X$224:$X$623,$B177&amp;"|"&amp;$C177),IFERROR(_xlfn.MAXIFS($I$224:$I$623,$Y$224:$Y$623,$B177&amp;"|"&amp;$C177),0)))</f>
        <v/>
      </c>
      <c r="T177" s="419" t="str">
        <f t="shared" ref="T177:T200" si="25">IF($C177="","",IF($G177&gt;0,IFERROR(AVERAGEIFS($L$224:$L$623,$X$224:$X$623,$B177&amp;"|"&amp;$C177,$L$224:$L$623,"&gt;="&amp;$AA177),0),0))</f>
        <v/>
      </c>
      <c r="U177" s="419" t="str">
        <f t="shared" ref="U177:U200" si="26">IF($C177="","",$T177-$J177)</f>
        <v/>
      </c>
      <c r="V177" s="419" t="str">
        <f t="shared" ref="V177:V200" si="27">IF($C177="","",$U177*$G177*12)</f>
        <v/>
      </c>
      <c r="AA177" s="311" t="str">
        <f t="shared" ref="AA177:AA200" si="28">IF($C177="","",IFERROR(_xlfn.AGGREGATE(14,6,$L$224:$L$623/($X$224:$X$623=$B177&amp;"|"&amp;$C177),MAX(1,ROUNDUP($G177*$AA$174/100,0))),0))</f>
        <v/>
      </c>
      <c r="AB177" s="419" t="str">
        <f t="shared" ref="AB177:AB200" si="29">IF($C177="","",SUMIFS($AC$224:$AC$623,$X$224:$X$623,$B177&amp;"|"&amp;$C177))</f>
        <v/>
      </c>
      <c r="AC177" s="413" t="str">
        <f t="shared" ref="AC177:AC200" si="30">IF($C177="","",COUNTIFS($X$224:$X$623,$B177&amp;"|"&amp;$C177,$AC$224:$AC$623,"&gt;0"))</f>
        <v/>
      </c>
      <c r="AD177" s="419" t="str">
        <f t="shared" ref="AD177:AD186" si="31">IF($C177="","",IFERROR(AVERAGEIFS($AV$224:$AV$623,$X$224:$X$623,$B177&amp;"|"&amp;$C177),0))</f>
        <v/>
      </c>
      <c r="AF177" s="421">
        <f t="shared" ref="AF177:AF186" si="32">IFERROR(INDEX($G$224:$G$623,$AQ177),"")</f>
        <v>0</v>
      </c>
      <c r="AG177" s="416">
        <f t="shared" ref="AG177:AG186" si="33">IFERROR(INDEX($A$224:$A$623,$AQ177),"")</f>
        <v>0</v>
      </c>
      <c r="AH177" s="416">
        <f t="shared" ref="AH177:AH186" si="34">IFERROR(INDEX($C$224:$C$623,$AQ177),"")</f>
        <v>0</v>
      </c>
      <c r="AI177" s="416">
        <f t="shared" ref="AI177:AI186" si="35">IFERROR(INDEX($D$224:$D$623,$AQ177),"")</f>
        <v>0</v>
      </c>
      <c r="AJ177" s="416">
        <f t="shared" ref="AJ177:AJ186" si="36">IFERROR(INDEX($F$224:$F$623,$AQ177),"")</f>
        <v>0</v>
      </c>
      <c r="AK177" s="419">
        <f t="shared" ref="AK177:AK186" si="37">IFERROR(INDEX($I$224:$I$623,$AQ177),"")</f>
        <v>0</v>
      </c>
      <c r="AL177" s="419">
        <f t="shared" ref="AL177:AL186" si="38">IFERROR(INDEX($J$224:$J$623,$AQ177),"")</f>
        <v>0</v>
      </c>
      <c r="AM177" s="419">
        <f t="shared" ref="AM177:AM186" si="39">IFERROR(INDEX($K$224:$K$623,$AQ177),"")</f>
        <v>0</v>
      </c>
      <c r="AN177" s="419">
        <f t="shared" ref="AN177:AN186" si="40">IFERROR(INDEX($L$224:$L$623,$AQ177),"")</f>
        <v>0</v>
      </c>
      <c r="AP177" s="271">
        <f t="array" ref="AP177">IFERROR(LARGE($G$224:$G$623+ROW($G$224:$G$623)/1000000,1),"")</f>
        <v>6.2299999999999996E-4</v>
      </c>
      <c r="AQ177" s="271">
        <f t="array" ref="AQ177">IFERROR(MATCH($AP177,$G$224:$G$623+ROW($G$224:$G$623)/1000000,0),"")</f>
        <v>400</v>
      </c>
    </row>
    <row r="178" spans="1:43" ht="15" customHeight="1" outlineLevel="1" x14ac:dyDescent="0.25">
      <c r="A178" s="415">
        <v>2</v>
      </c>
      <c r="B178" s="416" t="str">
        <f t="shared" si="9"/>
        <v/>
      </c>
      <c r="C178" s="417" t="str">
        <f t="array" ref="C178">IFERROR(INDEX($D$224:$D$623,MATCH(0,IF(($C$224:$C$623="IL")*($D$224:$D$623&lt;&gt;""),COUNTIF($C$177:$C177,$D$224:$D$623),1),0)),"")</f>
        <v/>
      </c>
      <c r="D178" s="413" t="str">
        <f t="shared" si="10"/>
        <v/>
      </c>
      <c r="E178" s="413" t="str">
        <f t="shared" si="11"/>
        <v/>
      </c>
      <c r="F178" s="413" t="str">
        <f t="shared" si="12"/>
        <v/>
      </c>
      <c r="G178" s="413" t="str">
        <f t="shared" si="13"/>
        <v/>
      </c>
      <c r="H178" s="413" t="str">
        <f t="shared" si="14"/>
        <v/>
      </c>
      <c r="I178" s="418" t="str">
        <f t="shared" si="15"/>
        <v/>
      </c>
      <c r="J178" s="419" t="str">
        <f t="shared" si="16"/>
        <v/>
      </c>
      <c r="K178" s="419" t="str">
        <f t="shared" si="17"/>
        <v/>
      </c>
      <c r="L178" s="419" t="str">
        <f t="shared" si="18"/>
        <v/>
      </c>
      <c r="M178" s="420" t="str">
        <f t="shared" si="19"/>
        <v/>
      </c>
      <c r="N178" s="420" t="str">
        <f t="shared" si="20"/>
        <v/>
      </c>
      <c r="O178" s="420"/>
      <c r="P178" s="419" t="str">
        <f t="shared" si="21"/>
        <v/>
      </c>
      <c r="Q178" s="418" t="str">
        <f t="shared" si="22"/>
        <v/>
      </c>
      <c r="R178" s="419" t="str">
        <f t="shared" si="23"/>
        <v/>
      </c>
      <c r="S178" s="419" t="str">
        <f t="shared" si="24"/>
        <v/>
      </c>
      <c r="T178" s="419" t="str">
        <f t="shared" si="25"/>
        <v/>
      </c>
      <c r="U178" s="419" t="str">
        <f t="shared" si="26"/>
        <v/>
      </c>
      <c r="V178" s="419" t="str">
        <f t="shared" si="27"/>
        <v/>
      </c>
      <c r="AA178" s="311" t="str">
        <f t="shared" si="28"/>
        <v/>
      </c>
      <c r="AB178" s="419" t="str">
        <f t="shared" si="29"/>
        <v/>
      </c>
      <c r="AC178" s="413" t="str">
        <f t="shared" si="30"/>
        <v/>
      </c>
      <c r="AD178" s="419" t="str">
        <f t="shared" si="31"/>
        <v/>
      </c>
      <c r="AF178" s="421">
        <f t="shared" si="32"/>
        <v>0</v>
      </c>
      <c r="AG178" s="416">
        <f t="shared" si="33"/>
        <v>0</v>
      </c>
      <c r="AH178" s="416">
        <f t="shared" si="34"/>
        <v>0</v>
      </c>
      <c r="AI178" s="416">
        <f t="shared" si="35"/>
        <v>0</v>
      </c>
      <c r="AJ178" s="416">
        <f t="shared" si="36"/>
        <v>0</v>
      </c>
      <c r="AK178" s="419">
        <f t="shared" si="37"/>
        <v>0</v>
      </c>
      <c r="AL178" s="419">
        <f t="shared" si="38"/>
        <v>0</v>
      </c>
      <c r="AM178" s="419">
        <f t="shared" si="39"/>
        <v>0</v>
      </c>
      <c r="AN178" s="419">
        <f t="shared" si="40"/>
        <v>0</v>
      </c>
      <c r="AP178" s="271">
        <f t="array" ref="AP178">IFERROR(LARGE($G$224:$G$623+ROW($G$224:$G$623)/1000000,2),"")</f>
        <v>6.2200000000000005E-4</v>
      </c>
      <c r="AQ178" s="271">
        <f t="array" ref="AQ178">IFERROR(MATCH($AP178,$G$224:$G$623+ROW($G$224:$G$623)/1000000,0),"")</f>
        <v>399</v>
      </c>
    </row>
    <row r="179" spans="1:43" ht="15" customHeight="1" outlineLevel="1" x14ac:dyDescent="0.25">
      <c r="A179" s="415">
        <v>3</v>
      </c>
      <c r="B179" s="416" t="str">
        <f t="shared" si="9"/>
        <v/>
      </c>
      <c r="C179" s="417" t="str">
        <f t="array" ref="C179">IFERROR(INDEX($D$224:$D$623,MATCH(0,IF(($C$224:$C$623="IL")*($D$224:$D$623&lt;&gt;""),COUNTIF($C$177:$C178,$D$224:$D$623),1),0)),"")</f>
        <v/>
      </c>
      <c r="D179" s="413" t="str">
        <f t="shared" si="10"/>
        <v/>
      </c>
      <c r="E179" s="413" t="str">
        <f t="shared" si="11"/>
        <v/>
      </c>
      <c r="F179" s="413" t="str">
        <f t="shared" si="12"/>
        <v/>
      </c>
      <c r="G179" s="413" t="str">
        <f t="shared" si="13"/>
        <v/>
      </c>
      <c r="H179" s="413" t="str">
        <f t="shared" si="14"/>
        <v/>
      </c>
      <c r="I179" s="418" t="str">
        <f t="shared" si="15"/>
        <v/>
      </c>
      <c r="J179" s="419" t="str">
        <f t="shared" si="16"/>
        <v/>
      </c>
      <c r="K179" s="419" t="str">
        <f t="shared" si="17"/>
        <v/>
      </c>
      <c r="L179" s="419" t="str">
        <f t="shared" si="18"/>
        <v/>
      </c>
      <c r="M179" s="420" t="str">
        <f t="shared" si="19"/>
        <v/>
      </c>
      <c r="N179" s="420" t="str">
        <f t="shared" si="20"/>
        <v/>
      </c>
      <c r="O179" s="420"/>
      <c r="P179" s="419" t="str">
        <f t="shared" si="21"/>
        <v/>
      </c>
      <c r="Q179" s="418" t="str">
        <f t="shared" si="22"/>
        <v/>
      </c>
      <c r="R179" s="419" t="str">
        <f t="shared" si="23"/>
        <v/>
      </c>
      <c r="S179" s="419" t="str">
        <f t="shared" si="24"/>
        <v/>
      </c>
      <c r="T179" s="419" t="str">
        <f t="shared" si="25"/>
        <v/>
      </c>
      <c r="U179" s="419" t="str">
        <f t="shared" si="26"/>
        <v/>
      </c>
      <c r="V179" s="419" t="str">
        <f t="shared" si="27"/>
        <v/>
      </c>
      <c r="AA179" s="311" t="str">
        <f t="shared" si="28"/>
        <v/>
      </c>
      <c r="AB179" s="419" t="str">
        <f t="shared" si="29"/>
        <v/>
      </c>
      <c r="AC179" s="413" t="str">
        <f t="shared" si="30"/>
        <v/>
      </c>
      <c r="AD179" s="419" t="str">
        <f t="shared" si="31"/>
        <v/>
      </c>
      <c r="AF179" s="421">
        <f t="shared" si="32"/>
        <v>0</v>
      </c>
      <c r="AG179" s="416">
        <f t="shared" si="33"/>
        <v>0</v>
      </c>
      <c r="AH179" s="416">
        <f t="shared" si="34"/>
        <v>0</v>
      </c>
      <c r="AI179" s="416">
        <f t="shared" si="35"/>
        <v>0</v>
      </c>
      <c r="AJ179" s="416">
        <f t="shared" si="36"/>
        <v>0</v>
      </c>
      <c r="AK179" s="419">
        <f t="shared" si="37"/>
        <v>0</v>
      </c>
      <c r="AL179" s="419">
        <f t="shared" si="38"/>
        <v>0</v>
      </c>
      <c r="AM179" s="419">
        <f t="shared" si="39"/>
        <v>0</v>
      </c>
      <c r="AN179" s="419">
        <f t="shared" si="40"/>
        <v>0</v>
      </c>
      <c r="AP179" s="271">
        <f t="array" ref="AP179">IFERROR(LARGE($G$224:$G$623+ROW($G$224:$G$623)/1000000,3),"")</f>
        <v>6.2100000000000002E-4</v>
      </c>
      <c r="AQ179" s="271">
        <f t="array" ref="AQ179">IFERROR(MATCH($AP179,$G$224:$G$623+ROW($G$224:$G$623)/1000000,0),"")</f>
        <v>398</v>
      </c>
    </row>
    <row r="180" spans="1:43" ht="15" customHeight="1" outlineLevel="1" x14ac:dyDescent="0.25">
      <c r="A180" s="415">
        <v>4</v>
      </c>
      <c r="B180" s="416" t="str">
        <f t="shared" si="9"/>
        <v/>
      </c>
      <c r="C180" s="417" t="str">
        <f t="array" ref="C180">IFERROR(INDEX($D$224:$D$623,MATCH(0,IF(($C$224:$C$623="IL")*($D$224:$D$623&lt;&gt;""),COUNTIF($C$177:$C179,$D$224:$D$623),1),0)),"")</f>
        <v/>
      </c>
      <c r="D180" s="413" t="str">
        <f t="shared" si="10"/>
        <v/>
      </c>
      <c r="E180" s="413" t="str">
        <f t="shared" si="11"/>
        <v/>
      </c>
      <c r="F180" s="413" t="str">
        <f t="shared" si="12"/>
        <v/>
      </c>
      <c r="G180" s="413" t="str">
        <f t="shared" si="13"/>
        <v/>
      </c>
      <c r="H180" s="413" t="str">
        <f t="shared" si="14"/>
        <v/>
      </c>
      <c r="I180" s="418" t="str">
        <f t="shared" si="15"/>
        <v/>
      </c>
      <c r="J180" s="419" t="str">
        <f t="shared" si="16"/>
        <v/>
      </c>
      <c r="K180" s="419" t="str">
        <f t="shared" si="17"/>
        <v/>
      </c>
      <c r="L180" s="419" t="str">
        <f t="shared" si="18"/>
        <v/>
      </c>
      <c r="M180" s="420" t="str">
        <f t="shared" si="19"/>
        <v/>
      </c>
      <c r="N180" s="420" t="str">
        <f t="shared" si="20"/>
        <v/>
      </c>
      <c r="O180" s="420"/>
      <c r="P180" s="419" t="str">
        <f t="shared" si="21"/>
        <v/>
      </c>
      <c r="Q180" s="418" t="str">
        <f t="shared" si="22"/>
        <v/>
      </c>
      <c r="R180" s="419" t="str">
        <f t="shared" si="23"/>
        <v/>
      </c>
      <c r="S180" s="419" t="str">
        <f t="shared" si="24"/>
        <v/>
      </c>
      <c r="T180" s="419" t="str">
        <f t="shared" si="25"/>
        <v/>
      </c>
      <c r="U180" s="419" t="str">
        <f t="shared" si="26"/>
        <v/>
      </c>
      <c r="V180" s="419" t="str">
        <f t="shared" si="27"/>
        <v/>
      </c>
      <c r="AA180" s="311" t="str">
        <f t="shared" si="28"/>
        <v/>
      </c>
      <c r="AB180" s="419" t="str">
        <f t="shared" si="29"/>
        <v/>
      </c>
      <c r="AC180" s="413" t="str">
        <f t="shared" si="30"/>
        <v/>
      </c>
      <c r="AD180" s="419" t="str">
        <f t="shared" si="31"/>
        <v/>
      </c>
      <c r="AF180" s="421">
        <f t="shared" si="32"/>
        <v>0</v>
      </c>
      <c r="AG180" s="416">
        <f t="shared" si="33"/>
        <v>0</v>
      </c>
      <c r="AH180" s="416">
        <f t="shared" si="34"/>
        <v>0</v>
      </c>
      <c r="AI180" s="416">
        <f t="shared" si="35"/>
        <v>0</v>
      </c>
      <c r="AJ180" s="416">
        <f t="shared" si="36"/>
        <v>0</v>
      </c>
      <c r="AK180" s="419">
        <f t="shared" si="37"/>
        <v>0</v>
      </c>
      <c r="AL180" s="419">
        <f t="shared" si="38"/>
        <v>0</v>
      </c>
      <c r="AM180" s="419">
        <f t="shared" si="39"/>
        <v>0</v>
      </c>
      <c r="AN180" s="419">
        <f t="shared" si="40"/>
        <v>0</v>
      </c>
      <c r="AP180" s="271">
        <f t="array" ref="AP180">IFERROR(LARGE($G$224:$G$623+ROW($G$224:$G$623)/1000000,4),"")</f>
        <v>6.2E-4</v>
      </c>
      <c r="AQ180" s="271">
        <f t="array" ref="AQ180">IFERROR(MATCH($AP180,$G$224:$G$623+ROW($G$224:$G$623)/1000000,0),"")</f>
        <v>397</v>
      </c>
    </row>
    <row r="181" spans="1:43" ht="15" customHeight="1" outlineLevel="1" x14ac:dyDescent="0.25">
      <c r="A181" s="415">
        <v>5</v>
      </c>
      <c r="B181" s="416" t="str">
        <f t="shared" si="9"/>
        <v/>
      </c>
      <c r="C181" s="417" t="str">
        <f t="array" ref="C181">IFERROR(INDEX($D$224:$D$623,MATCH(0,IF(($C$224:$C$623="IL")*($D$224:$D$623&lt;&gt;""),COUNTIF($C$177:$C180,$D$224:$D$623),1),0)),"")</f>
        <v/>
      </c>
      <c r="D181" s="413" t="str">
        <f t="shared" si="10"/>
        <v/>
      </c>
      <c r="E181" s="413" t="str">
        <f t="shared" si="11"/>
        <v/>
      </c>
      <c r="F181" s="413" t="str">
        <f t="shared" si="12"/>
        <v/>
      </c>
      <c r="G181" s="413" t="str">
        <f t="shared" si="13"/>
        <v/>
      </c>
      <c r="H181" s="413" t="str">
        <f t="shared" si="14"/>
        <v/>
      </c>
      <c r="I181" s="418" t="str">
        <f t="shared" si="15"/>
        <v/>
      </c>
      <c r="J181" s="419" t="str">
        <f t="shared" si="16"/>
        <v/>
      </c>
      <c r="K181" s="419" t="str">
        <f t="shared" si="17"/>
        <v/>
      </c>
      <c r="L181" s="419" t="str">
        <f t="shared" si="18"/>
        <v/>
      </c>
      <c r="M181" s="420" t="str">
        <f t="shared" si="19"/>
        <v/>
      </c>
      <c r="N181" s="420" t="str">
        <f t="shared" si="20"/>
        <v/>
      </c>
      <c r="O181" s="420"/>
      <c r="P181" s="419" t="str">
        <f t="shared" si="21"/>
        <v/>
      </c>
      <c r="Q181" s="418" t="str">
        <f t="shared" si="22"/>
        <v/>
      </c>
      <c r="R181" s="419" t="str">
        <f t="shared" si="23"/>
        <v/>
      </c>
      <c r="S181" s="419" t="str">
        <f t="shared" si="24"/>
        <v/>
      </c>
      <c r="T181" s="419" t="str">
        <f t="shared" si="25"/>
        <v/>
      </c>
      <c r="U181" s="419" t="str">
        <f t="shared" si="26"/>
        <v/>
      </c>
      <c r="V181" s="419" t="str">
        <f t="shared" si="27"/>
        <v/>
      </c>
      <c r="AA181" s="311" t="str">
        <f t="shared" si="28"/>
        <v/>
      </c>
      <c r="AB181" s="419" t="str">
        <f t="shared" si="29"/>
        <v/>
      </c>
      <c r="AC181" s="413" t="str">
        <f t="shared" si="30"/>
        <v/>
      </c>
      <c r="AD181" s="419" t="str">
        <f t="shared" si="31"/>
        <v/>
      </c>
      <c r="AF181" s="421">
        <f t="shared" si="32"/>
        <v>0</v>
      </c>
      <c r="AG181" s="416">
        <f t="shared" si="33"/>
        <v>0</v>
      </c>
      <c r="AH181" s="416">
        <f t="shared" si="34"/>
        <v>0</v>
      </c>
      <c r="AI181" s="416">
        <f t="shared" si="35"/>
        <v>0</v>
      </c>
      <c r="AJ181" s="416">
        <f t="shared" si="36"/>
        <v>0</v>
      </c>
      <c r="AK181" s="419">
        <f t="shared" si="37"/>
        <v>0</v>
      </c>
      <c r="AL181" s="419">
        <f t="shared" si="38"/>
        <v>0</v>
      </c>
      <c r="AM181" s="419">
        <f t="shared" si="39"/>
        <v>0</v>
      </c>
      <c r="AN181" s="419">
        <f t="shared" si="40"/>
        <v>0</v>
      </c>
      <c r="AP181" s="271">
        <f t="array" ref="AP181">IFERROR(LARGE($G$224:$G$623+ROW($G$224:$G$623)/1000000,5),"")</f>
        <v>6.1899999999999998E-4</v>
      </c>
      <c r="AQ181" s="271">
        <f t="array" ref="AQ181">IFERROR(MATCH($AP181,$G$224:$G$623+ROW($G$224:$G$623)/1000000,0),"")</f>
        <v>396</v>
      </c>
    </row>
    <row r="182" spans="1:43" ht="15" customHeight="1" outlineLevel="1" x14ac:dyDescent="0.25">
      <c r="A182" s="415">
        <v>6</v>
      </c>
      <c r="B182" s="416" t="str">
        <f t="shared" si="9"/>
        <v/>
      </c>
      <c r="C182" s="417" t="str">
        <f t="array" ref="C182">IFERROR(INDEX($D$224:$D$623,MATCH(0,IF(($C$224:$C$623="IL")*($D$224:$D$623&lt;&gt;""),COUNTIF($C$177:$C181,$D$224:$D$623),1),0)),"")</f>
        <v/>
      </c>
      <c r="D182" s="413" t="str">
        <f t="shared" si="10"/>
        <v/>
      </c>
      <c r="E182" s="413" t="str">
        <f t="shared" si="11"/>
        <v/>
      </c>
      <c r="F182" s="413" t="str">
        <f t="shared" si="12"/>
        <v/>
      </c>
      <c r="G182" s="413" t="str">
        <f t="shared" si="13"/>
        <v/>
      </c>
      <c r="H182" s="413" t="str">
        <f t="shared" si="14"/>
        <v/>
      </c>
      <c r="I182" s="418" t="str">
        <f t="shared" si="15"/>
        <v/>
      </c>
      <c r="J182" s="419" t="str">
        <f t="shared" si="16"/>
        <v/>
      </c>
      <c r="K182" s="419" t="str">
        <f t="shared" si="17"/>
        <v/>
      </c>
      <c r="L182" s="419" t="str">
        <f t="shared" si="18"/>
        <v/>
      </c>
      <c r="M182" s="420" t="str">
        <f t="shared" si="19"/>
        <v/>
      </c>
      <c r="N182" s="420" t="str">
        <f t="shared" si="20"/>
        <v/>
      </c>
      <c r="O182" s="420"/>
      <c r="P182" s="419" t="str">
        <f t="shared" si="21"/>
        <v/>
      </c>
      <c r="Q182" s="418" t="str">
        <f t="shared" si="22"/>
        <v/>
      </c>
      <c r="R182" s="419" t="str">
        <f t="shared" si="23"/>
        <v/>
      </c>
      <c r="S182" s="419" t="str">
        <f t="shared" si="24"/>
        <v/>
      </c>
      <c r="T182" s="419" t="str">
        <f t="shared" si="25"/>
        <v/>
      </c>
      <c r="U182" s="419" t="str">
        <f t="shared" si="26"/>
        <v/>
      </c>
      <c r="V182" s="419" t="str">
        <f t="shared" si="27"/>
        <v/>
      </c>
      <c r="AA182" s="311" t="str">
        <f t="shared" si="28"/>
        <v/>
      </c>
      <c r="AB182" s="419" t="str">
        <f t="shared" si="29"/>
        <v/>
      </c>
      <c r="AC182" s="413" t="str">
        <f t="shared" si="30"/>
        <v/>
      </c>
      <c r="AD182" s="419" t="str">
        <f t="shared" si="31"/>
        <v/>
      </c>
      <c r="AF182" s="421">
        <f t="shared" si="32"/>
        <v>0</v>
      </c>
      <c r="AG182" s="416">
        <f t="shared" si="33"/>
        <v>0</v>
      </c>
      <c r="AH182" s="416">
        <f t="shared" si="34"/>
        <v>0</v>
      </c>
      <c r="AI182" s="416">
        <f t="shared" si="35"/>
        <v>0</v>
      </c>
      <c r="AJ182" s="416">
        <f t="shared" si="36"/>
        <v>0</v>
      </c>
      <c r="AK182" s="419">
        <f t="shared" si="37"/>
        <v>0</v>
      </c>
      <c r="AL182" s="419">
        <f t="shared" si="38"/>
        <v>0</v>
      </c>
      <c r="AM182" s="419">
        <f t="shared" si="39"/>
        <v>0</v>
      </c>
      <c r="AN182" s="419">
        <f t="shared" si="40"/>
        <v>0</v>
      </c>
      <c r="AP182" s="271">
        <f t="array" ref="AP182">IFERROR(LARGE($G$224:$G$623+ROW($G$224:$G$623)/1000000,6),"")</f>
        <v>6.1799999999999995E-4</v>
      </c>
      <c r="AQ182" s="271">
        <f t="array" ref="AQ182">IFERROR(MATCH($AP182,$G$224:$G$623+ROW($G$224:$G$623)/1000000,0),"")</f>
        <v>395</v>
      </c>
    </row>
    <row r="183" spans="1:43" ht="15" customHeight="1" outlineLevel="1" x14ac:dyDescent="0.25">
      <c r="A183" s="415">
        <v>7</v>
      </c>
      <c r="B183" s="416" t="str">
        <f t="shared" ref="B183:B188" si="41">IF($C183="","","AL")</f>
        <v/>
      </c>
      <c r="C183" s="417" t="str">
        <f t="array" ref="C183">IFERROR(INDEX($D$224:$D$623,MATCH(0,IF(($C$224:$C$623="AL")*($D$224:$D$623&lt;&gt;""),0,1),0)),"")</f>
        <v/>
      </c>
      <c r="D183" s="413" t="str">
        <f t="shared" si="10"/>
        <v/>
      </c>
      <c r="E183" s="413" t="str">
        <f t="shared" si="11"/>
        <v/>
      </c>
      <c r="F183" s="413" t="str">
        <f t="shared" si="12"/>
        <v/>
      </c>
      <c r="G183" s="413" t="str">
        <f t="shared" si="13"/>
        <v/>
      </c>
      <c r="H183" s="413" t="str">
        <f t="shared" si="14"/>
        <v/>
      </c>
      <c r="I183" s="418" t="str">
        <f t="shared" si="15"/>
        <v/>
      </c>
      <c r="J183" s="419" t="str">
        <f t="shared" si="16"/>
        <v/>
      </c>
      <c r="K183" s="419" t="str">
        <f t="shared" si="17"/>
        <v/>
      </c>
      <c r="L183" s="419" t="str">
        <f t="shared" si="18"/>
        <v/>
      </c>
      <c r="M183" s="420" t="str">
        <f t="shared" si="19"/>
        <v/>
      </c>
      <c r="N183" s="420" t="str">
        <f t="shared" si="20"/>
        <v/>
      </c>
      <c r="O183" s="420"/>
      <c r="P183" s="419" t="str">
        <f t="shared" si="21"/>
        <v/>
      </c>
      <c r="Q183" s="418" t="str">
        <f t="shared" si="22"/>
        <v/>
      </c>
      <c r="R183" s="419" t="str">
        <f t="shared" si="23"/>
        <v/>
      </c>
      <c r="S183" s="419" t="str">
        <f t="shared" si="24"/>
        <v/>
      </c>
      <c r="T183" s="419" t="str">
        <f t="shared" si="25"/>
        <v/>
      </c>
      <c r="U183" s="419" t="str">
        <f t="shared" si="26"/>
        <v/>
      </c>
      <c r="V183" s="419" t="str">
        <f t="shared" si="27"/>
        <v/>
      </c>
      <c r="AA183" s="311" t="str">
        <f t="shared" si="28"/>
        <v/>
      </c>
      <c r="AB183" s="419" t="str">
        <f t="shared" si="29"/>
        <v/>
      </c>
      <c r="AC183" s="413" t="str">
        <f t="shared" si="30"/>
        <v/>
      </c>
      <c r="AD183" s="419" t="str">
        <f t="shared" si="31"/>
        <v/>
      </c>
      <c r="AF183" s="421">
        <f t="shared" si="32"/>
        <v>0</v>
      </c>
      <c r="AG183" s="416">
        <f t="shared" si="33"/>
        <v>0</v>
      </c>
      <c r="AH183" s="416">
        <f t="shared" si="34"/>
        <v>0</v>
      </c>
      <c r="AI183" s="416">
        <f t="shared" si="35"/>
        <v>0</v>
      </c>
      <c r="AJ183" s="416">
        <f t="shared" si="36"/>
        <v>0</v>
      </c>
      <c r="AK183" s="419">
        <f t="shared" si="37"/>
        <v>0</v>
      </c>
      <c r="AL183" s="419">
        <f t="shared" si="38"/>
        <v>0</v>
      </c>
      <c r="AM183" s="419">
        <f t="shared" si="39"/>
        <v>0</v>
      </c>
      <c r="AN183" s="419">
        <f t="shared" si="40"/>
        <v>0</v>
      </c>
      <c r="AP183" s="271">
        <f t="array" ref="AP183">IFERROR(LARGE($G$224:$G$623+ROW($G$224:$G$623)/1000000,7),"")</f>
        <v>6.1700000000000004E-4</v>
      </c>
      <c r="AQ183" s="271">
        <f t="array" ref="AQ183">IFERROR(MATCH($AP183,$G$224:$G$623+ROW($G$224:$G$623)/1000000,0),"")</f>
        <v>394</v>
      </c>
    </row>
    <row r="184" spans="1:43" ht="15" customHeight="1" outlineLevel="1" x14ac:dyDescent="0.25">
      <c r="A184" s="415">
        <v>8</v>
      </c>
      <c r="B184" s="416" t="str">
        <f t="shared" si="41"/>
        <v/>
      </c>
      <c r="C184" s="417" t="str">
        <f t="array" ref="C184">IFERROR(INDEX($D$224:$D$623,MATCH(0,IF(($C$224:$C$623="AL")*($D$224:$D$623&lt;&gt;""),COUNTIF($C$183:$C183,$D$224:$D$623),1),0)),"")</f>
        <v/>
      </c>
      <c r="D184" s="413" t="str">
        <f t="shared" si="10"/>
        <v/>
      </c>
      <c r="E184" s="413" t="str">
        <f t="shared" si="11"/>
        <v/>
      </c>
      <c r="F184" s="413" t="str">
        <f t="shared" si="12"/>
        <v/>
      </c>
      <c r="G184" s="413" t="str">
        <f t="shared" si="13"/>
        <v/>
      </c>
      <c r="H184" s="413" t="str">
        <f t="shared" si="14"/>
        <v/>
      </c>
      <c r="I184" s="418" t="str">
        <f t="shared" si="15"/>
        <v/>
      </c>
      <c r="J184" s="419" t="str">
        <f t="shared" si="16"/>
        <v/>
      </c>
      <c r="K184" s="419" t="str">
        <f t="shared" si="17"/>
        <v/>
      </c>
      <c r="L184" s="419" t="str">
        <f t="shared" si="18"/>
        <v/>
      </c>
      <c r="M184" s="420" t="str">
        <f t="shared" si="19"/>
        <v/>
      </c>
      <c r="N184" s="420" t="str">
        <f t="shared" si="20"/>
        <v/>
      </c>
      <c r="O184" s="420"/>
      <c r="P184" s="419" t="str">
        <f t="shared" si="21"/>
        <v/>
      </c>
      <c r="Q184" s="418" t="str">
        <f t="shared" si="22"/>
        <v/>
      </c>
      <c r="R184" s="419" t="str">
        <f t="shared" si="23"/>
        <v/>
      </c>
      <c r="S184" s="419" t="str">
        <f t="shared" si="24"/>
        <v/>
      </c>
      <c r="T184" s="419" t="str">
        <f t="shared" si="25"/>
        <v/>
      </c>
      <c r="U184" s="419" t="str">
        <f t="shared" si="26"/>
        <v/>
      </c>
      <c r="V184" s="419" t="str">
        <f t="shared" si="27"/>
        <v/>
      </c>
      <c r="AA184" s="311" t="str">
        <f t="shared" si="28"/>
        <v/>
      </c>
      <c r="AB184" s="419" t="str">
        <f t="shared" si="29"/>
        <v/>
      </c>
      <c r="AC184" s="413" t="str">
        <f t="shared" si="30"/>
        <v/>
      </c>
      <c r="AD184" s="419" t="str">
        <f t="shared" si="31"/>
        <v/>
      </c>
      <c r="AF184" s="421">
        <f t="shared" si="32"/>
        <v>0</v>
      </c>
      <c r="AG184" s="416">
        <f t="shared" si="33"/>
        <v>0</v>
      </c>
      <c r="AH184" s="416">
        <f t="shared" si="34"/>
        <v>0</v>
      </c>
      <c r="AI184" s="416">
        <f t="shared" si="35"/>
        <v>0</v>
      </c>
      <c r="AJ184" s="416">
        <f t="shared" si="36"/>
        <v>0</v>
      </c>
      <c r="AK184" s="419">
        <f t="shared" si="37"/>
        <v>0</v>
      </c>
      <c r="AL184" s="419">
        <f t="shared" si="38"/>
        <v>0</v>
      </c>
      <c r="AM184" s="419">
        <f t="shared" si="39"/>
        <v>0</v>
      </c>
      <c r="AN184" s="419">
        <f t="shared" si="40"/>
        <v>0</v>
      </c>
      <c r="AP184" s="271">
        <f t="array" ref="AP184">IFERROR(LARGE($G$224:$G$623+ROW($G$224:$G$623)/1000000,8),"")</f>
        <v>6.1600000000000001E-4</v>
      </c>
      <c r="AQ184" s="271">
        <f t="array" ref="AQ184">IFERROR(MATCH($AP184,$G$224:$G$623+ROW($G$224:$G$623)/1000000,0),"")</f>
        <v>393</v>
      </c>
    </row>
    <row r="185" spans="1:43" ht="21.75" customHeight="1" outlineLevel="1" x14ac:dyDescent="0.25">
      <c r="A185" s="415">
        <v>9</v>
      </c>
      <c r="B185" s="416" t="str">
        <f t="shared" si="41"/>
        <v/>
      </c>
      <c r="C185" s="417" t="str">
        <f t="array" ref="C185">IFERROR(INDEX($D$224:$D$623,MATCH(0,IF(($C$224:$C$623="AL")*($D$224:$D$623&lt;&gt;""),COUNTIF($C$183:$C184,$D$224:$D$623),1),0)),"")</f>
        <v/>
      </c>
      <c r="D185" s="413" t="str">
        <f t="shared" si="10"/>
        <v/>
      </c>
      <c r="E185" s="413" t="str">
        <f t="shared" si="11"/>
        <v/>
      </c>
      <c r="F185" s="413" t="str">
        <f t="shared" si="12"/>
        <v/>
      </c>
      <c r="G185" s="413" t="str">
        <f t="shared" si="13"/>
        <v/>
      </c>
      <c r="H185" s="413" t="str">
        <f t="shared" si="14"/>
        <v/>
      </c>
      <c r="I185" s="418" t="str">
        <f t="shared" si="15"/>
        <v/>
      </c>
      <c r="J185" s="419" t="str">
        <f t="shared" si="16"/>
        <v/>
      </c>
      <c r="K185" s="419" t="str">
        <f t="shared" si="17"/>
        <v/>
      </c>
      <c r="L185" s="419" t="str">
        <f t="shared" si="18"/>
        <v/>
      </c>
      <c r="M185" s="420" t="str">
        <f t="shared" si="19"/>
        <v/>
      </c>
      <c r="N185" s="420" t="str">
        <f t="shared" si="20"/>
        <v/>
      </c>
      <c r="O185" s="420"/>
      <c r="P185" s="419" t="str">
        <f t="shared" si="21"/>
        <v/>
      </c>
      <c r="Q185" s="418" t="str">
        <f t="shared" si="22"/>
        <v/>
      </c>
      <c r="R185" s="419" t="str">
        <f t="shared" si="23"/>
        <v/>
      </c>
      <c r="S185" s="419" t="str">
        <f t="shared" si="24"/>
        <v/>
      </c>
      <c r="T185" s="419" t="str">
        <f t="shared" si="25"/>
        <v/>
      </c>
      <c r="U185" s="419" t="str">
        <f t="shared" si="26"/>
        <v/>
      </c>
      <c r="V185" s="419" t="str">
        <f t="shared" si="27"/>
        <v/>
      </c>
      <c r="AA185" s="311" t="str">
        <f t="shared" si="28"/>
        <v/>
      </c>
      <c r="AB185" s="419" t="str">
        <f t="shared" si="29"/>
        <v/>
      </c>
      <c r="AC185" s="413" t="str">
        <f t="shared" si="30"/>
        <v/>
      </c>
      <c r="AD185" s="419" t="str">
        <f t="shared" si="31"/>
        <v/>
      </c>
      <c r="AF185" s="421">
        <f t="shared" si="32"/>
        <v>0</v>
      </c>
      <c r="AG185" s="416">
        <f t="shared" si="33"/>
        <v>0</v>
      </c>
      <c r="AH185" s="416">
        <f t="shared" si="34"/>
        <v>0</v>
      </c>
      <c r="AI185" s="416">
        <f t="shared" si="35"/>
        <v>0</v>
      </c>
      <c r="AJ185" s="416">
        <f t="shared" si="36"/>
        <v>0</v>
      </c>
      <c r="AK185" s="419">
        <f t="shared" si="37"/>
        <v>0</v>
      </c>
      <c r="AL185" s="419">
        <f t="shared" si="38"/>
        <v>0</v>
      </c>
      <c r="AM185" s="419">
        <f t="shared" si="39"/>
        <v>0</v>
      </c>
      <c r="AN185" s="419">
        <f t="shared" si="40"/>
        <v>0</v>
      </c>
      <c r="AP185" s="271">
        <f t="array" ref="AP185">IFERROR(LARGE($G$224:$G$623+ROW($G$224:$G$623)/1000000,9),"")</f>
        <v>6.1499999999999999E-4</v>
      </c>
      <c r="AQ185" s="271">
        <f t="array" ref="AQ185">IFERROR(MATCH($AP185,$G$224:$G$623+ROW($G$224:$G$623)/1000000,0),"")</f>
        <v>392</v>
      </c>
    </row>
    <row r="186" spans="1:43" ht="15" customHeight="1" outlineLevel="1" x14ac:dyDescent="0.25">
      <c r="A186" s="415">
        <v>10</v>
      </c>
      <c r="B186" s="416" t="str">
        <f t="shared" si="41"/>
        <v/>
      </c>
      <c r="C186" s="417" t="str">
        <f t="array" ref="C186">IFERROR(INDEX($D$224:$D$623,MATCH(0,IF(($C$224:$C$623="AL")*($D$224:$D$623&lt;&gt;""),COUNTIF($C$183:$C185,$D$224:$D$623),1),0)),"")</f>
        <v/>
      </c>
      <c r="D186" s="413" t="str">
        <f t="shared" si="10"/>
        <v/>
      </c>
      <c r="E186" s="413" t="str">
        <f t="shared" si="11"/>
        <v/>
      </c>
      <c r="F186" s="413" t="str">
        <f t="shared" si="12"/>
        <v/>
      </c>
      <c r="G186" s="413" t="str">
        <f t="shared" si="13"/>
        <v/>
      </c>
      <c r="H186" s="413" t="str">
        <f t="shared" si="14"/>
        <v/>
      </c>
      <c r="I186" s="418" t="str">
        <f t="shared" si="15"/>
        <v/>
      </c>
      <c r="J186" s="419" t="str">
        <f t="shared" si="16"/>
        <v/>
      </c>
      <c r="K186" s="419" t="str">
        <f t="shared" si="17"/>
        <v/>
      </c>
      <c r="L186" s="419" t="str">
        <f t="shared" si="18"/>
        <v/>
      </c>
      <c r="M186" s="420" t="str">
        <f t="shared" si="19"/>
        <v/>
      </c>
      <c r="N186" s="420" t="str">
        <f t="shared" si="20"/>
        <v/>
      </c>
      <c r="O186" s="420"/>
      <c r="P186" s="419" t="str">
        <f t="shared" si="21"/>
        <v/>
      </c>
      <c r="Q186" s="418" t="str">
        <f t="shared" si="22"/>
        <v/>
      </c>
      <c r="R186" s="419" t="str">
        <f t="shared" si="23"/>
        <v/>
      </c>
      <c r="S186" s="419" t="str">
        <f t="shared" si="24"/>
        <v/>
      </c>
      <c r="T186" s="419" t="str">
        <f t="shared" si="25"/>
        <v/>
      </c>
      <c r="U186" s="419" t="str">
        <f t="shared" si="26"/>
        <v/>
      </c>
      <c r="V186" s="419" t="str">
        <f t="shared" si="27"/>
        <v/>
      </c>
      <c r="AA186" s="311" t="str">
        <f t="shared" si="28"/>
        <v/>
      </c>
      <c r="AB186" s="419" t="str">
        <f t="shared" si="29"/>
        <v/>
      </c>
      <c r="AC186" s="413" t="str">
        <f t="shared" si="30"/>
        <v/>
      </c>
      <c r="AD186" s="419" t="str">
        <f t="shared" si="31"/>
        <v/>
      </c>
      <c r="AF186" s="421">
        <f t="shared" si="32"/>
        <v>0</v>
      </c>
      <c r="AG186" s="416">
        <f t="shared" si="33"/>
        <v>0</v>
      </c>
      <c r="AH186" s="416">
        <f t="shared" si="34"/>
        <v>0</v>
      </c>
      <c r="AI186" s="416">
        <f t="shared" si="35"/>
        <v>0</v>
      </c>
      <c r="AJ186" s="416">
        <f t="shared" si="36"/>
        <v>0</v>
      </c>
      <c r="AK186" s="419">
        <f t="shared" si="37"/>
        <v>0</v>
      </c>
      <c r="AL186" s="419">
        <f t="shared" si="38"/>
        <v>0</v>
      </c>
      <c r="AM186" s="419">
        <f t="shared" si="39"/>
        <v>0</v>
      </c>
      <c r="AN186" s="419">
        <f t="shared" si="40"/>
        <v>0</v>
      </c>
      <c r="AP186" s="271">
        <f t="array" ref="AP186">IFERROR(LARGE($G$224:$G$623+ROW($G$224:$G$623)/1000000,10),"")</f>
        <v>6.1399999999999996E-4</v>
      </c>
      <c r="AQ186" s="271">
        <f t="array" ref="AQ186">IFERROR(MATCH($AP186,$G$224:$G$623+ROW($G$224:$G$623)/1000000,0),"")</f>
        <v>391</v>
      </c>
    </row>
    <row r="187" spans="1:43" ht="15" customHeight="1" outlineLevel="1" x14ac:dyDescent="0.25">
      <c r="A187" s="415">
        <v>11</v>
      </c>
      <c r="B187" s="416" t="str">
        <f t="shared" si="41"/>
        <v/>
      </c>
      <c r="C187" s="417" t="str">
        <f t="array" ref="C187">IFERROR(INDEX($D$224:$D$623,MATCH(0,IF(($C$224:$C$623="AL")*($D$224:$D$623&lt;&gt;""),COUNTIF($C$183:$C186,$D$224:$D$623),1),0)),"")</f>
        <v/>
      </c>
      <c r="D187" s="413" t="str">
        <f t="shared" si="10"/>
        <v/>
      </c>
      <c r="E187" s="413" t="str">
        <f t="shared" si="11"/>
        <v/>
      </c>
      <c r="F187" s="413" t="str">
        <f t="shared" si="12"/>
        <v/>
      </c>
      <c r="G187" s="413" t="str">
        <f t="shared" si="13"/>
        <v/>
      </c>
      <c r="H187" s="413" t="str">
        <f t="shared" si="14"/>
        <v/>
      </c>
      <c r="I187" s="418" t="str">
        <f t="shared" si="15"/>
        <v/>
      </c>
      <c r="J187" s="419" t="str">
        <f t="shared" si="16"/>
        <v/>
      </c>
      <c r="K187" s="419" t="str">
        <f t="shared" si="17"/>
        <v/>
      </c>
      <c r="L187" s="419" t="str">
        <f t="shared" si="18"/>
        <v/>
      </c>
      <c r="M187" s="420" t="str">
        <f t="shared" si="19"/>
        <v/>
      </c>
      <c r="N187" s="420" t="str">
        <f t="shared" si="20"/>
        <v/>
      </c>
      <c r="O187" s="420"/>
      <c r="P187" s="419" t="str">
        <f t="shared" si="21"/>
        <v/>
      </c>
      <c r="Q187" s="418" t="str">
        <f t="shared" si="22"/>
        <v/>
      </c>
      <c r="R187" s="419" t="str">
        <f t="shared" si="23"/>
        <v/>
      </c>
      <c r="S187" s="419" t="str">
        <f t="shared" si="24"/>
        <v/>
      </c>
      <c r="T187" s="419" t="str">
        <f t="shared" si="25"/>
        <v/>
      </c>
      <c r="U187" s="419" t="str">
        <f t="shared" si="26"/>
        <v/>
      </c>
      <c r="V187" s="419" t="str">
        <f t="shared" si="27"/>
        <v/>
      </c>
      <c r="AA187" s="311" t="str">
        <f t="shared" si="28"/>
        <v/>
      </c>
      <c r="AB187" s="419" t="str">
        <f t="shared" si="29"/>
        <v/>
      </c>
      <c r="AC187" s="413" t="str">
        <f t="shared" si="30"/>
        <v/>
      </c>
      <c r="AD187" s="419"/>
      <c r="AF187" s="421"/>
      <c r="AG187" s="416"/>
      <c r="AH187" s="416"/>
      <c r="AI187" s="416"/>
      <c r="AJ187" s="416"/>
      <c r="AK187" s="419"/>
      <c r="AL187" s="419"/>
      <c r="AM187" s="419"/>
      <c r="AN187" s="419"/>
      <c r="AP187" s="271"/>
      <c r="AQ187" s="271"/>
    </row>
    <row r="188" spans="1:43" ht="15" customHeight="1" outlineLevel="1" x14ac:dyDescent="0.25">
      <c r="A188" s="415">
        <v>12</v>
      </c>
      <c r="B188" s="416" t="str">
        <f t="shared" si="41"/>
        <v/>
      </c>
      <c r="C188" s="417" t="str">
        <f t="array" ref="C188">IFERROR(INDEX($D$224:$D$623,MATCH(0,IF(($C$224:$C$623="AL")*($D$224:$D$623&lt;&gt;""),COUNTIF($C$183:$C187,$D$224:$D$623),1),0)),"")</f>
        <v/>
      </c>
      <c r="D188" s="413" t="str">
        <f t="shared" si="10"/>
        <v/>
      </c>
      <c r="E188" s="413" t="str">
        <f t="shared" si="11"/>
        <v/>
      </c>
      <c r="F188" s="413" t="str">
        <f t="shared" si="12"/>
        <v/>
      </c>
      <c r="G188" s="413" t="str">
        <f t="shared" si="13"/>
        <v/>
      </c>
      <c r="H188" s="413" t="str">
        <f t="shared" si="14"/>
        <v/>
      </c>
      <c r="I188" s="418" t="str">
        <f t="shared" si="15"/>
        <v/>
      </c>
      <c r="J188" s="419" t="str">
        <f t="shared" si="16"/>
        <v/>
      </c>
      <c r="K188" s="419" t="str">
        <f t="shared" si="17"/>
        <v/>
      </c>
      <c r="L188" s="419" t="str">
        <f t="shared" si="18"/>
        <v/>
      </c>
      <c r="M188" s="420" t="str">
        <f t="shared" si="19"/>
        <v/>
      </c>
      <c r="N188" s="420" t="str">
        <f t="shared" si="20"/>
        <v/>
      </c>
      <c r="O188" s="420"/>
      <c r="P188" s="419" t="str">
        <f t="shared" si="21"/>
        <v/>
      </c>
      <c r="Q188" s="418" t="str">
        <f t="shared" si="22"/>
        <v/>
      </c>
      <c r="R188" s="419" t="str">
        <f t="shared" si="23"/>
        <v/>
      </c>
      <c r="S188" s="419" t="str">
        <f t="shared" si="24"/>
        <v/>
      </c>
      <c r="T188" s="419" t="str">
        <f t="shared" si="25"/>
        <v/>
      </c>
      <c r="U188" s="419" t="str">
        <f t="shared" si="26"/>
        <v/>
      </c>
      <c r="V188" s="419" t="str">
        <f t="shared" si="27"/>
        <v/>
      </c>
      <c r="AA188" s="311" t="str">
        <f t="shared" si="28"/>
        <v/>
      </c>
      <c r="AB188" s="419" t="str">
        <f t="shared" si="29"/>
        <v/>
      </c>
      <c r="AC188" s="413" t="str">
        <f t="shared" si="30"/>
        <v/>
      </c>
      <c r="AD188" s="419"/>
      <c r="AF188" s="421"/>
      <c r="AG188" s="416"/>
      <c r="AH188" s="416"/>
      <c r="AI188" s="416"/>
      <c r="AJ188" s="416"/>
      <c r="AK188" s="419"/>
      <c r="AL188" s="419"/>
      <c r="AM188" s="419"/>
      <c r="AN188" s="419"/>
      <c r="AP188" s="271"/>
      <c r="AQ188" s="271"/>
    </row>
    <row r="189" spans="1:43" ht="15" customHeight="1" outlineLevel="1" x14ac:dyDescent="0.25">
      <c r="A189" s="415">
        <v>13</v>
      </c>
      <c r="B189" s="416" t="str">
        <f t="shared" ref="B189:B194" si="42">IF($C189="","","MC")</f>
        <v/>
      </c>
      <c r="C189" s="417" t="str">
        <f t="array" ref="C189">IFERROR(INDEX($D$224:$D$623,MATCH(0,IF(($C$224:$C$623="MC")*($D$224:$D$623&lt;&gt;""),0,1),0)),"")</f>
        <v/>
      </c>
      <c r="D189" s="413" t="str">
        <f t="shared" si="10"/>
        <v/>
      </c>
      <c r="E189" s="413" t="str">
        <f t="shared" si="11"/>
        <v/>
      </c>
      <c r="F189" s="413" t="str">
        <f t="shared" si="12"/>
        <v/>
      </c>
      <c r="G189" s="413" t="str">
        <f t="shared" si="13"/>
        <v/>
      </c>
      <c r="H189" s="413" t="str">
        <f t="shared" si="14"/>
        <v/>
      </c>
      <c r="I189" s="418" t="str">
        <f t="shared" si="15"/>
        <v/>
      </c>
      <c r="J189" s="419" t="str">
        <f t="shared" si="16"/>
        <v/>
      </c>
      <c r="K189" s="419" t="str">
        <f t="shared" si="17"/>
        <v/>
      </c>
      <c r="L189" s="419" t="str">
        <f t="shared" si="18"/>
        <v/>
      </c>
      <c r="M189" s="420" t="str">
        <f t="shared" si="19"/>
        <v/>
      </c>
      <c r="N189" s="420" t="str">
        <f t="shared" si="20"/>
        <v/>
      </c>
      <c r="O189" s="420"/>
      <c r="P189" s="419" t="str">
        <f t="shared" si="21"/>
        <v/>
      </c>
      <c r="Q189" s="418" t="str">
        <f t="shared" si="22"/>
        <v/>
      </c>
      <c r="R189" s="419" t="str">
        <f t="shared" si="23"/>
        <v/>
      </c>
      <c r="S189" s="419" t="str">
        <f t="shared" si="24"/>
        <v/>
      </c>
      <c r="T189" s="419" t="str">
        <f t="shared" si="25"/>
        <v/>
      </c>
      <c r="U189" s="419" t="str">
        <f t="shared" si="26"/>
        <v/>
      </c>
      <c r="V189" s="419" t="str">
        <f t="shared" si="27"/>
        <v/>
      </c>
      <c r="AA189" s="311" t="str">
        <f t="shared" si="28"/>
        <v/>
      </c>
      <c r="AB189" s="419" t="str">
        <f t="shared" si="29"/>
        <v/>
      </c>
      <c r="AC189" s="413" t="str">
        <f t="shared" si="30"/>
        <v/>
      </c>
      <c r="AD189" s="419"/>
      <c r="AF189" s="421"/>
      <c r="AG189" s="416"/>
      <c r="AH189" s="416"/>
      <c r="AI189" s="416"/>
      <c r="AJ189" s="416"/>
      <c r="AK189" s="419"/>
      <c r="AL189" s="419"/>
      <c r="AM189" s="419"/>
      <c r="AN189" s="419"/>
      <c r="AP189" s="271"/>
      <c r="AQ189" s="271"/>
    </row>
    <row r="190" spans="1:43" ht="15" customHeight="1" outlineLevel="1" x14ac:dyDescent="0.25">
      <c r="A190" s="415">
        <v>14</v>
      </c>
      <c r="B190" s="416" t="str">
        <f t="shared" si="42"/>
        <v/>
      </c>
      <c r="C190" s="417" t="str">
        <f t="array" ref="C190">IFERROR(INDEX($D$224:$D$623,MATCH(0,IF(($C$224:$C$623="MC")*($D$224:$D$623&lt;&gt;""),COUNTIF($C$189:$C189,$D$224:$D$623),1),0)),"")</f>
        <v/>
      </c>
      <c r="D190" s="413" t="str">
        <f t="shared" si="10"/>
        <v/>
      </c>
      <c r="E190" s="413" t="str">
        <f t="shared" si="11"/>
        <v/>
      </c>
      <c r="F190" s="413" t="str">
        <f t="shared" si="12"/>
        <v/>
      </c>
      <c r="G190" s="413" t="str">
        <f t="shared" si="13"/>
        <v/>
      </c>
      <c r="H190" s="413" t="str">
        <f t="shared" si="14"/>
        <v/>
      </c>
      <c r="I190" s="418" t="str">
        <f t="shared" si="15"/>
        <v/>
      </c>
      <c r="J190" s="419" t="str">
        <f t="shared" si="16"/>
        <v/>
      </c>
      <c r="K190" s="419" t="str">
        <f t="shared" si="17"/>
        <v/>
      </c>
      <c r="L190" s="419" t="str">
        <f t="shared" si="18"/>
        <v/>
      </c>
      <c r="M190" s="420" t="str">
        <f t="shared" si="19"/>
        <v/>
      </c>
      <c r="N190" s="420" t="str">
        <f t="shared" si="20"/>
        <v/>
      </c>
      <c r="O190" s="420"/>
      <c r="P190" s="419" t="str">
        <f t="shared" si="21"/>
        <v/>
      </c>
      <c r="Q190" s="418" t="str">
        <f t="shared" si="22"/>
        <v/>
      </c>
      <c r="R190" s="419" t="str">
        <f t="shared" si="23"/>
        <v/>
      </c>
      <c r="S190" s="419" t="str">
        <f t="shared" si="24"/>
        <v/>
      </c>
      <c r="T190" s="419" t="str">
        <f t="shared" si="25"/>
        <v/>
      </c>
      <c r="U190" s="419" t="str">
        <f t="shared" si="26"/>
        <v/>
      </c>
      <c r="V190" s="419" t="str">
        <f t="shared" si="27"/>
        <v/>
      </c>
      <c r="AA190" s="311" t="str">
        <f t="shared" si="28"/>
        <v/>
      </c>
      <c r="AB190" s="419" t="str">
        <f t="shared" si="29"/>
        <v/>
      </c>
      <c r="AC190" s="413" t="str">
        <f t="shared" si="30"/>
        <v/>
      </c>
      <c r="AD190" s="419"/>
      <c r="AF190" s="421"/>
      <c r="AG190" s="416"/>
      <c r="AH190" s="416"/>
      <c r="AI190" s="416"/>
      <c r="AJ190" s="416"/>
      <c r="AK190" s="419"/>
      <c r="AL190" s="419"/>
      <c r="AM190" s="419"/>
      <c r="AN190" s="419"/>
      <c r="AP190" s="271"/>
      <c r="AQ190" s="271"/>
    </row>
    <row r="191" spans="1:43" ht="15" customHeight="1" outlineLevel="1" x14ac:dyDescent="0.25">
      <c r="A191" s="415">
        <v>15</v>
      </c>
      <c r="B191" s="416" t="str">
        <f t="shared" si="42"/>
        <v/>
      </c>
      <c r="C191" s="417" t="str">
        <f t="array" ref="C191">IFERROR(INDEX($D$224:$D$623,MATCH(0,IF(($C$224:$C$623="MC")*($D$224:$D$623&lt;&gt;""),COUNTIF($C$189:$C190,$D$224:$D$623),1),0)),"")</f>
        <v/>
      </c>
      <c r="D191" s="413" t="str">
        <f t="shared" si="10"/>
        <v/>
      </c>
      <c r="E191" s="413" t="str">
        <f t="shared" si="11"/>
        <v/>
      </c>
      <c r="F191" s="413" t="str">
        <f t="shared" si="12"/>
        <v/>
      </c>
      <c r="G191" s="413" t="str">
        <f t="shared" si="13"/>
        <v/>
      </c>
      <c r="H191" s="413" t="str">
        <f t="shared" si="14"/>
        <v/>
      </c>
      <c r="I191" s="418" t="str">
        <f t="shared" si="15"/>
        <v/>
      </c>
      <c r="J191" s="419" t="str">
        <f t="shared" si="16"/>
        <v/>
      </c>
      <c r="K191" s="419" t="str">
        <f t="shared" si="17"/>
        <v/>
      </c>
      <c r="L191" s="419" t="str">
        <f t="shared" si="18"/>
        <v/>
      </c>
      <c r="M191" s="420" t="str">
        <f t="shared" si="19"/>
        <v/>
      </c>
      <c r="N191" s="420" t="str">
        <f t="shared" si="20"/>
        <v/>
      </c>
      <c r="O191" s="420"/>
      <c r="P191" s="419" t="str">
        <f t="shared" si="21"/>
        <v/>
      </c>
      <c r="Q191" s="418" t="str">
        <f t="shared" si="22"/>
        <v/>
      </c>
      <c r="R191" s="419" t="str">
        <f t="shared" si="23"/>
        <v/>
      </c>
      <c r="S191" s="419" t="str">
        <f t="shared" si="24"/>
        <v/>
      </c>
      <c r="T191" s="419" t="str">
        <f t="shared" si="25"/>
        <v/>
      </c>
      <c r="U191" s="419" t="str">
        <f t="shared" si="26"/>
        <v/>
      </c>
      <c r="V191" s="419" t="str">
        <f t="shared" si="27"/>
        <v/>
      </c>
      <c r="AA191" s="311" t="str">
        <f t="shared" si="28"/>
        <v/>
      </c>
      <c r="AB191" s="419" t="str">
        <f t="shared" si="29"/>
        <v/>
      </c>
      <c r="AC191" s="413" t="str">
        <f t="shared" si="30"/>
        <v/>
      </c>
      <c r="AD191" s="419"/>
      <c r="AF191" s="421"/>
      <c r="AG191" s="416"/>
      <c r="AH191" s="416"/>
      <c r="AI191" s="416"/>
      <c r="AJ191" s="416"/>
      <c r="AK191" s="419"/>
      <c r="AL191" s="419"/>
      <c r="AM191" s="419"/>
      <c r="AN191" s="419"/>
      <c r="AP191" s="271"/>
      <c r="AQ191" s="271"/>
    </row>
    <row r="192" spans="1:43" ht="15" customHeight="1" outlineLevel="1" x14ac:dyDescent="0.25">
      <c r="A192" s="415">
        <v>16</v>
      </c>
      <c r="B192" s="416" t="str">
        <f t="shared" si="42"/>
        <v/>
      </c>
      <c r="C192" s="417" t="str">
        <f t="array" ref="C192">IFERROR(INDEX($D$224:$D$623,MATCH(0,IF(($C$224:$C$623="MC")*($D$224:$D$623&lt;&gt;""),COUNTIF($C$189:$C191,$D$224:$D$623),1),0)),"")</f>
        <v/>
      </c>
      <c r="D192" s="413" t="str">
        <f t="shared" si="10"/>
        <v/>
      </c>
      <c r="E192" s="413" t="str">
        <f t="shared" si="11"/>
        <v/>
      </c>
      <c r="F192" s="413" t="str">
        <f t="shared" si="12"/>
        <v/>
      </c>
      <c r="G192" s="413" t="str">
        <f t="shared" si="13"/>
        <v/>
      </c>
      <c r="H192" s="413" t="str">
        <f t="shared" si="14"/>
        <v/>
      </c>
      <c r="I192" s="418" t="str">
        <f t="shared" si="15"/>
        <v/>
      </c>
      <c r="J192" s="419" t="str">
        <f t="shared" si="16"/>
        <v/>
      </c>
      <c r="K192" s="419" t="str">
        <f t="shared" si="17"/>
        <v/>
      </c>
      <c r="L192" s="419" t="str">
        <f t="shared" si="18"/>
        <v/>
      </c>
      <c r="M192" s="420" t="str">
        <f t="shared" si="19"/>
        <v/>
      </c>
      <c r="N192" s="420" t="str">
        <f t="shared" si="20"/>
        <v/>
      </c>
      <c r="O192" s="420"/>
      <c r="P192" s="419" t="str">
        <f t="shared" si="21"/>
        <v/>
      </c>
      <c r="Q192" s="418" t="str">
        <f t="shared" si="22"/>
        <v/>
      </c>
      <c r="R192" s="419" t="str">
        <f t="shared" si="23"/>
        <v/>
      </c>
      <c r="S192" s="419" t="str">
        <f t="shared" si="24"/>
        <v/>
      </c>
      <c r="T192" s="419" t="str">
        <f t="shared" si="25"/>
        <v/>
      </c>
      <c r="U192" s="419" t="str">
        <f t="shared" si="26"/>
        <v/>
      </c>
      <c r="V192" s="419" t="str">
        <f t="shared" si="27"/>
        <v/>
      </c>
      <c r="AA192" s="311" t="str">
        <f t="shared" si="28"/>
        <v/>
      </c>
      <c r="AB192" s="419" t="str">
        <f t="shared" si="29"/>
        <v/>
      </c>
      <c r="AC192" s="413" t="str">
        <f t="shared" si="30"/>
        <v/>
      </c>
      <c r="AD192" s="419"/>
      <c r="AF192" s="421"/>
      <c r="AG192" s="416"/>
      <c r="AH192" s="416"/>
      <c r="AI192" s="416"/>
      <c r="AJ192" s="416"/>
      <c r="AK192" s="419"/>
      <c r="AL192" s="419"/>
      <c r="AM192" s="419"/>
      <c r="AN192" s="419"/>
      <c r="AP192" s="271"/>
      <c r="AQ192" s="271"/>
    </row>
    <row r="193" spans="1:43" ht="15" customHeight="1" outlineLevel="1" x14ac:dyDescent="0.25">
      <c r="A193" s="415">
        <v>17</v>
      </c>
      <c r="B193" s="416" t="str">
        <f t="shared" si="42"/>
        <v/>
      </c>
      <c r="C193" s="417" t="str">
        <f t="array" ref="C193">IFERROR(INDEX($D$224:$D$623,MATCH(0,IF(($C$224:$C$623="MC")*($D$224:$D$623&lt;&gt;""),COUNTIF($C$189:$C192,$D$224:$D$623),1),0)),"")</f>
        <v/>
      </c>
      <c r="D193" s="413" t="str">
        <f t="shared" si="10"/>
        <v/>
      </c>
      <c r="E193" s="413" t="str">
        <f t="shared" si="11"/>
        <v/>
      </c>
      <c r="F193" s="413" t="str">
        <f t="shared" si="12"/>
        <v/>
      </c>
      <c r="G193" s="413" t="str">
        <f t="shared" si="13"/>
        <v/>
      </c>
      <c r="H193" s="413" t="str">
        <f t="shared" si="14"/>
        <v/>
      </c>
      <c r="I193" s="418" t="str">
        <f t="shared" si="15"/>
        <v/>
      </c>
      <c r="J193" s="419" t="str">
        <f t="shared" si="16"/>
        <v/>
      </c>
      <c r="K193" s="419" t="str">
        <f t="shared" si="17"/>
        <v/>
      </c>
      <c r="L193" s="419" t="str">
        <f t="shared" si="18"/>
        <v/>
      </c>
      <c r="M193" s="420" t="str">
        <f t="shared" si="19"/>
        <v/>
      </c>
      <c r="N193" s="420" t="str">
        <f t="shared" si="20"/>
        <v/>
      </c>
      <c r="O193" s="420"/>
      <c r="P193" s="419" t="str">
        <f t="shared" si="21"/>
        <v/>
      </c>
      <c r="Q193" s="418" t="str">
        <f t="shared" si="22"/>
        <v/>
      </c>
      <c r="R193" s="419" t="str">
        <f t="shared" si="23"/>
        <v/>
      </c>
      <c r="S193" s="419" t="str">
        <f t="shared" si="24"/>
        <v/>
      </c>
      <c r="T193" s="419" t="str">
        <f t="shared" si="25"/>
        <v/>
      </c>
      <c r="U193" s="419" t="str">
        <f t="shared" si="26"/>
        <v/>
      </c>
      <c r="V193" s="419" t="str">
        <f t="shared" si="27"/>
        <v/>
      </c>
      <c r="AA193" s="311" t="str">
        <f t="shared" si="28"/>
        <v/>
      </c>
      <c r="AB193" s="419" t="str">
        <f t="shared" si="29"/>
        <v/>
      </c>
      <c r="AC193" s="413" t="str">
        <f t="shared" si="30"/>
        <v/>
      </c>
      <c r="AD193" s="419"/>
      <c r="AF193" s="421"/>
      <c r="AG193" s="416"/>
      <c r="AH193" s="416"/>
      <c r="AI193" s="416"/>
      <c r="AJ193" s="416"/>
      <c r="AK193" s="419"/>
      <c r="AL193" s="419"/>
      <c r="AM193" s="419"/>
      <c r="AN193" s="419"/>
      <c r="AP193" s="271"/>
      <c r="AQ193" s="271"/>
    </row>
    <row r="194" spans="1:43" ht="15" customHeight="1" outlineLevel="1" x14ac:dyDescent="0.25">
      <c r="A194" s="415">
        <v>18</v>
      </c>
      <c r="B194" s="416" t="str">
        <f t="shared" si="42"/>
        <v/>
      </c>
      <c r="C194" s="417" t="str">
        <f t="array" ref="C194">IFERROR(INDEX($D$224:$D$623,MATCH(0,IF(($C$224:$C$623="MC")*($D$224:$D$623&lt;&gt;""),COUNTIF($C$189:$C193,$D$224:$D$623),1),0)),"")</f>
        <v/>
      </c>
      <c r="D194" s="413" t="str">
        <f t="shared" si="10"/>
        <v/>
      </c>
      <c r="E194" s="413" t="str">
        <f t="shared" si="11"/>
        <v/>
      </c>
      <c r="F194" s="413" t="str">
        <f t="shared" si="12"/>
        <v/>
      </c>
      <c r="G194" s="413" t="str">
        <f t="shared" si="13"/>
        <v/>
      </c>
      <c r="H194" s="413" t="str">
        <f t="shared" si="14"/>
        <v/>
      </c>
      <c r="I194" s="418" t="str">
        <f t="shared" si="15"/>
        <v/>
      </c>
      <c r="J194" s="419" t="str">
        <f t="shared" si="16"/>
        <v/>
      </c>
      <c r="K194" s="419" t="str">
        <f t="shared" si="17"/>
        <v/>
      </c>
      <c r="L194" s="419" t="str">
        <f t="shared" si="18"/>
        <v/>
      </c>
      <c r="M194" s="420" t="str">
        <f t="shared" si="19"/>
        <v/>
      </c>
      <c r="N194" s="420" t="str">
        <f t="shared" si="20"/>
        <v/>
      </c>
      <c r="O194" s="420"/>
      <c r="P194" s="419" t="str">
        <f t="shared" si="21"/>
        <v/>
      </c>
      <c r="Q194" s="418" t="str">
        <f t="shared" si="22"/>
        <v/>
      </c>
      <c r="R194" s="419" t="str">
        <f t="shared" si="23"/>
        <v/>
      </c>
      <c r="S194" s="419" t="str">
        <f t="shared" si="24"/>
        <v/>
      </c>
      <c r="T194" s="419" t="str">
        <f t="shared" si="25"/>
        <v/>
      </c>
      <c r="U194" s="419" t="str">
        <f t="shared" si="26"/>
        <v/>
      </c>
      <c r="V194" s="419" t="str">
        <f t="shared" si="27"/>
        <v/>
      </c>
      <c r="AA194" s="311" t="str">
        <f t="shared" si="28"/>
        <v/>
      </c>
      <c r="AB194" s="419" t="str">
        <f t="shared" si="29"/>
        <v/>
      </c>
      <c r="AC194" s="413" t="str">
        <f t="shared" si="30"/>
        <v/>
      </c>
      <c r="AD194" s="419"/>
      <c r="AF194" s="421"/>
      <c r="AG194" s="416"/>
      <c r="AH194" s="416"/>
      <c r="AI194" s="416"/>
      <c r="AJ194" s="416"/>
      <c r="AK194" s="419"/>
      <c r="AL194" s="419"/>
      <c r="AM194" s="419"/>
      <c r="AN194" s="419"/>
      <c r="AP194" s="271"/>
      <c r="AQ194" s="271"/>
    </row>
    <row r="195" spans="1:43" ht="15" customHeight="1" outlineLevel="1" x14ac:dyDescent="0.25">
      <c r="A195" s="415">
        <v>19</v>
      </c>
      <c r="B195" s="416" t="str">
        <f t="shared" ref="B195:B200" si="43">IF($C195="","","OTH")</f>
        <v/>
      </c>
      <c r="C195" s="417" t="str">
        <f t="array" ref="C195">IFERROR(INDEX($D$224:$D$623,MATCH(0,IF(($C$224:$C$623="OTH")*($D$224:$D$623&lt;&gt;""),0,1),0)),"")</f>
        <v/>
      </c>
      <c r="D195" s="413" t="str">
        <f t="shared" si="10"/>
        <v/>
      </c>
      <c r="E195" s="413" t="str">
        <f t="shared" si="11"/>
        <v/>
      </c>
      <c r="F195" s="413" t="str">
        <f t="shared" si="12"/>
        <v/>
      </c>
      <c r="G195" s="413" t="str">
        <f t="shared" si="13"/>
        <v/>
      </c>
      <c r="H195" s="413" t="str">
        <f t="shared" si="14"/>
        <v/>
      </c>
      <c r="I195" s="418" t="str">
        <f t="shared" si="15"/>
        <v/>
      </c>
      <c r="J195" s="419" t="str">
        <f t="shared" si="16"/>
        <v/>
      </c>
      <c r="K195" s="419" t="str">
        <f t="shared" si="17"/>
        <v/>
      </c>
      <c r="L195" s="419" t="str">
        <f t="shared" si="18"/>
        <v/>
      </c>
      <c r="M195" s="420" t="str">
        <f t="shared" si="19"/>
        <v/>
      </c>
      <c r="N195" s="420" t="str">
        <f t="shared" si="20"/>
        <v/>
      </c>
      <c r="O195" s="420"/>
      <c r="P195" s="419" t="str">
        <f t="shared" si="21"/>
        <v/>
      </c>
      <c r="Q195" s="418" t="str">
        <f t="shared" si="22"/>
        <v/>
      </c>
      <c r="R195" s="419" t="str">
        <f t="shared" si="23"/>
        <v/>
      </c>
      <c r="S195" s="419" t="str">
        <f t="shared" si="24"/>
        <v/>
      </c>
      <c r="T195" s="419" t="str">
        <f t="shared" si="25"/>
        <v/>
      </c>
      <c r="U195" s="419" t="str">
        <f t="shared" si="26"/>
        <v/>
      </c>
      <c r="V195" s="419" t="str">
        <f t="shared" si="27"/>
        <v/>
      </c>
      <c r="AA195" s="311" t="str">
        <f t="shared" si="28"/>
        <v/>
      </c>
      <c r="AB195" s="419" t="str">
        <f t="shared" si="29"/>
        <v/>
      </c>
      <c r="AC195" s="413" t="str">
        <f t="shared" si="30"/>
        <v/>
      </c>
      <c r="AD195" s="419"/>
      <c r="AF195" s="421"/>
      <c r="AG195" s="416"/>
      <c r="AH195" s="416"/>
      <c r="AI195" s="416"/>
      <c r="AJ195" s="416"/>
      <c r="AK195" s="419"/>
      <c r="AL195" s="419"/>
      <c r="AM195" s="419"/>
      <c r="AN195" s="419"/>
      <c r="AP195" s="271"/>
      <c r="AQ195" s="271"/>
    </row>
    <row r="196" spans="1:43" ht="15" customHeight="1" outlineLevel="1" x14ac:dyDescent="0.25">
      <c r="A196" s="415">
        <v>20</v>
      </c>
      <c r="B196" s="416" t="str">
        <f t="shared" si="43"/>
        <v/>
      </c>
      <c r="C196" s="417" t="str">
        <f t="array" ref="C196">IFERROR(INDEX($D$224:$D$623,MATCH(0,IF(($C$224:$C$623="OTH")*($D$224:$D$623&lt;&gt;""),COUNTIF($C$195:$C195,$D$224:$D$623),1),0)),"")</f>
        <v/>
      </c>
      <c r="D196" s="413" t="str">
        <f t="shared" si="10"/>
        <v/>
      </c>
      <c r="E196" s="413" t="str">
        <f t="shared" si="11"/>
        <v/>
      </c>
      <c r="F196" s="413" t="str">
        <f t="shared" si="12"/>
        <v/>
      </c>
      <c r="G196" s="413" t="str">
        <f t="shared" si="13"/>
        <v/>
      </c>
      <c r="H196" s="413" t="str">
        <f t="shared" si="14"/>
        <v/>
      </c>
      <c r="I196" s="418" t="str">
        <f t="shared" si="15"/>
        <v/>
      </c>
      <c r="J196" s="419" t="str">
        <f t="shared" si="16"/>
        <v/>
      </c>
      <c r="K196" s="419" t="str">
        <f t="shared" si="17"/>
        <v/>
      </c>
      <c r="L196" s="419" t="str">
        <f t="shared" si="18"/>
        <v/>
      </c>
      <c r="M196" s="420" t="str">
        <f t="shared" si="19"/>
        <v/>
      </c>
      <c r="N196" s="420" t="str">
        <f t="shared" si="20"/>
        <v/>
      </c>
      <c r="O196" s="420"/>
      <c r="P196" s="419" t="str">
        <f t="shared" si="21"/>
        <v/>
      </c>
      <c r="Q196" s="418" t="str">
        <f t="shared" si="22"/>
        <v/>
      </c>
      <c r="R196" s="419" t="str">
        <f t="shared" si="23"/>
        <v/>
      </c>
      <c r="S196" s="419" t="str">
        <f t="shared" si="24"/>
        <v/>
      </c>
      <c r="T196" s="419" t="str">
        <f t="shared" si="25"/>
        <v/>
      </c>
      <c r="U196" s="419" t="str">
        <f t="shared" si="26"/>
        <v/>
      </c>
      <c r="V196" s="419" t="str">
        <f t="shared" si="27"/>
        <v/>
      </c>
      <c r="AA196" s="311" t="str">
        <f t="shared" si="28"/>
        <v/>
      </c>
      <c r="AB196" s="419" t="str">
        <f t="shared" si="29"/>
        <v/>
      </c>
      <c r="AC196" s="413" t="str">
        <f t="shared" si="30"/>
        <v/>
      </c>
      <c r="AD196" s="419"/>
      <c r="AF196" s="421"/>
      <c r="AG196" s="416"/>
      <c r="AH196" s="416"/>
      <c r="AI196" s="416"/>
      <c r="AJ196" s="416"/>
      <c r="AK196" s="419"/>
      <c r="AL196" s="419"/>
      <c r="AM196" s="419"/>
      <c r="AN196" s="419"/>
      <c r="AP196" s="271"/>
      <c r="AQ196" s="271"/>
    </row>
    <row r="197" spans="1:43" ht="15" customHeight="1" outlineLevel="1" x14ac:dyDescent="0.25">
      <c r="A197" s="415">
        <v>21</v>
      </c>
      <c r="B197" s="416" t="str">
        <f t="shared" si="43"/>
        <v/>
      </c>
      <c r="C197" s="417" t="str">
        <f t="array" ref="C197">IFERROR(INDEX($D$224:$D$623,MATCH(0,IF(($C$224:$C$623="OTH")*($D$224:$D$623&lt;&gt;""),COUNTIF($C$195:$C196,$D$224:$D$623),1),0)),"")</f>
        <v/>
      </c>
      <c r="D197" s="413" t="str">
        <f t="shared" si="10"/>
        <v/>
      </c>
      <c r="E197" s="413" t="str">
        <f t="shared" si="11"/>
        <v/>
      </c>
      <c r="F197" s="413" t="str">
        <f t="shared" si="12"/>
        <v/>
      </c>
      <c r="G197" s="413" t="str">
        <f t="shared" si="13"/>
        <v/>
      </c>
      <c r="H197" s="413" t="str">
        <f t="shared" si="14"/>
        <v/>
      </c>
      <c r="I197" s="418" t="str">
        <f t="shared" si="15"/>
        <v/>
      </c>
      <c r="J197" s="419" t="str">
        <f t="shared" si="16"/>
        <v/>
      </c>
      <c r="K197" s="419" t="str">
        <f t="shared" si="17"/>
        <v/>
      </c>
      <c r="L197" s="419" t="str">
        <f t="shared" si="18"/>
        <v/>
      </c>
      <c r="M197" s="420" t="str">
        <f t="shared" si="19"/>
        <v/>
      </c>
      <c r="N197" s="420" t="str">
        <f t="shared" si="20"/>
        <v/>
      </c>
      <c r="O197" s="420"/>
      <c r="P197" s="419" t="str">
        <f t="shared" si="21"/>
        <v/>
      </c>
      <c r="Q197" s="418" t="str">
        <f t="shared" si="22"/>
        <v/>
      </c>
      <c r="R197" s="419" t="str">
        <f t="shared" si="23"/>
        <v/>
      </c>
      <c r="S197" s="419" t="str">
        <f t="shared" si="24"/>
        <v/>
      </c>
      <c r="T197" s="419" t="str">
        <f t="shared" si="25"/>
        <v/>
      </c>
      <c r="U197" s="419" t="str">
        <f t="shared" si="26"/>
        <v/>
      </c>
      <c r="V197" s="419" t="str">
        <f t="shared" si="27"/>
        <v/>
      </c>
      <c r="AA197" s="311" t="str">
        <f t="shared" si="28"/>
        <v/>
      </c>
      <c r="AB197" s="419" t="str">
        <f t="shared" si="29"/>
        <v/>
      </c>
      <c r="AC197" s="413" t="str">
        <f t="shared" si="30"/>
        <v/>
      </c>
      <c r="AD197" s="419" t="str">
        <f>IF($C197="","",IFERROR(AVERAGEIFS($AV$224:$AV$623,$X$224:$X$623,$B197&amp;"|"&amp;$C197),0))</f>
        <v/>
      </c>
    </row>
    <row r="198" spans="1:43" ht="15" customHeight="1" outlineLevel="1" x14ac:dyDescent="0.25">
      <c r="A198" s="415">
        <v>22</v>
      </c>
      <c r="B198" s="416" t="str">
        <f t="shared" si="43"/>
        <v/>
      </c>
      <c r="C198" s="417" t="str">
        <f t="array" ref="C198">IFERROR(INDEX($D$224:$D$623,MATCH(0,IF(($C$224:$C$623="OTH")*($D$224:$D$623&lt;&gt;""),COUNTIF($C$195:$C197,$D$224:$D$623),1),0)),"")</f>
        <v/>
      </c>
      <c r="D198" s="413" t="str">
        <f t="shared" si="10"/>
        <v/>
      </c>
      <c r="E198" s="413" t="str">
        <f t="shared" si="11"/>
        <v/>
      </c>
      <c r="F198" s="413" t="str">
        <f t="shared" si="12"/>
        <v/>
      </c>
      <c r="G198" s="413" t="str">
        <f t="shared" si="13"/>
        <v/>
      </c>
      <c r="H198" s="413" t="str">
        <f t="shared" si="14"/>
        <v/>
      </c>
      <c r="I198" s="418" t="str">
        <f t="shared" si="15"/>
        <v/>
      </c>
      <c r="J198" s="419" t="str">
        <f t="shared" si="16"/>
        <v/>
      </c>
      <c r="K198" s="419" t="str">
        <f t="shared" si="17"/>
        <v/>
      </c>
      <c r="L198" s="419" t="str">
        <f t="shared" si="18"/>
        <v/>
      </c>
      <c r="M198" s="420" t="str">
        <f t="shared" si="19"/>
        <v/>
      </c>
      <c r="N198" s="420" t="str">
        <f t="shared" si="20"/>
        <v/>
      </c>
      <c r="O198" s="420"/>
      <c r="P198" s="419" t="str">
        <f t="shared" si="21"/>
        <v/>
      </c>
      <c r="Q198" s="418" t="str">
        <f t="shared" si="22"/>
        <v/>
      </c>
      <c r="R198" s="419" t="str">
        <f t="shared" si="23"/>
        <v/>
      </c>
      <c r="S198" s="419" t="str">
        <f t="shared" si="24"/>
        <v/>
      </c>
      <c r="T198" s="419" t="str">
        <f t="shared" si="25"/>
        <v/>
      </c>
      <c r="U198" s="419" t="str">
        <f t="shared" si="26"/>
        <v/>
      </c>
      <c r="V198" s="419" t="str">
        <f t="shared" si="27"/>
        <v/>
      </c>
      <c r="AA198" s="311" t="str">
        <f t="shared" si="28"/>
        <v/>
      </c>
      <c r="AB198" s="419" t="str">
        <f t="shared" si="29"/>
        <v/>
      </c>
      <c r="AC198" s="413" t="str">
        <f t="shared" si="30"/>
        <v/>
      </c>
      <c r="AD198" s="419" t="str">
        <f>IF($C198="","",IFERROR(AVERAGEIFS($AV$224:$AV$623,$X$224:$X$623,$B198&amp;"|"&amp;$C198),0))</f>
        <v/>
      </c>
    </row>
    <row r="199" spans="1:43" ht="15" customHeight="1" outlineLevel="1" x14ac:dyDescent="0.25">
      <c r="A199" s="415">
        <v>23</v>
      </c>
      <c r="B199" s="416" t="str">
        <f t="shared" si="43"/>
        <v/>
      </c>
      <c r="C199" s="417" t="str">
        <f t="array" ref="C199">IFERROR(INDEX($D$224:$D$623,MATCH(0,IF(($C$224:$C$623="OTH")*($D$224:$D$623&lt;&gt;""),COUNTIF($C$195:$C198,$D$224:$D$623),1),0)),"")</f>
        <v/>
      </c>
      <c r="D199" s="413" t="str">
        <f t="shared" si="10"/>
        <v/>
      </c>
      <c r="E199" s="413" t="str">
        <f t="shared" si="11"/>
        <v/>
      </c>
      <c r="F199" s="413" t="str">
        <f t="shared" si="12"/>
        <v/>
      </c>
      <c r="G199" s="413" t="str">
        <f t="shared" si="13"/>
        <v/>
      </c>
      <c r="H199" s="413" t="str">
        <f t="shared" si="14"/>
        <v/>
      </c>
      <c r="I199" s="418" t="str">
        <f t="shared" si="15"/>
        <v/>
      </c>
      <c r="J199" s="419" t="str">
        <f t="shared" si="16"/>
        <v/>
      </c>
      <c r="K199" s="419" t="str">
        <f t="shared" si="17"/>
        <v/>
      </c>
      <c r="L199" s="419" t="str">
        <f t="shared" si="18"/>
        <v/>
      </c>
      <c r="M199" s="420" t="str">
        <f t="shared" si="19"/>
        <v/>
      </c>
      <c r="N199" s="420" t="str">
        <f t="shared" si="20"/>
        <v/>
      </c>
      <c r="O199" s="420"/>
      <c r="P199" s="419" t="str">
        <f t="shared" si="21"/>
        <v/>
      </c>
      <c r="Q199" s="418" t="str">
        <f t="shared" si="22"/>
        <v/>
      </c>
      <c r="R199" s="419" t="str">
        <f t="shared" si="23"/>
        <v/>
      </c>
      <c r="S199" s="419" t="str">
        <f t="shared" si="24"/>
        <v/>
      </c>
      <c r="T199" s="419" t="str">
        <f t="shared" si="25"/>
        <v/>
      </c>
      <c r="U199" s="419" t="str">
        <f t="shared" si="26"/>
        <v/>
      </c>
      <c r="V199" s="419" t="str">
        <f t="shared" si="27"/>
        <v/>
      </c>
      <c r="AA199" s="311" t="str">
        <f t="shared" si="28"/>
        <v/>
      </c>
      <c r="AB199" s="419" t="str">
        <f t="shared" si="29"/>
        <v/>
      </c>
      <c r="AC199" s="413" t="str">
        <f t="shared" si="30"/>
        <v/>
      </c>
      <c r="AD199" s="419" t="str">
        <f>IF($C199="","",IFERROR(AVERAGEIFS($AV$224:$AV$623,$X$224:$X$623,$B199&amp;"|"&amp;$C199),0))</f>
        <v/>
      </c>
    </row>
    <row r="200" spans="1:43" ht="15" customHeight="1" outlineLevel="1" x14ac:dyDescent="0.25">
      <c r="A200" s="415">
        <v>24</v>
      </c>
      <c r="B200" s="416" t="str">
        <f t="shared" si="43"/>
        <v/>
      </c>
      <c r="C200" s="417" t="str">
        <f t="array" ref="C200">IFERROR(INDEX($D$224:$D$623,MATCH(0,IF(($C$224:$C$623="OTH")*($D$224:$D$623&lt;&gt;""),COUNTIF($C$195:$C199,$D$224:$D$623),1),0)),"")</f>
        <v/>
      </c>
      <c r="D200" s="413" t="str">
        <f t="shared" si="10"/>
        <v/>
      </c>
      <c r="E200" s="413" t="str">
        <f t="shared" si="11"/>
        <v/>
      </c>
      <c r="F200" s="413" t="str">
        <f t="shared" si="12"/>
        <v/>
      </c>
      <c r="G200" s="413" t="str">
        <f t="shared" si="13"/>
        <v/>
      </c>
      <c r="H200" s="413" t="str">
        <f t="shared" si="14"/>
        <v/>
      </c>
      <c r="I200" s="418" t="str">
        <f t="shared" si="15"/>
        <v/>
      </c>
      <c r="J200" s="419" t="str">
        <f t="shared" si="16"/>
        <v/>
      </c>
      <c r="K200" s="419" t="str">
        <f t="shared" si="17"/>
        <v/>
      </c>
      <c r="L200" s="419" t="str">
        <f t="shared" si="18"/>
        <v/>
      </c>
      <c r="M200" s="420" t="str">
        <f t="shared" si="19"/>
        <v/>
      </c>
      <c r="N200" s="420" t="str">
        <f t="shared" si="20"/>
        <v/>
      </c>
      <c r="O200" s="420"/>
      <c r="P200" s="419" t="str">
        <f t="shared" si="21"/>
        <v/>
      </c>
      <c r="Q200" s="418" t="str">
        <f t="shared" si="22"/>
        <v/>
      </c>
      <c r="R200" s="419" t="str">
        <f t="shared" si="23"/>
        <v/>
      </c>
      <c r="S200" s="419" t="str">
        <f t="shared" si="24"/>
        <v/>
      </c>
      <c r="T200" s="419" t="str">
        <f t="shared" si="25"/>
        <v/>
      </c>
      <c r="U200" s="419" t="str">
        <f t="shared" si="26"/>
        <v/>
      </c>
      <c r="V200" s="419" t="str">
        <f t="shared" si="27"/>
        <v/>
      </c>
      <c r="AA200" s="311" t="str">
        <f t="shared" si="28"/>
        <v/>
      </c>
      <c r="AB200" s="419" t="str">
        <f t="shared" si="29"/>
        <v/>
      </c>
      <c r="AC200" s="413" t="str">
        <f t="shared" si="30"/>
        <v/>
      </c>
      <c r="AD200" s="419" t="str">
        <f>IF($C200="","",IFERROR(AVERAGEIFS($AV$224:$AV$623,$X$224:$X$623,$B200&amp;"|"&amp;$C200),0))</f>
        <v/>
      </c>
    </row>
    <row r="201" spans="1:43" ht="15" customHeight="1" outlineLevel="1" x14ac:dyDescent="0.25">
      <c r="A201" s="422" t="s">
        <v>1187</v>
      </c>
      <c r="B201" s="423"/>
      <c r="C201" s="424"/>
      <c r="D201" s="423">
        <f>SUM(D177:D200)</f>
        <v>0</v>
      </c>
      <c r="E201" s="423">
        <f>IFERROR(F201/D201,0)</f>
        <v>0</v>
      </c>
      <c r="F201" s="423">
        <f>SUM(F177:F200)</f>
        <v>0</v>
      </c>
      <c r="G201" s="423">
        <f>SUM(G177:G200)</f>
        <v>0</v>
      </c>
      <c r="H201" s="423">
        <f>SUM(H177:H200)</f>
        <v>0</v>
      </c>
      <c r="I201" s="425">
        <f>IFERROR(H201/D201,0)</f>
        <v>0</v>
      </c>
      <c r="J201" s="426">
        <f>IFERROR(SUMPRODUCT($J$177:$J$200,$G$177:$G$200)/SUM($G$177:$G$200),0)</f>
        <v>0</v>
      </c>
      <c r="K201" s="426">
        <f>IFERROR(SUMPRODUCT($K$177:$K$200,$D$177:$D$200)/SUM($D$177:$D$200),0)</f>
        <v>0</v>
      </c>
      <c r="L201" s="426">
        <f>K201-J201</f>
        <v>0</v>
      </c>
      <c r="M201" s="427">
        <f>IFERROR(J201/E201,0)</f>
        <v>0</v>
      </c>
      <c r="N201" s="427">
        <f>IFERROR(K201/E201,0)</f>
        <v>0</v>
      </c>
      <c r="O201" s="424"/>
      <c r="P201" s="426">
        <f>SUM(P177:P200)</f>
        <v>0</v>
      </c>
      <c r="Q201" s="425">
        <f>IFERROR(L201/K201,0)</f>
        <v>0</v>
      </c>
      <c r="R201" s="424"/>
      <c r="S201" s="424"/>
      <c r="T201" s="426">
        <f>IFERROR(SUMPRODUCT($T$177:$T$200,$G$177:$G$200)/SUM($G$177:$G$200),0)</f>
        <v>0</v>
      </c>
      <c r="U201" s="426">
        <f>T201-J201</f>
        <v>0</v>
      </c>
      <c r="V201" s="426">
        <f>SUM(V177:V200)</f>
        <v>0</v>
      </c>
      <c r="AB201" s="419">
        <f>SUM(AB177:AB200)</f>
        <v>0</v>
      </c>
      <c r="AC201" s="413">
        <f>SUM(AC177:AC200)</f>
        <v>0</v>
      </c>
      <c r="AD201" s="419">
        <f>IFERROR(SUMPRODUCT($G$177:$G$200,$AD$177:$AD$200)/SUM($G$177:$G$200),0)</f>
        <v>0</v>
      </c>
    </row>
    <row r="202" spans="1:43" ht="15" customHeight="1" outlineLevel="1" x14ac:dyDescent="0.25">
      <c r="A202" s="422" t="s">
        <v>1188</v>
      </c>
      <c r="B202" s="423"/>
      <c r="C202" s="424"/>
      <c r="D202" s="424"/>
      <c r="E202" s="424"/>
      <c r="F202" s="424"/>
      <c r="G202" s="424"/>
      <c r="H202" s="424"/>
      <c r="I202" s="424"/>
      <c r="J202" s="426">
        <f>J201*12</f>
        <v>0</v>
      </c>
      <c r="K202" s="426">
        <f>K201*12</f>
        <v>0</v>
      </c>
      <c r="L202" s="426">
        <f>L201*12</f>
        <v>0</v>
      </c>
      <c r="M202" s="424"/>
      <c r="N202" s="424"/>
      <c r="O202" s="424"/>
      <c r="P202" s="424"/>
      <c r="Q202" s="424"/>
      <c r="R202" s="424"/>
      <c r="S202" s="424"/>
      <c r="T202" s="424"/>
      <c r="U202" s="424"/>
      <c r="V202" s="424"/>
    </row>
    <row r="203" spans="1:43" ht="15" customHeight="1" outlineLevel="1" x14ac:dyDescent="0.25">
      <c r="A203" s="428" t="s">
        <v>1189</v>
      </c>
      <c r="B203" s="429"/>
    </row>
    <row r="204" spans="1:43" ht="15" customHeight="1" outlineLevel="1" x14ac:dyDescent="0.25">
      <c r="B204" s="429"/>
    </row>
    <row r="205" spans="1:43" ht="21.75" customHeight="1" x14ac:dyDescent="0.25">
      <c r="A205" s="430" t="s">
        <v>1190</v>
      </c>
      <c r="B205" s="430"/>
      <c r="C205" s="430"/>
      <c r="D205" s="430"/>
      <c r="E205" s="430"/>
      <c r="F205" s="430"/>
      <c r="G205" s="430"/>
      <c r="H205" s="430"/>
      <c r="I205" s="430"/>
      <c r="J205" s="430"/>
      <c r="K205" s="430"/>
      <c r="L205" s="430"/>
      <c r="M205" s="430"/>
      <c r="N205" s="430"/>
    </row>
    <row r="206" spans="1:43" ht="15" customHeight="1" outlineLevel="1" x14ac:dyDescent="0.25">
      <c r="A206" t="s">
        <v>1191</v>
      </c>
      <c r="B206" s="429"/>
      <c r="W206" t="str">
        <f t="shared" ref="W206:W211" si="44">IF(OR(S206="",S206="Notes"),"",TRIM(IFERROR(LEFT(S206,FIND(";",S206)-1),S206)))</f>
        <v/>
      </c>
      <c r="X206" t="str">
        <f t="shared" ref="X206:X211" si="45">IF(AND(D206="Occupied",C206&lt;&gt;"",C206&lt;&gt;"Care Level",W206&lt;&gt;"",W206&lt;&gt;"Unit Type (base)"),C206&amp;"|"&amp;W206,"")</f>
        <v/>
      </c>
    </row>
    <row r="207" spans="1:43" ht="15" customHeight="1" outlineLevel="1" x14ac:dyDescent="0.25">
      <c r="A207" s="431" t="s">
        <v>1192</v>
      </c>
      <c r="B207" s="431" t="s">
        <v>983</v>
      </c>
      <c r="C207" s="431" t="s">
        <v>1193</v>
      </c>
      <c r="D207" s="431" t="s">
        <v>1088</v>
      </c>
      <c r="E207" s="431" t="s">
        <v>553</v>
      </c>
      <c r="F207" s="431" t="s">
        <v>113</v>
      </c>
      <c r="W207" t="str">
        <f t="shared" si="44"/>
        <v/>
      </c>
      <c r="X207" t="str">
        <f t="shared" si="45"/>
        <v/>
      </c>
    </row>
    <row r="208" spans="1:43" ht="15" customHeight="1" outlineLevel="1" x14ac:dyDescent="0.25">
      <c r="A208" t="s">
        <v>1194</v>
      </c>
      <c r="B208" s="429">
        <f>COUNTIF($AT$224:$AT$623,"Structured")</f>
        <v>0</v>
      </c>
      <c r="C208" s="311">
        <f>SUMIFS($AC$224:$AC$623,$AT$224:$AT$623,"Structured")</f>
        <v>0</v>
      </c>
      <c r="D208" s="311">
        <f>C208*12</f>
        <v>0</v>
      </c>
      <c r="E208" s="245">
        <f>IFERROR(C208/SUM($I$224:$I$623),0)</f>
        <v>0</v>
      </c>
      <c r="F208" t="s">
        <v>1195</v>
      </c>
      <c r="W208" t="str">
        <f t="shared" si="44"/>
        <v/>
      </c>
      <c r="X208" t="str">
        <f t="shared" si="45"/>
        <v/>
      </c>
    </row>
    <row r="209" spans="1:48" ht="15" customHeight="1" outlineLevel="1" x14ac:dyDescent="0.25">
      <c r="A209" t="s">
        <v>1196</v>
      </c>
      <c r="B209" s="429">
        <f>COUNTIF($AT$224:$AT$623,"Notes-parsed")</f>
        <v>0</v>
      </c>
      <c r="C209" s="311">
        <f>SUMIFS($AC$224:$AC$623,$AT$224:$AT$623,"Notes-parsed")</f>
        <v>0</v>
      </c>
      <c r="D209" s="311">
        <f>C209*12</f>
        <v>0</v>
      </c>
      <c r="E209" s="245">
        <f>IFERROR(C209/SUM($I$224:$I$623),0)</f>
        <v>0</v>
      </c>
      <c r="F209" t="s">
        <v>1197</v>
      </c>
      <c r="W209" t="str">
        <f t="shared" si="44"/>
        <v/>
      </c>
      <c r="X209" t="str">
        <f t="shared" si="45"/>
        <v/>
      </c>
    </row>
    <row r="210" spans="1:48" ht="15" customHeight="1" outlineLevel="1" x14ac:dyDescent="0.25">
      <c r="A210" t="s">
        <v>1198</v>
      </c>
      <c r="B210" s="429">
        <f>COUNTIF($AT$224:$AT$623,"Implied")</f>
        <v>0</v>
      </c>
      <c r="C210" s="311">
        <f>-SUMPRODUCT(($AT$224:$AT$623="Implied")*($I$224:$I$623-$J$224:$J$623))</f>
        <v>0</v>
      </c>
      <c r="D210" s="311">
        <f>C210*12</f>
        <v>0</v>
      </c>
      <c r="E210" s="245">
        <f>IFERROR(C210/SUM($I$224:$I$623),0)</f>
        <v>0</v>
      </c>
      <c r="F210" t="s">
        <v>1199</v>
      </c>
      <c r="W210" t="str">
        <f t="shared" si="44"/>
        <v/>
      </c>
      <c r="X210" t="str">
        <f t="shared" si="45"/>
        <v/>
      </c>
    </row>
    <row r="211" spans="1:48" ht="15" customHeight="1" outlineLevel="1" x14ac:dyDescent="0.25">
      <c r="A211" t="s">
        <v>1200</v>
      </c>
      <c r="B211" s="429">
        <f>COUNTIF($AT$224:$AT$623,"Step-up")+COUNTIF($AT$224:$AT$623,"Rate-swap")</f>
        <v>0</v>
      </c>
      <c r="C211" t="s">
        <v>1201</v>
      </c>
      <c r="D211" t="s">
        <v>1201</v>
      </c>
      <c r="F211" t="s">
        <v>1202</v>
      </c>
      <c r="W211" t="str">
        <f t="shared" si="44"/>
        <v/>
      </c>
      <c r="X211" t="str">
        <f t="shared" si="45"/>
        <v/>
      </c>
    </row>
    <row r="212" spans="1:48" ht="15" customHeight="1" outlineLevel="1" x14ac:dyDescent="0.25">
      <c r="B212" s="429"/>
    </row>
    <row r="213" spans="1:48" ht="15" customHeight="1" outlineLevel="1" x14ac:dyDescent="0.25">
      <c r="B213" s="429"/>
    </row>
    <row r="214" spans="1:48" ht="15" customHeight="1" outlineLevel="1" x14ac:dyDescent="0.25">
      <c r="B214" s="429"/>
    </row>
    <row r="215" spans="1:48" ht="15" customHeight="1" outlineLevel="1" x14ac:dyDescent="0.25">
      <c r="B215" s="429"/>
    </row>
    <row r="216" spans="1:48" ht="15" customHeight="1" outlineLevel="1" x14ac:dyDescent="0.25">
      <c r="B216" s="429"/>
    </row>
    <row r="217" spans="1:48" ht="15" customHeight="1" outlineLevel="1" x14ac:dyDescent="0.25">
      <c r="B217" s="429"/>
    </row>
    <row r="218" spans="1:48" ht="15" customHeight="1" outlineLevel="1" x14ac:dyDescent="0.25">
      <c r="B218" s="429"/>
    </row>
    <row r="219" spans="1:48" ht="15" customHeight="1" outlineLevel="1" x14ac:dyDescent="0.25">
      <c r="B219" s="429"/>
    </row>
    <row r="220" spans="1:48" ht="15" customHeight="1" outlineLevel="1" x14ac:dyDescent="0.25"/>
    <row r="221" spans="1:48" ht="15" customHeight="1" outlineLevel="1" x14ac:dyDescent="0.25"/>
    <row r="222" spans="1:48" ht="15" customHeight="1" outlineLevel="1" x14ac:dyDescent="0.25">
      <c r="B222" s="429"/>
    </row>
    <row r="223" spans="1:48" ht="30" customHeight="1" x14ac:dyDescent="0.25">
      <c r="A223" s="432" t="s">
        <v>1182</v>
      </c>
      <c r="B223" s="432" t="s">
        <v>1036</v>
      </c>
      <c r="C223" s="433" t="s">
        <v>930</v>
      </c>
      <c r="D223" s="433" t="s">
        <v>1161</v>
      </c>
      <c r="E223" s="434" t="s">
        <v>846</v>
      </c>
      <c r="F223" s="435" t="s">
        <v>1037</v>
      </c>
      <c r="G223" s="435" t="s">
        <v>1203</v>
      </c>
      <c r="H223" s="432" t="s">
        <v>1204</v>
      </c>
      <c r="I223" s="432" t="s">
        <v>1205</v>
      </c>
      <c r="J223" s="432" t="s">
        <v>1206</v>
      </c>
      <c r="K223" s="432" t="s">
        <v>1207</v>
      </c>
      <c r="L223" s="432" t="s">
        <v>1208</v>
      </c>
      <c r="M223" s="432" t="s">
        <v>947</v>
      </c>
      <c r="N223" s="432" t="s">
        <v>1039</v>
      </c>
      <c r="O223" s="432" t="s">
        <v>1023</v>
      </c>
      <c r="P223" s="432" t="s">
        <v>1209</v>
      </c>
      <c r="Q223" s="432" t="s">
        <v>1210</v>
      </c>
      <c r="R223" s="432" t="s">
        <v>1211</v>
      </c>
      <c r="S223" s="432" t="s">
        <v>1038</v>
      </c>
      <c r="T223" s="432" t="s">
        <v>113</v>
      </c>
      <c r="U223" s="436" t="s">
        <v>1212</v>
      </c>
      <c r="V223" s="436" t="s">
        <v>1213</v>
      </c>
      <c r="W223" s="436" t="s">
        <v>1214</v>
      </c>
      <c r="X223" t="s">
        <v>1215</v>
      </c>
      <c r="Y223" s="436" t="s">
        <v>1216</v>
      </c>
      <c r="Z223" s="436" t="s">
        <v>1217</v>
      </c>
      <c r="AA223" t="s">
        <v>1218</v>
      </c>
      <c r="AB223" t="s">
        <v>1219</v>
      </c>
      <c r="AC223" s="431" t="s">
        <v>1220</v>
      </c>
      <c r="AD223" s="431" t="s">
        <v>1221</v>
      </c>
      <c r="AE223" s="431" t="s">
        <v>1222</v>
      </c>
      <c r="AF223" s="431" t="s">
        <v>1223</v>
      </c>
      <c r="AG223" s="431" t="s">
        <v>1224</v>
      </c>
      <c r="AH223" s="431" t="s">
        <v>1225</v>
      </c>
      <c r="AI223" s="431" t="s">
        <v>1226</v>
      </c>
      <c r="AJ223" s="431" t="s">
        <v>1227</v>
      </c>
      <c r="AK223" s="431" t="s">
        <v>1228</v>
      </c>
      <c r="AL223" s="431" t="s">
        <v>1229</v>
      </c>
      <c r="AM223" s="431" t="s">
        <v>1230</v>
      </c>
      <c r="AN223" s="431" t="s">
        <v>1231</v>
      </c>
      <c r="AO223" s="437" t="s">
        <v>1232</v>
      </c>
      <c r="AP223" s="438" t="s">
        <v>1233</v>
      </c>
      <c r="AQ223" s="437" t="s">
        <v>1234</v>
      </c>
      <c r="AR223" s="431" t="s">
        <v>1235</v>
      </c>
      <c r="AS223" s="431" t="s">
        <v>1236</v>
      </c>
      <c r="AT223" s="431" t="s">
        <v>1237</v>
      </c>
      <c r="AU223" s="431" t="s">
        <v>1238</v>
      </c>
      <c r="AV223" s="414" t="s">
        <v>1239</v>
      </c>
    </row>
    <row r="224" spans="1:48" ht="15" customHeight="1" outlineLevel="1" x14ac:dyDescent="0.25">
      <c r="G224" s="421"/>
      <c r="H224" s="421"/>
      <c r="I224" s="769"/>
      <c r="J224" s="769"/>
      <c r="K224" s="769">
        <f t="shared" ref="K224:K287" si="46">N(IFERROR(IF(A224="","",N(AE224)+N(AF224)+N(AG224)+N(AH224)),0))</f>
        <v>0</v>
      </c>
      <c r="L224" s="769">
        <f t="shared" ref="L224:L287" si="47">N(IFERROR(IF(A224="","",N(J224)+N(K224)),0))</f>
        <v>0</v>
      </c>
      <c r="M224" s="769"/>
      <c r="N224" s="769"/>
      <c r="O224" s="769"/>
      <c r="P224" s="769"/>
      <c r="Q224" s="769"/>
      <c r="R224" s="769"/>
      <c r="U224" s="770"/>
      <c r="V224" s="771">
        <f t="shared" ref="V224:V287" si="48">N(IFERROR(IF(OR(A224="",U224="",U224=0,J224=""),"",J224/U224),""))</f>
        <v>0</v>
      </c>
      <c r="W224" s="771">
        <f t="shared" ref="W224:W287" si="49">N(IFERROR(IF(V224="","",V224*12),""))</f>
        <v>0</v>
      </c>
      <c r="X224" t="str">
        <f t="shared" ref="X224:X287" si="50">IF(AND(E224&lt;&gt;"",E224&lt;&gt;"Vacant",E224&lt;&gt;"Reserved",C224&lt;&gt;"",D224&lt;&gt;""),C224&amp;"|"&amp;D224,"")</f>
        <v/>
      </c>
      <c r="Y224" t="str">
        <f t="shared" ref="Y224:Y287" si="51">IF(AND(C224&lt;&gt;"",D224&lt;&gt;""),C224&amp;"|"&amp;D224,"")</f>
        <v/>
      </c>
      <c r="AA224" s="769">
        <f t="shared" ref="AA224:AA287" si="52">N(IFERROR(IF(OR(A224="",I224="",J224=""),"",I224-J224),""))</f>
        <v>0</v>
      </c>
      <c r="AB224" s="772">
        <f t="shared" ref="AB224:AB287" si="53">N(IFERROR(IF(OR(AA224="",I224=0,I224=""),"",AA224/I224),""))</f>
        <v>0</v>
      </c>
      <c r="AC224" s="769"/>
      <c r="AD224" s="421"/>
      <c r="AE224" s="769"/>
      <c r="AF224" s="769"/>
      <c r="AG224" s="769"/>
      <c r="AH224" s="769"/>
      <c r="AI224" s="769"/>
      <c r="AJ224" s="769"/>
      <c r="AK224" s="769"/>
      <c r="AL224" s="769"/>
      <c r="AM224" s="769"/>
      <c r="AN224" s="769"/>
      <c r="AO224" s="773"/>
      <c r="AP224" s="774">
        <f t="shared" ref="AP224:AP287" si="54">SUM(AJ224:AN224)</f>
        <v>0</v>
      </c>
      <c r="AQ224" s="439"/>
      <c r="AS224" s="771"/>
      <c r="AT224" t="str">
        <f t="array" ref="AT224">IF(E224&lt;&gt;"Occupied","",_xlfn.IFS(AND(ISNUMBER(AC224),AC224&lt;&gt;0),"Structured",ISNUMBER(SEARCH("/mo con",T224)),"Notes-parsed",ISNUMBER(SEARCH("step",T224)),"Step-up",ISNUMBER(SEARCH("swap",T224)),"Rate-swap",AND(ISNUMBER(I224),ISNUMBER(J224),I224&gt;J224),"Implied",TRUE(),""))</f>
        <v/>
      </c>
      <c r="AU224" s="769" t="str">
        <f t="shared" ref="AU224:AU287" si="55">IF(AC224&lt;&gt;"",AC224,IF(AT224="Implied",-(I224-J224),IF(OR(AT224="Step-up",AT224="Rate-swap"),"see notes","")))</f>
        <v/>
      </c>
      <c r="AV224" s="775">
        <f t="shared" ref="AV224:AV287" si="56">N(IF($E224&lt;&gt;"Occupied","",$J224-IFERROR($AC224*(IF(AND(ISNUMBER($G224),ISNUMBER($AD224),$AD224&gt;$G224),(YEAR($AD224)-YEAR($G224))*12+MONTH($AD224)-MONTH($G224),$AC$174))/$AC$174,0)))</f>
        <v>0</v>
      </c>
    </row>
    <row r="225" spans="7:48" ht="15" customHeight="1" outlineLevel="1" x14ac:dyDescent="0.25">
      <c r="G225" s="421"/>
      <c r="H225" s="421"/>
      <c r="I225" s="769"/>
      <c r="J225" s="769"/>
      <c r="K225" s="769">
        <f t="shared" si="46"/>
        <v>0</v>
      </c>
      <c r="L225" s="769">
        <f t="shared" si="47"/>
        <v>0</v>
      </c>
      <c r="M225" s="769"/>
      <c r="N225" s="769"/>
      <c r="O225" s="769"/>
      <c r="P225" s="769"/>
      <c r="Q225" s="769"/>
      <c r="R225" s="769"/>
      <c r="U225" s="770"/>
      <c r="V225" s="771">
        <f t="shared" si="48"/>
        <v>0</v>
      </c>
      <c r="W225" s="771">
        <f t="shared" si="49"/>
        <v>0</v>
      </c>
      <c r="X225" t="str">
        <f t="shared" si="50"/>
        <v/>
      </c>
      <c r="Y225" t="str">
        <f t="shared" si="51"/>
        <v/>
      </c>
      <c r="AA225" s="769">
        <f t="shared" si="52"/>
        <v>0</v>
      </c>
      <c r="AB225" s="772">
        <f t="shared" si="53"/>
        <v>0</v>
      </c>
      <c r="AC225" s="769"/>
      <c r="AD225" s="421"/>
      <c r="AE225" s="769"/>
      <c r="AF225" s="769"/>
      <c r="AG225" s="769"/>
      <c r="AH225" s="769"/>
      <c r="AI225" s="769"/>
      <c r="AJ225" s="769"/>
      <c r="AK225" s="769"/>
      <c r="AL225" s="769"/>
      <c r="AM225" s="769"/>
      <c r="AN225" s="769"/>
      <c r="AO225" s="773"/>
      <c r="AP225" s="774">
        <f t="shared" si="54"/>
        <v>0</v>
      </c>
      <c r="AQ225" s="439"/>
      <c r="AS225" s="771"/>
      <c r="AT225" t="str">
        <f t="array" ref="AT225">IF(E225&lt;&gt;"Occupied","",_xlfn.IFS(AND(ISNUMBER(AC225),AC225&lt;&gt;0),"Structured",ISNUMBER(SEARCH("/mo con",T225)),"Notes-parsed",ISNUMBER(SEARCH("step",T225)),"Step-up",ISNUMBER(SEARCH("swap",T225)),"Rate-swap",AND(ISNUMBER(I225),ISNUMBER(J225),I225&gt;J225),"Implied",TRUE(),""))</f>
        <v/>
      </c>
      <c r="AU225" s="769" t="str">
        <f t="shared" si="55"/>
        <v/>
      </c>
      <c r="AV225" s="775">
        <f t="shared" si="56"/>
        <v>0</v>
      </c>
    </row>
    <row r="226" spans="7:48" ht="15" customHeight="1" outlineLevel="1" x14ac:dyDescent="0.25">
      <c r="G226" s="421"/>
      <c r="H226" s="421"/>
      <c r="I226" s="769"/>
      <c r="J226" s="769"/>
      <c r="K226" s="769">
        <f t="shared" si="46"/>
        <v>0</v>
      </c>
      <c r="L226" s="769">
        <f t="shared" si="47"/>
        <v>0</v>
      </c>
      <c r="M226" s="769"/>
      <c r="N226" s="769"/>
      <c r="O226" s="769"/>
      <c r="P226" s="769"/>
      <c r="Q226" s="769"/>
      <c r="R226" s="769"/>
      <c r="U226" s="770"/>
      <c r="V226" s="771">
        <f t="shared" si="48"/>
        <v>0</v>
      </c>
      <c r="W226" s="771">
        <f t="shared" si="49"/>
        <v>0</v>
      </c>
      <c r="X226" t="str">
        <f t="shared" si="50"/>
        <v/>
      </c>
      <c r="Y226" t="str">
        <f t="shared" si="51"/>
        <v/>
      </c>
      <c r="AA226" s="769">
        <f t="shared" si="52"/>
        <v>0</v>
      </c>
      <c r="AB226" s="772">
        <f t="shared" si="53"/>
        <v>0</v>
      </c>
      <c r="AC226" s="769"/>
      <c r="AD226" s="421"/>
      <c r="AE226" s="769"/>
      <c r="AF226" s="769"/>
      <c r="AG226" s="769"/>
      <c r="AH226" s="769"/>
      <c r="AI226" s="769"/>
      <c r="AJ226" s="769"/>
      <c r="AK226" s="769"/>
      <c r="AL226" s="769"/>
      <c r="AM226" s="769"/>
      <c r="AN226" s="769"/>
      <c r="AO226" s="773"/>
      <c r="AP226" s="774">
        <f t="shared" si="54"/>
        <v>0</v>
      </c>
      <c r="AQ226" s="439"/>
      <c r="AS226" s="771"/>
      <c r="AT226" t="str">
        <f t="array" ref="AT226">IF(E226&lt;&gt;"Occupied","",_xlfn.IFS(AND(ISNUMBER(AC226),AC226&lt;&gt;0),"Structured",ISNUMBER(SEARCH("/mo con",T226)),"Notes-parsed",ISNUMBER(SEARCH("step",T226)),"Step-up",ISNUMBER(SEARCH("swap",T226)),"Rate-swap",AND(ISNUMBER(I226),ISNUMBER(J226),I226&gt;J226),"Implied",TRUE(),""))</f>
        <v/>
      </c>
      <c r="AU226" s="769" t="str">
        <f t="shared" si="55"/>
        <v/>
      </c>
      <c r="AV226" s="775">
        <f t="shared" si="56"/>
        <v>0</v>
      </c>
    </row>
    <row r="227" spans="7:48" ht="15" customHeight="1" outlineLevel="1" x14ac:dyDescent="0.25">
      <c r="G227" s="421"/>
      <c r="H227" s="421"/>
      <c r="I227" s="769"/>
      <c r="J227" s="769"/>
      <c r="K227" s="769">
        <f t="shared" si="46"/>
        <v>0</v>
      </c>
      <c r="L227" s="769">
        <f t="shared" si="47"/>
        <v>0</v>
      </c>
      <c r="M227" s="769"/>
      <c r="N227" s="769"/>
      <c r="O227" s="769"/>
      <c r="P227" s="769"/>
      <c r="Q227" s="769"/>
      <c r="R227" s="769"/>
      <c r="U227" s="770"/>
      <c r="V227" s="771">
        <f t="shared" si="48"/>
        <v>0</v>
      </c>
      <c r="W227" s="771">
        <f t="shared" si="49"/>
        <v>0</v>
      </c>
      <c r="X227" t="str">
        <f t="shared" si="50"/>
        <v/>
      </c>
      <c r="Y227" t="str">
        <f t="shared" si="51"/>
        <v/>
      </c>
      <c r="AA227" s="769">
        <f t="shared" si="52"/>
        <v>0</v>
      </c>
      <c r="AB227" s="772">
        <f t="shared" si="53"/>
        <v>0</v>
      </c>
      <c r="AC227" s="769"/>
      <c r="AD227" s="421"/>
      <c r="AE227" s="769"/>
      <c r="AF227" s="769"/>
      <c r="AG227" s="769"/>
      <c r="AH227" s="769"/>
      <c r="AI227" s="769"/>
      <c r="AJ227" s="769"/>
      <c r="AK227" s="769"/>
      <c r="AL227" s="769"/>
      <c r="AM227" s="769"/>
      <c r="AN227" s="769"/>
      <c r="AO227" s="773"/>
      <c r="AP227" s="774">
        <f t="shared" si="54"/>
        <v>0</v>
      </c>
      <c r="AQ227" s="439"/>
      <c r="AS227" s="771"/>
      <c r="AT227" t="str">
        <f t="array" ref="AT227">IF(E227&lt;&gt;"Occupied","",_xlfn.IFS(AND(ISNUMBER(AC227),AC227&lt;&gt;0),"Structured",ISNUMBER(SEARCH("/mo con",T227)),"Notes-parsed",ISNUMBER(SEARCH("step",T227)),"Step-up",ISNUMBER(SEARCH("swap",T227)),"Rate-swap",AND(ISNUMBER(I227),ISNUMBER(J227),I227&gt;J227),"Implied",TRUE(),""))</f>
        <v/>
      </c>
      <c r="AU227" s="769" t="str">
        <f t="shared" si="55"/>
        <v/>
      </c>
      <c r="AV227" s="775">
        <f t="shared" si="56"/>
        <v>0</v>
      </c>
    </row>
    <row r="228" spans="7:48" ht="15" customHeight="1" outlineLevel="1" x14ac:dyDescent="0.25">
      <c r="G228" s="421"/>
      <c r="H228" s="421"/>
      <c r="I228" s="769"/>
      <c r="J228" s="769"/>
      <c r="K228" s="769">
        <f t="shared" si="46"/>
        <v>0</v>
      </c>
      <c r="L228" s="769">
        <f t="shared" si="47"/>
        <v>0</v>
      </c>
      <c r="M228" s="769"/>
      <c r="N228" s="769"/>
      <c r="O228" s="769"/>
      <c r="P228" s="769"/>
      <c r="Q228" s="769"/>
      <c r="R228" s="769"/>
      <c r="U228" s="770"/>
      <c r="V228" s="771">
        <f t="shared" si="48"/>
        <v>0</v>
      </c>
      <c r="W228" s="771">
        <f t="shared" si="49"/>
        <v>0</v>
      </c>
      <c r="X228" t="str">
        <f t="shared" si="50"/>
        <v/>
      </c>
      <c r="Y228" t="str">
        <f t="shared" si="51"/>
        <v/>
      </c>
      <c r="AA228" s="769">
        <f t="shared" si="52"/>
        <v>0</v>
      </c>
      <c r="AB228" s="772">
        <f t="shared" si="53"/>
        <v>0</v>
      </c>
      <c r="AC228" s="769"/>
      <c r="AD228" s="421"/>
      <c r="AE228" s="769"/>
      <c r="AF228" s="769"/>
      <c r="AG228" s="769"/>
      <c r="AH228" s="769"/>
      <c r="AI228" s="769"/>
      <c r="AJ228" s="769"/>
      <c r="AK228" s="769"/>
      <c r="AL228" s="769"/>
      <c r="AM228" s="769"/>
      <c r="AN228" s="769"/>
      <c r="AO228" s="773"/>
      <c r="AP228" s="774">
        <f t="shared" si="54"/>
        <v>0</v>
      </c>
      <c r="AQ228" s="439"/>
      <c r="AS228" s="771"/>
      <c r="AT228" t="str">
        <f t="array" ref="AT228">IF(E228&lt;&gt;"Occupied","",_xlfn.IFS(AND(ISNUMBER(AC228),AC228&lt;&gt;0),"Structured",ISNUMBER(SEARCH("/mo con",T228)),"Notes-parsed",ISNUMBER(SEARCH("step",T228)),"Step-up",ISNUMBER(SEARCH("swap",T228)),"Rate-swap",AND(ISNUMBER(I228),ISNUMBER(J228),I228&gt;J228),"Implied",TRUE(),""))</f>
        <v/>
      </c>
      <c r="AU228" s="769" t="str">
        <f t="shared" si="55"/>
        <v/>
      </c>
      <c r="AV228" s="775">
        <f t="shared" si="56"/>
        <v>0</v>
      </c>
    </row>
    <row r="229" spans="7:48" ht="15" customHeight="1" outlineLevel="1" x14ac:dyDescent="0.25">
      <c r="G229" s="421"/>
      <c r="H229" s="421"/>
      <c r="I229" s="769"/>
      <c r="J229" s="769"/>
      <c r="K229" s="769">
        <f t="shared" si="46"/>
        <v>0</v>
      </c>
      <c r="L229" s="769">
        <f t="shared" si="47"/>
        <v>0</v>
      </c>
      <c r="M229" s="769"/>
      <c r="N229" s="769"/>
      <c r="O229" s="769"/>
      <c r="P229" s="769"/>
      <c r="Q229" s="769"/>
      <c r="R229" s="769"/>
      <c r="U229" s="770"/>
      <c r="V229" s="771">
        <f t="shared" si="48"/>
        <v>0</v>
      </c>
      <c r="W229" s="771">
        <f t="shared" si="49"/>
        <v>0</v>
      </c>
      <c r="X229" t="str">
        <f t="shared" si="50"/>
        <v/>
      </c>
      <c r="Y229" t="str">
        <f t="shared" si="51"/>
        <v/>
      </c>
      <c r="AA229" s="769">
        <f t="shared" si="52"/>
        <v>0</v>
      </c>
      <c r="AB229" s="772">
        <f t="shared" si="53"/>
        <v>0</v>
      </c>
      <c r="AC229" s="769"/>
      <c r="AD229" s="421"/>
      <c r="AE229" s="769"/>
      <c r="AF229" s="769"/>
      <c r="AG229" s="769"/>
      <c r="AH229" s="769"/>
      <c r="AI229" s="769"/>
      <c r="AJ229" s="769"/>
      <c r="AK229" s="769"/>
      <c r="AL229" s="769"/>
      <c r="AM229" s="769"/>
      <c r="AN229" s="769"/>
      <c r="AO229" s="773"/>
      <c r="AP229" s="774">
        <f t="shared" si="54"/>
        <v>0</v>
      </c>
      <c r="AQ229" s="439"/>
      <c r="AS229" s="771"/>
      <c r="AT229" t="str">
        <f t="array" ref="AT229">IF(E229&lt;&gt;"Occupied","",_xlfn.IFS(AND(ISNUMBER(AC229),AC229&lt;&gt;0),"Structured",ISNUMBER(SEARCH("/mo con",T229)),"Notes-parsed",ISNUMBER(SEARCH("step",T229)),"Step-up",ISNUMBER(SEARCH("swap",T229)),"Rate-swap",AND(ISNUMBER(I229),ISNUMBER(J229),I229&gt;J229),"Implied",TRUE(),""))</f>
        <v/>
      </c>
      <c r="AU229" s="769" t="str">
        <f t="shared" si="55"/>
        <v/>
      </c>
      <c r="AV229" s="775">
        <f t="shared" si="56"/>
        <v>0</v>
      </c>
    </row>
    <row r="230" spans="7:48" ht="15" customHeight="1" outlineLevel="1" x14ac:dyDescent="0.25">
      <c r="G230" s="421"/>
      <c r="H230" s="421"/>
      <c r="I230" s="769"/>
      <c r="J230" s="769"/>
      <c r="K230" s="769">
        <f t="shared" si="46"/>
        <v>0</v>
      </c>
      <c r="L230" s="769">
        <f t="shared" si="47"/>
        <v>0</v>
      </c>
      <c r="M230" s="769"/>
      <c r="N230" s="769"/>
      <c r="O230" s="769"/>
      <c r="P230" s="769"/>
      <c r="Q230" s="769"/>
      <c r="R230" s="769"/>
      <c r="U230" s="770"/>
      <c r="V230" s="771">
        <f t="shared" si="48"/>
        <v>0</v>
      </c>
      <c r="W230" s="771">
        <f t="shared" si="49"/>
        <v>0</v>
      </c>
      <c r="X230" t="str">
        <f t="shared" si="50"/>
        <v/>
      </c>
      <c r="Y230" t="str">
        <f t="shared" si="51"/>
        <v/>
      </c>
      <c r="AA230" s="769">
        <f t="shared" si="52"/>
        <v>0</v>
      </c>
      <c r="AB230" s="772">
        <f t="shared" si="53"/>
        <v>0</v>
      </c>
      <c r="AC230" s="769"/>
      <c r="AD230" s="421"/>
      <c r="AE230" s="769"/>
      <c r="AF230" s="769"/>
      <c r="AG230" s="769"/>
      <c r="AH230" s="769"/>
      <c r="AI230" s="769"/>
      <c r="AJ230" s="769"/>
      <c r="AK230" s="769"/>
      <c r="AL230" s="769"/>
      <c r="AM230" s="769"/>
      <c r="AN230" s="769"/>
      <c r="AO230" s="773"/>
      <c r="AP230" s="774">
        <f t="shared" si="54"/>
        <v>0</v>
      </c>
      <c r="AQ230" s="439"/>
      <c r="AS230" s="771"/>
      <c r="AT230" t="str">
        <f t="array" ref="AT230">IF(E230&lt;&gt;"Occupied","",_xlfn.IFS(AND(ISNUMBER(AC230),AC230&lt;&gt;0),"Structured",ISNUMBER(SEARCH("/mo con",T230)),"Notes-parsed",ISNUMBER(SEARCH("step",T230)),"Step-up",ISNUMBER(SEARCH("swap",T230)),"Rate-swap",AND(ISNUMBER(I230),ISNUMBER(J230),I230&gt;J230),"Implied",TRUE(),""))</f>
        <v/>
      </c>
      <c r="AU230" s="769" t="str">
        <f t="shared" si="55"/>
        <v/>
      </c>
      <c r="AV230" s="775">
        <f t="shared" si="56"/>
        <v>0</v>
      </c>
    </row>
    <row r="231" spans="7:48" ht="15" customHeight="1" outlineLevel="1" x14ac:dyDescent="0.25">
      <c r="G231" s="421"/>
      <c r="H231" s="421"/>
      <c r="I231" s="769"/>
      <c r="J231" s="769"/>
      <c r="K231" s="769">
        <f t="shared" si="46"/>
        <v>0</v>
      </c>
      <c r="L231" s="769">
        <f t="shared" si="47"/>
        <v>0</v>
      </c>
      <c r="M231" s="769"/>
      <c r="N231" s="769"/>
      <c r="O231" s="769"/>
      <c r="P231" s="769"/>
      <c r="Q231" s="769"/>
      <c r="R231" s="769"/>
      <c r="U231" s="770"/>
      <c r="V231" s="771">
        <f t="shared" si="48"/>
        <v>0</v>
      </c>
      <c r="W231" s="771">
        <f t="shared" si="49"/>
        <v>0</v>
      </c>
      <c r="X231" t="str">
        <f t="shared" si="50"/>
        <v/>
      </c>
      <c r="Y231" t="str">
        <f t="shared" si="51"/>
        <v/>
      </c>
      <c r="AA231" s="769">
        <f t="shared" si="52"/>
        <v>0</v>
      </c>
      <c r="AB231" s="772">
        <f t="shared" si="53"/>
        <v>0</v>
      </c>
      <c r="AC231" s="769"/>
      <c r="AD231" s="421"/>
      <c r="AE231" s="769"/>
      <c r="AF231" s="769"/>
      <c r="AG231" s="769"/>
      <c r="AH231" s="769"/>
      <c r="AI231" s="769"/>
      <c r="AJ231" s="769"/>
      <c r="AK231" s="769"/>
      <c r="AL231" s="769"/>
      <c r="AM231" s="769"/>
      <c r="AN231" s="769"/>
      <c r="AO231" s="773"/>
      <c r="AP231" s="774">
        <f t="shared" si="54"/>
        <v>0</v>
      </c>
      <c r="AQ231" s="439"/>
      <c r="AS231" s="771"/>
      <c r="AT231" t="str">
        <f t="array" ref="AT231">IF(E231&lt;&gt;"Occupied","",_xlfn.IFS(AND(ISNUMBER(AC231),AC231&lt;&gt;0),"Structured",ISNUMBER(SEARCH("/mo con",T231)),"Notes-parsed",ISNUMBER(SEARCH("step",T231)),"Step-up",ISNUMBER(SEARCH("swap",T231)),"Rate-swap",AND(ISNUMBER(I231),ISNUMBER(J231),I231&gt;J231),"Implied",TRUE(),""))</f>
        <v/>
      </c>
      <c r="AU231" s="769" t="str">
        <f t="shared" si="55"/>
        <v/>
      </c>
      <c r="AV231" s="775">
        <f t="shared" si="56"/>
        <v>0</v>
      </c>
    </row>
    <row r="232" spans="7:48" ht="15" customHeight="1" outlineLevel="1" x14ac:dyDescent="0.25">
      <c r="G232" s="421"/>
      <c r="H232" s="421"/>
      <c r="I232" s="769"/>
      <c r="J232" s="769"/>
      <c r="K232" s="769">
        <f t="shared" si="46"/>
        <v>0</v>
      </c>
      <c r="L232" s="769">
        <f t="shared" si="47"/>
        <v>0</v>
      </c>
      <c r="M232" s="769"/>
      <c r="N232" s="769"/>
      <c r="O232" s="769"/>
      <c r="P232" s="769"/>
      <c r="Q232" s="769"/>
      <c r="R232" s="769"/>
      <c r="U232" s="770"/>
      <c r="V232" s="771">
        <f t="shared" si="48"/>
        <v>0</v>
      </c>
      <c r="W232" s="771">
        <f t="shared" si="49"/>
        <v>0</v>
      </c>
      <c r="X232" t="str">
        <f t="shared" si="50"/>
        <v/>
      </c>
      <c r="Y232" t="str">
        <f t="shared" si="51"/>
        <v/>
      </c>
      <c r="AA232" s="769">
        <f t="shared" si="52"/>
        <v>0</v>
      </c>
      <c r="AB232" s="772">
        <f t="shared" si="53"/>
        <v>0</v>
      </c>
      <c r="AC232" s="769"/>
      <c r="AD232" s="421"/>
      <c r="AE232" s="769"/>
      <c r="AF232" s="769"/>
      <c r="AG232" s="769"/>
      <c r="AH232" s="769"/>
      <c r="AI232" s="769"/>
      <c r="AJ232" s="769"/>
      <c r="AK232" s="769"/>
      <c r="AL232" s="769"/>
      <c r="AM232" s="769"/>
      <c r="AN232" s="769"/>
      <c r="AO232" s="773"/>
      <c r="AP232" s="774">
        <f t="shared" si="54"/>
        <v>0</v>
      </c>
      <c r="AQ232" s="439"/>
      <c r="AS232" s="771"/>
      <c r="AT232" t="str">
        <f t="array" ref="AT232">IF(E232&lt;&gt;"Occupied","",_xlfn.IFS(AND(ISNUMBER(AC232),AC232&lt;&gt;0),"Structured",ISNUMBER(SEARCH("/mo con",T232)),"Notes-parsed",ISNUMBER(SEARCH("step",T232)),"Step-up",ISNUMBER(SEARCH("swap",T232)),"Rate-swap",AND(ISNUMBER(I232),ISNUMBER(J232),I232&gt;J232),"Implied",TRUE(),""))</f>
        <v/>
      </c>
      <c r="AU232" s="769" t="str">
        <f t="shared" si="55"/>
        <v/>
      </c>
      <c r="AV232" s="775">
        <f t="shared" si="56"/>
        <v>0</v>
      </c>
    </row>
    <row r="233" spans="7:48" ht="15" customHeight="1" outlineLevel="1" x14ac:dyDescent="0.25">
      <c r="G233" s="421"/>
      <c r="H233" s="421"/>
      <c r="I233" s="769"/>
      <c r="J233" s="769"/>
      <c r="K233" s="769">
        <f t="shared" si="46"/>
        <v>0</v>
      </c>
      <c r="L233" s="769">
        <f t="shared" si="47"/>
        <v>0</v>
      </c>
      <c r="M233" s="769"/>
      <c r="N233" s="769"/>
      <c r="O233" s="769"/>
      <c r="P233" s="769"/>
      <c r="Q233" s="769"/>
      <c r="R233" s="769"/>
      <c r="U233" s="770"/>
      <c r="V233" s="771">
        <f t="shared" si="48"/>
        <v>0</v>
      </c>
      <c r="W233" s="771">
        <f t="shared" si="49"/>
        <v>0</v>
      </c>
      <c r="X233" t="str">
        <f t="shared" si="50"/>
        <v/>
      </c>
      <c r="Y233" t="str">
        <f t="shared" si="51"/>
        <v/>
      </c>
      <c r="AA233" s="769">
        <f t="shared" si="52"/>
        <v>0</v>
      </c>
      <c r="AB233" s="772">
        <f t="shared" si="53"/>
        <v>0</v>
      </c>
      <c r="AC233" s="769"/>
      <c r="AD233" s="421"/>
      <c r="AE233" s="769"/>
      <c r="AF233" s="769"/>
      <c r="AG233" s="769"/>
      <c r="AH233" s="769"/>
      <c r="AI233" s="769"/>
      <c r="AJ233" s="769"/>
      <c r="AK233" s="769"/>
      <c r="AL233" s="769"/>
      <c r="AM233" s="769"/>
      <c r="AN233" s="769"/>
      <c r="AO233" s="773"/>
      <c r="AP233" s="774">
        <f t="shared" si="54"/>
        <v>0</v>
      </c>
      <c r="AQ233" s="439"/>
      <c r="AS233" s="771"/>
      <c r="AT233" t="str">
        <f t="array" ref="AT233">IF(E233&lt;&gt;"Occupied","",_xlfn.IFS(AND(ISNUMBER(AC233),AC233&lt;&gt;0),"Structured",ISNUMBER(SEARCH("/mo con",T233)),"Notes-parsed",ISNUMBER(SEARCH("step",T233)),"Step-up",ISNUMBER(SEARCH("swap",T233)),"Rate-swap",AND(ISNUMBER(I233),ISNUMBER(J233),I233&gt;J233),"Implied",TRUE(),""))</f>
        <v/>
      </c>
      <c r="AU233" s="769" t="str">
        <f t="shared" si="55"/>
        <v/>
      </c>
      <c r="AV233" s="775">
        <f t="shared" si="56"/>
        <v>0</v>
      </c>
    </row>
    <row r="234" spans="7:48" ht="15" customHeight="1" outlineLevel="1" x14ac:dyDescent="0.25">
      <c r="G234" s="421"/>
      <c r="H234" s="421"/>
      <c r="I234" s="769"/>
      <c r="J234" s="769"/>
      <c r="K234" s="769">
        <f t="shared" si="46"/>
        <v>0</v>
      </c>
      <c r="L234" s="769">
        <f t="shared" si="47"/>
        <v>0</v>
      </c>
      <c r="M234" s="769"/>
      <c r="N234" s="769"/>
      <c r="O234" s="769"/>
      <c r="P234" s="769"/>
      <c r="Q234" s="769"/>
      <c r="R234" s="769"/>
      <c r="U234" s="770"/>
      <c r="V234" s="771">
        <f t="shared" si="48"/>
        <v>0</v>
      </c>
      <c r="W234" s="771">
        <f t="shared" si="49"/>
        <v>0</v>
      </c>
      <c r="X234" t="str">
        <f t="shared" si="50"/>
        <v/>
      </c>
      <c r="Y234" t="str">
        <f t="shared" si="51"/>
        <v/>
      </c>
      <c r="AA234" s="769">
        <f t="shared" si="52"/>
        <v>0</v>
      </c>
      <c r="AB234" s="772">
        <f t="shared" si="53"/>
        <v>0</v>
      </c>
      <c r="AC234" s="769"/>
      <c r="AD234" s="421"/>
      <c r="AE234" s="769"/>
      <c r="AF234" s="769"/>
      <c r="AG234" s="769"/>
      <c r="AH234" s="769"/>
      <c r="AI234" s="769"/>
      <c r="AJ234" s="769"/>
      <c r="AK234" s="769"/>
      <c r="AL234" s="769"/>
      <c r="AM234" s="769"/>
      <c r="AN234" s="769"/>
      <c r="AO234" s="773"/>
      <c r="AP234" s="774">
        <f t="shared" si="54"/>
        <v>0</v>
      </c>
      <c r="AQ234" s="439"/>
      <c r="AS234" s="771"/>
      <c r="AT234" t="str">
        <f t="array" ref="AT234">IF(E234&lt;&gt;"Occupied","",_xlfn.IFS(AND(ISNUMBER(AC234),AC234&lt;&gt;0),"Structured",ISNUMBER(SEARCH("/mo con",T234)),"Notes-parsed",ISNUMBER(SEARCH("step",T234)),"Step-up",ISNUMBER(SEARCH("swap",T234)),"Rate-swap",AND(ISNUMBER(I234),ISNUMBER(J234),I234&gt;J234),"Implied",TRUE(),""))</f>
        <v/>
      </c>
      <c r="AU234" s="769" t="str">
        <f t="shared" si="55"/>
        <v/>
      </c>
      <c r="AV234" s="775">
        <f t="shared" si="56"/>
        <v>0</v>
      </c>
    </row>
    <row r="235" spans="7:48" ht="15" customHeight="1" outlineLevel="1" x14ac:dyDescent="0.25">
      <c r="G235" s="421"/>
      <c r="H235" s="421"/>
      <c r="I235" s="769"/>
      <c r="J235" s="769"/>
      <c r="K235" s="769">
        <f t="shared" si="46"/>
        <v>0</v>
      </c>
      <c r="L235" s="769">
        <f t="shared" si="47"/>
        <v>0</v>
      </c>
      <c r="M235" s="769"/>
      <c r="N235" s="769"/>
      <c r="O235" s="769"/>
      <c r="P235" s="769"/>
      <c r="Q235" s="769"/>
      <c r="R235" s="769"/>
      <c r="U235" s="770"/>
      <c r="V235" s="771">
        <f t="shared" si="48"/>
        <v>0</v>
      </c>
      <c r="W235" s="771">
        <f t="shared" si="49"/>
        <v>0</v>
      </c>
      <c r="X235" t="str">
        <f t="shared" si="50"/>
        <v/>
      </c>
      <c r="Y235" t="str">
        <f t="shared" si="51"/>
        <v/>
      </c>
      <c r="AA235" s="769">
        <f t="shared" si="52"/>
        <v>0</v>
      </c>
      <c r="AB235" s="772">
        <f t="shared" si="53"/>
        <v>0</v>
      </c>
      <c r="AC235" s="769"/>
      <c r="AD235" s="421"/>
      <c r="AE235" s="769"/>
      <c r="AF235" s="769"/>
      <c r="AG235" s="769"/>
      <c r="AH235" s="769"/>
      <c r="AI235" s="769"/>
      <c r="AJ235" s="769"/>
      <c r="AK235" s="769"/>
      <c r="AL235" s="769"/>
      <c r="AM235" s="769"/>
      <c r="AN235" s="769"/>
      <c r="AO235" s="773"/>
      <c r="AP235" s="774">
        <f t="shared" si="54"/>
        <v>0</v>
      </c>
      <c r="AQ235" s="439"/>
      <c r="AS235" s="771"/>
      <c r="AT235" t="str">
        <f t="array" ref="AT235">IF(E235&lt;&gt;"Occupied","",_xlfn.IFS(AND(ISNUMBER(AC235),AC235&lt;&gt;0),"Structured",ISNUMBER(SEARCH("/mo con",T235)),"Notes-parsed",ISNUMBER(SEARCH("step",T235)),"Step-up",ISNUMBER(SEARCH("swap",T235)),"Rate-swap",AND(ISNUMBER(I235),ISNUMBER(J235),I235&gt;J235),"Implied",TRUE(),""))</f>
        <v/>
      </c>
      <c r="AU235" s="769" t="str">
        <f t="shared" si="55"/>
        <v/>
      </c>
      <c r="AV235" s="775">
        <f t="shared" si="56"/>
        <v>0</v>
      </c>
    </row>
    <row r="236" spans="7:48" ht="15" customHeight="1" outlineLevel="1" x14ac:dyDescent="0.25">
      <c r="G236" s="421"/>
      <c r="H236" s="421"/>
      <c r="I236" s="769"/>
      <c r="J236" s="769"/>
      <c r="K236" s="769">
        <f t="shared" si="46"/>
        <v>0</v>
      </c>
      <c r="L236" s="769">
        <f t="shared" si="47"/>
        <v>0</v>
      </c>
      <c r="M236" s="769"/>
      <c r="N236" s="769"/>
      <c r="O236" s="769"/>
      <c r="P236" s="769"/>
      <c r="Q236" s="769"/>
      <c r="R236" s="769"/>
      <c r="U236" s="770"/>
      <c r="V236" s="771">
        <f t="shared" si="48"/>
        <v>0</v>
      </c>
      <c r="W236" s="771">
        <f t="shared" si="49"/>
        <v>0</v>
      </c>
      <c r="X236" t="str">
        <f t="shared" si="50"/>
        <v/>
      </c>
      <c r="Y236" t="str">
        <f t="shared" si="51"/>
        <v/>
      </c>
      <c r="AA236" s="769">
        <f t="shared" si="52"/>
        <v>0</v>
      </c>
      <c r="AB236" s="772">
        <f t="shared" si="53"/>
        <v>0</v>
      </c>
      <c r="AC236" s="769"/>
      <c r="AD236" s="421"/>
      <c r="AE236" s="769"/>
      <c r="AF236" s="769"/>
      <c r="AG236" s="769"/>
      <c r="AH236" s="769"/>
      <c r="AI236" s="769"/>
      <c r="AJ236" s="769"/>
      <c r="AK236" s="769"/>
      <c r="AL236" s="769"/>
      <c r="AM236" s="769"/>
      <c r="AN236" s="769"/>
      <c r="AO236" s="773"/>
      <c r="AP236" s="774">
        <f t="shared" si="54"/>
        <v>0</v>
      </c>
      <c r="AQ236" s="439"/>
      <c r="AS236" s="771"/>
      <c r="AT236" t="str">
        <f t="array" ref="AT236">IF(E236&lt;&gt;"Occupied","",_xlfn.IFS(AND(ISNUMBER(AC236),AC236&lt;&gt;0),"Structured",ISNUMBER(SEARCH("/mo con",T236)),"Notes-parsed",ISNUMBER(SEARCH("step",T236)),"Step-up",ISNUMBER(SEARCH("swap",T236)),"Rate-swap",AND(ISNUMBER(I236),ISNUMBER(J236),I236&gt;J236),"Implied",TRUE(),""))</f>
        <v/>
      </c>
      <c r="AU236" s="769" t="str">
        <f t="shared" si="55"/>
        <v/>
      </c>
      <c r="AV236" s="775">
        <f t="shared" si="56"/>
        <v>0</v>
      </c>
    </row>
    <row r="237" spans="7:48" ht="15" customHeight="1" outlineLevel="1" x14ac:dyDescent="0.25">
      <c r="G237" s="421"/>
      <c r="H237" s="421"/>
      <c r="I237" s="769"/>
      <c r="J237" s="769"/>
      <c r="K237" s="769">
        <f t="shared" si="46"/>
        <v>0</v>
      </c>
      <c r="L237" s="769">
        <f t="shared" si="47"/>
        <v>0</v>
      </c>
      <c r="M237" s="769"/>
      <c r="N237" s="769"/>
      <c r="O237" s="769"/>
      <c r="P237" s="769"/>
      <c r="Q237" s="769"/>
      <c r="R237" s="769"/>
      <c r="U237" s="770"/>
      <c r="V237" s="771">
        <f t="shared" si="48"/>
        <v>0</v>
      </c>
      <c r="W237" s="771">
        <f t="shared" si="49"/>
        <v>0</v>
      </c>
      <c r="X237" t="str">
        <f t="shared" si="50"/>
        <v/>
      </c>
      <c r="Y237" t="str">
        <f t="shared" si="51"/>
        <v/>
      </c>
      <c r="AA237" s="769">
        <f t="shared" si="52"/>
        <v>0</v>
      </c>
      <c r="AB237" s="772">
        <f t="shared" si="53"/>
        <v>0</v>
      </c>
      <c r="AC237" s="769"/>
      <c r="AD237" s="421"/>
      <c r="AE237" s="769"/>
      <c r="AF237" s="769"/>
      <c r="AG237" s="769"/>
      <c r="AH237" s="769"/>
      <c r="AI237" s="769"/>
      <c r="AJ237" s="769"/>
      <c r="AK237" s="769"/>
      <c r="AL237" s="769"/>
      <c r="AM237" s="769"/>
      <c r="AN237" s="769"/>
      <c r="AO237" s="773"/>
      <c r="AP237" s="774">
        <f t="shared" si="54"/>
        <v>0</v>
      </c>
      <c r="AQ237" s="439"/>
      <c r="AS237" s="771"/>
      <c r="AT237" t="str">
        <f t="array" ref="AT237">IF(E237&lt;&gt;"Occupied","",_xlfn.IFS(AND(ISNUMBER(AC237),AC237&lt;&gt;0),"Structured",ISNUMBER(SEARCH("/mo con",T237)),"Notes-parsed",ISNUMBER(SEARCH("step",T237)),"Step-up",ISNUMBER(SEARCH("swap",T237)),"Rate-swap",AND(ISNUMBER(I237),ISNUMBER(J237),I237&gt;J237),"Implied",TRUE(),""))</f>
        <v/>
      </c>
      <c r="AU237" s="769" t="str">
        <f t="shared" si="55"/>
        <v/>
      </c>
      <c r="AV237" s="775">
        <f t="shared" si="56"/>
        <v>0</v>
      </c>
    </row>
    <row r="238" spans="7:48" ht="15" customHeight="1" outlineLevel="1" x14ac:dyDescent="0.25">
      <c r="G238" s="421"/>
      <c r="H238" s="421"/>
      <c r="I238" s="769"/>
      <c r="J238" s="769"/>
      <c r="K238" s="769">
        <f t="shared" si="46"/>
        <v>0</v>
      </c>
      <c r="L238" s="769">
        <f t="shared" si="47"/>
        <v>0</v>
      </c>
      <c r="M238" s="769"/>
      <c r="N238" s="769"/>
      <c r="O238" s="769"/>
      <c r="P238" s="769"/>
      <c r="Q238" s="769"/>
      <c r="R238" s="769"/>
      <c r="U238" s="770"/>
      <c r="V238" s="771">
        <f t="shared" si="48"/>
        <v>0</v>
      </c>
      <c r="W238" s="771">
        <f t="shared" si="49"/>
        <v>0</v>
      </c>
      <c r="X238" t="str">
        <f t="shared" si="50"/>
        <v/>
      </c>
      <c r="Y238" t="str">
        <f t="shared" si="51"/>
        <v/>
      </c>
      <c r="AA238" s="769">
        <f t="shared" si="52"/>
        <v>0</v>
      </c>
      <c r="AB238" s="772">
        <f t="shared" si="53"/>
        <v>0</v>
      </c>
      <c r="AC238" s="769"/>
      <c r="AD238" s="421"/>
      <c r="AE238" s="769"/>
      <c r="AF238" s="769"/>
      <c r="AG238" s="769"/>
      <c r="AH238" s="769"/>
      <c r="AI238" s="769"/>
      <c r="AJ238" s="769"/>
      <c r="AK238" s="769"/>
      <c r="AL238" s="769"/>
      <c r="AM238" s="769"/>
      <c r="AN238" s="769"/>
      <c r="AO238" s="773"/>
      <c r="AP238" s="774">
        <f t="shared" si="54"/>
        <v>0</v>
      </c>
      <c r="AQ238" s="439"/>
      <c r="AS238" s="771"/>
      <c r="AT238" t="str">
        <f t="array" ref="AT238">IF(E238&lt;&gt;"Occupied","",_xlfn.IFS(AND(ISNUMBER(AC238),AC238&lt;&gt;0),"Structured",ISNUMBER(SEARCH("/mo con",T238)),"Notes-parsed",ISNUMBER(SEARCH("step",T238)),"Step-up",ISNUMBER(SEARCH("swap",T238)),"Rate-swap",AND(ISNUMBER(I238),ISNUMBER(J238),I238&gt;J238),"Implied",TRUE(),""))</f>
        <v/>
      </c>
      <c r="AU238" s="769" t="str">
        <f t="shared" si="55"/>
        <v/>
      </c>
      <c r="AV238" s="775">
        <f t="shared" si="56"/>
        <v>0</v>
      </c>
    </row>
    <row r="239" spans="7:48" ht="15" customHeight="1" outlineLevel="1" x14ac:dyDescent="0.25">
      <c r="G239" s="421"/>
      <c r="H239" s="421"/>
      <c r="I239" s="769"/>
      <c r="J239" s="769"/>
      <c r="K239" s="769">
        <f t="shared" si="46"/>
        <v>0</v>
      </c>
      <c r="L239" s="769">
        <f t="shared" si="47"/>
        <v>0</v>
      </c>
      <c r="M239" s="769"/>
      <c r="N239" s="769"/>
      <c r="O239" s="769"/>
      <c r="P239" s="769"/>
      <c r="Q239" s="769"/>
      <c r="R239" s="769"/>
      <c r="U239" s="770"/>
      <c r="V239" s="771">
        <f t="shared" si="48"/>
        <v>0</v>
      </c>
      <c r="W239" s="771">
        <f t="shared" si="49"/>
        <v>0</v>
      </c>
      <c r="X239" t="str">
        <f t="shared" si="50"/>
        <v/>
      </c>
      <c r="Y239" t="str">
        <f t="shared" si="51"/>
        <v/>
      </c>
      <c r="AA239" s="769">
        <f t="shared" si="52"/>
        <v>0</v>
      </c>
      <c r="AB239" s="772">
        <f t="shared" si="53"/>
        <v>0</v>
      </c>
      <c r="AC239" s="769"/>
      <c r="AD239" s="421"/>
      <c r="AE239" s="769"/>
      <c r="AF239" s="769"/>
      <c r="AG239" s="769"/>
      <c r="AH239" s="769"/>
      <c r="AI239" s="769"/>
      <c r="AJ239" s="769"/>
      <c r="AK239" s="769"/>
      <c r="AL239" s="769"/>
      <c r="AM239" s="769"/>
      <c r="AN239" s="769"/>
      <c r="AO239" s="773"/>
      <c r="AP239" s="774">
        <f t="shared" si="54"/>
        <v>0</v>
      </c>
      <c r="AQ239" s="439"/>
      <c r="AS239" s="771"/>
      <c r="AT239" t="str">
        <f t="array" ref="AT239">IF(E239&lt;&gt;"Occupied","",_xlfn.IFS(AND(ISNUMBER(AC239),AC239&lt;&gt;0),"Structured",ISNUMBER(SEARCH("/mo con",T239)),"Notes-parsed",ISNUMBER(SEARCH("step",T239)),"Step-up",ISNUMBER(SEARCH("swap",T239)),"Rate-swap",AND(ISNUMBER(I239),ISNUMBER(J239),I239&gt;J239),"Implied",TRUE(),""))</f>
        <v/>
      </c>
      <c r="AU239" s="769" t="str">
        <f t="shared" si="55"/>
        <v/>
      </c>
      <c r="AV239" s="775">
        <f t="shared" si="56"/>
        <v>0</v>
      </c>
    </row>
    <row r="240" spans="7:48" ht="15" customHeight="1" outlineLevel="1" x14ac:dyDescent="0.25">
      <c r="G240" s="421"/>
      <c r="H240" s="421"/>
      <c r="I240" s="769"/>
      <c r="J240" s="769"/>
      <c r="K240" s="769">
        <f t="shared" si="46"/>
        <v>0</v>
      </c>
      <c r="L240" s="769">
        <f t="shared" si="47"/>
        <v>0</v>
      </c>
      <c r="M240" s="769"/>
      <c r="N240" s="769"/>
      <c r="O240" s="769"/>
      <c r="P240" s="769"/>
      <c r="Q240" s="769"/>
      <c r="R240" s="769"/>
      <c r="U240" s="770"/>
      <c r="V240" s="771">
        <f t="shared" si="48"/>
        <v>0</v>
      </c>
      <c r="W240" s="771">
        <f t="shared" si="49"/>
        <v>0</v>
      </c>
      <c r="X240" t="str">
        <f t="shared" si="50"/>
        <v/>
      </c>
      <c r="Y240" t="str">
        <f t="shared" si="51"/>
        <v/>
      </c>
      <c r="AA240" s="769">
        <f t="shared" si="52"/>
        <v>0</v>
      </c>
      <c r="AB240" s="772">
        <f t="shared" si="53"/>
        <v>0</v>
      </c>
      <c r="AC240" s="769"/>
      <c r="AD240" s="421"/>
      <c r="AE240" s="769"/>
      <c r="AF240" s="769"/>
      <c r="AG240" s="769"/>
      <c r="AH240" s="769"/>
      <c r="AI240" s="769"/>
      <c r="AJ240" s="769"/>
      <c r="AK240" s="769"/>
      <c r="AL240" s="769"/>
      <c r="AM240" s="769"/>
      <c r="AN240" s="769"/>
      <c r="AO240" s="773"/>
      <c r="AP240" s="774">
        <f t="shared" si="54"/>
        <v>0</v>
      </c>
      <c r="AQ240" s="439"/>
      <c r="AS240" s="771"/>
      <c r="AT240" t="str">
        <f t="array" ref="AT240">IF(E240&lt;&gt;"Occupied","",_xlfn.IFS(AND(ISNUMBER(AC240),AC240&lt;&gt;0),"Structured",ISNUMBER(SEARCH("/mo con",T240)),"Notes-parsed",ISNUMBER(SEARCH("step",T240)),"Step-up",ISNUMBER(SEARCH("swap",T240)),"Rate-swap",AND(ISNUMBER(I240),ISNUMBER(J240),I240&gt;J240),"Implied",TRUE(),""))</f>
        <v/>
      </c>
      <c r="AU240" s="769" t="str">
        <f t="shared" si="55"/>
        <v/>
      </c>
      <c r="AV240" s="775">
        <f t="shared" si="56"/>
        <v>0</v>
      </c>
    </row>
    <row r="241" spans="7:48" ht="15" customHeight="1" outlineLevel="1" x14ac:dyDescent="0.25">
      <c r="G241" s="421"/>
      <c r="H241" s="421"/>
      <c r="I241" s="769"/>
      <c r="J241" s="769"/>
      <c r="K241" s="769">
        <f t="shared" si="46"/>
        <v>0</v>
      </c>
      <c r="L241" s="769">
        <f t="shared" si="47"/>
        <v>0</v>
      </c>
      <c r="M241" s="769"/>
      <c r="N241" s="769"/>
      <c r="O241" s="769"/>
      <c r="P241" s="769"/>
      <c r="Q241" s="769"/>
      <c r="R241" s="769"/>
      <c r="U241" s="770"/>
      <c r="V241" s="771">
        <f t="shared" si="48"/>
        <v>0</v>
      </c>
      <c r="W241" s="771">
        <f t="shared" si="49"/>
        <v>0</v>
      </c>
      <c r="X241" t="str">
        <f t="shared" si="50"/>
        <v/>
      </c>
      <c r="Y241" t="str">
        <f t="shared" si="51"/>
        <v/>
      </c>
      <c r="AA241" s="769">
        <f t="shared" si="52"/>
        <v>0</v>
      </c>
      <c r="AB241" s="772">
        <f t="shared" si="53"/>
        <v>0</v>
      </c>
      <c r="AC241" s="769"/>
      <c r="AD241" s="421"/>
      <c r="AE241" s="769"/>
      <c r="AF241" s="769"/>
      <c r="AG241" s="769"/>
      <c r="AH241" s="769"/>
      <c r="AI241" s="769"/>
      <c r="AJ241" s="769"/>
      <c r="AK241" s="769"/>
      <c r="AL241" s="769"/>
      <c r="AM241" s="769"/>
      <c r="AN241" s="769"/>
      <c r="AO241" s="773"/>
      <c r="AP241" s="774">
        <f t="shared" si="54"/>
        <v>0</v>
      </c>
      <c r="AQ241" s="439"/>
      <c r="AS241" s="771"/>
      <c r="AT241" t="str">
        <f t="array" ref="AT241">IF(E241&lt;&gt;"Occupied","",_xlfn.IFS(AND(ISNUMBER(AC241),AC241&lt;&gt;0),"Structured",ISNUMBER(SEARCH("/mo con",T241)),"Notes-parsed",ISNUMBER(SEARCH("step",T241)),"Step-up",ISNUMBER(SEARCH("swap",T241)),"Rate-swap",AND(ISNUMBER(I241),ISNUMBER(J241),I241&gt;J241),"Implied",TRUE(),""))</f>
        <v/>
      </c>
      <c r="AU241" s="769" t="str">
        <f t="shared" si="55"/>
        <v/>
      </c>
      <c r="AV241" s="775">
        <f t="shared" si="56"/>
        <v>0</v>
      </c>
    </row>
    <row r="242" spans="7:48" ht="15" customHeight="1" outlineLevel="1" x14ac:dyDescent="0.25">
      <c r="G242" s="421"/>
      <c r="H242" s="421"/>
      <c r="I242" s="769"/>
      <c r="J242" s="769"/>
      <c r="K242" s="769">
        <f t="shared" si="46"/>
        <v>0</v>
      </c>
      <c r="L242" s="769">
        <f t="shared" si="47"/>
        <v>0</v>
      </c>
      <c r="M242" s="769"/>
      <c r="N242" s="769"/>
      <c r="O242" s="769"/>
      <c r="P242" s="769"/>
      <c r="Q242" s="769"/>
      <c r="R242" s="769"/>
      <c r="U242" s="770"/>
      <c r="V242" s="771">
        <f t="shared" si="48"/>
        <v>0</v>
      </c>
      <c r="W242" s="771">
        <f t="shared" si="49"/>
        <v>0</v>
      </c>
      <c r="X242" t="str">
        <f t="shared" si="50"/>
        <v/>
      </c>
      <c r="Y242" t="str">
        <f t="shared" si="51"/>
        <v/>
      </c>
      <c r="AA242" s="769">
        <f t="shared" si="52"/>
        <v>0</v>
      </c>
      <c r="AB242" s="772">
        <f t="shared" si="53"/>
        <v>0</v>
      </c>
      <c r="AC242" s="769"/>
      <c r="AD242" s="421"/>
      <c r="AE242" s="769"/>
      <c r="AF242" s="769"/>
      <c r="AG242" s="769"/>
      <c r="AH242" s="769"/>
      <c r="AI242" s="769"/>
      <c r="AJ242" s="769"/>
      <c r="AK242" s="769"/>
      <c r="AL242" s="769"/>
      <c r="AM242" s="769"/>
      <c r="AN242" s="769"/>
      <c r="AO242" s="773"/>
      <c r="AP242" s="774">
        <f t="shared" si="54"/>
        <v>0</v>
      </c>
      <c r="AQ242" s="439"/>
      <c r="AS242" s="771"/>
      <c r="AT242" t="str">
        <f t="array" ref="AT242">IF(E242&lt;&gt;"Occupied","",_xlfn.IFS(AND(ISNUMBER(AC242),AC242&lt;&gt;0),"Structured",ISNUMBER(SEARCH("/mo con",T242)),"Notes-parsed",ISNUMBER(SEARCH("step",T242)),"Step-up",ISNUMBER(SEARCH("swap",T242)),"Rate-swap",AND(ISNUMBER(I242),ISNUMBER(J242),I242&gt;J242),"Implied",TRUE(),""))</f>
        <v/>
      </c>
      <c r="AU242" s="769" t="str">
        <f t="shared" si="55"/>
        <v/>
      </c>
      <c r="AV242" s="775">
        <f t="shared" si="56"/>
        <v>0</v>
      </c>
    </row>
    <row r="243" spans="7:48" ht="15" customHeight="1" outlineLevel="1" x14ac:dyDescent="0.25">
      <c r="G243" s="421"/>
      <c r="H243" s="421"/>
      <c r="I243" s="769"/>
      <c r="J243" s="769"/>
      <c r="K243" s="769">
        <f t="shared" si="46"/>
        <v>0</v>
      </c>
      <c r="L243" s="769">
        <f t="shared" si="47"/>
        <v>0</v>
      </c>
      <c r="M243" s="769"/>
      <c r="N243" s="769"/>
      <c r="O243" s="769"/>
      <c r="P243" s="769"/>
      <c r="Q243" s="769"/>
      <c r="R243" s="769"/>
      <c r="U243" s="770"/>
      <c r="V243" s="771">
        <f t="shared" si="48"/>
        <v>0</v>
      </c>
      <c r="W243" s="771">
        <f t="shared" si="49"/>
        <v>0</v>
      </c>
      <c r="X243" t="str">
        <f t="shared" si="50"/>
        <v/>
      </c>
      <c r="Y243" t="str">
        <f t="shared" si="51"/>
        <v/>
      </c>
      <c r="AA243" s="769">
        <f t="shared" si="52"/>
        <v>0</v>
      </c>
      <c r="AB243" s="772">
        <f t="shared" si="53"/>
        <v>0</v>
      </c>
      <c r="AC243" s="769"/>
      <c r="AD243" s="421"/>
      <c r="AE243" s="769"/>
      <c r="AF243" s="769"/>
      <c r="AG243" s="769"/>
      <c r="AH243" s="769"/>
      <c r="AI243" s="769"/>
      <c r="AJ243" s="769"/>
      <c r="AK243" s="769"/>
      <c r="AL243" s="769"/>
      <c r="AM243" s="769"/>
      <c r="AN243" s="769"/>
      <c r="AO243" s="773"/>
      <c r="AP243" s="774">
        <f t="shared" si="54"/>
        <v>0</v>
      </c>
      <c r="AQ243" s="439"/>
      <c r="AS243" s="771"/>
      <c r="AT243" t="str">
        <f t="array" ref="AT243">IF(E243&lt;&gt;"Occupied","",_xlfn.IFS(AND(ISNUMBER(AC243),AC243&lt;&gt;0),"Structured",ISNUMBER(SEARCH("/mo con",T243)),"Notes-parsed",ISNUMBER(SEARCH("step",T243)),"Step-up",ISNUMBER(SEARCH("swap",T243)),"Rate-swap",AND(ISNUMBER(I243),ISNUMBER(J243),I243&gt;J243),"Implied",TRUE(),""))</f>
        <v/>
      </c>
      <c r="AU243" s="769" t="str">
        <f t="shared" si="55"/>
        <v/>
      </c>
      <c r="AV243" s="775">
        <f t="shared" si="56"/>
        <v>0</v>
      </c>
    </row>
    <row r="244" spans="7:48" ht="15" customHeight="1" outlineLevel="1" x14ac:dyDescent="0.25">
      <c r="G244" s="421"/>
      <c r="H244" s="421"/>
      <c r="I244" s="769"/>
      <c r="J244" s="769"/>
      <c r="K244" s="769">
        <f t="shared" si="46"/>
        <v>0</v>
      </c>
      <c r="L244" s="769">
        <f t="shared" si="47"/>
        <v>0</v>
      </c>
      <c r="M244" s="769"/>
      <c r="N244" s="769"/>
      <c r="O244" s="769"/>
      <c r="P244" s="769"/>
      <c r="Q244" s="769"/>
      <c r="R244" s="769"/>
      <c r="U244" s="770"/>
      <c r="V244" s="771">
        <f t="shared" si="48"/>
        <v>0</v>
      </c>
      <c r="W244" s="771">
        <f t="shared" si="49"/>
        <v>0</v>
      </c>
      <c r="X244" t="str">
        <f t="shared" si="50"/>
        <v/>
      </c>
      <c r="Y244" t="str">
        <f t="shared" si="51"/>
        <v/>
      </c>
      <c r="AA244" s="769">
        <f t="shared" si="52"/>
        <v>0</v>
      </c>
      <c r="AB244" s="772">
        <f t="shared" si="53"/>
        <v>0</v>
      </c>
      <c r="AC244" s="769"/>
      <c r="AD244" s="421"/>
      <c r="AE244" s="769"/>
      <c r="AF244" s="769"/>
      <c r="AG244" s="769"/>
      <c r="AH244" s="769"/>
      <c r="AI244" s="769"/>
      <c r="AJ244" s="769"/>
      <c r="AK244" s="769"/>
      <c r="AL244" s="769"/>
      <c r="AM244" s="769"/>
      <c r="AN244" s="769"/>
      <c r="AO244" s="773"/>
      <c r="AP244" s="774">
        <f t="shared" si="54"/>
        <v>0</v>
      </c>
      <c r="AQ244" s="439"/>
      <c r="AS244" s="771"/>
      <c r="AT244" t="str">
        <f t="array" ref="AT244">IF(E244&lt;&gt;"Occupied","",_xlfn.IFS(AND(ISNUMBER(AC244),AC244&lt;&gt;0),"Structured",ISNUMBER(SEARCH("/mo con",T244)),"Notes-parsed",ISNUMBER(SEARCH("step",T244)),"Step-up",ISNUMBER(SEARCH("swap",T244)),"Rate-swap",AND(ISNUMBER(I244),ISNUMBER(J244),I244&gt;J244),"Implied",TRUE(),""))</f>
        <v/>
      </c>
      <c r="AU244" s="769" t="str">
        <f t="shared" si="55"/>
        <v/>
      </c>
      <c r="AV244" s="775">
        <f t="shared" si="56"/>
        <v>0</v>
      </c>
    </row>
    <row r="245" spans="7:48" ht="15" customHeight="1" outlineLevel="1" x14ac:dyDescent="0.25">
      <c r="G245" s="421"/>
      <c r="H245" s="421"/>
      <c r="I245" s="769"/>
      <c r="J245" s="769"/>
      <c r="K245" s="769">
        <f t="shared" si="46"/>
        <v>0</v>
      </c>
      <c r="L245" s="769">
        <f t="shared" si="47"/>
        <v>0</v>
      </c>
      <c r="M245" s="769"/>
      <c r="N245" s="769"/>
      <c r="O245" s="769"/>
      <c r="P245" s="769"/>
      <c r="Q245" s="769"/>
      <c r="R245" s="769"/>
      <c r="U245" s="770"/>
      <c r="V245" s="771">
        <f t="shared" si="48"/>
        <v>0</v>
      </c>
      <c r="W245" s="771">
        <f t="shared" si="49"/>
        <v>0</v>
      </c>
      <c r="X245" t="str">
        <f t="shared" si="50"/>
        <v/>
      </c>
      <c r="Y245" t="str">
        <f t="shared" si="51"/>
        <v/>
      </c>
      <c r="AA245" s="769">
        <f t="shared" si="52"/>
        <v>0</v>
      </c>
      <c r="AB245" s="772">
        <f t="shared" si="53"/>
        <v>0</v>
      </c>
      <c r="AC245" s="769"/>
      <c r="AD245" s="421"/>
      <c r="AE245" s="769"/>
      <c r="AF245" s="769"/>
      <c r="AG245" s="769"/>
      <c r="AH245" s="769"/>
      <c r="AI245" s="769"/>
      <c r="AJ245" s="769"/>
      <c r="AK245" s="769"/>
      <c r="AL245" s="769"/>
      <c r="AM245" s="769"/>
      <c r="AN245" s="769"/>
      <c r="AO245" s="773"/>
      <c r="AP245" s="774">
        <f t="shared" si="54"/>
        <v>0</v>
      </c>
      <c r="AQ245" s="439"/>
      <c r="AS245" s="771"/>
      <c r="AT245" t="str">
        <f t="array" ref="AT245">IF(E245&lt;&gt;"Occupied","",_xlfn.IFS(AND(ISNUMBER(AC245),AC245&lt;&gt;0),"Structured",ISNUMBER(SEARCH("/mo con",T245)),"Notes-parsed",ISNUMBER(SEARCH("step",T245)),"Step-up",ISNUMBER(SEARCH("swap",T245)),"Rate-swap",AND(ISNUMBER(I245),ISNUMBER(J245),I245&gt;J245),"Implied",TRUE(),""))</f>
        <v/>
      </c>
      <c r="AU245" s="769" t="str">
        <f t="shared" si="55"/>
        <v/>
      </c>
      <c r="AV245" s="775">
        <f t="shared" si="56"/>
        <v>0</v>
      </c>
    </row>
    <row r="246" spans="7:48" ht="15" customHeight="1" outlineLevel="1" x14ac:dyDescent="0.25">
      <c r="G246" s="421"/>
      <c r="H246" s="421"/>
      <c r="I246" s="769"/>
      <c r="J246" s="769"/>
      <c r="K246" s="769">
        <f t="shared" si="46"/>
        <v>0</v>
      </c>
      <c r="L246" s="769">
        <f t="shared" si="47"/>
        <v>0</v>
      </c>
      <c r="M246" s="769"/>
      <c r="N246" s="769"/>
      <c r="O246" s="769"/>
      <c r="P246" s="769"/>
      <c r="Q246" s="769"/>
      <c r="R246" s="769"/>
      <c r="U246" s="770"/>
      <c r="V246" s="771">
        <f t="shared" si="48"/>
        <v>0</v>
      </c>
      <c r="W246" s="771">
        <f t="shared" si="49"/>
        <v>0</v>
      </c>
      <c r="X246" t="str">
        <f t="shared" si="50"/>
        <v/>
      </c>
      <c r="Y246" t="str">
        <f t="shared" si="51"/>
        <v/>
      </c>
      <c r="AA246" s="769">
        <f t="shared" si="52"/>
        <v>0</v>
      </c>
      <c r="AB246" s="772">
        <f t="shared" si="53"/>
        <v>0</v>
      </c>
      <c r="AC246" s="769"/>
      <c r="AD246" s="421"/>
      <c r="AE246" s="769"/>
      <c r="AF246" s="769"/>
      <c r="AG246" s="769"/>
      <c r="AH246" s="769"/>
      <c r="AI246" s="769"/>
      <c r="AJ246" s="769"/>
      <c r="AK246" s="769"/>
      <c r="AL246" s="769"/>
      <c r="AM246" s="769"/>
      <c r="AN246" s="769"/>
      <c r="AO246" s="773"/>
      <c r="AP246" s="774">
        <f t="shared" si="54"/>
        <v>0</v>
      </c>
      <c r="AQ246" s="439"/>
      <c r="AS246" s="771"/>
      <c r="AT246" t="str">
        <f t="array" ref="AT246">IF(E246&lt;&gt;"Occupied","",_xlfn.IFS(AND(ISNUMBER(AC246),AC246&lt;&gt;0),"Structured",ISNUMBER(SEARCH("/mo con",T246)),"Notes-parsed",ISNUMBER(SEARCH("step",T246)),"Step-up",ISNUMBER(SEARCH("swap",T246)),"Rate-swap",AND(ISNUMBER(I246),ISNUMBER(J246),I246&gt;J246),"Implied",TRUE(),""))</f>
        <v/>
      </c>
      <c r="AU246" s="769" t="str">
        <f t="shared" si="55"/>
        <v/>
      </c>
      <c r="AV246" s="775">
        <f t="shared" si="56"/>
        <v>0</v>
      </c>
    </row>
    <row r="247" spans="7:48" ht="15" customHeight="1" outlineLevel="1" x14ac:dyDescent="0.25">
      <c r="G247" s="421"/>
      <c r="H247" s="421"/>
      <c r="I247" s="769"/>
      <c r="J247" s="769"/>
      <c r="K247" s="769">
        <f t="shared" si="46"/>
        <v>0</v>
      </c>
      <c r="L247" s="769">
        <f t="shared" si="47"/>
        <v>0</v>
      </c>
      <c r="M247" s="769"/>
      <c r="N247" s="769"/>
      <c r="O247" s="769"/>
      <c r="P247" s="769"/>
      <c r="Q247" s="769"/>
      <c r="R247" s="769"/>
      <c r="U247" s="770"/>
      <c r="V247" s="771">
        <f t="shared" si="48"/>
        <v>0</v>
      </c>
      <c r="W247" s="771">
        <f t="shared" si="49"/>
        <v>0</v>
      </c>
      <c r="X247" t="str">
        <f t="shared" si="50"/>
        <v/>
      </c>
      <c r="Y247" t="str">
        <f t="shared" si="51"/>
        <v/>
      </c>
      <c r="AA247" s="769">
        <f t="shared" si="52"/>
        <v>0</v>
      </c>
      <c r="AB247" s="772">
        <f t="shared" si="53"/>
        <v>0</v>
      </c>
      <c r="AC247" s="769"/>
      <c r="AD247" s="421"/>
      <c r="AE247" s="769"/>
      <c r="AF247" s="769"/>
      <c r="AG247" s="769"/>
      <c r="AH247" s="769"/>
      <c r="AI247" s="769"/>
      <c r="AJ247" s="769"/>
      <c r="AK247" s="769"/>
      <c r="AL247" s="769"/>
      <c r="AM247" s="769"/>
      <c r="AN247" s="769"/>
      <c r="AO247" s="773"/>
      <c r="AP247" s="774">
        <f t="shared" si="54"/>
        <v>0</v>
      </c>
      <c r="AQ247" s="439"/>
      <c r="AS247" s="771"/>
      <c r="AT247" t="str">
        <f t="array" ref="AT247">IF(E247&lt;&gt;"Occupied","",_xlfn.IFS(AND(ISNUMBER(AC247),AC247&lt;&gt;0),"Structured",ISNUMBER(SEARCH("/mo con",T247)),"Notes-parsed",ISNUMBER(SEARCH("step",T247)),"Step-up",ISNUMBER(SEARCH("swap",T247)),"Rate-swap",AND(ISNUMBER(I247),ISNUMBER(J247),I247&gt;J247),"Implied",TRUE(),""))</f>
        <v/>
      </c>
      <c r="AU247" s="769" t="str">
        <f t="shared" si="55"/>
        <v/>
      </c>
      <c r="AV247" s="775">
        <f t="shared" si="56"/>
        <v>0</v>
      </c>
    </row>
    <row r="248" spans="7:48" ht="15" customHeight="1" outlineLevel="1" x14ac:dyDescent="0.25">
      <c r="G248" s="421"/>
      <c r="H248" s="421"/>
      <c r="I248" s="769"/>
      <c r="J248" s="769"/>
      <c r="K248" s="769">
        <f t="shared" si="46"/>
        <v>0</v>
      </c>
      <c r="L248" s="769">
        <f t="shared" si="47"/>
        <v>0</v>
      </c>
      <c r="M248" s="769"/>
      <c r="N248" s="769"/>
      <c r="O248" s="769"/>
      <c r="P248" s="769"/>
      <c r="Q248" s="769"/>
      <c r="R248" s="769"/>
      <c r="U248" s="770"/>
      <c r="V248" s="771">
        <f t="shared" si="48"/>
        <v>0</v>
      </c>
      <c r="W248" s="771">
        <f t="shared" si="49"/>
        <v>0</v>
      </c>
      <c r="X248" t="str">
        <f t="shared" si="50"/>
        <v/>
      </c>
      <c r="Y248" t="str">
        <f t="shared" si="51"/>
        <v/>
      </c>
      <c r="AA248" s="769">
        <f t="shared" si="52"/>
        <v>0</v>
      </c>
      <c r="AB248" s="772">
        <f t="shared" si="53"/>
        <v>0</v>
      </c>
      <c r="AC248" s="769"/>
      <c r="AD248" s="421"/>
      <c r="AE248" s="769"/>
      <c r="AF248" s="769"/>
      <c r="AG248" s="769"/>
      <c r="AH248" s="769"/>
      <c r="AI248" s="769"/>
      <c r="AJ248" s="769"/>
      <c r="AK248" s="769"/>
      <c r="AL248" s="769"/>
      <c r="AM248" s="769"/>
      <c r="AN248" s="769"/>
      <c r="AO248" s="773"/>
      <c r="AP248" s="774">
        <f t="shared" si="54"/>
        <v>0</v>
      </c>
      <c r="AQ248" s="439"/>
      <c r="AS248" s="771"/>
      <c r="AT248" t="str">
        <f t="array" ref="AT248">IF(E248&lt;&gt;"Occupied","",_xlfn.IFS(AND(ISNUMBER(AC248),AC248&lt;&gt;0),"Structured",ISNUMBER(SEARCH("/mo con",T248)),"Notes-parsed",ISNUMBER(SEARCH("step",T248)),"Step-up",ISNUMBER(SEARCH("swap",T248)),"Rate-swap",AND(ISNUMBER(I248),ISNUMBER(J248),I248&gt;J248),"Implied",TRUE(),""))</f>
        <v/>
      </c>
      <c r="AU248" s="769" t="str">
        <f t="shared" si="55"/>
        <v/>
      </c>
      <c r="AV248" s="775">
        <f t="shared" si="56"/>
        <v>0</v>
      </c>
    </row>
    <row r="249" spans="7:48" ht="15" customHeight="1" outlineLevel="1" x14ac:dyDescent="0.25">
      <c r="G249" s="421"/>
      <c r="H249" s="421"/>
      <c r="I249" s="769"/>
      <c r="J249" s="769"/>
      <c r="K249" s="769">
        <f t="shared" si="46"/>
        <v>0</v>
      </c>
      <c r="L249" s="769">
        <f t="shared" si="47"/>
        <v>0</v>
      </c>
      <c r="M249" s="769"/>
      <c r="N249" s="769"/>
      <c r="O249" s="769"/>
      <c r="P249" s="769"/>
      <c r="Q249" s="769"/>
      <c r="R249" s="769"/>
      <c r="U249" s="770"/>
      <c r="V249" s="771">
        <f t="shared" si="48"/>
        <v>0</v>
      </c>
      <c r="W249" s="771">
        <f t="shared" si="49"/>
        <v>0</v>
      </c>
      <c r="X249" t="str">
        <f t="shared" si="50"/>
        <v/>
      </c>
      <c r="Y249" t="str">
        <f t="shared" si="51"/>
        <v/>
      </c>
      <c r="AA249" s="769">
        <f t="shared" si="52"/>
        <v>0</v>
      </c>
      <c r="AB249" s="772">
        <f t="shared" si="53"/>
        <v>0</v>
      </c>
      <c r="AC249" s="769"/>
      <c r="AD249" s="421"/>
      <c r="AE249" s="769"/>
      <c r="AF249" s="769"/>
      <c r="AG249" s="769"/>
      <c r="AH249" s="769"/>
      <c r="AI249" s="769"/>
      <c r="AJ249" s="769"/>
      <c r="AK249" s="769"/>
      <c r="AL249" s="769"/>
      <c r="AM249" s="769"/>
      <c r="AN249" s="769"/>
      <c r="AO249" s="773"/>
      <c r="AP249" s="774">
        <f t="shared" si="54"/>
        <v>0</v>
      </c>
      <c r="AQ249" s="439"/>
      <c r="AS249" s="771"/>
      <c r="AT249" t="str">
        <f t="array" ref="AT249">IF(E249&lt;&gt;"Occupied","",_xlfn.IFS(AND(ISNUMBER(AC249),AC249&lt;&gt;0),"Structured",ISNUMBER(SEARCH("/mo con",T249)),"Notes-parsed",ISNUMBER(SEARCH("step",T249)),"Step-up",ISNUMBER(SEARCH("swap",T249)),"Rate-swap",AND(ISNUMBER(I249),ISNUMBER(J249),I249&gt;J249),"Implied",TRUE(),""))</f>
        <v/>
      </c>
      <c r="AU249" s="769" t="str">
        <f t="shared" si="55"/>
        <v/>
      </c>
      <c r="AV249" s="775">
        <f t="shared" si="56"/>
        <v>0</v>
      </c>
    </row>
    <row r="250" spans="7:48" ht="15" customHeight="1" outlineLevel="1" x14ac:dyDescent="0.25">
      <c r="G250" s="421"/>
      <c r="H250" s="421"/>
      <c r="I250" s="769"/>
      <c r="J250" s="769"/>
      <c r="K250" s="769">
        <f t="shared" si="46"/>
        <v>0</v>
      </c>
      <c r="L250" s="769">
        <f t="shared" si="47"/>
        <v>0</v>
      </c>
      <c r="M250" s="769"/>
      <c r="N250" s="769"/>
      <c r="O250" s="769"/>
      <c r="P250" s="769"/>
      <c r="Q250" s="769"/>
      <c r="R250" s="769"/>
      <c r="U250" s="770"/>
      <c r="V250" s="771">
        <f t="shared" si="48"/>
        <v>0</v>
      </c>
      <c r="W250" s="771">
        <f t="shared" si="49"/>
        <v>0</v>
      </c>
      <c r="X250" t="str">
        <f t="shared" si="50"/>
        <v/>
      </c>
      <c r="Y250" t="str">
        <f t="shared" si="51"/>
        <v/>
      </c>
      <c r="AA250" s="769">
        <f t="shared" si="52"/>
        <v>0</v>
      </c>
      <c r="AB250" s="772">
        <f t="shared" si="53"/>
        <v>0</v>
      </c>
      <c r="AC250" s="769"/>
      <c r="AD250" s="421"/>
      <c r="AE250" s="769"/>
      <c r="AF250" s="769"/>
      <c r="AG250" s="769"/>
      <c r="AH250" s="769"/>
      <c r="AI250" s="769"/>
      <c r="AJ250" s="769"/>
      <c r="AK250" s="769"/>
      <c r="AL250" s="769"/>
      <c r="AM250" s="769"/>
      <c r="AN250" s="769"/>
      <c r="AO250" s="773"/>
      <c r="AP250" s="774">
        <f t="shared" si="54"/>
        <v>0</v>
      </c>
      <c r="AQ250" s="439"/>
      <c r="AS250" s="771"/>
      <c r="AT250" t="str">
        <f t="array" ref="AT250">IF(E250&lt;&gt;"Occupied","",_xlfn.IFS(AND(ISNUMBER(AC250),AC250&lt;&gt;0),"Structured",ISNUMBER(SEARCH("/mo con",T250)),"Notes-parsed",ISNUMBER(SEARCH("step",T250)),"Step-up",ISNUMBER(SEARCH("swap",T250)),"Rate-swap",AND(ISNUMBER(I250),ISNUMBER(J250),I250&gt;J250),"Implied",TRUE(),""))</f>
        <v/>
      </c>
      <c r="AU250" s="769" t="str">
        <f t="shared" si="55"/>
        <v/>
      </c>
      <c r="AV250" s="775">
        <f t="shared" si="56"/>
        <v>0</v>
      </c>
    </row>
    <row r="251" spans="7:48" ht="15" customHeight="1" outlineLevel="1" x14ac:dyDescent="0.25">
      <c r="G251" s="421"/>
      <c r="H251" s="421"/>
      <c r="I251" s="769"/>
      <c r="J251" s="769"/>
      <c r="K251" s="769">
        <f t="shared" si="46"/>
        <v>0</v>
      </c>
      <c r="L251" s="769">
        <f t="shared" si="47"/>
        <v>0</v>
      </c>
      <c r="M251" s="769"/>
      <c r="N251" s="769"/>
      <c r="O251" s="769"/>
      <c r="P251" s="769"/>
      <c r="Q251" s="769"/>
      <c r="R251" s="769"/>
      <c r="U251" s="770"/>
      <c r="V251" s="771">
        <f t="shared" si="48"/>
        <v>0</v>
      </c>
      <c r="W251" s="771">
        <f t="shared" si="49"/>
        <v>0</v>
      </c>
      <c r="X251" t="str">
        <f t="shared" si="50"/>
        <v/>
      </c>
      <c r="Y251" t="str">
        <f t="shared" si="51"/>
        <v/>
      </c>
      <c r="AA251" s="769">
        <f t="shared" si="52"/>
        <v>0</v>
      </c>
      <c r="AB251" s="772">
        <f t="shared" si="53"/>
        <v>0</v>
      </c>
      <c r="AC251" s="769"/>
      <c r="AD251" s="421"/>
      <c r="AE251" s="769"/>
      <c r="AF251" s="769"/>
      <c r="AG251" s="769"/>
      <c r="AH251" s="769"/>
      <c r="AI251" s="769"/>
      <c r="AJ251" s="769"/>
      <c r="AK251" s="769"/>
      <c r="AL251" s="769"/>
      <c r="AM251" s="769"/>
      <c r="AN251" s="769"/>
      <c r="AO251" s="773"/>
      <c r="AP251" s="774">
        <f t="shared" si="54"/>
        <v>0</v>
      </c>
      <c r="AQ251" s="439"/>
      <c r="AS251" s="771"/>
      <c r="AT251" t="str">
        <f t="array" ref="AT251">IF(E251&lt;&gt;"Occupied","",_xlfn.IFS(AND(ISNUMBER(AC251),AC251&lt;&gt;0),"Structured",ISNUMBER(SEARCH("/mo con",T251)),"Notes-parsed",ISNUMBER(SEARCH("step",T251)),"Step-up",ISNUMBER(SEARCH("swap",T251)),"Rate-swap",AND(ISNUMBER(I251),ISNUMBER(J251),I251&gt;J251),"Implied",TRUE(),""))</f>
        <v/>
      </c>
      <c r="AU251" s="769" t="str">
        <f t="shared" si="55"/>
        <v/>
      </c>
      <c r="AV251" s="775">
        <f t="shared" si="56"/>
        <v>0</v>
      </c>
    </row>
    <row r="252" spans="7:48" ht="15" customHeight="1" outlineLevel="1" x14ac:dyDescent="0.25">
      <c r="G252" s="421"/>
      <c r="H252" s="421"/>
      <c r="I252" s="769"/>
      <c r="J252" s="769"/>
      <c r="K252" s="769">
        <f t="shared" si="46"/>
        <v>0</v>
      </c>
      <c r="L252" s="769">
        <f t="shared" si="47"/>
        <v>0</v>
      </c>
      <c r="M252" s="769"/>
      <c r="N252" s="769"/>
      <c r="O252" s="769"/>
      <c r="P252" s="769"/>
      <c r="Q252" s="769"/>
      <c r="R252" s="769"/>
      <c r="U252" s="770"/>
      <c r="V252" s="771">
        <f t="shared" si="48"/>
        <v>0</v>
      </c>
      <c r="W252" s="771">
        <f t="shared" si="49"/>
        <v>0</v>
      </c>
      <c r="X252" t="str">
        <f t="shared" si="50"/>
        <v/>
      </c>
      <c r="Y252" t="str">
        <f t="shared" si="51"/>
        <v/>
      </c>
      <c r="AA252" s="769">
        <f t="shared" si="52"/>
        <v>0</v>
      </c>
      <c r="AB252" s="772">
        <f t="shared" si="53"/>
        <v>0</v>
      </c>
      <c r="AC252" s="769"/>
      <c r="AD252" s="421"/>
      <c r="AE252" s="769"/>
      <c r="AF252" s="769"/>
      <c r="AG252" s="769"/>
      <c r="AH252" s="769"/>
      <c r="AI252" s="769"/>
      <c r="AJ252" s="769"/>
      <c r="AK252" s="769"/>
      <c r="AL252" s="769"/>
      <c r="AM252" s="769"/>
      <c r="AN252" s="769"/>
      <c r="AO252" s="773"/>
      <c r="AP252" s="774">
        <f t="shared" si="54"/>
        <v>0</v>
      </c>
      <c r="AQ252" s="439"/>
      <c r="AS252" s="771"/>
      <c r="AT252" t="str">
        <f t="array" ref="AT252">IF(E252&lt;&gt;"Occupied","",_xlfn.IFS(AND(ISNUMBER(AC252),AC252&lt;&gt;0),"Structured",ISNUMBER(SEARCH("/mo con",T252)),"Notes-parsed",ISNUMBER(SEARCH("step",T252)),"Step-up",ISNUMBER(SEARCH("swap",T252)),"Rate-swap",AND(ISNUMBER(I252),ISNUMBER(J252),I252&gt;J252),"Implied",TRUE(),""))</f>
        <v/>
      </c>
      <c r="AU252" s="769" t="str">
        <f t="shared" si="55"/>
        <v/>
      </c>
      <c r="AV252" s="775">
        <f t="shared" si="56"/>
        <v>0</v>
      </c>
    </row>
    <row r="253" spans="7:48" ht="15" customHeight="1" outlineLevel="1" x14ac:dyDescent="0.25">
      <c r="G253" s="421"/>
      <c r="H253" s="421"/>
      <c r="I253" s="769"/>
      <c r="J253" s="769"/>
      <c r="K253" s="769">
        <f t="shared" si="46"/>
        <v>0</v>
      </c>
      <c r="L253" s="769">
        <f t="shared" si="47"/>
        <v>0</v>
      </c>
      <c r="M253" s="769"/>
      <c r="N253" s="769"/>
      <c r="O253" s="769"/>
      <c r="P253" s="769"/>
      <c r="Q253" s="769"/>
      <c r="R253" s="769"/>
      <c r="U253" s="770"/>
      <c r="V253" s="771">
        <f t="shared" si="48"/>
        <v>0</v>
      </c>
      <c r="W253" s="771">
        <f t="shared" si="49"/>
        <v>0</v>
      </c>
      <c r="X253" t="str">
        <f t="shared" si="50"/>
        <v/>
      </c>
      <c r="Y253" t="str">
        <f t="shared" si="51"/>
        <v/>
      </c>
      <c r="AA253" s="769">
        <f t="shared" si="52"/>
        <v>0</v>
      </c>
      <c r="AB253" s="772">
        <f t="shared" si="53"/>
        <v>0</v>
      </c>
      <c r="AC253" s="769"/>
      <c r="AD253" s="421"/>
      <c r="AE253" s="769"/>
      <c r="AF253" s="769"/>
      <c r="AG253" s="769"/>
      <c r="AH253" s="769"/>
      <c r="AI253" s="769"/>
      <c r="AJ253" s="769"/>
      <c r="AK253" s="769"/>
      <c r="AL253" s="769"/>
      <c r="AM253" s="769"/>
      <c r="AN253" s="769"/>
      <c r="AO253" s="773"/>
      <c r="AP253" s="774">
        <f t="shared" si="54"/>
        <v>0</v>
      </c>
      <c r="AQ253" s="439"/>
      <c r="AS253" s="771"/>
      <c r="AT253" t="str">
        <f t="array" ref="AT253">IF(E253&lt;&gt;"Occupied","",_xlfn.IFS(AND(ISNUMBER(AC253),AC253&lt;&gt;0),"Structured",ISNUMBER(SEARCH("/mo con",T253)),"Notes-parsed",ISNUMBER(SEARCH("step",T253)),"Step-up",ISNUMBER(SEARCH("swap",T253)),"Rate-swap",AND(ISNUMBER(I253),ISNUMBER(J253),I253&gt;J253),"Implied",TRUE(),""))</f>
        <v/>
      </c>
      <c r="AU253" s="769" t="str">
        <f t="shared" si="55"/>
        <v/>
      </c>
      <c r="AV253" s="775">
        <f t="shared" si="56"/>
        <v>0</v>
      </c>
    </row>
    <row r="254" spans="7:48" ht="15" customHeight="1" outlineLevel="1" x14ac:dyDescent="0.25">
      <c r="G254" s="421"/>
      <c r="H254" s="421"/>
      <c r="I254" s="769"/>
      <c r="J254" s="769"/>
      <c r="K254" s="769">
        <f t="shared" si="46"/>
        <v>0</v>
      </c>
      <c r="L254" s="769">
        <f t="shared" si="47"/>
        <v>0</v>
      </c>
      <c r="M254" s="769"/>
      <c r="N254" s="769"/>
      <c r="O254" s="769"/>
      <c r="P254" s="769"/>
      <c r="Q254" s="769"/>
      <c r="R254" s="769"/>
      <c r="U254" s="770"/>
      <c r="V254" s="771">
        <f t="shared" si="48"/>
        <v>0</v>
      </c>
      <c r="W254" s="771">
        <f t="shared" si="49"/>
        <v>0</v>
      </c>
      <c r="X254" t="str">
        <f t="shared" si="50"/>
        <v/>
      </c>
      <c r="Y254" t="str">
        <f t="shared" si="51"/>
        <v/>
      </c>
      <c r="AA254" s="769">
        <f t="shared" si="52"/>
        <v>0</v>
      </c>
      <c r="AB254" s="772">
        <f t="shared" si="53"/>
        <v>0</v>
      </c>
      <c r="AC254" s="769"/>
      <c r="AD254" s="421"/>
      <c r="AE254" s="769"/>
      <c r="AF254" s="769"/>
      <c r="AG254" s="769"/>
      <c r="AH254" s="769"/>
      <c r="AI254" s="769"/>
      <c r="AJ254" s="769"/>
      <c r="AK254" s="769"/>
      <c r="AL254" s="769"/>
      <c r="AM254" s="769"/>
      <c r="AN254" s="769"/>
      <c r="AO254" s="773"/>
      <c r="AP254" s="774">
        <f t="shared" si="54"/>
        <v>0</v>
      </c>
      <c r="AQ254" s="439"/>
      <c r="AS254" s="771"/>
      <c r="AT254" t="str">
        <f t="array" ref="AT254">IF(E254&lt;&gt;"Occupied","",_xlfn.IFS(AND(ISNUMBER(AC254),AC254&lt;&gt;0),"Structured",ISNUMBER(SEARCH("/mo con",T254)),"Notes-parsed",ISNUMBER(SEARCH("step",T254)),"Step-up",ISNUMBER(SEARCH("swap",T254)),"Rate-swap",AND(ISNUMBER(I254),ISNUMBER(J254),I254&gt;J254),"Implied",TRUE(),""))</f>
        <v/>
      </c>
      <c r="AU254" s="769" t="str">
        <f t="shared" si="55"/>
        <v/>
      </c>
      <c r="AV254" s="775">
        <f t="shared" si="56"/>
        <v>0</v>
      </c>
    </row>
    <row r="255" spans="7:48" ht="15" customHeight="1" outlineLevel="1" x14ac:dyDescent="0.25">
      <c r="G255" s="421"/>
      <c r="H255" s="421"/>
      <c r="I255" s="769"/>
      <c r="J255" s="769"/>
      <c r="K255" s="769">
        <f t="shared" si="46"/>
        <v>0</v>
      </c>
      <c r="L255" s="769">
        <f t="shared" si="47"/>
        <v>0</v>
      </c>
      <c r="M255" s="769"/>
      <c r="N255" s="769"/>
      <c r="O255" s="769"/>
      <c r="P255" s="769"/>
      <c r="Q255" s="769"/>
      <c r="R255" s="769"/>
      <c r="U255" s="770"/>
      <c r="V255" s="771">
        <f t="shared" si="48"/>
        <v>0</v>
      </c>
      <c r="W255" s="771">
        <f t="shared" si="49"/>
        <v>0</v>
      </c>
      <c r="X255" t="str">
        <f t="shared" si="50"/>
        <v/>
      </c>
      <c r="Y255" t="str">
        <f t="shared" si="51"/>
        <v/>
      </c>
      <c r="AA255" s="769">
        <f t="shared" si="52"/>
        <v>0</v>
      </c>
      <c r="AB255" s="772">
        <f t="shared" si="53"/>
        <v>0</v>
      </c>
      <c r="AC255" s="769"/>
      <c r="AD255" s="421"/>
      <c r="AE255" s="769"/>
      <c r="AF255" s="769"/>
      <c r="AG255" s="769"/>
      <c r="AH255" s="769"/>
      <c r="AI255" s="769"/>
      <c r="AJ255" s="769"/>
      <c r="AK255" s="769"/>
      <c r="AL255" s="769"/>
      <c r="AM255" s="769"/>
      <c r="AN255" s="769"/>
      <c r="AO255" s="773"/>
      <c r="AP255" s="774">
        <f t="shared" si="54"/>
        <v>0</v>
      </c>
      <c r="AQ255" s="439"/>
      <c r="AS255" s="771"/>
      <c r="AT255" t="str">
        <f t="array" ref="AT255">IF(E255&lt;&gt;"Occupied","",_xlfn.IFS(AND(ISNUMBER(AC255),AC255&lt;&gt;0),"Structured",ISNUMBER(SEARCH("/mo con",T255)),"Notes-parsed",ISNUMBER(SEARCH("step",T255)),"Step-up",ISNUMBER(SEARCH("swap",T255)),"Rate-swap",AND(ISNUMBER(I255),ISNUMBER(J255),I255&gt;J255),"Implied",TRUE(),""))</f>
        <v/>
      </c>
      <c r="AU255" s="769" t="str">
        <f t="shared" si="55"/>
        <v/>
      </c>
      <c r="AV255" s="775">
        <f t="shared" si="56"/>
        <v>0</v>
      </c>
    </row>
    <row r="256" spans="7:48" ht="15" customHeight="1" outlineLevel="1" x14ac:dyDescent="0.25">
      <c r="G256" s="421"/>
      <c r="H256" s="421"/>
      <c r="I256" s="769"/>
      <c r="J256" s="769"/>
      <c r="K256" s="769">
        <f t="shared" si="46"/>
        <v>0</v>
      </c>
      <c r="L256" s="769">
        <f t="shared" si="47"/>
        <v>0</v>
      </c>
      <c r="M256" s="769"/>
      <c r="N256" s="769"/>
      <c r="O256" s="769"/>
      <c r="P256" s="769"/>
      <c r="Q256" s="769"/>
      <c r="R256" s="769"/>
      <c r="U256" s="770"/>
      <c r="V256" s="771">
        <f t="shared" si="48"/>
        <v>0</v>
      </c>
      <c r="W256" s="771">
        <f t="shared" si="49"/>
        <v>0</v>
      </c>
      <c r="X256" t="str">
        <f t="shared" si="50"/>
        <v/>
      </c>
      <c r="Y256" t="str">
        <f t="shared" si="51"/>
        <v/>
      </c>
      <c r="AA256" s="769">
        <f t="shared" si="52"/>
        <v>0</v>
      </c>
      <c r="AB256" s="772">
        <f t="shared" si="53"/>
        <v>0</v>
      </c>
      <c r="AC256" s="769"/>
      <c r="AD256" s="421"/>
      <c r="AE256" s="769"/>
      <c r="AF256" s="769"/>
      <c r="AG256" s="769"/>
      <c r="AH256" s="769"/>
      <c r="AI256" s="769"/>
      <c r="AJ256" s="769"/>
      <c r="AK256" s="769"/>
      <c r="AL256" s="769"/>
      <c r="AM256" s="769"/>
      <c r="AN256" s="769"/>
      <c r="AO256" s="773"/>
      <c r="AP256" s="774">
        <f t="shared" si="54"/>
        <v>0</v>
      </c>
      <c r="AQ256" s="439"/>
      <c r="AS256" s="771"/>
      <c r="AT256" t="str">
        <f t="array" ref="AT256">IF(E256&lt;&gt;"Occupied","",_xlfn.IFS(AND(ISNUMBER(AC256),AC256&lt;&gt;0),"Structured",ISNUMBER(SEARCH("/mo con",T256)),"Notes-parsed",ISNUMBER(SEARCH("step",T256)),"Step-up",ISNUMBER(SEARCH("swap",T256)),"Rate-swap",AND(ISNUMBER(I256),ISNUMBER(J256),I256&gt;J256),"Implied",TRUE(),""))</f>
        <v/>
      </c>
      <c r="AU256" s="769" t="str">
        <f t="shared" si="55"/>
        <v/>
      </c>
      <c r="AV256" s="775">
        <f t="shared" si="56"/>
        <v>0</v>
      </c>
    </row>
    <row r="257" spans="7:48" ht="15" customHeight="1" outlineLevel="1" x14ac:dyDescent="0.25">
      <c r="G257" s="421"/>
      <c r="H257" s="421"/>
      <c r="I257" s="769"/>
      <c r="J257" s="769"/>
      <c r="K257" s="769">
        <f t="shared" si="46"/>
        <v>0</v>
      </c>
      <c r="L257" s="769">
        <f t="shared" si="47"/>
        <v>0</v>
      </c>
      <c r="M257" s="769"/>
      <c r="N257" s="769"/>
      <c r="O257" s="769"/>
      <c r="P257" s="769"/>
      <c r="Q257" s="769"/>
      <c r="R257" s="769"/>
      <c r="U257" s="770"/>
      <c r="V257" s="771">
        <f t="shared" si="48"/>
        <v>0</v>
      </c>
      <c r="W257" s="771">
        <f t="shared" si="49"/>
        <v>0</v>
      </c>
      <c r="X257" t="str">
        <f t="shared" si="50"/>
        <v/>
      </c>
      <c r="Y257" t="str">
        <f t="shared" si="51"/>
        <v/>
      </c>
      <c r="AA257" s="769">
        <f t="shared" si="52"/>
        <v>0</v>
      </c>
      <c r="AB257" s="772">
        <f t="shared" si="53"/>
        <v>0</v>
      </c>
      <c r="AC257" s="769"/>
      <c r="AD257" s="421"/>
      <c r="AE257" s="769"/>
      <c r="AF257" s="769"/>
      <c r="AG257" s="769"/>
      <c r="AH257" s="769"/>
      <c r="AI257" s="769"/>
      <c r="AJ257" s="769"/>
      <c r="AK257" s="769"/>
      <c r="AL257" s="769"/>
      <c r="AM257" s="769"/>
      <c r="AN257" s="769"/>
      <c r="AO257" s="773"/>
      <c r="AP257" s="774">
        <f t="shared" si="54"/>
        <v>0</v>
      </c>
      <c r="AQ257" s="439"/>
      <c r="AS257" s="771"/>
      <c r="AT257" t="str">
        <f t="array" ref="AT257">IF(E257&lt;&gt;"Occupied","",_xlfn.IFS(AND(ISNUMBER(AC257),AC257&lt;&gt;0),"Structured",ISNUMBER(SEARCH("/mo con",T257)),"Notes-parsed",ISNUMBER(SEARCH("step",T257)),"Step-up",ISNUMBER(SEARCH("swap",T257)),"Rate-swap",AND(ISNUMBER(I257),ISNUMBER(J257),I257&gt;J257),"Implied",TRUE(),""))</f>
        <v/>
      </c>
      <c r="AU257" s="769" t="str">
        <f t="shared" si="55"/>
        <v/>
      </c>
      <c r="AV257" s="775">
        <f t="shared" si="56"/>
        <v>0</v>
      </c>
    </row>
    <row r="258" spans="7:48" ht="15" customHeight="1" outlineLevel="1" x14ac:dyDescent="0.25">
      <c r="G258" s="421"/>
      <c r="H258" s="421"/>
      <c r="I258" s="769"/>
      <c r="J258" s="769"/>
      <c r="K258" s="769">
        <f t="shared" si="46"/>
        <v>0</v>
      </c>
      <c r="L258" s="769">
        <f t="shared" si="47"/>
        <v>0</v>
      </c>
      <c r="M258" s="769"/>
      <c r="N258" s="769"/>
      <c r="O258" s="769"/>
      <c r="P258" s="769"/>
      <c r="Q258" s="769"/>
      <c r="R258" s="769"/>
      <c r="U258" s="770"/>
      <c r="V258" s="771">
        <f t="shared" si="48"/>
        <v>0</v>
      </c>
      <c r="W258" s="771">
        <f t="shared" si="49"/>
        <v>0</v>
      </c>
      <c r="X258" t="str">
        <f t="shared" si="50"/>
        <v/>
      </c>
      <c r="Y258" t="str">
        <f t="shared" si="51"/>
        <v/>
      </c>
      <c r="AA258" s="769">
        <f t="shared" si="52"/>
        <v>0</v>
      </c>
      <c r="AB258" s="772">
        <f t="shared" si="53"/>
        <v>0</v>
      </c>
      <c r="AC258" s="769"/>
      <c r="AD258" s="421"/>
      <c r="AE258" s="769"/>
      <c r="AF258" s="769"/>
      <c r="AG258" s="769"/>
      <c r="AH258" s="769"/>
      <c r="AI258" s="769"/>
      <c r="AJ258" s="769"/>
      <c r="AK258" s="769"/>
      <c r="AL258" s="769"/>
      <c r="AM258" s="769"/>
      <c r="AN258" s="769"/>
      <c r="AO258" s="773"/>
      <c r="AP258" s="774">
        <f t="shared" si="54"/>
        <v>0</v>
      </c>
      <c r="AQ258" s="439"/>
      <c r="AS258" s="771"/>
      <c r="AT258" t="str">
        <f t="array" ref="AT258">IF(E258&lt;&gt;"Occupied","",_xlfn.IFS(AND(ISNUMBER(AC258),AC258&lt;&gt;0),"Structured",ISNUMBER(SEARCH("/mo con",T258)),"Notes-parsed",ISNUMBER(SEARCH("step",T258)),"Step-up",ISNUMBER(SEARCH("swap",T258)),"Rate-swap",AND(ISNUMBER(I258),ISNUMBER(J258),I258&gt;J258),"Implied",TRUE(),""))</f>
        <v/>
      </c>
      <c r="AU258" s="769" t="str">
        <f t="shared" si="55"/>
        <v/>
      </c>
      <c r="AV258" s="775">
        <f t="shared" si="56"/>
        <v>0</v>
      </c>
    </row>
    <row r="259" spans="7:48" ht="15" customHeight="1" outlineLevel="1" x14ac:dyDescent="0.25">
      <c r="G259" s="421"/>
      <c r="H259" s="421"/>
      <c r="I259" s="769"/>
      <c r="J259" s="769"/>
      <c r="K259" s="769">
        <f t="shared" si="46"/>
        <v>0</v>
      </c>
      <c r="L259" s="769">
        <f t="shared" si="47"/>
        <v>0</v>
      </c>
      <c r="M259" s="769"/>
      <c r="N259" s="769"/>
      <c r="O259" s="769"/>
      <c r="P259" s="769"/>
      <c r="Q259" s="769"/>
      <c r="R259" s="769"/>
      <c r="U259" s="770"/>
      <c r="V259" s="771">
        <f t="shared" si="48"/>
        <v>0</v>
      </c>
      <c r="W259" s="771">
        <f t="shared" si="49"/>
        <v>0</v>
      </c>
      <c r="X259" t="str">
        <f t="shared" si="50"/>
        <v/>
      </c>
      <c r="Y259" t="str">
        <f t="shared" si="51"/>
        <v/>
      </c>
      <c r="AA259" s="769">
        <f t="shared" si="52"/>
        <v>0</v>
      </c>
      <c r="AB259" s="772">
        <f t="shared" si="53"/>
        <v>0</v>
      </c>
      <c r="AC259" s="769"/>
      <c r="AD259" s="421"/>
      <c r="AE259" s="769"/>
      <c r="AF259" s="769"/>
      <c r="AG259" s="769"/>
      <c r="AH259" s="769"/>
      <c r="AI259" s="769"/>
      <c r="AJ259" s="769"/>
      <c r="AK259" s="769"/>
      <c r="AL259" s="769"/>
      <c r="AM259" s="769"/>
      <c r="AN259" s="769"/>
      <c r="AO259" s="773"/>
      <c r="AP259" s="774">
        <f t="shared" si="54"/>
        <v>0</v>
      </c>
      <c r="AQ259" s="439"/>
      <c r="AS259" s="771"/>
      <c r="AT259" t="str">
        <f t="array" ref="AT259">IF(E259&lt;&gt;"Occupied","",_xlfn.IFS(AND(ISNUMBER(AC259),AC259&lt;&gt;0),"Structured",ISNUMBER(SEARCH("/mo con",T259)),"Notes-parsed",ISNUMBER(SEARCH("step",T259)),"Step-up",ISNUMBER(SEARCH("swap",T259)),"Rate-swap",AND(ISNUMBER(I259),ISNUMBER(J259),I259&gt;J259),"Implied",TRUE(),""))</f>
        <v/>
      </c>
      <c r="AU259" s="769" t="str">
        <f t="shared" si="55"/>
        <v/>
      </c>
      <c r="AV259" s="775">
        <f t="shared" si="56"/>
        <v>0</v>
      </c>
    </row>
    <row r="260" spans="7:48" ht="15" customHeight="1" outlineLevel="1" x14ac:dyDescent="0.25">
      <c r="G260" s="421"/>
      <c r="H260" s="421"/>
      <c r="I260" s="769"/>
      <c r="J260" s="769"/>
      <c r="K260" s="769">
        <f t="shared" si="46"/>
        <v>0</v>
      </c>
      <c r="L260" s="769">
        <f t="shared" si="47"/>
        <v>0</v>
      </c>
      <c r="M260" s="769"/>
      <c r="N260" s="769"/>
      <c r="O260" s="769"/>
      <c r="P260" s="769"/>
      <c r="Q260" s="769"/>
      <c r="R260" s="769"/>
      <c r="U260" s="770"/>
      <c r="V260" s="771">
        <f t="shared" si="48"/>
        <v>0</v>
      </c>
      <c r="W260" s="771">
        <f t="shared" si="49"/>
        <v>0</v>
      </c>
      <c r="X260" t="str">
        <f t="shared" si="50"/>
        <v/>
      </c>
      <c r="Y260" t="str">
        <f t="shared" si="51"/>
        <v/>
      </c>
      <c r="AA260" s="769">
        <f t="shared" si="52"/>
        <v>0</v>
      </c>
      <c r="AB260" s="772">
        <f t="shared" si="53"/>
        <v>0</v>
      </c>
      <c r="AC260" s="769"/>
      <c r="AD260" s="421"/>
      <c r="AE260" s="769"/>
      <c r="AF260" s="769"/>
      <c r="AG260" s="769"/>
      <c r="AH260" s="769"/>
      <c r="AI260" s="769"/>
      <c r="AJ260" s="769"/>
      <c r="AK260" s="769"/>
      <c r="AL260" s="769"/>
      <c r="AM260" s="769"/>
      <c r="AN260" s="769"/>
      <c r="AO260" s="773"/>
      <c r="AP260" s="774">
        <f t="shared" si="54"/>
        <v>0</v>
      </c>
      <c r="AQ260" s="439"/>
      <c r="AS260" s="771"/>
      <c r="AT260" t="str">
        <f t="array" ref="AT260">IF(E260&lt;&gt;"Occupied","",_xlfn.IFS(AND(ISNUMBER(AC260),AC260&lt;&gt;0),"Structured",ISNUMBER(SEARCH("/mo con",T260)),"Notes-parsed",ISNUMBER(SEARCH("step",T260)),"Step-up",ISNUMBER(SEARCH("swap",T260)),"Rate-swap",AND(ISNUMBER(I260),ISNUMBER(J260),I260&gt;J260),"Implied",TRUE(),""))</f>
        <v/>
      </c>
      <c r="AU260" s="769" t="str">
        <f t="shared" si="55"/>
        <v/>
      </c>
      <c r="AV260" s="775">
        <f t="shared" si="56"/>
        <v>0</v>
      </c>
    </row>
    <row r="261" spans="7:48" ht="15" customHeight="1" outlineLevel="1" x14ac:dyDescent="0.25">
      <c r="G261" s="421"/>
      <c r="H261" s="421"/>
      <c r="I261" s="769"/>
      <c r="J261" s="769"/>
      <c r="K261" s="769">
        <f t="shared" si="46"/>
        <v>0</v>
      </c>
      <c r="L261" s="769">
        <f t="shared" si="47"/>
        <v>0</v>
      </c>
      <c r="M261" s="769"/>
      <c r="N261" s="769"/>
      <c r="O261" s="769"/>
      <c r="P261" s="769"/>
      <c r="Q261" s="769"/>
      <c r="R261" s="769"/>
      <c r="U261" s="770"/>
      <c r="V261" s="771">
        <f t="shared" si="48"/>
        <v>0</v>
      </c>
      <c r="W261" s="771">
        <f t="shared" si="49"/>
        <v>0</v>
      </c>
      <c r="X261" t="str">
        <f t="shared" si="50"/>
        <v/>
      </c>
      <c r="Y261" t="str">
        <f t="shared" si="51"/>
        <v/>
      </c>
      <c r="AA261" s="769">
        <f t="shared" si="52"/>
        <v>0</v>
      </c>
      <c r="AB261" s="772">
        <f t="shared" si="53"/>
        <v>0</v>
      </c>
      <c r="AC261" s="769"/>
      <c r="AD261" s="421"/>
      <c r="AE261" s="769"/>
      <c r="AF261" s="769"/>
      <c r="AG261" s="769"/>
      <c r="AH261" s="769"/>
      <c r="AI261" s="769"/>
      <c r="AJ261" s="769"/>
      <c r="AK261" s="769"/>
      <c r="AL261" s="769"/>
      <c r="AM261" s="769"/>
      <c r="AN261" s="769"/>
      <c r="AO261" s="773"/>
      <c r="AP261" s="774">
        <f t="shared" si="54"/>
        <v>0</v>
      </c>
      <c r="AQ261" s="439"/>
      <c r="AS261" s="771"/>
      <c r="AT261" t="str">
        <f t="array" ref="AT261">IF(E261&lt;&gt;"Occupied","",_xlfn.IFS(AND(ISNUMBER(AC261),AC261&lt;&gt;0),"Structured",ISNUMBER(SEARCH("/mo con",T261)),"Notes-parsed",ISNUMBER(SEARCH("step",T261)),"Step-up",ISNUMBER(SEARCH("swap",T261)),"Rate-swap",AND(ISNUMBER(I261),ISNUMBER(J261),I261&gt;J261),"Implied",TRUE(),""))</f>
        <v/>
      </c>
      <c r="AU261" s="769" t="str">
        <f t="shared" si="55"/>
        <v/>
      </c>
      <c r="AV261" s="775">
        <f t="shared" si="56"/>
        <v>0</v>
      </c>
    </row>
    <row r="262" spans="7:48" ht="15" customHeight="1" outlineLevel="1" x14ac:dyDescent="0.25">
      <c r="G262" s="421"/>
      <c r="H262" s="421"/>
      <c r="I262" s="769"/>
      <c r="J262" s="769"/>
      <c r="K262" s="769">
        <f t="shared" si="46"/>
        <v>0</v>
      </c>
      <c r="L262" s="769">
        <f t="shared" si="47"/>
        <v>0</v>
      </c>
      <c r="M262" s="769"/>
      <c r="N262" s="769"/>
      <c r="O262" s="769"/>
      <c r="P262" s="769"/>
      <c r="Q262" s="769"/>
      <c r="R262" s="769"/>
      <c r="U262" s="770"/>
      <c r="V262" s="771">
        <f t="shared" si="48"/>
        <v>0</v>
      </c>
      <c r="W262" s="771">
        <f t="shared" si="49"/>
        <v>0</v>
      </c>
      <c r="X262" t="str">
        <f t="shared" si="50"/>
        <v/>
      </c>
      <c r="Y262" t="str">
        <f t="shared" si="51"/>
        <v/>
      </c>
      <c r="AA262" s="769">
        <f t="shared" si="52"/>
        <v>0</v>
      </c>
      <c r="AB262" s="772">
        <f t="shared" si="53"/>
        <v>0</v>
      </c>
      <c r="AC262" s="769"/>
      <c r="AD262" s="421"/>
      <c r="AE262" s="769"/>
      <c r="AF262" s="769"/>
      <c r="AG262" s="769"/>
      <c r="AH262" s="769"/>
      <c r="AI262" s="769"/>
      <c r="AJ262" s="769"/>
      <c r="AK262" s="769"/>
      <c r="AL262" s="769"/>
      <c r="AM262" s="769"/>
      <c r="AN262" s="769"/>
      <c r="AO262" s="773"/>
      <c r="AP262" s="774">
        <f t="shared" si="54"/>
        <v>0</v>
      </c>
      <c r="AQ262" s="439"/>
      <c r="AS262" s="771"/>
      <c r="AT262" t="str">
        <f t="array" ref="AT262">IF(E262&lt;&gt;"Occupied","",_xlfn.IFS(AND(ISNUMBER(AC262),AC262&lt;&gt;0),"Structured",ISNUMBER(SEARCH("/mo con",T262)),"Notes-parsed",ISNUMBER(SEARCH("step",T262)),"Step-up",ISNUMBER(SEARCH("swap",T262)),"Rate-swap",AND(ISNUMBER(I262),ISNUMBER(J262),I262&gt;J262),"Implied",TRUE(),""))</f>
        <v/>
      </c>
      <c r="AU262" s="769" t="str">
        <f t="shared" si="55"/>
        <v/>
      </c>
      <c r="AV262" s="775">
        <f t="shared" si="56"/>
        <v>0</v>
      </c>
    </row>
    <row r="263" spans="7:48" ht="15" customHeight="1" outlineLevel="1" x14ac:dyDescent="0.25">
      <c r="G263" s="421"/>
      <c r="H263" s="421"/>
      <c r="I263" s="769"/>
      <c r="J263" s="769"/>
      <c r="K263" s="769">
        <f t="shared" si="46"/>
        <v>0</v>
      </c>
      <c r="L263" s="769">
        <f t="shared" si="47"/>
        <v>0</v>
      </c>
      <c r="M263" s="769"/>
      <c r="N263" s="769"/>
      <c r="O263" s="769"/>
      <c r="P263" s="769"/>
      <c r="Q263" s="769"/>
      <c r="R263" s="769"/>
      <c r="U263" s="770"/>
      <c r="V263" s="771">
        <f t="shared" si="48"/>
        <v>0</v>
      </c>
      <c r="W263" s="771">
        <f t="shared" si="49"/>
        <v>0</v>
      </c>
      <c r="X263" t="str">
        <f t="shared" si="50"/>
        <v/>
      </c>
      <c r="Y263" t="str">
        <f t="shared" si="51"/>
        <v/>
      </c>
      <c r="AA263" s="769">
        <f t="shared" si="52"/>
        <v>0</v>
      </c>
      <c r="AB263" s="772">
        <f t="shared" si="53"/>
        <v>0</v>
      </c>
      <c r="AC263" s="769"/>
      <c r="AD263" s="421"/>
      <c r="AE263" s="769"/>
      <c r="AF263" s="769"/>
      <c r="AG263" s="769"/>
      <c r="AH263" s="769"/>
      <c r="AI263" s="769"/>
      <c r="AJ263" s="769"/>
      <c r="AK263" s="769"/>
      <c r="AL263" s="769"/>
      <c r="AM263" s="769"/>
      <c r="AN263" s="769"/>
      <c r="AO263" s="773"/>
      <c r="AP263" s="774">
        <f t="shared" si="54"/>
        <v>0</v>
      </c>
      <c r="AQ263" s="439"/>
      <c r="AS263" s="771"/>
      <c r="AT263" t="str">
        <f t="array" ref="AT263">IF(E263&lt;&gt;"Occupied","",_xlfn.IFS(AND(ISNUMBER(AC263),AC263&lt;&gt;0),"Structured",ISNUMBER(SEARCH("/mo con",T263)),"Notes-parsed",ISNUMBER(SEARCH("step",T263)),"Step-up",ISNUMBER(SEARCH("swap",T263)),"Rate-swap",AND(ISNUMBER(I263),ISNUMBER(J263),I263&gt;J263),"Implied",TRUE(),""))</f>
        <v/>
      </c>
      <c r="AU263" s="769" t="str">
        <f t="shared" si="55"/>
        <v/>
      </c>
      <c r="AV263" s="775">
        <f t="shared" si="56"/>
        <v>0</v>
      </c>
    </row>
    <row r="264" spans="7:48" ht="15" customHeight="1" outlineLevel="1" x14ac:dyDescent="0.25">
      <c r="G264" s="421"/>
      <c r="H264" s="421"/>
      <c r="I264" s="769"/>
      <c r="J264" s="769"/>
      <c r="K264" s="769">
        <f t="shared" si="46"/>
        <v>0</v>
      </c>
      <c r="L264" s="769">
        <f t="shared" si="47"/>
        <v>0</v>
      </c>
      <c r="M264" s="769"/>
      <c r="N264" s="769"/>
      <c r="O264" s="769"/>
      <c r="P264" s="769"/>
      <c r="Q264" s="769"/>
      <c r="R264" s="769"/>
      <c r="U264" s="770"/>
      <c r="V264" s="771">
        <f t="shared" si="48"/>
        <v>0</v>
      </c>
      <c r="W264" s="771">
        <f t="shared" si="49"/>
        <v>0</v>
      </c>
      <c r="X264" t="str">
        <f t="shared" si="50"/>
        <v/>
      </c>
      <c r="Y264" t="str">
        <f t="shared" si="51"/>
        <v/>
      </c>
      <c r="AA264" s="769">
        <f t="shared" si="52"/>
        <v>0</v>
      </c>
      <c r="AB264" s="772">
        <f t="shared" si="53"/>
        <v>0</v>
      </c>
      <c r="AC264" s="769"/>
      <c r="AD264" s="421"/>
      <c r="AE264" s="769"/>
      <c r="AF264" s="769"/>
      <c r="AG264" s="769"/>
      <c r="AH264" s="769"/>
      <c r="AI264" s="769"/>
      <c r="AJ264" s="769"/>
      <c r="AK264" s="769"/>
      <c r="AL264" s="769"/>
      <c r="AM264" s="769"/>
      <c r="AN264" s="769"/>
      <c r="AO264" s="773"/>
      <c r="AP264" s="774">
        <f t="shared" si="54"/>
        <v>0</v>
      </c>
      <c r="AQ264" s="439"/>
      <c r="AS264" s="771"/>
      <c r="AT264" t="str">
        <f t="array" ref="AT264">IF(E264&lt;&gt;"Occupied","",_xlfn.IFS(AND(ISNUMBER(AC264),AC264&lt;&gt;0),"Structured",ISNUMBER(SEARCH("/mo con",T264)),"Notes-parsed",ISNUMBER(SEARCH("step",T264)),"Step-up",ISNUMBER(SEARCH("swap",T264)),"Rate-swap",AND(ISNUMBER(I264),ISNUMBER(J264),I264&gt;J264),"Implied",TRUE(),""))</f>
        <v/>
      </c>
      <c r="AU264" s="769" t="str">
        <f t="shared" si="55"/>
        <v/>
      </c>
      <c r="AV264" s="775">
        <f t="shared" si="56"/>
        <v>0</v>
      </c>
    </row>
    <row r="265" spans="7:48" ht="15" customHeight="1" outlineLevel="1" x14ac:dyDescent="0.25">
      <c r="G265" s="421"/>
      <c r="H265" s="421"/>
      <c r="I265" s="769"/>
      <c r="J265" s="769"/>
      <c r="K265" s="769">
        <f t="shared" si="46"/>
        <v>0</v>
      </c>
      <c r="L265" s="769">
        <f t="shared" si="47"/>
        <v>0</v>
      </c>
      <c r="M265" s="769"/>
      <c r="N265" s="769"/>
      <c r="O265" s="769"/>
      <c r="P265" s="769"/>
      <c r="Q265" s="769"/>
      <c r="R265" s="769"/>
      <c r="U265" s="770"/>
      <c r="V265" s="771">
        <f t="shared" si="48"/>
        <v>0</v>
      </c>
      <c r="W265" s="771">
        <f t="shared" si="49"/>
        <v>0</v>
      </c>
      <c r="X265" t="str">
        <f t="shared" si="50"/>
        <v/>
      </c>
      <c r="Y265" t="str">
        <f t="shared" si="51"/>
        <v/>
      </c>
      <c r="AA265" s="769">
        <f t="shared" si="52"/>
        <v>0</v>
      </c>
      <c r="AB265" s="772">
        <f t="shared" si="53"/>
        <v>0</v>
      </c>
      <c r="AC265" s="769"/>
      <c r="AD265" s="421"/>
      <c r="AE265" s="769"/>
      <c r="AF265" s="769"/>
      <c r="AG265" s="769"/>
      <c r="AH265" s="769"/>
      <c r="AI265" s="769"/>
      <c r="AJ265" s="769"/>
      <c r="AK265" s="769"/>
      <c r="AL265" s="769"/>
      <c r="AM265" s="769"/>
      <c r="AN265" s="769"/>
      <c r="AO265" s="773"/>
      <c r="AP265" s="774">
        <f t="shared" si="54"/>
        <v>0</v>
      </c>
      <c r="AQ265" s="439"/>
      <c r="AS265" s="771"/>
      <c r="AT265" t="str">
        <f t="array" ref="AT265">IF(E265&lt;&gt;"Occupied","",_xlfn.IFS(AND(ISNUMBER(AC265),AC265&lt;&gt;0),"Structured",ISNUMBER(SEARCH("/mo con",T265)),"Notes-parsed",ISNUMBER(SEARCH("step",T265)),"Step-up",ISNUMBER(SEARCH("swap",T265)),"Rate-swap",AND(ISNUMBER(I265),ISNUMBER(J265),I265&gt;J265),"Implied",TRUE(),""))</f>
        <v/>
      </c>
      <c r="AU265" s="769" t="str">
        <f t="shared" si="55"/>
        <v/>
      </c>
      <c r="AV265" s="775">
        <f t="shared" si="56"/>
        <v>0</v>
      </c>
    </row>
    <row r="266" spans="7:48" ht="15" customHeight="1" outlineLevel="1" x14ac:dyDescent="0.25">
      <c r="G266" s="421"/>
      <c r="H266" s="421"/>
      <c r="I266" s="769"/>
      <c r="J266" s="769"/>
      <c r="K266" s="769">
        <f t="shared" si="46"/>
        <v>0</v>
      </c>
      <c r="L266" s="769">
        <f t="shared" si="47"/>
        <v>0</v>
      </c>
      <c r="M266" s="769"/>
      <c r="N266" s="769"/>
      <c r="O266" s="769"/>
      <c r="P266" s="769"/>
      <c r="Q266" s="769"/>
      <c r="R266" s="769"/>
      <c r="U266" s="770"/>
      <c r="V266" s="771">
        <f t="shared" si="48"/>
        <v>0</v>
      </c>
      <c r="W266" s="771">
        <f t="shared" si="49"/>
        <v>0</v>
      </c>
      <c r="X266" t="str">
        <f t="shared" si="50"/>
        <v/>
      </c>
      <c r="Y266" t="str">
        <f t="shared" si="51"/>
        <v/>
      </c>
      <c r="AA266" s="769">
        <f t="shared" si="52"/>
        <v>0</v>
      </c>
      <c r="AB266" s="772">
        <f t="shared" si="53"/>
        <v>0</v>
      </c>
      <c r="AC266" s="769"/>
      <c r="AD266" s="421"/>
      <c r="AE266" s="769"/>
      <c r="AF266" s="769"/>
      <c r="AG266" s="769"/>
      <c r="AH266" s="769"/>
      <c r="AI266" s="769"/>
      <c r="AJ266" s="769"/>
      <c r="AK266" s="769"/>
      <c r="AL266" s="769"/>
      <c r="AM266" s="769"/>
      <c r="AN266" s="769"/>
      <c r="AO266" s="773"/>
      <c r="AP266" s="774">
        <f t="shared" si="54"/>
        <v>0</v>
      </c>
      <c r="AQ266" s="439"/>
      <c r="AS266" s="771"/>
      <c r="AT266" t="str">
        <f t="array" ref="AT266">IF(E266&lt;&gt;"Occupied","",_xlfn.IFS(AND(ISNUMBER(AC266),AC266&lt;&gt;0),"Structured",ISNUMBER(SEARCH("/mo con",T266)),"Notes-parsed",ISNUMBER(SEARCH("step",T266)),"Step-up",ISNUMBER(SEARCH("swap",T266)),"Rate-swap",AND(ISNUMBER(I266),ISNUMBER(J266),I266&gt;J266),"Implied",TRUE(),""))</f>
        <v/>
      </c>
      <c r="AU266" s="769" t="str">
        <f t="shared" si="55"/>
        <v/>
      </c>
      <c r="AV266" s="775">
        <f t="shared" si="56"/>
        <v>0</v>
      </c>
    </row>
    <row r="267" spans="7:48" ht="15" customHeight="1" outlineLevel="1" x14ac:dyDescent="0.25">
      <c r="G267" s="421"/>
      <c r="H267" s="421"/>
      <c r="I267" s="769"/>
      <c r="J267" s="769"/>
      <c r="K267" s="769">
        <f t="shared" si="46"/>
        <v>0</v>
      </c>
      <c r="L267" s="769">
        <f t="shared" si="47"/>
        <v>0</v>
      </c>
      <c r="M267" s="769"/>
      <c r="N267" s="769"/>
      <c r="O267" s="769"/>
      <c r="P267" s="769"/>
      <c r="Q267" s="769"/>
      <c r="R267" s="769"/>
      <c r="U267" s="770"/>
      <c r="V267" s="771">
        <f t="shared" si="48"/>
        <v>0</v>
      </c>
      <c r="W267" s="771">
        <f t="shared" si="49"/>
        <v>0</v>
      </c>
      <c r="X267" t="str">
        <f t="shared" si="50"/>
        <v/>
      </c>
      <c r="Y267" t="str">
        <f t="shared" si="51"/>
        <v/>
      </c>
      <c r="AA267" s="769">
        <f t="shared" si="52"/>
        <v>0</v>
      </c>
      <c r="AB267" s="772">
        <f t="shared" si="53"/>
        <v>0</v>
      </c>
      <c r="AC267" s="769"/>
      <c r="AD267" s="421"/>
      <c r="AE267" s="769"/>
      <c r="AF267" s="769"/>
      <c r="AG267" s="769"/>
      <c r="AH267" s="769"/>
      <c r="AI267" s="769"/>
      <c r="AJ267" s="769"/>
      <c r="AK267" s="769"/>
      <c r="AL267" s="769"/>
      <c r="AM267" s="769"/>
      <c r="AN267" s="769"/>
      <c r="AO267" s="773"/>
      <c r="AP267" s="774">
        <f t="shared" si="54"/>
        <v>0</v>
      </c>
      <c r="AQ267" s="439"/>
      <c r="AS267" s="771"/>
      <c r="AT267" t="str">
        <f t="array" ref="AT267">IF(E267&lt;&gt;"Occupied","",_xlfn.IFS(AND(ISNUMBER(AC267),AC267&lt;&gt;0),"Structured",ISNUMBER(SEARCH("/mo con",T267)),"Notes-parsed",ISNUMBER(SEARCH("step",T267)),"Step-up",ISNUMBER(SEARCH("swap",T267)),"Rate-swap",AND(ISNUMBER(I267),ISNUMBER(J267),I267&gt;J267),"Implied",TRUE(),""))</f>
        <v/>
      </c>
      <c r="AU267" s="769" t="str">
        <f t="shared" si="55"/>
        <v/>
      </c>
      <c r="AV267" s="775">
        <f t="shared" si="56"/>
        <v>0</v>
      </c>
    </row>
    <row r="268" spans="7:48" ht="15" customHeight="1" outlineLevel="1" x14ac:dyDescent="0.25">
      <c r="G268" s="421"/>
      <c r="H268" s="421"/>
      <c r="I268" s="769"/>
      <c r="J268" s="769"/>
      <c r="K268" s="769">
        <f t="shared" si="46"/>
        <v>0</v>
      </c>
      <c r="L268" s="769">
        <f t="shared" si="47"/>
        <v>0</v>
      </c>
      <c r="M268" s="769"/>
      <c r="N268" s="769"/>
      <c r="O268" s="769"/>
      <c r="P268" s="769"/>
      <c r="Q268" s="769"/>
      <c r="R268" s="769"/>
      <c r="U268" s="770"/>
      <c r="V268" s="771">
        <f t="shared" si="48"/>
        <v>0</v>
      </c>
      <c r="W268" s="771">
        <f t="shared" si="49"/>
        <v>0</v>
      </c>
      <c r="X268" t="str">
        <f t="shared" si="50"/>
        <v/>
      </c>
      <c r="Y268" t="str">
        <f t="shared" si="51"/>
        <v/>
      </c>
      <c r="AA268" s="769">
        <f t="shared" si="52"/>
        <v>0</v>
      </c>
      <c r="AB268" s="772">
        <f t="shared" si="53"/>
        <v>0</v>
      </c>
      <c r="AC268" s="769"/>
      <c r="AD268" s="421"/>
      <c r="AE268" s="769"/>
      <c r="AF268" s="769"/>
      <c r="AG268" s="769"/>
      <c r="AH268" s="769"/>
      <c r="AI268" s="769"/>
      <c r="AJ268" s="769"/>
      <c r="AK268" s="769"/>
      <c r="AL268" s="769"/>
      <c r="AM268" s="769"/>
      <c r="AN268" s="769"/>
      <c r="AO268" s="773"/>
      <c r="AP268" s="774">
        <f t="shared" si="54"/>
        <v>0</v>
      </c>
      <c r="AQ268" s="439"/>
      <c r="AS268" s="771"/>
      <c r="AT268" t="str">
        <f t="array" ref="AT268">IF(E268&lt;&gt;"Occupied","",_xlfn.IFS(AND(ISNUMBER(AC268),AC268&lt;&gt;0),"Structured",ISNUMBER(SEARCH("/mo con",T268)),"Notes-parsed",ISNUMBER(SEARCH("step",T268)),"Step-up",ISNUMBER(SEARCH("swap",T268)),"Rate-swap",AND(ISNUMBER(I268),ISNUMBER(J268),I268&gt;J268),"Implied",TRUE(),""))</f>
        <v/>
      </c>
      <c r="AU268" s="769" t="str">
        <f t="shared" si="55"/>
        <v/>
      </c>
      <c r="AV268" s="775">
        <f t="shared" si="56"/>
        <v>0</v>
      </c>
    </row>
    <row r="269" spans="7:48" ht="15" customHeight="1" outlineLevel="1" x14ac:dyDescent="0.25">
      <c r="G269" s="421"/>
      <c r="H269" s="421"/>
      <c r="I269" s="769"/>
      <c r="J269" s="769"/>
      <c r="K269" s="769">
        <f t="shared" si="46"/>
        <v>0</v>
      </c>
      <c r="L269" s="769">
        <f t="shared" si="47"/>
        <v>0</v>
      </c>
      <c r="M269" s="769"/>
      <c r="N269" s="769"/>
      <c r="O269" s="769"/>
      <c r="P269" s="769"/>
      <c r="Q269" s="769"/>
      <c r="R269" s="769"/>
      <c r="U269" s="770"/>
      <c r="V269" s="771">
        <f t="shared" si="48"/>
        <v>0</v>
      </c>
      <c r="W269" s="771">
        <f t="shared" si="49"/>
        <v>0</v>
      </c>
      <c r="X269" t="str">
        <f t="shared" si="50"/>
        <v/>
      </c>
      <c r="Y269" t="str">
        <f t="shared" si="51"/>
        <v/>
      </c>
      <c r="AA269" s="769">
        <f t="shared" si="52"/>
        <v>0</v>
      </c>
      <c r="AB269" s="772">
        <f t="shared" si="53"/>
        <v>0</v>
      </c>
      <c r="AC269" s="769"/>
      <c r="AD269" s="421"/>
      <c r="AE269" s="769"/>
      <c r="AF269" s="769"/>
      <c r="AG269" s="769"/>
      <c r="AH269" s="769"/>
      <c r="AI269" s="769"/>
      <c r="AJ269" s="769"/>
      <c r="AK269" s="769"/>
      <c r="AL269" s="769"/>
      <c r="AM269" s="769"/>
      <c r="AN269" s="769"/>
      <c r="AO269" s="773"/>
      <c r="AP269" s="774">
        <f t="shared" si="54"/>
        <v>0</v>
      </c>
      <c r="AQ269" s="439"/>
      <c r="AS269" s="771"/>
      <c r="AT269" t="str">
        <f t="array" ref="AT269">IF(E269&lt;&gt;"Occupied","",_xlfn.IFS(AND(ISNUMBER(AC269),AC269&lt;&gt;0),"Structured",ISNUMBER(SEARCH("/mo con",T269)),"Notes-parsed",ISNUMBER(SEARCH("step",T269)),"Step-up",ISNUMBER(SEARCH("swap",T269)),"Rate-swap",AND(ISNUMBER(I269),ISNUMBER(J269),I269&gt;J269),"Implied",TRUE(),""))</f>
        <v/>
      </c>
      <c r="AU269" s="769" t="str">
        <f t="shared" si="55"/>
        <v/>
      </c>
      <c r="AV269" s="775">
        <f t="shared" si="56"/>
        <v>0</v>
      </c>
    </row>
    <row r="270" spans="7:48" ht="15" customHeight="1" outlineLevel="1" x14ac:dyDescent="0.25">
      <c r="G270" s="421"/>
      <c r="H270" s="421"/>
      <c r="I270" s="769"/>
      <c r="J270" s="769"/>
      <c r="K270" s="769">
        <f t="shared" si="46"/>
        <v>0</v>
      </c>
      <c r="L270" s="769">
        <f t="shared" si="47"/>
        <v>0</v>
      </c>
      <c r="M270" s="769"/>
      <c r="N270" s="769"/>
      <c r="O270" s="769"/>
      <c r="P270" s="769"/>
      <c r="Q270" s="769"/>
      <c r="R270" s="769"/>
      <c r="U270" s="770"/>
      <c r="V270" s="771">
        <f t="shared" si="48"/>
        <v>0</v>
      </c>
      <c r="W270" s="771">
        <f t="shared" si="49"/>
        <v>0</v>
      </c>
      <c r="X270" t="str">
        <f t="shared" si="50"/>
        <v/>
      </c>
      <c r="Y270" t="str">
        <f t="shared" si="51"/>
        <v/>
      </c>
      <c r="AA270" s="769">
        <f t="shared" si="52"/>
        <v>0</v>
      </c>
      <c r="AB270" s="772">
        <f t="shared" si="53"/>
        <v>0</v>
      </c>
      <c r="AC270" s="769"/>
      <c r="AD270" s="421"/>
      <c r="AE270" s="769"/>
      <c r="AF270" s="769"/>
      <c r="AG270" s="769"/>
      <c r="AH270" s="769"/>
      <c r="AI270" s="769"/>
      <c r="AJ270" s="769"/>
      <c r="AK270" s="769"/>
      <c r="AL270" s="769"/>
      <c r="AM270" s="769"/>
      <c r="AN270" s="769"/>
      <c r="AO270" s="773"/>
      <c r="AP270" s="774">
        <f t="shared" si="54"/>
        <v>0</v>
      </c>
      <c r="AQ270" s="439"/>
      <c r="AS270" s="771"/>
      <c r="AT270" t="str">
        <f t="array" ref="AT270">IF(E270&lt;&gt;"Occupied","",_xlfn.IFS(AND(ISNUMBER(AC270),AC270&lt;&gt;0),"Structured",ISNUMBER(SEARCH("/mo con",T270)),"Notes-parsed",ISNUMBER(SEARCH("step",T270)),"Step-up",ISNUMBER(SEARCH("swap",T270)),"Rate-swap",AND(ISNUMBER(I270),ISNUMBER(J270),I270&gt;J270),"Implied",TRUE(),""))</f>
        <v/>
      </c>
      <c r="AU270" s="769" t="str">
        <f t="shared" si="55"/>
        <v/>
      </c>
      <c r="AV270" s="775">
        <f t="shared" si="56"/>
        <v>0</v>
      </c>
    </row>
    <row r="271" spans="7:48" ht="15" customHeight="1" outlineLevel="1" x14ac:dyDescent="0.25">
      <c r="G271" s="421"/>
      <c r="H271" s="421"/>
      <c r="I271" s="769"/>
      <c r="J271" s="769"/>
      <c r="K271" s="769">
        <f t="shared" si="46"/>
        <v>0</v>
      </c>
      <c r="L271" s="769">
        <f t="shared" si="47"/>
        <v>0</v>
      </c>
      <c r="M271" s="769"/>
      <c r="N271" s="769"/>
      <c r="O271" s="769"/>
      <c r="P271" s="769"/>
      <c r="Q271" s="769"/>
      <c r="R271" s="769"/>
      <c r="U271" s="770"/>
      <c r="V271" s="771">
        <f t="shared" si="48"/>
        <v>0</v>
      </c>
      <c r="W271" s="771">
        <f t="shared" si="49"/>
        <v>0</v>
      </c>
      <c r="X271" t="str">
        <f t="shared" si="50"/>
        <v/>
      </c>
      <c r="Y271" t="str">
        <f t="shared" si="51"/>
        <v/>
      </c>
      <c r="AA271" s="769">
        <f t="shared" si="52"/>
        <v>0</v>
      </c>
      <c r="AB271" s="772">
        <f t="shared" si="53"/>
        <v>0</v>
      </c>
      <c r="AC271" s="769"/>
      <c r="AD271" s="421"/>
      <c r="AE271" s="769"/>
      <c r="AF271" s="769"/>
      <c r="AG271" s="769"/>
      <c r="AH271" s="769"/>
      <c r="AI271" s="769"/>
      <c r="AJ271" s="769"/>
      <c r="AK271" s="769"/>
      <c r="AL271" s="769"/>
      <c r="AM271" s="769"/>
      <c r="AN271" s="769"/>
      <c r="AO271" s="773"/>
      <c r="AP271" s="774">
        <f t="shared" si="54"/>
        <v>0</v>
      </c>
      <c r="AQ271" s="439"/>
      <c r="AS271" s="771"/>
      <c r="AT271" t="str">
        <f t="array" ref="AT271">IF(E271&lt;&gt;"Occupied","",_xlfn.IFS(AND(ISNUMBER(AC271),AC271&lt;&gt;0),"Structured",ISNUMBER(SEARCH("/mo con",T271)),"Notes-parsed",ISNUMBER(SEARCH("step",T271)),"Step-up",ISNUMBER(SEARCH("swap",T271)),"Rate-swap",AND(ISNUMBER(I271),ISNUMBER(J271),I271&gt;J271),"Implied",TRUE(),""))</f>
        <v/>
      </c>
      <c r="AU271" s="769" t="str">
        <f t="shared" si="55"/>
        <v/>
      </c>
      <c r="AV271" s="775">
        <f t="shared" si="56"/>
        <v>0</v>
      </c>
    </row>
    <row r="272" spans="7:48" ht="15" customHeight="1" outlineLevel="1" x14ac:dyDescent="0.25">
      <c r="G272" s="421"/>
      <c r="H272" s="421"/>
      <c r="I272" s="769"/>
      <c r="J272" s="769"/>
      <c r="K272" s="769">
        <f t="shared" si="46"/>
        <v>0</v>
      </c>
      <c r="L272" s="769">
        <f t="shared" si="47"/>
        <v>0</v>
      </c>
      <c r="M272" s="769"/>
      <c r="N272" s="769"/>
      <c r="O272" s="769"/>
      <c r="P272" s="769"/>
      <c r="Q272" s="769"/>
      <c r="R272" s="769"/>
      <c r="U272" s="770"/>
      <c r="V272" s="771">
        <f t="shared" si="48"/>
        <v>0</v>
      </c>
      <c r="W272" s="771">
        <f t="shared" si="49"/>
        <v>0</v>
      </c>
      <c r="X272" t="str">
        <f t="shared" si="50"/>
        <v/>
      </c>
      <c r="Y272" t="str">
        <f t="shared" si="51"/>
        <v/>
      </c>
      <c r="AA272" s="769">
        <f t="shared" si="52"/>
        <v>0</v>
      </c>
      <c r="AB272" s="772">
        <f t="shared" si="53"/>
        <v>0</v>
      </c>
      <c r="AC272" s="769"/>
      <c r="AD272" s="421"/>
      <c r="AE272" s="769"/>
      <c r="AF272" s="769"/>
      <c r="AG272" s="769"/>
      <c r="AH272" s="769"/>
      <c r="AI272" s="769"/>
      <c r="AJ272" s="769"/>
      <c r="AK272" s="769"/>
      <c r="AL272" s="769"/>
      <c r="AM272" s="769"/>
      <c r="AN272" s="769"/>
      <c r="AO272" s="773"/>
      <c r="AP272" s="774">
        <f t="shared" si="54"/>
        <v>0</v>
      </c>
      <c r="AQ272" s="439"/>
      <c r="AS272" s="771"/>
      <c r="AT272" t="str">
        <f t="array" ref="AT272">IF(E272&lt;&gt;"Occupied","",_xlfn.IFS(AND(ISNUMBER(AC272),AC272&lt;&gt;0),"Structured",ISNUMBER(SEARCH("/mo con",T272)),"Notes-parsed",ISNUMBER(SEARCH("step",T272)),"Step-up",ISNUMBER(SEARCH("swap",T272)),"Rate-swap",AND(ISNUMBER(I272),ISNUMBER(J272),I272&gt;J272),"Implied",TRUE(),""))</f>
        <v/>
      </c>
      <c r="AU272" s="769" t="str">
        <f t="shared" si="55"/>
        <v/>
      </c>
      <c r="AV272" s="775">
        <f t="shared" si="56"/>
        <v>0</v>
      </c>
    </row>
    <row r="273" spans="7:48" ht="15" customHeight="1" outlineLevel="1" x14ac:dyDescent="0.25">
      <c r="G273" s="421"/>
      <c r="H273" s="421"/>
      <c r="I273" s="769"/>
      <c r="J273" s="769"/>
      <c r="K273" s="769">
        <f t="shared" si="46"/>
        <v>0</v>
      </c>
      <c r="L273" s="769">
        <f t="shared" si="47"/>
        <v>0</v>
      </c>
      <c r="M273" s="769"/>
      <c r="N273" s="769"/>
      <c r="O273" s="769"/>
      <c r="P273" s="769"/>
      <c r="Q273" s="769"/>
      <c r="R273" s="769"/>
      <c r="U273" s="770"/>
      <c r="V273" s="771">
        <f t="shared" si="48"/>
        <v>0</v>
      </c>
      <c r="W273" s="771">
        <f t="shared" si="49"/>
        <v>0</v>
      </c>
      <c r="X273" t="str">
        <f t="shared" si="50"/>
        <v/>
      </c>
      <c r="Y273" t="str">
        <f t="shared" si="51"/>
        <v/>
      </c>
      <c r="AA273" s="769">
        <f t="shared" si="52"/>
        <v>0</v>
      </c>
      <c r="AB273" s="772">
        <f t="shared" si="53"/>
        <v>0</v>
      </c>
      <c r="AC273" s="769"/>
      <c r="AD273" s="421"/>
      <c r="AE273" s="769"/>
      <c r="AF273" s="769"/>
      <c r="AG273" s="769"/>
      <c r="AH273" s="769"/>
      <c r="AI273" s="769"/>
      <c r="AJ273" s="769"/>
      <c r="AK273" s="769"/>
      <c r="AL273" s="769"/>
      <c r="AM273" s="769"/>
      <c r="AN273" s="769"/>
      <c r="AO273" s="773"/>
      <c r="AP273" s="774">
        <f t="shared" si="54"/>
        <v>0</v>
      </c>
      <c r="AQ273" s="439"/>
      <c r="AS273" s="771"/>
      <c r="AT273" t="str">
        <f t="array" ref="AT273">IF(E273&lt;&gt;"Occupied","",_xlfn.IFS(AND(ISNUMBER(AC273),AC273&lt;&gt;0),"Structured",ISNUMBER(SEARCH("/mo con",T273)),"Notes-parsed",ISNUMBER(SEARCH("step",T273)),"Step-up",ISNUMBER(SEARCH("swap",T273)),"Rate-swap",AND(ISNUMBER(I273),ISNUMBER(J273),I273&gt;J273),"Implied",TRUE(),""))</f>
        <v/>
      </c>
      <c r="AU273" s="769" t="str">
        <f t="shared" si="55"/>
        <v/>
      </c>
      <c r="AV273" s="775">
        <f t="shared" si="56"/>
        <v>0</v>
      </c>
    </row>
    <row r="274" spans="7:48" ht="15" customHeight="1" outlineLevel="1" x14ac:dyDescent="0.25">
      <c r="G274" s="421"/>
      <c r="H274" s="421"/>
      <c r="I274" s="769"/>
      <c r="J274" s="769"/>
      <c r="K274" s="769">
        <f t="shared" si="46"/>
        <v>0</v>
      </c>
      <c r="L274" s="769">
        <f t="shared" si="47"/>
        <v>0</v>
      </c>
      <c r="M274" s="769"/>
      <c r="N274" s="769"/>
      <c r="O274" s="769"/>
      <c r="P274" s="769"/>
      <c r="Q274" s="769"/>
      <c r="R274" s="769"/>
      <c r="U274" s="770"/>
      <c r="V274" s="771">
        <f t="shared" si="48"/>
        <v>0</v>
      </c>
      <c r="W274" s="771">
        <f t="shared" si="49"/>
        <v>0</v>
      </c>
      <c r="X274" t="str">
        <f t="shared" si="50"/>
        <v/>
      </c>
      <c r="Y274" t="str">
        <f t="shared" si="51"/>
        <v/>
      </c>
      <c r="AA274" s="769">
        <f t="shared" si="52"/>
        <v>0</v>
      </c>
      <c r="AB274" s="772">
        <f t="shared" si="53"/>
        <v>0</v>
      </c>
      <c r="AC274" s="769"/>
      <c r="AD274" s="421"/>
      <c r="AE274" s="769"/>
      <c r="AF274" s="769"/>
      <c r="AG274" s="769"/>
      <c r="AH274" s="769"/>
      <c r="AI274" s="769"/>
      <c r="AJ274" s="769"/>
      <c r="AK274" s="769"/>
      <c r="AL274" s="769"/>
      <c r="AM274" s="769"/>
      <c r="AN274" s="769"/>
      <c r="AO274" s="773"/>
      <c r="AP274" s="774">
        <f t="shared" si="54"/>
        <v>0</v>
      </c>
      <c r="AQ274" s="439"/>
      <c r="AS274" s="771"/>
      <c r="AT274" t="str">
        <f t="array" ref="AT274">IF(E274&lt;&gt;"Occupied","",_xlfn.IFS(AND(ISNUMBER(AC274),AC274&lt;&gt;0),"Structured",ISNUMBER(SEARCH("/mo con",T274)),"Notes-parsed",ISNUMBER(SEARCH("step",T274)),"Step-up",ISNUMBER(SEARCH("swap",T274)),"Rate-swap",AND(ISNUMBER(I274),ISNUMBER(J274),I274&gt;J274),"Implied",TRUE(),""))</f>
        <v/>
      </c>
      <c r="AU274" s="769" t="str">
        <f t="shared" si="55"/>
        <v/>
      </c>
      <c r="AV274" s="775">
        <f t="shared" si="56"/>
        <v>0</v>
      </c>
    </row>
    <row r="275" spans="7:48" ht="15" customHeight="1" outlineLevel="1" x14ac:dyDescent="0.25">
      <c r="G275" s="421"/>
      <c r="H275" s="421"/>
      <c r="I275" s="769"/>
      <c r="J275" s="769"/>
      <c r="K275" s="769">
        <f t="shared" si="46"/>
        <v>0</v>
      </c>
      <c r="L275" s="769">
        <f t="shared" si="47"/>
        <v>0</v>
      </c>
      <c r="M275" s="769"/>
      <c r="N275" s="769"/>
      <c r="O275" s="769"/>
      <c r="P275" s="769"/>
      <c r="Q275" s="769"/>
      <c r="R275" s="769"/>
      <c r="U275" s="770"/>
      <c r="V275" s="771">
        <f t="shared" si="48"/>
        <v>0</v>
      </c>
      <c r="W275" s="771">
        <f t="shared" si="49"/>
        <v>0</v>
      </c>
      <c r="X275" t="str">
        <f t="shared" si="50"/>
        <v/>
      </c>
      <c r="Y275" t="str">
        <f t="shared" si="51"/>
        <v/>
      </c>
      <c r="AA275" s="769">
        <f t="shared" si="52"/>
        <v>0</v>
      </c>
      <c r="AB275" s="772">
        <f t="shared" si="53"/>
        <v>0</v>
      </c>
      <c r="AC275" s="769"/>
      <c r="AD275" s="421"/>
      <c r="AE275" s="769"/>
      <c r="AF275" s="769"/>
      <c r="AG275" s="769"/>
      <c r="AH275" s="769"/>
      <c r="AI275" s="769"/>
      <c r="AJ275" s="769"/>
      <c r="AK275" s="769"/>
      <c r="AL275" s="769"/>
      <c r="AM275" s="769"/>
      <c r="AN275" s="769"/>
      <c r="AO275" s="773"/>
      <c r="AP275" s="774">
        <f t="shared" si="54"/>
        <v>0</v>
      </c>
      <c r="AQ275" s="439"/>
      <c r="AS275" s="771"/>
      <c r="AT275" t="str">
        <f t="array" ref="AT275">IF(E275&lt;&gt;"Occupied","",_xlfn.IFS(AND(ISNUMBER(AC275),AC275&lt;&gt;0),"Structured",ISNUMBER(SEARCH("/mo con",T275)),"Notes-parsed",ISNUMBER(SEARCH("step",T275)),"Step-up",ISNUMBER(SEARCH("swap",T275)),"Rate-swap",AND(ISNUMBER(I275),ISNUMBER(J275),I275&gt;J275),"Implied",TRUE(),""))</f>
        <v/>
      </c>
      <c r="AU275" s="769" t="str">
        <f t="shared" si="55"/>
        <v/>
      </c>
      <c r="AV275" s="775">
        <f t="shared" si="56"/>
        <v>0</v>
      </c>
    </row>
    <row r="276" spans="7:48" ht="15" customHeight="1" outlineLevel="1" x14ac:dyDescent="0.25">
      <c r="G276" s="421"/>
      <c r="H276" s="421"/>
      <c r="I276" s="769"/>
      <c r="J276" s="769"/>
      <c r="K276" s="769">
        <f t="shared" si="46"/>
        <v>0</v>
      </c>
      <c r="L276" s="769">
        <f t="shared" si="47"/>
        <v>0</v>
      </c>
      <c r="M276" s="769"/>
      <c r="N276" s="769"/>
      <c r="O276" s="769"/>
      <c r="P276" s="769"/>
      <c r="Q276" s="769"/>
      <c r="R276" s="769"/>
      <c r="U276" s="770"/>
      <c r="V276" s="771">
        <f t="shared" si="48"/>
        <v>0</v>
      </c>
      <c r="W276" s="771">
        <f t="shared" si="49"/>
        <v>0</v>
      </c>
      <c r="X276" t="str">
        <f t="shared" si="50"/>
        <v/>
      </c>
      <c r="Y276" t="str">
        <f t="shared" si="51"/>
        <v/>
      </c>
      <c r="AA276" s="769">
        <f t="shared" si="52"/>
        <v>0</v>
      </c>
      <c r="AB276" s="772">
        <f t="shared" si="53"/>
        <v>0</v>
      </c>
      <c r="AC276" s="769"/>
      <c r="AD276" s="421"/>
      <c r="AE276" s="769"/>
      <c r="AF276" s="769"/>
      <c r="AG276" s="769"/>
      <c r="AH276" s="769"/>
      <c r="AI276" s="769"/>
      <c r="AJ276" s="769"/>
      <c r="AK276" s="769"/>
      <c r="AL276" s="769"/>
      <c r="AM276" s="769"/>
      <c r="AN276" s="769"/>
      <c r="AO276" s="773"/>
      <c r="AP276" s="774">
        <f t="shared" si="54"/>
        <v>0</v>
      </c>
      <c r="AQ276" s="439"/>
      <c r="AS276" s="771"/>
      <c r="AT276" t="str">
        <f t="array" ref="AT276">IF(E276&lt;&gt;"Occupied","",_xlfn.IFS(AND(ISNUMBER(AC276),AC276&lt;&gt;0),"Structured",ISNUMBER(SEARCH("/mo con",T276)),"Notes-parsed",ISNUMBER(SEARCH("step",T276)),"Step-up",ISNUMBER(SEARCH("swap",T276)),"Rate-swap",AND(ISNUMBER(I276),ISNUMBER(J276),I276&gt;J276),"Implied",TRUE(),""))</f>
        <v/>
      </c>
      <c r="AU276" s="769" t="str">
        <f t="shared" si="55"/>
        <v/>
      </c>
      <c r="AV276" s="775">
        <f t="shared" si="56"/>
        <v>0</v>
      </c>
    </row>
    <row r="277" spans="7:48" ht="15" customHeight="1" outlineLevel="1" x14ac:dyDescent="0.25">
      <c r="G277" s="421"/>
      <c r="H277" s="421"/>
      <c r="I277" s="769"/>
      <c r="J277" s="769"/>
      <c r="K277" s="769">
        <f t="shared" si="46"/>
        <v>0</v>
      </c>
      <c r="L277" s="769">
        <f t="shared" si="47"/>
        <v>0</v>
      </c>
      <c r="M277" s="769"/>
      <c r="N277" s="769"/>
      <c r="O277" s="769"/>
      <c r="P277" s="769"/>
      <c r="Q277" s="769"/>
      <c r="R277" s="769"/>
      <c r="U277" s="770"/>
      <c r="V277" s="771">
        <f t="shared" si="48"/>
        <v>0</v>
      </c>
      <c r="W277" s="771">
        <f t="shared" si="49"/>
        <v>0</v>
      </c>
      <c r="X277" t="str">
        <f t="shared" si="50"/>
        <v/>
      </c>
      <c r="Y277" t="str">
        <f t="shared" si="51"/>
        <v/>
      </c>
      <c r="AA277" s="769">
        <f t="shared" si="52"/>
        <v>0</v>
      </c>
      <c r="AB277" s="772">
        <f t="shared" si="53"/>
        <v>0</v>
      </c>
      <c r="AC277" s="769"/>
      <c r="AD277" s="421"/>
      <c r="AE277" s="769"/>
      <c r="AF277" s="769"/>
      <c r="AG277" s="769"/>
      <c r="AH277" s="769"/>
      <c r="AI277" s="769"/>
      <c r="AJ277" s="769"/>
      <c r="AK277" s="769"/>
      <c r="AL277" s="769"/>
      <c r="AM277" s="769"/>
      <c r="AN277" s="769"/>
      <c r="AO277" s="773"/>
      <c r="AP277" s="774">
        <f t="shared" si="54"/>
        <v>0</v>
      </c>
      <c r="AQ277" s="439"/>
      <c r="AS277" s="771"/>
      <c r="AT277" t="str">
        <f t="array" ref="AT277">IF(E277&lt;&gt;"Occupied","",_xlfn.IFS(AND(ISNUMBER(AC277),AC277&lt;&gt;0),"Structured",ISNUMBER(SEARCH("/mo con",T277)),"Notes-parsed",ISNUMBER(SEARCH("step",T277)),"Step-up",ISNUMBER(SEARCH("swap",T277)),"Rate-swap",AND(ISNUMBER(I277),ISNUMBER(J277),I277&gt;J277),"Implied",TRUE(),""))</f>
        <v/>
      </c>
      <c r="AU277" s="769" t="str">
        <f t="shared" si="55"/>
        <v/>
      </c>
      <c r="AV277" s="775">
        <f t="shared" si="56"/>
        <v>0</v>
      </c>
    </row>
    <row r="278" spans="7:48" ht="15" customHeight="1" outlineLevel="1" x14ac:dyDescent="0.25">
      <c r="G278" s="421"/>
      <c r="H278" s="421"/>
      <c r="I278" s="769"/>
      <c r="J278" s="769"/>
      <c r="K278" s="769">
        <f t="shared" si="46"/>
        <v>0</v>
      </c>
      <c r="L278" s="769">
        <f t="shared" si="47"/>
        <v>0</v>
      </c>
      <c r="M278" s="769"/>
      <c r="N278" s="769"/>
      <c r="O278" s="769"/>
      <c r="P278" s="769"/>
      <c r="Q278" s="769"/>
      <c r="R278" s="769"/>
      <c r="U278" s="770"/>
      <c r="V278" s="771">
        <f t="shared" si="48"/>
        <v>0</v>
      </c>
      <c r="W278" s="771">
        <f t="shared" si="49"/>
        <v>0</v>
      </c>
      <c r="X278" t="str">
        <f t="shared" si="50"/>
        <v/>
      </c>
      <c r="Y278" t="str">
        <f t="shared" si="51"/>
        <v/>
      </c>
      <c r="AA278" s="769">
        <f t="shared" si="52"/>
        <v>0</v>
      </c>
      <c r="AB278" s="772">
        <f t="shared" si="53"/>
        <v>0</v>
      </c>
      <c r="AC278" s="769"/>
      <c r="AD278" s="421"/>
      <c r="AE278" s="769"/>
      <c r="AF278" s="769"/>
      <c r="AG278" s="769"/>
      <c r="AH278" s="769"/>
      <c r="AI278" s="769"/>
      <c r="AJ278" s="769"/>
      <c r="AK278" s="769"/>
      <c r="AL278" s="769"/>
      <c r="AM278" s="769"/>
      <c r="AN278" s="769"/>
      <c r="AO278" s="773"/>
      <c r="AP278" s="774">
        <f t="shared" si="54"/>
        <v>0</v>
      </c>
      <c r="AQ278" s="439"/>
      <c r="AS278" s="771"/>
      <c r="AT278" t="str">
        <f t="array" ref="AT278">IF(E278&lt;&gt;"Occupied","",_xlfn.IFS(AND(ISNUMBER(AC278),AC278&lt;&gt;0),"Structured",ISNUMBER(SEARCH("/mo con",T278)),"Notes-parsed",ISNUMBER(SEARCH("step",T278)),"Step-up",ISNUMBER(SEARCH("swap",T278)),"Rate-swap",AND(ISNUMBER(I278),ISNUMBER(J278),I278&gt;J278),"Implied",TRUE(),""))</f>
        <v/>
      </c>
      <c r="AU278" s="769" t="str">
        <f t="shared" si="55"/>
        <v/>
      </c>
      <c r="AV278" s="775">
        <f t="shared" si="56"/>
        <v>0</v>
      </c>
    </row>
    <row r="279" spans="7:48" ht="15" customHeight="1" outlineLevel="1" x14ac:dyDescent="0.25">
      <c r="G279" s="421"/>
      <c r="H279" s="421"/>
      <c r="I279" s="769"/>
      <c r="J279" s="769"/>
      <c r="K279" s="769">
        <f t="shared" si="46"/>
        <v>0</v>
      </c>
      <c r="L279" s="769">
        <f t="shared" si="47"/>
        <v>0</v>
      </c>
      <c r="M279" s="769"/>
      <c r="N279" s="769"/>
      <c r="O279" s="769"/>
      <c r="P279" s="769"/>
      <c r="Q279" s="769"/>
      <c r="R279" s="769"/>
      <c r="U279" s="770"/>
      <c r="V279" s="771">
        <f t="shared" si="48"/>
        <v>0</v>
      </c>
      <c r="W279" s="771">
        <f t="shared" si="49"/>
        <v>0</v>
      </c>
      <c r="X279" t="str">
        <f t="shared" si="50"/>
        <v/>
      </c>
      <c r="Y279" t="str">
        <f t="shared" si="51"/>
        <v/>
      </c>
      <c r="AA279" s="769">
        <f t="shared" si="52"/>
        <v>0</v>
      </c>
      <c r="AB279" s="772">
        <f t="shared" si="53"/>
        <v>0</v>
      </c>
      <c r="AC279" s="769"/>
      <c r="AD279" s="421"/>
      <c r="AE279" s="769"/>
      <c r="AF279" s="769"/>
      <c r="AG279" s="769"/>
      <c r="AH279" s="769"/>
      <c r="AI279" s="769"/>
      <c r="AJ279" s="769"/>
      <c r="AK279" s="769"/>
      <c r="AL279" s="769"/>
      <c r="AM279" s="769"/>
      <c r="AN279" s="769"/>
      <c r="AO279" s="773"/>
      <c r="AP279" s="774">
        <f t="shared" si="54"/>
        <v>0</v>
      </c>
      <c r="AQ279" s="439"/>
      <c r="AS279" s="771"/>
      <c r="AT279" t="str">
        <f t="array" ref="AT279">IF(E279&lt;&gt;"Occupied","",_xlfn.IFS(AND(ISNUMBER(AC279),AC279&lt;&gt;0),"Structured",ISNUMBER(SEARCH("/mo con",T279)),"Notes-parsed",ISNUMBER(SEARCH("step",T279)),"Step-up",ISNUMBER(SEARCH("swap",T279)),"Rate-swap",AND(ISNUMBER(I279),ISNUMBER(J279),I279&gt;J279),"Implied",TRUE(),""))</f>
        <v/>
      </c>
      <c r="AU279" s="769" t="str">
        <f t="shared" si="55"/>
        <v/>
      </c>
      <c r="AV279" s="775">
        <f t="shared" si="56"/>
        <v>0</v>
      </c>
    </row>
    <row r="280" spans="7:48" ht="15" customHeight="1" outlineLevel="1" x14ac:dyDescent="0.25">
      <c r="G280" s="421"/>
      <c r="H280" s="421"/>
      <c r="I280" s="769"/>
      <c r="J280" s="769"/>
      <c r="K280" s="769">
        <f t="shared" si="46"/>
        <v>0</v>
      </c>
      <c r="L280" s="769">
        <f t="shared" si="47"/>
        <v>0</v>
      </c>
      <c r="M280" s="769"/>
      <c r="N280" s="769"/>
      <c r="O280" s="769"/>
      <c r="P280" s="769"/>
      <c r="Q280" s="769"/>
      <c r="R280" s="769"/>
      <c r="U280" s="770"/>
      <c r="V280" s="771">
        <f t="shared" si="48"/>
        <v>0</v>
      </c>
      <c r="W280" s="771">
        <f t="shared" si="49"/>
        <v>0</v>
      </c>
      <c r="X280" t="str">
        <f t="shared" si="50"/>
        <v/>
      </c>
      <c r="Y280" t="str">
        <f t="shared" si="51"/>
        <v/>
      </c>
      <c r="AA280" s="769">
        <f t="shared" si="52"/>
        <v>0</v>
      </c>
      <c r="AB280" s="772">
        <f t="shared" si="53"/>
        <v>0</v>
      </c>
      <c r="AC280" s="769"/>
      <c r="AD280" s="421"/>
      <c r="AE280" s="769"/>
      <c r="AF280" s="769"/>
      <c r="AG280" s="769"/>
      <c r="AH280" s="769"/>
      <c r="AI280" s="769"/>
      <c r="AJ280" s="769"/>
      <c r="AK280" s="769"/>
      <c r="AL280" s="769"/>
      <c r="AM280" s="769"/>
      <c r="AN280" s="769"/>
      <c r="AO280" s="773"/>
      <c r="AP280" s="774">
        <f t="shared" si="54"/>
        <v>0</v>
      </c>
      <c r="AQ280" s="439"/>
      <c r="AS280" s="771"/>
      <c r="AT280" t="str">
        <f t="array" ref="AT280">IF(E280&lt;&gt;"Occupied","",_xlfn.IFS(AND(ISNUMBER(AC280),AC280&lt;&gt;0),"Structured",ISNUMBER(SEARCH("/mo con",T280)),"Notes-parsed",ISNUMBER(SEARCH("step",T280)),"Step-up",ISNUMBER(SEARCH("swap",T280)),"Rate-swap",AND(ISNUMBER(I280),ISNUMBER(J280),I280&gt;J280),"Implied",TRUE(),""))</f>
        <v/>
      </c>
      <c r="AU280" s="769" t="str">
        <f t="shared" si="55"/>
        <v/>
      </c>
      <c r="AV280" s="775">
        <f t="shared" si="56"/>
        <v>0</v>
      </c>
    </row>
    <row r="281" spans="7:48" ht="15" customHeight="1" outlineLevel="1" x14ac:dyDescent="0.25">
      <c r="G281" s="421"/>
      <c r="H281" s="421"/>
      <c r="I281" s="769"/>
      <c r="J281" s="769"/>
      <c r="K281" s="769">
        <f t="shared" si="46"/>
        <v>0</v>
      </c>
      <c r="L281" s="769">
        <f t="shared" si="47"/>
        <v>0</v>
      </c>
      <c r="M281" s="769"/>
      <c r="N281" s="769"/>
      <c r="O281" s="769"/>
      <c r="P281" s="769"/>
      <c r="Q281" s="769"/>
      <c r="R281" s="769"/>
      <c r="U281" s="770"/>
      <c r="V281" s="771">
        <f t="shared" si="48"/>
        <v>0</v>
      </c>
      <c r="W281" s="771">
        <f t="shared" si="49"/>
        <v>0</v>
      </c>
      <c r="X281" t="str">
        <f t="shared" si="50"/>
        <v/>
      </c>
      <c r="Y281" t="str">
        <f t="shared" si="51"/>
        <v/>
      </c>
      <c r="AA281" s="769">
        <f t="shared" si="52"/>
        <v>0</v>
      </c>
      <c r="AB281" s="772">
        <f t="shared" si="53"/>
        <v>0</v>
      </c>
      <c r="AC281" s="769"/>
      <c r="AD281" s="421"/>
      <c r="AE281" s="769"/>
      <c r="AF281" s="769"/>
      <c r="AG281" s="769"/>
      <c r="AH281" s="769"/>
      <c r="AI281" s="769"/>
      <c r="AJ281" s="769"/>
      <c r="AK281" s="769"/>
      <c r="AL281" s="769"/>
      <c r="AM281" s="769"/>
      <c r="AN281" s="769"/>
      <c r="AO281" s="773"/>
      <c r="AP281" s="774">
        <f t="shared" si="54"/>
        <v>0</v>
      </c>
      <c r="AQ281" s="439"/>
      <c r="AS281" s="771"/>
      <c r="AT281" t="str">
        <f t="array" ref="AT281">IF(E281&lt;&gt;"Occupied","",_xlfn.IFS(AND(ISNUMBER(AC281),AC281&lt;&gt;0),"Structured",ISNUMBER(SEARCH("/mo con",T281)),"Notes-parsed",ISNUMBER(SEARCH("step",T281)),"Step-up",ISNUMBER(SEARCH("swap",T281)),"Rate-swap",AND(ISNUMBER(I281),ISNUMBER(J281),I281&gt;J281),"Implied",TRUE(),""))</f>
        <v/>
      </c>
      <c r="AU281" s="769" t="str">
        <f t="shared" si="55"/>
        <v/>
      </c>
      <c r="AV281" s="775">
        <f t="shared" si="56"/>
        <v>0</v>
      </c>
    </row>
    <row r="282" spans="7:48" ht="15" customHeight="1" outlineLevel="1" x14ac:dyDescent="0.25">
      <c r="G282" s="421"/>
      <c r="H282" s="421"/>
      <c r="I282" s="769"/>
      <c r="J282" s="769"/>
      <c r="K282" s="769">
        <f t="shared" si="46"/>
        <v>0</v>
      </c>
      <c r="L282" s="769">
        <f t="shared" si="47"/>
        <v>0</v>
      </c>
      <c r="M282" s="769"/>
      <c r="N282" s="769"/>
      <c r="O282" s="769"/>
      <c r="P282" s="769"/>
      <c r="Q282" s="769"/>
      <c r="R282" s="769"/>
      <c r="U282" s="770"/>
      <c r="V282" s="771">
        <f t="shared" si="48"/>
        <v>0</v>
      </c>
      <c r="W282" s="771">
        <f t="shared" si="49"/>
        <v>0</v>
      </c>
      <c r="X282" t="str">
        <f t="shared" si="50"/>
        <v/>
      </c>
      <c r="Y282" t="str">
        <f t="shared" si="51"/>
        <v/>
      </c>
      <c r="AA282" s="769">
        <f t="shared" si="52"/>
        <v>0</v>
      </c>
      <c r="AB282" s="772">
        <f t="shared" si="53"/>
        <v>0</v>
      </c>
      <c r="AC282" s="769"/>
      <c r="AD282" s="421"/>
      <c r="AE282" s="769"/>
      <c r="AF282" s="769"/>
      <c r="AG282" s="769"/>
      <c r="AH282" s="769"/>
      <c r="AI282" s="769"/>
      <c r="AJ282" s="769"/>
      <c r="AK282" s="769"/>
      <c r="AL282" s="769"/>
      <c r="AM282" s="769"/>
      <c r="AN282" s="769"/>
      <c r="AO282" s="773"/>
      <c r="AP282" s="774">
        <f t="shared" si="54"/>
        <v>0</v>
      </c>
      <c r="AQ282" s="439"/>
      <c r="AS282" s="771"/>
      <c r="AT282" t="str">
        <f t="array" ref="AT282">IF(E282&lt;&gt;"Occupied","",_xlfn.IFS(AND(ISNUMBER(AC282),AC282&lt;&gt;0),"Structured",ISNUMBER(SEARCH("/mo con",T282)),"Notes-parsed",ISNUMBER(SEARCH("step",T282)),"Step-up",ISNUMBER(SEARCH("swap",T282)),"Rate-swap",AND(ISNUMBER(I282),ISNUMBER(J282),I282&gt;J282),"Implied",TRUE(),""))</f>
        <v/>
      </c>
      <c r="AU282" s="769" t="str">
        <f t="shared" si="55"/>
        <v/>
      </c>
      <c r="AV282" s="775">
        <f t="shared" si="56"/>
        <v>0</v>
      </c>
    </row>
    <row r="283" spans="7:48" ht="15" customHeight="1" outlineLevel="1" x14ac:dyDescent="0.25">
      <c r="G283" s="421"/>
      <c r="H283" s="421"/>
      <c r="I283" s="769"/>
      <c r="J283" s="769"/>
      <c r="K283" s="769">
        <f t="shared" si="46"/>
        <v>0</v>
      </c>
      <c r="L283" s="769">
        <f t="shared" si="47"/>
        <v>0</v>
      </c>
      <c r="M283" s="769"/>
      <c r="N283" s="769"/>
      <c r="O283" s="769"/>
      <c r="P283" s="769"/>
      <c r="Q283" s="769"/>
      <c r="R283" s="769"/>
      <c r="U283" s="770"/>
      <c r="V283" s="771">
        <f t="shared" si="48"/>
        <v>0</v>
      </c>
      <c r="W283" s="771">
        <f t="shared" si="49"/>
        <v>0</v>
      </c>
      <c r="X283" t="str">
        <f t="shared" si="50"/>
        <v/>
      </c>
      <c r="Y283" t="str">
        <f t="shared" si="51"/>
        <v/>
      </c>
      <c r="AA283" s="769">
        <f t="shared" si="52"/>
        <v>0</v>
      </c>
      <c r="AB283" s="772">
        <f t="shared" si="53"/>
        <v>0</v>
      </c>
      <c r="AC283" s="769"/>
      <c r="AD283" s="421"/>
      <c r="AE283" s="769"/>
      <c r="AF283" s="769"/>
      <c r="AG283" s="769"/>
      <c r="AH283" s="769"/>
      <c r="AI283" s="769"/>
      <c r="AJ283" s="769"/>
      <c r="AK283" s="769"/>
      <c r="AL283" s="769"/>
      <c r="AM283" s="769"/>
      <c r="AN283" s="769"/>
      <c r="AO283" s="773"/>
      <c r="AP283" s="774">
        <f t="shared" si="54"/>
        <v>0</v>
      </c>
      <c r="AQ283" s="439"/>
      <c r="AS283" s="771"/>
      <c r="AT283" t="str">
        <f t="array" ref="AT283">IF(E283&lt;&gt;"Occupied","",_xlfn.IFS(AND(ISNUMBER(AC283),AC283&lt;&gt;0),"Structured",ISNUMBER(SEARCH("/mo con",T283)),"Notes-parsed",ISNUMBER(SEARCH("step",T283)),"Step-up",ISNUMBER(SEARCH("swap",T283)),"Rate-swap",AND(ISNUMBER(I283),ISNUMBER(J283),I283&gt;J283),"Implied",TRUE(),""))</f>
        <v/>
      </c>
      <c r="AU283" s="769" t="str">
        <f t="shared" si="55"/>
        <v/>
      </c>
      <c r="AV283" s="775">
        <f t="shared" si="56"/>
        <v>0</v>
      </c>
    </row>
    <row r="284" spans="7:48" ht="15" customHeight="1" outlineLevel="1" x14ac:dyDescent="0.25">
      <c r="G284" s="421"/>
      <c r="H284" s="421"/>
      <c r="I284" s="769"/>
      <c r="J284" s="769"/>
      <c r="K284" s="769">
        <f t="shared" si="46"/>
        <v>0</v>
      </c>
      <c r="L284" s="769">
        <f t="shared" si="47"/>
        <v>0</v>
      </c>
      <c r="M284" s="769"/>
      <c r="N284" s="769"/>
      <c r="O284" s="769"/>
      <c r="P284" s="769"/>
      <c r="Q284" s="769"/>
      <c r="R284" s="769"/>
      <c r="U284" s="770"/>
      <c r="V284" s="771">
        <f t="shared" si="48"/>
        <v>0</v>
      </c>
      <c r="W284" s="771">
        <f t="shared" si="49"/>
        <v>0</v>
      </c>
      <c r="X284" t="str">
        <f t="shared" si="50"/>
        <v/>
      </c>
      <c r="Y284" t="str">
        <f t="shared" si="51"/>
        <v/>
      </c>
      <c r="AA284" s="769">
        <f t="shared" si="52"/>
        <v>0</v>
      </c>
      <c r="AB284" s="772">
        <f t="shared" si="53"/>
        <v>0</v>
      </c>
      <c r="AC284" s="769"/>
      <c r="AD284" s="421"/>
      <c r="AE284" s="769"/>
      <c r="AF284" s="769"/>
      <c r="AG284" s="769"/>
      <c r="AH284" s="769"/>
      <c r="AI284" s="769"/>
      <c r="AJ284" s="769"/>
      <c r="AK284" s="769"/>
      <c r="AL284" s="769"/>
      <c r="AM284" s="769"/>
      <c r="AN284" s="769"/>
      <c r="AO284" s="773"/>
      <c r="AP284" s="774">
        <f t="shared" si="54"/>
        <v>0</v>
      </c>
      <c r="AQ284" s="439"/>
      <c r="AS284" s="771"/>
      <c r="AT284" t="str">
        <f t="array" ref="AT284">IF(E284&lt;&gt;"Occupied","",_xlfn.IFS(AND(ISNUMBER(AC284),AC284&lt;&gt;0),"Structured",ISNUMBER(SEARCH("/mo con",T284)),"Notes-parsed",ISNUMBER(SEARCH("step",T284)),"Step-up",ISNUMBER(SEARCH("swap",T284)),"Rate-swap",AND(ISNUMBER(I284),ISNUMBER(J284),I284&gt;J284),"Implied",TRUE(),""))</f>
        <v/>
      </c>
      <c r="AU284" s="769" t="str">
        <f t="shared" si="55"/>
        <v/>
      </c>
      <c r="AV284" s="775">
        <f t="shared" si="56"/>
        <v>0</v>
      </c>
    </row>
    <row r="285" spans="7:48" ht="15" customHeight="1" outlineLevel="1" x14ac:dyDescent="0.25">
      <c r="G285" s="421"/>
      <c r="H285" s="421"/>
      <c r="I285" s="769"/>
      <c r="J285" s="769"/>
      <c r="K285" s="769">
        <f t="shared" si="46"/>
        <v>0</v>
      </c>
      <c r="L285" s="769">
        <f t="shared" si="47"/>
        <v>0</v>
      </c>
      <c r="M285" s="769"/>
      <c r="N285" s="769"/>
      <c r="O285" s="769"/>
      <c r="P285" s="769"/>
      <c r="Q285" s="769"/>
      <c r="R285" s="769"/>
      <c r="U285" s="770"/>
      <c r="V285" s="771">
        <f t="shared" si="48"/>
        <v>0</v>
      </c>
      <c r="W285" s="771">
        <f t="shared" si="49"/>
        <v>0</v>
      </c>
      <c r="X285" t="str">
        <f t="shared" si="50"/>
        <v/>
      </c>
      <c r="Y285" t="str">
        <f t="shared" si="51"/>
        <v/>
      </c>
      <c r="AA285" s="769">
        <f t="shared" si="52"/>
        <v>0</v>
      </c>
      <c r="AB285" s="772">
        <f t="shared" si="53"/>
        <v>0</v>
      </c>
      <c r="AC285" s="769"/>
      <c r="AD285" s="421"/>
      <c r="AE285" s="769"/>
      <c r="AF285" s="769"/>
      <c r="AG285" s="769"/>
      <c r="AH285" s="769"/>
      <c r="AI285" s="769"/>
      <c r="AJ285" s="769"/>
      <c r="AK285" s="769"/>
      <c r="AL285" s="769"/>
      <c r="AM285" s="769"/>
      <c r="AN285" s="769"/>
      <c r="AO285" s="773"/>
      <c r="AP285" s="774">
        <f t="shared" si="54"/>
        <v>0</v>
      </c>
      <c r="AQ285" s="439"/>
      <c r="AS285" s="771"/>
      <c r="AT285" t="str">
        <f t="array" ref="AT285">IF(E285&lt;&gt;"Occupied","",_xlfn.IFS(AND(ISNUMBER(AC285),AC285&lt;&gt;0),"Structured",ISNUMBER(SEARCH("/mo con",T285)),"Notes-parsed",ISNUMBER(SEARCH("step",T285)),"Step-up",ISNUMBER(SEARCH("swap",T285)),"Rate-swap",AND(ISNUMBER(I285),ISNUMBER(J285),I285&gt;J285),"Implied",TRUE(),""))</f>
        <v/>
      </c>
      <c r="AU285" s="769" t="str">
        <f t="shared" si="55"/>
        <v/>
      </c>
      <c r="AV285" s="775">
        <f t="shared" si="56"/>
        <v>0</v>
      </c>
    </row>
    <row r="286" spans="7:48" ht="15" customHeight="1" outlineLevel="1" x14ac:dyDescent="0.25">
      <c r="G286" s="421"/>
      <c r="H286" s="421"/>
      <c r="I286" s="769"/>
      <c r="J286" s="769"/>
      <c r="K286" s="769">
        <f t="shared" si="46"/>
        <v>0</v>
      </c>
      <c r="L286" s="769">
        <f t="shared" si="47"/>
        <v>0</v>
      </c>
      <c r="M286" s="769"/>
      <c r="N286" s="769"/>
      <c r="O286" s="769"/>
      <c r="P286" s="769"/>
      <c r="Q286" s="769"/>
      <c r="R286" s="769"/>
      <c r="U286" s="770"/>
      <c r="V286" s="771">
        <f t="shared" si="48"/>
        <v>0</v>
      </c>
      <c r="W286" s="771">
        <f t="shared" si="49"/>
        <v>0</v>
      </c>
      <c r="X286" t="str">
        <f t="shared" si="50"/>
        <v/>
      </c>
      <c r="Y286" t="str">
        <f t="shared" si="51"/>
        <v/>
      </c>
      <c r="AA286" s="769">
        <f t="shared" si="52"/>
        <v>0</v>
      </c>
      <c r="AB286" s="772">
        <f t="shared" si="53"/>
        <v>0</v>
      </c>
      <c r="AC286" s="769"/>
      <c r="AD286" s="421"/>
      <c r="AE286" s="769"/>
      <c r="AF286" s="769"/>
      <c r="AG286" s="769"/>
      <c r="AH286" s="769"/>
      <c r="AI286" s="769"/>
      <c r="AJ286" s="769"/>
      <c r="AK286" s="769"/>
      <c r="AL286" s="769"/>
      <c r="AM286" s="769"/>
      <c r="AN286" s="769"/>
      <c r="AO286" s="773"/>
      <c r="AP286" s="774">
        <f t="shared" si="54"/>
        <v>0</v>
      </c>
      <c r="AQ286" s="439"/>
      <c r="AS286" s="771"/>
      <c r="AT286" t="str">
        <f t="array" ref="AT286">IF(E286&lt;&gt;"Occupied","",_xlfn.IFS(AND(ISNUMBER(AC286),AC286&lt;&gt;0),"Structured",ISNUMBER(SEARCH("/mo con",T286)),"Notes-parsed",ISNUMBER(SEARCH("step",T286)),"Step-up",ISNUMBER(SEARCH("swap",T286)),"Rate-swap",AND(ISNUMBER(I286),ISNUMBER(J286),I286&gt;J286),"Implied",TRUE(),""))</f>
        <v/>
      </c>
      <c r="AU286" s="769" t="str">
        <f t="shared" si="55"/>
        <v/>
      </c>
      <c r="AV286" s="775">
        <f t="shared" si="56"/>
        <v>0</v>
      </c>
    </row>
    <row r="287" spans="7:48" ht="15" customHeight="1" outlineLevel="1" x14ac:dyDescent="0.25">
      <c r="G287" s="421"/>
      <c r="H287" s="421"/>
      <c r="I287" s="769"/>
      <c r="J287" s="769"/>
      <c r="K287" s="769">
        <f t="shared" si="46"/>
        <v>0</v>
      </c>
      <c r="L287" s="769">
        <f t="shared" si="47"/>
        <v>0</v>
      </c>
      <c r="M287" s="769"/>
      <c r="N287" s="769"/>
      <c r="O287" s="769"/>
      <c r="P287" s="769"/>
      <c r="Q287" s="769"/>
      <c r="R287" s="769"/>
      <c r="U287" s="770"/>
      <c r="V287" s="771">
        <f t="shared" si="48"/>
        <v>0</v>
      </c>
      <c r="W287" s="771">
        <f t="shared" si="49"/>
        <v>0</v>
      </c>
      <c r="X287" t="str">
        <f t="shared" si="50"/>
        <v/>
      </c>
      <c r="Y287" t="str">
        <f t="shared" si="51"/>
        <v/>
      </c>
      <c r="AA287" s="769">
        <f t="shared" si="52"/>
        <v>0</v>
      </c>
      <c r="AB287" s="772">
        <f t="shared" si="53"/>
        <v>0</v>
      </c>
      <c r="AC287" s="769"/>
      <c r="AD287" s="421"/>
      <c r="AE287" s="769"/>
      <c r="AF287" s="769"/>
      <c r="AG287" s="769"/>
      <c r="AH287" s="769"/>
      <c r="AI287" s="769"/>
      <c r="AJ287" s="769"/>
      <c r="AK287" s="769"/>
      <c r="AL287" s="769"/>
      <c r="AM287" s="769"/>
      <c r="AN287" s="769"/>
      <c r="AO287" s="773"/>
      <c r="AP287" s="774">
        <f t="shared" si="54"/>
        <v>0</v>
      </c>
      <c r="AQ287" s="439"/>
      <c r="AS287" s="771"/>
      <c r="AT287" t="str">
        <f t="array" ref="AT287">IF(E287&lt;&gt;"Occupied","",_xlfn.IFS(AND(ISNUMBER(AC287),AC287&lt;&gt;0),"Structured",ISNUMBER(SEARCH("/mo con",T287)),"Notes-parsed",ISNUMBER(SEARCH("step",T287)),"Step-up",ISNUMBER(SEARCH("swap",T287)),"Rate-swap",AND(ISNUMBER(I287),ISNUMBER(J287),I287&gt;J287),"Implied",TRUE(),""))</f>
        <v/>
      </c>
      <c r="AU287" s="769" t="str">
        <f t="shared" si="55"/>
        <v/>
      </c>
      <c r="AV287" s="775">
        <f t="shared" si="56"/>
        <v>0</v>
      </c>
    </row>
    <row r="288" spans="7:48" ht="15" customHeight="1" outlineLevel="1" x14ac:dyDescent="0.25">
      <c r="G288" s="421"/>
      <c r="H288" s="421"/>
      <c r="I288" s="769"/>
      <c r="J288" s="769"/>
      <c r="K288" s="769">
        <f t="shared" ref="K288:K351" si="57">N(IFERROR(IF(A288="","",N(AE288)+N(AF288)+N(AG288)+N(AH288)),0))</f>
        <v>0</v>
      </c>
      <c r="L288" s="769">
        <f t="shared" ref="L288:L351" si="58">N(IFERROR(IF(A288="","",N(J288)+N(K288)),0))</f>
        <v>0</v>
      </c>
      <c r="M288" s="769"/>
      <c r="N288" s="769"/>
      <c r="O288" s="769"/>
      <c r="P288" s="769"/>
      <c r="Q288" s="769"/>
      <c r="R288" s="769"/>
      <c r="U288" s="770"/>
      <c r="V288" s="771">
        <f t="shared" ref="V288:V351" si="59">N(IFERROR(IF(OR(A288="",U288="",U288=0,J288=""),"",J288/U288),""))</f>
        <v>0</v>
      </c>
      <c r="W288" s="771">
        <f t="shared" ref="W288:W351" si="60">N(IFERROR(IF(V288="","",V288*12),""))</f>
        <v>0</v>
      </c>
      <c r="X288" t="str">
        <f t="shared" ref="X288:X351" si="61">IF(AND(E288&lt;&gt;"",E288&lt;&gt;"Vacant",E288&lt;&gt;"Reserved",C288&lt;&gt;"",D288&lt;&gt;""),C288&amp;"|"&amp;D288,"")</f>
        <v/>
      </c>
      <c r="Y288" t="str">
        <f t="shared" ref="Y288:Y351" si="62">IF(AND(C288&lt;&gt;"",D288&lt;&gt;""),C288&amp;"|"&amp;D288,"")</f>
        <v/>
      </c>
      <c r="AA288" s="769">
        <f t="shared" ref="AA288:AA351" si="63">N(IFERROR(IF(OR(A288="",I288="",J288=""),"",I288-J288),""))</f>
        <v>0</v>
      </c>
      <c r="AB288" s="772">
        <f t="shared" ref="AB288:AB351" si="64">N(IFERROR(IF(OR(AA288="",I288=0,I288=""),"",AA288/I288),""))</f>
        <v>0</v>
      </c>
      <c r="AC288" s="769"/>
      <c r="AD288" s="421"/>
      <c r="AE288" s="769"/>
      <c r="AF288" s="769"/>
      <c r="AG288" s="769"/>
      <c r="AH288" s="769"/>
      <c r="AI288" s="769"/>
      <c r="AJ288" s="769"/>
      <c r="AK288" s="769"/>
      <c r="AL288" s="769"/>
      <c r="AM288" s="769"/>
      <c r="AN288" s="769"/>
      <c r="AO288" s="773"/>
      <c r="AP288" s="774">
        <f t="shared" ref="AP288:AP351" si="65">SUM(AJ288:AN288)</f>
        <v>0</v>
      </c>
      <c r="AQ288" s="439"/>
      <c r="AS288" s="771"/>
      <c r="AT288" t="str">
        <f t="array" ref="AT288">IF(E288&lt;&gt;"Occupied","",_xlfn.IFS(AND(ISNUMBER(AC288),AC288&lt;&gt;0),"Structured",ISNUMBER(SEARCH("/mo con",T288)),"Notes-parsed",ISNUMBER(SEARCH("step",T288)),"Step-up",ISNUMBER(SEARCH("swap",T288)),"Rate-swap",AND(ISNUMBER(I288),ISNUMBER(J288),I288&gt;J288),"Implied",TRUE(),""))</f>
        <v/>
      </c>
      <c r="AU288" s="769" t="str">
        <f t="shared" ref="AU288:AU351" si="66">IF(AC288&lt;&gt;"",AC288,IF(AT288="Implied",-(I288-J288),IF(OR(AT288="Step-up",AT288="Rate-swap"),"see notes","")))</f>
        <v/>
      </c>
      <c r="AV288" s="775">
        <f t="shared" ref="AV288:AV351" si="67">N(IF($E288&lt;&gt;"Occupied","",$J288-IFERROR($AC288*(IF(AND(ISNUMBER($G288),ISNUMBER($AD288),$AD288&gt;$G288),(YEAR($AD288)-YEAR($G288))*12+MONTH($AD288)-MONTH($G288),$AC$174))/$AC$174,0)))</f>
        <v>0</v>
      </c>
    </row>
    <row r="289" spans="7:48" ht="15" customHeight="1" outlineLevel="1" x14ac:dyDescent="0.25">
      <c r="G289" s="421"/>
      <c r="H289" s="421"/>
      <c r="I289" s="769"/>
      <c r="J289" s="769"/>
      <c r="K289" s="769">
        <f t="shared" si="57"/>
        <v>0</v>
      </c>
      <c r="L289" s="769">
        <f t="shared" si="58"/>
        <v>0</v>
      </c>
      <c r="M289" s="769"/>
      <c r="N289" s="769"/>
      <c r="O289" s="769"/>
      <c r="P289" s="769"/>
      <c r="Q289" s="769"/>
      <c r="R289" s="769"/>
      <c r="U289" s="770"/>
      <c r="V289" s="771">
        <f t="shared" si="59"/>
        <v>0</v>
      </c>
      <c r="W289" s="771">
        <f t="shared" si="60"/>
        <v>0</v>
      </c>
      <c r="X289" t="str">
        <f t="shared" si="61"/>
        <v/>
      </c>
      <c r="Y289" t="str">
        <f t="shared" si="62"/>
        <v/>
      </c>
      <c r="AA289" s="769">
        <f t="shared" si="63"/>
        <v>0</v>
      </c>
      <c r="AB289" s="772">
        <f t="shared" si="64"/>
        <v>0</v>
      </c>
      <c r="AC289" s="769"/>
      <c r="AD289" s="421"/>
      <c r="AE289" s="769"/>
      <c r="AF289" s="769"/>
      <c r="AG289" s="769"/>
      <c r="AH289" s="769"/>
      <c r="AI289" s="769"/>
      <c r="AJ289" s="769"/>
      <c r="AK289" s="769"/>
      <c r="AL289" s="769"/>
      <c r="AM289" s="769"/>
      <c r="AN289" s="769"/>
      <c r="AO289" s="773"/>
      <c r="AP289" s="774">
        <f t="shared" si="65"/>
        <v>0</v>
      </c>
      <c r="AQ289" s="439"/>
      <c r="AS289" s="771"/>
      <c r="AT289" t="str">
        <f t="array" ref="AT289">IF(E289&lt;&gt;"Occupied","",_xlfn.IFS(AND(ISNUMBER(AC289),AC289&lt;&gt;0),"Structured",ISNUMBER(SEARCH("/mo con",T289)),"Notes-parsed",ISNUMBER(SEARCH("step",T289)),"Step-up",ISNUMBER(SEARCH("swap",T289)),"Rate-swap",AND(ISNUMBER(I289),ISNUMBER(J289),I289&gt;J289),"Implied",TRUE(),""))</f>
        <v/>
      </c>
      <c r="AU289" s="769" t="str">
        <f t="shared" si="66"/>
        <v/>
      </c>
      <c r="AV289" s="775">
        <f t="shared" si="67"/>
        <v>0</v>
      </c>
    </row>
    <row r="290" spans="7:48" ht="15" customHeight="1" outlineLevel="1" x14ac:dyDescent="0.25">
      <c r="G290" s="421"/>
      <c r="H290" s="421"/>
      <c r="I290" s="769"/>
      <c r="J290" s="769"/>
      <c r="K290" s="769">
        <f t="shared" si="57"/>
        <v>0</v>
      </c>
      <c r="L290" s="769">
        <f t="shared" si="58"/>
        <v>0</v>
      </c>
      <c r="M290" s="769"/>
      <c r="N290" s="769"/>
      <c r="O290" s="769"/>
      <c r="P290" s="769"/>
      <c r="Q290" s="769"/>
      <c r="R290" s="769"/>
      <c r="U290" s="770"/>
      <c r="V290" s="771">
        <f t="shared" si="59"/>
        <v>0</v>
      </c>
      <c r="W290" s="771">
        <f t="shared" si="60"/>
        <v>0</v>
      </c>
      <c r="X290" t="str">
        <f t="shared" si="61"/>
        <v/>
      </c>
      <c r="Y290" t="str">
        <f t="shared" si="62"/>
        <v/>
      </c>
      <c r="AA290" s="769">
        <f t="shared" si="63"/>
        <v>0</v>
      </c>
      <c r="AB290" s="772">
        <f t="shared" si="64"/>
        <v>0</v>
      </c>
      <c r="AC290" s="769"/>
      <c r="AD290" s="421"/>
      <c r="AE290" s="769"/>
      <c r="AF290" s="769"/>
      <c r="AG290" s="769"/>
      <c r="AH290" s="769"/>
      <c r="AI290" s="769"/>
      <c r="AJ290" s="769"/>
      <c r="AK290" s="769"/>
      <c r="AL290" s="769"/>
      <c r="AM290" s="769"/>
      <c r="AN290" s="769"/>
      <c r="AO290" s="773"/>
      <c r="AP290" s="774">
        <f t="shared" si="65"/>
        <v>0</v>
      </c>
      <c r="AQ290" s="439"/>
      <c r="AS290" s="771"/>
      <c r="AT290" t="str">
        <f t="array" ref="AT290">IF(E290&lt;&gt;"Occupied","",_xlfn.IFS(AND(ISNUMBER(AC290),AC290&lt;&gt;0),"Structured",ISNUMBER(SEARCH("/mo con",T290)),"Notes-parsed",ISNUMBER(SEARCH("step",T290)),"Step-up",ISNUMBER(SEARCH("swap",T290)),"Rate-swap",AND(ISNUMBER(I290),ISNUMBER(J290),I290&gt;J290),"Implied",TRUE(),""))</f>
        <v/>
      </c>
      <c r="AU290" s="769" t="str">
        <f t="shared" si="66"/>
        <v/>
      </c>
      <c r="AV290" s="775">
        <f t="shared" si="67"/>
        <v>0</v>
      </c>
    </row>
    <row r="291" spans="7:48" ht="15" customHeight="1" outlineLevel="1" x14ac:dyDescent="0.25">
      <c r="G291" s="421"/>
      <c r="H291" s="421"/>
      <c r="I291" s="769"/>
      <c r="J291" s="769"/>
      <c r="K291" s="769">
        <f t="shared" si="57"/>
        <v>0</v>
      </c>
      <c r="L291" s="769">
        <f t="shared" si="58"/>
        <v>0</v>
      </c>
      <c r="M291" s="769"/>
      <c r="N291" s="769"/>
      <c r="O291" s="769"/>
      <c r="P291" s="769"/>
      <c r="Q291" s="769"/>
      <c r="R291" s="769"/>
      <c r="U291" s="770"/>
      <c r="V291" s="771">
        <f t="shared" si="59"/>
        <v>0</v>
      </c>
      <c r="W291" s="771">
        <f t="shared" si="60"/>
        <v>0</v>
      </c>
      <c r="X291" t="str">
        <f t="shared" si="61"/>
        <v/>
      </c>
      <c r="Y291" t="str">
        <f t="shared" si="62"/>
        <v/>
      </c>
      <c r="AA291" s="769">
        <f t="shared" si="63"/>
        <v>0</v>
      </c>
      <c r="AB291" s="772">
        <f t="shared" si="64"/>
        <v>0</v>
      </c>
      <c r="AC291" s="769"/>
      <c r="AD291" s="421"/>
      <c r="AE291" s="769"/>
      <c r="AF291" s="769"/>
      <c r="AG291" s="769"/>
      <c r="AH291" s="769"/>
      <c r="AI291" s="769"/>
      <c r="AJ291" s="769"/>
      <c r="AK291" s="769"/>
      <c r="AL291" s="769"/>
      <c r="AM291" s="769"/>
      <c r="AN291" s="769"/>
      <c r="AO291" s="773"/>
      <c r="AP291" s="774">
        <f t="shared" si="65"/>
        <v>0</v>
      </c>
      <c r="AQ291" s="439"/>
      <c r="AS291" s="771"/>
      <c r="AT291" t="str">
        <f t="array" ref="AT291">IF(E291&lt;&gt;"Occupied","",_xlfn.IFS(AND(ISNUMBER(AC291),AC291&lt;&gt;0),"Structured",ISNUMBER(SEARCH("/mo con",T291)),"Notes-parsed",ISNUMBER(SEARCH("step",T291)),"Step-up",ISNUMBER(SEARCH("swap",T291)),"Rate-swap",AND(ISNUMBER(I291),ISNUMBER(J291),I291&gt;J291),"Implied",TRUE(),""))</f>
        <v/>
      </c>
      <c r="AU291" s="769" t="str">
        <f t="shared" si="66"/>
        <v/>
      </c>
      <c r="AV291" s="775">
        <f t="shared" si="67"/>
        <v>0</v>
      </c>
    </row>
    <row r="292" spans="7:48" ht="15" customHeight="1" outlineLevel="1" x14ac:dyDescent="0.25">
      <c r="G292" s="421"/>
      <c r="H292" s="421"/>
      <c r="I292" s="769"/>
      <c r="J292" s="769"/>
      <c r="K292" s="769">
        <f t="shared" si="57"/>
        <v>0</v>
      </c>
      <c r="L292" s="769">
        <f t="shared" si="58"/>
        <v>0</v>
      </c>
      <c r="M292" s="769"/>
      <c r="N292" s="769"/>
      <c r="O292" s="769"/>
      <c r="P292" s="769"/>
      <c r="Q292" s="769"/>
      <c r="R292" s="769"/>
      <c r="U292" s="770"/>
      <c r="V292" s="771">
        <f t="shared" si="59"/>
        <v>0</v>
      </c>
      <c r="W292" s="771">
        <f t="shared" si="60"/>
        <v>0</v>
      </c>
      <c r="X292" t="str">
        <f t="shared" si="61"/>
        <v/>
      </c>
      <c r="Y292" t="str">
        <f t="shared" si="62"/>
        <v/>
      </c>
      <c r="AA292" s="769">
        <f t="shared" si="63"/>
        <v>0</v>
      </c>
      <c r="AB292" s="772">
        <f t="shared" si="64"/>
        <v>0</v>
      </c>
      <c r="AC292" s="769"/>
      <c r="AD292" s="421"/>
      <c r="AE292" s="769"/>
      <c r="AF292" s="769"/>
      <c r="AG292" s="769"/>
      <c r="AH292" s="769"/>
      <c r="AI292" s="769"/>
      <c r="AJ292" s="769"/>
      <c r="AK292" s="769"/>
      <c r="AL292" s="769"/>
      <c r="AM292" s="769"/>
      <c r="AN292" s="769"/>
      <c r="AO292" s="773"/>
      <c r="AP292" s="774">
        <f t="shared" si="65"/>
        <v>0</v>
      </c>
      <c r="AQ292" s="439"/>
      <c r="AS292" s="771"/>
      <c r="AT292" t="str">
        <f t="array" ref="AT292">IF(E292&lt;&gt;"Occupied","",_xlfn.IFS(AND(ISNUMBER(AC292),AC292&lt;&gt;0),"Structured",ISNUMBER(SEARCH("/mo con",T292)),"Notes-parsed",ISNUMBER(SEARCH("step",T292)),"Step-up",ISNUMBER(SEARCH("swap",T292)),"Rate-swap",AND(ISNUMBER(I292),ISNUMBER(J292),I292&gt;J292),"Implied",TRUE(),""))</f>
        <v/>
      </c>
      <c r="AU292" s="769" t="str">
        <f t="shared" si="66"/>
        <v/>
      </c>
      <c r="AV292" s="775">
        <f t="shared" si="67"/>
        <v>0</v>
      </c>
    </row>
    <row r="293" spans="7:48" ht="15" customHeight="1" outlineLevel="1" x14ac:dyDescent="0.25">
      <c r="G293" s="421"/>
      <c r="H293" s="421"/>
      <c r="I293" s="769"/>
      <c r="J293" s="769"/>
      <c r="K293" s="769">
        <f t="shared" si="57"/>
        <v>0</v>
      </c>
      <c r="L293" s="769">
        <f t="shared" si="58"/>
        <v>0</v>
      </c>
      <c r="M293" s="769"/>
      <c r="N293" s="769"/>
      <c r="O293" s="769"/>
      <c r="P293" s="769"/>
      <c r="Q293" s="769"/>
      <c r="R293" s="769"/>
      <c r="U293" s="770"/>
      <c r="V293" s="771">
        <f t="shared" si="59"/>
        <v>0</v>
      </c>
      <c r="W293" s="771">
        <f t="shared" si="60"/>
        <v>0</v>
      </c>
      <c r="X293" t="str">
        <f t="shared" si="61"/>
        <v/>
      </c>
      <c r="Y293" t="str">
        <f t="shared" si="62"/>
        <v/>
      </c>
      <c r="AA293" s="769">
        <f t="shared" si="63"/>
        <v>0</v>
      </c>
      <c r="AB293" s="772">
        <f t="shared" si="64"/>
        <v>0</v>
      </c>
      <c r="AC293" s="769"/>
      <c r="AD293" s="421"/>
      <c r="AE293" s="769"/>
      <c r="AF293" s="769"/>
      <c r="AG293" s="769"/>
      <c r="AH293" s="769"/>
      <c r="AI293" s="769"/>
      <c r="AJ293" s="769"/>
      <c r="AK293" s="769"/>
      <c r="AL293" s="769"/>
      <c r="AM293" s="769"/>
      <c r="AN293" s="769"/>
      <c r="AO293" s="773"/>
      <c r="AP293" s="774">
        <f t="shared" si="65"/>
        <v>0</v>
      </c>
      <c r="AQ293" s="439"/>
      <c r="AS293" s="771"/>
      <c r="AT293" t="str">
        <f t="array" ref="AT293">IF(E293&lt;&gt;"Occupied","",_xlfn.IFS(AND(ISNUMBER(AC293),AC293&lt;&gt;0),"Structured",ISNUMBER(SEARCH("/mo con",T293)),"Notes-parsed",ISNUMBER(SEARCH("step",T293)),"Step-up",ISNUMBER(SEARCH("swap",T293)),"Rate-swap",AND(ISNUMBER(I293),ISNUMBER(J293),I293&gt;J293),"Implied",TRUE(),""))</f>
        <v/>
      </c>
      <c r="AU293" s="769" t="str">
        <f t="shared" si="66"/>
        <v/>
      </c>
      <c r="AV293" s="775">
        <f t="shared" si="67"/>
        <v>0</v>
      </c>
    </row>
    <row r="294" spans="7:48" ht="15" customHeight="1" outlineLevel="1" x14ac:dyDescent="0.25">
      <c r="G294" s="421"/>
      <c r="H294" s="421"/>
      <c r="I294" s="769"/>
      <c r="J294" s="769"/>
      <c r="K294" s="769">
        <f t="shared" si="57"/>
        <v>0</v>
      </c>
      <c r="L294" s="769">
        <f t="shared" si="58"/>
        <v>0</v>
      </c>
      <c r="M294" s="769"/>
      <c r="N294" s="769"/>
      <c r="O294" s="769"/>
      <c r="P294" s="769"/>
      <c r="Q294" s="769"/>
      <c r="R294" s="769"/>
      <c r="U294" s="770"/>
      <c r="V294" s="771">
        <f t="shared" si="59"/>
        <v>0</v>
      </c>
      <c r="W294" s="771">
        <f t="shared" si="60"/>
        <v>0</v>
      </c>
      <c r="X294" t="str">
        <f t="shared" si="61"/>
        <v/>
      </c>
      <c r="Y294" t="str">
        <f t="shared" si="62"/>
        <v/>
      </c>
      <c r="AA294" s="769">
        <f t="shared" si="63"/>
        <v>0</v>
      </c>
      <c r="AB294" s="772">
        <f t="shared" si="64"/>
        <v>0</v>
      </c>
      <c r="AC294" s="769"/>
      <c r="AD294" s="421"/>
      <c r="AE294" s="769"/>
      <c r="AF294" s="769"/>
      <c r="AG294" s="769"/>
      <c r="AH294" s="769"/>
      <c r="AI294" s="769"/>
      <c r="AJ294" s="769"/>
      <c r="AK294" s="769"/>
      <c r="AL294" s="769"/>
      <c r="AM294" s="769"/>
      <c r="AN294" s="769"/>
      <c r="AO294" s="773"/>
      <c r="AP294" s="774">
        <f t="shared" si="65"/>
        <v>0</v>
      </c>
      <c r="AQ294" s="439"/>
      <c r="AS294" s="771"/>
      <c r="AT294" t="str">
        <f t="array" ref="AT294">IF(E294&lt;&gt;"Occupied","",_xlfn.IFS(AND(ISNUMBER(AC294),AC294&lt;&gt;0),"Structured",ISNUMBER(SEARCH("/mo con",T294)),"Notes-parsed",ISNUMBER(SEARCH("step",T294)),"Step-up",ISNUMBER(SEARCH("swap",T294)),"Rate-swap",AND(ISNUMBER(I294),ISNUMBER(J294),I294&gt;J294),"Implied",TRUE(),""))</f>
        <v/>
      </c>
      <c r="AU294" s="769" t="str">
        <f t="shared" si="66"/>
        <v/>
      </c>
      <c r="AV294" s="775">
        <f t="shared" si="67"/>
        <v>0</v>
      </c>
    </row>
    <row r="295" spans="7:48" ht="15" customHeight="1" outlineLevel="1" x14ac:dyDescent="0.25">
      <c r="G295" s="421"/>
      <c r="H295" s="421"/>
      <c r="I295" s="769"/>
      <c r="J295" s="769"/>
      <c r="K295" s="769">
        <f t="shared" si="57"/>
        <v>0</v>
      </c>
      <c r="L295" s="769">
        <f t="shared" si="58"/>
        <v>0</v>
      </c>
      <c r="M295" s="769"/>
      <c r="N295" s="769"/>
      <c r="O295" s="769"/>
      <c r="P295" s="769"/>
      <c r="Q295" s="769"/>
      <c r="R295" s="769"/>
      <c r="U295" s="770"/>
      <c r="V295" s="771">
        <f t="shared" si="59"/>
        <v>0</v>
      </c>
      <c r="W295" s="771">
        <f t="shared" si="60"/>
        <v>0</v>
      </c>
      <c r="X295" t="str">
        <f t="shared" si="61"/>
        <v/>
      </c>
      <c r="Y295" t="str">
        <f t="shared" si="62"/>
        <v/>
      </c>
      <c r="AA295" s="769">
        <f t="shared" si="63"/>
        <v>0</v>
      </c>
      <c r="AB295" s="772">
        <f t="shared" si="64"/>
        <v>0</v>
      </c>
      <c r="AC295" s="769"/>
      <c r="AD295" s="421"/>
      <c r="AE295" s="769"/>
      <c r="AF295" s="769"/>
      <c r="AG295" s="769"/>
      <c r="AH295" s="769"/>
      <c r="AI295" s="769"/>
      <c r="AJ295" s="769"/>
      <c r="AK295" s="769"/>
      <c r="AL295" s="769"/>
      <c r="AM295" s="769"/>
      <c r="AN295" s="769"/>
      <c r="AO295" s="773"/>
      <c r="AP295" s="774">
        <f t="shared" si="65"/>
        <v>0</v>
      </c>
      <c r="AQ295" s="439"/>
      <c r="AS295" s="771"/>
      <c r="AT295" t="str">
        <f t="array" ref="AT295">IF(E295&lt;&gt;"Occupied","",_xlfn.IFS(AND(ISNUMBER(AC295),AC295&lt;&gt;0),"Structured",ISNUMBER(SEARCH("/mo con",T295)),"Notes-parsed",ISNUMBER(SEARCH("step",T295)),"Step-up",ISNUMBER(SEARCH("swap",T295)),"Rate-swap",AND(ISNUMBER(I295),ISNUMBER(J295),I295&gt;J295),"Implied",TRUE(),""))</f>
        <v/>
      </c>
      <c r="AU295" s="769" t="str">
        <f t="shared" si="66"/>
        <v/>
      </c>
      <c r="AV295" s="775">
        <f t="shared" si="67"/>
        <v>0</v>
      </c>
    </row>
    <row r="296" spans="7:48" ht="15" customHeight="1" outlineLevel="1" x14ac:dyDescent="0.25">
      <c r="G296" s="421"/>
      <c r="H296" s="421"/>
      <c r="I296" s="769"/>
      <c r="J296" s="769"/>
      <c r="K296" s="769">
        <f t="shared" si="57"/>
        <v>0</v>
      </c>
      <c r="L296" s="769">
        <f t="shared" si="58"/>
        <v>0</v>
      </c>
      <c r="M296" s="769"/>
      <c r="N296" s="769"/>
      <c r="O296" s="769"/>
      <c r="P296" s="769"/>
      <c r="Q296" s="769"/>
      <c r="R296" s="769"/>
      <c r="U296" s="770"/>
      <c r="V296" s="771">
        <f t="shared" si="59"/>
        <v>0</v>
      </c>
      <c r="W296" s="771">
        <f t="shared" si="60"/>
        <v>0</v>
      </c>
      <c r="X296" t="str">
        <f t="shared" si="61"/>
        <v/>
      </c>
      <c r="Y296" t="str">
        <f t="shared" si="62"/>
        <v/>
      </c>
      <c r="AA296" s="769">
        <f t="shared" si="63"/>
        <v>0</v>
      </c>
      <c r="AB296" s="772">
        <f t="shared" si="64"/>
        <v>0</v>
      </c>
      <c r="AC296" s="769"/>
      <c r="AD296" s="421"/>
      <c r="AE296" s="769"/>
      <c r="AF296" s="769"/>
      <c r="AG296" s="769"/>
      <c r="AH296" s="769"/>
      <c r="AI296" s="769"/>
      <c r="AJ296" s="769"/>
      <c r="AK296" s="769"/>
      <c r="AL296" s="769"/>
      <c r="AM296" s="769"/>
      <c r="AN296" s="769"/>
      <c r="AO296" s="773"/>
      <c r="AP296" s="774">
        <f t="shared" si="65"/>
        <v>0</v>
      </c>
      <c r="AQ296" s="439"/>
      <c r="AS296" s="771"/>
      <c r="AT296" t="str">
        <f t="array" ref="AT296">IF(E296&lt;&gt;"Occupied","",_xlfn.IFS(AND(ISNUMBER(AC296),AC296&lt;&gt;0),"Structured",ISNUMBER(SEARCH("/mo con",T296)),"Notes-parsed",ISNUMBER(SEARCH("step",T296)),"Step-up",ISNUMBER(SEARCH("swap",T296)),"Rate-swap",AND(ISNUMBER(I296),ISNUMBER(J296),I296&gt;J296),"Implied",TRUE(),""))</f>
        <v/>
      </c>
      <c r="AU296" s="769" t="str">
        <f t="shared" si="66"/>
        <v/>
      </c>
      <c r="AV296" s="775">
        <f t="shared" si="67"/>
        <v>0</v>
      </c>
    </row>
    <row r="297" spans="7:48" ht="15" customHeight="1" outlineLevel="1" x14ac:dyDescent="0.25">
      <c r="G297" s="421"/>
      <c r="H297" s="421"/>
      <c r="I297" s="769"/>
      <c r="J297" s="769"/>
      <c r="K297" s="769">
        <f t="shared" si="57"/>
        <v>0</v>
      </c>
      <c r="L297" s="769">
        <f t="shared" si="58"/>
        <v>0</v>
      </c>
      <c r="M297" s="769"/>
      <c r="N297" s="769"/>
      <c r="O297" s="769"/>
      <c r="P297" s="769"/>
      <c r="Q297" s="769"/>
      <c r="R297" s="769"/>
      <c r="U297" s="770"/>
      <c r="V297" s="771">
        <f t="shared" si="59"/>
        <v>0</v>
      </c>
      <c r="W297" s="771">
        <f t="shared" si="60"/>
        <v>0</v>
      </c>
      <c r="X297" t="str">
        <f t="shared" si="61"/>
        <v/>
      </c>
      <c r="Y297" t="str">
        <f t="shared" si="62"/>
        <v/>
      </c>
      <c r="AA297" s="769">
        <f t="shared" si="63"/>
        <v>0</v>
      </c>
      <c r="AB297" s="772">
        <f t="shared" si="64"/>
        <v>0</v>
      </c>
      <c r="AC297" s="769"/>
      <c r="AD297" s="421"/>
      <c r="AE297" s="769"/>
      <c r="AF297" s="769"/>
      <c r="AG297" s="769"/>
      <c r="AH297" s="769"/>
      <c r="AI297" s="769"/>
      <c r="AJ297" s="769"/>
      <c r="AK297" s="769"/>
      <c r="AL297" s="769"/>
      <c r="AM297" s="769"/>
      <c r="AN297" s="769"/>
      <c r="AO297" s="773"/>
      <c r="AP297" s="774">
        <f t="shared" si="65"/>
        <v>0</v>
      </c>
      <c r="AQ297" s="439"/>
      <c r="AS297" s="771"/>
      <c r="AT297" t="str">
        <f t="array" ref="AT297">IF(E297&lt;&gt;"Occupied","",_xlfn.IFS(AND(ISNUMBER(AC297),AC297&lt;&gt;0),"Structured",ISNUMBER(SEARCH("/mo con",T297)),"Notes-parsed",ISNUMBER(SEARCH("step",T297)),"Step-up",ISNUMBER(SEARCH("swap",T297)),"Rate-swap",AND(ISNUMBER(I297),ISNUMBER(J297),I297&gt;J297),"Implied",TRUE(),""))</f>
        <v/>
      </c>
      <c r="AU297" s="769" t="str">
        <f t="shared" si="66"/>
        <v/>
      </c>
      <c r="AV297" s="775">
        <f t="shared" si="67"/>
        <v>0</v>
      </c>
    </row>
    <row r="298" spans="7:48" ht="15" customHeight="1" outlineLevel="1" x14ac:dyDescent="0.25">
      <c r="G298" s="421"/>
      <c r="H298" s="421"/>
      <c r="I298" s="769"/>
      <c r="J298" s="769"/>
      <c r="K298" s="769">
        <f t="shared" si="57"/>
        <v>0</v>
      </c>
      <c r="L298" s="769">
        <f t="shared" si="58"/>
        <v>0</v>
      </c>
      <c r="M298" s="769"/>
      <c r="N298" s="769"/>
      <c r="O298" s="769"/>
      <c r="P298" s="769"/>
      <c r="Q298" s="769"/>
      <c r="R298" s="769"/>
      <c r="U298" s="770"/>
      <c r="V298" s="771">
        <f t="shared" si="59"/>
        <v>0</v>
      </c>
      <c r="W298" s="771">
        <f t="shared" si="60"/>
        <v>0</v>
      </c>
      <c r="X298" t="str">
        <f t="shared" si="61"/>
        <v/>
      </c>
      <c r="Y298" t="str">
        <f t="shared" si="62"/>
        <v/>
      </c>
      <c r="AA298" s="769">
        <f t="shared" si="63"/>
        <v>0</v>
      </c>
      <c r="AB298" s="772">
        <f t="shared" si="64"/>
        <v>0</v>
      </c>
      <c r="AC298" s="769"/>
      <c r="AD298" s="421"/>
      <c r="AE298" s="769"/>
      <c r="AF298" s="769"/>
      <c r="AG298" s="769"/>
      <c r="AH298" s="769"/>
      <c r="AI298" s="769"/>
      <c r="AJ298" s="769"/>
      <c r="AK298" s="769"/>
      <c r="AL298" s="769"/>
      <c r="AM298" s="769"/>
      <c r="AN298" s="769"/>
      <c r="AO298" s="773"/>
      <c r="AP298" s="774">
        <f t="shared" si="65"/>
        <v>0</v>
      </c>
      <c r="AQ298" s="439"/>
      <c r="AS298" s="771"/>
      <c r="AT298" t="str">
        <f t="array" ref="AT298">IF(E298&lt;&gt;"Occupied","",_xlfn.IFS(AND(ISNUMBER(AC298),AC298&lt;&gt;0),"Structured",ISNUMBER(SEARCH("/mo con",T298)),"Notes-parsed",ISNUMBER(SEARCH("step",T298)),"Step-up",ISNUMBER(SEARCH("swap",T298)),"Rate-swap",AND(ISNUMBER(I298),ISNUMBER(J298),I298&gt;J298),"Implied",TRUE(),""))</f>
        <v/>
      </c>
      <c r="AU298" s="769" t="str">
        <f t="shared" si="66"/>
        <v/>
      </c>
      <c r="AV298" s="775">
        <f t="shared" si="67"/>
        <v>0</v>
      </c>
    </row>
    <row r="299" spans="7:48" ht="15" customHeight="1" outlineLevel="1" x14ac:dyDescent="0.25">
      <c r="G299" s="421"/>
      <c r="H299" s="421"/>
      <c r="I299" s="769"/>
      <c r="J299" s="769"/>
      <c r="K299" s="769">
        <f t="shared" si="57"/>
        <v>0</v>
      </c>
      <c r="L299" s="769">
        <f t="shared" si="58"/>
        <v>0</v>
      </c>
      <c r="M299" s="769"/>
      <c r="N299" s="769"/>
      <c r="O299" s="769"/>
      <c r="P299" s="769"/>
      <c r="Q299" s="769"/>
      <c r="R299" s="769"/>
      <c r="U299" s="770"/>
      <c r="V299" s="771">
        <f t="shared" si="59"/>
        <v>0</v>
      </c>
      <c r="W299" s="771">
        <f t="shared" si="60"/>
        <v>0</v>
      </c>
      <c r="X299" t="str">
        <f t="shared" si="61"/>
        <v/>
      </c>
      <c r="Y299" t="str">
        <f t="shared" si="62"/>
        <v/>
      </c>
      <c r="AA299" s="769">
        <f t="shared" si="63"/>
        <v>0</v>
      </c>
      <c r="AB299" s="772">
        <f t="shared" si="64"/>
        <v>0</v>
      </c>
      <c r="AC299" s="769"/>
      <c r="AD299" s="421"/>
      <c r="AE299" s="769"/>
      <c r="AF299" s="769"/>
      <c r="AG299" s="769"/>
      <c r="AH299" s="769"/>
      <c r="AI299" s="769"/>
      <c r="AJ299" s="769"/>
      <c r="AK299" s="769"/>
      <c r="AL299" s="769"/>
      <c r="AM299" s="769"/>
      <c r="AN299" s="769"/>
      <c r="AO299" s="773"/>
      <c r="AP299" s="774">
        <f t="shared" si="65"/>
        <v>0</v>
      </c>
      <c r="AQ299" s="439"/>
      <c r="AS299" s="771"/>
      <c r="AT299" t="str">
        <f t="array" ref="AT299">IF(E299&lt;&gt;"Occupied","",_xlfn.IFS(AND(ISNUMBER(AC299),AC299&lt;&gt;0),"Structured",ISNUMBER(SEARCH("/mo con",T299)),"Notes-parsed",ISNUMBER(SEARCH("step",T299)),"Step-up",ISNUMBER(SEARCH("swap",T299)),"Rate-swap",AND(ISNUMBER(I299),ISNUMBER(J299),I299&gt;J299),"Implied",TRUE(),""))</f>
        <v/>
      </c>
      <c r="AU299" s="769" t="str">
        <f t="shared" si="66"/>
        <v/>
      </c>
      <c r="AV299" s="775">
        <f t="shared" si="67"/>
        <v>0</v>
      </c>
    </row>
    <row r="300" spans="7:48" ht="15" customHeight="1" outlineLevel="1" x14ac:dyDescent="0.25">
      <c r="G300" s="421"/>
      <c r="H300" s="421"/>
      <c r="I300" s="769"/>
      <c r="J300" s="769"/>
      <c r="K300" s="769">
        <f t="shared" si="57"/>
        <v>0</v>
      </c>
      <c r="L300" s="769">
        <f t="shared" si="58"/>
        <v>0</v>
      </c>
      <c r="M300" s="769"/>
      <c r="N300" s="769"/>
      <c r="O300" s="769"/>
      <c r="P300" s="769"/>
      <c r="Q300" s="769"/>
      <c r="R300" s="769"/>
      <c r="U300" s="770"/>
      <c r="V300" s="771">
        <f t="shared" si="59"/>
        <v>0</v>
      </c>
      <c r="W300" s="771">
        <f t="shared" si="60"/>
        <v>0</v>
      </c>
      <c r="X300" t="str">
        <f t="shared" si="61"/>
        <v/>
      </c>
      <c r="Y300" t="str">
        <f t="shared" si="62"/>
        <v/>
      </c>
      <c r="AA300" s="769">
        <f t="shared" si="63"/>
        <v>0</v>
      </c>
      <c r="AB300" s="772">
        <f t="shared" si="64"/>
        <v>0</v>
      </c>
      <c r="AC300" s="769"/>
      <c r="AD300" s="421"/>
      <c r="AE300" s="769"/>
      <c r="AF300" s="769"/>
      <c r="AG300" s="769"/>
      <c r="AH300" s="769"/>
      <c r="AI300" s="769"/>
      <c r="AJ300" s="769"/>
      <c r="AK300" s="769"/>
      <c r="AL300" s="769"/>
      <c r="AM300" s="769"/>
      <c r="AN300" s="769"/>
      <c r="AO300" s="773"/>
      <c r="AP300" s="774">
        <f t="shared" si="65"/>
        <v>0</v>
      </c>
      <c r="AQ300" s="439"/>
      <c r="AS300" s="771"/>
      <c r="AT300" t="str">
        <f t="array" ref="AT300">IF(E300&lt;&gt;"Occupied","",_xlfn.IFS(AND(ISNUMBER(AC300),AC300&lt;&gt;0),"Structured",ISNUMBER(SEARCH("/mo con",T300)),"Notes-parsed",ISNUMBER(SEARCH("step",T300)),"Step-up",ISNUMBER(SEARCH("swap",T300)),"Rate-swap",AND(ISNUMBER(I300),ISNUMBER(J300),I300&gt;J300),"Implied",TRUE(),""))</f>
        <v/>
      </c>
      <c r="AU300" s="769" t="str">
        <f t="shared" si="66"/>
        <v/>
      </c>
      <c r="AV300" s="775">
        <f t="shared" si="67"/>
        <v>0</v>
      </c>
    </row>
    <row r="301" spans="7:48" ht="15" customHeight="1" outlineLevel="1" x14ac:dyDescent="0.25">
      <c r="G301" s="421"/>
      <c r="H301" s="421"/>
      <c r="I301" s="769"/>
      <c r="J301" s="769"/>
      <c r="K301" s="769">
        <f t="shared" si="57"/>
        <v>0</v>
      </c>
      <c r="L301" s="769">
        <f t="shared" si="58"/>
        <v>0</v>
      </c>
      <c r="M301" s="769"/>
      <c r="N301" s="769"/>
      <c r="O301" s="769"/>
      <c r="P301" s="769"/>
      <c r="Q301" s="769"/>
      <c r="R301" s="769"/>
      <c r="U301" s="770"/>
      <c r="V301" s="771">
        <f t="shared" si="59"/>
        <v>0</v>
      </c>
      <c r="W301" s="771">
        <f t="shared" si="60"/>
        <v>0</v>
      </c>
      <c r="X301" t="str">
        <f t="shared" si="61"/>
        <v/>
      </c>
      <c r="Y301" t="str">
        <f t="shared" si="62"/>
        <v/>
      </c>
      <c r="AA301" s="769">
        <f t="shared" si="63"/>
        <v>0</v>
      </c>
      <c r="AB301" s="772">
        <f t="shared" si="64"/>
        <v>0</v>
      </c>
      <c r="AC301" s="769"/>
      <c r="AD301" s="421"/>
      <c r="AE301" s="769"/>
      <c r="AF301" s="769"/>
      <c r="AG301" s="769"/>
      <c r="AH301" s="769"/>
      <c r="AI301" s="769"/>
      <c r="AJ301" s="769"/>
      <c r="AK301" s="769"/>
      <c r="AL301" s="769"/>
      <c r="AM301" s="769"/>
      <c r="AN301" s="769"/>
      <c r="AO301" s="773"/>
      <c r="AP301" s="774">
        <f t="shared" si="65"/>
        <v>0</v>
      </c>
      <c r="AQ301" s="439"/>
      <c r="AS301" s="771"/>
      <c r="AT301" t="str">
        <f t="array" ref="AT301">IF(E301&lt;&gt;"Occupied","",_xlfn.IFS(AND(ISNUMBER(AC301),AC301&lt;&gt;0),"Structured",ISNUMBER(SEARCH("/mo con",T301)),"Notes-parsed",ISNUMBER(SEARCH("step",T301)),"Step-up",ISNUMBER(SEARCH("swap",T301)),"Rate-swap",AND(ISNUMBER(I301),ISNUMBER(J301),I301&gt;J301),"Implied",TRUE(),""))</f>
        <v/>
      </c>
      <c r="AU301" s="769" t="str">
        <f t="shared" si="66"/>
        <v/>
      </c>
      <c r="AV301" s="775">
        <f t="shared" si="67"/>
        <v>0</v>
      </c>
    </row>
    <row r="302" spans="7:48" ht="15" customHeight="1" outlineLevel="1" x14ac:dyDescent="0.25">
      <c r="G302" s="421"/>
      <c r="H302" s="421"/>
      <c r="I302" s="769"/>
      <c r="J302" s="769"/>
      <c r="K302" s="769">
        <f t="shared" si="57"/>
        <v>0</v>
      </c>
      <c r="L302" s="769">
        <f t="shared" si="58"/>
        <v>0</v>
      </c>
      <c r="M302" s="769"/>
      <c r="N302" s="769"/>
      <c r="O302" s="769"/>
      <c r="P302" s="769"/>
      <c r="Q302" s="769"/>
      <c r="R302" s="769"/>
      <c r="U302" s="770"/>
      <c r="V302" s="771">
        <f t="shared" si="59"/>
        <v>0</v>
      </c>
      <c r="W302" s="771">
        <f t="shared" si="60"/>
        <v>0</v>
      </c>
      <c r="X302" t="str">
        <f t="shared" si="61"/>
        <v/>
      </c>
      <c r="Y302" t="str">
        <f t="shared" si="62"/>
        <v/>
      </c>
      <c r="AA302" s="769">
        <f t="shared" si="63"/>
        <v>0</v>
      </c>
      <c r="AB302" s="772">
        <f t="shared" si="64"/>
        <v>0</v>
      </c>
      <c r="AC302" s="769"/>
      <c r="AD302" s="421"/>
      <c r="AE302" s="769"/>
      <c r="AF302" s="769"/>
      <c r="AG302" s="769"/>
      <c r="AH302" s="769"/>
      <c r="AI302" s="769"/>
      <c r="AJ302" s="769"/>
      <c r="AK302" s="769"/>
      <c r="AL302" s="769"/>
      <c r="AM302" s="769"/>
      <c r="AN302" s="769"/>
      <c r="AO302" s="773"/>
      <c r="AP302" s="774">
        <f t="shared" si="65"/>
        <v>0</v>
      </c>
      <c r="AQ302" s="439"/>
      <c r="AS302" s="771"/>
      <c r="AT302" t="str">
        <f t="array" ref="AT302">IF(E302&lt;&gt;"Occupied","",_xlfn.IFS(AND(ISNUMBER(AC302),AC302&lt;&gt;0),"Structured",ISNUMBER(SEARCH("/mo con",T302)),"Notes-parsed",ISNUMBER(SEARCH("step",T302)),"Step-up",ISNUMBER(SEARCH("swap",T302)),"Rate-swap",AND(ISNUMBER(I302),ISNUMBER(J302),I302&gt;J302),"Implied",TRUE(),""))</f>
        <v/>
      </c>
      <c r="AU302" s="769" t="str">
        <f t="shared" si="66"/>
        <v/>
      </c>
      <c r="AV302" s="775">
        <f t="shared" si="67"/>
        <v>0</v>
      </c>
    </row>
    <row r="303" spans="7:48" ht="15" customHeight="1" outlineLevel="1" x14ac:dyDescent="0.25">
      <c r="G303" s="421"/>
      <c r="H303" s="421"/>
      <c r="I303" s="769"/>
      <c r="J303" s="769"/>
      <c r="K303" s="769">
        <f t="shared" si="57"/>
        <v>0</v>
      </c>
      <c r="L303" s="769">
        <f t="shared" si="58"/>
        <v>0</v>
      </c>
      <c r="M303" s="769"/>
      <c r="N303" s="769"/>
      <c r="O303" s="769"/>
      <c r="P303" s="769"/>
      <c r="Q303" s="769"/>
      <c r="R303" s="769"/>
      <c r="U303" s="770"/>
      <c r="V303" s="771">
        <f t="shared" si="59"/>
        <v>0</v>
      </c>
      <c r="W303" s="771">
        <f t="shared" si="60"/>
        <v>0</v>
      </c>
      <c r="X303" t="str">
        <f t="shared" si="61"/>
        <v/>
      </c>
      <c r="Y303" t="str">
        <f t="shared" si="62"/>
        <v/>
      </c>
      <c r="AA303" s="769">
        <f t="shared" si="63"/>
        <v>0</v>
      </c>
      <c r="AB303" s="772">
        <f t="shared" si="64"/>
        <v>0</v>
      </c>
      <c r="AC303" s="769"/>
      <c r="AD303" s="421"/>
      <c r="AE303" s="769"/>
      <c r="AF303" s="769"/>
      <c r="AG303" s="769"/>
      <c r="AH303" s="769"/>
      <c r="AI303" s="769"/>
      <c r="AJ303" s="769"/>
      <c r="AK303" s="769"/>
      <c r="AL303" s="769"/>
      <c r="AM303" s="769"/>
      <c r="AN303" s="769"/>
      <c r="AO303" s="773"/>
      <c r="AP303" s="774">
        <f t="shared" si="65"/>
        <v>0</v>
      </c>
      <c r="AQ303" s="439"/>
      <c r="AS303" s="771"/>
      <c r="AT303" t="str">
        <f t="array" ref="AT303">IF(E303&lt;&gt;"Occupied","",_xlfn.IFS(AND(ISNUMBER(AC303),AC303&lt;&gt;0),"Structured",ISNUMBER(SEARCH("/mo con",T303)),"Notes-parsed",ISNUMBER(SEARCH("step",T303)),"Step-up",ISNUMBER(SEARCH("swap",T303)),"Rate-swap",AND(ISNUMBER(I303),ISNUMBER(J303),I303&gt;J303),"Implied",TRUE(),""))</f>
        <v/>
      </c>
      <c r="AU303" s="769" t="str">
        <f t="shared" si="66"/>
        <v/>
      </c>
      <c r="AV303" s="775">
        <f t="shared" si="67"/>
        <v>0</v>
      </c>
    </row>
    <row r="304" spans="7:48" ht="15" customHeight="1" outlineLevel="1" x14ac:dyDescent="0.25">
      <c r="G304" s="421"/>
      <c r="H304" s="421"/>
      <c r="I304" s="769"/>
      <c r="J304" s="769"/>
      <c r="K304" s="769">
        <f t="shared" si="57"/>
        <v>0</v>
      </c>
      <c r="L304" s="769">
        <f t="shared" si="58"/>
        <v>0</v>
      </c>
      <c r="M304" s="769"/>
      <c r="N304" s="769"/>
      <c r="O304" s="769"/>
      <c r="P304" s="769"/>
      <c r="Q304" s="769"/>
      <c r="R304" s="769"/>
      <c r="U304" s="770"/>
      <c r="V304" s="771">
        <f t="shared" si="59"/>
        <v>0</v>
      </c>
      <c r="W304" s="771">
        <f t="shared" si="60"/>
        <v>0</v>
      </c>
      <c r="X304" t="str">
        <f t="shared" si="61"/>
        <v/>
      </c>
      <c r="Y304" t="str">
        <f t="shared" si="62"/>
        <v/>
      </c>
      <c r="AA304" s="769">
        <f t="shared" si="63"/>
        <v>0</v>
      </c>
      <c r="AB304" s="772">
        <f t="shared" si="64"/>
        <v>0</v>
      </c>
      <c r="AC304" s="769"/>
      <c r="AD304" s="421"/>
      <c r="AE304" s="769"/>
      <c r="AF304" s="769"/>
      <c r="AG304" s="769"/>
      <c r="AH304" s="769"/>
      <c r="AI304" s="769"/>
      <c r="AJ304" s="769"/>
      <c r="AK304" s="769"/>
      <c r="AL304" s="769"/>
      <c r="AM304" s="769"/>
      <c r="AN304" s="769"/>
      <c r="AO304" s="773"/>
      <c r="AP304" s="774">
        <f t="shared" si="65"/>
        <v>0</v>
      </c>
      <c r="AQ304" s="439"/>
      <c r="AS304" s="771"/>
      <c r="AT304" t="str">
        <f t="array" ref="AT304">IF(E304&lt;&gt;"Occupied","",_xlfn.IFS(AND(ISNUMBER(AC304),AC304&lt;&gt;0),"Structured",ISNUMBER(SEARCH("/mo con",T304)),"Notes-parsed",ISNUMBER(SEARCH("step",T304)),"Step-up",ISNUMBER(SEARCH("swap",T304)),"Rate-swap",AND(ISNUMBER(I304),ISNUMBER(J304),I304&gt;J304),"Implied",TRUE(),""))</f>
        <v/>
      </c>
      <c r="AU304" s="769" t="str">
        <f t="shared" si="66"/>
        <v/>
      </c>
      <c r="AV304" s="775">
        <f t="shared" si="67"/>
        <v>0</v>
      </c>
    </row>
    <row r="305" spans="7:48" ht="15" customHeight="1" outlineLevel="1" x14ac:dyDescent="0.25">
      <c r="G305" s="421"/>
      <c r="H305" s="421"/>
      <c r="I305" s="769"/>
      <c r="J305" s="769"/>
      <c r="K305" s="769">
        <f t="shared" si="57"/>
        <v>0</v>
      </c>
      <c r="L305" s="769">
        <f t="shared" si="58"/>
        <v>0</v>
      </c>
      <c r="M305" s="769"/>
      <c r="N305" s="769"/>
      <c r="O305" s="769"/>
      <c r="P305" s="769"/>
      <c r="Q305" s="769"/>
      <c r="R305" s="769"/>
      <c r="U305" s="770"/>
      <c r="V305" s="771">
        <f t="shared" si="59"/>
        <v>0</v>
      </c>
      <c r="W305" s="771">
        <f t="shared" si="60"/>
        <v>0</v>
      </c>
      <c r="X305" t="str">
        <f t="shared" si="61"/>
        <v/>
      </c>
      <c r="Y305" t="str">
        <f t="shared" si="62"/>
        <v/>
      </c>
      <c r="AA305" s="769">
        <f t="shared" si="63"/>
        <v>0</v>
      </c>
      <c r="AB305" s="772">
        <f t="shared" si="64"/>
        <v>0</v>
      </c>
      <c r="AC305" s="769"/>
      <c r="AD305" s="421"/>
      <c r="AE305" s="769"/>
      <c r="AF305" s="769"/>
      <c r="AG305" s="769"/>
      <c r="AH305" s="769"/>
      <c r="AI305" s="769"/>
      <c r="AJ305" s="769"/>
      <c r="AK305" s="769"/>
      <c r="AL305" s="769"/>
      <c r="AM305" s="769"/>
      <c r="AN305" s="769"/>
      <c r="AO305" s="773"/>
      <c r="AP305" s="774">
        <f t="shared" si="65"/>
        <v>0</v>
      </c>
      <c r="AQ305" s="439"/>
      <c r="AS305" s="771"/>
      <c r="AT305" t="str">
        <f t="array" ref="AT305">IF(E305&lt;&gt;"Occupied","",_xlfn.IFS(AND(ISNUMBER(AC305),AC305&lt;&gt;0),"Structured",ISNUMBER(SEARCH("/mo con",T305)),"Notes-parsed",ISNUMBER(SEARCH("step",T305)),"Step-up",ISNUMBER(SEARCH("swap",T305)),"Rate-swap",AND(ISNUMBER(I305),ISNUMBER(J305),I305&gt;J305),"Implied",TRUE(),""))</f>
        <v/>
      </c>
      <c r="AU305" s="769" t="str">
        <f t="shared" si="66"/>
        <v/>
      </c>
      <c r="AV305" s="775">
        <f t="shared" si="67"/>
        <v>0</v>
      </c>
    </row>
    <row r="306" spans="7:48" ht="15" customHeight="1" outlineLevel="1" x14ac:dyDescent="0.25">
      <c r="G306" s="421"/>
      <c r="H306" s="421"/>
      <c r="I306" s="769"/>
      <c r="J306" s="769"/>
      <c r="K306" s="769">
        <f t="shared" si="57"/>
        <v>0</v>
      </c>
      <c r="L306" s="769">
        <f t="shared" si="58"/>
        <v>0</v>
      </c>
      <c r="M306" s="769"/>
      <c r="N306" s="769"/>
      <c r="O306" s="769"/>
      <c r="P306" s="769"/>
      <c r="Q306" s="769"/>
      <c r="R306" s="769"/>
      <c r="U306" s="770"/>
      <c r="V306" s="771">
        <f t="shared" si="59"/>
        <v>0</v>
      </c>
      <c r="W306" s="771">
        <f t="shared" si="60"/>
        <v>0</v>
      </c>
      <c r="X306" t="str">
        <f t="shared" si="61"/>
        <v/>
      </c>
      <c r="Y306" t="str">
        <f t="shared" si="62"/>
        <v/>
      </c>
      <c r="AA306" s="769">
        <f t="shared" si="63"/>
        <v>0</v>
      </c>
      <c r="AB306" s="772">
        <f t="shared" si="64"/>
        <v>0</v>
      </c>
      <c r="AC306" s="769"/>
      <c r="AD306" s="421"/>
      <c r="AE306" s="769"/>
      <c r="AF306" s="769"/>
      <c r="AG306" s="769"/>
      <c r="AH306" s="769"/>
      <c r="AI306" s="769"/>
      <c r="AJ306" s="769"/>
      <c r="AK306" s="769"/>
      <c r="AL306" s="769"/>
      <c r="AM306" s="769"/>
      <c r="AN306" s="769"/>
      <c r="AO306" s="773"/>
      <c r="AP306" s="774">
        <f t="shared" si="65"/>
        <v>0</v>
      </c>
      <c r="AQ306" s="439"/>
      <c r="AS306" s="771"/>
      <c r="AT306" t="str">
        <f t="array" ref="AT306">IF(E306&lt;&gt;"Occupied","",_xlfn.IFS(AND(ISNUMBER(AC306),AC306&lt;&gt;0),"Structured",ISNUMBER(SEARCH("/mo con",T306)),"Notes-parsed",ISNUMBER(SEARCH("step",T306)),"Step-up",ISNUMBER(SEARCH("swap",T306)),"Rate-swap",AND(ISNUMBER(I306),ISNUMBER(J306),I306&gt;J306),"Implied",TRUE(),""))</f>
        <v/>
      </c>
      <c r="AU306" s="769" t="str">
        <f t="shared" si="66"/>
        <v/>
      </c>
      <c r="AV306" s="775">
        <f t="shared" si="67"/>
        <v>0</v>
      </c>
    </row>
    <row r="307" spans="7:48" ht="15" customHeight="1" outlineLevel="1" x14ac:dyDescent="0.25">
      <c r="G307" s="421"/>
      <c r="H307" s="421"/>
      <c r="I307" s="769"/>
      <c r="J307" s="769"/>
      <c r="K307" s="769">
        <f t="shared" si="57"/>
        <v>0</v>
      </c>
      <c r="L307" s="769">
        <f t="shared" si="58"/>
        <v>0</v>
      </c>
      <c r="M307" s="769"/>
      <c r="N307" s="769"/>
      <c r="O307" s="769"/>
      <c r="P307" s="769"/>
      <c r="Q307" s="769"/>
      <c r="R307" s="769"/>
      <c r="U307" s="770"/>
      <c r="V307" s="771">
        <f t="shared" si="59"/>
        <v>0</v>
      </c>
      <c r="W307" s="771">
        <f t="shared" si="60"/>
        <v>0</v>
      </c>
      <c r="X307" t="str">
        <f t="shared" si="61"/>
        <v/>
      </c>
      <c r="Y307" t="str">
        <f t="shared" si="62"/>
        <v/>
      </c>
      <c r="AA307" s="769">
        <f t="shared" si="63"/>
        <v>0</v>
      </c>
      <c r="AB307" s="772">
        <f t="shared" si="64"/>
        <v>0</v>
      </c>
      <c r="AC307" s="769"/>
      <c r="AD307" s="421"/>
      <c r="AE307" s="769"/>
      <c r="AF307" s="769"/>
      <c r="AG307" s="769"/>
      <c r="AH307" s="769"/>
      <c r="AI307" s="769"/>
      <c r="AJ307" s="769"/>
      <c r="AK307" s="769"/>
      <c r="AL307" s="769"/>
      <c r="AM307" s="769"/>
      <c r="AN307" s="769"/>
      <c r="AO307" s="773"/>
      <c r="AP307" s="774">
        <f t="shared" si="65"/>
        <v>0</v>
      </c>
      <c r="AQ307" s="439"/>
      <c r="AS307" s="771"/>
      <c r="AT307" t="str">
        <f t="array" ref="AT307">IF(E307&lt;&gt;"Occupied","",_xlfn.IFS(AND(ISNUMBER(AC307),AC307&lt;&gt;0),"Structured",ISNUMBER(SEARCH("/mo con",T307)),"Notes-parsed",ISNUMBER(SEARCH("step",T307)),"Step-up",ISNUMBER(SEARCH("swap",T307)),"Rate-swap",AND(ISNUMBER(I307),ISNUMBER(J307),I307&gt;J307),"Implied",TRUE(),""))</f>
        <v/>
      </c>
      <c r="AU307" s="769" t="str">
        <f t="shared" si="66"/>
        <v/>
      </c>
      <c r="AV307" s="775">
        <f t="shared" si="67"/>
        <v>0</v>
      </c>
    </row>
    <row r="308" spans="7:48" ht="15" customHeight="1" outlineLevel="1" x14ac:dyDescent="0.25">
      <c r="G308" s="421"/>
      <c r="H308" s="421"/>
      <c r="I308" s="769"/>
      <c r="J308" s="769"/>
      <c r="K308" s="769">
        <f t="shared" si="57"/>
        <v>0</v>
      </c>
      <c r="L308" s="769">
        <f t="shared" si="58"/>
        <v>0</v>
      </c>
      <c r="M308" s="769"/>
      <c r="N308" s="769"/>
      <c r="O308" s="769"/>
      <c r="P308" s="769"/>
      <c r="Q308" s="769"/>
      <c r="R308" s="769"/>
      <c r="U308" s="770"/>
      <c r="V308" s="771">
        <f t="shared" si="59"/>
        <v>0</v>
      </c>
      <c r="W308" s="771">
        <f t="shared" si="60"/>
        <v>0</v>
      </c>
      <c r="X308" t="str">
        <f t="shared" si="61"/>
        <v/>
      </c>
      <c r="Y308" t="str">
        <f t="shared" si="62"/>
        <v/>
      </c>
      <c r="AA308" s="769">
        <f t="shared" si="63"/>
        <v>0</v>
      </c>
      <c r="AB308" s="772">
        <f t="shared" si="64"/>
        <v>0</v>
      </c>
      <c r="AC308" s="769"/>
      <c r="AD308" s="421"/>
      <c r="AE308" s="769"/>
      <c r="AF308" s="769"/>
      <c r="AG308" s="769"/>
      <c r="AH308" s="769"/>
      <c r="AI308" s="769"/>
      <c r="AJ308" s="769"/>
      <c r="AK308" s="769"/>
      <c r="AL308" s="769"/>
      <c r="AM308" s="769"/>
      <c r="AN308" s="769"/>
      <c r="AO308" s="773"/>
      <c r="AP308" s="774">
        <f t="shared" si="65"/>
        <v>0</v>
      </c>
      <c r="AQ308" s="439"/>
      <c r="AS308" s="771"/>
      <c r="AT308" t="str">
        <f t="array" ref="AT308">IF(E308&lt;&gt;"Occupied","",_xlfn.IFS(AND(ISNUMBER(AC308),AC308&lt;&gt;0),"Structured",ISNUMBER(SEARCH("/mo con",T308)),"Notes-parsed",ISNUMBER(SEARCH("step",T308)),"Step-up",ISNUMBER(SEARCH("swap",T308)),"Rate-swap",AND(ISNUMBER(I308),ISNUMBER(J308),I308&gt;J308),"Implied",TRUE(),""))</f>
        <v/>
      </c>
      <c r="AU308" s="769" t="str">
        <f t="shared" si="66"/>
        <v/>
      </c>
      <c r="AV308" s="775">
        <f t="shared" si="67"/>
        <v>0</v>
      </c>
    </row>
    <row r="309" spans="7:48" ht="15" customHeight="1" outlineLevel="1" x14ac:dyDescent="0.25">
      <c r="G309" s="421"/>
      <c r="H309" s="421"/>
      <c r="I309" s="769"/>
      <c r="J309" s="769"/>
      <c r="K309" s="769">
        <f t="shared" si="57"/>
        <v>0</v>
      </c>
      <c r="L309" s="769">
        <f t="shared" si="58"/>
        <v>0</v>
      </c>
      <c r="M309" s="769"/>
      <c r="N309" s="769"/>
      <c r="O309" s="769"/>
      <c r="P309" s="769"/>
      <c r="Q309" s="769"/>
      <c r="R309" s="769"/>
      <c r="U309" s="770"/>
      <c r="V309" s="771">
        <f t="shared" si="59"/>
        <v>0</v>
      </c>
      <c r="W309" s="771">
        <f t="shared" si="60"/>
        <v>0</v>
      </c>
      <c r="X309" t="str">
        <f t="shared" si="61"/>
        <v/>
      </c>
      <c r="Y309" t="str">
        <f t="shared" si="62"/>
        <v/>
      </c>
      <c r="AA309" s="769">
        <f t="shared" si="63"/>
        <v>0</v>
      </c>
      <c r="AB309" s="772">
        <f t="shared" si="64"/>
        <v>0</v>
      </c>
      <c r="AC309" s="769"/>
      <c r="AD309" s="421"/>
      <c r="AE309" s="769"/>
      <c r="AF309" s="769"/>
      <c r="AG309" s="769"/>
      <c r="AH309" s="769"/>
      <c r="AI309" s="769"/>
      <c r="AJ309" s="769"/>
      <c r="AK309" s="769"/>
      <c r="AL309" s="769"/>
      <c r="AM309" s="769"/>
      <c r="AN309" s="769"/>
      <c r="AO309" s="773"/>
      <c r="AP309" s="774">
        <f t="shared" si="65"/>
        <v>0</v>
      </c>
      <c r="AQ309" s="439"/>
      <c r="AS309" s="771"/>
      <c r="AT309" t="str">
        <f t="array" ref="AT309">IF(E309&lt;&gt;"Occupied","",_xlfn.IFS(AND(ISNUMBER(AC309),AC309&lt;&gt;0),"Structured",ISNUMBER(SEARCH("/mo con",T309)),"Notes-parsed",ISNUMBER(SEARCH("step",T309)),"Step-up",ISNUMBER(SEARCH("swap",T309)),"Rate-swap",AND(ISNUMBER(I309),ISNUMBER(J309),I309&gt;J309),"Implied",TRUE(),""))</f>
        <v/>
      </c>
      <c r="AU309" s="769" t="str">
        <f t="shared" si="66"/>
        <v/>
      </c>
      <c r="AV309" s="775">
        <f t="shared" si="67"/>
        <v>0</v>
      </c>
    </row>
    <row r="310" spans="7:48" ht="15" customHeight="1" outlineLevel="1" x14ac:dyDescent="0.25">
      <c r="G310" s="421"/>
      <c r="H310" s="421"/>
      <c r="I310" s="769"/>
      <c r="J310" s="769"/>
      <c r="K310" s="769">
        <f t="shared" si="57"/>
        <v>0</v>
      </c>
      <c r="L310" s="769">
        <f t="shared" si="58"/>
        <v>0</v>
      </c>
      <c r="M310" s="769"/>
      <c r="N310" s="769"/>
      <c r="O310" s="769"/>
      <c r="P310" s="769"/>
      <c r="Q310" s="769"/>
      <c r="R310" s="769"/>
      <c r="U310" s="770"/>
      <c r="V310" s="771">
        <f t="shared" si="59"/>
        <v>0</v>
      </c>
      <c r="W310" s="771">
        <f t="shared" si="60"/>
        <v>0</v>
      </c>
      <c r="X310" t="str">
        <f t="shared" si="61"/>
        <v/>
      </c>
      <c r="Y310" t="str">
        <f t="shared" si="62"/>
        <v/>
      </c>
      <c r="AA310" s="769">
        <f t="shared" si="63"/>
        <v>0</v>
      </c>
      <c r="AB310" s="772">
        <f t="shared" si="64"/>
        <v>0</v>
      </c>
      <c r="AC310" s="769"/>
      <c r="AD310" s="421"/>
      <c r="AE310" s="769"/>
      <c r="AF310" s="769"/>
      <c r="AG310" s="769"/>
      <c r="AH310" s="769"/>
      <c r="AI310" s="769"/>
      <c r="AJ310" s="769"/>
      <c r="AK310" s="769"/>
      <c r="AL310" s="769"/>
      <c r="AM310" s="769"/>
      <c r="AN310" s="769"/>
      <c r="AO310" s="773"/>
      <c r="AP310" s="774">
        <f t="shared" si="65"/>
        <v>0</v>
      </c>
      <c r="AQ310" s="439"/>
      <c r="AS310" s="771"/>
      <c r="AT310" t="str">
        <f t="array" ref="AT310">IF(E310&lt;&gt;"Occupied","",_xlfn.IFS(AND(ISNUMBER(AC310),AC310&lt;&gt;0),"Structured",ISNUMBER(SEARCH("/mo con",T310)),"Notes-parsed",ISNUMBER(SEARCH("step",T310)),"Step-up",ISNUMBER(SEARCH("swap",T310)),"Rate-swap",AND(ISNUMBER(I310),ISNUMBER(J310),I310&gt;J310),"Implied",TRUE(),""))</f>
        <v/>
      </c>
      <c r="AU310" s="769" t="str">
        <f t="shared" si="66"/>
        <v/>
      </c>
      <c r="AV310" s="775">
        <f t="shared" si="67"/>
        <v>0</v>
      </c>
    </row>
    <row r="311" spans="7:48" ht="15" customHeight="1" outlineLevel="1" x14ac:dyDescent="0.25">
      <c r="G311" s="421"/>
      <c r="H311" s="421"/>
      <c r="I311" s="769"/>
      <c r="J311" s="769"/>
      <c r="K311" s="769">
        <f t="shared" si="57"/>
        <v>0</v>
      </c>
      <c r="L311" s="769">
        <f t="shared" si="58"/>
        <v>0</v>
      </c>
      <c r="M311" s="769"/>
      <c r="N311" s="769"/>
      <c r="O311" s="769"/>
      <c r="P311" s="769"/>
      <c r="Q311" s="769"/>
      <c r="R311" s="769"/>
      <c r="U311" s="770"/>
      <c r="V311" s="771">
        <f t="shared" si="59"/>
        <v>0</v>
      </c>
      <c r="W311" s="771">
        <f t="shared" si="60"/>
        <v>0</v>
      </c>
      <c r="X311" t="str">
        <f t="shared" si="61"/>
        <v/>
      </c>
      <c r="Y311" t="str">
        <f t="shared" si="62"/>
        <v/>
      </c>
      <c r="AA311" s="769">
        <f t="shared" si="63"/>
        <v>0</v>
      </c>
      <c r="AB311" s="772">
        <f t="shared" si="64"/>
        <v>0</v>
      </c>
      <c r="AC311" s="769"/>
      <c r="AD311" s="421"/>
      <c r="AE311" s="769"/>
      <c r="AF311" s="769"/>
      <c r="AG311" s="769"/>
      <c r="AH311" s="769"/>
      <c r="AI311" s="769"/>
      <c r="AJ311" s="769"/>
      <c r="AK311" s="769"/>
      <c r="AL311" s="769"/>
      <c r="AM311" s="769"/>
      <c r="AN311" s="769"/>
      <c r="AO311" s="773"/>
      <c r="AP311" s="774">
        <f t="shared" si="65"/>
        <v>0</v>
      </c>
      <c r="AQ311" s="439"/>
      <c r="AS311" s="771"/>
      <c r="AT311" t="str">
        <f t="array" ref="AT311">IF(E311&lt;&gt;"Occupied","",_xlfn.IFS(AND(ISNUMBER(AC311),AC311&lt;&gt;0),"Structured",ISNUMBER(SEARCH("/mo con",T311)),"Notes-parsed",ISNUMBER(SEARCH("step",T311)),"Step-up",ISNUMBER(SEARCH("swap",T311)),"Rate-swap",AND(ISNUMBER(I311),ISNUMBER(J311),I311&gt;J311),"Implied",TRUE(),""))</f>
        <v/>
      </c>
      <c r="AU311" s="769" t="str">
        <f t="shared" si="66"/>
        <v/>
      </c>
      <c r="AV311" s="775">
        <f t="shared" si="67"/>
        <v>0</v>
      </c>
    </row>
    <row r="312" spans="7:48" ht="15" customHeight="1" outlineLevel="1" x14ac:dyDescent="0.25">
      <c r="G312" s="421"/>
      <c r="H312" s="421"/>
      <c r="I312" s="769"/>
      <c r="J312" s="769"/>
      <c r="K312" s="769">
        <f t="shared" si="57"/>
        <v>0</v>
      </c>
      <c r="L312" s="769">
        <f t="shared" si="58"/>
        <v>0</v>
      </c>
      <c r="M312" s="769"/>
      <c r="N312" s="769"/>
      <c r="O312" s="769"/>
      <c r="P312" s="769"/>
      <c r="Q312" s="769"/>
      <c r="R312" s="769"/>
      <c r="U312" s="770"/>
      <c r="V312" s="771">
        <f t="shared" si="59"/>
        <v>0</v>
      </c>
      <c r="W312" s="771">
        <f t="shared" si="60"/>
        <v>0</v>
      </c>
      <c r="X312" t="str">
        <f t="shared" si="61"/>
        <v/>
      </c>
      <c r="Y312" t="str">
        <f t="shared" si="62"/>
        <v/>
      </c>
      <c r="AA312" s="769">
        <f t="shared" si="63"/>
        <v>0</v>
      </c>
      <c r="AB312" s="772">
        <f t="shared" si="64"/>
        <v>0</v>
      </c>
      <c r="AC312" s="769"/>
      <c r="AD312" s="421"/>
      <c r="AE312" s="769"/>
      <c r="AF312" s="769"/>
      <c r="AG312" s="769"/>
      <c r="AH312" s="769"/>
      <c r="AI312" s="769"/>
      <c r="AJ312" s="769"/>
      <c r="AK312" s="769"/>
      <c r="AL312" s="769"/>
      <c r="AM312" s="769"/>
      <c r="AN312" s="769"/>
      <c r="AO312" s="773"/>
      <c r="AP312" s="774">
        <f t="shared" si="65"/>
        <v>0</v>
      </c>
      <c r="AQ312" s="439"/>
      <c r="AS312" s="771"/>
      <c r="AT312" t="str">
        <f t="array" ref="AT312">IF(E312&lt;&gt;"Occupied","",_xlfn.IFS(AND(ISNUMBER(AC312),AC312&lt;&gt;0),"Structured",ISNUMBER(SEARCH("/mo con",T312)),"Notes-parsed",ISNUMBER(SEARCH("step",T312)),"Step-up",ISNUMBER(SEARCH("swap",T312)),"Rate-swap",AND(ISNUMBER(I312),ISNUMBER(J312),I312&gt;J312),"Implied",TRUE(),""))</f>
        <v/>
      </c>
      <c r="AU312" s="769" t="str">
        <f t="shared" si="66"/>
        <v/>
      </c>
      <c r="AV312" s="775">
        <f t="shared" si="67"/>
        <v>0</v>
      </c>
    </row>
    <row r="313" spans="7:48" ht="15" customHeight="1" outlineLevel="1" x14ac:dyDescent="0.25">
      <c r="G313" s="421"/>
      <c r="H313" s="421"/>
      <c r="I313" s="769"/>
      <c r="J313" s="769"/>
      <c r="K313" s="769">
        <f t="shared" si="57"/>
        <v>0</v>
      </c>
      <c r="L313" s="769">
        <f t="shared" si="58"/>
        <v>0</v>
      </c>
      <c r="M313" s="769"/>
      <c r="N313" s="769"/>
      <c r="O313" s="769"/>
      <c r="P313" s="769"/>
      <c r="Q313" s="769"/>
      <c r="R313" s="769"/>
      <c r="U313" s="770"/>
      <c r="V313" s="771">
        <f t="shared" si="59"/>
        <v>0</v>
      </c>
      <c r="W313" s="771">
        <f t="shared" si="60"/>
        <v>0</v>
      </c>
      <c r="X313" t="str">
        <f t="shared" si="61"/>
        <v/>
      </c>
      <c r="Y313" t="str">
        <f t="shared" si="62"/>
        <v/>
      </c>
      <c r="AA313" s="769">
        <f t="shared" si="63"/>
        <v>0</v>
      </c>
      <c r="AB313" s="772">
        <f t="shared" si="64"/>
        <v>0</v>
      </c>
      <c r="AC313" s="769"/>
      <c r="AD313" s="421"/>
      <c r="AE313" s="769"/>
      <c r="AF313" s="769"/>
      <c r="AG313" s="769"/>
      <c r="AH313" s="769"/>
      <c r="AI313" s="769"/>
      <c r="AJ313" s="769"/>
      <c r="AK313" s="769"/>
      <c r="AL313" s="769"/>
      <c r="AM313" s="769"/>
      <c r="AN313" s="769"/>
      <c r="AO313" s="773"/>
      <c r="AP313" s="774">
        <f t="shared" si="65"/>
        <v>0</v>
      </c>
      <c r="AQ313" s="439"/>
      <c r="AS313" s="771"/>
      <c r="AT313" t="str">
        <f t="array" ref="AT313">IF(E313&lt;&gt;"Occupied","",_xlfn.IFS(AND(ISNUMBER(AC313),AC313&lt;&gt;0),"Structured",ISNUMBER(SEARCH("/mo con",T313)),"Notes-parsed",ISNUMBER(SEARCH("step",T313)),"Step-up",ISNUMBER(SEARCH("swap",T313)),"Rate-swap",AND(ISNUMBER(I313),ISNUMBER(J313),I313&gt;J313),"Implied",TRUE(),""))</f>
        <v/>
      </c>
      <c r="AU313" s="769" t="str">
        <f t="shared" si="66"/>
        <v/>
      </c>
      <c r="AV313" s="775">
        <f t="shared" si="67"/>
        <v>0</v>
      </c>
    </row>
    <row r="314" spans="7:48" ht="15" customHeight="1" outlineLevel="1" x14ac:dyDescent="0.25">
      <c r="G314" s="421"/>
      <c r="H314" s="421"/>
      <c r="I314" s="769"/>
      <c r="J314" s="769"/>
      <c r="K314" s="769">
        <f t="shared" si="57"/>
        <v>0</v>
      </c>
      <c r="L314" s="769">
        <f t="shared" si="58"/>
        <v>0</v>
      </c>
      <c r="M314" s="769"/>
      <c r="N314" s="769"/>
      <c r="O314" s="769"/>
      <c r="P314" s="769"/>
      <c r="Q314" s="769"/>
      <c r="R314" s="769"/>
      <c r="U314" s="770"/>
      <c r="V314" s="771">
        <f t="shared" si="59"/>
        <v>0</v>
      </c>
      <c r="W314" s="771">
        <f t="shared" si="60"/>
        <v>0</v>
      </c>
      <c r="X314" t="str">
        <f t="shared" si="61"/>
        <v/>
      </c>
      <c r="Y314" t="str">
        <f t="shared" si="62"/>
        <v/>
      </c>
      <c r="AA314" s="769">
        <f t="shared" si="63"/>
        <v>0</v>
      </c>
      <c r="AB314" s="772">
        <f t="shared" si="64"/>
        <v>0</v>
      </c>
      <c r="AC314" s="769"/>
      <c r="AD314" s="421"/>
      <c r="AE314" s="769"/>
      <c r="AF314" s="769"/>
      <c r="AG314" s="769"/>
      <c r="AH314" s="769"/>
      <c r="AI314" s="769"/>
      <c r="AJ314" s="769"/>
      <c r="AK314" s="769"/>
      <c r="AL314" s="769"/>
      <c r="AM314" s="769"/>
      <c r="AN314" s="769"/>
      <c r="AO314" s="773"/>
      <c r="AP314" s="774">
        <f t="shared" si="65"/>
        <v>0</v>
      </c>
      <c r="AQ314" s="439"/>
      <c r="AS314" s="771"/>
      <c r="AT314" t="str">
        <f t="array" ref="AT314">IF(E314&lt;&gt;"Occupied","",_xlfn.IFS(AND(ISNUMBER(AC314),AC314&lt;&gt;0),"Structured",ISNUMBER(SEARCH("/mo con",T314)),"Notes-parsed",ISNUMBER(SEARCH("step",T314)),"Step-up",ISNUMBER(SEARCH("swap",T314)),"Rate-swap",AND(ISNUMBER(I314),ISNUMBER(J314),I314&gt;J314),"Implied",TRUE(),""))</f>
        <v/>
      </c>
      <c r="AU314" s="769" t="str">
        <f t="shared" si="66"/>
        <v/>
      </c>
      <c r="AV314" s="775">
        <f t="shared" si="67"/>
        <v>0</v>
      </c>
    </row>
    <row r="315" spans="7:48" ht="15" customHeight="1" outlineLevel="1" x14ac:dyDescent="0.25">
      <c r="G315" s="421"/>
      <c r="H315" s="421"/>
      <c r="I315" s="769"/>
      <c r="J315" s="769"/>
      <c r="K315" s="769">
        <f t="shared" si="57"/>
        <v>0</v>
      </c>
      <c r="L315" s="769">
        <f t="shared" si="58"/>
        <v>0</v>
      </c>
      <c r="M315" s="769"/>
      <c r="N315" s="769"/>
      <c r="O315" s="769"/>
      <c r="P315" s="769"/>
      <c r="Q315" s="769"/>
      <c r="R315" s="769"/>
      <c r="U315" s="770"/>
      <c r="V315" s="771">
        <f t="shared" si="59"/>
        <v>0</v>
      </c>
      <c r="W315" s="771">
        <f t="shared" si="60"/>
        <v>0</v>
      </c>
      <c r="X315" t="str">
        <f t="shared" si="61"/>
        <v/>
      </c>
      <c r="Y315" t="str">
        <f t="shared" si="62"/>
        <v/>
      </c>
      <c r="AA315" s="769">
        <f t="shared" si="63"/>
        <v>0</v>
      </c>
      <c r="AB315" s="772">
        <f t="shared" si="64"/>
        <v>0</v>
      </c>
      <c r="AC315" s="769"/>
      <c r="AD315" s="421"/>
      <c r="AE315" s="769"/>
      <c r="AF315" s="769"/>
      <c r="AG315" s="769"/>
      <c r="AH315" s="769"/>
      <c r="AI315" s="769"/>
      <c r="AJ315" s="769"/>
      <c r="AK315" s="769"/>
      <c r="AL315" s="769"/>
      <c r="AM315" s="769"/>
      <c r="AN315" s="769"/>
      <c r="AO315" s="773"/>
      <c r="AP315" s="774">
        <f t="shared" si="65"/>
        <v>0</v>
      </c>
      <c r="AQ315" s="439"/>
      <c r="AS315" s="771"/>
      <c r="AT315" t="str">
        <f t="array" ref="AT315">IF(E315&lt;&gt;"Occupied","",_xlfn.IFS(AND(ISNUMBER(AC315),AC315&lt;&gt;0),"Structured",ISNUMBER(SEARCH("/mo con",T315)),"Notes-parsed",ISNUMBER(SEARCH("step",T315)),"Step-up",ISNUMBER(SEARCH("swap",T315)),"Rate-swap",AND(ISNUMBER(I315),ISNUMBER(J315),I315&gt;J315),"Implied",TRUE(),""))</f>
        <v/>
      </c>
      <c r="AU315" s="769" t="str">
        <f t="shared" si="66"/>
        <v/>
      </c>
      <c r="AV315" s="775">
        <f t="shared" si="67"/>
        <v>0</v>
      </c>
    </row>
    <row r="316" spans="7:48" ht="15" customHeight="1" outlineLevel="1" x14ac:dyDescent="0.25">
      <c r="G316" s="421"/>
      <c r="H316" s="421"/>
      <c r="I316" s="769"/>
      <c r="J316" s="769"/>
      <c r="K316" s="769">
        <f t="shared" si="57"/>
        <v>0</v>
      </c>
      <c r="L316" s="769">
        <f t="shared" si="58"/>
        <v>0</v>
      </c>
      <c r="M316" s="769"/>
      <c r="N316" s="769"/>
      <c r="O316" s="769"/>
      <c r="P316" s="769"/>
      <c r="Q316" s="769"/>
      <c r="R316" s="769"/>
      <c r="U316" s="770"/>
      <c r="V316" s="771">
        <f t="shared" si="59"/>
        <v>0</v>
      </c>
      <c r="W316" s="771">
        <f t="shared" si="60"/>
        <v>0</v>
      </c>
      <c r="X316" t="str">
        <f t="shared" si="61"/>
        <v/>
      </c>
      <c r="Y316" t="str">
        <f t="shared" si="62"/>
        <v/>
      </c>
      <c r="AA316" s="769">
        <f t="shared" si="63"/>
        <v>0</v>
      </c>
      <c r="AB316" s="772">
        <f t="shared" si="64"/>
        <v>0</v>
      </c>
      <c r="AC316" s="769"/>
      <c r="AD316" s="421"/>
      <c r="AE316" s="769"/>
      <c r="AF316" s="769"/>
      <c r="AG316" s="769"/>
      <c r="AH316" s="769"/>
      <c r="AI316" s="769"/>
      <c r="AJ316" s="769"/>
      <c r="AK316" s="769"/>
      <c r="AL316" s="769"/>
      <c r="AM316" s="769"/>
      <c r="AN316" s="769"/>
      <c r="AO316" s="773"/>
      <c r="AP316" s="774">
        <f t="shared" si="65"/>
        <v>0</v>
      </c>
      <c r="AQ316" s="439"/>
      <c r="AS316" s="771"/>
      <c r="AT316" t="str">
        <f t="array" ref="AT316">IF(E316&lt;&gt;"Occupied","",_xlfn.IFS(AND(ISNUMBER(AC316),AC316&lt;&gt;0),"Structured",ISNUMBER(SEARCH("/mo con",T316)),"Notes-parsed",ISNUMBER(SEARCH("step",T316)),"Step-up",ISNUMBER(SEARCH("swap",T316)),"Rate-swap",AND(ISNUMBER(I316),ISNUMBER(J316),I316&gt;J316),"Implied",TRUE(),""))</f>
        <v/>
      </c>
      <c r="AU316" s="769" t="str">
        <f t="shared" si="66"/>
        <v/>
      </c>
      <c r="AV316" s="775">
        <f t="shared" si="67"/>
        <v>0</v>
      </c>
    </row>
    <row r="317" spans="7:48" ht="15" customHeight="1" outlineLevel="1" x14ac:dyDescent="0.25">
      <c r="G317" s="421"/>
      <c r="H317" s="421"/>
      <c r="I317" s="769"/>
      <c r="J317" s="769"/>
      <c r="K317" s="769">
        <f t="shared" si="57"/>
        <v>0</v>
      </c>
      <c r="L317" s="769">
        <f t="shared" si="58"/>
        <v>0</v>
      </c>
      <c r="M317" s="769"/>
      <c r="N317" s="769"/>
      <c r="O317" s="769"/>
      <c r="P317" s="769"/>
      <c r="Q317" s="769"/>
      <c r="R317" s="769"/>
      <c r="U317" s="770"/>
      <c r="V317" s="771">
        <f t="shared" si="59"/>
        <v>0</v>
      </c>
      <c r="W317" s="771">
        <f t="shared" si="60"/>
        <v>0</v>
      </c>
      <c r="X317" t="str">
        <f t="shared" si="61"/>
        <v/>
      </c>
      <c r="Y317" t="str">
        <f t="shared" si="62"/>
        <v/>
      </c>
      <c r="AA317" s="769">
        <f t="shared" si="63"/>
        <v>0</v>
      </c>
      <c r="AB317" s="772">
        <f t="shared" si="64"/>
        <v>0</v>
      </c>
      <c r="AC317" s="769"/>
      <c r="AD317" s="421"/>
      <c r="AE317" s="769"/>
      <c r="AF317" s="769"/>
      <c r="AG317" s="769"/>
      <c r="AH317" s="769"/>
      <c r="AI317" s="769"/>
      <c r="AJ317" s="769"/>
      <c r="AK317" s="769"/>
      <c r="AL317" s="769"/>
      <c r="AM317" s="769"/>
      <c r="AN317" s="769"/>
      <c r="AO317" s="773"/>
      <c r="AP317" s="774">
        <f t="shared" si="65"/>
        <v>0</v>
      </c>
      <c r="AQ317" s="439"/>
      <c r="AS317" s="771"/>
      <c r="AT317" t="str">
        <f t="array" ref="AT317">IF(E317&lt;&gt;"Occupied","",_xlfn.IFS(AND(ISNUMBER(AC317),AC317&lt;&gt;0),"Structured",ISNUMBER(SEARCH("/mo con",T317)),"Notes-parsed",ISNUMBER(SEARCH("step",T317)),"Step-up",ISNUMBER(SEARCH("swap",T317)),"Rate-swap",AND(ISNUMBER(I317),ISNUMBER(J317),I317&gt;J317),"Implied",TRUE(),""))</f>
        <v/>
      </c>
      <c r="AU317" s="769" t="str">
        <f t="shared" si="66"/>
        <v/>
      </c>
      <c r="AV317" s="775">
        <f t="shared" si="67"/>
        <v>0</v>
      </c>
    </row>
    <row r="318" spans="7:48" ht="15" customHeight="1" outlineLevel="1" x14ac:dyDescent="0.25">
      <c r="G318" s="421"/>
      <c r="H318" s="421"/>
      <c r="I318" s="769"/>
      <c r="J318" s="769"/>
      <c r="K318" s="769">
        <f t="shared" si="57"/>
        <v>0</v>
      </c>
      <c r="L318" s="769">
        <f t="shared" si="58"/>
        <v>0</v>
      </c>
      <c r="M318" s="769"/>
      <c r="N318" s="769"/>
      <c r="O318" s="769"/>
      <c r="P318" s="769"/>
      <c r="Q318" s="769"/>
      <c r="R318" s="769"/>
      <c r="U318" s="770"/>
      <c r="V318" s="771">
        <f t="shared" si="59"/>
        <v>0</v>
      </c>
      <c r="W318" s="771">
        <f t="shared" si="60"/>
        <v>0</v>
      </c>
      <c r="X318" t="str">
        <f t="shared" si="61"/>
        <v/>
      </c>
      <c r="Y318" t="str">
        <f t="shared" si="62"/>
        <v/>
      </c>
      <c r="AA318" s="769">
        <f t="shared" si="63"/>
        <v>0</v>
      </c>
      <c r="AB318" s="772">
        <f t="shared" si="64"/>
        <v>0</v>
      </c>
      <c r="AC318" s="769"/>
      <c r="AD318" s="421"/>
      <c r="AE318" s="769"/>
      <c r="AF318" s="769"/>
      <c r="AG318" s="769"/>
      <c r="AH318" s="769"/>
      <c r="AI318" s="769"/>
      <c r="AJ318" s="769"/>
      <c r="AK318" s="769"/>
      <c r="AL318" s="769"/>
      <c r="AM318" s="769"/>
      <c r="AN318" s="769"/>
      <c r="AO318" s="773"/>
      <c r="AP318" s="774">
        <f t="shared" si="65"/>
        <v>0</v>
      </c>
      <c r="AQ318" s="439"/>
      <c r="AS318" s="771"/>
      <c r="AT318" t="str">
        <f t="array" ref="AT318">IF(E318&lt;&gt;"Occupied","",_xlfn.IFS(AND(ISNUMBER(AC318),AC318&lt;&gt;0),"Structured",ISNUMBER(SEARCH("/mo con",T318)),"Notes-parsed",ISNUMBER(SEARCH("step",T318)),"Step-up",ISNUMBER(SEARCH("swap",T318)),"Rate-swap",AND(ISNUMBER(I318),ISNUMBER(J318),I318&gt;J318),"Implied",TRUE(),""))</f>
        <v/>
      </c>
      <c r="AU318" s="769" t="str">
        <f t="shared" si="66"/>
        <v/>
      </c>
      <c r="AV318" s="775">
        <f t="shared" si="67"/>
        <v>0</v>
      </c>
    </row>
    <row r="319" spans="7:48" ht="15" customHeight="1" outlineLevel="1" x14ac:dyDescent="0.25">
      <c r="G319" s="421"/>
      <c r="H319" s="421"/>
      <c r="I319" s="769"/>
      <c r="J319" s="769"/>
      <c r="K319" s="769">
        <f t="shared" si="57"/>
        <v>0</v>
      </c>
      <c r="L319" s="769">
        <f t="shared" si="58"/>
        <v>0</v>
      </c>
      <c r="M319" s="769"/>
      <c r="N319" s="769"/>
      <c r="O319" s="769"/>
      <c r="P319" s="769"/>
      <c r="Q319" s="769"/>
      <c r="R319" s="769"/>
      <c r="U319" s="770"/>
      <c r="V319" s="771">
        <f t="shared" si="59"/>
        <v>0</v>
      </c>
      <c r="W319" s="771">
        <f t="shared" si="60"/>
        <v>0</v>
      </c>
      <c r="X319" t="str">
        <f t="shared" si="61"/>
        <v/>
      </c>
      <c r="Y319" t="str">
        <f t="shared" si="62"/>
        <v/>
      </c>
      <c r="AA319" s="769">
        <f t="shared" si="63"/>
        <v>0</v>
      </c>
      <c r="AB319" s="772">
        <f t="shared" si="64"/>
        <v>0</v>
      </c>
      <c r="AC319" s="769"/>
      <c r="AD319" s="421"/>
      <c r="AE319" s="769"/>
      <c r="AF319" s="769"/>
      <c r="AG319" s="769"/>
      <c r="AH319" s="769"/>
      <c r="AI319" s="769"/>
      <c r="AJ319" s="769"/>
      <c r="AK319" s="769"/>
      <c r="AL319" s="769"/>
      <c r="AM319" s="769"/>
      <c r="AN319" s="769"/>
      <c r="AO319" s="773"/>
      <c r="AP319" s="774">
        <f t="shared" si="65"/>
        <v>0</v>
      </c>
      <c r="AQ319" s="439"/>
      <c r="AS319" s="771"/>
      <c r="AT319" t="str">
        <f t="array" ref="AT319">IF(E319&lt;&gt;"Occupied","",_xlfn.IFS(AND(ISNUMBER(AC319),AC319&lt;&gt;0),"Structured",ISNUMBER(SEARCH("/mo con",T319)),"Notes-parsed",ISNUMBER(SEARCH("step",T319)),"Step-up",ISNUMBER(SEARCH("swap",T319)),"Rate-swap",AND(ISNUMBER(I319),ISNUMBER(J319),I319&gt;J319),"Implied",TRUE(),""))</f>
        <v/>
      </c>
      <c r="AU319" s="769" t="str">
        <f t="shared" si="66"/>
        <v/>
      </c>
      <c r="AV319" s="775">
        <f t="shared" si="67"/>
        <v>0</v>
      </c>
    </row>
    <row r="320" spans="7:48" ht="15" customHeight="1" outlineLevel="1" x14ac:dyDescent="0.25">
      <c r="G320" s="421"/>
      <c r="H320" s="421"/>
      <c r="I320" s="769"/>
      <c r="J320" s="769"/>
      <c r="K320" s="769">
        <f t="shared" si="57"/>
        <v>0</v>
      </c>
      <c r="L320" s="769">
        <f t="shared" si="58"/>
        <v>0</v>
      </c>
      <c r="M320" s="769"/>
      <c r="N320" s="769"/>
      <c r="O320" s="769"/>
      <c r="P320" s="769"/>
      <c r="Q320" s="769"/>
      <c r="R320" s="769"/>
      <c r="U320" s="770"/>
      <c r="V320" s="771">
        <f t="shared" si="59"/>
        <v>0</v>
      </c>
      <c r="W320" s="771">
        <f t="shared" si="60"/>
        <v>0</v>
      </c>
      <c r="X320" t="str">
        <f t="shared" si="61"/>
        <v/>
      </c>
      <c r="Y320" t="str">
        <f t="shared" si="62"/>
        <v/>
      </c>
      <c r="AA320" s="769">
        <f t="shared" si="63"/>
        <v>0</v>
      </c>
      <c r="AB320" s="772">
        <f t="shared" si="64"/>
        <v>0</v>
      </c>
      <c r="AC320" s="769"/>
      <c r="AD320" s="421"/>
      <c r="AE320" s="769"/>
      <c r="AF320" s="769"/>
      <c r="AG320" s="769"/>
      <c r="AH320" s="769"/>
      <c r="AI320" s="769"/>
      <c r="AJ320" s="769"/>
      <c r="AK320" s="769"/>
      <c r="AL320" s="769"/>
      <c r="AM320" s="769"/>
      <c r="AN320" s="769"/>
      <c r="AO320" s="773"/>
      <c r="AP320" s="774">
        <f t="shared" si="65"/>
        <v>0</v>
      </c>
      <c r="AQ320" s="439"/>
      <c r="AS320" s="771"/>
      <c r="AT320" t="str">
        <f t="array" ref="AT320">IF(E320&lt;&gt;"Occupied","",_xlfn.IFS(AND(ISNUMBER(AC320),AC320&lt;&gt;0),"Structured",ISNUMBER(SEARCH("/mo con",T320)),"Notes-parsed",ISNUMBER(SEARCH("step",T320)),"Step-up",ISNUMBER(SEARCH("swap",T320)),"Rate-swap",AND(ISNUMBER(I320),ISNUMBER(J320),I320&gt;J320),"Implied",TRUE(),""))</f>
        <v/>
      </c>
      <c r="AU320" s="769" t="str">
        <f t="shared" si="66"/>
        <v/>
      </c>
      <c r="AV320" s="775">
        <f t="shared" si="67"/>
        <v>0</v>
      </c>
    </row>
    <row r="321" spans="7:48" ht="15" customHeight="1" outlineLevel="1" x14ac:dyDescent="0.25">
      <c r="G321" s="421"/>
      <c r="H321" s="421"/>
      <c r="I321" s="769"/>
      <c r="J321" s="769"/>
      <c r="K321" s="769">
        <f t="shared" si="57"/>
        <v>0</v>
      </c>
      <c r="L321" s="769">
        <f t="shared" si="58"/>
        <v>0</v>
      </c>
      <c r="M321" s="769"/>
      <c r="N321" s="769"/>
      <c r="O321" s="769"/>
      <c r="P321" s="769"/>
      <c r="Q321" s="769"/>
      <c r="R321" s="769"/>
      <c r="U321" s="770"/>
      <c r="V321" s="771">
        <f t="shared" si="59"/>
        <v>0</v>
      </c>
      <c r="W321" s="771">
        <f t="shared" si="60"/>
        <v>0</v>
      </c>
      <c r="X321" t="str">
        <f t="shared" si="61"/>
        <v/>
      </c>
      <c r="Y321" t="str">
        <f t="shared" si="62"/>
        <v/>
      </c>
      <c r="AA321" s="769">
        <f t="shared" si="63"/>
        <v>0</v>
      </c>
      <c r="AB321" s="772">
        <f t="shared" si="64"/>
        <v>0</v>
      </c>
      <c r="AC321" s="769"/>
      <c r="AD321" s="421"/>
      <c r="AE321" s="769"/>
      <c r="AF321" s="769"/>
      <c r="AG321" s="769"/>
      <c r="AH321" s="769"/>
      <c r="AI321" s="769"/>
      <c r="AJ321" s="769"/>
      <c r="AK321" s="769"/>
      <c r="AL321" s="769"/>
      <c r="AM321" s="769"/>
      <c r="AN321" s="769"/>
      <c r="AO321" s="773"/>
      <c r="AP321" s="774">
        <f t="shared" si="65"/>
        <v>0</v>
      </c>
      <c r="AQ321" s="439"/>
      <c r="AS321" s="771"/>
      <c r="AT321" t="str">
        <f t="array" ref="AT321">IF(E321&lt;&gt;"Occupied","",_xlfn.IFS(AND(ISNUMBER(AC321),AC321&lt;&gt;0),"Structured",ISNUMBER(SEARCH("/mo con",T321)),"Notes-parsed",ISNUMBER(SEARCH("step",T321)),"Step-up",ISNUMBER(SEARCH("swap",T321)),"Rate-swap",AND(ISNUMBER(I321),ISNUMBER(J321),I321&gt;J321),"Implied",TRUE(),""))</f>
        <v/>
      </c>
      <c r="AU321" s="769" t="str">
        <f t="shared" si="66"/>
        <v/>
      </c>
      <c r="AV321" s="775">
        <f t="shared" si="67"/>
        <v>0</v>
      </c>
    </row>
    <row r="322" spans="7:48" ht="15" customHeight="1" outlineLevel="1" x14ac:dyDescent="0.25">
      <c r="G322" s="421"/>
      <c r="H322" s="421"/>
      <c r="I322" s="769"/>
      <c r="J322" s="769"/>
      <c r="K322" s="769">
        <f t="shared" si="57"/>
        <v>0</v>
      </c>
      <c r="L322" s="769">
        <f t="shared" si="58"/>
        <v>0</v>
      </c>
      <c r="M322" s="769"/>
      <c r="N322" s="769"/>
      <c r="O322" s="769"/>
      <c r="P322" s="769"/>
      <c r="Q322" s="769"/>
      <c r="R322" s="769"/>
      <c r="U322" s="770"/>
      <c r="V322" s="771">
        <f t="shared" si="59"/>
        <v>0</v>
      </c>
      <c r="W322" s="771">
        <f t="shared" si="60"/>
        <v>0</v>
      </c>
      <c r="X322" t="str">
        <f t="shared" si="61"/>
        <v/>
      </c>
      <c r="Y322" t="str">
        <f t="shared" si="62"/>
        <v/>
      </c>
      <c r="AA322" s="769">
        <f t="shared" si="63"/>
        <v>0</v>
      </c>
      <c r="AB322" s="772">
        <f t="shared" si="64"/>
        <v>0</v>
      </c>
      <c r="AC322" s="769"/>
      <c r="AD322" s="421"/>
      <c r="AE322" s="769"/>
      <c r="AF322" s="769"/>
      <c r="AG322" s="769"/>
      <c r="AH322" s="769"/>
      <c r="AI322" s="769"/>
      <c r="AJ322" s="769"/>
      <c r="AK322" s="769"/>
      <c r="AL322" s="769"/>
      <c r="AM322" s="769"/>
      <c r="AN322" s="769"/>
      <c r="AO322" s="773"/>
      <c r="AP322" s="774">
        <f t="shared" si="65"/>
        <v>0</v>
      </c>
      <c r="AQ322" s="439"/>
      <c r="AS322" s="771"/>
      <c r="AT322" t="str">
        <f t="array" ref="AT322">IF(E322&lt;&gt;"Occupied","",_xlfn.IFS(AND(ISNUMBER(AC322),AC322&lt;&gt;0),"Structured",ISNUMBER(SEARCH("/mo con",T322)),"Notes-parsed",ISNUMBER(SEARCH("step",T322)),"Step-up",ISNUMBER(SEARCH("swap",T322)),"Rate-swap",AND(ISNUMBER(I322),ISNUMBER(J322),I322&gt;J322),"Implied",TRUE(),""))</f>
        <v/>
      </c>
      <c r="AU322" s="769" t="str">
        <f t="shared" si="66"/>
        <v/>
      </c>
      <c r="AV322" s="775">
        <f t="shared" si="67"/>
        <v>0</v>
      </c>
    </row>
    <row r="323" spans="7:48" ht="15" customHeight="1" outlineLevel="1" x14ac:dyDescent="0.25">
      <c r="G323" s="421"/>
      <c r="H323" s="421"/>
      <c r="I323" s="769"/>
      <c r="J323" s="769"/>
      <c r="K323" s="769">
        <f t="shared" si="57"/>
        <v>0</v>
      </c>
      <c r="L323" s="769">
        <f t="shared" si="58"/>
        <v>0</v>
      </c>
      <c r="M323" s="769"/>
      <c r="N323" s="769"/>
      <c r="O323" s="769"/>
      <c r="P323" s="769"/>
      <c r="Q323" s="769"/>
      <c r="R323" s="769"/>
      <c r="U323" s="770"/>
      <c r="V323" s="771">
        <f t="shared" si="59"/>
        <v>0</v>
      </c>
      <c r="W323" s="771">
        <f t="shared" si="60"/>
        <v>0</v>
      </c>
      <c r="X323" t="str">
        <f t="shared" si="61"/>
        <v/>
      </c>
      <c r="Y323" t="str">
        <f t="shared" si="62"/>
        <v/>
      </c>
      <c r="AA323" s="769">
        <f t="shared" si="63"/>
        <v>0</v>
      </c>
      <c r="AB323" s="772">
        <f t="shared" si="64"/>
        <v>0</v>
      </c>
      <c r="AC323" s="769"/>
      <c r="AD323" s="421"/>
      <c r="AE323" s="769"/>
      <c r="AF323" s="769"/>
      <c r="AG323" s="769"/>
      <c r="AH323" s="769"/>
      <c r="AI323" s="769"/>
      <c r="AJ323" s="769"/>
      <c r="AK323" s="769"/>
      <c r="AL323" s="769"/>
      <c r="AM323" s="769"/>
      <c r="AN323" s="769"/>
      <c r="AO323" s="773"/>
      <c r="AP323" s="774">
        <f t="shared" si="65"/>
        <v>0</v>
      </c>
      <c r="AQ323" s="439"/>
      <c r="AS323" s="771"/>
      <c r="AT323" t="str">
        <f t="array" ref="AT323">IF(E323&lt;&gt;"Occupied","",_xlfn.IFS(AND(ISNUMBER(AC323),AC323&lt;&gt;0),"Structured",ISNUMBER(SEARCH("/mo con",T323)),"Notes-parsed",ISNUMBER(SEARCH("step",T323)),"Step-up",ISNUMBER(SEARCH("swap",T323)),"Rate-swap",AND(ISNUMBER(I323),ISNUMBER(J323),I323&gt;J323),"Implied",TRUE(),""))</f>
        <v/>
      </c>
      <c r="AU323" s="769" t="str">
        <f t="shared" si="66"/>
        <v/>
      </c>
      <c r="AV323" s="775">
        <f t="shared" si="67"/>
        <v>0</v>
      </c>
    </row>
    <row r="324" spans="7:48" ht="15" customHeight="1" outlineLevel="1" x14ac:dyDescent="0.25">
      <c r="G324" s="421"/>
      <c r="H324" s="421"/>
      <c r="I324" s="769"/>
      <c r="J324" s="769"/>
      <c r="K324" s="769">
        <f t="shared" si="57"/>
        <v>0</v>
      </c>
      <c r="L324" s="769">
        <f t="shared" si="58"/>
        <v>0</v>
      </c>
      <c r="M324" s="769"/>
      <c r="N324" s="769"/>
      <c r="O324" s="769"/>
      <c r="P324" s="769"/>
      <c r="Q324" s="769"/>
      <c r="R324" s="769"/>
      <c r="U324" s="770"/>
      <c r="V324" s="771">
        <f t="shared" si="59"/>
        <v>0</v>
      </c>
      <c r="W324" s="771">
        <f t="shared" si="60"/>
        <v>0</v>
      </c>
      <c r="X324" t="str">
        <f t="shared" si="61"/>
        <v/>
      </c>
      <c r="Y324" t="str">
        <f t="shared" si="62"/>
        <v/>
      </c>
      <c r="AA324" s="769">
        <f t="shared" si="63"/>
        <v>0</v>
      </c>
      <c r="AB324" s="772">
        <f t="shared" si="64"/>
        <v>0</v>
      </c>
      <c r="AC324" s="769"/>
      <c r="AD324" s="421"/>
      <c r="AE324" s="769"/>
      <c r="AF324" s="769"/>
      <c r="AG324" s="769"/>
      <c r="AH324" s="769"/>
      <c r="AI324" s="769"/>
      <c r="AJ324" s="769"/>
      <c r="AK324" s="769"/>
      <c r="AL324" s="769"/>
      <c r="AM324" s="769"/>
      <c r="AN324" s="769"/>
      <c r="AO324" s="773"/>
      <c r="AP324" s="774">
        <f t="shared" si="65"/>
        <v>0</v>
      </c>
      <c r="AQ324" s="439"/>
      <c r="AS324" s="771"/>
      <c r="AT324" t="str">
        <f t="array" ref="AT324">IF(E324&lt;&gt;"Occupied","",_xlfn.IFS(AND(ISNUMBER(AC324),AC324&lt;&gt;0),"Structured",ISNUMBER(SEARCH("/mo con",T324)),"Notes-parsed",ISNUMBER(SEARCH("step",T324)),"Step-up",ISNUMBER(SEARCH("swap",T324)),"Rate-swap",AND(ISNUMBER(I324),ISNUMBER(J324),I324&gt;J324),"Implied",TRUE(),""))</f>
        <v/>
      </c>
      <c r="AU324" s="769" t="str">
        <f t="shared" si="66"/>
        <v/>
      </c>
      <c r="AV324" s="775">
        <f t="shared" si="67"/>
        <v>0</v>
      </c>
    </row>
    <row r="325" spans="7:48" ht="15" customHeight="1" outlineLevel="1" x14ac:dyDescent="0.25">
      <c r="G325" s="421"/>
      <c r="H325" s="421"/>
      <c r="I325" s="769"/>
      <c r="J325" s="769"/>
      <c r="K325" s="769">
        <f t="shared" si="57"/>
        <v>0</v>
      </c>
      <c r="L325" s="769">
        <f t="shared" si="58"/>
        <v>0</v>
      </c>
      <c r="M325" s="769"/>
      <c r="N325" s="769"/>
      <c r="O325" s="769"/>
      <c r="P325" s="769"/>
      <c r="Q325" s="769"/>
      <c r="R325" s="769"/>
      <c r="U325" s="770"/>
      <c r="V325" s="771">
        <f t="shared" si="59"/>
        <v>0</v>
      </c>
      <c r="W325" s="771">
        <f t="shared" si="60"/>
        <v>0</v>
      </c>
      <c r="X325" t="str">
        <f t="shared" si="61"/>
        <v/>
      </c>
      <c r="Y325" t="str">
        <f t="shared" si="62"/>
        <v/>
      </c>
      <c r="AA325" s="769">
        <f t="shared" si="63"/>
        <v>0</v>
      </c>
      <c r="AB325" s="772">
        <f t="shared" si="64"/>
        <v>0</v>
      </c>
      <c r="AC325" s="769"/>
      <c r="AD325" s="421"/>
      <c r="AE325" s="769"/>
      <c r="AF325" s="769"/>
      <c r="AG325" s="769"/>
      <c r="AH325" s="769"/>
      <c r="AI325" s="769"/>
      <c r="AJ325" s="769"/>
      <c r="AK325" s="769"/>
      <c r="AL325" s="769"/>
      <c r="AM325" s="769"/>
      <c r="AN325" s="769"/>
      <c r="AO325" s="773"/>
      <c r="AP325" s="774">
        <f t="shared" si="65"/>
        <v>0</v>
      </c>
      <c r="AQ325" s="439"/>
      <c r="AS325" s="771"/>
      <c r="AT325" t="str">
        <f t="array" ref="AT325">IF(E325&lt;&gt;"Occupied","",_xlfn.IFS(AND(ISNUMBER(AC325),AC325&lt;&gt;0),"Structured",ISNUMBER(SEARCH("/mo con",T325)),"Notes-parsed",ISNUMBER(SEARCH("step",T325)),"Step-up",ISNUMBER(SEARCH("swap",T325)),"Rate-swap",AND(ISNUMBER(I325),ISNUMBER(J325),I325&gt;J325),"Implied",TRUE(),""))</f>
        <v/>
      </c>
      <c r="AU325" s="769" t="str">
        <f t="shared" si="66"/>
        <v/>
      </c>
      <c r="AV325" s="775">
        <f t="shared" si="67"/>
        <v>0</v>
      </c>
    </row>
    <row r="326" spans="7:48" ht="15" customHeight="1" outlineLevel="1" x14ac:dyDescent="0.25">
      <c r="G326" s="421"/>
      <c r="H326" s="421"/>
      <c r="I326" s="769"/>
      <c r="J326" s="769"/>
      <c r="K326" s="769">
        <f t="shared" si="57"/>
        <v>0</v>
      </c>
      <c r="L326" s="769">
        <f t="shared" si="58"/>
        <v>0</v>
      </c>
      <c r="M326" s="769"/>
      <c r="N326" s="769"/>
      <c r="O326" s="769"/>
      <c r="P326" s="769"/>
      <c r="Q326" s="769"/>
      <c r="R326" s="769"/>
      <c r="U326" s="770"/>
      <c r="V326" s="771">
        <f t="shared" si="59"/>
        <v>0</v>
      </c>
      <c r="W326" s="771">
        <f t="shared" si="60"/>
        <v>0</v>
      </c>
      <c r="X326" t="str">
        <f t="shared" si="61"/>
        <v/>
      </c>
      <c r="Y326" t="str">
        <f t="shared" si="62"/>
        <v/>
      </c>
      <c r="AA326" s="769">
        <f t="shared" si="63"/>
        <v>0</v>
      </c>
      <c r="AB326" s="772">
        <f t="shared" si="64"/>
        <v>0</v>
      </c>
      <c r="AC326" s="769"/>
      <c r="AD326" s="421"/>
      <c r="AE326" s="769"/>
      <c r="AF326" s="769"/>
      <c r="AG326" s="769"/>
      <c r="AH326" s="769"/>
      <c r="AI326" s="769"/>
      <c r="AJ326" s="769"/>
      <c r="AK326" s="769"/>
      <c r="AL326" s="769"/>
      <c r="AM326" s="769"/>
      <c r="AN326" s="769"/>
      <c r="AO326" s="773"/>
      <c r="AP326" s="774">
        <f t="shared" si="65"/>
        <v>0</v>
      </c>
      <c r="AQ326" s="439"/>
      <c r="AS326" s="771"/>
      <c r="AT326" t="str">
        <f t="array" ref="AT326">IF(E326&lt;&gt;"Occupied","",_xlfn.IFS(AND(ISNUMBER(AC326),AC326&lt;&gt;0),"Structured",ISNUMBER(SEARCH("/mo con",T326)),"Notes-parsed",ISNUMBER(SEARCH("step",T326)),"Step-up",ISNUMBER(SEARCH("swap",T326)),"Rate-swap",AND(ISNUMBER(I326),ISNUMBER(J326),I326&gt;J326),"Implied",TRUE(),""))</f>
        <v/>
      </c>
      <c r="AU326" s="769" t="str">
        <f t="shared" si="66"/>
        <v/>
      </c>
      <c r="AV326" s="775">
        <f t="shared" si="67"/>
        <v>0</v>
      </c>
    </row>
    <row r="327" spans="7:48" ht="15" customHeight="1" outlineLevel="1" x14ac:dyDescent="0.25">
      <c r="G327" s="421"/>
      <c r="H327" s="421"/>
      <c r="I327" s="769"/>
      <c r="J327" s="769"/>
      <c r="K327" s="769">
        <f t="shared" si="57"/>
        <v>0</v>
      </c>
      <c r="L327" s="769">
        <f t="shared" si="58"/>
        <v>0</v>
      </c>
      <c r="M327" s="769"/>
      <c r="N327" s="769"/>
      <c r="O327" s="769"/>
      <c r="P327" s="769"/>
      <c r="Q327" s="769"/>
      <c r="R327" s="769"/>
      <c r="U327" s="770"/>
      <c r="V327" s="771">
        <f t="shared" si="59"/>
        <v>0</v>
      </c>
      <c r="W327" s="771">
        <f t="shared" si="60"/>
        <v>0</v>
      </c>
      <c r="X327" t="str">
        <f t="shared" si="61"/>
        <v/>
      </c>
      <c r="Y327" t="str">
        <f t="shared" si="62"/>
        <v/>
      </c>
      <c r="AA327" s="769">
        <f t="shared" si="63"/>
        <v>0</v>
      </c>
      <c r="AB327" s="772">
        <f t="shared" si="64"/>
        <v>0</v>
      </c>
      <c r="AC327" s="769"/>
      <c r="AD327" s="421"/>
      <c r="AE327" s="769"/>
      <c r="AF327" s="769"/>
      <c r="AG327" s="769"/>
      <c r="AH327" s="769"/>
      <c r="AI327" s="769"/>
      <c r="AJ327" s="769"/>
      <c r="AK327" s="769"/>
      <c r="AL327" s="769"/>
      <c r="AM327" s="769"/>
      <c r="AN327" s="769"/>
      <c r="AO327" s="773"/>
      <c r="AP327" s="774">
        <f t="shared" si="65"/>
        <v>0</v>
      </c>
      <c r="AQ327" s="439"/>
      <c r="AS327" s="771"/>
      <c r="AT327" t="str">
        <f t="array" ref="AT327">IF(E327&lt;&gt;"Occupied","",_xlfn.IFS(AND(ISNUMBER(AC327),AC327&lt;&gt;0),"Structured",ISNUMBER(SEARCH("/mo con",T327)),"Notes-parsed",ISNUMBER(SEARCH("step",T327)),"Step-up",ISNUMBER(SEARCH("swap",T327)),"Rate-swap",AND(ISNUMBER(I327),ISNUMBER(J327),I327&gt;J327),"Implied",TRUE(),""))</f>
        <v/>
      </c>
      <c r="AU327" s="769" t="str">
        <f t="shared" si="66"/>
        <v/>
      </c>
      <c r="AV327" s="775">
        <f t="shared" si="67"/>
        <v>0</v>
      </c>
    </row>
    <row r="328" spans="7:48" ht="15" customHeight="1" outlineLevel="1" x14ac:dyDescent="0.25">
      <c r="G328" s="421"/>
      <c r="H328" s="421"/>
      <c r="I328" s="769"/>
      <c r="J328" s="769"/>
      <c r="K328" s="769">
        <f t="shared" si="57"/>
        <v>0</v>
      </c>
      <c r="L328" s="769">
        <f t="shared" si="58"/>
        <v>0</v>
      </c>
      <c r="M328" s="769"/>
      <c r="N328" s="769"/>
      <c r="O328" s="769"/>
      <c r="P328" s="769"/>
      <c r="Q328" s="769"/>
      <c r="R328" s="769"/>
      <c r="U328" s="770"/>
      <c r="V328" s="771">
        <f t="shared" si="59"/>
        <v>0</v>
      </c>
      <c r="W328" s="771">
        <f t="shared" si="60"/>
        <v>0</v>
      </c>
      <c r="X328" t="str">
        <f t="shared" si="61"/>
        <v/>
      </c>
      <c r="Y328" t="str">
        <f t="shared" si="62"/>
        <v/>
      </c>
      <c r="AA328" s="769">
        <f t="shared" si="63"/>
        <v>0</v>
      </c>
      <c r="AB328" s="772">
        <f t="shared" si="64"/>
        <v>0</v>
      </c>
      <c r="AC328" s="769"/>
      <c r="AD328" s="421"/>
      <c r="AE328" s="769"/>
      <c r="AF328" s="769"/>
      <c r="AG328" s="769"/>
      <c r="AH328" s="769"/>
      <c r="AI328" s="769"/>
      <c r="AJ328" s="769"/>
      <c r="AK328" s="769"/>
      <c r="AL328" s="769"/>
      <c r="AM328" s="769"/>
      <c r="AN328" s="769"/>
      <c r="AO328" s="773"/>
      <c r="AP328" s="774">
        <f t="shared" si="65"/>
        <v>0</v>
      </c>
      <c r="AQ328" s="439"/>
      <c r="AS328" s="771"/>
      <c r="AT328" t="str">
        <f t="array" ref="AT328">IF(E328&lt;&gt;"Occupied","",_xlfn.IFS(AND(ISNUMBER(AC328),AC328&lt;&gt;0),"Structured",ISNUMBER(SEARCH("/mo con",T328)),"Notes-parsed",ISNUMBER(SEARCH("step",T328)),"Step-up",ISNUMBER(SEARCH("swap",T328)),"Rate-swap",AND(ISNUMBER(I328),ISNUMBER(J328),I328&gt;J328),"Implied",TRUE(),""))</f>
        <v/>
      </c>
      <c r="AU328" s="769" t="str">
        <f t="shared" si="66"/>
        <v/>
      </c>
      <c r="AV328" s="775">
        <f t="shared" si="67"/>
        <v>0</v>
      </c>
    </row>
    <row r="329" spans="7:48" ht="15" customHeight="1" outlineLevel="1" x14ac:dyDescent="0.25">
      <c r="G329" s="421"/>
      <c r="H329" s="421"/>
      <c r="I329" s="769"/>
      <c r="J329" s="769"/>
      <c r="K329" s="769">
        <f t="shared" si="57"/>
        <v>0</v>
      </c>
      <c r="L329" s="769">
        <f t="shared" si="58"/>
        <v>0</v>
      </c>
      <c r="M329" s="769"/>
      <c r="N329" s="769"/>
      <c r="O329" s="769"/>
      <c r="P329" s="769"/>
      <c r="Q329" s="769"/>
      <c r="R329" s="769"/>
      <c r="U329" s="770"/>
      <c r="V329" s="771">
        <f t="shared" si="59"/>
        <v>0</v>
      </c>
      <c r="W329" s="771">
        <f t="shared" si="60"/>
        <v>0</v>
      </c>
      <c r="X329" t="str">
        <f t="shared" si="61"/>
        <v/>
      </c>
      <c r="Y329" t="str">
        <f t="shared" si="62"/>
        <v/>
      </c>
      <c r="AA329" s="769">
        <f t="shared" si="63"/>
        <v>0</v>
      </c>
      <c r="AB329" s="772">
        <f t="shared" si="64"/>
        <v>0</v>
      </c>
      <c r="AC329" s="769"/>
      <c r="AD329" s="421"/>
      <c r="AE329" s="769"/>
      <c r="AF329" s="769"/>
      <c r="AG329" s="769"/>
      <c r="AH329" s="769"/>
      <c r="AI329" s="769"/>
      <c r="AJ329" s="769"/>
      <c r="AK329" s="769"/>
      <c r="AL329" s="769"/>
      <c r="AM329" s="769"/>
      <c r="AN329" s="769"/>
      <c r="AO329" s="773"/>
      <c r="AP329" s="774">
        <f t="shared" si="65"/>
        <v>0</v>
      </c>
      <c r="AQ329" s="439"/>
      <c r="AS329" s="771"/>
      <c r="AT329" t="str">
        <f t="array" ref="AT329">IF(E329&lt;&gt;"Occupied","",_xlfn.IFS(AND(ISNUMBER(AC329),AC329&lt;&gt;0),"Structured",ISNUMBER(SEARCH("/mo con",T329)),"Notes-parsed",ISNUMBER(SEARCH("step",T329)),"Step-up",ISNUMBER(SEARCH("swap",T329)),"Rate-swap",AND(ISNUMBER(I329),ISNUMBER(J329),I329&gt;J329),"Implied",TRUE(),""))</f>
        <v/>
      </c>
      <c r="AU329" s="769" t="str">
        <f t="shared" si="66"/>
        <v/>
      </c>
      <c r="AV329" s="775">
        <f t="shared" si="67"/>
        <v>0</v>
      </c>
    </row>
    <row r="330" spans="7:48" ht="15" customHeight="1" outlineLevel="1" x14ac:dyDescent="0.25">
      <c r="G330" s="421"/>
      <c r="H330" s="421"/>
      <c r="I330" s="769"/>
      <c r="J330" s="769"/>
      <c r="K330" s="769">
        <f t="shared" si="57"/>
        <v>0</v>
      </c>
      <c r="L330" s="769">
        <f t="shared" si="58"/>
        <v>0</v>
      </c>
      <c r="M330" s="769"/>
      <c r="N330" s="769"/>
      <c r="O330" s="769"/>
      <c r="P330" s="769"/>
      <c r="Q330" s="769"/>
      <c r="R330" s="769"/>
      <c r="U330" s="770"/>
      <c r="V330" s="771">
        <f t="shared" si="59"/>
        <v>0</v>
      </c>
      <c r="W330" s="771">
        <f t="shared" si="60"/>
        <v>0</v>
      </c>
      <c r="X330" t="str">
        <f t="shared" si="61"/>
        <v/>
      </c>
      <c r="Y330" t="str">
        <f t="shared" si="62"/>
        <v/>
      </c>
      <c r="AA330" s="769">
        <f t="shared" si="63"/>
        <v>0</v>
      </c>
      <c r="AB330" s="772">
        <f t="shared" si="64"/>
        <v>0</v>
      </c>
      <c r="AC330" s="769"/>
      <c r="AD330" s="421"/>
      <c r="AE330" s="769"/>
      <c r="AF330" s="769"/>
      <c r="AG330" s="769"/>
      <c r="AH330" s="769"/>
      <c r="AI330" s="769"/>
      <c r="AJ330" s="769"/>
      <c r="AK330" s="769"/>
      <c r="AL330" s="769"/>
      <c r="AM330" s="769"/>
      <c r="AN330" s="769"/>
      <c r="AO330" s="773"/>
      <c r="AP330" s="774">
        <f t="shared" si="65"/>
        <v>0</v>
      </c>
      <c r="AQ330" s="439"/>
      <c r="AS330" s="771"/>
      <c r="AT330" t="str">
        <f t="array" ref="AT330">IF(E330&lt;&gt;"Occupied","",_xlfn.IFS(AND(ISNUMBER(AC330),AC330&lt;&gt;0),"Structured",ISNUMBER(SEARCH("/mo con",T330)),"Notes-parsed",ISNUMBER(SEARCH("step",T330)),"Step-up",ISNUMBER(SEARCH("swap",T330)),"Rate-swap",AND(ISNUMBER(I330),ISNUMBER(J330),I330&gt;J330),"Implied",TRUE(),""))</f>
        <v/>
      </c>
      <c r="AU330" s="769" t="str">
        <f t="shared" si="66"/>
        <v/>
      </c>
      <c r="AV330" s="775">
        <f t="shared" si="67"/>
        <v>0</v>
      </c>
    </row>
    <row r="331" spans="7:48" ht="15" customHeight="1" outlineLevel="1" x14ac:dyDescent="0.25">
      <c r="G331" s="421"/>
      <c r="H331" s="421"/>
      <c r="I331" s="769"/>
      <c r="J331" s="769"/>
      <c r="K331" s="769">
        <f t="shared" si="57"/>
        <v>0</v>
      </c>
      <c r="L331" s="769">
        <f t="shared" si="58"/>
        <v>0</v>
      </c>
      <c r="M331" s="769"/>
      <c r="N331" s="769"/>
      <c r="O331" s="769"/>
      <c r="P331" s="769"/>
      <c r="Q331" s="769"/>
      <c r="R331" s="769"/>
      <c r="U331" s="770"/>
      <c r="V331" s="771">
        <f t="shared" si="59"/>
        <v>0</v>
      </c>
      <c r="W331" s="771">
        <f t="shared" si="60"/>
        <v>0</v>
      </c>
      <c r="X331" t="str">
        <f t="shared" si="61"/>
        <v/>
      </c>
      <c r="Y331" t="str">
        <f t="shared" si="62"/>
        <v/>
      </c>
      <c r="AA331" s="769">
        <f t="shared" si="63"/>
        <v>0</v>
      </c>
      <c r="AB331" s="772">
        <f t="shared" si="64"/>
        <v>0</v>
      </c>
      <c r="AC331" s="769"/>
      <c r="AD331" s="421"/>
      <c r="AE331" s="769"/>
      <c r="AF331" s="769"/>
      <c r="AG331" s="769"/>
      <c r="AH331" s="769"/>
      <c r="AI331" s="769"/>
      <c r="AJ331" s="769"/>
      <c r="AK331" s="769"/>
      <c r="AL331" s="769"/>
      <c r="AM331" s="769"/>
      <c r="AN331" s="769"/>
      <c r="AO331" s="773"/>
      <c r="AP331" s="774">
        <f t="shared" si="65"/>
        <v>0</v>
      </c>
      <c r="AQ331" s="439"/>
      <c r="AS331" s="771"/>
      <c r="AT331" t="str">
        <f t="array" ref="AT331">IF(E331&lt;&gt;"Occupied","",_xlfn.IFS(AND(ISNUMBER(AC331),AC331&lt;&gt;0),"Structured",ISNUMBER(SEARCH("/mo con",T331)),"Notes-parsed",ISNUMBER(SEARCH("step",T331)),"Step-up",ISNUMBER(SEARCH("swap",T331)),"Rate-swap",AND(ISNUMBER(I331),ISNUMBER(J331),I331&gt;J331),"Implied",TRUE(),""))</f>
        <v/>
      </c>
      <c r="AU331" s="769" t="str">
        <f t="shared" si="66"/>
        <v/>
      </c>
      <c r="AV331" s="775">
        <f t="shared" si="67"/>
        <v>0</v>
      </c>
    </row>
    <row r="332" spans="7:48" ht="15" customHeight="1" outlineLevel="1" x14ac:dyDescent="0.25">
      <c r="G332" s="421"/>
      <c r="H332" s="421"/>
      <c r="I332" s="769"/>
      <c r="J332" s="769"/>
      <c r="K332" s="769">
        <f t="shared" si="57"/>
        <v>0</v>
      </c>
      <c r="L332" s="769">
        <f t="shared" si="58"/>
        <v>0</v>
      </c>
      <c r="M332" s="769"/>
      <c r="N332" s="769"/>
      <c r="O332" s="769"/>
      <c r="P332" s="769"/>
      <c r="Q332" s="769"/>
      <c r="R332" s="769"/>
      <c r="U332" s="770"/>
      <c r="V332" s="771">
        <f t="shared" si="59"/>
        <v>0</v>
      </c>
      <c r="W332" s="771">
        <f t="shared" si="60"/>
        <v>0</v>
      </c>
      <c r="X332" t="str">
        <f t="shared" si="61"/>
        <v/>
      </c>
      <c r="Y332" t="str">
        <f t="shared" si="62"/>
        <v/>
      </c>
      <c r="AA332" s="769">
        <f t="shared" si="63"/>
        <v>0</v>
      </c>
      <c r="AB332" s="772">
        <f t="shared" si="64"/>
        <v>0</v>
      </c>
      <c r="AC332" s="769"/>
      <c r="AD332" s="421"/>
      <c r="AE332" s="769"/>
      <c r="AF332" s="769"/>
      <c r="AG332" s="769"/>
      <c r="AH332" s="769"/>
      <c r="AI332" s="769"/>
      <c r="AJ332" s="769"/>
      <c r="AK332" s="769"/>
      <c r="AL332" s="769"/>
      <c r="AM332" s="769"/>
      <c r="AN332" s="769"/>
      <c r="AO332" s="773"/>
      <c r="AP332" s="774">
        <f t="shared" si="65"/>
        <v>0</v>
      </c>
      <c r="AQ332" s="439"/>
      <c r="AS332" s="771"/>
      <c r="AT332" t="str">
        <f t="array" ref="AT332">IF(E332&lt;&gt;"Occupied","",_xlfn.IFS(AND(ISNUMBER(AC332),AC332&lt;&gt;0),"Structured",ISNUMBER(SEARCH("/mo con",T332)),"Notes-parsed",ISNUMBER(SEARCH("step",T332)),"Step-up",ISNUMBER(SEARCH("swap",T332)),"Rate-swap",AND(ISNUMBER(I332),ISNUMBER(J332),I332&gt;J332),"Implied",TRUE(),""))</f>
        <v/>
      </c>
      <c r="AU332" s="769" t="str">
        <f t="shared" si="66"/>
        <v/>
      </c>
      <c r="AV332" s="775">
        <f t="shared" si="67"/>
        <v>0</v>
      </c>
    </row>
    <row r="333" spans="7:48" ht="15" customHeight="1" outlineLevel="1" x14ac:dyDescent="0.25">
      <c r="G333" s="421"/>
      <c r="H333" s="421"/>
      <c r="I333" s="769"/>
      <c r="J333" s="769"/>
      <c r="K333" s="769">
        <f t="shared" si="57"/>
        <v>0</v>
      </c>
      <c r="L333" s="769">
        <f t="shared" si="58"/>
        <v>0</v>
      </c>
      <c r="M333" s="769"/>
      <c r="N333" s="769"/>
      <c r="O333" s="769"/>
      <c r="P333" s="769"/>
      <c r="Q333" s="769"/>
      <c r="R333" s="769"/>
      <c r="U333" s="770"/>
      <c r="V333" s="771">
        <f t="shared" si="59"/>
        <v>0</v>
      </c>
      <c r="W333" s="771">
        <f t="shared" si="60"/>
        <v>0</v>
      </c>
      <c r="X333" t="str">
        <f t="shared" si="61"/>
        <v/>
      </c>
      <c r="Y333" t="str">
        <f t="shared" si="62"/>
        <v/>
      </c>
      <c r="AA333" s="769">
        <f t="shared" si="63"/>
        <v>0</v>
      </c>
      <c r="AB333" s="772">
        <f t="shared" si="64"/>
        <v>0</v>
      </c>
      <c r="AC333" s="769"/>
      <c r="AD333" s="421"/>
      <c r="AE333" s="769"/>
      <c r="AF333" s="769"/>
      <c r="AG333" s="769"/>
      <c r="AH333" s="769"/>
      <c r="AI333" s="769"/>
      <c r="AJ333" s="769"/>
      <c r="AK333" s="769"/>
      <c r="AL333" s="769"/>
      <c r="AM333" s="769"/>
      <c r="AN333" s="769"/>
      <c r="AO333" s="773"/>
      <c r="AP333" s="774">
        <f t="shared" si="65"/>
        <v>0</v>
      </c>
      <c r="AQ333" s="439"/>
      <c r="AS333" s="771"/>
      <c r="AT333" t="str">
        <f t="array" ref="AT333">IF(E333&lt;&gt;"Occupied","",_xlfn.IFS(AND(ISNUMBER(AC333),AC333&lt;&gt;0),"Structured",ISNUMBER(SEARCH("/mo con",T333)),"Notes-parsed",ISNUMBER(SEARCH("step",T333)),"Step-up",ISNUMBER(SEARCH("swap",T333)),"Rate-swap",AND(ISNUMBER(I333),ISNUMBER(J333),I333&gt;J333),"Implied",TRUE(),""))</f>
        <v/>
      </c>
      <c r="AU333" s="769" t="str">
        <f t="shared" si="66"/>
        <v/>
      </c>
      <c r="AV333" s="775">
        <f t="shared" si="67"/>
        <v>0</v>
      </c>
    </row>
    <row r="334" spans="7:48" ht="15" customHeight="1" outlineLevel="1" x14ac:dyDescent="0.25">
      <c r="G334" s="421"/>
      <c r="H334" s="421"/>
      <c r="I334" s="769"/>
      <c r="J334" s="769"/>
      <c r="K334" s="769">
        <f t="shared" si="57"/>
        <v>0</v>
      </c>
      <c r="L334" s="769">
        <f t="shared" si="58"/>
        <v>0</v>
      </c>
      <c r="M334" s="769"/>
      <c r="N334" s="769"/>
      <c r="O334" s="769"/>
      <c r="P334" s="769"/>
      <c r="Q334" s="769"/>
      <c r="R334" s="769"/>
      <c r="U334" s="770"/>
      <c r="V334" s="771">
        <f t="shared" si="59"/>
        <v>0</v>
      </c>
      <c r="W334" s="771">
        <f t="shared" si="60"/>
        <v>0</v>
      </c>
      <c r="X334" t="str">
        <f t="shared" si="61"/>
        <v/>
      </c>
      <c r="Y334" t="str">
        <f t="shared" si="62"/>
        <v/>
      </c>
      <c r="AA334" s="769">
        <f t="shared" si="63"/>
        <v>0</v>
      </c>
      <c r="AB334" s="772">
        <f t="shared" si="64"/>
        <v>0</v>
      </c>
      <c r="AC334" s="769"/>
      <c r="AD334" s="421"/>
      <c r="AE334" s="769"/>
      <c r="AF334" s="769"/>
      <c r="AG334" s="769"/>
      <c r="AH334" s="769"/>
      <c r="AI334" s="769"/>
      <c r="AJ334" s="769"/>
      <c r="AK334" s="769"/>
      <c r="AL334" s="769"/>
      <c r="AM334" s="769"/>
      <c r="AN334" s="769"/>
      <c r="AO334" s="773"/>
      <c r="AP334" s="774">
        <f t="shared" si="65"/>
        <v>0</v>
      </c>
      <c r="AQ334" s="439"/>
      <c r="AS334" s="771"/>
      <c r="AT334" t="str">
        <f t="array" ref="AT334">IF(E334&lt;&gt;"Occupied","",_xlfn.IFS(AND(ISNUMBER(AC334),AC334&lt;&gt;0),"Structured",ISNUMBER(SEARCH("/mo con",T334)),"Notes-parsed",ISNUMBER(SEARCH("step",T334)),"Step-up",ISNUMBER(SEARCH("swap",T334)),"Rate-swap",AND(ISNUMBER(I334),ISNUMBER(J334),I334&gt;J334),"Implied",TRUE(),""))</f>
        <v/>
      </c>
      <c r="AU334" s="769" t="str">
        <f t="shared" si="66"/>
        <v/>
      </c>
      <c r="AV334" s="775">
        <f t="shared" si="67"/>
        <v>0</v>
      </c>
    </row>
    <row r="335" spans="7:48" ht="15" customHeight="1" outlineLevel="1" x14ac:dyDescent="0.25">
      <c r="G335" s="421"/>
      <c r="H335" s="421"/>
      <c r="I335" s="769"/>
      <c r="J335" s="769"/>
      <c r="K335" s="769">
        <f t="shared" si="57"/>
        <v>0</v>
      </c>
      <c r="L335" s="769">
        <f t="shared" si="58"/>
        <v>0</v>
      </c>
      <c r="M335" s="769"/>
      <c r="N335" s="769"/>
      <c r="O335" s="769"/>
      <c r="P335" s="769"/>
      <c r="Q335" s="769"/>
      <c r="R335" s="769"/>
      <c r="U335" s="770"/>
      <c r="V335" s="771">
        <f t="shared" si="59"/>
        <v>0</v>
      </c>
      <c r="W335" s="771">
        <f t="shared" si="60"/>
        <v>0</v>
      </c>
      <c r="X335" t="str">
        <f t="shared" si="61"/>
        <v/>
      </c>
      <c r="Y335" t="str">
        <f t="shared" si="62"/>
        <v/>
      </c>
      <c r="AA335" s="769">
        <f t="shared" si="63"/>
        <v>0</v>
      </c>
      <c r="AB335" s="772">
        <f t="shared" si="64"/>
        <v>0</v>
      </c>
      <c r="AC335" s="769"/>
      <c r="AD335" s="421"/>
      <c r="AE335" s="769"/>
      <c r="AF335" s="769"/>
      <c r="AG335" s="769"/>
      <c r="AH335" s="769"/>
      <c r="AI335" s="769"/>
      <c r="AJ335" s="769"/>
      <c r="AK335" s="769"/>
      <c r="AL335" s="769"/>
      <c r="AM335" s="769"/>
      <c r="AN335" s="769"/>
      <c r="AO335" s="773"/>
      <c r="AP335" s="774">
        <f t="shared" si="65"/>
        <v>0</v>
      </c>
      <c r="AQ335" s="439"/>
      <c r="AS335" s="771"/>
      <c r="AT335" t="str">
        <f t="array" ref="AT335">IF(E335&lt;&gt;"Occupied","",_xlfn.IFS(AND(ISNUMBER(AC335),AC335&lt;&gt;0),"Structured",ISNUMBER(SEARCH("/mo con",T335)),"Notes-parsed",ISNUMBER(SEARCH("step",T335)),"Step-up",ISNUMBER(SEARCH("swap",T335)),"Rate-swap",AND(ISNUMBER(I335),ISNUMBER(J335),I335&gt;J335),"Implied",TRUE(),""))</f>
        <v/>
      </c>
      <c r="AU335" s="769" t="str">
        <f t="shared" si="66"/>
        <v/>
      </c>
      <c r="AV335" s="775">
        <f t="shared" si="67"/>
        <v>0</v>
      </c>
    </row>
    <row r="336" spans="7:48" ht="15" customHeight="1" outlineLevel="1" x14ac:dyDescent="0.25">
      <c r="G336" s="421"/>
      <c r="H336" s="421"/>
      <c r="I336" s="769"/>
      <c r="J336" s="769"/>
      <c r="K336" s="769">
        <f t="shared" si="57"/>
        <v>0</v>
      </c>
      <c r="L336" s="769">
        <f t="shared" si="58"/>
        <v>0</v>
      </c>
      <c r="M336" s="769"/>
      <c r="N336" s="769"/>
      <c r="O336" s="769"/>
      <c r="P336" s="769"/>
      <c r="Q336" s="769"/>
      <c r="R336" s="769"/>
      <c r="U336" s="770"/>
      <c r="V336" s="771">
        <f t="shared" si="59"/>
        <v>0</v>
      </c>
      <c r="W336" s="771">
        <f t="shared" si="60"/>
        <v>0</v>
      </c>
      <c r="X336" t="str">
        <f t="shared" si="61"/>
        <v/>
      </c>
      <c r="Y336" t="str">
        <f t="shared" si="62"/>
        <v/>
      </c>
      <c r="AA336" s="769">
        <f t="shared" si="63"/>
        <v>0</v>
      </c>
      <c r="AB336" s="772">
        <f t="shared" si="64"/>
        <v>0</v>
      </c>
      <c r="AC336" s="769"/>
      <c r="AD336" s="421"/>
      <c r="AE336" s="769"/>
      <c r="AF336" s="769"/>
      <c r="AG336" s="769"/>
      <c r="AH336" s="769"/>
      <c r="AI336" s="769"/>
      <c r="AJ336" s="769"/>
      <c r="AK336" s="769"/>
      <c r="AL336" s="769"/>
      <c r="AM336" s="769"/>
      <c r="AN336" s="769"/>
      <c r="AO336" s="773"/>
      <c r="AP336" s="774">
        <f t="shared" si="65"/>
        <v>0</v>
      </c>
      <c r="AQ336" s="439"/>
      <c r="AS336" s="771"/>
      <c r="AT336" t="str">
        <f t="array" ref="AT336">IF(E336&lt;&gt;"Occupied","",_xlfn.IFS(AND(ISNUMBER(AC336),AC336&lt;&gt;0),"Structured",ISNUMBER(SEARCH("/mo con",T336)),"Notes-parsed",ISNUMBER(SEARCH("step",T336)),"Step-up",ISNUMBER(SEARCH("swap",T336)),"Rate-swap",AND(ISNUMBER(I336),ISNUMBER(J336),I336&gt;J336),"Implied",TRUE(),""))</f>
        <v/>
      </c>
      <c r="AU336" s="769" t="str">
        <f t="shared" si="66"/>
        <v/>
      </c>
      <c r="AV336" s="775">
        <f t="shared" si="67"/>
        <v>0</v>
      </c>
    </row>
    <row r="337" spans="7:48" ht="15" customHeight="1" outlineLevel="1" x14ac:dyDescent="0.25">
      <c r="G337" s="421"/>
      <c r="H337" s="421"/>
      <c r="I337" s="769"/>
      <c r="J337" s="769"/>
      <c r="K337" s="769">
        <f t="shared" si="57"/>
        <v>0</v>
      </c>
      <c r="L337" s="769">
        <f t="shared" si="58"/>
        <v>0</v>
      </c>
      <c r="M337" s="769"/>
      <c r="N337" s="769"/>
      <c r="O337" s="769"/>
      <c r="P337" s="769"/>
      <c r="Q337" s="769"/>
      <c r="R337" s="769"/>
      <c r="U337" s="770"/>
      <c r="V337" s="771">
        <f t="shared" si="59"/>
        <v>0</v>
      </c>
      <c r="W337" s="771">
        <f t="shared" si="60"/>
        <v>0</v>
      </c>
      <c r="X337" t="str">
        <f t="shared" si="61"/>
        <v/>
      </c>
      <c r="Y337" t="str">
        <f t="shared" si="62"/>
        <v/>
      </c>
      <c r="AA337" s="769">
        <f t="shared" si="63"/>
        <v>0</v>
      </c>
      <c r="AB337" s="772">
        <f t="shared" si="64"/>
        <v>0</v>
      </c>
      <c r="AC337" s="769"/>
      <c r="AD337" s="421"/>
      <c r="AE337" s="769"/>
      <c r="AF337" s="769"/>
      <c r="AG337" s="769"/>
      <c r="AH337" s="769"/>
      <c r="AI337" s="769"/>
      <c r="AJ337" s="769"/>
      <c r="AK337" s="769"/>
      <c r="AL337" s="769"/>
      <c r="AM337" s="769"/>
      <c r="AN337" s="769"/>
      <c r="AO337" s="773"/>
      <c r="AP337" s="774">
        <f t="shared" si="65"/>
        <v>0</v>
      </c>
      <c r="AQ337" s="439"/>
      <c r="AS337" s="771"/>
      <c r="AT337" t="str">
        <f t="array" ref="AT337">IF(E337&lt;&gt;"Occupied","",_xlfn.IFS(AND(ISNUMBER(AC337),AC337&lt;&gt;0),"Structured",ISNUMBER(SEARCH("/mo con",T337)),"Notes-parsed",ISNUMBER(SEARCH("step",T337)),"Step-up",ISNUMBER(SEARCH("swap",T337)),"Rate-swap",AND(ISNUMBER(I337),ISNUMBER(J337),I337&gt;J337),"Implied",TRUE(),""))</f>
        <v/>
      </c>
      <c r="AU337" s="769" t="str">
        <f t="shared" si="66"/>
        <v/>
      </c>
      <c r="AV337" s="775">
        <f t="shared" si="67"/>
        <v>0</v>
      </c>
    </row>
    <row r="338" spans="7:48" ht="15" customHeight="1" outlineLevel="1" x14ac:dyDescent="0.25">
      <c r="G338" s="421"/>
      <c r="H338" s="421"/>
      <c r="I338" s="769"/>
      <c r="J338" s="769"/>
      <c r="K338" s="769">
        <f t="shared" si="57"/>
        <v>0</v>
      </c>
      <c r="L338" s="769">
        <f t="shared" si="58"/>
        <v>0</v>
      </c>
      <c r="M338" s="769"/>
      <c r="N338" s="769"/>
      <c r="O338" s="769"/>
      <c r="P338" s="769"/>
      <c r="Q338" s="769"/>
      <c r="R338" s="769"/>
      <c r="U338" s="770"/>
      <c r="V338" s="771">
        <f t="shared" si="59"/>
        <v>0</v>
      </c>
      <c r="W338" s="771">
        <f t="shared" si="60"/>
        <v>0</v>
      </c>
      <c r="X338" t="str">
        <f t="shared" si="61"/>
        <v/>
      </c>
      <c r="Y338" t="str">
        <f t="shared" si="62"/>
        <v/>
      </c>
      <c r="AA338" s="769">
        <f t="shared" si="63"/>
        <v>0</v>
      </c>
      <c r="AB338" s="772">
        <f t="shared" si="64"/>
        <v>0</v>
      </c>
      <c r="AC338" s="769"/>
      <c r="AD338" s="421"/>
      <c r="AE338" s="769"/>
      <c r="AF338" s="769"/>
      <c r="AG338" s="769"/>
      <c r="AH338" s="769"/>
      <c r="AI338" s="769"/>
      <c r="AJ338" s="769"/>
      <c r="AK338" s="769"/>
      <c r="AL338" s="769"/>
      <c r="AM338" s="769"/>
      <c r="AN338" s="769"/>
      <c r="AO338" s="773"/>
      <c r="AP338" s="774">
        <f t="shared" si="65"/>
        <v>0</v>
      </c>
      <c r="AQ338" s="439"/>
      <c r="AS338" s="771"/>
      <c r="AT338" t="str">
        <f t="array" ref="AT338">IF(E338&lt;&gt;"Occupied","",_xlfn.IFS(AND(ISNUMBER(AC338),AC338&lt;&gt;0),"Structured",ISNUMBER(SEARCH("/mo con",T338)),"Notes-parsed",ISNUMBER(SEARCH("step",T338)),"Step-up",ISNUMBER(SEARCH("swap",T338)),"Rate-swap",AND(ISNUMBER(I338),ISNUMBER(J338),I338&gt;J338),"Implied",TRUE(),""))</f>
        <v/>
      </c>
      <c r="AU338" s="769" t="str">
        <f t="shared" si="66"/>
        <v/>
      </c>
      <c r="AV338" s="775">
        <f t="shared" si="67"/>
        <v>0</v>
      </c>
    </row>
    <row r="339" spans="7:48" ht="15" customHeight="1" outlineLevel="1" x14ac:dyDescent="0.25">
      <c r="G339" s="421"/>
      <c r="H339" s="421"/>
      <c r="I339" s="769"/>
      <c r="J339" s="769"/>
      <c r="K339" s="769">
        <f t="shared" si="57"/>
        <v>0</v>
      </c>
      <c r="L339" s="769">
        <f t="shared" si="58"/>
        <v>0</v>
      </c>
      <c r="M339" s="769"/>
      <c r="N339" s="769"/>
      <c r="O339" s="769"/>
      <c r="P339" s="769"/>
      <c r="Q339" s="769"/>
      <c r="R339" s="769"/>
      <c r="U339" s="770"/>
      <c r="V339" s="771">
        <f t="shared" si="59"/>
        <v>0</v>
      </c>
      <c r="W339" s="771">
        <f t="shared" si="60"/>
        <v>0</v>
      </c>
      <c r="X339" t="str">
        <f t="shared" si="61"/>
        <v/>
      </c>
      <c r="Y339" t="str">
        <f t="shared" si="62"/>
        <v/>
      </c>
      <c r="AA339" s="769">
        <f t="shared" si="63"/>
        <v>0</v>
      </c>
      <c r="AB339" s="772">
        <f t="shared" si="64"/>
        <v>0</v>
      </c>
      <c r="AC339" s="769"/>
      <c r="AD339" s="421"/>
      <c r="AE339" s="769"/>
      <c r="AF339" s="769"/>
      <c r="AG339" s="769"/>
      <c r="AH339" s="769"/>
      <c r="AI339" s="769"/>
      <c r="AJ339" s="769"/>
      <c r="AK339" s="769"/>
      <c r="AL339" s="769"/>
      <c r="AM339" s="769"/>
      <c r="AN339" s="769"/>
      <c r="AO339" s="773"/>
      <c r="AP339" s="774">
        <f t="shared" si="65"/>
        <v>0</v>
      </c>
      <c r="AQ339" s="439"/>
      <c r="AS339" s="771"/>
      <c r="AT339" t="str">
        <f t="array" ref="AT339">IF(E339&lt;&gt;"Occupied","",_xlfn.IFS(AND(ISNUMBER(AC339),AC339&lt;&gt;0),"Structured",ISNUMBER(SEARCH("/mo con",T339)),"Notes-parsed",ISNUMBER(SEARCH("step",T339)),"Step-up",ISNUMBER(SEARCH("swap",T339)),"Rate-swap",AND(ISNUMBER(I339),ISNUMBER(J339),I339&gt;J339),"Implied",TRUE(),""))</f>
        <v/>
      </c>
      <c r="AU339" s="769" t="str">
        <f t="shared" si="66"/>
        <v/>
      </c>
      <c r="AV339" s="775">
        <f t="shared" si="67"/>
        <v>0</v>
      </c>
    </row>
    <row r="340" spans="7:48" ht="15" customHeight="1" outlineLevel="1" x14ac:dyDescent="0.25">
      <c r="G340" s="421"/>
      <c r="H340" s="421"/>
      <c r="I340" s="769"/>
      <c r="J340" s="769"/>
      <c r="K340" s="769">
        <f t="shared" si="57"/>
        <v>0</v>
      </c>
      <c r="L340" s="769">
        <f t="shared" si="58"/>
        <v>0</v>
      </c>
      <c r="M340" s="769"/>
      <c r="N340" s="769"/>
      <c r="O340" s="769"/>
      <c r="P340" s="769"/>
      <c r="Q340" s="769"/>
      <c r="R340" s="769"/>
      <c r="U340" s="770"/>
      <c r="V340" s="771">
        <f t="shared" si="59"/>
        <v>0</v>
      </c>
      <c r="W340" s="771">
        <f t="shared" si="60"/>
        <v>0</v>
      </c>
      <c r="X340" t="str">
        <f t="shared" si="61"/>
        <v/>
      </c>
      <c r="Y340" t="str">
        <f t="shared" si="62"/>
        <v/>
      </c>
      <c r="AA340" s="769">
        <f t="shared" si="63"/>
        <v>0</v>
      </c>
      <c r="AB340" s="772">
        <f t="shared" si="64"/>
        <v>0</v>
      </c>
      <c r="AC340" s="769"/>
      <c r="AD340" s="421"/>
      <c r="AE340" s="769"/>
      <c r="AF340" s="769"/>
      <c r="AG340" s="769"/>
      <c r="AH340" s="769"/>
      <c r="AI340" s="769"/>
      <c r="AJ340" s="769"/>
      <c r="AK340" s="769"/>
      <c r="AL340" s="769"/>
      <c r="AM340" s="769"/>
      <c r="AN340" s="769"/>
      <c r="AO340" s="773"/>
      <c r="AP340" s="774">
        <f t="shared" si="65"/>
        <v>0</v>
      </c>
      <c r="AQ340" s="439"/>
      <c r="AS340" s="771"/>
      <c r="AT340" t="str">
        <f t="array" ref="AT340">IF(E340&lt;&gt;"Occupied","",_xlfn.IFS(AND(ISNUMBER(AC340),AC340&lt;&gt;0),"Structured",ISNUMBER(SEARCH("/mo con",T340)),"Notes-parsed",ISNUMBER(SEARCH("step",T340)),"Step-up",ISNUMBER(SEARCH("swap",T340)),"Rate-swap",AND(ISNUMBER(I340),ISNUMBER(J340),I340&gt;J340),"Implied",TRUE(),""))</f>
        <v/>
      </c>
      <c r="AU340" s="769" t="str">
        <f t="shared" si="66"/>
        <v/>
      </c>
      <c r="AV340" s="775">
        <f t="shared" si="67"/>
        <v>0</v>
      </c>
    </row>
    <row r="341" spans="7:48" ht="15" customHeight="1" outlineLevel="1" x14ac:dyDescent="0.25">
      <c r="G341" s="421"/>
      <c r="H341" s="421"/>
      <c r="I341" s="769"/>
      <c r="J341" s="769"/>
      <c r="K341" s="769">
        <f t="shared" si="57"/>
        <v>0</v>
      </c>
      <c r="L341" s="769">
        <f t="shared" si="58"/>
        <v>0</v>
      </c>
      <c r="M341" s="769"/>
      <c r="N341" s="769"/>
      <c r="O341" s="769"/>
      <c r="P341" s="769"/>
      <c r="Q341" s="769"/>
      <c r="R341" s="769"/>
      <c r="U341" s="770"/>
      <c r="V341" s="771">
        <f t="shared" si="59"/>
        <v>0</v>
      </c>
      <c r="W341" s="771">
        <f t="shared" si="60"/>
        <v>0</v>
      </c>
      <c r="X341" t="str">
        <f t="shared" si="61"/>
        <v/>
      </c>
      <c r="Y341" t="str">
        <f t="shared" si="62"/>
        <v/>
      </c>
      <c r="AA341" s="769">
        <f t="shared" si="63"/>
        <v>0</v>
      </c>
      <c r="AB341" s="772">
        <f t="shared" si="64"/>
        <v>0</v>
      </c>
      <c r="AC341" s="769"/>
      <c r="AD341" s="421"/>
      <c r="AE341" s="769"/>
      <c r="AF341" s="769"/>
      <c r="AG341" s="769"/>
      <c r="AH341" s="769"/>
      <c r="AI341" s="769"/>
      <c r="AJ341" s="769"/>
      <c r="AK341" s="769"/>
      <c r="AL341" s="769"/>
      <c r="AM341" s="769"/>
      <c r="AN341" s="769"/>
      <c r="AO341" s="773"/>
      <c r="AP341" s="774">
        <f t="shared" si="65"/>
        <v>0</v>
      </c>
      <c r="AQ341" s="439"/>
      <c r="AS341" s="771"/>
      <c r="AT341" t="str">
        <f t="array" ref="AT341">IF(E341&lt;&gt;"Occupied","",_xlfn.IFS(AND(ISNUMBER(AC341),AC341&lt;&gt;0),"Structured",ISNUMBER(SEARCH("/mo con",T341)),"Notes-parsed",ISNUMBER(SEARCH("step",T341)),"Step-up",ISNUMBER(SEARCH("swap",T341)),"Rate-swap",AND(ISNUMBER(I341),ISNUMBER(J341),I341&gt;J341),"Implied",TRUE(),""))</f>
        <v/>
      </c>
      <c r="AU341" s="769" t="str">
        <f t="shared" si="66"/>
        <v/>
      </c>
      <c r="AV341" s="775">
        <f t="shared" si="67"/>
        <v>0</v>
      </c>
    </row>
    <row r="342" spans="7:48" ht="15" customHeight="1" outlineLevel="1" x14ac:dyDescent="0.25">
      <c r="G342" s="421"/>
      <c r="H342" s="421"/>
      <c r="I342" s="769"/>
      <c r="J342" s="769"/>
      <c r="K342" s="769">
        <f t="shared" si="57"/>
        <v>0</v>
      </c>
      <c r="L342" s="769">
        <f t="shared" si="58"/>
        <v>0</v>
      </c>
      <c r="M342" s="769"/>
      <c r="N342" s="769"/>
      <c r="O342" s="769"/>
      <c r="P342" s="769"/>
      <c r="Q342" s="769"/>
      <c r="R342" s="769"/>
      <c r="U342" s="770"/>
      <c r="V342" s="771">
        <f t="shared" si="59"/>
        <v>0</v>
      </c>
      <c r="W342" s="771">
        <f t="shared" si="60"/>
        <v>0</v>
      </c>
      <c r="X342" t="str">
        <f t="shared" si="61"/>
        <v/>
      </c>
      <c r="Y342" t="str">
        <f t="shared" si="62"/>
        <v/>
      </c>
      <c r="AA342" s="769">
        <f t="shared" si="63"/>
        <v>0</v>
      </c>
      <c r="AB342" s="772">
        <f t="shared" si="64"/>
        <v>0</v>
      </c>
      <c r="AC342" s="769"/>
      <c r="AD342" s="421"/>
      <c r="AE342" s="769"/>
      <c r="AF342" s="769"/>
      <c r="AG342" s="769"/>
      <c r="AH342" s="769"/>
      <c r="AI342" s="769"/>
      <c r="AJ342" s="769"/>
      <c r="AK342" s="769"/>
      <c r="AL342" s="769"/>
      <c r="AM342" s="769"/>
      <c r="AN342" s="769"/>
      <c r="AO342" s="773"/>
      <c r="AP342" s="774">
        <f t="shared" si="65"/>
        <v>0</v>
      </c>
      <c r="AQ342" s="439"/>
      <c r="AS342" s="771"/>
      <c r="AT342" t="str">
        <f t="array" ref="AT342">IF(E342&lt;&gt;"Occupied","",_xlfn.IFS(AND(ISNUMBER(AC342),AC342&lt;&gt;0),"Structured",ISNUMBER(SEARCH("/mo con",T342)),"Notes-parsed",ISNUMBER(SEARCH("step",T342)),"Step-up",ISNUMBER(SEARCH("swap",T342)),"Rate-swap",AND(ISNUMBER(I342),ISNUMBER(J342),I342&gt;J342),"Implied",TRUE(),""))</f>
        <v/>
      </c>
      <c r="AU342" s="769" t="str">
        <f t="shared" si="66"/>
        <v/>
      </c>
      <c r="AV342" s="775">
        <f t="shared" si="67"/>
        <v>0</v>
      </c>
    </row>
    <row r="343" spans="7:48" ht="15" customHeight="1" outlineLevel="1" x14ac:dyDescent="0.25">
      <c r="G343" s="421"/>
      <c r="H343" s="421"/>
      <c r="I343" s="769"/>
      <c r="J343" s="769"/>
      <c r="K343" s="769">
        <f t="shared" si="57"/>
        <v>0</v>
      </c>
      <c r="L343" s="769">
        <f t="shared" si="58"/>
        <v>0</v>
      </c>
      <c r="M343" s="769"/>
      <c r="N343" s="769"/>
      <c r="O343" s="769"/>
      <c r="P343" s="769"/>
      <c r="Q343" s="769"/>
      <c r="R343" s="769"/>
      <c r="U343" s="770"/>
      <c r="V343" s="771">
        <f t="shared" si="59"/>
        <v>0</v>
      </c>
      <c r="W343" s="771">
        <f t="shared" si="60"/>
        <v>0</v>
      </c>
      <c r="X343" t="str">
        <f t="shared" si="61"/>
        <v/>
      </c>
      <c r="Y343" t="str">
        <f t="shared" si="62"/>
        <v/>
      </c>
      <c r="AA343" s="769">
        <f t="shared" si="63"/>
        <v>0</v>
      </c>
      <c r="AB343" s="772">
        <f t="shared" si="64"/>
        <v>0</v>
      </c>
      <c r="AC343" s="769"/>
      <c r="AD343" s="421"/>
      <c r="AE343" s="769"/>
      <c r="AF343" s="769"/>
      <c r="AG343" s="769"/>
      <c r="AH343" s="769"/>
      <c r="AI343" s="769"/>
      <c r="AJ343" s="769"/>
      <c r="AK343" s="769"/>
      <c r="AL343" s="769"/>
      <c r="AM343" s="769"/>
      <c r="AN343" s="769"/>
      <c r="AO343" s="773"/>
      <c r="AP343" s="774">
        <f t="shared" si="65"/>
        <v>0</v>
      </c>
      <c r="AQ343" s="439"/>
      <c r="AS343" s="771"/>
      <c r="AT343" t="str">
        <f t="array" ref="AT343">IF(E343&lt;&gt;"Occupied","",_xlfn.IFS(AND(ISNUMBER(AC343),AC343&lt;&gt;0),"Structured",ISNUMBER(SEARCH("/mo con",T343)),"Notes-parsed",ISNUMBER(SEARCH("step",T343)),"Step-up",ISNUMBER(SEARCH("swap",T343)),"Rate-swap",AND(ISNUMBER(I343),ISNUMBER(J343),I343&gt;J343),"Implied",TRUE(),""))</f>
        <v/>
      </c>
      <c r="AU343" s="769" t="str">
        <f t="shared" si="66"/>
        <v/>
      </c>
      <c r="AV343" s="775">
        <f t="shared" si="67"/>
        <v>0</v>
      </c>
    </row>
    <row r="344" spans="7:48" ht="15" customHeight="1" outlineLevel="1" x14ac:dyDescent="0.25">
      <c r="G344" s="421"/>
      <c r="H344" s="421"/>
      <c r="I344" s="769"/>
      <c r="J344" s="769"/>
      <c r="K344" s="769">
        <f t="shared" si="57"/>
        <v>0</v>
      </c>
      <c r="L344" s="769">
        <f t="shared" si="58"/>
        <v>0</v>
      </c>
      <c r="M344" s="769"/>
      <c r="N344" s="769"/>
      <c r="O344" s="769"/>
      <c r="P344" s="769"/>
      <c r="Q344" s="769"/>
      <c r="R344" s="769"/>
      <c r="U344" s="770"/>
      <c r="V344" s="771">
        <f t="shared" si="59"/>
        <v>0</v>
      </c>
      <c r="W344" s="771">
        <f t="shared" si="60"/>
        <v>0</v>
      </c>
      <c r="X344" t="str">
        <f t="shared" si="61"/>
        <v/>
      </c>
      <c r="Y344" t="str">
        <f t="shared" si="62"/>
        <v/>
      </c>
      <c r="AA344" s="769">
        <f t="shared" si="63"/>
        <v>0</v>
      </c>
      <c r="AB344" s="772">
        <f t="shared" si="64"/>
        <v>0</v>
      </c>
      <c r="AC344" s="769"/>
      <c r="AD344" s="421"/>
      <c r="AE344" s="769"/>
      <c r="AF344" s="769"/>
      <c r="AG344" s="769"/>
      <c r="AH344" s="769"/>
      <c r="AI344" s="769"/>
      <c r="AJ344" s="769"/>
      <c r="AK344" s="769"/>
      <c r="AL344" s="769"/>
      <c r="AM344" s="769"/>
      <c r="AN344" s="769"/>
      <c r="AO344" s="773"/>
      <c r="AP344" s="774">
        <f t="shared" si="65"/>
        <v>0</v>
      </c>
      <c r="AQ344" s="439"/>
      <c r="AS344" s="771"/>
      <c r="AT344" t="str">
        <f t="array" ref="AT344">IF(E344&lt;&gt;"Occupied","",_xlfn.IFS(AND(ISNUMBER(AC344),AC344&lt;&gt;0),"Structured",ISNUMBER(SEARCH("/mo con",T344)),"Notes-parsed",ISNUMBER(SEARCH("step",T344)),"Step-up",ISNUMBER(SEARCH("swap",T344)),"Rate-swap",AND(ISNUMBER(I344),ISNUMBER(J344),I344&gt;J344),"Implied",TRUE(),""))</f>
        <v/>
      </c>
      <c r="AU344" s="769" t="str">
        <f t="shared" si="66"/>
        <v/>
      </c>
      <c r="AV344" s="775">
        <f t="shared" si="67"/>
        <v>0</v>
      </c>
    </row>
    <row r="345" spans="7:48" ht="15" customHeight="1" outlineLevel="1" x14ac:dyDescent="0.25">
      <c r="G345" s="421"/>
      <c r="H345" s="421"/>
      <c r="I345" s="769"/>
      <c r="J345" s="769"/>
      <c r="K345" s="769">
        <f t="shared" si="57"/>
        <v>0</v>
      </c>
      <c r="L345" s="769">
        <f t="shared" si="58"/>
        <v>0</v>
      </c>
      <c r="M345" s="769"/>
      <c r="N345" s="769"/>
      <c r="O345" s="769"/>
      <c r="P345" s="769"/>
      <c r="Q345" s="769"/>
      <c r="R345" s="769"/>
      <c r="U345" s="770"/>
      <c r="V345" s="771">
        <f t="shared" si="59"/>
        <v>0</v>
      </c>
      <c r="W345" s="771">
        <f t="shared" si="60"/>
        <v>0</v>
      </c>
      <c r="X345" t="str">
        <f t="shared" si="61"/>
        <v/>
      </c>
      <c r="Y345" t="str">
        <f t="shared" si="62"/>
        <v/>
      </c>
      <c r="AA345" s="769">
        <f t="shared" si="63"/>
        <v>0</v>
      </c>
      <c r="AB345" s="772">
        <f t="shared" si="64"/>
        <v>0</v>
      </c>
      <c r="AC345" s="769"/>
      <c r="AD345" s="421"/>
      <c r="AE345" s="769"/>
      <c r="AF345" s="769"/>
      <c r="AG345" s="769"/>
      <c r="AH345" s="769"/>
      <c r="AI345" s="769"/>
      <c r="AJ345" s="769"/>
      <c r="AK345" s="769"/>
      <c r="AL345" s="769"/>
      <c r="AM345" s="769"/>
      <c r="AN345" s="769"/>
      <c r="AO345" s="773"/>
      <c r="AP345" s="774">
        <f t="shared" si="65"/>
        <v>0</v>
      </c>
      <c r="AQ345" s="439"/>
      <c r="AS345" s="771"/>
      <c r="AT345" t="str">
        <f t="array" ref="AT345">IF(E345&lt;&gt;"Occupied","",_xlfn.IFS(AND(ISNUMBER(AC345),AC345&lt;&gt;0),"Structured",ISNUMBER(SEARCH("/mo con",T345)),"Notes-parsed",ISNUMBER(SEARCH("step",T345)),"Step-up",ISNUMBER(SEARCH("swap",T345)),"Rate-swap",AND(ISNUMBER(I345),ISNUMBER(J345),I345&gt;J345),"Implied",TRUE(),""))</f>
        <v/>
      </c>
      <c r="AU345" s="769" t="str">
        <f t="shared" si="66"/>
        <v/>
      </c>
      <c r="AV345" s="775">
        <f t="shared" si="67"/>
        <v>0</v>
      </c>
    </row>
    <row r="346" spans="7:48" ht="15" customHeight="1" outlineLevel="1" x14ac:dyDescent="0.25">
      <c r="G346" s="421"/>
      <c r="H346" s="421"/>
      <c r="I346" s="769"/>
      <c r="J346" s="769"/>
      <c r="K346" s="769">
        <f t="shared" si="57"/>
        <v>0</v>
      </c>
      <c r="L346" s="769">
        <f t="shared" si="58"/>
        <v>0</v>
      </c>
      <c r="M346" s="769"/>
      <c r="N346" s="769"/>
      <c r="O346" s="769"/>
      <c r="P346" s="769"/>
      <c r="Q346" s="769"/>
      <c r="R346" s="769"/>
      <c r="U346" s="770"/>
      <c r="V346" s="771">
        <f t="shared" si="59"/>
        <v>0</v>
      </c>
      <c r="W346" s="771">
        <f t="shared" si="60"/>
        <v>0</v>
      </c>
      <c r="X346" t="str">
        <f t="shared" si="61"/>
        <v/>
      </c>
      <c r="Y346" t="str">
        <f t="shared" si="62"/>
        <v/>
      </c>
      <c r="AA346" s="769">
        <f t="shared" si="63"/>
        <v>0</v>
      </c>
      <c r="AB346" s="772">
        <f t="shared" si="64"/>
        <v>0</v>
      </c>
      <c r="AC346" s="769"/>
      <c r="AD346" s="421"/>
      <c r="AE346" s="769"/>
      <c r="AF346" s="769"/>
      <c r="AG346" s="769"/>
      <c r="AH346" s="769"/>
      <c r="AI346" s="769"/>
      <c r="AJ346" s="769"/>
      <c r="AK346" s="769"/>
      <c r="AL346" s="769"/>
      <c r="AM346" s="769"/>
      <c r="AN346" s="769"/>
      <c r="AO346" s="773"/>
      <c r="AP346" s="774">
        <f t="shared" si="65"/>
        <v>0</v>
      </c>
      <c r="AQ346" s="439"/>
      <c r="AS346" s="771"/>
      <c r="AT346" t="str">
        <f t="array" ref="AT346">IF(E346&lt;&gt;"Occupied","",_xlfn.IFS(AND(ISNUMBER(AC346),AC346&lt;&gt;0),"Structured",ISNUMBER(SEARCH("/mo con",T346)),"Notes-parsed",ISNUMBER(SEARCH("step",T346)),"Step-up",ISNUMBER(SEARCH("swap",T346)),"Rate-swap",AND(ISNUMBER(I346),ISNUMBER(J346),I346&gt;J346),"Implied",TRUE(),""))</f>
        <v/>
      </c>
      <c r="AU346" s="769" t="str">
        <f t="shared" si="66"/>
        <v/>
      </c>
      <c r="AV346" s="775">
        <f t="shared" si="67"/>
        <v>0</v>
      </c>
    </row>
    <row r="347" spans="7:48" ht="15" customHeight="1" outlineLevel="1" x14ac:dyDescent="0.25">
      <c r="G347" s="421"/>
      <c r="H347" s="421"/>
      <c r="I347" s="769"/>
      <c r="J347" s="769"/>
      <c r="K347" s="769">
        <f t="shared" si="57"/>
        <v>0</v>
      </c>
      <c r="L347" s="769">
        <f t="shared" si="58"/>
        <v>0</v>
      </c>
      <c r="M347" s="769"/>
      <c r="N347" s="769"/>
      <c r="O347" s="769"/>
      <c r="P347" s="769"/>
      <c r="Q347" s="769"/>
      <c r="R347" s="769"/>
      <c r="U347" s="770"/>
      <c r="V347" s="771">
        <f t="shared" si="59"/>
        <v>0</v>
      </c>
      <c r="W347" s="771">
        <f t="shared" si="60"/>
        <v>0</v>
      </c>
      <c r="X347" t="str">
        <f t="shared" si="61"/>
        <v/>
      </c>
      <c r="Y347" t="str">
        <f t="shared" si="62"/>
        <v/>
      </c>
      <c r="AA347" s="769">
        <f t="shared" si="63"/>
        <v>0</v>
      </c>
      <c r="AB347" s="772">
        <f t="shared" si="64"/>
        <v>0</v>
      </c>
      <c r="AC347" s="769"/>
      <c r="AD347" s="421"/>
      <c r="AE347" s="769"/>
      <c r="AF347" s="769"/>
      <c r="AG347" s="769"/>
      <c r="AH347" s="769"/>
      <c r="AI347" s="769"/>
      <c r="AJ347" s="769"/>
      <c r="AK347" s="769"/>
      <c r="AL347" s="769"/>
      <c r="AM347" s="769"/>
      <c r="AN347" s="769"/>
      <c r="AO347" s="773"/>
      <c r="AP347" s="774">
        <f t="shared" si="65"/>
        <v>0</v>
      </c>
      <c r="AQ347" s="439"/>
      <c r="AS347" s="771"/>
      <c r="AT347" t="str">
        <f t="array" ref="AT347">IF(E347&lt;&gt;"Occupied","",_xlfn.IFS(AND(ISNUMBER(AC347),AC347&lt;&gt;0),"Structured",ISNUMBER(SEARCH("/mo con",T347)),"Notes-parsed",ISNUMBER(SEARCH("step",T347)),"Step-up",ISNUMBER(SEARCH("swap",T347)),"Rate-swap",AND(ISNUMBER(I347),ISNUMBER(J347),I347&gt;J347),"Implied",TRUE(),""))</f>
        <v/>
      </c>
      <c r="AU347" s="769" t="str">
        <f t="shared" si="66"/>
        <v/>
      </c>
      <c r="AV347" s="775">
        <f t="shared" si="67"/>
        <v>0</v>
      </c>
    </row>
    <row r="348" spans="7:48" ht="15" customHeight="1" outlineLevel="1" x14ac:dyDescent="0.25">
      <c r="G348" s="421"/>
      <c r="H348" s="421"/>
      <c r="I348" s="769"/>
      <c r="J348" s="769"/>
      <c r="K348" s="769">
        <f t="shared" si="57"/>
        <v>0</v>
      </c>
      <c r="L348" s="769">
        <f t="shared" si="58"/>
        <v>0</v>
      </c>
      <c r="M348" s="769"/>
      <c r="N348" s="769"/>
      <c r="O348" s="769"/>
      <c r="P348" s="769"/>
      <c r="Q348" s="769"/>
      <c r="R348" s="769"/>
      <c r="U348" s="770"/>
      <c r="V348" s="771">
        <f t="shared" si="59"/>
        <v>0</v>
      </c>
      <c r="W348" s="771">
        <f t="shared" si="60"/>
        <v>0</v>
      </c>
      <c r="X348" t="str">
        <f t="shared" si="61"/>
        <v/>
      </c>
      <c r="Y348" t="str">
        <f t="shared" si="62"/>
        <v/>
      </c>
      <c r="AA348" s="769">
        <f t="shared" si="63"/>
        <v>0</v>
      </c>
      <c r="AB348" s="772">
        <f t="shared" si="64"/>
        <v>0</v>
      </c>
      <c r="AC348" s="769"/>
      <c r="AD348" s="421"/>
      <c r="AE348" s="769"/>
      <c r="AF348" s="769"/>
      <c r="AG348" s="769"/>
      <c r="AH348" s="769"/>
      <c r="AI348" s="769"/>
      <c r="AJ348" s="769"/>
      <c r="AK348" s="769"/>
      <c r="AL348" s="769"/>
      <c r="AM348" s="769"/>
      <c r="AN348" s="769"/>
      <c r="AO348" s="773"/>
      <c r="AP348" s="774">
        <f t="shared" si="65"/>
        <v>0</v>
      </c>
      <c r="AQ348" s="439"/>
      <c r="AS348" s="771"/>
      <c r="AT348" t="str">
        <f t="array" ref="AT348">IF(E348&lt;&gt;"Occupied","",_xlfn.IFS(AND(ISNUMBER(AC348),AC348&lt;&gt;0),"Structured",ISNUMBER(SEARCH("/mo con",T348)),"Notes-parsed",ISNUMBER(SEARCH("step",T348)),"Step-up",ISNUMBER(SEARCH("swap",T348)),"Rate-swap",AND(ISNUMBER(I348),ISNUMBER(J348),I348&gt;J348),"Implied",TRUE(),""))</f>
        <v/>
      </c>
      <c r="AU348" s="769" t="str">
        <f t="shared" si="66"/>
        <v/>
      </c>
      <c r="AV348" s="775">
        <f t="shared" si="67"/>
        <v>0</v>
      </c>
    </row>
    <row r="349" spans="7:48" ht="15" customHeight="1" outlineLevel="1" x14ac:dyDescent="0.25">
      <c r="G349" s="421"/>
      <c r="H349" s="421"/>
      <c r="I349" s="769"/>
      <c r="J349" s="769"/>
      <c r="K349" s="769">
        <f t="shared" si="57"/>
        <v>0</v>
      </c>
      <c r="L349" s="769">
        <f t="shared" si="58"/>
        <v>0</v>
      </c>
      <c r="M349" s="769"/>
      <c r="N349" s="769"/>
      <c r="O349" s="769"/>
      <c r="P349" s="769"/>
      <c r="Q349" s="769"/>
      <c r="R349" s="769"/>
      <c r="U349" s="770"/>
      <c r="V349" s="771">
        <f t="shared" si="59"/>
        <v>0</v>
      </c>
      <c r="W349" s="771">
        <f t="shared" si="60"/>
        <v>0</v>
      </c>
      <c r="X349" t="str">
        <f t="shared" si="61"/>
        <v/>
      </c>
      <c r="Y349" t="str">
        <f t="shared" si="62"/>
        <v/>
      </c>
      <c r="AA349" s="769">
        <f t="shared" si="63"/>
        <v>0</v>
      </c>
      <c r="AB349" s="772">
        <f t="shared" si="64"/>
        <v>0</v>
      </c>
      <c r="AC349" s="769"/>
      <c r="AD349" s="421"/>
      <c r="AE349" s="769"/>
      <c r="AF349" s="769"/>
      <c r="AG349" s="769"/>
      <c r="AH349" s="769"/>
      <c r="AI349" s="769"/>
      <c r="AJ349" s="769"/>
      <c r="AK349" s="769"/>
      <c r="AL349" s="769"/>
      <c r="AM349" s="769"/>
      <c r="AN349" s="769"/>
      <c r="AO349" s="773"/>
      <c r="AP349" s="774">
        <f t="shared" si="65"/>
        <v>0</v>
      </c>
      <c r="AQ349" s="439"/>
      <c r="AS349" s="771"/>
      <c r="AT349" t="str">
        <f t="array" ref="AT349">IF(E349&lt;&gt;"Occupied","",_xlfn.IFS(AND(ISNUMBER(AC349),AC349&lt;&gt;0),"Structured",ISNUMBER(SEARCH("/mo con",T349)),"Notes-parsed",ISNUMBER(SEARCH("step",T349)),"Step-up",ISNUMBER(SEARCH("swap",T349)),"Rate-swap",AND(ISNUMBER(I349),ISNUMBER(J349),I349&gt;J349),"Implied",TRUE(),""))</f>
        <v/>
      </c>
      <c r="AU349" s="769" t="str">
        <f t="shared" si="66"/>
        <v/>
      </c>
      <c r="AV349" s="775">
        <f t="shared" si="67"/>
        <v>0</v>
      </c>
    </row>
    <row r="350" spans="7:48" ht="15" customHeight="1" outlineLevel="1" x14ac:dyDescent="0.25">
      <c r="G350" s="421"/>
      <c r="H350" s="421"/>
      <c r="I350" s="769"/>
      <c r="J350" s="769"/>
      <c r="K350" s="769">
        <f t="shared" si="57"/>
        <v>0</v>
      </c>
      <c r="L350" s="769">
        <f t="shared" si="58"/>
        <v>0</v>
      </c>
      <c r="M350" s="769"/>
      <c r="N350" s="769"/>
      <c r="O350" s="769"/>
      <c r="P350" s="769"/>
      <c r="Q350" s="769"/>
      <c r="R350" s="769"/>
      <c r="U350" s="770"/>
      <c r="V350" s="771">
        <f t="shared" si="59"/>
        <v>0</v>
      </c>
      <c r="W350" s="771">
        <f t="shared" si="60"/>
        <v>0</v>
      </c>
      <c r="X350" t="str">
        <f t="shared" si="61"/>
        <v/>
      </c>
      <c r="Y350" t="str">
        <f t="shared" si="62"/>
        <v/>
      </c>
      <c r="AA350" s="769">
        <f t="shared" si="63"/>
        <v>0</v>
      </c>
      <c r="AB350" s="772">
        <f t="shared" si="64"/>
        <v>0</v>
      </c>
      <c r="AC350" s="769"/>
      <c r="AD350" s="421"/>
      <c r="AE350" s="769"/>
      <c r="AF350" s="769"/>
      <c r="AG350" s="769"/>
      <c r="AH350" s="769"/>
      <c r="AI350" s="769"/>
      <c r="AJ350" s="769"/>
      <c r="AK350" s="769"/>
      <c r="AL350" s="769"/>
      <c r="AM350" s="769"/>
      <c r="AN350" s="769"/>
      <c r="AO350" s="773"/>
      <c r="AP350" s="774">
        <f t="shared" si="65"/>
        <v>0</v>
      </c>
      <c r="AQ350" s="439"/>
      <c r="AS350" s="771"/>
      <c r="AT350" t="str">
        <f t="array" ref="AT350">IF(E350&lt;&gt;"Occupied","",_xlfn.IFS(AND(ISNUMBER(AC350),AC350&lt;&gt;0),"Structured",ISNUMBER(SEARCH("/mo con",T350)),"Notes-parsed",ISNUMBER(SEARCH("step",T350)),"Step-up",ISNUMBER(SEARCH("swap",T350)),"Rate-swap",AND(ISNUMBER(I350),ISNUMBER(J350),I350&gt;J350),"Implied",TRUE(),""))</f>
        <v/>
      </c>
      <c r="AU350" s="769" t="str">
        <f t="shared" si="66"/>
        <v/>
      </c>
      <c r="AV350" s="775">
        <f t="shared" si="67"/>
        <v>0</v>
      </c>
    </row>
    <row r="351" spans="7:48" ht="15" customHeight="1" outlineLevel="1" x14ac:dyDescent="0.25">
      <c r="G351" s="421"/>
      <c r="H351" s="421"/>
      <c r="I351" s="769"/>
      <c r="J351" s="769"/>
      <c r="K351" s="769">
        <f t="shared" si="57"/>
        <v>0</v>
      </c>
      <c r="L351" s="769">
        <f t="shared" si="58"/>
        <v>0</v>
      </c>
      <c r="M351" s="769"/>
      <c r="N351" s="769"/>
      <c r="O351" s="769"/>
      <c r="P351" s="769"/>
      <c r="Q351" s="769"/>
      <c r="R351" s="769"/>
      <c r="U351" s="770"/>
      <c r="V351" s="771">
        <f t="shared" si="59"/>
        <v>0</v>
      </c>
      <c r="W351" s="771">
        <f t="shared" si="60"/>
        <v>0</v>
      </c>
      <c r="X351" t="str">
        <f t="shared" si="61"/>
        <v/>
      </c>
      <c r="Y351" t="str">
        <f t="shared" si="62"/>
        <v/>
      </c>
      <c r="AA351" s="769">
        <f t="shared" si="63"/>
        <v>0</v>
      </c>
      <c r="AB351" s="772">
        <f t="shared" si="64"/>
        <v>0</v>
      </c>
      <c r="AC351" s="769"/>
      <c r="AD351" s="421"/>
      <c r="AE351" s="769"/>
      <c r="AF351" s="769"/>
      <c r="AG351" s="769"/>
      <c r="AH351" s="769"/>
      <c r="AI351" s="769"/>
      <c r="AJ351" s="769"/>
      <c r="AK351" s="769"/>
      <c r="AL351" s="769"/>
      <c r="AM351" s="769"/>
      <c r="AN351" s="769"/>
      <c r="AO351" s="773"/>
      <c r="AP351" s="774">
        <f t="shared" si="65"/>
        <v>0</v>
      </c>
      <c r="AQ351" s="439"/>
      <c r="AS351" s="771"/>
      <c r="AT351" t="str">
        <f t="array" ref="AT351">IF(E351&lt;&gt;"Occupied","",_xlfn.IFS(AND(ISNUMBER(AC351),AC351&lt;&gt;0),"Structured",ISNUMBER(SEARCH("/mo con",T351)),"Notes-parsed",ISNUMBER(SEARCH("step",T351)),"Step-up",ISNUMBER(SEARCH("swap",T351)),"Rate-swap",AND(ISNUMBER(I351),ISNUMBER(J351),I351&gt;J351),"Implied",TRUE(),""))</f>
        <v/>
      </c>
      <c r="AU351" s="769" t="str">
        <f t="shared" si="66"/>
        <v/>
      </c>
      <c r="AV351" s="775">
        <f t="shared" si="67"/>
        <v>0</v>
      </c>
    </row>
    <row r="352" spans="7:48" ht="15" customHeight="1" outlineLevel="1" x14ac:dyDescent="0.25">
      <c r="G352" s="421"/>
      <c r="H352" s="421"/>
      <c r="I352" s="769"/>
      <c r="J352" s="769"/>
      <c r="K352" s="769">
        <f t="shared" ref="K352:K415" si="68">N(IFERROR(IF(A352="","",N(AE352)+N(AF352)+N(AG352)+N(AH352)),0))</f>
        <v>0</v>
      </c>
      <c r="L352" s="769">
        <f t="shared" ref="L352:L415" si="69">N(IFERROR(IF(A352="","",N(J352)+N(K352)),0))</f>
        <v>0</v>
      </c>
      <c r="M352" s="769"/>
      <c r="N352" s="769"/>
      <c r="O352" s="769"/>
      <c r="P352" s="769"/>
      <c r="Q352" s="769"/>
      <c r="R352" s="769"/>
      <c r="U352" s="770"/>
      <c r="V352" s="771">
        <f t="shared" ref="V352:V415" si="70">N(IFERROR(IF(OR(A352="",U352="",U352=0,J352=""),"",J352/U352),""))</f>
        <v>0</v>
      </c>
      <c r="W352" s="771">
        <f t="shared" ref="W352:W415" si="71">N(IFERROR(IF(V352="","",V352*12),""))</f>
        <v>0</v>
      </c>
      <c r="X352" t="str">
        <f t="shared" ref="X352:X415" si="72">IF(AND(E352&lt;&gt;"",E352&lt;&gt;"Vacant",E352&lt;&gt;"Reserved",C352&lt;&gt;"",D352&lt;&gt;""),C352&amp;"|"&amp;D352,"")</f>
        <v/>
      </c>
      <c r="Y352" t="str">
        <f t="shared" ref="Y352:Y415" si="73">IF(AND(C352&lt;&gt;"",D352&lt;&gt;""),C352&amp;"|"&amp;D352,"")</f>
        <v/>
      </c>
      <c r="AA352" s="769">
        <f t="shared" ref="AA352:AA415" si="74">N(IFERROR(IF(OR(A352="",I352="",J352=""),"",I352-J352),""))</f>
        <v>0</v>
      </c>
      <c r="AB352" s="772">
        <f t="shared" ref="AB352:AB415" si="75">N(IFERROR(IF(OR(AA352="",I352=0,I352=""),"",AA352/I352),""))</f>
        <v>0</v>
      </c>
      <c r="AC352" s="769"/>
      <c r="AD352" s="421"/>
      <c r="AE352" s="769"/>
      <c r="AF352" s="769"/>
      <c r="AG352" s="769"/>
      <c r="AH352" s="769"/>
      <c r="AI352" s="769"/>
      <c r="AJ352" s="769"/>
      <c r="AK352" s="769"/>
      <c r="AL352" s="769"/>
      <c r="AM352" s="769"/>
      <c r="AN352" s="769"/>
      <c r="AO352" s="773"/>
      <c r="AP352" s="774">
        <f t="shared" ref="AP352:AP415" si="76">SUM(AJ352:AN352)</f>
        <v>0</v>
      </c>
      <c r="AQ352" s="439"/>
      <c r="AS352" s="771"/>
      <c r="AT352" t="str">
        <f t="array" ref="AT352">IF(E352&lt;&gt;"Occupied","",_xlfn.IFS(AND(ISNUMBER(AC352),AC352&lt;&gt;0),"Structured",ISNUMBER(SEARCH("/mo con",T352)),"Notes-parsed",ISNUMBER(SEARCH("step",T352)),"Step-up",ISNUMBER(SEARCH("swap",T352)),"Rate-swap",AND(ISNUMBER(I352),ISNUMBER(J352),I352&gt;J352),"Implied",TRUE(),""))</f>
        <v/>
      </c>
      <c r="AU352" s="769" t="str">
        <f t="shared" ref="AU352:AU415" si="77">IF(AC352&lt;&gt;"",AC352,IF(AT352="Implied",-(I352-J352),IF(OR(AT352="Step-up",AT352="Rate-swap"),"see notes","")))</f>
        <v/>
      </c>
      <c r="AV352" s="775">
        <f t="shared" ref="AV352:AV415" si="78">N(IF($E352&lt;&gt;"Occupied","",$J352-IFERROR($AC352*(IF(AND(ISNUMBER($G352),ISNUMBER($AD352),$AD352&gt;$G352),(YEAR($AD352)-YEAR($G352))*12+MONTH($AD352)-MONTH($G352),$AC$174))/$AC$174,0)))</f>
        <v>0</v>
      </c>
    </row>
    <row r="353" spans="7:48" ht="15" customHeight="1" outlineLevel="1" x14ac:dyDescent="0.25">
      <c r="G353" s="421"/>
      <c r="H353" s="421"/>
      <c r="I353" s="769"/>
      <c r="J353" s="769"/>
      <c r="K353" s="769">
        <f t="shared" si="68"/>
        <v>0</v>
      </c>
      <c r="L353" s="769">
        <f t="shared" si="69"/>
        <v>0</v>
      </c>
      <c r="M353" s="769"/>
      <c r="N353" s="769"/>
      <c r="O353" s="769"/>
      <c r="P353" s="769"/>
      <c r="Q353" s="769"/>
      <c r="R353" s="769"/>
      <c r="U353" s="770"/>
      <c r="V353" s="771">
        <f t="shared" si="70"/>
        <v>0</v>
      </c>
      <c r="W353" s="771">
        <f t="shared" si="71"/>
        <v>0</v>
      </c>
      <c r="X353" t="str">
        <f t="shared" si="72"/>
        <v/>
      </c>
      <c r="Y353" t="str">
        <f t="shared" si="73"/>
        <v/>
      </c>
      <c r="AA353" s="769">
        <f t="shared" si="74"/>
        <v>0</v>
      </c>
      <c r="AB353" s="772">
        <f t="shared" si="75"/>
        <v>0</v>
      </c>
      <c r="AC353" s="769"/>
      <c r="AD353" s="421"/>
      <c r="AE353" s="769"/>
      <c r="AF353" s="769"/>
      <c r="AG353" s="769"/>
      <c r="AH353" s="769"/>
      <c r="AI353" s="769"/>
      <c r="AJ353" s="769"/>
      <c r="AK353" s="769"/>
      <c r="AL353" s="769"/>
      <c r="AM353" s="769"/>
      <c r="AN353" s="769"/>
      <c r="AO353" s="773"/>
      <c r="AP353" s="774">
        <f t="shared" si="76"/>
        <v>0</v>
      </c>
      <c r="AQ353" s="439"/>
      <c r="AS353" s="771"/>
      <c r="AT353" t="str">
        <f t="array" ref="AT353">IF(E353&lt;&gt;"Occupied","",_xlfn.IFS(AND(ISNUMBER(AC353),AC353&lt;&gt;0),"Structured",ISNUMBER(SEARCH("/mo con",T353)),"Notes-parsed",ISNUMBER(SEARCH("step",T353)),"Step-up",ISNUMBER(SEARCH("swap",T353)),"Rate-swap",AND(ISNUMBER(I353),ISNUMBER(J353),I353&gt;J353),"Implied",TRUE(),""))</f>
        <v/>
      </c>
      <c r="AU353" s="769" t="str">
        <f t="shared" si="77"/>
        <v/>
      </c>
      <c r="AV353" s="775">
        <f t="shared" si="78"/>
        <v>0</v>
      </c>
    </row>
    <row r="354" spans="7:48" ht="15" customHeight="1" outlineLevel="1" x14ac:dyDescent="0.25">
      <c r="G354" s="421"/>
      <c r="H354" s="421"/>
      <c r="I354" s="769"/>
      <c r="J354" s="769"/>
      <c r="K354" s="769">
        <f t="shared" si="68"/>
        <v>0</v>
      </c>
      <c r="L354" s="769">
        <f t="shared" si="69"/>
        <v>0</v>
      </c>
      <c r="M354" s="769"/>
      <c r="N354" s="769"/>
      <c r="O354" s="769"/>
      <c r="P354" s="769"/>
      <c r="Q354" s="769"/>
      <c r="R354" s="769"/>
      <c r="U354" s="770"/>
      <c r="V354" s="771">
        <f t="shared" si="70"/>
        <v>0</v>
      </c>
      <c r="W354" s="771">
        <f t="shared" si="71"/>
        <v>0</v>
      </c>
      <c r="X354" t="str">
        <f t="shared" si="72"/>
        <v/>
      </c>
      <c r="Y354" t="str">
        <f t="shared" si="73"/>
        <v/>
      </c>
      <c r="AA354" s="769">
        <f t="shared" si="74"/>
        <v>0</v>
      </c>
      <c r="AB354" s="772">
        <f t="shared" si="75"/>
        <v>0</v>
      </c>
      <c r="AC354" s="769"/>
      <c r="AD354" s="421"/>
      <c r="AE354" s="769"/>
      <c r="AF354" s="769"/>
      <c r="AG354" s="769"/>
      <c r="AH354" s="769"/>
      <c r="AI354" s="769"/>
      <c r="AJ354" s="769"/>
      <c r="AK354" s="769"/>
      <c r="AL354" s="769"/>
      <c r="AM354" s="769"/>
      <c r="AN354" s="769"/>
      <c r="AO354" s="773"/>
      <c r="AP354" s="774">
        <f t="shared" si="76"/>
        <v>0</v>
      </c>
      <c r="AQ354" s="439"/>
      <c r="AS354" s="771"/>
      <c r="AT354" t="str">
        <f t="array" ref="AT354">IF(E354&lt;&gt;"Occupied","",_xlfn.IFS(AND(ISNUMBER(AC354),AC354&lt;&gt;0),"Structured",ISNUMBER(SEARCH("/mo con",T354)),"Notes-parsed",ISNUMBER(SEARCH("step",T354)),"Step-up",ISNUMBER(SEARCH("swap",T354)),"Rate-swap",AND(ISNUMBER(I354),ISNUMBER(J354),I354&gt;J354),"Implied",TRUE(),""))</f>
        <v/>
      </c>
      <c r="AU354" s="769" t="str">
        <f t="shared" si="77"/>
        <v/>
      </c>
      <c r="AV354" s="775">
        <f t="shared" si="78"/>
        <v>0</v>
      </c>
    </row>
    <row r="355" spans="7:48" ht="15" customHeight="1" outlineLevel="1" x14ac:dyDescent="0.25">
      <c r="G355" s="421"/>
      <c r="H355" s="421"/>
      <c r="I355" s="769"/>
      <c r="J355" s="769"/>
      <c r="K355" s="769">
        <f t="shared" si="68"/>
        <v>0</v>
      </c>
      <c r="L355" s="769">
        <f t="shared" si="69"/>
        <v>0</v>
      </c>
      <c r="M355" s="769"/>
      <c r="N355" s="769"/>
      <c r="O355" s="769"/>
      <c r="P355" s="769"/>
      <c r="Q355" s="769"/>
      <c r="R355" s="769"/>
      <c r="U355" s="770"/>
      <c r="V355" s="771">
        <f t="shared" si="70"/>
        <v>0</v>
      </c>
      <c r="W355" s="771">
        <f t="shared" si="71"/>
        <v>0</v>
      </c>
      <c r="X355" t="str">
        <f t="shared" si="72"/>
        <v/>
      </c>
      <c r="Y355" t="str">
        <f t="shared" si="73"/>
        <v/>
      </c>
      <c r="AA355" s="769">
        <f t="shared" si="74"/>
        <v>0</v>
      </c>
      <c r="AB355" s="772">
        <f t="shared" si="75"/>
        <v>0</v>
      </c>
      <c r="AC355" s="769"/>
      <c r="AD355" s="421"/>
      <c r="AE355" s="769"/>
      <c r="AF355" s="769"/>
      <c r="AG355" s="769"/>
      <c r="AH355" s="769"/>
      <c r="AI355" s="769"/>
      <c r="AJ355" s="769"/>
      <c r="AK355" s="769"/>
      <c r="AL355" s="769"/>
      <c r="AM355" s="769"/>
      <c r="AN355" s="769"/>
      <c r="AO355" s="773"/>
      <c r="AP355" s="774">
        <f t="shared" si="76"/>
        <v>0</v>
      </c>
      <c r="AQ355" s="439"/>
      <c r="AS355" s="771"/>
      <c r="AT355" t="str">
        <f t="array" ref="AT355">IF(E355&lt;&gt;"Occupied","",_xlfn.IFS(AND(ISNUMBER(AC355),AC355&lt;&gt;0),"Structured",ISNUMBER(SEARCH("/mo con",T355)),"Notes-parsed",ISNUMBER(SEARCH("step",T355)),"Step-up",ISNUMBER(SEARCH("swap",T355)),"Rate-swap",AND(ISNUMBER(I355),ISNUMBER(J355),I355&gt;J355),"Implied",TRUE(),""))</f>
        <v/>
      </c>
      <c r="AU355" s="769" t="str">
        <f t="shared" si="77"/>
        <v/>
      </c>
      <c r="AV355" s="775">
        <f t="shared" si="78"/>
        <v>0</v>
      </c>
    </row>
    <row r="356" spans="7:48" ht="15" customHeight="1" outlineLevel="1" x14ac:dyDescent="0.25">
      <c r="G356" s="421"/>
      <c r="H356" s="421"/>
      <c r="I356" s="769"/>
      <c r="J356" s="769"/>
      <c r="K356" s="769">
        <f t="shared" si="68"/>
        <v>0</v>
      </c>
      <c r="L356" s="769">
        <f t="shared" si="69"/>
        <v>0</v>
      </c>
      <c r="M356" s="769"/>
      <c r="N356" s="769"/>
      <c r="O356" s="769"/>
      <c r="P356" s="769"/>
      <c r="Q356" s="769"/>
      <c r="R356" s="769"/>
      <c r="U356" s="770"/>
      <c r="V356" s="771">
        <f t="shared" si="70"/>
        <v>0</v>
      </c>
      <c r="W356" s="771">
        <f t="shared" si="71"/>
        <v>0</v>
      </c>
      <c r="X356" t="str">
        <f t="shared" si="72"/>
        <v/>
      </c>
      <c r="Y356" t="str">
        <f t="shared" si="73"/>
        <v/>
      </c>
      <c r="AA356" s="769">
        <f t="shared" si="74"/>
        <v>0</v>
      </c>
      <c r="AB356" s="772">
        <f t="shared" si="75"/>
        <v>0</v>
      </c>
      <c r="AC356" s="769"/>
      <c r="AD356" s="421"/>
      <c r="AE356" s="769"/>
      <c r="AF356" s="769"/>
      <c r="AG356" s="769"/>
      <c r="AH356" s="769"/>
      <c r="AI356" s="769"/>
      <c r="AJ356" s="769"/>
      <c r="AK356" s="769"/>
      <c r="AL356" s="769"/>
      <c r="AM356" s="769"/>
      <c r="AN356" s="769"/>
      <c r="AO356" s="773"/>
      <c r="AP356" s="774">
        <f t="shared" si="76"/>
        <v>0</v>
      </c>
      <c r="AQ356" s="439"/>
      <c r="AS356" s="771"/>
      <c r="AT356" t="str">
        <f t="array" ref="AT356">IF(E356&lt;&gt;"Occupied","",_xlfn.IFS(AND(ISNUMBER(AC356),AC356&lt;&gt;0),"Structured",ISNUMBER(SEARCH("/mo con",T356)),"Notes-parsed",ISNUMBER(SEARCH("step",T356)),"Step-up",ISNUMBER(SEARCH("swap",T356)),"Rate-swap",AND(ISNUMBER(I356),ISNUMBER(J356),I356&gt;J356),"Implied",TRUE(),""))</f>
        <v/>
      </c>
      <c r="AU356" s="769" t="str">
        <f t="shared" si="77"/>
        <v/>
      </c>
      <c r="AV356" s="775">
        <f t="shared" si="78"/>
        <v>0</v>
      </c>
    </row>
    <row r="357" spans="7:48" ht="15" customHeight="1" outlineLevel="1" x14ac:dyDescent="0.25">
      <c r="G357" s="421"/>
      <c r="H357" s="421"/>
      <c r="I357" s="769"/>
      <c r="J357" s="769"/>
      <c r="K357" s="769">
        <f t="shared" si="68"/>
        <v>0</v>
      </c>
      <c r="L357" s="769">
        <f t="shared" si="69"/>
        <v>0</v>
      </c>
      <c r="M357" s="769"/>
      <c r="N357" s="769"/>
      <c r="O357" s="769"/>
      <c r="P357" s="769"/>
      <c r="Q357" s="769"/>
      <c r="R357" s="769"/>
      <c r="U357" s="770"/>
      <c r="V357" s="771">
        <f t="shared" si="70"/>
        <v>0</v>
      </c>
      <c r="W357" s="771">
        <f t="shared" si="71"/>
        <v>0</v>
      </c>
      <c r="X357" t="str">
        <f t="shared" si="72"/>
        <v/>
      </c>
      <c r="Y357" t="str">
        <f t="shared" si="73"/>
        <v/>
      </c>
      <c r="AA357" s="769">
        <f t="shared" si="74"/>
        <v>0</v>
      </c>
      <c r="AB357" s="772">
        <f t="shared" si="75"/>
        <v>0</v>
      </c>
      <c r="AC357" s="769"/>
      <c r="AD357" s="421"/>
      <c r="AE357" s="769"/>
      <c r="AF357" s="769"/>
      <c r="AG357" s="769"/>
      <c r="AH357" s="769"/>
      <c r="AI357" s="769"/>
      <c r="AJ357" s="769"/>
      <c r="AK357" s="769"/>
      <c r="AL357" s="769"/>
      <c r="AM357" s="769"/>
      <c r="AN357" s="769"/>
      <c r="AO357" s="773"/>
      <c r="AP357" s="774">
        <f t="shared" si="76"/>
        <v>0</v>
      </c>
      <c r="AQ357" s="439"/>
      <c r="AS357" s="771"/>
      <c r="AT357" t="str">
        <f t="array" ref="AT357">IF(E357&lt;&gt;"Occupied","",_xlfn.IFS(AND(ISNUMBER(AC357),AC357&lt;&gt;0),"Structured",ISNUMBER(SEARCH("/mo con",T357)),"Notes-parsed",ISNUMBER(SEARCH("step",T357)),"Step-up",ISNUMBER(SEARCH("swap",T357)),"Rate-swap",AND(ISNUMBER(I357),ISNUMBER(J357),I357&gt;J357),"Implied",TRUE(),""))</f>
        <v/>
      </c>
      <c r="AU357" s="769" t="str">
        <f t="shared" si="77"/>
        <v/>
      </c>
      <c r="AV357" s="775">
        <f t="shared" si="78"/>
        <v>0</v>
      </c>
    </row>
    <row r="358" spans="7:48" ht="15" customHeight="1" outlineLevel="1" x14ac:dyDescent="0.25">
      <c r="G358" s="421"/>
      <c r="H358" s="421"/>
      <c r="I358" s="769"/>
      <c r="J358" s="769"/>
      <c r="K358" s="769">
        <f t="shared" si="68"/>
        <v>0</v>
      </c>
      <c r="L358" s="769">
        <f t="shared" si="69"/>
        <v>0</v>
      </c>
      <c r="M358" s="769"/>
      <c r="N358" s="769"/>
      <c r="O358" s="769"/>
      <c r="P358" s="769"/>
      <c r="Q358" s="769"/>
      <c r="R358" s="769"/>
      <c r="U358" s="770"/>
      <c r="V358" s="771">
        <f t="shared" si="70"/>
        <v>0</v>
      </c>
      <c r="W358" s="771">
        <f t="shared" si="71"/>
        <v>0</v>
      </c>
      <c r="X358" t="str">
        <f t="shared" si="72"/>
        <v/>
      </c>
      <c r="Y358" t="str">
        <f t="shared" si="73"/>
        <v/>
      </c>
      <c r="AA358" s="769">
        <f t="shared" si="74"/>
        <v>0</v>
      </c>
      <c r="AB358" s="772">
        <f t="shared" si="75"/>
        <v>0</v>
      </c>
      <c r="AC358" s="769"/>
      <c r="AD358" s="421"/>
      <c r="AE358" s="769"/>
      <c r="AF358" s="769"/>
      <c r="AG358" s="769"/>
      <c r="AH358" s="769"/>
      <c r="AI358" s="769"/>
      <c r="AJ358" s="769"/>
      <c r="AK358" s="769"/>
      <c r="AL358" s="769"/>
      <c r="AM358" s="769"/>
      <c r="AN358" s="769"/>
      <c r="AO358" s="773"/>
      <c r="AP358" s="774">
        <f t="shared" si="76"/>
        <v>0</v>
      </c>
      <c r="AQ358" s="439"/>
      <c r="AS358" s="771"/>
      <c r="AT358" t="str">
        <f t="array" ref="AT358">IF(E358&lt;&gt;"Occupied","",_xlfn.IFS(AND(ISNUMBER(AC358),AC358&lt;&gt;0),"Structured",ISNUMBER(SEARCH("/mo con",T358)),"Notes-parsed",ISNUMBER(SEARCH("step",T358)),"Step-up",ISNUMBER(SEARCH("swap",T358)),"Rate-swap",AND(ISNUMBER(I358),ISNUMBER(J358),I358&gt;J358),"Implied",TRUE(),""))</f>
        <v/>
      </c>
      <c r="AU358" s="769" t="str">
        <f t="shared" si="77"/>
        <v/>
      </c>
      <c r="AV358" s="775">
        <f t="shared" si="78"/>
        <v>0</v>
      </c>
    </row>
    <row r="359" spans="7:48" ht="15" customHeight="1" outlineLevel="1" x14ac:dyDescent="0.25">
      <c r="G359" s="421"/>
      <c r="H359" s="421"/>
      <c r="I359" s="769"/>
      <c r="J359" s="769"/>
      <c r="K359" s="769">
        <f t="shared" si="68"/>
        <v>0</v>
      </c>
      <c r="L359" s="769">
        <f t="shared" si="69"/>
        <v>0</v>
      </c>
      <c r="M359" s="769"/>
      <c r="N359" s="769"/>
      <c r="O359" s="769"/>
      <c r="P359" s="769"/>
      <c r="Q359" s="769"/>
      <c r="R359" s="769"/>
      <c r="U359" s="770"/>
      <c r="V359" s="771">
        <f t="shared" si="70"/>
        <v>0</v>
      </c>
      <c r="W359" s="771">
        <f t="shared" si="71"/>
        <v>0</v>
      </c>
      <c r="X359" t="str">
        <f t="shared" si="72"/>
        <v/>
      </c>
      <c r="Y359" t="str">
        <f t="shared" si="73"/>
        <v/>
      </c>
      <c r="AA359" s="769">
        <f t="shared" si="74"/>
        <v>0</v>
      </c>
      <c r="AB359" s="772">
        <f t="shared" si="75"/>
        <v>0</v>
      </c>
      <c r="AC359" s="769"/>
      <c r="AD359" s="421"/>
      <c r="AE359" s="769"/>
      <c r="AF359" s="769"/>
      <c r="AG359" s="769"/>
      <c r="AH359" s="769"/>
      <c r="AI359" s="769"/>
      <c r="AJ359" s="769"/>
      <c r="AK359" s="769"/>
      <c r="AL359" s="769"/>
      <c r="AM359" s="769"/>
      <c r="AN359" s="769"/>
      <c r="AO359" s="773"/>
      <c r="AP359" s="774">
        <f t="shared" si="76"/>
        <v>0</v>
      </c>
      <c r="AQ359" s="439"/>
      <c r="AS359" s="771"/>
      <c r="AT359" t="str">
        <f t="array" ref="AT359">IF(E359&lt;&gt;"Occupied","",_xlfn.IFS(AND(ISNUMBER(AC359),AC359&lt;&gt;0),"Structured",ISNUMBER(SEARCH("/mo con",T359)),"Notes-parsed",ISNUMBER(SEARCH("step",T359)),"Step-up",ISNUMBER(SEARCH("swap",T359)),"Rate-swap",AND(ISNUMBER(I359),ISNUMBER(J359),I359&gt;J359),"Implied",TRUE(),""))</f>
        <v/>
      </c>
      <c r="AU359" s="769" t="str">
        <f t="shared" si="77"/>
        <v/>
      </c>
      <c r="AV359" s="775">
        <f t="shared" si="78"/>
        <v>0</v>
      </c>
    </row>
    <row r="360" spans="7:48" ht="15" customHeight="1" outlineLevel="1" x14ac:dyDescent="0.25">
      <c r="G360" s="421"/>
      <c r="H360" s="421"/>
      <c r="I360" s="769"/>
      <c r="J360" s="769"/>
      <c r="K360" s="769">
        <f t="shared" si="68"/>
        <v>0</v>
      </c>
      <c r="L360" s="769">
        <f t="shared" si="69"/>
        <v>0</v>
      </c>
      <c r="M360" s="769"/>
      <c r="N360" s="769"/>
      <c r="O360" s="769"/>
      <c r="P360" s="769"/>
      <c r="Q360" s="769"/>
      <c r="R360" s="769"/>
      <c r="U360" s="770"/>
      <c r="V360" s="771">
        <f t="shared" si="70"/>
        <v>0</v>
      </c>
      <c r="W360" s="771">
        <f t="shared" si="71"/>
        <v>0</v>
      </c>
      <c r="X360" t="str">
        <f t="shared" si="72"/>
        <v/>
      </c>
      <c r="Y360" t="str">
        <f t="shared" si="73"/>
        <v/>
      </c>
      <c r="AA360" s="769">
        <f t="shared" si="74"/>
        <v>0</v>
      </c>
      <c r="AB360" s="772">
        <f t="shared" si="75"/>
        <v>0</v>
      </c>
      <c r="AC360" s="769"/>
      <c r="AD360" s="421"/>
      <c r="AE360" s="769"/>
      <c r="AF360" s="769"/>
      <c r="AG360" s="769"/>
      <c r="AH360" s="769"/>
      <c r="AI360" s="769"/>
      <c r="AJ360" s="769"/>
      <c r="AK360" s="769"/>
      <c r="AL360" s="769"/>
      <c r="AM360" s="769"/>
      <c r="AN360" s="769"/>
      <c r="AO360" s="773"/>
      <c r="AP360" s="774">
        <f t="shared" si="76"/>
        <v>0</v>
      </c>
      <c r="AQ360" s="439"/>
      <c r="AS360" s="771"/>
      <c r="AT360" t="str">
        <f t="array" ref="AT360">IF(E360&lt;&gt;"Occupied","",_xlfn.IFS(AND(ISNUMBER(AC360),AC360&lt;&gt;0),"Structured",ISNUMBER(SEARCH("/mo con",T360)),"Notes-parsed",ISNUMBER(SEARCH("step",T360)),"Step-up",ISNUMBER(SEARCH("swap",T360)),"Rate-swap",AND(ISNUMBER(I360),ISNUMBER(J360),I360&gt;J360),"Implied",TRUE(),""))</f>
        <v/>
      </c>
      <c r="AU360" s="769" t="str">
        <f t="shared" si="77"/>
        <v/>
      </c>
      <c r="AV360" s="775">
        <f t="shared" si="78"/>
        <v>0</v>
      </c>
    </row>
    <row r="361" spans="7:48" ht="15" customHeight="1" outlineLevel="1" x14ac:dyDescent="0.25">
      <c r="G361" s="421"/>
      <c r="H361" s="421"/>
      <c r="I361" s="769"/>
      <c r="J361" s="769"/>
      <c r="K361" s="769">
        <f t="shared" si="68"/>
        <v>0</v>
      </c>
      <c r="L361" s="769">
        <f t="shared" si="69"/>
        <v>0</v>
      </c>
      <c r="M361" s="769"/>
      <c r="N361" s="769"/>
      <c r="O361" s="769"/>
      <c r="P361" s="769"/>
      <c r="Q361" s="769"/>
      <c r="R361" s="769"/>
      <c r="U361" s="770"/>
      <c r="V361" s="771">
        <f t="shared" si="70"/>
        <v>0</v>
      </c>
      <c r="W361" s="771">
        <f t="shared" si="71"/>
        <v>0</v>
      </c>
      <c r="X361" t="str">
        <f t="shared" si="72"/>
        <v/>
      </c>
      <c r="Y361" t="str">
        <f t="shared" si="73"/>
        <v/>
      </c>
      <c r="AA361" s="769">
        <f t="shared" si="74"/>
        <v>0</v>
      </c>
      <c r="AB361" s="772">
        <f t="shared" si="75"/>
        <v>0</v>
      </c>
      <c r="AC361" s="769"/>
      <c r="AD361" s="421"/>
      <c r="AE361" s="769"/>
      <c r="AF361" s="769"/>
      <c r="AG361" s="769"/>
      <c r="AH361" s="769"/>
      <c r="AI361" s="769"/>
      <c r="AJ361" s="769"/>
      <c r="AK361" s="769"/>
      <c r="AL361" s="769"/>
      <c r="AM361" s="769"/>
      <c r="AN361" s="769"/>
      <c r="AO361" s="773"/>
      <c r="AP361" s="774">
        <f t="shared" si="76"/>
        <v>0</v>
      </c>
      <c r="AQ361" s="439"/>
      <c r="AS361" s="771"/>
      <c r="AT361" t="str">
        <f t="array" ref="AT361">IF(E361&lt;&gt;"Occupied","",_xlfn.IFS(AND(ISNUMBER(AC361),AC361&lt;&gt;0),"Structured",ISNUMBER(SEARCH("/mo con",T361)),"Notes-parsed",ISNUMBER(SEARCH("step",T361)),"Step-up",ISNUMBER(SEARCH("swap",T361)),"Rate-swap",AND(ISNUMBER(I361),ISNUMBER(J361),I361&gt;J361),"Implied",TRUE(),""))</f>
        <v/>
      </c>
      <c r="AU361" s="769" t="str">
        <f t="shared" si="77"/>
        <v/>
      </c>
      <c r="AV361" s="775">
        <f t="shared" si="78"/>
        <v>0</v>
      </c>
    </row>
    <row r="362" spans="7:48" ht="15" customHeight="1" outlineLevel="1" x14ac:dyDescent="0.25">
      <c r="G362" s="421"/>
      <c r="H362" s="421"/>
      <c r="I362" s="769"/>
      <c r="J362" s="769"/>
      <c r="K362" s="769">
        <f t="shared" si="68"/>
        <v>0</v>
      </c>
      <c r="L362" s="769">
        <f t="shared" si="69"/>
        <v>0</v>
      </c>
      <c r="M362" s="769"/>
      <c r="N362" s="769"/>
      <c r="O362" s="769"/>
      <c r="P362" s="769"/>
      <c r="Q362" s="769"/>
      <c r="R362" s="769"/>
      <c r="U362" s="770"/>
      <c r="V362" s="771">
        <f t="shared" si="70"/>
        <v>0</v>
      </c>
      <c r="W362" s="771">
        <f t="shared" si="71"/>
        <v>0</v>
      </c>
      <c r="X362" t="str">
        <f t="shared" si="72"/>
        <v/>
      </c>
      <c r="Y362" t="str">
        <f t="shared" si="73"/>
        <v/>
      </c>
      <c r="AA362" s="769">
        <f t="shared" si="74"/>
        <v>0</v>
      </c>
      <c r="AB362" s="772">
        <f t="shared" si="75"/>
        <v>0</v>
      </c>
      <c r="AC362" s="769"/>
      <c r="AD362" s="421"/>
      <c r="AE362" s="769"/>
      <c r="AF362" s="769"/>
      <c r="AG362" s="769"/>
      <c r="AH362" s="769"/>
      <c r="AI362" s="769"/>
      <c r="AJ362" s="769"/>
      <c r="AK362" s="769"/>
      <c r="AL362" s="769"/>
      <c r="AM362" s="769"/>
      <c r="AN362" s="769"/>
      <c r="AO362" s="773"/>
      <c r="AP362" s="774">
        <f t="shared" si="76"/>
        <v>0</v>
      </c>
      <c r="AQ362" s="439"/>
      <c r="AS362" s="771"/>
      <c r="AT362" t="str">
        <f t="array" ref="AT362">IF(E362&lt;&gt;"Occupied","",_xlfn.IFS(AND(ISNUMBER(AC362),AC362&lt;&gt;0),"Structured",ISNUMBER(SEARCH("/mo con",T362)),"Notes-parsed",ISNUMBER(SEARCH("step",T362)),"Step-up",ISNUMBER(SEARCH("swap",T362)),"Rate-swap",AND(ISNUMBER(I362),ISNUMBER(J362),I362&gt;J362),"Implied",TRUE(),""))</f>
        <v/>
      </c>
      <c r="AU362" s="769" t="str">
        <f t="shared" si="77"/>
        <v/>
      </c>
      <c r="AV362" s="775">
        <f t="shared" si="78"/>
        <v>0</v>
      </c>
    </row>
    <row r="363" spans="7:48" ht="15" customHeight="1" outlineLevel="1" x14ac:dyDescent="0.25">
      <c r="G363" s="421"/>
      <c r="H363" s="421"/>
      <c r="I363" s="769"/>
      <c r="J363" s="769"/>
      <c r="K363" s="769">
        <f t="shared" si="68"/>
        <v>0</v>
      </c>
      <c r="L363" s="769">
        <f t="shared" si="69"/>
        <v>0</v>
      </c>
      <c r="M363" s="769"/>
      <c r="N363" s="769"/>
      <c r="O363" s="769"/>
      <c r="P363" s="769"/>
      <c r="Q363" s="769"/>
      <c r="R363" s="769"/>
      <c r="U363" s="770"/>
      <c r="V363" s="771">
        <f t="shared" si="70"/>
        <v>0</v>
      </c>
      <c r="W363" s="771">
        <f t="shared" si="71"/>
        <v>0</v>
      </c>
      <c r="X363" t="str">
        <f t="shared" si="72"/>
        <v/>
      </c>
      <c r="Y363" t="str">
        <f t="shared" si="73"/>
        <v/>
      </c>
      <c r="AA363" s="769">
        <f t="shared" si="74"/>
        <v>0</v>
      </c>
      <c r="AB363" s="772">
        <f t="shared" si="75"/>
        <v>0</v>
      </c>
      <c r="AC363" s="769"/>
      <c r="AD363" s="421"/>
      <c r="AE363" s="769"/>
      <c r="AF363" s="769"/>
      <c r="AG363" s="769"/>
      <c r="AH363" s="769"/>
      <c r="AI363" s="769"/>
      <c r="AJ363" s="769"/>
      <c r="AK363" s="769"/>
      <c r="AL363" s="769"/>
      <c r="AM363" s="769"/>
      <c r="AN363" s="769"/>
      <c r="AO363" s="773"/>
      <c r="AP363" s="774">
        <f t="shared" si="76"/>
        <v>0</v>
      </c>
      <c r="AQ363" s="439"/>
      <c r="AS363" s="771"/>
      <c r="AT363" t="str">
        <f t="array" ref="AT363">IF(E363&lt;&gt;"Occupied","",_xlfn.IFS(AND(ISNUMBER(AC363),AC363&lt;&gt;0),"Structured",ISNUMBER(SEARCH("/mo con",T363)),"Notes-parsed",ISNUMBER(SEARCH("step",T363)),"Step-up",ISNUMBER(SEARCH("swap",T363)),"Rate-swap",AND(ISNUMBER(I363),ISNUMBER(J363),I363&gt;J363),"Implied",TRUE(),""))</f>
        <v/>
      </c>
      <c r="AU363" s="769" t="str">
        <f t="shared" si="77"/>
        <v/>
      </c>
      <c r="AV363" s="775">
        <f t="shared" si="78"/>
        <v>0</v>
      </c>
    </row>
    <row r="364" spans="7:48" ht="15" customHeight="1" outlineLevel="1" x14ac:dyDescent="0.25">
      <c r="G364" s="421"/>
      <c r="H364" s="421"/>
      <c r="I364" s="769"/>
      <c r="J364" s="769"/>
      <c r="K364" s="769">
        <f t="shared" si="68"/>
        <v>0</v>
      </c>
      <c r="L364" s="769">
        <f t="shared" si="69"/>
        <v>0</v>
      </c>
      <c r="M364" s="769"/>
      <c r="N364" s="769"/>
      <c r="O364" s="769"/>
      <c r="P364" s="769"/>
      <c r="Q364" s="769"/>
      <c r="R364" s="769"/>
      <c r="U364" s="770"/>
      <c r="V364" s="771">
        <f t="shared" si="70"/>
        <v>0</v>
      </c>
      <c r="W364" s="771">
        <f t="shared" si="71"/>
        <v>0</v>
      </c>
      <c r="X364" t="str">
        <f t="shared" si="72"/>
        <v/>
      </c>
      <c r="Y364" t="str">
        <f t="shared" si="73"/>
        <v/>
      </c>
      <c r="AA364" s="769">
        <f t="shared" si="74"/>
        <v>0</v>
      </c>
      <c r="AB364" s="772">
        <f t="shared" si="75"/>
        <v>0</v>
      </c>
      <c r="AC364" s="769"/>
      <c r="AD364" s="421"/>
      <c r="AE364" s="769"/>
      <c r="AF364" s="769"/>
      <c r="AG364" s="769"/>
      <c r="AH364" s="769"/>
      <c r="AI364" s="769"/>
      <c r="AJ364" s="769"/>
      <c r="AK364" s="769"/>
      <c r="AL364" s="769"/>
      <c r="AM364" s="769"/>
      <c r="AN364" s="769"/>
      <c r="AO364" s="773"/>
      <c r="AP364" s="774">
        <f t="shared" si="76"/>
        <v>0</v>
      </c>
      <c r="AQ364" s="439"/>
      <c r="AS364" s="771"/>
      <c r="AT364" t="str">
        <f t="array" ref="AT364">IF(E364&lt;&gt;"Occupied","",_xlfn.IFS(AND(ISNUMBER(AC364),AC364&lt;&gt;0),"Structured",ISNUMBER(SEARCH("/mo con",T364)),"Notes-parsed",ISNUMBER(SEARCH("step",T364)),"Step-up",ISNUMBER(SEARCH("swap",T364)),"Rate-swap",AND(ISNUMBER(I364),ISNUMBER(J364),I364&gt;J364),"Implied",TRUE(),""))</f>
        <v/>
      </c>
      <c r="AU364" s="769" t="str">
        <f t="shared" si="77"/>
        <v/>
      </c>
      <c r="AV364" s="775">
        <f t="shared" si="78"/>
        <v>0</v>
      </c>
    </row>
    <row r="365" spans="7:48" ht="15" customHeight="1" outlineLevel="1" x14ac:dyDescent="0.25">
      <c r="G365" s="421"/>
      <c r="H365" s="421"/>
      <c r="I365" s="769"/>
      <c r="J365" s="769"/>
      <c r="K365" s="769">
        <f t="shared" si="68"/>
        <v>0</v>
      </c>
      <c r="L365" s="769">
        <f t="shared" si="69"/>
        <v>0</v>
      </c>
      <c r="M365" s="769"/>
      <c r="N365" s="769"/>
      <c r="O365" s="769"/>
      <c r="P365" s="769"/>
      <c r="Q365" s="769"/>
      <c r="R365" s="769"/>
      <c r="U365" s="770"/>
      <c r="V365" s="771">
        <f t="shared" si="70"/>
        <v>0</v>
      </c>
      <c r="W365" s="771">
        <f t="shared" si="71"/>
        <v>0</v>
      </c>
      <c r="X365" t="str">
        <f t="shared" si="72"/>
        <v/>
      </c>
      <c r="Y365" t="str">
        <f t="shared" si="73"/>
        <v/>
      </c>
      <c r="AA365" s="769">
        <f t="shared" si="74"/>
        <v>0</v>
      </c>
      <c r="AB365" s="772">
        <f t="shared" si="75"/>
        <v>0</v>
      </c>
      <c r="AC365" s="769"/>
      <c r="AD365" s="421"/>
      <c r="AE365" s="769"/>
      <c r="AF365" s="769"/>
      <c r="AG365" s="769"/>
      <c r="AH365" s="769"/>
      <c r="AI365" s="769"/>
      <c r="AJ365" s="769"/>
      <c r="AK365" s="769"/>
      <c r="AL365" s="769"/>
      <c r="AM365" s="769"/>
      <c r="AN365" s="769"/>
      <c r="AO365" s="773"/>
      <c r="AP365" s="774">
        <f t="shared" si="76"/>
        <v>0</v>
      </c>
      <c r="AQ365" s="439"/>
      <c r="AS365" s="771"/>
      <c r="AT365" t="str">
        <f t="array" ref="AT365">IF(E365&lt;&gt;"Occupied","",_xlfn.IFS(AND(ISNUMBER(AC365),AC365&lt;&gt;0),"Structured",ISNUMBER(SEARCH("/mo con",T365)),"Notes-parsed",ISNUMBER(SEARCH("step",T365)),"Step-up",ISNUMBER(SEARCH("swap",T365)),"Rate-swap",AND(ISNUMBER(I365),ISNUMBER(J365),I365&gt;J365),"Implied",TRUE(),""))</f>
        <v/>
      </c>
      <c r="AU365" s="769" t="str">
        <f t="shared" si="77"/>
        <v/>
      </c>
      <c r="AV365" s="775">
        <f t="shared" si="78"/>
        <v>0</v>
      </c>
    </row>
    <row r="366" spans="7:48" ht="15" customHeight="1" outlineLevel="1" x14ac:dyDescent="0.25">
      <c r="G366" s="421"/>
      <c r="H366" s="421"/>
      <c r="I366" s="769"/>
      <c r="J366" s="769"/>
      <c r="K366" s="769">
        <f t="shared" si="68"/>
        <v>0</v>
      </c>
      <c r="L366" s="769">
        <f t="shared" si="69"/>
        <v>0</v>
      </c>
      <c r="M366" s="769"/>
      <c r="N366" s="769"/>
      <c r="O366" s="769"/>
      <c r="P366" s="769"/>
      <c r="Q366" s="769"/>
      <c r="R366" s="769"/>
      <c r="U366" s="770"/>
      <c r="V366" s="771">
        <f t="shared" si="70"/>
        <v>0</v>
      </c>
      <c r="W366" s="771">
        <f t="shared" si="71"/>
        <v>0</v>
      </c>
      <c r="X366" t="str">
        <f t="shared" si="72"/>
        <v/>
      </c>
      <c r="Y366" t="str">
        <f t="shared" si="73"/>
        <v/>
      </c>
      <c r="AA366" s="769">
        <f t="shared" si="74"/>
        <v>0</v>
      </c>
      <c r="AB366" s="772">
        <f t="shared" si="75"/>
        <v>0</v>
      </c>
      <c r="AC366" s="769"/>
      <c r="AD366" s="421"/>
      <c r="AE366" s="769"/>
      <c r="AF366" s="769"/>
      <c r="AG366" s="769"/>
      <c r="AH366" s="769"/>
      <c r="AI366" s="769"/>
      <c r="AJ366" s="769"/>
      <c r="AK366" s="769"/>
      <c r="AL366" s="769"/>
      <c r="AM366" s="769"/>
      <c r="AN366" s="769"/>
      <c r="AO366" s="773"/>
      <c r="AP366" s="774">
        <f t="shared" si="76"/>
        <v>0</v>
      </c>
      <c r="AQ366" s="439"/>
      <c r="AS366" s="771"/>
      <c r="AT366" t="str">
        <f t="array" ref="AT366">IF(E366&lt;&gt;"Occupied","",_xlfn.IFS(AND(ISNUMBER(AC366),AC366&lt;&gt;0),"Structured",ISNUMBER(SEARCH("/mo con",T366)),"Notes-parsed",ISNUMBER(SEARCH("step",T366)),"Step-up",ISNUMBER(SEARCH("swap",T366)),"Rate-swap",AND(ISNUMBER(I366),ISNUMBER(J366),I366&gt;J366),"Implied",TRUE(),""))</f>
        <v/>
      </c>
      <c r="AU366" s="769" t="str">
        <f t="shared" si="77"/>
        <v/>
      </c>
      <c r="AV366" s="775">
        <f t="shared" si="78"/>
        <v>0</v>
      </c>
    </row>
    <row r="367" spans="7:48" ht="15" customHeight="1" outlineLevel="1" x14ac:dyDescent="0.25">
      <c r="G367" s="421"/>
      <c r="H367" s="421"/>
      <c r="I367" s="769"/>
      <c r="J367" s="769"/>
      <c r="K367" s="769">
        <f t="shared" si="68"/>
        <v>0</v>
      </c>
      <c r="L367" s="769">
        <f t="shared" si="69"/>
        <v>0</v>
      </c>
      <c r="M367" s="769"/>
      <c r="N367" s="769"/>
      <c r="O367" s="769"/>
      <c r="P367" s="769"/>
      <c r="Q367" s="769"/>
      <c r="R367" s="769"/>
      <c r="U367" s="770"/>
      <c r="V367" s="771">
        <f t="shared" si="70"/>
        <v>0</v>
      </c>
      <c r="W367" s="771">
        <f t="shared" si="71"/>
        <v>0</v>
      </c>
      <c r="X367" t="str">
        <f t="shared" si="72"/>
        <v/>
      </c>
      <c r="Y367" t="str">
        <f t="shared" si="73"/>
        <v/>
      </c>
      <c r="AA367" s="769">
        <f t="shared" si="74"/>
        <v>0</v>
      </c>
      <c r="AB367" s="772">
        <f t="shared" si="75"/>
        <v>0</v>
      </c>
      <c r="AC367" s="769"/>
      <c r="AD367" s="421"/>
      <c r="AE367" s="769"/>
      <c r="AF367" s="769"/>
      <c r="AG367" s="769"/>
      <c r="AH367" s="769"/>
      <c r="AI367" s="769"/>
      <c r="AJ367" s="769"/>
      <c r="AK367" s="769"/>
      <c r="AL367" s="769"/>
      <c r="AM367" s="769"/>
      <c r="AN367" s="769"/>
      <c r="AO367" s="773"/>
      <c r="AP367" s="774">
        <f t="shared" si="76"/>
        <v>0</v>
      </c>
      <c r="AQ367" s="439"/>
      <c r="AS367" s="771"/>
      <c r="AT367" t="str">
        <f t="array" ref="AT367">IF(E367&lt;&gt;"Occupied","",_xlfn.IFS(AND(ISNUMBER(AC367),AC367&lt;&gt;0),"Structured",ISNUMBER(SEARCH("/mo con",T367)),"Notes-parsed",ISNUMBER(SEARCH("step",T367)),"Step-up",ISNUMBER(SEARCH("swap",T367)),"Rate-swap",AND(ISNUMBER(I367),ISNUMBER(J367),I367&gt;J367),"Implied",TRUE(),""))</f>
        <v/>
      </c>
      <c r="AU367" s="769" t="str">
        <f t="shared" si="77"/>
        <v/>
      </c>
      <c r="AV367" s="775">
        <f t="shared" si="78"/>
        <v>0</v>
      </c>
    </row>
    <row r="368" spans="7:48" ht="15" customHeight="1" outlineLevel="1" x14ac:dyDescent="0.25">
      <c r="G368" s="421"/>
      <c r="H368" s="421"/>
      <c r="I368" s="769"/>
      <c r="J368" s="769"/>
      <c r="K368" s="769">
        <f t="shared" si="68"/>
        <v>0</v>
      </c>
      <c r="L368" s="769">
        <f t="shared" si="69"/>
        <v>0</v>
      </c>
      <c r="M368" s="769"/>
      <c r="N368" s="769"/>
      <c r="O368" s="769"/>
      <c r="P368" s="769"/>
      <c r="Q368" s="769"/>
      <c r="R368" s="769"/>
      <c r="U368" s="770"/>
      <c r="V368" s="771">
        <f t="shared" si="70"/>
        <v>0</v>
      </c>
      <c r="W368" s="771">
        <f t="shared" si="71"/>
        <v>0</v>
      </c>
      <c r="X368" t="str">
        <f t="shared" si="72"/>
        <v/>
      </c>
      <c r="Y368" t="str">
        <f t="shared" si="73"/>
        <v/>
      </c>
      <c r="AA368" s="769">
        <f t="shared" si="74"/>
        <v>0</v>
      </c>
      <c r="AB368" s="772">
        <f t="shared" si="75"/>
        <v>0</v>
      </c>
      <c r="AC368" s="769"/>
      <c r="AD368" s="421"/>
      <c r="AE368" s="769"/>
      <c r="AF368" s="769"/>
      <c r="AG368" s="769"/>
      <c r="AH368" s="769"/>
      <c r="AI368" s="769"/>
      <c r="AJ368" s="769"/>
      <c r="AK368" s="769"/>
      <c r="AL368" s="769"/>
      <c r="AM368" s="769"/>
      <c r="AN368" s="769"/>
      <c r="AO368" s="773"/>
      <c r="AP368" s="774">
        <f t="shared" si="76"/>
        <v>0</v>
      </c>
      <c r="AQ368" s="439"/>
      <c r="AS368" s="771"/>
      <c r="AT368" t="str">
        <f t="array" ref="AT368">IF(E368&lt;&gt;"Occupied","",_xlfn.IFS(AND(ISNUMBER(AC368),AC368&lt;&gt;0),"Structured",ISNUMBER(SEARCH("/mo con",T368)),"Notes-parsed",ISNUMBER(SEARCH("step",T368)),"Step-up",ISNUMBER(SEARCH("swap",T368)),"Rate-swap",AND(ISNUMBER(I368),ISNUMBER(J368),I368&gt;J368),"Implied",TRUE(),""))</f>
        <v/>
      </c>
      <c r="AU368" s="769" t="str">
        <f t="shared" si="77"/>
        <v/>
      </c>
      <c r="AV368" s="775">
        <f t="shared" si="78"/>
        <v>0</v>
      </c>
    </row>
    <row r="369" spans="7:48" ht="15" customHeight="1" outlineLevel="1" x14ac:dyDescent="0.25">
      <c r="G369" s="421"/>
      <c r="H369" s="421"/>
      <c r="I369" s="769"/>
      <c r="J369" s="769"/>
      <c r="K369" s="769">
        <f t="shared" si="68"/>
        <v>0</v>
      </c>
      <c r="L369" s="769">
        <f t="shared" si="69"/>
        <v>0</v>
      </c>
      <c r="M369" s="769"/>
      <c r="N369" s="769"/>
      <c r="O369" s="769"/>
      <c r="P369" s="769"/>
      <c r="Q369" s="769"/>
      <c r="R369" s="769"/>
      <c r="U369" s="770"/>
      <c r="V369" s="771">
        <f t="shared" si="70"/>
        <v>0</v>
      </c>
      <c r="W369" s="771">
        <f t="shared" si="71"/>
        <v>0</v>
      </c>
      <c r="X369" t="str">
        <f t="shared" si="72"/>
        <v/>
      </c>
      <c r="Y369" t="str">
        <f t="shared" si="73"/>
        <v/>
      </c>
      <c r="AA369" s="769">
        <f t="shared" si="74"/>
        <v>0</v>
      </c>
      <c r="AB369" s="772">
        <f t="shared" si="75"/>
        <v>0</v>
      </c>
      <c r="AC369" s="769"/>
      <c r="AD369" s="421"/>
      <c r="AE369" s="769"/>
      <c r="AF369" s="769"/>
      <c r="AG369" s="769"/>
      <c r="AH369" s="769"/>
      <c r="AI369" s="769"/>
      <c r="AJ369" s="769"/>
      <c r="AK369" s="769"/>
      <c r="AL369" s="769"/>
      <c r="AM369" s="769"/>
      <c r="AN369" s="769"/>
      <c r="AO369" s="773"/>
      <c r="AP369" s="774">
        <f t="shared" si="76"/>
        <v>0</v>
      </c>
      <c r="AQ369" s="439"/>
      <c r="AS369" s="771"/>
      <c r="AT369" t="str">
        <f t="array" ref="AT369">IF(E369&lt;&gt;"Occupied","",_xlfn.IFS(AND(ISNUMBER(AC369),AC369&lt;&gt;0),"Structured",ISNUMBER(SEARCH("/mo con",T369)),"Notes-parsed",ISNUMBER(SEARCH("step",T369)),"Step-up",ISNUMBER(SEARCH("swap",T369)),"Rate-swap",AND(ISNUMBER(I369),ISNUMBER(J369),I369&gt;J369),"Implied",TRUE(),""))</f>
        <v/>
      </c>
      <c r="AU369" s="769" t="str">
        <f t="shared" si="77"/>
        <v/>
      </c>
      <c r="AV369" s="775">
        <f t="shared" si="78"/>
        <v>0</v>
      </c>
    </row>
    <row r="370" spans="7:48" ht="15" customHeight="1" outlineLevel="1" x14ac:dyDescent="0.25">
      <c r="G370" s="421"/>
      <c r="H370" s="421"/>
      <c r="I370" s="769"/>
      <c r="J370" s="769"/>
      <c r="K370" s="769">
        <f t="shared" si="68"/>
        <v>0</v>
      </c>
      <c r="L370" s="769">
        <f t="shared" si="69"/>
        <v>0</v>
      </c>
      <c r="M370" s="769"/>
      <c r="N370" s="769"/>
      <c r="O370" s="769"/>
      <c r="P370" s="769"/>
      <c r="Q370" s="769"/>
      <c r="R370" s="769"/>
      <c r="U370" s="770"/>
      <c r="V370" s="771">
        <f t="shared" si="70"/>
        <v>0</v>
      </c>
      <c r="W370" s="771">
        <f t="shared" si="71"/>
        <v>0</v>
      </c>
      <c r="X370" t="str">
        <f t="shared" si="72"/>
        <v/>
      </c>
      <c r="Y370" t="str">
        <f t="shared" si="73"/>
        <v/>
      </c>
      <c r="AA370" s="769">
        <f t="shared" si="74"/>
        <v>0</v>
      </c>
      <c r="AB370" s="772">
        <f t="shared" si="75"/>
        <v>0</v>
      </c>
      <c r="AC370" s="769"/>
      <c r="AD370" s="421"/>
      <c r="AE370" s="769"/>
      <c r="AF370" s="769"/>
      <c r="AG370" s="769"/>
      <c r="AH370" s="769"/>
      <c r="AI370" s="769"/>
      <c r="AJ370" s="769"/>
      <c r="AK370" s="769"/>
      <c r="AL370" s="769"/>
      <c r="AM370" s="769"/>
      <c r="AN370" s="769"/>
      <c r="AO370" s="773"/>
      <c r="AP370" s="774">
        <f t="shared" si="76"/>
        <v>0</v>
      </c>
      <c r="AQ370" s="439"/>
      <c r="AS370" s="771"/>
      <c r="AT370" t="str">
        <f t="array" ref="AT370">IF(E370&lt;&gt;"Occupied","",_xlfn.IFS(AND(ISNUMBER(AC370),AC370&lt;&gt;0),"Structured",ISNUMBER(SEARCH("/mo con",T370)),"Notes-parsed",ISNUMBER(SEARCH("step",T370)),"Step-up",ISNUMBER(SEARCH("swap",T370)),"Rate-swap",AND(ISNUMBER(I370),ISNUMBER(J370),I370&gt;J370),"Implied",TRUE(),""))</f>
        <v/>
      </c>
      <c r="AU370" s="769" t="str">
        <f t="shared" si="77"/>
        <v/>
      </c>
      <c r="AV370" s="775">
        <f t="shared" si="78"/>
        <v>0</v>
      </c>
    </row>
    <row r="371" spans="7:48" ht="15" customHeight="1" outlineLevel="1" x14ac:dyDescent="0.25">
      <c r="G371" s="421"/>
      <c r="H371" s="421"/>
      <c r="I371" s="769"/>
      <c r="J371" s="769"/>
      <c r="K371" s="769">
        <f t="shared" si="68"/>
        <v>0</v>
      </c>
      <c r="L371" s="769">
        <f t="shared" si="69"/>
        <v>0</v>
      </c>
      <c r="M371" s="769"/>
      <c r="N371" s="769"/>
      <c r="O371" s="769"/>
      <c r="P371" s="769"/>
      <c r="Q371" s="769"/>
      <c r="R371" s="769"/>
      <c r="U371" s="770"/>
      <c r="V371" s="771">
        <f t="shared" si="70"/>
        <v>0</v>
      </c>
      <c r="W371" s="771">
        <f t="shared" si="71"/>
        <v>0</v>
      </c>
      <c r="X371" t="str">
        <f t="shared" si="72"/>
        <v/>
      </c>
      <c r="Y371" t="str">
        <f t="shared" si="73"/>
        <v/>
      </c>
      <c r="AA371" s="769">
        <f t="shared" si="74"/>
        <v>0</v>
      </c>
      <c r="AB371" s="772">
        <f t="shared" si="75"/>
        <v>0</v>
      </c>
      <c r="AC371" s="769"/>
      <c r="AD371" s="421"/>
      <c r="AE371" s="769"/>
      <c r="AF371" s="769"/>
      <c r="AG371" s="769"/>
      <c r="AH371" s="769"/>
      <c r="AI371" s="769"/>
      <c r="AJ371" s="769"/>
      <c r="AK371" s="769"/>
      <c r="AL371" s="769"/>
      <c r="AM371" s="769"/>
      <c r="AN371" s="769"/>
      <c r="AO371" s="773"/>
      <c r="AP371" s="774">
        <f t="shared" si="76"/>
        <v>0</v>
      </c>
      <c r="AQ371" s="439"/>
      <c r="AS371" s="771"/>
      <c r="AT371" t="str">
        <f t="array" ref="AT371">IF(E371&lt;&gt;"Occupied","",_xlfn.IFS(AND(ISNUMBER(AC371),AC371&lt;&gt;0),"Structured",ISNUMBER(SEARCH("/mo con",T371)),"Notes-parsed",ISNUMBER(SEARCH("step",T371)),"Step-up",ISNUMBER(SEARCH("swap",T371)),"Rate-swap",AND(ISNUMBER(I371),ISNUMBER(J371),I371&gt;J371),"Implied",TRUE(),""))</f>
        <v/>
      </c>
      <c r="AU371" s="769" t="str">
        <f t="shared" si="77"/>
        <v/>
      </c>
      <c r="AV371" s="775">
        <f t="shared" si="78"/>
        <v>0</v>
      </c>
    </row>
    <row r="372" spans="7:48" ht="15" customHeight="1" outlineLevel="1" x14ac:dyDescent="0.25">
      <c r="G372" s="421"/>
      <c r="H372" s="421"/>
      <c r="I372" s="769"/>
      <c r="J372" s="769"/>
      <c r="K372" s="769">
        <f t="shared" si="68"/>
        <v>0</v>
      </c>
      <c r="L372" s="769">
        <f t="shared" si="69"/>
        <v>0</v>
      </c>
      <c r="M372" s="769"/>
      <c r="N372" s="769"/>
      <c r="O372" s="769"/>
      <c r="P372" s="769"/>
      <c r="Q372" s="769"/>
      <c r="R372" s="769"/>
      <c r="U372" s="770"/>
      <c r="V372" s="771">
        <f t="shared" si="70"/>
        <v>0</v>
      </c>
      <c r="W372" s="771">
        <f t="shared" si="71"/>
        <v>0</v>
      </c>
      <c r="X372" t="str">
        <f t="shared" si="72"/>
        <v/>
      </c>
      <c r="Y372" t="str">
        <f t="shared" si="73"/>
        <v/>
      </c>
      <c r="AA372" s="769">
        <f t="shared" si="74"/>
        <v>0</v>
      </c>
      <c r="AB372" s="772">
        <f t="shared" si="75"/>
        <v>0</v>
      </c>
      <c r="AC372" s="769"/>
      <c r="AD372" s="421"/>
      <c r="AE372" s="769"/>
      <c r="AF372" s="769"/>
      <c r="AG372" s="769"/>
      <c r="AH372" s="769"/>
      <c r="AI372" s="769"/>
      <c r="AJ372" s="769"/>
      <c r="AK372" s="769"/>
      <c r="AL372" s="769"/>
      <c r="AM372" s="769"/>
      <c r="AN372" s="769"/>
      <c r="AO372" s="773"/>
      <c r="AP372" s="774">
        <f t="shared" si="76"/>
        <v>0</v>
      </c>
      <c r="AQ372" s="439"/>
      <c r="AS372" s="771"/>
      <c r="AT372" t="str">
        <f t="array" ref="AT372">IF(E372&lt;&gt;"Occupied","",_xlfn.IFS(AND(ISNUMBER(AC372),AC372&lt;&gt;0),"Structured",ISNUMBER(SEARCH("/mo con",T372)),"Notes-parsed",ISNUMBER(SEARCH("step",T372)),"Step-up",ISNUMBER(SEARCH("swap",T372)),"Rate-swap",AND(ISNUMBER(I372),ISNUMBER(J372),I372&gt;J372),"Implied",TRUE(),""))</f>
        <v/>
      </c>
      <c r="AU372" s="769" t="str">
        <f t="shared" si="77"/>
        <v/>
      </c>
      <c r="AV372" s="775">
        <f t="shared" si="78"/>
        <v>0</v>
      </c>
    </row>
    <row r="373" spans="7:48" ht="15" customHeight="1" outlineLevel="1" x14ac:dyDescent="0.25">
      <c r="G373" s="421"/>
      <c r="H373" s="421"/>
      <c r="I373" s="769"/>
      <c r="J373" s="769"/>
      <c r="K373" s="769">
        <f t="shared" si="68"/>
        <v>0</v>
      </c>
      <c r="L373" s="769">
        <f t="shared" si="69"/>
        <v>0</v>
      </c>
      <c r="M373" s="769"/>
      <c r="N373" s="769"/>
      <c r="O373" s="769"/>
      <c r="P373" s="769"/>
      <c r="Q373" s="769"/>
      <c r="R373" s="769"/>
      <c r="U373" s="770"/>
      <c r="V373" s="771">
        <f t="shared" si="70"/>
        <v>0</v>
      </c>
      <c r="W373" s="771">
        <f t="shared" si="71"/>
        <v>0</v>
      </c>
      <c r="X373" t="str">
        <f t="shared" si="72"/>
        <v/>
      </c>
      <c r="Y373" t="str">
        <f t="shared" si="73"/>
        <v/>
      </c>
      <c r="AA373" s="769">
        <f t="shared" si="74"/>
        <v>0</v>
      </c>
      <c r="AB373" s="772">
        <f t="shared" si="75"/>
        <v>0</v>
      </c>
      <c r="AC373" s="769"/>
      <c r="AD373" s="421"/>
      <c r="AE373" s="769"/>
      <c r="AF373" s="769"/>
      <c r="AG373" s="769"/>
      <c r="AH373" s="769"/>
      <c r="AI373" s="769"/>
      <c r="AJ373" s="769"/>
      <c r="AK373" s="769"/>
      <c r="AL373" s="769"/>
      <c r="AM373" s="769"/>
      <c r="AN373" s="769"/>
      <c r="AO373" s="773"/>
      <c r="AP373" s="774">
        <f t="shared" si="76"/>
        <v>0</v>
      </c>
      <c r="AQ373" s="439"/>
      <c r="AS373" s="771"/>
      <c r="AT373" t="str">
        <f t="array" ref="AT373">IF(E373&lt;&gt;"Occupied","",_xlfn.IFS(AND(ISNUMBER(AC373),AC373&lt;&gt;0),"Structured",ISNUMBER(SEARCH("/mo con",T373)),"Notes-parsed",ISNUMBER(SEARCH("step",T373)),"Step-up",ISNUMBER(SEARCH("swap",T373)),"Rate-swap",AND(ISNUMBER(I373),ISNUMBER(J373),I373&gt;J373),"Implied",TRUE(),""))</f>
        <v/>
      </c>
      <c r="AU373" s="769" t="str">
        <f t="shared" si="77"/>
        <v/>
      </c>
      <c r="AV373" s="775">
        <f t="shared" si="78"/>
        <v>0</v>
      </c>
    </row>
    <row r="374" spans="7:48" ht="15" customHeight="1" outlineLevel="1" x14ac:dyDescent="0.25">
      <c r="G374" s="421"/>
      <c r="H374" s="421"/>
      <c r="I374" s="769"/>
      <c r="J374" s="769"/>
      <c r="K374" s="769">
        <f t="shared" si="68"/>
        <v>0</v>
      </c>
      <c r="L374" s="769">
        <f t="shared" si="69"/>
        <v>0</v>
      </c>
      <c r="M374" s="769"/>
      <c r="N374" s="769"/>
      <c r="O374" s="769"/>
      <c r="P374" s="769"/>
      <c r="Q374" s="769"/>
      <c r="R374" s="769"/>
      <c r="U374" s="770"/>
      <c r="V374" s="771">
        <f t="shared" si="70"/>
        <v>0</v>
      </c>
      <c r="W374" s="771">
        <f t="shared" si="71"/>
        <v>0</v>
      </c>
      <c r="X374" t="str">
        <f t="shared" si="72"/>
        <v/>
      </c>
      <c r="Y374" t="str">
        <f t="shared" si="73"/>
        <v/>
      </c>
      <c r="AA374" s="769">
        <f t="shared" si="74"/>
        <v>0</v>
      </c>
      <c r="AB374" s="772">
        <f t="shared" si="75"/>
        <v>0</v>
      </c>
      <c r="AC374" s="769"/>
      <c r="AD374" s="421"/>
      <c r="AE374" s="769"/>
      <c r="AF374" s="769"/>
      <c r="AG374" s="769"/>
      <c r="AH374" s="769"/>
      <c r="AI374" s="769"/>
      <c r="AJ374" s="769"/>
      <c r="AK374" s="769"/>
      <c r="AL374" s="769"/>
      <c r="AM374" s="769"/>
      <c r="AN374" s="769"/>
      <c r="AO374" s="773"/>
      <c r="AP374" s="774">
        <f t="shared" si="76"/>
        <v>0</v>
      </c>
      <c r="AQ374" s="439"/>
      <c r="AS374" s="771"/>
      <c r="AT374" t="str">
        <f t="array" ref="AT374">IF(E374&lt;&gt;"Occupied","",_xlfn.IFS(AND(ISNUMBER(AC374),AC374&lt;&gt;0),"Structured",ISNUMBER(SEARCH("/mo con",T374)),"Notes-parsed",ISNUMBER(SEARCH("step",T374)),"Step-up",ISNUMBER(SEARCH("swap",T374)),"Rate-swap",AND(ISNUMBER(I374),ISNUMBER(J374),I374&gt;J374),"Implied",TRUE(),""))</f>
        <v/>
      </c>
      <c r="AU374" s="769" t="str">
        <f t="shared" si="77"/>
        <v/>
      </c>
      <c r="AV374" s="775">
        <f t="shared" si="78"/>
        <v>0</v>
      </c>
    </row>
    <row r="375" spans="7:48" ht="15" customHeight="1" outlineLevel="1" x14ac:dyDescent="0.25">
      <c r="G375" s="421"/>
      <c r="H375" s="421"/>
      <c r="I375" s="769"/>
      <c r="J375" s="769"/>
      <c r="K375" s="769">
        <f t="shared" si="68"/>
        <v>0</v>
      </c>
      <c r="L375" s="769">
        <f t="shared" si="69"/>
        <v>0</v>
      </c>
      <c r="M375" s="769"/>
      <c r="N375" s="769"/>
      <c r="O375" s="769"/>
      <c r="P375" s="769"/>
      <c r="Q375" s="769"/>
      <c r="R375" s="769"/>
      <c r="U375" s="770"/>
      <c r="V375" s="771">
        <f t="shared" si="70"/>
        <v>0</v>
      </c>
      <c r="W375" s="771">
        <f t="shared" si="71"/>
        <v>0</v>
      </c>
      <c r="X375" t="str">
        <f t="shared" si="72"/>
        <v/>
      </c>
      <c r="Y375" t="str">
        <f t="shared" si="73"/>
        <v/>
      </c>
      <c r="AA375" s="769">
        <f t="shared" si="74"/>
        <v>0</v>
      </c>
      <c r="AB375" s="772">
        <f t="shared" si="75"/>
        <v>0</v>
      </c>
      <c r="AC375" s="769"/>
      <c r="AD375" s="421"/>
      <c r="AE375" s="769"/>
      <c r="AF375" s="769"/>
      <c r="AG375" s="769"/>
      <c r="AH375" s="769"/>
      <c r="AI375" s="769"/>
      <c r="AJ375" s="769"/>
      <c r="AK375" s="769"/>
      <c r="AL375" s="769"/>
      <c r="AM375" s="769"/>
      <c r="AN375" s="769"/>
      <c r="AO375" s="773"/>
      <c r="AP375" s="774">
        <f t="shared" si="76"/>
        <v>0</v>
      </c>
      <c r="AQ375" s="439"/>
      <c r="AS375" s="771"/>
      <c r="AT375" t="str">
        <f t="array" ref="AT375">IF(E375&lt;&gt;"Occupied","",_xlfn.IFS(AND(ISNUMBER(AC375),AC375&lt;&gt;0),"Structured",ISNUMBER(SEARCH("/mo con",T375)),"Notes-parsed",ISNUMBER(SEARCH("step",T375)),"Step-up",ISNUMBER(SEARCH("swap",T375)),"Rate-swap",AND(ISNUMBER(I375),ISNUMBER(J375),I375&gt;J375),"Implied",TRUE(),""))</f>
        <v/>
      </c>
      <c r="AU375" s="769" t="str">
        <f t="shared" si="77"/>
        <v/>
      </c>
      <c r="AV375" s="775">
        <f t="shared" si="78"/>
        <v>0</v>
      </c>
    </row>
    <row r="376" spans="7:48" ht="15" customHeight="1" outlineLevel="1" x14ac:dyDescent="0.25">
      <c r="G376" s="421"/>
      <c r="H376" s="421"/>
      <c r="I376" s="769"/>
      <c r="J376" s="769"/>
      <c r="K376" s="769">
        <f t="shared" si="68"/>
        <v>0</v>
      </c>
      <c r="L376" s="769">
        <f t="shared" si="69"/>
        <v>0</v>
      </c>
      <c r="M376" s="769"/>
      <c r="N376" s="769"/>
      <c r="O376" s="769"/>
      <c r="P376" s="769"/>
      <c r="Q376" s="769"/>
      <c r="R376" s="769"/>
      <c r="U376" s="770"/>
      <c r="V376" s="771">
        <f t="shared" si="70"/>
        <v>0</v>
      </c>
      <c r="W376" s="771">
        <f t="shared" si="71"/>
        <v>0</v>
      </c>
      <c r="X376" t="str">
        <f t="shared" si="72"/>
        <v/>
      </c>
      <c r="Y376" t="str">
        <f t="shared" si="73"/>
        <v/>
      </c>
      <c r="AA376" s="769">
        <f t="shared" si="74"/>
        <v>0</v>
      </c>
      <c r="AB376" s="772">
        <f t="shared" si="75"/>
        <v>0</v>
      </c>
      <c r="AC376" s="769"/>
      <c r="AD376" s="421"/>
      <c r="AE376" s="769"/>
      <c r="AF376" s="769"/>
      <c r="AG376" s="769"/>
      <c r="AH376" s="769"/>
      <c r="AI376" s="769"/>
      <c r="AJ376" s="769"/>
      <c r="AK376" s="769"/>
      <c r="AL376" s="769"/>
      <c r="AM376" s="769"/>
      <c r="AN376" s="769"/>
      <c r="AO376" s="773"/>
      <c r="AP376" s="774">
        <f t="shared" si="76"/>
        <v>0</v>
      </c>
      <c r="AQ376" s="439"/>
      <c r="AS376" s="771"/>
      <c r="AT376" t="str">
        <f t="array" ref="AT376">IF(E376&lt;&gt;"Occupied","",_xlfn.IFS(AND(ISNUMBER(AC376),AC376&lt;&gt;0),"Structured",ISNUMBER(SEARCH("/mo con",T376)),"Notes-parsed",ISNUMBER(SEARCH("step",T376)),"Step-up",ISNUMBER(SEARCH("swap",T376)),"Rate-swap",AND(ISNUMBER(I376),ISNUMBER(J376),I376&gt;J376),"Implied",TRUE(),""))</f>
        <v/>
      </c>
      <c r="AU376" s="769" t="str">
        <f t="shared" si="77"/>
        <v/>
      </c>
      <c r="AV376" s="775">
        <f t="shared" si="78"/>
        <v>0</v>
      </c>
    </row>
    <row r="377" spans="7:48" ht="15" customHeight="1" outlineLevel="1" x14ac:dyDescent="0.25">
      <c r="G377" s="421"/>
      <c r="H377" s="421"/>
      <c r="I377" s="769"/>
      <c r="J377" s="769"/>
      <c r="K377" s="769">
        <f t="shared" si="68"/>
        <v>0</v>
      </c>
      <c r="L377" s="769">
        <f t="shared" si="69"/>
        <v>0</v>
      </c>
      <c r="M377" s="769"/>
      <c r="N377" s="769"/>
      <c r="O377" s="769"/>
      <c r="P377" s="769"/>
      <c r="Q377" s="769"/>
      <c r="R377" s="769"/>
      <c r="U377" s="770"/>
      <c r="V377" s="771">
        <f t="shared" si="70"/>
        <v>0</v>
      </c>
      <c r="W377" s="771">
        <f t="shared" si="71"/>
        <v>0</v>
      </c>
      <c r="X377" t="str">
        <f t="shared" si="72"/>
        <v/>
      </c>
      <c r="Y377" t="str">
        <f t="shared" si="73"/>
        <v/>
      </c>
      <c r="AA377" s="769">
        <f t="shared" si="74"/>
        <v>0</v>
      </c>
      <c r="AB377" s="772">
        <f t="shared" si="75"/>
        <v>0</v>
      </c>
      <c r="AC377" s="769"/>
      <c r="AD377" s="421"/>
      <c r="AE377" s="769"/>
      <c r="AF377" s="769"/>
      <c r="AG377" s="769"/>
      <c r="AH377" s="769"/>
      <c r="AI377" s="769"/>
      <c r="AJ377" s="769"/>
      <c r="AK377" s="769"/>
      <c r="AL377" s="769"/>
      <c r="AM377" s="769"/>
      <c r="AN377" s="769"/>
      <c r="AO377" s="773"/>
      <c r="AP377" s="774">
        <f t="shared" si="76"/>
        <v>0</v>
      </c>
      <c r="AQ377" s="439"/>
      <c r="AS377" s="771"/>
      <c r="AT377" t="str">
        <f t="array" ref="AT377">IF(E377&lt;&gt;"Occupied","",_xlfn.IFS(AND(ISNUMBER(AC377),AC377&lt;&gt;0),"Structured",ISNUMBER(SEARCH("/mo con",T377)),"Notes-parsed",ISNUMBER(SEARCH("step",T377)),"Step-up",ISNUMBER(SEARCH("swap",T377)),"Rate-swap",AND(ISNUMBER(I377),ISNUMBER(J377),I377&gt;J377),"Implied",TRUE(),""))</f>
        <v/>
      </c>
      <c r="AU377" s="769" t="str">
        <f t="shared" si="77"/>
        <v/>
      </c>
      <c r="AV377" s="775">
        <f t="shared" si="78"/>
        <v>0</v>
      </c>
    </row>
    <row r="378" spans="7:48" ht="15" customHeight="1" outlineLevel="1" x14ac:dyDescent="0.25">
      <c r="G378" s="421"/>
      <c r="H378" s="421"/>
      <c r="I378" s="769"/>
      <c r="J378" s="769"/>
      <c r="K378" s="769">
        <f t="shared" si="68"/>
        <v>0</v>
      </c>
      <c r="L378" s="769">
        <f t="shared" si="69"/>
        <v>0</v>
      </c>
      <c r="M378" s="769"/>
      <c r="N378" s="769"/>
      <c r="O378" s="769"/>
      <c r="P378" s="769"/>
      <c r="Q378" s="769"/>
      <c r="R378" s="769"/>
      <c r="U378" s="770"/>
      <c r="V378" s="771">
        <f t="shared" si="70"/>
        <v>0</v>
      </c>
      <c r="W378" s="771">
        <f t="shared" si="71"/>
        <v>0</v>
      </c>
      <c r="X378" t="str">
        <f t="shared" si="72"/>
        <v/>
      </c>
      <c r="Y378" t="str">
        <f t="shared" si="73"/>
        <v/>
      </c>
      <c r="AA378" s="769">
        <f t="shared" si="74"/>
        <v>0</v>
      </c>
      <c r="AB378" s="772">
        <f t="shared" si="75"/>
        <v>0</v>
      </c>
      <c r="AC378" s="769"/>
      <c r="AD378" s="421"/>
      <c r="AE378" s="769"/>
      <c r="AF378" s="769"/>
      <c r="AG378" s="769"/>
      <c r="AH378" s="769"/>
      <c r="AI378" s="769"/>
      <c r="AJ378" s="769"/>
      <c r="AK378" s="769"/>
      <c r="AL378" s="769"/>
      <c r="AM378" s="769"/>
      <c r="AN378" s="769"/>
      <c r="AO378" s="773"/>
      <c r="AP378" s="774">
        <f t="shared" si="76"/>
        <v>0</v>
      </c>
      <c r="AQ378" s="439"/>
      <c r="AS378" s="771"/>
      <c r="AT378" t="str">
        <f t="array" ref="AT378">IF(E378&lt;&gt;"Occupied","",_xlfn.IFS(AND(ISNUMBER(AC378),AC378&lt;&gt;0),"Structured",ISNUMBER(SEARCH("/mo con",T378)),"Notes-parsed",ISNUMBER(SEARCH("step",T378)),"Step-up",ISNUMBER(SEARCH("swap",T378)),"Rate-swap",AND(ISNUMBER(I378),ISNUMBER(J378),I378&gt;J378),"Implied",TRUE(),""))</f>
        <v/>
      </c>
      <c r="AU378" s="769" t="str">
        <f t="shared" si="77"/>
        <v/>
      </c>
      <c r="AV378" s="775">
        <f t="shared" si="78"/>
        <v>0</v>
      </c>
    </row>
    <row r="379" spans="7:48" ht="15" customHeight="1" outlineLevel="1" x14ac:dyDescent="0.25">
      <c r="G379" s="421"/>
      <c r="H379" s="421"/>
      <c r="I379" s="769"/>
      <c r="J379" s="769"/>
      <c r="K379" s="769">
        <f t="shared" si="68"/>
        <v>0</v>
      </c>
      <c r="L379" s="769">
        <f t="shared" si="69"/>
        <v>0</v>
      </c>
      <c r="M379" s="769"/>
      <c r="N379" s="769"/>
      <c r="O379" s="769"/>
      <c r="P379" s="769"/>
      <c r="Q379" s="769"/>
      <c r="R379" s="769"/>
      <c r="U379" s="770"/>
      <c r="V379" s="771">
        <f t="shared" si="70"/>
        <v>0</v>
      </c>
      <c r="W379" s="771">
        <f t="shared" si="71"/>
        <v>0</v>
      </c>
      <c r="X379" t="str">
        <f t="shared" si="72"/>
        <v/>
      </c>
      <c r="Y379" t="str">
        <f t="shared" si="73"/>
        <v/>
      </c>
      <c r="AA379" s="769">
        <f t="shared" si="74"/>
        <v>0</v>
      </c>
      <c r="AB379" s="772">
        <f t="shared" si="75"/>
        <v>0</v>
      </c>
      <c r="AC379" s="769"/>
      <c r="AD379" s="421"/>
      <c r="AE379" s="769"/>
      <c r="AF379" s="769"/>
      <c r="AG379" s="769"/>
      <c r="AH379" s="769"/>
      <c r="AI379" s="769"/>
      <c r="AJ379" s="769"/>
      <c r="AK379" s="769"/>
      <c r="AL379" s="769"/>
      <c r="AM379" s="769"/>
      <c r="AN379" s="769"/>
      <c r="AO379" s="773"/>
      <c r="AP379" s="774">
        <f t="shared" si="76"/>
        <v>0</v>
      </c>
      <c r="AQ379" s="439"/>
      <c r="AS379" s="771"/>
      <c r="AT379" t="str">
        <f t="array" ref="AT379">IF(E379&lt;&gt;"Occupied","",_xlfn.IFS(AND(ISNUMBER(AC379),AC379&lt;&gt;0),"Structured",ISNUMBER(SEARCH("/mo con",T379)),"Notes-parsed",ISNUMBER(SEARCH("step",T379)),"Step-up",ISNUMBER(SEARCH("swap",T379)),"Rate-swap",AND(ISNUMBER(I379),ISNUMBER(J379),I379&gt;J379),"Implied",TRUE(),""))</f>
        <v/>
      </c>
      <c r="AU379" s="769" t="str">
        <f t="shared" si="77"/>
        <v/>
      </c>
      <c r="AV379" s="775">
        <f t="shared" si="78"/>
        <v>0</v>
      </c>
    </row>
    <row r="380" spans="7:48" ht="15" customHeight="1" outlineLevel="1" x14ac:dyDescent="0.25">
      <c r="G380" s="421"/>
      <c r="H380" s="421"/>
      <c r="I380" s="769"/>
      <c r="J380" s="769"/>
      <c r="K380" s="769">
        <f t="shared" si="68"/>
        <v>0</v>
      </c>
      <c r="L380" s="769">
        <f t="shared" si="69"/>
        <v>0</v>
      </c>
      <c r="M380" s="769"/>
      <c r="N380" s="769"/>
      <c r="O380" s="769"/>
      <c r="P380" s="769"/>
      <c r="Q380" s="769"/>
      <c r="R380" s="769"/>
      <c r="U380" s="770"/>
      <c r="V380" s="771">
        <f t="shared" si="70"/>
        <v>0</v>
      </c>
      <c r="W380" s="771">
        <f t="shared" si="71"/>
        <v>0</v>
      </c>
      <c r="X380" t="str">
        <f t="shared" si="72"/>
        <v/>
      </c>
      <c r="Y380" t="str">
        <f t="shared" si="73"/>
        <v/>
      </c>
      <c r="AA380" s="769">
        <f t="shared" si="74"/>
        <v>0</v>
      </c>
      <c r="AB380" s="772">
        <f t="shared" si="75"/>
        <v>0</v>
      </c>
      <c r="AC380" s="769"/>
      <c r="AD380" s="421"/>
      <c r="AE380" s="769"/>
      <c r="AF380" s="769"/>
      <c r="AG380" s="769"/>
      <c r="AH380" s="769"/>
      <c r="AI380" s="769"/>
      <c r="AJ380" s="769"/>
      <c r="AK380" s="769"/>
      <c r="AL380" s="769"/>
      <c r="AM380" s="769"/>
      <c r="AN380" s="769"/>
      <c r="AO380" s="773"/>
      <c r="AP380" s="774">
        <f t="shared" si="76"/>
        <v>0</v>
      </c>
      <c r="AQ380" s="439"/>
      <c r="AS380" s="771"/>
      <c r="AT380" t="str">
        <f t="array" ref="AT380">IF(E380&lt;&gt;"Occupied","",_xlfn.IFS(AND(ISNUMBER(AC380),AC380&lt;&gt;0),"Structured",ISNUMBER(SEARCH("/mo con",T380)),"Notes-parsed",ISNUMBER(SEARCH("step",T380)),"Step-up",ISNUMBER(SEARCH("swap",T380)),"Rate-swap",AND(ISNUMBER(I380),ISNUMBER(J380),I380&gt;J380),"Implied",TRUE(),""))</f>
        <v/>
      </c>
      <c r="AU380" s="769" t="str">
        <f t="shared" si="77"/>
        <v/>
      </c>
      <c r="AV380" s="775">
        <f t="shared" si="78"/>
        <v>0</v>
      </c>
    </row>
    <row r="381" spans="7:48" ht="15" customHeight="1" outlineLevel="1" x14ac:dyDescent="0.25">
      <c r="G381" s="421"/>
      <c r="H381" s="421"/>
      <c r="I381" s="769"/>
      <c r="J381" s="769"/>
      <c r="K381" s="769">
        <f t="shared" si="68"/>
        <v>0</v>
      </c>
      <c r="L381" s="769">
        <f t="shared" si="69"/>
        <v>0</v>
      </c>
      <c r="M381" s="769"/>
      <c r="N381" s="769"/>
      <c r="O381" s="769"/>
      <c r="P381" s="769"/>
      <c r="Q381" s="769"/>
      <c r="R381" s="769"/>
      <c r="U381" s="770"/>
      <c r="V381" s="771">
        <f t="shared" si="70"/>
        <v>0</v>
      </c>
      <c r="W381" s="771">
        <f t="shared" si="71"/>
        <v>0</v>
      </c>
      <c r="X381" t="str">
        <f t="shared" si="72"/>
        <v/>
      </c>
      <c r="Y381" t="str">
        <f t="shared" si="73"/>
        <v/>
      </c>
      <c r="AA381" s="769">
        <f t="shared" si="74"/>
        <v>0</v>
      </c>
      <c r="AB381" s="772">
        <f t="shared" si="75"/>
        <v>0</v>
      </c>
      <c r="AC381" s="769"/>
      <c r="AD381" s="421"/>
      <c r="AE381" s="769"/>
      <c r="AF381" s="769"/>
      <c r="AG381" s="769"/>
      <c r="AH381" s="769"/>
      <c r="AI381" s="769"/>
      <c r="AJ381" s="769"/>
      <c r="AK381" s="769"/>
      <c r="AL381" s="769"/>
      <c r="AM381" s="769"/>
      <c r="AN381" s="769"/>
      <c r="AO381" s="773"/>
      <c r="AP381" s="774">
        <f t="shared" si="76"/>
        <v>0</v>
      </c>
      <c r="AQ381" s="439"/>
      <c r="AS381" s="771"/>
      <c r="AT381" t="str">
        <f t="array" ref="AT381">IF(E381&lt;&gt;"Occupied","",_xlfn.IFS(AND(ISNUMBER(AC381),AC381&lt;&gt;0),"Structured",ISNUMBER(SEARCH("/mo con",T381)),"Notes-parsed",ISNUMBER(SEARCH("step",T381)),"Step-up",ISNUMBER(SEARCH("swap",T381)),"Rate-swap",AND(ISNUMBER(I381),ISNUMBER(J381),I381&gt;J381),"Implied",TRUE(),""))</f>
        <v/>
      </c>
      <c r="AU381" s="769" t="str">
        <f t="shared" si="77"/>
        <v/>
      </c>
      <c r="AV381" s="775">
        <f t="shared" si="78"/>
        <v>0</v>
      </c>
    </row>
    <row r="382" spans="7:48" ht="15" customHeight="1" outlineLevel="1" x14ac:dyDescent="0.25">
      <c r="G382" s="421"/>
      <c r="H382" s="421"/>
      <c r="I382" s="769"/>
      <c r="J382" s="769"/>
      <c r="K382" s="769">
        <f t="shared" si="68"/>
        <v>0</v>
      </c>
      <c r="L382" s="769">
        <f t="shared" si="69"/>
        <v>0</v>
      </c>
      <c r="M382" s="769"/>
      <c r="N382" s="769"/>
      <c r="O382" s="769"/>
      <c r="P382" s="769"/>
      <c r="Q382" s="769"/>
      <c r="R382" s="769"/>
      <c r="U382" s="770"/>
      <c r="V382" s="771">
        <f t="shared" si="70"/>
        <v>0</v>
      </c>
      <c r="W382" s="771">
        <f t="shared" si="71"/>
        <v>0</v>
      </c>
      <c r="X382" t="str">
        <f t="shared" si="72"/>
        <v/>
      </c>
      <c r="Y382" t="str">
        <f t="shared" si="73"/>
        <v/>
      </c>
      <c r="AA382" s="769">
        <f t="shared" si="74"/>
        <v>0</v>
      </c>
      <c r="AB382" s="772">
        <f t="shared" si="75"/>
        <v>0</v>
      </c>
      <c r="AC382" s="769"/>
      <c r="AD382" s="421"/>
      <c r="AE382" s="769"/>
      <c r="AF382" s="769"/>
      <c r="AG382" s="769"/>
      <c r="AH382" s="769"/>
      <c r="AI382" s="769"/>
      <c r="AJ382" s="769"/>
      <c r="AK382" s="769"/>
      <c r="AL382" s="769"/>
      <c r="AM382" s="769"/>
      <c r="AN382" s="769"/>
      <c r="AO382" s="773"/>
      <c r="AP382" s="774">
        <f t="shared" si="76"/>
        <v>0</v>
      </c>
      <c r="AQ382" s="439"/>
      <c r="AS382" s="771"/>
      <c r="AT382" t="str">
        <f t="array" ref="AT382">IF(E382&lt;&gt;"Occupied","",_xlfn.IFS(AND(ISNUMBER(AC382),AC382&lt;&gt;0),"Structured",ISNUMBER(SEARCH("/mo con",T382)),"Notes-parsed",ISNUMBER(SEARCH("step",T382)),"Step-up",ISNUMBER(SEARCH("swap",T382)),"Rate-swap",AND(ISNUMBER(I382),ISNUMBER(J382),I382&gt;J382),"Implied",TRUE(),""))</f>
        <v/>
      </c>
      <c r="AU382" s="769" t="str">
        <f t="shared" si="77"/>
        <v/>
      </c>
      <c r="AV382" s="775">
        <f t="shared" si="78"/>
        <v>0</v>
      </c>
    </row>
    <row r="383" spans="7:48" ht="15" customHeight="1" outlineLevel="1" x14ac:dyDescent="0.25">
      <c r="G383" s="421"/>
      <c r="H383" s="421"/>
      <c r="I383" s="769"/>
      <c r="J383" s="769"/>
      <c r="K383" s="769">
        <f t="shared" si="68"/>
        <v>0</v>
      </c>
      <c r="L383" s="769">
        <f t="shared" si="69"/>
        <v>0</v>
      </c>
      <c r="M383" s="769"/>
      <c r="N383" s="769"/>
      <c r="O383" s="769"/>
      <c r="P383" s="769"/>
      <c r="Q383" s="769"/>
      <c r="R383" s="769"/>
      <c r="U383" s="770"/>
      <c r="V383" s="771">
        <f t="shared" si="70"/>
        <v>0</v>
      </c>
      <c r="W383" s="771">
        <f t="shared" si="71"/>
        <v>0</v>
      </c>
      <c r="X383" t="str">
        <f t="shared" si="72"/>
        <v/>
      </c>
      <c r="Y383" t="str">
        <f t="shared" si="73"/>
        <v/>
      </c>
      <c r="AA383" s="769">
        <f t="shared" si="74"/>
        <v>0</v>
      </c>
      <c r="AB383" s="772">
        <f t="shared" si="75"/>
        <v>0</v>
      </c>
      <c r="AC383" s="769"/>
      <c r="AD383" s="421"/>
      <c r="AE383" s="769"/>
      <c r="AF383" s="769"/>
      <c r="AG383" s="769"/>
      <c r="AH383" s="769"/>
      <c r="AI383" s="769"/>
      <c r="AJ383" s="769"/>
      <c r="AK383" s="769"/>
      <c r="AL383" s="769"/>
      <c r="AM383" s="769"/>
      <c r="AN383" s="769"/>
      <c r="AO383" s="773"/>
      <c r="AP383" s="774">
        <f t="shared" si="76"/>
        <v>0</v>
      </c>
      <c r="AQ383" s="439"/>
      <c r="AS383" s="771"/>
      <c r="AT383" t="str">
        <f t="array" ref="AT383">IF(E383&lt;&gt;"Occupied","",_xlfn.IFS(AND(ISNUMBER(AC383),AC383&lt;&gt;0),"Structured",ISNUMBER(SEARCH("/mo con",T383)),"Notes-parsed",ISNUMBER(SEARCH("step",T383)),"Step-up",ISNUMBER(SEARCH("swap",T383)),"Rate-swap",AND(ISNUMBER(I383),ISNUMBER(J383),I383&gt;J383),"Implied",TRUE(),""))</f>
        <v/>
      </c>
      <c r="AU383" s="769" t="str">
        <f t="shared" si="77"/>
        <v/>
      </c>
      <c r="AV383" s="775">
        <f t="shared" si="78"/>
        <v>0</v>
      </c>
    </row>
    <row r="384" spans="7:48" ht="15" customHeight="1" outlineLevel="1" x14ac:dyDescent="0.25">
      <c r="G384" s="421"/>
      <c r="H384" s="421"/>
      <c r="I384" s="769"/>
      <c r="J384" s="769"/>
      <c r="K384" s="769">
        <f t="shared" si="68"/>
        <v>0</v>
      </c>
      <c r="L384" s="769">
        <f t="shared" si="69"/>
        <v>0</v>
      </c>
      <c r="M384" s="769"/>
      <c r="N384" s="769"/>
      <c r="O384" s="769"/>
      <c r="P384" s="769"/>
      <c r="Q384" s="769"/>
      <c r="R384" s="769"/>
      <c r="U384" s="770"/>
      <c r="V384" s="771">
        <f t="shared" si="70"/>
        <v>0</v>
      </c>
      <c r="W384" s="771">
        <f t="shared" si="71"/>
        <v>0</v>
      </c>
      <c r="X384" t="str">
        <f t="shared" si="72"/>
        <v/>
      </c>
      <c r="Y384" t="str">
        <f t="shared" si="73"/>
        <v/>
      </c>
      <c r="AA384" s="769">
        <f t="shared" si="74"/>
        <v>0</v>
      </c>
      <c r="AB384" s="772">
        <f t="shared" si="75"/>
        <v>0</v>
      </c>
      <c r="AC384" s="769"/>
      <c r="AD384" s="421"/>
      <c r="AE384" s="769"/>
      <c r="AF384" s="769"/>
      <c r="AG384" s="769"/>
      <c r="AH384" s="769"/>
      <c r="AI384" s="769"/>
      <c r="AJ384" s="769"/>
      <c r="AK384" s="769"/>
      <c r="AL384" s="769"/>
      <c r="AM384" s="769"/>
      <c r="AN384" s="769"/>
      <c r="AO384" s="773"/>
      <c r="AP384" s="774">
        <f t="shared" si="76"/>
        <v>0</v>
      </c>
      <c r="AQ384" s="439"/>
      <c r="AS384" s="771"/>
      <c r="AT384" t="str">
        <f t="array" ref="AT384">IF(E384&lt;&gt;"Occupied","",_xlfn.IFS(AND(ISNUMBER(AC384),AC384&lt;&gt;0),"Structured",ISNUMBER(SEARCH("/mo con",T384)),"Notes-parsed",ISNUMBER(SEARCH("step",T384)),"Step-up",ISNUMBER(SEARCH("swap",T384)),"Rate-swap",AND(ISNUMBER(I384),ISNUMBER(J384),I384&gt;J384),"Implied",TRUE(),""))</f>
        <v/>
      </c>
      <c r="AU384" s="769" t="str">
        <f t="shared" si="77"/>
        <v/>
      </c>
      <c r="AV384" s="775">
        <f t="shared" si="78"/>
        <v>0</v>
      </c>
    </row>
    <row r="385" spans="7:48" ht="15" customHeight="1" outlineLevel="1" x14ac:dyDescent="0.25">
      <c r="G385" s="421"/>
      <c r="H385" s="421"/>
      <c r="I385" s="769"/>
      <c r="J385" s="769"/>
      <c r="K385" s="769">
        <f t="shared" si="68"/>
        <v>0</v>
      </c>
      <c r="L385" s="769">
        <f t="shared" si="69"/>
        <v>0</v>
      </c>
      <c r="M385" s="769"/>
      <c r="N385" s="769"/>
      <c r="O385" s="769"/>
      <c r="P385" s="769"/>
      <c r="Q385" s="769"/>
      <c r="R385" s="769"/>
      <c r="U385" s="770"/>
      <c r="V385" s="771">
        <f t="shared" si="70"/>
        <v>0</v>
      </c>
      <c r="W385" s="771">
        <f t="shared" si="71"/>
        <v>0</v>
      </c>
      <c r="X385" t="str">
        <f t="shared" si="72"/>
        <v/>
      </c>
      <c r="Y385" t="str">
        <f t="shared" si="73"/>
        <v/>
      </c>
      <c r="AA385" s="769">
        <f t="shared" si="74"/>
        <v>0</v>
      </c>
      <c r="AB385" s="772">
        <f t="shared" si="75"/>
        <v>0</v>
      </c>
      <c r="AC385" s="769"/>
      <c r="AD385" s="421"/>
      <c r="AE385" s="769"/>
      <c r="AF385" s="769"/>
      <c r="AG385" s="769"/>
      <c r="AH385" s="769"/>
      <c r="AI385" s="769"/>
      <c r="AJ385" s="769"/>
      <c r="AK385" s="769"/>
      <c r="AL385" s="769"/>
      <c r="AM385" s="769"/>
      <c r="AN385" s="769"/>
      <c r="AO385" s="773"/>
      <c r="AP385" s="774">
        <f t="shared" si="76"/>
        <v>0</v>
      </c>
      <c r="AQ385" s="439"/>
      <c r="AS385" s="771"/>
      <c r="AT385" t="str">
        <f t="array" ref="AT385">IF(E385&lt;&gt;"Occupied","",_xlfn.IFS(AND(ISNUMBER(AC385),AC385&lt;&gt;0),"Structured",ISNUMBER(SEARCH("/mo con",T385)),"Notes-parsed",ISNUMBER(SEARCH("step",T385)),"Step-up",ISNUMBER(SEARCH("swap",T385)),"Rate-swap",AND(ISNUMBER(I385),ISNUMBER(J385),I385&gt;J385),"Implied",TRUE(),""))</f>
        <v/>
      </c>
      <c r="AU385" s="769" t="str">
        <f t="shared" si="77"/>
        <v/>
      </c>
      <c r="AV385" s="775">
        <f t="shared" si="78"/>
        <v>0</v>
      </c>
    </row>
    <row r="386" spans="7:48" ht="15" customHeight="1" outlineLevel="1" x14ac:dyDescent="0.25">
      <c r="G386" s="421"/>
      <c r="H386" s="421"/>
      <c r="I386" s="769"/>
      <c r="J386" s="769"/>
      <c r="K386" s="769">
        <f t="shared" si="68"/>
        <v>0</v>
      </c>
      <c r="L386" s="769">
        <f t="shared" si="69"/>
        <v>0</v>
      </c>
      <c r="M386" s="769"/>
      <c r="N386" s="769"/>
      <c r="O386" s="769"/>
      <c r="P386" s="769"/>
      <c r="Q386" s="769"/>
      <c r="R386" s="769"/>
      <c r="U386" s="770"/>
      <c r="V386" s="771">
        <f t="shared" si="70"/>
        <v>0</v>
      </c>
      <c r="W386" s="771">
        <f t="shared" si="71"/>
        <v>0</v>
      </c>
      <c r="X386" t="str">
        <f t="shared" si="72"/>
        <v/>
      </c>
      <c r="Y386" t="str">
        <f t="shared" si="73"/>
        <v/>
      </c>
      <c r="AA386" s="769">
        <f t="shared" si="74"/>
        <v>0</v>
      </c>
      <c r="AB386" s="772">
        <f t="shared" si="75"/>
        <v>0</v>
      </c>
      <c r="AC386" s="769"/>
      <c r="AD386" s="421"/>
      <c r="AE386" s="769"/>
      <c r="AF386" s="769"/>
      <c r="AG386" s="769"/>
      <c r="AH386" s="769"/>
      <c r="AI386" s="769"/>
      <c r="AJ386" s="769"/>
      <c r="AK386" s="769"/>
      <c r="AL386" s="769"/>
      <c r="AM386" s="769"/>
      <c r="AN386" s="769"/>
      <c r="AO386" s="773"/>
      <c r="AP386" s="774">
        <f t="shared" si="76"/>
        <v>0</v>
      </c>
      <c r="AQ386" s="439"/>
      <c r="AS386" s="771"/>
      <c r="AT386" t="str">
        <f t="array" ref="AT386">IF(E386&lt;&gt;"Occupied","",_xlfn.IFS(AND(ISNUMBER(AC386),AC386&lt;&gt;0),"Structured",ISNUMBER(SEARCH("/mo con",T386)),"Notes-parsed",ISNUMBER(SEARCH("step",T386)),"Step-up",ISNUMBER(SEARCH("swap",T386)),"Rate-swap",AND(ISNUMBER(I386),ISNUMBER(J386),I386&gt;J386),"Implied",TRUE(),""))</f>
        <v/>
      </c>
      <c r="AU386" s="769" t="str">
        <f t="shared" si="77"/>
        <v/>
      </c>
      <c r="AV386" s="775">
        <f t="shared" si="78"/>
        <v>0</v>
      </c>
    </row>
    <row r="387" spans="7:48" ht="15" customHeight="1" outlineLevel="1" x14ac:dyDescent="0.25">
      <c r="G387" s="421"/>
      <c r="H387" s="421"/>
      <c r="I387" s="769"/>
      <c r="J387" s="769"/>
      <c r="K387" s="769">
        <f t="shared" si="68"/>
        <v>0</v>
      </c>
      <c r="L387" s="769">
        <f t="shared" si="69"/>
        <v>0</v>
      </c>
      <c r="M387" s="769"/>
      <c r="N387" s="769"/>
      <c r="O387" s="769"/>
      <c r="P387" s="769"/>
      <c r="Q387" s="769"/>
      <c r="R387" s="769"/>
      <c r="U387" s="770"/>
      <c r="V387" s="771">
        <f t="shared" si="70"/>
        <v>0</v>
      </c>
      <c r="W387" s="771">
        <f t="shared" si="71"/>
        <v>0</v>
      </c>
      <c r="X387" t="str">
        <f t="shared" si="72"/>
        <v/>
      </c>
      <c r="Y387" t="str">
        <f t="shared" si="73"/>
        <v/>
      </c>
      <c r="AA387" s="769">
        <f t="shared" si="74"/>
        <v>0</v>
      </c>
      <c r="AB387" s="772">
        <f t="shared" si="75"/>
        <v>0</v>
      </c>
      <c r="AC387" s="769"/>
      <c r="AD387" s="421"/>
      <c r="AE387" s="769"/>
      <c r="AF387" s="769"/>
      <c r="AG387" s="769"/>
      <c r="AH387" s="769"/>
      <c r="AI387" s="769"/>
      <c r="AJ387" s="769"/>
      <c r="AK387" s="769"/>
      <c r="AL387" s="769"/>
      <c r="AM387" s="769"/>
      <c r="AN387" s="769"/>
      <c r="AO387" s="773"/>
      <c r="AP387" s="774">
        <f t="shared" si="76"/>
        <v>0</v>
      </c>
      <c r="AQ387" s="439"/>
      <c r="AS387" s="771"/>
      <c r="AT387" t="str">
        <f t="array" ref="AT387">IF(E387&lt;&gt;"Occupied","",_xlfn.IFS(AND(ISNUMBER(AC387),AC387&lt;&gt;0),"Structured",ISNUMBER(SEARCH("/mo con",T387)),"Notes-parsed",ISNUMBER(SEARCH("step",T387)),"Step-up",ISNUMBER(SEARCH("swap",T387)),"Rate-swap",AND(ISNUMBER(I387),ISNUMBER(J387),I387&gt;J387),"Implied",TRUE(),""))</f>
        <v/>
      </c>
      <c r="AU387" s="769" t="str">
        <f t="shared" si="77"/>
        <v/>
      </c>
      <c r="AV387" s="775">
        <f t="shared" si="78"/>
        <v>0</v>
      </c>
    </row>
    <row r="388" spans="7:48" ht="15" customHeight="1" outlineLevel="1" x14ac:dyDescent="0.25">
      <c r="G388" s="421"/>
      <c r="H388" s="421"/>
      <c r="I388" s="769"/>
      <c r="J388" s="769"/>
      <c r="K388" s="769">
        <f t="shared" si="68"/>
        <v>0</v>
      </c>
      <c r="L388" s="769">
        <f t="shared" si="69"/>
        <v>0</v>
      </c>
      <c r="M388" s="769"/>
      <c r="N388" s="769"/>
      <c r="O388" s="769"/>
      <c r="P388" s="769"/>
      <c r="Q388" s="769"/>
      <c r="R388" s="769"/>
      <c r="U388" s="770"/>
      <c r="V388" s="771">
        <f t="shared" si="70"/>
        <v>0</v>
      </c>
      <c r="W388" s="771">
        <f t="shared" si="71"/>
        <v>0</v>
      </c>
      <c r="X388" t="str">
        <f t="shared" si="72"/>
        <v/>
      </c>
      <c r="Y388" t="str">
        <f t="shared" si="73"/>
        <v/>
      </c>
      <c r="AA388" s="769">
        <f t="shared" si="74"/>
        <v>0</v>
      </c>
      <c r="AB388" s="772">
        <f t="shared" si="75"/>
        <v>0</v>
      </c>
      <c r="AC388" s="769"/>
      <c r="AD388" s="421"/>
      <c r="AE388" s="769"/>
      <c r="AF388" s="769"/>
      <c r="AG388" s="769"/>
      <c r="AH388" s="769"/>
      <c r="AI388" s="769"/>
      <c r="AJ388" s="769"/>
      <c r="AK388" s="769"/>
      <c r="AL388" s="769"/>
      <c r="AM388" s="769"/>
      <c r="AN388" s="769"/>
      <c r="AO388" s="773"/>
      <c r="AP388" s="774">
        <f t="shared" si="76"/>
        <v>0</v>
      </c>
      <c r="AQ388" s="439"/>
      <c r="AS388" s="771"/>
      <c r="AT388" t="str">
        <f t="array" ref="AT388">IF(E388&lt;&gt;"Occupied","",_xlfn.IFS(AND(ISNUMBER(AC388),AC388&lt;&gt;0),"Structured",ISNUMBER(SEARCH("/mo con",T388)),"Notes-parsed",ISNUMBER(SEARCH("step",T388)),"Step-up",ISNUMBER(SEARCH("swap",T388)),"Rate-swap",AND(ISNUMBER(I388),ISNUMBER(J388),I388&gt;J388),"Implied",TRUE(),""))</f>
        <v/>
      </c>
      <c r="AU388" s="769" t="str">
        <f t="shared" si="77"/>
        <v/>
      </c>
      <c r="AV388" s="775">
        <f t="shared" si="78"/>
        <v>0</v>
      </c>
    </row>
    <row r="389" spans="7:48" ht="15" customHeight="1" outlineLevel="1" x14ac:dyDescent="0.25">
      <c r="G389" s="421"/>
      <c r="H389" s="421"/>
      <c r="I389" s="769"/>
      <c r="J389" s="769"/>
      <c r="K389" s="769">
        <f t="shared" si="68"/>
        <v>0</v>
      </c>
      <c r="L389" s="769">
        <f t="shared" si="69"/>
        <v>0</v>
      </c>
      <c r="M389" s="769"/>
      <c r="N389" s="769"/>
      <c r="O389" s="769"/>
      <c r="P389" s="769"/>
      <c r="Q389" s="769"/>
      <c r="R389" s="769"/>
      <c r="U389" s="770"/>
      <c r="V389" s="771">
        <f t="shared" si="70"/>
        <v>0</v>
      </c>
      <c r="W389" s="771">
        <f t="shared" si="71"/>
        <v>0</v>
      </c>
      <c r="X389" t="str">
        <f t="shared" si="72"/>
        <v/>
      </c>
      <c r="Y389" t="str">
        <f t="shared" si="73"/>
        <v/>
      </c>
      <c r="AA389" s="769">
        <f t="shared" si="74"/>
        <v>0</v>
      </c>
      <c r="AB389" s="772">
        <f t="shared" si="75"/>
        <v>0</v>
      </c>
      <c r="AC389" s="769"/>
      <c r="AD389" s="421"/>
      <c r="AE389" s="769"/>
      <c r="AF389" s="769"/>
      <c r="AG389" s="769"/>
      <c r="AH389" s="769"/>
      <c r="AI389" s="769"/>
      <c r="AJ389" s="769"/>
      <c r="AK389" s="769"/>
      <c r="AL389" s="769"/>
      <c r="AM389" s="769"/>
      <c r="AN389" s="769"/>
      <c r="AO389" s="773"/>
      <c r="AP389" s="774">
        <f t="shared" si="76"/>
        <v>0</v>
      </c>
      <c r="AQ389" s="439"/>
      <c r="AS389" s="771"/>
      <c r="AT389" t="str">
        <f t="array" ref="AT389">IF(E389&lt;&gt;"Occupied","",_xlfn.IFS(AND(ISNUMBER(AC389),AC389&lt;&gt;0),"Structured",ISNUMBER(SEARCH("/mo con",T389)),"Notes-parsed",ISNUMBER(SEARCH("step",T389)),"Step-up",ISNUMBER(SEARCH("swap",T389)),"Rate-swap",AND(ISNUMBER(I389),ISNUMBER(J389),I389&gt;J389),"Implied",TRUE(),""))</f>
        <v/>
      </c>
      <c r="AU389" s="769" t="str">
        <f t="shared" si="77"/>
        <v/>
      </c>
      <c r="AV389" s="775">
        <f t="shared" si="78"/>
        <v>0</v>
      </c>
    </row>
    <row r="390" spans="7:48" ht="15" customHeight="1" outlineLevel="1" x14ac:dyDescent="0.25">
      <c r="G390" s="421"/>
      <c r="H390" s="421"/>
      <c r="I390" s="769"/>
      <c r="J390" s="769"/>
      <c r="K390" s="769">
        <f t="shared" si="68"/>
        <v>0</v>
      </c>
      <c r="L390" s="769">
        <f t="shared" si="69"/>
        <v>0</v>
      </c>
      <c r="M390" s="769"/>
      <c r="N390" s="769"/>
      <c r="O390" s="769"/>
      <c r="P390" s="769"/>
      <c r="Q390" s="769"/>
      <c r="R390" s="769"/>
      <c r="U390" s="770"/>
      <c r="V390" s="771">
        <f t="shared" si="70"/>
        <v>0</v>
      </c>
      <c r="W390" s="771">
        <f t="shared" si="71"/>
        <v>0</v>
      </c>
      <c r="X390" t="str">
        <f t="shared" si="72"/>
        <v/>
      </c>
      <c r="Y390" t="str">
        <f t="shared" si="73"/>
        <v/>
      </c>
      <c r="AA390" s="769">
        <f t="shared" si="74"/>
        <v>0</v>
      </c>
      <c r="AB390" s="772">
        <f t="shared" si="75"/>
        <v>0</v>
      </c>
      <c r="AC390" s="769"/>
      <c r="AD390" s="421"/>
      <c r="AE390" s="769"/>
      <c r="AF390" s="769"/>
      <c r="AG390" s="769"/>
      <c r="AH390" s="769"/>
      <c r="AI390" s="769"/>
      <c r="AJ390" s="769"/>
      <c r="AK390" s="769"/>
      <c r="AL390" s="769"/>
      <c r="AM390" s="769"/>
      <c r="AN390" s="769"/>
      <c r="AO390" s="773"/>
      <c r="AP390" s="774">
        <f t="shared" si="76"/>
        <v>0</v>
      </c>
      <c r="AQ390" s="439"/>
      <c r="AS390" s="771"/>
      <c r="AT390" t="str">
        <f t="array" ref="AT390">IF(E390&lt;&gt;"Occupied","",_xlfn.IFS(AND(ISNUMBER(AC390),AC390&lt;&gt;0),"Structured",ISNUMBER(SEARCH("/mo con",T390)),"Notes-parsed",ISNUMBER(SEARCH("step",T390)),"Step-up",ISNUMBER(SEARCH("swap",T390)),"Rate-swap",AND(ISNUMBER(I390),ISNUMBER(J390),I390&gt;J390),"Implied",TRUE(),""))</f>
        <v/>
      </c>
      <c r="AU390" s="769" t="str">
        <f t="shared" si="77"/>
        <v/>
      </c>
      <c r="AV390" s="775">
        <f t="shared" si="78"/>
        <v>0</v>
      </c>
    </row>
    <row r="391" spans="7:48" ht="15" customHeight="1" outlineLevel="1" x14ac:dyDescent="0.25">
      <c r="G391" s="421"/>
      <c r="H391" s="421"/>
      <c r="I391" s="769"/>
      <c r="J391" s="769"/>
      <c r="K391" s="769">
        <f t="shared" si="68"/>
        <v>0</v>
      </c>
      <c r="L391" s="769">
        <f t="shared" si="69"/>
        <v>0</v>
      </c>
      <c r="M391" s="769"/>
      <c r="N391" s="769"/>
      <c r="O391" s="769"/>
      <c r="P391" s="769"/>
      <c r="Q391" s="769"/>
      <c r="R391" s="769"/>
      <c r="U391" s="770"/>
      <c r="V391" s="771">
        <f t="shared" si="70"/>
        <v>0</v>
      </c>
      <c r="W391" s="771">
        <f t="shared" si="71"/>
        <v>0</v>
      </c>
      <c r="X391" t="str">
        <f t="shared" si="72"/>
        <v/>
      </c>
      <c r="Y391" t="str">
        <f t="shared" si="73"/>
        <v/>
      </c>
      <c r="AA391" s="769">
        <f t="shared" si="74"/>
        <v>0</v>
      </c>
      <c r="AB391" s="772">
        <f t="shared" si="75"/>
        <v>0</v>
      </c>
      <c r="AC391" s="769"/>
      <c r="AD391" s="421"/>
      <c r="AE391" s="769"/>
      <c r="AF391" s="769"/>
      <c r="AG391" s="769"/>
      <c r="AH391" s="769"/>
      <c r="AI391" s="769"/>
      <c r="AJ391" s="769"/>
      <c r="AK391" s="769"/>
      <c r="AL391" s="769"/>
      <c r="AM391" s="769"/>
      <c r="AN391" s="769"/>
      <c r="AO391" s="773"/>
      <c r="AP391" s="774">
        <f t="shared" si="76"/>
        <v>0</v>
      </c>
      <c r="AQ391" s="439"/>
      <c r="AS391" s="771"/>
      <c r="AT391" t="str">
        <f t="array" ref="AT391">IF(E391&lt;&gt;"Occupied","",_xlfn.IFS(AND(ISNUMBER(AC391),AC391&lt;&gt;0),"Structured",ISNUMBER(SEARCH("/mo con",T391)),"Notes-parsed",ISNUMBER(SEARCH("step",T391)),"Step-up",ISNUMBER(SEARCH("swap",T391)),"Rate-swap",AND(ISNUMBER(I391),ISNUMBER(J391),I391&gt;J391),"Implied",TRUE(),""))</f>
        <v/>
      </c>
      <c r="AU391" s="769" t="str">
        <f t="shared" si="77"/>
        <v/>
      </c>
      <c r="AV391" s="775">
        <f t="shared" si="78"/>
        <v>0</v>
      </c>
    </row>
    <row r="392" spans="7:48" ht="15" customHeight="1" outlineLevel="1" x14ac:dyDescent="0.25">
      <c r="G392" s="421"/>
      <c r="H392" s="421"/>
      <c r="I392" s="769"/>
      <c r="J392" s="769"/>
      <c r="K392" s="769">
        <f t="shared" si="68"/>
        <v>0</v>
      </c>
      <c r="L392" s="769">
        <f t="shared" si="69"/>
        <v>0</v>
      </c>
      <c r="M392" s="769"/>
      <c r="N392" s="769"/>
      <c r="O392" s="769"/>
      <c r="P392" s="769"/>
      <c r="Q392" s="769"/>
      <c r="R392" s="769"/>
      <c r="U392" s="770"/>
      <c r="V392" s="771">
        <f t="shared" si="70"/>
        <v>0</v>
      </c>
      <c r="W392" s="771">
        <f t="shared" si="71"/>
        <v>0</v>
      </c>
      <c r="X392" t="str">
        <f t="shared" si="72"/>
        <v/>
      </c>
      <c r="Y392" t="str">
        <f t="shared" si="73"/>
        <v/>
      </c>
      <c r="AA392" s="769">
        <f t="shared" si="74"/>
        <v>0</v>
      </c>
      <c r="AB392" s="772">
        <f t="shared" si="75"/>
        <v>0</v>
      </c>
      <c r="AC392" s="769"/>
      <c r="AD392" s="421"/>
      <c r="AE392" s="769"/>
      <c r="AF392" s="769"/>
      <c r="AG392" s="769"/>
      <c r="AH392" s="769"/>
      <c r="AI392" s="769"/>
      <c r="AJ392" s="769"/>
      <c r="AK392" s="769"/>
      <c r="AL392" s="769"/>
      <c r="AM392" s="769"/>
      <c r="AN392" s="769"/>
      <c r="AO392" s="773"/>
      <c r="AP392" s="774">
        <f t="shared" si="76"/>
        <v>0</v>
      </c>
      <c r="AQ392" s="439"/>
      <c r="AS392" s="771"/>
      <c r="AT392" t="str">
        <f t="array" ref="AT392">IF(E392&lt;&gt;"Occupied","",_xlfn.IFS(AND(ISNUMBER(AC392),AC392&lt;&gt;0),"Structured",ISNUMBER(SEARCH("/mo con",T392)),"Notes-parsed",ISNUMBER(SEARCH("step",T392)),"Step-up",ISNUMBER(SEARCH("swap",T392)),"Rate-swap",AND(ISNUMBER(I392),ISNUMBER(J392),I392&gt;J392),"Implied",TRUE(),""))</f>
        <v/>
      </c>
      <c r="AU392" s="769" t="str">
        <f t="shared" si="77"/>
        <v/>
      </c>
      <c r="AV392" s="775">
        <f t="shared" si="78"/>
        <v>0</v>
      </c>
    </row>
    <row r="393" spans="7:48" ht="15" customHeight="1" outlineLevel="1" x14ac:dyDescent="0.25">
      <c r="G393" s="421"/>
      <c r="H393" s="421"/>
      <c r="I393" s="769"/>
      <c r="J393" s="769"/>
      <c r="K393" s="769">
        <f t="shared" si="68"/>
        <v>0</v>
      </c>
      <c r="L393" s="769">
        <f t="shared" si="69"/>
        <v>0</v>
      </c>
      <c r="M393" s="769"/>
      <c r="N393" s="769"/>
      <c r="O393" s="769"/>
      <c r="P393" s="769"/>
      <c r="Q393" s="769"/>
      <c r="R393" s="769"/>
      <c r="U393" s="770"/>
      <c r="V393" s="771">
        <f t="shared" si="70"/>
        <v>0</v>
      </c>
      <c r="W393" s="771">
        <f t="shared" si="71"/>
        <v>0</v>
      </c>
      <c r="X393" t="str">
        <f t="shared" si="72"/>
        <v/>
      </c>
      <c r="Y393" t="str">
        <f t="shared" si="73"/>
        <v/>
      </c>
      <c r="AA393" s="769">
        <f t="shared" si="74"/>
        <v>0</v>
      </c>
      <c r="AB393" s="772">
        <f t="shared" si="75"/>
        <v>0</v>
      </c>
      <c r="AC393" s="769"/>
      <c r="AD393" s="421"/>
      <c r="AE393" s="769"/>
      <c r="AF393" s="769"/>
      <c r="AG393" s="769"/>
      <c r="AH393" s="769"/>
      <c r="AI393" s="769"/>
      <c r="AJ393" s="769"/>
      <c r="AK393" s="769"/>
      <c r="AL393" s="769"/>
      <c r="AM393" s="769"/>
      <c r="AN393" s="769"/>
      <c r="AO393" s="773"/>
      <c r="AP393" s="774">
        <f t="shared" si="76"/>
        <v>0</v>
      </c>
      <c r="AQ393" s="439"/>
      <c r="AS393" s="771"/>
      <c r="AT393" t="str">
        <f t="array" ref="AT393">IF(E393&lt;&gt;"Occupied","",_xlfn.IFS(AND(ISNUMBER(AC393),AC393&lt;&gt;0),"Structured",ISNUMBER(SEARCH("/mo con",T393)),"Notes-parsed",ISNUMBER(SEARCH("step",T393)),"Step-up",ISNUMBER(SEARCH("swap",T393)),"Rate-swap",AND(ISNUMBER(I393),ISNUMBER(J393),I393&gt;J393),"Implied",TRUE(),""))</f>
        <v/>
      </c>
      <c r="AU393" s="769" t="str">
        <f t="shared" si="77"/>
        <v/>
      </c>
      <c r="AV393" s="775">
        <f t="shared" si="78"/>
        <v>0</v>
      </c>
    </row>
    <row r="394" spans="7:48" ht="15" customHeight="1" outlineLevel="1" x14ac:dyDescent="0.25">
      <c r="G394" s="421"/>
      <c r="H394" s="421"/>
      <c r="I394" s="769"/>
      <c r="J394" s="769"/>
      <c r="K394" s="769">
        <f t="shared" si="68"/>
        <v>0</v>
      </c>
      <c r="L394" s="769">
        <f t="shared" si="69"/>
        <v>0</v>
      </c>
      <c r="M394" s="769"/>
      <c r="N394" s="769"/>
      <c r="O394" s="769"/>
      <c r="P394" s="769"/>
      <c r="Q394" s="769"/>
      <c r="R394" s="769"/>
      <c r="U394" s="770"/>
      <c r="V394" s="771">
        <f t="shared" si="70"/>
        <v>0</v>
      </c>
      <c r="W394" s="771">
        <f t="shared" si="71"/>
        <v>0</v>
      </c>
      <c r="X394" t="str">
        <f t="shared" si="72"/>
        <v/>
      </c>
      <c r="Y394" t="str">
        <f t="shared" si="73"/>
        <v/>
      </c>
      <c r="AA394" s="769">
        <f t="shared" si="74"/>
        <v>0</v>
      </c>
      <c r="AB394" s="772">
        <f t="shared" si="75"/>
        <v>0</v>
      </c>
      <c r="AC394" s="769"/>
      <c r="AD394" s="421"/>
      <c r="AE394" s="769"/>
      <c r="AF394" s="769"/>
      <c r="AG394" s="769"/>
      <c r="AH394" s="769"/>
      <c r="AI394" s="769"/>
      <c r="AJ394" s="769"/>
      <c r="AK394" s="769"/>
      <c r="AL394" s="769"/>
      <c r="AM394" s="769"/>
      <c r="AN394" s="769"/>
      <c r="AO394" s="773"/>
      <c r="AP394" s="774">
        <f t="shared" si="76"/>
        <v>0</v>
      </c>
      <c r="AQ394" s="439"/>
      <c r="AS394" s="771"/>
      <c r="AT394" t="str">
        <f t="array" ref="AT394">IF(E394&lt;&gt;"Occupied","",_xlfn.IFS(AND(ISNUMBER(AC394),AC394&lt;&gt;0),"Structured",ISNUMBER(SEARCH("/mo con",T394)),"Notes-parsed",ISNUMBER(SEARCH("step",T394)),"Step-up",ISNUMBER(SEARCH("swap",T394)),"Rate-swap",AND(ISNUMBER(I394),ISNUMBER(J394),I394&gt;J394),"Implied",TRUE(),""))</f>
        <v/>
      </c>
      <c r="AU394" s="769" t="str">
        <f t="shared" si="77"/>
        <v/>
      </c>
      <c r="AV394" s="775">
        <f t="shared" si="78"/>
        <v>0</v>
      </c>
    </row>
    <row r="395" spans="7:48" ht="15" customHeight="1" outlineLevel="1" x14ac:dyDescent="0.25">
      <c r="G395" s="421"/>
      <c r="H395" s="421"/>
      <c r="I395" s="769"/>
      <c r="J395" s="769"/>
      <c r="K395" s="769">
        <f t="shared" si="68"/>
        <v>0</v>
      </c>
      <c r="L395" s="769">
        <f t="shared" si="69"/>
        <v>0</v>
      </c>
      <c r="M395" s="769"/>
      <c r="N395" s="769"/>
      <c r="O395" s="769"/>
      <c r="P395" s="769"/>
      <c r="Q395" s="769"/>
      <c r="R395" s="769"/>
      <c r="U395" s="770"/>
      <c r="V395" s="771">
        <f t="shared" si="70"/>
        <v>0</v>
      </c>
      <c r="W395" s="771">
        <f t="shared" si="71"/>
        <v>0</v>
      </c>
      <c r="X395" t="str">
        <f t="shared" si="72"/>
        <v/>
      </c>
      <c r="Y395" t="str">
        <f t="shared" si="73"/>
        <v/>
      </c>
      <c r="AA395" s="769">
        <f t="shared" si="74"/>
        <v>0</v>
      </c>
      <c r="AB395" s="772">
        <f t="shared" si="75"/>
        <v>0</v>
      </c>
      <c r="AC395" s="769"/>
      <c r="AD395" s="421"/>
      <c r="AE395" s="769"/>
      <c r="AF395" s="769"/>
      <c r="AG395" s="769"/>
      <c r="AH395" s="769"/>
      <c r="AI395" s="769"/>
      <c r="AJ395" s="769"/>
      <c r="AK395" s="769"/>
      <c r="AL395" s="769"/>
      <c r="AM395" s="769"/>
      <c r="AN395" s="769"/>
      <c r="AO395" s="773"/>
      <c r="AP395" s="774">
        <f t="shared" si="76"/>
        <v>0</v>
      </c>
      <c r="AQ395" s="439"/>
      <c r="AS395" s="771"/>
      <c r="AT395" t="str">
        <f t="array" ref="AT395">IF(E395&lt;&gt;"Occupied","",_xlfn.IFS(AND(ISNUMBER(AC395),AC395&lt;&gt;0),"Structured",ISNUMBER(SEARCH("/mo con",T395)),"Notes-parsed",ISNUMBER(SEARCH("step",T395)),"Step-up",ISNUMBER(SEARCH("swap",T395)),"Rate-swap",AND(ISNUMBER(I395),ISNUMBER(J395),I395&gt;J395),"Implied",TRUE(),""))</f>
        <v/>
      </c>
      <c r="AU395" s="769" t="str">
        <f t="shared" si="77"/>
        <v/>
      </c>
      <c r="AV395" s="775">
        <f t="shared" si="78"/>
        <v>0</v>
      </c>
    </row>
    <row r="396" spans="7:48" ht="15" customHeight="1" outlineLevel="1" x14ac:dyDescent="0.25">
      <c r="G396" s="421"/>
      <c r="H396" s="421"/>
      <c r="I396" s="769"/>
      <c r="J396" s="769"/>
      <c r="K396" s="769">
        <f t="shared" si="68"/>
        <v>0</v>
      </c>
      <c r="L396" s="769">
        <f t="shared" si="69"/>
        <v>0</v>
      </c>
      <c r="M396" s="769"/>
      <c r="N396" s="769"/>
      <c r="O396" s="769"/>
      <c r="P396" s="769"/>
      <c r="Q396" s="769"/>
      <c r="R396" s="769"/>
      <c r="U396" s="770"/>
      <c r="V396" s="771">
        <f t="shared" si="70"/>
        <v>0</v>
      </c>
      <c r="W396" s="771">
        <f t="shared" si="71"/>
        <v>0</v>
      </c>
      <c r="X396" t="str">
        <f t="shared" si="72"/>
        <v/>
      </c>
      <c r="Y396" t="str">
        <f t="shared" si="73"/>
        <v/>
      </c>
      <c r="AA396" s="769">
        <f t="shared" si="74"/>
        <v>0</v>
      </c>
      <c r="AB396" s="772">
        <f t="shared" si="75"/>
        <v>0</v>
      </c>
      <c r="AC396" s="769"/>
      <c r="AD396" s="421"/>
      <c r="AE396" s="769"/>
      <c r="AF396" s="769"/>
      <c r="AG396" s="769"/>
      <c r="AH396" s="769"/>
      <c r="AI396" s="769"/>
      <c r="AJ396" s="769"/>
      <c r="AK396" s="769"/>
      <c r="AL396" s="769"/>
      <c r="AM396" s="769"/>
      <c r="AN396" s="769"/>
      <c r="AO396" s="773"/>
      <c r="AP396" s="774">
        <f t="shared" si="76"/>
        <v>0</v>
      </c>
      <c r="AQ396" s="439"/>
      <c r="AS396" s="771"/>
      <c r="AT396" t="str">
        <f t="array" ref="AT396">IF(E396&lt;&gt;"Occupied","",_xlfn.IFS(AND(ISNUMBER(AC396),AC396&lt;&gt;0),"Structured",ISNUMBER(SEARCH("/mo con",T396)),"Notes-parsed",ISNUMBER(SEARCH("step",T396)),"Step-up",ISNUMBER(SEARCH("swap",T396)),"Rate-swap",AND(ISNUMBER(I396),ISNUMBER(J396),I396&gt;J396),"Implied",TRUE(),""))</f>
        <v/>
      </c>
      <c r="AU396" s="769" t="str">
        <f t="shared" si="77"/>
        <v/>
      </c>
      <c r="AV396" s="775">
        <f t="shared" si="78"/>
        <v>0</v>
      </c>
    </row>
    <row r="397" spans="7:48" ht="15" customHeight="1" outlineLevel="1" x14ac:dyDescent="0.25">
      <c r="G397" s="421"/>
      <c r="H397" s="421"/>
      <c r="I397" s="769"/>
      <c r="J397" s="769"/>
      <c r="K397" s="769">
        <f t="shared" si="68"/>
        <v>0</v>
      </c>
      <c r="L397" s="769">
        <f t="shared" si="69"/>
        <v>0</v>
      </c>
      <c r="M397" s="769"/>
      <c r="N397" s="769"/>
      <c r="O397" s="769"/>
      <c r="P397" s="769"/>
      <c r="Q397" s="769"/>
      <c r="R397" s="769"/>
      <c r="U397" s="770"/>
      <c r="V397" s="771">
        <f t="shared" si="70"/>
        <v>0</v>
      </c>
      <c r="W397" s="771">
        <f t="shared" si="71"/>
        <v>0</v>
      </c>
      <c r="X397" t="str">
        <f t="shared" si="72"/>
        <v/>
      </c>
      <c r="Y397" t="str">
        <f t="shared" si="73"/>
        <v/>
      </c>
      <c r="AA397" s="769">
        <f t="shared" si="74"/>
        <v>0</v>
      </c>
      <c r="AB397" s="772">
        <f t="shared" si="75"/>
        <v>0</v>
      </c>
      <c r="AC397" s="769"/>
      <c r="AD397" s="421"/>
      <c r="AE397" s="769"/>
      <c r="AF397" s="769"/>
      <c r="AG397" s="769"/>
      <c r="AH397" s="769"/>
      <c r="AI397" s="769"/>
      <c r="AJ397" s="769"/>
      <c r="AK397" s="769"/>
      <c r="AL397" s="769"/>
      <c r="AM397" s="769"/>
      <c r="AN397" s="769"/>
      <c r="AO397" s="773"/>
      <c r="AP397" s="774">
        <f t="shared" si="76"/>
        <v>0</v>
      </c>
      <c r="AQ397" s="439"/>
      <c r="AS397" s="771"/>
      <c r="AT397" t="str">
        <f t="array" ref="AT397">IF(E397&lt;&gt;"Occupied","",_xlfn.IFS(AND(ISNUMBER(AC397),AC397&lt;&gt;0),"Structured",ISNUMBER(SEARCH("/mo con",T397)),"Notes-parsed",ISNUMBER(SEARCH("step",T397)),"Step-up",ISNUMBER(SEARCH("swap",T397)),"Rate-swap",AND(ISNUMBER(I397),ISNUMBER(J397),I397&gt;J397),"Implied",TRUE(),""))</f>
        <v/>
      </c>
      <c r="AU397" s="769" t="str">
        <f t="shared" si="77"/>
        <v/>
      </c>
      <c r="AV397" s="775">
        <f t="shared" si="78"/>
        <v>0</v>
      </c>
    </row>
    <row r="398" spans="7:48" ht="15" customHeight="1" outlineLevel="1" x14ac:dyDescent="0.25">
      <c r="G398" s="421"/>
      <c r="H398" s="421"/>
      <c r="I398" s="769"/>
      <c r="J398" s="769"/>
      <c r="K398" s="769">
        <f t="shared" si="68"/>
        <v>0</v>
      </c>
      <c r="L398" s="769">
        <f t="shared" si="69"/>
        <v>0</v>
      </c>
      <c r="M398" s="769"/>
      <c r="N398" s="769"/>
      <c r="O398" s="769"/>
      <c r="P398" s="769"/>
      <c r="Q398" s="769"/>
      <c r="R398" s="769"/>
      <c r="U398" s="770"/>
      <c r="V398" s="771">
        <f t="shared" si="70"/>
        <v>0</v>
      </c>
      <c r="W398" s="771">
        <f t="shared" si="71"/>
        <v>0</v>
      </c>
      <c r="X398" t="str">
        <f t="shared" si="72"/>
        <v/>
      </c>
      <c r="Y398" t="str">
        <f t="shared" si="73"/>
        <v/>
      </c>
      <c r="AA398" s="769">
        <f t="shared" si="74"/>
        <v>0</v>
      </c>
      <c r="AB398" s="772">
        <f t="shared" si="75"/>
        <v>0</v>
      </c>
      <c r="AC398" s="769"/>
      <c r="AD398" s="421"/>
      <c r="AE398" s="769"/>
      <c r="AF398" s="769"/>
      <c r="AG398" s="769"/>
      <c r="AH398" s="769"/>
      <c r="AI398" s="769"/>
      <c r="AJ398" s="769"/>
      <c r="AK398" s="769"/>
      <c r="AL398" s="769"/>
      <c r="AM398" s="769"/>
      <c r="AN398" s="769"/>
      <c r="AO398" s="773"/>
      <c r="AP398" s="774">
        <f t="shared" si="76"/>
        <v>0</v>
      </c>
      <c r="AQ398" s="439"/>
      <c r="AS398" s="771"/>
      <c r="AT398" t="str">
        <f t="array" ref="AT398">IF(E398&lt;&gt;"Occupied","",_xlfn.IFS(AND(ISNUMBER(AC398),AC398&lt;&gt;0),"Structured",ISNUMBER(SEARCH("/mo con",T398)),"Notes-parsed",ISNUMBER(SEARCH("step",T398)),"Step-up",ISNUMBER(SEARCH("swap",T398)),"Rate-swap",AND(ISNUMBER(I398),ISNUMBER(J398),I398&gt;J398),"Implied",TRUE(),""))</f>
        <v/>
      </c>
      <c r="AU398" s="769" t="str">
        <f t="shared" si="77"/>
        <v/>
      </c>
      <c r="AV398" s="775">
        <f t="shared" si="78"/>
        <v>0</v>
      </c>
    </row>
    <row r="399" spans="7:48" ht="15" customHeight="1" outlineLevel="1" x14ac:dyDescent="0.25">
      <c r="G399" s="421"/>
      <c r="H399" s="421"/>
      <c r="I399" s="769"/>
      <c r="J399" s="769"/>
      <c r="K399" s="769">
        <f t="shared" si="68"/>
        <v>0</v>
      </c>
      <c r="L399" s="769">
        <f t="shared" si="69"/>
        <v>0</v>
      </c>
      <c r="M399" s="769"/>
      <c r="N399" s="769"/>
      <c r="O399" s="769"/>
      <c r="P399" s="769"/>
      <c r="Q399" s="769"/>
      <c r="R399" s="769"/>
      <c r="U399" s="770"/>
      <c r="V399" s="771">
        <f t="shared" si="70"/>
        <v>0</v>
      </c>
      <c r="W399" s="771">
        <f t="shared" si="71"/>
        <v>0</v>
      </c>
      <c r="X399" t="str">
        <f t="shared" si="72"/>
        <v/>
      </c>
      <c r="Y399" t="str">
        <f t="shared" si="73"/>
        <v/>
      </c>
      <c r="AA399" s="769">
        <f t="shared" si="74"/>
        <v>0</v>
      </c>
      <c r="AB399" s="772">
        <f t="shared" si="75"/>
        <v>0</v>
      </c>
      <c r="AC399" s="769"/>
      <c r="AD399" s="421"/>
      <c r="AE399" s="769"/>
      <c r="AF399" s="769"/>
      <c r="AG399" s="769"/>
      <c r="AH399" s="769"/>
      <c r="AI399" s="769"/>
      <c r="AJ399" s="769"/>
      <c r="AK399" s="769"/>
      <c r="AL399" s="769"/>
      <c r="AM399" s="769"/>
      <c r="AN399" s="769"/>
      <c r="AO399" s="773"/>
      <c r="AP399" s="774">
        <f t="shared" si="76"/>
        <v>0</v>
      </c>
      <c r="AQ399" s="439"/>
      <c r="AS399" s="771"/>
      <c r="AT399" t="str">
        <f t="array" ref="AT399">IF(E399&lt;&gt;"Occupied","",_xlfn.IFS(AND(ISNUMBER(AC399),AC399&lt;&gt;0),"Structured",ISNUMBER(SEARCH("/mo con",T399)),"Notes-parsed",ISNUMBER(SEARCH("step",T399)),"Step-up",ISNUMBER(SEARCH("swap",T399)),"Rate-swap",AND(ISNUMBER(I399),ISNUMBER(J399),I399&gt;J399),"Implied",TRUE(),""))</f>
        <v/>
      </c>
      <c r="AU399" s="769" t="str">
        <f t="shared" si="77"/>
        <v/>
      </c>
      <c r="AV399" s="775">
        <f t="shared" si="78"/>
        <v>0</v>
      </c>
    </row>
    <row r="400" spans="7:48" ht="15" customHeight="1" outlineLevel="1" x14ac:dyDescent="0.25">
      <c r="I400" s="769"/>
      <c r="J400" s="769"/>
      <c r="K400" s="769">
        <f t="shared" si="68"/>
        <v>0</v>
      </c>
      <c r="L400" s="769">
        <f t="shared" si="69"/>
        <v>0</v>
      </c>
      <c r="M400" s="769"/>
      <c r="N400" s="769"/>
      <c r="O400" s="769"/>
      <c r="P400" s="769"/>
      <c r="Q400" s="769"/>
      <c r="R400" s="769"/>
      <c r="U400" s="770"/>
      <c r="V400" s="771">
        <f t="shared" si="70"/>
        <v>0</v>
      </c>
      <c r="W400" s="771">
        <f t="shared" si="71"/>
        <v>0</v>
      </c>
      <c r="X400" t="str">
        <f t="shared" si="72"/>
        <v/>
      </c>
      <c r="Y400" t="str">
        <f t="shared" si="73"/>
        <v/>
      </c>
      <c r="AA400" s="769">
        <f t="shared" si="74"/>
        <v>0</v>
      </c>
      <c r="AB400" s="772">
        <f t="shared" si="75"/>
        <v>0</v>
      </c>
      <c r="AC400" s="769"/>
      <c r="AE400" s="769"/>
      <c r="AF400" s="769"/>
      <c r="AG400" s="769"/>
      <c r="AH400" s="769"/>
      <c r="AI400" s="769"/>
      <c r="AJ400" s="769"/>
      <c r="AK400" s="769"/>
      <c r="AL400" s="769"/>
      <c r="AM400" s="769"/>
      <c r="AN400" s="769"/>
      <c r="AO400" s="769"/>
      <c r="AP400" s="774">
        <f t="shared" si="76"/>
        <v>0</v>
      </c>
      <c r="AS400" s="771"/>
      <c r="AT400" t="str">
        <f t="array" ref="AT400">IF(E400&lt;&gt;"Occupied","",_xlfn.IFS(AND(ISNUMBER(AC400),AC400&lt;&gt;0),"Structured",ISNUMBER(SEARCH("/mo con",T400)),"Notes-parsed",ISNUMBER(SEARCH("step",T400)),"Step-up",ISNUMBER(SEARCH("swap",T400)),"Rate-swap",AND(ISNUMBER(I400),ISNUMBER(J400),I400&gt;J400),"Implied",TRUE(),""))</f>
        <v/>
      </c>
      <c r="AU400" s="769" t="str">
        <f t="shared" si="77"/>
        <v/>
      </c>
      <c r="AV400" s="775">
        <f t="shared" si="78"/>
        <v>0</v>
      </c>
    </row>
    <row r="401" spans="9:48" ht="15" customHeight="1" outlineLevel="1" x14ac:dyDescent="0.25">
      <c r="I401" s="769"/>
      <c r="J401" s="769"/>
      <c r="K401" s="769">
        <f t="shared" si="68"/>
        <v>0</v>
      </c>
      <c r="L401" s="769">
        <f t="shared" si="69"/>
        <v>0</v>
      </c>
      <c r="M401" s="769"/>
      <c r="N401" s="769"/>
      <c r="O401" s="769"/>
      <c r="P401" s="769"/>
      <c r="Q401" s="769"/>
      <c r="R401" s="769"/>
      <c r="U401" s="770"/>
      <c r="V401" s="771">
        <f t="shared" si="70"/>
        <v>0</v>
      </c>
      <c r="W401" s="771">
        <f t="shared" si="71"/>
        <v>0</v>
      </c>
      <c r="X401" t="str">
        <f t="shared" si="72"/>
        <v/>
      </c>
      <c r="Y401" t="str">
        <f t="shared" si="73"/>
        <v/>
      </c>
      <c r="AA401" s="769">
        <f t="shared" si="74"/>
        <v>0</v>
      </c>
      <c r="AB401" s="772">
        <f t="shared" si="75"/>
        <v>0</v>
      </c>
      <c r="AC401" s="769"/>
      <c r="AE401" s="769"/>
      <c r="AF401" s="769"/>
      <c r="AG401" s="769"/>
      <c r="AH401" s="769"/>
      <c r="AI401" s="769"/>
      <c r="AJ401" s="769"/>
      <c r="AK401" s="769"/>
      <c r="AL401" s="769"/>
      <c r="AM401" s="769"/>
      <c r="AN401" s="769"/>
      <c r="AO401" s="769"/>
      <c r="AP401" s="774">
        <f t="shared" si="76"/>
        <v>0</v>
      </c>
      <c r="AS401" s="771"/>
      <c r="AT401" t="str">
        <f t="array" ref="AT401">IF(E401&lt;&gt;"Occupied","",_xlfn.IFS(AND(ISNUMBER(AC401),AC401&lt;&gt;0),"Structured",ISNUMBER(SEARCH("/mo con",T401)),"Notes-parsed",ISNUMBER(SEARCH("step",T401)),"Step-up",ISNUMBER(SEARCH("swap",T401)),"Rate-swap",AND(ISNUMBER(I401),ISNUMBER(J401),I401&gt;J401),"Implied",TRUE(),""))</f>
        <v/>
      </c>
      <c r="AU401" s="769" t="str">
        <f t="shared" si="77"/>
        <v/>
      </c>
      <c r="AV401" s="775">
        <f t="shared" si="78"/>
        <v>0</v>
      </c>
    </row>
    <row r="402" spans="9:48" ht="15" customHeight="1" outlineLevel="1" x14ac:dyDescent="0.25">
      <c r="I402" s="769"/>
      <c r="J402" s="769"/>
      <c r="K402" s="769">
        <f t="shared" si="68"/>
        <v>0</v>
      </c>
      <c r="L402" s="769">
        <f t="shared" si="69"/>
        <v>0</v>
      </c>
      <c r="M402" s="769"/>
      <c r="N402" s="769"/>
      <c r="O402" s="769"/>
      <c r="P402" s="769"/>
      <c r="Q402" s="769"/>
      <c r="R402" s="769"/>
      <c r="U402" s="770"/>
      <c r="V402" s="771">
        <f t="shared" si="70"/>
        <v>0</v>
      </c>
      <c r="W402" s="771">
        <f t="shared" si="71"/>
        <v>0</v>
      </c>
      <c r="X402" t="str">
        <f t="shared" si="72"/>
        <v/>
      </c>
      <c r="Y402" t="str">
        <f t="shared" si="73"/>
        <v/>
      </c>
      <c r="AA402" s="769">
        <f t="shared" si="74"/>
        <v>0</v>
      </c>
      <c r="AB402" s="772">
        <f t="shared" si="75"/>
        <v>0</v>
      </c>
      <c r="AC402" s="769"/>
      <c r="AE402" s="769"/>
      <c r="AF402" s="769"/>
      <c r="AG402" s="769"/>
      <c r="AH402" s="769"/>
      <c r="AI402" s="769"/>
      <c r="AJ402" s="769"/>
      <c r="AK402" s="769"/>
      <c r="AL402" s="769"/>
      <c r="AM402" s="769"/>
      <c r="AN402" s="769"/>
      <c r="AO402" s="769"/>
      <c r="AP402" s="774">
        <f t="shared" si="76"/>
        <v>0</v>
      </c>
      <c r="AS402" s="771"/>
      <c r="AT402" t="str">
        <f t="array" ref="AT402">IF(E402&lt;&gt;"Occupied","",_xlfn.IFS(AND(ISNUMBER(AC402),AC402&lt;&gt;0),"Structured",ISNUMBER(SEARCH("/mo con",T402)),"Notes-parsed",ISNUMBER(SEARCH("step",T402)),"Step-up",ISNUMBER(SEARCH("swap",T402)),"Rate-swap",AND(ISNUMBER(I402),ISNUMBER(J402),I402&gt;J402),"Implied",TRUE(),""))</f>
        <v/>
      </c>
      <c r="AU402" s="769" t="str">
        <f t="shared" si="77"/>
        <v/>
      </c>
      <c r="AV402" s="775">
        <f t="shared" si="78"/>
        <v>0</v>
      </c>
    </row>
    <row r="403" spans="9:48" ht="15" customHeight="1" outlineLevel="1" x14ac:dyDescent="0.25">
      <c r="I403" s="769"/>
      <c r="J403" s="769"/>
      <c r="K403" s="769">
        <f t="shared" si="68"/>
        <v>0</v>
      </c>
      <c r="L403" s="769">
        <f t="shared" si="69"/>
        <v>0</v>
      </c>
      <c r="M403" s="769"/>
      <c r="N403" s="769"/>
      <c r="O403" s="769"/>
      <c r="P403" s="769"/>
      <c r="Q403" s="769"/>
      <c r="R403" s="769"/>
      <c r="U403" s="770"/>
      <c r="V403" s="771">
        <f t="shared" si="70"/>
        <v>0</v>
      </c>
      <c r="W403" s="771">
        <f t="shared" si="71"/>
        <v>0</v>
      </c>
      <c r="X403" t="str">
        <f t="shared" si="72"/>
        <v/>
      </c>
      <c r="Y403" t="str">
        <f t="shared" si="73"/>
        <v/>
      </c>
      <c r="AA403" s="769">
        <f t="shared" si="74"/>
        <v>0</v>
      </c>
      <c r="AB403" s="772">
        <f t="shared" si="75"/>
        <v>0</v>
      </c>
      <c r="AC403" s="769"/>
      <c r="AE403" s="769"/>
      <c r="AF403" s="769"/>
      <c r="AG403" s="769"/>
      <c r="AH403" s="769"/>
      <c r="AI403" s="769"/>
      <c r="AJ403" s="769"/>
      <c r="AK403" s="769"/>
      <c r="AL403" s="769"/>
      <c r="AM403" s="769"/>
      <c r="AN403" s="769"/>
      <c r="AO403" s="769"/>
      <c r="AP403" s="774">
        <f t="shared" si="76"/>
        <v>0</v>
      </c>
      <c r="AS403" s="771"/>
      <c r="AT403" t="str">
        <f t="array" ref="AT403">IF(E403&lt;&gt;"Occupied","",_xlfn.IFS(AND(ISNUMBER(AC403),AC403&lt;&gt;0),"Structured",ISNUMBER(SEARCH("/mo con",T403)),"Notes-parsed",ISNUMBER(SEARCH("step",T403)),"Step-up",ISNUMBER(SEARCH("swap",T403)),"Rate-swap",AND(ISNUMBER(I403),ISNUMBER(J403),I403&gt;J403),"Implied",TRUE(),""))</f>
        <v/>
      </c>
      <c r="AU403" s="769" t="str">
        <f t="shared" si="77"/>
        <v/>
      </c>
      <c r="AV403" s="775">
        <f t="shared" si="78"/>
        <v>0</v>
      </c>
    </row>
    <row r="404" spans="9:48" ht="15" customHeight="1" outlineLevel="1" x14ac:dyDescent="0.25">
      <c r="I404" s="769"/>
      <c r="J404" s="769"/>
      <c r="K404" s="769">
        <f t="shared" si="68"/>
        <v>0</v>
      </c>
      <c r="L404" s="769">
        <f t="shared" si="69"/>
        <v>0</v>
      </c>
      <c r="M404" s="769"/>
      <c r="N404" s="769"/>
      <c r="O404" s="769"/>
      <c r="P404" s="769"/>
      <c r="Q404" s="769"/>
      <c r="R404" s="769"/>
      <c r="U404" s="770"/>
      <c r="V404" s="771">
        <f t="shared" si="70"/>
        <v>0</v>
      </c>
      <c r="W404" s="771">
        <f t="shared" si="71"/>
        <v>0</v>
      </c>
      <c r="X404" t="str">
        <f t="shared" si="72"/>
        <v/>
      </c>
      <c r="Y404" t="str">
        <f t="shared" si="73"/>
        <v/>
      </c>
      <c r="AA404" s="769">
        <f t="shared" si="74"/>
        <v>0</v>
      </c>
      <c r="AB404" s="772">
        <f t="shared" si="75"/>
        <v>0</v>
      </c>
      <c r="AC404" s="769"/>
      <c r="AE404" s="769"/>
      <c r="AF404" s="769"/>
      <c r="AG404" s="769"/>
      <c r="AH404" s="769"/>
      <c r="AI404" s="769"/>
      <c r="AJ404" s="769"/>
      <c r="AK404" s="769"/>
      <c r="AL404" s="769"/>
      <c r="AM404" s="769"/>
      <c r="AN404" s="769"/>
      <c r="AO404" s="769"/>
      <c r="AP404" s="774">
        <f t="shared" si="76"/>
        <v>0</v>
      </c>
      <c r="AS404" s="771"/>
      <c r="AT404" t="str">
        <f t="array" ref="AT404">IF(E404&lt;&gt;"Occupied","",_xlfn.IFS(AND(ISNUMBER(AC404),AC404&lt;&gt;0),"Structured",ISNUMBER(SEARCH("/mo con",T404)),"Notes-parsed",ISNUMBER(SEARCH("step",T404)),"Step-up",ISNUMBER(SEARCH("swap",T404)),"Rate-swap",AND(ISNUMBER(I404),ISNUMBER(J404),I404&gt;J404),"Implied",TRUE(),""))</f>
        <v/>
      </c>
      <c r="AU404" s="769" t="str">
        <f t="shared" si="77"/>
        <v/>
      </c>
      <c r="AV404" s="775">
        <f t="shared" si="78"/>
        <v>0</v>
      </c>
    </row>
    <row r="405" spans="9:48" ht="15" customHeight="1" outlineLevel="1" x14ac:dyDescent="0.25">
      <c r="I405" s="769"/>
      <c r="J405" s="769"/>
      <c r="K405" s="769">
        <f t="shared" si="68"/>
        <v>0</v>
      </c>
      <c r="L405" s="769">
        <f t="shared" si="69"/>
        <v>0</v>
      </c>
      <c r="M405" s="769"/>
      <c r="N405" s="769"/>
      <c r="O405" s="769"/>
      <c r="P405" s="769"/>
      <c r="Q405" s="769"/>
      <c r="R405" s="769"/>
      <c r="U405" s="770"/>
      <c r="V405" s="771">
        <f t="shared" si="70"/>
        <v>0</v>
      </c>
      <c r="W405" s="771">
        <f t="shared" si="71"/>
        <v>0</v>
      </c>
      <c r="X405" t="str">
        <f t="shared" si="72"/>
        <v/>
      </c>
      <c r="Y405" t="str">
        <f t="shared" si="73"/>
        <v/>
      </c>
      <c r="AA405" s="769">
        <f t="shared" si="74"/>
        <v>0</v>
      </c>
      <c r="AB405" s="772">
        <f t="shared" si="75"/>
        <v>0</v>
      </c>
      <c r="AC405" s="769"/>
      <c r="AE405" s="769"/>
      <c r="AF405" s="769"/>
      <c r="AG405" s="769"/>
      <c r="AH405" s="769"/>
      <c r="AI405" s="769"/>
      <c r="AJ405" s="769"/>
      <c r="AK405" s="769"/>
      <c r="AL405" s="769"/>
      <c r="AM405" s="769"/>
      <c r="AN405" s="769"/>
      <c r="AO405" s="769"/>
      <c r="AP405" s="774">
        <f t="shared" si="76"/>
        <v>0</v>
      </c>
      <c r="AS405" s="771"/>
      <c r="AT405" t="str">
        <f t="array" ref="AT405">IF(E405&lt;&gt;"Occupied","",_xlfn.IFS(AND(ISNUMBER(AC405),AC405&lt;&gt;0),"Structured",ISNUMBER(SEARCH("/mo con",T405)),"Notes-parsed",ISNUMBER(SEARCH("step",T405)),"Step-up",ISNUMBER(SEARCH("swap",T405)),"Rate-swap",AND(ISNUMBER(I405),ISNUMBER(J405),I405&gt;J405),"Implied",TRUE(),""))</f>
        <v/>
      </c>
      <c r="AU405" s="769" t="str">
        <f t="shared" si="77"/>
        <v/>
      </c>
      <c r="AV405" s="775">
        <f t="shared" si="78"/>
        <v>0</v>
      </c>
    </row>
    <row r="406" spans="9:48" ht="15" customHeight="1" outlineLevel="1" x14ac:dyDescent="0.25">
      <c r="I406" s="769"/>
      <c r="J406" s="769"/>
      <c r="K406" s="769">
        <f t="shared" si="68"/>
        <v>0</v>
      </c>
      <c r="L406" s="769">
        <f t="shared" si="69"/>
        <v>0</v>
      </c>
      <c r="M406" s="769"/>
      <c r="N406" s="769"/>
      <c r="O406" s="769"/>
      <c r="P406" s="769"/>
      <c r="Q406" s="769"/>
      <c r="R406" s="769"/>
      <c r="U406" s="770"/>
      <c r="V406" s="771">
        <f t="shared" si="70"/>
        <v>0</v>
      </c>
      <c r="W406" s="771">
        <f t="shared" si="71"/>
        <v>0</v>
      </c>
      <c r="X406" t="str">
        <f t="shared" si="72"/>
        <v/>
      </c>
      <c r="Y406" t="str">
        <f t="shared" si="73"/>
        <v/>
      </c>
      <c r="AA406" s="769">
        <f t="shared" si="74"/>
        <v>0</v>
      </c>
      <c r="AB406" s="772">
        <f t="shared" si="75"/>
        <v>0</v>
      </c>
      <c r="AC406" s="769"/>
      <c r="AE406" s="769"/>
      <c r="AF406" s="769"/>
      <c r="AG406" s="769"/>
      <c r="AH406" s="769"/>
      <c r="AI406" s="769"/>
      <c r="AJ406" s="769"/>
      <c r="AK406" s="769"/>
      <c r="AL406" s="769"/>
      <c r="AM406" s="769"/>
      <c r="AN406" s="769"/>
      <c r="AO406" s="769"/>
      <c r="AP406" s="774">
        <f t="shared" si="76"/>
        <v>0</v>
      </c>
      <c r="AS406" s="771"/>
      <c r="AT406" t="str">
        <f t="array" ref="AT406">IF(E406&lt;&gt;"Occupied","",_xlfn.IFS(AND(ISNUMBER(AC406),AC406&lt;&gt;0),"Structured",ISNUMBER(SEARCH("/mo con",T406)),"Notes-parsed",ISNUMBER(SEARCH("step",T406)),"Step-up",ISNUMBER(SEARCH("swap",T406)),"Rate-swap",AND(ISNUMBER(I406),ISNUMBER(J406),I406&gt;J406),"Implied",TRUE(),""))</f>
        <v/>
      </c>
      <c r="AU406" s="769" t="str">
        <f t="shared" si="77"/>
        <v/>
      </c>
      <c r="AV406" s="775">
        <f t="shared" si="78"/>
        <v>0</v>
      </c>
    </row>
    <row r="407" spans="9:48" ht="15" customHeight="1" outlineLevel="1" x14ac:dyDescent="0.25">
      <c r="I407" s="769"/>
      <c r="J407" s="769"/>
      <c r="K407" s="769">
        <f t="shared" si="68"/>
        <v>0</v>
      </c>
      <c r="L407" s="769">
        <f t="shared" si="69"/>
        <v>0</v>
      </c>
      <c r="M407" s="769"/>
      <c r="N407" s="769"/>
      <c r="O407" s="769"/>
      <c r="P407" s="769"/>
      <c r="Q407" s="769"/>
      <c r="R407" s="769"/>
      <c r="U407" s="770"/>
      <c r="V407" s="771">
        <f t="shared" si="70"/>
        <v>0</v>
      </c>
      <c r="W407" s="771">
        <f t="shared" si="71"/>
        <v>0</v>
      </c>
      <c r="X407" t="str">
        <f t="shared" si="72"/>
        <v/>
      </c>
      <c r="Y407" t="str">
        <f t="shared" si="73"/>
        <v/>
      </c>
      <c r="AA407" s="769">
        <f t="shared" si="74"/>
        <v>0</v>
      </c>
      <c r="AB407" s="772">
        <f t="shared" si="75"/>
        <v>0</v>
      </c>
      <c r="AC407" s="769"/>
      <c r="AE407" s="769"/>
      <c r="AF407" s="769"/>
      <c r="AG407" s="769"/>
      <c r="AH407" s="769"/>
      <c r="AI407" s="769"/>
      <c r="AJ407" s="769"/>
      <c r="AK407" s="769"/>
      <c r="AL407" s="769"/>
      <c r="AM407" s="769"/>
      <c r="AN407" s="769"/>
      <c r="AO407" s="769"/>
      <c r="AP407" s="774">
        <f t="shared" si="76"/>
        <v>0</v>
      </c>
      <c r="AS407" s="771"/>
      <c r="AT407" t="str">
        <f t="array" ref="AT407">IF(E407&lt;&gt;"Occupied","",_xlfn.IFS(AND(ISNUMBER(AC407),AC407&lt;&gt;0),"Structured",ISNUMBER(SEARCH("/mo con",T407)),"Notes-parsed",ISNUMBER(SEARCH("step",T407)),"Step-up",ISNUMBER(SEARCH("swap",T407)),"Rate-swap",AND(ISNUMBER(I407),ISNUMBER(J407),I407&gt;J407),"Implied",TRUE(),""))</f>
        <v/>
      </c>
      <c r="AU407" s="769" t="str">
        <f t="shared" si="77"/>
        <v/>
      </c>
      <c r="AV407" s="775">
        <f t="shared" si="78"/>
        <v>0</v>
      </c>
    </row>
    <row r="408" spans="9:48" ht="15" customHeight="1" outlineLevel="1" x14ac:dyDescent="0.25">
      <c r="I408" s="769"/>
      <c r="J408" s="769"/>
      <c r="K408" s="769">
        <f t="shared" si="68"/>
        <v>0</v>
      </c>
      <c r="L408" s="769">
        <f t="shared" si="69"/>
        <v>0</v>
      </c>
      <c r="M408" s="769"/>
      <c r="N408" s="769"/>
      <c r="O408" s="769"/>
      <c r="P408" s="769"/>
      <c r="Q408" s="769"/>
      <c r="R408" s="769"/>
      <c r="U408" s="770"/>
      <c r="V408" s="771">
        <f t="shared" si="70"/>
        <v>0</v>
      </c>
      <c r="W408" s="771">
        <f t="shared" si="71"/>
        <v>0</v>
      </c>
      <c r="X408" t="str">
        <f t="shared" si="72"/>
        <v/>
      </c>
      <c r="Y408" t="str">
        <f t="shared" si="73"/>
        <v/>
      </c>
      <c r="AA408" s="769">
        <f t="shared" si="74"/>
        <v>0</v>
      </c>
      <c r="AB408" s="772">
        <f t="shared" si="75"/>
        <v>0</v>
      </c>
      <c r="AC408" s="769"/>
      <c r="AE408" s="769"/>
      <c r="AF408" s="769"/>
      <c r="AG408" s="769"/>
      <c r="AH408" s="769"/>
      <c r="AI408" s="769"/>
      <c r="AJ408" s="769"/>
      <c r="AK408" s="769"/>
      <c r="AL408" s="769"/>
      <c r="AM408" s="769"/>
      <c r="AN408" s="769"/>
      <c r="AO408" s="769"/>
      <c r="AP408" s="774">
        <f t="shared" si="76"/>
        <v>0</v>
      </c>
      <c r="AS408" s="771"/>
      <c r="AT408" t="str">
        <f t="array" ref="AT408">IF(E408&lt;&gt;"Occupied","",_xlfn.IFS(AND(ISNUMBER(AC408),AC408&lt;&gt;0),"Structured",ISNUMBER(SEARCH("/mo con",T408)),"Notes-parsed",ISNUMBER(SEARCH("step",T408)),"Step-up",ISNUMBER(SEARCH("swap",T408)),"Rate-swap",AND(ISNUMBER(I408),ISNUMBER(J408),I408&gt;J408),"Implied",TRUE(),""))</f>
        <v/>
      </c>
      <c r="AU408" s="769" t="str">
        <f t="shared" si="77"/>
        <v/>
      </c>
      <c r="AV408" s="775">
        <f t="shared" si="78"/>
        <v>0</v>
      </c>
    </row>
    <row r="409" spans="9:48" ht="15" customHeight="1" outlineLevel="1" x14ac:dyDescent="0.25">
      <c r="I409" s="769"/>
      <c r="J409" s="769"/>
      <c r="K409" s="769">
        <f t="shared" si="68"/>
        <v>0</v>
      </c>
      <c r="L409" s="769">
        <f t="shared" si="69"/>
        <v>0</v>
      </c>
      <c r="M409" s="769"/>
      <c r="N409" s="769"/>
      <c r="O409" s="769"/>
      <c r="P409" s="769"/>
      <c r="Q409" s="769"/>
      <c r="R409" s="769"/>
      <c r="U409" s="770"/>
      <c r="V409" s="771">
        <f t="shared" si="70"/>
        <v>0</v>
      </c>
      <c r="W409" s="771">
        <f t="shared" si="71"/>
        <v>0</v>
      </c>
      <c r="X409" t="str">
        <f t="shared" si="72"/>
        <v/>
      </c>
      <c r="Y409" t="str">
        <f t="shared" si="73"/>
        <v/>
      </c>
      <c r="AA409" s="769">
        <f t="shared" si="74"/>
        <v>0</v>
      </c>
      <c r="AB409" s="772">
        <f t="shared" si="75"/>
        <v>0</v>
      </c>
      <c r="AC409" s="769"/>
      <c r="AE409" s="769"/>
      <c r="AF409" s="769"/>
      <c r="AG409" s="769"/>
      <c r="AH409" s="769"/>
      <c r="AI409" s="769"/>
      <c r="AJ409" s="769"/>
      <c r="AK409" s="769"/>
      <c r="AL409" s="769"/>
      <c r="AM409" s="769"/>
      <c r="AN409" s="769"/>
      <c r="AO409" s="769"/>
      <c r="AP409" s="774">
        <f t="shared" si="76"/>
        <v>0</v>
      </c>
      <c r="AS409" s="771"/>
      <c r="AT409" t="str">
        <f t="array" ref="AT409">IF(E409&lt;&gt;"Occupied","",_xlfn.IFS(AND(ISNUMBER(AC409),AC409&lt;&gt;0),"Structured",ISNUMBER(SEARCH("/mo con",T409)),"Notes-parsed",ISNUMBER(SEARCH("step",T409)),"Step-up",ISNUMBER(SEARCH("swap",T409)),"Rate-swap",AND(ISNUMBER(I409),ISNUMBER(J409),I409&gt;J409),"Implied",TRUE(),""))</f>
        <v/>
      </c>
      <c r="AU409" s="769" t="str">
        <f t="shared" si="77"/>
        <v/>
      </c>
      <c r="AV409" s="775">
        <f t="shared" si="78"/>
        <v>0</v>
      </c>
    </row>
    <row r="410" spans="9:48" ht="15" customHeight="1" outlineLevel="1" x14ac:dyDescent="0.25">
      <c r="I410" s="769"/>
      <c r="J410" s="769"/>
      <c r="K410" s="769">
        <f t="shared" si="68"/>
        <v>0</v>
      </c>
      <c r="L410" s="769">
        <f t="shared" si="69"/>
        <v>0</v>
      </c>
      <c r="M410" s="769"/>
      <c r="N410" s="769"/>
      <c r="O410" s="769"/>
      <c r="P410" s="769"/>
      <c r="Q410" s="769"/>
      <c r="R410" s="769"/>
      <c r="U410" s="770"/>
      <c r="V410" s="771">
        <f t="shared" si="70"/>
        <v>0</v>
      </c>
      <c r="W410" s="771">
        <f t="shared" si="71"/>
        <v>0</v>
      </c>
      <c r="X410" t="str">
        <f t="shared" si="72"/>
        <v/>
      </c>
      <c r="Y410" t="str">
        <f t="shared" si="73"/>
        <v/>
      </c>
      <c r="AA410" s="769">
        <f t="shared" si="74"/>
        <v>0</v>
      </c>
      <c r="AB410" s="772">
        <f t="shared" si="75"/>
        <v>0</v>
      </c>
      <c r="AC410" s="769"/>
      <c r="AE410" s="769"/>
      <c r="AF410" s="769"/>
      <c r="AG410" s="769"/>
      <c r="AH410" s="769"/>
      <c r="AI410" s="769"/>
      <c r="AJ410" s="769"/>
      <c r="AK410" s="769"/>
      <c r="AL410" s="769"/>
      <c r="AM410" s="769"/>
      <c r="AN410" s="769"/>
      <c r="AO410" s="769"/>
      <c r="AP410" s="774">
        <f t="shared" si="76"/>
        <v>0</v>
      </c>
      <c r="AS410" s="771"/>
      <c r="AT410" t="str">
        <f t="array" ref="AT410">IF(E410&lt;&gt;"Occupied","",_xlfn.IFS(AND(ISNUMBER(AC410),AC410&lt;&gt;0),"Structured",ISNUMBER(SEARCH("/mo con",T410)),"Notes-parsed",ISNUMBER(SEARCH("step",T410)),"Step-up",ISNUMBER(SEARCH("swap",T410)),"Rate-swap",AND(ISNUMBER(I410),ISNUMBER(J410),I410&gt;J410),"Implied",TRUE(),""))</f>
        <v/>
      </c>
      <c r="AU410" s="769" t="str">
        <f t="shared" si="77"/>
        <v/>
      </c>
      <c r="AV410" s="775">
        <f t="shared" si="78"/>
        <v>0</v>
      </c>
    </row>
    <row r="411" spans="9:48" ht="15" customHeight="1" outlineLevel="1" x14ac:dyDescent="0.25">
      <c r="I411" s="769"/>
      <c r="J411" s="769"/>
      <c r="K411" s="769">
        <f t="shared" si="68"/>
        <v>0</v>
      </c>
      <c r="L411" s="769">
        <f t="shared" si="69"/>
        <v>0</v>
      </c>
      <c r="M411" s="769"/>
      <c r="N411" s="769"/>
      <c r="O411" s="769"/>
      <c r="P411" s="769"/>
      <c r="Q411" s="769"/>
      <c r="R411" s="769"/>
      <c r="U411" s="770"/>
      <c r="V411" s="771">
        <f t="shared" si="70"/>
        <v>0</v>
      </c>
      <c r="W411" s="771">
        <f t="shared" si="71"/>
        <v>0</v>
      </c>
      <c r="X411" t="str">
        <f t="shared" si="72"/>
        <v/>
      </c>
      <c r="Y411" t="str">
        <f t="shared" si="73"/>
        <v/>
      </c>
      <c r="AA411" s="769">
        <f t="shared" si="74"/>
        <v>0</v>
      </c>
      <c r="AB411" s="772">
        <f t="shared" si="75"/>
        <v>0</v>
      </c>
      <c r="AC411" s="769"/>
      <c r="AE411" s="769"/>
      <c r="AF411" s="769"/>
      <c r="AG411" s="769"/>
      <c r="AH411" s="769"/>
      <c r="AI411" s="769"/>
      <c r="AJ411" s="769"/>
      <c r="AK411" s="769"/>
      <c r="AL411" s="769"/>
      <c r="AM411" s="769"/>
      <c r="AN411" s="769"/>
      <c r="AO411" s="769"/>
      <c r="AP411" s="774">
        <f t="shared" si="76"/>
        <v>0</v>
      </c>
      <c r="AS411" s="771"/>
      <c r="AT411" t="str">
        <f t="array" ref="AT411">IF(E411&lt;&gt;"Occupied","",_xlfn.IFS(AND(ISNUMBER(AC411),AC411&lt;&gt;0),"Structured",ISNUMBER(SEARCH("/mo con",T411)),"Notes-parsed",ISNUMBER(SEARCH("step",T411)),"Step-up",ISNUMBER(SEARCH("swap",T411)),"Rate-swap",AND(ISNUMBER(I411),ISNUMBER(J411),I411&gt;J411),"Implied",TRUE(),""))</f>
        <v/>
      </c>
      <c r="AU411" s="769" t="str">
        <f t="shared" si="77"/>
        <v/>
      </c>
      <c r="AV411" s="775">
        <f t="shared" si="78"/>
        <v>0</v>
      </c>
    </row>
    <row r="412" spans="9:48" ht="15" customHeight="1" outlineLevel="1" x14ac:dyDescent="0.25">
      <c r="I412" s="769"/>
      <c r="J412" s="769"/>
      <c r="K412" s="769">
        <f t="shared" si="68"/>
        <v>0</v>
      </c>
      <c r="L412" s="769">
        <f t="shared" si="69"/>
        <v>0</v>
      </c>
      <c r="M412" s="769"/>
      <c r="N412" s="769"/>
      <c r="O412" s="769"/>
      <c r="P412" s="769"/>
      <c r="Q412" s="769"/>
      <c r="R412" s="769"/>
      <c r="U412" s="770"/>
      <c r="V412" s="771">
        <f t="shared" si="70"/>
        <v>0</v>
      </c>
      <c r="W412" s="771">
        <f t="shared" si="71"/>
        <v>0</v>
      </c>
      <c r="X412" t="str">
        <f t="shared" si="72"/>
        <v/>
      </c>
      <c r="Y412" t="str">
        <f t="shared" si="73"/>
        <v/>
      </c>
      <c r="AA412" s="769">
        <f t="shared" si="74"/>
        <v>0</v>
      </c>
      <c r="AB412" s="772">
        <f t="shared" si="75"/>
        <v>0</v>
      </c>
      <c r="AC412" s="769"/>
      <c r="AE412" s="769"/>
      <c r="AF412" s="769"/>
      <c r="AG412" s="769"/>
      <c r="AH412" s="769"/>
      <c r="AI412" s="769"/>
      <c r="AJ412" s="769"/>
      <c r="AK412" s="769"/>
      <c r="AL412" s="769"/>
      <c r="AM412" s="769"/>
      <c r="AN412" s="769"/>
      <c r="AO412" s="769"/>
      <c r="AP412" s="774">
        <f t="shared" si="76"/>
        <v>0</v>
      </c>
      <c r="AS412" s="771"/>
      <c r="AT412" t="str">
        <f t="array" ref="AT412">IF(E412&lt;&gt;"Occupied","",_xlfn.IFS(AND(ISNUMBER(AC412),AC412&lt;&gt;0),"Structured",ISNUMBER(SEARCH("/mo con",T412)),"Notes-parsed",ISNUMBER(SEARCH("step",T412)),"Step-up",ISNUMBER(SEARCH("swap",T412)),"Rate-swap",AND(ISNUMBER(I412),ISNUMBER(J412),I412&gt;J412),"Implied",TRUE(),""))</f>
        <v/>
      </c>
      <c r="AU412" s="769" t="str">
        <f t="shared" si="77"/>
        <v/>
      </c>
      <c r="AV412" s="775">
        <f t="shared" si="78"/>
        <v>0</v>
      </c>
    </row>
    <row r="413" spans="9:48" ht="15" customHeight="1" outlineLevel="1" x14ac:dyDescent="0.25">
      <c r="I413" s="769"/>
      <c r="J413" s="769"/>
      <c r="K413" s="769">
        <f t="shared" si="68"/>
        <v>0</v>
      </c>
      <c r="L413" s="769">
        <f t="shared" si="69"/>
        <v>0</v>
      </c>
      <c r="M413" s="769"/>
      <c r="N413" s="769"/>
      <c r="O413" s="769"/>
      <c r="P413" s="769"/>
      <c r="Q413" s="769"/>
      <c r="R413" s="769"/>
      <c r="U413" s="770"/>
      <c r="V413" s="771">
        <f t="shared" si="70"/>
        <v>0</v>
      </c>
      <c r="W413" s="771">
        <f t="shared" si="71"/>
        <v>0</v>
      </c>
      <c r="X413" t="str">
        <f t="shared" si="72"/>
        <v/>
      </c>
      <c r="Y413" t="str">
        <f t="shared" si="73"/>
        <v/>
      </c>
      <c r="AA413" s="769">
        <f t="shared" si="74"/>
        <v>0</v>
      </c>
      <c r="AB413" s="772">
        <f t="shared" si="75"/>
        <v>0</v>
      </c>
      <c r="AC413" s="769"/>
      <c r="AE413" s="769"/>
      <c r="AF413" s="769"/>
      <c r="AG413" s="769"/>
      <c r="AH413" s="769"/>
      <c r="AI413" s="769"/>
      <c r="AJ413" s="769"/>
      <c r="AK413" s="769"/>
      <c r="AL413" s="769"/>
      <c r="AM413" s="769"/>
      <c r="AN413" s="769"/>
      <c r="AO413" s="769"/>
      <c r="AP413" s="774">
        <f t="shared" si="76"/>
        <v>0</v>
      </c>
      <c r="AS413" s="771"/>
      <c r="AT413" t="str">
        <f t="array" ref="AT413">IF(E413&lt;&gt;"Occupied","",_xlfn.IFS(AND(ISNUMBER(AC413),AC413&lt;&gt;0),"Structured",ISNUMBER(SEARCH("/mo con",T413)),"Notes-parsed",ISNUMBER(SEARCH("step",T413)),"Step-up",ISNUMBER(SEARCH("swap",T413)),"Rate-swap",AND(ISNUMBER(I413),ISNUMBER(J413),I413&gt;J413),"Implied",TRUE(),""))</f>
        <v/>
      </c>
      <c r="AU413" s="769" t="str">
        <f t="shared" si="77"/>
        <v/>
      </c>
      <c r="AV413" s="775">
        <f t="shared" si="78"/>
        <v>0</v>
      </c>
    </row>
    <row r="414" spans="9:48" ht="15" customHeight="1" outlineLevel="1" x14ac:dyDescent="0.25">
      <c r="I414" s="769"/>
      <c r="J414" s="769"/>
      <c r="K414" s="769">
        <f t="shared" si="68"/>
        <v>0</v>
      </c>
      <c r="L414" s="769">
        <f t="shared" si="69"/>
        <v>0</v>
      </c>
      <c r="M414" s="769"/>
      <c r="N414" s="769"/>
      <c r="O414" s="769"/>
      <c r="P414" s="769"/>
      <c r="Q414" s="769"/>
      <c r="R414" s="769"/>
      <c r="U414" s="770"/>
      <c r="V414" s="771">
        <f t="shared" si="70"/>
        <v>0</v>
      </c>
      <c r="W414" s="771">
        <f t="shared" si="71"/>
        <v>0</v>
      </c>
      <c r="X414" t="str">
        <f t="shared" si="72"/>
        <v/>
      </c>
      <c r="Y414" t="str">
        <f t="shared" si="73"/>
        <v/>
      </c>
      <c r="AA414" s="769">
        <f t="shared" si="74"/>
        <v>0</v>
      </c>
      <c r="AB414" s="772">
        <f t="shared" si="75"/>
        <v>0</v>
      </c>
      <c r="AC414" s="769"/>
      <c r="AE414" s="769"/>
      <c r="AF414" s="769"/>
      <c r="AG414" s="769"/>
      <c r="AH414" s="769"/>
      <c r="AI414" s="769"/>
      <c r="AJ414" s="769"/>
      <c r="AK414" s="769"/>
      <c r="AL414" s="769"/>
      <c r="AM414" s="769"/>
      <c r="AN414" s="769"/>
      <c r="AO414" s="769"/>
      <c r="AP414" s="774">
        <f t="shared" si="76"/>
        <v>0</v>
      </c>
      <c r="AS414" s="771"/>
      <c r="AT414" t="str">
        <f t="array" ref="AT414">IF(E414&lt;&gt;"Occupied","",_xlfn.IFS(AND(ISNUMBER(AC414),AC414&lt;&gt;0),"Structured",ISNUMBER(SEARCH("/mo con",T414)),"Notes-parsed",ISNUMBER(SEARCH("step",T414)),"Step-up",ISNUMBER(SEARCH("swap",T414)),"Rate-swap",AND(ISNUMBER(I414),ISNUMBER(J414),I414&gt;J414),"Implied",TRUE(),""))</f>
        <v/>
      </c>
      <c r="AU414" s="769" t="str">
        <f t="shared" si="77"/>
        <v/>
      </c>
      <c r="AV414" s="775">
        <f t="shared" si="78"/>
        <v>0</v>
      </c>
    </row>
    <row r="415" spans="9:48" ht="15" customHeight="1" outlineLevel="1" x14ac:dyDescent="0.25">
      <c r="I415" s="769"/>
      <c r="J415" s="769"/>
      <c r="K415" s="769">
        <f t="shared" si="68"/>
        <v>0</v>
      </c>
      <c r="L415" s="769">
        <f t="shared" si="69"/>
        <v>0</v>
      </c>
      <c r="M415" s="769"/>
      <c r="N415" s="769"/>
      <c r="O415" s="769"/>
      <c r="P415" s="769"/>
      <c r="Q415" s="769"/>
      <c r="R415" s="769"/>
      <c r="U415" s="770"/>
      <c r="V415" s="771">
        <f t="shared" si="70"/>
        <v>0</v>
      </c>
      <c r="W415" s="771">
        <f t="shared" si="71"/>
        <v>0</v>
      </c>
      <c r="X415" t="str">
        <f t="shared" si="72"/>
        <v/>
      </c>
      <c r="Y415" t="str">
        <f t="shared" si="73"/>
        <v/>
      </c>
      <c r="AA415" s="769">
        <f t="shared" si="74"/>
        <v>0</v>
      </c>
      <c r="AB415" s="772">
        <f t="shared" si="75"/>
        <v>0</v>
      </c>
      <c r="AC415" s="769"/>
      <c r="AE415" s="769"/>
      <c r="AF415" s="769"/>
      <c r="AG415" s="769"/>
      <c r="AH415" s="769"/>
      <c r="AI415" s="769"/>
      <c r="AJ415" s="769"/>
      <c r="AK415" s="769"/>
      <c r="AL415" s="769"/>
      <c r="AM415" s="769"/>
      <c r="AN415" s="769"/>
      <c r="AO415" s="769"/>
      <c r="AP415" s="774">
        <f t="shared" si="76"/>
        <v>0</v>
      </c>
      <c r="AS415" s="771"/>
      <c r="AT415" t="str">
        <f t="array" ref="AT415">IF(E415&lt;&gt;"Occupied","",_xlfn.IFS(AND(ISNUMBER(AC415),AC415&lt;&gt;0),"Structured",ISNUMBER(SEARCH("/mo con",T415)),"Notes-parsed",ISNUMBER(SEARCH("step",T415)),"Step-up",ISNUMBER(SEARCH("swap",T415)),"Rate-swap",AND(ISNUMBER(I415),ISNUMBER(J415),I415&gt;J415),"Implied",TRUE(),""))</f>
        <v/>
      </c>
      <c r="AU415" s="769" t="str">
        <f t="shared" si="77"/>
        <v/>
      </c>
      <c r="AV415" s="775">
        <f t="shared" si="78"/>
        <v>0</v>
      </c>
    </row>
    <row r="416" spans="9:48" ht="15" customHeight="1" outlineLevel="1" x14ac:dyDescent="0.25">
      <c r="I416" s="769"/>
      <c r="J416" s="769"/>
      <c r="K416" s="769">
        <f t="shared" ref="K416:K479" si="79">N(IFERROR(IF(A416="","",N(AE416)+N(AF416)+N(AG416)+N(AH416)),0))</f>
        <v>0</v>
      </c>
      <c r="L416" s="769">
        <f t="shared" ref="L416:L479" si="80">N(IFERROR(IF(A416="","",N(J416)+N(K416)),0))</f>
        <v>0</v>
      </c>
      <c r="M416" s="769"/>
      <c r="N416" s="769"/>
      <c r="O416" s="769"/>
      <c r="P416" s="769"/>
      <c r="Q416" s="769"/>
      <c r="R416" s="769"/>
      <c r="U416" s="770"/>
      <c r="V416" s="771">
        <f t="shared" ref="V416:V479" si="81">N(IFERROR(IF(OR(A416="",U416="",U416=0,J416=""),"",J416/U416),""))</f>
        <v>0</v>
      </c>
      <c r="W416" s="771">
        <f t="shared" ref="W416:W479" si="82">N(IFERROR(IF(V416="","",V416*12),""))</f>
        <v>0</v>
      </c>
      <c r="X416" t="str">
        <f t="shared" ref="X416:X479" si="83">IF(AND(E416&lt;&gt;"",E416&lt;&gt;"Vacant",E416&lt;&gt;"Reserved",C416&lt;&gt;"",D416&lt;&gt;""),C416&amp;"|"&amp;D416,"")</f>
        <v/>
      </c>
      <c r="Y416" t="str">
        <f t="shared" ref="Y416:Y479" si="84">IF(AND(C416&lt;&gt;"",D416&lt;&gt;""),C416&amp;"|"&amp;D416,"")</f>
        <v/>
      </c>
      <c r="AA416" s="769">
        <f t="shared" ref="AA416:AA454" si="85">N(IFERROR(IF(OR(A416="",I416="",J416=""),"",I416-J416),""))</f>
        <v>0</v>
      </c>
      <c r="AB416" s="772">
        <f t="shared" ref="AB416:AB479" si="86">N(IFERROR(IF(OR(AA416="",I416=0,I416=""),"",AA416/I416),""))</f>
        <v>0</v>
      </c>
      <c r="AC416" s="769"/>
      <c r="AE416" s="769"/>
      <c r="AF416" s="769"/>
      <c r="AG416" s="769"/>
      <c r="AH416" s="769"/>
      <c r="AI416" s="769"/>
      <c r="AJ416" s="769"/>
      <c r="AK416" s="769"/>
      <c r="AL416" s="769"/>
      <c r="AM416" s="769"/>
      <c r="AN416" s="769"/>
      <c r="AO416" s="769"/>
      <c r="AP416" s="774">
        <f t="shared" ref="AP416:AP479" si="87">SUM(AJ416:AN416)</f>
        <v>0</v>
      </c>
      <c r="AS416" s="771"/>
      <c r="AT416" t="str">
        <f t="array" ref="AT416">IF(E416&lt;&gt;"Occupied","",_xlfn.IFS(AND(ISNUMBER(AC416),AC416&lt;&gt;0),"Structured",ISNUMBER(SEARCH("/mo con",T416)),"Notes-parsed",ISNUMBER(SEARCH("step",T416)),"Step-up",ISNUMBER(SEARCH("swap",T416)),"Rate-swap",AND(ISNUMBER(I416),ISNUMBER(J416),I416&gt;J416),"Implied",TRUE(),""))</f>
        <v/>
      </c>
      <c r="AU416" s="769" t="str">
        <f t="shared" ref="AU416:AU479" si="88">IF(AC416&lt;&gt;"",AC416,IF(AT416="Implied",-(I416-J416),IF(OR(AT416="Step-up",AT416="Rate-swap"),"see notes","")))</f>
        <v/>
      </c>
      <c r="AV416" s="775">
        <f t="shared" ref="AV416:AV479" si="89">N(IF($E416&lt;&gt;"Occupied","",$J416-IFERROR($AC416*(IF(AND(ISNUMBER($G416),ISNUMBER($AD416),$AD416&gt;$G416),(YEAR($AD416)-YEAR($G416))*12+MONTH($AD416)-MONTH($G416),$AC$174))/$AC$174,0)))</f>
        <v>0</v>
      </c>
    </row>
    <row r="417" spans="9:48" ht="15" customHeight="1" outlineLevel="1" x14ac:dyDescent="0.25">
      <c r="I417" s="769"/>
      <c r="J417" s="769"/>
      <c r="K417" s="769">
        <f t="shared" si="79"/>
        <v>0</v>
      </c>
      <c r="L417" s="769">
        <f t="shared" si="80"/>
        <v>0</v>
      </c>
      <c r="M417" s="769"/>
      <c r="N417" s="769"/>
      <c r="O417" s="769"/>
      <c r="P417" s="769"/>
      <c r="Q417" s="769"/>
      <c r="R417" s="769"/>
      <c r="U417" s="770"/>
      <c r="V417" s="771">
        <f t="shared" si="81"/>
        <v>0</v>
      </c>
      <c r="W417" s="771">
        <f t="shared" si="82"/>
        <v>0</v>
      </c>
      <c r="X417" t="str">
        <f t="shared" si="83"/>
        <v/>
      </c>
      <c r="Y417" t="str">
        <f t="shared" si="84"/>
        <v/>
      </c>
      <c r="AA417" s="769">
        <f t="shared" si="85"/>
        <v>0</v>
      </c>
      <c r="AB417" s="772">
        <f t="shared" si="86"/>
        <v>0</v>
      </c>
      <c r="AC417" s="769"/>
      <c r="AE417" s="769"/>
      <c r="AF417" s="769"/>
      <c r="AG417" s="769"/>
      <c r="AH417" s="769"/>
      <c r="AI417" s="769"/>
      <c r="AJ417" s="769"/>
      <c r="AK417" s="769"/>
      <c r="AL417" s="769"/>
      <c r="AM417" s="769"/>
      <c r="AN417" s="769"/>
      <c r="AO417" s="769"/>
      <c r="AP417" s="774">
        <f t="shared" si="87"/>
        <v>0</v>
      </c>
      <c r="AS417" s="771"/>
      <c r="AT417" t="str">
        <f t="array" ref="AT417">IF(E417&lt;&gt;"Occupied","",_xlfn.IFS(AND(ISNUMBER(AC417),AC417&lt;&gt;0),"Structured",ISNUMBER(SEARCH("/mo con",T417)),"Notes-parsed",ISNUMBER(SEARCH("step",T417)),"Step-up",ISNUMBER(SEARCH("swap",T417)),"Rate-swap",AND(ISNUMBER(I417),ISNUMBER(J417),I417&gt;J417),"Implied",TRUE(),""))</f>
        <v/>
      </c>
      <c r="AU417" s="769" t="str">
        <f t="shared" si="88"/>
        <v/>
      </c>
      <c r="AV417" s="775">
        <f t="shared" si="89"/>
        <v>0</v>
      </c>
    </row>
    <row r="418" spans="9:48" ht="15" customHeight="1" outlineLevel="1" x14ac:dyDescent="0.25">
      <c r="I418" s="769"/>
      <c r="J418" s="769"/>
      <c r="K418" s="769">
        <f t="shared" si="79"/>
        <v>0</v>
      </c>
      <c r="L418" s="769">
        <f t="shared" si="80"/>
        <v>0</v>
      </c>
      <c r="M418" s="769"/>
      <c r="N418" s="769"/>
      <c r="O418" s="769"/>
      <c r="P418" s="769"/>
      <c r="Q418" s="769"/>
      <c r="R418" s="769"/>
      <c r="U418" s="770"/>
      <c r="V418" s="771">
        <f t="shared" si="81"/>
        <v>0</v>
      </c>
      <c r="W418" s="771">
        <f t="shared" si="82"/>
        <v>0</v>
      </c>
      <c r="X418" t="str">
        <f t="shared" si="83"/>
        <v/>
      </c>
      <c r="Y418" t="str">
        <f t="shared" si="84"/>
        <v/>
      </c>
      <c r="AA418" s="769">
        <f t="shared" si="85"/>
        <v>0</v>
      </c>
      <c r="AB418" s="772">
        <f t="shared" si="86"/>
        <v>0</v>
      </c>
      <c r="AC418" s="769"/>
      <c r="AE418" s="769"/>
      <c r="AF418" s="769"/>
      <c r="AG418" s="769"/>
      <c r="AH418" s="769"/>
      <c r="AI418" s="769"/>
      <c r="AJ418" s="769"/>
      <c r="AK418" s="769"/>
      <c r="AL418" s="769"/>
      <c r="AM418" s="769"/>
      <c r="AN418" s="769"/>
      <c r="AO418" s="769"/>
      <c r="AP418" s="774">
        <f t="shared" si="87"/>
        <v>0</v>
      </c>
      <c r="AS418" s="771"/>
      <c r="AT418" t="str">
        <f t="array" ref="AT418">IF(E418&lt;&gt;"Occupied","",_xlfn.IFS(AND(ISNUMBER(AC418),AC418&lt;&gt;0),"Structured",ISNUMBER(SEARCH("/mo con",T418)),"Notes-parsed",ISNUMBER(SEARCH("step",T418)),"Step-up",ISNUMBER(SEARCH("swap",T418)),"Rate-swap",AND(ISNUMBER(I418),ISNUMBER(J418),I418&gt;J418),"Implied",TRUE(),""))</f>
        <v/>
      </c>
      <c r="AU418" s="769" t="str">
        <f t="shared" si="88"/>
        <v/>
      </c>
      <c r="AV418" s="775">
        <f t="shared" si="89"/>
        <v>0</v>
      </c>
    </row>
    <row r="419" spans="9:48" ht="15" customHeight="1" outlineLevel="1" x14ac:dyDescent="0.25">
      <c r="I419" s="769"/>
      <c r="J419" s="769"/>
      <c r="K419" s="769">
        <f t="shared" si="79"/>
        <v>0</v>
      </c>
      <c r="L419" s="769">
        <f t="shared" si="80"/>
        <v>0</v>
      </c>
      <c r="M419" s="769"/>
      <c r="N419" s="769"/>
      <c r="O419" s="769"/>
      <c r="P419" s="769"/>
      <c r="Q419" s="769"/>
      <c r="R419" s="769"/>
      <c r="U419" s="770"/>
      <c r="V419" s="771">
        <f t="shared" si="81"/>
        <v>0</v>
      </c>
      <c r="W419" s="771">
        <f t="shared" si="82"/>
        <v>0</v>
      </c>
      <c r="X419" t="str">
        <f t="shared" si="83"/>
        <v/>
      </c>
      <c r="Y419" t="str">
        <f t="shared" si="84"/>
        <v/>
      </c>
      <c r="AA419" s="769">
        <f t="shared" si="85"/>
        <v>0</v>
      </c>
      <c r="AB419" s="772">
        <f t="shared" si="86"/>
        <v>0</v>
      </c>
      <c r="AC419" s="769"/>
      <c r="AE419" s="769"/>
      <c r="AF419" s="769"/>
      <c r="AG419" s="769"/>
      <c r="AH419" s="769"/>
      <c r="AI419" s="769"/>
      <c r="AJ419" s="769"/>
      <c r="AK419" s="769"/>
      <c r="AL419" s="769"/>
      <c r="AM419" s="769"/>
      <c r="AN419" s="769"/>
      <c r="AO419" s="769"/>
      <c r="AP419" s="774">
        <f t="shared" si="87"/>
        <v>0</v>
      </c>
      <c r="AS419" s="771"/>
      <c r="AT419" t="str">
        <f t="array" ref="AT419">IF(E419&lt;&gt;"Occupied","",_xlfn.IFS(AND(ISNUMBER(AC419),AC419&lt;&gt;0),"Structured",ISNUMBER(SEARCH("/mo con",T419)),"Notes-parsed",ISNUMBER(SEARCH("step",T419)),"Step-up",ISNUMBER(SEARCH("swap",T419)),"Rate-swap",AND(ISNUMBER(I419),ISNUMBER(J419),I419&gt;J419),"Implied",TRUE(),""))</f>
        <v/>
      </c>
      <c r="AU419" s="769" t="str">
        <f t="shared" si="88"/>
        <v/>
      </c>
      <c r="AV419" s="775">
        <f t="shared" si="89"/>
        <v>0</v>
      </c>
    </row>
    <row r="420" spans="9:48" ht="15" customHeight="1" outlineLevel="1" x14ac:dyDescent="0.25">
      <c r="I420" s="769"/>
      <c r="J420" s="769"/>
      <c r="K420" s="769">
        <f t="shared" si="79"/>
        <v>0</v>
      </c>
      <c r="L420" s="769">
        <f t="shared" si="80"/>
        <v>0</v>
      </c>
      <c r="M420" s="769"/>
      <c r="N420" s="769"/>
      <c r="O420" s="769"/>
      <c r="P420" s="769"/>
      <c r="Q420" s="769"/>
      <c r="R420" s="769"/>
      <c r="U420" s="770"/>
      <c r="V420" s="771">
        <f t="shared" si="81"/>
        <v>0</v>
      </c>
      <c r="W420" s="771">
        <f t="shared" si="82"/>
        <v>0</v>
      </c>
      <c r="X420" t="str">
        <f t="shared" si="83"/>
        <v/>
      </c>
      <c r="Y420" t="str">
        <f t="shared" si="84"/>
        <v/>
      </c>
      <c r="AA420" s="769">
        <f t="shared" si="85"/>
        <v>0</v>
      </c>
      <c r="AB420" s="772">
        <f t="shared" si="86"/>
        <v>0</v>
      </c>
      <c r="AC420" s="769"/>
      <c r="AE420" s="769"/>
      <c r="AF420" s="769"/>
      <c r="AG420" s="769"/>
      <c r="AH420" s="769"/>
      <c r="AI420" s="769"/>
      <c r="AJ420" s="769"/>
      <c r="AK420" s="769"/>
      <c r="AL420" s="769"/>
      <c r="AM420" s="769"/>
      <c r="AN420" s="769"/>
      <c r="AO420" s="769"/>
      <c r="AP420" s="774">
        <f t="shared" si="87"/>
        <v>0</v>
      </c>
      <c r="AS420" s="771"/>
      <c r="AT420" t="str">
        <f t="array" ref="AT420">IF(E420&lt;&gt;"Occupied","",_xlfn.IFS(AND(ISNUMBER(AC420),AC420&lt;&gt;0),"Structured",ISNUMBER(SEARCH("/mo con",T420)),"Notes-parsed",ISNUMBER(SEARCH("step",T420)),"Step-up",ISNUMBER(SEARCH("swap",T420)),"Rate-swap",AND(ISNUMBER(I420),ISNUMBER(J420),I420&gt;J420),"Implied",TRUE(),""))</f>
        <v/>
      </c>
      <c r="AU420" s="769" t="str">
        <f t="shared" si="88"/>
        <v/>
      </c>
      <c r="AV420" s="775">
        <f t="shared" si="89"/>
        <v>0</v>
      </c>
    </row>
    <row r="421" spans="9:48" ht="15" customHeight="1" outlineLevel="1" x14ac:dyDescent="0.25">
      <c r="I421" s="769"/>
      <c r="J421" s="769"/>
      <c r="K421" s="769">
        <f t="shared" si="79"/>
        <v>0</v>
      </c>
      <c r="L421" s="769">
        <f t="shared" si="80"/>
        <v>0</v>
      </c>
      <c r="M421" s="769"/>
      <c r="N421" s="769"/>
      <c r="O421" s="769"/>
      <c r="P421" s="769"/>
      <c r="Q421" s="769"/>
      <c r="R421" s="769"/>
      <c r="U421" s="770"/>
      <c r="V421" s="771">
        <f t="shared" si="81"/>
        <v>0</v>
      </c>
      <c r="W421" s="771">
        <f t="shared" si="82"/>
        <v>0</v>
      </c>
      <c r="X421" t="str">
        <f t="shared" si="83"/>
        <v/>
      </c>
      <c r="Y421" t="str">
        <f t="shared" si="84"/>
        <v/>
      </c>
      <c r="AA421" s="769">
        <f t="shared" si="85"/>
        <v>0</v>
      </c>
      <c r="AB421" s="772">
        <f t="shared" si="86"/>
        <v>0</v>
      </c>
      <c r="AC421" s="769"/>
      <c r="AE421" s="769"/>
      <c r="AF421" s="769"/>
      <c r="AG421" s="769"/>
      <c r="AH421" s="769"/>
      <c r="AI421" s="769"/>
      <c r="AJ421" s="769"/>
      <c r="AK421" s="769"/>
      <c r="AL421" s="769"/>
      <c r="AM421" s="769"/>
      <c r="AN421" s="769"/>
      <c r="AO421" s="769"/>
      <c r="AP421" s="774">
        <f t="shared" si="87"/>
        <v>0</v>
      </c>
      <c r="AS421" s="771"/>
      <c r="AT421" t="str">
        <f t="array" ref="AT421">IF(E421&lt;&gt;"Occupied","",_xlfn.IFS(AND(ISNUMBER(AC421),AC421&lt;&gt;0),"Structured",ISNUMBER(SEARCH("/mo con",T421)),"Notes-parsed",ISNUMBER(SEARCH("step",T421)),"Step-up",ISNUMBER(SEARCH("swap",T421)),"Rate-swap",AND(ISNUMBER(I421),ISNUMBER(J421),I421&gt;J421),"Implied",TRUE(),""))</f>
        <v/>
      </c>
      <c r="AU421" s="769" t="str">
        <f t="shared" si="88"/>
        <v/>
      </c>
      <c r="AV421" s="775">
        <f t="shared" si="89"/>
        <v>0</v>
      </c>
    </row>
    <row r="422" spans="9:48" ht="15" customHeight="1" outlineLevel="1" x14ac:dyDescent="0.25">
      <c r="I422" s="769"/>
      <c r="J422" s="769"/>
      <c r="K422" s="769">
        <f t="shared" si="79"/>
        <v>0</v>
      </c>
      <c r="L422" s="769">
        <f t="shared" si="80"/>
        <v>0</v>
      </c>
      <c r="M422" s="769"/>
      <c r="N422" s="769"/>
      <c r="O422" s="769"/>
      <c r="P422" s="769"/>
      <c r="Q422" s="769"/>
      <c r="R422" s="769"/>
      <c r="U422" s="770"/>
      <c r="V422" s="771">
        <f t="shared" si="81"/>
        <v>0</v>
      </c>
      <c r="W422" s="771">
        <f t="shared" si="82"/>
        <v>0</v>
      </c>
      <c r="X422" t="str">
        <f t="shared" si="83"/>
        <v/>
      </c>
      <c r="Y422" t="str">
        <f t="shared" si="84"/>
        <v/>
      </c>
      <c r="AA422" s="769">
        <f t="shared" si="85"/>
        <v>0</v>
      </c>
      <c r="AB422" s="772">
        <f t="shared" si="86"/>
        <v>0</v>
      </c>
      <c r="AC422" s="769"/>
      <c r="AE422" s="769"/>
      <c r="AF422" s="769"/>
      <c r="AG422" s="769"/>
      <c r="AH422" s="769"/>
      <c r="AI422" s="769"/>
      <c r="AJ422" s="769"/>
      <c r="AK422" s="769"/>
      <c r="AL422" s="769"/>
      <c r="AM422" s="769"/>
      <c r="AN422" s="769"/>
      <c r="AO422" s="769"/>
      <c r="AP422" s="774">
        <f t="shared" si="87"/>
        <v>0</v>
      </c>
      <c r="AS422" s="771"/>
      <c r="AT422" t="str">
        <f t="array" ref="AT422">IF(E422&lt;&gt;"Occupied","",_xlfn.IFS(AND(ISNUMBER(AC422),AC422&lt;&gt;0),"Structured",ISNUMBER(SEARCH("/mo con",T422)),"Notes-parsed",ISNUMBER(SEARCH("step",T422)),"Step-up",ISNUMBER(SEARCH("swap",T422)),"Rate-swap",AND(ISNUMBER(I422),ISNUMBER(J422),I422&gt;J422),"Implied",TRUE(),""))</f>
        <v/>
      </c>
      <c r="AU422" s="769" t="str">
        <f t="shared" si="88"/>
        <v/>
      </c>
      <c r="AV422" s="775">
        <f t="shared" si="89"/>
        <v>0</v>
      </c>
    </row>
    <row r="423" spans="9:48" ht="15" customHeight="1" outlineLevel="1" x14ac:dyDescent="0.25">
      <c r="I423" s="769"/>
      <c r="J423" s="769"/>
      <c r="K423" s="769">
        <f t="shared" si="79"/>
        <v>0</v>
      </c>
      <c r="L423" s="769">
        <f t="shared" si="80"/>
        <v>0</v>
      </c>
      <c r="M423" s="769"/>
      <c r="N423" s="769"/>
      <c r="O423" s="769"/>
      <c r="P423" s="769"/>
      <c r="Q423" s="769"/>
      <c r="R423" s="769"/>
      <c r="U423" s="770"/>
      <c r="V423" s="771">
        <f t="shared" si="81"/>
        <v>0</v>
      </c>
      <c r="W423" s="771">
        <f t="shared" si="82"/>
        <v>0</v>
      </c>
      <c r="X423" t="str">
        <f t="shared" si="83"/>
        <v/>
      </c>
      <c r="Y423" t="str">
        <f t="shared" si="84"/>
        <v/>
      </c>
      <c r="AA423" s="769">
        <f t="shared" si="85"/>
        <v>0</v>
      </c>
      <c r="AB423" s="772">
        <f t="shared" si="86"/>
        <v>0</v>
      </c>
      <c r="AC423" s="769"/>
      <c r="AE423" s="769"/>
      <c r="AF423" s="769"/>
      <c r="AG423" s="769"/>
      <c r="AH423" s="769"/>
      <c r="AI423" s="769"/>
      <c r="AJ423" s="769"/>
      <c r="AK423" s="769"/>
      <c r="AL423" s="769"/>
      <c r="AM423" s="769"/>
      <c r="AN423" s="769"/>
      <c r="AO423" s="769"/>
      <c r="AP423" s="774">
        <f t="shared" si="87"/>
        <v>0</v>
      </c>
      <c r="AS423" s="771"/>
      <c r="AT423" t="str">
        <f t="array" ref="AT423">IF(E423&lt;&gt;"Occupied","",_xlfn.IFS(AND(ISNUMBER(AC423),AC423&lt;&gt;0),"Structured",ISNUMBER(SEARCH("/mo con",T423)),"Notes-parsed",ISNUMBER(SEARCH("step",T423)),"Step-up",ISNUMBER(SEARCH("swap",T423)),"Rate-swap",AND(ISNUMBER(I423),ISNUMBER(J423),I423&gt;J423),"Implied",TRUE(),""))</f>
        <v/>
      </c>
      <c r="AU423" s="769" t="str">
        <f t="shared" si="88"/>
        <v/>
      </c>
      <c r="AV423" s="775">
        <f t="shared" si="89"/>
        <v>0</v>
      </c>
    </row>
    <row r="424" spans="9:48" ht="15" customHeight="1" outlineLevel="1" x14ac:dyDescent="0.25">
      <c r="I424" s="769"/>
      <c r="J424" s="769"/>
      <c r="K424" s="769">
        <f t="shared" si="79"/>
        <v>0</v>
      </c>
      <c r="L424" s="769">
        <f t="shared" si="80"/>
        <v>0</v>
      </c>
      <c r="M424" s="769"/>
      <c r="N424" s="769"/>
      <c r="O424" s="769"/>
      <c r="P424" s="769"/>
      <c r="Q424" s="769"/>
      <c r="R424" s="769"/>
      <c r="U424" s="770"/>
      <c r="V424" s="771">
        <f t="shared" si="81"/>
        <v>0</v>
      </c>
      <c r="W424" s="771">
        <f t="shared" si="82"/>
        <v>0</v>
      </c>
      <c r="X424" t="str">
        <f t="shared" si="83"/>
        <v/>
      </c>
      <c r="Y424" t="str">
        <f t="shared" si="84"/>
        <v/>
      </c>
      <c r="AA424" s="769">
        <f t="shared" si="85"/>
        <v>0</v>
      </c>
      <c r="AB424" s="772">
        <f t="shared" si="86"/>
        <v>0</v>
      </c>
      <c r="AC424" s="769"/>
      <c r="AE424" s="769"/>
      <c r="AF424" s="769"/>
      <c r="AG424" s="769"/>
      <c r="AH424" s="769"/>
      <c r="AI424" s="769"/>
      <c r="AJ424" s="769"/>
      <c r="AK424" s="769"/>
      <c r="AL424" s="769"/>
      <c r="AM424" s="769"/>
      <c r="AN424" s="769"/>
      <c r="AO424" s="769"/>
      <c r="AP424" s="774">
        <f t="shared" si="87"/>
        <v>0</v>
      </c>
      <c r="AS424" s="771"/>
      <c r="AT424" t="str">
        <f t="array" ref="AT424">IF(E424&lt;&gt;"Occupied","",_xlfn.IFS(AND(ISNUMBER(AC424),AC424&lt;&gt;0),"Structured",ISNUMBER(SEARCH("/mo con",T424)),"Notes-parsed",ISNUMBER(SEARCH("step",T424)),"Step-up",ISNUMBER(SEARCH("swap",T424)),"Rate-swap",AND(ISNUMBER(I424),ISNUMBER(J424),I424&gt;J424),"Implied",TRUE(),""))</f>
        <v/>
      </c>
      <c r="AU424" s="769" t="str">
        <f t="shared" si="88"/>
        <v/>
      </c>
      <c r="AV424" s="775">
        <f t="shared" si="89"/>
        <v>0</v>
      </c>
    </row>
    <row r="425" spans="9:48" ht="15" customHeight="1" outlineLevel="1" x14ac:dyDescent="0.25">
      <c r="I425" s="769"/>
      <c r="J425" s="769"/>
      <c r="K425" s="769">
        <f t="shared" si="79"/>
        <v>0</v>
      </c>
      <c r="L425" s="769">
        <f t="shared" si="80"/>
        <v>0</v>
      </c>
      <c r="M425" s="769"/>
      <c r="N425" s="769"/>
      <c r="O425" s="769"/>
      <c r="P425" s="769"/>
      <c r="Q425" s="769"/>
      <c r="R425" s="769"/>
      <c r="U425" s="770"/>
      <c r="V425" s="771">
        <f t="shared" si="81"/>
        <v>0</v>
      </c>
      <c r="W425" s="771">
        <f t="shared" si="82"/>
        <v>0</v>
      </c>
      <c r="X425" t="str">
        <f t="shared" si="83"/>
        <v/>
      </c>
      <c r="Y425" t="str">
        <f t="shared" si="84"/>
        <v/>
      </c>
      <c r="AA425" s="769">
        <f t="shared" si="85"/>
        <v>0</v>
      </c>
      <c r="AB425" s="772">
        <f t="shared" si="86"/>
        <v>0</v>
      </c>
      <c r="AC425" s="769"/>
      <c r="AE425" s="769"/>
      <c r="AF425" s="769"/>
      <c r="AG425" s="769"/>
      <c r="AH425" s="769"/>
      <c r="AI425" s="769"/>
      <c r="AJ425" s="769"/>
      <c r="AK425" s="769"/>
      <c r="AL425" s="769"/>
      <c r="AM425" s="769"/>
      <c r="AN425" s="769"/>
      <c r="AO425" s="769"/>
      <c r="AP425" s="774">
        <f t="shared" si="87"/>
        <v>0</v>
      </c>
      <c r="AS425" s="771"/>
      <c r="AT425" t="str">
        <f t="array" ref="AT425">IF(E425&lt;&gt;"Occupied","",_xlfn.IFS(AND(ISNUMBER(AC425),AC425&lt;&gt;0),"Structured",ISNUMBER(SEARCH("/mo con",T425)),"Notes-parsed",ISNUMBER(SEARCH("step",T425)),"Step-up",ISNUMBER(SEARCH("swap",T425)),"Rate-swap",AND(ISNUMBER(I425),ISNUMBER(J425),I425&gt;J425),"Implied",TRUE(),""))</f>
        <v/>
      </c>
      <c r="AU425" s="769" t="str">
        <f t="shared" si="88"/>
        <v/>
      </c>
      <c r="AV425" s="775">
        <f t="shared" si="89"/>
        <v>0</v>
      </c>
    </row>
    <row r="426" spans="9:48" ht="15" customHeight="1" outlineLevel="1" x14ac:dyDescent="0.25">
      <c r="I426" s="769"/>
      <c r="J426" s="769"/>
      <c r="K426" s="769">
        <f t="shared" si="79"/>
        <v>0</v>
      </c>
      <c r="L426" s="769">
        <f t="shared" si="80"/>
        <v>0</v>
      </c>
      <c r="M426" s="769"/>
      <c r="N426" s="769"/>
      <c r="O426" s="769"/>
      <c r="P426" s="769"/>
      <c r="Q426" s="769"/>
      <c r="R426" s="769"/>
      <c r="U426" s="770"/>
      <c r="V426" s="771">
        <f t="shared" si="81"/>
        <v>0</v>
      </c>
      <c r="W426" s="771">
        <f t="shared" si="82"/>
        <v>0</v>
      </c>
      <c r="X426" t="str">
        <f t="shared" si="83"/>
        <v/>
      </c>
      <c r="Y426" t="str">
        <f t="shared" si="84"/>
        <v/>
      </c>
      <c r="AA426" s="769">
        <f t="shared" si="85"/>
        <v>0</v>
      </c>
      <c r="AB426" s="772">
        <f t="shared" si="86"/>
        <v>0</v>
      </c>
      <c r="AC426" s="769"/>
      <c r="AE426" s="769"/>
      <c r="AF426" s="769"/>
      <c r="AG426" s="769"/>
      <c r="AH426" s="769"/>
      <c r="AI426" s="769"/>
      <c r="AJ426" s="769"/>
      <c r="AK426" s="769"/>
      <c r="AL426" s="769"/>
      <c r="AM426" s="769"/>
      <c r="AN426" s="769"/>
      <c r="AO426" s="769"/>
      <c r="AP426" s="774">
        <f t="shared" si="87"/>
        <v>0</v>
      </c>
      <c r="AS426" s="771"/>
      <c r="AT426" t="str">
        <f t="array" ref="AT426">IF(E426&lt;&gt;"Occupied","",_xlfn.IFS(AND(ISNUMBER(AC426),AC426&lt;&gt;0),"Structured",ISNUMBER(SEARCH("/mo con",T426)),"Notes-parsed",ISNUMBER(SEARCH("step",T426)),"Step-up",ISNUMBER(SEARCH("swap",T426)),"Rate-swap",AND(ISNUMBER(I426),ISNUMBER(J426),I426&gt;J426),"Implied",TRUE(),""))</f>
        <v/>
      </c>
      <c r="AU426" s="769" t="str">
        <f t="shared" si="88"/>
        <v/>
      </c>
      <c r="AV426" s="775">
        <f t="shared" si="89"/>
        <v>0</v>
      </c>
    </row>
    <row r="427" spans="9:48" ht="15" customHeight="1" outlineLevel="1" x14ac:dyDescent="0.25">
      <c r="I427" s="769"/>
      <c r="J427" s="769"/>
      <c r="K427" s="769">
        <f t="shared" si="79"/>
        <v>0</v>
      </c>
      <c r="L427" s="769">
        <f t="shared" si="80"/>
        <v>0</v>
      </c>
      <c r="M427" s="769"/>
      <c r="N427" s="769"/>
      <c r="O427" s="769"/>
      <c r="P427" s="769"/>
      <c r="Q427" s="769"/>
      <c r="R427" s="769"/>
      <c r="U427" s="770"/>
      <c r="V427" s="771">
        <f t="shared" si="81"/>
        <v>0</v>
      </c>
      <c r="W427" s="771">
        <f t="shared" si="82"/>
        <v>0</v>
      </c>
      <c r="X427" t="str">
        <f t="shared" si="83"/>
        <v/>
      </c>
      <c r="Y427" t="str">
        <f t="shared" si="84"/>
        <v/>
      </c>
      <c r="AA427" s="769">
        <f t="shared" si="85"/>
        <v>0</v>
      </c>
      <c r="AB427" s="772">
        <f t="shared" si="86"/>
        <v>0</v>
      </c>
      <c r="AC427" s="769"/>
      <c r="AE427" s="769"/>
      <c r="AF427" s="769"/>
      <c r="AG427" s="769"/>
      <c r="AH427" s="769"/>
      <c r="AI427" s="769"/>
      <c r="AJ427" s="769"/>
      <c r="AK427" s="769"/>
      <c r="AL427" s="769"/>
      <c r="AM427" s="769"/>
      <c r="AN427" s="769"/>
      <c r="AO427" s="769"/>
      <c r="AP427" s="774">
        <f t="shared" si="87"/>
        <v>0</v>
      </c>
      <c r="AS427" s="771"/>
      <c r="AT427" t="str">
        <f t="array" ref="AT427">IF(E427&lt;&gt;"Occupied","",_xlfn.IFS(AND(ISNUMBER(AC427),AC427&lt;&gt;0),"Structured",ISNUMBER(SEARCH("/mo con",T427)),"Notes-parsed",ISNUMBER(SEARCH("step",T427)),"Step-up",ISNUMBER(SEARCH("swap",T427)),"Rate-swap",AND(ISNUMBER(I427),ISNUMBER(J427),I427&gt;J427),"Implied",TRUE(),""))</f>
        <v/>
      </c>
      <c r="AU427" s="769" t="str">
        <f t="shared" si="88"/>
        <v/>
      </c>
      <c r="AV427" s="775">
        <f t="shared" si="89"/>
        <v>0</v>
      </c>
    </row>
    <row r="428" spans="9:48" ht="15" customHeight="1" outlineLevel="1" x14ac:dyDescent="0.25">
      <c r="I428" s="769"/>
      <c r="J428" s="769"/>
      <c r="K428" s="769">
        <f t="shared" si="79"/>
        <v>0</v>
      </c>
      <c r="L428" s="769">
        <f t="shared" si="80"/>
        <v>0</v>
      </c>
      <c r="M428" s="769"/>
      <c r="N428" s="769"/>
      <c r="O428" s="769"/>
      <c r="P428" s="769"/>
      <c r="Q428" s="769"/>
      <c r="R428" s="769"/>
      <c r="U428" s="770"/>
      <c r="V428" s="771">
        <f t="shared" si="81"/>
        <v>0</v>
      </c>
      <c r="W428" s="771">
        <f t="shared" si="82"/>
        <v>0</v>
      </c>
      <c r="X428" t="str">
        <f t="shared" si="83"/>
        <v/>
      </c>
      <c r="Y428" t="str">
        <f t="shared" si="84"/>
        <v/>
      </c>
      <c r="AA428" s="769">
        <f t="shared" si="85"/>
        <v>0</v>
      </c>
      <c r="AB428" s="772">
        <f t="shared" si="86"/>
        <v>0</v>
      </c>
      <c r="AC428" s="769"/>
      <c r="AE428" s="769"/>
      <c r="AF428" s="769"/>
      <c r="AG428" s="769"/>
      <c r="AH428" s="769"/>
      <c r="AI428" s="769"/>
      <c r="AJ428" s="769"/>
      <c r="AK428" s="769"/>
      <c r="AL428" s="769"/>
      <c r="AM428" s="769"/>
      <c r="AN428" s="769"/>
      <c r="AO428" s="769"/>
      <c r="AP428" s="774">
        <f t="shared" si="87"/>
        <v>0</v>
      </c>
      <c r="AS428" s="771"/>
      <c r="AT428" t="str">
        <f t="array" ref="AT428">IF(E428&lt;&gt;"Occupied","",_xlfn.IFS(AND(ISNUMBER(AC428),AC428&lt;&gt;0),"Structured",ISNUMBER(SEARCH("/mo con",T428)),"Notes-parsed",ISNUMBER(SEARCH("step",T428)),"Step-up",ISNUMBER(SEARCH("swap",T428)),"Rate-swap",AND(ISNUMBER(I428),ISNUMBER(J428),I428&gt;J428),"Implied",TRUE(),""))</f>
        <v/>
      </c>
      <c r="AU428" s="769" t="str">
        <f t="shared" si="88"/>
        <v/>
      </c>
      <c r="AV428" s="775">
        <f t="shared" si="89"/>
        <v>0</v>
      </c>
    </row>
    <row r="429" spans="9:48" ht="15" customHeight="1" outlineLevel="1" x14ac:dyDescent="0.25">
      <c r="I429" s="769"/>
      <c r="J429" s="769"/>
      <c r="K429" s="769">
        <f t="shared" si="79"/>
        <v>0</v>
      </c>
      <c r="L429" s="769">
        <f t="shared" si="80"/>
        <v>0</v>
      </c>
      <c r="M429" s="769"/>
      <c r="N429" s="769"/>
      <c r="O429" s="769"/>
      <c r="P429" s="769"/>
      <c r="Q429" s="769"/>
      <c r="R429" s="769"/>
      <c r="U429" s="770"/>
      <c r="V429" s="771">
        <f t="shared" si="81"/>
        <v>0</v>
      </c>
      <c r="W429" s="771">
        <f t="shared" si="82"/>
        <v>0</v>
      </c>
      <c r="X429" t="str">
        <f t="shared" si="83"/>
        <v/>
      </c>
      <c r="Y429" t="str">
        <f t="shared" si="84"/>
        <v/>
      </c>
      <c r="AA429" s="769">
        <f t="shared" si="85"/>
        <v>0</v>
      </c>
      <c r="AB429" s="772">
        <f t="shared" si="86"/>
        <v>0</v>
      </c>
      <c r="AC429" s="769"/>
      <c r="AE429" s="769"/>
      <c r="AF429" s="769"/>
      <c r="AG429" s="769"/>
      <c r="AH429" s="769"/>
      <c r="AI429" s="769"/>
      <c r="AJ429" s="769"/>
      <c r="AK429" s="769"/>
      <c r="AL429" s="769"/>
      <c r="AM429" s="769"/>
      <c r="AN429" s="769"/>
      <c r="AO429" s="769"/>
      <c r="AP429" s="774">
        <f t="shared" si="87"/>
        <v>0</v>
      </c>
      <c r="AS429" s="771"/>
      <c r="AT429" t="str">
        <f t="array" ref="AT429">IF(E429&lt;&gt;"Occupied","",_xlfn.IFS(AND(ISNUMBER(AC429),AC429&lt;&gt;0),"Structured",ISNUMBER(SEARCH("/mo con",T429)),"Notes-parsed",ISNUMBER(SEARCH("step",T429)),"Step-up",ISNUMBER(SEARCH("swap",T429)),"Rate-swap",AND(ISNUMBER(I429),ISNUMBER(J429),I429&gt;J429),"Implied",TRUE(),""))</f>
        <v/>
      </c>
      <c r="AU429" s="769" t="str">
        <f t="shared" si="88"/>
        <v/>
      </c>
      <c r="AV429" s="775">
        <f t="shared" si="89"/>
        <v>0</v>
      </c>
    </row>
    <row r="430" spans="9:48" ht="15" customHeight="1" outlineLevel="1" x14ac:dyDescent="0.25">
      <c r="I430" s="769"/>
      <c r="J430" s="769"/>
      <c r="K430" s="769">
        <f t="shared" si="79"/>
        <v>0</v>
      </c>
      <c r="L430" s="769">
        <f t="shared" si="80"/>
        <v>0</v>
      </c>
      <c r="M430" s="769"/>
      <c r="N430" s="769"/>
      <c r="O430" s="769"/>
      <c r="P430" s="769"/>
      <c r="Q430" s="769"/>
      <c r="R430" s="769"/>
      <c r="U430" s="770"/>
      <c r="V430" s="771">
        <f t="shared" si="81"/>
        <v>0</v>
      </c>
      <c r="W430" s="771">
        <f t="shared" si="82"/>
        <v>0</v>
      </c>
      <c r="X430" t="str">
        <f t="shared" si="83"/>
        <v/>
      </c>
      <c r="Y430" t="str">
        <f t="shared" si="84"/>
        <v/>
      </c>
      <c r="AA430" s="769">
        <f t="shared" si="85"/>
        <v>0</v>
      </c>
      <c r="AB430" s="772">
        <f t="shared" si="86"/>
        <v>0</v>
      </c>
      <c r="AC430" s="769"/>
      <c r="AE430" s="769"/>
      <c r="AF430" s="769"/>
      <c r="AG430" s="769"/>
      <c r="AH430" s="769"/>
      <c r="AI430" s="769"/>
      <c r="AJ430" s="769"/>
      <c r="AK430" s="769"/>
      <c r="AL430" s="769"/>
      <c r="AM430" s="769"/>
      <c r="AN430" s="769"/>
      <c r="AO430" s="769"/>
      <c r="AP430" s="774">
        <f t="shared" si="87"/>
        <v>0</v>
      </c>
      <c r="AS430" s="771"/>
      <c r="AT430" t="str">
        <f t="array" ref="AT430">IF(E430&lt;&gt;"Occupied","",_xlfn.IFS(AND(ISNUMBER(AC430),AC430&lt;&gt;0),"Structured",ISNUMBER(SEARCH("/mo con",T430)),"Notes-parsed",ISNUMBER(SEARCH("step",T430)),"Step-up",ISNUMBER(SEARCH("swap",T430)),"Rate-swap",AND(ISNUMBER(I430),ISNUMBER(J430),I430&gt;J430),"Implied",TRUE(),""))</f>
        <v/>
      </c>
      <c r="AU430" s="769" t="str">
        <f t="shared" si="88"/>
        <v/>
      </c>
      <c r="AV430" s="775">
        <f t="shared" si="89"/>
        <v>0</v>
      </c>
    </row>
    <row r="431" spans="9:48" ht="15" customHeight="1" outlineLevel="1" x14ac:dyDescent="0.25">
      <c r="I431" s="769"/>
      <c r="J431" s="769"/>
      <c r="K431" s="769">
        <f t="shared" si="79"/>
        <v>0</v>
      </c>
      <c r="L431" s="769">
        <f t="shared" si="80"/>
        <v>0</v>
      </c>
      <c r="M431" s="769"/>
      <c r="N431" s="769"/>
      <c r="O431" s="769"/>
      <c r="P431" s="769"/>
      <c r="Q431" s="769"/>
      <c r="R431" s="769"/>
      <c r="U431" s="770"/>
      <c r="V431" s="771">
        <f t="shared" si="81"/>
        <v>0</v>
      </c>
      <c r="W431" s="771">
        <f t="shared" si="82"/>
        <v>0</v>
      </c>
      <c r="X431" t="str">
        <f t="shared" si="83"/>
        <v/>
      </c>
      <c r="Y431" t="str">
        <f t="shared" si="84"/>
        <v/>
      </c>
      <c r="AA431" s="769">
        <f t="shared" si="85"/>
        <v>0</v>
      </c>
      <c r="AB431" s="772">
        <f t="shared" si="86"/>
        <v>0</v>
      </c>
      <c r="AC431" s="769"/>
      <c r="AE431" s="769"/>
      <c r="AF431" s="769"/>
      <c r="AG431" s="769"/>
      <c r="AH431" s="769"/>
      <c r="AI431" s="769"/>
      <c r="AJ431" s="769"/>
      <c r="AK431" s="769"/>
      <c r="AL431" s="769"/>
      <c r="AM431" s="769"/>
      <c r="AN431" s="769"/>
      <c r="AO431" s="769"/>
      <c r="AP431" s="774">
        <f t="shared" si="87"/>
        <v>0</v>
      </c>
      <c r="AS431" s="771"/>
      <c r="AT431" t="str">
        <f t="array" ref="AT431">IF(E431&lt;&gt;"Occupied","",_xlfn.IFS(AND(ISNUMBER(AC431),AC431&lt;&gt;0),"Structured",ISNUMBER(SEARCH("/mo con",T431)),"Notes-parsed",ISNUMBER(SEARCH("step",T431)),"Step-up",ISNUMBER(SEARCH("swap",T431)),"Rate-swap",AND(ISNUMBER(I431),ISNUMBER(J431),I431&gt;J431),"Implied",TRUE(),""))</f>
        <v/>
      </c>
      <c r="AU431" s="769" t="str">
        <f t="shared" si="88"/>
        <v/>
      </c>
      <c r="AV431" s="775">
        <f t="shared" si="89"/>
        <v>0</v>
      </c>
    </row>
    <row r="432" spans="9:48" ht="15" customHeight="1" outlineLevel="1" x14ac:dyDescent="0.25">
      <c r="I432" s="769"/>
      <c r="J432" s="769"/>
      <c r="K432" s="769">
        <f t="shared" si="79"/>
        <v>0</v>
      </c>
      <c r="L432" s="769">
        <f t="shared" si="80"/>
        <v>0</v>
      </c>
      <c r="M432" s="769"/>
      <c r="N432" s="769"/>
      <c r="O432" s="769"/>
      <c r="P432" s="769"/>
      <c r="Q432" s="769"/>
      <c r="R432" s="769"/>
      <c r="U432" s="770"/>
      <c r="V432" s="771">
        <f t="shared" si="81"/>
        <v>0</v>
      </c>
      <c r="W432" s="771">
        <f t="shared" si="82"/>
        <v>0</v>
      </c>
      <c r="X432" t="str">
        <f t="shared" si="83"/>
        <v/>
      </c>
      <c r="Y432" t="str">
        <f t="shared" si="84"/>
        <v/>
      </c>
      <c r="AA432" s="769">
        <f t="shared" si="85"/>
        <v>0</v>
      </c>
      <c r="AB432" s="772">
        <f t="shared" si="86"/>
        <v>0</v>
      </c>
      <c r="AC432" s="769"/>
      <c r="AE432" s="769"/>
      <c r="AF432" s="769"/>
      <c r="AG432" s="769"/>
      <c r="AH432" s="769"/>
      <c r="AI432" s="769"/>
      <c r="AJ432" s="769"/>
      <c r="AK432" s="769"/>
      <c r="AL432" s="769"/>
      <c r="AM432" s="769"/>
      <c r="AN432" s="769"/>
      <c r="AO432" s="769"/>
      <c r="AP432" s="774">
        <f t="shared" si="87"/>
        <v>0</v>
      </c>
      <c r="AS432" s="771"/>
      <c r="AT432" t="str">
        <f t="array" ref="AT432">IF(E432&lt;&gt;"Occupied","",_xlfn.IFS(AND(ISNUMBER(AC432),AC432&lt;&gt;0),"Structured",ISNUMBER(SEARCH("/mo con",T432)),"Notes-parsed",ISNUMBER(SEARCH("step",T432)),"Step-up",ISNUMBER(SEARCH("swap",T432)),"Rate-swap",AND(ISNUMBER(I432),ISNUMBER(J432),I432&gt;J432),"Implied",TRUE(),""))</f>
        <v/>
      </c>
      <c r="AU432" s="769" t="str">
        <f t="shared" si="88"/>
        <v/>
      </c>
      <c r="AV432" s="775">
        <f t="shared" si="89"/>
        <v>0</v>
      </c>
    </row>
    <row r="433" spans="9:48" ht="15" customHeight="1" outlineLevel="1" x14ac:dyDescent="0.25">
      <c r="I433" s="769"/>
      <c r="J433" s="769"/>
      <c r="K433" s="769">
        <f t="shared" si="79"/>
        <v>0</v>
      </c>
      <c r="L433" s="769">
        <f t="shared" si="80"/>
        <v>0</v>
      </c>
      <c r="M433" s="769"/>
      <c r="N433" s="769"/>
      <c r="O433" s="769"/>
      <c r="P433" s="769"/>
      <c r="Q433" s="769"/>
      <c r="R433" s="769"/>
      <c r="U433" s="770"/>
      <c r="V433" s="771">
        <f t="shared" si="81"/>
        <v>0</v>
      </c>
      <c r="W433" s="771">
        <f t="shared" si="82"/>
        <v>0</v>
      </c>
      <c r="X433" t="str">
        <f t="shared" si="83"/>
        <v/>
      </c>
      <c r="Y433" t="str">
        <f t="shared" si="84"/>
        <v/>
      </c>
      <c r="AA433" s="769">
        <f t="shared" si="85"/>
        <v>0</v>
      </c>
      <c r="AB433" s="772">
        <f t="shared" si="86"/>
        <v>0</v>
      </c>
      <c r="AC433" s="769"/>
      <c r="AE433" s="769"/>
      <c r="AF433" s="769"/>
      <c r="AG433" s="769"/>
      <c r="AH433" s="769"/>
      <c r="AI433" s="769"/>
      <c r="AJ433" s="769"/>
      <c r="AK433" s="769"/>
      <c r="AL433" s="769"/>
      <c r="AM433" s="769"/>
      <c r="AN433" s="769"/>
      <c r="AO433" s="769"/>
      <c r="AP433" s="774">
        <f t="shared" si="87"/>
        <v>0</v>
      </c>
      <c r="AS433" s="771"/>
      <c r="AT433" t="str">
        <f t="array" ref="AT433">IF(E433&lt;&gt;"Occupied","",_xlfn.IFS(AND(ISNUMBER(AC433),AC433&lt;&gt;0),"Structured",ISNUMBER(SEARCH("/mo con",T433)),"Notes-parsed",ISNUMBER(SEARCH("step",T433)),"Step-up",ISNUMBER(SEARCH("swap",T433)),"Rate-swap",AND(ISNUMBER(I433),ISNUMBER(J433),I433&gt;J433),"Implied",TRUE(),""))</f>
        <v/>
      </c>
      <c r="AU433" s="769" t="str">
        <f t="shared" si="88"/>
        <v/>
      </c>
      <c r="AV433" s="775">
        <f t="shared" si="89"/>
        <v>0</v>
      </c>
    </row>
    <row r="434" spans="9:48" ht="15" customHeight="1" outlineLevel="1" x14ac:dyDescent="0.25">
      <c r="I434" s="769"/>
      <c r="J434" s="769"/>
      <c r="K434" s="769">
        <f t="shared" si="79"/>
        <v>0</v>
      </c>
      <c r="L434" s="769">
        <f t="shared" si="80"/>
        <v>0</v>
      </c>
      <c r="M434" s="769"/>
      <c r="N434" s="769"/>
      <c r="O434" s="769"/>
      <c r="P434" s="769"/>
      <c r="Q434" s="769"/>
      <c r="R434" s="769"/>
      <c r="U434" s="770"/>
      <c r="V434" s="771">
        <f t="shared" si="81"/>
        <v>0</v>
      </c>
      <c r="W434" s="771">
        <f t="shared" si="82"/>
        <v>0</v>
      </c>
      <c r="X434" t="str">
        <f t="shared" si="83"/>
        <v/>
      </c>
      <c r="Y434" t="str">
        <f t="shared" si="84"/>
        <v/>
      </c>
      <c r="AA434" s="769">
        <f t="shared" si="85"/>
        <v>0</v>
      </c>
      <c r="AB434" s="772">
        <f t="shared" si="86"/>
        <v>0</v>
      </c>
      <c r="AC434" s="769"/>
      <c r="AE434" s="769"/>
      <c r="AF434" s="769"/>
      <c r="AG434" s="769"/>
      <c r="AH434" s="769"/>
      <c r="AI434" s="769"/>
      <c r="AJ434" s="769"/>
      <c r="AK434" s="769"/>
      <c r="AL434" s="769"/>
      <c r="AM434" s="769"/>
      <c r="AN434" s="769"/>
      <c r="AO434" s="769"/>
      <c r="AP434" s="774">
        <f t="shared" si="87"/>
        <v>0</v>
      </c>
      <c r="AS434" s="771"/>
      <c r="AT434" t="str">
        <f t="array" ref="AT434">IF(E434&lt;&gt;"Occupied","",_xlfn.IFS(AND(ISNUMBER(AC434),AC434&lt;&gt;0),"Structured",ISNUMBER(SEARCH("/mo con",T434)),"Notes-parsed",ISNUMBER(SEARCH("step",T434)),"Step-up",ISNUMBER(SEARCH("swap",T434)),"Rate-swap",AND(ISNUMBER(I434),ISNUMBER(J434),I434&gt;J434),"Implied",TRUE(),""))</f>
        <v/>
      </c>
      <c r="AU434" s="769" t="str">
        <f t="shared" si="88"/>
        <v/>
      </c>
      <c r="AV434" s="775">
        <f t="shared" si="89"/>
        <v>0</v>
      </c>
    </row>
    <row r="435" spans="9:48" ht="15" customHeight="1" outlineLevel="1" x14ac:dyDescent="0.25">
      <c r="I435" s="769"/>
      <c r="J435" s="769"/>
      <c r="K435" s="769">
        <f t="shared" si="79"/>
        <v>0</v>
      </c>
      <c r="L435" s="769">
        <f t="shared" si="80"/>
        <v>0</v>
      </c>
      <c r="M435" s="769"/>
      <c r="N435" s="769"/>
      <c r="O435" s="769"/>
      <c r="P435" s="769"/>
      <c r="Q435" s="769"/>
      <c r="R435" s="769"/>
      <c r="U435" s="770"/>
      <c r="V435" s="771">
        <f t="shared" si="81"/>
        <v>0</v>
      </c>
      <c r="W435" s="771">
        <f t="shared" si="82"/>
        <v>0</v>
      </c>
      <c r="X435" t="str">
        <f t="shared" si="83"/>
        <v/>
      </c>
      <c r="Y435" t="str">
        <f t="shared" si="84"/>
        <v/>
      </c>
      <c r="AA435" s="769">
        <f t="shared" si="85"/>
        <v>0</v>
      </c>
      <c r="AB435" s="772">
        <f t="shared" si="86"/>
        <v>0</v>
      </c>
      <c r="AC435" s="769"/>
      <c r="AE435" s="769"/>
      <c r="AF435" s="769"/>
      <c r="AG435" s="769"/>
      <c r="AH435" s="769"/>
      <c r="AI435" s="769"/>
      <c r="AJ435" s="769"/>
      <c r="AK435" s="769"/>
      <c r="AL435" s="769"/>
      <c r="AM435" s="769"/>
      <c r="AN435" s="769"/>
      <c r="AO435" s="769"/>
      <c r="AP435" s="774">
        <f t="shared" si="87"/>
        <v>0</v>
      </c>
      <c r="AS435" s="771"/>
      <c r="AT435" t="str">
        <f t="array" ref="AT435">IF(E435&lt;&gt;"Occupied","",_xlfn.IFS(AND(ISNUMBER(AC435),AC435&lt;&gt;0),"Structured",ISNUMBER(SEARCH("/mo con",T435)),"Notes-parsed",ISNUMBER(SEARCH("step",T435)),"Step-up",ISNUMBER(SEARCH("swap",T435)),"Rate-swap",AND(ISNUMBER(I435),ISNUMBER(J435),I435&gt;J435),"Implied",TRUE(),""))</f>
        <v/>
      </c>
      <c r="AU435" s="769" t="str">
        <f t="shared" si="88"/>
        <v/>
      </c>
      <c r="AV435" s="775">
        <f t="shared" si="89"/>
        <v>0</v>
      </c>
    </row>
    <row r="436" spans="9:48" ht="15" customHeight="1" outlineLevel="1" x14ac:dyDescent="0.25">
      <c r="I436" s="769"/>
      <c r="J436" s="769"/>
      <c r="K436" s="769">
        <f t="shared" si="79"/>
        <v>0</v>
      </c>
      <c r="L436" s="769">
        <f t="shared" si="80"/>
        <v>0</v>
      </c>
      <c r="M436" s="769"/>
      <c r="N436" s="769"/>
      <c r="O436" s="769"/>
      <c r="P436" s="769"/>
      <c r="Q436" s="769"/>
      <c r="R436" s="769"/>
      <c r="U436" s="770"/>
      <c r="V436" s="771">
        <f t="shared" si="81"/>
        <v>0</v>
      </c>
      <c r="W436" s="771">
        <f t="shared" si="82"/>
        <v>0</v>
      </c>
      <c r="X436" t="str">
        <f t="shared" si="83"/>
        <v/>
      </c>
      <c r="Y436" t="str">
        <f t="shared" si="84"/>
        <v/>
      </c>
      <c r="AA436" s="769">
        <f t="shared" si="85"/>
        <v>0</v>
      </c>
      <c r="AB436" s="772">
        <f t="shared" si="86"/>
        <v>0</v>
      </c>
      <c r="AC436" s="769"/>
      <c r="AE436" s="769"/>
      <c r="AF436" s="769"/>
      <c r="AG436" s="769"/>
      <c r="AH436" s="769"/>
      <c r="AI436" s="769"/>
      <c r="AJ436" s="769"/>
      <c r="AK436" s="769"/>
      <c r="AL436" s="769"/>
      <c r="AM436" s="769"/>
      <c r="AN436" s="769"/>
      <c r="AO436" s="769"/>
      <c r="AP436" s="774">
        <f t="shared" si="87"/>
        <v>0</v>
      </c>
      <c r="AS436" s="771"/>
      <c r="AT436" t="str">
        <f t="array" ref="AT436">IF(E436&lt;&gt;"Occupied","",_xlfn.IFS(AND(ISNUMBER(AC436),AC436&lt;&gt;0),"Structured",ISNUMBER(SEARCH("/mo con",T436)),"Notes-parsed",ISNUMBER(SEARCH("step",T436)),"Step-up",ISNUMBER(SEARCH("swap",T436)),"Rate-swap",AND(ISNUMBER(I436),ISNUMBER(J436),I436&gt;J436),"Implied",TRUE(),""))</f>
        <v/>
      </c>
      <c r="AU436" s="769" t="str">
        <f t="shared" si="88"/>
        <v/>
      </c>
      <c r="AV436" s="775">
        <f t="shared" si="89"/>
        <v>0</v>
      </c>
    </row>
    <row r="437" spans="9:48" ht="15" customHeight="1" outlineLevel="1" x14ac:dyDescent="0.25">
      <c r="I437" s="769"/>
      <c r="J437" s="769"/>
      <c r="K437" s="769">
        <f t="shared" si="79"/>
        <v>0</v>
      </c>
      <c r="L437" s="769">
        <f t="shared" si="80"/>
        <v>0</v>
      </c>
      <c r="M437" s="769"/>
      <c r="N437" s="769"/>
      <c r="O437" s="769"/>
      <c r="P437" s="769"/>
      <c r="Q437" s="769"/>
      <c r="R437" s="769"/>
      <c r="U437" s="770"/>
      <c r="V437" s="771">
        <f t="shared" si="81"/>
        <v>0</v>
      </c>
      <c r="W437" s="771">
        <f t="shared" si="82"/>
        <v>0</v>
      </c>
      <c r="X437" t="str">
        <f t="shared" si="83"/>
        <v/>
      </c>
      <c r="Y437" t="str">
        <f t="shared" si="84"/>
        <v/>
      </c>
      <c r="AA437" s="769">
        <f t="shared" si="85"/>
        <v>0</v>
      </c>
      <c r="AB437" s="772">
        <f t="shared" si="86"/>
        <v>0</v>
      </c>
      <c r="AC437" s="769"/>
      <c r="AE437" s="769"/>
      <c r="AF437" s="769"/>
      <c r="AG437" s="769"/>
      <c r="AH437" s="769"/>
      <c r="AI437" s="769"/>
      <c r="AJ437" s="769"/>
      <c r="AK437" s="769"/>
      <c r="AL437" s="769"/>
      <c r="AM437" s="769"/>
      <c r="AN437" s="769"/>
      <c r="AO437" s="769"/>
      <c r="AP437" s="774">
        <f t="shared" si="87"/>
        <v>0</v>
      </c>
      <c r="AS437" s="771"/>
      <c r="AT437" t="str">
        <f t="array" ref="AT437">IF(E437&lt;&gt;"Occupied","",_xlfn.IFS(AND(ISNUMBER(AC437),AC437&lt;&gt;0),"Structured",ISNUMBER(SEARCH("/mo con",T437)),"Notes-parsed",ISNUMBER(SEARCH("step",T437)),"Step-up",ISNUMBER(SEARCH("swap",T437)),"Rate-swap",AND(ISNUMBER(I437),ISNUMBER(J437),I437&gt;J437),"Implied",TRUE(),""))</f>
        <v/>
      </c>
      <c r="AU437" s="769" t="str">
        <f t="shared" si="88"/>
        <v/>
      </c>
      <c r="AV437" s="775">
        <f t="shared" si="89"/>
        <v>0</v>
      </c>
    </row>
    <row r="438" spans="9:48" ht="15" customHeight="1" outlineLevel="1" x14ac:dyDescent="0.25">
      <c r="I438" s="769"/>
      <c r="J438" s="769"/>
      <c r="K438" s="769">
        <f t="shared" si="79"/>
        <v>0</v>
      </c>
      <c r="L438" s="769">
        <f t="shared" si="80"/>
        <v>0</v>
      </c>
      <c r="M438" s="769"/>
      <c r="N438" s="769"/>
      <c r="O438" s="769"/>
      <c r="P438" s="769"/>
      <c r="Q438" s="769"/>
      <c r="R438" s="769"/>
      <c r="U438" s="770"/>
      <c r="V438" s="771">
        <f t="shared" si="81"/>
        <v>0</v>
      </c>
      <c r="W438" s="771">
        <f t="shared" si="82"/>
        <v>0</v>
      </c>
      <c r="X438" t="str">
        <f t="shared" si="83"/>
        <v/>
      </c>
      <c r="Y438" t="str">
        <f t="shared" si="84"/>
        <v/>
      </c>
      <c r="AA438" s="769">
        <f t="shared" si="85"/>
        <v>0</v>
      </c>
      <c r="AB438" s="772">
        <f t="shared" si="86"/>
        <v>0</v>
      </c>
      <c r="AC438" s="769"/>
      <c r="AE438" s="769"/>
      <c r="AF438" s="769"/>
      <c r="AG438" s="769"/>
      <c r="AH438" s="769"/>
      <c r="AI438" s="769"/>
      <c r="AJ438" s="769"/>
      <c r="AK438" s="769"/>
      <c r="AL438" s="769"/>
      <c r="AM438" s="769"/>
      <c r="AN438" s="769"/>
      <c r="AO438" s="769"/>
      <c r="AP438" s="774">
        <f t="shared" si="87"/>
        <v>0</v>
      </c>
      <c r="AS438" s="771"/>
      <c r="AT438" t="str">
        <f t="array" ref="AT438">IF(E438&lt;&gt;"Occupied","",_xlfn.IFS(AND(ISNUMBER(AC438),AC438&lt;&gt;0),"Structured",ISNUMBER(SEARCH("/mo con",T438)),"Notes-parsed",ISNUMBER(SEARCH("step",T438)),"Step-up",ISNUMBER(SEARCH("swap",T438)),"Rate-swap",AND(ISNUMBER(I438),ISNUMBER(J438),I438&gt;J438),"Implied",TRUE(),""))</f>
        <v/>
      </c>
      <c r="AU438" s="769" t="str">
        <f t="shared" si="88"/>
        <v/>
      </c>
      <c r="AV438" s="775">
        <f t="shared" si="89"/>
        <v>0</v>
      </c>
    </row>
    <row r="439" spans="9:48" ht="15" customHeight="1" outlineLevel="1" x14ac:dyDescent="0.25">
      <c r="I439" s="769"/>
      <c r="J439" s="769"/>
      <c r="K439" s="769">
        <f t="shared" si="79"/>
        <v>0</v>
      </c>
      <c r="L439" s="769">
        <f t="shared" si="80"/>
        <v>0</v>
      </c>
      <c r="M439" s="769"/>
      <c r="N439" s="769"/>
      <c r="O439" s="769"/>
      <c r="P439" s="769"/>
      <c r="Q439" s="769"/>
      <c r="R439" s="769"/>
      <c r="U439" s="770"/>
      <c r="V439" s="771">
        <f t="shared" si="81"/>
        <v>0</v>
      </c>
      <c r="W439" s="771">
        <f t="shared" si="82"/>
        <v>0</v>
      </c>
      <c r="X439" t="str">
        <f t="shared" si="83"/>
        <v/>
      </c>
      <c r="Y439" t="str">
        <f t="shared" si="84"/>
        <v/>
      </c>
      <c r="AA439" s="769">
        <f t="shared" si="85"/>
        <v>0</v>
      </c>
      <c r="AB439" s="772">
        <f t="shared" si="86"/>
        <v>0</v>
      </c>
      <c r="AC439" s="769"/>
      <c r="AE439" s="769"/>
      <c r="AF439" s="769"/>
      <c r="AG439" s="769"/>
      <c r="AH439" s="769"/>
      <c r="AI439" s="769"/>
      <c r="AJ439" s="769"/>
      <c r="AK439" s="769"/>
      <c r="AL439" s="769"/>
      <c r="AM439" s="769"/>
      <c r="AN439" s="769"/>
      <c r="AO439" s="769"/>
      <c r="AP439" s="774">
        <f t="shared" si="87"/>
        <v>0</v>
      </c>
      <c r="AS439" s="771"/>
      <c r="AT439" t="str">
        <f t="array" ref="AT439">IF(E439&lt;&gt;"Occupied","",_xlfn.IFS(AND(ISNUMBER(AC439),AC439&lt;&gt;0),"Structured",ISNUMBER(SEARCH("/mo con",T439)),"Notes-parsed",ISNUMBER(SEARCH("step",T439)),"Step-up",ISNUMBER(SEARCH("swap",T439)),"Rate-swap",AND(ISNUMBER(I439),ISNUMBER(J439),I439&gt;J439),"Implied",TRUE(),""))</f>
        <v/>
      </c>
      <c r="AU439" s="769" t="str">
        <f t="shared" si="88"/>
        <v/>
      </c>
      <c r="AV439" s="775">
        <f t="shared" si="89"/>
        <v>0</v>
      </c>
    </row>
    <row r="440" spans="9:48" ht="15" customHeight="1" outlineLevel="1" x14ac:dyDescent="0.25">
      <c r="I440" s="769"/>
      <c r="J440" s="769"/>
      <c r="K440" s="769">
        <f t="shared" si="79"/>
        <v>0</v>
      </c>
      <c r="L440" s="769">
        <f t="shared" si="80"/>
        <v>0</v>
      </c>
      <c r="M440" s="769"/>
      <c r="N440" s="769"/>
      <c r="O440" s="769"/>
      <c r="P440" s="769"/>
      <c r="Q440" s="769"/>
      <c r="R440" s="769"/>
      <c r="U440" s="770"/>
      <c r="V440" s="771">
        <f t="shared" si="81"/>
        <v>0</v>
      </c>
      <c r="W440" s="771">
        <f t="shared" si="82"/>
        <v>0</v>
      </c>
      <c r="X440" t="str">
        <f t="shared" si="83"/>
        <v/>
      </c>
      <c r="Y440" t="str">
        <f t="shared" si="84"/>
        <v/>
      </c>
      <c r="AA440" s="769">
        <f t="shared" si="85"/>
        <v>0</v>
      </c>
      <c r="AB440" s="772">
        <f t="shared" si="86"/>
        <v>0</v>
      </c>
      <c r="AC440" s="769"/>
      <c r="AE440" s="769"/>
      <c r="AF440" s="769"/>
      <c r="AG440" s="769"/>
      <c r="AH440" s="769"/>
      <c r="AI440" s="769"/>
      <c r="AJ440" s="769"/>
      <c r="AK440" s="769"/>
      <c r="AL440" s="769"/>
      <c r="AM440" s="769"/>
      <c r="AN440" s="769"/>
      <c r="AO440" s="769"/>
      <c r="AP440" s="774">
        <f t="shared" si="87"/>
        <v>0</v>
      </c>
      <c r="AS440" s="771"/>
      <c r="AT440" t="str">
        <f t="array" ref="AT440">IF(E440&lt;&gt;"Occupied","",_xlfn.IFS(AND(ISNUMBER(AC440),AC440&lt;&gt;0),"Structured",ISNUMBER(SEARCH("/mo con",T440)),"Notes-parsed",ISNUMBER(SEARCH("step",T440)),"Step-up",ISNUMBER(SEARCH("swap",T440)),"Rate-swap",AND(ISNUMBER(I440),ISNUMBER(J440),I440&gt;J440),"Implied",TRUE(),""))</f>
        <v/>
      </c>
      <c r="AU440" s="769" t="str">
        <f t="shared" si="88"/>
        <v/>
      </c>
      <c r="AV440" s="775">
        <f t="shared" si="89"/>
        <v>0</v>
      </c>
    </row>
    <row r="441" spans="9:48" ht="15" customHeight="1" outlineLevel="1" x14ac:dyDescent="0.25">
      <c r="I441" s="769"/>
      <c r="J441" s="769"/>
      <c r="K441" s="769">
        <f t="shared" si="79"/>
        <v>0</v>
      </c>
      <c r="L441" s="769">
        <f t="shared" si="80"/>
        <v>0</v>
      </c>
      <c r="M441" s="769"/>
      <c r="N441" s="769"/>
      <c r="O441" s="769"/>
      <c r="P441" s="769"/>
      <c r="Q441" s="769"/>
      <c r="R441" s="769"/>
      <c r="U441" s="770"/>
      <c r="V441" s="771">
        <f t="shared" si="81"/>
        <v>0</v>
      </c>
      <c r="W441" s="771">
        <f t="shared" si="82"/>
        <v>0</v>
      </c>
      <c r="X441" t="str">
        <f t="shared" si="83"/>
        <v/>
      </c>
      <c r="Y441" t="str">
        <f t="shared" si="84"/>
        <v/>
      </c>
      <c r="AA441" s="769">
        <f t="shared" si="85"/>
        <v>0</v>
      </c>
      <c r="AB441" s="772">
        <f t="shared" si="86"/>
        <v>0</v>
      </c>
      <c r="AC441" s="769"/>
      <c r="AE441" s="769"/>
      <c r="AF441" s="769"/>
      <c r="AG441" s="769"/>
      <c r="AH441" s="769"/>
      <c r="AI441" s="769"/>
      <c r="AJ441" s="769"/>
      <c r="AK441" s="769"/>
      <c r="AL441" s="769"/>
      <c r="AM441" s="769"/>
      <c r="AN441" s="769"/>
      <c r="AO441" s="769"/>
      <c r="AP441" s="774">
        <f t="shared" si="87"/>
        <v>0</v>
      </c>
      <c r="AS441" s="771"/>
      <c r="AT441" t="str">
        <f t="array" ref="AT441">IF(E441&lt;&gt;"Occupied","",_xlfn.IFS(AND(ISNUMBER(AC441),AC441&lt;&gt;0),"Structured",ISNUMBER(SEARCH("/mo con",T441)),"Notes-parsed",ISNUMBER(SEARCH("step",T441)),"Step-up",ISNUMBER(SEARCH("swap",T441)),"Rate-swap",AND(ISNUMBER(I441),ISNUMBER(J441),I441&gt;J441),"Implied",TRUE(),""))</f>
        <v/>
      </c>
      <c r="AU441" s="769" t="str">
        <f t="shared" si="88"/>
        <v/>
      </c>
      <c r="AV441" s="775">
        <f t="shared" si="89"/>
        <v>0</v>
      </c>
    </row>
    <row r="442" spans="9:48" ht="15" customHeight="1" outlineLevel="1" x14ac:dyDescent="0.25">
      <c r="I442" s="769"/>
      <c r="J442" s="769"/>
      <c r="K442" s="769">
        <f t="shared" si="79"/>
        <v>0</v>
      </c>
      <c r="L442" s="769">
        <f t="shared" si="80"/>
        <v>0</v>
      </c>
      <c r="M442" s="769"/>
      <c r="N442" s="769"/>
      <c r="O442" s="769"/>
      <c r="P442" s="769"/>
      <c r="Q442" s="769"/>
      <c r="R442" s="769"/>
      <c r="U442" s="770"/>
      <c r="V442" s="771">
        <f t="shared" si="81"/>
        <v>0</v>
      </c>
      <c r="W442" s="771">
        <f t="shared" si="82"/>
        <v>0</v>
      </c>
      <c r="X442" t="str">
        <f t="shared" si="83"/>
        <v/>
      </c>
      <c r="Y442" t="str">
        <f t="shared" si="84"/>
        <v/>
      </c>
      <c r="AA442" s="769">
        <f t="shared" si="85"/>
        <v>0</v>
      </c>
      <c r="AB442" s="772">
        <f t="shared" si="86"/>
        <v>0</v>
      </c>
      <c r="AC442" s="769"/>
      <c r="AE442" s="769"/>
      <c r="AF442" s="769"/>
      <c r="AG442" s="769"/>
      <c r="AH442" s="769"/>
      <c r="AI442" s="769"/>
      <c r="AJ442" s="769"/>
      <c r="AK442" s="769"/>
      <c r="AL442" s="769"/>
      <c r="AM442" s="769"/>
      <c r="AN442" s="769"/>
      <c r="AO442" s="769"/>
      <c r="AP442" s="774">
        <f t="shared" si="87"/>
        <v>0</v>
      </c>
      <c r="AS442" s="771"/>
      <c r="AT442" t="str">
        <f t="array" ref="AT442">IF(E442&lt;&gt;"Occupied","",_xlfn.IFS(AND(ISNUMBER(AC442),AC442&lt;&gt;0),"Structured",ISNUMBER(SEARCH("/mo con",T442)),"Notes-parsed",ISNUMBER(SEARCH("step",T442)),"Step-up",ISNUMBER(SEARCH("swap",T442)),"Rate-swap",AND(ISNUMBER(I442),ISNUMBER(J442),I442&gt;J442),"Implied",TRUE(),""))</f>
        <v/>
      </c>
      <c r="AU442" s="769" t="str">
        <f t="shared" si="88"/>
        <v/>
      </c>
      <c r="AV442" s="775">
        <f t="shared" si="89"/>
        <v>0</v>
      </c>
    </row>
    <row r="443" spans="9:48" ht="15" customHeight="1" outlineLevel="1" x14ac:dyDescent="0.25">
      <c r="I443" s="769"/>
      <c r="J443" s="769"/>
      <c r="K443" s="769">
        <f t="shared" si="79"/>
        <v>0</v>
      </c>
      <c r="L443" s="769">
        <f t="shared" si="80"/>
        <v>0</v>
      </c>
      <c r="M443" s="769"/>
      <c r="N443" s="769"/>
      <c r="O443" s="769"/>
      <c r="P443" s="769"/>
      <c r="Q443" s="769"/>
      <c r="R443" s="769"/>
      <c r="U443" s="770"/>
      <c r="V443" s="771">
        <f t="shared" si="81"/>
        <v>0</v>
      </c>
      <c r="W443" s="771">
        <f t="shared" si="82"/>
        <v>0</v>
      </c>
      <c r="X443" t="str">
        <f t="shared" si="83"/>
        <v/>
      </c>
      <c r="Y443" t="str">
        <f t="shared" si="84"/>
        <v/>
      </c>
      <c r="AA443" s="769">
        <f t="shared" si="85"/>
        <v>0</v>
      </c>
      <c r="AB443" s="772">
        <f t="shared" si="86"/>
        <v>0</v>
      </c>
      <c r="AC443" s="769"/>
      <c r="AE443" s="769"/>
      <c r="AF443" s="769"/>
      <c r="AG443" s="769"/>
      <c r="AH443" s="769"/>
      <c r="AI443" s="769"/>
      <c r="AJ443" s="769"/>
      <c r="AK443" s="769"/>
      <c r="AL443" s="769"/>
      <c r="AM443" s="769"/>
      <c r="AN443" s="769"/>
      <c r="AO443" s="769"/>
      <c r="AP443" s="774">
        <f t="shared" si="87"/>
        <v>0</v>
      </c>
      <c r="AS443" s="771"/>
      <c r="AT443" t="str">
        <f t="array" ref="AT443">IF(E443&lt;&gt;"Occupied","",_xlfn.IFS(AND(ISNUMBER(AC443),AC443&lt;&gt;0),"Structured",ISNUMBER(SEARCH("/mo con",T443)),"Notes-parsed",ISNUMBER(SEARCH("step",T443)),"Step-up",ISNUMBER(SEARCH("swap",T443)),"Rate-swap",AND(ISNUMBER(I443),ISNUMBER(J443),I443&gt;J443),"Implied",TRUE(),""))</f>
        <v/>
      </c>
      <c r="AU443" s="769" t="str">
        <f t="shared" si="88"/>
        <v/>
      </c>
      <c r="AV443" s="775">
        <f t="shared" si="89"/>
        <v>0</v>
      </c>
    </row>
    <row r="444" spans="9:48" ht="15" customHeight="1" outlineLevel="1" x14ac:dyDescent="0.25">
      <c r="I444" s="769"/>
      <c r="J444" s="769"/>
      <c r="K444" s="769">
        <f t="shared" si="79"/>
        <v>0</v>
      </c>
      <c r="L444" s="769">
        <f t="shared" si="80"/>
        <v>0</v>
      </c>
      <c r="M444" s="769"/>
      <c r="N444" s="769"/>
      <c r="O444" s="769"/>
      <c r="P444" s="769"/>
      <c r="Q444" s="769"/>
      <c r="R444" s="769"/>
      <c r="U444" s="770"/>
      <c r="V444" s="771">
        <f t="shared" si="81"/>
        <v>0</v>
      </c>
      <c r="W444" s="771">
        <f t="shared" si="82"/>
        <v>0</v>
      </c>
      <c r="X444" t="str">
        <f t="shared" si="83"/>
        <v/>
      </c>
      <c r="Y444" t="str">
        <f t="shared" si="84"/>
        <v/>
      </c>
      <c r="AA444" s="769">
        <f t="shared" si="85"/>
        <v>0</v>
      </c>
      <c r="AB444" s="772">
        <f t="shared" si="86"/>
        <v>0</v>
      </c>
      <c r="AC444" s="769"/>
      <c r="AE444" s="769"/>
      <c r="AF444" s="769"/>
      <c r="AG444" s="769"/>
      <c r="AH444" s="769"/>
      <c r="AI444" s="769"/>
      <c r="AJ444" s="769"/>
      <c r="AK444" s="769"/>
      <c r="AL444" s="769"/>
      <c r="AM444" s="769"/>
      <c r="AN444" s="769"/>
      <c r="AO444" s="769"/>
      <c r="AP444" s="774">
        <f t="shared" si="87"/>
        <v>0</v>
      </c>
      <c r="AS444" s="771"/>
      <c r="AT444" t="str">
        <f t="array" ref="AT444">IF(E444&lt;&gt;"Occupied","",_xlfn.IFS(AND(ISNUMBER(AC444),AC444&lt;&gt;0),"Structured",ISNUMBER(SEARCH("/mo con",T444)),"Notes-parsed",ISNUMBER(SEARCH("step",T444)),"Step-up",ISNUMBER(SEARCH("swap",T444)),"Rate-swap",AND(ISNUMBER(I444),ISNUMBER(J444),I444&gt;J444),"Implied",TRUE(),""))</f>
        <v/>
      </c>
      <c r="AU444" s="769" t="str">
        <f t="shared" si="88"/>
        <v/>
      </c>
      <c r="AV444" s="775">
        <f t="shared" si="89"/>
        <v>0</v>
      </c>
    </row>
    <row r="445" spans="9:48" ht="15" customHeight="1" outlineLevel="1" x14ac:dyDescent="0.25">
      <c r="I445" s="769"/>
      <c r="J445" s="769"/>
      <c r="K445" s="769">
        <f t="shared" si="79"/>
        <v>0</v>
      </c>
      <c r="L445" s="769">
        <f t="shared" si="80"/>
        <v>0</v>
      </c>
      <c r="M445" s="769"/>
      <c r="N445" s="769"/>
      <c r="O445" s="769"/>
      <c r="P445" s="769"/>
      <c r="Q445" s="769"/>
      <c r="R445" s="769"/>
      <c r="U445" s="770"/>
      <c r="V445" s="771">
        <f t="shared" si="81"/>
        <v>0</v>
      </c>
      <c r="W445" s="771">
        <f t="shared" si="82"/>
        <v>0</v>
      </c>
      <c r="X445" t="str">
        <f t="shared" si="83"/>
        <v/>
      </c>
      <c r="Y445" t="str">
        <f t="shared" si="84"/>
        <v/>
      </c>
      <c r="AA445" s="769">
        <f t="shared" si="85"/>
        <v>0</v>
      </c>
      <c r="AB445" s="772">
        <f t="shared" si="86"/>
        <v>0</v>
      </c>
      <c r="AC445" s="769"/>
      <c r="AE445" s="769"/>
      <c r="AF445" s="769"/>
      <c r="AG445" s="769"/>
      <c r="AH445" s="769"/>
      <c r="AI445" s="769"/>
      <c r="AJ445" s="769"/>
      <c r="AK445" s="769"/>
      <c r="AL445" s="769"/>
      <c r="AM445" s="769"/>
      <c r="AN445" s="769"/>
      <c r="AO445" s="769"/>
      <c r="AP445" s="774">
        <f t="shared" si="87"/>
        <v>0</v>
      </c>
      <c r="AS445" s="771"/>
      <c r="AT445" t="str">
        <f t="array" ref="AT445">IF(E445&lt;&gt;"Occupied","",_xlfn.IFS(AND(ISNUMBER(AC445),AC445&lt;&gt;0),"Structured",ISNUMBER(SEARCH("/mo con",T445)),"Notes-parsed",ISNUMBER(SEARCH("step",T445)),"Step-up",ISNUMBER(SEARCH("swap",T445)),"Rate-swap",AND(ISNUMBER(I445),ISNUMBER(J445),I445&gt;J445),"Implied",TRUE(),""))</f>
        <v/>
      </c>
      <c r="AU445" s="769" t="str">
        <f t="shared" si="88"/>
        <v/>
      </c>
      <c r="AV445" s="775">
        <f t="shared" si="89"/>
        <v>0</v>
      </c>
    </row>
    <row r="446" spans="9:48" ht="15" customHeight="1" outlineLevel="1" x14ac:dyDescent="0.25">
      <c r="I446" s="769"/>
      <c r="J446" s="769"/>
      <c r="K446" s="769">
        <f t="shared" si="79"/>
        <v>0</v>
      </c>
      <c r="L446" s="769">
        <f t="shared" si="80"/>
        <v>0</v>
      </c>
      <c r="M446" s="769"/>
      <c r="N446" s="769"/>
      <c r="O446" s="769"/>
      <c r="P446" s="769"/>
      <c r="Q446" s="769"/>
      <c r="R446" s="769"/>
      <c r="U446" s="770"/>
      <c r="V446" s="771">
        <f t="shared" si="81"/>
        <v>0</v>
      </c>
      <c r="W446" s="771">
        <f t="shared" si="82"/>
        <v>0</v>
      </c>
      <c r="X446" t="str">
        <f t="shared" si="83"/>
        <v/>
      </c>
      <c r="Y446" t="str">
        <f t="shared" si="84"/>
        <v/>
      </c>
      <c r="AA446" s="769">
        <f t="shared" si="85"/>
        <v>0</v>
      </c>
      <c r="AB446" s="772">
        <f t="shared" si="86"/>
        <v>0</v>
      </c>
      <c r="AC446" s="769"/>
      <c r="AE446" s="769"/>
      <c r="AF446" s="769"/>
      <c r="AG446" s="769"/>
      <c r="AH446" s="769"/>
      <c r="AI446" s="769"/>
      <c r="AJ446" s="769"/>
      <c r="AK446" s="769"/>
      <c r="AL446" s="769"/>
      <c r="AM446" s="769"/>
      <c r="AN446" s="769"/>
      <c r="AO446" s="769"/>
      <c r="AP446" s="774">
        <f t="shared" si="87"/>
        <v>0</v>
      </c>
      <c r="AS446" s="771"/>
      <c r="AT446" t="str">
        <f t="array" ref="AT446">IF(E446&lt;&gt;"Occupied","",_xlfn.IFS(AND(ISNUMBER(AC446),AC446&lt;&gt;0),"Structured",ISNUMBER(SEARCH("/mo con",T446)),"Notes-parsed",ISNUMBER(SEARCH("step",T446)),"Step-up",ISNUMBER(SEARCH("swap",T446)),"Rate-swap",AND(ISNUMBER(I446),ISNUMBER(J446),I446&gt;J446),"Implied",TRUE(),""))</f>
        <v/>
      </c>
      <c r="AU446" s="769" t="str">
        <f t="shared" si="88"/>
        <v/>
      </c>
      <c r="AV446" s="775">
        <f t="shared" si="89"/>
        <v>0</v>
      </c>
    </row>
    <row r="447" spans="9:48" ht="15" customHeight="1" outlineLevel="1" x14ac:dyDescent="0.25">
      <c r="I447" s="769"/>
      <c r="J447" s="769"/>
      <c r="K447" s="769">
        <f t="shared" si="79"/>
        <v>0</v>
      </c>
      <c r="L447" s="769">
        <f t="shared" si="80"/>
        <v>0</v>
      </c>
      <c r="M447" s="769"/>
      <c r="N447" s="769"/>
      <c r="O447" s="769"/>
      <c r="P447" s="769"/>
      <c r="Q447" s="769"/>
      <c r="R447" s="769"/>
      <c r="U447" s="770"/>
      <c r="V447" s="771">
        <f t="shared" si="81"/>
        <v>0</v>
      </c>
      <c r="W447" s="771">
        <f t="shared" si="82"/>
        <v>0</v>
      </c>
      <c r="X447" t="str">
        <f t="shared" si="83"/>
        <v/>
      </c>
      <c r="Y447" t="str">
        <f t="shared" si="84"/>
        <v/>
      </c>
      <c r="AA447" s="769">
        <f t="shared" si="85"/>
        <v>0</v>
      </c>
      <c r="AB447" s="772">
        <f t="shared" si="86"/>
        <v>0</v>
      </c>
      <c r="AC447" s="769"/>
      <c r="AE447" s="769"/>
      <c r="AF447" s="769"/>
      <c r="AG447" s="769"/>
      <c r="AH447" s="769"/>
      <c r="AI447" s="769"/>
      <c r="AJ447" s="769"/>
      <c r="AK447" s="769"/>
      <c r="AL447" s="769"/>
      <c r="AM447" s="769"/>
      <c r="AN447" s="769"/>
      <c r="AO447" s="769"/>
      <c r="AP447" s="774">
        <f t="shared" si="87"/>
        <v>0</v>
      </c>
      <c r="AS447" s="771"/>
      <c r="AT447" t="str">
        <f t="array" ref="AT447">IF(E447&lt;&gt;"Occupied","",_xlfn.IFS(AND(ISNUMBER(AC447),AC447&lt;&gt;0),"Structured",ISNUMBER(SEARCH("/mo con",T447)),"Notes-parsed",ISNUMBER(SEARCH("step",T447)),"Step-up",ISNUMBER(SEARCH("swap",T447)),"Rate-swap",AND(ISNUMBER(I447),ISNUMBER(J447),I447&gt;J447),"Implied",TRUE(),""))</f>
        <v/>
      </c>
      <c r="AU447" s="769" t="str">
        <f t="shared" si="88"/>
        <v/>
      </c>
      <c r="AV447" s="775">
        <f t="shared" si="89"/>
        <v>0</v>
      </c>
    </row>
    <row r="448" spans="9:48" ht="15" customHeight="1" outlineLevel="1" x14ac:dyDescent="0.25">
      <c r="I448" s="769"/>
      <c r="J448" s="769"/>
      <c r="K448" s="769">
        <f t="shared" si="79"/>
        <v>0</v>
      </c>
      <c r="L448" s="769">
        <f t="shared" si="80"/>
        <v>0</v>
      </c>
      <c r="M448" s="769"/>
      <c r="N448" s="769"/>
      <c r="O448" s="769"/>
      <c r="P448" s="769"/>
      <c r="Q448" s="769"/>
      <c r="R448" s="769"/>
      <c r="U448" s="770"/>
      <c r="V448" s="771">
        <f t="shared" si="81"/>
        <v>0</v>
      </c>
      <c r="W448" s="771">
        <f t="shared" si="82"/>
        <v>0</v>
      </c>
      <c r="X448" t="str">
        <f t="shared" si="83"/>
        <v/>
      </c>
      <c r="Y448" t="str">
        <f t="shared" si="84"/>
        <v/>
      </c>
      <c r="AA448" s="769">
        <f t="shared" si="85"/>
        <v>0</v>
      </c>
      <c r="AB448" s="772">
        <f t="shared" si="86"/>
        <v>0</v>
      </c>
      <c r="AC448" s="769"/>
      <c r="AE448" s="769"/>
      <c r="AF448" s="769"/>
      <c r="AG448" s="769"/>
      <c r="AH448" s="769"/>
      <c r="AI448" s="769"/>
      <c r="AJ448" s="769"/>
      <c r="AK448" s="769"/>
      <c r="AL448" s="769"/>
      <c r="AM448" s="769"/>
      <c r="AN448" s="769"/>
      <c r="AO448" s="769"/>
      <c r="AP448" s="774">
        <f t="shared" si="87"/>
        <v>0</v>
      </c>
      <c r="AS448" s="771"/>
      <c r="AT448" t="str">
        <f t="array" ref="AT448">IF(E448&lt;&gt;"Occupied","",_xlfn.IFS(AND(ISNUMBER(AC448),AC448&lt;&gt;0),"Structured",ISNUMBER(SEARCH("/mo con",T448)),"Notes-parsed",ISNUMBER(SEARCH("step",T448)),"Step-up",ISNUMBER(SEARCH("swap",T448)),"Rate-swap",AND(ISNUMBER(I448),ISNUMBER(J448),I448&gt;J448),"Implied",TRUE(),""))</f>
        <v/>
      </c>
      <c r="AU448" s="769" t="str">
        <f t="shared" si="88"/>
        <v/>
      </c>
      <c r="AV448" s="775">
        <f t="shared" si="89"/>
        <v>0</v>
      </c>
    </row>
    <row r="449" spans="9:48" ht="15" customHeight="1" outlineLevel="1" x14ac:dyDescent="0.25">
      <c r="I449" s="769"/>
      <c r="J449" s="769"/>
      <c r="K449" s="769">
        <f t="shared" si="79"/>
        <v>0</v>
      </c>
      <c r="L449" s="769">
        <f t="shared" si="80"/>
        <v>0</v>
      </c>
      <c r="M449" s="769"/>
      <c r="N449" s="769"/>
      <c r="O449" s="769"/>
      <c r="P449" s="769"/>
      <c r="Q449" s="769"/>
      <c r="R449" s="769"/>
      <c r="U449" s="770"/>
      <c r="V449" s="771">
        <f t="shared" si="81"/>
        <v>0</v>
      </c>
      <c r="W449" s="771">
        <f t="shared" si="82"/>
        <v>0</v>
      </c>
      <c r="X449" t="str">
        <f t="shared" si="83"/>
        <v/>
      </c>
      <c r="Y449" t="str">
        <f t="shared" si="84"/>
        <v/>
      </c>
      <c r="AA449" s="769">
        <f t="shared" si="85"/>
        <v>0</v>
      </c>
      <c r="AB449" s="772">
        <f t="shared" si="86"/>
        <v>0</v>
      </c>
      <c r="AC449" s="769"/>
      <c r="AE449" s="769"/>
      <c r="AF449" s="769"/>
      <c r="AG449" s="769"/>
      <c r="AH449" s="769"/>
      <c r="AI449" s="769"/>
      <c r="AJ449" s="769"/>
      <c r="AK449" s="769"/>
      <c r="AL449" s="769"/>
      <c r="AM449" s="769"/>
      <c r="AN449" s="769"/>
      <c r="AO449" s="769"/>
      <c r="AP449" s="774">
        <f t="shared" si="87"/>
        <v>0</v>
      </c>
      <c r="AS449" s="771"/>
      <c r="AT449" t="str">
        <f t="array" ref="AT449">IF(E449&lt;&gt;"Occupied","",_xlfn.IFS(AND(ISNUMBER(AC449),AC449&lt;&gt;0),"Structured",ISNUMBER(SEARCH("/mo con",T449)),"Notes-parsed",ISNUMBER(SEARCH("step",T449)),"Step-up",ISNUMBER(SEARCH("swap",T449)),"Rate-swap",AND(ISNUMBER(I449),ISNUMBER(J449),I449&gt;J449),"Implied",TRUE(),""))</f>
        <v/>
      </c>
      <c r="AU449" s="769" t="str">
        <f t="shared" si="88"/>
        <v/>
      </c>
      <c r="AV449" s="775">
        <f t="shared" si="89"/>
        <v>0</v>
      </c>
    </row>
    <row r="450" spans="9:48" ht="15" customHeight="1" outlineLevel="1" x14ac:dyDescent="0.25">
      <c r="I450" s="769"/>
      <c r="J450" s="769"/>
      <c r="K450" s="769">
        <f t="shared" si="79"/>
        <v>0</v>
      </c>
      <c r="L450" s="769">
        <f t="shared" si="80"/>
        <v>0</v>
      </c>
      <c r="M450" s="769"/>
      <c r="N450" s="769"/>
      <c r="O450" s="769"/>
      <c r="P450" s="769"/>
      <c r="Q450" s="769"/>
      <c r="R450" s="769"/>
      <c r="U450" s="770"/>
      <c r="V450" s="771">
        <f t="shared" si="81"/>
        <v>0</v>
      </c>
      <c r="W450" s="771">
        <f t="shared" si="82"/>
        <v>0</v>
      </c>
      <c r="X450" t="str">
        <f t="shared" si="83"/>
        <v/>
      </c>
      <c r="Y450" t="str">
        <f t="shared" si="84"/>
        <v/>
      </c>
      <c r="AA450" s="769">
        <f t="shared" si="85"/>
        <v>0</v>
      </c>
      <c r="AB450" s="772">
        <f t="shared" si="86"/>
        <v>0</v>
      </c>
      <c r="AC450" s="769"/>
      <c r="AE450" s="769"/>
      <c r="AF450" s="769"/>
      <c r="AG450" s="769"/>
      <c r="AH450" s="769"/>
      <c r="AI450" s="769"/>
      <c r="AJ450" s="769"/>
      <c r="AK450" s="769"/>
      <c r="AL450" s="769"/>
      <c r="AM450" s="769"/>
      <c r="AN450" s="769"/>
      <c r="AO450" s="769"/>
      <c r="AP450" s="774">
        <f t="shared" si="87"/>
        <v>0</v>
      </c>
      <c r="AS450" s="771"/>
      <c r="AT450" t="str">
        <f t="array" ref="AT450">IF(E450&lt;&gt;"Occupied","",_xlfn.IFS(AND(ISNUMBER(AC450),AC450&lt;&gt;0),"Structured",ISNUMBER(SEARCH("/mo con",T450)),"Notes-parsed",ISNUMBER(SEARCH("step",T450)),"Step-up",ISNUMBER(SEARCH("swap",T450)),"Rate-swap",AND(ISNUMBER(I450),ISNUMBER(J450),I450&gt;J450),"Implied",TRUE(),""))</f>
        <v/>
      </c>
      <c r="AU450" s="769" t="str">
        <f t="shared" si="88"/>
        <v/>
      </c>
      <c r="AV450" s="775">
        <f t="shared" si="89"/>
        <v>0</v>
      </c>
    </row>
    <row r="451" spans="9:48" ht="15" customHeight="1" outlineLevel="1" x14ac:dyDescent="0.25">
      <c r="I451" s="769"/>
      <c r="J451" s="769"/>
      <c r="K451" s="769">
        <f t="shared" si="79"/>
        <v>0</v>
      </c>
      <c r="L451" s="769">
        <f t="shared" si="80"/>
        <v>0</v>
      </c>
      <c r="M451" s="769"/>
      <c r="N451" s="769"/>
      <c r="O451" s="769"/>
      <c r="P451" s="769"/>
      <c r="Q451" s="769"/>
      <c r="R451" s="769"/>
      <c r="U451" s="770"/>
      <c r="V451" s="771">
        <f t="shared" si="81"/>
        <v>0</v>
      </c>
      <c r="W451" s="771">
        <f t="shared" si="82"/>
        <v>0</v>
      </c>
      <c r="X451" t="str">
        <f t="shared" si="83"/>
        <v/>
      </c>
      <c r="Y451" t="str">
        <f t="shared" si="84"/>
        <v/>
      </c>
      <c r="AA451" s="769">
        <f t="shared" si="85"/>
        <v>0</v>
      </c>
      <c r="AB451" s="772">
        <f t="shared" si="86"/>
        <v>0</v>
      </c>
      <c r="AC451" s="769"/>
      <c r="AE451" s="769"/>
      <c r="AF451" s="769"/>
      <c r="AG451" s="769"/>
      <c r="AH451" s="769"/>
      <c r="AI451" s="769"/>
      <c r="AJ451" s="769"/>
      <c r="AK451" s="769"/>
      <c r="AL451" s="769"/>
      <c r="AM451" s="769"/>
      <c r="AN451" s="769"/>
      <c r="AO451" s="769"/>
      <c r="AP451" s="774">
        <f t="shared" si="87"/>
        <v>0</v>
      </c>
      <c r="AS451" s="771"/>
      <c r="AT451" t="str">
        <f t="array" ref="AT451">IF(E451&lt;&gt;"Occupied","",_xlfn.IFS(AND(ISNUMBER(AC451),AC451&lt;&gt;0),"Structured",ISNUMBER(SEARCH("/mo con",T451)),"Notes-parsed",ISNUMBER(SEARCH("step",T451)),"Step-up",ISNUMBER(SEARCH("swap",T451)),"Rate-swap",AND(ISNUMBER(I451),ISNUMBER(J451),I451&gt;J451),"Implied",TRUE(),""))</f>
        <v/>
      </c>
      <c r="AU451" s="769" t="str">
        <f t="shared" si="88"/>
        <v/>
      </c>
      <c r="AV451" s="775">
        <f t="shared" si="89"/>
        <v>0</v>
      </c>
    </row>
    <row r="452" spans="9:48" ht="15" customHeight="1" outlineLevel="1" x14ac:dyDescent="0.25">
      <c r="I452" s="769"/>
      <c r="J452" s="769"/>
      <c r="K452" s="769">
        <f t="shared" si="79"/>
        <v>0</v>
      </c>
      <c r="L452" s="769">
        <f t="shared" si="80"/>
        <v>0</v>
      </c>
      <c r="M452" s="769"/>
      <c r="N452" s="769"/>
      <c r="O452" s="769"/>
      <c r="P452" s="769"/>
      <c r="Q452" s="769"/>
      <c r="R452" s="769"/>
      <c r="U452" s="770"/>
      <c r="V452" s="771">
        <f t="shared" si="81"/>
        <v>0</v>
      </c>
      <c r="W452" s="771">
        <f t="shared" si="82"/>
        <v>0</v>
      </c>
      <c r="X452" t="str">
        <f t="shared" si="83"/>
        <v/>
      </c>
      <c r="Y452" t="str">
        <f t="shared" si="84"/>
        <v/>
      </c>
      <c r="AA452" s="769">
        <f t="shared" si="85"/>
        <v>0</v>
      </c>
      <c r="AB452" s="772">
        <f t="shared" si="86"/>
        <v>0</v>
      </c>
      <c r="AC452" s="769"/>
      <c r="AE452" s="769"/>
      <c r="AF452" s="769"/>
      <c r="AG452" s="769"/>
      <c r="AH452" s="769"/>
      <c r="AI452" s="769"/>
      <c r="AJ452" s="769"/>
      <c r="AK452" s="769"/>
      <c r="AL452" s="769"/>
      <c r="AM452" s="769"/>
      <c r="AN452" s="769"/>
      <c r="AO452" s="769"/>
      <c r="AP452" s="774">
        <f t="shared" si="87"/>
        <v>0</v>
      </c>
      <c r="AS452" s="771"/>
      <c r="AT452" t="str">
        <f t="array" ref="AT452">IF(E452&lt;&gt;"Occupied","",_xlfn.IFS(AND(ISNUMBER(AC452),AC452&lt;&gt;0),"Structured",ISNUMBER(SEARCH("/mo con",T452)),"Notes-parsed",ISNUMBER(SEARCH("step",T452)),"Step-up",ISNUMBER(SEARCH("swap",T452)),"Rate-swap",AND(ISNUMBER(I452),ISNUMBER(J452),I452&gt;J452),"Implied",TRUE(),""))</f>
        <v/>
      </c>
      <c r="AU452" s="769" t="str">
        <f t="shared" si="88"/>
        <v/>
      </c>
      <c r="AV452" s="775">
        <f t="shared" si="89"/>
        <v>0</v>
      </c>
    </row>
    <row r="453" spans="9:48" ht="15" customHeight="1" outlineLevel="1" x14ac:dyDescent="0.25">
      <c r="I453" s="769"/>
      <c r="J453" s="769"/>
      <c r="K453" s="769">
        <f t="shared" si="79"/>
        <v>0</v>
      </c>
      <c r="L453" s="769">
        <f t="shared" si="80"/>
        <v>0</v>
      </c>
      <c r="M453" s="769"/>
      <c r="N453" s="769"/>
      <c r="O453" s="769"/>
      <c r="P453" s="769"/>
      <c r="Q453" s="769"/>
      <c r="R453" s="769"/>
      <c r="U453" s="770"/>
      <c r="V453" s="771">
        <f t="shared" si="81"/>
        <v>0</v>
      </c>
      <c r="W453" s="771">
        <f t="shared" si="82"/>
        <v>0</v>
      </c>
      <c r="X453" t="str">
        <f t="shared" si="83"/>
        <v/>
      </c>
      <c r="Y453" t="str">
        <f t="shared" si="84"/>
        <v/>
      </c>
      <c r="AA453" s="769">
        <f t="shared" si="85"/>
        <v>0</v>
      </c>
      <c r="AB453" s="772">
        <f t="shared" si="86"/>
        <v>0</v>
      </c>
      <c r="AC453" s="769"/>
      <c r="AE453" s="769"/>
      <c r="AF453" s="769"/>
      <c r="AG453" s="769"/>
      <c r="AH453" s="769"/>
      <c r="AI453" s="769"/>
      <c r="AJ453" s="769"/>
      <c r="AK453" s="769"/>
      <c r="AL453" s="769"/>
      <c r="AM453" s="769"/>
      <c r="AN453" s="769"/>
      <c r="AO453" s="769"/>
      <c r="AP453" s="774">
        <f t="shared" si="87"/>
        <v>0</v>
      </c>
      <c r="AS453" s="771"/>
      <c r="AT453" t="str">
        <f t="array" ref="AT453">IF(E453&lt;&gt;"Occupied","",_xlfn.IFS(AND(ISNUMBER(AC453),AC453&lt;&gt;0),"Structured",ISNUMBER(SEARCH("/mo con",T453)),"Notes-parsed",ISNUMBER(SEARCH("step",T453)),"Step-up",ISNUMBER(SEARCH("swap",T453)),"Rate-swap",AND(ISNUMBER(I453),ISNUMBER(J453),I453&gt;J453),"Implied",TRUE(),""))</f>
        <v/>
      </c>
      <c r="AU453" s="769" t="str">
        <f t="shared" si="88"/>
        <v/>
      </c>
      <c r="AV453" s="775">
        <f t="shared" si="89"/>
        <v>0</v>
      </c>
    </row>
    <row r="454" spans="9:48" ht="15" customHeight="1" outlineLevel="1" x14ac:dyDescent="0.25">
      <c r="I454" s="769"/>
      <c r="J454" s="769"/>
      <c r="K454" s="769">
        <f t="shared" si="79"/>
        <v>0</v>
      </c>
      <c r="L454" s="769">
        <f t="shared" si="80"/>
        <v>0</v>
      </c>
      <c r="M454" s="769"/>
      <c r="N454" s="769"/>
      <c r="O454" s="769"/>
      <c r="P454" s="769"/>
      <c r="Q454" s="769"/>
      <c r="R454" s="769"/>
      <c r="U454" s="770"/>
      <c r="V454" s="771">
        <f t="shared" si="81"/>
        <v>0</v>
      </c>
      <c r="W454" s="771">
        <f t="shared" si="82"/>
        <v>0</v>
      </c>
      <c r="X454" t="str">
        <f t="shared" si="83"/>
        <v/>
      </c>
      <c r="Y454" t="str">
        <f t="shared" si="84"/>
        <v/>
      </c>
      <c r="AA454" s="769">
        <f t="shared" si="85"/>
        <v>0</v>
      </c>
      <c r="AB454" s="772">
        <f t="shared" si="86"/>
        <v>0</v>
      </c>
      <c r="AC454" s="769"/>
      <c r="AE454" s="769"/>
      <c r="AF454" s="769"/>
      <c r="AG454" s="769"/>
      <c r="AH454" s="769"/>
      <c r="AI454" s="769"/>
      <c r="AJ454" s="769"/>
      <c r="AK454" s="769"/>
      <c r="AL454" s="769"/>
      <c r="AM454" s="769"/>
      <c r="AN454" s="769"/>
      <c r="AO454" s="769"/>
      <c r="AP454" s="774">
        <f t="shared" si="87"/>
        <v>0</v>
      </c>
      <c r="AS454" s="771"/>
      <c r="AT454" t="str">
        <f t="array" ref="AT454">IF(E454&lt;&gt;"Occupied","",_xlfn.IFS(AND(ISNUMBER(AC454),AC454&lt;&gt;0),"Structured",ISNUMBER(SEARCH("/mo con",T454)),"Notes-parsed",ISNUMBER(SEARCH("step",T454)),"Step-up",ISNUMBER(SEARCH("swap",T454)),"Rate-swap",AND(ISNUMBER(I454),ISNUMBER(J454),I454&gt;J454),"Implied",TRUE(),""))</f>
        <v/>
      </c>
      <c r="AU454" s="769" t="str">
        <f t="shared" si="88"/>
        <v/>
      </c>
      <c r="AV454" s="775">
        <f t="shared" si="89"/>
        <v>0</v>
      </c>
    </row>
    <row r="455" spans="9:48" ht="15" customHeight="1" outlineLevel="1" x14ac:dyDescent="0.25">
      <c r="I455" s="769"/>
      <c r="J455" s="769"/>
      <c r="K455" s="769">
        <f t="shared" si="79"/>
        <v>0</v>
      </c>
      <c r="L455" s="769">
        <f t="shared" si="80"/>
        <v>0</v>
      </c>
      <c r="M455" s="769"/>
      <c r="N455" s="769"/>
      <c r="O455" s="769"/>
      <c r="P455" s="769"/>
      <c r="Q455" s="769"/>
      <c r="R455" s="769"/>
      <c r="U455" s="770"/>
      <c r="V455" s="771">
        <f t="shared" si="81"/>
        <v>0</v>
      </c>
      <c r="W455" s="771">
        <f t="shared" si="82"/>
        <v>0</v>
      </c>
      <c r="X455" t="str">
        <f t="shared" si="83"/>
        <v/>
      </c>
      <c r="Y455" t="str">
        <f t="shared" si="84"/>
        <v/>
      </c>
      <c r="AA455" s="769">
        <f t="shared" ref="AA455:AA486" si="90">N(IF(AND(J455&gt;0,I455&gt;0),I455-J455,""))</f>
        <v>0</v>
      </c>
      <c r="AB455" s="772">
        <f t="shared" ref="AB455:AB486" si="91">N(IF(AND(J455&gt;0,I455&gt;0),(I455-J455)/I455,""))</f>
        <v>0</v>
      </c>
      <c r="AC455" s="769"/>
      <c r="AE455" s="769"/>
      <c r="AF455" s="769"/>
      <c r="AG455" s="769"/>
      <c r="AH455" s="769"/>
      <c r="AI455" s="769"/>
      <c r="AJ455" s="769"/>
      <c r="AK455" s="769"/>
      <c r="AL455" s="769"/>
      <c r="AM455" s="769"/>
      <c r="AN455" s="769"/>
      <c r="AO455" s="769"/>
      <c r="AP455" s="774">
        <f t="shared" si="87"/>
        <v>0</v>
      </c>
      <c r="AS455" s="771"/>
      <c r="AT455" t="str">
        <f t="array" ref="AT455">IF(E455&lt;&gt;"Occupied","",_xlfn.IFS(AND(ISNUMBER(AC455),AC455&lt;&gt;0),"Structured",ISNUMBER(SEARCH("/mo con",T455)),"Notes-parsed",ISNUMBER(SEARCH("step",T455)),"Step-up",ISNUMBER(SEARCH("swap",T455)),"Rate-swap",AND(ISNUMBER(I455),ISNUMBER(J455),I455&gt;J455),"Implied",TRUE(),""))</f>
        <v/>
      </c>
      <c r="AU455" s="769" t="str">
        <f t="shared" si="88"/>
        <v/>
      </c>
      <c r="AV455" s="775">
        <f t="shared" si="89"/>
        <v>0</v>
      </c>
    </row>
    <row r="456" spans="9:48" ht="15" customHeight="1" outlineLevel="1" x14ac:dyDescent="0.25">
      <c r="I456" s="769"/>
      <c r="J456" s="769"/>
      <c r="K456" s="769">
        <f t="shared" si="79"/>
        <v>0</v>
      </c>
      <c r="L456" s="769">
        <f t="shared" si="80"/>
        <v>0</v>
      </c>
      <c r="M456" s="769"/>
      <c r="N456" s="769"/>
      <c r="O456" s="769"/>
      <c r="P456" s="769"/>
      <c r="Q456" s="769"/>
      <c r="R456" s="769"/>
      <c r="U456" s="770"/>
      <c r="V456" s="771">
        <f t="shared" si="81"/>
        <v>0</v>
      </c>
      <c r="W456" s="771">
        <f t="shared" si="82"/>
        <v>0</v>
      </c>
      <c r="X456" t="str">
        <f t="shared" si="83"/>
        <v/>
      </c>
      <c r="Y456" t="str">
        <f t="shared" si="84"/>
        <v/>
      </c>
      <c r="AA456" s="769">
        <f t="shared" si="90"/>
        <v>0</v>
      </c>
      <c r="AB456" s="772">
        <f t="shared" si="91"/>
        <v>0</v>
      </c>
      <c r="AC456" s="769"/>
      <c r="AE456" s="769"/>
      <c r="AF456" s="769"/>
      <c r="AG456" s="769"/>
      <c r="AH456" s="769"/>
      <c r="AI456" s="769"/>
      <c r="AJ456" s="769"/>
      <c r="AK456" s="769"/>
      <c r="AL456" s="769"/>
      <c r="AM456" s="769"/>
      <c r="AN456" s="769"/>
      <c r="AO456" s="769"/>
      <c r="AP456" s="774">
        <f t="shared" si="87"/>
        <v>0</v>
      </c>
      <c r="AS456" s="771"/>
      <c r="AT456" t="str">
        <f t="array" ref="AT456">IF(E456&lt;&gt;"Occupied","",_xlfn.IFS(AND(ISNUMBER(AC456),AC456&lt;&gt;0),"Structured",ISNUMBER(SEARCH("/mo con",T456)),"Notes-parsed",ISNUMBER(SEARCH("step",T456)),"Step-up",ISNUMBER(SEARCH("swap",T456)),"Rate-swap",AND(ISNUMBER(I456),ISNUMBER(J456),I456&gt;J456),"Implied",TRUE(),""))</f>
        <v/>
      </c>
      <c r="AU456" s="769" t="str">
        <f t="shared" si="88"/>
        <v/>
      </c>
      <c r="AV456" s="775">
        <f t="shared" si="89"/>
        <v>0</v>
      </c>
    </row>
    <row r="457" spans="9:48" ht="15" customHeight="1" outlineLevel="1" x14ac:dyDescent="0.25">
      <c r="I457" s="769"/>
      <c r="J457" s="769"/>
      <c r="K457" s="769">
        <f t="shared" si="79"/>
        <v>0</v>
      </c>
      <c r="L457" s="769">
        <f t="shared" si="80"/>
        <v>0</v>
      </c>
      <c r="M457" s="769"/>
      <c r="N457" s="769"/>
      <c r="O457" s="769"/>
      <c r="P457" s="769"/>
      <c r="Q457" s="769"/>
      <c r="R457" s="769"/>
      <c r="U457" s="770"/>
      <c r="V457" s="771">
        <f t="shared" si="81"/>
        <v>0</v>
      </c>
      <c r="W457" s="771">
        <f t="shared" si="82"/>
        <v>0</v>
      </c>
      <c r="X457" t="str">
        <f t="shared" si="83"/>
        <v/>
      </c>
      <c r="Y457" t="str">
        <f t="shared" si="84"/>
        <v/>
      </c>
      <c r="AA457" s="769">
        <f t="shared" si="90"/>
        <v>0</v>
      </c>
      <c r="AB457" s="772">
        <f t="shared" si="91"/>
        <v>0</v>
      </c>
      <c r="AC457" s="769"/>
      <c r="AE457" s="769"/>
      <c r="AF457" s="769"/>
      <c r="AG457" s="769"/>
      <c r="AH457" s="769"/>
      <c r="AI457" s="769"/>
      <c r="AJ457" s="769"/>
      <c r="AK457" s="769"/>
      <c r="AL457" s="769"/>
      <c r="AM457" s="769"/>
      <c r="AN457" s="769"/>
      <c r="AO457" s="769"/>
      <c r="AP457" s="774">
        <f t="shared" si="87"/>
        <v>0</v>
      </c>
      <c r="AS457" s="771"/>
      <c r="AT457" t="str">
        <f t="array" ref="AT457">IF(E457&lt;&gt;"Occupied","",_xlfn.IFS(AND(ISNUMBER(AC457),AC457&lt;&gt;0),"Structured",ISNUMBER(SEARCH("/mo con",T457)),"Notes-parsed",ISNUMBER(SEARCH("step",T457)),"Step-up",ISNUMBER(SEARCH("swap",T457)),"Rate-swap",AND(ISNUMBER(I457),ISNUMBER(J457),I457&gt;J457),"Implied",TRUE(),""))</f>
        <v/>
      </c>
      <c r="AU457" s="769" t="str">
        <f t="shared" si="88"/>
        <v/>
      </c>
      <c r="AV457" s="775">
        <f t="shared" si="89"/>
        <v>0</v>
      </c>
    </row>
    <row r="458" spans="9:48" ht="15" customHeight="1" outlineLevel="1" x14ac:dyDescent="0.25">
      <c r="I458" s="769"/>
      <c r="J458" s="769"/>
      <c r="K458" s="769">
        <f t="shared" si="79"/>
        <v>0</v>
      </c>
      <c r="L458" s="769">
        <f t="shared" si="80"/>
        <v>0</v>
      </c>
      <c r="M458" s="769"/>
      <c r="N458" s="769"/>
      <c r="O458" s="769"/>
      <c r="P458" s="769"/>
      <c r="Q458" s="769"/>
      <c r="R458" s="769"/>
      <c r="U458" s="770"/>
      <c r="V458" s="771">
        <f t="shared" si="81"/>
        <v>0</v>
      </c>
      <c r="W458" s="771">
        <f t="shared" si="82"/>
        <v>0</v>
      </c>
      <c r="X458" t="str">
        <f t="shared" si="83"/>
        <v/>
      </c>
      <c r="Y458" t="str">
        <f t="shared" si="84"/>
        <v/>
      </c>
      <c r="AA458" s="769">
        <f t="shared" si="90"/>
        <v>0</v>
      </c>
      <c r="AB458" s="772">
        <f t="shared" si="91"/>
        <v>0</v>
      </c>
      <c r="AC458" s="769"/>
      <c r="AE458" s="769"/>
      <c r="AF458" s="769"/>
      <c r="AG458" s="769"/>
      <c r="AH458" s="769"/>
      <c r="AI458" s="769"/>
      <c r="AJ458" s="769"/>
      <c r="AK458" s="769"/>
      <c r="AL458" s="769"/>
      <c r="AM458" s="769"/>
      <c r="AN458" s="769"/>
      <c r="AO458" s="769"/>
      <c r="AP458" s="774">
        <f t="shared" si="87"/>
        <v>0</v>
      </c>
      <c r="AS458" s="771"/>
      <c r="AT458" t="str">
        <f t="array" ref="AT458">IF(E458&lt;&gt;"Occupied","",_xlfn.IFS(AND(ISNUMBER(AC458),AC458&lt;&gt;0),"Structured",ISNUMBER(SEARCH("/mo con",T458)),"Notes-parsed",ISNUMBER(SEARCH("step",T458)),"Step-up",ISNUMBER(SEARCH("swap",T458)),"Rate-swap",AND(ISNUMBER(I458),ISNUMBER(J458),I458&gt;J458),"Implied",TRUE(),""))</f>
        <v/>
      </c>
      <c r="AU458" s="769" t="str">
        <f t="shared" si="88"/>
        <v/>
      </c>
      <c r="AV458" s="775">
        <f t="shared" si="89"/>
        <v>0</v>
      </c>
    </row>
    <row r="459" spans="9:48" ht="15" customHeight="1" outlineLevel="1" x14ac:dyDescent="0.25">
      <c r="I459" s="769"/>
      <c r="J459" s="769"/>
      <c r="K459" s="769">
        <f t="shared" si="79"/>
        <v>0</v>
      </c>
      <c r="L459" s="769">
        <f t="shared" si="80"/>
        <v>0</v>
      </c>
      <c r="M459" s="769"/>
      <c r="N459" s="769"/>
      <c r="O459" s="769"/>
      <c r="P459" s="769"/>
      <c r="Q459" s="769"/>
      <c r="R459" s="769"/>
      <c r="U459" s="770"/>
      <c r="V459" s="771">
        <f t="shared" si="81"/>
        <v>0</v>
      </c>
      <c r="W459" s="771">
        <f t="shared" si="82"/>
        <v>0</v>
      </c>
      <c r="X459" t="str">
        <f t="shared" si="83"/>
        <v/>
      </c>
      <c r="Y459" t="str">
        <f t="shared" si="84"/>
        <v/>
      </c>
      <c r="AA459" s="769">
        <f t="shared" si="90"/>
        <v>0</v>
      </c>
      <c r="AB459" s="772">
        <f t="shared" si="91"/>
        <v>0</v>
      </c>
      <c r="AC459" s="769"/>
      <c r="AE459" s="769"/>
      <c r="AF459" s="769"/>
      <c r="AG459" s="769"/>
      <c r="AH459" s="769"/>
      <c r="AI459" s="769"/>
      <c r="AJ459" s="769"/>
      <c r="AK459" s="769"/>
      <c r="AL459" s="769"/>
      <c r="AM459" s="769"/>
      <c r="AN459" s="769"/>
      <c r="AO459" s="769"/>
      <c r="AP459" s="774">
        <f t="shared" si="87"/>
        <v>0</v>
      </c>
      <c r="AS459" s="771"/>
      <c r="AT459" t="str">
        <f t="array" ref="AT459">IF(E459&lt;&gt;"Occupied","",_xlfn.IFS(AND(ISNUMBER(AC459),AC459&lt;&gt;0),"Structured",ISNUMBER(SEARCH("/mo con",T459)),"Notes-parsed",ISNUMBER(SEARCH("step",T459)),"Step-up",ISNUMBER(SEARCH("swap",T459)),"Rate-swap",AND(ISNUMBER(I459),ISNUMBER(J459),I459&gt;J459),"Implied",TRUE(),""))</f>
        <v/>
      </c>
      <c r="AU459" s="769" t="str">
        <f t="shared" si="88"/>
        <v/>
      </c>
      <c r="AV459" s="775">
        <f t="shared" si="89"/>
        <v>0</v>
      </c>
    </row>
    <row r="460" spans="9:48" ht="15" customHeight="1" outlineLevel="1" x14ac:dyDescent="0.25">
      <c r="I460" s="769"/>
      <c r="J460" s="769"/>
      <c r="K460" s="769">
        <f t="shared" si="79"/>
        <v>0</v>
      </c>
      <c r="L460" s="769">
        <f t="shared" si="80"/>
        <v>0</v>
      </c>
      <c r="M460" s="769"/>
      <c r="N460" s="769"/>
      <c r="O460" s="769"/>
      <c r="P460" s="769"/>
      <c r="Q460" s="769"/>
      <c r="R460" s="769"/>
      <c r="U460" s="770"/>
      <c r="V460" s="771">
        <f t="shared" si="81"/>
        <v>0</v>
      </c>
      <c r="W460" s="771">
        <f t="shared" si="82"/>
        <v>0</v>
      </c>
      <c r="X460" t="str">
        <f t="shared" si="83"/>
        <v/>
      </c>
      <c r="Y460" t="str">
        <f t="shared" si="84"/>
        <v/>
      </c>
      <c r="AA460" s="769">
        <f t="shared" si="90"/>
        <v>0</v>
      </c>
      <c r="AB460" s="772">
        <f t="shared" si="91"/>
        <v>0</v>
      </c>
      <c r="AC460" s="769"/>
      <c r="AE460" s="769"/>
      <c r="AF460" s="769"/>
      <c r="AG460" s="769"/>
      <c r="AH460" s="769"/>
      <c r="AI460" s="769"/>
      <c r="AJ460" s="769"/>
      <c r="AK460" s="769"/>
      <c r="AL460" s="769"/>
      <c r="AM460" s="769"/>
      <c r="AN460" s="769"/>
      <c r="AO460" s="769"/>
      <c r="AP460" s="774">
        <f t="shared" si="87"/>
        <v>0</v>
      </c>
      <c r="AS460" s="771"/>
      <c r="AT460" t="str">
        <f t="array" ref="AT460">IF(E460&lt;&gt;"Occupied","",_xlfn.IFS(AND(ISNUMBER(AC460),AC460&lt;&gt;0),"Structured",ISNUMBER(SEARCH("/mo con",T460)),"Notes-parsed",ISNUMBER(SEARCH("step",T460)),"Step-up",ISNUMBER(SEARCH("swap",T460)),"Rate-swap",AND(ISNUMBER(I460),ISNUMBER(J460),I460&gt;J460),"Implied",TRUE(),""))</f>
        <v/>
      </c>
      <c r="AU460" s="769" t="str">
        <f t="shared" si="88"/>
        <v/>
      </c>
      <c r="AV460" s="775">
        <f t="shared" si="89"/>
        <v>0</v>
      </c>
    </row>
    <row r="461" spans="9:48" ht="15" customHeight="1" outlineLevel="1" x14ac:dyDescent="0.25">
      <c r="I461" s="769"/>
      <c r="J461" s="769"/>
      <c r="K461" s="769">
        <f t="shared" si="79"/>
        <v>0</v>
      </c>
      <c r="L461" s="769">
        <f t="shared" si="80"/>
        <v>0</v>
      </c>
      <c r="M461" s="769"/>
      <c r="N461" s="769"/>
      <c r="O461" s="769"/>
      <c r="P461" s="769"/>
      <c r="Q461" s="769"/>
      <c r="R461" s="769"/>
      <c r="U461" s="770"/>
      <c r="V461" s="771">
        <f t="shared" si="81"/>
        <v>0</v>
      </c>
      <c r="W461" s="771">
        <f t="shared" si="82"/>
        <v>0</v>
      </c>
      <c r="X461" t="str">
        <f t="shared" si="83"/>
        <v/>
      </c>
      <c r="Y461" t="str">
        <f t="shared" si="84"/>
        <v/>
      </c>
      <c r="AA461" s="769">
        <f t="shared" si="90"/>
        <v>0</v>
      </c>
      <c r="AB461" s="772">
        <f t="shared" si="91"/>
        <v>0</v>
      </c>
      <c r="AC461" s="769"/>
      <c r="AE461" s="769"/>
      <c r="AF461" s="769"/>
      <c r="AG461" s="769"/>
      <c r="AH461" s="769"/>
      <c r="AI461" s="769"/>
      <c r="AJ461" s="769"/>
      <c r="AK461" s="769"/>
      <c r="AL461" s="769"/>
      <c r="AM461" s="769"/>
      <c r="AN461" s="769"/>
      <c r="AO461" s="769"/>
      <c r="AP461" s="774">
        <f t="shared" si="87"/>
        <v>0</v>
      </c>
      <c r="AS461" s="771"/>
      <c r="AT461" t="str">
        <f t="array" ref="AT461">IF(E461&lt;&gt;"Occupied","",_xlfn.IFS(AND(ISNUMBER(AC461),AC461&lt;&gt;0),"Structured",ISNUMBER(SEARCH("/mo con",T461)),"Notes-parsed",ISNUMBER(SEARCH("step",T461)),"Step-up",ISNUMBER(SEARCH("swap",T461)),"Rate-swap",AND(ISNUMBER(I461),ISNUMBER(J461),I461&gt;J461),"Implied",TRUE(),""))</f>
        <v/>
      </c>
      <c r="AU461" s="769" t="str">
        <f t="shared" si="88"/>
        <v/>
      </c>
      <c r="AV461" s="775">
        <f t="shared" si="89"/>
        <v>0</v>
      </c>
    </row>
    <row r="462" spans="9:48" ht="15" customHeight="1" outlineLevel="1" x14ac:dyDescent="0.25">
      <c r="I462" s="769"/>
      <c r="J462" s="769"/>
      <c r="K462" s="769">
        <f t="shared" si="79"/>
        <v>0</v>
      </c>
      <c r="L462" s="769">
        <f t="shared" si="80"/>
        <v>0</v>
      </c>
      <c r="M462" s="769"/>
      <c r="N462" s="769"/>
      <c r="O462" s="769"/>
      <c r="P462" s="769"/>
      <c r="Q462" s="769"/>
      <c r="R462" s="769"/>
      <c r="U462" s="770"/>
      <c r="V462" s="771">
        <f t="shared" si="81"/>
        <v>0</v>
      </c>
      <c r="W462" s="771">
        <f t="shared" si="82"/>
        <v>0</v>
      </c>
      <c r="X462" t="str">
        <f t="shared" si="83"/>
        <v/>
      </c>
      <c r="Y462" t="str">
        <f t="shared" si="84"/>
        <v/>
      </c>
      <c r="AA462" s="769">
        <f t="shared" si="90"/>
        <v>0</v>
      </c>
      <c r="AB462" s="772">
        <f t="shared" si="91"/>
        <v>0</v>
      </c>
      <c r="AC462" s="769"/>
      <c r="AE462" s="769"/>
      <c r="AF462" s="769"/>
      <c r="AG462" s="769"/>
      <c r="AH462" s="769"/>
      <c r="AI462" s="769"/>
      <c r="AJ462" s="769"/>
      <c r="AK462" s="769"/>
      <c r="AL462" s="769"/>
      <c r="AM462" s="769"/>
      <c r="AN462" s="769"/>
      <c r="AO462" s="769"/>
      <c r="AP462" s="774">
        <f t="shared" si="87"/>
        <v>0</v>
      </c>
      <c r="AS462" s="771"/>
      <c r="AT462" t="str">
        <f t="array" ref="AT462">IF(E462&lt;&gt;"Occupied","",_xlfn.IFS(AND(ISNUMBER(AC462),AC462&lt;&gt;0),"Structured",ISNUMBER(SEARCH("/mo con",T462)),"Notes-parsed",ISNUMBER(SEARCH("step",T462)),"Step-up",ISNUMBER(SEARCH("swap",T462)),"Rate-swap",AND(ISNUMBER(I462),ISNUMBER(J462),I462&gt;J462),"Implied",TRUE(),""))</f>
        <v/>
      </c>
      <c r="AU462" s="769" t="str">
        <f t="shared" si="88"/>
        <v/>
      </c>
      <c r="AV462" s="775">
        <f t="shared" si="89"/>
        <v>0</v>
      </c>
    </row>
    <row r="463" spans="9:48" ht="15" customHeight="1" outlineLevel="1" x14ac:dyDescent="0.25">
      <c r="I463" s="769"/>
      <c r="J463" s="769"/>
      <c r="K463" s="769">
        <f t="shared" si="79"/>
        <v>0</v>
      </c>
      <c r="L463" s="769">
        <f t="shared" si="80"/>
        <v>0</v>
      </c>
      <c r="M463" s="769"/>
      <c r="N463" s="769"/>
      <c r="O463" s="769"/>
      <c r="P463" s="769"/>
      <c r="Q463" s="769"/>
      <c r="R463" s="769"/>
      <c r="U463" s="770"/>
      <c r="V463" s="771">
        <f t="shared" si="81"/>
        <v>0</v>
      </c>
      <c r="W463" s="771">
        <f t="shared" si="82"/>
        <v>0</v>
      </c>
      <c r="X463" t="str">
        <f t="shared" si="83"/>
        <v/>
      </c>
      <c r="Y463" t="str">
        <f t="shared" si="84"/>
        <v/>
      </c>
      <c r="AA463" s="769">
        <f t="shared" si="90"/>
        <v>0</v>
      </c>
      <c r="AB463" s="772">
        <f t="shared" si="91"/>
        <v>0</v>
      </c>
      <c r="AC463" s="769"/>
      <c r="AE463" s="769"/>
      <c r="AF463" s="769"/>
      <c r="AG463" s="769"/>
      <c r="AH463" s="769"/>
      <c r="AI463" s="769"/>
      <c r="AJ463" s="769"/>
      <c r="AK463" s="769"/>
      <c r="AL463" s="769"/>
      <c r="AM463" s="769"/>
      <c r="AN463" s="769"/>
      <c r="AO463" s="769"/>
      <c r="AP463" s="774">
        <f t="shared" si="87"/>
        <v>0</v>
      </c>
      <c r="AS463" s="771"/>
      <c r="AT463" t="str">
        <f t="array" ref="AT463">IF(E463&lt;&gt;"Occupied","",_xlfn.IFS(AND(ISNUMBER(AC463),AC463&lt;&gt;0),"Structured",ISNUMBER(SEARCH("/mo con",T463)),"Notes-parsed",ISNUMBER(SEARCH("step",T463)),"Step-up",ISNUMBER(SEARCH("swap",T463)),"Rate-swap",AND(ISNUMBER(I463),ISNUMBER(J463),I463&gt;J463),"Implied",TRUE(),""))</f>
        <v/>
      </c>
      <c r="AU463" s="769" t="str">
        <f t="shared" si="88"/>
        <v/>
      </c>
      <c r="AV463" s="775">
        <f t="shared" si="89"/>
        <v>0</v>
      </c>
    </row>
    <row r="464" spans="9:48" ht="15" customHeight="1" outlineLevel="1" x14ac:dyDescent="0.25">
      <c r="I464" s="769"/>
      <c r="J464" s="769"/>
      <c r="K464" s="769">
        <f t="shared" si="79"/>
        <v>0</v>
      </c>
      <c r="L464" s="769">
        <f t="shared" si="80"/>
        <v>0</v>
      </c>
      <c r="M464" s="769"/>
      <c r="N464" s="769"/>
      <c r="O464" s="769"/>
      <c r="P464" s="769"/>
      <c r="Q464" s="769"/>
      <c r="R464" s="769"/>
      <c r="U464" s="770"/>
      <c r="V464" s="771">
        <f t="shared" si="81"/>
        <v>0</v>
      </c>
      <c r="W464" s="771">
        <f t="shared" si="82"/>
        <v>0</v>
      </c>
      <c r="X464" t="str">
        <f t="shared" si="83"/>
        <v/>
      </c>
      <c r="Y464" t="str">
        <f t="shared" si="84"/>
        <v/>
      </c>
      <c r="AA464" s="769">
        <f t="shared" si="90"/>
        <v>0</v>
      </c>
      <c r="AB464" s="772">
        <f t="shared" si="91"/>
        <v>0</v>
      </c>
      <c r="AC464" s="769"/>
      <c r="AE464" s="769"/>
      <c r="AF464" s="769"/>
      <c r="AG464" s="769"/>
      <c r="AH464" s="769"/>
      <c r="AI464" s="769"/>
      <c r="AJ464" s="769"/>
      <c r="AK464" s="769"/>
      <c r="AL464" s="769"/>
      <c r="AM464" s="769"/>
      <c r="AN464" s="769"/>
      <c r="AO464" s="769"/>
      <c r="AP464" s="774">
        <f t="shared" si="87"/>
        <v>0</v>
      </c>
      <c r="AS464" s="771"/>
      <c r="AT464" t="str">
        <f t="array" ref="AT464">IF(E464&lt;&gt;"Occupied","",_xlfn.IFS(AND(ISNUMBER(AC464),AC464&lt;&gt;0),"Structured",ISNUMBER(SEARCH("/mo con",T464)),"Notes-parsed",ISNUMBER(SEARCH("step",T464)),"Step-up",ISNUMBER(SEARCH("swap",T464)),"Rate-swap",AND(ISNUMBER(I464),ISNUMBER(J464),I464&gt;J464),"Implied",TRUE(),""))</f>
        <v/>
      </c>
      <c r="AU464" s="769" t="str">
        <f t="shared" si="88"/>
        <v/>
      </c>
      <c r="AV464" s="775">
        <f t="shared" si="89"/>
        <v>0</v>
      </c>
    </row>
    <row r="465" spans="9:48" ht="15" customHeight="1" outlineLevel="1" x14ac:dyDescent="0.25">
      <c r="I465" s="769"/>
      <c r="J465" s="769"/>
      <c r="K465" s="769">
        <f t="shared" si="79"/>
        <v>0</v>
      </c>
      <c r="L465" s="769">
        <f t="shared" si="80"/>
        <v>0</v>
      </c>
      <c r="M465" s="769"/>
      <c r="N465" s="769"/>
      <c r="O465" s="769"/>
      <c r="P465" s="769"/>
      <c r="Q465" s="769"/>
      <c r="R465" s="769"/>
      <c r="U465" s="770"/>
      <c r="V465" s="771">
        <f t="shared" si="81"/>
        <v>0</v>
      </c>
      <c r="W465" s="771">
        <f t="shared" si="82"/>
        <v>0</v>
      </c>
      <c r="X465" t="str">
        <f t="shared" si="83"/>
        <v/>
      </c>
      <c r="Y465" t="str">
        <f t="shared" si="84"/>
        <v/>
      </c>
      <c r="AA465" s="769">
        <f t="shared" si="90"/>
        <v>0</v>
      </c>
      <c r="AB465" s="772">
        <f t="shared" si="91"/>
        <v>0</v>
      </c>
      <c r="AC465" s="769"/>
      <c r="AE465" s="769"/>
      <c r="AF465" s="769"/>
      <c r="AG465" s="769"/>
      <c r="AH465" s="769"/>
      <c r="AI465" s="769"/>
      <c r="AJ465" s="769"/>
      <c r="AK465" s="769"/>
      <c r="AL465" s="769"/>
      <c r="AM465" s="769"/>
      <c r="AN465" s="769"/>
      <c r="AO465" s="769"/>
      <c r="AP465" s="774">
        <f t="shared" si="87"/>
        <v>0</v>
      </c>
      <c r="AS465" s="771"/>
      <c r="AT465" t="str">
        <f t="array" ref="AT465">IF(E465&lt;&gt;"Occupied","",_xlfn.IFS(AND(ISNUMBER(AC465),AC465&lt;&gt;0),"Structured",ISNUMBER(SEARCH("/mo con",T465)),"Notes-parsed",ISNUMBER(SEARCH("step",T465)),"Step-up",ISNUMBER(SEARCH("swap",T465)),"Rate-swap",AND(ISNUMBER(I465),ISNUMBER(J465),I465&gt;J465),"Implied",TRUE(),""))</f>
        <v/>
      </c>
      <c r="AU465" s="769" t="str">
        <f t="shared" si="88"/>
        <v/>
      </c>
      <c r="AV465" s="775">
        <f t="shared" si="89"/>
        <v>0</v>
      </c>
    </row>
    <row r="466" spans="9:48" ht="15" customHeight="1" outlineLevel="1" x14ac:dyDescent="0.25">
      <c r="I466" s="769"/>
      <c r="J466" s="769"/>
      <c r="K466" s="769">
        <f t="shared" si="79"/>
        <v>0</v>
      </c>
      <c r="L466" s="769">
        <f t="shared" si="80"/>
        <v>0</v>
      </c>
      <c r="M466" s="769"/>
      <c r="N466" s="769"/>
      <c r="O466" s="769"/>
      <c r="P466" s="769"/>
      <c r="Q466" s="769"/>
      <c r="R466" s="769"/>
      <c r="U466" s="770"/>
      <c r="V466" s="771">
        <f t="shared" si="81"/>
        <v>0</v>
      </c>
      <c r="W466" s="771">
        <f t="shared" si="82"/>
        <v>0</v>
      </c>
      <c r="X466" t="str">
        <f t="shared" si="83"/>
        <v/>
      </c>
      <c r="Y466" t="str">
        <f t="shared" si="84"/>
        <v/>
      </c>
      <c r="AA466" s="769">
        <f t="shared" si="90"/>
        <v>0</v>
      </c>
      <c r="AB466" s="772">
        <f t="shared" si="91"/>
        <v>0</v>
      </c>
      <c r="AC466" s="769"/>
      <c r="AE466" s="769"/>
      <c r="AF466" s="769"/>
      <c r="AG466" s="769"/>
      <c r="AH466" s="769"/>
      <c r="AI466" s="769"/>
      <c r="AJ466" s="769"/>
      <c r="AK466" s="769"/>
      <c r="AL466" s="769"/>
      <c r="AM466" s="769"/>
      <c r="AN466" s="769"/>
      <c r="AO466" s="769"/>
      <c r="AP466" s="774">
        <f t="shared" si="87"/>
        <v>0</v>
      </c>
      <c r="AS466" s="771"/>
      <c r="AT466" t="str">
        <f t="array" ref="AT466">IF(E466&lt;&gt;"Occupied","",_xlfn.IFS(AND(ISNUMBER(AC466),AC466&lt;&gt;0),"Structured",ISNUMBER(SEARCH("/mo con",T466)),"Notes-parsed",ISNUMBER(SEARCH("step",T466)),"Step-up",ISNUMBER(SEARCH("swap",T466)),"Rate-swap",AND(ISNUMBER(I466),ISNUMBER(J466),I466&gt;J466),"Implied",TRUE(),""))</f>
        <v/>
      </c>
      <c r="AU466" s="769" t="str">
        <f t="shared" si="88"/>
        <v/>
      </c>
      <c r="AV466" s="775">
        <f t="shared" si="89"/>
        <v>0</v>
      </c>
    </row>
    <row r="467" spans="9:48" ht="15" customHeight="1" outlineLevel="1" x14ac:dyDescent="0.25">
      <c r="I467" s="769"/>
      <c r="J467" s="769"/>
      <c r="K467" s="769">
        <f t="shared" si="79"/>
        <v>0</v>
      </c>
      <c r="L467" s="769">
        <f t="shared" si="80"/>
        <v>0</v>
      </c>
      <c r="M467" s="769"/>
      <c r="N467" s="769"/>
      <c r="O467" s="769"/>
      <c r="P467" s="769"/>
      <c r="Q467" s="769"/>
      <c r="R467" s="769"/>
      <c r="U467" s="770"/>
      <c r="V467" s="771">
        <f t="shared" si="81"/>
        <v>0</v>
      </c>
      <c r="W467" s="771">
        <f t="shared" si="82"/>
        <v>0</v>
      </c>
      <c r="X467" t="str">
        <f t="shared" si="83"/>
        <v/>
      </c>
      <c r="Y467" t="str">
        <f t="shared" si="84"/>
        <v/>
      </c>
      <c r="AA467" s="769">
        <f t="shared" si="90"/>
        <v>0</v>
      </c>
      <c r="AB467" s="772">
        <f t="shared" si="91"/>
        <v>0</v>
      </c>
      <c r="AC467" s="769"/>
      <c r="AE467" s="769"/>
      <c r="AF467" s="769"/>
      <c r="AG467" s="769"/>
      <c r="AH467" s="769"/>
      <c r="AI467" s="769"/>
      <c r="AJ467" s="769"/>
      <c r="AK467" s="769"/>
      <c r="AL467" s="769"/>
      <c r="AM467" s="769"/>
      <c r="AN467" s="769"/>
      <c r="AO467" s="769"/>
      <c r="AP467" s="774">
        <f t="shared" si="87"/>
        <v>0</v>
      </c>
      <c r="AS467" s="771"/>
      <c r="AT467" t="str">
        <f t="array" ref="AT467">IF(E467&lt;&gt;"Occupied","",_xlfn.IFS(AND(ISNUMBER(AC467),AC467&lt;&gt;0),"Structured",ISNUMBER(SEARCH("/mo con",T467)),"Notes-parsed",ISNUMBER(SEARCH("step",T467)),"Step-up",ISNUMBER(SEARCH("swap",T467)),"Rate-swap",AND(ISNUMBER(I467),ISNUMBER(J467),I467&gt;J467),"Implied",TRUE(),""))</f>
        <v/>
      </c>
      <c r="AU467" s="769" t="str">
        <f t="shared" si="88"/>
        <v/>
      </c>
      <c r="AV467" s="775">
        <f t="shared" si="89"/>
        <v>0</v>
      </c>
    </row>
    <row r="468" spans="9:48" ht="15" customHeight="1" outlineLevel="1" x14ac:dyDescent="0.25">
      <c r="I468" s="769"/>
      <c r="J468" s="769"/>
      <c r="K468" s="769">
        <f t="shared" si="79"/>
        <v>0</v>
      </c>
      <c r="L468" s="769">
        <f t="shared" si="80"/>
        <v>0</v>
      </c>
      <c r="M468" s="769"/>
      <c r="N468" s="769"/>
      <c r="O468" s="769"/>
      <c r="P468" s="769"/>
      <c r="Q468" s="769"/>
      <c r="R468" s="769"/>
      <c r="U468" s="770"/>
      <c r="V468" s="771">
        <f t="shared" si="81"/>
        <v>0</v>
      </c>
      <c r="W468" s="771">
        <f t="shared" si="82"/>
        <v>0</v>
      </c>
      <c r="X468" t="str">
        <f t="shared" si="83"/>
        <v/>
      </c>
      <c r="Y468" t="str">
        <f t="shared" si="84"/>
        <v/>
      </c>
      <c r="AA468" s="769">
        <f t="shared" si="90"/>
        <v>0</v>
      </c>
      <c r="AB468" s="772">
        <f t="shared" si="91"/>
        <v>0</v>
      </c>
      <c r="AC468" s="769"/>
      <c r="AE468" s="769"/>
      <c r="AF468" s="769"/>
      <c r="AG468" s="769"/>
      <c r="AH468" s="769"/>
      <c r="AI468" s="769"/>
      <c r="AJ468" s="769"/>
      <c r="AK468" s="769"/>
      <c r="AL468" s="769"/>
      <c r="AM468" s="769"/>
      <c r="AN468" s="769"/>
      <c r="AO468" s="769"/>
      <c r="AP468" s="774">
        <f t="shared" si="87"/>
        <v>0</v>
      </c>
      <c r="AS468" s="771"/>
      <c r="AT468" t="str">
        <f t="array" ref="AT468">IF(E468&lt;&gt;"Occupied","",_xlfn.IFS(AND(ISNUMBER(AC468),AC468&lt;&gt;0),"Structured",ISNUMBER(SEARCH("/mo con",T468)),"Notes-parsed",ISNUMBER(SEARCH("step",T468)),"Step-up",ISNUMBER(SEARCH("swap",T468)),"Rate-swap",AND(ISNUMBER(I468),ISNUMBER(J468),I468&gt;J468),"Implied",TRUE(),""))</f>
        <v/>
      </c>
      <c r="AU468" s="769" t="str">
        <f t="shared" si="88"/>
        <v/>
      </c>
      <c r="AV468" s="775">
        <f t="shared" si="89"/>
        <v>0</v>
      </c>
    </row>
    <row r="469" spans="9:48" ht="15" customHeight="1" outlineLevel="1" x14ac:dyDescent="0.25">
      <c r="I469" s="769"/>
      <c r="J469" s="769"/>
      <c r="K469" s="769">
        <f t="shared" si="79"/>
        <v>0</v>
      </c>
      <c r="L469" s="769">
        <f t="shared" si="80"/>
        <v>0</v>
      </c>
      <c r="M469" s="769"/>
      <c r="N469" s="769"/>
      <c r="O469" s="769"/>
      <c r="P469" s="769"/>
      <c r="Q469" s="769"/>
      <c r="R469" s="769"/>
      <c r="U469" s="770"/>
      <c r="V469" s="771">
        <f t="shared" si="81"/>
        <v>0</v>
      </c>
      <c r="W469" s="771">
        <f t="shared" si="82"/>
        <v>0</v>
      </c>
      <c r="X469" t="str">
        <f t="shared" si="83"/>
        <v/>
      </c>
      <c r="Y469" t="str">
        <f t="shared" si="84"/>
        <v/>
      </c>
      <c r="AA469" s="769">
        <f t="shared" si="90"/>
        <v>0</v>
      </c>
      <c r="AB469" s="772">
        <f t="shared" si="91"/>
        <v>0</v>
      </c>
      <c r="AC469" s="769"/>
      <c r="AE469" s="769"/>
      <c r="AF469" s="769"/>
      <c r="AG469" s="769"/>
      <c r="AH469" s="769"/>
      <c r="AI469" s="769"/>
      <c r="AJ469" s="769"/>
      <c r="AK469" s="769"/>
      <c r="AL469" s="769"/>
      <c r="AM469" s="769"/>
      <c r="AN469" s="769"/>
      <c r="AO469" s="769"/>
      <c r="AP469" s="774">
        <f t="shared" si="87"/>
        <v>0</v>
      </c>
      <c r="AS469" s="771"/>
      <c r="AT469" t="str">
        <f t="array" ref="AT469">IF(E469&lt;&gt;"Occupied","",_xlfn.IFS(AND(ISNUMBER(AC469),AC469&lt;&gt;0),"Structured",ISNUMBER(SEARCH("/mo con",T469)),"Notes-parsed",ISNUMBER(SEARCH("step",T469)),"Step-up",ISNUMBER(SEARCH("swap",T469)),"Rate-swap",AND(ISNUMBER(I469),ISNUMBER(J469),I469&gt;J469),"Implied",TRUE(),""))</f>
        <v/>
      </c>
      <c r="AU469" s="769" t="str">
        <f t="shared" si="88"/>
        <v/>
      </c>
      <c r="AV469" s="775">
        <f t="shared" si="89"/>
        <v>0</v>
      </c>
    </row>
    <row r="470" spans="9:48" ht="15" customHeight="1" outlineLevel="1" x14ac:dyDescent="0.25">
      <c r="I470" s="769"/>
      <c r="J470" s="769"/>
      <c r="K470" s="769">
        <f t="shared" si="79"/>
        <v>0</v>
      </c>
      <c r="L470" s="769">
        <f t="shared" si="80"/>
        <v>0</v>
      </c>
      <c r="M470" s="769"/>
      <c r="N470" s="769"/>
      <c r="O470" s="769"/>
      <c r="P470" s="769"/>
      <c r="Q470" s="769"/>
      <c r="R470" s="769"/>
      <c r="U470" s="770"/>
      <c r="V470" s="771">
        <f t="shared" si="81"/>
        <v>0</v>
      </c>
      <c r="W470" s="771">
        <f t="shared" si="82"/>
        <v>0</v>
      </c>
      <c r="X470" t="str">
        <f t="shared" si="83"/>
        <v/>
      </c>
      <c r="Y470" t="str">
        <f t="shared" si="84"/>
        <v/>
      </c>
      <c r="AA470" s="769">
        <f t="shared" si="90"/>
        <v>0</v>
      </c>
      <c r="AB470" s="772">
        <f t="shared" si="91"/>
        <v>0</v>
      </c>
      <c r="AC470" s="769"/>
      <c r="AE470" s="769"/>
      <c r="AF470" s="769"/>
      <c r="AG470" s="769"/>
      <c r="AH470" s="769"/>
      <c r="AI470" s="769"/>
      <c r="AJ470" s="769"/>
      <c r="AK470" s="769"/>
      <c r="AL470" s="769"/>
      <c r="AM470" s="769"/>
      <c r="AN470" s="769"/>
      <c r="AO470" s="769"/>
      <c r="AP470" s="774">
        <f t="shared" si="87"/>
        <v>0</v>
      </c>
      <c r="AS470" s="771"/>
      <c r="AT470" t="str">
        <f t="array" ref="AT470">IF(E470&lt;&gt;"Occupied","",_xlfn.IFS(AND(ISNUMBER(AC470),AC470&lt;&gt;0),"Structured",ISNUMBER(SEARCH("/mo con",T470)),"Notes-parsed",ISNUMBER(SEARCH("step",T470)),"Step-up",ISNUMBER(SEARCH("swap",T470)),"Rate-swap",AND(ISNUMBER(I470),ISNUMBER(J470),I470&gt;J470),"Implied",TRUE(),""))</f>
        <v/>
      </c>
      <c r="AU470" s="769" t="str">
        <f t="shared" si="88"/>
        <v/>
      </c>
      <c r="AV470" s="775">
        <f t="shared" si="89"/>
        <v>0</v>
      </c>
    </row>
    <row r="471" spans="9:48" ht="15" customHeight="1" outlineLevel="1" x14ac:dyDescent="0.25">
      <c r="I471" s="769"/>
      <c r="J471" s="769"/>
      <c r="K471" s="769">
        <f t="shared" si="79"/>
        <v>0</v>
      </c>
      <c r="L471" s="769">
        <f t="shared" si="80"/>
        <v>0</v>
      </c>
      <c r="M471" s="769"/>
      <c r="N471" s="769"/>
      <c r="O471" s="769"/>
      <c r="P471" s="769"/>
      <c r="Q471" s="769"/>
      <c r="R471" s="769"/>
      <c r="U471" s="770"/>
      <c r="V471" s="771">
        <f t="shared" si="81"/>
        <v>0</v>
      </c>
      <c r="W471" s="771">
        <f t="shared" si="82"/>
        <v>0</v>
      </c>
      <c r="X471" t="str">
        <f t="shared" si="83"/>
        <v/>
      </c>
      <c r="Y471" t="str">
        <f t="shared" si="84"/>
        <v/>
      </c>
      <c r="AA471" s="769">
        <f t="shared" si="90"/>
        <v>0</v>
      </c>
      <c r="AB471" s="772">
        <f t="shared" si="91"/>
        <v>0</v>
      </c>
      <c r="AC471" s="769"/>
      <c r="AE471" s="769"/>
      <c r="AF471" s="769"/>
      <c r="AG471" s="769"/>
      <c r="AH471" s="769"/>
      <c r="AI471" s="769"/>
      <c r="AJ471" s="769"/>
      <c r="AK471" s="769"/>
      <c r="AL471" s="769"/>
      <c r="AM471" s="769"/>
      <c r="AN471" s="769"/>
      <c r="AO471" s="769"/>
      <c r="AP471" s="774">
        <f t="shared" si="87"/>
        <v>0</v>
      </c>
      <c r="AS471" s="771"/>
      <c r="AT471" t="str">
        <f t="array" ref="AT471">IF(E471&lt;&gt;"Occupied","",_xlfn.IFS(AND(ISNUMBER(AC471),AC471&lt;&gt;0),"Structured",ISNUMBER(SEARCH("/mo con",T471)),"Notes-parsed",ISNUMBER(SEARCH("step",T471)),"Step-up",ISNUMBER(SEARCH("swap",T471)),"Rate-swap",AND(ISNUMBER(I471),ISNUMBER(J471),I471&gt;J471),"Implied",TRUE(),""))</f>
        <v/>
      </c>
      <c r="AU471" s="769" t="str">
        <f t="shared" si="88"/>
        <v/>
      </c>
      <c r="AV471" s="775">
        <f t="shared" si="89"/>
        <v>0</v>
      </c>
    </row>
    <row r="472" spans="9:48" ht="15" customHeight="1" outlineLevel="1" x14ac:dyDescent="0.25">
      <c r="I472" s="769"/>
      <c r="J472" s="769"/>
      <c r="K472" s="769">
        <f t="shared" si="79"/>
        <v>0</v>
      </c>
      <c r="L472" s="769">
        <f t="shared" si="80"/>
        <v>0</v>
      </c>
      <c r="M472" s="769"/>
      <c r="N472" s="769"/>
      <c r="O472" s="769"/>
      <c r="P472" s="769"/>
      <c r="Q472" s="769"/>
      <c r="R472" s="769"/>
      <c r="U472" s="770"/>
      <c r="V472" s="771">
        <f t="shared" si="81"/>
        <v>0</v>
      </c>
      <c r="W472" s="771">
        <f t="shared" si="82"/>
        <v>0</v>
      </c>
      <c r="X472" t="str">
        <f t="shared" si="83"/>
        <v/>
      </c>
      <c r="Y472" t="str">
        <f t="shared" si="84"/>
        <v/>
      </c>
      <c r="AA472" s="769">
        <f t="shared" si="90"/>
        <v>0</v>
      </c>
      <c r="AB472" s="772">
        <f t="shared" si="91"/>
        <v>0</v>
      </c>
      <c r="AC472" s="769"/>
      <c r="AE472" s="769"/>
      <c r="AF472" s="769"/>
      <c r="AG472" s="769"/>
      <c r="AH472" s="769"/>
      <c r="AI472" s="769"/>
      <c r="AJ472" s="769"/>
      <c r="AK472" s="769"/>
      <c r="AL472" s="769"/>
      <c r="AM472" s="769"/>
      <c r="AN472" s="769"/>
      <c r="AO472" s="769"/>
      <c r="AP472" s="774">
        <f t="shared" si="87"/>
        <v>0</v>
      </c>
      <c r="AS472" s="771"/>
      <c r="AT472" t="str">
        <f t="array" ref="AT472">IF(E472&lt;&gt;"Occupied","",_xlfn.IFS(AND(ISNUMBER(AC472),AC472&lt;&gt;0),"Structured",ISNUMBER(SEARCH("/mo con",T472)),"Notes-parsed",ISNUMBER(SEARCH("step",T472)),"Step-up",ISNUMBER(SEARCH("swap",T472)),"Rate-swap",AND(ISNUMBER(I472),ISNUMBER(J472),I472&gt;J472),"Implied",TRUE(),""))</f>
        <v/>
      </c>
      <c r="AU472" s="769" t="str">
        <f t="shared" si="88"/>
        <v/>
      </c>
      <c r="AV472" s="775">
        <f t="shared" si="89"/>
        <v>0</v>
      </c>
    </row>
    <row r="473" spans="9:48" ht="15" customHeight="1" outlineLevel="1" x14ac:dyDescent="0.25">
      <c r="I473" s="769"/>
      <c r="J473" s="769"/>
      <c r="K473" s="769">
        <f t="shared" si="79"/>
        <v>0</v>
      </c>
      <c r="L473" s="769">
        <f t="shared" si="80"/>
        <v>0</v>
      </c>
      <c r="M473" s="769"/>
      <c r="N473" s="769"/>
      <c r="O473" s="769"/>
      <c r="P473" s="769"/>
      <c r="Q473" s="769"/>
      <c r="R473" s="769"/>
      <c r="U473" s="770"/>
      <c r="V473" s="771">
        <f t="shared" si="81"/>
        <v>0</v>
      </c>
      <c r="W473" s="771">
        <f t="shared" si="82"/>
        <v>0</v>
      </c>
      <c r="X473" t="str">
        <f t="shared" si="83"/>
        <v/>
      </c>
      <c r="Y473" t="str">
        <f t="shared" si="84"/>
        <v/>
      </c>
      <c r="AA473" s="769">
        <f t="shared" si="90"/>
        <v>0</v>
      </c>
      <c r="AB473" s="772">
        <f t="shared" si="91"/>
        <v>0</v>
      </c>
      <c r="AC473" s="769"/>
      <c r="AE473" s="769"/>
      <c r="AF473" s="769"/>
      <c r="AG473" s="769"/>
      <c r="AH473" s="769"/>
      <c r="AI473" s="769"/>
      <c r="AJ473" s="769"/>
      <c r="AK473" s="769"/>
      <c r="AL473" s="769"/>
      <c r="AM473" s="769"/>
      <c r="AN473" s="769"/>
      <c r="AO473" s="769"/>
      <c r="AP473" s="774">
        <f t="shared" si="87"/>
        <v>0</v>
      </c>
      <c r="AS473" s="771"/>
      <c r="AT473" t="str">
        <f t="array" ref="AT473">IF(E473&lt;&gt;"Occupied","",_xlfn.IFS(AND(ISNUMBER(AC473),AC473&lt;&gt;0),"Structured",ISNUMBER(SEARCH("/mo con",T473)),"Notes-parsed",ISNUMBER(SEARCH("step",T473)),"Step-up",ISNUMBER(SEARCH("swap",T473)),"Rate-swap",AND(ISNUMBER(I473),ISNUMBER(J473),I473&gt;J473),"Implied",TRUE(),""))</f>
        <v/>
      </c>
      <c r="AU473" s="769" t="str">
        <f t="shared" si="88"/>
        <v/>
      </c>
      <c r="AV473" s="775">
        <f t="shared" si="89"/>
        <v>0</v>
      </c>
    </row>
    <row r="474" spans="9:48" ht="15" customHeight="1" outlineLevel="1" x14ac:dyDescent="0.25">
      <c r="I474" s="769"/>
      <c r="J474" s="769"/>
      <c r="K474" s="769">
        <f t="shared" si="79"/>
        <v>0</v>
      </c>
      <c r="L474" s="769">
        <f t="shared" si="80"/>
        <v>0</v>
      </c>
      <c r="M474" s="769"/>
      <c r="N474" s="769"/>
      <c r="O474" s="769"/>
      <c r="P474" s="769"/>
      <c r="Q474" s="769"/>
      <c r="R474" s="769"/>
      <c r="U474" s="770"/>
      <c r="V474" s="771">
        <f t="shared" si="81"/>
        <v>0</v>
      </c>
      <c r="W474" s="771">
        <f t="shared" si="82"/>
        <v>0</v>
      </c>
      <c r="X474" t="str">
        <f t="shared" si="83"/>
        <v/>
      </c>
      <c r="Y474" t="str">
        <f t="shared" si="84"/>
        <v/>
      </c>
      <c r="AA474" s="769">
        <f t="shared" si="90"/>
        <v>0</v>
      </c>
      <c r="AB474" s="772">
        <f t="shared" si="91"/>
        <v>0</v>
      </c>
      <c r="AC474" s="769"/>
      <c r="AE474" s="769"/>
      <c r="AF474" s="769"/>
      <c r="AG474" s="769"/>
      <c r="AH474" s="769"/>
      <c r="AI474" s="769"/>
      <c r="AJ474" s="769"/>
      <c r="AK474" s="769"/>
      <c r="AL474" s="769"/>
      <c r="AM474" s="769"/>
      <c r="AN474" s="769"/>
      <c r="AO474" s="769"/>
      <c r="AP474" s="774">
        <f t="shared" si="87"/>
        <v>0</v>
      </c>
      <c r="AS474" s="771"/>
      <c r="AT474" t="str">
        <f t="array" ref="AT474">IF(E474&lt;&gt;"Occupied","",_xlfn.IFS(AND(ISNUMBER(AC474),AC474&lt;&gt;0),"Structured",ISNUMBER(SEARCH("/mo con",T474)),"Notes-parsed",ISNUMBER(SEARCH("step",T474)),"Step-up",ISNUMBER(SEARCH("swap",T474)),"Rate-swap",AND(ISNUMBER(I474),ISNUMBER(J474),I474&gt;J474),"Implied",TRUE(),""))</f>
        <v/>
      </c>
      <c r="AU474" s="769" t="str">
        <f t="shared" si="88"/>
        <v/>
      </c>
      <c r="AV474" s="775">
        <f t="shared" si="89"/>
        <v>0</v>
      </c>
    </row>
    <row r="475" spans="9:48" ht="15" customHeight="1" outlineLevel="1" x14ac:dyDescent="0.25">
      <c r="I475" s="769"/>
      <c r="J475" s="769"/>
      <c r="K475" s="769">
        <f t="shared" si="79"/>
        <v>0</v>
      </c>
      <c r="L475" s="769">
        <f t="shared" si="80"/>
        <v>0</v>
      </c>
      <c r="M475" s="769"/>
      <c r="N475" s="769"/>
      <c r="O475" s="769"/>
      <c r="P475" s="769"/>
      <c r="Q475" s="769"/>
      <c r="R475" s="769"/>
      <c r="U475" s="770"/>
      <c r="V475" s="771">
        <f t="shared" si="81"/>
        <v>0</v>
      </c>
      <c r="W475" s="771">
        <f t="shared" si="82"/>
        <v>0</v>
      </c>
      <c r="X475" t="str">
        <f t="shared" si="83"/>
        <v/>
      </c>
      <c r="Y475" t="str">
        <f t="shared" si="84"/>
        <v/>
      </c>
      <c r="AA475" s="769">
        <f t="shared" si="90"/>
        <v>0</v>
      </c>
      <c r="AB475" s="772">
        <f t="shared" si="91"/>
        <v>0</v>
      </c>
      <c r="AC475" s="769"/>
      <c r="AE475" s="769"/>
      <c r="AF475" s="769"/>
      <c r="AG475" s="769"/>
      <c r="AH475" s="769"/>
      <c r="AI475" s="769"/>
      <c r="AJ475" s="769"/>
      <c r="AK475" s="769"/>
      <c r="AL475" s="769"/>
      <c r="AM475" s="769"/>
      <c r="AN475" s="769"/>
      <c r="AO475" s="769"/>
      <c r="AP475" s="774">
        <f t="shared" si="87"/>
        <v>0</v>
      </c>
      <c r="AS475" s="771"/>
      <c r="AT475" t="str">
        <f t="array" ref="AT475">IF(E475&lt;&gt;"Occupied","",_xlfn.IFS(AND(ISNUMBER(AC475),AC475&lt;&gt;0),"Structured",ISNUMBER(SEARCH("/mo con",T475)),"Notes-parsed",ISNUMBER(SEARCH("step",T475)),"Step-up",ISNUMBER(SEARCH("swap",T475)),"Rate-swap",AND(ISNUMBER(I475),ISNUMBER(J475),I475&gt;J475),"Implied",TRUE(),""))</f>
        <v/>
      </c>
      <c r="AU475" s="769" t="str">
        <f t="shared" si="88"/>
        <v/>
      </c>
      <c r="AV475" s="775">
        <f t="shared" si="89"/>
        <v>0</v>
      </c>
    </row>
    <row r="476" spans="9:48" ht="15" customHeight="1" outlineLevel="1" x14ac:dyDescent="0.25">
      <c r="I476" s="769"/>
      <c r="J476" s="769"/>
      <c r="K476" s="769">
        <f t="shared" si="79"/>
        <v>0</v>
      </c>
      <c r="L476" s="769">
        <f t="shared" si="80"/>
        <v>0</v>
      </c>
      <c r="M476" s="769"/>
      <c r="N476" s="769"/>
      <c r="O476" s="769"/>
      <c r="P476" s="769"/>
      <c r="Q476" s="769"/>
      <c r="R476" s="769"/>
      <c r="U476" s="770"/>
      <c r="V476" s="771">
        <f t="shared" si="81"/>
        <v>0</v>
      </c>
      <c r="W476" s="771">
        <f t="shared" si="82"/>
        <v>0</v>
      </c>
      <c r="X476" t="str">
        <f t="shared" si="83"/>
        <v/>
      </c>
      <c r="Y476" t="str">
        <f t="shared" si="84"/>
        <v/>
      </c>
      <c r="AA476" s="769">
        <f t="shared" si="90"/>
        <v>0</v>
      </c>
      <c r="AB476" s="772">
        <f t="shared" si="91"/>
        <v>0</v>
      </c>
      <c r="AC476" s="769"/>
      <c r="AE476" s="769"/>
      <c r="AF476" s="769"/>
      <c r="AG476" s="769"/>
      <c r="AH476" s="769"/>
      <c r="AI476" s="769"/>
      <c r="AJ476" s="769"/>
      <c r="AK476" s="769"/>
      <c r="AL476" s="769"/>
      <c r="AM476" s="769"/>
      <c r="AN476" s="769"/>
      <c r="AO476" s="769"/>
      <c r="AP476" s="774">
        <f t="shared" si="87"/>
        <v>0</v>
      </c>
      <c r="AS476" s="771"/>
      <c r="AT476" t="str">
        <f t="array" ref="AT476">IF(E476&lt;&gt;"Occupied","",_xlfn.IFS(AND(ISNUMBER(AC476),AC476&lt;&gt;0),"Structured",ISNUMBER(SEARCH("/mo con",T476)),"Notes-parsed",ISNUMBER(SEARCH("step",T476)),"Step-up",ISNUMBER(SEARCH("swap",T476)),"Rate-swap",AND(ISNUMBER(I476),ISNUMBER(J476),I476&gt;J476),"Implied",TRUE(),""))</f>
        <v/>
      </c>
      <c r="AU476" s="769" t="str">
        <f t="shared" si="88"/>
        <v/>
      </c>
      <c r="AV476" s="775">
        <f t="shared" si="89"/>
        <v>0</v>
      </c>
    </row>
    <row r="477" spans="9:48" ht="15" customHeight="1" outlineLevel="1" x14ac:dyDescent="0.25">
      <c r="I477" s="769"/>
      <c r="J477" s="769"/>
      <c r="K477" s="769">
        <f t="shared" si="79"/>
        <v>0</v>
      </c>
      <c r="L477" s="769">
        <f t="shared" si="80"/>
        <v>0</v>
      </c>
      <c r="M477" s="769"/>
      <c r="N477" s="769"/>
      <c r="O477" s="769"/>
      <c r="P477" s="769"/>
      <c r="Q477" s="769"/>
      <c r="R477" s="769"/>
      <c r="U477" s="770"/>
      <c r="V477" s="771">
        <f t="shared" si="81"/>
        <v>0</v>
      </c>
      <c r="W477" s="771">
        <f t="shared" si="82"/>
        <v>0</v>
      </c>
      <c r="X477" t="str">
        <f t="shared" si="83"/>
        <v/>
      </c>
      <c r="Y477" t="str">
        <f t="shared" si="84"/>
        <v/>
      </c>
      <c r="AA477" s="769">
        <f t="shared" si="90"/>
        <v>0</v>
      </c>
      <c r="AB477" s="772">
        <f t="shared" si="91"/>
        <v>0</v>
      </c>
      <c r="AC477" s="769"/>
      <c r="AE477" s="769"/>
      <c r="AF477" s="769"/>
      <c r="AG477" s="769"/>
      <c r="AH477" s="769"/>
      <c r="AI477" s="769"/>
      <c r="AJ477" s="769"/>
      <c r="AK477" s="769"/>
      <c r="AL477" s="769"/>
      <c r="AM477" s="769"/>
      <c r="AN477" s="769"/>
      <c r="AO477" s="769"/>
      <c r="AP477" s="774">
        <f t="shared" si="87"/>
        <v>0</v>
      </c>
      <c r="AS477" s="771"/>
      <c r="AT477" t="str">
        <f t="array" ref="AT477">IF(E477&lt;&gt;"Occupied","",_xlfn.IFS(AND(ISNUMBER(AC477),AC477&lt;&gt;0),"Structured",ISNUMBER(SEARCH("/mo con",T477)),"Notes-parsed",ISNUMBER(SEARCH("step",T477)),"Step-up",ISNUMBER(SEARCH("swap",T477)),"Rate-swap",AND(ISNUMBER(I477),ISNUMBER(J477),I477&gt;J477),"Implied",TRUE(),""))</f>
        <v/>
      </c>
      <c r="AU477" s="769" t="str">
        <f t="shared" si="88"/>
        <v/>
      </c>
      <c r="AV477" s="775">
        <f t="shared" si="89"/>
        <v>0</v>
      </c>
    </row>
    <row r="478" spans="9:48" ht="15" customHeight="1" outlineLevel="1" x14ac:dyDescent="0.25">
      <c r="I478" s="769"/>
      <c r="J478" s="769"/>
      <c r="K478" s="769">
        <f t="shared" si="79"/>
        <v>0</v>
      </c>
      <c r="L478" s="769">
        <f t="shared" si="80"/>
        <v>0</v>
      </c>
      <c r="M478" s="769"/>
      <c r="N478" s="769"/>
      <c r="O478" s="769"/>
      <c r="P478" s="769"/>
      <c r="Q478" s="769"/>
      <c r="R478" s="769"/>
      <c r="U478" s="770"/>
      <c r="V478" s="771">
        <f t="shared" si="81"/>
        <v>0</v>
      </c>
      <c r="W478" s="771">
        <f t="shared" si="82"/>
        <v>0</v>
      </c>
      <c r="X478" t="str">
        <f t="shared" si="83"/>
        <v/>
      </c>
      <c r="Y478" t="str">
        <f t="shared" si="84"/>
        <v/>
      </c>
      <c r="AA478" s="769">
        <f t="shared" si="90"/>
        <v>0</v>
      </c>
      <c r="AB478" s="772">
        <f t="shared" si="91"/>
        <v>0</v>
      </c>
      <c r="AC478" s="769"/>
      <c r="AE478" s="769"/>
      <c r="AF478" s="769"/>
      <c r="AG478" s="769"/>
      <c r="AH478" s="769"/>
      <c r="AI478" s="769"/>
      <c r="AJ478" s="769"/>
      <c r="AK478" s="769"/>
      <c r="AL478" s="769"/>
      <c r="AM478" s="769"/>
      <c r="AN478" s="769"/>
      <c r="AO478" s="769"/>
      <c r="AP478" s="774">
        <f t="shared" si="87"/>
        <v>0</v>
      </c>
      <c r="AS478" s="771"/>
      <c r="AT478" t="str">
        <f t="array" ref="AT478">IF(E478&lt;&gt;"Occupied","",_xlfn.IFS(AND(ISNUMBER(AC478),AC478&lt;&gt;0),"Structured",ISNUMBER(SEARCH("/mo con",T478)),"Notes-parsed",ISNUMBER(SEARCH("step",T478)),"Step-up",ISNUMBER(SEARCH("swap",T478)),"Rate-swap",AND(ISNUMBER(I478),ISNUMBER(J478),I478&gt;J478),"Implied",TRUE(),""))</f>
        <v/>
      </c>
      <c r="AU478" s="769" t="str">
        <f t="shared" si="88"/>
        <v/>
      </c>
      <c r="AV478" s="775">
        <f t="shared" si="89"/>
        <v>0</v>
      </c>
    </row>
    <row r="479" spans="9:48" ht="15" customHeight="1" outlineLevel="1" x14ac:dyDescent="0.25">
      <c r="I479" s="769"/>
      <c r="J479" s="769"/>
      <c r="K479" s="769">
        <f t="shared" si="79"/>
        <v>0</v>
      </c>
      <c r="L479" s="769">
        <f t="shared" si="80"/>
        <v>0</v>
      </c>
      <c r="M479" s="769"/>
      <c r="N479" s="769"/>
      <c r="O479" s="769"/>
      <c r="P479" s="769"/>
      <c r="Q479" s="769"/>
      <c r="R479" s="769"/>
      <c r="U479" s="770"/>
      <c r="V479" s="771">
        <f t="shared" si="81"/>
        <v>0</v>
      </c>
      <c r="W479" s="771">
        <f t="shared" si="82"/>
        <v>0</v>
      </c>
      <c r="X479" t="str">
        <f t="shared" si="83"/>
        <v/>
      </c>
      <c r="Y479" t="str">
        <f t="shared" si="84"/>
        <v/>
      </c>
      <c r="AA479" s="769">
        <f t="shared" si="90"/>
        <v>0</v>
      </c>
      <c r="AB479" s="772">
        <f t="shared" si="91"/>
        <v>0</v>
      </c>
      <c r="AC479" s="769"/>
      <c r="AE479" s="769"/>
      <c r="AF479" s="769"/>
      <c r="AG479" s="769"/>
      <c r="AH479" s="769"/>
      <c r="AI479" s="769"/>
      <c r="AJ479" s="769"/>
      <c r="AK479" s="769"/>
      <c r="AL479" s="769"/>
      <c r="AM479" s="769"/>
      <c r="AN479" s="769"/>
      <c r="AO479" s="769"/>
      <c r="AP479" s="774">
        <f t="shared" si="87"/>
        <v>0</v>
      </c>
      <c r="AS479" s="771"/>
      <c r="AT479" t="str">
        <f t="array" ref="AT479">IF(E479&lt;&gt;"Occupied","",_xlfn.IFS(AND(ISNUMBER(AC479),AC479&lt;&gt;0),"Structured",ISNUMBER(SEARCH("/mo con",T479)),"Notes-parsed",ISNUMBER(SEARCH("step",T479)),"Step-up",ISNUMBER(SEARCH("swap",T479)),"Rate-swap",AND(ISNUMBER(I479),ISNUMBER(J479),I479&gt;J479),"Implied",TRUE(),""))</f>
        <v/>
      </c>
      <c r="AU479" s="769" t="str">
        <f t="shared" si="88"/>
        <v/>
      </c>
      <c r="AV479" s="775">
        <f t="shared" si="89"/>
        <v>0</v>
      </c>
    </row>
    <row r="480" spans="9:48" ht="15" customHeight="1" outlineLevel="1" x14ac:dyDescent="0.25">
      <c r="I480" s="769"/>
      <c r="J480" s="769"/>
      <c r="K480" s="769">
        <f t="shared" ref="K480:K543" si="92">N(IFERROR(IF(A480="","",N(AE480)+N(AF480)+N(AG480)+N(AH480)),0))</f>
        <v>0</v>
      </c>
      <c r="L480" s="769">
        <f t="shared" ref="L480:L543" si="93">N(IFERROR(IF(A480="","",N(J480)+N(K480)),0))</f>
        <v>0</v>
      </c>
      <c r="M480" s="769"/>
      <c r="N480" s="769"/>
      <c r="O480" s="769"/>
      <c r="P480" s="769"/>
      <c r="Q480" s="769"/>
      <c r="R480" s="769"/>
      <c r="U480" s="770"/>
      <c r="V480" s="771">
        <f t="shared" ref="V480:V543" si="94">N(IFERROR(IF(OR(A480="",U480="",U480=0,J480=""),"",J480/U480),""))</f>
        <v>0</v>
      </c>
      <c r="W480" s="771">
        <f t="shared" ref="W480:W543" si="95">N(IFERROR(IF(V480="","",V480*12),""))</f>
        <v>0</v>
      </c>
      <c r="X480" t="str">
        <f t="shared" ref="X480:X543" si="96">IF(AND(E480&lt;&gt;"",E480&lt;&gt;"Vacant",E480&lt;&gt;"Reserved",C480&lt;&gt;"",D480&lt;&gt;""),C480&amp;"|"&amp;D480,"")</f>
        <v/>
      </c>
      <c r="Y480" t="str">
        <f t="shared" ref="Y480:Y543" si="97">IF(AND(C480&lt;&gt;"",D480&lt;&gt;""),C480&amp;"|"&amp;D480,"")</f>
        <v/>
      </c>
      <c r="AA480" s="769">
        <f t="shared" si="90"/>
        <v>0</v>
      </c>
      <c r="AB480" s="772">
        <f t="shared" si="91"/>
        <v>0</v>
      </c>
      <c r="AC480" s="769"/>
      <c r="AE480" s="769"/>
      <c r="AF480" s="769"/>
      <c r="AG480" s="769"/>
      <c r="AH480" s="769"/>
      <c r="AI480" s="769"/>
      <c r="AJ480" s="769"/>
      <c r="AK480" s="769"/>
      <c r="AL480" s="769"/>
      <c r="AM480" s="769"/>
      <c r="AN480" s="769"/>
      <c r="AO480" s="769"/>
      <c r="AP480" s="774">
        <f t="shared" ref="AP480:AP543" si="98">SUM(AJ480:AN480)</f>
        <v>0</v>
      </c>
      <c r="AS480" s="771"/>
      <c r="AT480" t="str">
        <f t="array" ref="AT480">IF(E480&lt;&gt;"Occupied","",_xlfn.IFS(AND(ISNUMBER(AC480),AC480&lt;&gt;0),"Structured",ISNUMBER(SEARCH("/mo con",T480)),"Notes-parsed",ISNUMBER(SEARCH("step",T480)),"Step-up",ISNUMBER(SEARCH("swap",T480)),"Rate-swap",AND(ISNUMBER(I480),ISNUMBER(J480),I480&gt;J480),"Implied",TRUE(),""))</f>
        <v/>
      </c>
      <c r="AU480" s="769" t="str">
        <f t="shared" ref="AU480:AU543" si="99">IF(AC480&lt;&gt;"",AC480,IF(AT480="Implied",-(I480-J480),IF(OR(AT480="Step-up",AT480="Rate-swap"),"see notes","")))</f>
        <v/>
      </c>
      <c r="AV480" s="775">
        <f t="shared" ref="AV480:AV543" si="100">N(IF($E480&lt;&gt;"Occupied","",$J480-IFERROR($AC480*(IF(AND(ISNUMBER($G480),ISNUMBER($AD480),$AD480&gt;$G480),(YEAR($AD480)-YEAR($G480))*12+MONTH($AD480)-MONTH($G480),$AC$174))/$AC$174,0)))</f>
        <v>0</v>
      </c>
    </row>
    <row r="481" spans="9:48" ht="15" customHeight="1" outlineLevel="1" x14ac:dyDescent="0.25">
      <c r="I481" s="769"/>
      <c r="J481" s="769"/>
      <c r="K481" s="769">
        <f t="shared" si="92"/>
        <v>0</v>
      </c>
      <c r="L481" s="769">
        <f t="shared" si="93"/>
        <v>0</v>
      </c>
      <c r="M481" s="769"/>
      <c r="N481" s="769"/>
      <c r="O481" s="769"/>
      <c r="P481" s="769"/>
      <c r="Q481" s="769"/>
      <c r="R481" s="769"/>
      <c r="U481" s="770"/>
      <c r="V481" s="771">
        <f t="shared" si="94"/>
        <v>0</v>
      </c>
      <c r="W481" s="771">
        <f t="shared" si="95"/>
        <v>0</v>
      </c>
      <c r="X481" t="str">
        <f t="shared" si="96"/>
        <v/>
      </c>
      <c r="Y481" t="str">
        <f t="shared" si="97"/>
        <v/>
      </c>
      <c r="AA481" s="769">
        <f t="shared" si="90"/>
        <v>0</v>
      </c>
      <c r="AB481" s="772">
        <f t="shared" si="91"/>
        <v>0</v>
      </c>
      <c r="AC481" s="769"/>
      <c r="AE481" s="769"/>
      <c r="AF481" s="769"/>
      <c r="AG481" s="769"/>
      <c r="AH481" s="769"/>
      <c r="AI481" s="769"/>
      <c r="AJ481" s="769"/>
      <c r="AK481" s="769"/>
      <c r="AL481" s="769"/>
      <c r="AM481" s="769"/>
      <c r="AN481" s="769"/>
      <c r="AO481" s="769"/>
      <c r="AP481" s="774">
        <f t="shared" si="98"/>
        <v>0</v>
      </c>
      <c r="AS481" s="771"/>
      <c r="AT481" t="str">
        <f t="array" ref="AT481">IF(E481&lt;&gt;"Occupied","",_xlfn.IFS(AND(ISNUMBER(AC481),AC481&lt;&gt;0),"Structured",ISNUMBER(SEARCH("/mo con",T481)),"Notes-parsed",ISNUMBER(SEARCH("step",T481)),"Step-up",ISNUMBER(SEARCH("swap",T481)),"Rate-swap",AND(ISNUMBER(I481),ISNUMBER(J481),I481&gt;J481),"Implied",TRUE(),""))</f>
        <v/>
      </c>
      <c r="AU481" s="769" t="str">
        <f t="shared" si="99"/>
        <v/>
      </c>
      <c r="AV481" s="775">
        <f t="shared" si="100"/>
        <v>0</v>
      </c>
    </row>
    <row r="482" spans="9:48" ht="15" customHeight="1" outlineLevel="1" x14ac:dyDescent="0.25">
      <c r="I482" s="769"/>
      <c r="J482" s="769"/>
      <c r="K482" s="769">
        <f t="shared" si="92"/>
        <v>0</v>
      </c>
      <c r="L482" s="769">
        <f t="shared" si="93"/>
        <v>0</v>
      </c>
      <c r="M482" s="769"/>
      <c r="N482" s="769"/>
      <c r="O482" s="769"/>
      <c r="P482" s="769"/>
      <c r="Q482" s="769"/>
      <c r="R482" s="769"/>
      <c r="U482" s="770"/>
      <c r="V482" s="771">
        <f t="shared" si="94"/>
        <v>0</v>
      </c>
      <c r="W482" s="771">
        <f t="shared" si="95"/>
        <v>0</v>
      </c>
      <c r="X482" t="str">
        <f t="shared" si="96"/>
        <v/>
      </c>
      <c r="Y482" t="str">
        <f t="shared" si="97"/>
        <v/>
      </c>
      <c r="AA482" s="769">
        <f t="shared" si="90"/>
        <v>0</v>
      </c>
      <c r="AB482" s="772">
        <f t="shared" si="91"/>
        <v>0</v>
      </c>
      <c r="AC482" s="769"/>
      <c r="AE482" s="769"/>
      <c r="AF482" s="769"/>
      <c r="AG482" s="769"/>
      <c r="AH482" s="769"/>
      <c r="AI482" s="769"/>
      <c r="AJ482" s="769"/>
      <c r="AK482" s="769"/>
      <c r="AL482" s="769"/>
      <c r="AM482" s="769"/>
      <c r="AN482" s="769"/>
      <c r="AO482" s="769"/>
      <c r="AP482" s="774">
        <f t="shared" si="98"/>
        <v>0</v>
      </c>
      <c r="AS482" s="771"/>
      <c r="AT482" t="str">
        <f t="array" ref="AT482">IF(E482&lt;&gt;"Occupied","",_xlfn.IFS(AND(ISNUMBER(AC482),AC482&lt;&gt;0),"Structured",ISNUMBER(SEARCH("/mo con",T482)),"Notes-parsed",ISNUMBER(SEARCH("step",T482)),"Step-up",ISNUMBER(SEARCH("swap",T482)),"Rate-swap",AND(ISNUMBER(I482),ISNUMBER(J482),I482&gt;J482),"Implied",TRUE(),""))</f>
        <v/>
      </c>
      <c r="AU482" s="769" t="str">
        <f t="shared" si="99"/>
        <v/>
      </c>
      <c r="AV482" s="775">
        <f t="shared" si="100"/>
        <v>0</v>
      </c>
    </row>
    <row r="483" spans="9:48" ht="15" customHeight="1" outlineLevel="1" x14ac:dyDescent="0.25">
      <c r="I483" s="769"/>
      <c r="J483" s="769"/>
      <c r="K483" s="769">
        <f t="shared" si="92"/>
        <v>0</v>
      </c>
      <c r="L483" s="769">
        <f t="shared" si="93"/>
        <v>0</v>
      </c>
      <c r="M483" s="769"/>
      <c r="N483" s="769"/>
      <c r="O483" s="769"/>
      <c r="P483" s="769"/>
      <c r="Q483" s="769"/>
      <c r="R483" s="769"/>
      <c r="U483" s="770"/>
      <c r="V483" s="771">
        <f t="shared" si="94"/>
        <v>0</v>
      </c>
      <c r="W483" s="771">
        <f t="shared" si="95"/>
        <v>0</v>
      </c>
      <c r="X483" t="str">
        <f t="shared" si="96"/>
        <v/>
      </c>
      <c r="Y483" t="str">
        <f t="shared" si="97"/>
        <v/>
      </c>
      <c r="AA483" s="769">
        <f t="shared" si="90"/>
        <v>0</v>
      </c>
      <c r="AB483" s="772">
        <f t="shared" si="91"/>
        <v>0</v>
      </c>
      <c r="AC483" s="769"/>
      <c r="AE483" s="769"/>
      <c r="AF483" s="769"/>
      <c r="AG483" s="769"/>
      <c r="AH483" s="769"/>
      <c r="AI483" s="769"/>
      <c r="AJ483" s="769"/>
      <c r="AK483" s="769"/>
      <c r="AL483" s="769"/>
      <c r="AM483" s="769"/>
      <c r="AN483" s="769"/>
      <c r="AO483" s="769"/>
      <c r="AP483" s="774">
        <f t="shared" si="98"/>
        <v>0</v>
      </c>
      <c r="AS483" s="771"/>
      <c r="AT483" t="str">
        <f t="array" ref="AT483">IF(E483&lt;&gt;"Occupied","",_xlfn.IFS(AND(ISNUMBER(AC483),AC483&lt;&gt;0),"Structured",ISNUMBER(SEARCH("/mo con",T483)),"Notes-parsed",ISNUMBER(SEARCH("step",T483)),"Step-up",ISNUMBER(SEARCH("swap",T483)),"Rate-swap",AND(ISNUMBER(I483),ISNUMBER(J483),I483&gt;J483),"Implied",TRUE(),""))</f>
        <v/>
      </c>
      <c r="AU483" s="769" t="str">
        <f t="shared" si="99"/>
        <v/>
      </c>
      <c r="AV483" s="775">
        <f t="shared" si="100"/>
        <v>0</v>
      </c>
    </row>
    <row r="484" spans="9:48" ht="15" customHeight="1" outlineLevel="1" x14ac:dyDescent="0.25">
      <c r="I484" s="769"/>
      <c r="J484" s="769"/>
      <c r="K484" s="769">
        <f t="shared" si="92"/>
        <v>0</v>
      </c>
      <c r="L484" s="769">
        <f t="shared" si="93"/>
        <v>0</v>
      </c>
      <c r="M484" s="769"/>
      <c r="N484" s="769"/>
      <c r="O484" s="769"/>
      <c r="P484" s="769"/>
      <c r="Q484" s="769"/>
      <c r="R484" s="769"/>
      <c r="U484" s="770"/>
      <c r="V484" s="771">
        <f t="shared" si="94"/>
        <v>0</v>
      </c>
      <c r="W484" s="771">
        <f t="shared" si="95"/>
        <v>0</v>
      </c>
      <c r="X484" t="str">
        <f t="shared" si="96"/>
        <v/>
      </c>
      <c r="Y484" t="str">
        <f t="shared" si="97"/>
        <v/>
      </c>
      <c r="AA484" s="769">
        <f t="shared" si="90"/>
        <v>0</v>
      </c>
      <c r="AB484" s="772">
        <f t="shared" si="91"/>
        <v>0</v>
      </c>
      <c r="AC484" s="769"/>
      <c r="AE484" s="769"/>
      <c r="AF484" s="769"/>
      <c r="AG484" s="769"/>
      <c r="AH484" s="769"/>
      <c r="AI484" s="769"/>
      <c r="AJ484" s="769"/>
      <c r="AK484" s="769"/>
      <c r="AL484" s="769"/>
      <c r="AM484" s="769"/>
      <c r="AN484" s="769"/>
      <c r="AO484" s="769"/>
      <c r="AP484" s="774">
        <f t="shared" si="98"/>
        <v>0</v>
      </c>
      <c r="AS484" s="771"/>
      <c r="AT484" t="str">
        <f t="array" ref="AT484">IF(E484&lt;&gt;"Occupied","",_xlfn.IFS(AND(ISNUMBER(AC484),AC484&lt;&gt;0),"Structured",ISNUMBER(SEARCH("/mo con",T484)),"Notes-parsed",ISNUMBER(SEARCH("step",T484)),"Step-up",ISNUMBER(SEARCH("swap",T484)),"Rate-swap",AND(ISNUMBER(I484),ISNUMBER(J484),I484&gt;J484),"Implied",TRUE(),""))</f>
        <v/>
      </c>
      <c r="AU484" s="769" t="str">
        <f t="shared" si="99"/>
        <v/>
      </c>
      <c r="AV484" s="775">
        <f t="shared" si="100"/>
        <v>0</v>
      </c>
    </row>
    <row r="485" spans="9:48" ht="15" customHeight="1" outlineLevel="1" x14ac:dyDescent="0.25">
      <c r="I485" s="769"/>
      <c r="J485" s="769"/>
      <c r="K485" s="769">
        <f t="shared" si="92"/>
        <v>0</v>
      </c>
      <c r="L485" s="769">
        <f t="shared" si="93"/>
        <v>0</v>
      </c>
      <c r="M485" s="769"/>
      <c r="N485" s="769"/>
      <c r="O485" s="769"/>
      <c r="P485" s="769"/>
      <c r="Q485" s="769"/>
      <c r="R485" s="769"/>
      <c r="U485" s="770"/>
      <c r="V485" s="771">
        <f t="shared" si="94"/>
        <v>0</v>
      </c>
      <c r="W485" s="771">
        <f t="shared" si="95"/>
        <v>0</v>
      </c>
      <c r="X485" t="str">
        <f t="shared" si="96"/>
        <v/>
      </c>
      <c r="Y485" t="str">
        <f t="shared" si="97"/>
        <v/>
      </c>
      <c r="AA485" s="769">
        <f t="shared" si="90"/>
        <v>0</v>
      </c>
      <c r="AB485" s="772">
        <f t="shared" si="91"/>
        <v>0</v>
      </c>
      <c r="AC485" s="769"/>
      <c r="AE485" s="769"/>
      <c r="AF485" s="769"/>
      <c r="AG485" s="769"/>
      <c r="AH485" s="769"/>
      <c r="AI485" s="769"/>
      <c r="AJ485" s="769"/>
      <c r="AK485" s="769"/>
      <c r="AL485" s="769"/>
      <c r="AM485" s="769"/>
      <c r="AN485" s="769"/>
      <c r="AO485" s="769"/>
      <c r="AP485" s="774">
        <f t="shared" si="98"/>
        <v>0</v>
      </c>
      <c r="AS485" s="771"/>
      <c r="AT485" t="str">
        <f t="array" ref="AT485">IF(E485&lt;&gt;"Occupied","",_xlfn.IFS(AND(ISNUMBER(AC485),AC485&lt;&gt;0),"Structured",ISNUMBER(SEARCH("/mo con",T485)),"Notes-parsed",ISNUMBER(SEARCH("step",T485)),"Step-up",ISNUMBER(SEARCH("swap",T485)),"Rate-swap",AND(ISNUMBER(I485),ISNUMBER(J485),I485&gt;J485),"Implied",TRUE(),""))</f>
        <v/>
      </c>
      <c r="AU485" s="769" t="str">
        <f t="shared" si="99"/>
        <v/>
      </c>
      <c r="AV485" s="775">
        <f t="shared" si="100"/>
        <v>0</v>
      </c>
    </row>
    <row r="486" spans="9:48" ht="15" customHeight="1" outlineLevel="1" x14ac:dyDescent="0.25">
      <c r="I486" s="769"/>
      <c r="J486" s="769"/>
      <c r="K486" s="769">
        <f t="shared" si="92"/>
        <v>0</v>
      </c>
      <c r="L486" s="769">
        <f t="shared" si="93"/>
        <v>0</v>
      </c>
      <c r="M486" s="769"/>
      <c r="N486" s="769"/>
      <c r="O486" s="769"/>
      <c r="P486" s="769"/>
      <c r="Q486" s="769"/>
      <c r="R486" s="769"/>
      <c r="U486" s="770"/>
      <c r="V486" s="771">
        <f t="shared" si="94"/>
        <v>0</v>
      </c>
      <c r="W486" s="771">
        <f t="shared" si="95"/>
        <v>0</v>
      </c>
      <c r="X486" t="str">
        <f t="shared" si="96"/>
        <v/>
      </c>
      <c r="Y486" t="str">
        <f t="shared" si="97"/>
        <v/>
      </c>
      <c r="AA486" s="769">
        <f t="shared" si="90"/>
        <v>0</v>
      </c>
      <c r="AB486" s="772">
        <f t="shared" si="91"/>
        <v>0</v>
      </c>
      <c r="AC486" s="769"/>
      <c r="AE486" s="769"/>
      <c r="AF486" s="769"/>
      <c r="AG486" s="769"/>
      <c r="AH486" s="769"/>
      <c r="AI486" s="769"/>
      <c r="AJ486" s="769"/>
      <c r="AK486" s="769"/>
      <c r="AL486" s="769"/>
      <c r="AM486" s="769"/>
      <c r="AN486" s="769"/>
      <c r="AO486" s="769"/>
      <c r="AP486" s="774">
        <f t="shared" si="98"/>
        <v>0</v>
      </c>
      <c r="AS486" s="771"/>
      <c r="AT486" t="str">
        <f t="array" ref="AT486">IF(E486&lt;&gt;"Occupied","",_xlfn.IFS(AND(ISNUMBER(AC486),AC486&lt;&gt;0),"Structured",ISNUMBER(SEARCH("/mo con",T486)),"Notes-parsed",ISNUMBER(SEARCH("step",T486)),"Step-up",ISNUMBER(SEARCH("swap",T486)),"Rate-swap",AND(ISNUMBER(I486),ISNUMBER(J486),I486&gt;J486),"Implied",TRUE(),""))</f>
        <v/>
      </c>
      <c r="AU486" s="769" t="str">
        <f t="shared" si="99"/>
        <v/>
      </c>
      <c r="AV486" s="775">
        <f t="shared" si="100"/>
        <v>0</v>
      </c>
    </row>
    <row r="487" spans="9:48" ht="15" customHeight="1" outlineLevel="1" x14ac:dyDescent="0.25">
      <c r="I487" s="769"/>
      <c r="J487" s="769"/>
      <c r="K487" s="769">
        <f t="shared" si="92"/>
        <v>0</v>
      </c>
      <c r="L487" s="769">
        <f t="shared" si="93"/>
        <v>0</v>
      </c>
      <c r="M487" s="769"/>
      <c r="N487" s="769"/>
      <c r="O487" s="769"/>
      <c r="P487" s="769"/>
      <c r="Q487" s="769"/>
      <c r="R487" s="769"/>
      <c r="U487" s="770"/>
      <c r="V487" s="771">
        <f t="shared" si="94"/>
        <v>0</v>
      </c>
      <c r="W487" s="771">
        <f t="shared" si="95"/>
        <v>0</v>
      </c>
      <c r="X487" t="str">
        <f t="shared" si="96"/>
        <v/>
      </c>
      <c r="Y487" t="str">
        <f t="shared" si="97"/>
        <v/>
      </c>
      <c r="AA487" s="769">
        <f t="shared" ref="AA487:AA518" si="101">N(IF(AND(J487&gt;0,I487&gt;0),I487-J487,""))</f>
        <v>0</v>
      </c>
      <c r="AB487" s="772">
        <f t="shared" ref="AB487:AB518" si="102">N(IF(AND(J487&gt;0,I487&gt;0),(I487-J487)/I487,""))</f>
        <v>0</v>
      </c>
      <c r="AC487" s="769"/>
      <c r="AE487" s="769"/>
      <c r="AF487" s="769"/>
      <c r="AG487" s="769"/>
      <c r="AH487" s="769"/>
      <c r="AI487" s="769"/>
      <c r="AJ487" s="769"/>
      <c r="AK487" s="769"/>
      <c r="AL487" s="769"/>
      <c r="AM487" s="769"/>
      <c r="AN487" s="769"/>
      <c r="AO487" s="769"/>
      <c r="AP487" s="774">
        <f t="shared" si="98"/>
        <v>0</v>
      </c>
      <c r="AS487" s="771"/>
      <c r="AT487" t="str">
        <f t="array" ref="AT487">IF(E487&lt;&gt;"Occupied","",_xlfn.IFS(AND(ISNUMBER(AC487),AC487&lt;&gt;0),"Structured",ISNUMBER(SEARCH("/mo con",T487)),"Notes-parsed",ISNUMBER(SEARCH("step",T487)),"Step-up",ISNUMBER(SEARCH("swap",T487)),"Rate-swap",AND(ISNUMBER(I487),ISNUMBER(J487),I487&gt;J487),"Implied",TRUE(),""))</f>
        <v/>
      </c>
      <c r="AU487" s="769" t="str">
        <f t="shared" si="99"/>
        <v/>
      </c>
      <c r="AV487" s="775">
        <f t="shared" si="100"/>
        <v>0</v>
      </c>
    </row>
    <row r="488" spans="9:48" ht="15" customHeight="1" outlineLevel="1" x14ac:dyDescent="0.25">
      <c r="I488" s="769"/>
      <c r="J488" s="769"/>
      <c r="K488" s="769">
        <f t="shared" si="92"/>
        <v>0</v>
      </c>
      <c r="L488" s="769">
        <f t="shared" si="93"/>
        <v>0</v>
      </c>
      <c r="M488" s="769"/>
      <c r="N488" s="769"/>
      <c r="O488" s="769"/>
      <c r="P488" s="769"/>
      <c r="Q488" s="769"/>
      <c r="R488" s="769"/>
      <c r="U488" s="770"/>
      <c r="V488" s="771">
        <f t="shared" si="94"/>
        <v>0</v>
      </c>
      <c r="W488" s="771">
        <f t="shared" si="95"/>
        <v>0</v>
      </c>
      <c r="X488" t="str">
        <f t="shared" si="96"/>
        <v/>
      </c>
      <c r="Y488" t="str">
        <f t="shared" si="97"/>
        <v/>
      </c>
      <c r="AA488" s="769">
        <f t="shared" si="101"/>
        <v>0</v>
      </c>
      <c r="AB488" s="772">
        <f t="shared" si="102"/>
        <v>0</v>
      </c>
      <c r="AC488" s="769"/>
      <c r="AE488" s="769"/>
      <c r="AF488" s="769"/>
      <c r="AG488" s="769"/>
      <c r="AH488" s="769"/>
      <c r="AI488" s="769"/>
      <c r="AJ488" s="769"/>
      <c r="AK488" s="769"/>
      <c r="AL488" s="769"/>
      <c r="AM488" s="769"/>
      <c r="AN488" s="769"/>
      <c r="AO488" s="769"/>
      <c r="AP488" s="774">
        <f t="shared" si="98"/>
        <v>0</v>
      </c>
      <c r="AS488" s="771"/>
      <c r="AT488" t="str">
        <f t="array" ref="AT488">IF(E488&lt;&gt;"Occupied","",_xlfn.IFS(AND(ISNUMBER(AC488),AC488&lt;&gt;0),"Structured",ISNUMBER(SEARCH("/mo con",T488)),"Notes-parsed",ISNUMBER(SEARCH("step",T488)),"Step-up",ISNUMBER(SEARCH("swap",T488)),"Rate-swap",AND(ISNUMBER(I488),ISNUMBER(J488),I488&gt;J488),"Implied",TRUE(),""))</f>
        <v/>
      </c>
      <c r="AU488" s="769" t="str">
        <f t="shared" si="99"/>
        <v/>
      </c>
      <c r="AV488" s="775">
        <f t="shared" si="100"/>
        <v>0</v>
      </c>
    </row>
    <row r="489" spans="9:48" ht="15" customHeight="1" outlineLevel="1" x14ac:dyDescent="0.25">
      <c r="I489" s="769"/>
      <c r="J489" s="769"/>
      <c r="K489" s="769">
        <f t="shared" si="92"/>
        <v>0</v>
      </c>
      <c r="L489" s="769">
        <f t="shared" si="93"/>
        <v>0</v>
      </c>
      <c r="M489" s="769"/>
      <c r="N489" s="769"/>
      <c r="O489" s="769"/>
      <c r="P489" s="769"/>
      <c r="Q489" s="769"/>
      <c r="R489" s="769"/>
      <c r="U489" s="770"/>
      <c r="V489" s="771">
        <f t="shared" si="94"/>
        <v>0</v>
      </c>
      <c r="W489" s="771">
        <f t="shared" si="95"/>
        <v>0</v>
      </c>
      <c r="X489" t="str">
        <f t="shared" si="96"/>
        <v/>
      </c>
      <c r="Y489" t="str">
        <f t="shared" si="97"/>
        <v/>
      </c>
      <c r="AA489" s="769">
        <f t="shared" si="101"/>
        <v>0</v>
      </c>
      <c r="AB489" s="772">
        <f t="shared" si="102"/>
        <v>0</v>
      </c>
      <c r="AC489" s="769"/>
      <c r="AE489" s="769"/>
      <c r="AF489" s="769"/>
      <c r="AG489" s="769"/>
      <c r="AH489" s="769"/>
      <c r="AI489" s="769"/>
      <c r="AJ489" s="769"/>
      <c r="AK489" s="769"/>
      <c r="AL489" s="769"/>
      <c r="AM489" s="769"/>
      <c r="AN489" s="769"/>
      <c r="AO489" s="769"/>
      <c r="AP489" s="774">
        <f t="shared" si="98"/>
        <v>0</v>
      </c>
      <c r="AS489" s="771"/>
      <c r="AT489" t="str">
        <f t="array" ref="AT489">IF(E489&lt;&gt;"Occupied","",_xlfn.IFS(AND(ISNUMBER(AC489),AC489&lt;&gt;0),"Structured",ISNUMBER(SEARCH("/mo con",T489)),"Notes-parsed",ISNUMBER(SEARCH("step",T489)),"Step-up",ISNUMBER(SEARCH("swap",T489)),"Rate-swap",AND(ISNUMBER(I489),ISNUMBER(J489),I489&gt;J489),"Implied",TRUE(),""))</f>
        <v/>
      </c>
      <c r="AU489" s="769" t="str">
        <f t="shared" si="99"/>
        <v/>
      </c>
      <c r="AV489" s="775">
        <f t="shared" si="100"/>
        <v>0</v>
      </c>
    </row>
    <row r="490" spans="9:48" ht="15" customHeight="1" outlineLevel="1" x14ac:dyDescent="0.25">
      <c r="I490" s="769"/>
      <c r="J490" s="769"/>
      <c r="K490" s="769">
        <f t="shared" si="92"/>
        <v>0</v>
      </c>
      <c r="L490" s="769">
        <f t="shared" si="93"/>
        <v>0</v>
      </c>
      <c r="M490" s="769"/>
      <c r="N490" s="769"/>
      <c r="O490" s="769"/>
      <c r="P490" s="769"/>
      <c r="Q490" s="769"/>
      <c r="R490" s="769"/>
      <c r="U490" s="770"/>
      <c r="V490" s="771">
        <f t="shared" si="94"/>
        <v>0</v>
      </c>
      <c r="W490" s="771">
        <f t="shared" si="95"/>
        <v>0</v>
      </c>
      <c r="X490" t="str">
        <f t="shared" si="96"/>
        <v/>
      </c>
      <c r="Y490" t="str">
        <f t="shared" si="97"/>
        <v/>
      </c>
      <c r="AA490" s="769">
        <f t="shared" si="101"/>
        <v>0</v>
      </c>
      <c r="AB490" s="772">
        <f t="shared" si="102"/>
        <v>0</v>
      </c>
      <c r="AC490" s="769"/>
      <c r="AE490" s="769"/>
      <c r="AF490" s="769"/>
      <c r="AG490" s="769"/>
      <c r="AH490" s="769"/>
      <c r="AI490" s="769"/>
      <c r="AJ490" s="769"/>
      <c r="AK490" s="769"/>
      <c r="AL490" s="769"/>
      <c r="AM490" s="769"/>
      <c r="AN490" s="769"/>
      <c r="AO490" s="769"/>
      <c r="AP490" s="774">
        <f t="shared" si="98"/>
        <v>0</v>
      </c>
      <c r="AS490" s="771"/>
      <c r="AT490" t="str">
        <f t="array" ref="AT490">IF(E490&lt;&gt;"Occupied","",_xlfn.IFS(AND(ISNUMBER(AC490),AC490&lt;&gt;0),"Structured",ISNUMBER(SEARCH("/mo con",T490)),"Notes-parsed",ISNUMBER(SEARCH("step",T490)),"Step-up",ISNUMBER(SEARCH("swap",T490)),"Rate-swap",AND(ISNUMBER(I490),ISNUMBER(J490),I490&gt;J490),"Implied",TRUE(),""))</f>
        <v/>
      </c>
      <c r="AU490" s="769" t="str">
        <f t="shared" si="99"/>
        <v/>
      </c>
      <c r="AV490" s="775">
        <f t="shared" si="100"/>
        <v>0</v>
      </c>
    </row>
    <row r="491" spans="9:48" ht="15" customHeight="1" outlineLevel="1" x14ac:dyDescent="0.25">
      <c r="I491" s="769"/>
      <c r="J491" s="769"/>
      <c r="K491" s="769">
        <f t="shared" si="92"/>
        <v>0</v>
      </c>
      <c r="L491" s="769">
        <f t="shared" si="93"/>
        <v>0</v>
      </c>
      <c r="M491" s="769"/>
      <c r="N491" s="769"/>
      <c r="O491" s="769"/>
      <c r="P491" s="769"/>
      <c r="Q491" s="769"/>
      <c r="R491" s="769"/>
      <c r="U491" s="770"/>
      <c r="V491" s="771">
        <f t="shared" si="94"/>
        <v>0</v>
      </c>
      <c r="W491" s="771">
        <f t="shared" si="95"/>
        <v>0</v>
      </c>
      <c r="X491" t="str">
        <f t="shared" si="96"/>
        <v/>
      </c>
      <c r="Y491" t="str">
        <f t="shared" si="97"/>
        <v/>
      </c>
      <c r="AA491" s="769">
        <f t="shared" si="101"/>
        <v>0</v>
      </c>
      <c r="AB491" s="772">
        <f t="shared" si="102"/>
        <v>0</v>
      </c>
      <c r="AC491" s="769"/>
      <c r="AE491" s="769"/>
      <c r="AF491" s="769"/>
      <c r="AG491" s="769"/>
      <c r="AH491" s="769"/>
      <c r="AI491" s="769"/>
      <c r="AJ491" s="769"/>
      <c r="AK491" s="769"/>
      <c r="AL491" s="769"/>
      <c r="AM491" s="769"/>
      <c r="AN491" s="769"/>
      <c r="AO491" s="769"/>
      <c r="AP491" s="774">
        <f t="shared" si="98"/>
        <v>0</v>
      </c>
      <c r="AS491" s="771"/>
      <c r="AT491" t="str">
        <f t="array" ref="AT491">IF(E491&lt;&gt;"Occupied","",_xlfn.IFS(AND(ISNUMBER(AC491),AC491&lt;&gt;0),"Structured",ISNUMBER(SEARCH("/mo con",T491)),"Notes-parsed",ISNUMBER(SEARCH("step",T491)),"Step-up",ISNUMBER(SEARCH("swap",T491)),"Rate-swap",AND(ISNUMBER(I491),ISNUMBER(J491),I491&gt;J491),"Implied",TRUE(),""))</f>
        <v/>
      </c>
      <c r="AU491" s="769" t="str">
        <f t="shared" si="99"/>
        <v/>
      </c>
      <c r="AV491" s="775">
        <f t="shared" si="100"/>
        <v>0</v>
      </c>
    </row>
    <row r="492" spans="9:48" ht="15" customHeight="1" outlineLevel="1" x14ac:dyDescent="0.25">
      <c r="I492" s="769"/>
      <c r="J492" s="769"/>
      <c r="K492" s="769">
        <f t="shared" si="92"/>
        <v>0</v>
      </c>
      <c r="L492" s="769">
        <f t="shared" si="93"/>
        <v>0</v>
      </c>
      <c r="M492" s="769"/>
      <c r="N492" s="769"/>
      <c r="O492" s="769"/>
      <c r="P492" s="769"/>
      <c r="Q492" s="769"/>
      <c r="R492" s="769"/>
      <c r="U492" s="770"/>
      <c r="V492" s="771">
        <f t="shared" si="94"/>
        <v>0</v>
      </c>
      <c r="W492" s="771">
        <f t="shared" si="95"/>
        <v>0</v>
      </c>
      <c r="X492" t="str">
        <f t="shared" si="96"/>
        <v/>
      </c>
      <c r="Y492" t="str">
        <f t="shared" si="97"/>
        <v/>
      </c>
      <c r="AA492" s="769">
        <f t="shared" si="101"/>
        <v>0</v>
      </c>
      <c r="AB492" s="772">
        <f t="shared" si="102"/>
        <v>0</v>
      </c>
      <c r="AC492" s="769"/>
      <c r="AE492" s="769"/>
      <c r="AF492" s="769"/>
      <c r="AG492" s="769"/>
      <c r="AH492" s="769"/>
      <c r="AI492" s="769"/>
      <c r="AJ492" s="769"/>
      <c r="AK492" s="769"/>
      <c r="AL492" s="769"/>
      <c r="AM492" s="769"/>
      <c r="AN492" s="769"/>
      <c r="AO492" s="769"/>
      <c r="AP492" s="774">
        <f t="shared" si="98"/>
        <v>0</v>
      </c>
      <c r="AS492" s="771"/>
      <c r="AT492" t="str">
        <f t="array" ref="AT492">IF(E492&lt;&gt;"Occupied","",_xlfn.IFS(AND(ISNUMBER(AC492),AC492&lt;&gt;0),"Structured",ISNUMBER(SEARCH("/mo con",T492)),"Notes-parsed",ISNUMBER(SEARCH("step",T492)),"Step-up",ISNUMBER(SEARCH("swap",T492)),"Rate-swap",AND(ISNUMBER(I492),ISNUMBER(J492),I492&gt;J492),"Implied",TRUE(),""))</f>
        <v/>
      </c>
      <c r="AU492" s="769" t="str">
        <f t="shared" si="99"/>
        <v/>
      </c>
      <c r="AV492" s="775">
        <f t="shared" si="100"/>
        <v>0</v>
      </c>
    </row>
    <row r="493" spans="9:48" ht="15" customHeight="1" outlineLevel="1" x14ac:dyDescent="0.25">
      <c r="I493" s="769"/>
      <c r="J493" s="769"/>
      <c r="K493" s="769">
        <f t="shared" si="92"/>
        <v>0</v>
      </c>
      <c r="L493" s="769">
        <f t="shared" si="93"/>
        <v>0</v>
      </c>
      <c r="M493" s="769"/>
      <c r="N493" s="769"/>
      <c r="O493" s="769"/>
      <c r="P493" s="769"/>
      <c r="Q493" s="769"/>
      <c r="R493" s="769"/>
      <c r="U493" s="770"/>
      <c r="V493" s="771">
        <f t="shared" si="94"/>
        <v>0</v>
      </c>
      <c r="W493" s="771">
        <f t="shared" si="95"/>
        <v>0</v>
      </c>
      <c r="X493" t="str">
        <f t="shared" si="96"/>
        <v/>
      </c>
      <c r="Y493" t="str">
        <f t="shared" si="97"/>
        <v/>
      </c>
      <c r="AA493" s="769">
        <f t="shared" si="101"/>
        <v>0</v>
      </c>
      <c r="AB493" s="772">
        <f t="shared" si="102"/>
        <v>0</v>
      </c>
      <c r="AC493" s="769"/>
      <c r="AE493" s="769"/>
      <c r="AF493" s="769"/>
      <c r="AG493" s="769"/>
      <c r="AH493" s="769"/>
      <c r="AI493" s="769"/>
      <c r="AJ493" s="769"/>
      <c r="AK493" s="769"/>
      <c r="AL493" s="769"/>
      <c r="AM493" s="769"/>
      <c r="AN493" s="769"/>
      <c r="AO493" s="769"/>
      <c r="AP493" s="774">
        <f t="shared" si="98"/>
        <v>0</v>
      </c>
      <c r="AS493" s="771"/>
      <c r="AT493" t="str">
        <f t="array" ref="AT493">IF(E493&lt;&gt;"Occupied","",_xlfn.IFS(AND(ISNUMBER(AC493),AC493&lt;&gt;0),"Structured",ISNUMBER(SEARCH("/mo con",T493)),"Notes-parsed",ISNUMBER(SEARCH("step",T493)),"Step-up",ISNUMBER(SEARCH("swap",T493)),"Rate-swap",AND(ISNUMBER(I493),ISNUMBER(J493),I493&gt;J493),"Implied",TRUE(),""))</f>
        <v/>
      </c>
      <c r="AU493" s="769" t="str">
        <f t="shared" si="99"/>
        <v/>
      </c>
      <c r="AV493" s="775">
        <f t="shared" si="100"/>
        <v>0</v>
      </c>
    </row>
    <row r="494" spans="9:48" ht="15" customHeight="1" outlineLevel="1" x14ac:dyDescent="0.25">
      <c r="I494" s="769"/>
      <c r="J494" s="769"/>
      <c r="K494" s="769">
        <f t="shared" si="92"/>
        <v>0</v>
      </c>
      <c r="L494" s="769">
        <f t="shared" si="93"/>
        <v>0</v>
      </c>
      <c r="M494" s="769"/>
      <c r="N494" s="769"/>
      <c r="O494" s="769"/>
      <c r="P494" s="769"/>
      <c r="Q494" s="769"/>
      <c r="R494" s="769"/>
      <c r="U494" s="770"/>
      <c r="V494" s="771">
        <f t="shared" si="94"/>
        <v>0</v>
      </c>
      <c r="W494" s="771">
        <f t="shared" si="95"/>
        <v>0</v>
      </c>
      <c r="X494" t="str">
        <f t="shared" si="96"/>
        <v/>
      </c>
      <c r="Y494" t="str">
        <f t="shared" si="97"/>
        <v/>
      </c>
      <c r="AA494" s="769">
        <f t="shared" si="101"/>
        <v>0</v>
      </c>
      <c r="AB494" s="772">
        <f t="shared" si="102"/>
        <v>0</v>
      </c>
      <c r="AC494" s="769"/>
      <c r="AE494" s="769"/>
      <c r="AF494" s="769"/>
      <c r="AG494" s="769"/>
      <c r="AH494" s="769"/>
      <c r="AI494" s="769"/>
      <c r="AJ494" s="769"/>
      <c r="AK494" s="769"/>
      <c r="AL494" s="769"/>
      <c r="AM494" s="769"/>
      <c r="AN494" s="769"/>
      <c r="AO494" s="769"/>
      <c r="AP494" s="774">
        <f t="shared" si="98"/>
        <v>0</v>
      </c>
      <c r="AS494" s="771"/>
      <c r="AT494" t="str">
        <f t="array" ref="AT494">IF(E494&lt;&gt;"Occupied","",_xlfn.IFS(AND(ISNUMBER(AC494),AC494&lt;&gt;0),"Structured",ISNUMBER(SEARCH("/mo con",T494)),"Notes-parsed",ISNUMBER(SEARCH("step",T494)),"Step-up",ISNUMBER(SEARCH("swap",T494)),"Rate-swap",AND(ISNUMBER(I494),ISNUMBER(J494),I494&gt;J494),"Implied",TRUE(),""))</f>
        <v/>
      </c>
      <c r="AU494" s="769" t="str">
        <f t="shared" si="99"/>
        <v/>
      </c>
      <c r="AV494" s="775">
        <f t="shared" si="100"/>
        <v>0</v>
      </c>
    </row>
    <row r="495" spans="9:48" ht="15" customHeight="1" outlineLevel="1" x14ac:dyDescent="0.25">
      <c r="I495" s="769"/>
      <c r="J495" s="769"/>
      <c r="K495" s="769">
        <f t="shared" si="92"/>
        <v>0</v>
      </c>
      <c r="L495" s="769">
        <f t="shared" si="93"/>
        <v>0</v>
      </c>
      <c r="M495" s="769"/>
      <c r="N495" s="769"/>
      <c r="O495" s="769"/>
      <c r="P495" s="769"/>
      <c r="Q495" s="769"/>
      <c r="R495" s="769"/>
      <c r="U495" s="770"/>
      <c r="V495" s="771">
        <f t="shared" si="94"/>
        <v>0</v>
      </c>
      <c r="W495" s="771">
        <f t="shared" si="95"/>
        <v>0</v>
      </c>
      <c r="X495" t="str">
        <f t="shared" si="96"/>
        <v/>
      </c>
      <c r="Y495" t="str">
        <f t="shared" si="97"/>
        <v/>
      </c>
      <c r="AA495" s="769">
        <f t="shared" si="101"/>
        <v>0</v>
      </c>
      <c r="AB495" s="772">
        <f t="shared" si="102"/>
        <v>0</v>
      </c>
      <c r="AC495" s="769"/>
      <c r="AE495" s="769"/>
      <c r="AF495" s="769"/>
      <c r="AG495" s="769"/>
      <c r="AH495" s="769"/>
      <c r="AI495" s="769"/>
      <c r="AJ495" s="769"/>
      <c r="AK495" s="769"/>
      <c r="AL495" s="769"/>
      <c r="AM495" s="769"/>
      <c r="AN495" s="769"/>
      <c r="AO495" s="769"/>
      <c r="AP495" s="774">
        <f t="shared" si="98"/>
        <v>0</v>
      </c>
      <c r="AS495" s="771"/>
      <c r="AT495" t="str">
        <f t="array" ref="AT495">IF(E495&lt;&gt;"Occupied","",_xlfn.IFS(AND(ISNUMBER(AC495),AC495&lt;&gt;0),"Structured",ISNUMBER(SEARCH("/mo con",T495)),"Notes-parsed",ISNUMBER(SEARCH("step",T495)),"Step-up",ISNUMBER(SEARCH("swap",T495)),"Rate-swap",AND(ISNUMBER(I495),ISNUMBER(J495),I495&gt;J495),"Implied",TRUE(),""))</f>
        <v/>
      </c>
      <c r="AU495" s="769" t="str">
        <f t="shared" si="99"/>
        <v/>
      </c>
      <c r="AV495" s="775">
        <f t="shared" si="100"/>
        <v>0</v>
      </c>
    </row>
    <row r="496" spans="9:48" ht="15" customHeight="1" outlineLevel="1" x14ac:dyDescent="0.25">
      <c r="I496" s="769"/>
      <c r="J496" s="769"/>
      <c r="K496" s="769">
        <f t="shared" si="92"/>
        <v>0</v>
      </c>
      <c r="L496" s="769">
        <f t="shared" si="93"/>
        <v>0</v>
      </c>
      <c r="M496" s="769"/>
      <c r="N496" s="769"/>
      <c r="O496" s="769"/>
      <c r="P496" s="769"/>
      <c r="Q496" s="769"/>
      <c r="R496" s="769"/>
      <c r="U496" s="770"/>
      <c r="V496" s="771">
        <f t="shared" si="94"/>
        <v>0</v>
      </c>
      <c r="W496" s="771">
        <f t="shared" si="95"/>
        <v>0</v>
      </c>
      <c r="X496" t="str">
        <f t="shared" si="96"/>
        <v/>
      </c>
      <c r="Y496" t="str">
        <f t="shared" si="97"/>
        <v/>
      </c>
      <c r="AA496" s="769">
        <f t="shared" si="101"/>
        <v>0</v>
      </c>
      <c r="AB496" s="772">
        <f t="shared" si="102"/>
        <v>0</v>
      </c>
      <c r="AC496" s="769"/>
      <c r="AE496" s="769"/>
      <c r="AF496" s="769"/>
      <c r="AG496" s="769"/>
      <c r="AH496" s="769"/>
      <c r="AI496" s="769"/>
      <c r="AJ496" s="769"/>
      <c r="AK496" s="769"/>
      <c r="AL496" s="769"/>
      <c r="AM496" s="769"/>
      <c r="AN496" s="769"/>
      <c r="AO496" s="769"/>
      <c r="AP496" s="774">
        <f t="shared" si="98"/>
        <v>0</v>
      </c>
      <c r="AS496" s="771"/>
      <c r="AT496" t="str">
        <f t="array" ref="AT496">IF(E496&lt;&gt;"Occupied","",_xlfn.IFS(AND(ISNUMBER(AC496),AC496&lt;&gt;0),"Structured",ISNUMBER(SEARCH("/mo con",T496)),"Notes-parsed",ISNUMBER(SEARCH("step",T496)),"Step-up",ISNUMBER(SEARCH("swap",T496)),"Rate-swap",AND(ISNUMBER(I496),ISNUMBER(J496),I496&gt;J496),"Implied",TRUE(),""))</f>
        <v/>
      </c>
      <c r="AU496" s="769" t="str">
        <f t="shared" si="99"/>
        <v/>
      </c>
      <c r="AV496" s="775">
        <f t="shared" si="100"/>
        <v>0</v>
      </c>
    </row>
    <row r="497" spans="9:48" ht="15" customHeight="1" outlineLevel="1" x14ac:dyDescent="0.25">
      <c r="I497" s="769"/>
      <c r="J497" s="769"/>
      <c r="K497" s="769">
        <f t="shared" si="92"/>
        <v>0</v>
      </c>
      <c r="L497" s="769">
        <f t="shared" si="93"/>
        <v>0</v>
      </c>
      <c r="M497" s="769"/>
      <c r="N497" s="769"/>
      <c r="O497" s="769"/>
      <c r="P497" s="769"/>
      <c r="Q497" s="769"/>
      <c r="R497" s="769"/>
      <c r="U497" s="770"/>
      <c r="V497" s="771">
        <f t="shared" si="94"/>
        <v>0</v>
      </c>
      <c r="W497" s="771">
        <f t="shared" si="95"/>
        <v>0</v>
      </c>
      <c r="X497" t="str">
        <f t="shared" si="96"/>
        <v/>
      </c>
      <c r="Y497" t="str">
        <f t="shared" si="97"/>
        <v/>
      </c>
      <c r="AA497" s="769">
        <f t="shared" si="101"/>
        <v>0</v>
      </c>
      <c r="AB497" s="772">
        <f t="shared" si="102"/>
        <v>0</v>
      </c>
      <c r="AC497" s="769"/>
      <c r="AE497" s="769"/>
      <c r="AF497" s="769"/>
      <c r="AG497" s="769"/>
      <c r="AH497" s="769"/>
      <c r="AI497" s="769"/>
      <c r="AJ497" s="769"/>
      <c r="AK497" s="769"/>
      <c r="AL497" s="769"/>
      <c r="AM497" s="769"/>
      <c r="AN497" s="769"/>
      <c r="AO497" s="769"/>
      <c r="AP497" s="774">
        <f t="shared" si="98"/>
        <v>0</v>
      </c>
      <c r="AS497" s="771"/>
      <c r="AT497" t="str">
        <f t="array" ref="AT497">IF(E497&lt;&gt;"Occupied","",_xlfn.IFS(AND(ISNUMBER(AC497),AC497&lt;&gt;0),"Structured",ISNUMBER(SEARCH("/mo con",T497)),"Notes-parsed",ISNUMBER(SEARCH("step",T497)),"Step-up",ISNUMBER(SEARCH("swap",T497)),"Rate-swap",AND(ISNUMBER(I497),ISNUMBER(J497),I497&gt;J497),"Implied",TRUE(),""))</f>
        <v/>
      </c>
      <c r="AU497" s="769" t="str">
        <f t="shared" si="99"/>
        <v/>
      </c>
      <c r="AV497" s="775">
        <f t="shared" si="100"/>
        <v>0</v>
      </c>
    </row>
    <row r="498" spans="9:48" ht="15" customHeight="1" outlineLevel="1" x14ac:dyDescent="0.25">
      <c r="I498" s="769"/>
      <c r="J498" s="769"/>
      <c r="K498" s="769">
        <f t="shared" si="92"/>
        <v>0</v>
      </c>
      <c r="L498" s="769">
        <f t="shared" si="93"/>
        <v>0</v>
      </c>
      <c r="M498" s="769"/>
      <c r="N498" s="769"/>
      <c r="O498" s="769"/>
      <c r="P498" s="769"/>
      <c r="Q498" s="769"/>
      <c r="R498" s="769"/>
      <c r="U498" s="770"/>
      <c r="V498" s="771">
        <f t="shared" si="94"/>
        <v>0</v>
      </c>
      <c r="W498" s="771">
        <f t="shared" si="95"/>
        <v>0</v>
      </c>
      <c r="X498" t="str">
        <f t="shared" si="96"/>
        <v/>
      </c>
      <c r="Y498" t="str">
        <f t="shared" si="97"/>
        <v/>
      </c>
      <c r="AA498" s="769">
        <f t="shared" si="101"/>
        <v>0</v>
      </c>
      <c r="AB498" s="772">
        <f t="shared" si="102"/>
        <v>0</v>
      </c>
      <c r="AC498" s="769"/>
      <c r="AE498" s="769"/>
      <c r="AF498" s="769"/>
      <c r="AG498" s="769"/>
      <c r="AH498" s="769"/>
      <c r="AI498" s="769"/>
      <c r="AJ498" s="769"/>
      <c r="AK498" s="769"/>
      <c r="AL498" s="769"/>
      <c r="AM498" s="769"/>
      <c r="AN498" s="769"/>
      <c r="AO498" s="769"/>
      <c r="AP498" s="774">
        <f t="shared" si="98"/>
        <v>0</v>
      </c>
      <c r="AS498" s="771"/>
      <c r="AT498" t="str">
        <f t="array" ref="AT498">IF(E498&lt;&gt;"Occupied","",_xlfn.IFS(AND(ISNUMBER(AC498),AC498&lt;&gt;0),"Structured",ISNUMBER(SEARCH("/mo con",T498)),"Notes-parsed",ISNUMBER(SEARCH("step",T498)),"Step-up",ISNUMBER(SEARCH("swap",T498)),"Rate-swap",AND(ISNUMBER(I498),ISNUMBER(J498),I498&gt;J498),"Implied",TRUE(),""))</f>
        <v/>
      </c>
      <c r="AU498" s="769" t="str">
        <f t="shared" si="99"/>
        <v/>
      </c>
      <c r="AV498" s="775">
        <f t="shared" si="100"/>
        <v>0</v>
      </c>
    </row>
    <row r="499" spans="9:48" ht="15" customHeight="1" outlineLevel="1" x14ac:dyDescent="0.25">
      <c r="I499" s="769"/>
      <c r="J499" s="769"/>
      <c r="K499" s="769">
        <f t="shared" si="92"/>
        <v>0</v>
      </c>
      <c r="L499" s="769">
        <f t="shared" si="93"/>
        <v>0</v>
      </c>
      <c r="M499" s="769"/>
      <c r="N499" s="769"/>
      <c r="O499" s="769"/>
      <c r="P499" s="769"/>
      <c r="Q499" s="769"/>
      <c r="R499" s="769"/>
      <c r="U499" s="770"/>
      <c r="V499" s="771">
        <f t="shared" si="94"/>
        <v>0</v>
      </c>
      <c r="W499" s="771">
        <f t="shared" si="95"/>
        <v>0</v>
      </c>
      <c r="X499" t="str">
        <f t="shared" si="96"/>
        <v/>
      </c>
      <c r="Y499" t="str">
        <f t="shared" si="97"/>
        <v/>
      </c>
      <c r="AA499" s="769">
        <f t="shared" si="101"/>
        <v>0</v>
      </c>
      <c r="AB499" s="772">
        <f t="shared" si="102"/>
        <v>0</v>
      </c>
      <c r="AC499" s="769"/>
      <c r="AE499" s="769"/>
      <c r="AF499" s="769"/>
      <c r="AG499" s="769"/>
      <c r="AH499" s="769"/>
      <c r="AI499" s="769"/>
      <c r="AJ499" s="769"/>
      <c r="AK499" s="769"/>
      <c r="AL499" s="769"/>
      <c r="AM499" s="769"/>
      <c r="AN499" s="769"/>
      <c r="AO499" s="769"/>
      <c r="AP499" s="774">
        <f t="shared" si="98"/>
        <v>0</v>
      </c>
      <c r="AS499" s="771"/>
      <c r="AT499" t="str">
        <f t="array" ref="AT499">IF(E499&lt;&gt;"Occupied","",_xlfn.IFS(AND(ISNUMBER(AC499),AC499&lt;&gt;0),"Structured",ISNUMBER(SEARCH("/mo con",T499)),"Notes-parsed",ISNUMBER(SEARCH("step",T499)),"Step-up",ISNUMBER(SEARCH("swap",T499)),"Rate-swap",AND(ISNUMBER(I499),ISNUMBER(J499),I499&gt;J499),"Implied",TRUE(),""))</f>
        <v/>
      </c>
      <c r="AU499" s="769" t="str">
        <f t="shared" si="99"/>
        <v/>
      </c>
      <c r="AV499" s="775">
        <f t="shared" si="100"/>
        <v>0</v>
      </c>
    </row>
    <row r="500" spans="9:48" ht="15" customHeight="1" outlineLevel="1" x14ac:dyDescent="0.25">
      <c r="I500" s="769"/>
      <c r="J500" s="769"/>
      <c r="K500" s="769">
        <f t="shared" si="92"/>
        <v>0</v>
      </c>
      <c r="L500" s="769">
        <f t="shared" si="93"/>
        <v>0</v>
      </c>
      <c r="M500" s="769"/>
      <c r="N500" s="769"/>
      <c r="O500" s="769"/>
      <c r="P500" s="769"/>
      <c r="Q500" s="769"/>
      <c r="R500" s="769"/>
      <c r="U500" s="770"/>
      <c r="V500" s="771">
        <f t="shared" si="94"/>
        <v>0</v>
      </c>
      <c r="W500" s="771">
        <f t="shared" si="95"/>
        <v>0</v>
      </c>
      <c r="X500" t="str">
        <f t="shared" si="96"/>
        <v/>
      </c>
      <c r="Y500" t="str">
        <f t="shared" si="97"/>
        <v/>
      </c>
      <c r="AA500" s="769">
        <f t="shared" si="101"/>
        <v>0</v>
      </c>
      <c r="AB500" s="772">
        <f t="shared" si="102"/>
        <v>0</v>
      </c>
      <c r="AC500" s="769"/>
      <c r="AE500" s="769"/>
      <c r="AF500" s="769"/>
      <c r="AG500" s="769"/>
      <c r="AH500" s="769"/>
      <c r="AI500" s="769"/>
      <c r="AJ500" s="769"/>
      <c r="AK500" s="769"/>
      <c r="AL500" s="769"/>
      <c r="AM500" s="769"/>
      <c r="AN500" s="769"/>
      <c r="AO500" s="769"/>
      <c r="AP500" s="774">
        <f t="shared" si="98"/>
        <v>0</v>
      </c>
      <c r="AS500" s="771"/>
      <c r="AT500" t="str">
        <f t="array" ref="AT500">IF(E500&lt;&gt;"Occupied","",_xlfn.IFS(AND(ISNUMBER(AC500),AC500&lt;&gt;0),"Structured",ISNUMBER(SEARCH("/mo con",T500)),"Notes-parsed",ISNUMBER(SEARCH("step",T500)),"Step-up",ISNUMBER(SEARCH("swap",T500)),"Rate-swap",AND(ISNUMBER(I500),ISNUMBER(J500),I500&gt;J500),"Implied",TRUE(),""))</f>
        <v/>
      </c>
      <c r="AU500" s="769" t="str">
        <f t="shared" si="99"/>
        <v/>
      </c>
      <c r="AV500" s="775">
        <f t="shared" si="100"/>
        <v>0</v>
      </c>
    </row>
    <row r="501" spans="9:48" ht="15" customHeight="1" outlineLevel="1" x14ac:dyDescent="0.25">
      <c r="I501" s="769"/>
      <c r="J501" s="769"/>
      <c r="K501" s="769">
        <f t="shared" si="92"/>
        <v>0</v>
      </c>
      <c r="L501" s="769">
        <f t="shared" si="93"/>
        <v>0</v>
      </c>
      <c r="M501" s="769"/>
      <c r="N501" s="769"/>
      <c r="O501" s="769"/>
      <c r="P501" s="769"/>
      <c r="Q501" s="769"/>
      <c r="R501" s="769"/>
      <c r="U501" s="770"/>
      <c r="V501" s="771">
        <f t="shared" si="94"/>
        <v>0</v>
      </c>
      <c r="W501" s="771">
        <f t="shared" si="95"/>
        <v>0</v>
      </c>
      <c r="X501" t="str">
        <f t="shared" si="96"/>
        <v/>
      </c>
      <c r="Y501" t="str">
        <f t="shared" si="97"/>
        <v/>
      </c>
      <c r="AA501" s="769">
        <f t="shared" si="101"/>
        <v>0</v>
      </c>
      <c r="AB501" s="772">
        <f t="shared" si="102"/>
        <v>0</v>
      </c>
      <c r="AC501" s="769"/>
      <c r="AE501" s="769"/>
      <c r="AF501" s="769"/>
      <c r="AG501" s="769"/>
      <c r="AH501" s="769"/>
      <c r="AI501" s="769"/>
      <c r="AJ501" s="769"/>
      <c r="AK501" s="769"/>
      <c r="AL501" s="769"/>
      <c r="AM501" s="769"/>
      <c r="AN501" s="769"/>
      <c r="AO501" s="769"/>
      <c r="AP501" s="774">
        <f t="shared" si="98"/>
        <v>0</v>
      </c>
      <c r="AS501" s="771"/>
      <c r="AT501" t="str">
        <f t="array" ref="AT501">IF(E501&lt;&gt;"Occupied","",_xlfn.IFS(AND(ISNUMBER(AC501),AC501&lt;&gt;0),"Structured",ISNUMBER(SEARCH("/mo con",T501)),"Notes-parsed",ISNUMBER(SEARCH("step",T501)),"Step-up",ISNUMBER(SEARCH("swap",T501)),"Rate-swap",AND(ISNUMBER(I501),ISNUMBER(J501),I501&gt;J501),"Implied",TRUE(),""))</f>
        <v/>
      </c>
      <c r="AU501" s="769" t="str">
        <f t="shared" si="99"/>
        <v/>
      </c>
      <c r="AV501" s="775">
        <f t="shared" si="100"/>
        <v>0</v>
      </c>
    </row>
    <row r="502" spans="9:48" ht="15" customHeight="1" outlineLevel="1" x14ac:dyDescent="0.25">
      <c r="I502" s="769"/>
      <c r="J502" s="769"/>
      <c r="K502" s="769">
        <f t="shared" si="92"/>
        <v>0</v>
      </c>
      <c r="L502" s="769">
        <f t="shared" si="93"/>
        <v>0</v>
      </c>
      <c r="M502" s="769"/>
      <c r="N502" s="769"/>
      <c r="O502" s="769"/>
      <c r="P502" s="769"/>
      <c r="Q502" s="769"/>
      <c r="R502" s="769"/>
      <c r="U502" s="770"/>
      <c r="V502" s="771">
        <f t="shared" si="94"/>
        <v>0</v>
      </c>
      <c r="W502" s="771">
        <f t="shared" si="95"/>
        <v>0</v>
      </c>
      <c r="X502" t="str">
        <f t="shared" si="96"/>
        <v/>
      </c>
      <c r="Y502" t="str">
        <f t="shared" si="97"/>
        <v/>
      </c>
      <c r="AA502" s="769">
        <f t="shared" si="101"/>
        <v>0</v>
      </c>
      <c r="AB502" s="772">
        <f t="shared" si="102"/>
        <v>0</v>
      </c>
      <c r="AC502" s="769"/>
      <c r="AE502" s="769"/>
      <c r="AF502" s="769"/>
      <c r="AG502" s="769"/>
      <c r="AH502" s="769"/>
      <c r="AI502" s="769"/>
      <c r="AJ502" s="769"/>
      <c r="AK502" s="769"/>
      <c r="AL502" s="769"/>
      <c r="AM502" s="769"/>
      <c r="AN502" s="769"/>
      <c r="AO502" s="769"/>
      <c r="AP502" s="774">
        <f t="shared" si="98"/>
        <v>0</v>
      </c>
      <c r="AS502" s="771"/>
      <c r="AT502" t="str">
        <f t="array" ref="AT502">IF(E502&lt;&gt;"Occupied","",_xlfn.IFS(AND(ISNUMBER(AC502),AC502&lt;&gt;0),"Structured",ISNUMBER(SEARCH("/mo con",T502)),"Notes-parsed",ISNUMBER(SEARCH("step",T502)),"Step-up",ISNUMBER(SEARCH("swap",T502)),"Rate-swap",AND(ISNUMBER(I502),ISNUMBER(J502),I502&gt;J502),"Implied",TRUE(),""))</f>
        <v/>
      </c>
      <c r="AU502" s="769" t="str">
        <f t="shared" si="99"/>
        <v/>
      </c>
      <c r="AV502" s="775">
        <f t="shared" si="100"/>
        <v>0</v>
      </c>
    </row>
    <row r="503" spans="9:48" ht="15" customHeight="1" outlineLevel="1" x14ac:dyDescent="0.25">
      <c r="I503" s="769"/>
      <c r="J503" s="769"/>
      <c r="K503" s="769">
        <f t="shared" si="92"/>
        <v>0</v>
      </c>
      <c r="L503" s="769">
        <f t="shared" si="93"/>
        <v>0</v>
      </c>
      <c r="M503" s="769"/>
      <c r="N503" s="769"/>
      <c r="O503" s="769"/>
      <c r="P503" s="769"/>
      <c r="Q503" s="769"/>
      <c r="R503" s="769"/>
      <c r="U503" s="770"/>
      <c r="V503" s="771">
        <f t="shared" si="94"/>
        <v>0</v>
      </c>
      <c r="W503" s="771">
        <f t="shared" si="95"/>
        <v>0</v>
      </c>
      <c r="X503" t="str">
        <f t="shared" si="96"/>
        <v/>
      </c>
      <c r="Y503" t="str">
        <f t="shared" si="97"/>
        <v/>
      </c>
      <c r="AA503" s="769">
        <f t="shared" si="101"/>
        <v>0</v>
      </c>
      <c r="AB503" s="772">
        <f t="shared" si="102"/>
        <v>0</v>
      </c>
      <c r="AC503" s="769"/>
      <c r="AE503" s="769"/>
      <c r="AF503" s="769"/>
      <c r="AG503" s="769"/>
      <c r="AH503" s="769"/>
      <c r="AI503" s="769"/>
      <c r="AJ503" s="769"/>
      <c r="AK503" s="769"/>
      <c r="AL503" s="769"/>
      <c r="AM503" s="769"/>
      <c r="AN503" s="769"/>
      <c r="AO503" s="769"/>
      <c r="AP503" s="774">
        <f t="shared" si="98"/>
        <v>0</v>
      </c>
      <c r="AS503" s="771"/>
      <c r="AT503" t="str">
        <f t="array" ref="AT503">IF(E503&lt;&gt;"Occupied","",_xlfn.IFS(AND(ISNUMBER(AC503),AC503&lt;&gt;0),"Structured",ISNUMBER(SEARCH("/mo con",T503)),"Notes-parsed",ISNUMBER(SEARCH("step",T503)),"Step-up",ISNUMBER(SEARCH("swap",T503)),"Rate-swap",AND(ISNUMBER(I503),ISNUMBER(J503),I503&gt;J503),"Implied",TRUE(),""))</f>
        <v/>
      </c>
      <c r="AU503" s="769" t="str">
        <f t="shared" si="99"/>
        <v/>
      </c>
      <c r="AV503" s="775">
        <f t="shared" si="100"/>
        <v>0</v>
      </c>
    </row>
    <row r="504" spans="9:48" ht="15" customHeight="1" outlineLevel="1" x14ac:dyDescent="0.25">
      <c r="I504" s="769"/>
      <c r="J504" s="769"/>
      <c r="K504" s="769">
        <f t="shared" si="92"/>
        <v>0</v>
      </c>
      <c r="L504" s="769">
        <f t="shared" si="93"/>
        <v>0</v>
      </c>
      <c r="M504" s="769"/>
      <c r="N504" s="769"/>
      <c r="O504" s="769"/>
      <c r="P504" s="769"/>
      <c r="Q504" s="769"/>
      <c r="R504" s="769"/>
      <c r="U504" s="770"/>
      <c r="V504" s="771">
        <f t="shared" si="94"/>
        <v>0</v>
      </c>
      <c r="W504" s="771">
        <f t="shared" si="95"/>
        <v>0</v>
      </c>
      <c r="X504" t="str">
        <f t="shared" si="96"/>
        <v/>
      </c>
      <c r="Y504" t="str">
        <f t="shared" si="97"/>
        <v/>
      </c>
      <c r="AA504" s="769">
        <f t="shared" si="101"/>
        <v>0</v>
      </c>
      <c r="AB504" s="772">
        <f t="shared" si="102"/>
        <v>0</v>
      </c>
      <c r="AC504" s="769"/>
      <c r="AE504" s="769"/>
      <c r="AF504" s="769"/>
      <c r="AG504" s="769"/>
      <c r="AH504" s="769"/>
      <c r="AI504" s="769"/>
      <c r="AJ504" s="769"/>
      <c r="AK504" s="769"/>
      <c r="AL504" s="769"/>
      <c r="AM504" s="769"/>
      <c r="AN504" s="769"/>
      <c r="AO504" s="769"/>
      <c r="AP504" s="774">
        <f t="shared" si="98"/>
        <v>0</v>
      </c>
      <c r="AS504" s="771"/>
      <c r="AT504" t="str">
        <f t="array" ref="AT504">IF(E504&lt;&gt;"Occupied","",_xlfn.IFS(AND(ISNUMBER(AC504),AC504&lt;&gt;0),"Structured",ISNUMBER(SEARCH("/mo con",T504)),"Notes-parsed",ISNUMBER(SEARCH("step",T504)),"Step-up",ISNUMBER(SEARCH("swap",T504)),"Rate-swap",AND(ISNUMBER(I504),ISNUMBER(J504),I504&gt;J504),"Implied",TRUE(),""))</f>
        <v/>
      </c>
      <c r="AU504" s="769" t="str">
        <f t="shared" si="99"/>
        <v/>
      </c>
      <c r="AV504" s="775">
        <f t="shared" si="100"/>
        <v>0</v>
      </c>
    </row>
    <row r="505" spans="9:48" ht="15" customHeight="1" outlineLevel="1" x14ac:dyDescent="0.25">
      <c r="I505" s="769"/>
      <c r="J505" s="769"/>
      <c r="K505" s="769">
        <f t="shared" si="92"/>
        <v>0</v>
      </c>
      <c r="L505" s="769">
        <f t="shared" si="93"/>
        <v>0</v>
      </c>
      <c r="M505" s="769"/>
      <c r="N505" s="769"/>
      <c r="O505" s="769"/>
      <c r="P505" s="769"/>
      <c r="Q505" s="769"/>
      <c r="R505" s="769"/>
      <c r="U505" s="770"/>
      <c r="V505" s="771">
        <f t="shared" si="94"/>
        <v>0</v>
      </c>
      <c r="W505" s="771">
        <f t="shared" si="95"/>
        <v>0</v>
      </c>
      <c r="X505" t="str">
        <f t="shared" si="96"/>
        <v/>
      </c>
      <c r="Y505" t="str">
        <f t="shared" si="97"/>
        <v/>
      </c>
      <c r="AA505" s="769">
        <f t="shared" si="101"/>
        <v>0</v>
      </c>
      <c r="AB505" s="772">
        <f t="shared" si="102"/>
        <v>0</v>
      </c>
      <c r="AC505" s="769"/>
      <c r="AE505" s="769"/>
      <c r="AF505" s="769"/>
      <c r="AG505" s="769"/>
      <c r="AH505" s="769"/>
      <c r="AI505" s="769"/>
      <c r="AJ505" s="769"/>
      <c r="AK505" s="769"/>
      <c r="AL505" s="769"/>
      <c r="AM505" s="769"/>
      <c r="AN505" s="769"/>
      <c r="AO505" s="769"/>
      <c r="AP505" s="774">
        <f t="shared" si="98"/>
        <v>0</v>
      </c>
      <c r="AS505" s="771"/>
      <c r="AT505" t="str">
        <f t="array" ref="AT505">IF(E505&lt;&gt;"Occupied","",_xlfn.IFS(AND(ISNUMBER(AC505),AC505&lt;&gt;0),"Structured",ISNUMBER(SEARCH("/mo con",T505)),"Notes-parsed",ISNUMBER(SEARCH("step",T505)),"Step-up",ISNUMBER(SEARCH("swap",T505)),"Rate-swap",AND(ISNUMBER(I505),ISNUMBER(J505),I505&gt;J505),"Implied",TRUE(),""))</f>
        <v/>
      </c>
      <c r="AU505" s="769" t="str">
        <f t="shared" si="99"/>
        <v/>
      </c>
      <c r="AV505" s="775">
        <f t="shared" si="100"/>
        <v>0</v>
      </c>
    </row>
    <row r="506" spans="9:48" ht="15" customHeight="1" outlineLevel="1" x14ac:dyDescent="0.25">
      <c r="I506" s="769"/>
      <c r="J506" s="769"/>
      <c r="K506" s="769">
        <f t="shared" si="92"/>
        <v>0</v>
      </c>
      <c r="L506" s="769">
        <f t="shared" si="93"/>
        <v>0</v>
      </c>
      <c r="M506" s="769"/>
      <c r="N506" s="769"/>
      <c r="O506" s="769"/>
      <c r="P506" s="769"/>
      <c r="Q506" s="769"/>
      <c r="R506" s="769"/>
      <c r="U506" s="770"/>
      <c r="V506" s="771">
        <f t="shared" si="94"/>
        <v>0</v>
      </c>
      <c r="W506" s="771">
        <f t="shared" si="95"/>
        <v>0</v>
      </c>
      <c r="X506" t="str">
        <f t="shared" si="96"/>
        <v/>
      </c>
      <c r="Y506" t="str">
        <f t="shared" si="97"/>
        <v/>
      </c>
      <c r="AA506" s="769">
        <f t="shared" si="101"/>
        <v>0</v>
      </c>
      <c r="AB506" s="772">
        <f t="shared" si="102"/>
        <v>0</v>
      </c>
      <c r="AC506" s="769"/>
      <c r="AE506" s="769"/>
      <c r="AF506" s="769"/>
      <c r="AG506" s="769"/>
      <c r="AH506" s="769"/>
      <c r="AI506" s="769"/>
      <c r="AJ506" s="769"/>
      <c r="AK506" s="769"/>
      <c r="AL506" s="769"/>
      <c r="AM506" s="769"/>
      <c r="AN506" s="769"/>
      <c r="AO506" s="769"/>
      <c r="AP506" s="774">
        <f t="shared" si="98"/>
        <v>0</v>
      </c>
      <c r="AS506" s="771"/>
      <c r="AT506" t="str">
        <f t="array" ref="AT506">IF(E506&lt;&gt;"Occupied","",_xlfn.IFS(AND(ISNUMBER(AC506),AC506&lt;&gt;0),"Structured",ISNUMBER(SEARCH("/mo con",T506)),"Notes-parsed",ISNUMBER(SEARCH("step",T506)),"Step-up",ISNUMBER(SEARCH("swap",T506)),"Rate-swap",AND(ISNUMBER(I506),ISNUMBER(J506),I506&gt;J506),"Implied",TRUE(),""))</f>
        <v/>
      </c>
      <c r="AU506" s="769" t="str">
        <f t="shared" si="99"/>
        <v/>
      </c>
      <c r="AV506" s="775">
        <f t="shared" si="100"/>
        <v>0</v>
      </c>
    </row>
    <row r="507" spans="9:48" ht="15" customHeight="1" outlineLevel="1" x14ac:dyDescent="0.25">
      <c r="I507" s="769"/>
      <c r="J507" s="769"/>
      <c r="K507" s="769">
        <f t="shared" si="92"/>
        <v>0</v>
      </c>
      <c r="L507" s="769">
        <f t="shared" si="93"/>
        <v>0</v>
      </c>
      <c r="M507" s="769"/>
      <c r="N507" s="769"/>
      <c r="O507" s="769"/>
      <c r="P507" s="769"/>
      <c r="Q507" s="769"/>
      <c r="R507" s="769"/>
      <c r="U507" s="770"/>
      <c r="V507" s="771">
        <f t="shared" si="94"/>
        <v>0</v>
      </c>
      <c r="W507" s="771">
        <f t="shared" si="95"/>
        <v>0</v>
      </c>
      <c r="X507" t="str">
        <f t="shared" si="96"/>
        <v/>
      </c>
      <c r="Y507" t="str">
        <f t="shared" si="97"/>
        <v/>
      </c>
      <c r="AA507" s="769">
        <f t="shared" si="101"/>
        <v>0</v>
      </c>
      <c r="AB507" s="772">
        <f t="shared" si="102"/>
        <v>0</v>
      </c>
      <c r="AC507" s="769"/>
      <c r="AE507" s="769"/>
      <c r="AF507" s="769"/>
      <c r="AG507" s="769"/>
      <c r="AH507" s="769"/>
      <c r="AI507" s="769"/>
      <c r="AJ507" s="769"/>
      <c r="AK507" s="769"/>
      <c r="AL507" s="769"/>
      <c r="AM507" s="769"/>
      <c r="AN507" s="769"/>
      <c r="AO507" s="769"/>
      <c r="AP507" s="774">
        <f t="shared" si="98"/>
        <v>0</v>
      </c>
      <c r="AS507" s="771"/>
      <c r="AT507" t="str">
        <f t="array" ref="AT507">IF(E507&lt;&gt;"Occupied","",_xlfn.IFS(AND(ISNUMBER(AC507),AC507&lt;&gt;0),"Structured",ISNUMBER(SEARCH("/mo con",T507)),"Notes-parsed",ISNUMBER(SEARCH("step",T507)),"Step-up",ISNUMBER(SEARCH("swap",T507)),"Rate-swap",AND(ISNUMBER(I507),ISNUMBER(J507),I507&gt;J507),"Implied",TRUE(),""))</f>
        <v/>
      </c>
      <c r="AU507" s="769" t="str">
        <f t="shared" si="99"/>
        <v/>
      </c>
      <c r="AV507" s="775">
        <f t="shared" si="100"/>
        <v>0</v>
      </c>
    </row>
    <row r="508" spans="9:48" ht="15" customHeight="1" outlineLevel="1" x14ac:dyDescent="0.25">
      <c r="I508" s="769"/>
      <c r="J508" s="769"/>
      <c r="K508" s="769">
        <f t="shared" si="92"/>
        <v>0</v>
      </c>
      <c r="L508" s="769">
        <f t="shared" si="93"/>
        <v>0</v>
      </c>
      <c r="M508" s="769"/>
      <c r="N508" s="769"/>
      <c r="O508" s="769"/>
      <c r="P508" s="769"/>
      <c r="Q508" s="769"/>
      <c r="R508" s="769"/>
      <c r="U508" s="770"/>
      <c r="V508" s="771">
        <f t="shared" si="94"/>
        <v>0</v>
      </c>
      <c r="W508" s="771">
        <f t="shared" si="95"/>
        <v>0</v>
      </c>
      <c r="X508" t="str">
        <f t="shared" si="96"/>
        <v/>
      </c>
      <c r="Y508" t="str">
        <f t="shared" si="97"/>
        <v/>
      </c>
      <c r="AA508" s="769">
        <f t="shared" si="101"/>
        <v>0</v>
      </c>
      <c r="AB508" s="772">
        <f t="shared" si="102"/>
        <v>0</v>
      </c>
      <c r="AC508" s="769"/>
      <c r="AE508" s="769"/>
      <c r="AF508" s="769"/>
      <c r="AG508" s="769"/>
      <c r="AH508" s="769"/>
      <c r="AI508" s="769"/>
      <c r="AJ508" s="769"/>
      <c r="AK508" s="769"/>
      <c r="AL508" s="769"/>
      <c r="AM508" s="769"/>
      <c r="AN508" s="769"/>
      <c r="AO508" s="769"/>
      <c r="AP508" s="774">
        <f t="shared" si="98"/>
        <v>0</v>
      </c>
      <c r="AS508" s="771"/>
      <c r="AT508" t="str">
        <f t="array" ref="AT508">IF(E508&lt;&gt;"Occupied","",_xlfn.IFS(AND(ISNUMBER(AC508),AC508&lt;&gt;0),"Structured",ISNUMBER(SEARCH("/mo con",T508)),"Notes-parsed",ISNUMBER(SEARCH("step",T508)),"Step-up",ISNUMBER(SEARCH("swap",T508)),"Rate-swap",AND(ISNUMBER(I508),ISNUMBER(J508),I508&gt;J508),"Implied",TRUE(),""))</f>
        <v/>
      </c>
      <c r="AU508" s="769" t="str">
        <f t="shared" si="99"/>
        <v/>
      </c>
      <c r="AV508" s="775">
        <f t="shared" si="100"/>
        <v>0</v>
      </c>
    </row>
    <row r="509" spans="9:48" ht="15" customHeight="1" outlineLevel="1" x14ac:dyDescent="0.25">
      <c r="I509" s="769"/>
      <c r="J509" s="769"/>
      <c r="K509" s="769">
        <f t="shared" si="92"/>
        <v>0</v>
      </c>
      <c r="L509" s="769">
        <f t="shared" si="93"/>
        <v>0</v>
      </c>
      <c r="M509" s="769"/>
      <c r="N509" s="769"/>
      <c r="O509" s="769"/>
      <c r="P509" s="769"/>
      <c r="Q509" s="769"/>
      <c r="R509" s="769"/>
      <c r="U509" s="770"/>
      <c r="V509" s="771">
        <f t="shared" si="94"/>
        <v>0</v>
      </c>
      <c r="W509" s="771">
        <f t="shared" si="95"/>
        <v>0</v>
      </c>
      <c r="X509" t="str">
        <f t="shared" si="96"/>
        <v/>
      </c>
      <c r="Y509" t="str">
        <f t="shared" si="97"/>
        <v/>
      </c>
      <c r="AA509" s="769">
        <f t="shared" si="101"/>
        <v>0</v>
      </c>
      <c r="AB509" s="772">
        <f t="shared" si="102"/>
        <v>0</v>
      </c>
      <c r="AC509" s="769"/>
      <c r="AE509" s="769"/>
      <c r="AF509" s="769"/>
      <c r="AG509" s="769"/>
      <c r="AH509" s="769"/>
      <c r="AI509" s="769"/>
      <c r="AJ509" s="769"/>
      <c r="AK509" s="769"/>
      <c r="AL509" s="769"/>
      <c r="AM509" s="769"/>
      <c r="AN509" s="769"/>
      <c r="AO509" s="769"/>
      <c r="AP509" s="774">
        <f t="shared" si="98"/>
        <v>0</v>
      </c>
      <c r="AS509" s="771"/>
      <c r="AT509" t="str">
        <f t="array" ref="AT509">IF(E509&lt;&gt;"Occupied","",_xlfn.IFS(AND(ISNUMBER(AC509),AC509&lt;&gt;0),"Structured",ISNUMBER(SEARCH("/mo con",T509)),"Notes-parsed",ISNUMBER(SEARCH("step",T509)),"Step-up",ISNUMBER(SEARCH("swap",T509)),"Rate-swap",AND(ISNUMBER(I509),ISNUMBER(J509),I509&gt;J509),"Implied",TRUE(),""))</f>
        <v/>
      </c>
      <c r="AU509" s="769" t="str">
        <f t="shared" si="99"/>
        <v/>
      </c>
      <c r="AV509" s="775">
        <f t="shared" si="100"/>
        <v>0</v>
      </c>
    </row>
    <row r="510" spans="9:48" ht="15" customHeight="1" outlineLevel="1" x14ac:dyDescent="0.25">
      <c r="I510" s="769"/>
      <c r="J510" s="769"/>
      <c r="K510" s="769">
        <f t="shared" si="92"/>
        <v>0</v>
      </c>
      <c r="L510" s="769">
        <f t="shared" si="93"/>
        <v>0</v>
      </c>
      <c r="M510" s="769"/>
      <c r="N510" s="769"/>
      <c r="O510" s="769"/>
      <c r="P510" s="769"/>
      <c r="Q510" s="769"/>
      <c r="R510" s="769"/>
      <c r="U510" s="770"/>
      <c r="V510" s="771">
        <f t="shared" si="94"/>
        <v>0</v>
      </c>
      <c r="W510" s="771">
        <f t="shared" si="95"/>
        <v>0</v>
      </c>
      <c r="X510" t="str">
        <f t="shared" si="96"/>
        <v/>
      </c>
      <c r="Y510" t="str">
        <f t="shared" si="97"/>
        <v/>
      </c>
      <c r="AA510" s="769">
        <f t="shared" si="101"/>
        <v>0</v>
      </c>
      <c r="AB510" s="772">
        <f t="shared" si="102"/>
        <v>0</v>
      </c>
      <c r="AC510" s="769"/>
      <c r="AE510" s="769"/>
      <c r="AF510" s="769"/>
      <c r="AG510" s="769"/>
      <c r="AH510" s="769"/>
      <c r="AI510" s="769"/>
      <c r="AJ510" s="769"/>
      <c r="AK510" s="769"/>
      <c r="AL510" s="769"/>
      <c r="AM510" s="769"/>
      <c r="AN510" s="769"/>
      <c r="AO510" s="769"/>
      <c r="AP510" s="774">
        <f t="shared" si="98"/>
        <v>0</v>
      </c>
      <c r="AS510" s="771"/>
      <c r="AT510" t="str">
        <f t="array" ref="AT510">IF(E510&lt;&gt;"Occupied","",_xlfn.IFS(AND(ISNUMBER(AC510),AC510&lt;&gt;0),"Structured",ISNUMBER(SEARCH("/mo con",T510)),"Notes-parsed",ISNUMBER(SEARCH("step",T510)),"Step-up",ISNUMBER(SEARCH("swap",T510)),"Rate-swap",AND(ISNUMBER(I510),ISNUMBER(J510),I510&gt;J510),"Implied",TRUE(),""))</f>
        <v/>
      </c>
      <c r="AU510" s="769" t="str">
        <f t="shared" si="99"/>
        <v/>
      </c>
      <c r="AV510" s="775">
        <f t="shared" si="100"/>
        <v>0</v>
      </c>
    </row>
    <row r="511" spans="9:48" ht="15" customHeight="1" outlineLevel="1" x14ac:dyDescent="0.25">
      <c r="I511" s="769"/>
      <c r="J511" s="769"/>
      <c r="K511" s="769">
        <f t="shared" si="92"/>
        <v>0</v>
      </c>
      <c r="L511" s="769">
        <f t="shared" si="93"/>
        <v>0</v>
      </c>
      <c r="M511" s="769"/>
      <c r="N511" s="769"/>
      <c r="O511" s="769"/>
      <c r="P511" s="769"/>
      <c r="Q511" s="769"/>
      <c r="R511" s="769"/>
      <c r="U511" s="770"/>
      <c r="V511" s="771">
        <f t="shared" si="94"/>
        <v>0</v>
      </c>
      <c r="W511" s="771">
        <f t="shared" si="95"/>
        <v>0</v>
      </c>
      <c r="X511" t="str">
        <f t="shared" si="96"/>
        <v/>
      </c>
      <c r="Y511" t="str">
        <f t="shared" si="97"/>
        <v/>
      </c>
      <c r="AA511" s="769">
        <f t="shared" si="101"/>
        <v>0</v>
      </c>
      <c r="AB511" s="772">
        <f t="shared" si="102"/>
        <v>0</v>
      </c>
      <c r="AC511" s="769"/>
      <c r="AE511" s="769"/>
      <c r="AF511" s="769"/>
      <c r="AG511" s="769"/>
      <c r="AH511" s="769"/>
      <c r="AI511" s="769"/>
      <c r="AJ511" s="769"/>
      <c r="AK511" s="769"/>
      <c r="AL511" s="769"/>
      <c r="AM511" s="769"/>
      <c r="AN511" s="769"/>
      <c r="AO511" s="769"/>
      <c r="AP511" s="774">
        <f t="shared" si="98"/>
        <v>0</v>
      </c>
      <c r="AS511" s="771"/>
      <c r="AT511" t="str">
        <f t="array" ref="AT511">IF(E511&lt;&gt;"Occupied","",_xlfn.IFS(AND(ISNUMBER(AC511),AC511&lt;&gt;0),"Structured",ISNUMBER(SEARCH("/mo con",T511)),"Notes-parsed",ISNUMBER(SEARCH("step",T511)),"Step-up",ISNUMBER(SEARCH("swap",T511)),"Rate-swap",AND(ISNUMBER(I511),ISNUMBER(J511),I511&gt;J511),"Implied",TRUE(),""))</f>
        <v/>
      </c>
      <c r="AU511" s="769" t="str">
        <f t="shared" si="99"/>
        <v/>
      </c>
      <c r="AV511" s="775">
        <f t="shared" si="100"/>
        <v>0</v>
      </c>
    </row>
    <row r="512" spans="9:48" ht="15" customHeight="1" outlineLevel="1" x14ac:dyDescent="0.25">
      <c r="I512" s="769"/>
      <c r="J512" s="769"/>
      <c r="K512" s="769">
        <f t="shared" si="92"/>
        <v>0</v>
      </c>
      <c r="L512" s="769">
        <f t="shared" si="93"/>
        <v>0</v>
      </c>
      <c r="M512" s="769"/>
      <c r="N512" s="769"/>
      <c r="O512" s="769"/>
      <c r="P512" s="769"/>
      <c r="Q512" s="769"/>
      <c r="R512" s="769"/>
      <c r="U512" s="770"/>
      <c r="V512" s="771">
        <f t="shared" si="94"/>
        <v>0</v>
      </c>
      <c r="W512" s="771">
        <f t="shared" si="95"/>
        <v>0</v>
      </c>
      <c r="X512" t="str">
        <f t="shared" si="96"/>
        <v/>
      </c>
      <c r="Y512" t="str">
        <f t="shared" si="97"/>
        <v/>
      </c>
      <c r="AA512" s="769">
        <f t="shared" si="101"/>
        <v>0</v>
      </c>
      <c r="AB512" s="772">
        <f t="shared" si="102"/>
        <v>0</v>
      </c>
      <c r="AC512" s="769"/>
      <c r="AE512" s="769"/>
      <c r="AF512" s="769"/>
      <c r="AG512" s="769"/>
      <c r="AH512" s="769"/>
      <c r="AI512" s="769"/>
      <c r="AJ512" s="769"/>
      <c r="AK512" s="769"/>
      <c r="AL512" s="769"/>
      <c r="AM512" s="769"/>
      <c r="AN512" s="769"/>
      <c r="AO512" s="769"/>
      <c r="AP512" s="774">
        <f t="shared" si="98"/>
        <v>0</v>
      </c>
      <c r="AS512" s="771"/>
      <c r="AT512" t="str">
        <f t="array" ref="AT512">IF(E512&lt;&gt;"Occupied","",_xlfn.IFS(AND(ISNUMBER(AC512),AC512&lt;&gt;0),"Structured",ISNUMBER(SEARCH("/mo con",T512)),"Notes-parsed",ISNUMBER(SEARCH("step",T512)),"Step-up",ISNUMBER(SEARCH("swap",T512)),"Rate-swap",AND(ISNUMBER(I512),ISNUMBER(J512),I512&gt;J512),"Implied",TRUE(),""))</f>
        <v/>
      </c>
      <c r="AU512" s="769" t="str">
        <f t="shared" si="99"/>
        <v/>
      </c>
      <c r="AV512" s="775">
        <f t="shared" si="100"/>
        <v>0</v>
      </c>
    </row>
    <row r="513" spans="9:48" ht="15" customHeight="1" outlineLevel="1" x14ac:dyDescent="0.25">
      <c r="I513" s="769"/>
      <c r="J513" s="769"/>
      <c r="K513" s="769">
        <f t="shared" si="92"/>
        <v>0</v>
      </c>
      <c r="L513" s="769">
        <f t="shared" si="93"/>
        <v>0</v>
      </c>
      <c r="M513" s="769"/>
      <c r="N513" s="769"/>
      <c r="O513" s="769"/>
      <c r="P513" s="769"/>
      <c r="Q513" s="769"/>
      <c r="R513" s="769"/>
      <c r="U513" s="770"/>
      <c r="V513" s="771">
        <f t="shared" si="94"/>
        <v>0</v>
      </c>
      <c r="W513" s="771">
        <f t="shared" si="95"/>
        <v>0</v>
      </c>
      <c r="X513" t="str">
        <f t="shared" si="96"/>
        <v/>
      </c>
      <c r="Y513" t="str">
        <f t="shared" si="97"/>
        <v/>
      </c>
      <c r="AA513" s="769">
        <f t="shared" si="101"/>
        <v>0</v>
      </c>
      <c r="AB513" s="772">
        <f t="shared" si="102"/>
        <v>0</v>
      </c>
      <c r="AC513" s="769"/>
      <c r="AE513" s="769"/>
      <c r="AF513" s="769"/>
      <c r="AG513" s="769"/>
      <c r="AH513" s="769"/>
      <c r="AI513" s="769"/>
      <c r="AJ513" s="769"/>
      <c r="AK513" s="769"/>
      <c r="AL513" s="769"/>
      <c r="AM513" s="769"/>
      <c r="AN513" s="769"/>
      <c r="AO513" s="769"/>
      <c r="AP513" s="774">
        <f t="shared" si="98"/>
        <v>0</v>
      </c>
      <c r="AS513" s="771"/>
      <c r="AT513" t="str">
        <f t="array" ref="AT513">IF(E513&lt;&gt;"Occupied","",_xlfn.IFS(AND(ISNUMBER(AC513),AC513&lt;&gt;0),"Structured",ISNUMBER(SEARCH("/mo con",T513)),"Notes-parsed",ISNUMBER(SEARCH("step",T513)),"Step-up",ISNUMBER(SEARCH("swap",T513)),"Rate-swap",AND(ISNUMBER(I513),ISNUMBER(J513),I513&gt;J513),"Implied",TRUE(),""))</f>
        <v/>
      </c>
      <c r="AU513" s="769" t="str">
        <f t="shared" si="99"/>
        <v/>
      </c>
      <c r="AV513" s="775">
        <f t="shared" si="100"/>
        <v>0</v>
      </c>
    </row>
    <row r="514" spans="9:48" ht="15" customHeight="1" outlineLevel="1" x14ac:dyDescent="0.25">
      <c r="I514" s="769"/>
      <c r="J514" s="769"/>
      <c r="K514" s="769">
        <f t="shared" si="92"/>
        <v>0</v>
      </c>
      <c r="L514" s="769">
        <f t="shared" si="93"/>
        <v>0</v>
      </c>
      <c r="M514" s="769"/>
      <c r="N514" s="769"/>
      <c r="O514" s="769"/>
      <c r="P514" s="769"/>
      <c r="Q514" s="769"/>
      <c r="R514" s="769"/>
      <c r="U514" s="770"/>
      <c r="V514" s="771">
        <f t="shared" si="94"/>
        <v>0</v>
      </c>
      <c r="W514" s="771">
        <f t="shared" si="95"/>
        <v>0</v>
      </c>
      <c r="X514" t="str">
        <f t="shared" si="96"/>
        <v/>
      </c>
      <c r="Y514" t="str">
        <f t="shared" si="97"/>
        <v/>
      </c>
      <c r="AA514" s="769">
        <f t="shared" si="101"/>
        <v>0</v>
      </c>
      <c r="AB514" s="772">
        <f t="shared" si="102"/>
        <v>0</v>
      </c>
      <c r="AC514" s="769"/>
      <c r="AE514" s="769"/>
      <c r="AF514" s="769"/>
      <c r="AG514" s="769"/>
      <c r="AH514" s="769"/>
      <c r="AI514" s="769"/>
      <c r="AJ514" s="769"/>
      <c r="AK514" s="769"/>
      <c r="AL514" s="769"/>
      <c r="AM514" s="769"/>
      <c r="AN514" s="769"/>
      <c r="AO514" s="769"/>
      <c r="AP514" s="774">
        <f t="shared" si="98"/>
        <v>0</v>
      </c>
      <c r="AS514" s="771"/>
      <c r="AT514" t="str">
        <f t="array" ref="AT514">IF(E514&lt;&gt;"Occupied","",_xlfn.IFS(AND(ISNUMBER(AC514),AC514&lt;&gt;0),"Structured",ISNUMBER(SEARCH("/mo con",T514)),"Notes-parsed",ISNUMBER(SEARCH("step",T514)),"Step-up",ISNUMBER(SEARCH("swap",T514)),"Rate-swap",AND(ISNUMBER(I514),ISNUMBER(J514),I514&gt;J514),"Implied",TRUE(),""))</f>
        <v/>
      </c>
      <c r="AU514" s="769" t="str">
        <f t="shared" si="99"/>
        <v/>
      </c>
      <c r="AV514" s="775">
        <f t="shared" si="100"/>
        <v>0</v>
      </c>
    </row>
    <row r="515" spans="9:48" ht="15" customHeight="1" outlineLevel="1" x14ac:dyDescent="0.25">
      <c r="I515" s="769"/>
      <c r="J515" s="769"/>
      <c r="K515" s="769">
        <f t="shared" si="92"/>
        <v>0</v>
      </c>
      <c r="L515" s="769">
        <f t="shared" si="93"/>
        <v>0</v>
      </c>
      <c r="M515" s="769"/>
      <c r="N515" s="769"/>
      <c r="O515" s="769"/>
      <c r="P515" s="769"/>
      <c r="Q515" s="769"/>
      <c r="R515" s="769"/>
      <c r="U515" s="770"/>
      <c r="V515" s="771">
        <f t="shared" si="94"/>
        <v>0</v>
      </c>
      <c r="W515" s="771">
        <f t="shared" si="95"/>
        <v>0</v>
      </c>
      <c r="X515" t="str">
        <f t="shared" si="96"/>
        <v/>
      </c>
      <c r="Y515" t="str">
        <f t="shared" si="97"/>
        <v/>
      </c>
      <c r="AA515" s="769">
        <f t="shared" si="101"/>
        <v>0</v>
      </c>
      <c r="AB515" s="772">
        <f t="shared" si="102"/>
        <v>0</v>
      </c>
      <c r="AC515" s="769"/>
      <c r="AE515" s="769"/>
      <c r="AF515" s="769"/>
      <c r="AG515" s="769"/>
      <c r="AH515" s="769"/>
      <c r="AI515" s="769"/>
      <c r="AJ515" s="769"/>
      <c r="AK515" s="769"/>
      <c r="AL515" s="769"/>
      <c r="AM515" s="769"/>
      <c r="AN515" s="769"/>
      <c r="AO515" s="769"/>
      <c r="AP515" s="774">
        <f t="shared" si="98"/>
        <v>0</v>
      </c>
      <c r="AS515" s="771"/>
      <c r="AT515" t="str">
        <f t="array" ref="AT515">IF(E515&lt;&gt;"Occupied","",_xlfn.IFS(AND(ISNUMBER(AC515),AC515&lt;&gt;0),"Structured",ISNUMBER(SEARCH("/mo con",T515)),"Notes-parsed",ISNUMBER(SEARCH("step",T515)),"Step-up",ISNUMBER(SEARCH("swap",T515)),"Rate-swap",AND(ISNUMBER(I515),ISNUMBER(J515),I515&gt;J515),"Implied",TRUE(),""))</f>
        <v/>
      </c>
      <c r="AU515" s="769" t="str">
        <f t="shared" si="99"/>
        <v/>
      </c>
      <c r="AV515" s="775">
        <f t="shared" si="100"/>
        <v>0</v>
      </c>
    </row>
    <row r="516" spans="9:48" ht="15" customHeight="1" outlineLevel="1" x14ac:dyDescent="0.25">
      <c r="I516" s="769"/>
      <c r="J516" s="769"/>
      <c r="K516" s="769">
        <f t="shared" si="92"/>
        <v>0</v>
      </c>
      <c r="L516" s="769">
        <f t="shared" si="93"/>
        <v>0</v>
      </c>
      <c r="M516" s="769"/>
      <c r="N516" s="769"/>
      <c r="O516" s="769"/>
      <c r="P516" s="769"/>
      <c r="Q516" s="769"/>
      <c r="R516" s="769"/>
      <c r="U516" s="770"/>
      <c r="V516" s="771">
        <f t="shared" si="94"/>
        <v>0</v>
      </c>
      <c r="W516" s="771">
        <f t="shared" si="95"/>
        <v>0</v>
      </c>
      <c r="X516" t="str">
        <f t="shared" si="96"/>
        <v/>
      </c>
      <c r="Y516" t="str">
        <f t="shared" si="97"/>
        <v/>
      </c>
      <c r="AA516" s="769">
        <f t="shared" si="101"/>
        <v>0</v>
      </c>
      <c r="AB516" s="772">
        <f t="shared" si="102"/>
        <v>0</v>
      </c>
      <c r="AC516" s="769"/>
      <c r="AE516" s="769"/>
      <c r="AF516" s="769"/>
      <c r="AG516" s="769"/>
      <c r="AH516" s="769"/>
      <c r="AI516" s="769"/>
      <c r="AJ516" s="769"/>
      <c r="AK516" s="769"/>
      <c r="AL516" s="769"/>
      <c r="AM516" s="769"/>
      <c r="AN516" s="769"/>
      <c r="AO516" s="769"/>
      <c r="AP516" s="774">
        <f t="shared" si="98"/>
        <v>0</v>
      </c>
      <c r="AS516" s="771"/>
      <c r="AT516" t="str">
        <f t="array" ref="AT516">IF(E516&lt;&gt;"Occupied","",_xlfn.IFS(AND(ISNUMBER(AC516),AC516&lt;&gt;0),"Structured",ISNUMBER(SEARCH("/mo con",T516)),"Notes-parsed",ISNUMBER(SEARCH("step",T516)),"Step-up",ISNUMBER(SEARCH("swap",T516)),"Rate-swap",AND(ISNUMBER(I516),ISNUMBER(J516),I516&gt;J516),"Implied",TRUE(),""))</f>
        <v/>
      </c>
      <c r="AU516" s="769" t="str">
        <f t="shared" si="99"/>
        <v/>
      </c>
      <c r="AV516" s="775">
        <f t="shared" si="100"/>
        <v>0</v>
      </c>
    </row>
    <row r="517" spans="9:48" ht="15" customHeight="1" outlineLevel="1" x14ac:dyDescent="0.25">
      <c r="I517" s="769"/>
      <c r="J517" s="769"/>
      <c r="K517" s="769">
        <f t="shared" si="92"/>
        <v>0</v>
      </c>
      <c r="L517" s="769">
        <f t="shared" si="93"/>
        <v>0</v>
      </c>
      <c r="M517" s="769"/>
      <c r="N517" s="769"/>
      <c r="O517" s="769"/>
      <c r="P517" s="769"/>
      <c r="Q517" s="769"/>
      <c r="R517" s="769"/>
      <c r="U517" s="770"/>
      <c r="V517" s="771">
        <f t="shared" si="94"/>
        <v>0</v>
      </c>
      <c r="W517" s="771">
        <f t="shared" si="95"/>
        <v>0</v>
      </c>
      <c r="X517" t="str">
        <f t="shared" si="96"/>
        <v/>
      </c>
      <c r="Y517" t="str">
        <f t="shared" si="97"/>
        <v/>
      </c>
      <c r="AA517" s="769">
        <f t="shared" si="101"/>
        <v>0</v>
      </c>
      <c r="AB517" s="772">
        <f t="shared" si="102"/>
        <v>0</v>
      </c>
      <c r="AC517" s="769"/>
      <c r="AE517" s="769"/>
      <c r="AF517" s="769"/>
      <c r="AG517" s="769"/>
      <c r="AH517" s="769"/>
      <c r="AI517" s="769"/>
      <c r="AJ517" s="769"/>
      <c r="AK517" s="769"/>
      <c r="AL517" s="769"/>
      <c r="AM517" s="769"/>
      <c r="AN517" s="769"/>
      <c r="AO517" s="769"/>
      <c r="AP517" s="774">
        <f t="shared" si="98"/>
        <v>0</v>
      </c>
      <c r="AS517" s="771"/>
      <c r="AT517" t="str">
        <f t="array" ref="AT517">IF(E517&lt;&gt;"Occupied","",_xlfn.IFS(AND(ISNUMBER(AC517),AC517&lt;&gt;0),"Structured",ISNUMBER(SEARCH("/mo con",T517)),"Notes-parsed",ISNUMBER(SEARCH("step",T517)),"Step-up",ISNUMBER(SEARCH("swap",T517)),"Rate-swap",AND(ISNUMBER(I517),ISNUMBER(J517),I517&gt;J517),"Implied",TRUE(),""))</f>
        <v/>
      </c>
      <c r="AU517" s="769" t="str">
        <f t="shared" si="99"/>
        <v/>
      </c>
      <c r="AV517" s="775">
        <f t="shared" si="100"/>
        <v>0</v>
      </c>
    </row>
    <row r="518" spans="9:48" ht="15" customHeight="1" outlineLevel="1" x14ac:dyDescent="0.25">
      <c r="I518" s="769"/>
      <c r="J518" s="769"/>
      <c r="K518" s="769">
        <f t="shared" si="92"/>
        <v>0</v>
      </c>
      <c r="L518" s="769">
        <f t="shared" si="93"/>
        <v>0</v>
      </c>
      <c r="M518" s="769"/>
      <c r="N518" s="769"/>
      <c r="O518" s="769"/>
      <c r="P518" s="769"/>
      <c r="Q518" s="769"/>
      <c r="R518" s="769"/>
      <c r="U518" s="770"/>
      <c r="V518" s="771">
        <f t="shared" si="94"/>
        <v>0</v>
      </c>
      <c r="W518" s="771">
        <f t="shared" si="95"/>
        <v>0</v>
      </c>
      <c r="X518" t="str">
        <f t="shared" si="96"/>
        <v/>
      </c>
      <c r="Y518" t="str">
        <f t="shared" si="97"/>
        <v/>
      </c>
      <c r="AA518" s="769">
        <f t="shared" si="101"/>
        <v>0</v>
      </c>
      <c r="AB518" s="772">
        <f t="shared" si="102"/>
        <v>0</v>
      </c>
      <c r="AC518" s="769"/>
      <c r="AE518" s="769"/>
      <c r="AF518" s="769"/>
      <c r="AG518" s="769"/>
      <c r="AH518" s="769"/>
      <c r="AI518" s="769"/>
      <c r="AJ518" s="769"/>
      <c r="AK518" s="769"/>
      <c r="AL518" s="769"/>
      <c r="AM518" s="769"/>
      <c r="AN518" s="769"/>
      <c r="AO518" s="769"/>
      <c r="AP518" s="774">
        <f t="shared" si="98"/>
        <v>0</v>
      </c>
      <c r="AS518" s="771"/>
      <c r="AT518" t="str">
        <f t="array" ref="AT518">IF(E518&lt;&gt;"Occupied","",_xlfn.IFS(AND(ISNUMBER(AC518),AC518&lt;&gt;0),"Structured",ISNUMBER(SEARCH("/mo con",T518)),"Notes-parsed",ISNUMBER(SEARCH("step",T518)),"Step-up",ISNUMBER(SEARCH("swap",T518)),"Rate-swap",AND(ISNUMBER(I518),ISNUMBER(J518),I518&gt;J518),"Implied",TRUE(),""))</f>
        <v/>
      </c>
      <c r="AU518" s="769" t="str">
        <f t="shared" si="99"/>
        <v/>
      </c>
      <c r="AV518" s="775">
        <f t="shared" si="100"/>
        <v>0</v>
      </c>
    </row>
    <row r="519" spans="9:48" ht="15" customHeight="1" outlineLevel="1" x14ac:dyDescent="0.25">
      <c r="I519" s="769"/>
      <c r="J519" s="769"/>
      <c r="K519" s="769">
        <f t="shared" si="92"/>
        <v>0</v>
      </c>
      <c r="L519" s="769">
        <f t="shared" si="93"/>
        <v>0</v>
      </c>
      <c r="M519" s="769"/>
      <c r="N519" s="769"/>
      <c r="O519" s="769"/>
      <c r="P519" s="769"/>
      <c r="Q519" s="769"/>
      <c r="R519" s="769"/>
      <c r="U519" s="770"/>
      <c r="V519" s="771">
        <f t="shared" si="94"/>
        <v>0</v>
      </c>
      <c r="W519" s="771">
        <f t="shared" si="95"/>
        <v>0</v>
      </c>
      <c r="X519" t="str">
        <f t="shared" si="96"/>
        <v/>
      </c>
      <c r="Y519" t="str">
        <f t="shared" si="97"/>
        <v/>
      </c>
      <c r="AA519" s="769">
        <f t="shared" ref="AA519:AA550" si="103">N(IF(AND(J519&gt;0,I519&gt;0),I519-J519,""))</f>
        <v>0</v>
      </c>
      <c r="AB519" s="772">
        <f t="shared" ref="AB519:AB550" si="104">N(IF(AND(J519&gt;0,I519&gt;0),(I519-J519)/I519,""))</f>
        <v>0</v>
      </c>
      <c r="AC519" s="769"/>
      <c r="AE519" s="769"/>
      <c r="AF519" s="769"/>
      <c r="AG519" s="769"/>
      <c r="AH519" s="769"/>
      <c r="AI519" s="769"/>
      <c r="AJ519" s="769"/>
      <c r="AK519" s="769"/>
      <c r="AL519" s="769"/>
      <c r="AM519" s="769"/>
      <c r="AN519" s="769"/>
      <c r="AO519" s="769"/>
      <c r="AP519" s="774">
        <f t="shared" si="98"/>
        <v>0</v>
      </c>
      <c r="AS519" s="771"/>
      <c r="AT519" t="str">
        <f t="array" ref="AT519">IF(E519&lt;&gt;"Occupied","",_xlfn.IFS(AND(ISNUMBER(AC519),AC519&lt;&gt;0),"Structured",ISNUMBER(SEARCH("/mo con",T519)),"Notes-parsed",ISNUMBER(SEARCH("step",T519)),"Step-up",ISNUMBER(SEARCH("swap",T519)),"Rate-swap",AND(ISNUMBER(I519),ISNUMBER(J519),I519&gt;J519),"Implied",TRUE(),""))</f>
        <v/>
      </c>
      <c r="AU519" s="769" t="str">
        <f t="shared" si="99"/>
        <v/>
      </c>
      <c r="AV519" s="775">
        <f t="shared" si="100"/>
        <v>0</v>
      </c>
    </row>
    <row r="520" spans="9:48" ht="15" customHeight="1" outlineLevel="1" x14ac:dyDescent="0.25">
      <c r="I520" s="769"/>
      <c r="J520" s="769"/>
      <c r="K520" s="769">
        <f t="shared" si="92"/>
        <v>0</v>
      </c>
      <c r="L520" s="769">
        <f t="shared" si="93"/>
        <v>0</v>
      </c>
      <c r="M520" s="769"/>
      <c r="N520" s="769"/>
      <c r="O520" s="769"/>
      <c r="P520" s="769"/>
      <c r="Q520" s="769"/>
      <c r="R520" s="769"/>
      <c r="U520" s="770"/>
      <c r="V520" s="771">
        <f t="shared" si="94"/>
        <v>0</v>
      </c>
      <c r="W520" s="771">
        <f t="shared" si="95"/>
        <v>0</v>
      </c>
      <c r="X520" t="str">
        <f t="shared" si="96"/>
        <v/>
      </c>
      <c r="Y520" t="str">
        <f t="shared" si="97"/>
        <v/>
      </c>
      <c r="AA520" s="769">
        <f t="shared" si="103"/>
        <v>0</v>
      </c>
      <c r="AB520" s="772">
        <f t="shared" si="104"/>
        <v>0</v>
      </c>
      <c r="AC520" s="769"/>
      <c r="AE520" s="769"/>
      <c r="AF520" s="769"/>
      <c r="AG520" s="769"/>
      <c r="AH520" s="769"/>
      <c r="AI520" s="769"/>
      <c r="AJ520" s="769"/>
      <c r="AK520" s="769"/>
      <c r="AL520" s="769"/>
      <c r="AM520" s="769"/>
      <c r="AN520" s="769"/>
      <c r="AO520" s="769"/>
      <c r="AP520" s="774">
        <f t="shared" si="98"/>
        <v>0</v>
      </c>
      <c r="AS520" s="771"/>
      <c r="AT520" t="str">
        <f t="array" ref="AT520">IF(E520&lt;&gt;"Occupied","",_xlfn.IFS(AND(ISNUMBER(AC520),AC520&lt;&gt;0),"Structured",ISNUMBER(SEARCH("/mo con",T520)),"Notes-parsed",ISNUMBER(SEARCH("step",T520)),"Step-up",ISNUMBER(SEARCH("swap",T520)),"Rate-swap",AND(ISNUMBER(I520),ISNUMBER(J520),I520&gt;J520),"Implied",TRUE(),""))</f>
        <v/>
      </c>
      <c r="AU520" s="769" t="str">
        <f t="shared" si="99"/>
        <v/>
      </c>
      <c r="AV520" s="775">
        <f t="shared" si="100"/>
        <v>0</v>
      </c>
    </row>
    <row r="521" spans="9:48" ht="15" customHeight="1" outlineLevel="1" x14ac:dyDescent="0.25">
      <c r="I521" s="769"/>
      <c r="J521" s="769"/>
      <c r="K521" s="769">
        <f t="shared" si="92"/>
        <v>0</v>
      </c>
      <c r="L521" s="769">
        <f t="shared" si="93"/>
        <v>0</v>
      </c>
      <c r="M521" s="769"/>
      <c r="N521" s="769"/>
      <c r="O521" s="769"/>
      <c r="P521" s="769"/>
      <c r="Q521" s="769"/>
      <c r="R521" s="769"/>
      <c r="U521" s="770"/>
      <c r="V521" s="771">
        <f t="shared" si="94"/>
        <v>0</v>
      </c>
      <c r="W521" s="771">
        <f t="shared" si="95"/>
        <v>0</v>
      </c>
      <c r="X521" t="str">
        <f t="shared" si="96"/>
        <v/>
      </c>
      <c r="Y521" t="str">
        <f t="shared" si="97"/>
        <v/>
      </c>
      <c r="AA521" s="769">
        <f t="shared" si="103"/>
        <v>0</v>
      </c>
      <c r="AB521" s="772">
        <f t="shared" si="104"/>
        <v>0</v>
      </c>
      <c r="AC521" s="769"/>
      <c r="AE521" s="769"/>
      <c r="AF521" s="769"/>
      <c r="AG521" s="769"/>
      <c r="AH521" s="769"/>
      <c r="AI521" s="769"/>
      <c r="AJ521" s="769"/>
      <c r="AK521" s="769"/>
      <c r="AL521" s="769"/>
      <c r="AM521" s="769"/>
      <c r="AN521" s="769"/>
      <c r="AO521" s="769"/>
      <c r="AP521" s="774">
        <f t="shared" si="98"/>
        <v>0</v>
      </c>
      <c r="AS521" s="771"/>
      <c r="AT521" t="str">
        <f t="array" ref="AT521">IF(E521&lt;&gt;"Occupied","",_xlfn.IFS(AND(ISNUMBER(AC521),AC521&lt;&gt;0),"Structured",ISNUMBER(SEARCH("/mo con",T521)),"Notes-parsed",ISNUMBER(SEARCH("step",T521)),"Step-up",ISNUMBER(SEARCH("swap",T521)),"Rate-swap",AND(ISNUMBER(I521),ISNUMBER(J521),I521&gt;J521),"Implied",TRUE(),""))</f>
        <v/>
      </c>
      <c r="AU521" s="769" t="str">
        <f t="shared" si="99"/>
        <v/>
      </c>
      <c r="AV521" s="775">
        <f t="shared" si="100"/>
        <v>0</v>
      </c>
    </row>
    <row r="522" spans="9:48" ht="15" customHeight="1" outlineLevel="1" x14ac:dyDescent="0.25">
      <c r="I522" s="769"/>
      <c r="J522" s="769"/>
      <c r="K522" s="769">
        <f t="shared" si="92"/>
        <v>0</v>
      </c>
      <c r="L522" s="769">
        <f t="shared" si="93"/>
        <v>0</v>
      </c>
      <c r="M522" s="769"/>
      <c r="N522" s="769"/>
      <c r="O522" s="769"/>
      <c r="P522" s="769"/>
      <c r="Q522" s="769"/>
      <c r="R522" s="769"/>
      <c r="U522" s="770"/>
      <c r="V522" s="771">
        <f t="shared" si="94"/>
        <v>0</v>
      </c>
      <c r="W522" s="771">
        <f t="shared" si="95"/>
        <v>0</v>
      </c>
      <c r="X522" t="str">
        <f t="shared" si="96"/>
        <v/>
      </c>
      <c r="Y522" t="str">
        <f t="shared" si="97"/>
        <v/>
      </c>
      <c r="AA522" s="769">
        <f t="shared" si="103"/>
        <v>0</v>
      </c>
      <c r="AB522" s="772">
        <f t="shared" si="104"/>
        <v>0</v>
      </c>
      <c r="AC522" s="769"/>
      <c r="AE522" s="769"/>
      <c r="AF522" s="769"/>
      <c r="AG522" s="769"/>
      <c r="AH522" s="769"/>
      <c r="AI522" s="769"/>
      <c r="AJ522" s="769"/>
      <c r="AK522" s="769"/>
      <c r="AL522" s="769"/>
      <c r="AM522" s="769"/>
      <c r="AN522" s="769"/>
      <c r="AO522" s="769"/>
      <c r="AP522" s="774">
        <f t="shared" si="98"/>
        <v>0</v>
      </c>
      <c r="AS522" s="771"/>
      <c r="AT522" t="str">
        <f t="array" ref="AT522">IF(E522&lt;&gt;"Occupied","",_xlfn.IFS(AND(ISNUMBER(AC522),AC522&lt;&gt;0),"Structured",ISNUMBER(SEARCH("/mo con",T522)),"Notes-parsed",ISNUMBER(SEARCH("step",T522)),"Step-up",ISNUMBER(SEARCH("swap",T522)),"Rate-swap",AND(ISNUMBER(I522),ISNUMBER(J522),I522&gt;J522),"Implied",TRUE(),""))</f>
        <v/>
      </c>
      <c r="AU522" s="769" t="str">
        <f t="shared" si="99"/>
        <v/>
      </c>
      <c r="AV522" s="775">
        <f t="shared" si="100"/>
        <v>0</v>
      </c>
    </row>
    <row r="523" spans="9:48" ht="15" customHeight="1" outlineLevel="1" x14ac:dyDescent="0.25">
      <c r="I523" s="769"/>
      <c r="J523" s="769"/>
      <c r="K523" s="769">
        <f t="shared" si="92"/>
        <v>0</v>
      </c>
      <c r="L523" s="769">
        <f t="shared" si="93"/>
        <v>0</v>
      </c>
      <c r="M523" s="769"/>
      <c r="N523" s="769"/>
      <c r="O523" s="769"/>
      <c r="P523" s="769"/>
      <c r="Q523" s="769"/>
      <c r="R523" s="769"/>
      <c r="U523" s="770"/>
      <c r="V523" s="771">
        <f t="shared" si="94"/>
        <v>0</v>
      </c>
      <c r="W523" s="771">
        <f t="shared" si="95"/>
        <v>0</v>
      </c>
      <c r="X523" t="str">
        <f t="shared" si="96"/>
        <v/>
      </c>
      <c r="Y523" t="str">
        <f t="shared" si="97"/>
        <v/>
      </c>
      <c r="AA523" s="769">
        <f t="shared" si="103"/>
        <v>0</v>
      </c>
      <c r="AB523" s="772">
        <f t="shared" si="104"/>
        <v>0</v>
      </c>
      <c r="AC523" s="769"/>
      <c r="AE523" s="769"/>
      <c r="AF523" s="769"/>
      <c r="AG523" s="769"/>
      <c r="AH523" s="769"/>
      <c r="AI523" s="769"/>
      <c r="AJ523" s="769"/>
      <c r="AK523" s="769"/>
      <c r="AL523" s="769"/>
      <c r="AM523" s="769"/>
      <c r="AN523" s="769"/>
      <c r="AO523" s="769"/>
      <c r="AP523" s="774">
        <f t="shared" si="98"/>
        <v>0</v>
      </c>
      <c r="AS523" s="771"/>
      <c r="AT523" t="str">
        <f t="array" ref="AT523">IF(E523&lt;&gt;"Occupied","",_xlfn.IFS(AND(ISNUMBER(AC523),AC523&lt;&gt;0),"Structured",ISNUMBER(SEARCH("/mo con",T523)),"Notes-parsed",ISNUMBER(SEARCH("step",T523)),"Step-up",ISNUMBER(SEARCH("swap",T523)),"Rate-swap",AND(ISNUMBER(I523),ISNUMBER(J523),I523&gt;J523),"Implied",TRUE(),""))</f>
        <v/>
      </c>
      <c r="AU523" s="769" t="str">
        <f t="shared" si="99"/>
        <v/>
      </c>
      <c r="AV523" s="775">
        <f t="shared" si="100"/>
        <v>0</v>
      </c>
    </row>
    <row r="524" spans="9:48" ht="15" customHeight="1" outlineLevel="1" x14ac:dyDescent="0.25">
      <c r="I524" s="769"/>
      <c r="J524" s="769"/>
      <c r="K524" s="769">
        <f t="shared" si="92"/>
        <v>0</v>
      </c>
      <c r="L524" s="769">
        <f t="shared" si="93"/>
        <v>0</v>
      </c>
      <c r="M524" s="769"/>
      <c r="N524" s="769"/>
      <c r="O524" s="769"/>
      <c r="P524" s="769"/>
      <c r="Q524" s="769"/>
      <c r="R524" s="769"/>
      <c r="U524" s="770"/>
      <c r="V524" s="771">
        <f t="shared" si="94"/>
        <v>0</v>
      </c>
      <c r="W524" s="771">
        <f t="shared" si="95"/>
        <v>0</v>
      </c>
      <c r="X524" t="str">
        <f t="shared" si="96"/>
        <v/>
      </c>
      <c r="Y524" t="str">
        <f t="shared" si="97"/>
        <v/>
      </c>
      <c r="AA524" s="769">
        <f t="shared" si="103"/>
        <v>0</v>
      </c>
      <c r="AB524" s="772">
        <f t="shared" si="104"/>
        <v>0</v>
      </c>
      <c r="AC524" s="769"/>
      <c r="AE524" s="769"/>
      <c r="AF524" s="769"/>
      <c r="AG524" s="769"/>
      <c r="AH524" s="769"/>
      <c r="AI524" s="769"/>
      <c r="AJ524" s="769"/>
      <c r="AK524" s="769"/>
      <c r="AL524" s="769"/>
      <c r="AM524" s="769"/>
      <c r="AN524" s="769"/>
      <c r="AO524" s="769"/>
      <c r="AP524" s="774">
        <f t="shared" si="98"/>
        <v>0</v>
      </c>
      <c r="AS524" s="771"/>
      <c r="AT524" t="str">
        <f t="array" ref="AT524">IF(E524&lt;&gt;"Occupied","",_xlfn.IFS(AND(ISNUMBER(AC524),AC524&lt;&gt;0),"Structured",ISNUMBER(SEARCH("/mo con",T524)),"Notes-parsed",ISNUMBER(SEARCH("step",T524)),"Step-up",ISNUMBER(SEARCH("swap",T524)),"Rate-swap",AND(ISNUMBER(I524),ISNUMBER(J524),I524&gt;J524),"Implied",TRUE(),""))</f>
        <v/>
      </c>
      <c r="AU524" s="769" t="str">
        <f t="shared" si="99"/>
        <v/>
      </c>
      <c r="AV524" s="775">
        <f t="shared" si="100"/>
        <v>0</v>
      </c>
    </row>
    <row r="525" spans="9:48" ht="15" customHeight="1" outlineLevel="1" x14ac:dyDescent="0.25">
      <c r="I525" s="769"/>
      <c r="J525" s="769"/>
      <c r="K525" s="769">
        <f t="shared" si="92"/>
        <v>0</v>
      </c>
      <c r="L525" s="769">
        <f t="shared" si="93"/>
        <v>0</v>
      </c>
      <c r="M525" s="769"/>
      <c r="N525" s="769"/>
      <c r="O525" s="769"/>
      <c r="P525" s="769"/>
      <c r="Q525" s="769"/>
      <c r="R525" s="769"/>
      <c r="U525" s="770"/>
      <c r="V525" s="771">
        <f t="shared" si="94"/>
        <v>0</v>
      </c>
      <c r="W525" s="771">
        <f t="shared" si="95"/>
        <v>0</v>
      </c>
      <c r="X525" t="str">
        <f t="shared" si="96"/>
        <v/>
      </c>
      <c r="Y525" t="str">
        <f t="shared" si="97"/>
        <v/>
      </c>
      <c r="AA525" s="769">
        <f t="shared" si="103"/>
        <v>0</v>
      </c>
      <c r="AB525" s="772">
        <f t="shared" si="104"/>
        <v>0</v>
      </c>
      <c r="AC525" s="769"/>
      <c r="AE525" s="769"/>
      <c r="AF525" s="769"/>
      <c r="AG525" s="769"/>
      <c r="AH525" s="769"/>
      <c r="AI525" s="769"/>
      <c r="AJ525" s="769"/>
      <c r="AK525" s="769"/>
      <c r="AL525" s="769"/>
      <c r="AM525" s="769"/>
      <c r="AN525" s="769"/>
      <c r="AO525" s="769"/>
      <c r="AP525" s="774">
        <f t="shared" si="98"/>
        <v>0</v>
      </c>
      <c r="AS525" s="771"/>
      <c r="AT525" t="str">
        <f t="array" ref="AT525">IF(E525&lt;&gt;"Occupied","",_xlfn.IFS(AND(ISNUMBER(AC525),AC525&lt;&gt;0),"Structured",ISNUMBER(SEARCH("/mo con",T525)),"Notes-parsed",ISNUMBER(SEARCH("step",T525)),"Step-up",ISNUMBER(SEARCH("swap",T525)),"Rate-swap",AND(ISNUMBER(I525),ISNUMBER(J525),I525&gt;J525),"Implied",TRUE(),""))</f>
        <v/>
      </c>
      <c r="AU525" s="769" t="str">
        <f t="shared" si="99"/>
        <v/>
      </c>
      <c r="AV525" s="775">
        <f t="shared" si="100"/>
        <v>0</v>
      </c>
    </row>
    <row r="526" spans="9:48" ht="15" customHeight="1" outlineLevel="1" x14ac:dyDescent="0.25">
      <c r="I526" s="769"/>
      <c r="J526" s="769"/>
      <c r="K526" s="769">
        <f t="shared" si="92"/>
        <v>0</v>
      </c>
      <c r="L526" s="769">
        <f t="shared" si="93"/>
        <v>0</v>
      </c>
      <c r="M526" s="769"/>
      <c r="N526" s="769"/>
      <c r="O526" s="769"/>
      <c r="P526" s="769"/>
      <c r="Q526" s="769"/>
      <c r="R526" s="769"/>
      <c r="U526" s="770"/>
      <c r="V526" s="771">
        <f t="shared" si="94"/>
        <v>0</v>
      </c>
      <c r="W526" s="771">
        <f t="shared" si="95"/>
        <v>0</v>
      </c>
      <c r="X526" t="str">
        <f t="shared" si="96"/>
        <v/>
      </c>
      <c r="Y526" t="str">
        <f t="shared" si="97"/>
        <v/>
      </c>
      <c r="AA526" s="769">
        <f t="shared" si="103"/>
        <v>0</v>
      </c>
      <c r="AB526" s="772">
        <f t="shared" si="104"/>
        <v>0</v>
      </c>
      <c r="AC526" s="769"/>
      <c r="AE526" s="769"/>
      <c r="AF526" s="769"/>
      <c r="AG526" s="769"/>
      <c r="AH526" s="769"/>
      <c r="AI526" s="769"/>
      <c r="AJ526" s="769"/>
      <c r="AK526" s="769"/>
      <c r="AL526" s="769"/>
      <c r="AM526" s="769"/>
      <c r="AN526" s="769"/>
      <c r="AO526" s="769"/>
      <c r="AP526" s="774">
        <f t="shared" si="98"/>
        <v>0</v>
      </c>
      <c r="AS526" s="771"/>
      <c r="AT526" t="str">
        <f t="array" ref="AT526">IF(E526&lt;&gt;"Occupied","",_xlfn.IFS(AND(ISNUMBER(AC526),AC526&lt;&gt;0),"Structured",ISNUMBER(SEARCH("/mo con",T526)),"Notes-parsed",ISNUMBER(SEARCH("step",T526)),"Step-up",ISNUMBER(SEARCH("swap",T526)),"Rate-swap",AND(ISNUMBER(I526),ISNUMBER(J526),I526&gt;J526),"Implied",TRUE(),""))</f>
        <v/>
      </c>
      <c r="AU526" s="769" t="str">
        <f t="shared" si="99"/>
        <v/>
      </c>
      <c r="AV526" s="775">
        <f t="shared" si="100"/>
        <v>0</v>
      </c>
    </row>
    <row r="527" spans="9:48" ht="15" customHeight="1" outlineLevel="1" x14ac:dyDescent="0.25">
      <c r="I527" s="769"/>
      <c r="J527" s="769"/>
      <c r="K527" s="769">
        <f t="shared" si="92"/>
        <v>0</v>
      </c>
      <c r="L527" s="769">
        <f t="shared" si="93"/>
        <v>0</v>
      </c>
      <c r="M527" s="769"/>
      <c r="N527" s="769"/>
      <c r="O527" s="769"/>
      <c r="P527" s="769"/>
      <c r="Q527" s="769"/>
      <c r="R527" s="769"/>
      <c r="U527" s="770"/>
      <c r="V527" s="771">
        <f t="shared" si="94"/>
        <v>0</v>
      </c>
      <c r="W527" s="771">
        <f t="shared" si="95"/>
        <v>0</v>
      </c>
      <c r="X527" t="str">
        <f t="shared" si="96"/>
        <v/>
      </c>
      <c r="Y527" t="str">
        <f t="shared" si="97"/>
        <v/>
      </c>
      <c r="AA527" s="769">
        <f t="shared" si="103"/>
        <v>0</v>
      </c>
      <c r="AB527" s="772">
        <f t="shared" si="104"/>
        <v>0</v>
      </c>
      <c r="AC527" s="769"/>
      <c r="AE527" s="769"/>
      <c r="AF527" s="769"/>
      <c r="AG527" s="769"/>
      <c r="AH527" s="769"/>
      <c r="AI527" s="769"/>
      <c r="AJ527" s="769"/>
      <c r="AK527" s="769"/>
      <c r="AL527" s="769"/>
      <c r="AM527" s="769"/>
      <c r="AN527" s="769"/>
      <c r="AO527" s="769"/>
      <c r="AP527" s="774">
        <f t="shared" si="98"/>
        <v>0</v>
      </c>
      <c r="AS527" s="771"/>
      <c r="AT527" t="str">
        <f t="array" ref="AT527">IF(E527&lt;&gt;"Occupied","",_xlfn.IFS(AND(ISNUMBER(AC527),AC527&lt;&gt;0),"Structured",ISNUMBER(SEARCH("/mo con",T527)),"Notes-parsed",ISNUMBER(SEARCH("step",T527)),"Step-up",ISNUMBER(SEARCH("swap",T527)),"Rate-swap",AND(ISNUMBER(I527),ISNUMBER(J527),I527&gt;J527),"Implied",TRUE(),""))</f>
        <v/>
      </c>
      <c r="AU527" s="769" t="str">
        <f t="shared" si="99"/>
        <v/>
      </c>
      <c r="AV527" s="775">
        <f t="shared" si="100"/>
        <v>0</v>
      </c>
    </row>
    <row r="528" spans="9:48" ht="15" customHeight="1" outlineLevel="1" x14ac:dyDescent="0.25">
      <c r="I528" s="769"/>
      <c r="J528" s="769"/>
      <c r="K528" s="769">
        <f t="shared" si="92"/>
        <v>0</v>
      </c>
      <c r="L528" s="769">
        <f t="shared" si="93"/>
        <v>0</v>
      </c>
      <c r="M528" s="769"/>
      <c r="N528" s="769"/>
      <c r="O528" s="769"/>
      <c r="P528" s="769"/>
      <c r="Q528" s="769"/>
      <c r="R528" s="769"/>
      <c r="U528" s="770"/>
      <c r="V528" s="771">
        <f t="shared" si="94"/>
        <v>0</v>
      </c>
      <c r="W528" s="771">
        <f t="shared" si="95"/>
        <v>0</v>
      </c>
      <c r="X528" t="str">
        <f t="shared" si="96"/>
        <v/>
      </c>
      <c r="Y528" t="str">
        <f t="shared" si="97"/>
        <v/>
      </c>
      <c r="AA528" s="769">
        <f t="shared" si="103"/>
        <v>0</v>
      </c>
      <c r="AB528" s="772">
        <f t="shared" si="104"/>
        <v>0</v>
      </c>
      <c r="AC528" s="769"/>
      <c r="AE528" s="769"/>
      <c r="AF528" s="769"/>
      <c r="AG528" s="769"/>
      <c r="AH528" s="769"/>
      <c r="AI528" s="769"/>
      <c r="AJ528" s="769"/>
      <c r="AK528" s="769"/>
      <c r="AL528" s="769"/>
      <c r="AM528" s="769"/>
      <c r="AN528" s="769"/>
      <c r="AO528" s="769"/>
      <c r="AP528" s="774">
        <f t="shared" si="98"/>
        <v>0</v>
      </c>
      <c r="AS528" s="771"/>
      <c r="AT528" t="str">
        <f t="array" ref="AT528">IF(E528&lt;&gt;"Occupied","",_xlfn.IFS(AND(ISNUMBER(AC528),AC528&lt;&gt;0),"Structured",ISNUMBER(SEARCH("/mo con",T528)),"Notes-parsed",ISNUMBER(SEARCH("step",T528)),"Step-up",ISNUMBER(SEARCH("swap",T528)),"Rate-swap",AND(ISNUMBER(I528),ISNUMBER(J528),I528&gt;J528),"Implied",TRUE(),""))</f>
        <v/>
      </c>
      <c r="AU528" s="769" t="str">
        <f t="shared" si="99"/>
        <v/>
      </c>
      <c r="AV528" s="775">
        <f t="shared" si="100"/>
        <v>0</v>
      </c>
    </row>
    <row r="529" spans="9:48" ht="15" customHeight="1" outlineLevel="1" x14ac:dyDescent="0.25">
      <c r="I529" s="769"/>
      <c r="J529" s="769"/>
      <c r="K529" s="769">
        <f t="shared" si="92"/>
        <v>0</v>
      </c>
      <c r="L529" s="769">
        <f t="shared" si="93"/>
        <v>0</v>
      </c>
      <c r="M529" s="769"/>
      <c r="N529" s="769"/>
      <c r="O529" s="769"/>
      <c r="P529" s="769"/>
      <c r="Q529" s="769"/>
      <c r="R529" s="769"/>
      <c r="U529" s="770"/>
      <c r="V529" s="771">
        <f t="shared" si="94"/>
        <v>0</v>
      </c>
      <c r="W529" s="771">
        <f t="shared" si="95"/>
        <v>0</v>
      </c>
      <c r="X529" t="str">
        <f t="shared" si="96"/>
        <v/>
      </c>
      <c r="Y529" t="str">
        <f t="shared" si="97"/>
        <v/>
      </c>
      <c r="AA529" s="769">
        <f t="shared" si="103"/>
        <v>0</v>
      </c>
      <c r="AB529" s="772">
        <f t="shared" si="104"/>
        <v>0</v>
      </c>
      <c r="AC529" s="769"/>
      <c r="AE529" s="769"/>
      <c r="AF529" s="769"/>
      <c r="AG529" s="769"/>
      <c r="AH529" s="769"/>
      <c r="AI529" s="769"/>
      <c r="AJ529" s="769"/>
      <c r="AK529" s="769"/>
      <c r="AL529" s="769"/>
      <c r="AM529" s="769"/>
      <c r="AN529" s="769"/>
      <c r="AO529" s="769"/>
      <c r="AP529" s="774">
        <f t="shared" si="98"/>
        <v>0</v>
      </c>
      <c r="AS529" s="771"/>
      <c r="AT529" t="str">
        <f t="array" ref="AT529">IF(E529&lt;&gt;"Occupied","",_xlfn.IFS(AND(ISNUMBER(AC529),AC529&lt;&gt;0),"Structured",ISNUMBER(SEARCH("/mo con",T529)),"Notes-parsed",ISNUMBER(SEARCH("step",T529)),"Step-up",ISNUMBER(SEARCH("swap",T529)),"Rate-swap",AND(ISNUMBER(I529),ISNUMBER(J529),I529&gt;J529),"Implied",TRUE(),""))</f>
        <v/>
      </c>
      <c r="AU529" s="769" t="str">
        <f t="shared" si="99"/>
        <v/>
      </c>
      <c r="AV529" s="775">
        <f t="shared" si="100"/>
        <v>0</v>
      </c>
    </row>
    <row r="530" spans="9:48" ht="15" customHeight="1" outlineLevel="1" x14ac:dyDescent="0.25">
      <c r="I530" s="769"/>
      <c r="J530" s="769"/>
      <c r="K530" s="769">
        <f t="shared" si="92"/>
        <v>0</v>
      </c>
      <c r="L530" s="769">
        <f t="shared" si="93"/>
        <v>0</v>
      </c>
      <c r="M530" s="769"/>
      <c r="N530" s="769"/>
      <c r="O530" s="769"/>
      <c r="P530" s="769"/>
      <c r="Q530" s="769"/>
      <c r="R530" s="769"/>
      <c r="U530" s="770"/>
      <c r="V530" s="771">
        <f t="shared" si="94"/>
        <v>0</v>
      </c>
      <c r="W530" s="771">
        <f t="shared" si="95"/>
        <v>0</v>
      </c>
      <c r="X530" t="str">
        <f t="shared" si="96"/>
        <v/>
      </c>
      <c r="Y530" t="str">
        <f t="shared" si="97"/>
        <v/>
      </c>
      <c r="AA530" s="769">
        <f t="shared" si="103"/>
        <v>0</v>
      </c>
      <c r="AB530" s="772">
        <f t="shared" si="104"/>
        <v>0</v>
      </c>
      <c r="AC530" s="769"/>
      <c r="AE530" s="769"/>
      <c r="AF530" s="769"/>
      <c r="AG530" s="769"/>
      <c r="AH530" s="769"/>
      <c r="AI530" s="769"/>
      <c r="AJ530" s="769"/>
      <c r="AK530" s="769"/>
      <c r="AL530" s="769"/>
      <c r="AM530" s="769"/>
      <c r="AN530" s="769"/>
      <c r="AO530" s="769"/>
      <c r="AP530" s="774">
        <f t="shared" si="98"/>
        <v>0</v>
      </c>
      <c r="AS530" s="771"/>
      <c r="AT530" t="str">
        <f t="array" ref="AT530">IF(E530&lt;&gt;"Occupied","",_xlfn.IFS(AND(ISNUMBER(AC530),AC530&lt;&gt;0),"Structured",ISNUMBER(SEARCH("/mo con",T530)),"Notes-parsed",ISNUMBER(SEARCH("step",T530)),"Step-up",ISNUMBER(SEARCH("swap",T530)),"Rate-swap",AND(ISNUMBER(I530),ISNUMBER(J530),I530&gt;J530),"Implied",TRUE(),""))</f>
        <v/>
      </c>
      <c r="AU530" s="769" t="str">
        <f t="shared" si="99"/>
        <v/>
      </c>
      <c r="AV530" s="775">
        <f t="shared" si="100"/>
        <v>0</v>
      </c>
    </row>
    <row r="531" spans="9:48" ht="15" customHeight="1" outlineLevel="1" x14ac:dyDescent="0.25">
      <c r="I531" s="769"/>
      <c r="J531" s="769"/>
      <c r="K531" s="769">
        <f t="shared" si="92"/>
        <v>0</v>
      </c>
      <c r="L531" s="769">
        <f t="shared" si="93"/>
        <v>0</v>
      </c>
      <c r="M531" s="769"/>
      <c r="N531" s="769"/>
      <c r="O531" s="769"/>
      <c r="P531" s="769"/>
      <c r="Q531" s="769"/>
      <c r="R531" s="769"/>
      <c r="U531" s="770"/>
      <c r="V531" s="771">
        <f t="shared" si="94"/>
        <v>0</v>
      </c>
      <c r="W531" s="771">
        <f t="shared" si="95"/>
        <v>0</v>
      </c>
      <c r="X531" t="str">
        <f t="shared" si="96"/>
        <v/>
      </c>
      <c r="Y531" t="str">
        <f t="shared" si="97"/>
        <v/>
      </c>
      <c r="AA531" s="769">
        <f t="shared" si="103"/>
        <v>0</v>
      </c>
      <c r="AB531" s="772">
        <f t="shared" si="104"/>
        <v>0</v>
      </c>
      <c r="AC531" s="769"/>
      <c r="AE531" s="769"/>
      <c r="AF531" s="769"/>
      <c r="AG531" s="769"/>
      <c r="AH531" s="769"/>
      <c r="AI531" s="769"/>
      <c r="AJ531" s="769"/>
      <c r="AK531" s="769"/>
      <c r="AL531" s="769"/>
      <c r="AM531" s="769"/>
      <c r="AN531" s="769"/>
      <c r="AO531" s="769"/>
      <c r="AP531" s="774">
        <f t="shared" si="98"/>
        <v>0</v>
      </c>
      <c r="AS531" s="771"/>
      <c r="AT531" t="str">
        <f t="array" ref="AT531">IF(E531&lt;&gt;"Occupied","",_xlfn.IFS(AND(ISNUMBER(AC531),AC531&lt;&gt;0),"Structured",ISNUMBER(SEARCH("/mo con",T531)),"Notes-parsed",ISNUMBER(SEARCH("step",T531)),"Step-up",ISNUMBER(SEARCH("swap",T531)),"Rate-swap",AND(ISNUMBER(I531),ISNUMBER(J531),I531&gt;J531),"Implied",TRUE(),""))</f>
        <v/>
      </c>
      <c r="AU531" s="769" t="str">
        <f t="shared" si="99"/>
        <v/>
      </c>
      <c r="AV531" s="775">
        <f t="shared" si="100"/>
        <v>0</v>
      </c>
    </row>
    <row r="532" spans="9:48" ht="15" customHeight="1" outlineLevel="1" x14ac:dyDescent="0.25">
      <c r="I532" s="769"/>
      <c r="J532" s="769"/>
      <c r="K532" s="769">
        <f t="shared" si="92"/>
        <v>0</v>
      </c>
      <c r="L532" s="769">
        <f t="shared" si="93"/>
        <v>0</v>
      </c>
      <c r="M532" s="769"/>
      <c r="N532" s="769"/>
      <c r="O532" s="769"/>
      <c r="P532" s="769"/>
      <c r="Q532" s="769"/>
      <c r="R532" s="769"/>
      <c r="U532" s="770"/>
      <c r="V532" s="771">
        <f t="shared" si="94"/>
        <v>0</v>
      </c>
      <c r="W532" s="771">
        <f t="shared" si="95"/>
        <v>0</v>
      </c>
      <c r="X532" t="str">
        <f t="shared" si="96"/>
        <v/>
      </c>
      <c r="Y532" t="str">
        <f t="shared" si="97"/>
        <v/>
      </c>
      <c r="AA532" s="769">
        <f t="shared" si="103"/>
        <v>0</v>
      </c>
      <c r="AB532" s="772">
        <f t="shared" si="104"/>
        <v>0</v>
      </c>
      <c r="AC532" s="769"/>
      <c r="AE532" s="769"/>
      <c r="AF532" s="769"/>
      <c r="AG532" s="769"/>
      <c r="AH532" s="769"/>
      <c r="AI532" s="769"/>
      <c r="AJ532" s="769"/>
      <c r="AK532" s="769"/>
      <c r="AL532" s="769"/>
      <c r="AM532" s="769"/>
      <c r="AN532" s="769"/>
      <c r="AO532" s="769"/>
      <c r="AP532" s="774">
        <f t="shared" si="98"/>
        <v>0</v>
      </c>
      <c r="AS532" s="771"/>
      <c r="AT532" t="str">
        <f t="array" ref="AT532">IF(E532&lt;&gt;"Occupied","",_xlfn.IFS(AND(ISNUMBER(AC532),AC532&lt;&gt;0),"Structured",ISNUMBER(SEARCH("/mo con",T532)),"Notes-parsed",ISNUMBER(SEARCH("step",T532)),"Step-up",ISNUMBER(SEARCH("swap",T532)),"Rate-swap",AND(ISNUMBER(I532),ISNUMBER(J532),I532&gt;J532),"Implied",TRUE(),""))</f>
        <v/>
      </c>
      <c r="AU532" s="769" t="str">
        <f t="shared" si="99"/>
        <v/>
      </c>
      <c r="AV532" s="775">
        <f t="shared" si="100"/>
        <v>0</v>
      </c>
    </row>
    <row r="533" spans="9:48" ht="15" customHeight="1" outlineLevel="1" x14ac:dyDescent="0.25">
      <c r="I533" s="769"/>
      <c r="J533" s="769"/>
      <c r="K533" s="769">
        <f t="shared" si="92"/>
        <v>0</v>
      </c>
      <c r="L533" s="769">
        <f t="shared" si="93"/>
        <v>0</v>
      </c>
      <c r="M533" s="769"/>
      <c r="N533" s="769"/>
      <c r="O533" s="769"/>
      <c r="P533" s="769"/>
      <c r="Q533" s="769"/>
      <c r="R533" s="769"/>
      <c r="U533" s="770"/>
      <c r="V533" s="771">
        <f t="shared" si="94"/>
        <v>0</v>
      </c>
      <c r="W533" s="771">
        <f t="shared" si="95"/>
        <v>0</v>
      </c>
      <c r="X533" t="str">
        <f t="shared" si="96"/>
        <v/>
      </c>
      <c r="Y533" t="str">
        <f t="shared" si="97"/>
        <v/>
      </c>
      <c r="AA533" s="769">
        <f t="shared" si="103"/>
        <v>0</v>
      </c>
      <c r="AB533" s="772">
        <f t="shared" si="104"/>
        <v>0</v>
      </c>
      <c r="AC533" s="769"/>
      <c r="AE533" s="769"/>
      <c r="AF533" s="769"/>
      <c r="AG533" s="769"/>
      <c r="AH533" s="769"/>
      <c r="AI533" s="769"/>
      <c r="AJ533" s="769"/>
      <c r="AK533" s="769"/>
      <c r="AL533" s="769"/>
      <c r="AM533" s="769"/>
      <c r="AN533" s="769"/>
      <c r="AO533" s="769"/>
      <c r="AP533" s="774">
        <f t="shared" si="98"/>
        <v>0</v>
      </c>
      <c r="AS533" s="771"/>
      <c r="AT533" t="str">
        <f t="array" ref="AT533">IF(E533&lt;&gt;"Occupied","",_xlfn.IFS(AND(ISNUMBER(AC533),AC533&lt;&gt;0),"Structured",ISNUMBER(SEARCH("/mo con",T533)),"Notes-parsed",ISNUMBER(SEARCH("step",T533)),"Step-up",ISNUMBER(SEARCH("swap",T533)),"Rate-swap",AND(ISNUMBER(I533),ISNUMBER(J533),I533&gt;J533),"Implied",TRUE(),""))</f>
        <v/>
      </c>
      <c r="AU533" s="769" t="str">
        <f t="shared" si="99"/>
        <v/>
      </c>
      <c r="AV533" s="775">
        <f t="shared" si="100"/>
        <v>0</v>
      </c>
    </row>
    <row r="534" spans="9:48" ht="15" customHeight="1" outlineLevel="1" x14ac:dyDescent="0.25">
      <c r="I534" s="769"/>
      <c r="J534" s="769"/>
      <c r="K534" s="769">
        <f t="shared" si="92"/>
        <v>0</v>
      </c>
      <c r="L534" s="769">
        <f t="shared" si="93"/>
        <v>0</v>
      </c>
      <c r="M534" s="769"/>
      <c r="N534" s="769"/>
      <c r="O534" s="769"/>
      <c r="P534" s="769"/>
      <c r="Q534" s="769"/>
      <c r="R534" s="769"/>
      <c r="U534" s="770"/>
      <c r="V534" s="771">
        <f t="shared" si="94"/>
        <v>0</v>
      </c>
      <c r="W534" s="771">
        <f t="shared" si="95"/>
        <v>0</v>
      </c>
      <c r="X534" t="str">
        <f t="shared" si="96"/>
        <v/>
      </c>
      <c r="Y534" t="str">
        <f t="shared" si="97"/>
        <v/>
      </c>
      <c r="AA534" s="769">
        <f t="shared" si="103"/>
        <v>0</v>
      </c>
      <c r="AB534" s="772">
        <f t="shared" si="104"/>
        <v>0</v>
      </c>
      <c r="AC534" s="769"/>
      <c r="AE534" s="769"/>
      <c r="AF534" s="769"/>
      <c r="AG534" s="769"/>
      <c r="AH534" s="769"/>
      <c r="AI534" s="769"/>
      <c r="AJ534" s="769"/>
      <c r="AK534" s="769"/>
      <c r="AL534" s="769"/>
      <c r="AM534" s="769"/>
      <c r="AN534" s="769"/>
      <c r="AO534" s="769"/>
      <c r="AP534" s="774">
        <f t="shared" si="98"/>
        <v>0</v>
      </c>
      <c r="AS534" s="771"/>
      <c r="AT534" t="str">
        <f t="array" ref="AT534">IF(E534&lt;&gt;"Occupied","",_xlfn.IFS(AND(ISNUMBER(AC534),AC534&lt;&gt;0),"Structured",ISNUMBER(SEARCH("/mo con",T534)),"Notes-parsed",ISNUMBER(SEARCH("step",T534)),"Step-up",ISNUMBER(SEARCH("swap",T534)),"Rate-swap",AND(ISNUMBER(I534),ISNUMBER(J534),I534&gt;J534),"Implied",TRUE(),""))</f>
        <v/>
      </c>
      <c r="AU534" s="769" t="str">
        <f t="shared" si="99"/>
        <v/>
      </c>
      <c r="AV534" s="775">
        <f t="shared" si="100"/>
        <v>0</v>
      </c>
    </row>
    <row r="535" spans="9:48" ht="15" customHeight="1" outlineLevel="1" x14ac:dyDescent="0.25">
      <c r="I535" s="769"/>
      <c r="J535" s="769"/>
      <c r="K535" s="769">
        <f t="shared" si="92"/>
        <v>0</v>
      </c>
      <c r="L535" s="769">
        <f t="shared" si="93"/>
        <v>0</v>
      </c>
      <c r="M535" s="769"/>
      <c r="N535" s="769"/>
      <c r="O535" s="769"/>
      <c r="P535" s="769"/>
      <c r="Q535" s="769"/>
      <c r="R535" s="769"/>
      <c r="U535" s="770"/>
      <c r="V535" s="771">
        <f t="shared" si="94"/>
        <v>0</v>
      </c>
      <c r="W535" s="771">
        <f t="shared" si="95"/>
        <v>0</v>
      </c>
      <c r="X535" t="str">
        <f t="shared" si="96"/>
        <v/>
      </c>
      <c r="Y535" t="str">
        <f t="shared" si="97"/>
        <v/>
      </c>
      <c r="AA535" s="769">
        <f t="shared" si="103"/>
        <v>0</v>
      </c>
      <c r="AB535" s="772">
        <f t="shared" si="104"/>
        <v>0</v>
      </c>
      <c r="AC535" s="769"/>
      <c r="AE535" s="769"/>
      <c r="AF535" s="769"/>
      <c r="AG535" s="769"/>
      <c r="AH535" s="769"/>
      <c r="AI535" s="769"/>
      <c r="AJ535" s="769"/>
      <c r="AK535" s="769"/>
      <c r="AL535" s="769"/>
      <c r="AM535" s="769"/>
      <c r="AN535" s="769"/>
      <c r="AO535" s="769"/>
      <c r="AP535" s="774">
        <f t="shared" si="98"/>
        <v>0</v>
      </c>
      <c r="AS535" s="771"/>
      <c r="AT535" t="str">
        <f t="array" ref="AT535">IF(E535&lt;&gt;"Occupied","",_xlfn.IFS(AND(ISNUMBER(AC535),AC535&lt;&gt;0),"Structured",ISNUMBER(SEARCH("/mo con",T535)),"Notes-parsed",ISNUMBER(SEARCH("step",T535)),"Step-up",ISNUMBER(SEARCH("swap",T535)),"Rate-swap",AND(ISNUMBER(I535),ISNUMBER(J535),I535&gt;J535),"Implied",TRUE(),""))</f>
        <v/>
      </c>
      <c r="AU535" s="769" t="str">
        <f t="shared" si="99"/>
        <v/>
      </c>
      <c r="AV535" s="775">
        <f t="shared" si="100"/>
        <v>0</v>
      </c>
    </row>
    <row r="536" spans="9:48" ht="15" customHeight="1" outlineLevel="1" x14ac:dyDescent="0.25">
      <c r="I536" s="769"/>
      <c r="J536" s="769"/>
      <c r="K536" s="769">
        <f t="shared" si="92"/>
        <v>0</v>
      </c>
      <c r="L536" s="769">
        <f t="shared" si="93"/>
        <v>0</v>
      </c>
      <c r="M536" s="769"/>
      <c r="N536" s="769"/>
      <c r="O536" s="769"/>
      <c r="P536" s="769"/>
      <c r="Q536" s="769"/>
      <c r="R536" s="769"/>
      <c r="U536" s="770"/>
      <c r="V536" s="771">
        <f t="shared" si="94"/>
        <v>0</v>
      </c>
      <c r="W536" s="771">
        <f t="shared" si="95"/>
        <v>0</v>
      </c>
      <c r="X536" t="str">
        <f t="shared" si="96"/>
        <v/>
      </c>
      <c r="Y536" t="str">
        <f t="shared" si="97"/>
        <v/>
      </c>
      <c r="AA536" s="769">
        <f t="shared" si="103"/>
        <v>0</v>
      </c>
      <c r="AB536" s="772">
        <f t="shared" si="104"/>
        <v>0</v>
      </c>
      <c r="AC536" s="769"/>
      <c r="AE536" s="769"/>
      <c r="AF536" s="769"/>
      <c r="AG536" s="769"/>
      <c r="AH536" s="769"/>
      <c r="AI536" s="769"/>
      <c r="AJ536" s="769"/>
      <c r="AK536" s="769"/>
      <c r="AL536" s="769"/>
      <c r="AM536" s="769"/>
      <c r="AN536" s="769"/>
      <c r="AO536" s="769"/>
      <c r="AP536" s="774">
        <f t="shared" si="98"/>
        <v>0</v>
      </c>
      <c r="AS536" s="771"/>
      <c r="AT536" t="str">
        <f t="array" ref="AT536">IF(E536&lt;&gt;"Occupied","",_xlfn.IFS(AND(ISNUMBER(AC536),AC536&lt;&gt;0),"Structured",ISNUMBER(SEARCH("/mo con",T536)),"Notes-parsed",ISNUMBER(SEARCH("step",T536)),"Step-up",ISNUMBER(SEARCH("swap",T536)),"Rate-swap",AND(ISNUMBER(I536),ISNUMBER(J536),I536&gt;J536),"Implied",TRUE(),""))</f>
        <v/>
      </c>
      <c r="AU536" s="769" t="str">
        <f t="shared" si="99"/>
        <v/>
      </c>
      <c r="AV536" s="775">
        <f t="shared" si="100"/>
        <v>0</v>
      </c>
    </row>
    <row r="537" spans="9:48" ht="15" customHeight="1" outlineLevel="1" x14ac:dyDescent="0.25">
      <c r="I537" s="769"/>
      <c r="J537" s="769"/>
      <c r="K537" s="769">
        <f t="shared" si="92"/>
        <v>0</v>
      </c>
      <c r="L537" s="769">
        <f t="shared" si="93"/>
        <v>0</v>
      </c>
      <c r="M537" s="769"/>
      <c r="N537" s="769"/>
      <c r="O537" s="769"/>
      <c r="P537" s="769"/>
      <c r="Q537" s="769"/>
      <c r="R537" s="769"/>
      <c r="U537" s="770"/>
      <c r="V537" s="771">
        <f t="shared" si="94"/>
        <v>0</v>
      </c>
      <c r="W537" s="771">
        <f t="shared" si="95"/>
        <v>0</v>
      </c>
      <c r="X537" t="str">
        <f t="shared" si="96"/>
        <v/>
      </c>
      <c r="Y537" t="str">
        <f t="shared" si="97"/>
        <v/>
      </c>
      <c r="AA537" s="769">
        <f t="shared" si="103"/>
        <v>0</v>
      </c>
      <c r="AB537" s="772">
        <f t="shared" si="104"/>
        <v>0</v>
      </c>
      <c r="AC537" s="769"/>
      <c r="AE537" s="769"/>
      <c r="AF537" s="769"/>
      <c r="AG537" s="769"/>
      <c r="AH537" s="769"/>
      <c r="AI537" s="769"/>
      <c r="AJ537" s="769"/>
      <c r="AK537" s="769"/>
      <c r="AL537" s="769"/>
      <c r="AM537" s="769"/>
      <c r="AN537" s="769"/>
      <c r="AO537" s="769"/>
      <c r="AP537" s="774">
        <f t="shared" si="98"/>
        <v>0</v>
      </c>
      <c r="AS537" s="771"/>
      <c r="AT537" t="str">
        <f t="array" ref="AT537">IF(E537&lt;&gt;"Occupied","",_xlfn.IFS(AND(ISNUMBER(AC537),AC537&lt;&gt;0),"Structured",ISNUMBER(SEARCH("/mo con",T537)),"Notes-parsed",ISNUMBER(SEARCH("step",T537)),"Step-up",ISNUMBER(SEARCH("swap",T537)),"Rate-swap",AND(ISNUMBER(I537),ISNUMBER(J537),I537&gt;J537),"Implied",TRUE(),""))</f>
        <v/>
      </c>
      <c r="AU537" s="769" t="str">
        <f t="shared" si="99"/>
        <v/>
      </c>
      <c r="AV537" s="775">
        <f t="shared" si="100"/>
        <v>0</v>
      </c>
    </row>
    <row r="538" spans="9:48" ht="15" customHeight="1" outlineLevel="1" x14ac:dyDescent="0.25">
      <c r="I538" s="769"/>
      <c r="J538" s="769"/>
      <c r="K538" s="769">
        <f t="shared" si="92"/>
        <v>0</v>
      </c>
      <c r="L538" s="769">
        <f t="shared" si="93"/>
        <v>0</v>
      </c>
      <c r="M538" s="769"/>
      <c r="N538" s="769"/>
      <c r="O538" s="769"/>
      <c r="P538" s="769"/>
      <c r="Q538" s="769"/>
      <c r="R538" s="769"/>
      <c r="U538" s="770"/>
      <c r="V538" s="771">
        <f t="shared" si="94"/>
        <v>0</v>
      </c>
      <c r="W538" s="771">
        <f t="shared" si="95"/>
        <v>0</v>
      </c>
      <c r="X538" t="str">
        <f t="shared" si="96"/>
        <v/>
      </c>
      <c r="Y538" t="str">
        <f t="shared" si="97"/>
        <v/>
      </c>
      <c r="AA538" s="769">
        <f t="shared" si="103"/>
        <v>0</v>
      </c>
      <c r="AB538" s="772">
        <f t="shared" si="104"/>
        <v>0</v>
      </c>
      <c r="AC538" s="769"/>
      <c r="AE538" s="769"/>
      <c r="AF538" s="769"/>
      <c r="AG538" s="769"/>
      <c r="AH538" s="769"/>
      <c r="AI538" s="769"/>
      <c r="AJ538" s="769"/>
      <c r="AK538" s="769"/>
      <c r="AL538" s="769"/>
      <c r="AM538" s="769"/>
      <c r="AN538" s="769"/>
      <c r="AO538" s="769"/>
      <c r="AP538" s="774">
        <f t="shared" si="98"/>
        <v>0</v>
      </c>
      <c r="AS538" s="771"/>
      <c r="AT538" t="str">
        <f t="array" ref="AT538">IF(E538&lt;&gt;"Occupied","",_xlfn.IFS(AND(ISNUMBER(AC538),AC538&lt;&gt;0),"Structured",ISNUMBER(SEARCH("/mo con",T538)),"Notes-parsed",ISNUMBER(SEARCH("step",T538)),"Step-up",ISNUMBER(SEARCH("swap",T538)),"Rate-swap",AND(ISNUMBER(I538),ISNUMBER(J538),I538&gt;J538),"Implied",TRUE(),""))</f>
        <v/>
      </c>
      <c r="AU538" s="769" t="str">
        <f t="shared" si="99"/>
        <v/>
      </c>
      <c r="AV538" s="775">
        <f t="shared" si="100"/>
        <v>0</v>
      </c>
    </row>
    <row r="539" spans="9:48" ht="15" customHeight="1" outlineLevel="1" x14ac:dyDescent="0.25">
      <c r="I539" s="769"/>
      <c r="J539" s="769"/>
      <c r="K539" s="769">
        <f t="shared" si="92"/>
        <v>0</v>
      </c>
      <c r="L539" s="769">
        <f t="shared" si="93"/>
        <v>0</v>
      </c>
      <c r="M539" s="769"/>
      <c r="N539" s="769"/>
      <c r="O539" s="769"/>
      <c r="P539" s="769"/>
      <c r="Q539" s="769"/>
      <c r="R539" s="769"/>
      <c r="U539" s="770"/>
      <c r="V539" s="771">
        <f t="shared" si="94"/>
        <v>0</v>
      </c>
      <c r="W539" s="771">
        <f t="shared" si="95"/>
        <v>0</v>
      </c>
      <c r="X539" t="str">
        <f t="shared" si="96"/>
        <v/>
      </c>
      <c r="Y539" t="str">
        <f t="shared" si="97"/>
        <v/>
      </c>
      <c r="AA539" s="769">
        <f t="shared" si="103"/>
        <v>0</v>
      </c>
      <c r="AB539" s="772">
        <f t="shared" si="104"/>
        <v>0</v>
      </c>
      <c r="AC539" s="769"/>
      <c r="AE539" s="769"/>
      <c r="AF539" s="769"/>
      <c r="AG539" s="769"/>
      <c r="AH539" s="769"/>
      <c r="AI539" s="769"/>
      <c r="AJ539" s="769"/>
      <c r="AK539" s="769"/>
      <c r="AL539" s="769"/>
      <c r="AM539" s="769"/>
      <c r="AN539" s="769"/>
      <c r="AO539" s="769"/>
      <c r="AP539" s="774">
        <f t="shared" si="98"/>
        <v>0</v>
      </c>
      <c r="AS539" s="771"/>
      <c r="AT539" t="str">
        <f t="array" ref="AT539">IF(E539&lt;&gt;"Occupied","",_xlfn.IFS(AND(ISNUMBER(AC539),AC539&lt;&gt;0),"Structured",ISNUMBER(SEARCH("/mo con",T539)),"Notes-parsed",ISNUMBER(SEARCH("step",T539)),"Step-up",ISNUMBER(SEARCH("swap",T539)),"Rate-swap",AND(ISNUMBER(I539),ISNUMBER(J539),I539&gt;J539),"Implied",TRUE(),""))</f>
        <v/>
      </c>
      <c r="AU539" s="769" t="str">
        <f t="shared" si="99"/>
        <v/>
      </c>
      <c r="AV539" s="775">
        <f t="shared" si="100"/>
        <v>0</v>
      </c>
    </row>
    <row r="540" spans="9:48" ht="15" customHeight="1" outlineLevel="1" x14ac:dyDescent="0.25">
      <c r="I540" s="769"/>
      <c r="J540" s="769"/>
      <c r="K540" s="769">
        <f t="shared" si="92"/>
        <v>0</v>
      </c>
      <c r="L540" s="769">
        <f t="shared" si="93"/>
        <v>0</v>
      </c>
      <c r="M540" s="769"/>
      <c r="N540" s="769"/>
      <c r="O540" s="769"/>
      <c r="P540" s="769"/>
      <c r="Q540" s="769"/>
      <c r="R540" s="769"/>
      <c r="U540" s="770"/>
      <c r="V540" s="771">
        <f t="shared" si="94"/>
        <v>0</v>
      </c>
      <c r="W540" s="771">
        <f t="shared" si="95"/>
        <v>0</v>
      </c>
      <c r="X540" t="str">
        <f t="shared" si="96"/>
        <v/>
      </c>
      <c r="Y540" t="str">
        <f t="shared" si="97"/>
        <v/>
      </c>
      <c r="AA540" s="769">
        <f t="shared" si="103"/>
        <v>0</v>
      </c>
      <c r="AB540" s="772">
        <f t="shared" si="104"/>
        <v>0</v>
      </c>
      <c r="AC540" s="769"/>
      <c r="AE540" s="769"/>
      <c r="AF540" s="769"/>
      <c r="AG540" s="769"/>
      <c r="AH540" s="769"/>
      <c r="AI540" s="769"/>
      <c r="AJ540" s="769"/>
      <c r="AK540" s="769"/>
      <c r="AL540" s="769"/>
      <c r="AM540" s="769"/>
      <c r="AN540" s="769"/>
      <c r="AO540" s="769"/>
      <c r="AP540" s="774">
        <f t="shared" si="98"/>
        <v>0</v>
      </c>
      <c r="AS540" s="771"/>
      <c r="AT540" t="str">
        <f t="array" ref="AT540">IF(E540&lt;&gt;"Occupied","",_xlfn.IFS(AND(ISNUMBER(AC540),AC540&lt;&gt;0),"Structured",ISNUMBER(SEARCH("/mo con",T540)),"Notes-parsed",ISNUMBER(SEARCH("step",T540)),"Step-up",ISNUMBER(SEARCH("swap",T540)),"Rate-swap",AND(ISNUMBER(I540),ISNUMBER(J540),I540&gt;J540),"Implied",TRUE(),""))</f>
        <v/>
      </c>
      <c r="AU540" s="769" t="str">
        <f t="shared" si="99"/>
        <v/>
      </c>
      <c r="AV540" s="775">
        <f t="shared" si="100"/>
        <v>0</v>
      </c>
    </row>
    <row r="541" spans="9:48" ht="15" customHeight="1" outlineLevel="1" x14ac:dyDescent="0.25">
      <c r="I541" s="769"/>
      <c r="J541" s="769"/>
      <c r="K541" s="769">
        <f t="shared" si="92"/>
        <v>0</v>
      </c>
      <c r="L541" s="769">
        <f t="shared" si="93"/>
        <v>0</v>
      </c>
      <c r="M541" s="769"/>
      <c r="N541" s="769"/>
      <c r="O541" s="769"/>
      <c r="P541" s="769"/>
      <c r="Q541" s="769"/>
      <c r="R541" s="769"/>
      <c r="U541" s="770"/>
      <c r="V541" s="771">
        <f t="shared" si="94"/>
        <v>0</v>
      </c>
      <c r="W541" s="771">
        <f t="shared" si="95"/>
        <v>0</v>
      </c>
      <c r="X541" t="str">
        <f t="shared" si="96"/>
        <v/>
      </c>
      <c r="Y541" t="str">
        <f t="shared" si="97"/>
        <v/>
      </c>
      <c r="AA541" s="769">
        <f t="shared" si="103"/>
        <v>0</v>
      </c>
      <c r="AB541" s="772">
        <f t="shared" si="104"/>
        <v>0</v>
      </c>
      <c r="AC541" s="769"/>
      <c r="AE541" s="769"/>
      <c r="AF541" s="769"/>
      <c r="AG541" s="769"/>
      <c r="AH541" s="769"/>
      <c r="AI541" s="769"/>
      <c r="AJ541" s="769"/>
      <c r="AK541" s="769"/>
      <c r="AL541" s="769"/>
      <c r="AM541" s="769"/>
      <c r="AN541" s="769"/>
      <c r="AO541" s="769"/>
      <c r="AP541" s="774">
        <f t="shared" si="98"/>
        <v>0</v>
      </c>
      <c r="AS541" s="771"/>
      <c r="AT541" t="str">
        <f t="array" ref="AT541">IF(E541&lt;&gt;"Occupied","",_xlfn.IFS(AND(ISNUMBER(AC541),AC541&lt;&gt;0),"Structured",ISNUMBER(SEARCH("/mo con",T541)),"Notes-parsed",ISNUMBER(SEARCH("step",T541)),"Step-up",ISNUMBER(SEARCH("swap",T541)),"Rate-swap",AND(ISNUMBER(I541),ISNUMBER(J541),I541&gt;J541),"Implied",TRUE(),""))</f>
        <v/>
      </c>
      <c r="AU541" s="769" t="str">
        <f t="shared" si="99"/>
        <v/>
      </c>
      <c r="AV541" s="775">
        <f t="shared" si="100"/>
        <v>0</v>
      </c>
    </row>
    <row r="542" spans="9:48" ht="15" customHeight="1" outlineLevel="1" x14ac:dyDescent="0.25">
      <c r="I542" s="769"/>
      <c r="J542" s="769"/>
      <c r="K542" s="769">
        <f t="shared" si="92"/>
        <v>0</v>
      </c>
      <c r="L542" s="769">
        <f t="shared" si="93"/>
        <v>0</v>
      </c>
      <c r="M542" s="769"/>
      <c r="N542" s="769"/>
      <c r="O542" s="769"/>
      <c r="P542" s="769"/>
      <c r="Q542" s="769"/>
      <c r="R542" s="769"/>
      <c r="U542" s="770"/>
      <c r="V542" s="771">
        <f t="shared" si="94"/>
        <v>0</v>
      </c>
      <c r="W542" s="771">
        <f t="shared" si="95"/>
        <v>0</v>
      </c>
      <c r="X542" t="str">
        <f t="shared" si="96"/>
        <v/>
      </c>
      <c r="Y542" t="str">
        <f t="shared" si="97"/>
        <v/>
      </c>
      <c r="AA542" s="769">
        <f t="shared" si="103"/>
        <v>0</v>
      </c>
      <c r="AB542" s="772">
        <f t="shared" si="104"/>
        <v>0</v>
      </c>
      <c r="AC542" s="769"/>
      <c r="AE542" s="769"/>
      <c r="AF542" s="769"/>
      <c r="AG542" s="769"/>
      <c r="AH542" s="769"/>
      <c r="AI542" s="769"/>
      <c r="AJ542" s="769"/>
      <c r="AK542" s="769"/>
      <c r="AL542" s="769"/>
      <c r="AM542" s="769"/>
      <c r="AN542" s="769"/>
      <c r="AO542" s="769"/>
      <c r="AP542" s="774">
        <f t="shared" si="98"/>
        <v>0</v>
      </c>
      <c r="AS542" s="771"/>
      <c r="AT542" t="str">
        <f t="array" ref="AT542">IF(E542&lt;&gt;"Occupied","",_xlfn.IFS(AND(ISNUMBER(AC542),AC542&lt;&gt;0),"Structured",ISNUMBER(SEARCH("/mo con",T542)),"Notes-parsed",ISNUMBER(SEARCH("step",T542)),"Step-up",ISNUMBER(SEARCH("swap",T542)),"Rate-swap",AND(ISNUMBER(I542),ISNUMBER(J542),I542&gt;J542),"Implied",TRUE(),""))</f>
        <v/>
      </c>
      <c r="AU542" s="769" t="str">
        <f t="shared" si="99"/>
        <v/>
      </c>
      <c r="AV542" s="775">
        <f t="shared" si="100"/>
        <v>0</v>
      </c>
    </row>
    <row r="543" spans="9:48" ht="15" customHeight="1" outlineLevel="1" x14ac:dyDescent="0.25">
      <c r="I543" s="769"/>
      <c r="J543" s="769"/>
      <c r="K543" s="769">
        <f t="shared" si="92"/>
        <v>0</v>
      </c>
      <c r="L543" s="769">
        <f t="shared" si="93"/>
        <v>0</v>
      </c>
      <c r="M543" s="769"/>
      <c r="N543" s="769"/>
      <c r="O543" s="769"/>
      <c r="P543" s="769"/>
      <c r="Q543" s="769"/>
      <c r="R543" s="769"/>
      <c r="U543" s="770"/>
      <c r="V543" s="771">
        <f t="shared" si="94"/>
        <v>0</v>
      </c>
      <c r="W543" s="771">
        <f t="shared" si="95"/>
        <v>0</v>
      </c>
      <c r="X543" t="str">
        <f t="shared" si="96"/>
        <v/>
      </c>
      <c r="Y543" t="str">
        <f t="shared" si="97"/>
        <v/>
      </c>
      <c r="AA543" s="769">
        <f t="shared" si="103"/>
        <v>0</v>
      </c>
      <c r="AB543" s="772">
        <f t="shared" si="104"/>
        <v>0</v>
      </c>
      <c r="AC543" s="769"/>
      <c r="AE543" s="769"/>
      <c r="AF543" s="769"/>
      <c r="AG543" s="769"/>
      <c r="AH543" s="769"/>
      <c r="AI543" s="769"/>
      <c r="AJ543" s="769"/>
      <c r="AK543" s="769"/>
      <c r="AL543" s="769"/>
      <c r="AM543" s="769"/>
      <c r="AN543" s="769"/>
      <c r="AO543" s="769"/>
      <c r="AP543" s="774">
        <f t="shared" si="98"/>
        <v>0</v>
      </c>
      <c r="AS543" s="771"/>
      <c r="AT543" t="str">
        <f t="array" ref="AT543">IF(E543&lt;&gt;"Occupied","",_xlfn.IFS(AND(ISNUMBER(AC543),AC543&lt;&gt;0),"Structured",ISNUMBER(SEARCH("/mo con",T543)),"Notes-parsed",ISNUMBER(SEARCH("step",T543)),"Step-up",ISNUMBER(SEARCH("swap",T543)),"Rate-swap",AND(ISNUMBER(I543),ISNUMBER(J543),I543&gt;J543),"Implied",TRUE(),""))</f>
        <v/>
      </c>
      <c r="AU543" s="769" t="str">
        <f t="shared" si="99"/>
        <v/>
      </c>
      <c r="AV543" s="775">
        <f t="shared" si="100"/>
        <v>0</v>
      </c>
    </row>
    <row r="544" spans="9:48" ht="15" customHeight="1" outlineLevel="1" x14ac:dyDescent="0.25">
      <c r="I544" s="769"/>
      <c r="J544" s="769"/>
      <c r="K544" s="769">
        <f t="shared" ref="K544:K607" si="105">N(IFERROR(IF(A544="","",N(AE544)+N(AF544)+N(AG544)+N(AH544)),0))</f>
        <v>0</v>
      </c>
      <c r="L544" s="769">
        <f t="shared" ref="L544:L607" si="106">N(IFERROR(IF(A544="","",N(J544)+N(K544)),0))</f>
        <v>0</v>
      </c>
      <c r="M544" s="769"/>
      <c r="N544" s="769"/>
      <c r="O544" s="769"/>
      <c r="P544" s="769"/>
      <c r="Q544" s="769"/>
      <c r="R544" s="769"/>
      <c r="U544" s="770"/>
      <c r="V544" s="771">
        <f t="shared" ref="V544:V607" si="107">N(IFERROR(IF(OR(A544="",U544="",U544=0,J544=""),"",J544/U544),""))</f>
        <v>0</v>
      </c>
      <c r="W544" s="771">
        <f t="shared" ref="W544:W607" si="108">N(IFERROR(IF(V544="","",V544*12),""))</f>
        <v>0</v>
      </c>
      <c r="X544" t="str">
        <f t="shared" ref="X544:X607" si="109">IF(AND(E544&lt;&gt;"",E544&lt;&gt;"Vacant",E544&lt;&gt;"Reserved",C544&lt;&gt;"",D544&lt;&gt;""),C544&amp;"|"&amp;D544,"")</f>
        <v/>
      </c>
      <c r="Y544" t="str">
        <f t="shared" ref="Y544:Y607" si="110">IF(AND(C544&lt;&gt;"",D544&lt;&gt;""),C544&amp;"|"&amp;D544,"")</f>
        <v/>
      </c>
      <c r="AA544" s="769">
        <f t="shared" si="103"/>
        <v>0</v>
      </c>
      <c r="AB544" s="772">
        <f t="shared" si="104"/>
        <v>0</v>
      </c>
      <c r="AC544" s="769"/>
      <c r="AE544" s="769"/>
      <c r="AF544" s="769"/>
      <c r="AG544" s="769"/>
      <c r="AH544" s="769"/>
      <c r="AI544" s="769"/>
      <c r="AJ544" s="769"/>
      <c r="AK544" s="769"/>
      <c r="AL544" s="769"/>
      <c r="AM544" s="769"/>
      <c r="AN544" s="769"/>
      <c r="AO544" s="769"/>
      <c r="AP544" s="774">
        <f t="shared" ref="AP544:AP607" si="111">SUM(AJ544:AN544)</f>
        <v>0</v>
      </c>
      <c r="AS544" s="771"/>
      <c r="AT544" t="str">
        <f t="array" ref="AT544">IF(E544&lt;&gt;"Occupied","",_xlfn.IFS(AND(ISNUMBER(AC544),AC544&lt;&gt;0),"Structured",ISNUMBER(SEARCH("/mo con",T544)),"Notes-parsed",ISNUMBER(SEARCH("step",T544)),"Step-up",ISNUMBER(SEARCH("swap",T544)),"Rate-swap",AND(ISNUMBER(I544),ISNUMBER(J544),I544&gt;J544),"Implied",TRUE(),""))</f>
        <v/>
      </c>
      <c r="AU544" s="769" t="str">
        <f t="shared" ref="AU544:AU607" si="112">IF(AC544&lt;&gt;"",AC544,IF(AT544="Implied",-(I544-J544),IF(OR(AT544="Step-up",AT544="Rate-swap"),"see notes","")))</f>
        <v/>
      </c>
      <c r="AV544" s="775">
        <f t="shared" ref="AV544:AV607" si="113">N(IF($E544&lt;&gt;"Occupied","",$J544-IFERROR($AC544*(IF(AND(ISNUMBER($G544),ISNUMBER($AD544),$AD544&gt;$G544),(YEAR($AD544)-YEAR($G544))*12+MONTH($AD544)-MONTH($G544),$AC$174))/$AC$174,0)))</f>
        <v>0</v>
      </c>
    </row>
    <row r="545" spans="9:48" ht="15" customHeight="1" outlineLevel="1" x14ac:dyDescent="0.25">
      <c r="I545" s="769"/>
      <c r="J545" s="769"/>
      <c r="K545" s="769">
        <f t="shared" si="105"/>
        <v>0</v>
      </c>
      <c r="L545" s="769">
        <f t="shared" si="106"/>
        <v>0</v>
      </c>
      <c r="M545" s="769"/>
      <c r="N545" s="769"/>
      <c r="O545" s="769"/>
      <c r="P545" s="769"/>
      <c r="Q545" s="769"/>
      <c r="R545" s="769"/>
      <c r="U545" s="770"/>
      <c r="V545" s="771">
        <f t="shared" si="107"/>
        <v>0</v>
      </c>
      <c r="W545" s="771">
        <f t="shared" si="108"/>
        <v>0</v>
      </c>
      <c r="X545" t="str">
        <f t="shared" si="109"/>
        <v/>
      </c>
      <c r="Y545" t="str">
        <f t="shared" si="110"/>
        <v/>
      </c>
      <c r="AA545" s="769">
        <f t="shared" si="103"/>
        <v>0</v>
      </c>
      <c r="AB545" s="772">
        <f t="shared" si="104"/>
        <v>0</v>
      </c>
      <c r="AC545" s="769"/>
      <c r="AE545" s="769"/>
      <c r="AF545" s="769"/>
      <c r="AG545" s="769"/>
      <c r="AH545" s="769"/>
      <c r="AI545" s="769"/>
      <c r="AJ545" s="769"/>
      <c r="AK545" s="769"/>
      <c r="AL545" s="769"/>
      <c r="AM545" s="769"/>
      <c r="AN545" s="769"/>
      <c r="AO545" s="769"/>
      <c r="AP545" s="774">
        <f t="shared" si="111"/>
        <v>0</v>
      </c>
      <c r="AS545" s="771"/>
      <c r="AT545" t="str">
        <f t="array" ref="AT545">IF(E545&lt;&gt;"Occupied","",_xlfn.IFS(AND(ISNUMBER(AC545),AC545&lt;&gt;0),"Structured",ISNUMBER(SEARCH("/mo con",T545)),"Notes-parsed",ISNUMBER(SEARCH("step",T545)),"Step-up",ISNUMBER(SEARCH("swap",T545)),"Rate-swap",AND(ISNUMBER(I545),ISNUMBER(J545),I545&gt;J545),"Implied",TRUE(),""))</f>
        <v/>
      </c>
      <c r="AU545" s="769" t="str">
        <f t="shared" si="112"/>
        <v/>
      </c>
      <c r="AV545" s="775">
        <f t="shared" si="113"/>
        <v>0</v>
      </c>
    </row>
    <row r="546" spans="9:48" ht="15" customHeight="1" outlineLevel="1" x14ac:dyDescent="0.25">
      <c r="I546" s="769"/>
      <c r="J546" s="769"/>
      <c r="K546" s="769">
        <f t="shared" si="105"/>
        <v>0</v>
      </c>
      <c r="L546" s="769">
        <f t="shared" si="106"/>
        <v>0</v>
      </c>
      <c r="M546" s="769"/>
      <c r="N546" s="769"/>
      <c r="O546" s="769"/>
      <c r="P546" s="769"/>
      <c r="Q546" s="769"/>
      <c r="R546" s="769"/>
      <c r="U546" s="770"/>
      <c r="V546" s="771">
        <f t="shared" si="107"/>
        <v>0</v>
      </c>
      <c r="W546" s="771">
        <f t="shared" si="108"/>
        <v>0</v>
      </c>
      <c r="X546" t="str">
        <f t="shared" si="109"/>
        <v/>
      </c>
      <c r="Y546" t="str">
        <f t="shared" si="110"/>
        <v/>
      </c>
      <c r="AA546" s="769">
        <f t="shared" si="103"/>
        <v>0</v>
      </c>
      <c r="AB546" s="772">
        <f t="shared" si="104"/>
        <v>0</v>
      </c>
      <c r="AC546" s="769"/>
      <c r="AE546" s="769"/>
      <c r="AF546" s="769"/>
      <c r="AG546" s="769"/>
      <c r="AH546" s="769"/>
      <c r="AI546" s="769"/>
      <c r="AJ546" s="769"/>
      <c r="AK546" s="769"/>
      <c r="AL546" s="769"/>
      <c r="AM546" s="769"/>
      <c r="AN546" s="769"/>
      <c r="AO546" s="769"/>
      <c r="AP546" s="774">
        <f t="shared" si="111"/>
        <v>0</v>
      </c>
      <c r="AS546" s="771"/>
      <c r="AT546" t="str">
        <f t="array" ref="AT546">IF(E546&lt;&gt;"Occupied","",_xlfn.IFS(AND(ISNUMBER(AC546),AC546&lt;&gt;0),"Structured",ISNUMBER(SEARCH("/mo con",T546)),"Notes-parsed",ISNUMBER(SEARCH("step",T546)),"Step-up",ISNUMBER(SEARCH("swap",T546)),"Rate-swap",AND(ISNUMBER(I546),ISNUMBER(J546),I546&gt;J546),"Implied",TRUE(),""))</f>
        <v/>
      </c>
      <c r="AU546" s="769" t="str">
        <f t="shared" si="112"/>
        <v/>
      </c>
      <c r="AV546" s="775">
        <f t="shared" si="113"/>
        <v>0</v>
      </c>
    </row>
    <row r="547" spans="9:48" ht="15" customHeight="1" outlineLevel="1" x14ac:dyDescent="0.25">
      <c r="I547" s="769"/>
      <c r="J547" s="769"/>
      <c r="K547" s="769">
        <f t="shared" si="105"/>
        <v>0</v>
      </c>
      <c r="L547" s="769">
        <f t="shared" si="106"/>
        <v>0</v>
      </c>
      <c r="M547" s="769"/>
      <c r="N547" s="769"/>
      <c r="O547" s="769"/>
      <c r="P547" s="769"/>
      <c r="Q547" s="769"/>
      <c r="R547" s="769"/>
      <c r="U547" s="770"/>
      <c r="V547" s="771">
        <f t="shared" si="107"/>
        <v>0</v>
      </c>
      <c r="W547" s="771">
        <f t="shared" si="108"/>
        <v>0</v>
      </c>
      <c r="X547" t="str">
        <f t="shared" si="109"/>
        <v/>
      </c>
      <c r="Y547" t="str">
        <f t="shared" si="110"/>
        <v/>
      </c>
      <c r="AA547" s="769">
        <f t="shared" si="103"/>
        <v>0</v>
      </c>
      <c r="AB547" s="772">
        <f t="shared" si="104"/>
        <v>0</v>
      </c>
      <c r="AC547" s="769"/>
      <c r="AE547" s="769"/>
      <c r="AF547" s="769"/>
      <c r="AG547" s="769"/>
      <c r="AH547" s="769"/>
      <c r="AI547" s="769"/>
      <c r="AJ547" s="769"/>
      <c r="AK547" s="769"/>
      <c r="AL547" s="769"/>
      <c r="AM547" s="769"/>
      <c r="AN547" s="769"/>
      <c r="AO547" s="769"/>
      <c r="AP547" s="774">
        <f t="shared" si="111"/>
        <v>0</v>
      </c>
      <c r="AS547" s="771"/>
      <c r="AT547" t="str">
        <f t="array" ref="AT547">IF(E547&lt;&gt;"Occupied","",_xlfn.IFS(AND(ISNUMBER(AC547),AC547&lt;&gt;0),"Structured",ISNUMBER(SEARCH("/mo con",T547)),"Notes-parsed",ISNUMBER(SEARCH("step",T547)),"Step-up",ISNUMBER(SEARCH("swap",T547)),"Rate-swap",AND(ISNUMBER(I547),ISNUMBER(J547),I547&gt;J547),"Implied",TRUE(),""))</f>
        <v/>
      </c>
      <c r="AU547" s="769" t="str">
        <f t="shared" si="112"/>
        <v/>
      </c>
      <c r="AV547" s="775">
        <f t="shared" si="113"/>
        <v>0</v>
      </c>
    </row>
    <row r="548" spans="9:48" ht="15" customHeight="1" outlineLevel="1" x14ac:dyDescent="0.25">
      <c r="I548" s="769"/>
      <c r="J548" s="769"/>
      <c r="K548" s="769">
        <f t="shared" si="105"/>
        <v>0</v>
      </c>
      <c r="L548" s="769">
        <f t="shared" si="106"/>
        <v>0</v>
      </c>
      <c r="M548" s="769"/>
      <c r="N548" s="769"/>
      <c r="O548" s="769"/>
      <c r="P548" s="769"/>
      <c r="Q548" s="769"/>
      <c r="R548" s="769"/>
      <c r="U548" s="770"/>
      <c r="V548" s="771">
        <f t="shared" si="107"/>
        <v>0</v>
      </c>
      <c r="W548" s="771">
        <f t="shared" si="108"/>
        <v>0</v>
      </c>
      <c r="X548" t="str">
        <f t="shared" si="109"/>
        <v/>
      </c>
      <c r="Y548" t="str">
        <f t="shared" si="110"/>
        <v/>
      </c>
      <c r="AA548" s="769">
        <f t="shared" si="103"/>
        <v>0</v>
      </c>
      <c r="AB548" s="772">
        <f t="shared" si="104"/>
        <v>0</v>
      </c>
      <c r="AC548" s="769"/>
      <c r="AE548" s="769"/>
      <c r="AF548" s="769"/>
      <c r="AG548" s="769"/>
      <c r="AH548" s="769"/>
      <c r="AI548" s="769"/>
      <c r="AJ548" s="769"/>
      <c r="AK548" s="769"/>
      <c r="AL548" s="769"/>
      <c r="AM548" s="769"/>
      <c r="AN548" s="769"/>
      <c r="AO548" s="769"/>
      <c r="AP548" s="774">
        <f t="shared" si="111"/>
        <v>0</v>
      </c>
      <c r="AS548" s="771"/>
      <c r="AT548" t="str">
        <f t="array" ref="AT548">IF(E548&lt;&gt;"Occupied","",_xlfn.IFS(AND(ISNUMBER(AC548),AC548&lt;&gt;0),"Structured",ISNUMBER(SEARCH("/mo con",T548)),"Notes-parsed",ISNUMBER(SEARCH("step",T548)),"Step-up",ISNUMBER(SEARCH("swap",T548)),"Rate-swap",AND(ISNUMBER(I548),ISNUMBER(J548),I548&gt;J548),"Implied",TRUE(),""))</f>
        <v/>
      </c>
      <c r="AU548" s="769" t="str">
        <f t="shared" si="112"/>
        <v/>
      </c>
      <c r="AV548" s="775">
        <f t="shared" si="113"/>
        <v>0</v>
      </c>
    </row>
    <row r="549" spans="9:48" ht="15" customHeight="1" outlineLevel="1" x14ac:dyDescent="0.25">
      <c r="I549" s="769"/>
      <c r="J549" s="769"/>
      <c r="K549" s="769">
        <f t="shared" si="105"/>
        <v>0</v>
      </c>
      <c r="L549" s="769">
        <f t="shared" si="106"/>
        <v>0</v>
      </c>
      <c r="M549" s="769"/>
      <c r="N549" s="769"/>
      <c r="O549" s="769"/>
      <c r="P549" s="769"/>
      <c r="Q549" s="769"/>
      <c r="R549" s="769"/>
      <c r="U549" s="770"/>
      <c r="V549" s="771">
        <f t="shared" si="107"/>
        <v>0</v>
      </c>
      <c r="W549" s="771">
        <f t="shared" si="108"/>
        <v>0</v>
      </c>
      <c r="X549" t="str">
        <f t="shared" si="109"/>
        <v/>
      </c>
      <c r="Y549" t="str">
        <f t="shared" si="110"/>
        <v/>
      </c>
      <c r="AA549" s="769">
        <f t="shared" si="103"/>
        <v>0</v>
      </c>
      <c r="AB549" s="772">
        <f t="shared" si="104"/>
        <v>0</v>
      </c>
      <c r="AC549" s="769"/>
      <c r="AE549" s="769"/>
      <c r="AF549" s="769"/>
      <c r="AG549" s="769"/>
      <c r="AH549" s="769"/>
      <c r="AI549" s="769"/>
      <c r="AJ549" s="769"/>
      <c r="AK549" s="769"/>
      <c r="AL549" s="769"/>
      <c r="AM549" s="769"/>
      <c r="AN549" s="769"/>
      <c r="AO549" s="769"/>
      <c r="AP549" s="774">
        <f t="shared" si="111"/>
        <v>0</v>
      </c>
      <c r="AS549" s="771"/>
      <c r="AT549" t="str">
        <f t="array" ref="AT549">IF(E549&lt;&gt;"Occupied","",_xlfn.IFS(AND(ISNUMBER(AC549),AC549&lt;&gt;0),"Structured",ISNUMBER(SEARCH("/mo con",T549)),"Notes-parsed",ISNUMBER(SEARCH("step",T549)),"Step-up",ISNUMBER(SEARCH("swap",T549)),"Rate-swap",AND(ISNUMBER(I549),ISNUMBER(J549),I549&gt;J549),"Implied",TRUE(),""))</f>
        <v/>
      </c>
      <c r="AU549" s="769" t="str">
        <f t="shared" si="112"/>
        <v/>
      </c>
      <c r="AV549" s="775">
        <f t="shared" si="113"/>
        <v>0</v>
      </c>
    </row>
    <row r="550" spans="9:48" ht="15" customHeight="1" outlineLevel="1" x14ac:dyDescent="0.25">
      <c r="I550" s="769"/>
      <c r="J550" s="769"/>
      <c r="K550" s="769">
        <f t="shared" si="105"/>
        <v>0</v>
      </c>
      <c r="L550" s="769">
        <f t="shared" si="106"/>
        <v>0</v>
      </c>
      <c r="M550" s="769"/>
      <c r="N550" s="769"/>
      <c r="O550" s="769"/>
      <c r="P550" s="769"/>
      <c r="Q550" s="769"/>
      <c r="R550" s="769"/>
      <c r="U550" s="770"/>
      <c r="V550" s="771">
        <f t="shared" si="107"/>
        <v>0</v>
      </c>
      <c r="W550" s="771">
        <f t="shared" si="108"/>
        <v>0</v>
      </c>
      <c r="X550" t="str">
        <f t="shared" si="109"/>
        <v/>
      </c>
      <c r="Y550" t="str">
        <f t="shared" si="110"/>
        <v/>
      </c>
      <c r="AA550" s="769">
        <f t="shared" si="103"/>
        <v>0</v>
      </c>
      <c r="AB550" s="772">
        <f t="shared" si="104"/>
        <v>0</v>
      </c>
      <c r="AC550" s="769"/>
      <c r="AE550" s="769"/>
      <c r="AF550" s="769"/>
      <c r="AG550" s="769"/>
      <c r="AH550" s="769"/>
      <c r="AI550" s="769"/>
      <c r="AJ550" s="769"/>
      <c r="AK550" s="769"/>
      <c r="AL550" s="769"/>
      <c r="AM550" s="769"/>
      <c r="AN550" s="769"/>
      <c r="AO550" s="769"/>
      <c r="AP550" s="774">
        <f t="shared" si="111"/>
        <v>0</v>
      </c>
      <c r="AS550" s="771"/>
      <c r="AT550" t="str">
        <f t="array" ref="AT550">IF(E550&lt;&gt;"Occupied","",_xlfn.IFS(AND(ISNUMBER(AC550),AC550&lt;&gt;0),"Structured",ISNUMBER(SEARCH("/mo con",T550)),"Notes-parsed",ISNUMBER(SEARCH("step",T550)),"Step-up",ISNUMBER(SEARCH("swap",T550)),"Rate-swap",AND(ISNUMBER(I550),ISNUMBER(J550),I550&gt;J550),"Implied",TRUE(),""))</f>
        <v/>
      </c>
      <c r="AU550" s="769" t="str">
        <f t="shared" si="112"/>
        <v/>
      </c>
      <c r="AV550" s="775">
        <f t="shared" si="113"/>
        <v>0</v>
      </c>
    </row>
    <row r="551" spans="9:48" ht="15" customHeight="1" outlineLevel="1" x14ac:dyDescent="0.25">
      <c r="I551" s="769"/>
      <c r="J551" s="769"/>
      <c r="K551" s="769">
        <f t="shared" si="105"/>
        <v>0</v>
      </c>
      <c r="L551" s="769">
        <f t="shared" si="106"/>
        <v>0</v>
      </c>
      <c r="M551" s="769"/>
      <c r="N551" s="769"/>
      <c r="O551" s="769"/>
      <c r="P551" s="769"/>
      <c r="Q551" s="769"/>
      <c r="R551" s="769"/>
      <c r="U551" s="770"/>
      <c r="V551" s="771">
        <f t="shared" si="107"/>
        <v>0</v>
      </c>
      <c r="W551" s="771">
        <f t="shared" si="108"/>
        <v>0</v>
      </c>
      <c r="X551" t="str">
        <f t="shared" si="109"/>
        <v/>
      </c>
      <c r="Y551" t="str">
        <f t="shared" si="110"/>
        <v/>
      </c>
      <c r="AA551" s="769">
        <f t="shared" ref="AA551:AA582" si="114">N(IF(AND(J551&gt;0,I551&gt;0),I551-J551,""))</f>
        <v>0</v>
      </c>
      <c r="AB551" s="772">
        <f t="shared" ref="AB551:AB582" si="115">N(IF(AND(J551&gt;0,I551&gt;0),(I551-J551)/I551,""))</f>
        <v>0</v>
      </c>
      <c r="AC551" s="769"/>
      <c r="AE551" s="769"/>
      <c r="AF551" s="769"/>
      <c r="AG551" s="769"/>
      <c r="AH551" s="769"/>
      <c r="AI551" s="769"/>
      <c r="AJ551" s="769"/>
      <c r="AK551" s="769"/>
      <c r="AL551" s="769"/>
      <c r="AM551" s="769"/>
      <c r="AN551" s="769"/>
      <c r="AO551" s="769"/>
      <c r="AP551" s="774">
        <f t="shared" si="111"/>
        <v>0</v>
      </c>
      <c r="AS551" s="771"/>
      <c r="AT551" t="str">
        <f t="array" ref="AT551">IF(E551&lt;&gt;"Occupied","",_xlfn.IFS(AND(ISNUMBER(AC551),AC551&lt;&gt;0),"Structured",ISNUMBER(SEARCH("/mo con",T551)),"Notes-parsed",ISNUMBER(SEARCH("step",T551)),"Step-up",ISNUMBER(SEARCH("swap",T551)),"Rate-swap",AND(ISNUMBER(I551),ISNUMBER(J551),I551&gt;J551),"Implied",TRUE(),""))</f>
        <v/>
      </c>
      <c r="AU551" s="769" t="str">
        <f t="shared" si="112"/>
        <v/>
      </c>
      <c r="AV551" s="775">
        <f t="shared" si="113"/>
        <v>0</v>
      </c>
    </row>
    <row r="552" spans="9:48" ht="15" customHeight="1" outlineLevel="1" x14ac:dyDescent="0.25">
      <c r="I552" s="769"/>
      <c r="J552" s="769"/>
      <c r="K552" s="769">
        <f t="shared" si="105"/>
        <v>0</v>
      </c>
      <c r="L552" s="769">
        <f t="shared" si="106"/>
        <v>0</v>
      </c>
      <c r="M552" s="769"/>
      <c r="N552" s="769"/>
      <c r="O552" s="769"/>
      <c r="P552" s="769"/>
      <c r="Q552" s="769"/>
      <c r="R552" s="769"/>
      <c r="U552" s="770"/>
      <c r="V552" s="771">
        <f t="shared" si="107"/>
        <v>0</v>
      </c>
      <c r="W552" s="771">
        <f t="shared" si="108"/>
        <v>0</v>
      </c>
      <c r="X552" t="str">
        <f t="shared" si="109"/>
        <v/>
      </c>
      <c r="Y552" t="str">
        <f t="shared" si="110"/>
        <v/>
      </c>
      <c r="AA552" s="769">
        <f t="shared" si="114"/>
        <v>0</v>
      </c>
      <c r="AB552" s="772">
        <f t="shared" si="115"/>
        <v>0</v>
      </c>
      <c r="AC552" s="769"/>
      <c r="AE552" s="769"/>
      <c r="AF552" s="769"/>
      <c r="AG552" s="769"/>
      <c r="AH552" s="769"/>
      <c r="AI552" s="769"/>
      <c r="AJ552" s="769"/>
      <c r="AK552" s="769"/>
      <c r="AL552" s="769"/>
      <c r="AM552" s="769"/>
      <c r="AN552" s="769"/>
      <c r="AO552" s="769"/>
      <c r="AP552" s="774">
        <f t="shared" si="111"/>
        <v>0</v>
      </c>
      <c r="AS552" s="771"/>
      <c r="AT552" t="str">
        <f t="array" ref="AT552">IF(E552&lt;&gt;"Occupied","",_xlfn.IFS(AND(ISNUMBER(AC552),AC552&lt;&gt;0),"Structured",ISNUMBER(SEARCH("/mo con",T552)),"Notes-parsed",ISNUMBER(SEARCH("step",T552)),"Step-up",ISNUMBER(SEARCH("swap",T552)),"Rate-swap",AND(ISNUMBER(I552),ISNUMBER(J552),I552&gt;J552),"Implied",TRUE(),""))</f>
        <v/>
      </c>
      <c r="AU552" s="769" t="str">
        <f t="shared" si="112"/>
        <v/>
      </c>
      <c r="AV552" s="775">
        <f t="shared" si="113"/>
        <v>0</v>
      </c>
    </row>
    <row r="553" spans="9:48" ht="15" customHeight="1" outlineLevel="1" x14ac:dyDescent="0.25">
      <c r="I553" s="769"/>
      <c r="J553" s="769"/>
      <c r="K553" s="769">
        <f t="shared" si="105"/>
        <v>0</v>
      </c>
      <c r="L553" s="769">
        <f t="shared" si="106"/>
        <v>0</v>
      </c>
      <c r="M553" s="769"/>
      <c r="N553" s="769"/>
      <c r="O553" s="769"/>
      <c r="P553" s="769"/>
      <c r="Q553" s="769"/>
      <c r="R553" s="769"/>
      <c r="U553" s="770"/>
      <c r="V553" s="771">
        <f t="shared" si="107"/>
        <v>0</v>
      </c>
      <c r="W553" s="771">
        <f t="shared" si="108"/>
        <v>0</v>
      </c>
      <c r="X553" t="str">
        <f t="shared" si="109"/>
        <v/>
      </c>
      <c r="Y553" t="str">
        <f t="shared" si="110"/>
        <v/>
      </c>
      <c r="AA553" s="769">
        <f t="shared" si="114"/>
        <v>0</v>
      </c>
      <c r="AB553" s="772">
        <f t="shared" si="115"/>
        <v>0</v>
      </c>
      <c r="AC553" s="769"/>
      <c r="AE553" s="769"/>
      <c r="AF553" s="769"/>
      <c r="AG553" s="769"/>
      <c r="AH553" s="769"/>
      <c r="AI553" s="769"/>
      <c r="AJ553" s="769"/>
      <c r="AK553" s="769"/>
      <c r="AL553" s="769"/>
      <c r="AM553" s="769"/>
      <c r="AN553" s="769"/>
      <c r="AO553" s="769"/>
      <c r="AP553" s="774">
        <f t="shared" si="111"/>
        <v>0</v>
      </c>
      <c r="AS553" s="771"/>
      <c r="AT553" t="str">
        <f t="array" ref="AT553">IF(E553&lt;&gt;"Occupied","",_xlfn.IFS(AND(ISNUMBER(AC553),AC553&lt;&gt;0),"Structured",ISNUMBER(SEARCH("/mo con",T553)),"Notes-parsed",ISNUMBER(SEARCH("step",T553)),"Step-up",ISNUMBER(SEARCH("swap",T553)),"Rate-swap",AND(ISNUMBER(I553),ISNUMBER(J553),I553&gt;J553),"Implied",TRUE(),""))</f>
        <v/>
      </c>
      <c r="AU553" s="769" t="str">
        <f t="shared" si="112"/>
        <v/>
      </c>
      <c r="AV553" s="775">
        <f t="shared" si="113"/>
        <v>0</v>
      </c>
    </row>
    <row r="554" spans="9:48" ht="15" customHeight="1" outlineLevel="1" x14ac:dyDescent="0.25">
      <c r="I554" s="769"/>
      <c r="J554" s="769"/>
      <c r="K554" s="769">
        <f t="shared" si="105"/>
        <v>0</v>
      </c>
      <c r="L554" s="769">
        <f t="shared" si="106"/>
        <v>0</v>
      </c>
      <c r="M554" s="769"/>
      <c r="N554" s="769"/>
      <c r="O554" s="769"/>
      <c r="P554" s="769"/>
      <c r="Q554" s="769"/>
      <c r="R554" s="769"/>
      <c r="U554" s="770"/>
      <c r="V554" s="771">
        <f t="shared" si="107"/>
        <v>0</v>
      </c>
      <c r="W554" s="771">
        <f t="shared" si="108"/>
        <v>0</v>
      </c>
      <c r="X554" t="str">
        <f t="shared" si="109"/>
        <v/>
      </c>
      <c r="Y554" t="str">
        <f t="shared" si="110"/>
        <v/>
      </c>
      <c r="AA554" s="769">
        <f t="shared" si="114"/>
        <v>0</v>
      </c>
      <c r="AB554" s="772">
        <f t="shared" si="115"/>
        <v>0</v>
      </c>
      <c r="AC554" s="769"/>
      <c r="AE554" s="769"/>
      <c r="AF554" s="769"/>
      <c r="AG554" s="769"/>
      <c r="AH554" s="769"/>
      <c r="AI554" s="769"/>
      <c r="AJ554" s="769"/>
      <c r="AK554" s="769"/>
      <c r="AL554" s="769"/>
      <c r="AM554" s="769"/>
      <c r="AN554" s="769"/>
      <c r="AO554" s="769"/>
      <c r="AP554" s="774">
        <f t="shared" si="111"/>
        <v>0</v>
      </c>
      <c r="AS554" s="771"/>
      <c r="AT554" t="str">
        <f t="array" ref="AT554">IF(E554&lt;&gt;"Occupied","",_xlfn.IFS(AND(ISNUMBER(AC554),AC554&lt;&gt;0),"Structured",ISNUMBER(SEARCH("/mo con",T554)),"Notes-parsed",ISNUMBER(SEARCH("step",T554)),"Step-up",ISNUMBER(SEARCH("swap",T554)),"Rate-swap",AND(ISNUMBER(I554),ISNUMBER(J554),I554&gt;J554),"Implied",TRUE(),""))</f>
        <v/>
      </c>
      <c r="AU554" s="769" t="str">
        <f t="shared" si="112"/>
        <v/>
      </c>
      <c r="AV554" s="775">
        <f t="shared" si="113"/>
        <v>0</v>
      </c>
    </row>
    <row r="555" spans="9:48" ht="15" customHeight="1" outlineLevel="1" x14ac:dyDescent="0.25">
      <c r="I555" s="769"/>
      <c r="J555" s="769"/>
      <c r="K555" s="769">
        <f t="shared" si="105"/>
        <v>0</v>
      </c>
      <c r="L555" s="769">
        <f t="shared" si="106"/>
        <v>0</v>
      </c>
      <c r="M555" s="769"/>
      <c r="N555" s="769"/>
      <c r="O555" s="769"/>
      <c r="P555" s="769"/>
      <c r="Q555" s="769"/>
      <c r="R555" s="769"/>
      <c r="U555" s="770"/>
      <c r="V555" s="771">
        <f t="shared" si="107"/>
        <v>0</v>
      </c>
      <c r="W555" s="771">
        <f t="shared" si="108"/>
        <v>0</v>
      </c>
      <c r="X555" t="str">
        <f t="shared" si="109"/>
        <v/>
      </c>
      <c r="Y555" t="str">
        <f t="shared" si="110"/>
        <v/>
      </c>
      <c r="AA555" s="769">
        <f t="shared" si="114"/>
        <v>0</v>
      </c>
      <c r="AB555" s="772">
        <f t="shared" si="115"/>
        <v>0</v>
      </c>
      <c r="AC555" s="769"/>
      <c r="AE555" s="769"/>
      <c r="AF555" s="769"/>
      <c r="AG555" s="769"/>
      <c r="AH555" s="769"/>
      <c r="AI555" s="769"/>
      <c r="AJ555" s="769"/>
      <c r="AK555" s="769"/>
      <c r="AL555" s="769"/>
      <c r="AM555" s="769"/>
      <c r="AN555" s="769"/>
      <c r="AO555" s="769"/>
      <c r="AP555" s="774">
        <f t="shared" si="111"/>
        <v>0</v>
      </c>
      <c r="AS555" s="771"/>
      <c r="AT555" t="str">
        <f t="array" ref="AT555">IF(E555&lt;&gt;"Occupied","",_xlfn.IFS(AND(ISNUMBER(AC555),AC555&lt;&gt;0),"Structured",ISNUMBER(SEARCH("/mo con",T555)),"Notes-parsed",ISNUMBER(SEARCH("step",T555)),"Step-up",ISNUMBER(SEARCH("swap",T555)),"Rate-swap",AND(ISNUMBER(I555),ISNUMBER(J555),I555&gt;J555),"Implied",TRUE(),""))</f>
        <v/>
      </c>
      <c r="AU555" s="769" t="str">
        <f t="shared" si="112"/>
        <v/>
      </c>
      <c r="AV555" s="775">
        <f t="shared" si="113"/>
        <v>0</v>
      </c>
    </row>
    <row r="556" spans="9:48" ht="15" customHeight="1" outlineLevel="1" x14ac:dyDescent="0.25">
      <c r="I556" s="769"/>
      <c r="J556" s="769"/>
      <c r="K556" s="769">
        <f t="shared" si="105"/>
        <v>0</v>
      </c>
      <c r="L556" s="769">
        <f t="shared" si="106"/>
        <v>0</v>
      </c>
      <c r="M556" s="769"/>
      <c r="N556" s="769"/>
      <c r="O556" s="769"/>
      <c r="P556" s="769"/>
      <c r="Q556" s="769"/>
      <c r="R556" s="769"/>
      <c r="U556" s="770"/>
      <c r="V556" s="771">
        <f t="shared" si="107"/>
        <v>0</v>
      </c>
      <c r="W556" s="771">
        <f t="shared" si="108"/>
        <v>0</v>
      </c>
      <c r="X556" t="str">
        <f t="shared" si="109"/>
        <v/>
      </c>
      <c r="Y556" t="str">
        <f t="shared" si="110"/>
        <v/>
      </c>
      <c r="AA556" s="769">
        <f t="shared" si="114"/>
        <v>0</v>
      </c>
      <c r="AB556" s="772">
        <f t="shared" si="115"/>
        <v>0</v>
      </c>
      <c r="AC556" s="769"/>
      <c r="AE556" s="769"/>
      <c r="AF556" s="769"/>
      <c r="AG556" s="769"/>
      <c r="AH556" s="769"/>
      <c r="AI556" s="769"/>
      <c r="AJ556" s="769"/>
      <c r="AK556" s="769"/>
      <c r="AL556" s="769"/>
      <c r="AM556" s="769"/>
      <c r="AN556" s="769"/>
      <c r="AO556" s="769"/>
      <c r="AP556" s="774">
        <f t="shared" si="111"/>
        <v>0</v>
      </c>
      <c r="AS556" s="771"/>
      <c r="AT556" t="str">
        <f t="array" ref="AT556">IF(E556&lt;&gt;"Occupied","",_xlfn.IFS(AND(ISNUMBER(AC556),AC556&lt;&gt;0),"Structured",ISNUMBER(SEARCH("/mo con",T556)),"Notes-parsed",ISNUMBER(SEARCH("step",T556)),"Step-up",ISNUMBER(SEARCH("swap",T556)),"Rate-swap",AND(ISNUMBER(I556),ISNUMBER(J556),I556&gt;J556),"Implied",TRUE(),""))</f>
        <v/>
      </c>
      <c r="AU556" s="769" t="str">
        <f t="shared" si="112"/>
        <v/>
      </c>
      <c r="AV556" s="775">
        <f t="shared" si="113"/>
        <v>0</v>
      </c>
    </row>
    <row r="557" spans="9:48" ht="15" customHeight="1" outlineLevel="1" x14ac:dyDescent="0.25">
      <c r="I557" s="769"/>
      <c r="J557" s="769"/>
      <c r="K557" s="769">
        <f t="shared" si="105"/>
        <v>0</v>
      </c>
      <c r="L557" s="769">
        <f t="shared" si="106"/>
        <v>0</v>
      </c>
      <c r="M557" s="769"/>
      <c r="N557" s="769"/>
      <c r="O557" s="769"/>
      <c r="P557" s="769"/>
      <c r="Q557" s="769"/>
      <c r="R557" s="769"/>
      <c r="U557" s="770"/>
      <c r="V557" s="771">
        <f t="shared" si="107"/>
        <v>0</v>
      </c>
      <c r="W557" s="771">
        <f t="shared" si="108"/>
        <v>0</v>
      </c>
      <c r="X557" t="str">
        <f t="shared" si="109"/>
        <v/>
      </c>
      <c r="Y557" t="str">
        <f t="shared" si="110"/>
        <v/>
      </c>
      <c r="AA557" s="769">
        <f t="shared" si="114"/>
        <v>0</v>
      </c>
      <c r="AB557" s="772">
        <f t="shared" si="115"/>
        <v>0</v>
      </c>
      <c r="AC557" s="769"/>
      <c r="AE557" s="769"/>
      <c r="AF557" s="769"/>
      <c r="AG557" s="769"/>
      <c r="AH557" s="769"/>
      <c r="AI557" s="769"/>
      <c r="AJ557" s="769"/>
      <c r="AK557" s="769"/>
      <c r="AL557" s="769"/>
      <c r="AM557" s="769"/>
      <c r="AN557" s="769"/>
      <c r="AO557" s="769"/>
      <c r="AP557" s="774">
        <f t="shared" si="111"/>
        <v>0</v>
      </c>
      <c r="AS557" s="771"/>
      <c r="AT557" t="str">
        <f t="array" ref="AT557">IF(E557&lt;&gt;"Occupied","",_xlfn.IFS(AND(ISNUMBER(AC557),AC557&lt;&gt;0),"Structured",ISNUMBER(SEARCH("/mo con",T557)),"Notes-parsed",ISNUMBER(SEARCH("step",T557)),"Step-up",ISNUMBER(SEARCH("swap",T557)),"Rate-swap",AND(ISNUMBER(I557),ISNUMBER(J557),I557&gt;J557),"Implied",TRUE(),""))</f>
        <v/>
      </c>
      <c r="AU557" s="769" t="str">
        <f t="shared" si="112"/>
        <v/>
      </c>
      <c r="AV557" s="775">
        <f t="shared" si="113"/>
        <v>0</v>
      </c>
    </row>
    <row r="558" spans="9:48" ht="15" customHeight="1" outlineLevel="1" x14ac:dyDescent="0.25">
      <c r="I558" s="769"/>
      <c r="J558" s="769"/>
      <c r="K558" s="769">
        <f t="shared" si="105"/>
        <v>0</v>
      </c>
      <c r="L558" s="769">
        <f t="shared" si="106"/>
        <v>0</v>
      </c>
      <c r="M558" s="769"/>
      <c r="N558" s="769"/>
      <c r="O558" s="769"/>
      <c r="P558" s="769"/>
      <c r="Q558" s="769"/>
      <c r="R558" s="769"/>
      <c r="U558" s="770"/>
      <c r="V558" s="771">
        <f t="shared" si="107"/>
        <v>0</v>
      </c>
      <c r="W558" s="771">
        <f t="shared" si="108"/>
        <v>0</v>
      </c>
      <c r="X558" t="str">
        <f t="shared" si="109"/>
        <v/>
      </c>
      <c r="Y558" t="str">
        <f t="shared" si="110"/>
        <v/>
      </c>
      <c r="AA558" s="769">
        <f t="shared" si="114"/>
        <v>0</v>
      </c>
      <c r="AB558" s="772">
        <f t="shared" si="115"/>
        <v>0</v>
      </c>
      <c r="AC558" s="769"/>
      <c r="AE558" s="769"/>
      <c r="AF558" s="769"/>
      <c r="AG558" s="769"/>
      <c r="AH558" s="769"/>
      <c r="AI558" s="769"/>
      <c r="AJ558" s="769"/>
      <c r="AK558" s="769"/>
      <c r="AL558" s="769"/>
      <c r="AM558" s="769"/>
      <c r="AN558" s="769"/>
      <c r="AO558" s="769"/>
      <c r="AP558" s="774">
        <f t="shared" si="111"/>
        <v>0</v>
      </c>
      <c r="AS558" s="771"/>
      <c r="AT558" t="str">
        <f t="array" ref="AT558">IF(E558&lt;&gt;"Occupied","",_xlfn.IFS(AND(ISNUMBER(AC558),AC558&lt;&gt;0),"Structured",ISNUMBER(SEARCH("/mo con",T558)),"Notes-parsed",ISNUMBER(SEARCH("step",T558)),"Step-up",ISNUMBER(SEARCH("swap",T558)),"Rate-swap",AND(ISNUMBER(I558),ISNUMBER(J558),I558&gt;J558),"Implied",TRUE(),""))</f>
        <v/>
      </c>
      <c r="AU558" s="769" t="str">
        <f t="shared" si="112"/>
        <v/>
      </c>
      <c r="AV558" s="775">
        <f t="shared" si="113"/>
        <v>0</v>
      </c>
    </row>
    <row r="559" spans="9:48" ht="15" customHeight="1" outlineLevel="1" x14ac:dyDescent="0.25">
      <c r="I559" s="769"/>
      <c r="J559" s="769"/>
      <c r="K559" s="769">
        <f t="shared" si="105"/>
        <v>0</v>
      </c>
      <c r="L559" s="769">
        <f t="shared" si="106"/>
        <v>0</v>
      </c>
      <c r="M559" s="769"/>
      <c r="N559" s="769"/>
      <c r="O559" s="769"/>
      <c r="P559" s="769"/>
      <c r="Q559" s="769"/>
      <c r="R559" s="769"/>
      <c r="U559" s="770"/>
      <c r="V559" s="771">
        <f t="shared" si="107"/>
        <v>0</v>
      </c>
      <c r="W559" s="771">
        <f t="shared" si="108"/>
        <v>0</v>
      </c>
      <c r="X559" t="str">
        <f t="shared" si="109"/>
        <v/>
      </c>
      <c r="Y559" t="str">
        <f t="shared" si="110"/>
        <v/>
      </c>
      <c r="AA559" s="769">
        <f t="shared" si="114"/>
        <v>0</v>
      </c>
      <c r="AB559" s="772">
        <f t="shared" si="115"/>
        <v>0</v>
      </c>
      <c r="AC559" s="769"/>
      <c r="AE559" s="769"/>
      <c r="AF559" s="769"/>
      <c r="AG559" s="769"/>
      <c r="AH559" s="769"/>
      <c r="AI559" s="769"/>
      <c r="AJ559" s="769"/>
      <c r="AK559" s="769"/>
      <c r="AL559" s="769"/>
      <c r="AM559" s="769"/>
      <c r="AN559" s="769"/>
      <c r="AO559" s="769"/>
      <c r="AP559" s="774">
        <f t="shared" si="111"/>
        <v>0</v>
      </c>
      <c r="AS559" s="771"/>
      <c r="AT559" t="str">
        <f t="array" ref="AT559">IF(E559&lt;&gt;"Occupied","",_xlfn.IFS(AND(ISNUMBER(AC559),AC559&lt;&gt;0),"Structured",ISNUMBER(SEARCH("/mo con",T559)),"Notes-parsed",ISNUMBER(SEARCH("step",T559)),"Step-up",ISNUMBER(SEARCH("swap",T559)),"Rate-swap",AND(ISNUMBER(I559),ISNUMBER(J559),I559&gt;J559),"Implied",TRUE(),""))</f>
        <v/>
      </c>
      <c r="AU559" s="769" t="str">
        <f t="shared" si="112"/>
        <v/>
      </c>
      <c r="AV559" s="775">
        <f t="shared" si="113"/>
        <v>0</v>
      </c>
    </row>
    <row r="560" spans="9:48" ht="15" customHeight="1" outlineLevel="1" x14ac:dyDescent="0.25">
      <c r="I560" s="769"/>
      <c r="J560" s="769"/>
      <c r="K560" s="769">
        <f t="shared" si="105"/>
        <v>0</v>
      </c>
      <c r="L560" s="769">
        <f t="shared" si="106"/>
        <v>0</v>
      </c>
      <c r="M560" s="769"/>
      <c r="N560" s="769"/>
      <c r="O560" s="769"/>
      <c r="P560" s="769"/>
      <c r="Q560" s="769"/>
      <c r="R560" s="769"/>
      <c r="U560" s="770"/>
      <c r="V560" s="771">
        <f t="shared" si="107"/>
        <v>0</v>
      </c>
      <c r="W560" s="771">
        <f t="shared" si="108"/>
        <v>0</v>
      </c>
      <c r="X560" t="str">
        <f t="shared" si="109"/>
        <v/>
      </c>
      <c r="Y560" t="str">
        <f t="shared" si="110"/>
        <v/>
      </c>
      <c r="AA560" s="769">
        <f t="shared" si="114"/>
        <v>0</v>
      </c>
      <c r="AB560" s="772">
        <f t="shared" si="115"/>
        <v>0</v>
      </c>
      <c r="AC560" s="769"/>
      <c r="AE560" s="769"/>
      <c r="AF560" s="769"/>
      <c r="AG560" s="769"/>
      <c r="AH560" s="769"/>
      <c r="AI560" s="769"/>
      <c r="AJ560" s="769"/>
      <c r="AK560" s="769"/>
      <c r="AL560" s="769"/>
      <c r="AM560" s="769"/>
      <c r="AN560" s="769"/>
      <c r="AO560" s="769"/>
      <c r="AP560" s="774">
        <f t="shared" si="111"/>
        <v>0</v>
      </c>
      <c r="AS560" s="771"/>
      <c r="AT560" t="str">
        <f t="array" ref="AT560">IF(E560&lt;&gt;"Occupied","",_xlfn.IFS(AND(ISNUMBER(AC560),AC560&lt;&gt;0),"Structured",ISNUMBER(SEARCH("/mo con",T560)),"Notes-parsed",ISNUMBER(SEARCH("step",T560)),"Step-up",ISNUMBER(SEARCH("swap",T560)),"Rate-swap",AND(ISNUMBER(I560),ISNUMBER(J560),I560&gt;J560),"Implied",TRUE(),""))</f>
        <v/>
      </c>
      <c r="AU560" s="769" t="str">
        <f t="shared" si="112"/>
        <v/>
      </c>
      <c r="AV560" s="775">
        <f t="shared" si="113"/>
        <v>0</v>
      </c>
    </row>
    <row r="561" spans="9:48" ht="15" customHeight="1" outlineLevel="1" x14ac:dyDescent="0.25">
      <c r="I561" s="769"/>
      <c r="J561" s="769"/>
      <c r="K561" s="769">
        <f t="shared" si="105"/>
        <v>0</v>
      </c>
      <c r="L561" s="769">
        <f t="shared" si="106"/>
        <v>0</v>
      </c>
      <c r="M561" s="769"/>
      <c r="N561" s="769"/>
      <c r="O561" s="769"/>
      <c r="P561" s="769"/>
      <c r="Q561" s="769"/>
      <c r="R561" s="769"/>
      <c r="U561" s="770"/>
      <c r="V561" s="771">
        <f t="shared" si="107"/>
        <v>0</v>
      </c>
      <c r="W561" s="771">
        <f t="shared" si="108"/>
        <v>0</v>
      </c>
      <c r="X561" t="str">
        <f t="shared" si="109"/>
        <v/>
      </c>
      <c r="Y561" t="str">
        <f t="shared" si="110"/>
        <v/>
      </c>
      <c r="AA561" s="769">
        <f t="shared" si="114"/>
        <v>0</v>
      </c>
      <c r="AB561" s="772">
        <f t="shared" si="115"/>
        <v>0</v>
      </c>
      <c r="AC561" s="769"/>
      <c r="AE561" s="769"/>
      <c r="AF561" s="769"/>
      <c r="AG561" s="769"/>
      <c r="AH561" s="769"/>
      <c r="AI561" s="769"/>
      <c r="AJ561" s="769"/>
      <c r="AK561" s="769"/>
      <c r="AL561" s="769"/>
      <c r="AM561" s="769"/>
      <c r="AN561" s="769"/>
      <c r="AO561" s="769"/>
      <c r="AP561" s="774">
        <f t="shared" si="111"/>
        <v>0</v>
      </c>
      <c r="AS561" s="771"/>
      <c r="AT561" t="str">
        <f t="array" ref="AT561">IF(E561&lt;&gt;"Occupied","",_xlfn.IFS(AND(ISNUMBER(AC561),AC561&lt;&gt;0),"Structured",ISNUMBER(SEARCH("/mo con",T561)),"Notes-parsed",ISNUMBER(SEARCH("step",T561)),"Step-up",ISNUMBER(SEARCH("swap",T561)),"Rate-swap",AND(ISNUMBER(I561),ISNUMBER(J561),I561&gt;J561),"Implied",TRUE(),""))</f>
        <v/>
      </c>
      <c r="AU561" s="769" t="str">
        <f t="shared" si="112"/>
        <v/>
      </c>
      <c r="AV561" s="775">
        <f t="shared" si="113"/>
        <v>0</v>
      </c>
    </row>
    <row r="562" spans="9:48" ht="15" customHeight="1" outlineLevel="1" x14ac:dyDescent="0.25">
      <c r="I562" s="769"/>
      <c r="J562" s="769"/>
      <c r="K562" s="769">
        <f t="shared" si="105"/>
        <v>0</v>
      </c>
      <c r="L562" s="769">
        <f t="shared" si="106"/>
        <v>0</v>
      </c>
      <c r="M562" s="769"/>
      <c r="N562" s="769"/>
      <c r="O562" s="769"/>
      <c r="P562" s="769"/>
      <c r="Q562" s="769"/>
      <c r="R562" s="769"/>
      <c r="U562" s="770"/>
      <c r="V562" s="771">
        <f t="shared" si="107"/>
        <v>0</v>
      </c>
      <c r="W562" s="771">
        <f t="shared" si="108"/>
        <v>0</v>
      </c>
      <c r="X562" t="str">
        <f t="shared" si="109"/>
        <v/>
      </c>
      <c r="Y562" t="str">
        <f t="shared" si="110"/>
        <v/>
      </c>
      <c r="AA562" s="769">
        <f t="shared" si="114"/>
        <v>0</v>
      </c>
      <c r="AB562" s="772">
        <f t="shared" si="115"/>
        <v>0</v>
      </c>
      <c r="AC562" s="769"/>
      <c r="AE562" s="769"/>
      <c r="AF562" s="769"/>
      <c r="AG562" s="769"/>
      <c r="AH562" s="769"/>
      <c r="AI562" s="769"/>
      <c r="AJ562" s="769"/>
      <c r="AK562" s="769"/>
      <c r="AL562" s="769"/>
      <c r="AM562" s="769"/>
      <c r="AN562" s="769"/>
      <c r="AO562" s="769"/>
      <c r="AP562" s="774">
        <f t="shared" si="111"/>
        <v>0</v>
      </c>
      <c r="AS562" s="771"/>
      <c r="AT562" t="str">
        <f t="array" ref="AT562">IF(E562&lt;&gt;"Occupied","",_xlfn.IFS(AND(ISNUMBER(AC562),AC562&lt;&gt;0),"Structured",ISNUMBER(SEARCH("/mo con",T562)),"Notes-parsed",ISNUMBER(SEARCH("step",T562)),"Step-up",ISNUMBER(SEARCH("swap",T562)),"Rate-swap",AND(ISNUMBER(I562),ISNUMBER(J562),I562&gt;J562),"Implied",TRUE(),""))</f>
        <v/>
      </c>
      <c r="AU562" s="769" t="str">
        <f t="shared" si="112"/>
        <v/>
      </c>
      <c r="AV562" s="775">
        <f t="shared" si="113"/>
        <v>0</v>
      </c>
    </row>
    <row r="563" spans="9:48" ht="15" customHeight="1" outlineLevel="1" x14ac:dyDescent="0.25">
      <c r="I563" s="769"/>
      <c r="J563" s="769"/>
      <c r="K563" s="769">
        <f t="shared" si="105"/>
        <v>0</v>
      </c>
      <c r="L563" s="769">
        <f t="shared" si="106"/>
        <v>0</v>
      </c>
      <c r="M563" s="769"/>
      <c r="N563" s="769"/>
      <c r="O563" s="769"/>
      <c r="P563" s="769"/>
      <c r="Q563" s="769"/>
      <c r="R563" s="769"/>
      <c r="U563" s="770"/>
      <c r="V563" s="771">
        <f t="shared" si="107"/>
        <v>0</v>
      </c>
      <c r="W563" s="771">
        <f t="shared" si="108"/>
        <v>0</v>
      </c>
      <c r="X563" t="str">
        <f t="shared" si="109"/>
        <v/>
      </c>
      <c r="Y563" t="str">
        <f t="shared" si="110"/>
        <v/>
      </c>
      <c r="AA563" s="769">
        <f t="shared" si="114"/>
        <v>0</v>
      </c>
      <c r="AB563" s="772">
        <f t="shared" si="115"/>
        <v>0</v>
      </c>
      <c r="AC563" s="769"/>
      <c r="AE563" s="769"/>
      <c r="AF563" s="769"/>
      <c r="AG563" s="769"/>
      <c r="AH563" s="769"/>
      <c r="AI563" s="769"/>
      <c r="AJ563" s="769"/>
      <c r="AK563" s="769"/>
      <c r="AL563" s="769"/>
      <c r="AM563" s="769"/>
      <c r="AN563" s="769"/>
      <c r="AO563" s="769"/>
      <c r="AP563" s="774">
        <f t="shared" si="111"/>
        <v>0</v>
      </c>
      <c r="AS563" s="771"/>
      <c r="AT563" t="str">
        <f t="array" ref="AT563">IF(E563&lt;&gt;"Occupied","",_xlfn.IFS(AND(ISNUMBER(AC563),AC563&lt;&gt;0),"Structured",ISNUMBER(SEARCH("/mo con",T563)),"Notes-parsed",ISNUMBER(SEARCH("step",T563)),"Step-up",ISNUMBER(SEARCH("swap",T563)),"Rate-swap",AND(ISNUMBER(I563),ISNUMBER(J563),I563&gt;J563),"Implied",TRUE(),""))</f>
        <v/>
      </c>
      <c r="AU563" s="769" t="str">
        <f t="shared" si="112"/>
        <v/>
      </c>
      <c r="AV563" s="775">
        <f t="shared" si="113"/>
        <v>0</v>
      </c>
    </row>
    <row r="564" spans="9:48" ht="15" customHeight="1" outlineLevel="1" x14ac:dyDescent="0.25">
      <c r="I564" s="769"/>
      <c r="J564" s="769"/>
      <c r="K564" s="769">
        <f t="shared" si="105"/>
        <v>0</v>
      </c>
      <c r="L564" s="769">
        <f t="shared" si="106"/>
        <v>0</v>
      </c>
      <c r="M564" s="769"/>
      <c r="N564" s="769"/>
      <c r="O564" s="769"/>
      <c r="P564" s="769"/>
      <c r="Q564" s="769"/>
      <c r="R564" s="769"/>
      <c r="U564" s="770"/>
      <c r="V564" s="771">
        <f t="shared" si="107"/>
        <v>0</v>
      </c>
      <c r="W564" s="771">
        <f t="shared" si="108"/>
        <v>0</v>
      </c>
      <c r="X564" t="str">
        <f t="shared" si="109"/>
        <v/>
      </c>
      <c r="Y564" t="str">
        <f t="shared" si="110"/>
        <v/>
      </c>
      <c r="AA564" s="769">
        <f t="shared" si="114"/>
        <v>0</v>
      </c>
      <c r="AB564" s="772">
        <f t="shared" si="115"/>
        <v>0</v>
      </c>
      <c r="AC564" s="769"/>
      <c r="AE564" s="769"/>
      <c r="AF564" s="769"/>
      <c r="AG564" s="769"/>
      <c r="AH564" s="769"/>
      <c r="AI564" s="769"/>
      <c r="AJ564" s="769"/>
      <c r="AK564" s="769"/>
      <c r="AL564" s="769"/>
      <c r="AM564" s="769"/>
      <c r="AN564" s="769"/>
      <c r="AO564" s="769"/>
      <c r="AP564" s="774">
        <f t="shared" si="111"/>
        <v>0</v>
      </c>
      <c r="AS564" s="771"/>
      <c r="AT564" t="str">
        <f t="array" ref="AT564">IF(E564&lt;&gt;"Occupied","",_xlfn.IFS(AND(ISNUMBER(AC564),AC564&lt;&gt;0),"Structured",ISNUMBER(SEARCH("/mo con",T564)),"Notes-parsed",ISNUMBER(SEARCH("step",T564)),"Step-up",ISNUMBER(SEARCH("swap",T564)),"Rate-swap",AND(ISNUMBER(I564),ISNUMBER(J564),I564&gt;J564),"Implied",TRUE(),""))</f>
        <v/>
      </c>
      <c r="AU564" s="769" t="str">
        <f t="shared" si="112"/>
        <v/>
      </c>
      <c r="AV564" s="775">
        <f t="shared" si="113"/>
        <v>0</v>
      </c>
    </row>
    <row r="565" spans="9:48" ht="15" customHeight="1" outlineLevel="1" x14ac:dyDescent="0.25">
      <c r="I565" s="769"/>
      <c r="J565" s="769"/>
      <c r="K565" s="769">
        <f t="shared" si="105"/>
        <v>0</v>
      </c>
      <c r="L565" s="769">
        <f t="shared" si="106"/>
        <v>0</v>
      </c>
      <c r="M565" s="769"/>
      <c r="N565" s="769"/>
      <c r="O565" s="769"/>
      <c r="P565" s="769"/>
      <c r="Q565" s="769"/>
      <c r="R565" s="769"/>
      <c r="U565" s="770"/>
      <c r="V565" s="771">
        <f t="shared" si="107"/>
        <v>0</v>
      </c>
      <c r="W565" s="771">
        <f t="shared" si="108"/>
        <v>0</v>
      </c>
      <c r="X565" t="str">
        <f t="shared" si="109"/>
        <v/>
      </c>
      <c r="Y565" t="str">
        <f t="shared" si="110"/>
        <v/>
      </c>
      <c r="AA565" s="769">
        <f t="shared" si="114"/>
        <v>0</v>
      </c>
      <c r="AB565" s="772">
        <f t="shared" si="115"/>
        <v>0</v>
      </c>
      <c r="AC565" s="769"/>
      <c r="AE565" s="769"/>
      <c r="AF565" s="769"/>
      <c r="AG565" s="769"/>
      <c r="AH565" s="769"/>
      <c r="AI565" s="769"/>
      <c r="AJ565" s="769"/>
      <c r="AK565" s="769"/>
      <c r="AL565" s="769"/>
      <c r="AM565" s="769"/>
      <c r="AN565" s="769"/>
      <c r="AO565" s="769"/>
      <c r="AP565" s="774">
        <f t="shared" si="111"/>
        <v>0</v>
      </c>
      <c r="AS565" s="771"/>
      <c r="AT565" t="str">
        <f t="array" ref="AT565">IF(E565&lt;&gt;"Occupied","",_xlfn.IFS(AND(ISNUMBER(AC565),AC565&lt;&gt;0),"Structured",ISNUMBER(SEARCH("/mo con",T565)),"Notes-parsed",ISNUMBER(SEARCH("step",T565)),"Step-up",ISNUMBER(SEARCH("swap",T565)),"Rate-swap",AND(ISNUMBER(I565),ISNUMBER(J565),I565&gt;J565),"Implied",TRUE(),""))</f>
        <v/>
      </c>
      <c r="AU565" s="769" t="str">
        <f t="shared" si="112"/>
        <v/>
      </c>
      <c r="AV565" s="775">
        <f t="shared" si="113"/>
        <v>0</v>
      </c>
    </row>
    <row r="566" spans="9:48" ht="15" customHeight="1" outlineLevel="1" x14ac:dyDescent="0.25">
      <c r="I566" s="769"/>
      <c r="J566" s="769"/>
      <c r="K566" s="769">
        <f t="shared" si="105"/>
        <v>0</v>
      </c>
      <c r="L566" s="769">
        <f t="shared" si="106"/>
        <v>0</v>
      </c>
      <c r="M566" s="769"/>
      <c r="N566" s="769"/>
      <c r="O566" s="769"/>
      <c r="P566" s="769"/>
      <c r="Q566" s="769"/>
      <c r="R566" s="769"/>
      <c r="U566" s="770"/>
      <c r="V566" s="771">
        <f t="shared" si="107"/>
        <v>0</v>
      </c>
      <c r="W566" s="771">
        <f t="shared" si="108"/>
        <v>0</v>
      </c>
      <c r="X566" t="str">
        <f t="shared" si="109"/>
        <v/>
      </c>
      <c r="Y566" t="str">
        <f t="shared" si="110"/>
        <v/>
      </c>
      <c r="AA566" s="769">
        <f t="shared" si="114"/>
        <v>0</v>
      </c>
      <c r="AB566" s="772">
        <f t="shared" si="115"/>
        <v>0</v>
      </c>
      <c r="AC566" s="769"/>
      <c r="AE566" s="769"/>
      <c r="AF566" s="769"/>
      <c r="AG566" s="769"/>
      <c r="AH566" s="769"/>
      <c r="AI566" s="769"/>
      <c r="AJ566" s="769"/>
      <c r="AK566" s="769"/>
      <c r="AL566" s="769"/>
      <c r="AM566" s="769"/>
      <c r="AN566" s="769"/>
      <c r="AO566" s="769"/>
      <c r="AP566" s="774">
        <f t="shared" si="111"/>
        <v>0</v>
      </c>
      <c r="AS566" s="771"/>
      <c r="AT566" t="str">
        <f t="array" ref="AT566">IF(E566&lt;&gt;"Occupied","",_xlfn.IFS(AND(ISNUMBER(AC566),AC566&lt;&gt;0),"Structured",ISNUMBER(SEARCH("/mo con",T566)),"Notes-parsed",ISNUMBER(SEARCH("step",T566)),"Step-up",ISNUMBER(SEARCH("swap",T566)),"Rate-swap",AND(ISNUMBER(I566),ISNUMBER(J566),I566&gt;J566),"Implied",TRUE(),""))</f>
        <v/>
      </c>
      <c r="AU566" s="769" t="str">
        <f t="shared" si="112"/>
        <v/>
      </c>
      <c r="AV566" s="775">
        <f t="shared" si="113"/>
        <v>0</v>
      </c>
    </row>
    <row r="567" spans="9:48" ht="15" customHeight="1" outlineLevel="1" x14ac:dyDescent="0.25">
      <c r="I567" s="769"/>
      <c r="J567" s="769"/>
      <c r="K567" s="769">
        <f t="shared" si="105"/>
        <v>0</v>
      </c>
      <c r="L567" s="769">
        <f t="shared" si="106"/>
        <v>0</v>
      </c>
      <c r="M567" s="769"/>
      <c r="N567" s="769"/>
      <c r="O567" s="769"/>
      <c r="P567" s="769"/>
      <c r="Q567" s="769"/>
      <c r="R567" s="769"/>
      <c r="U567" s="770"/>
      <c r="V567" s="771">
        <f t="shared" si="107"/>
        <v>0</v>
      </c>
      <c r="W567" s="771">
        <f t="shared" si="108"/>
        <v>0</v>
      </c>
      <c r="X567" t="str">
        <f t="shared" si="109"/>
        <v/>
      </c>
      <c r="Y567" t="str">
        <f t="shared" si="110"/>
        <v/>
      </c>
      <c r="AA567" s="769">
        <f t="shared" si="114"/>
        <v>0</v>
      </c>
      <c r="AB567" s="772">
        <f t="shared" si="115"/>
        <v>0</v>
      </c>
      <c r="AC567" s="769"/>
      <c r="AE567" s="769"/>
      <c r="AF567" s="769"/>
      <c r="AG567" s="769"/>
      <c r="AH567" s="769"/>
      <c r="AI567" s="769"/>
      <c r="AJ567" s="769"/>
      <c r="AK567" s="769"/>
      <c r="AL567" s="769"/>
      <c r="AM567" s="769"/>
      <c r="AN567" s="769"/>
      <c r="AO567" s="769"/>
      <c r="AP567" s="774">
        <f t="shared" si="111"/>
        <v>0</v>
      </c>
      <c r="AS567" s="771"/>
      <c r="AT567" t="str">
        <f t="array" ref="AT567">IF(E567&lt;&gt;"Occupied","",_xlfn.IFS(AND(ISNUMBER(AC567),AC567&lt;&gt;0),"Structured",ISNUMBER(SEARCH("/mo con",T567)),"Notes-parsed",ISNUMBER(SEARCH("step",T567)),"Step-up",ISNUMBER(SEARCH("swap",T567)),"Rate-swap",AND(ISNUMBER(I567),ISNUMBER(J567),I567&gt;J567),"Implied",TRUE(),""))</f>
        <v/>
      </c>
      <c r="AU567" s="769" t="str">
        <f t="shared" si="112"/>
        <v/>
      </c>
      <c r="AV567" s="775">
        <f t="shared" si="113"/>
        <v>0</v>
      </c>
    </row>
    <row r="568" spans="9:48" ht="15" customHeight="1" outlineLevel="1" x14ac:dyDescent="0.25">
      <c r="I568" s="769"/>
      <c r="J568" s="769"/>
      <c r="K568" s="769">
        <f t="shared" si="105"/>
        <v>0</v>
      </c>
      <c r="L568" s="769">
        <f t="shared" si="106"/>
        <v>0</v>
      </c>
      <c r="M568" s="769"/>
      <c r="N568" s="769"/>
      <c r="O568" s="769"/>
      <c r="P568" s="769"/>
      <c r="Q568" s="769"/>
      <c r="R568" s="769"/>
      <c r="U568" s="770"/>
      <c r="V568" s="771">
        <f t="shared" si="107"/>
        <v>0</v>
      </c>
      <c r="W568" s="771">
        <f t="shared" si="108"/>
        <v>0</v>
      </c>
      <c r="X568" t="str">
        <f t="shared" si="109"/>
        <v/>
      </c>
      <c r="Y568" t="str">
        <f t="shared" si="110"/>
        <v/>
      </c>
      <c r="AA568" s="769">
        <f t="shared" si="114"/>
        <v>0</v>
      </c>
      <c r="AB568" s="772">
        <f t="shared" si="115"/>
        <v>0</v>
      </c>
      <c r="AC568" s="769"/>
      <c r="AE568" s="769"/>
      <c r="AF568" s="769"/>
      <c r="AG568" s="769"/>
      <c r="AH568" s="769"/>
      <c r="AI568" s="769"/>
      <c r="AJ568" s="769"/>
      <c r="AK568" s="769"/>
      <c r="AL568" s="769"/>
      <c r="AM568" s="769"/>
      <c r="AN568" s="769"/>
      <c r="AO568" s="769"/>
      <c r="AP568" s="774">
        <f t="shared" si="111"/>
        <v>0</v>
      </c>
      <c r="AS568" s="771"/>
      <c r="AT568" t="str">
        <f t="array" ref="AT568">IF(E568&lt;&gt;"Occupied","",_xlfn.IFS(AND(ISNUMBER(AC568),AC568&lt;&gt;0),"Structured",ISNUMBER(SEARCH("/mo con",T568)),"Notes-parsed",ISNUMBER(SEARCH("step",T568)),"Step-up",ISNUMBER(SEARCH("swap",T568)),"Rate-swap",AND(ISNUMBER(I568),ISNUMBER(J568),I568&gt;J568),"Implied",TRUE(),""))</f>
        <v/>
      </c>
      <c r="AU568" s="769" t="str">
        <f t="shared" si="112"/>
        <v/>
      </c>
      <c r="AV568" s="775">
        <f t="shared" si="113"/>
        <v>0</v>
      </c>
    </row>
    <row r="569" spans="9:48" ht="15" customHeight="1" outlineLevel="1" x14ac:dyDescent="0.25">
      <c r="I569" s="769"/>
      <c r="J569" s="769"/>
      <c r="K569" s="769">
        <f t="shared" si="105"/>
        <v>0</v>
      </c>
      <c r="L569" s="769">
        <f t="shared" si="106"/>
        <v>0</v>
      </c>
      <c r="M569" s="769"/>
      <c r="N569" s="769"/>
      <c r="O569" s="769"/>
      <c r="P569" s="769"/>
      <c r="Q569" s="769"/>
      <c r="R569" s="769"/>
      <c r="U569" s="770"/>
      <c r="V569" s="771">
        <f t="shared" si="107"/>
        <v>0</v>
      </c>
      <c r="W569" s="771">
        <f t="shared" si="108"/>
        <v>0</v>
      </c>
      <c r="X569" t="str">
        <f t="shared" si="109"/>
        <v/>
      </c>
      <c r="Y569" t="str">
        <f t="shared" si="110"/>
        <v/>
      </c>
      <c r="AA569" s="769">
        <f t="shared" si="114"/>
        <v>0</v>
      </c>
      <c r="AB569" s="772">
        <f t="shared" si="115"/>
        <v>0</v>
      </c>
      <c r="AC569" s="769"/>
      <c r="AE569" s="769"/>
      <c r="AF569" s="769"/>
      <c r="AG569" s="769"/>
      <c r="AH569" s="769"/>
      <c r="AI569" s="769"/>
      <c r="AJ569" s="769"/>
      <c r="AK569" s="769"/>
      <c r="AL569" s="769"/>
      <c r="AM569" s="769"/>
      <c r="AN569" s="769"/>
      <c r="AO569" s="769"/>
      <c r="AP569" s="774">
        <f t="shared" si="111"/>
        <v>0</v>
      </c>
      <c r="AS569" s="771"/>
      <c r="AT569" t="str">
        <f t="array" ref="AT569">IF(E569&lt;&gt;"Occupied","",_xlfn.IFS(AND(ISNUMBER(AC569),AC569&lt;&gt;0),"Structured",ISNUMBER(SEARCH("/mo con",T569)),"Notes-parsed",ISNUMBER(SEARCH("step",T569)),"Step-up",ISNUMBER(SEARCH("swap",T569)),"Rate-swap",AND(ISNUMBER(I569),ISNUMBER(J569),I569&gt;J569),"Implied",TRUE(),""))</f>
        <v/>
      </c>
      <c r="AU569" s="769" t="str">
        <f t="shared" si="112"/>
        <v/>
      </c>
      <c r="AV569" s="775">
        <f t="shared" si="113"/>
        <v>0</v>
      </c>
    </row>
    <row r="570" spans="9:48" ht="15" customHeight="1" outlineLevel="1" x14ac:dyDescent="0.25">
      <c r="I570" s="769"/>
      <c r="J570" s="769"/>
      <c r="K570" s="769">
        <f t="shared" si="105"/>
        <v>0</v>
      </c>
      <c r="L570" s="769">
        <f t="shared" si="106"/>
        <v>0</v>
      </c>
      <c r="M570" s="769"/>
      <c r="N570" s="769"/>
      <c r="O570" s="769"/>
      <c r="P570" s="769"/>
      <c r="Q570" s="769"/>
      <c r="R570" s="769"/>
      <c r="U570" s="770"/>
      <c r="V570" s="771">
        <f t="shared" si="107"/>
        <v>0</v>
      </c>
      <c r="W570" s="771">
        <f t="shared" si="108"/>
        <v>0</v>
      </c>
      <c r="X570" t="str">
        <f t="shared" si="109"/>
        <v/>
      </c>
      <c r="Y570" t="str">
        <f t="shared" si="110"/>
        <v/>
      </c>
      <c r="AA570" s="769">
        <f t="shared" si="114"/>
        <v>0</v>
      </c>
      <c r="AB570" s="772">
        <f t="shared" si="115"/>
        <v>0</v>
      </c>
      <c r="AC570" s="769"/>
      <c r="AE570" s="769"/>
      <c r="AF570" s="769"/>
      <c r="AG570" s="769"/>
      <c r="AH570" s="769"/>
      <c r="AI570" s="769"/>
      <c r="AJ570" s="769"/>
      <c r="AK570" s="769"/>
      <c r="AL570" s="769"/>
      <c r="AM570" s="769"/>
      <c r="AN570" s="769"/>
      <c r="AO570" s="769"/>
      <c r="AP570" s="774">
        <f t="shared" si="111"/>
        <v>0</v>
      </c>
      <c r="AS570" s="771"/>
      <c r="AT570" t="str">
        <f t="array" ref="AT570">IF(E570&lt;&gt;"Occupied","",_xlfn.IFS(AND(ISNUMBER(AC570),AC570&lt;&gt;0),"Structured",ISNUMBER(SEARCH("/mo con",T570)),"Notes-parsed",ISNUMBER(SEARCH("step",T570)),"Step-up",ISNUMBER(SEARCH("swap",T570)),"Rate-swap",AND(ISNUMBER(I570),ISNUMBER(J570),I570&gt;J570),"Implied",TRUE(),""))</f>
        <v/>
      </c>
      <c r="AU570" s="769" t="str">
        <f t="shared" si="112"/>
        <v/>
      </c>
      <c r="AV570" s="775">
        <f t="shared" si="113"/>
        <v>0</v>
      </c>
    </row>
    <row r="571" spans="9:48" ht="15" customHeight="1" outlineLevel="1" x14ac:dyDescent="0.25">
      <c r="I571" s="769"/>
      <c r="J571" s="769"/>
      <c r="K571" s="769">
        <f t="shared" si="105"/>
        <v>0</v>
      </c>
      <c r="L571" s="769">
        <f t="shared" si="106"/>
        <v>0</v>
      </c>
      <c r="M571" s="769"/>
      <c r="N571" s="769"/>
      <c r="O571" s="769"/>
      <c r="P571" s="769"/>
      <c r="Q571" s="769"/>
      <c r="R571" s="769"/>
      <c r="U571" s="770"/>
      <c r="V571" s="771">
        <f t="shared" si="107"/>
        <v>0</v>
      </c>
      <c r="W571" s="771">
        <f t="shared" si="108"/>
        <v>0</v>
      </c>
      <c r="X571" t="str">
        <f t="shared" si="109"/>
        <v/>
      </c>
      <c r="Y571" t="str">
        <f t="shared" si="110"/>
        <v/>
      </c>
      <c r="AA571" s="769">
        <f t="shared" si="114"/>
        <v>0</v>
      </c>
      <c r="AB571" s="772">
        <f t="shared" si="115"/>
        <v>0</v>
      </c>
      <c r="AC571" s="769"/>
      <c r="AE571" s="769"/>
      <c r="AF571" s="769"/>
      <c r="AG571" s="769"/>
      <c r="AH571" s="769"/>
      <c r="AI571" s="769"/>
      <c r="AJ571" s="769"/>
      <c r="AK571" s="769"/>
      <c r="AL571" s="769"/>
      <c r="AM571" s="769"/>
      <c r="AN571" s="769"/>
      <c r="AO571" s="769"/>
      <c r="AP571" s="774">
        <f t="shared" si="111"/>
        <v>0</v>
      </c>
      <c r="AS571" s="771"/>
      <c r="AT571" t="str">
        <f t="array" ref="AT571">IF(E571&lt;&gt;"Occupied","",_xlfn.IFS(AND(ISNUMBER(AC571),AC571&lt;&gt;0),"Structured",ISNUMBER(SEARCH("/mo con",T571)),"Notes-parsed",ISNUMBER(SEARCH("step",T571)),"Step-up",ISNUMBER(SEARCH("swap",T571)),"Rate-swap",AND(ISNUMBER(I571),ISNUMBER(J571),I571&gt;J571),"Implied",TRUE(),""))</f>
        <v/>
      </c>
      <c r="AU571" s="769" t="str">
        <f t="shared" si="112"/>
        <v/>
      </c>
      <c r="AV571" s="775">
        <f t="shared" si="113"/>
        <v>0</v>
      </c>
    </row>
    <row r="572" spans="9:48" ht="15" customHeight="1" outlineLevel="1" x14ac:dyDescent="0.25">
      <c r="I572" s="769"/>
      <c r="J572" s="769"/>
      <c r="K572" s="769">
        <f t="shared" si="105"/>
        <v>0</v>
      </c>
      <c r="L572" s="769">
        <f t="shared" si="106"/>
        <v>0</v>
      </c>
      <c r="M572" s="769"/>
      <c r="N572" s="769"/>
      <c r="O572" s="769"/>
      <c r="P572" s="769"/>
      <c r="Q572" s="769"/>
      <c r="R572" s="769"/>
      <c r="U572" s="770"/>
      <c r="V572" s="771">
        <f t="shared" si="107"/>
        <v>0</v>
      </c>
      <c r="W572" s="771">
        <f t="shared" si="108"/>
        <v>0</v>
      </c>
      <c r="X572" t="str">
        <f t="shared" si="109"/>
        <v/>
      </c>
      <c r="Y572" t="str">
        <f t="shared" si="110"/>
        <v/>
      </c>
      <c r="AA572" s="769">
        <f t="shared" si="114"/>
        <v>0</v>
      </c>
      <c r="AB572" s="772">
        <f t="shared" si="115"/>
        <v>0</v>
      </c>
      <c r="AC572" s="769"/>
      <c r="AE572" s="769"/>
      <c r="AF572" s="769"/>
      <c r="AG572" s="769"/>
      <c r="AH572" s="769"/>
      <c r="AI572" s="769"/>
      <c r="AJ572" s="769"/>
      <c r="AK572" s="769"/>
      <c r="AL572" s="769"/>
      <c r="AM572" s="769"/>
      <c r="AN572" s="769"/>
      <c r="AO572" s="769"/>
      <c r="AP572" s="774">
        <f t="shared" si="111"/>
        <v>0</v>
      </c>
      <c r="AS572" s="771"/>
      <c r="AT572" t="str">
        <f t="array" ref="AT572">IF(E572&lt;&gt;"Occupied","",_xlfn.IFS(AND(ISNUMBER(AC572),AC572&lt;&gt;0),"Structured",ISNUMBER(SEARCH("/mo con",T572)),"Notes-parsed",ISNUMBER(SEARCH("step",T572)),"Step-up",ISNUMBER(SEARCH("swap",T572)),"Rate-swap",AND(ISNUMBER(I572),ISNUMBER(J572),I572&gt;J572),"Implied",TRUE(),""))</f>
        <v/>
      </c>
      <c r="AU572" s="769" t="str">
        <f t="shared" si="112"/>
        <v/>
      </c>
      <c r="AV572" s="775">
        <f t="shared" si="113"/>
        <v>0</v>
      </c>
    </row>
    <row r="573" spans="9:48" ht="15" customHeight="1" outlineLevel="1" x14ac:dyDescent="0.25">
      <c r="I573" s="769"/>
      <c r="J573" s="769"/>
      <c r="K573" s="769">
        <f t="shared" si="105"/>
        <v>0</v>
      </c>
      <c r="L573" s="769">
        <f t="shared" si="106"/>
        <v>0</v>
      </c>
      <c r="M573" s="769"/>
      <c r="N573" s="769"/>
      <c r="O573" s="769"/>
      <c r="P573" s="769"/>
      <c r="Q573" s="769"/>
      <c r="R573" s="769"/>
      <c r="U573" s="770"/>
      <c r="V573" s="771">
        <f t="shared" si="107"/>
        <v>0</v>
      </c>
      <c r="W573" s="771">
        <f t="shared" si="108"/>
        <v>0</v>
      </c>
      <c r="X573" t="str">
        <f t="shared" si="109"/>
        <v/>
      </c>
      <c r="Y573" t="str">
        <f t="shared" si="110"/>
        <v/>
      </c>
      <c r="AA573" s="769">
        <f t="shared" si="114"/>
        <v>0</v>
      </c>
      <c r="AB573" s="772">
        <f t="shared" si="115"/>
        <v>0</v>
      </c>
      <c r="AC573" s="769"/>
      <c r="AE573" s="769"/>
      <c r="AF573" s="769"/>
      <c r="AG573" s="769"/>
      <c r="AH573" s="769"/>
      <c r="AI573" s="769"/>
      <c r="AJ573" s="769"/>
      <c r="AK573" s="769"/>
      <c r="AL573" s="769"/>
      <c r="AM573" s="769"/>
      <c r="AN573" s="769"/>
      <c r="AO573" s="769"/>
      <c r="AP573" s="774">
        <f t="shared" si="111"/>
        <v>0</v>
      </c>
      <c r="AS573" s="771"/>
      <c r="AT573" t="str">
        <f t="array" ref="AT573">IF(E573&lt;&gt;"Occupied","",_xlfn.IFS(AND(ISNUMBER(AC573),AC573&lt;&gt;0),"Structured",ISNUMBER(SEARCH("/mo con",T573)),"Notes-parsed",ISNUMBER(SEARCH("step",T573)),"Step-up",ISNUMBER(SEARCH("swap",T573)),"Rate-swap",AND(ISNUMBER(I573),ISNUMBER(J573),I573&gt;J573),"Implied",TRUE(),""))</f>
        <v/>
      </c>
      <c r="AU573" s="769" t="str">
        <f t="shared" si="112"/>
        <v/>
      </c>
      <c r="AV573" s="775">
        <f t="shared" si="113"/>
        <v>0</v>
      </c>
    </row>
    <row r="574" spans="9:48" ht="15" customHeight="1" outlineLevel="1" x14ac:dyDescent="0.25">
      <c r="I574" s="769"/>
      <c r="J574" s="769"/>
      <c r="K574" s="769">
        <f t="shared" si="105"/>
        <v>0</v>
      </c>
      <c r="L574" s="769">
        <f t="shared" si="106"/>
        <v>0</v>
      </c>
      <c r="M574" s="769"/>
      <c r="N574" s="769"/>
      <c r="O574" s="769"/>
      <c r="P574" s="769"/>
      <c r="Q574" s="769"/>
      <c r="R574" s="769"/>
      <c r="U574" s="770"/>
      <c r="V574" s="771">
        <f t="shared" si="107"/>
        <v>0</v>
      </c>
      <c r="W574" s="771">
        <f t="shared" si="108"/>
        <v>0</v>
      </c>
      <c r="X574" t="str">
        <f t="shared" si="109"/>
        <v/>
      </c>
      <c r="Y574" t="str">
        <f t="shared" si="110"/>
        <v/>
      </c>
      <c r="AA574" s="769">
        <f t="shared" si="114"/>
        <v>0</v>
      </c>
      <c r="AB574" s="772">
        <f t="shared" si="115"/>
        <v>0</v>
      </c>
      <c r="AC574" s="769"/>
      <c r="AE574" s="769"/>
      <c r="AF574" s="769"/>
      <c r="AG574" s="769"/>
      <c r="AH574" s="769"/>
      <c r="AI574" s="769"/>
      <c r="AJ574" s="769"/>
      <c r="AK574" s="769"/>
      <c r="AL574" s="769"/>
      <c r="AM574" s="769"/>
      <c r="AN574" s="769"/>
      <c r="AO574" s="769"/>
      <c r="AP574" s="774">
        <f t="shared" si="111"/>
        <v>0</v>
      </c>
      <c r="AS574" s="771"/>
      <c r="AT574" t="str">
        <f t="array" ref="AT574">IF(E574&lt;&gt;"Occupied","",_xlfn.IFS(AND(ISNUMBER(AC574),AC574&lt;&gt;0),"Structured",ISNUMBER(SEARCH("/mo con",T574)),"Notes-parsed",ISNUMBER(SEARCH("step",T574)),"Step-up",ISNUMBER(SEARCH("swap",T574)),"Rate-swap",AND(ISNUMBER(I574),ISNUMBER(J574),I574&gt;J574),"Implied",TRUE(),""))</f>
        <v/>
      </c>
      <c r="AU574" s="769" t="str">
        <f t="shared" si="112"/>
        <v/>
      </c>
      <c r="AV574" s="775">
        <f t="shared" si="113"/>
        <v>0</v>
      </c>
    </row>
    <row r="575" spans="9:48" ht="15" customHeight="1" outlineLevel="1" x14ac:dyDescent="0.25">
      <c r="I575" s="769"/>
      <c r="J575" s="769"/>
      <c r="K575" s="769">
        <f t="shared" si="105"/>
        <v>0</v>
      </c>
      <c r="L575" s="769">
        <f t="shared" si="106"/>
        <v>0</v>
      </c>
      <c r="M575" s="769"/>
      <c r="N575" s="769"/>
      <c r="O575" s="769"/>
      <c r="P575" s="769"/>
      <c r="Q575" s="769"/>
      <c r="R575" s="769"/>
      <c r="U575" s="770"/>
      <c r="V575" s="771">
        <f t="shared" si="107"/>
        <v>0</v>
      </c>
      <c r="W575" s="771">
        <f t="shared" si="108"/>
        <v>0</v>
      </c>
      <c r="X575" t="str">
        <f t="shared" si="109"/>
        <v/>
      </c>
      <c r="Y575" t="str">
        <f t="shared" si="110"/>
        <v/>
      </c>
      <c r="AA575" s="769">
        <f t="shared" si="114"/>
        <v>0</v>
      </c>
      <c r="AB575" s="772">
        <f t="shared" si="115"/>
        <v>0</v>
      </c>
      <c r="AC575" s="769"/>
      <c r="AE575" s="769"/>
      <c r="AF575" s="769"/>
      <c r="AG575" s="769"/>
      <c r="AH575" s="769"/>
      <c r="AI575" s="769"/>
      <c r="AJ575" s="769"/>
      <c r="AK575" s="769"/>
      <c r="AL575" s="769"/>
      <c r="AM575" s="769"/>
      <c r="AN575" s="769"/>
      <c r="AO575" s="769"/>
      <c r="AP575" s="774">
        <f t="shared" si="111"/>
        <v>0</v>
      </c>
      <c r="AS575" s="771"/>
      <c r="AT575" t="str">
        <f t="array" ref="AT575">IF(E575&lt;&gt;"Occupied","",_xlfn.IFS(AND(ISNUMBER(AC575),AC575&lt;&gt;0),"Structured",ISNUMBER(SEARCH("/mo con",T575)),"Notes-parsed",ISNUMBER(SEARCH("step",T575)),"Step-up",ISNUMBER(SEARCH("swap",T575)),"Rate-swap",AND(ISNUMBER(I575),ISNUMBER(J575),I575&gt;J575),"Implied",TRUE(),""))</f>
        <v/>
      </c>
      <c r="AU575" s="769" t="str">
        <f t="shared" si="112"/>
        <v/>
      </c>
      <c r="AV575" s="775">
        <f t="shared" si="113"/>
        <v>0</v>
      </c>
    </row>
    <row r="576" spans="9:48" ht="15" customHeight="1" outlineLevel="1" x14ac:dyDescent="0.25">
      <c r="I576" s="769"/>
      <c r="J576" s="769"/>
      <c r="K576" s="769">
        <f t="shared" si="105"/>
        <v>0</v>
      </c>
      <c r="L576" s="769">
        <f t="shared" si="106"/>
        <v>0</v>
      </c>
      <c r="M576" s="769"/>
      <c r="N576" s="769"/>
      <c r="O576" s="769"/>
      <c r="P576" s="769"/>
      <c r="Q576" s="769"/>
      <c r="R576" s="769"/>
      <c r="U576" s="770"/>
      <c r="V576" s="771">
        <f t="shared" si="107"/>
        <v>0</v>
      </c>
      <c r="W576" s="771">
        <f t="shared" si="108"/>
        <v>0</v>
      </c>
      <c r="X576" t="str">
        <f t="shared" si="109"/>
        <v/>
      </c>
      <c r="Y576" t="str">
        <f t="shared" si="110"/>
        <v/>
      </c>
      <c r="AA576" s="769">
        <f t="shared" si="114"/>
        <v>0</v>
      </c>
      <c r="AB576" s="772">
        <f t="shared" si="115"/>
        <v>0</v>
      </c>
      <c r="AC576" s="769"/>
      <c r="AE576" s="769"/>
      <c r="AF576" s="769"/>
      <c r="AG576" s="769"/>
      <c r="AH576" s="769"/>
      <c r="AI576" s="769"/>
      <c r="AJ576" s="769"/>
      <c r="AK576" s="769"/>
      <c r="AL576" s="769"/>
      <c r="AM576" s="769"/>
      <c r="AN576" s="769"/>
      <c r="AO576" s="769"/>
      <c r="AP576" s="774">
        <f t="shared" si="111"/>
        <v>0</v>
      </c>
      <c r="AS576" s="771"/>
      <c r="AT576" t="str">
        <f t="array" ref="AT576">IF(E576&lt;&gt;"Occupied","",_xlfn.IFS(AND(ISNUMBER(AC576),AC576&lt;&gt;0),"Structured",ISNUMBER(SEARCH("/mo con",T576)),"Notes-parsed",ISNUMBER(SEARCH("step",T576)),"Step-up",ISNUMBER(SEARCH("swap",T576)),"Rate-swap",AND(ISNUMBER(I576),ISNUMBER(J576),I576&gt;J576),"Implied",TRUE(),""))</f>
        <v/>
      </c>
      <c r="AU576" s="769" t="str">
        <f t="shared" si="112"/>
        <v/>
      </c>
      <c r="AV576" s="775">
        <f t="shared" si="113"/>
        <v>0</v>
      </c>
    </row>
    <row r="577" spans="9:48" ht="15" customHeight="1" outlineLevel="1" x14ac:dyDescent="0.25">
      <c r="I577" s="769"/>
      <c r="J577" s="769"/>
      <c r="K577" s="769">
        <f t="shared" si="105"/>
        <v>0</v>
      </c>
      <c r="L577" s="769">
        <f t="shared" si="106"/>
        <v>0</v>
      </c>
      <c r="M577" s="769"/>
      <c r="N577" s="769"/>
      <c r="O577" s="769"/>
      <c r="P577" s="769"/>
      <c r="Q577" s="769"/>
      <c r="R577" s="769"/>
      <c r="U577" s="770"/>
      <c r="V577" s="771">
        <f t="shared" si="107"/>
        <v>0</v>
      </c>
      <c r="W577" s="771">
        <f t="shared" si="108"/>
        <v>0</v>
      </c>
      <c r="X577" t="str">
        <f t="shared" si="109"/>
        <v/>
      </c>
      <c r="Y577" t="str">
        <f t="shared" si="110"/>
        <v/>
      </c>
      <c r="AA577" s="769">
        <f t="shared" si="114"/>
        <v>0</v>
      </c>
      <c r="AB577" s="772">
        <f t="shared" si="115"/>
        <v>0</v>
      </c>
      <c r="AC577" s="769"/>
      <c r="AE577" s="769"/>
      <c r="AF577" s="769"/>
      <c r="AG577" s="769"/>
      <c r="AH577" s="769"/>
      <c r="AI577" s="769"/>
      <c r="AJ577" s="769"/>
      <c r="AK577" s="769"/>
      <c r="AL577" s="769"/>
      <c r="AM577" s="769"/>
      <c r="AN577" s="769"/>
      <c r="AO577" s="769"/>
      <c r="AP577" s="774">
        <f t="shared" si="111"/>
        <v>0</v>
      </c>
      <c r="AS577" s="771"/>
      <c r="AT577" t="str">
        <f t="array" ref="AT577">IF(E577&lt;&gt;"Occupied","",_xlfn.IFS(AND(ISNUMBER(AC577),AC577&lt;&gt;0),"Structured",ISNUMBER(SEARCH("/mo con",T577)),"Notes-parsed",ISNUMBER(SEARCH("step",T577)),"Step-up",ISNUMBER(SEARCH("swap",T577)),"Rate-swap",AND(ISNUMBER(I577),ISNUMBER(J577),I577&gt;J577),"Implied",TRUE(),""))</f>
        <v/>
      </c>
      <c r="AU577" s="769" t="str">
        <f t="shared" si="112"/>
        <v/>
      </c>
      <c r="AV577" s="775">
        <f t="shared" si="113"/>
        <v>0</v>
      </c>
    </row>
    <row r="578" spans="9:48" ht="15" customHeight="1" outlineLevel="1" x14ac:dyDescent="0.25">
      <c r="I578" s="769"/>
      <c r="J578" s="769"/>
      <c r="K578" s="769">
        <f t="shared" si="105"/>
        <v>0</v>
      </c>
      <c r="L578" s="769">
        <f t="shared" si="106"/>
        <v>0</v>
      </c>
      <c r="M578" s="769"/>
      <c r="N578" s="769"/>
      <c r="O578" s="769"/>
      <c r="P578" s="769"/>
      <c r="Q578" s="769"/>
      <c r="R578" s="769"/>
      <c r="U578" s="770"/>
      <c r="V578" s="771">
        <f t="shared" si="107"/>
        <v>0</v>
      </c>
      <c r="W578" s="771">
        <f t="shared" si="108"/>
        <v>0</v>
      </c>
      <c r="X578" t="str">
        <f t="shared" si="109"/>
        <v/>
      </c>
      <c r="Y578" t="str">
        <f t="shared" si="110"/>
        <v/>
      </c>
      <c r="AA578" s="769">
        <f t="shared" si="114"/>
        <v>0</v>
      </c>
      <c r="AB578" s="772">
        <f t="shared" si="115"/>
        <v>0</v>
      </c>
      <c r="AC578" s="769"/>
      <c r="AE578" s="769"/>
      <c r="AF578" s="769"/>
      <c r="AG578" s="769"/>
      <c r="AH578" s="769"/>
      <c r="AI578" s="769"/>
      <c r="AJ578" s="769"/>
      <c r="AK578" s="769"/>
      <c r="AL578" s="769"/>
      <c r="AM578" s="769"/>
      <c r="AN578" s="769"/>
      <c r="AO578" s="769"/>
      <c r="AP578" s="774">
        <f t="shared" si="111"/>
        <v>0</v>
      </c>
      <c r="AS578" s="771"/>
      <c r="AT578" t="str">
        <f t="array" ref="AT578">IF(E578&lt;&gt;"Occupied","",_xlfn.IFS(AND(ISNUMBER(AC578),AC578&lt;&gt;0),"Structured",ISNUMBER(SEARCH("/mo con",T578)),"Notes-parsed",ISNUMBER(SEARCH("step",T578)),"Step-up",ISNUMBER(SEARCH("swap",T578)),"Rate-swap",AND(ISNUMBER(I578),ISNUMBER(J578),I578&gt;J578),"Implied",TRUE(),""))</f>
        <v/>
      </c>
      <c r="AU578" s="769" t="str">
        <f t="shared" si="112"/>
        <v/>
      </c>
      <c r="AV578" s="775">
        <f t="shared" si="113"/>
        <v>0</v>
      </c>
    </row>
    <row r="579" spans="9:48" ht="15" customHeight="1" outlineLevel="1" x14ac:dyDescent="0.25">
      <c r="I579" s="769"/>
      <c r="J579" s="769"/>
      <c r="K579" s="769">
        <f t="shared" si="105"/>
        <v>0</v>
      </c>
      <c r="L579" s="769">
        <f t="shared" si="106"/>
        <v>0</v>
      </c>
      <c r="M579" s="769"/>
      <c r="N579" s="769"/>
      <c r="O579" s="769"/>
      <c r="P579" s="769"/>
      <c r="Q579" s="769"/>
      <c r="R579" s="769"/>
      <c r="U579" s="770"/>
      <c r="V579" s="771">
        <f t="shared" si="107"/>
        <v>0</v>
      </c>
      <c r="W579" s="771">
        <f t="shared" si="108"/>
        <v>0</v>
      </c>
      <c r="X579" t="str">
        <f t="shared" si="109"/>
        <v/>
      </c>
      <c r="Y579" t="str">
        <f t="shared" si="110"/>
        <v/>
      </c>
      <c r="AA579" s="769">
        <f t="shared" si="114"/>
        <v>0</v>
      </c>
      <c r="AB579" s="772">
        <f t="shared" si="115"/>
        <v>0</v>
      </c>
      <c r="AC579" s="769"/>
      <c r="AE579" s="769"/>
      <c r="AF579" s="769"/>
      <c r="AG579" s="769"/>
      <c r="AH579" s="769"/>
      <c r="AI579" s="769"/>
      <c r="AJ579" s="769"/>
      <c r="AK579" s="769"/>
      <c r="AL579" s="769"/>
      <c r="AM579" s="769"/>
      <c r="AN579" s="769"/>
      <c r="AO579" s="769"/>
      <c r="AP579" s="774">
        <f t="shared" si="111"/>
        <v>0</v>
      </c>
      <c r="AS579" s="771"/>
      <c r="AT579" t="str">
        <f t="array" ref="AT579">IF(E579&lt;&gt;"Occupied","",_xlfn.IFS(AND(ISNUMBER(AC579),AC579&lt;&gt;0),"Structured",ISNUMBER(SEARCH("/mo con",T579)),"Notes-parsed",ISNUMBER(SEARCH("step",T579)),"Step-up",ISNUMBER(SEARCH("swap",T579)),"Rate-swap",AND(ISNUMBER(I579),ISNUMBER(J579),I579&gt;J579),"Implied",TRUE(),""))</f>
        <v/>
      </c>
      <c r="AU579" s="769" t="str">
        <f t="shared" si="112"/>
        <v/>
      </c>
      <c r="AV579" s="775">
        <f t="shared" si="113"/>
        <v>0</v>
      </c>
    </row>
    <row r="580" spans="9:48" ht="15" customHeight="1" outlineLevel="1" x14ac:dyDescent="0.25">
      <c r="I580" s="769"/>
      <c r="J580" s="769"/>
      <c r="K580" s="769">
        <f t="shared" si="105"/>
        <v>0</v>
      </c>
      <c r="L580" s="769">
        <f t="shared" si="106"/>
        <v>0</v>
      </c>
      <c r="M580" s="769"/>
      <c r="N580" s="769"/>
      <c r="O580" s="769"/>
      <c r="P580" s="769"/>
      <c r="Q580" s="769"/>
      <c r="R580" s="769"/>
      <c r="U580" s="770"/>
      <c r="V580" s="771">
        <f t="shared" si="107"/>
        <v>0</v>
      </c>
      <c r="W580" s="771">
        <f t="shared" si="108"/>
        <v>0</v>
      </c>
      <c r="X580" t="str">
        <f t="shared" si="109"/>
        <v/>
      </c>
      <c r="Y580" t="str">
        <f t="shared" si="110"/>
        <v/>
      </c>
      <c r="AA580" s="769">
        <f t="shared" si="114"/>
        <v>0</v>
      </c>
      <c r="AB580" s="772">
        <f t="shared" si="115"/>
        <v>0</v>
      </c>
      <c r="AC580" s="769"/>
      <c r="AE580" s="769"/>
      <c r="AF580" s="769"/>
      <c r="AG580" s="769"/>
      <c r="AH580" s="769"/>
      <c r="AI580" s="769"/>
      <c r="AJ580" s="769"/>
      <c r="AK580" s="769"/>
      <c r="AL580" s="769"/>
      <c r="AM580" s="769"/>
      <c r="AN580" s="769"/>
      <c r="AO580" s="769"/>
      <c r="AP580" s="774">
        <f t="shared" si="111"/>
        <v>0</v>
      </c>
      <c r="AS580" s="771"/>
      <c r="AT580" t="str">
        <f t="array" ref="AT580">IF(E580&lt;&gt;"Occupied","",_xlfn.IFS(AND(ISNUMBER(AC580),AC580&lt;&gt;0),"Structured",ISNUMBER(SEARCH("/mo con",T580)),"Notes-parsed",ISNUMBER(SEARCH("step",T580)),"Step-up",ISNUMBER(SEARCH("swap",T580)),"Rate-swap",AND(ISNUMBER(I580),ISNUMBER(J580),I580&gt;J580),"Implied",TRUE(),""))</f>
        <v/>
      </c>
      <c r="AU580" s="769" t="str">
        <f t="shared" si="112"/>
        <v/>
      </c>
      <c r="AV580" s="775">
        <f t="shared" si="113"/>
        <v>0</v>
      </c>
    </row>
    <row r="581" spans="9:48" ht="15" customHeight="1" outlineLevel="1" x14ac:dyDescent="0.25">
      <c r="I581" s="769"/>
      <c r="J581" s="769"/>
      <c r="K581" s="769">
        <f t="shared" si="105"/>
        <v>0</v>
      </c>
      <c r="L581" s="769">
        <f t="shared" si="106"/>
        <v>0</v>
      </c>
      <c r="M581" s="769"/>
      <c r="N581" s="769"/>
      <c r="O581" s="769"/>
      <c r="P581" s="769"/>
      <c r="Q581" s="769"/>
      <c r="R581" s="769"/>
      <c r="U581" s="770"/>
      <c r="V581" s="771">
        <f t="shared" si="107"/>
        <v>0</v>
      </c>
      <c r="W581" s="771">
        <f t="shared" si="108"/>
        <v>0</v>
      </c>
      <c r="X581" t="str">
        <f t="shared" si="109"/>
        <v/>
      </c>
      <c r="Y581" t="str">
        <f t="shared" si="110"/>
        <v/>
      </c>
      <c r="AA581" s="769">
        <f t="shared" si="114"/>
        <v>0</v>
      </c>
      <c r="AB581" s="772">
        <f t="shared" si="115"/>
        <v>0</v>
      </c>
      <c r="AC581" s="769"/>
      <c r="AE581" s="769"/>
      <c r="AF581" s="769"/>
      <c r="AG581" s="769"/>
      <c r="AH581" s="769"/>
      <c r="AI581" s="769"/>
      <c r="AJ581" s="769"/>
      <c r="AK581" s="769"/>
      <c r="AL581" s="769"/>
      <c r="AM581" s="769"/>
      <c r="AN581" s="769"/>
      <c r="AO581" s="769"/>
      <c r="AP581" s="774">
        <f t="shared" si="111"/>
        <v>0</v>
      </c>
      <c r="AS581" s="771"/>
      <c r="AT581" t="str">
        <f t="array" ref="AT581">IF(E581&lt;&gt;"Occupied","",_xlfn.IFS(AND(ISNUMBER(AC581),AC581&lt;&gt;0),"Structured",ISNUMBER(SEARCH("/mo con",T581)),"Notes-parsed",ISNUMBER(SEARCH("step",T581)),"Step-up",ISNUMBER(SEARCH("swap",T581)),"Rate-swap",AND(ISNUMBER(I581),ISNUMBER(J581),I581&gt;J581),"Implied",TRUE(),""))</f>
        <v/>
      </c>
      <c r="AU581" s="769" t="str">
        <f t="shared" si="112"/>
        <v/>
      </c>
      <c r="AV581" s="775">
        <f t="shared" si="113"/>
        <v>0</v>
      </c>
    </row>
    <row r="582" spans="9:48" ht="15" customHeight="1" outlineLevel="1" x14ac:dyDescent="0.25">
      <c r="I582" s="769"/>
      <c r="J582" s="769"/>
      <c r="K582" s="769">
        <f t="shared" si="105"/>
        <v>0</v>
      </c>
      <c r="L582" s="769">
        <f t="shared" si="106"/>
        <v>0</v>
      </c>
      <c r="M582" s="769"/>
      <c r="N582" s="769"/>
      <c r="O582" s="769"/>
      <c r="P582" s="769"/>
      <c r="Q582" s="769"/>
      <c r="R582" s="769"/>
      <c r="U582" s="770"/>
      <c r="V582" s="771">
        <f t="shared" si="107"/>
        <v>0</v>
      </c>
      <c r="W582" s="771">
        <f t="shared" si="108"/>
        <v>0</v>
      </c>
      <c r="X582" t="str">
        <f t="shared" si="109"/>
        <v/>
      </c>
      <c r="Y582" t="str">
        <f t="shared" si="110"/>
        <v/>
      </c>
      <c r="AA582" s="769">
        <f t="shared" si="114"/>
        <v>0</v>
      </c>
      <c r="AB582" s="772">
        <f t="shared" si="115"/>
        <v>0</v>
      </c>
      <c r="AC582" s="769"/>
      <c r="AE582" s="769"/>
      <c r="AF582" s="769"/>
      <c r="AG582" s="769"/>
      <c r="AH582" s="769"/>
      <c r="AI582" s="769"/>
      <c r="AJ582" s="769"/>
      <c r="AK582" s="769"/>
      <c r="AL582" s="769"/>
      <c r="AM582" s="769"/>
      <c r="AN582" s="769"/>
      <c r="AO582" s="769"/>
      <c r="AP582" s="774">
        <f t="shared" si="111"/>
        <v>0</v>
      </c>
      <c r="AS582" s="771"/>
      <c r="AT582" t="str">
        <f t="array" ref="AT582">IF(E582&lt;&gt;"Occupied","",_xlfn.IFS(AND(ISNUMBER(AC582),AC582&lt;&gt;0),"Structured",ISNUMBER(SEARCH("/mo con",T582)),"Notes-parsed",ISNUMBER(SEARCH("step",T582)),"Step-up",ISNUMBER(SEARCH("swap",T582)),"Rate-swap",AND(ISNUMBER(I582),ISNUMBER(J582),I582&gt;J582),"Implied",TRUE(),""))</f>
        <v/>
      </c>
      <c r="AU582" s="769" t="str">
        <f t="shared" si="112"/>
        <v/>
      </c>
      <c r="AV582" s="775">
        <f t="shared" si="113"/>
        <v>0</v>
      </c>
    </row>
    <row r="583" spans="9:48" ht="15" customHeight="1" outlineLevel="1" x14ac:dyDescent="0.25">
      <c r="I583" s="769"/>
      <c r="J583" s="769"/>
      <c r="K583" s="769">
        <f t="shared" si="105"/>
        <v>0</v>
      </c>
      <c r="L583" s="769">
        <f t="shared" si="106"/>
        <v>0</v>
      </c>
      <c r="M583" s="769"/>
      <c r="N583" s="769"/>
      <c r="O583" s="769"/>
      <c r="P583" s="769"/>
      <c r="Q583" s="769"/>
      <c r="R583" s="769"/>
      <c r="U583" s="770"/>
      <c r="V583" s="771">
        <f t="shared" si="107"/>
        <v>0</v>
      </c>
      <c r="W583" s="771">
        <f t="shared" si="108"/>
        <v>0</v>
      </c>
      <c r="X583" t="str">
        <f t="shared" si="109"/>
        <v/>
      </c>
      <c r="Y583" t="str">
        <f t="shared" si="110"/>
        <v/>
      </c>
      <c r="AA583" s="769">
        <f t="shared" ref="AA583:AA614" si="116">N(IF(AND(J583&gt;0,I583&gt;0),I583-J583,""))</f>
        <v>0</v>
      </c>
      <c r="AB583" s="772">
        <f t="shared" ref="AB583:AB614" si="117">N(IF(AND(J583&gt;0,I583&gt;0),(I583-J583)/I583,""))</f>
        <v>0</v>
      </c>
      <c r="AC583" s="769"/>
      <c r="AE583" s="769"/>
      <c r="AF583" s="769"/>
      <c r="AG583" s="769"/>
      <c r="AH583" s="769"/>
      <c r="AI583" s="769"/>
      <c r="AJ583" s="769"/>
      <c r="AK583" s="769"/>
      <c r="AL583" s="769"/>
      <c r="AM583" s="769"/>
      <c r="AN583" s="769"/>
      <c r="AO583" s="769"/>
      <c r="AP583" s="774">
        <f t="shared" si="111"/>
        <v>0</v>
      </c>
      <c r="AS583" s="771"/>
      <c r="AT583" t="str">
        <f t="array" ref="AT583">IF(E583&lt;&gt;"Occupied","",_xlfn.IFS(AND(ISNUMBER(AC583),AC583&lt;&gt;0),"Structured",ISNUMBER(SEARCH("/mo con",T583)),"Notes-parsed",ISNUMBER(SEARCH("step",T583)),"Step-up",ISNUMBER(SEARCH("swap",T583)),"Rate-swap",AND(ISNUMBER(I583),ISNUMBER(J583),I583&gt;J583),"Implied",TRUE(),""))</f>
        <v/>
      </c>
      <c r="AU583" s="769" t="str">
        <f t="shared" si="112"/>
        <v/>
      </c>
      <c r="AV583" s="775">
        <f t="shared" si="113"/>
        <v>0</v>
      </c>
    </row>
    <row r="584" spans="9:48" ht="15" customHeight="1" outlineLevel="1" x14ac:dyDescent="0.25">
      <c r="I584" s="769"/>
      <c r="J584" s="769"/>
      <c r="K584" s="769">
        <f t="shared" si="105"/>
        <v>0</v>
      </c>
      <c r="L584" s="769">
        <f t="shared" si="106"/>
        <v>0</v>
      </c>
      <c r="M584" s="769"/>
      <c r="N584" s="769"/>
      <c r="O584" s="769"/>
      <c r="P584" s="769"/>
      <c r="Q584" s="769"/>
      <c r="R584" s="769"/>
      <c r="U584" s="770"/>
      <c r="V584" s="771">
        <f t="shared" si="107"/>
        <v>0</v>
      </c>
      <c r="W584" s="771">
        <f t="shared" si="108"/>
        <v>0</v>
      </c>
      <c r="X584" t="str">
        <f t="shared" si="109"/>
        <v/>
      </c>
      <c r="Y584" t="str">
        <f t="shared" si="110"/>
        <v/>
      </c>
      <c r="AA584" s="769">
        <f t="shared" si="116"/>
        <v>0</v>
      </c>
      <c r="AB584" s="772">
        <f t="shared" si="117"/>
        <v>0</v>
      </c>
      <c r="AC584" s="769"/>
      <c r="AE584" s="769"/>
      <c r="AF584" s="769"/>
      <c r="AG584" s="769"/>
      <c r="AH584" s="769"/>
      <c r="AI584" s="769"/>
      <c r="AJ584" s="769"/>
      <c r="AK584" s="769"/>
      <c r="AL584" s="769"/>
      <c r="AM584" s="769"/>
      <c r="AN584" s="769"/>
      <c r="AO584" s="769"/>
      <c r="AP584" s="774">
        <f t="shared" si="111"/>
        <v>0</v>
      </c>
      <c r="AS584" s="771"/>
      <c r="AT584" t="str">
        <f t="array" ref="AT584">IF(E584&lt;&gt;"Occupied","",_xlfn.IFS(AND(ISNUMBER(AC584),AC584&lt;&gt;0),"Structured",ISNUMBER(SEARCH("/mo con",T584)),"Notes-parsed",ISNUMBER(SEARCH("step",T584)),"Step-up",ISNUMBER(SEARCH("swap",T584)),"Rate-swap",AND(ISNUMBER(I584),ISNUMBER(J584),I584&gt;J584),"Implied",TRUE(),""))</f>
        <v/>
      </c>
      <c r="AU584" s="769" t="str">
        <f t="shared" si="112"/>
        <v/>
      </c>
      <c r="AV584" s="775">
        <f t="shared" si="113"/>
        <v>0</v>
      </c>
    </row>
    <row r="585" spans="9:48" ht="15" customHeight="1" outlineLevel="1" x14ac:dyDescent="0.25">
      <c r="I585" s="769"/>
      <c r="J585" s="769"/>
      <c r="K585" s="769">
        <f t="shared" si="105"/>
        <v>0</v>
      </c>
      <c r="L585" s="769">
        <f t="shared" si="106"/>
        <v>0</v>
      </c>
      <c r="M585" s="769"/>
      <c r="N585" s="769"/>
      <c r="O585" s="769"/>
      <c r="P585" s="769"/>
      <c r="Q585" s="769"/>
      <c r="R585" s="769"/>
      <c r="U585" s="770"/>
      <c r="V585" s="771">
        <f t="shared" si="107"/>
        <v>0</v>
      </c>
      <c r="W585" s="771">
        <f t="shared" si="108"/>
        <v>0</v>
      </c>
      <c r="X585" t="str">
        <f t="shared" si="109"/>
        <v/>
      </c>
      <c r="Y585" t="str">
        <f t="shared" si="110"/>
        <v/>
      </c>
      <c r="AA585" s="769">
        <f t="shared" si="116"/>
        <v>0</v>
      </c>
      <c r="AB585" s="772">
        <f t="shared" si="117"/>
        <v>0</v>
      </c>
      <c r="AC585" s="769"/>
      <c r="AE585" s="769"/>
      <c r="AF585" s="769"/>
      <c r="AG585" s="769"/>
      <c r="AH585" s="769"/>
      <c r="AI585" s="769"/>
      <c r="AJ585" s="769"/>
      <c r="AK585" s="769"/>
      <c r="AL585" s="769"/>
      <c r="AM585" s="769"/>
      <c r="AN585" s="769"/>
      <c r="AO585" s="769"/>
      <c r="AP585" s="774">
        <f t="shared" si="111"/>
        <v>0</v>
      </c>
      <c r="AS585" s="771"/>
      <c r="AT585" t="str">
        <f t="array" ref="AT585">IF(E585&lt;&gt;"Occupied","",_xlfn.IFS(AND(ISNUMBER(AC585),AC585&lt;&gt;0),"Structured",ISNUMBER(SEARCH("/mo con",T585)),"Notes-parsed",ISNUMBER(SEARCH("step",T585)),"Step-up",ISNUMBER(SEARCH("swap",T585)),"Rate-swap",AND(ISNUMBER(I585),ISNUMBER(J585),I585&gt;J585),"Implied",TRUE(),""))</f>
        <v/>
      </c>
      <c r="AU585" s="769" t="str">
        <f t="shared" si="112"/>
        <v/>
      </c>
      <c r="AV585" s="775">
        <f t="shared" si="113"/>
        <v>0</v>
      </c>
    </row>
    <row r="586" spans="9:48" ht="15" customHeight="1" outlineLevel="1" x14ac:dyDescent="0.25">
      <c r="I586" s="769"/>
      <c r="J586" s="769"/>
      <c r="K586" s="769">
        <f t="shared" si="105"/>
        <v>0</v>
      </c>
      <c r="L586" s="769">
        <f t="shared" si="106"/>
        <v>0</v>
      </c>
      <c r="M586" s="769"/>
      <c r="N586" s="769"/>
      <c r="O586" s="769"/>
      <c r="P586" s="769"/>
      <c r="Q586" s="769"/>
      <c r="R586" s="769"/>
      <c r="U586" s="770"/>
      <c r="V586" s="771">
        <f t="shared" si="107"/>
        <v>0</v>
      </c>
      <c r="W586" s="771">
        <f t="shared" si="108"/>
        <v>0</v>
      </c>
      <c r="X586" t="str">
        <f t="shared" si="109"/>
        <v/>
      </c>
      <c r="Y586" t="str">
        <f t="shared" si="110"/>
        <v/>
      </c>
      <c r="AA586" s="769">
        <f t="shared" si="116"/>
        <v>0</v>
      </c>
      <c r="AB586" s="772">
        <f t="shared" si="117"/>
        <v>0</v>
      </c>
      <c r="AC586" s="769"/>
      <c r="AE586" s="769"/>
      <c r="AF586" s="769"/>
      <c r="AG586" s="769"/>
      <c r="AH586" s="769"/>
      <c r="AI586" s="769"/>
      <c r="AJ586" s="769"/>
      <c r="AK586" s="769"/>
      <c r="AL586" s="769"/>
      <c r="AM586" s="769"/>
      <c r="AN586" s="769"/>
      <c r="AO586" s="769"/>
      <c r="AP586" s="774">
        <f t="shared" si="111"/>
        <v>0</v>
      </c>
      <c r="AS586" s="771"/>
      <c r="AT586" t="str">
        <f t="array" ref="AT586">IF(E586&lt;&gt;"Occupied","",_xlfn.IFS(AND(ISNUMBER(AC586),AC586&lt;&gt;0),"Structured",ISNUMBER(SEARCH("/mo con",T586)),"Notes-parsed",ISNUMBER(SEARCH("step",T586)),"Step-up",ISNUMBER(SEARCH("swap",T586)),"Rate-swap",AND(ISNUMBER(I586),ISNUMBER(J586),I586&gt;J586),"Implied",TRUE(),""))</f>
        <v/>
      </c>
      <c r="AU586" s="769" t="str">
        <f t="shared" si="112"/>
        <v/>
      </c>
      <c r="AV586" s="775">
        <f t="shared" si="113"/>
        <v>0</v>
      </c>
    </row>
    <row r="587" spans="9:48" ht="15" customHeight="1" outlineLevel="1" x14ac:dyDescent="0.25">
      <c r="I587" s="769"/>
      <c r="J587" s="769"/>
      <c r="K587" s="769">
        <f t="shared" si="105"/>
        <v>0</v>
      </c>
      <c r="L587" s="769">
        <f t="shared" si="106"/>
        <v>0</v>
      </c>
      <c r="M587" s="769"/>
      <c r="N587" s="769"/>
      <c r="O587" s="769"/>
      <c r="P587" s="769"/>
      <c r="Q587" s="769"/>
      <c r="R587" s="769"/>
      <c r="U587" s="770"/>
      <c r="V587" s="771">
        <f t="shared" si="107"/>
        <v>0</v>
      </c>
      <c r="W587" s="771">
        <f t="shared" si="108"/>
        <v>0</v>
      </c>
      <c r="X587" t="str">
        <f t="shared" si="109"/>
        <v/>
      </c>
      <c r="Y587" t="str">
        <f t="shared" si="110"/>
        <v/>
      </c>
      <c r="AA587" s="769">
        <f t="shared" si="116"/>
        <v>0</v>
      </c>
      <c r="AB587" s="772">
        <f t="shared" si="117"/>
        <v>0</v>
      </c>
      <c r="AC587" s="769"/>
      <c r="AE587" s="769"/>
      <c r="AF587" s="769"/>
      <c r="AG587" s="769"/>
      <c r="AH587" s="769"/>
      <c r="AI587" s="769"/>
      <c r="AJ587" s="769"/>
      <c r="AK587" s="769"/>
      <c r="AL587" s="769"/>
      <c r="AM587" s="769"/>
      <c r="AN587" s="769"/>
      <c r="AO587" s="769"/>
      <c r="AP587" s="774">
        <f t="shared" si="111"/>
        <v>0</v>
      </c>
      <c r="AS587" s="771"/>
      <c r="AT587" t="str">
        <f t="array" ref="AT587">IF(E587&lt;&gt;"Occupied","",_xlfn.IFS(AND(ISNUMBER(AC587),AC587&lt;&gt;0),"Structured",ISNUMBER(SEARCH("/mo con",T587)),"Notes-parsed",ISNUMBER(SEARCH("step",T587)),"Step-up",ISNUMBER(SEARCH("swap",T587)),"Rate-swap",AND(ISNUMBER(I587),ISNUMBER(J587),I587&gt;J587),"Implied",TRUE(),""))</f>
        <v/>
      </c>
      <c r="AU587" s="769" t="str">
        <f t="shared" si="112"/>
        <v/>
      </c>
      <c r="AV587" s="775">
        <f t="shared" si="113"/>
        <v>0</v>
      </c>
    </row>
    <row r="588" spans="9:48" ht="15" customHeight="1" outlineLevel="1" x14ac:dyDescent="0.25">
      <c r="I588" s="769"/>
      <c r="J588" s="769"/>
      <c r="K588" s="769">
        <f t="shared" si="105"/>
        <v>0</v>
      </c>
      <c r="L588" s="769">
        <f t="shared" si="106"/>
        <v>0</v>
      </c>
      <c r="M588" s="769"/>
      <c r="N588" s="769"/>
      <c r="O588" s="769"/>
      <c r="P588" s="769"/>
      <c r="Q588" s="769"/>
      <c r="R588" s="769"/>
      <c r="U588" s="770"/>
      <c r="V588" s="771">
        <f t="shared" si="107"/>
        <v>0</v>
      </c>
      <c r="W588" s="771">
        <f t="shared" si="108"/>
        <v>0</v>
      </c>
      <c r="X588" t="str">
        <f t="shared" si="109"/>
        <v/>
      </c>
      <c r="Y588" t="str">
        <f t="shared" si="110"/>
        <v/>
      </c>
      <c r="AA588" s="769">
        <f t="shared" si="116"/>
        <v>0</v>
      </c>
      <c r="AB588" s="772">
        <f t="shared" si="117"/>
        <v>0</v>
      </c>
      <c r="AC588" s="769"/>
      <c r="AE588" s="769"/>
      <c r="AF588" s="769"/>
      <c r="AG588" s="769"/>
      <c r="AH588" s="769"/>
      <c r="AI588" s="769"/>
      <c r="AJ588" s="769"/>
      <c r="AK588" s="769"/>
      <c r="AL588" s="769"/>
      <c r="AM588" s="769"/>
      <c r="AN588" s="769"/>
      <c r="AO588" s="769"/>
      <c r="AP588" s="774">
        <f t="shared" si="111"/>
        <v>0</v>
      </c>
      <c r="AS588" s="771"/>
      <c r="AT588" t="str">
        <f t="array" ref="AT588">IF(E588&lt;&gt;"Occupied","",_xlfn.IFS(AND(ISNUMBER(AC588),AC588&lt;&gt;0),"Structured",ISNUMBER(SEARCH("/mo con",T588)),"Notes-parsed",ISNUMBER(SEARCH("step",T588)),"Step-up",ISNUMBER(SEARCH("swap",T588)),"Rate-swap",AND(ISNUMBER(I588),ISNUMBER(J588),I588&gt;J588),"Implied",TRUE(),""))</f>
        <v/>
      </c>
      <c r="AU588" s="769" t="str">
        <f t="shared" si="112"/>
        <v/>
      </c>
      <c r="AV588" s="775">
        <f t="shared" si="113"/>
        <v>0</v>
      </c>
    </row>
    <row r="589" spans="9:48" ht="15" customHeight="1" outlineLevel="1" x14ac:dyDescent="0.25">
      <c r="I589" s="769"/>
      <c r="J589" s="769"/>
      <c r="K589" s="769">
        <f t="shared" si="105"/>
        <v>0</v>
      </c>
      <c r="L589" s="769">
        <f t="shared" si="106"/>
        <v>0</v>
      </c>
      <c r="M589" s="769"/>
      <c r="N589" s="769"/>
      <c r="O589" s="769"/>
      <c r="P589" s="769"/>
      <c r="Q589" s="769"/>
      <c r="R589" s="769"/>
      <c r="U589" s="770"/>
      <c r="V589" s="771">
        <f t="shared" si="107"/>
        <v>0</v>
      </c>
      <c r="W589" s="771">
        <f t="shared" si="108"/>
        <v>0</v>
      </c>
      <c r="X589" t="str">
        <f t="shared" si="109"/>
        <v/>
      </c>
      <c r="Y589" t="str">
        <f t="shared" si="110"/>
        <v/>
      </c>
      <c r="AA589" s="769">
        <f t="shared" si="116"/>
        <v>0</v>
      </c>
      <c r="AB589" s="772">
        <f t="shared" si="117"/>
        <v>0</v>
      </c>
      <c r="AC589" s="769"/>
      <c r="AE589" s="769"/>
      <c r="AF589" s="769"/>
      <c r="AG589" s="769"/>
      <c r="AH589" s="769"/>
      <c r="AI589" s="769"/>
      <c r="AJ589" s="769"/>
      <c r="AK589" s="769"/>
      <c r="AL589" s="769"/>
      <c r="AM589" s="769"/>
      <c r="AN589" s="769"/>
      <c r="AO589" s="769"/>
      <c r="AP589" s="774">
        <f t="shared" si="111"/>
        <v>0</v>
      </c>
      <c r="AS589" s="771"/>
      <c r="AT589" t="str">
        <f t="array" ref="AT589">IF(E589&lt;&gt;"Occupied","",_xlfn.IFS(AND(ISNUMBER(AC589),AC589&lt;&gt;0),"Structured",ISNUMBER(SEARCH("/mo con",T589)),"Notes-parsed",ISNUMBER(SEARCH("step",T589)),"Step-up",ISNUMBER(SEARCH("swap",T589)),"Rate-swap",AND(ISNUMBER(I589),ISNUMBER(J589),I589&gt;J589),"Implied",TRUE(),""))</f>
        <v/>
      </c>
      <c r="AU589" s="769" t="str">
        <f t="shared" si="112"/>
        <v/>
      </c>
      <c r="AV589" s="775">
        <f t="shared" si="113"/>
        <v>0</v>
      </c>
    </row>
    <row r="590" spans="9:48" ht="15" customHeight="1" outlineLevel="1" x14ac:dyDescent="0.25">
      <c r="I590" s="769"/>
      <c r="J590" s="769"/>
      <c r="K590" s="769">
        <f t="shared" si="105"/>
        <v>0</v>
      </c>
      <c r="L590" s="769">
        <f t="shared" si="106"/>
        <v>0</v>
      </c>
      <c r="M590" s="769"/>
      <c r="N590" s="769"/>
      <c r="O590" s="769"/>
      <c r="P590" s="769"/>
      <c r="Q590" s="769"/>
      <c r="R590" s="769"/>
      <c r="U590" s="770"/>
      <c r="V590" s="771">
        <f t="shared" si="107"/>
        <v>0</v>
      </c>
      <c r="W590" s="771">
        <f t="shared" si="108"/>
        <v>0</v>
      </c>
      <c r="X590" t="str">
        <f t="shared" si="109"/>
        <v/>
      </c>
      <c r="Y590" t="str">
        <f t="shared" si="110"/>
        <v/>
      </c>
      <c r="AA590" s="769">
        <f t="shared" si="116"/>
        <v>0</v>
      </c>
      <c r="AB590" s="772">
        <f t="shared" si="117"/>
        <v>0</v>
      </c>
      <c r="AC590" s="769"/>
      <c r="AE590" s="769"/>
      <c r="AF590" s="769"/>
      <c r="AG590" s="769"/>
      <c r="AH590" s="769"/>
      <c r="AI590" s="769"/>
      <c r="AJ590" s="769"/>
      <c r="AK590" s="769"/>
      <c r="AL590" s="769"/>
      <c r="AM590" s="769"/>
      <c r="AN590" s="769"/>
      <c r="AO590" s="769"/>
      <c r="AP590" s="774">
        <f t="shared" si="111"/>
        <v>0</v>
      </c>
      <c r="AS590" s="771"/>
      <c r="AT590" t="str">
        <f t="array" ref="AT590">IF(E590&lt;&gt;"Occupied","",_xlfn.IFS(AND(ISNUMBER(AC590),AC590&lt;&gt;0),"Structured",ISNUMBER(SEARCH("/mo con",T590)),"Notes-parsed",ISNUMBER(SEARCH("step",T590)),"Step-up",ISNUMBER(SEARCH("swap",T590)),"Rate-swap",AND(ISNUMBER(I590),ISNUMBER(J590),I590&gt;J590),"Implied",TRUE(),""))</f>
        <v/>
      </c>
      <c r="AU590" s="769" t="str">
        <f t="shared" si="112"/>
        <v/>
      </c>
      <c r="AV590" s="775">
        <f t="shared" si="113"/>
        <v>0</v>
      </c>
    </row>
    <row r="591" spans="9:48" ht="15" customHeight="1" outlineLevel="1" x14ac:dyDescent="0.25">
      <c r="I591" s="769"/>
      <c r="J591" s="769"/>
      <c r="K591" s="769">
        <f t="shared" si="105"/>
        <v>0</v>
      </c>
      <c r="L591" s="769">
        <f t="shared" si="106"/>
        <v>0</v>
      </c>
      <c r="M591" s="769"/>
      <c r="N591" s="769"/>
      <c r="O591" s="769"/>
      <c r="P591" s="769"/>
      <c r="Q591" s="769"/>
      <c r="R591" s="769"/>
      <c r="U591" s="770"/>
      <c r="V591" s="771">
        <f t="shared" si="107"/>
        <v>0</v>
      </c>
      <c r="W591" s="771">
        <f t="shared" si="108"/>
        <v>0</v>
      </c>
      <c r="X591" t="str">
        <f t="shared" si="109"/>
        <v/>
      </c>
      <c r="Y591" t="str">
        <f t="shared" si="110"/>
        <v/>
      </c>
      <c r="AA591" s="769">
        <f t="shared" si="116"/>
        <v>0</v>
      </c>
      <c r="AB591" s="772">
        <f t="shared" si="117"/>
        <v>0</v>
      </c>
      <c r="AC591" s="769"/>
      <c r="AE591" s="769"/>
      <c r="AF591" s="769"/>
      <c r="AG591" s="769"/>
      <c r="AH591" s="769"/>
      <c r="AI591" s="769"/>
      <c r="AJ591" s="769"/>
      <c r="AK591" s="769"/>
      <c r="AL591" s="769"/>
      <c r="AM591" s="769"/>
      <c r="AN591" s="769"/>
      <c r="AO591" s="769"/>
      <c r="AP591" s="774">
        <f t="shared" si="111"/>
        <v>0</v>
      </c>
      <c r="AS591" s="771"/>
      <c r="AT591" t="str">
        <f t="array" ref="AT591">IF(E591&lt;&gt;"Occupied","",_xlfn.IFS(AND(ISNUMBER(AC591),AC591&lt;&gt;0),"Structured",ISNUMBER(SEARCH("/mo con",T591)),"Notes-parsed",ISNUMBER(SEARCH("step",T591)),"Step-up",ISNUMBER(SEARCH("swap",T591)),"Rate-swap",AND(ISNUMBER(I591),ISNUMBER(J591),I591&gt;J591),"Implied",TRUE(),""))</f>
        <v/>
      </c>
      <c r="AU591" s="769" t="str">
        <f t="shared" si="112"/>
        <v/>
      </c>
      <c r="AV591" s="775">
        <f t="shared" si="113"/>
        <v>0</v>
      </c>
    </row>
    <row r="592" spans="9:48" ht="15" customHeight="1" outlineLevel="1" x14ac:dyDescent="0.25">
      <c r="I592" s="769"/>
      <c r="J592" s="769"/>
      <c r="K592" s="769">
        <f t="shared" si="105"/>
        <v>0</v>
      </c>
      <c r="L592" s="769">
        <f t="shared" si="106"/>
        <v>0</v>
      </c>
      <c r="M592" s="769"/>
      <c r="N592" s="769"/>
      <c r="O592" s="769"/>
      <c r="P592" s="769"/>
      <c r="Q592" s="769"/>
      <c r="R592" s="769"/>
      <c r="U592" s="770"/>
      <c r="V592" s="771">
        <f t="shared" si="107"/>
        <v>0</v>
      </c>
      <c r="W592" s="771">
        <f t="shared" si="108"/>
        <v>0</v>
      </c>
      <c r="X592" t="str">
        <f t="shared" si="109"/>
        <v/>
      </c>
      <c r="Y592" t="str">
        <f t="shared" si="110"/>
        <v/>
      </c>
      <c r="AA592" s="769">
        <f t="shared" si="116"/>
        <v>0</v>
      </c>
      <c r="AB592" s="772">
        <f t="shared" si="117"/>
        <v>0</v>
      </c>
      <c r="AC592" s="769"/>
      <c r="AE592" s="769"/>
      <c r="AF592" s="769"/>
      <c r="AG592" s="769"/>
      <c r="AH592" s="769"/>
      <c r="AI592" s="769"/>
      <c r="AJ592" s="769"/>
      <c r="AK592" s="769"/>
      <c r="AL592" s="769"/>
      <c r="AM592" s="769"/>
      <c r="AN592" s="769"/>
      <c r="AO592" s="769"/>
      <c r="AP592" s="774">
        <f t="shared" si="111"/>
        <v>0</v>
      </c>
      <c r="AS592" s="771"/>
      <c r="AT592" t="str">
        <f t="array" ref="AT592">IF(E592&lt;&gt;"Occupied","",_xlfn.IFS(AND(ISNUMBER(AC592),AC592&lt;&gt;0),"Structured",ISNUMBER(SEARCH("/mo con",T592)),"Notes-parsed",ISNUMBER(SEARCH("step",T592)),"Step-up",ISNUMBER(SEARCH("swap",T592)),"Rate-swap",AND(ISNUMBER(I592),ISNUMBER(J592),I592&gt;J592),"Implied",TRUE(),""))</f>
        <v/>
      </c>
      <c r="AU592" s="769" t="str">
        <f t="shared" si="112"/>
        <v/>
      </c>
      <c r="AV592" s="775">
        <f t="shared" si="113"/>
        <v>0</v>
      </c>
    </row>
    <row r="593" spans="9:48" ht="15" customHeight="1" outlineLevel="1" x14ac:dyDescent="0.25">
      <c r="I593" s="769"/>
      <c r="J593" s="769"/>
      <c r="K593" s="769">
        <f t="shared" si="105"/>
        <v>0</v>
      </c>
      <c r="L593" s="769">
        <f t="shared" si="106"/>
        <v>0</v>
      </c>
      <c r="M593" s="769"/>
      <c r="N593" s="769"/>
      <c r="O593" s="769"/>
      <c r="P593" s="769"/>
      <c r="Q593" s="769"/>
      <c r="R593" s="769"/>
      <c r="U593" s="770"/>
      <c r="V593" s="771">
        <f t="shared" si="107"/>
        <v>0</v>
      </c>
      <c r="W593" s="771">
        <f t="shared" si="108"/>
        <v>0</v>
      </c>
      <c r="X593" t="str">
        <f t="shared" si="109"/>
        <v/>
      </c>
      <c r="Y593" t="str">
        <f t="shared" si="110"/>
        <v/>
      </c>
      <c r="AA593" s="769">
        <f t="shared" si="116"/>
        <v>0</v>
      </c>
      <c r="AB593" s="772">
        <f t="shared" si="117"/>
        <v>0</v>
      </c>
      <c r="AC593" s="769"/>
      <c r="AE593" s="769"/>
      <c r="AF593" s="769"/>
      <c r="AG593" s="769"/>
      <c r="AH593" s="769"/>
      <c r="AI593" s="769"/>
      <c r="AJ593" s="769"/>
      <c r="AK593" s="769"/>
      <c r="AL593" s="769"/>
      <c r="AM593" s="769"/>
      <c r="AN593" s="769"/>
      <c r="AO593" s="769"/>
      <c r="AP593" s="774">
        <f t="shared" si="111"/>
        <v>0</v>
      </c>
      <c r="AS593" s="771"/>
      <c r="AT593" t="str">
        <f t="array" ref="AT593">IF(E593&lt;&gt;"Occupied","",_xlfn.IFS(AND(ISNUMBER(AC593),AC593&lt;&gt;0),"Structured",ISNUMBER(SEARCH("/mo con",T593)),"Notes-parsed",ISNUMBER(SEARCH("step",T593)),"Step-up",ISNUMBER(SEARCH("swap",T593)),"Rate-swap",AND(ISNUMBER(I593),ISNUMBER(J593),I593&gt;J593),"Implied",TRUE(),""))</f>
        <v/>
      </c>
      <c r="AU593" s="769" t="str">
        <f t="shared" si="112"/>
        <v/>
      </c>
      <c r="AV593" s="775">
        <f t="shared" si="113"/>
        <v>0</v>
      </c>
    </row>
    <row r="594" spans="9:48" ht="15" customHeight="1" outlineLevel="1" x14ac:dyDescent="0.25">
      <c r="I594" s="769"/>
      <c r="J594" s="769"/>
      <c r="K594" s="769">
        <f t="shared" si="105"/>
        <v>0</v>
      </c>
      <c r="L594" s="769">
        <f t="shared" si="106"/>
        <v>0</v>
      </c>
      <c r="M594" s="769"/>
      <c r="N594" s="769"/>
      <c r="O594" s="769"/>
      <c r="P594" s="769"/>
      <c r="Q594" s="769"/>
      <c r="R594" s="769"/>
      <c r="U594" s="770"/>
      <c r="V594" s="771">
        <f t="shared" si="107"/>
        <v>0</v>
      </c>
      <c r="W594" s="771">
        <f t="shared" si="108"/>
        <v>0</v>
      </c>
      <c r="X594" t="str">
        <f t="shared" si="109"/>
        <v/>
      </c>
      <c r="Y594" t="str">
        <f t="shared" si="110"/>
        <v/>
      </c>
      <c r="AA594" s="769">
        <f t="shared" si="116"/>
        <v>0</v>
      </c>
      <c r="AB594" s="772">
        <f t="shared" si="117"/>
        <v>0</v>
      </c>
      <c r="AC594" s="769"/>
      <c r="AE594" s="769"/>
      <c r="AF594" s="769"/>
      <c r="AG594" s="769"/>
      <c r="AH594" s="769"/>
      <c r="AI594" s="769"/>
      <c r="AJ594" s="769"/>
      <c r="AK594" s="769"/>
      <c r="AL594" s="769"/>
      <c r="AM594" s="769"/>
      <c r="AN594" s="769"/>
      <c r="AO594" s="769"/>
      <c r="AP594" s="774">
        <f t="shared" si="111"/>
        <v>0</v>
      </c>
      <c r="AS594" s="771"/>
      <c r="AT594" t="str">
        <f t="array" ref="AT594">IF(E594&lt;&gt;"Occupied","",_xlfn.IFS(AND(ISNUMBER(AC594),AC594&lt;&gt;0),"Structured",ISNUMBER(SEARCH("/mo con",T594)),"Notes-parsed",ISNUMBER(SEARCH("step",T594)),"Step-up",ISNUMBER(SEARCH("swap",T594)),"Rate-swap",AND(ISNUMBER(I594),ISNUMBER(J594),I594&gt;J594),"Implied",TRUE(),""))</f>
        <v/>
      </c>
      <c r="AU594" s="769" t="str">
        <f t="shared" si="112"/>
        <v/>
      </c>
      <c r="AV594" s="775">
        <f t="shared" si="113"/>
        <v>0</v>
      </c>
    </row>
    <row r="595" spans="9:48" ht="15" customHeight="1" outlineLevel="1" x14ac:dyDescent="0.25">
      <c r="I595" s="769"/>
      <c r="J595" s="769"/>
      <c r="K595" s="769">
        <f t="shared" si="105"/>
        <v>0</v>
      </c>
      <c r="L595" s="769">
        <f t="shared" si="106"/>
        <v>0</v>
      </c>
      <c r="M595" s="769"/>
      <c r="N595" s="769"/>
      <c r="O595" s="769"/>
      <c r="P595" s="769"/>
      <c r="Q595" s="769"/>
      <c r="R595" s="769"/>
      <c r="U595" s="770"/>
      <c r="V595" s="771">
        <f t="shared" si="107"/>
        <v>0</v>
      </c>
      <c r="W595" s="771">
        <f t="shared" si="108"/>
        <v>0</v>
      </c>
      <c r="X595" t="str">
        <f t="shared" si="109"/>
        <v/>
      </c>
      <c r="Y595" t="str">
        <f t="shared" si="110"/>
        <v/>
      </c>
      <c r="AA595" s="769">
        <f t="shared" si="116"/>
        <v>0</v>
      </c>
      <c r="AB595" s="772">
        <f t="shared" si="117"/>
        <v>0</v>
      </c>
      <c r="AC595" s="769"/>
      <c r="AE595" s="769"/>
      <c r="AF595" s="769"/>
      <c r="AG595" s="769"/>
      <c r="AH595" s="769"/>
      <c r="AI595" s="769"/>
      <c r="AJ595" s="769"/>
      <c r="AK595" s="769"/>
      <c r="AL595" s="769"/>
      <c r="AM595" s="769"/>
      <c r="AN595" s="769"/>
      <c r="AO595" s="769"/>
      <c r="AP595" s="774">
        <f t="shared" si="111"/>
        <v>0</v>
      </c>
      <c r="AS595" s="771"/>
      <c r="AT595" t="str">
        <f t="array" ref="AT595">IF(E595&lt;&gt;"Occupied","",_xlfn.IFS(AND(ISNUMBER(AC595),AC595&lt;&gt;0),"Structured",ISNUMBER(SEARCH("/mo con",T595)),"Notes-parsed",ISNUMBER(SEARCH("step",T595)),"Step-up",ISNUMBER(SEARCH("swap",T595)),"Rate-swap",AND(ISNUMBER(I595),ISNUMBER(J595),I595&gt;J595),"Implied",TRUE(),""))</f>
        <v/>
      </c>
      <c r="AU595" s="769" t="str">
        <f t="shared" si="112"/>
        <v/>
      </c>
      <c r="AV595" s="775">
        <f t="shared" si="113"/>
        <v>0</v>
      </c>
    </row>
    <row r="596" spans="9:48" ht="15" customHeight="1" outlineLevel="1" x14ac:dyDescent="0.25">
      <c r="I596" s="769"/>
      <c r="J596" s="769"/>
      <c r="K596" s="769">
        <f t="shared" si="105"/>
        <v>0</v>
      </c>
      <c r="L596" s="769">
        <f t="shared" si="106"/>
        <v>0</v>
      </c>
      <c r="M596" s="769"/>
      <c r="N596" s="769"/>
      <c r="O596" s="769"/>
      <c r="P596" s="769"/>
      <c r="Q596" s="769"/>
      <c r="R596" s="769"/>
      <c r="U596" s="770"/>
      <c r="V596" s="771">
        <f t="shared" si="107"/>
        <v>0</v>
      </c>
      <c r="W596" s="771">
        <f t="shared" si="108"/>
        <v>0</v>
      </c>
      <c r="X596" t="str">
        <f t="shared" si="109"/>
        <v/>
      </c>
      <c r="Y596" t="str">
        <f t="shared" si="110"/>
        <v/>
      </c>
      <c r="AA596" s="769">
        <f t="shared" si="116"/>
        <v>0</v>
      </c>
      <c r="AB596" s="772">
        <f t="shared" si="117"/>
        <v>0</v>
      </c>
      <c r="AC596" s="769"/>
      <c r="AE596" s="769"/>
      <c r="AF596" s="769"/>
      <c r="AG596" s="769"/>
      <c r="AH596" s="769"/>
      <c r="AI596" s="769"/>
      <c r="AJ596" s="769"/>
      <c r="AK596" s="769"/>
      <c r="AL596" s="769"/>
      <c r="AM596" s="769"/>
      <c r="AN596" s="769"/>
      <c r="AO596" s="769"/>
      <c r="AP596" s="774">
        <f t="shared" si="111"/>
        <v>0</v>
      </c>
      <c r="AS596" s="771"/>
      <c r="AT596" t="str">
        <f t="array" ref="AT596">IF(E596&lt;&gt;"Occupied","",_xlfn.IFS(AND(ISNUMBER(AC596),AC596&lt;&gt;0),"Structured",ISNUMBER(SEARCH("/mo con",T596)),"Notes-parsed",ISNUMBER(SEARCH("step",T596)),"Step-up",ISNUMBER(SEARCH("swap",T596)),"Rate-swap",AND(ISNUMBER(I596),ISNUMBER(J596),I596&gt;J596),"Implied",TRUE(),""))</f>
        <v/>
      </c>
      <c r="AU596" s="769" t="str">
        <f t="shared" si="112"/>
        <v/>
      </c>
      <c r="AV596" s="775">
        <f t="shared" si="113"/>
        <v>0</v>
      </c>
    </row>
    <row r="597" spans="9:48" ht="15" customHeight="1" outlineLevel="1" x14ac:dyDescent="0.25">
      <c r="I597" s="769"/>
      <c r="J597" s="769"/>
      <c r="K597" s="769">
        <f t="shared" si="105"/>
        <v>0</v>
      </c>
      <c r="L597" s="769">
        <f t="shared" si="106"/>
        <v>0</v>
      </c>
      <c r="M597" s="769"/>
      <c r="N597" s="769"/>
      <c r="O597" s="769"/>
      <c r="P597" s="769"/>
      <c r="Q597" s="769"/>
      <c r="R597" s="769"/>
      <c r="U597" s="770"/>
      <c r="V597" s="771">
        <f t="shared" si="107"/>
        <v>0</v>
      </c>
      <c r="W597" s="771">
        <f t="shared" si="108"/>
        <v>0</v>
      </c>
      <c r="X597" t="str">
        <f t="shared" si="109"/>
        <v/>
      </c>
      <c r="Y597" t="str">
        <f t="shared" si="110"/>
        <v/>
      </c>
      <c r="AA597" s="769">
        <f t="shared" si="116"/>
        <v>0</v>
      </c>
      <c r="AB597" s="772">
        <f t="shared" si="117"/>
        <v>0</v>
      </c>
      <c r="AC597" s="769"/>
      <c r="AE597" s="769"/>
      <c r="AF597" s="769"/>
      <c r="AG597" s="769"/>
      <c r="AH597" s="769"/>
      <c r="AI597" s="769"/>
      <c r="AJ597" s="769"/>
      <c r="AK597" s="769"/>
      <c r="AL597" s="769"/>
      <c r="AM597" s="769"/>
      <c r="AN597" s="769"/>
      <c r="AO597" s="769"/>
      <c r="AP597" s="774">
        <f t="shared" si="111"/>
        <v>0</v>
      </c>
      <c r="AS597" s="771"/>
      <c r="AT597" t="str">
        <f t="array" ref="AT597">IF(E597&lt;&gt;"Occupied","",_xlfn.IFS(AND(ISNUMBER(AC597),AC597&lt;&gt;0),"Structured",ISNUMBER(SEARCH("/mo con",T597)),"Notes-parsed",ISNUMBER(SEARCH("step",T597)),"Step-up",ISNUMBER(SEARCH("swap",T597)),"Rate-swap",AND(ISNUMBER(I597),ISNUMBER(J597),I597&gt;J597),"Implied",TRUE(),""))</f>
        <v/>
      </c>
      <c r="AU597" s="769" t="str">
        <f t="shared" si="112"/>
        <v/>
      </c>
      <c r="AV597" s="775">
        <f t="shared" si="113"/>
        <v>0</v>
      </c>
    </row>
    <row r="598" spans="9:48" ht="15" customHeight="1" outlineLevel="1" x14ac:dyDescent="0.25">
      <c r="I598" s="769"/>
      <c r="J598" s="769"/>
      <c r="K598" s="769">
        <f t="shared" si="105"/>
        <v>0</v>
      </c>
      <c r="L598" s="769">
        <f t="shared" si="106"/>
        <v>0</v>
      </c>
      <c r="M598" s="769"/>
      <c r="N598" s="769"/>
      <c r="O598" s="769"/>
      <c r="P598" s="769"/>
      <c r="Q598" s="769"/>
      <c r="R598" s="769"/>
      <c r="U598" s="770"/>
      <c r="V598" s="771">
        <f t="shared" si="107"/>
        <v>0</v>
      </c>
      <c r="W598" s="771">
        <f t="shared" si="108"/>
        <v>0</v>
      </c>
      <c r="X598" t="str">
        <f t="shared" si="109"/>
        <v/>
      </c>
      <c r="Y598" t="str">
        <f t="shared" si="110"/>
        <v/>
      </c>
      <c r="AA598" s="769">
        <f t="shared" si="116"/>
        <v>0</v>
      </c>
      <c r="AB598" s="772">
        <f t="shared" si="117"/>
        <v>0</v>
      </c>
      <c r="AC598" s="769"/>
      <c r="AE598" s="769"/>
      <c r="AF598" s="769"/>
      <c r="AG598" s="769"/>
      <c r="AH598" s="769"/>
      <c r="AI598" s="769"/>
      <c r="AJ598" s="769"/>
      <c r="AK598" s="769"/>
      <c r="AL598" s="769"/>
      <c r="AM598" s="769"/>
      <c r="AN598" s="769"/>
      <c r="AO598" s="769"/>
      <c r="AP598" s="774">
        <f t="shared" si="111"/>
        <v>0</v>
      </c>
      <c r="AS598" s="771"/>
      <c r="AT598" t="str">
        <f t="array" ref="AT598">IF(E598&lt;&gt;"Occupied","",_xlfn.IFS(AND(ISNUMBER(AC598),AC598&lt;&gt;0),"Structured",ISNUMBER(SEARCH("/mo con",T598)),"Notes-parsed",ISNUMBER(SEARCH("step",T598)),"Step-up",ISNUMBER(SEARCH("swap",T598)),"Rate-swap",AND(ISNUMBER(I598),ISNUMBER(J598),I598&gt;J598),"Implied",TRUE(),""))</f>
        <v/>
      </c>
      <c r="AU598" s="769" t="str">
        <f t="shared" si="112"/>
        <v/>
      </c>
      <c r="AV598" s="775">
        <f t="shared" si="113"/>
        <v>0</v>
      </c>
    </row>
    <row r="599" spans="9:48" ht="15" customHeight="1" outlineLevel="1" x14ac:dyDescent="0.25">
      <c r="I599" s="769"/>
      <c r="J599" s="769"/>
      <c r="K599" s="769">
        <f t="shared" si="105"/>
        <v>0</v>
      </c>
      <c r="L599" s="769">
        <f t="shared" si="106"/>
        <v>0</v>
      </c>
      <c r="M599" s="769"/>
      <c r="N599" s="769"/>
      <c r="O599" s="769"/>
      <c r="P599" s="769"/>
      <c r="Q599" s="769"/>
      <c r="R599" s="769"/>
      <c r="U599" s="770"/>
      <c r="V599" s="771">
        <f t="shared" si="107"/>
        <v>0</v>
      </c>
      <c r="W599" s="771">
        <f t="shared" si="108"/>
        <v>0</v>
      </c>
      <c r="X599" t="str">
        <f t="shared" si="109"/>
        <v/>
      </c>
      <c r="Y599" t="str">
        <f t="shared" si="110"/>
        <v/>
      </c>
      <c r="AA599" s="769">
        <f t="shared" si="116"/>
        <v>0</v>
      </c>
      <c r="AB599" s="772">
        <f t="shared" si="117"/>
        <v>0</v>
      </c>
      <c r="AC599" s="769"/>
      <c r="AE599" s="769"/>
      <c r="AF599" s="769"/>
      <c r="AG599" s="769"/>
      <c r="AH599" s="769"/>
      <c r="AI599" s="769"/>
      <c r="AJ599" s="769"/>
      <c r="AK599" s="769"/>
      <c r="AL599" s="769"/>
      <c r="AM599" s="769"/>
      <c r="AN599" s="769"/>
      <c r="AO599" s="769"/>
      <c r="AP599" s="774">
        <f t="shared" si="111"/>
        <v>0</v>
      </c>
      <c r="AS599" s="771"/>
      <c r="AT599" t="str">
        <f t="array" ref="AT599">IF(E599&lt;&gt;"Occupied","",_xlfn.IFS(AND(ISNUMBER(AC599),AC599&lt;&gt;0),"Structured",ISNUMBER(SEARCH("/mo con",T599)),"Notes-parsed",ISNUMBER(SEARCH("step",T599)),"Step-up",ISNUMBER(SEARCH("swap",T599)),"Rate-swap",AND(ISNUMBER(I599),ISNUMBER(J599),I599&gt;J599),"Implied",TRUE(),""))</f>
        <v/>
      </c>
      <c r="AU599" s="769" t="str">
        <f t="shared" si="112"/>
        <v/>
      </c>
      <c r="AV599" s="775">
        <f t="shared" si="113"/>
        <v>0</v>
      </c>
    </row>
    <row r="600" spans="9:48" ht="15" customHeight="1" outlineLevel="1" x14ac:dyDescent="0.25">
      <c r="I600" s="769"/>
      <c r="J600" s="769"/>
      <c r="K600" s="769">
        <f t="shared" si="105"/>
        <v>0</v>
      </c>
      <c r="L600" s="769">
        <f t="shared" si="106"/>
        <v>0</v>
      </c>
      <c r="M600" s="769"/>
      <c r="N600" s="769"/>
      <c r="O600" s="769"/>
      <c r="P600" s="769"/>
      <c r="Q600" s="769"/>
      <c r="R600" s="769"/>
      <c r="U600" s="770"/>
      <c r="V600" s="771">
        <f t="shared" si="107"/>
        <v>0</v>
      </c>
      <c r="W600" s="771">
        <f t="shared" si="108"/>
        <v>0</v>
      </c>
      <c r="X600" t="str">
        <f t="shared" si="109"/>
        <v/>
      </c>
      <c r="Y600" t="str">
        <f t="shared" si="110"/>
        <v/>
      </c>
      <c r="AA600" s="769">
        <f t="shared" si="116"/>
        <v>0</v>
      </c>
      <c r="AB600" s="772">
        <f t="shared" si="117"/>
        <v>0</v>
      </c>
      <c r="AC600" s="769"/>
      <c r="AE600" s="769"/>
      <c r="AF600" s="769"/>
      <c r="AG600" s="769"/>
      <c r="AH600" s="769"/>
      <c r="AI600" s="769"/>
      <c r="AJ600" s="769"/>
      <c r="AK600" s="769"/>
      <c r="AL600" s="769"/>
      <c r="AM600" s="769"/>
      <c r="AN600" s="769"/>
      <c r="AO600" s="769"/>
      <c r="AP600" s="774">
        <f t="shared" si="111"/>
        <v>0</v>
      </c>
      <c r="AS600" s="771"/>
      <c r="AT600" t="str">
        <f t="array" ref="AT600">IF(E600&lt;&gt;"Occupied","",_xlfn.IFS(AND(ISNUMBER(AC600),AC600&lt;&gt;0),"Structured",ISNUMBER(SEARCH("/mo con",T600)),"Notes-parsed",ISNUMBER(SEARCH("step",T600)),"Step-up",ISNUMBER(SEARCH("swap",T600)),"Rate-swap",AND(ISNUMBER(I600),ISNUMBER(J600),I600&gt;J600),"Implied",TRUE(),""))</f>
        <v/>
      </c>
      <c r="AU600" s="769" t="str">
        <f t="shared" si="112"/>
        <v/>
      </c>
      <c r="AV600" s="775">
        <f t="shared" si="113"/>
        <v>0</v>
      </c>
    </row>
    <row r="601" spans="9:48" ht="15" customHeight="1" outlineLevel="1" x14ac:dyDescent="0.25">
      <c r="I601" s="769"/>
      <c r="J601" s="769"/>
      <c r="K601" s="769">
        <f t="shared" si="105"/>
        <v>0</v>
      </c>
      <c r="L601" s="769">
        <f t="shared" si="106"/>
        <v>0</v>
      </c>
      <c r="M601" s="769"/>
      <c r="N601" s="769"/>
      <c r="O601" s="769"/>
      <c r="P601" s="769"/>
      <c r="Q601" s="769"/>
      <c r="R601" s="769"/>
      <c r="U601" s="770"/>
      <c r="V601" s="771">
        <f t="shared" si="107"/>
        <v>0</v>
      </c>
      <c r="W601" s="771">
        <f t="shared" si="108"/>
        <v>0</v>
      </c>
      <c r="X601" t="str">
        <f t="shared" si="109"/>
        <v/>
      </c>
      <c r="Y601" t="str">
        <f t="shared" si="110"/>
        <v/>
      </c>
      <c r="AA601" s="769">
        <f t="shared" si="116"/>
        <v>0</v>
      </c>
      <c r="AB601" s="772">
        <f t="shared" si="117"/>
        <v>0</v>
      </c>
      <c r="AC601" s="769"/>
      <c r="AE601" s="769"/>
      <c r="AF601" s="769"/>
      <c r="AG601" s="769"/>
      <c r="AH601" s="769"/>
      <c r="AI601" s="769"/>
      <c r="AJ601" s="769"/>
      <c r="AK601" s="769"/>
      <c r="AL601" s="769"/>
      <c r="AM601" s="769"/>
      <c r="AN601" s="769"/>
      <c r="AO601" s="769"/>
      <c r="AP601" s="774">
        <f t="shared" si="111"/>
        <v>0</v>
      </c>
      <c r="AS601" s="771"/>
      <c r="AT601" t="str">
        <f t="array" ref="AT601">IF(E601&lt;&gt;"Occupied","",_xlfn.IFS(AND(ISNUMBER(AC601),AC601&lt;&gt;0),"Structured",ISNUMBER(SEARCH("/mo con",T601)),"Notes-parsed",ISNUMBER(SEARCH("step",T601)),"Step-up",ISNUMBER(SEARCH("swap",T601)),"Rate-swap",AND(ISNUMBER(I601),ISNUMBER(J601),I601&gt;J601),"Implied",TRUE(),""))</f>
        <v/>
      </c>
      <c r="AU601" s="769" t="str">
        <f t="shared" si="112"/>
        <v/>
      </c>
      <c r="AV601" s="775">
        <f t="shared" si="113"/>
        <v>0</v>
      </c>
    </row>
    <row r="602" spans="9:48" ht="15" customHeight="1" outlineLevel="1" x14ac:dyDescent="0.25">
      <c r="I602" s="769"/>
      <c r="J602" s="769"/>
      <c r="K602" s="769">
        <f t="shared" si="105"/>
        <v>0</v>
      </c>
      <c r="L602" s="769">
        <f t="shared" si="106"/>
        <v>0</v>
      </c>
      <c r="M602" s="769"/>
      <c r="N602" s="769"/>
      <c r="O602" s="769"/>
      <c r="P602" s="769"/>
      <c r="Q602" s="769"/>
      <c r="R602" s="769"/>
      <c r="U602" s="770"/>
      <c r="V602" s="771">
        <f t="shared" si="107"/>
        <v>0</v>
      </c>
      <c r="W602" s="771">
        <f t="shared" si="108"/>
        <v>0</v>
      </c>
      <c r="X602" t="str">
        <f t="shared" si="109"/>
        <v/>
      </c>
      <c r="Y602" t="str">
        <f t="shared" si="110"/>
        <v/>
      </c>
      <c r="AA602" s="769">
        <f t="shared" si="116"/>
        <v>0</v>
      </c>
      <c r="AB602" s="772">
        <f t="shared" si="117"/>
        <v>0</v>
      </c>
      <c r="AC602" s="769"/>
      <c r="AE602" s="769"/>
      <c r="AF602" s="769"/>
      <c r="AG602" s="769"/>
      <c r="AH602" s="769"/>
      <c r="AI602" s="769"/>
      <c r="AJ602" s="769"/>
      <c r="AK602" s="769"/>
      <c r="AL602" s="769"/>
      <c r="AM602" s="769"/>
      <c r="AN602" s="769"/>
      <c r="AO602" s="769"/>
      <c r="AP602" s="774">
        <f t="shared" si="111"/>
        <v>0</v>
      </c>
      <c r="AS602" s="771"/>
      <c r="AT602" t="str">
        <f t="array" ref="AT602">IF(E602&lt;&gt;"Occupied","",_xlfn.IFS(AND(ISNUMBER(AC602),AC602&lt;&gt;0),"Structured",ISNUMBER(SEARCH("/mo con",T602)),"Notes-parsed",ISNUMBER(SEARCH("step",T602)),"Step-up",ISNUMBER(SEARCH("swap",T602)),"Rate-swap",AND(ISNUMBER(I602),ISNUMBER(J602),I602&gt;J602),"Implied",TRUE(),""))</f>
        <v/>
      </c>
      <c r="AU602" s="769" t="str">
        <f t="shared" si="112"/>
        <v/>
      </c>
      <c r="AV602" s="775">
        <f t="shared" si="113"/>
        <v>0</v>
      </c>
    </row>
    <row r="603" spans="9:48" ht="15" customHeight="1" outlineLevel="1" x14ac:dyDescent="0.25">
      <c r="I603" s="769"/>
      <c r="J603" s="769"/>
      <c r="K603" s="769">
        <f t="shared" si="105"/>
        <v>0</v>
      </c>
      <c r="L603" s="769">
        <f t="shared" si="106"/>
        <v>0</v>
      </c>
      <c r="M603" s="769"/>
      <c r="N603" s="769"/>
      <c r="O603" s="769"/>
      <c r="P603" s="769"/>
      <c r="Q603" s="769"/>
      <c r="R603" s="769"/>
      <c r="U603" s="770"/>
      <c r="V603" s="771">
        <f t="shared" si="107"/>
        <v>0</v>
      </c>
      <c r="W603" s="771">
        <f t="shared" si="108"/>
        <v>0</v>
      </c>
      <c r="X603" t="str">
        <f t="shared" si="109"/>
        <v/>
      </c>
      <c r="Y603" t="str">
        <f t="shared" si="110"/>
        <v/>
      </c>
      <c r="AA603" s="769">
        <f t="shared" si="116"/>
        <v>0</v>
      </c>
      <c r="AB603" s="772">
        <f t="shared" si="117"/>
        <v>0</v>
      </c>
      <c r="AC603" s="769"/>
      <c r="AE603" s="769"/>
      <c r="AF603" s="769"/>
      <c r="AG603" s="769"/>
      <c r="AH603" s="769"/>
      <c r="AI603" s="769"/>
      <c r="AJ603" s="769"/>
      <c r="AK603" s="769"/>
      <c r="AL603" s="769"/>
      <c r="AM603" s="769"/>
      <c r="AN603" s="769"/>
      <c r="AO603" s="769"/>
      <c r="AP603" s="774">
        <f t="shared" si="111"/>
        <v>0</v>
      </c>
      <c r="AS603" s="771"/>
      <c r="AT603" t="str">
        <f t="array" ref="AT603">IF(E603&lt;&gt;"Occupied","",_xlfn.IFS(AND(ISNUMBER(AC603),AC603&lt;&gt;0),"Structured",ISNUMBER(SEARCH("/mo con",T603)),"Notes-parsed",ISNUMBER(SEARCH("step",T603)),"Step-up",ISNUMBER(SEARCH("swap",T603)),"Rate-swap",AND(ISNUMBER(I603),ISNUMBER(J603),I603&gt;J603),"Implied",TRUE(),""))</f>
        <v/>
      </c>
      <c r="AU603" s="769" t="str">
        <f t="shared" si="112"/>
        <v/>
      </c>
      <c r="AV603" s="775">
        <f t="shared" si="113"/>
        <v>0</v>
      </c>
    </row>
    <row r="604" spans="9:48" ht="15" customHeight="1" outlineLevel="1" x14ac:dyDescent="0.25">
      <c r="I604" s="769"/>
      <c r="J604" s="769"/>
      <c r="K604" s="769">
        <f t="shared" si="105"/>
        <v>0</v>
      </c>
      <c r="L604" s="769">
        <f t="shared" si="106"/>
        <v>0</v>
      </c>
      <c r="M604" s="769"/>
      <c r="N604" s="769"/>
      <c r="O604" s="769"/>
      <c r="P604" s="769"/>
      <c r="Q604" s="769"/>
      <c r="R604" s="769"/>
      <c r="U604" s="770"/>
      <c r="V604" s="771">
        <f t="shared" si="107"/>
        <v>0</v>
      </c>
      <c r="W604" s="771">
        <f t="shared" si="108"/>
        <v>0</v>
      </c>
      <c r="X604" t="str">
        <f t="shared" si="109"/>
        <v/>
      </c>
      <c r="Y604" t="str">
        <f t="shared" si="110"/>
        <v/>
      </c>
      <c r="AA604" s="769">
        <f t="shared" si="116"/>
        <v>0</v>
      </c>
      <c r="AB604" s="772">
        <f t="shared" si="117"/>
        <v>0</v>
      </c>
      <c r="AC604" s="769"/>
      <c r="AE604" s="769"/>
      <c r="AF604" s="769"/>
      <c r="AG604" s="769"/>
      <c r="AH604" s="769"/>
      <c r="AI604" s="769"/>
      <c r="AJ604" s="769"/>
      <c r="AK604" s="769"/>
      <c r="AL604" s="769"/>
      <c r="AM604" s="769"/>
      <c r="AN604" s="769"/>
      <c r="AO604" s="769"/>
      <c r="AP604" s="774">
        <f t="shared" si="111"/>
        <v>0</v>
      </c>
      <c r="AS604" s="771"/>
      <c r="AT604" t="str">
        <f t="array" ref="AT604">IF(E604&lt;&gt;"Occupied","",_xlfn.IFS(AND(ISNUMBER(AC604),AC604&lt;&gt;0),"Structured",ISNUMBER(SEARCH("/mo con",T604)),"Notes-parsed",ISNUMBER(SEARCH("step",T604)),"Step-up",ISNUMBER(SEARCH("swap",T604)),"Rate-swap",AND(ISNUMBER(I604),ISNUMBER(J604),I604&gt;J604),"Implied",TRUE(),""))</f>
        <v/>
      </c>
      <c r="AU604" s="769" t="str">
        <f t="shared" si="112"/>
        <v/>
      </c>
      <c r="AV604" s="775">
        <f t="shared" si="113"/>
        <v>0</v>
      </c>
    </row>
    <row r="605" spans="9:48" ht="15" customHeight="1" outlineLevel="1" x14ac:dyDescent="0.25">
      <c r="I605" s="769"/>
      <c r="J605" s="769"/>
      <c r="K605" s="769">
        <f t="shared" si="105"/>
        <v>0</v>
      </c>
      <c r="L605" s="769">
        <f t="shared" si="106"/>
        <v>0</v>
      </c>
      <c r="M605" s="769"/>
      <c r="N605" s="769"/>
      <c r="O605" s="769"/>
      <c r="P605" s="769"/>
      <c r="Q605" s="769"/>
      <c r="R605" s="769"/>
      <c r="U605" s="770"/>
      <c r="V605" s="771">
        <f t="shared" si="107"/>
        <v>0</v>
      </c>
      <c r="W605" s="771">
        <f t="shared" si="108"/>
        <v>0</v>
      </c>
      <c r="X605" t="str">
        <f t="shared" si="109"/>
        <v/>
      </c>
      <c r="Y605" t="str">
        <f t="shared" si="110"/>
        <v/>
      </c>
      <c r="AA605" s="769">
        <f t="shared" si="116"/>
        <v>0</v>
      </c>
      <c r="AB605" s="772">
        <f t="shared" si="117"/>
        <v>0</v>
      </c>
      <c r="AC605" s="769"/>
      <c r="AE605" s="769"/>
      <c r="AF605" s="769"/>
      <c r="AG605" s="769"/>
      <c r="AH605" s="769"/>
      <c r="AI605" s="769"/>
      <c r="AJ605" s="769"/>
      <c r="AK605" s="769"/>
      <c r="AL605" s="769"/>
      <c r="AM605" s="769"/>
      <c r="AN605" s="769"/>
      <c r="AO605" s="769"/>
      <c r="AP605" s="774">
        <f t="shared" si="111"/>
        <v>0</v>
      </c>
      <c r="AS605" s="771"/>
      <c r="AT605" t="str">
        <f t="array" ref="AT605">IF(E605&lt;&gt;"Occupied","",_xlfn.IFS(AND(ISNUMBER(AC605),AC605&lt;&gt;0),"Structured",ISNUMBER(SEARCH("/mo con",T605)),"Notes-parsed",ISNUMBER(SEARCH("step",T605)),"Step-up",ISNUMBER(SEARCH("swap",T605)),"Rate-swap",AND(ISNUMBER(I605),ISNUMBER(J605),I605&gt;J605),"Implied",TRUE(),""))</f>
        <v/>
      </c>
      <c r="AU605" s="769" t="str">
        <f t="shared" si="112"/>
        <v/>
      </c>
      <c r="AV605" s="775">
        <f t="shared" si="113"/>
        <v>0</v>
      </c>
    </row>
    <row r="606" spans="9:48" ht="15" customHeight="1" outlineLevel="1" x14ac:dyDescent="0.25">
      <c r="I606" s="769"/>
      <c r="J606" s="769"/>
      <c r="K606" s="769">
        <f t="shared" si="105"/>
        <v>0</v>
      </c>
      <c r="L606" s="769">
        <f t="shared" si="106"/>
        <v>0</v>
      </c>
      <c r="M606" s="769"/>
      <c r="N606" s="769"/>
      <c r="O606" s="769"/>
      <c r="P606" s="769"/>
      <c r="Q606" s="769"/>
      <c r="R606" s="769"/>
      <c r="U606" s="770"/>
      <c r="V606" s="771">
        <f t="shared" si="107"/>
        <v>0</v>
      </c>
      <c r="W606" s="771">
        <f t="shared" si="108"/>
        <v>0</v>
      </c>
      <c r="X606" t="str">
        <f t="shared" si="109"/>
        <v/>
      </c>
      <c r="Y606" t="str">
        <f t="shared" si="110"/>
        <v/>
      </c>
      <c r="AA606" s="769">
        <f t="shared" si="116"/>
        <v>0</v>
      </c>
      <c r="AB606" s="772">
        <f t="shared" si="117"/>
        <v>0</v>
      </c>
      <c r="AC606" s="769"/>
      <c r="AE606" s="769"/>
      <c r="AF606" s="769"/>
      <c r="AG606" s="769"/>
      <c r="AH606" s="769"/>
      <c r="AI606" s="769"/>
      <c r="AJ606" s="769"/>
      <c r="AK606" s="769"/>
      <c r="AL606" s="769"/>
      <c r="AM606" s="769"/>
      <c r="AN606" s="769"/>
      <c r="AO606" s="769"/>
      <c r="AP606" s="774">
        <f t="shared" si="111"/>
        <v>0</v>
      </c>
      <c r="AS606" s="771"/>
      <c r="AT606" t="str">
        <f t="array" ref="AT606">IF(E606&lt;&gt;"Occupied","",_xlfn.IFS(AND(ISNUMBER(AC606),AC606&lt;&gt;0),"Structured",ISNUMBER(SEARCH("/mo con",T606)),"Notes-parsed",ISNUMBER(SEARCH("step",T606)),"Step-up",ISNUMBER(SEARCH("swap",T606)),"Rate-swap",AND(ISNUMBER(I606),ISNUMBER(J606),I606&gt;J606),"Implied",TRUE(),""))</f>
        <v/>
      </c>
      <c r="AU606" s="769" t="str">
        <f t="shared" si="112"/>
        <v/>
      </c>
      <c r="AV606" s="775">
        <f t="shared" si="113"/>
        <v>0</v>
      </c>
    </row>
    <row r="607" spans="9:48" ht="15" customHeight="1" outlineLevel="1" x14ac:dyDescent="0.25">
      <c r="I607" s="769"/>
      <c r="J607" s="769"/>
      <c r="K607" s="769">
        <f t="shared" si="105"/>
        <v>0</v>
      </c>
      <c r="L607" s="769">
        <f t="shared" si="106"/>
        <v>0</v>
      </c>
      <c r="M607" s="769"/>
      <c r="N607" s="769"/>
      <c r="O607" s="769"/>
      <c r="P607" s="769"/>
      <c r="Q607" s="769"/>
      <c r="R607" s="769"/>
      <c r="U607" s="770"/>
      <c r="V607" s="771">
        <f t="shared" si="107"/>
        <v>0</v>
      </c>
      <c r="W607" s="771">
        <f t="shared" si="108"/>
        <v>0</v>
      </c>
      <c r="X607" t="str">
        <f t="shared" si="109"/>
        <v/>
      </c>
      <c r="Y607" t="str">
        <f t="shared" si="110"/>
        <v/>
      </c>
      <c r="AA607" s="769">
        <f t="shared" si="116"/>
        <v>0</v>
      </c>
      <c r="AB607" s="772">
        <f t="shared" si="117"/>
        <v>0</v>
      </c>
      <c r="AC607" s="769"/>
      <c r="AE607" s="769"/>
      <c r="AF607" s="769"/>
      <c r="AG607" s="769"/>
      <c r="AH607" s="769"/>
      <c r="AI607" s="769"/>
      <c r="AJ607" s="769"/>
      <c r="AK607" s="769"/>
      <c r="AL607" s="769"/>
      <c r="AM607" s="769"/>
      <c r="AN607" s="769"/>
      <c r="AO607" s="769"/>
      <c r="AP607" s="774">
        <f t="shared" si="111"/>
        <v>0</v>
      </c>
      <c r="AS607" s="771"/>
      <c r="AT607" t="str">
        <f t="array" ref="AT607">IF(E607&lt;&gt;"Occupied","",_xlfn.IFS(AND(ISNUMBER(AC607),AC607&lt;&gt;0),"Structured",ISNUMBER(SEARCH("/mo con",T607)),"Notes-parsed",ISNUMBER(SEARCH("step",T607)),"Step-up",ISNUMBER(SEARCH("swap",T607)),"Rate-swap",AND(ISNUMBER(I607),ISNUMBER(J607),I607&gt;J607),"Implied",TRUE(),""))</f>
        <v/>
      </c>
      <c r="AU607" s="769" t="str">
        <f t="shared" si="112"/>
        <v/>
      </c>
      <c r="AV607" s="775">
        <f t="shared" si="113"/>
        <v>0</v>
      </c>
    </row>
    <row r="608" spans="9:48" ht="15" customHeight="1" outlineLevel="1" x14ac:dyDescent="0.25">
      <c r="I608" s="769"/>
      <c r="J608" s="769"/>
      <c r="K608" s="769">
        <f t="shared" ref="K608:K623" si="118">N(IFERROR(IF(A608="","",N(AE608)+N(AF608)+N(AG608)+N(AH608)),0))</f>
        <v>0</v>
      </c>
      <c r="L608" s="769">
        <f t="shared" ref="L608:L671" si="119">N(IFERROR(IF(A608="","",N(J608)+N(K608)),0))</f>
        <v>0</v>
      </c>
      <c r="M608" s="769"/>
      <c r="N608" s="769"/>
      <c r="O608" s="769"/>
      <c r="P608" s="769"/>
      <c r="Q608" s="769"/>
      <c r="R608" s="769"/>
      <c r="U608" s="770"/>
      <c r="V608" s="771">
        <f t="shared" ref="V608:V671" si="120">N(IFERROR(IF(OR(A608="",U608="",U608=0,J608=""),"",J608/U608),""))</f>
        <v>0</v>
      </c>
      <c r="W608" s="771">
        <f t="shared" ref="W608:W671" si="121">N(IFERROR(IF(V608="","",V608*12),""))</f>
        <v>0</v>
      </c>
      <c r="X608" t="str">
        <f t="shared" ref="X608:X623" si="122">IF(AND(E608&lt;&gt;"",E608&lt;&gt;"Vacant",E608&lt;&gt;"Reserved",C608&lt;&gt;"",D608&lt;&gt;""),C608&amp;"|"&amp;D608,"")</f>
        <v/>
      </c>
      <c r="Y608" t="str">
        <f t="shared" ref="Y608:Y623" si="123">IF(AND(C608&lt;&gt;"",D608&lt;&gt;""),C608&amp;"|"&amp;D608,"")</f>
        <v/>
      </c>
      <c r="AA608" s="769">
        <f t="shared" si="116"/>
        <v>0</v>
      </c>
      <c r="AB608" s="772">
        <f t="shared" si="117"/>
        <v>0</v>
      </c>
      <c r="AC608" s="769"/>
      <c r="AE608" s="769"/>
      <c r="AF608" s="769"/>
      <c r="AG608" s="769"/>
      <c r="AH608" s="769"/>
      <c r="AI608" s="769"/>
      <c r="AJ608" s="769"/>
      <c r="AK608" s="769"/>
      <c r="AL608" s="769"/>
      <c r="AM608" s="769"/>
      <c r="AN608" s="769"/>
      <c r="AO608" s="769"/>
      <c r="AP608" s="774">
        <f t="shared" ref="AP608:AP623" si="124">SUM(AJ608:AN608)</f>
        <v>0</v>
      </c>
      <c r="AS608" s="771"/>
      <c r="AT608" t="str">
        <f t="array" ref="AT608">IF(E608&lt;&gt;"Occupied","",_xlfn.IFS(AND(ISNUMBER(AC608),AC608&lt;&gt;0),"Structured",ISNUMBER(SEARCH("/mo con",T608)),"Notes-parsed",ISNUMBER(SEARCH("step",T608)),"Step-up",ISNUMBER(SEARCH("swap",T608)),"Rate-swap",AND(ISNUMBER(I608),ISNUMBER(J608),I608&gt;J608),"Implied",TRUE(),""))</f>
        <v/>
      </c>
      <c r="AU608" s="769" t="str">
        <f t="shared" ref="AU608:AU671" si="125">IF(AC608&lt;&gt;"",AC608,IF(AT608="Implied",-(I608-J608),IF(OR(AT608="Step-up",AT608="Rate-swap"),"see notes","")))</f>
        <v/>
      </c>
      <c r="AV608" s="775">
        <f t="shared" ref="AV608:AV623" si="126">N(IF($E608&lt;&gt;"Occupied","",$J608-IFERROR($AC608*(IF(AND(ISNUMBER($G608),ISNUMBER($AD608),$AD608&gt;$G608),(YEAR($AD608)-YEAR($G608))*12+MONTH($AD608)-MONTH($G608),$AC$174))/$AC$174,0)))</f>
        <v>0</v>
      </c>
    </row>
    <row r="609" spans="9:48" ht="15" customHeight="1" outlineLevel="1" x14ac:dyDescent="0.25">
      <c r="I609" s="769"/>
      <c r="J609" s="769"/>
      <c r="K609" s="769">
        <f t="shared" si="118"/>
        <v>0</v>
      </c>
      <c r="L609" s="769">
        <f t="shared" si="119"/>
        <v>0</v>
      </c>
      <c r="M609" s="769"/>
      <c r="N609" s="769"/>
      <c r="O609" s="769"/>
      <c r="P609" s="769"/>
      <c r="Q609" s="769"/>
      <c r="R609" s="769"/>
      <c r="U609" s="770"/>
      <c r="V609" s="771">
        <f t="shared" si="120"/>
        <v>0</v>
      </c>
      <c r="W609" s="771">
        <f t="shared" si="121"/>
        <v>0</v>
      </c>
      <c r="X609" t="str">
        <f t="shared" si="122"/>
        <v/>
      </c>
      <c r="Y609" t="str">
        <f t="shared" si="123"/>
        <v/>
      </c>
      <c r="AA609" s="769">
        <f t="shared" si="116"/>
        <v>0</v>
      </c>
      <c r="AB609" s="772">
        <f t="shared" si="117"/>
        <v>0</v>
      </c>
      <c r="AC609" s="769"/>
      <c r="AE609" s="769"/>
      <c r="AF609" s="769"/>
      <c r="AG609" s="769"/>
      <c r="AH609" s="769"/>
      <c r="AI609" s="769"/>
      <c r="AJ609" s="769"/>
      <c r="AK609" s="769"/>
      <c r="AL609" s="769"/>
      <c r="AM609" s="769"/>
      <c r="AN609" s="769"/>
      <c r="AO609" s="769"/>
      <c r="AP609" s="774">
        <f t="shared" si="124"/>
        <v>0</v>
      </c>
      <c r="AS609" s="771"/>
      <c r="AT609" t="str">
        <f t="array" ref="AT609">IF(E609&lt;&gt;"Occupied","",_xlfn.IFS(AND(ISNUMBER(AC609),AC609&lt;&gt;0),"Structured",ISNUMBER(SEARCH("/mo con",T609)),"Notes-parsed",ISNUMBER(SEARCH("step",T609)),"Step-up",ISNUMBER(SEARCH("swap",T609)),"Rate-swap",AND(ISNUMBER(I609),ISNUMBER(J609),I609&gt;J609),"Implied",TRUE(),""))</f>
        <v/>
      </c>
      <c r="AU609" s="769" t="str">
        <f t="shared" si="125"/>
        <v/>
      </c>
      <c r="AV609" s="775">
        <f t="shared" si="126"/>
        <v>0</v>
      </c>
    </row>
    <row r="610" spans="9:48" ht="15" customHeight="1" outlineLevel="1" x14ac:dyDescent="0.25">
      <c r="I610" s="769"/>
      <c r="J610" s="769"/>
      <c r="K610" s="769">
        <f t="shared" si="118"/>
        <v>0</v>
      </c>
      <c r="L610" s="769">
        <f t="shared" si="119"/>
        <v>0</v>
      </c>
      <c r="M610" s="769"/>
      <c r="N610" s="769"/>
      <c r="O610" s="769"/>
      <c r="P610" s="769"/>
      <c r="Q610" s="769"/>
      <c r="R610" s="769"/>
      <c r="U610" s="770"/>
      <c r="V610" s="771">
        <f t="shared" si="120"/>
        <v>0</v>
      </c>
      <c r="W610" s="771">
        <f t="shared" si="121"/>
        <v>0</v>
      </c>
      <c r="X610" t="str">
        <f t="shared" si="122"/>
        <v/>
      </c>
      <c r="Y610" t="str">
        <f t="shared" si="123"/>
        <v/>
      </c>
      <c r="AA610" s="769">
        <f t="shared" si="116"/>
        <v>0</v>
      </c>
      <c r="AB610" s="772">
        <f t="shared" si="117"/>
        <v>0</v>
      </c>
      <c r="AC610" s="769"/>
      <c r="AE610" s="769"/>
      <c r="AF610" s="769"/>
      <c r="AG610" s="769"/>
      <c r="AH610" s="769"/>
      <c r="AI610" s="769"/>
      <c r="AJ610" s="769"/>
      <c r="AK610" s="769"/>
      <c r="AL610" s="769"/>
      <c r="AM610" s="769"/>
      <c r="AN610" s="769"/>
      <c r="AO610" s="769"/>
      <c r="AP610" s="774">
        <f t="shared" si="124"/>
        <v>0</v>
      </c>
      <c r="AS610" s="771"/>
      <c r="AT610" t="str">
        <f t="array" ref="AT610">IF(E610&lt;&gt;"Occupied","",_xlfn.IFS(AND(ISNUMBER(AC610),AC610&lt;&gt;0),"Structured",ISNUMBER(SEARCH("/mo con",T610)),"Notes-parsed",ISNUMBER(SEARCH("step",T610)),"Step-up",ISNUMBER(SEARCH("swap",T610)),"Rate-swap",AND(ISNUMBER(I610),ISNUMBER(J610),I610&gt;J610),"Implied",TRUE(),""))</f>
        <v/>
      </c>
      <c r="AU610" s="769" t="str">
        <f t="shared" si="125"/>
        <v/>
      </c>
      <c r="AV610" s="775">
        <f t="shared" si="126"/>
        <v>0</v>
      </c>
    </row>
    <row r="611" spans="9:48" ht="15" customHeight="1" outlineLevel="1" x14ac:dyDescent="0.25">
      <c r="I611" s="769"/>
      <c r="J611" s="769"/>
      <c r="K611" s="769">
        <f t="shared" si="118"/>
        <v>0</v>
      </c>
      <c r="L611" s="769">
        <f t="shared" si="119"/>
        <v>0</v>
      </c>
      <c r="M611" s="769"/>
      <c r="N611" s="769"/>
      <c r="O611" s="769"/>
      <c r="P611" s="769"/>
      <c r="Q611" s="769"/>
      <c r="R611" s="769"/>
      <c r="U611" s="770"/>
      <c r="V611" s="771">
        <f t="shared" si="120"/>
        <v>0</v>
      </c>
      <c r="W611" s="771">
        <f t="shared" si="121"/>
        <v>0</v>
      </c>
      <c r="X611" t="str">
        <f t="shared" si="122"/>
        <v/>
      </c>
      <c r="Y611" t="str">
        <f t="shared" si="123"/>
        <v/>
      </c>
      <c r="AA611" s="769">
        <f t="shared" si="116"/>
        <v>0</v>
      </c>
      <c r="AB611" s="772">
        <f t="shared" si="117"/>
        <v>0</v>
      </c>
      <c r="AC611" s="769"/>
      <c r="AE611" s="769"/>
      <c r="AF611" s="769"/>
      <c r="AG611" s="769"/>
      <c r="AH611" s="769"/>
      <c r="AI611" s="769"/>
      <c r="AJ611" s="769"/>
      <c r="AK611" s="769"/>
      <c r="AL611" s="769"/>
      <c r="AM611" s="769"/>
      <c r="AN611" s="769"/>
      <c r="AO611" s="769"/>
      <c r="AP611" s="774">
        <f t="shared" si="124"/>
        <v>0</v>
      </c>
      <c r="AS611" s="771"/>
      <c r="AT611" t="str">
        <f t="array" ref="AT611">IF(E611&lt;&gt;"Occupied","",_xlfn.IFS(AND(ISNUMBER(AC611),AC611&lt;&gt;0),"Structured",ISNUMBER(SEARCH("/mo con",T611)),"Notes-parsed",ISNUMBER(SEARCH("step",T611)),"Step-up",ISNUMBER(SEARCH("swap",T611)),"Rate-swap",AND(ISNUMBER(I611),ISNUMBER(J611),I611&gt;J611),"Implied",TRUE(),""))</f>
        <v/>
      </c>
      <c r="AU611" s="769" t="str">
        <f t="shared" si="125"/>
        <v/>
      </c>
      <c r="AV611" s="775">
        <f t="shared" si="126"/>
        <v>0</v>
      </c>
    </row>
    <row r="612" spans="9:48" ht="15" customHeight="1" outlineLevel="1" x14ac:dyDescent="0.25">
      <c r="I612" s="769"/>
      <c r="J612" s="769"/>
      <c r="K612" s="769">
        <f t="shared" si="118"/>
        <v>0</v>
      </c>
      <c r="L612" s="769">
        <f t="shared" si="119"/>
        <v>0</v>
      </c>
      <c r="M612" s="769"/>
      <c r="N612" s="769"/>
      <c r="O612" s="769"/>
      <c r="P612" s="769"/>
      <c r="Q612" s="769"/>
      <c r="R612" s="769"/>
      <c r="U612" s="770"/>
      <c r="V612" s="771">
        <f t="shared" si="120"/>
        <v>0</v>
      </c>
      <c r="W612" s="771">
        <f t="shared" si="121"/>
        <v>0</v>
      </c>
      <c r="X612" t="str">
        <f t="shared" si="122"/>
        <v/>
      </c>
      <c r="Y612" t="str">
        <f t="shared" si="123"/>
        <v/>
      </c>
      <c r="AA612" s="769">
        <f t="shared" si="116"/>
        <v>0</v>
      </c>
      <c r="AB612" s="772">
        <f t="shared" si="117"/>
        <v>0</v>
      </c>
      <c r="AC612" s="769"/>
      <c r="AE612" s="769"/>
      <c r="AF612" s="769"/>
      <c r="AG612" s="769"/>
      <c r="AH612" s="769"/>
      <c r="AI612" s="769"/>
      <c r="AJ612" s="769"/>
      <c r="AK612" s="769"/>
      <c r="AL612" s="769"/>
      <c r="AM612" s="769"/>
      <c r="AN612" s="769"/>
      <c r="AO612" s="769"/>
      <c r="AP612" s="774">
        <f t="shared" si="124"/>
        <v>0</v>
      </c>
      <c r="AS612" s="771"/>
      <c r="AT612" t="str">
        <f t="array" ref="AT612">IF(E612&lt;&gt;"Occupied","",_xlfn.IFS(AND(ISNUMBER(AC612),AC612&lt;&gt;0),"Structured",ISNUMBER(SEARCH("/mo con",T612)),"Notes-parsed",ISNUMBER(SEARCH("step",T612)),"Step-up",ISNUMBER(SEARCH("swap",T612)),"Rate-swap",AND(ISNUMBER(I612),ISNUMBER(J612),I612&gt;J612),"Implied",TRUE(),""))</f>
        <v/>
      </c>
      <c r="AU612" s="769" t="str">
        <f t="shared" si="125"/>
        <v/>
      </c>
      <c r="AV612" s="775">
        <f t="shared" si="126"/>
        <v>0</v>
      </c>
    </row>
    <row r="613" spans="9:48" ht="15" customHeight="1" outlineLevel="1" x14ac:dyDescent="0.25">
      <c r="I613" s="769"/>
      <c r="J613" s="769"/>
      <c r="K613" s="769">
        <f t="shared" si="118"/>
        <v>0</v>
      </c>
      <c r="L613" s="769">
        <f t="shared" si="119"/>
        <v>0</v>
      </c>
      <c r="M613" s="769"/>
      <c r="N613" s="769"/>
      <c r="O613" s="769"/>
      <c r="P613" s="769"/>
      <c r="Q613" s="769"/>
      <c r="R613" s="769"/>
      <c r="U613" s="770"/>
      <c r="V613" s="771">
        <f t="shared" si="120"/>
        <v>0</v>
      </c>
      <c r="W613" s="771">
        <f t="shared" si="121"/>
        <v>0</v>
      </c>
      <c r="X613" t="str">
        <f t="shared" si="122"/>
        <v/>
      </c>
      <c r="Y613" t="str">
        <f t="shared" si="123"/>
        <v/>
      </c>
      <c r="AA613" s="769">
        <f t="shared" si="116"/>
        <v>0</v>
      </c>
      <c r="AB613" s="772">
        <f t="shared" si="117"/>
        <v>0</v>
      </c>
      <c r="AC613" s="769"/>
      <c r="AE613" s="769"/>
      <c r="AF613" s="769"/>
      <c r="AG613" s="769"/>
      <c r="AH613" s="769"/>
      <c r="AI613" s="769"/>
      <c r="AJ613" s="769"/>
      <c r="AK613" s="769"/>
      <c r="AL613" s="769"/>
      <c r="AM613" s="769"/>
      <c r="AN613" s="769"/>
      <c r="AO613" s="769"/>
      <c r="AP613" s="774">
        <f t="shared" si="124"/>
        <v>0</v>
      </c>
      <c r="AS613" s="771"/>
      <c r="AT613" t="str">
        <f t="array" ref="AT613">IF(E613&lt;&gt;"Occupied","",_xlfn.IFS(AND(ISNUMBER(AC613),AC613&lt;&gt;0),"Structured",ISNUMBER(SEARCH("/mo con",T613)),"Notes-parsed",ISNUMBER(SEARCH("step",T613)),"Step-up",ISNUMBER(SEARCH("swap",T613)),"Rate-swap",AND(ISNUMBER(I613),ISNUMBER(J613),I613&gt;J613),"Implied",TRUE(),""))</f>
        <v/>
      </c>
      <c r="AU613" s="769" t="str">
        <f t="shared" si="125"/>
        <v/>
      </c>
      <c r="AV613" s="775">
        <f t="shared" si="126"/>
        <v>0</v>
      </c>
    </row>
    <row r="614" spans="9:48" ht="15" customHeight="1" outlineLevel="1" x14ac:dyDescent="0.25">
      <c r="I614" s="769"/>
      <c r="J614" s="769"/>
      <c r="K614" s="769">
        <f t="shared" si="118"/>
        <v>0</v>
      </c>
      <c r="L614" s="769">
        <f t="shared" si="119"/>
        <v>0</v>
      </c>
      <c r="M614" s="769"/>
      <c r="N614" s="769"/>
      <c r="O614" s="769"/>
      <c r="P614" s="769"/>
      <c r="Q614" s="769"/>
      <c r="R614" s="769"/>
      <c r="U614" s="770"/>
      <c r="V614" s="771">
        <f t="shared" si="120"/>
        <v>0</v>
      </c>
      <c r="W614" s="771">
        <f t="shared" si="121"/>
        <v>0</v>
      </c>
      <c r="X614" t="str">
        <f t="shared" si="122"/>
        <v/>
      </c>
      <c r="Y614" t="str">
        <f t="shared" si="123"/>
        <v/>
      </c>
      <c r="AA614" s="769">
        <f t="shared" si="116"/>
        <v>0</v>
      </c>
      <c r="AB614" s="772">
        <f t="shared" si="117"/>
        <v>0</v>
      </c>
      <c r="AC614" s="769"/>
      <c r="AE614" s="769"/>
      <c r="AF614" s="769"/>
      <c r="AG614" s="769"/>
      <c r="AH614" s="769"/>
      <c r="AI614" s="769"/>
      <c r="AJ614" s="769"/>
      <c r="AK614" s="769"/>
      <c r="AL614" s="769"/>
      <c r="AM614" s="769"/>
      <c r="AN614" s="769"/>
      <c r="AO614" s="769"/>
      <c r="AP614" s="774">
        <f t="shared" si="124"/>
        <v>0</v>
      </c>
      <c r="AS614" s="771"/>
      <c r="AT614" t="str">
        <f t="array" ref="AT614">IF(E614&lt;&gt;"Occupied","",_xlfn.IFS(AND(ISNUMBER(AC614),AC614&lt;&gt;0),"Structured",ISNUMBER(SEARCH("/mo con",T614)),"Notes-parsed",ISNUMBER(SEARCH("step",T614)),"Step-up",ISNUMBER(SEARCH("swap",T614)),"Rate-swap",AND(ISNUMBER(I614),ISNUMBER(J614),I614&gt;J614),"Implied",TRUE(),""))</f>
        <v/>
      </c>
      <c r="AU614" s="769" t="str">
        <f t="shared" si="125"/>
        <v/>
      </c>
      <c r="AV614" s="775">
        <f t="shared" si="126"/>
        <v>0</v>
      </c>
    </row>
    <row r="615" spans="9:48" ht="15" customHeight="1" outlineLevel="1" x14ac:dyDescent="0.25">
      <c r="I615" s="769"/>
      <c r="J615" s="769"/>
      <c r="K615" s="769">
        <f t="shared" si="118"/>
        <v>0</v>
      </c>
      <c r="L615" s="769">
        <f t="shared" si="119"/>
        <v>0</v>
      </c>
      <c r="M615" s="769"/>
      <c r="N615" s="769"/>
      <c r="O615" s="769"/>
      <c r="P615" s="769"/>
      <c r="Q615" s="769"/>
      <c r="R615" s="769"/>
      <c r="U615" s="770"/>
      <c r="V615" s="771">
        <f t="shared" si="120"/>
        <v>0</v>
      </c>
      <c r="W615" s="771">
        <f t="shared" si="121"/>
        <v>0</v>
      </c>
      <c r="X615" t="str">
        <f t="shared" si="122"/>
        <v/>
      </c>
      <c r="Y615" t="str">
        <f t="shared" si="123"/>
        <v/>
      </c>
      <c r="AA615" s="769">
        <f t="shared" ref="AA615:AA623" si="127">N(IF(AND(J615&gt;0,I615&gt;0),I615-J615,""))</f>
        <v>0</v>
      </c>
      <c r="AB615" s="772">
        <f t="shared" ref="AB615:AB623" si="128">N(IF(AND(J615&gt;0,I615&gt;0),(I615-J615)/I615,""))</f>
        <v>0</v>
      </c>
      <c r="AC615" s="769"/>
      <c r="AE615" s="769"/>
      <c r="AF615" s="769"/>
      <c r="AG615" s="769"/>
      <c r="AH615" s="769"/>
      <c r="AI615" s="769"/>
      <c r="AJ615" s="769"/>
      <c r="AK615" s="769"/>
      <c r="AL615" s="769"/>
      <c r="AM615" s="769"/>
      <c r="AN615" s="769"/>
      <c r="AO615" s="769"/>
      <c r="AP615" s="774">
        <f t="shared" si="124"/>
        <v>0</v>
      </c>
      <c r="AS615" s="771"/>
      <c r="AT615" t="str">
        <f t="array" ref="AT615">IF(E615&lt;&gt;"Occupied","",_xlfn.IFS(AND(ISNUMBER(AC615),AC615&lt;&gt;0),"Structured",ISNUMBER(SEARCH("/mo con",T615)),"Notes-parsed",ISNUMBER(SEARCH("step",T615)),"Step-up",ISNUMBER(SEARCH("swap",T615)),"Rate-swap",AND(ISNUMBER(I615),ISNUMBER(J615),I615&gt;J615),"Implied",TRUE(),""))</f>
        <v/>
      </c>
      <c r="AU615" s="769" t="str">
        <f t="shared" si="125"/>
        <v/>
      </c>
      <c r="AV615" s="775">
        <f t="shared" si="126"/>
        <v>0</v>
      </c>
    </row>
    <row r="616" spans="9:48" ht="15" customHeight="1" outlineLevel="1" x14ac:dyDescent="0.25">
      <c r="I616" s="769"/>
      <c r="J616" s="769"/>
      <c r="K616" s="769">
        <f t="shared" si="118"/>
        <v>0</v>
      </c>
      <c r="L616" s="769">
        <f t="shared" si="119"/>
        <v>0</v>
      </c>
      <c r="M616" s="769"/>
      <c r="N616" s="769"/>
      <c r="O616" s="769"/>
      <c r="P616" s="769"/>
      <c r="Q616" s="769"/>
      <c r="R616" s="769"/>
      <c r="U616" s="770"/>
      <c r="V616" s="771">
        <f t="shared" si="120"/>
        <v>0</v>
      </c>
      <c r="W616" s="771">
        <f t="shared" si="121"/>
        <v>0</v>
      </c>
      <c r="X616" t="str">
        <f t="shared" si="122"/>
        <v/>
      </c>
      <c r="Y616" t="str">
        <f t="shared" si="123"/>
        <v/>
      </c>
      <c r="AA616" s="769">
        <f t="shared" si="127"/>
        <v>0</v>
      </c>
      <c r="AB616" s="772">
        <f t="shared" si="128"/>
        <v>0</v>
      </c>
      <c r="AC616" s="769"/>
      <c r="AE616" s="769"/>
      <c r="AF616" s="769"/>
      <c r="AG616" s="769"/>
      <c r="AH616" s="769"/>
      <c r="AI616" s="769"/>
      <c r="AJ616" s="769"/>
      <c r="AK616" s="769"/>
      <c r="AL616" s="769"/>
      <c r="AM616" s="769"/>
      <c r="AN616" s="769"/>
      <c r="AO616" s="769"/>
      <c r="AP616" s="774">
        <f t="shared" si="124"/>
        <v>0</v>
      </c>
      <c r="AS616" s="771"/>
      <c r="AT616" t="str">
        <f t="array" ref="AT616">IF(E616&lt;&gt;"Occupied","",_xlfn.IFS(AND(ISNUMBER(AC616),AC616&lt;&gt;0),"Structured",ISNUMBER(SEARCH("/mo con",T616)),"Notes-parsed",ISNUMBER(SEARCH("step",T616)),"Step-up",ISNUMBER(SEARCH("swap",T616)),"Rate-swap",AND(ISNUMBER(I616),ISNUMBER(J616),I616&gt;J616),"Implied",TRUE(),""))</f>
        <v/>
      </c>
      <c r="AU616" s="769" t="str">
        <f t="shared" si="125"/>
        <v/>
      </c>
      <c r="AV616" s="775">
        <f t="shared" si="126"/>
        <v>0</v>
      </c>
    </row>
    <row r="617" spans="9:48" ht="15" customHeight="1" outlineLevel="1" x14ac:dyDescent="0.25">
      <c r="I617" s="769"/>
      <c r="J617" s="769"/>
      <c r="K617" s="769">
        <f t="shared" si="118"/>
        <v>0</v>
      </c>
      <c r="L617" s="769">
        <f t="shared" si="119"/>
        <v>0</v>
      </c>
      <c r="M617" s="769"/>
      <c r="N617" s="769"/>
      <c r="O617" s="769"/>
      <c r="P617" s="769"/>
      <c r="Q617" s="769"/>
      <c r="R617" s="769"/>
      <c r="U617" s="770"/>
      <c r="V617" s="771">
        <f t="shared" si="120"/>
        <v>0</v>
      </c>
      <c r="W617" s="771">
        <f t="shared" si="121"/>
        <v>0</v>
      </c>
      <c r="X617" t="str">
        <f t="shared" si="122"/>
        <v/>
      </c>
      <c r="Y617" t="str">
        <f t="shared" si="123"/>
        <v/>
      </c>
      <c r="AA617" s="769">
        <f t="shared" si="127"/>
        <v>0</v>
      </c>
      <c r="AB617" s="772">
        <f t="shared" si="128"/>
        <v>0</v>
      </c>
      <c r="AC617" s="769"/>
      <c r="AE617" s="769"/>
      <c r="AF617" s="769"/>
      <c r="AG617" s="769"/>
      <c r="AH617" s="769"/>
      <c r="AI617" s="769"/>
      <c r="AJ617" s="769"/>
      <c r="AK617" s="769"/>
      <c r="AL617" s="769"/>
      <c r="AM617" s="769"/>
      <c r="AN617" s="769"/>
      <c r="AO617" s="769"/>
      <c r="AP617" s="774">
        <f t="shared" si="124"/>
        <v>0</v>
      </c>
      <c r="AS617" s="771"/>
      <c r="AT617" t="str">
        <f t="array" ref="AT617">IF(E617&lt;&gt;"Occupied","",_xlfn.IFS(AND(ISNUMBER(AC617),AC617&lt;&gt;0),"Structured",ISNUMBER(SEARCH("/mo con",T617)),"Notes-parsed",ISNUMBER(SEARCH("step",T617)),"Step-up",ISNUMBER(SEARCH("swap",T617)),"Rate-swap",AND(ISNUMBER(I617),ISNUMBER(J617),I617&gt;J617),"Implied",TRUE(),""))</f>
        <v/>
      </c>
      <c r="AU617" s="769" t="str">
        <f t="shared" si="125"/>
        <v/>
      </c>
      <c r="AV617" s="775">
        <f t="shared" si="126"/>
        <v>0</v>
      </c>
    </row>
    <row r="618" spans="9:48" ht="15" customHeight="1" outlineLevel="1" x14ac:dyDescent="0.25">
      <c r="I618" s="769"/>
      <c r="J618" s="769"/>
      <c r="K618" s="769">
        <f t="shared" si="118"/>
        <v>0</v>
      </c>
      <c r="L618" s="769">
        <f t="shared" si="119"/>
        <v>0</v>
      </c>
      <c r="M618" s="769"/>
      <c r="N618" s="769"/>
      <c r="O618" s="769"/>
      <c r="P618" s="769"/>
      <c r="Q618" s="769"/>
      <c r="R618" s="769"/>
      <c r="U618" s="770"/>
      <c r="V618" s="771">
        <f t="shared" si="120"/>
        <v>0</v>
      </c>
      <c r="W618" s="771">
        <f t="shared" si="121"/>
        <v>0</v>
      </c>
      <c r="X618" t="str">
        <f t="shared" si="122"/>
        <v/>
      </c>
      <c r="Y618" t="str">
        <f t="shared" si="123"/>
        <v/>
      </c>
      <c r="AA618" s="769">
        <f t="shared" si="127"/>
        <v>0</v>
      </c>
      <c r="AB618" s="772">
        <f t="shared" si="128"/>
        <v>0</v>
      </c>
      <c r="AC618" s="769"/>
      <c r="AE618" s="769"/>
      <c r="AF618" s="769"/>
      <c r="AG618" s="769"/>
      <c r="AH618" s="769"/>
      <c r="AI618" s="769"/>
      <c r="AJ618" s="769"/>
      <c r="AK618" s="769"/>
      <c r="AL618" s="769"/>
      <c r="AM618" s="769"/>
      <c r="AN618" s="769"/>
      <c r="AO618" s="769"/>
      <c r="AP618" s="774">
        <f t="shared" si="124"/>
        <v>0</v>
      </c>
      <c r="AS618" s="771"/>
      <c r="AT618" t="str">
        <f t="array" ref="AT618">IF(E618&lt;&gt;"Occupied","",_xlfn.IFS(AND(ISNUMBER(AC618),AC618&lt;&gt;0),"Structured",ISNUMBER(SEARCH("/mo con",T618)),"Notes-parsed",ISNUMBER(SEARCH("step",T618)),"Step-up",ISNUMBER(SEARCH("swap",T618)),"Rate-swap",AND(ISNUMBER(I618),ISNUMBER(J618),I618&gt;J618),"Implied",TRUE(),""))</f>
        <v/>
      </c>
      <c r="AU618" s="769" t="str">
        <f t="shared" si="125"/>
        <v/>
      </c>
      <c r="AV618" s="775">
        <f t="shared" si="126"/>
        <v>0</v>
      </c>
    </row>
    <row r="619" spans="9:48" ht="15" customHeight="1" outlineLevel="1" x14ac:dyDescent="0.25">
      <c r="I619" s="769"/>
      <c r="J619" s="769"/>
      <c r="K619" s="769">
        <f t="shared" si="118"/>
        <v>0</v>
      </c>
      <c r="L619" s="769">
        <f t="shared" si="119"/>
        <v>0</v>
      </c>
      <c r="M619" s="769"/>
      <c r="N619" s="769"/>
      <c r="O619" s="769"/>
      <c r="P619" s="769"/>
      <c r="Q619" s="769"/>
      <c r="R619" s="769"/>
      <c r="U619" s="770"/>
      <c r="V619" s="771">
        <f t="shared" si="120"/>
        <v>0</v>
      </c>
      <c r="W619" s="771">
        <f t="shared" si="121"/>
        <v>0</v>
      </c>
      <c r="X619" t="str">
        <f t="shared" si="122"/>
        <v/>
      </c>
      <c r="Y619" t="str">
        <f t="shared" si="123"/>
        <v/>
      </c>
      <c r="AA619" s="769">
        <f t="shared" si="127"/>
        <v>0</v>
      </c>
      <c r="AB619" s="772">
        <f t="shared" si="128"/>
        <v>0</v>
      </c>
      <c r="AC619" s="769"/>
      <c r="AE619" s="769"/>
      <c r="AF619" s="769"/>
      <c r="AG619" s="769"/>
      <c r="AH619" s="769"/>
      <c r="AI619" s="769"/>
      <c r="AJ619" s="769"/>
      <c r="AK619" s="769"/>
      <c r="AL619" s="769"/>
      <c r="AM619" s="769"/>
      <c r="AN619" s="769"/>
      <c r="AO619" s="769"/>
      <c r="AP619" s="774">
        <f t="shared" si="124"/>
        <v>0</v>
      </c>
      <c r="AS619" s="771"/>
      <c r="AT619" t="str">
        <f t="array" ref="AT619">IF(E619&lt;&gt;"Occupied","",_xlfn.IFS(AND(ISNUMBER(AC619),AC619&lt;&gt;0),"Structured",ISNUMBER(SEARCH("/mo con",T619)),"Notes-parsed",ISNUMBER(SEARCH("step",T619)),"Step-up",ISNUMBER(SEARCH("swap",T619)),"Rate-swap",AND(ISNUMBER(I619),ISNUMBER(J619),I619&gt;J619),"Implied",TRUE(),""))</f>
        <v/>
      </c>
      <c r="AU619" s="769" t="str">
        <f t="shared" si="125"/>
        <v/>
      </c>
      <c r="AV619" s="775">
        <f t="shared" si="126"/>
        <v>0</v>
      </c>
    </row>
    <row r="620" spans="9:48" ht="15" customHeight="1" outlineLevel="1" x14ac:dyDescent="0.25">
      <c r="I620" s="769"/>
      <c r="J620" s="769"/>
      <c r="K620" s="769">
        <f t="shared" si="118"/>
        <v>0</v>
      </c>
      <c r="L620" s="769">
        <f t="shared" si="119"/>
        <v>0</v>
      </c>
      <c r="M620" s="769"/>
      <c r="N620" s="769"/>
      <c r="O620" s="769"/>
      <c r="P620" s="769"/>
      <c r="Q620" s="769"/>
      <c r="R620" s="769"/>
      <c r="U620" s="770"/>
      <c r="V620" s="771">
        <f t="shared" si="120"/>
        <v>0</v>
      </c>
      <c r="W620" s="771">
        <f t="shared" si="121"/>
        <v>0</v>
      </c>
      <c r="X620" t="str">
        <f t="shared" si="122"/>
        <v/>
      </c>
      <c r="Y620" t="str">
        <f t="shared" si="123"/>
        <v/>
      </c>
      <c r="AA620" s="769">
        <f t="shared" si="127"/>
        <v>0</v>
      </c>
      <c r="AB620" s="772">
        <f t="shared" si="128"/>
        <v>0</v>
      </c>
      <c r="AC620" s="769"/>
      <c r="AE620" s="769"/>
      <c r="AF620" s="769"/>
      <c r="AG620" s="769"/>
      <c r="AH620" s="769"/>
      <c r="AI620" s="769"/>
      <c r="AJ620" s="769"/>
      <c r="AK620" s="769"/>
      <c r="AL620" s="769"/>
      <c r="AM620" s="769"/>
      <c r="AN620" s="769"/>
      <c r="AO620" s="769"/>
      <c r="AP620" s="774">
        <f t="shared" si="124"/>
        <v>0</v>
      </c>
      <c r="AS620" s="771"/>
      <c r="AT620" t="str">
        <f t="array" ref="AT620">IF(E620&lt;&gt;"Occupied","",_xlfn.IFS(AND(ISNUMBER(AC620),AC620&lt;&gt;0),"Structured",ISNUMBER(SEARCH("/mo con",T620)),"Notes-parsed",ISNUMBER(SEARCH("step",T620)),"Step-up",ISNUMBER(SEARCH("swap",T620)),"Rate-swap",AND(ISNUMBER(I620),ISNUMBER(J620),I620&gt;J620),"Implied",TRUE(),""))</f>
        <v/>
      </c>
      <c r="AU620" s="769" t="str">
        <f t="shared" si="125"/>
        <v/>
      </c>
      <c r="AV620" s="775">
        <f t="shared" si="126"/>
        <v>0</v>
      </c>
    </row>
    <row r="621" spans="9:48" ht="15" customHeight="1" outlineLevel="1" x14ac:dyDescent="0.25">
      <c r="I621" s="769"/>
      <c r="J621" s="769"/>
      <c r="K621" s="769">
        <f t="shared" si="118"/>
        <v>0</v>
      </c>
      <c r="L621" s="769">
        <f t="shared" si="119"/>
        <v>0</v>
      </c>
      <c r="M621" s="769"/>
      <c r="N621" s="769"/>
      <c r="O621" s="769"/>
      <c r="P621" s="769"/>
      <c r="Q621" s="769"/>
      <c r="R621" s="769"/>
      <c r="U621" s="770"/>
      <c r="V621" s="771">
        <f t="shared" si="120"/>
        <v>0</v>
      </c>
      <c r="W621" s="771">
        <f t="shared" si="121"/>
        <v>0</v>
      </c>
      <c r="X621" t="str">
        <f t="shared" si="122"/>
        <v/>
      </c>
      <c r="Y621" t="str">
        <f t="shared" si="123"/>
        <v/>
      </c>
      <c r="AA621" s="769">
        <f t="shared" si="127"/>
        <v>0</v>
      </c>
      <c r="AB621" s="772">
        <f t="shared" si="128"/>
        <v>0</v>
      </c>
      <c r="AC621" s="769"/>
      <c r="AE621" s="769"/>
      <c r="AF621" s="769"/>
      <c r="AG621" s="769"/>
      <c r="AH621" s="769"/>
      <c r="AI621" s="769"/>
      <c r="AJ621" s="769"/>
      <c r="AK621" s="769"/>
      <c r="AL621" s="769"/>
      <c r="AM621" s="769"/>
      <c r="AN621" s="769"/>
      <c r="AO621" s="769"/>
      <c r="AP621" s="774">
        <f t="shared" si="124"/>
        <v>0</v>
      </c>
      <c r="AS621" s="771"/>
      <c r="AT621" t="str">
        <f t="array" ref="AT621">IF(E621&lt;&gt;"Occupied","",_xlfn.IFS(AND(ISNUMBER(AC621),AC621&lt;&gt;0),"Structured",ISNUMBER(SEARCH("/mo con",T621)),"Notes-parsed",ISNUMBER(SEARCH("step",T621)),"Step-up",ISNUMBER(SEARCH("swap",T621)),"Rate-swap",AND(ISNUMBER(I621),ISNUMBER(J621),I621&gt;J621),"Implied",TRUE(),""))</f>
        <v/>
      </c>
      <c r="AU621" s="769" t="str">
        <f t="shared" si="125"/>
        <v/>
      </c>
      <c r="AV621" s="775">
        <f t="shared" si="126"/>
        <v>0</v>
      </c>
    </row>
    <row r="622" spans="9:48" ht="15" customHeight="1" outlineLevel="1" x14ac:dyDescent="0.25">
      <c r="I622" s="769"/>
      <c r="J622" s="769"/>
      <c r="K622" s="769">
        <f t="shared" si="118"/>
        <v>0</v>
      </c>
      <c r="L622" s="769">
        <f t="shared" si="119"/>
        <v>0</v>
      </c>
      <c r="M622" s="769"/>
      <c r="N622" s="769"/>
      <c r="O622" s="769"/>
      <c r="P622" s="769"/>
      <c r="Q622" s="769"/>
      <c r="R622" s="769"/>
      <c r="U622" s="770"/>
      <c r="V622" s="771">
        <f t="shared" si="120"/>
        <v>0</v>
      </c>
      <c r="W622" s="771">
        <f t="shared" si="121"/>
        <v>0</v>
      </c>
      <c r="X622" t="str">
        <f t="shared" si="122"/>
        <v/>
      </c>
      <c r="Y622" t="str">
        <f t="shared" si="123"/>
        <v/>
      </c>
      <c r="AA622" s="769">
        <f t="shared" si="127"/>
        <v>0</v>
      </c>
      <c r="AB622" s="772">
        <f t="shared" si="128"/>
        <v>0</v>
      </c>
      <c r="AC622" s="769"/>
      <c r="AE622" s="769"/>
      <c r="AF622" s="769"/>
      <c r="AG622" s="769"/>
      <c r="AH622" s="769"/>
      <c r="AI622" s="769"/>
      <c r="AJ622" s="769"/>
      <c r="AK622" s="769"/>
      <c r="AL622" s="769"/>
      <c r="AM622" s="769"/>
      <c r="AN622" s="769"/>
      <c r="AO622" s="769"/>
      <c r="AP622" s="774">
        <f t="shared" si="124"/>
        <v>0</v>
      </c>
      <c r="AS622" s="771"/>
      <c r="AT622" t="str">
        <f t="array" ref="AT622">IF(E622&lt;&gt;"Occupied","",_xlfn.IFS(AND(ISNUMBER(AC622),AC622&lt;&gt;0),"Structured",ISNUMBER(SEARCH("/mo con",T622)),"Notes-parsed",ISNUMBER(SEARCH("step",T622)),"Step-up",ISNUMBER(SEARCH("swap",T622)),"Rate-swap",AND(ISNUMBER(I622),ISNUMBER(J622),I622&gt;J622),"Implied",TRUE(),""))</f>
        <v/>
      </c>
      <c r="AU622" s="769" t="str">
        <f t="shared" si="125"/>
        <v/>
      </c>
      <c r="AV622" s="775">
        <f t="shared" si="126"/>
        <v>0</v>
      </c>
    </row>
    <row r="623" spans="9:48" ht="15" customHeight="1" outlineLevel="1" x14ac:dyDescent="0.25">
      <c r="I623" s="769"/>
      <c r="J623" s="769"/>
      <c r="K623" s="769">
        <f t="shared" si="118"/>
        <v>0</v>
      </c>
      <c r="L623" s="769">
        <f t="shared" si="119"/>
        <v>0</v>
      </c>
      <c r="M623" s="769"/>
      <c r="N623" s="769"/>
      <c r="O623" s="769"/>
      <c r="P623" s="769"/>
      <c r="Q623" s="769"/>
      <c r="R623" s="769"/>
      <c r="U623" s="770"/>
      <c r="V623" s="771">
        <f t="shared" si="120"/>
        <v>0</v>
      </c>
      <c r="W623" s="771">
        <f t="shared" si="121"/>
        <v>0</v>
      </c>
      <c r="X623" t="str">
        <f t="shared" si="122"/>
        <v/>
      </c>
      <c r="Y623" t="str">
        <f t="shared" si="123"/>
        <v/>
      </c>
      <c r="AA623" s="769">
        <f t="shared" si="127"/>
        <v>0</v>
      </c>
      <c r="AB623" s="772">
        <f t="shared" si="128"/>
        <v>0</v>
      </c>
      <c r="AC623" s="769"/>
      <c r="AE623" s="769"/>
      <c r="AF623" s="769"/>
      <c r="AG623" s="769"/>
      <c r="AH623" s="769"/>
      <c r="AI623" s="769"/>
      <c r="AJ623" s="769"/>
      <c r="AK623" s="769"/>
      <c r="AL623" s="769"/>
      <c r="AM623" s="769"/>
      <c r="AN623" s="769"/>
      <c r="AO623" s="769"/>
      <c r="AP623" s="774">
        <f t="shared" si="124"/>
        <v>0</v>
      </c>
      <c r="AS623" s="771"/>
      <c r="AT623" t="str">
        <f t="array" ref="AT623">IF(E623&lt;&gt;"Occupied","",_xlfn.IFS(AND(ISNUMBER(AC623),AC623&lt;&gt;0),"Structured",ISNUMBER(SEARCH("/mo con",T623)),"Notes-parsed",ISNUMBER(SEARCH("step",T623)),"Step-up",ISNUMBER(SEARCH("swap",T623)),"Rate-swap",AND(ISNUMBER(I623),ISNUMBER(J623),I623&gt;J623),"Implied",TRUE(),""))</f>
        <v/>
      </c>
      <c r="AU623" s="769" t="str">
        <f t="shared" si="125"/>
        <v/>
      </c>
      <c r="AV623" s="775">
        <f t="shared" si="126"/>
        <v>0</v>
      </c>
    </row>
  </sheetData>
  <mergeCells count="37">
    <mergeCell ref="AF175:AN175"/>
    <mergeCell ref="A1:V1"/>
    <mergeCell ref="A110:V110"/>
    <mergeCell ref="A111:L111"/>
    <mergeCell ref="A88:V88"/>
    <mergeCell ref="P175:Q175"/>
    <mergeCell ref="A7:V7"/>
    <mergeCell ref="A166:L166"/>
    <mergeCell ref="A41:V41"/>
    <mergeCell ref="A98:L98"/>
    <mergeCell ref="A128:V128"/>
    <mergeCell ref="A51:L51"/>
    <mergeCell ref="T175:V175"/>
    <mergeCell ref="A50:V50"/>
    <mergeCell ref="A120:V120"/>
    <mergeCell ref="A136:V136"/>
    <mergeCell ref="AB175:AD175"/>
    <mergeCell ref="A15:V15"/>
    <mergeCell ref="M175:O175"/>
    <mergeCell ref="A156:L156"/>
    <mergeCell ref="A72:L72"/>
    <mergeCell ref="R175:S175"/>
    <mergeCell ref="A2:V2"/>
    <mergeCell ref="A71:V71"/>
    <mergeCell ref="G175:I175"/>
    <mergeCell ref="A137:L137"/>
    <mergeCell ref="A89:L89"/>
    <mergeCell ref="A97:V97"/>
    <mergeCell ref="D175:F175"/>
    <mergeCell ref="A62:V62"/>
    <mergeCell ref="J175:L175"/>
    <mergeCell ref="A4:V4"/>
    <mergeCell ref="A26:L26"/>
    <mergeCell ref="A175:C175"/>
    <mergeCell ref="A165:V165"/>
    <mergeCell ref="A28:V28"/>
    <mergeCell ref="A155:V15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54"/>
  <sheetViews>
    <sheetView zoomScaleNormal="100" workbookViewId="0">
      <selection activeCell="K30" sqref="K30"/>
    </sheetView>
  </sheetViews>
  <sheetFormatPr defaultColWidth="8.85546875" defaultRowHeight="15" x14ac:dyDescent="0.25"/>
  <cols>
    <col min="1" max="1" width="20" customWidth="1"/>
    <col min="2" max="4" width="8" customWidth="1"/>
    <col min="5" max="5" width="25" customWidth="1"/>
    <col min="6" max="7" width="12" customWidth="1"/>
    <col min="8" max="12" width="14" customWidth="1"/>
    <col min="14" max="14" width="10.42578125" customWidth="1"/>
    <col min="15" max="15" width="8" customWidth="1"/>
    <col min="16" max="16" width="28" customWidth="1"/>
    <col min="17" max="18" width="10.42578125" customWidth="1"/>
    <col min="19" max="19" width="15.140625" customWidth="1"/>
    <col min="20" max="20" width="16.28515625" customWidth="1"/>
    <col min="21" max="21" width="12.85546875" customWidth="1"/>
    <col min="22" max="22" width="15.140625" customWidth="1"/>
    <col min="23" max="23" width="11.7109375" customWidth="1"/>
    <col min="24" max="24" width="15.140625" customWidth="1"/>
    <col min="25" max="25" width="16.28515625" customWidth="1"/>
    <col min="26" max="26" width="12.85546875" customWidth="1"/>
    <col min="27" max="27" width="42" customWidth="1"/>
    <col min="28" max="28" width="16.28515625" customWidth="1"/>
    <col min="29" max="29" width="42" customWidth="1"/>
  </cols>
  <sheetData>
    <row r="1" spans="1:29" ht="21.75" customHeight="1" x14ac:dyDescent="0.25">
      <c r="A1" s="801" t="s">
        <v>1240</v>
      </c>
      <c r="B1" s="798"/>
      <c r="C1" s="798"/>
      <c r="D1" s="798"/>
      <c r="E1" s="798"/>
      <c r="F1" s="798"/>
      <c r="G1" s="798"/>
      <c r="H1" s="798"/>
      <c r="I1" s="798"/>
      <c r="J1" s="798"/>
      <c r="K1" s="798"/>
      <c r="L1" s="798"/>
      <c r="P1" s="837" t="s">
        <v>1241</v>
      </c>
      <c r="Q1" s="838"/>
      <c r="R1" s="838"/>
      <c r="S1" s="838"/>
      <c r="T1" s="838"/>
      <c r="U1" s="838"/>
      <c r="V1" s="838"/>
      <c r="W1" s="838"/>
      <c r="X1" s="838"/>
      <c r="Y1" s="838"/>
      <c r="Z1" s="838"/>
      <c r="AA1" s="839"/>
      <c r="AB1" s="440"/>
      <c r="AC1" s="441"/>
    </row>
    <row r="2" spans="1:29" ht="15.75" customHeight="1" x14ac:dyDescent="0.25">
      <c r="A2" s="806" t="s">
        <v>1242</v>
      </c>
      <c r="B2" s="798"/>
      <c r="C2" s="798"/>
      <c r="D2" s="798"/>
      <c r="E2" s="798"/>
      <c r="F2" s="798"/>
      <c r="G2" s="798"/>
      <c r="H2" s="798"/>
      <c r="I2" s="798"/>
      <c r="J2" s="798"/>
      <c r="K2" s="798"/>
      <c r="L2" s="798"/>
      <c r="N2" s="442" t="s">
        <v>1243</v>
      </c>
      <c r="O2" s="443" t="s">
        <v>1244</v>
      </c>
      <c r="P2" s="444" t="s">
        <v>1161</v>
      </c>
      <c r="Q2" s="445" t="s">
        <v>1245</v>
      </c>
      <c r="R2" s="446" t="s">
        <v>6</v>
      </c>
      <c r="S2" s="840" t="s">
        <v>1246</v>
      </c>
      <c r="T2" s="832"/>
      <c r="U2" s="833"/>
      <c r="V2" s="840" t="s">
        <v>1247</v>
      </c>
      <c r="W2" s="832"/>
      <c r="X2" s="832"/>
      <c r="Y2" s="832"/>
      <c r="Z2" s="833"/>
      <c r="AA2" s="448" t="s">
        <v>113</v>
      </c>
      <c r="AB2" s="27"/>
      <c r="AC2" s="449"/>
    </row>
    <row r="3" spans="1:29" ht="15.75" customHeight="1" x14ac:dyDescent="0.25">
      <c r="A3" s="450" t="s">
        <v>1248</v>
      </c>
      <c r="E3" s="451">
        <f>'Prop Info'!B2</f>
        <v>0</v>
      </c>
      <c r="F3" s="452">
        <f>Scenarios!F38</f>
        <v>0</v>
      </c>
      <c r="G3" s="452">
        <f>Scenarios!F38</f>
        <v>0</v>
      </c>
      <c r="H3" s="452">
        <f>Scenarios!F38</f>
        <v>0</v>
      </c>
      <c r="P3" s="444" t="s">
        <v>1249</v>
      </c>
      <c r="Q3" s="445" t="s">
        <v>1245</v>
      </c>
      <c r="R3" s="446" t="s">
        <v>6</v>
      </c>
      <c r="S3" s="447" t="s">
        <v>1250</v>
      </c>
      <c r="T3" s="453" t="s">
        <v>1251</v>
      </c>
      <c r="U3" s="454" t="s">
        <v>1252</v>
      </c>
      <c r="V3" s="447" t="s">
        <v>1253</v>
      </c>
      <c r="W3" s="453" t="s">
        <v>1254</v>
      </c>
      <c r="X3" s="453" t="s">
        <v>1255</v>
      </c>
      <c r="Y3" s="453" t="s">
        <v>1251</v>
      </c>
      <c r="Z3" s="445" t="s">
        <v>1252</v>
      </c>
      <c r="AA3" s="448" t="s">
        <v>113</v>
      </c>
      <c r="AB3" s="27"/>
      <c r="AC3" s="449"/>
    </row>
    <row r="4" spans="1:29" ht="18" customHeight="1" x14ac:dyDescent="0.25">
      <c r="P4" s="844" t="s">
        <v>1256</v>
      </c>
      <c r="Q4" s="845"/>
      <c r="R4" s="845"/>
      <c r="S4" s="845"/>
      <c r="T4" s="845"/>
      <c r="U4" s="845"/>
      <c r="V4" s="845"/>
      <c r="W4" s="845"/>
      <c r="X4" s="845"/>
      <c r="Y4" s="845"/>
      <c r="Z4" s="845"/>
      <c r="AA4" s="846"/>
      <c r="AB4" s="455"/>
      <c r="AC4" s="456"/>
    </row>
    <row r="5" spans="1:29" ht="15.75" customHeight="1" x14ac:dyDescent="0.25">
      <c r="A5" s="801" t="s">
        <v>1257</v>
      </c>
      <c r="B5" s="798"/>
      <c r="C5" s="798"/>
      <c r="D5" s="798"/>
      <c r="E5" s="798"/>
      <c r="F5" s="798"/>
      <c r="G5" s="798"/>
      <c r="H5" s="798"/>
      <c r="I5" s="798"/>
      <c r="J5" s="798"/>
      <c r="K5" s="798"/>
      <c r="L5" s="798"/>
      <c r="P5" s="457" t="s">
        <v>1258</v>
      </c>
      <c r="Q5" s="458">
        <f>IFERROR(AVERAGEIFS('Rent Roll Analysis'!T:T,'Rent Roll Analysis'!Y:Y,"IL|Studio",'Rent Roll Analysis'!T:T,"&gt;0"),0)</f>
        <v>0</v>
      </c>
      <c r="R5" s="459">
        <f>COUNTIF('Rent Roll Analysis'!Y:Y,"IL|Studio")</f>
        <v>0</v>
      </c>
      <c r="S5" s="460">
        <f>IFERROR(IF($O$2="Max",_xlfn.MAXIFS('Rent Roll Analysis'!I:I,'Rent Roll Analysis'!X:X,"IL|Studio"),AVERAGEIFS('Rent Roll Analysis'!I:I,'Rent Roll Analysis'!X:X,"IL|Studio",'Rent Roll Analysis'!I:I,"&gt;0")),0)</f>
        <v>0</v>
      </c>
      <c r="T5" s="461">
        <f>IFERROR(S5*R5,0)</f>
        <v>0</v>
      </c>
      <c r="U5" s="462">
        <f>IFERROR(S5/Q5,0)</f>
        <v>0</v>
      </c>
      <c r="V5" s="463">
        <f>IFERROR(H19,0)</f>
        <v>0</v>
      </c>
      <c r="W5" s="464" t="str">
        <f>IFERROR(V5/S5-1,"")</f>
        <v/>
      </c>
      <c r="X5" s="461">
        <f>IFERROR(V5-S5,"")</f>
        <v>0</v>
      </c>
      <c r="Y5" s="461">
        <f>IFERROR(V5*R5,0)</f>
        <v>0</v>
      </c>
      <c r="Z5" s="465">
        <f>IFERROR(V5/Q5,0)</f>
        <v>0</v>
      </c>
      <c r="AA5" s="466"/>
      <c r="AB5" s="467"/>
      <c r="AC5" s="468"/>
    </row>
    <row r="6" spans="1:29" ht="15.75" customHeight="1" x14ac:dyDescent="0.25">
      <c r="A6" s="27" t="s">
        <v>1259</v>
      </c>
      <c r="B6" s="27" t="s">
        <v>1260</v>
      </c>
      <c r="C6" s="27" t="s">
        <v>1261</v>
      </c>
      <c r="D6" s="27" t="s">
        <v>1249</v>
      </c>
      <c r="E6" s="27" t="s">
        <v>4</v>
      </c>
      <c r="F6" s="27" t="s">
        <v>1262</v>
      </c>
      <c r="G6" s="27" t="s">
        <v>1263</v>
      </c>
      <c r="H6" s="27" t="s">
        <v>1264</v>
      </c>
      <c r="I6" s="27" t="s">
        <v>933</v>
      </c>
      <c r="J6" s="27" t="s">
        <v>1245</v>
      </c>
      <c r="K6" s="27" t="s">
        <v>1265</v>
      </c>
      <c r="L6" s="27" t="s">
        <v>113</v>
      </c>
      <c r="P6" s="469" t="s">
        <v>1266</v>
      </c>
      <c r="Q6" s="470">
        <f>IFERROR(AVERAGEIFS('Rent Roll Analysis'!T:T,'Rent Roll Analysis'!Y:Y,"IL|1 Bedroom",'Rent Roll Analysis'!T:T,"&gt;0"),0)</f>
        <v>0</v>
      </c>
      <c r="R6" s="471">
        <f>COUNTIF('Rent Roll Analysis'!Y:Y,"IL|1 Bedroom")</f>
        <v>0</v>
      </c>
      <c r="S6" s="472">
        <f>IFERROR(IF($O$2="Max",_xlfn.MAXIFS('Rent Roll Analysis'!I:I,'Rent Roll Analysis'!X:X,"IL|1 Bedroom"),AVERAGEIFS('Rent Roll Analysis'!I:I,'Rent Roll Analysis'!X:X,"IL|1 Bedroom",'Rent Roll Analysis'!I:I,"&gt;0")),0)</f>
        <v>0</v>
      </c>
      <c r="T6" s="473">
        <f>IFERROR(S6*R6,0)</f>
        <v>0</v>
      </c>
      <c r="U6" s="474">
        <f>IFERROR(S6/Q6,0)</f>
        <v>0</v>
      </c>
      <c r="V6" s="475">
        <f>IFERROR(H19,0)</f>
        <v>0</v>
      </c>
      <c r="W6" s="476" t="str">
        <f>IFERROR(V6/S6-1,"")</f>
        <v/>
      </c>
      <c r="X6" s="473">
        <f>IFERROR(V6-S6,"")</f>
        <v>0</v>
      </c>
      <c r="Y6" s="473">
        <f>IFERROR(V6*R6,0)</f>
        <v>0</v>
      </c>
      <c r="Z6" s="477">
        <f>IFERROR(V6/Q6,0)</f>
        <v>0</v>
      </c>
      <c r="AA6" s="478"/>
      <c r="AB6" s="479"/>
      <c r="AC6" s="480"/>
    </row>
    <row r="7" spans="1:29" ht="15.75" customHeight="1" x14ac:dyDescent="0.25">
      <c r="A7" s="481"/>
      <c r="B7" s="481"/>
      <c r="C7" s="481"/>
      <c r="D7" s="482"/>
      <c r="E7" s="483"/>
      <c r="F7" s="315"/>
      <c r="G7" s="315"/>
      <c r="H7" s="254">
        <f t="shared" ref="H7:H18" si="0">IFERROR(F7+G7,0)</f>
        <v>0</v>
      </c>
      <c r="I7" s="484"/>
      <c r="J7" s="481"/>
      <c r="K7" s="343">
        <f t="shared" ref="K7:K18" si="1">IFERROR(F7/J7,0)</f>
        <v>0</v>
      </c>
      <c r="L7" s="483"/>
      <c r="P7" s="469" t="s">
        <v>1267</v>
      </c>
      <c r="Q7" s="470">
        <f>IFERROR(AVERAGEIFS('Rent Roll Analysis'!T:T,'Rent Roll Analysis'!Y:Y,"IL|2 Bedroom",'Rent Roll Analysis'!T:T,"&gt;0"),0)</f>
        <v>0</v>
      </c>
      <c r="R7" s="471">
        <f>COUNTIF('Rent Roll Analysis'!Y:Y,"IL|2 Bedroom")</f>
        <v>0</v>
      </c>
      <c r="S7" s="472">
        <f>IFERROR(IF($O$2="Max",_xlfn.MAXIFS('Rent Roll Analysis'!I:I,'Rent Roll Analysis'!X:X,"IL|2 Bedroom"),AVERAGEIFS('Rent Roll Analysis'!I:I,'Rent Roll Analysis'!X:X,"IL|2 Bedroom",'Rent Roll Analysis'!I:I,"&gt;0")),0)</f>
        <v>0</v>
      </c>
      <c r="T7" s="473">
        <f>IFERROR(S7*R7,0)</f>
        <v>0</v>
      </c>
      <c r="U7" s="474">
        <f>IFERROR(S7/Q7,0)</f>
        <v>0</v>
      </c>
      <c r="V7" s="475">
        <f>IFERROR(H19,0)</f>
        <v>0</v>
      </c>
      <c r="W7" s="476" t="str">
        <f>IFERROR(V7/S7-1,"")</f>
        <v/>
      </c>
      <c r="X7" s="473">
        <f>IFERROR(V7-S7,"")</f>
        <v>0</v>
      </c>
      <c r="Y7" s="473">
        <f>IFERROR(V7*R7,0)</f>
        <v>0</v>
      </c>
      <c r="Z7" s="477">
        <f>IFERROR(V7/Q7,0)</f>
        <v>0</v>
      </c>
      <c r="AA7" s="478"/>
      <c r="AB7" s="479"/>
      <c r="AC7" s="480"/>
    </row>
    <row r="8" spans="1:29" ht="18" customHeight="1" x14ac:dyDescent="0.25">
      <c r="A8" s="485"/>
      <c r="B8" s="485"/>
      <c r="C8" s="485"/>
      <c r="D8" s="486"/>
      <c r="E8" s="487"/>
      <c r="F8" s="310"/>
      <c r="G8" s="310"/>
      <c r="H8" s="255">
        <f t="shared" si="0"/>
        <v>0</v>
      </c>
      <c r="I8" s="488"/>
      <c r="J8" s="485"/>
      <c r="K8" s="348">
        <f t="shared" si="1"/>
        <v>0</v>
      </c>
      <c r="L8" s="487"/>
      <c r="P8" s="841" t="s">
        <v>1268</v>
      </c>
      <c r="Q8" s="842"/>
      <c r="R8" s="842"/>
      <c r="S8" s="842"/>
      <c r="T8" s="842"/>
      <c r="U8" s="842"/>
      <c r="V8" s="842"/>
      <c r="W8" s="842"/>
      <c r="X8" s="842"/>
      <c r="Y8" s="842"/>
      <c r="Z8" s="842"/>
      <c r="AA8" s="843"/>
      <c r="AB8" s="489"/>
      <c r="AC8" s="490"/>
    </row>
    <row r="9" spans="1:29" ht="15.75" customHeight="1" x14ac:dyDescent="0.25">
      <c r="A9" s="481"/>
      <c r="B9" s="481"/>
      <c r="C9" s="481"/>
      <c r="D9" s="482"/>
      <c r="E9" s="483"/>
      <c r="F9" s="315"/>
      <c r="G9" s="315"/>
      <c r="H9" s="254">
        <f t="shared" si="0"/>
        <v>0</v>
      </c>
      <c r="I9" s="484"/>
      <c r="J9" s="481"/>
      <c r="K9" s="343">
        <f t="shared" si="1"/>
        <v>0</v>
      </c>
      <c r="L9" s="483"/>
      <c r="P9" s="469" t="s">
        <v>1269</v>
      </c>
      <c r="Q9" s="470">
        <f>IFERROR(AVERAGEIFS('Rent Roll Analysis'!T:T,'Rent Roll Analysis'!Y:Y,"AL|Studio",'Rent Roll Analysis'!T:T,"&gt;0"),0)</f>
        <v>0</v>
      </c>
      <c r="R9" s="471">
        <f>COUNTIF('Rent Roll Analysis'!Y:Y,"AL|Studio")</f>
        <v>0</v>
      </c>
      <c r="S9" s="472">
        <f>IFERROR(IF($O$2="Max",_xlfn.MAXIFS('Rent Roll Analysis'!I:I,'Rent Roll Analysis'!X:X,"AL|Studio"),AVERAGEIFS('Rent Roll Analysis'!I:I,'Rent Roll Analysis'!X:X,"AL|Studio",'Rent Roll Analysis'!I:I,"&gt;0")),0)</f>
        <v>0</v>
      </c>
      <c r="T9" s="473">
        <f>IFERROR(S9*R9,0)</f>
        <v>0</v>
      </c>
      <c r="U9" s="474">
        <f>IFERROR(S9/Q9,0)</f>
        <v>0</v>
      </c>
      <c r="V9" s="475">
        <f>IFERROR(H36,0)</f>
        <v>0</v>
      </c>
      <c r="W9" s="476" t="str">
        <f>IFERROR(V9/S9-1,"")</f>
        <v/>
      </c>
      <c r="X9" s="473">
        <f>IFERROR(V9-S9,"")</f>
        <v>0</v>
      </c>
      <c r="Y9" s="473">
        <f>IFERROR(V9*R9,0)</f>
        <v>0</v>
      </c>
      <c r="Z9" s="477">
        <f>IFERROR(V9/Q9,0)</f>
        <v>0</v>
      </c>
      <c r="AA9" s="478"/>
      <c r="AB9" s="479"/>
      <c r="AC9" s="480"/>
    </row>
    <row r="10" spans="1:29" ht="15.75" customHeight="1" x14ac:dyDescent="0.25">
      <c r="A10" s="485"/>
      <c r="B10" s="485"/>
      <c r="C10" s="485"/>
      <c r="D10" s="486"/>
      <c r="E10" s="487"/>
      <c r="F10" s="310"/>
      <c r="G10" s="310"/>
      <c r="H10" s="255">
        <f t="shared" si="0"/>
        <v>0</v>
      </c>
      <c r="I10" s="488"/>
      <c r="J10" s="485"/>
      <c r="K10" s="348">
        <f t="shared" si="1"/>
        <v>0</v>
      </c>
      <c r="L10" s="487"/>
      <c r="P10" s="469" t="s">
        <v>1270</v>
      </c>
      <c r="Q10" s="470">
        <f>IFERROR(AVERAGEIFS('Rent Roll Analysis'!T:T,'Rent Roll Analysis'!Y:Y,"AL|Semi-Private",'Rent Roll Analysis'!T:T,"&gt;0"),0)</f>
        <v>0</v>
      </c>
      <c r="R10" s="471">
        <f>COUNTIF('Rent Roll Analysis'!Y:Y,"AL|Semi-Private")</f>
        <v>0</v>
      </c>
      <c r="S10" s="472">
        <f>IFERROR(IF($O$2="Max",_xlfn.MAXIFS('Rent Roll Analysis'!I:I,'Rent Roll Analysis'!X:X,"AL|Semi-Private"),AVERAGEIFS('Rent Roll Analysis'!I:I,'Rent Roll Analysis'!X:X,"AL|Semi-Private",'Rent Roll Analysis'!I:I,"&gt;0")),0)</f>
        <v>0</v>
      </c>
      <c r="T10" s="473">
        <f>IFERROR(S10*R10,0)</f>
        <v>0</v>
      </c>
      <c r="U10" s="474">
        <f>IFERROR(S10/Q10,0)</f>
        <v>0</v>
      </c>
      <c r="V10" s="475">
        <f>IFERROR(H36,0)</f>
        <v>0</v>
      </c>
      <c r="W10" s="476" t="str">
        <f>IFERROR(V10/S10-1,"")</f>
        <v/>
      </c>
      <c r="X10" s="473">
        <f>IFERROR(V10-S10,"")</f>
        <v>0</v>
      </c>
      <c r="Y10" s="473">
        <f>IFERROR(V10*R10,0)</f>
        <v>0</v>
      </c>
      <c r="Z10" s="477">
        <f>IFERROR(V10/Q10,0)</f>
        <v>0</v>
      </c>
      <c r="AA10" s="478"/>
      <c r="AB10" s="479"/>
      <c r="AC10" s="480"/>
    </row>
    <row r="11" spans="1:29" ht="15.75" customHeight="1" x14ac:dyDescent="0.25">
      <c r="A11" s="481"/>
      <c r="B11" s="481"/>
      <c r="C11" s="481"/>
      <c r="D11" s="482"/>
      <c r="E11" s="483"/>
      <c r="F11" s="315"/>
      <c r="G11" s="315"/>
      <c r="H11" s="254">
        <f t="shared" si="0"/>
        <v>0</v>
      </c>
      <c r="I11" s="484"/>
      <c r="J11" s="481"/>
      <c r="K11" s="343">
        <f t="shared" si="1"/>
        <v>0</v>
      </c>
      <c r="L11" s="483"/>
      <c r="P11" s="469" t="s">
        <v>1271</v>
      </c>
      <c r="Q11" s="470">
        <f>IFERROR(AVERAGEIFS('Rent Roll Analysis'!T:T,'Rent Roll Analysis'!Y:Y,"AL|1 Bedroom",'Rent Roll Analysis'!T:T,"&gt;0"),0)</f>
        <v>0</v>
      </c>
      <c r="R11" s="471">
        <f>COUNTIF('Rent Roll Analysis'!Y:Y,"AL|1 Bedroom")</f>
        <v>0</v>
      </c>
      <c r="S11" s="472">
        <f>IFERROR(IF($O$2="Max",_xlfn.MAXIFS('Rent Roll Analysis'!I:I,'Rent Roll Analysis'!X:X,"AL|1 Bedroom"),AVERAGEIFS('Rent Roll Analysis'!I:I,'Rent Roll Analysis'!X:X,"AL|1 Bedroom",'Rent Roll Analysis'!I:I,"&gt;0")),0)</f>
        <v>0</v>
      </c>
      <c r="T11" s="473">
        <f>IFERROR(S11*R11,0)</f>
        <v>0</v>
      </c>
      <c r="U11" s="474">
        <f>IFERROR(S11/Q11,0)</f>
        <v>0</v>
      </c>
      <c r="V11" s="475">
        <f>IFERROR(H36,0)</f>
        <v>0</v>
      </c>
      <c r="W11" s="476" t="str">
        <f>IFERROR(V11/S11-1,"")</f>
        <v/>
      </c>
      <c r="X11" s="473">
        <f>IFERROR(V11-S11,"")</f>
        <v>0</v>
      </c>
      <c r="Y11" s="473">
        <f>IFERROR(V11*R11,0)</f>
        <v>0</v>
      </c>
      <c r="Z11" s="477">
        <f>IFERROR(V11/Q11,0)</f>
        <v>0</v>
      </c>
      <c r="AA11" s="478"/>
      <c r="AB11" s="479"/>
      <c r="AC11" s="480"/>
    </row>
    <row r="12" spans="1:29" ht="18" customHeight="1" x14ac:dyDescent="0.25">
      <c r="A12" s="485"/>
      <c r="B12" s="485"/>
      <c r="C12" s="485"/>
      <c r="D12" s="486"/>
      <c r="E12" s="487"/>
      <c r="F12" s="310"/>
      <c r="G12" s="310"/>
      <c r="H12" s="255">
        <f t="shared" si="0"/>
        <v>0</v>
      </c>
      <c r="I12" s="488"/>
      <c r="J12" s="485"/>
      <c r="K12" s="348">
        <f t="shared" si="1"/>
        <v>0</v>
      </c>
      <c r="L12" s="487"/>
      <c r="P12" s="841" t="s">
        <v>1272</v>
      </c>
      <c r="Q12" s="842"/>
      <c r="R12" s="842"/>
      <c r="S12" s="842"/>
      <c r="T12" s="842"/>
      <c r="U12" s="842"/>
      <c r="V12" s="842"/>
      <c r="W12" s="842"/>
      <c r="X12" s="842"/>
      <c r="Y12" s="842"/>
      <c r="Z12" s="842"/>
      <c r="AA12" s="843"/>
      <c r="AB12" s="489"/>
      <c r="AC12" s="490"/>
    </row>
    <row r="13" spans="1:29" ht="15.75" customHeight="1" x14ac:dyDescent="0.25">
      <c r="A13" s="481"/>
      <c r="B13" s="481"/>
      <c r="C13" s="481"/>
      <c r="D13" s="482"/>
      <c r="E13" s="483"/>
      <c r="F13" s="315"/>
      <c r="G13" s="315"/>
      <c r="H13" s="254">
        <f t="shared" si="0"/>
        <v>0</v>
      </c>
      <c r="I13" s="484"/>
      <c r="J13" s="481"/>
      <c r="K13" s="343">
        <f t="shared" si="1"/>
        <v>0</v>
      </c>
      <c r="L13" s="483"/>
      <c r="P13" s="469" t="s">
        <v>1273</v>
      </c>
      <c r="Q13" s="470">
        <f>IFERROR(AVERAGEIFS('Rent Roll Analysis'!T:T,'Rent Roll Analysis'!Y:Y,"MC|Studio",'Rent Roll Analysis'!T:T,"&gt;0"),0)</f>
        <v>0</v>
      </c>
      <c r="R13" s="471">
        <f>COUNTIF('Rent Roll Analysis'!Y:Y,"MC|Studio")</f>
        <v>0</v>
      </c>
      <c r="S13" s="472">
        <f>IFERROR(IF($O$2="Max",_xlfn.MAXIFS('Rent Roll Analysis'!I:I,'Rent Roll Analysis'!X:X,"MC|Studio"),AVERAGEIFS('Rent Roll Analysis'!I:I,'Rent Roll Analysis'!X:X,"MC|Studio",'Rent Roll Analysis'!I:I,"&gt;0")),0)</f>
        <v>0</v>
      </c>
      <c r="T13" s="473">
        <f>IFERROR(S13*R13,0)</f>
        <v>0</v>
      </c>
      <c r="U13" s="474">
        <f>IFERROR(S13/Q13,0)</f>
        <v>0</v>
      </c>
      <c r="V13" s="475">
        <f>IFERROR(H53,0)</f>
        <v>0</v>
      </c>
      <c r="W13" s="476" t="str">
        <f>IFERROR(V13/S13-1,"")</f>
        <v/>
      </c>
      <c r="X13" s="473">
        <f>IFERROR(V13-S13,"")</f>
        <v>0</v>
      </c>
      <c r="Y13" s="473">
        <f>IFERROR(V13*R13,0)</f>
        <v>0</v>
      </c>
      <c r="Z13" s="477">
        <f>IFERROR(V13/Q13,0)</f>
        <v>0</v>
      </c>
      <c r="AA13" s="478"/>
      <c r="AB13" s="479"/>
      <c r="AC13" s="480"/>
    </row>
    <row r="14" spans="1:29" ht="15.75" customHeight="1" x14ac:dyDescent="0.25">
      <c r="A14" s="485"/>
      <c r="B14" s="485"/>
      <c r="C14" s="485"/>
      <c r="D14" s="486"/>
      <c r="E14" s="487"/>
      <c r="F14" s="310"/>
      <c r="G14" s="310"/>
      <c r="H14" s="255">
        <f t="shared" si="0"/>
        <v>0</v>
      </c>
      <c r="I14" s="488"/>
      <c r="J14" s="485"/>
      <c r="K14" s="348">
        <f t="shared" si="1"/>
        <v>0</v>
      </c>
      <c r="L14" s="487"/>
      <c r="P14" s="469" t="s">
        <v>1274</v>
      </c>
      <c r="Q14" s="470">
        <f>IFERROR(AVERAGEIFS('Rent Roll Analysis'!T:T,'Rent Roll Analysis'!Y:Y,"MC|Semi-Private",'Rent Roll Analysis'!T:T,"&gt;0"),0)</f>
        <v>0</v>
      </c>
      <c r="R14" s="471">
        <f>COUNTIF('Rent Roll Analysis'!Y:Y,"MC|Semi-Private")</f>
        <v>0</v>
      </c>
      <c r="S14" s="472">
        <f>IFERROR(IF($O$2="Max",_xlfn.MAXIFS('Rent Roll Analysis'!I:I,'Rent Roll Analysis'!X:X,"MC|Semi-Private"),AVERAGEIFS('Rent Roll Analysis'!I:I,'Rent Roll Analysis'!X:X,"MC|Semi-Private",'Rent Roll Analysis'!I:I,"&gt;0")),0)</f>
        <v>0</v>
      </c>
      <c r="T14" s="473">
        <f>IFERROR(S14*R14,0)</f>
        <v>0</v>
      </c>
      <c r="U14" s="474">
        <f>IFERROR(S14/Q14,0)</f>
        <v>0</v>
      </c>
      <c r="V14" s="475">
        <f>IFERROR(H53,0)</f>
        <v>0</v>
      </c>
      <c r="W14" s="476" t="str">
        <f>IFERROR(V14/S14-1,"")</f>
        <v/>
      </c>
      <c r="X14" s="473">
        <f>IFERROR(V14-S14,"")</f>
        <v>0</v>
      </c>
      <c r="Y14" s="473">
        <f>IFERROR(V14*R14,0)</f>
        <v>0</v>
      </c>
      <c r="Z14" s="477">
        <f>IFERROR(V14/Q14,0)</f>
        <v>0</v>
      </c>
      <c r="AA14" s="478"/>
      <c r="AB14" s="479"/>
      <c r="AC14" s="480"/>
    </row>
    <row r="15" spans="1:29" ht="15.75" customHeight="1" x14ac:dyDescent="0.25">
      <c r="A15" s="481"/>
      <c r="B15" s="481"/>
      <c r="C15" s="481"/>
      <c r="D15" s="482"/>
      <c r="E15" s="483"/>
      <c r="F15" s="315"/>
      <c r="G15" s="315"/>
      <c r="H15" s="254">
        <f t="shared" si="0"/>
        <v>0</v>
      </c>
      <c r="I15" s="484"/>
      <c r="J15" s="481"/>
      <c r="K15" s="343">
        <f t="shared" si="1"/>
        <v>0</v>
      </c>
      <c r="L15" s="483"/>
      <c r="P15" s="469" t="s">
        <v>1275</v>
      </c>
      <c r="Q15" s="470">
        <f>IFERROR(AVERAGEIFS('Rent Roll Analysis'!$T$224:$T$623,'Rent Roll Analysis'!$Y$224:$Y$623,"&lt;&gt;",'Rent Roll Analysis'!$Y$224:$Y$623,"&lt;&gt;IL|Studio",'Rent Roll Analysis'!$Y$224:$Y$623,"&lt;&gt;IL|1 Bedroom",'Rent Roll Analysis'!$Y$224:$Y$623,"&lt;&gt;IL|2 Bedroom",'Rent Roll Analysis'!$Y$224:$Y$623,"&lt;&gt;AL|Studio",'Rent Roll Analysis'!$Y$224:$Y$623,"&lt;&gt;AL|Semi-Private",'Rent Roll Analysis'!$Y$224:$Y$623,"&lt;&gt;AL|1 Bedroom",'Rent Roll Analysis'!$Y$224:$Y$623,"&lt;&gt;MC|Studio",'Rent Roll Analysis'!$Y$224:$Y$623,"&lt;&gt;MC|Semi-Private",'Rent Roll Analysis'!$T$224:$T$623,"&gt;0"),0)</f>
        <v>0</v>
      </c>
      <c r="R15" s="471">
        <f>COUNTIF('Rent Roll Analysis'!$Y$224:$Y$623,"?*")-R5-R6-R7-R9-R10-R11-R13-R14</f>
        <v>0</v>
      </c>
      <c r="S15" s="472">
        <f>IFERROR(IF($O$2="Max",_xlfn.MAXIFS('Rent Roll Analysis'!$I$224:$I$623,'Rent Roll Analysis'!$X$224:$X$623,"&lt;&gt;",'Rent Roll Analysis'!$X$224:$X$623,"&lt;&gt;IL|Studio",'Rent Roll Analysis'!$X$224:$X$623,"&lt;&gt;IL|1 Bedroom",'Rent Roll Analysis'!$X$224:$X$623,"&lt;&gt;IL|2 Bedroom",'Rent Roll Analysis'!$X$224:$X$623,"&lt;&gt;AL|Studio",'Rent Roll Analysis'!$X$224:$X$623,"&lt;&gt;AL|Semi-Private",'Rent Roll Analysis'!$X$224:$X$623,"&lt;&gt;AL|1 Bedroom",'Rent Roll Analysis'!$X$224:$X$623,"&lt;&gt;MC|Studio",'Rent Roll Analysis'!$X$224:$X$623,"&lt;&gt;MC|Semi-Private"),AVERAGEIFS('Rent Roll Analysis'!$I$224:$I$623,'Rent Roll Analysis'!$X$224:$X$623,"&lt;&gt;",'Rent Roll Analysis'!$X$224:$X$623,"&lt;&gt;IL|Studio",'Rent Roll Analysis'!$X$224:$X$623,"&lt;&gt;IL|1 Bedroom",'Rent Roll Analysis'!$X$224:$X$623,"&lt;&gt;IL|2 Bedroom",'Rent Roll Analysis'!$X$224:$X$623,"&lt;&gt;AL|Studio",'Rent Roll Analysis'!$X$224:$X$623,"&lt;&gt;AL|Semi-Private",'Rent Roll Analysis'!$X$224:$X$623,"&lt;&gt;AL|1 Bedroom",'Rent Roll Analysis'!$X$224:$X$623,"&lt;&gt;MC|Studio",'Rent Roll Analysis'!$X$224:$X$623,"&lt;&gt;MC|Semi-Private",'Rent Roll Analysis'!$I$224:$I$623,"&gt;0")),0)</f>
        <v>0</v>
      </c>
      <c r="T15" s="473">
        <f>IFERROR(S15*R15,0)</f>
        <v>0</v>
      </c>
      <c r="U15" s="474">
        <f>IFERROR(S15/Q15,0)</f>
        <v>0</v>
      </c>
      <c r="V15" s="475">
        <f>IFERROR(AVERAGE(H19,H36,H53),0)</f>
        <v>0</v>
      </c>
      <c r="W15" s="476" t="str">
        <f>IFERROR(V15/S15-1,"")</f>
        <v/>
      </c>
      <c r="X15" s="473">
        <f>IFERROR(V15-S15,"")</f>
        <v>0</v>
      </c>
      <c r="Y15" s="473">
        <f>IFERROR(V15*R15,0)</f>
        <v>0</v>
      </c>
      <c r="Z15" s="477">
        <f>IFERROR(V15/Q15,0)</f>
        <v>0</v>
      </c>
      <c r="AA15" s="478"/>
      <c r="AB15" s="479"/>
      <c r="AC15" s="480"/>
    </row>
    <row r="16" spans="1:29" ht="18" customHeight="1" x14ac:dyDescent="0.25">
      <c r="A16" s="485"/>
      <c r="B16" s="485"/>
      <c r="C16" s="485"/>
      <c r="D16" s="486"/>
      <c r="E16" s="487"/>
      <c r="F16" s="310"/>
      <c r="G16" s="310"/>
      <c r="H16" s="255">
        <f t="shared" si="0"/>
        <v>0</v>
      </c>
      <c r="I16" s="488"/>
      <c r="J16" s="485"/>
      <c r="K16" s="348">
        <f t="shared" si="1"/>
        <v>0</v>
      </c>
      <c r="L16" s="487"/>
      <c r="P16" s="491" t="s">
        <v>1276</v>
      </c>
      <c r="Q16" s="492">
        <f>IFERROR((Q5*R5+Q6*R6+Q7*R7+Q9*R9+Q10*R10+Q11*R11+Q13*R13+Q14*R14+Q15*R15)/(R5+R6+R7+R9+R10+R11+R13+R14+R15),0)</f>
        <v>0</v>
      </c>
      <c r="R16" s="493">
        <f>IFERROR(R5+R6+R7+R9+R10+R11+R13+R14+R15,0)</f>
        <v>0</v>
      </c>
      <c r="S16" s="494">
        <f>IFERROR((R5*S5+R6*S6+R7*S7+R9*S9+R10*S10+R11*S11+R13*S13+R14*S14+R15*S15)/(R5+R6+R7+R9+R10+R11+R13+R14+R15),0)</f>
        <v>0</v>
      </c>
      <c r="T16" s="495">
        <f>IFERROR(T5+T6+T7+T9+T10+T11+T13+T14+T15,0)</f>
        <v>0</v>
      </c>
      <c r="U16" s="496">
        <f>IFERROR(T16/Q16,0)</f>
        <v>0</v>
      </c>
      <c r="V16" s="494">
        <f>IFERROR((R5*V5+R6*V6+R7*V7+R9*V9+R10*V10+R11*V11+R13*V13+R14*V14+R15*V15)/(R5+R6+R7+R9+R10+R11+R13+R14+R15),0)</f>
        <v>0</v>
      </c>
      <c r="W16" s="497" t="str">
        <f>IFERROR(V16/S16-1,"")</f>
        <v/>
      </c>
      <c r="X16" s="495">
        <f>IFERROR(V16-S16,"")</f>
        <v>0</v>
      </c>
      <c r="Y16" s="495">
        <f>IFERROR(Y5+Y6+Y7+Y9+Y10+Y11+Y13+Y14+Y15,0)</f>
        <v>0</v>
      </c>
      <c r="Z16" s="498">
        <f>IFERROR(Y16/Q16,0)</f>
        <v>0</v>
      </c>
      <c r="AA16" s="499"/>
      <c r="AB16" s="500"/>
      <c r="AC16" s="501"/>
    </row>
    <row r="17" spans="1:29" ht="21.75" customHeight="1" x14ac:dyDescent="0.25">
      <c r="A17" s="481"/>
      <c r="B17" s="481"/>
      <c r="C17" s="481"/>
      <c r="D17" s="482"/>
      <c r="E17" s="483"/>
      <c r="F17" s="315"/>
      <c r="G17" s="315"/>
      <c r="H17" s="254">
        <f t="shared" si="0"/>
        <v>0</v>
      </c>
      <c r="I17" s="484"/>
      <c r="J17" s="481"/>
      <c r="K17" s="343">
        <f t="shared" si="1"/>
        <v>0</v>
      </c>
      <c r="L17" s="483"/>
      <c r="P17" s="502" t="s">
        <v>1277</v>
      </c>
      <c r="Q17" s="503"/>
      <c r="R17" s="504"/>
      <c r="S17" s="503"/>
      <c r="T17" s="503"/>
      <c r="U17" s="505"/>
      <c r="V17" s="503"/>
      <c r="W17" s="503"/>
      <c r="X17" s="503"/>
      <c r="Y17" s="503"/>
      <c r="Z17" s="503"/>
      <c r="AA17" s="506"/>
      <c r="AB17" s="503"/>
      <c r="AC17" s="505"/>
    </row>
    <row r="18" spans="1:29" ht="18" customHeight="1" x14ac:dyDescent="0.25">
      <c r="A18" s="485"/>
      <c r="B18" s="485"/>
      <c r="C18" s="485"/>
      <c r="D18" s="486"/>
      <c r="E18" s="487"/>
      <c r="F18" s="310"/>
      <c r="G18" s="310"/>
      <c r="H18" s="255">
        <f t="shared" si="0"/>
        <v>0</v>
      </c>
      <c r="I18" s="488"/>
      <c r="J18" s="485"/>
      <c r="K18" s="348">
        <f t="shared" si="1"/>
        <v>0</v>
      </c>
      <c r="L18" s="487"/>
      <c r="P18" s="507" t="s">
        <v>1278</v>
      </c>
      <c r="Q18" s="508"/>
      <c r="R18" s="509"/>
      <c r="S18" s="508"/>
      <c r="T18" s="508"/>
      <c r="U18" s="510"/>
      <c r="V18" s="508"/>
      <c r="W18" s="508"/>
      <c r="X18" s="508"/>
      <c r="Y18" s="508"/>
      <c r="Z18" s="508"/>
      <c r="AA18" s="511"/>
      <c r="AB18" s="508"/>
      <c r="AC18" s="510"/>
    </row>
    <row r="19" spans="1:29" ht="15.75" customHeight="1" x14ac:dyDescent="0.25">
      <c r="A19" s="251" t="s">
        <v>1279</v>
      </c>
      <c r="F19" s="222">
        <f>IFERROR(AVERAGEIF(F7:F18,"&gt;"&amp;0),0)</f>
        <v>0</v>
      </c>
      <c r="G19" s="222">
        <f>IFERROR(AVERAGEIF(G7:G18,"&gt;"&amp;0),0)</f>
        <v>0</v>
      </c>
      <c r="H19" s="222">
        <f>IFERROR(AVERAGEIF(H7:H18,"&gt;"&amp;0),0)</f>
        <v>0</v>
      </c>
      <c r="I19" s="258">
        <f>IFERROR(AVERAGEIF(I7:I18,"&gt;"&amp;0),0)</f>
        <v>0</v>
      </c>
      <c r="P19" s="512" t="s">
        <v>1280</v>
      </c>
      <c r="Q19" s="513"/>
      <c r="R19" s="514"/>
      <c r="S19" s="515"/>
      <c r="T19" s="516">
        <f>IFERROR(S19*R19,0)</f>
        <v>0</v>
      </c>
      <c r="U19" s="517">
        <f>IFERROR(S19/Q19,0)</f>
        <v>0</v>
      </c>
      <c r="V19" s="518">
        <f>IFERROR(H19,0)</f>
        <v>0</v>
      </c>
      <c r="W19" s="519" t="str">
        <f>IFERROR(V19/S19-1,"")</f>
        <v/>
      </c>
      <c r="X19" s="516">
        <f>IFERROR(V19-S19,"")</f>
        <v>0</v>
      </c>
      <c r="Y19" s="516">
        <f>IFERROR(V19*R19,0)</f>
        <v>0</v>
      </c>
      <c r="Z19" s="520">
        <f>IFERROR(V19/Q19,0)</f>
        <v>0</v>
      </c>
      <c r="AA19" s="521"/>
      <c r="AB19" s="479"/>
      <c r="AC19" s="480"/>
    </row>
    <row r="20" spans="1:29" ht="15.75" customHeight="1" x14ac:dyDescent="0.25">
      <c r="A20" s="522" t="s">
        <v>1281</v>
      </c>
      <c r="F20" s="452">
        <f>Scenarios!F38-F19</f>
        <v>0</v>
      </c>
      <c r="P20" s="512" t="s">
        <v>1282</v>
      </c>
      <c r="Q20" s="513"/>
      <c r="R20" s="514"/>
      <c r="S20" s="515"/>
      <c r="T20" s="516">
        <f>IFERROR(S20*R20,0)</f>
        <v>0</v>
      </c>
      <c r="U20" s="517">
        <f>IFERROR(S20/Q20,0)</f>
        <v>0</v>
      </c>
      <c r="V20" s="518">
        <f>IFERROR(H19,0)</f>
        <v>0</v>
      </c>
      <c r="W20" s="519" t="str">
        <f>IFERROR(V20/S20-1,"")</f>
        <v/>
      </c>
      <c r="X20" s="516">
        <f>IFERROR(V20-S20,"")</f>
        <v>0</v>
      </c>
      <c r="Y20" s="516">
        <f>IFERROR(V20*R20,0)</f>
        <v>0</v>
      </c>
      <c r="Z20" s="520">
        <f>IFERROR(V20/Q20,0)</f>
        <v>0</v>
      </c>
      <c r="AA20" s="521"/>
      <c r="AB20" s="479"/>
      <c r="AC20" s="480"/>
    </row>
    <row r="21" spans="1:29" ht="18" customHeight="1" x14ac:dyDescent="0.25">
      <c r="P21" s="523" t="s">
        <v>1283</v>
      </c>
      <c r="Q21" s="489"/>
      <c r="R21" s="524"/>
      <c r="S21" s="489"/>
      <c r="T21" s="489"/>
      <c r="U21" s="490"/>
      <c r="V21" s="489"/>
      <c r="W21" s="489"/>
      <c r="X21" s="489"/>
      <c r="Y21" s="489"/>
      <c r="Z21" s="489"/>
      <c r="AA21" s="525"/>
      <c r="AB21" s="489"/>
      <c r="AC21" s="490"/>
    </row>
    <row r="22" spans="1:29" ht="15.75" customHeight="1" x14ac:dyDescent="0.25">
      <c r="A22" s="800" t="s">
        <v>1284</v>
      </c>
      <c r="B22" s="798"/>
      <c r="C22" s="798"/>
      <c r="D22" s="798"/>
      <c r="E22" s="798"/>
      <c r="F22" s="798"/>
      <c r="G22" s="798"/>
      <c r="H22" s="798"/>
      <c r="I22" s="798"/>
      <c r="J22" s="798"/>
      <c r="K22" s="798"/>
      <c r="L22" s="798"/>
      <c r="P22" s="512" t="s">
        <v>1280</v>
      </c>
      <c r="Q22" s="513"/>
      <c r="R22" s="514"/>
      <c r="S22" s="515"/>
      <c r="T22" s="516">
        <f>IFERROR(S22*R22,0)</f>
        <v>0</v>
      </c>
      <c r="U22" s="517">
        <f>IFERROR(S22/Q22,0)</f>
        <v>0</v>
      </c>
      <c r="V22" s="518">
        <f>IFERROR(H36,0)</f>
        <v>0</v>
      </c>
      <c r="W22" s="519" t="str">
        <f>IFERROR(V22/S22-1,"")</f>
        <v/>
      </c>
      <c r="X22" s="516">
        <f>IFERROR(V22-S22,"")</f>
        <v>0</v>
      </c>
      <c r="Y22" s="516">
        <f>IFERROR(V22*R22,0)</f>
        <v>0</v>
      </c>
      <c r="Z22" s="520">
        <f>IFERROR(V22/Q22,0)</f>
        <v>0</v>
      </c>
      <c r="AA22" s="521"/>
      <c r="AB22" s="479"/>
      <c r="AC22" s="480"/>
    </row>
    <row r="23" spans="1:29" ht="15.75" customHeight="1" x14ac:dyDescent="0.25">
      <c r="A23" s="14" t="s">
        <v>1259</v>
      </c>
      <c r="B23" s="14" t="s">
        <v>1260</v>
      </c>
      <c r="C23" s="14" t="s">
        <v>1261</v>
      </c>
      <c r="D23" s="14" t="s">
        <v>1249</v>
      </c>
      <c r="E23" s="14" t="s">
        <v>4</v>
      </c>
      <c r="F23" s="14" t="s">
        <v>1262</v>
      </c>
      <c r="G23" s="14" t="s">
        <v>1263</v>
      </c>
      <c r="H23" s="14" t="s">
        <v>1264</v>
      </c>
      <c r="I23" s="14" t="s">
        <v>933</v>
      </c>
      <c r="J23" s="14" t="s">
        <v>1245</v>
      </c>
      <c r="K23" s="14" t="s">
        <v>1265</v>
      </c>
      <c r="L23" s="14" t="s">
        <v>113</v>
      </c>
      <c r="P23" s="512" t="s">
        <v>1282</v>
      </c>
      <c r="Q23" s="513"/>
      <c r="R23" s="514"/>
      <c r="S23" s="515"/>
      <c r="T23" s="516">
        <f>IFERROR(S23*R23,0)</f>
        <v>0</v>
      </c>
      <c r="U23" s="517">
        <f>IFERROR(S23/Q23,0)</f>
        <v>0</v>
      </c>
      <c r="V23" s="518">
        <f>IFERROR(H36,0)</f>
        <v>0</v>
      </c>
      <c r="W23" s="519" t="str">
        <f>IFERROR(V23/S23-1,"")</f>
        <v/>
      </c>
      <c r="X23" s="516">
        <f>IFERROR(V23-S23,"")</f>
        <v>0</v>
      </c>
      <c r="Y23" s="516">
        <f>IFERROR(V23*R23,0)</f>
        <v>0</v>
      </c>
      <c r="Z23" s="520">
        <f>IFERROR(V23/Q23,0)</f>
        <v>0</v>
      </c>
      <c r="AA23" s="521"/>
      <c r="AB23" s="479"/>
      <c r="AC23" s="480"/>
    </row>
    <row r="24" spans="1:29" ht="18" customHeight="1" x14ac:dyDescent="0.25">
      <c r="A24" s="481"/>
      <c r="B24" s="481"/>
      <c r="C24" s="481"/>
      <c r="D24" s="482"/>
      <c r="E24" s="483"/>
      <c r="F24" s="315"/>
      <c r="G24" s="315"/>
      <c r="H24" s="254">
        <f t="shared" ref="H24:H35" si="2">IFERROR(F24+G24,0)</f>
        <v>0</v>
      </c>
      <c r="I24" s="484"/>
      <c r="J24" s="481"/>
      <c r="K24" s="343">
        <f t="shared" ref="K24:K35" si="3">IFERROR(F24/J24,0)</f>
        <v>0</v>
      </c>
      <c r="L24" s="483"/>
      <c r="P24" s="523" t="s">
        <v>1285</v>
      </c>
      <c r="Q24" s="489"/>
      <c r="R24" s="524"/>
      <c r="S24" s="526"/>
      <c r="T24" s="527"/>
      <c r="U24" s="528"/>
      <c r="V24" s="489"/>
      <c r="W24" s="489"/>
      <c r="X24" s="489"/>
      <c r="Y24" s="489"/>
      <c r="Z24" s="489"/>
      <c r="AA24" s="525"/>
      <c r="AB24" s="489"/>
      <c r="AC24" s="490"/>
    </row>
    <row r="25" spans="1:29" ht="15.75" customHeight="1" x14ac:dyDescent="0.25">
      <c r="A25" s="485"/>
      <c r="B25" s="485"/>
      <c r="C25" s="485"/>
      <c r="D25" s="486"/>
      <c r="E25" s="487"/>
      <c r="F25" s="310"/>
      <c r="G25" s="310"/>
      <c r="H25" s="255">
        <f t="shared" si="2"/>
        <v>0</v>
      </c>
      <c r="I25" s="488"/>
      <c r="J25" s="485"/>
      <c r="K25" s="348">
        <f t="shared" si="3"/>
        <v>0</v>
      </c>
      <c r="L25" s="487"/>
      <c r="P25" s="512" t="s">
        <v>1280</v>
      </c>
      <c r="Q25" s="513"/>
      <c r="R25" s="514"/>
      <c r="S25" s="515"/>
      <c r="T25" s="516">
        <f>IFERROR(S25*R25,0)</f>
        <v>0</v>
      </c>
      <c r="U25" s="517">
        <f>IFERROR(S25/Q25,0)</f>
        <v>0</v>
      </c>
      <c r="V25" s="518">
        <f>IFERROR(H53,0)</f>
        <v>0</v>
      </c>
      <c r="W25" s="519" t="str">
        <f>IFERROR(V25/S25-1,"")</f>
        <v/>
      </c>
      <c r="X25" s="516">
        <f>IFERROR(V25-S25,"")</f>
        <v>0</v>
      </c>
      <c r="Y25" s="516">
        <f>IFERROR(V25*R25,0)</f>
        <v>0</v>
      </c>
      <c r="Z25" s="520">
        <f>IFERROR(V25/Q25,0)</f>
        <v>0</v>
      </c>
      <c r="AA25" s="521"/>
      <c r="AB25" s="479"/>
      <c r="AC25" s="480"/>
    </row>
    <row r="26" spans="1:29" ht="18" customHeight="1" x14ac:dyDescent="0.25">
      <c r="A26" s="481"/>
      <c r="B26" s="481"/>
      <c r="C26" s="481"/>
      <c r="D26" s="482"/>
      <c r="E26" s="483"/>
      <c r="F26" s="315"/>
      <c r="G26" s="315"/>
      <c r="H26" s="254">
        <f t="shared" si="2"/>
        <v>0</v>
      </c>
      <c r="I26" s="484"/>
      <c r="J26" s="481"/>
      <c r="K26" s="343">
        <f t="shared" si="3"/>
        <v>0</v>
      </c>
      <c r="L26" s="483"/>
      <c r="P26" s="529" t="s">
        <v>1286</v>
      </c>
      <c r="Q26" s="530">
        <f t="array" ref="Q26">IFERROR(SUMPRODUCT(Q19:Q25,ABS(R19:R25))/SUMPRODUCT(ABS(R19:R25)),0)</f>
        <v>0</v>
      </c>
      <c r="R26" s="531">
        <f>SUM(R19:R25)</f>
        <v>0</v>
      </c>
      <c r="S26" s="532">
        <f t="array" ref="S26">IFERROR(SUMPRODUCT(S19:S25,ABS(R19:R25))/SUMPRODUCT(ABS(R19:R25)),0)</f>
        <v>0</v>
      </c>
      <c r="T26" s="532">
        <f>SUM(T19:T25)</f>
        <v>0</v>
      </c>
      <c r="U26" s="533">
        <f>IFERROR(T26/(Q26*R26),0)</f>
        <v>0</v>
      </c>
      <c r="V26" s="532">
        <f t="array" ref="V26">IFERROR(SUMPRODUCT(V19:V25,ABS(R19:R25))/SUMPRODUCT(ABS(R19:R25)),0)</f>
        <v>0</v>
      </c>
      <c r="W26" s="534" t="str">
        <f>IFERROR(V26/S26-1,"")</f>
        <v/>
      </c>
      <c r="X26" s="532">
        <f>IFERROR(V26-S26,"")</f>
        <v>0</v>
      </c>
      <c r="Y26" s="532">
        <f>SUM(Y19:Y25)</f>
        <v>0</v>
      </c>
      <c r="Z26" s="535">
        <f>IFERROR(Y26/(Q26*R26),0)</f>
        <v>0</v>
      </c>
      <c r="AA26" s="536"/>
      <c r="AB26" s="537"/>
      <c r="AC26" s="538"/>
    </row>
    <row r="27" spans="1:29" ht="19.5" customHeight="1" x14ac:dyDescent="0.25">
      <c r="A27" s="485"/>
      <c r="B27" s="485"/>
      <c r="C27" s="485"/>
      <c r="D27" s="486"/>
      <c r="E27" s="487"/>
      <c r="F27" s="310"/>
      <c r="G27" s="310"/>
      <c r="H27" s="255">
        <f t="shared" si="2"/>
        <v>0</v>
      </c>
      <c r="I27" s="488"/>
      <c r="J27" s="485"/>
      <c r="K27" s="348">
        <f t="shared" si="3"/>
        <v>0</v>
      </c>
      <c r="L27" s="487"/>
      <c r="P27" s="539" t="s">
        <v>1287</v>
      </c>
      <c r="Q27" s="540">
        <f>IFERROR((Q16*R16+Q26*R26)/(R16+R26),0)</f>
        <v>0</v>
      </c>
      <c r="R27" s="541">
        <f>R16+R26</f>
        <v>0</v>
      </c>
      <c r="S27" s="542">
        <f>IFERROR((S16*R16+S26*R26)/(R16+R26),0)</f>
        <v>0</v>
      </c>
      <c r="T27" s="542">
        <f>T16+T26</f>
        <v>0</v>
      </c>
      <c r="U27" s="543">
        <f>IFERROR(T27/(Q27*R27),0)</f>
        <v>0</v>
      </c>
      <c r="V27" s="542">
        <f>IFERROR((V16*R16+V26*R26)/(R16+R26),0)</f>
        <v>0</v>
      </c>
      <c r="W27" s="544" t="str">
        <f>IFERROR(V27/S27-1,"")</f>
        <v/>
      </c>
      <c r="X27" s="542">
        <f>IFERROR(V27-S27,"")</f>
        <v>0</v>
      </c>
      <c r="Y27" s="542">
        <f>Y16+Y26</f>
        <v>0</v>
      </c>
      <c r="Z27" s="545">
        <f>IFERROR(Y27/(Q27*R27),0)</f>
        <v>0</v>
      </c>
      <c r="AA27" s="546"/>
      <c r="AB27" s="547"/>
      <c r="AC27" s="548"/>
    </row>
    <row r="28" spans="1:29" ht="7.5" customHeight="1" x14ac:dyDescent="0.25">
      <c r="A28" s="481"/>
      <c r="B28" s="481"/>
      <c r="C28" s="481"/>
      <c r="D28" s="482"/>
      <c r="E28" s="483"/>
      <c r="F28" s="315"/>
      <c r="G28" s="315"/>
      <c r="H28" s="254">
        <f t="shared" si="2"/>
        <v>0</v>
      </c>
      <c r="I28" s="484"/>
      <c r="J28" s="481"/>
      <c r="K28" s="343">
        <f t="shared" si="3"/>
        <v>0</v>
      </c>
      <c r="L28" s="483"/>
      <c r="P28" s="320"/>
      <c r="Q28" s="320"/>
      <c r="R28" s="320"/>
      <c r="S28" s="320"/>
      <c r="T28" s="320"/>
      <c r="U28" s="320"/>
      <c r="V28" s="320"/>
      <c r="W28" s="320"/>
      <c r="X28" s="320"/>
      <c r="Y28" s="320"/>
      <c r="Z28" s="320"/>
      <c r="AA28" s="320"/>
      <c r="AB28" s="320"/>
      <c r="AC28" s="320"/>
    </row>
    <row r="29" spans="1:29" ht="21.75" customHeight="1" x14ac:dyDescent="0.25">
      <c r="A29" s="485"/>
      <c r="B29" s="485"/>
      <c r="C29" s="485"/>
      <c r="D29" s="486"/>
      <c r="E29" s="487"/>
      <c r="F29" s="310"/>
      <c r="G29" s="310"/>
      <c r="H29" s="255">
        <f t="shared" si="2"/>
        <v>0</v>
      </c>
      <c r="I29" s="488"/>
      <c r="J29" s="485"/>
      <c r="K29" s="348">
        <f t="shared" si="3"/>
        <v>0</v>
      </c>
      <c r="L29" s="487"/>
      <c r="P29" s="549" t="s">
        <v>1288</v>
      </c>
      <c r="Q29" s="550" t="s">
        <v>1289</v>
      </c>
      <c r="R29" s="550"/>
      <c r="S29" s="551"/>
      <c r="T29" s="550"/>
      <c r="U29" s="550"/>
      <c r="V29" s="551"/>
      <c r="W29" s="550"/>
      <c r="X29" s="550"/>
      <c r="Y29" s="551"/>
      <c r="Z29" s="550"/>
      <c r="AA29" s="550"/>
      <c r="AB29" s="551"/>
      <c r="AC29" s="552"/>
    </row>
    <row r="30" spans="1:29" ht="19.5" customHeight="1" x14ac:dyDescent="0.25">
      <c r="A30" s="481"/>
      <c r="B30" s="481"/>
      <c r="C30" s="481"/>
      <c r="D30" s="482"/>
      <c r="E30" s="483"/>
      <c r="F30" s="315"/>
      <c r="G30" s="315"/>
      <c r="H30" s="254">
        <f t="shared" si="2"/>
        <v>0</v>
      </c>
      <c r="I30" s="484"/>
      <c r="J30" s="481"/>
      <c r="K30" s="343">
        <f t="shared" si="3"/>
        <v>0</v>
      </c>
      <c r="L30" s="483"/>
      <c r="P30" s="553"/>
      <c r="S30" s="554" t="s">
        <v>1290</v>
      </c>
      <c r="V30" s="554" t="s">
        <v>1291</v>
      </c>
      <c r="Y30" s="554" t="s">
        <v>1292</v>
      </c>
      <c r="AB30" s="554" t="s">
        <v>446</v>
      </c>
      <c r="AC30" s="555"/>
    </row>
    <row r="31" spans="1:29" ht="16.5" customHeight="1" x14ac:dyDescent="0.25">
      <c r="A31" s="485"/>
      <c r="B31" s="485"/>
      <c r="C31" s="485"/>
      <c r="D31" s="486"/>
      <c r="E31" s="487"/>
      <c r="F31" s="310"/>
      <c r="G31" s="310"/>
      <c r="H31" s="255">
        <f t="shared" si="2"/>
        <v>0</v>
      </c>
      <c r="I31" s="488"/>
      <c r="J31" s="485"/>
      <c r="K31" s="348">
        <f t="shared" si="3"/>
        <v>0</v>
      </c>
      <c r="L31" s="487"/>
      <c r="P31" s="556" t="s">
        <v>1293</v>
      </c>
      <c r="Q31" s="557"/>
      <c r="R31" s="557"/>
      <c r="S31" s="558">
        <f>IFERROR(T16,0)</f>
        <v>0</v>
      </c>
      <c r="T31" s="557"/>
      <c r="U31" s="557"/>
      <c r="V31" s="558">
        <f>IFERROR(Y16,0)</f>
        <v>0</v>
      </c>
      <c r="W31" s="557"/>
      <c r="X31" s="557"/>
      <c r="Y31" s="558">
        <f>IFERROR(T27,0)</f>
        <v>0</v>
      </c>
      <c r="Z31" s="557"/>
      <c r="AA31" s="557" t="s">
        <v>1294</v>
      </c>
      <c r="AB31" s="558">
        <f>IFERROR('T-12 Analysis'!N83/12,0)</f>
        <v>0</v>
      </c>
      <c r="AC31" s="559" t="s">
        <v>1295</v>
      </c>
    </row>
    <row r="32" spans="1:29" ht="16.5" customHeight="1" x14ac:dyDescent="0.25">
      <c r="A32" s="481"/>
      <c r="B32" s="481"/>
      <c r="C32" s="481"/>
      <c r="D32" s="482"/>
      <c r="E32" s="483"/>
      <c r="F32" s="315"/>
      <c r="G32" s="315"/>
      <c r="H32" s="254">
        <f t="shared" si="2"/>
        <v>0</v>
      </c>
      <c r="I32" s="484"/>
      <c r="J32" s="481"/>
      <c r="K32" s="343">
        <f t="shared" si="3"/>
        <v>0</v>
      </c>
      <c r="L32" s="483"/>
      <c r="P32" s="560" t="s">
        <v>1296</v>
      </c>
      <c r="Q32" s="479"/>
      <c r="R32" s="479"/>
      <c r="S32" s="561">
        <f>IFERROR(S31*12,0)</f>
        <v>0</v>
      </c>
      <c r="T32" s="479"/>
      <c r="U32" s="479"/>
      <c r="V32" s="561">
        <f>IFERROR(V31*12,0)</f>
        <v>0</v>
      </c>
      <c r="W32" s="479"/>
      <c r="X32" s="479"/>
      <c r="Y32" s="561">
        <f>IFERROR(Y31*12,0)</f>
        <v>0</v>
      </c>
      <c r="Z32" s="479"/>
      <c r="AA32" s="562" t="s">
        <v>1297</v>
      </c>
      <c r="AB32" s="561">
        <f>IFERROR('T-12 Analysis'!N83,0)</f>
        <v>0</v>
      </c>
      <c r="AC32" s="563" t="s">
        <v>1298</v>
      </c>
    </row>
    <row r="33" spans="1:29" ht="16.5" customHeight="1" x14ac:dyDescent="0.25">
      <c r="A33" s="485"/>
      <c r="B33" s="485"/>
      <c r="C33" s="485"/>
      <c r="D33" s="486"/>
      <c r="E33" s="487"/>
      <c r="F33" s="310"/>
      <c r="G33" s="310"/>
      <c r="H33" s="255">
        <f t="shared" si="2"/>
        <v>0</v>
      </c>
      <c r="I33" s="488"/>
      <c r="J33" s="485"/>
      <c r="K33" s="348">
        <f t="shared" si="3"/>
        <v>0</v>
      </c>
      <c r="L33" s="487"/>
      <c r="P33" s="564" t="s">
        <v>1299</v>
      </c>
      <c r="Q33" s="565"/>
      <c r="R33" s="565"/>
      <c r="S33" s="566">
        <f>IFERROR(S31/R16,0)</f>
        <v>0</v>
      </c>
      <c r="T33" s="565"/>
      <c r="U33" s="565"/>
      <c r="V33" s="566">
        <f>IFERROR(V31/R16,0)</f>
        <v>0</v>
      </c>
      <c r="W33" s="565"/>
      <c r="X33" s="565"/>
      <c r="Y33" s="566">
        <f>IFERROR(Y31/R27,0)</f>
        <v>0</v>
      </c>
      <c r="Z33" s="565"/>
      <c r="AA33" s="567" t="s">
        <v>1300</v>
      </c>
      <c r="AB33" s="566">
        <f>IFERROR('T-12 Analysis'!N83/12/'Prop Info'!B15,0)</f>
        <v>0</v>
      </c>
      <c r="AC33" s="568" t="s">
        <v>1301</v>
      </c>
    </row>
    <row r="34" spans="1:29" ht="16.5" customHeight="1" x14ac:dyDescent="0.25">
      <c r="A34" s="481"/>
      <c r="B34" s="481"/>
      <c r="C34" s="481"/>
      <c r="D34" s="482"/>
      <c r="E34" s="483"/>
      <c r="F34" s="315"/>
      <c r="G34" s="315"/>
      <c r="H34" s="254">
        <f t="shared" si="2"/>
        <v>0</v>
      </c>
      <c r="I34" s="484"/>
      <c r="J34" s="481"/>
      <c r="K34" s="343">
        <f t="shared" si="3"/>
        <v>0</v>
      </c>
      <c r="L34" s="483"/>
      <c r="P34" s="569" t="s">
        <v>1302</v>
      </c>
      <c r="Q34" s="570"/>
      <c r="R34" s="570"/>
      <c r="S34" s="571" t="s">
        <v>1303</v>
      </c>
      <c r="T34" s="570"/>
      <c r="U34" s="570"/>
      <c r="V34" s="571">
        <f>IFERROR(V31-S31,"")</f>
        <v>0</v>
      </c>
      <c r="W34" s="570"/>
      <c r="X34" s="570"/>
      <c r="Y34" s="571">
        <f>IFERROR(Y31-S31,"")</f>
        <v>0</v>
      </c>
      <c r="Z34" s="570"/>
      <c r="AA34" s="572" t="s">
        <v>1304</v>
      </c>
      <c r="AB34" s="571">
        <f>IFERROR(AB31-S31,"")</f>
        <v>0</v>
      </c>
      <c r="AC34" s="573" t="s">
        <v>1305</v>
      </c>
    </row>
    <row r="35" spans="1:29" ht="18" customHeight="1" x14ac:dyDescent="0.25">
      <c r="A35" s="485"/>
      <c r="B35" s="485"/>
      <c r="C35" s="485"/>
      <c r="D35" s="486"/>
      <c r="E35" s="487"/>
      <c r="F35" s="310"/>
      <c r="G35" s="310"/>
      <c r="H35" s="255">
        <f t="shared" si="2"/>
        <v>0</v>
      </c>
      <c r="I35" s="488"/>
      <c r="J35" s="485"/>
      <c r="K35" s="348">
        <f t="shared" si="3"/>
        <v>0</v>
      </c>
      <c r="L35" s="487"/>
    </row>
    <row r="36" spans="1:29" ht="18" customHeight="1" x14ac:dyDescent="0.25">
      <c r="A36" s="251" t="s">
        <v>1306</v>
      </c>
      <c r="F36" s="222">
        <f>IFERROR(AVERAGEIF(F24:F35,"&gt;"&amp;0),0)</f>
        <v>0</v>
      </c>
      <c r="G36" s="222">
        <f>IFERROR(AVERAGEIF(G24:G35,"&gt;"&amp;0),0)</f>
        <v>0</v>
      </c>
      <c r="H36" s="222">
        <f>IFERROR(AVERAGEIF(H24:H35,"&gt;"&amp;0),0)</f>
        <v>0</v>
      </c>
      <c r="I36" s="258">
        <f>IFERROR(AVERAGEIF(I24:I35,"&gt;"&amp;0),0)</f>
        <v>0</v>
      </c>
    </row>
    <row r="37" spans="1:29" ht="18" customHeight="1" x14ac:dyDescent="0.25">
      <c r="A37" s="522" t="s">
        <v>1307</v>
      </c>
      <c r="F37" s="452">
        <f>Scenarios!F38-F36</f>
        <v>0</v>
      </c>
    </row>
    <row r="39" spans="1:29" ht="24" customHeight="1" x14ac:dyDescent="0.25">
      <c r="A39" s="813" t="s">
        <v>1308</v>
      </c>
      <c r="B39" s="798"/>
      <c r="C39" s="798"/>
      <c r="D39" s="798"/>
      <c r="E39" s="798"/>
      <c r="F39" s="798"/>
      <c r="G39" s="798"/>
      <c r="H39" s="798"/>
      <c r="I39" s="798"/>
      <c r="J39" s="798"/>
      <c r="K39" s="798"/>
      <c r="L39" s="798"/>
    </row>
    <row r="40" spans="1:29" ht="30" customHeight="1" x14ac:dyDescent="0.25">
      <c r="A40" s="361" t="s">
        <v>1259</v>
      </c>
      <c r="B40" s="361" t="s">
        <v>1260</v>
      </c>
      <c r="C40" s="361" t="s">
        <v>1261</v>
      </c>
      <c r="D40" s="361" t="s">
        <v>1249</v>
      </c>
      <c r="E40" s="361" t="s">
        <v>4</v>
      </c>
      <c r="F40" s="361" t="s">
        <v>1262</v>
      </c>
      <c r="G40" s="361" t="s">
        <v>1263</v>
      </c>
      <c r="H40" s="361" t="s">
        <v>1264</v>
      </c>
      <c r="I40" s="361" t="s">
        <v>933</v>
      </c>
      <c r="J40" s="361" t="s">
        <v>1245</v>
      </c>
      <c r="K40" s="361" t="s">
        <v>1265</v>
      </c>
      <c r="L40" s="361" t="s">
        <v>113</v>
      </c>
    </row>
    <row r="41" spans="1:29" ht="18" customHeight="1" x14ac:dyDescent="0.25">
      <c r="A41" s="481"/>
      <c r="B41" s="481"/>
      <c r="C41" s="481"/>
      <c r="D41" s="482"/>
      <c r="E41" s="483"/>
      <c r="F41" s="315"/>
      <c r="G41" s="315"/>
      <c r="H41" s="254">
        <f t="shared" ref="H41:H52" si="4">IFERROR(F41+G41,0)</f>
        <v>0</v>
      </c>
      <c r="I41" s="484"/>
      <c r="J41" s="481"/>
      <c r="K41" s="343">
        <f t="shared" ref="K41:K52" si="5">IFERROR(F41/J41,0)</f>
        <v>0</v>
      </c>
      <c r="L41" s="483"/>
    </row>
    <row r="42" spans="1:29" ht="18" customHeight="1" x14ac:dyDescent="0.25">
      <c r="A42" s="485"/>
      <c r="B42" s="485"/>
      <c r="C42" s="485"/>
      <c r="D42" s="486"/>
      <c r="E42" s="487"/>
      <c r="F42" s="310"/>
      <c r="G42" s="310"/>
      <c r="H42" s="255">
        <f t="shared" si="4"/>
        <v>0</v>
      </c>
      <c r="I42" s="488"/>
      <c r="J42" s="485"/>
      <c r="K42" s="348">
        <f t="shared" si="5"/>
        <v>0</v>
      </c>
      <c r="L42" s="487"/>
    </row>
    <row r="43" spans="1:29" ht="18" customHeight="1" x14ac:dyDescent="0.25">
      <c r="A43" s="481"/>
      <c r="B43" s="481"/>
      <c r="C43" s="481"/>
      <c r="D43" s="482"/>
      <c r="E43" s="483"/>
      <c r="F43" s="315"/>
      <c r="G43" s="315"/>
      <c r="H43" s="254">
        <f t="shared" si="4"/>
        <v>0</v>
      </c>
      <c r="I43" s="484"/>
      <c r="J43" s="481"/>
      <c r="K43" s="343">
        <f t="shared" si="5"/>
        <v>0</v>
      </c>
      <c r="L43" s="483"/>
    </row>
    <row r="44" spans="1:29" ht="18" customHeight="1" x14ac:dyDescent="0.25">
      <c r="A44" s="485"/>
      <c r="B44" s="485"/>
      <c r="C44" s="485"/>
      <c r="D44" s="486"/>
      <c r="E44" s="487"/>
      <c r="F44" s="310"/>
      <c r="G44" s="310"/>
      <c r="H44" s="255">
        <f t="shared" si="4"/>
        <v>0</v>
      </c>
      <c r="I44" s="488"/>
      <c r="J44" s="485"/>
      <c r="K44" s="348">
        <f t="shared" si="5"/>
        <v>0</v>
      </c>
      <c r="L44" s="487"/>
    </row>
    <row r="45" spans="1:29" ht="18" customHeight="1" x14ac:dyDescent="0.25">
      <c r="A45" s="481"/>
      <c r="B45" s="481"/>
      <c r="C45" s="481"/>
      <c r="D45" s="482"/>
      <c r="E45" s="483"/>
      <c r="F45" s="315"/>
      <c r="G45" s="315"/>
      <c r="H45" s="254">
        <f t="shared" si="4"/>
        <v>0</v>
      </c>
      <c r="I45" s="484"/>
      <c r="J45" s="481"/>
      <c r="K45" s="343">
        <f t="shared" si="5"/>
        <v>0</v>
      </c>
      <c r="L45" s="483"/>
    </row>
    <row r="46" spans="1:29" ht="18" customHeight="1" x14ac:dyDescent="0.25">
      <c r="A46" s="485"/>
      <c r="B46" s="485"/>
      <c r="C46" s="485"/>
      <c r="D46" s="486"/>
      <c r="E46" s="487"/>
      <c r="F46" s="310"/>
      <c r="G46" s="310"/>
      <c r="H46" s="255">
        <f t="shared" si="4"/>
        <v>0</v>
      </c>
      <c r="I46" s="488"/>
      <c r="J46" s="485"/>
      <c r="K46" s="348">
        <f t="shared" si="5"/>
        <v>0</v>
      </c>
      <c r="L46" s="487"/>
    </row>
    <row r="47" spans="1:29" ht="18" customHeight="1" x14ac:dyDescent="0.25">
      <c r="A47" s="481"/>
      <c r="B47" s="481"/>
      <c r="C47" s="481"/>
      <c r="D47" s="482"/>
      <c r="E47" s="483"/>
      <c r="F47" s="315"/>
      <c r="G47" s="315"/>
      <c r="H47" s="254">
        <f t="shared" si="4"/>
        <v>0</v>
      </c>
      <c r="I47" s="484"/>
      <c r="J47" s="481"/>
      <c r="K47" s="343">
        <f t="shared" si="5"/>
        <v>0</v>
      </c>
      <c r="L47" s="483"/>
    </row>
    <row r="48" spans="1:29" ht="18" customHeight="1" x14ac:dyDescent="0.25">
      <c r="A48" s="485"/>
      <c r="B48" s="485"/>
      <c r="C48" s="485"/>
      <c r="D48" s="486"/>
      <c r="E48" s="487"/>
      <c r="F48" s="310"/>
      <c r="G48" s="310"/>
      <c r="H48" s="255">
        <f t="shared" si="4"/>
        <v>0</v>
      </c>
      <c r="I48" s="488"/>
      <c r="J48" s="485"/>
      <c r="K48" s="348">
        <f t="shared" si="5"/>
        <v>0</v>
      </c>
      <c r="L48" s="487"/>
    </row>
    <row r="49" spans="1:12" ht="18" customHeight="1" x14ac:dyDescent="0.25">
      <c r="A49" s="481"/>
      <c r="B49" s="481"/>
      <c r="C49" s="481"/>
      <c r="D49" s="482"/>
      <c r="E49" s="483"/>
      <c r="F49" s="315"/>
      <c r="G49" s="315"/>
      <c r="H49" s="254">
        <f t="shared" si="4"/>
        <v>0</v>
      </c>
      <c r="I49" s="484"/>
      <c r="J49" s="481"/>
      <c r="K49" s="343">
        <f t="shared" si="5"/>
        <v>0</v>
      </c>
      <c r="L49" s="483"/>
    </row>
    <row r="50" spans="1:12" ht="18" customHeight="1" x14ac:dyDescent="0.25">
      <c r="A50" s="485"/>
      <c r="B50" s="485"/>
      <c r="C50" s="485"/>
      <c r="D50" s="486"/>
      <c r="E50" s="487"/>
      <c r="F50" s="310"/>
      <c r="G50" s="310"/>
      <c r="H50" s="255">
        <f t="shared" si="4"/>
        <v>0</v>
      </c>
      <c r="I50" s="488"/>
      <c r="J50" s="485"/>
      <c r="K50" s="348">
        <f t="shared" si="5"/>
        <v>0</v>
      </c>
      <c r="L50" s="487"/>
    </row>
    <row r="51" spans="1:12" ht="18" customHeight="1" x14ac:dyDescent="0.25">
      <c r="A51" s="481"/>
      <c r="B51" s="481"/>
      <c r="C51" s="481"/>
      <c r="D51" s="482"/>
      <c r="E51" s="483"/>
      <c r="F51" s="315"/>
      <c r="G51" s="315"/>
      <c r="H51" s="254">
        <f t="shared" si="4"/>
        <v>0</v>
      </c>
      <c r="I51" s="484"/>
      <c r="J51" s="481"/>
      <c r="K51" s="343">
        <f t="shared" si="5"/>
        <v>0</v>
      </c>
      <c r="L51" s="483"/>
    </row>
    <row r="52" spans="1:12" ht="18" customHeight="1" x14ac:dyDescent="0.25">
      <c r="A52" s="485"/>
      <c r="B52" s="485"/>
      <c r="C52" s="485"/>
      <c r="D52" s="486"/>
      <c r="E52" s="487"/>
      <c r="F52" s="310"/>
      <c r="G52" s="310"/>
      <c r="H52" s="255">
        <f t="shared" si="4"/>
        <v>0</v>
      </c>
      <c r="I52" s="488"/>
      <c r="J52" s="485"/>
      <c r="K52" s="348">
        <f t="shared" si="5"/>
        <v>0</v>
      </c>
      <c r="L52" s="487"/>
    </row>
    <row r="53" spans="1:12" ht="18" customHeight="1" x14ac:dyDescent="0.25">
      <c r="A53" s="251" t="s">
        <v>1309</v>
      </c>
      <c r="F53" s="222">
        <f>IFERROR(AVERAGEIF(F41:F52,"&gt;"&amp;0),0)</f>
        <v>0</v>
      </c>
      <c r="G53" s="222">
        <f>IFERROR(AVERAGEIF(G41:G52,"&gt;"&amp;0),0)</f>
        <v>0</v>
      </c>
      <c r="H53" s="222">
        <f>IFERROR(AVERAGEIF(H41:H52,"&gt;"&amp;0),0)</f>
        <v>0</v>
      </c>
      <c r="I53" s="258">
        <f>IFERROR(AVERAGEIF(I41:I52,"&gt;"&amp;0),0)</f>
        <v>0</v>
      </c>
    </row>
    <row r="54" spans="1:12" ht="18" customHeight="1" x14ac:dyDescent="0.25">
      <c r="A54" s="522" t="s">
        <v>1310</v>
      </c>
      <c r="F54" s="452">
        <f>Scenarios!F38-F53</f>
        <v>0</v>
      </c>
    </row>
  </sheetData>
  <mergeCells count="11">
    <mergeCell ref="A22:L22"/>
    <mergeCell ref="A39:L39"/>
    <mergeCell ref="S2:U2"/>
    <mergeCell ref="P12:AA12"/>
    <mergeCell ref="P4:AA4"/>
    <mergeCell ref="A2:L2"/>
    <mergeCell ref="P1:AA1"/>
    <mergeCell ref="V2:Z2"/>
    <mergeCell ref="P8:AA8"/>
    <mergeCell ref="A1:L1"/>
    <mergeCell ref="A5:L5"/>
  </mergeCells>
  <dataValidations count="1">
    <dataValidation type="list" allowBlank="1" showInputMessage="1" showErrorMessage="1" errorTitle="Rent Basis" error="Choose Average or Max" sqref="O2" xr:uid="{00000000-0002-0000-0800-000000000000}">
      <formula1>"Average,Max"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3"/>
  <sheetViews>
    <sheetView zoomScaleNormal="100" workbookViewId="0">
      <selection activeCell="D52" sqref="D52"/>
    </sheetView>
  </sheetViews>
  <sheetFormatPr defaultColWidth="8.85546875" defaultRowHeight="15" x14ac:dyDescent="0.25"/>
  <cols>
    <col min="1" max="1" width="32" customWidth="1"/>
    <col min="2" max="2" width="10" customWidth="1"/>
    <col min="3" max="7" width="14" customWidth="1"/>
  </cols>
  <sheetData>
    <row r="1" spans="1:7" ht="24" customHeight="1" x14ac:dyDescent="0.25">
      <c r="A1" s="801" t="s">
        <v>1311</v>
      </c>
      <c r="B1" s="798"/>
      <c r="C1" s="798"/>
      <c r="D1" s="798"/>
      <c r="E1" s="798"/>
      <c r="F1" s="798"/>
      <c r="G1" s="798"/>
    </row>
    <row r="2" spans="1:7" ht="15.75" customHeight="1" x14ac:dyDescent="0.25">
      <c r="A2" s="806" t="s">
        <v>1312</v>
      </c>
      <c r="B2" s="798"/>
      <c r="C2" s="798"/>
      <c r="D2" s="798"/>
      <c r="E2" s="798"/>
      <c r="F2" s="798"/>
      <c r="G2" s="798"/>
    </row>
    <row r="3" spans="1:7" ht="30" customHeight="1" x14ac:dyDescent="0.25">
      <c r="A3" s="27" t="s">
        <v>716</v>
      </c>
      <c r="B3" s="27" t="s">
        <v>1313</v>
      </c>
      <c r="C3" s="27" t="s">
        <v>1314</v>
      </c>
      <c r="D3" s="27" t="s">
        <v>1315</v>
      </c>
      <c r="E3" s="27" t="s">
        <v>1316</v>
      </c>
      <c r="F3" s="27" t="s">
        <v>1317</v>
      </c>
      <c r="G3" s="27" t="s">
        <v>113</v>
      </c>
    </row>
    <row r="4" spans="1:7" ht="19.5" customHeight="1" x14ac:dyDescent="0.25">
      <c r="A4" s="809" t="s">
        <v>1318</v>
      </c>
      <c r="B4" s="798"/>
      <c r="C4" s="798"/>
      <c r="D4" s="798"/>
      <c r="E4" s="798"/>
      <c r="F4" s="798"/>
      <c r="G4" s="798"/>
    </row>
    <row r="5" spans="1:7" ht="18" customHeight="1" x14ac:dyDescent="0.25">
      <c r="A5" s="66" t="s">
        <v>1319</v>
      </c>
      <c r="B5" s="481"/>
      <c r="C5" s="315"/>
      <c r="D5" s="254">
        <f t="shared" ref="D5:D10" si="0">B5*C5</f>
        <v>0</v>
      </c>
      <c r="E5" s="482"/>
      <c r="F5" s="482"/>
    </row>
    <row r="6" spans="1:7" ht="18" customHeight="1" x14ac:dyDescent="0.25">
      <c r="A6" s="71" t="s">
        <v>1320</v>
      </c>
      <c r="B6" s="485"/>
      <c r="C6" s="310"/>
      <c r="D6" s="255">
        <f t="shared" si="0"/>
        <v>0</v>
      </c>
      <c r="E6" s="486"/>
      <c r="F6" s="486"/>
    </row>
    <row r="7" spans="1:7" ht="18" customHeight="1" x14ac:dyDescent="0.25">
      <c r="A7" s="66" t="s">
        <v>1321</v>
      </c>
      <c r="B7" s="481"/>
      <c r="C7" s="315"/>
      <c r="D7" s="254">
        <f t="shared" si="0"/>
        <v>0</v>
      </c>
      <c r="E7" s="482"/>
      <c r="F7" s="482"/>
    </row>
    <row r="8" spans="1:7" ht="18" customHeight="1" x14ac:dyDescent="0.25">
      <c r="A8" s="71" t="s">
        <v>1322</v>
      </c>
      <c r="B8" s="485"/>
      <c r="C8" s="310"/>
      <c r="D8" s="255">
        <f t="shared" si="0"/>
        <v>0</v>
      </c>
      <c r="E8" s="486"/>
      <c r="F8" s="486"/>
    </row>
    <row r="9" spans="1:7" ht="18" customHeight="1" x14ac:dyDescent="0.25">
      <c r="A9" s="66" t="s">
        <v>1323</v>
      </c>
      <c r="B9" s="481"/>
      <c r="C9" s="315"/>
      <c r="D9" s="254">
        <f t="shared" si="0"/>
        <v>0</v>
      </c>
      <c r="E9" s="482"/>
      <c r="F9" s="482"/>
    </row>
    <row r="10" spans="1:7" ht="18" customHeight="1" x14ac:dyDescent="0.25">
      <c r="A10" s="71" t="s">
        <v>1324</v>
      </c>
      <c r="B10" s="485"/>
      <c r="C10" s="310"/>
      <c r="D10" s="255">
        <f t="shared" si="0"/>
        <v>0</v>
      </c>
      <c r="E10" s="486"/>
      <c r="F10" s="486"/>
    </row>
    <row r="11" spans="1:7" ht="18" customHeight="1" x14ac:dyDescent="0.25">
      <c r="A11" s="250" t="s">
        <v>1325</v>
      </c>
      <c r="D11" s="260">
        <f>SUM(D5:D10)</f>
        <v>0</v>
      </c>
    </row>
    <row r="13" spans="1:7" ht="19.5" customHeight="1" x14ac:dyDescent="0.25">
      <c r="A13" s="809" t="s">
        <v>1326</v>
      </c>
      <c r="B13" s="798"/>
      <c r="C13" s="798"/>
      <c r="D13" s="798"/>
      <c r="E13" s="798"/>
      <c r="F13" s="798"/>
      <c r="G13" s="798"/>
    </row>
    <row r="14" spans="1:7" ht="18" customHeight="1" x14ac:dyDescent="0.25">
      <c r="A14" s="66" t="s">
        <v>1327</v>
      </c>
      <c r="B14" s="481">
        <v>1</v>
      </c>
      <c r="C14" s="315"/>
      <c r="D14" s="254">
        <f t="shared" ref="D14:D19" si="1">B14*C14</f>
        <v>0</v>
      </c>
      <c r="E14" s="482" t="s">
        <v>1328</v>
      </c>
      <c r="F14" s="482"/>
      <c r="G14" t="s">
        <v>1329</v>
      </c>
    </row>
    <row r="15" spans="1:7" ht="18" customHeight="1" x14ac:dyDescent="0.25">
      <c r="A15" s="71" t="s">
        <v>1330</v>
      </c>
      <c r="B15" s="485"/>
      <c r="C15" s="310"/>
      <c r="D15" s="255">
        <f t="shared" si="1"/>
        <v>0</v>
      </c>
      <c r="E15" s="486"/>
      <c r="F15" s="486"/>
      <c r="G15" t="s">
        <v>1329</v>
      </c>
    </row>
    <row r="16" spans="1:7" ht="18" customHeight="1" x14ac:dyDescent="0.25">
      <c r="A16" s="66" t="s">
        <v>1331</v>
      </c>
      <c r="B16" s="481"/>
      <c r="C16" s="315"/>
      <c r="D16" s="254">
        <f t="shared" si="1"/>
        <v>0</v>
      </c>
      <c r="E16" s="482"/>
      <c r="F16" s="482"/>
      <c r="G16" t="s">
        <v>1329</v>
      </c>
    </row>
    <row r="17" spans="1:7" ht="18" customHeight="1" x14ac:dyDescent="0.25">
      <c r="A17" s="71" t="s">
        <v>1332</v>
      </c>
      <c r="B17" s="485"/>
      <c r="C17" s="310"/>
      <c r="D17" s="255">
        <f t="shared" si="1"/>
        <v>0</v>
      </c>
      <c r="E17" s="486"/>
      <c r="F17" s="486"/>
    </row>
    <row r="18" spans="1:7" ht="18" customHeight="1" x14ac:dyDescent="0.25">
      <c r="A18" s="66" t="s">
        <v>1333</v>
      </c>
      <c r="B18" s="481"/>
      <c r="C18" s="315"/>
      <c r="D18" s="254">
        <f t="shared" si="1"/>
        <v>0</v>
      </c>
      <c r="E18" s="482"/>
      <c r="F18" s="482"/>
      <c r="G18" t="s">
        <v>1334</v>
      </c>
    </row>
    <row r="19" spans="1:7" ht="18" customHeight="1" x14ac:dyDescent="0.25">
      <c r="A19" s="71" t="s">
        <v>1335</v>
      </c>
      <c r="B19" s="485"/>
      <c r="C19" s="310"/>
      <c r="D19" s="255">
        <f t="shared" si="1"/>
        <v>0</v>
      </c>
      <c r="E19" s="486"/>
      <c r="F19" s="486"/>
    </row>
    <row r="20" spans="1:7" ht="18" customHeight="1" x14ac:dyDescent="0.25">
      <c r="A20" s="250" t="s">
        <v>1336</v>
      </c>
      <c r="D20" s="260">
        <f>SUM(D14:D19)</f>
        <v>0</v>
      </c>
    </row>
    <row r="22" spans="1:7" ht="19.5" customHeight="1" x14ac:dyDescent="0.25">
      <c r="A22" s="809" t="s">
        <v>1337</v>
      </c>
      <c r="B22" s="798"/>
      <c r="C22" s="798"/>
      <c r="D22" s="798"/>
      <c r="E22" s="798"/>
      <c r="F22" s="798"/>
      <c r="G22" s="798"/>
    </row>
    <row r="23" spans="1:7" ht="18" customHeight="1" x14ac:dyDescent="0.25">
      <c r="A23" s="66" t="s">
        <v>1338</v>
      </c>
      <c r="B23" s="481"/>
      <c r="C23" s="315"/>
      <c r="D23" s="254">
        <f t="shared" ref="D23:D28" si="2">B23*C23</f>
        <v>0</v>
      </c>
      <c r="E23" s="482"/>
      <c r="F23" s="482"/>
    </row>
    <row r="24" spans="1:7" ht="18" customHeight="1" x14ac:dyDescent="0.25">
      <c r="A24" s="71" t="s">
        <v>1339</v>
      </c>
      <c r="B24" s="485"/>
      <c r="C24" s="310"/>
      <c r="D24" s="255">
        <f t="shared" si="2"/>
        <v>0</v>
      </c>
      <c r="E24" s="486"/>
      <c r="F24" s="486"/>
    </row>
    <row r="25" spans="1:7" ht="18" customHeight="1" x14ac:dyDescent="0.25">
      <c r="A25" s="66" t="s">
        <v>1340</v>
      </c>
      <c r="B25" s="481"/>
      <c r="C25" s="315"/>
      <c r="D25" s="254">
        <f t="shared" si="2"/>
        <v>0</v>
      </c>
      <c r="E25" s="482"/>
      <c r="F25" s="482"/>
    </row>
    <row r="26" spans="1:7" ht="18" customHeight="1" x14ac:dyDescent="0.25">
      <c r="A26" s="71" t="s">
        <v>1341</v>
      </c>
      <c r="B26" s="485"/>
      <c r="C26" s="310"/>
      <c r="D26" s="255">
        <f t="shared" si="2"/>
        <v>0</v>
      </c>
      <c r="E26" s="486"/>
      <c r="F26" s="486"/>
    </row>
    <row r="27" spans="1:7" ht="18" customHeight="1" x14ac:dyDescent="0.25">
      <c r="A27" s="66" t="s">
        <v>1342</v>
      </c>
      <c r="B27" s="481"/>
      <c r="C27" s="315"/>
      <c r="D27" s="254">
        <f t="shared" si="2"/>
        <v>0</v>
      </c>
      <c r="E27" s="482"/>
      <c r="F27" s="482"/>
    </row>
    <row r="28" spans="1:7" ht="18" customHeight="1" x14ac:dyDescent="0.25">
      <c r="A28" s="71" t="s">
        <v>1343</v>
      </c>
      <c r="B28" s="485"/>
      <c r="C28" s="310"/>
      <c r="D28" s="255">
        <f t="shared" si="2"/>
        <v>0</v>
      </c>
      <c r="E28" s="486"/>
      <c r="F28" s="486"/>
    </row>
    <row r="29" spans="1:7" ht="18" customHeight="1" x14ac:dyDescent="0.25">
      <c r="A29" s="250" t="s">
        <v>1344</v>
      </c>
      <c r="D29" s="260">
        <f>SUM(D23:D28)</f>
        <v>0</v>
      </c>
    </row>
    <row r="31" spans="1:7" ht="19.5" customHeight="1" x14ac:dyDescent="0.25">
      <c r="A31" s="809" t="s">
        <v>1345</v>
      </c>
      <c r="B31" s="798"/>
      <c r="C31" s="798"/>
      <c r="D31" s="798"/>
      <c r="E31" s="798"/>
      <c r="F31" s="798"/>
      <c r="G31" s="798"/>
    </row>
    <row r="32" spans="1:7" ht="18" customHeight="1" x14ac:dyDescent="0.25">
      <c r="A32" s="66" t="s">
        <v>1346</v>
      </c>
      <c r="B32" s="481"/>
      <c r="C32" s="315"/>
      <c r="D32" s="254">
        <f t="shared" ref="D32:D37" si="3">B32*C32</f>
        <v>0</v>
      </c>
      <c r="E32" s="482"/>
      <c r="F32" s="482"/>
    </row>
    <row r="33" spans="1:7" ht="18" customHeight="1" x14ac:dyDescent="0.25">
      <c r="A33" s="71" t="s">
        <v>1347</v>
      </c>
      <c r="B33" s="485"/>
      <c r="C33" s="310"/>
      <c r="D33" s="255">
        <f t="shared" si="3"/>
        <v>0</v>
      </c>
      <c r="E33" s="486"/>
      <c r="F33" s="486"/>
    </row>
    <row r="34" spans="1:7" ht="18" customHeight="1" x14ac:dyDescent="0.25">
      <c r="A34" s="66" t="s">
        <v>1348</v>
      </c>
      <c r="B34" s="481"/>
      <c r="C34" s="315"/>
      <c r="D34" s="254">
        <f t="shared" si="3"/>
        <v>0</v>
      </c>
      <c r="E34" s="482"/>
      <c r="F34" s="482"/>
    </row>
    <row r="35" spans="1:7" ht="18" customHeight="1" x14ac:dyDescent="0.25">
      <c r="A35" s="71" t="s">
        <v>1349</v>
      </c>
      <c r="B35" s="485"/>
      <c r="C35" s="310"/>
      <c r="D35" s="255">
        <f t="shared" si="3"/>
        <v>0</v>
      </c>
      <c r="E35" s="486"/>
      <c r="F35" s="486"/>
    </row>
    <row r="36" spans="1:7" ht="18" customHeight="1" x14ac:dyDescent="0.25">
      <c r="A36" s="66" t="s">
        <v>1350</v>
      </c>
      <c r="B36" s="481"/>
      <c r="C36" s="315"/>
      <c r="D36" s="254">
        <f t="shared" si="3"/>
        <v>0</v>
      </c>
      <c r="E36" s="482"/>
      <c r="F36" s="482"/>
    </row>
    <row r="37" spans="1:7" ht="18" customHeight="1" x14ac:dyDescent="0.25">
      <c r="A37" s="71" t="s">
        <v>1351</v>
      </c>
      <c r="B37" s="485"/>
      <c r="C37" s="310"/>
      <c r="D37" s="255">
        <f t="shared" si="3"/>
        <v>0</v>
      </c>
      <c r="E37" s="486"/>
      <c r="F37" s="486"/>
    </row>
    <row r="38" spans="1:7" ht="18" customHeight="1" x14ac:dyDescent="0.25">
      <c r="A38" s="250" t="s">
        <v>1352</v>
      </c>
      <c r="D38" s="260">
        <f>SUM(D32:D37)</f>
        <v>0</v>
      </c>
    </row>
    <row r="40" spans="1:7" ht="19.5" customHeight="1" x14ac:dyDescent="0.25">
      <c r="A40" s="809" t="s">
        <v>1353</v>
      </c>
      <c r="B40" s="798"/>
      <c r="C40" s="798"/>
      <c r="D40" s="798"/>
      <c r="E40" s="798"/>
      <c r="F40" s="798"/>
      <c r="G40" s="798"/>
    </row>
    <row r="41" spans="1:7" ht="18" customHeight="1" x14ac:dyDescent="0.25">
      <c r="A41" s="66" t="s">
        <v>1354</v>
      </c>
      <c r="B41" s="481"/>
      <c r="C41" s="315"/>
      <c r="D41" s="254">
        <f>B41*C41</f>
        <v>0</v>
      </c>
      <c r="E41" s="482"/>
      <c r="F41" s="482"/>
    </row>
    <row r="42" spans="1:7" ht="18" customHeight="1" x14ac:dyDescent="0.25">
      <c r="A42" s="71" t="s">
        <v>1355</v>
      </c>
      <c r="B42" s="485"/>
      <c r="C42" s="310"/>
      <c r="D42" s="255">
        <f>B42*C42</f>
        <v>0</v>
      </c>
      <c r="E42" s="486"/>
      <c r="F42" s="486"/>
    </row>
    <row r="43" spans="1:7" ht="18" customHeight="1" x14ac:dyDescent="0.25">
      <c r="A43" s="66" t="s">
        <v>1356</v>
      </c>
      <c r="B43" s="481"/>
      <c r="C43" s="315"/>
      <c r="D43" s="254">
        <f>B43*C43</f>
        <v>0</v>
      </c>
      <c r="E43" s="482"/>
      <c r="F43" s="482"/>
    </row>
    <row r="44" spans="1:7" ht="18" customHeight="1" x14ac:dyDescent="0.25">
      <c r="A44" s="71" t="s">
        <v>1357</v>
      </c>
      <c r="B44" s="485"/>
      <c r="C44" s="310"/>
      <c r="D44" s="255">
        <f>B44*C44</f>
        <v>0</v>
      </c>
      <c r="E44" s="486"/>
      <c r="F44" s="486"/>
    </row>
    <row r="45" spans="1:7" ht="18" customHeight="1" x14ac:dyDescent="0.25">
      <c r="A45" s="250" t="s">
        <v>1358</v>
      </c>
      <c r="D45" s="260">
        <f>SUM(D41:D44)</f>
        <v>0</v>
      </c>
    </row>
    <row r="47" spans="1:7" ht="19.5" customHeight="1" x14ac:dyDescent="0.25">
      <c r="A47" s="809" t="s">
        <v>1359</v>
      </c>
      <c r="B47" s="798"/>
      <c r="C47" s="798"/>
      <c r="D47" s="798"/>
      <c r="E47" s="798"/>
      <c r="F47" s="798"/>
      <c r="G47" s="798"/>
    </row>
    <row r="48" spans="1:7" ht="18" customHeight="1" x14ac:dyDescent="0.25">
      <c r="A48" s="66" t="s">
        <v>1360</v>
      </c>
      <c r="B48" s="481"/>
      <c r="D48" s="254">
        <f>(D11+D20+D29+D38+D45)*0.1</f>
        <v>0</v>
      </c>
      <c r="E48" s="482"/>
      <c r="F48" s="482"/>
    </row>
    <row r="49" spans="1:4" ht="18" customHeight="1" x14ac:dyDescent="0.25">
      <c r="A49" s="250" t="s">
        <v>1361</v>
      </c>
      <c r="D49" s="260">
        <f>SUM(D48)</f>
        <v>0</v>
      </c>
    </row>
    <row r="51" spans="1:4" ht="18" customHeight="1" x14ac:dyDescent="0.25">
      <c r="A51" s="33" t="s">
        <v>1362</v>
      </c>
      <c r="D51" s="321">
        <f>SUM(D11,D20,D29,D38,D45,D49)</f>
        <v>0</v>
      </c>
    </row>
    <row r="52" spans="1:4" ht="18" customHeight="1" x14ac:dyDescent="0.25">
      <c r="A52" s="574" t="s">
        <v>1363</v>
      </c>
      <c r="D52" s="575">
        <f>SUMIF(E4:E50,"VA",D4:D50)</f>
        <v>0</v>
      </c>
    </row>
    <row r="53" spans="1:4" ht="18" customHeight="1" x14ac:dyDescent="0.25">
      <c r="A53" s="1" t="s">
        <v>1364</v>
      </c>
      <c r="D53" s="254">
        <f>SUMIF(E4:E50,"M",D4:D50)</f>
        <v>0</v>
      </c>
    </row>
  </sheetData>
  <mergeCells count="8">
    <mergeCell ref="A47:G47"/>
    <mergeCell ref="A13:G13"/>
    <mergeCell ref="A1:G1"/>
    <mergeCell ref="A40:G40"/>
    <mergeCell ref="A31:G31"/>
    <mergeCell ref="A22:G22"/>
    <mergeCell ref="A4:G4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zoomScale="120" zoomScaleNormal="120" workbookViewId="0">
      <selection activeCell="H5" sqref="H5"/>
    </sheetView>
  </sheetViews>
  <sheetFormatPr defaultColWidth="8.85546875" defaultRowHeight="15" x14ac:dyDescent="0.25"/>
  <cols>
    <col min="1" max="1" width="40" customWidth="1"/>
    <col min="2" max="2" width="12.42578125" customWidth="1"/>
    <col min="3" max="3" width="20.85546875" customWidth="1"/>
    <col min="4" max="4" width="3" customWidth="1"/>
    <col min="5" max="5" width="40" customWidth="1"/>
    <col min="6" max="6" width="12.42578125" customWidth="1"/>
    <col min="7" max="7" width="20.85546875" customWidth="1"/>
    <col min="8" max="8" width="12.42578125" customWidth="1"/>
    <col min="9" max="11" width="6" customWidth="1"/>
  </cols>
  <sheetData>
    <row r="1" spans="1:11" ht="24" customHeight="1" x14ac:dyDescent="0.25">
      <c r="A1" s="812" t="s">
        <v>1365</v>
      </c>
      <c r="B1" s="798"/>
      <c r="C1" s="798"/>
      <c r="D1" s="59"/>
      <c r="E1" s="59"/>
      <c r="F1" s="59"/>
      <c r="G1" s="59"/>
      <c r="H1" s="59"/>
    </row>
    <row r="2" spans="1:11" ht="6" customHeight="1" x14ac:dyDescent="0.25">
      <c r="A2" s="244"/>
      <c r="B2" s="576"/>
      <c r="C2" s="576"/>
      <c r="D2" s="576"/>
      <c r="E2" s="576"/>
      <c r="F2" s="576"/>
      <c r="G2" s="576"/>
      <c r="H2" s="576"/>
    </row>
    <row r="3" spans="1:11" ht="6" customHeight="1" x14ac:dyDescent="0.25">
      <c r="A3" s="576"/>
      <c r="B3" s="576"/>
      <c r="C3" s="576"/>
      <c r="D3" s="576"/>
      <c r="E3" s="576"/>
      <c r="F3" s="576"/>
      <c r="G3" s="576"/>
      <c r="H3" s="576"/>
    </row>
    <row r="4" spans="1:11" ht="19.5" customHeight="1" x14ac:dyDescent="0.25">
      <c r="A4" s="65" t="str">
        <f>IF(ISNUMBER(C5),"Refi - Year "&amp;C5,"Refinance (set Refi Year below)")</f>
        <v>Refinance (set Refi Year below)</v>
      </c>
      <c r="B4" s="65"/>
      <c r="C4" s="65"/>
      <c r="D4" s="576"/>
      <c r="E4" s="387" t="str">
        <f>IF(ISNUMBER(Scenarios!F135),"Sale - Year "&amp;Scenarios!F135,"Sale (set Exit Year in Scenarios)")</f>
        <v>Sale - Year 0</v>
      </c>
      <c r="F4" s="387"/>
      <c r="G4" s="387"/>
      <c r="H4" s="387"/>
      <c r="I4" s="577"/>
      <c r="J4" s="320"/>
      <c r="K4" s="578"/>
    </row>
    <row r="5" spans="1:11" ht="15.75" customHeight="1" x14ac:dyDescent="0.25">
      <c r="A5" s="6" t="s">
        <v>1366</v>
      </c>
      <c r="B5" s="164"/>
      <c r="C5" s="579" t="s">
        <v>1367</v>
      </c>
      <c r="D5" s="576"/>
      <c r="E5" s="6" t="s">
        <v>1368</v>
      </c>
      <c r="F5" s="580"/>
      <c r="G5" s="255">
        <f>IFERROR(INDEX('P&amp;L'!D97:M97,1,Scenarios!F135),0)</f>
        <v>0</v>
      </c>
      <c r="H5" s="164"/>
      <c r="I5" s="6"/>
      <c r="J5" s="6"/>
      <c r="K5" s="581"/>
    </row>
    <row r="6" spans="1:11" ht="15.75" customHeight="1" x14ac:dyDescent="0.25">
      <c r="A6" s="325" t="s">
        <v>1368</v>
      </c>
      <c r="B6" s="168"/>
      <c r="C6" s="582">
        <f>IFERROR(IF(ISNUMBER(C5),_xlfn.SINGLE(INDEX('P&amp;L'!D97:M97,1,C5)),0),0)</f>
        <v>0</v>
      </c>
      <c r="D6" s="576"/>
      <c r="E6" s="325" t="s">
        <v>1369</v>
      </c>
      <c r="F6" s="583"/>
      <c r="G6" s="584">
        <f>Scenarios!F136</f>
        <v>0</v>
      </c>
      <c r="H6" s="168"/>
      <c r="I6" s="6"/>
      <c r="J6" s="6"/>
      <c r="K6" s="585"/>
    </row>
    <row r="7" spans="1:11" ht="15.75" customHeight="1" x14ac:dyDescent="0.25">
      <c r="A7" s="6" t="s">
        <v>1370</v>
      </c>
      <c r="B7" s="164"/>
      <c r="C7" s="586">
        <v>0.06</v>
      </c>
      <c r="D7" s="576"/>
      <c r="E7" s="6" t="s">
        <v>1371</v>
      </c>
      <c r="F7" s="587"/>
      <c r="G7" s="255">
        <f>SUM('Acquisition Costs'!D35:D36)</f>
        <v>0</v>
      </c>
      <c r="H7" s="164"/>
      <c r="I7" s="6"/>
      <c r="J7" s="6"/>
      <c r="K7" s="588"/>
    </row>
    <row r="8" spans="1:11" ht="15.75" customHeight="1" x14ac:dyDescent="0.25">
      <c r="A8" s="589" t="s">
        <v>1372</v>
      </c>
      <c r="B8" s="173"/>
      <c r="C8" s="260">
        <f>IFERROR(C6/C7,0)</f>
        <v>0</v>
      </c>
      <c r="D8" s="576"/>
      <c r="E8" s="325" t="s">
        <v>1373</v>
      </c>
      <c r="F8" s="583"/>
      <c r="G8" s="254">
        <f>IFERROR(INDEX('P&amp;L'!D108:M108,1,Scenarios!F135),0)</f>
        <v>0</v>
      </c>
      <c r="H8" s="590"/>
      <c r="I8" s="591" t="s">
        <v>1374</v>
      </c>
      <c r="J8" s="592"/>
      <c r="K8" s="581"/>
    </row>
    <row r="9" spans="1:11" ht="15.75" customHeight="1" x14ac:dyDescent="0.25">
      <c r="A9" s="6" t="s">
        <v>1375</v>
      </c>
      <c r="B9" s="164"/>
      <c r="C9" s="586">
        <v>0.75</v>
      </c>
      <c r="D9" s="576"/>
      <c r="E9" s="589" t="s">
        <v>1376</v>
      </c>
      <c r="F9" s="593"/>
      <c r="G9" s="260">
        <f>IFERROR(G5/G6,0)</f>
        <v>0</v>
      </c>
      <c r="H9" s="173"/>
      <c r="I9" s="6"/>
      <c r="J9" s="6"/>
      <c r="K9" s="594"/>
    </row>
    <row r="10" spans="1:11" ht="15.75" customHeight="1" x14ac:dyDescent="0.25">
      <c r="A10" s="325" t="s">
        <v>1377</v>
      </c>
      <c r="B10" s="168"/>
      <c r="C10" s="316">
        <v>7.0000000000000007E-2</v>
      </c>
      <c r="D10" s="576"/>
      <c r="E10" s="325" t="s">
        <v>1378</v>
      </c>
      <c r="F10" s="595">
        <v>0.03</v>
      </c>
      <c r="G10" s="254">
        <f>-G9*F10</f>
        <v>0</v>
      </c>
      <c r="H10" s="168"/>
      <c r="I10" s="6"/>
      <c r="J10" s="596"/>
      <c r="K10" s="597"/>
    </row>
    <row r="11" spans="1:11" ht="15.75" customHeight="1" x14ac:dyDescent="0.25">
      <c r="A11" s="6" t="s">
        <v>1379</v>
      </c>
      <c r="B11" s="164"/>
      <c r="C11" s="579">
        <v>30</v>
      </c>
      <c r="D11" s="576"/>
      <c r="E11" s="6" t="s">
        <v>1380</v>
      </c>
      <c r="F11" s="598"/>
      <c r="G11" s="255">
        <f>-(IFERROR(INDEX(Loans!J43:S43,1,Scenarios!F135),0))</f>
        <v>0</v>
      </c>
      <c r="H11" s="164"/>
      <c r="I11" s="6"/>
      <c r="J11" s="6"/>
      <c r="K11" s="597"/>
    </row>
    <row r="12" spans="1:11" ht="15.75" customHeight="1" x14ac:dyDescent="0.25">
      <c r="A12" s="589" t="s">
        <v>1381</v>
      </c>
      <c r="B12" s="173"/>
      <c r="C12" s="599">
        <f>IFERROR(C8*C9,0)</f>
        <v>0</v>
      </c>
      <c r="D12" s="576"/>
      <c r="E12" s="589" t="s">
        <v>1382</v>
      </c>
      <c r="F12" s="600"/>
      <c r="G12" s="260">
        <f>G9+G10+G11+G7+G8</f>
        <v>0</v>
      </c>
      <c r="H12" s="173"/>
      <c r="I12" s="6"/>
      <c r="J12" s="6"/>
      <c r="K12" s="594"/>
    </row>
    <row r="13" spans="1:11" ht="15.75" customHeight="1" x14ac:dyDescent="0.25">
      <c r="A13" s="6" t="s">
        <v>1383</v>
      </c>
      <c r="B13" s="601">
        <v>0.02</v>
      </c>
      <c r="C13" s="256">
        <f>-C12*B13</f>
        <v>0</v>
      </c>
      <c r="D13" s="576"/>
      <c r="E13" s="6" t="s">
        <v>1384</v>
      </c>
      <c r="F13" s="598"/>
      <c r="G13" s="255">
        <f>Scenarios!F33+Scenarios!F34</f>
        <v>0</v>
      </c>
      <c r="H13" s="164"/>
      <c r="I13" s="6"/>
      <c r="J13" s="6"/>
      <c r="K13" s="581"/>
    </row>
    <row r="14" spans="1:11" ht="15.75" customHeight="1" x14ac:dyDescent="0.25">
      <c r="A14" s="325" t="s">
        <v>1385</v>
      </c>
      <c r="B14" s="168"/>
      <c r="C14" s="582">
        <v>0</v>
      </c>
      <c r="D14" s="576"/>
      <c r="E14" s="325" t="s">
        <v>1386</v>
      </c>
      <c r="F14" s="583"/>
      <c r="G14" s="254">
        <f>IFERROR(MAX((Waterfall!M39+Waterfall!M41)-(Waterfall!M40+Waterfall!M42),0),0)</f>
        <v>0</v>
      </c>
      <c r="H14" s="168"/>
      <c r="I14" s="6"/>
      <c r="J14" s="6"/>
      <c r="K14" s="581"/>
    </row>
    <row r="15" spans="1:11" ht="15.75" customHeight="1" x14ac:dyDescent="0.25">
      <c r="A15" s="6" t="s">
        <v>1387</v>
      </c>
      <c r="B15" s="598"/>
      <c r="C15" s="256">
        <f>-(IFERROR(INDEX(Loans!J43:S43,1,C5),0))</f>
        <v>0</v>
      </c>
      <c r="D15" s="576"/>
      <c r="E15" s="589" t="s">
        <v>1388</v>
      </c>
      <c r="F15" s="600"/>
      <c r="G15" s="260">
        <f>G12-G13-G14</f>
        <v>0</v>
      </c>
      <c r="H15" s="173"/>
      <c r="I15" s="6"/>
      <c r="J15" s="6"/>
      <c r="K15" s="594"/>
    </row>
    <row r="16" spans="1:11" ht="15.75" customHeight="1" x14ac:dyDescent="0.25">
      <c r="A16" s="589" t="s">
        <v>1389</v>
      </c>
      <c r="B16" s="173"/>
      <c r="C16" s="599">
        <f>IFERROR(C12+C13+C14+C15,0)</f>
        <v>0</v>
      </c>
      <c r="D16" s="576"/>
      <c r="E16" s="325" t="s">
        <v>1390</v>
      </c>
      <c r="F16" s="583"/>
      <c r="G16" s="254">
        <f>IFERROR(Scenarios!F141-INDEX(Loans!J43:S43,1,Scenarios!F135),0)</f>
        <v>0</v>
      </c>
      <c r="H16" s="168"/>
      <c r="I16" s="6"/>
      <c r="J16" s="6"/>
      <c r="K16" s="602"/>
    </row>
    <row r="17" spans="1:11" ht="15.75" customHeight="1" x14ac:dyDescent="0.25">
      <c r="A17" s="6" t="s">
        <v>1384</v>
      </c>
      <c r="B17" s="164"/>
      <c r="C17" s="256">
        <f>IFERROR(MIN(C16,Scenarios!$F$33+Scenarios!$F$34),0)</f>
        <v>0</v>
      </c>
      <c r="D17" s="576"/>
      <c r="E17" s="6" t="s">
        <v>1391</v>
      </c>
      <c r="F17" s="598"/>
      <c r="G17" s="255">
        <f>G15-G16</f>
        <v>0</v>
      </c>
      <c r="H17" s="164"/>
      <c r="I17" s="6"/>
      <c r="J17" s="6"/>
      <c r="K17" s="602"/>
    </row>
    <row r="18" spans="1:11" ht="15.75" customHeight="1" x14ac:dyDescent="0.25">
      <c r="A18" s="848" t="s">
        <v>1392</v>
      </c>
      <c r="B18" s="798"/>
      <c r="C18" s="254">
        <f>IFERROR(MAX(Scenarios!$F$33+Scenarios!$F$34-C17,0),0)</f>
        <v>0</v>
      </c>
      <c r="D18" s="576"/>
      <c r="E18" s="325" t="s">
        <v>1393</v>
      </c>
      <c r="F18" s="595">
        <v>0.01</v>
      </c>
      <c r="G18" s="254">
        <f>G9*F18</f>
        <v>0</v>
      </c>
      <c r="H18" s="168"/>
      <c r="I18" s="6"/>
      <c r="J18" s="596"/>
      <c r="K18" s="581"/>
    </row>
    <row r="19" spans="1:11" ht="15.75" customHeight="1" x14ac:dyDescent="0.25">
      <c r="A19" s="847" t="s">
        <v>1394</v>
      </c>
      <c r="B19" s="798"/>
      <c r="C19" s="603">
        <f>IFERROR(C17/(Scenarios!$F$33+Scenarios!$F$34),0)</f>
        <v>0</v>
      </c>
      <c r="D19" s="576"/>
      <c r="E19" s="6" t="s">
        <v>1395</v>
      </c>
      <c r="F19" s="604">
        <f>1-Scenarios!F36</f>
        <v>0.4</v>
      </c>
      <c r="G19" s="255">
        <f>(G15-G18)*(1-Scenarios!F36)</f>
        <v>0</v>
      </c>
      <c r="H19" s="164"/>
      <c r="I19" s="6"/>
      <c r="J19" s="605"/>
      <c r="K19" s="594"/>
    </row>
    <row r="20" spans="1:11" ht="15.75" customHeight="1" x14ac:dyDescent="0.25">
      <c r="A20" s="589" t="s">
        <v>1396</v>
      </c>
      <c r="B20" s="173"/>
      <c r="C20" s="599">
        <f>IFERROR(C16-C17,0)</f>
        <v>0</v>
      </c>
      <c r="D20" s="576"/>
      <c r="E20" s="325" t="s">
        <v>1397</v>
      </c>
      <c r="F20" s="606">
        <f>Scenarios!F36</f>
        <v>0.6</v>
      </c>
      <c r="G20" s="254">
        <f>(G15-G18)*Scenarios!F36</f>
        <v>0</v>
      </c>
      <c r="H20" s="168"/>
      <c r="I20" s="6"/>
      <c r="J20" s="605"/>
      <c r="K20" s="594"/>
    </row>
    <row r="21" spans="1:11" ht="19.5" customHeight="1" x14ac:dyDescent="0.25">
      <c r="A21" s="6" t="s">
        <v>1390</v>
      </c>
      <c r="B21" s="164"/>
      <c r="C21" s="256">
        <f>IFERROR(Scenarios!F141-INDEX(Loans!J43:S43,1,C5),0)</f>
        <v>0</v>
      </c>
      <c r="D21" s="576"/>
      <c r="E21" s="800" t="s">
        <v>1398</v>
      </c>
      <c r="F21" s="798"/>
      <c r="G21" s="607">
        <f>G13+G19</f>
        <v>0</v>
      </c>
      <c r="H21" s="608"/>
      <c r="I21" s="609"/>
      <c r="J21" s="320"/>
      <c r="K21" s="610"/>
    </row>
    <row r="22" spans="1:11" ht="15.75" customHeight="1" x14ac:dyDescent="0.25">
      <c r="A22" s="325" t="s">
        <v>1391</v>
      </c>
      <c r="B22" s="168"/>
      <c r="C22" s="582">
        <f>IFERROR(MAX(C20-C21,0),0)</f>
        <v>0</v>
      </c>
      <c r="D22" s="576"/>
      <c r="E22" s="576"/>
      <c r="F22" s="576"/>
      <c r="G22" s="576"/>
      <c r="H22" s="576"/>
      <c r="I22" s="320"/>
      <c r="J22" s="320"/>
      <c r="K22" s="320"/>
    </row>
    <row r="23" spans="1:11" ht="19.5" customHeight="1" x14ac:dyDescent="0.25">
      <c r="A23" s="6" t="s">
        <v>1393</v>
      </c>
      <c r="B23" s="601">
        <v>0.01</v>
      </c>
      <c r="C23" s="256">
        <f>C8*B23</f>
        <v>0</v>
      </c>
      <c r="D23" s="576"/>
      <c r="E23" s="801" t="s">
        <v>1399</v>
      </c>
      <c r="F23" s="798"/>
      <c r="G23" s="798"/>
      <c r="H23" s="159"/>
      <c r="I23" s="577"/>
      <c r="J23" s="320"/>
      <c r="K23" s="320"/>
    </row>
    <row r="24" spans="1:11" ht="15.75" customHeight="1" x14ac:dyDescent="0.25">
      <c r="A24" s="325" t="s">
        <v>1395</v>
      </c>
      <c r="B24" s="606">
        <f>1-Scenarios!F36</f>
        <v>0.4</v>
      </c>
      <c r="C24" s="582">
        <f>(C20-C23)*(1-Scenarios!F36)</f>
        <v>0</v>
      </c>
      <c r="D24" s="576"/>
      <c r="E24" s="325" t="s">
        <v>1400</v>
      </c>
      <c r="F24" s="325"/>
      <c r="G24" s="257">
        <f>G19</f>
        <v>0</v>
      </c>
      <c r="H24" s="168"/>
      <c r="I24" s="6"/>
      <c r="J24" s="6"/>
      <c r="K24" s="581"/>
    </row>
    <row r="25" spans="1:11" ht="15.75" customHeight="1" x14ac:dyDescent="0.25">
      <c r="A25" s="6" t="s">
        <v>1397</v>
      </c>
      <c r="B25" s="604">
        <f>Scenarios!F36</f>
        <v>0.6</v>
      </c>
      <c r="C25" s="256">
        <f>(C20-C23)*Scenarios!F36</f>
        <v>0</v>
      </c>
      <c r="D25" s="576"/>
      <c r="E25" s="6" t="s">
        <v>1401</v>
      </c>
      <c r="F25" s="6"/>
      <c r="G25" s="259">
        <f>G21</f>
        <v>0</v>
      </c>
      <c r="H25" s="164"/>
      <c r="I25" s="6"/>
      <c r="J25" s="6"/>
      <c r="K25" s="594"/>
    </row>
    <row r="26" spans="1:11" ht="15.75" customHeight="1" x14ac:dyDescent="0.25">
      <c r="A26" s="801" t="s">
        <v>1402</v>
      </c>
      <c r="B26" s="798"/>
      <c r="C26" s="611">
        <f>C17+C24</f>
        <v>0</v>
      </c>
      <c r="D26" s="576"/>
      <c r="E26" s="849" t="s">
        <v>1403</v>
      </c>
      <c r="F26" s="798"/>
      <c r="G26" s="612">
        <f>'XIRR Analysis'!H54</f>
        <v>0</v>
      </c>
      <c r="H26" s="173"/>
      <c r="I26" s="613"/>
      <c r="J26" s="320"/>
      <c r="K26" s="614"/>
    </row>
    <row r="27" spans="1:11" ht="15.75" customHeight="1" x14ac:dyDescent="0.25">
      <c r="A27" s="6" t="s">
        <v>1404</v>
      </c>
      <c r="B27" s="164"/>
      <c r="C27" s="256">
        <f>IFERROR(MAX(Scenarios!$F$33+Scenarios!$F$34-C26,0),0)</f>
        <v>0</v>
      </c>
      <c r="D27" s="576"/>
      <c r="E27" s="847" t="s">
        <v>1405</v>
      </c>
      <c r="F27" s="798"/>
      <c r="G27" s="615">
        <f>'LP Return Illustration'!B30</f>
        <v>0</v>
      </c>
      <c r="H27" s="164"/>
      <c r="I27" s="613"/>
      <c r="J27" s="320"/>
      <c r="K27" s="614"/>
    </row>
    <row r="28" spans="1:11" ht="15.75" customHeight="1" x14ac:dyDescent="0.25">
      <c r="A28" s="325" t="s">
        <v>1406</v>
      </c>
      <c r="B28" s="168"/>
      <c r="C28" s="616">
        <v>12</v>
      </c>
      <c r="D28" s="576"/>
      <c r="E28" s="576"/>
      <c r="F28" s="576"/>
      <c r="G28" s="576"/>
      <c r="H28" s="576"/>
    </row>
    <row r="29" spans="1:11" ht="15" customHeight="1" x14ac:dyDescent="0.25">
      <c r="A29" s="576"/>
      <c r="B29" s="576"/>
      <c r="C29" s="576"/>
      <c r="D29" s="576"/>
      <c r="E29" s="576"/>
      <c r="F29" s="576"/>
      <c r="G29" s="576"/>
      <c r="H29" s="576"/>
    </row>
    <row r="30" spans="1:11" ht="15" customHeight="1" x14ac:dyDescent="0.25">
      <c r="A30" s="576"/>
      <c r="B30" s="576"/>
      <c r="C30" s="576"/>
      <c r="D30" s="576"/>
      <c r="E30" s="576"/>
      <c r="F30" s="576"/>
      <c r="G30" s="576"/>
      <c r="H30" s="576"/>
    </row>
    <row r="31" spans="1:11" ht="15" customHeight="1" x14ac:dyDescent="0.25">
      <c r="A31" s="617" t="s">
        <v>1407</v>
      </c>
    </row>
    <row r="32" spans="1:11" ht="15" customHeight="1" x14ac:dyDescent="0.25">
      <c r="A32" s="617" t="s">
        <v>1408</v>
      </c>
    </row>
  </sheetData>
  <mergeCells count="8">
    <mergeCell ref="A26:B26"/>
    <mergeCell ref="A1:C1"/>
    <mergeCell ref="A19:B19"/>
    <mergeCell ref="E23:G23"/>
    <mergeCell ref="E27:F27"/>
    <mergeCell ref="A18:B18"/>
    <mergeCell ref="E26:F26"/>
    <mergeCell ref="E21:F21"/>
  </mergeCells>
  <dataValidations count="1">
    <dataValidation type="list" allowBlank="1" showInputMessage="1" showErrorMessage="1" promptTitle="Refi Year" prompt="Choose NA to skip the cash-out refi, or a hold year 1–10." sqref="C5" xr:uid="{00000000-0002-0000-0A00-000000000000}">
      <formula1>"NA,1,2,3,4,5,6,7,8,9,10"</formula1>
      <formula2>0</formula2>
    </dataValidation>
  </dataValidations>
  <hyperlinks>
    <hyperlink ref="A31" location="Scenarios!A1" display="Scenarios Tab" xr:uid="{00000000-0004-0000-0A00-000000000000}"/>
    <hyperlink ref="A32" location="Loans!A1" display="Loans Tab" xr:uid="{00000000-0004-0000-0A00-000001000000}"/>
  </hyperlink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21"/>
  <sheetViews>
    <sheetView zoomScale="70" zoomScaleNormal="70" workbookViewId="0">
      <pane xSplit="1" ySplit="7" topLeftCell="B26" activePane="bottomRight" state="frozen"/>
      <selection pane="topRight" activeCell="B1" sqref="B1"/>
      <selection pane="bottomLeft" activeCell="A26" sqref="A26"/>
      <selection pane="bottomRight" activeCell="K58" sqref="K58"/>
    </sheetView>
  </sheetViews>
  <sheetFormatPr defaultColWidth="8.85546875" defaultRowHeight="15" x14ac:dyDescent="0.25"/>
  <cols>
    <col min="1" max="1" width="36.7109375" customWidth="1"/>
    <col min="2" max="11" width="15" customWidth="1"/>
    <col min="12" max="13" width="16" customWidth="1"/>
    <col min="14" max="14" width="10.140625" customWidth="1"/>
  </cols>
  <sheetData>
    <row r="1" spans="1:16" ht="24" customHeight="1" x14ac:dyDescent="0.25">
      <c r="A1" s="801" t="s">
        <v>1409</v>
      </c>
      <c r="B1" s="798"/>
      <c r="C1" s="798"/>
      <c r="D1" s="798"/>
      <c r="E1" s="798"/>
      <c r="F1" s="798"/>
      <c r="G1" s="798"/>
      <c r="H1" s="798"/>
      <c r="I1" s="798"/>
      <c r="J1" s="798"/>
      <c r="K1" s="798"/>
      <c r="L1" s="798"/>
      <c r="M1" s="798"/>
    </row>
    <row r="2" spans="1:16" ht="15.75" customHeight="1" x14ac:dyDescent="0.25">
      <c r="A2" s="806" t="s">
        <v>1410</v>
      </c>
      <c r="B2" s="798"/>
      <c r="C2" s="798"/>
      <c r="D2" s="798"/>
      <c r="E2" s="798"/>
      <c r="F2" s="798"/>
      <c r="G2" s="798"/>
      <c r="H2" s="798"/>
      <c r="I2" s="798"/>
      <c r="J2" s="798"/>
      <c r="K2" s="798"/>
      <c r="L2" s="798"/>
      <c r="M2" s="798"/>
      <c r="P2" s="10" t="s">
        <v>1411</v>
      </c>
    </row>
    <row r="4" spans="1:16" ht="24" customHeight="1" x14ac:dyDescent="0.25">
      <c r="A4" s="800" t="s">
        <v>1412</v>
      </c>
      <c r="B4" s="798"/>
      <c r="C4" s="798"/>
      <c r="D4" s="798"/>
      <c r="E4" s="798"/>
      <c r="F4" s="798"/>
      <c r="G4" s="798"/>
      <c r="H4" s="798"/>
      <c r="I4" s="798"/>
      <c r="J4" s="798"/>
      <c r="K4" s="798"/>
      <c r="L4" s="798"/>
      <c r="M4" s="798"/>
      <c r="P4" s="10" t="s">
        <v>1413</v>
      </c>
    </row>
    <row r="5" spans="1:16" ht="15.75" customHeight="1" x14ac:dyDescent="0.25">
      <c r="A5" s="66" t="s">
        <v>1414</v>
      </c>
      <c r="B5" s="28">
        <f>Scenarios!F135</f>
        <v>0</v>
      </c>
      <c r="C5" s="806" t="s">
        <v>1415</v>
      </c>
      <c r="D5" s="798"/>
      <c r="E5" s="798"/>
      <c r="F5" s="798"/>
      <c r="G5" s="798"/>
      <c r="H5" s="798"/>
      <c r="I5" s="798"/>
      <c r="J5" s="798"/>
      <c r="K5" s="798"/>
      <c r="L5" s="798"/>
      <c r="M5" s="798"/>
      <c r="P5" s="10" t="str">
        <f>"   1.  Preferred return - Class A "&amp;TEXT($B$11,"0.0%")&amp;"  (rows 42-45)"</f>
        <v xml:space="preserve">   1.  Preferred return - Class A 0.0%  (rows 42-45)</v>
      </c>
    </row>
    <row r="6" spans="1:16" ht="15.75" customHeight="1" x14ac:dyDescent="0.25">
      <c r="A6" s="71" t="s">
        <v>86</v>
      </c>
      <c r="B6" s="25">
        <f>Scenarios!F136</f>
        <v>0</v>
      </c>
      <c r="C6" s="850" t="s">
        <v>1416</v>
      </c>
      <c r="D6" s="798"/>
      <c r="E6" s="798"/>
      <c r="F6" s="798"/>
      <c r="G6" s="798"/>
      <c r="H6" s="798"/>
      <c r="I6" s="798"/>
      <c r="J6" s="798"/>
      <c r="K6" s="798"/>
      <c r="L6" s="798"/>
      <c r="M6" s="798"/>
      <c r="P6" s="10" t="s">
        <v>1417</v>
      </c>
    </row>
    <row r="7" spans="1:16" ht="15.75" customHeight="1" x14ac:dyDescent="0.25">
      <c r="A7" s="66" t="s">
        <v>1418</v>
      </c>
      <c r="B7" s="484">
        <v>0.03</v>
      </c>
      <c r="C7" s="806" t="s">
        <v>1419</v>
      </c>
      <c r="D7" s="798"/>
      <c r="E7" s="798"/>
      <c r="F7" s="798"/>
      <c r="G7" s="798"/>
      <c r="H7" s="798"/>
      <c r="I7" s="798"/>
      <c r="J7" s="798"/>
      <c r="K7" s="798"/>
      <c r="L7" s="798"/>
      <c r="M7" s="798"/>
      <c r="P7" s="10" t="s">
        <v>1420</v>
      </c>
    </row>
    <row r="8" spans="1:16" ht="15.75" customHeight="1" x14ac:dyDescent="0.25">
      <c r="A8" s="71" t="s">
        <v>103</v>
      </c>
      <c r="B8" s="18">
        <f>Scenarios!F32</f>
        <v>0</v>
      </c>
      <c r="C8" s="850" t="s">
        <v>1421</v>
      </c>
      <c r="D8" s="798"/>
      <c r="E8" s="798"/>
      <c r="F8" s="798"/>
      <c r="G8" s="798"/>
      <c r="H8" s="798"/>
      <c r="I8" s="798"/>
      <c r="J8" s="798"/>
      <c r="K8" s="798"/>
      <c r="L8" s="798"/>
      <c r="M8" s="798"/>
    </row>
    <row r="9" spans="1:16" ht="15.75" customHeight="1" x14ac:dyDescent="0.25">
      <c r="A9" s="66" t="s">
        <v>105</v>
      </c>
      <c r="B9" s="16">
        <f>Scenarios!F33</f>
        <v>0</v>
      </c>
      <c r="C9" s="806" t="s">
        <v>1422</v>
      </c>
      <c r="D9" s="798"/>
      <c r="E9" s="798"/>
      <c r="F9" s="798"/>
      <c r="G9" s="798"/>
      <c r="H9" s="798"/>
      <c r="I9" s="798"/>
      <c r="J9" s="798"/>
      <c r="K9" s="798"/>
      <c r="L9" s="798"/>
      <c r="M9" s="798"/>
      <c r="P9" s="10" t="s">
        <v>1423</v>
      </c>
    </row>
    <row r="10" spans="1:16" ht="15.75" customHeight="1" x14ac:dyDescent="0.25">
      <c r="A10" s="71" t="s">
        <v>106</v>
      </c>
      <c r="B10" s="18">
        <f>Scenarios!F34</f>
        <v>0</v>
      </c>
      <c r="C10" s="850" t="s">
        <v>1424</v>
      </c>
      <c r="D10" s="798"/>
      <c r="E10" s="798"/>
      <c r="F10" s="798"/>
      <c r="G10" s="798"/>
      <c r="H10" s="798"/>
      <c r="I10" s="798"/>
      <c r="J10" s="798"/>
      <c r="K10" s="798"/>
      <c r="L10" s="798"/>
      <c r="M10" s="798"/>
      <c r="P10" s="10" t="str">
        <f>"   Tier 1  -  up to "&amp;TEXT($B$17,"0.0%")&amp;" IRR       LP "&amp;TEXT($B$15,"0%")&amp;"  /  GP "&amp;TEXT(1-$B$15,"0%")</f>
        <v xml:space="preserve">   Tier 1  -  up to 0.0% IRR       LP 40%  /  GP 60%</v>
      </c>
    </row>
    <row r="11" spans="1:16" ht="15.75" customHeight="1" x14ac:dyDescent="0.25">
      <c r="A11" s="66" t="s">
        <v>197</v>
      </c>
      <c r="B11" s="23">
        <f>Scenarios!F35</f>
        <v>0</v>
      </c>
      <c r="C11" s="806" t="s">
        <v>1425</v>
      </c>
      <c r="D11" s="798"/>
      <c r="E11" s="798"/>
      <c r="F11" s="798"/>
      <c r="G11" s="798"/>
      <c r="H11" s="798"/>
      <c r="I11" s="798"/>
      <c r="J11" s="798"/>
      <c r="K11" s="798"/>
      <c r="L11" s="798"/>
      <c r="M11" s="798"/>
      <c r="P11" s="10" t="str">
        <f>"   Tier 2  -  "&amp;TEXT($B$17,"0.0%")&amp;" to "&amp;TEXT($B$20,"0.0%")&amp;" IRR     LP "&amp;TEXT($B$18,"0%")&amp;"  /  GP "&amp;TEXT(1-$B$18,"0%")</f>
        <v xml:space="preserve">   Tier 2  -  0.0% to 0.0% IRR     LP 50%  /  GP 50%</v>
      </c>
    </row>
    <row r="12" spans="1:16" ht="15.75" customHeight="1" x14ac:dyDescent="0.25">
      <c r="A12" s="71" t="s">
        <v>1426</v>
      </c>
      <c r="B12" s="488">
        <v>0</v>
      </c>
      <c r="C12" s="618" t="s">
        <v>1427</v>
      </c>
      <c r="D12" s="619" t="s">
        <v>1428</v>
      </c>
      <c r="E12" s="620" t="s">
        <v>1429</v>
      </c>
      <c r="F12" s="852" t="s">
        <v>1430</v>
      </c>
      <c r="G12" s="798"/>
      <c r="H12" s="798"/>
      <c r="I12" s="798"/>
      <c r="J12" s="798"/>
      <c r="K12" s="798"/>
      <c r="L12" s="798"/>
      <c r="M12" s="798"/>
      <c r="P12" s="10" t="str">
        <f>"   Tier 3  -  above "&amp;TEXT($B$20,"0.0%")&amp;" IRR       LP "&amp;TEXT($B$21,"0%")&amp;"  /  GP "&amp;TEXT(1-$B$21,"0%")</f>
        <v xml:space="preserve">   Tier 3  -  above 0.0% IRR       LP 50%  /  GP 50%</v>
      </c>
    </row>
    <row r="13" spans="1:16" ht="15.75" customHeight="1" x14ac:dyDescent="0.25">
      <c r="A13" s="66" t="s">
        <v>1431</v>
      </c>
      <c r="B13" s="484">
        <v>0</v>
      </c>
      <c r="C13" s="806" t="s">
        <v>1432</v>
      </c>
      <c r="D13" s="798"/>
      <c r="E13" s="798"/>
      <c r="F13" s="798"/>
      <c r="G13" s="798"/>
      <c r="H13" s="798"/>
      <c r="I13" s="798"/>
      <c r="J13" s="798"/>
      <c r="K13" s="798"/>
      <c r="L13" s="798"/>
      <c r="M13" s="798"/>
    </row>
    <row r="14" spans="1:16" ht="15.75" customHeight="1" x14ac:dyDescent="0.25">
      <c r="A14" s="71" t="s">
        <v>1433</v>
      </c>
      <c r="B14" s="621" t="str">
        <f>IF(Scenarios!F34&gt;0,"YES","NO")</f>
        <v>NO</v>
      </c>
      <c r="C14" s="850" t="s">
        <v>1434</v>
      </c>
      <c r="D14" s="798"/>
      <c r="E14" s="798"/>
      <c r="F14" s="798"/>
      <c r="G14" s="798"/>
      <c r="H14" s="798"/>
      <c r="I14" s="798"/>
      <c r="J14" s="798"/>
      <c r="K14" s="798"/>
      <c r="L14" s="798"/>
      <c r="M14" s="798"/>
      <c r="P14" s="10" t="s">
        <v>1435</v>
      </c>
    </row>
    <row r="15" spans="1:16" ht="15.75" customHeight="1" x14ac:dyDescent="0.25">
      <c r="A15" s="66" t="s">
        <v>1436</v>
      </c>
      <c r="B15" s="484">
        <f>Scenarios!F29</f>
        <v>0.4</v>
      </c>
      <c r="C15" s="806" t="s">
        <v>1437</v>
      </c>
      <c r="D15" s="798"/>
      <c r="E15" s="798"/>
      <c r="F15" s="798"/>
      <c r="G15" s="798"/>
      <c r="H15" s="798"/>
      <c r="I15" s="798"/>
      <c r="J15" s="798"/>
      <c r="K15" s="798"/>
      <c r="L15" s="798"/>
      <c r="M15" s="798"/>
      <c r="P15" s="10" t="s">
        <v>1438</v>
      </c>
    </row>
    <row r="16" spans="1:16" ht="15.75" customHeight="1" x14ac:dyDescent="0.25">
      <c r="A16" s="71" t="s">
        <v>1439</v>
      </c>
      <c r="B16" s="25">
        <f>1-B15</f>
        <v>0.6</v>
      </c>
      <c r="C16" s="850" t="s">
        <v>1440</v>
      </c>
      <c r="D16" s="798"/>
      <c r="E16" s="798"/>
      <c r="F16" s="798"/>
      <c r="G16" s="798"/>
      <c r="H16" s="798"/>
      <c r="I16" s="798"/>
      <c r="J16" s="798"/>
      <c r="K16" s="798"/>
      <c r="L16" s="798"/>
      <c r="M16" s="798"/>
      <c r="P16" s="10" t="s">
        <v>1441</v>
      </c>
    </row>
    <row r="17" spans="1:16" ht="15.75" customHeight="1" x14ac:dyDescent="0.25">
      <c r="A17" s="66" t="s">
        <v>1442</v>
      </c>
      <c r="B17" s="484">
        <v>0</v>
      </c>
      <c r="C17" s="806" t="s">
        <v>1443</v>
      </c>
      <c r="D17" s="798"/>
      <c r="E17" s="798"/>
      <c r="F17" s="798"/>
      <c r="G17" s="798"/>
      <c r="H17" s="798"/>
      <c r="I17" s="798"/>
      <c r="J17" s="798"/>
      <c r="K17" s="798"/>
      <c r="L17" s="798"/>
      <c r="M17" s="798"/>
      <c r="P17" s="10" t="s">
        <v>1444</v>
      </c>
    </row>
    <row r="18" spans="1:16" ht="15.75" customHeight="1" x14ac:dyDescent="0.25">
      <c r="A18" s="71" t="s">
        <v>1445</v>
      </c>
      <c r="B18">
        <v>0.5</v>
      </c>
      <c r="C18" s="850" t="s">
        <v>1446</v>
      </c>
      <c r="D18" s="798"/>
      <c r="E18" s="798"/>
      <c r="F18" s="798"/>
      <c r="G18" s="798"/>
      <c r="H18" s="798"/>
      <c r="I18" s="798"/>
      <c r="J18" s="798"/>
      <c r="K18" s="798"/>
      <c r="L18" s="798"/>
      <c r="M18" s="798"/>
      <c r="P18" s="10" t="s">
        <v>1447</v>
      </c>
    </row>
    <row r="19" spans="1:16" ht="15.75" customHeight="1" x14ac:dyDescent="0.25">
      <c r="A19" s="66" t="s">
        <v>1448</v>
      </c>
      <c r="B19" s="23">
        <f>1-B18</f>
        <v>0.5</v>
      </c>
      <c r="C19" s="806" t="s">
        <v>1449</v>
      </c>
      <c r="D19" s="798"/>
      <c r="E19" s="798"/>
      <c r="F19" s="798"/>
      <c r="G19" s="798"/>
      <c r="H19" s="798"/>
      <c r="I19" s="798"/>
      <c r="J19" s="798"/>
      <c r="K19" s="798"/>
      <c r="L19" s="798"/>
      <c r="M19" s="798"/>
    </row>
    <row r="20" spans="1:16" ht="15.75" customHeight="1" x14ac:dyDescent="0.25">
      <c r="A20" s="71" t="s">
        <v>1450</v>
      </c>
      <c r="B20" s="488">
        <v>0</v>
      </c>
      <c r="C20" s="850" t="s">
        <v>1451</v>
      </c>
      <c r="D20" s="798"/>
      <c r="E20" s="798"/>
      <c r="F20" s="798"/>
      <c r="G20" s="798"/>
      <c r="H20" s="798"/>
      <c r="I20" s="798"/>
      <c r="J20" s="798"/>
      <c r="K20" s="798"/>
      <c r="L20" s="798"/>
      <c r="M20" s="798"/>
      <c r="P20" s="10" t="s">
        <v>1452</v>
      </c>
    </row>
    <row r="21" spans="1:16" ht="15.75" customHeight="1" x14ac:dyDescent="0.25">
      <c r="A21" s="66" t="s">
        <v>1453</v>
      </c>
      <c r="B21">
        <v>0.5</v>
      </c>
      <c r="C21" s="806" t="s">
        <v>1454</v>
      </c>
      <c r="D21" s="798"/>
      <c r="E21" s="798"/>
      <c r="F21" s="798"/>
      <c r="G21" s="798"/>
      <c r="H21" s="798"/>
      <c r="I21" s="798"/>
      <c r="J21" s="798"/>
      <c r="K21" s="798"/>
      <c r="L21" s="798"/>
      <c r="M21" s="798"/>
      <c r="P21" s="10" t="str">
        <f>"   Hold "&amp;TEXT($B$5,"0")&amp;" yrs   -   LP equity "&amp;TEXT($B$9+$B$10,"$#,##0")&amp;"   -   LP IRR (XIRR) "&amp;TEXT($B$69,"0.0%")</f>
        <v xml:space="preserve">   Hold 0 yrs   -   LP equity $0   -   LP IRR (XIRR) 0.0%</v>
      </c>
    </row>
    <row r="22" spans="1:16" ht="15.75" customHeight="1" x14ac:dyDescent="0.25">
      <c r="A22" s="71" t="s">
        <v>1455</v>
      </c>
      <c r="B22" s="25">
        <f>1-B21</f>
        <v>0.5</v>
      </c>
      <c r="C22" s="850" t="s">
        <v>1456</v>
      </c>
      <c r="D22" s="798"/>
      <c r="E22" s="798"/>
      <c r="F22" s="798"/>
      <c r="G22" s="798"/>
      <c r="H22" s="798"/>
      <c r="I22" s="798"/>
      <c r="J22" s="798"/>
      <c r="K22" s="798"/>
      <c r="L22" s="798"/>
      <c r="M22" s="798"/>
      <c r="P22" s="10" t="str">
        <f>"   Tier-1 hurdle "&amp;TEXT($B$17,"0.0%")&amp;":  "&amp;IF($B$69&gt;=$B$17,"CLEARED","not cleared")&amp;"      Tier-2 hurdle "&amp;TEXT($B$20,"0.0%")&amp;":  "&amp;IF($B$69&gt;=$B$20,"CLEARED","not cleared")</f>
        <v xml:space="preserve">   Tier-1 hurdle 0.0%:  CLEARED      Tier-2 hurdle 0.0%:  CLEARED</v>
      </c>
    </row>
    <row r="23" spans="1:16" ht="18" customHeight="1" x14ac:dyDescent="0.25">
      <c r="A23" s="622" t="s">
        <v>1457</v>
      </c>
      <c r="B23" s="623" t="s">
        <v>1458</v>
      </c>
      <c r="C23" s="624" t="s">
        <v>1459</v>
      </c>
      <c r="P23" s="10" t="str">
        <f>"   Total LP distributions       "&amp;TEXT($M$57,"$#,##0")&amp;"   (EM "&amp;TEXT(IFERROR($M$57/($B$9+$B$10),0),"0.00")&amp;"x)"</f>
        <v xml:space="preserve">   Total LP distributions       $0   (EM 0.00x)</v>
      </c>
    </row>
    <row r="24" spans="1:16" ht="24" customHeight="1" x14ac:dyDescent="0.25">
      <c r="A24" s="801" t="s">
        <v>1460</v>
      </c>
      <c r="B24" s="798"/>
      <c r="C24" s="798"/>
      <c r="D24" s="798"/>
      <c r="E24" s="798"/>
      <c r="F24" s="798"/>
      <c r="G24" s="798"/>
      <c r="H24" s="798"/>
      <c r="I24" s="798"/>
      <c r="J24" s="798"/>
      <c r="K24" s="798"/>
      <c r="L24" s="798"/>
      <c r="M24" s="798"/>
      <c r="P24" s="10" t="str">
        <f>"   Total GP distributions       "&amp;TEXT($M$58,"$#,##0")</f>
        <v xml:space="preserve">   Total GP distributions       $0</v>
      </c>
    </row>
    <row r="25" spans="1:16" ht="30" customHeight="1" x14ac:dyDescent="0.25">
      <c r="A25" s="27" t="s">
        <v>140</v>
      </c>
      <c r="B25" s="27" t="s">
        <v>433</v>
      </c>
      <c r="C25" s="27" t="s">
        <v>434</v>
      </c>
      <c r="D25" s="27" t="s">
        <v>435</v>
      </c>
      <c r="E25" s="27" t="s">
        <v>436</v>
      </c>
      <c r="F25" s="27" t="s">
        <v>437</v>
      </c>
      <c r="G25" s="27" t="s">
        <v>438</v>
      </c>
      <c r="H25" s="27" t="s">
        <v>439</v>
      </c>
      <c r="I25" s="27" t="s">
        <v>440</v>
      </c>
      <c r="J25" s="27" t="s">
        <v>441</v>
      </c>
      <c r="K25" s="27" t="s">
        <v>442</v>
      </c>
      <c r="L25" s="14" t="s">
        <v>1461</v>
      </c>
      <c r="M25" s="27" t="s">
        <v>1462</v>
      </c>
      <c r="P25" s="10" t="str">
        <f>"      of which GP promote        "&amp;TEXT($M$49,"$#,##0")</f>
        <v xml:space="preserve">      of which GP promote        $0</v>
      </c>
    </row>
    <row r="26" spans="1:16" ht="18" customHeight="1" x14ac:dyDescent="0.25">
      <c r="A26" s="1" t="s">
        <v>1463</v>
      </c>
      <c r="B26" s="254">
        <f>IF(1&gt;$B$5,0,'P&amp;L'!D97)</f>
        <v>0</v>
      </c>
      <c r="C26" s="254">
        <f>IF(2&gt;$B$5,0,'P&amp;L'!E97)</f>
        <v>0</v>
      </c>
      <c r="D26" s="254">
        <f>IF(3&gt;$B$5,0,'P&amp;L'!F97)</f>
        <v>0</v>
      </c>
      <c r="E26" s="254">
        <f>IF(4&gt;$B$5,0,'P&amp;L'!G97)</f>
        <v>0</v>
      </c>
      <c r="F26" s="254">
        <f>IF(5&gt;$B$5,0,'P&amp;L'!H97)</f>
        <v>0</v>
      </c>
      <c r="G26" s="254">
        <f>IF(6&gt;$B$5,0,'P&amp;L'!I97)</f>
        <v>0</v>
      </c>
      <c r="H26" s="254">
        <f>IF(7&gt;$B$5,0,'P&amp;L'!J97)</f>
        <v>0</v>
      </c>
      <c r="I26" s="254">
        <f>IF(8&gt;$B$5,0,'P&amp;L'!K97)</f>
        <v>0</v>
      </c>
      <c r="J26" s="254">
        <f>IF(9&gt;$B$5,0,'P&amp;L'!L97)</f>
        <v>0</v>
      </c>
      <c r="K26" s="254">
        <f>IF(10&gt;$B$5,0,'P&amp;L'!M97)</f>
        <v>0</v>
      </c>
      <c r="M26" s="254">
        <f>SUM(B26:K26)</f>
        <v>0</v>
      </c>
    </row>
    <row r="27" spans="1:16" ht="18" customHeight="1" x14ac:dyDescent="0.25">
      <c r="A27" s="1" t="s">
        <v>1464</v>
      </c>
      <c r="B27" s="254">
        <f>IF(1&gt;$B$5,0,-INDEX(Loans!$J$42:$S$42,1,1))</f>
        <v>0</v>
      </c>
      <c r="C27" s="254">
        <f>IF(2&gt;$B$5,0,-INDEX(Loans!$J$42:$S$42,1,2))</f>
        <v>0</v>
      </c>
      <c r="D27" s="254">
        <f>IF(3&gt;$B$5,0,-INDEX(Loans!$J$42:$S$42,1,3))</f>
        <v>0</v>
      </c>
      <c r="E27" s="254">
        <f>IF(4&gt;$B$5,0,-INDEX(Loans!$J$42:$S$42,1,4))</f>
        <v>0</v>
      </c>
      <c r="F27" s="254">
        <f>IF(5&gt;$B$5,0,-INDEX(Loans!$J$42:$S$42,1,5))</f>
        <v>0</v>
      </c>
      <c r="G27" s="254">
        <f>IF(6&gt;$B$5,0,-INDEX(Loans!$J$42:$S$42,1,6))</f>
        <v>0</v>
      </c>
      <c r="H27" s="254">
        <f>IF(7&gt;$B$5,0,-INDEX(Loans!$J$42:$S$42,1,7))</f>
        <v>0</v>
      </c>
      <c r="I27" s="254">
        <f>IF(8&gt;$B$5,0,-INDEX(Loans!$J$42:$S$42,1,8))</f>
        <v>0</v>
      </c>
      <c r="J27" s="254">
        <f>IF(9&gt;$B$5,0,-INDEX(Loans!$J$42:$S$42,1,9))</f>
        <v>0</v>
      </c>
      <c r="K27" s="254">
        <f>IF(10&gt;$B$5,0,-INDEX(Loans!$J$42:$S$42,1,10))</f>
        <v>0</v>
      </c>
      <c r="M27" s="254">
        <f>SUM(B27:K27)</f>
        <v>0</v>
      </c>
      <c r="P27" s="10" t="s">
        <v>1465</v>
      </c>
    </row>
    <row r="28" spans="1:16" ht="18" customHeight="1" x14ac:dyDescent="0.25">
      <c r="A28" s="251" t="s">
        <v>1466</v>
      </c>
      <c r="B28" s="575">
        <f>IF(1&gt;$B$5,0,IFERROR(B26+B27-'P&amp;L'!D111+IF($B$23="Waterfall",IF(ISNUMBER('Exit Strategy'!$C$5),IF(1='Exit Strategy'!$C$5,'Exit Strategy'!$C$16,0),0),0),0))</f>
        <v>0</v>
      </c>
      <c r="C28" s="575">
        <f>IF(2&gt;$B$5,0,IFERROR(C26+C27-'P&amp;L'!E111+IF($B$23="Waterfall",IF(ISNUMBER('Exit Strategy'!$C$5),IF(2='Exit Strategy'!$C$5,'Exit Strategy'!$C$16,0),0),0),0))</f>
        <v>0</v>
      </c>
      <c r="D28" s="575">
        <f>IF(3&gt;$B$5,0,IFERROR(D26+D27-'P&amp;L'!F111+IF($B$23="Waterfall",IF(ISNUMBER('Exit Strategy'!$C$5),IF(3='Exit Strategy'!$C$5,'Exit Strategy'!$C$16,0),0),0),0))</f>
        <v>0</v>
      </c>
      <c r="E28" s="575">
        <f>IF(4&gt;$B$5,0,IFERROR(E26+E27-'P&amp;L'!G111+IF($B$23="Waterfall",IF(ISNUMBER('Exit Strategy'!$C$5),IF(4='Exit Strategy'!$C$5,'Exit Strategy'!$C$16,0),0),0),0))</f>
        <v>0</v>
      </c>
      <c r="F28" s="575">
        <f>IF(5&gt;$B$5,0,IFERROR(F26+F27-'P&amp;L'!H111+IF($B$23="Waterfall",IF(ISNUMBER('Exit Strategy'!$C$5),IF(5='Exit Strategy'!$C$5,'Exit Strategy'!$C$16,0),0),0),0))</f>
        <v>0</v>
      </c>
      <c r="G28" s="575">
        <f>IF(6&gt;$B$5,0,IFERROR(G26+G27-'P&amp;L'!I111+IF($B$23="Waterfall",IF(ISNUMBER('Exit Strategy'!$C$5),IF(6='Exit Strategy'!$C$5,'Exit Strategy'!$C$16,0),0),0),0))</f>
        <v>0</v>
      </c>
      <c r="H28" s="575">
        <f>IF(7&gt;$B$5,0,IFERROR(H26+H27-'P&amp;L'!J111+IF($B$23="Waterfall",IF(ISNUMBER('Exit Strategy'!$C$5),IF(7='Exit Strategy'!$C$5,'Exit Strategy'!$C$16,0),0),0),0))</f>
        <v>0</v>
      </c>
      <c r="I28" s="575">
        <f>IF(8&gt;$B$5,0,IFERROR(I26+I27-'P&amp;L'!K111+IF($B$23="Waterfall",IF(ISNUMBER('Exit Strategy'!$C$5),IF(8='Exit Strategy'!$C$5,'Exit Strategy'!$C$16,0),0),0),0))</f>
        <v>0</v>
      </c>
      <c r="J28" s="575">
        <f>IF(9&gt;$B$5,0,IFERROR(J26+J27-'P&amp;L'!L111+IF($B$23="Waterfall",IF(ISNUMBER('Exit Strategy'!$C$5),IF(9='Exit Strategy'!$C$5,'Exit Strategy'!$C$16,0),0),0),0))</f>
        <v>0</v>
      </c>
      <c r="K28" s="575">
        <f>IF(10&gt;$B$5,0,IFERROR(K26+K27-'P&amp;L'!M111+IF($B$23="Waterfall",IF(ISNUMBER('Exit Strategy'!$C$5),IF(10='Exit Strategy'!$C$5,'Exit Strategy'!$C$16,0),0),0),0))</f>
        <v>0</v>
      </c>
      <c r="M28" s="222">
        <f>SUM(B28:K28)</f>
        <v>0</v>
      </c>
      <c r="P28" s="10" t="s">
        <v>1467</v>
      </c>
    </row>
    <row r="29" spans="1:16" ht="15" customHeight="1" x14ac:dyDescent="0.25">
      <c r="P29" s="10" t="s">
        <v>1468</v>
      </c>
    </row>
    <row r="30" spans="1:16" ht="24" customHeight="1" x14ac:dyDescent="0.25">
      <c r="A30" s="800" t="s">
        <v>1469</v>
      </c>
      <c r="B30" s="798"/>
      <c r="C30" s="798"/>
      <c r="D30" s="798"/>
      <c r="E30" s="798"/>
      <c r="F30" s="798"/>
      <c r="G30" s="798"/>
      <c r="H30" s="798"/>
      <c r="I30" s="798"/>
      <c r="J30" s="798"/>
      <c r="K30" s="798"/>
      <c r="L30" s="798"/>
      <c r="M30" s="798"/>
      <c r="P30" s="10" t="s">
        <v>1470</v>
      </c>
    </row>
    <row r="31" spans="1:16" ht="18" customHeight="1" x14ac:dyDescent="0.25">
      <c r="A31" s="244" t="s">
        <v>129</v>
      </c>
      <c r="B31" s="16">
        <f>'Exit Strategy'!G5</f>
        <v>0</v>
      </c>
      <c r="P31" s="10" t="s">
        <v>1471</v>
      </c>
    </row>
    <row r="32" spans="1:16" ht="18" customHeight="1" x14ac:dyDescent="0.25">
      <c r="A32" s="244" t="s">
        <v>1472</v>
      </c>
      <c r="B32" s="254">
        <f>'Exit Strategy'!G9</f>
        <v>0</v>
      </c>
    </row>
    <row r="33" spans="1:16" ht="18" customHeight="1" x14ac:dyDescent="0.25">
      <c r="A33" s="244" t="s">
        <v>1473</v>
      </c>
      <c r="B33" s="254">
        <f>'Exit Strategy'!G10+'Exit Strategy'!G18</f>
        <v>0</v>
      </c>
      <c r="P33" s="10" t="s">
        <v>1474</v>
      </c>
    </row>
    <row r="34" spans="1:16" ht="18" customHeight="1" x14ac:dyDescent="0.25">
      <c r="A34" s="244" t="s">
        <v>132</v>
      </c>
      <c r="B34" s="16">
        <f>'Exit Strategy'!G11</f>
        <v>0</v>
      </c>
      <c r="P34" s="10" t="s">
        <v>1475</v>
      </c>
    </row>
    <row r="35" spans="1:16" ht="18" customHeight="1" x14ac:dyDescent="0.25">
      <c r="A35" s="251" t="s">
        <v>1476</v>
      </c>
      <c r="B35" s="222">
        <f>B32+B33+B34</f>
        <v>0</v>
      </c>
    </row>
    <row r="36" spans="1:16" ht="16.5" customHeight="1" x14ac:dyDescent="0.25">
      <c r="A36" s="625" t="s">
        <v>1477</v>
      </c>
      <c r="B36" s="626">
        <f>IF(1&gt;$B$5,0,MIN($B$9,IF(AND($B$23="Return of Capital",ISNUMBER('Exit Strategy'!$C$5),1='Exit Strategy'!$C$5),MAX('Exit Strategy'!$C$16,0),0)))</f>
        <v>0</v>
      </c>
      <c r="C36" s="626">
        <f>IF(2&gt;$B$5,0,MIN($B$9,IF(AND($B$23="Return of Capital",ISNUMBER('Exit Strategy'!$C$5),2='Exit Strategy'!$C$5),MAX('Exit Strategy'!$C$16,0),0)))</f>
        <v>0</v>
      </c>
      <c r="D36" s="626">
        <f>IF(3&gt;$B$5,0,MIN($B$9,IF(AND($B$23="Return of Capital",ISNUMBER('Exit Strategy'!$C$5),3='Exit Strategy'!$C$5),MAX('Exit Strategy'!$C$16,0),0)))</f>
        <v>0</v>
      </c>
      <c r="E36" s="626">
        <f>IF(4&gt;$B$5,0,MIN($B$9,IF(AND($B$23="Return of Capital",ISNUMBER('Exit Strategy'!$C$5),4='Exit Strategy'!$C$5),MAX('Exit Strategy'!$C$16,0),0)))</f>
        <v>0</v>
      </c>
      <c r="F36" s="626">
        <f>IF(5&gt;$B$5,0,MIN($B$9,IF(AND($B$23="Return of Capital",ISNUMBER('Exit Strategy'!$C$5),5='Exit Strategy'!$C$5),MAX('Exit Strategy'!$C$16,0),0)))</f>
        <v>0</v>
      </c>
      <c r="G36" s="626">
        <f>IF(6&gt;$B$5,0,MIN($B$9,IF(AND($B$23="Return of Capital",ISNUMBER('Exit Strategy'!$C$5),6='Exit Strategy'!$C$5),MAX('Exit Strategy'!$C$16,0),0)))</f>
        <v>0</v>
      </c>
      <c r="H36" s="626">
        <f>IF(7&gt;$B$5,0,MIN($B$9,IF(AND($B$23="Return of Capital",ISNUMBER('Exit Strategy'!$C$5),7='Exit Strategy'!$C$5),MAX('Exit Strategy'!$C$16,0),0)))</f>
        <v>0</v>
      </c>
      <c r="I36" s="626">
        <f>IF(8&gt;$B$5,0,MIN($B$9,IF(AND($B$23="Return of Capital",ISNUMBER('Exit Strategy'!$C$5),8='Exit Strategy'!$C$5),MAX('Exit Strategy'!$C$16,0),0)))</f>
        <v>0</v>
      </c>
      <c r="J36" s="626">
        <f>IF(9&gt;$B$5,0,MIN($B$9,IF(AND($B$23="Return of Capital",ISNUMBER('Exit Strategy'!$C$5),9='Exit Strategy'!$C$5),MAX('Exit Strategy'!$C$16,0),0)))</f>
        <v>0</v>
      </c>
      <c r="K36" s="626">
        <f>IF(10&gt;$B$5,0,MIN($B$9,IF(AND($B$23="Return of Capital",ISNUMBER('Exit Strategy'!$C$5),10='Exit Strategy'!$C$5),MAX('Exit Strategy'!$C$16,0),0)))</f>
        <v>0</v>
      </c>
      <c r="L36" s="626">
        <f>MIN(B9,MAX(B35,0))</f>
        <v>0</v>
      </c>
      <c r="M36" s="626">
        <f>SUM(B36:L36)</f>
        <v>0</v>
      </c>
    </row>
    <row r="37" spans="1:16" ht="16.5" customHeight="1" x14ac:dyDescent="0.25">
      <c r="A37" s="627" t="s">
        <v>1478</v>
      </c>
      <c r="B37" s="311">
        <f>IF(1&gt;$B$5,0,IF($B$14="YES",MIN($B$10,MAX(IF(AND($B$23="Return of Capital",ISNUMBER('Exit Strategy'!$C$5),1='Exit Strategy'!$C$5),MAX('Exit Strategy'!$C$16,0),0)-B36,0)),0))</f>
        <v>0</v>
      </c>
      <c r="C37" s="311">
        <f>IF(2&gt;$B$5,0,IF($B$14="YES",MIN($B$10,MAX(IF(AND($B$23="Return of Capital",ISNUMBER('Exit Strategy'!$C$5),2='Exit Strategy'!$C$5),MAX('Exit Strategy'!$C$16,0),0)-C36,0)),0))</f>
        <v>0</v>
      </c>
      <c r="D37" s="311">
        <f>IF(3&gt;$B$5,0,IF($B$14="YES",MIN($B$10,MAX(IF(AND($B$23="Return of Capital",ISNUMBER('Exit Strategy'!$C$5),3='Exit Strategy'!$C$5),MAX('Exit Strategy'!$C$16,0),0)-D36,0)),0))</f>
        <v>0</v>
      </c>
      <c r="E37" s="311">
        <f>IF(4&gt;$B$5,0,IF($B$14="YES",MIN($B$10,MAX(IF(AND($B$23="Return of Capital",ISNUMBER('Exit Strategy'!$C$5),4='Exit Strategy'!$C$5),MAX('Exit Strategy'!$C$16,0),0)-E36,0)),0))</f>
        <v>0</v>
      </c>
      <c r="F37" s="311">
        <f>IF(5&gt;$B$5,0,IF($B$14="YES",MIN($B$10,MAX(IF(AND($B$23="Return of Capital",ISNUMBER('Exit Strategy'!$C$5),5='Exit Strategy'!$C$5),MAX('Exit Strategy'!$C$16,0),0)-F36,0)),0))</f>
        <v>0</v>
      </c>
      <c r="G37" s="311">
        <f>IF(6&gt;$B$5,0,IF($B$14="YES",MIN($B$10,MAX(IF(AND($B$23="Return of Capital",ISNUMBER('Exit Strategy'!$C$5),6='Exit Strategy'!$C$5),MAX('Exit Strategy'!$C$16,0),0)-G36,0)),0))</f>
        <v>0</v>
      </c>
      <c r="H37" s="311">
        <f>IF(7&gt;$B$5,0,IF($B$14="YES",MIN($B$10,MAX(IF(AND($B$23="Return of Capital",ISNUMBER('Exit Strategy'!$C$5),7='Exit Strategy'!$C$5),MAX('Exit Strategy'!$C$16,0),0)-H36,0)),0))</f>
        <v>0</v>
      </c>
      <c r="I37" s="311">
        <f>IF(8&gt;$B$5,0,IF($B$14="YES",MIN($B$10,MAX(IF(AND($B$23="Return of Capital",ISNUMBER('Exit Strategy'!$C$5),8='Exit Strategy'!$C$5),MAX('Exit Strategy'!$C$16,0),0)-I36,0)),0))</f>
        <v>0</v>
      </c>
      <c r="J37" s="311">
        <f>IF(9&gt;$B$5,0,IF($B$14="YES",MIN($B$10,MAX(IF(AND($B$23="Return of Capital",ISNUMBER('Exit Strategy'!$C$5),9='Exit Strategy'!$C$5),MAX('Exit Strategy'!$C$16,0),0)-J36,0)),0))</f>
        <v>0</v>
      </c>
      <c r="K37" s="311">
        <f>IF(10&gt;$B$5,0,IF($B$14="YES",MIN($B$10,MAX(IF(AND($B$23="Return of Capital",ISNUMBER('Exit Strategy'!$C$5),10='Exit Strategy'!$C$5),MAX('Exit Strategy'!$C$16,0),0)-K36,0)),0))</f>
        <v>0</v>
      </c>
      <c r="L37" s="311">
        <f>IF(B14="YES",MIN(B10,MAX(MAX(B35,0)-L36,0)),0)</f>
        <v>0</v>
      </c>
      <c r="M37" s="311">
        <f>SUM(B37:L37)</f>
        <v>0</v>
      </c>
    </row>
    <row r="38" spans="1:16" ht="16.5" customHeight="1" x14ac:dyDescent="0.25">
      <c r="A38" s="625" t="s">
        <v>1479</v>
      </c>
      <c r="B38" s="626">
        <f>IF(1&gt;$B$5,0,MIN($B$8,MAX(IF(AND($B$23="Return of Capital",ISNUMBER('Exit Strategy'!$C$5),1='Exit Strategy'!$C$5),MAX('Exit Strategy'!$C$16,0),0)-B36-B37,0)))</f>
        <v>0</v>
      </c>
      <c r="C38" s="626">
        <f>IF(2&gt;$B$5,0,MIN($B$8,MAX(IF(AND($B$23="Return of Capital",ISNUMBER('Exit Strategy'!$C$5),2='Exit Strategy'!$C$5),MAX('Exit Strategy'!$C$16,0),0)-C36-C37,0)))</f>
        <v>0</v>
      </c>
      <c r="D38" s="626">
        <f>IF(3&gt;$B$5,0,MIN($B$8,MAX(IF(AND($B$23="Return of Capital",ISNUMBER('Exit Strategy'!$C$5),3='Exit Strategy'!$C$5),MAX('Exit Strategy'!$C$16,0),0)-D36-D37,0)))</f>
        <v>0</v>
      </c>
      <c r="E38" s="626">
        <f>IF(4&gt;$B$5,0,MIN($B$8,MAX(IF(AND($B$23="Return of Capital",ISNUMBER('Exit Strategy'!$C$5),4='Exit Strategy'!$C$5),MAX('Exit Strategy'!$C$16,0),0)-E36-E37,0)))</f>
        <v>0</v>
      </c>
      <c r="F38" s="626">
        <f>IF(5&gt;$B$5,0,MIN($B$8,MAX(IF(AND($B$23="Return of Capital",ISNUMBER('Exit Strategy'!$C$5),5='Exit Strategy'!$C$5),MAX('Exit Strategy'!$C$16,0),0)-F36-F37,0)))</f>
        <v>0</v>
      </c>
      <c r="G38" s="626">
        <f>IF(6&gt;$B$5,0,MIN($B$8,MAX(IF(AND($B$23="Return of Capital",ISNUMBER('Exit Strategy'!$C$5),6='Exit Strategy'!$C$5),MAX('Exit Strategy'!$C$16,0),0)-G36-G37,0)))</f>
        <v>0</v>
      </c>
      <c r="H38" s="626">
        <f>IF(7&gt;$B$5,0,MIN($B$8,MAX(IF(AND($B$23="Return of Capital",ISNUMBER('Exit Strategy'!$C$5),7='Exit Strategy'!$C$5),MAX('Exit Strategy'!$C$16,0),0)-H36-H37,0)))</f>
        <v>0</v>
      </c>
      <c r="I38" s="626">
        <f>IF(8&gt;$B$5,0,MIN($B$8,MAX(IF(AND($B$23="Return of Capital",ISNUMBER('Exit Strategy'!$C$5),8='Exit Strategy'!$C$5),MAX('Exit Strategy'!$C$16,0),0)-I36-I37,0)))</f>
        <v>0</v>
      </c>
      <c r="J38" s="626">
        <f>IF(9&gt;$B$5,0,MIN($B$8,MAX(IF(AND($B$23="Return of Capital",ISNUMBER('Exit Strategy'!$C$5),9='Exit Strategy'!$C$5),MAX('Exit Strategy'!$C$16,0),0)-J36-J37,0)))</f>
        <v>0</v>
      </c>
      <c r="K38" s="626">
        <f>IF(10&gt;$B$5,0,MIN($B$8,MAX(IF(AND($B$23="Return of Capital",ISNUMBER('Exit Strategy'!$C$5),10='Exit Strategy'!$C$5),MAX('Exit Strategy'!$C$16,0),0)-K36-K37,0)))</f>
        <v>0</v>
      </c>
      <c r="L38" s="626">
        <f>MIN(B8,MAX(MAX(B35,0)-L36-L37,0))</f>
        <v>0</v>
      </c>
      <c r="M38" s="626">
        <f>SUM(B38:L38)</f>
        <v>0</v>
      </c>
    </row>
    <row r="39" spans="1:16" ht="18" customHeight="1" x14ac:dyDescent="0.25"/>
    <row r="40" spans="1:16" ht="18" customHeight="1" x14ac:dyDescent="0.25">
      <c r="A40" s="2" t="s">
        <v>1480</v>
      </c>
    </row>
    <row r="41" spans="1:16" ht="18" customHeight="1" x14ac:dyDescent="0.25">
      <c r="A41" s="27" t="s">
        <v>1481</v>
      </c>
      <c r="B41" s="27" t="s">
        <v>433</v>
      </c>
      <c r="C41" s="27" t="s">
        <v>434</v>
      </c>
      <c r="D41" s="27" t="s">
        <v>435</v>
      </c>
      <c r="E41" s="27" t="s">
        <v>436</v>
      </c>
      <c r="F41" s="27" t="s">
        <v>437</v>
      </c>
      <c r="G41" s="27" t="s">
        <v>438</v>
      </c>
      <c r="H41" s="27" t="s">
        <v>439</v>
      </c>
      <c r="I41" s="27" t="s">
        <v>440</v>
      </c>
      <c r="J41" s="27" t="s">
        <v>441</v>
      </c>
      <c r="K41" s="27" t="s">
        <v>442</v>
      </c>
      <c r="L41" s="14" t="s">
        <v>1482</v>
      </c>
      <c r="M41" s="27" t="s">
        <v>1462</v>
      </c>
    </row>
    <row r="42" spans="1:16" ht="18" customHeight="1" x14ac:dyDescent="0.25">
      <c r="A42" s="1" t="s">
        <v>501</v>
      </c>
      <c r="B42" s="254">
        <f>IF(1&gt;$B$5,0,B9*B11)</f>
        <v>0</v>
      </c>
      <c r="C42" s="254">
        <f>IF(2&gt;$B$5,0,B9*B11)</f>
        <v>0</v>
      </c>
      <c r="D42" s="254">
        <f>IF(3&gt;$B$5,0,B9*B11)</f>
        <v>0</v>
      </c>
      <c r="E42" s="254">
        <f>IF(4&gt;$B$5,0,B9*B11)</f>
        <v>0</v>
      </c>
      <c r="F42" s="254">
        <f>IF(5&gt;$B$5,0,B9*B11)</f>
        <v>0</v>
      </c>
      <c r="G42" s="254">
        <f>IF(6&gt;$B$5,0,B9*B11)</f>
        <v>0</v>
      </c>
      <c r="H42" s="254">
        <f>IF(7&gt;$B$5,0,B9*B11)</f>
        <v>0</v>
      </c>
      <c r="I42" s="254">
        <f>IF(8&gt;$B$5,0,B9*B11)</f>
        <v>0</v>
      </c>
      <c r="J42" s="254">
        <f>IF(9&gt;$B$5,0,B9*B11)</f>
        <v>0</v>
      </c>
      <c r="K42" s="254">
        <f>IF(10&gt;$B$5,0,B9*B11)</f>
        <v>0</v>
      </c>
      <c r="L42" s="254">
        <v>0</v>
      </c>
      <c r="M42" s="254">
        <f>SUM(B42:K42)</f>
        <v>0</v>
      </c>
    </row>
    <row r="43" spans="1:16" ht="18" customHeight="1" x14ac:dyDescent="0.25">
      <c r="A43" s="628" t="s">
        <v>1483</v>
      </c>
      <c r="B43" s="227">
        <f t="shared" ref="B43:K43" si="0">MAX(MIN(B28,B42),0)</f>
        <v>0</v>
      </c>
      <c r="C43" s="227">
        <f t="shared" si="0"/>
        <v>0</v>
      </c>
      <c r="D43" s="227">
        <f t="shared" si="0"/>
        <v>0</v>
      </c>
      <c r="E43" s="227">
        <f t="shared" si="0"/>
        <v>0</v>
      </c>
      <c r="F43" s="227">
        <f t="shared" si="0"/>
        <v>0</v>
      </c>
      <c r="G43" s="227">
        <f t="shared" si="0"/>
        <v>0</v>
      </c>
      <c r="H43" s="227">
        <f t="shared" si="0"/>
        <v>0</v>
      </c>
      <c r="I43" s="227">
        <f t="shared" si="0"/>
        <v>0</v>
      </c>
      <c r="J43" s="227">
        <f t="shared" si="0"/>
        <v>0</v>
      </c>
      <c r="K43" s="227">
        <f t="shared" si="0"/>
        <v>0</v>
      </c>
      <c r="L43" s="227">
        <v>0</v>
      </c>
      <c r="M43" s="227">
        <f>SUM(B43:K43)</f>
        <v>0</v>
      </c>
    </row>
    <row r="44" spans="1:16" ht="15" customHeight="1" x14ac:dyDescent="0.25">
      <c r="A44" s="1" t="s">
        <v>1484</v>
      </c>
      <c r="B44" s="254">
        <f>IF(1&gt;$B$5,0,IF(B14="YES",B10*B12,0))</f>
        <v>0</v>
      </c>
      <c r="C44" s="254">
        <f>IF(2&gt;$B$5,0,IF(B14="YES",B10*B12,0))</f>
        <v>0</v>
      </c>
      <c r="D44" s="254">
        <f>IF(3&gt;$B$5,0,IF(B14="YES",B10*B12,0))</f>
        <v>0</v>
      </c>
      <c r="E44" s="254">
        <f>IF(4&gt;$B$5,0,IF(B14="YES",B10*B12,0))</f>
        <v>0</v>
      </c>
      <c r="F44" s="254">
        <f>IF(5&gt;$B$5,0,IF(B14="YES",B10*B12,0))</f>
        <v>0</v>
      </c>
      <c r="G44" s="254">
        <f>IF(6&gt;$B$5,0,IF(B14="YES",B10*B12,0))</f>
        <v>0</v>
      </c>
      <c r="H44" s="254">
        <f>IF(7&gt;$B$5,0,IF(B14="YES",B10*B12,0))</f>
        <v>0</v>
      </c>
      <c r="I44" s="254">
        <f>IF(8&gt;$B$5,0,IF(B14="YES",B10*B12,0))</f>
        <v>0</v>
      </c>
      <c r="J44" s="254">
        <f>IF(9&gt;$B$5,0,IF(B14="YES",B10*B12,0))</f>
        <v>0</v>
      </c>
      <c r="K44" s="254">
        <f>IF(10&gt;$B$5,0,IF(B14="YES",B10*B12,0))</f>
        <v>0</v>
      </c>
      <c r="L44" s="254">
        <v>0</v>
      </c>
      <c r="M44" s="254">
        <f>SUM(B44:K44)</f>
        <v>0</v>
      </c>
    </row>
    <row r="45" spans="1:16" ht="18" customHeight="1" x14ac:dyDescent="0.25">
      <c r="A45" s="628" t="s">
        <v>1485</v>
      </c>
      <c r="B45" s="227">
        <f>IF(B14="YES",MIN(MAX(B28-B43,0),B44),0)</f>
        <v>0</v>
      </c>
      <c r="C45" s="227">
        <f>IF(B14="YES",MIN(MAX(C28-C43,0),C44),0)</f>
        <v>0</v>
      </c>
      <c r="D45" s="227">
        <f>IF(B14="YES",MIN(MAX(D28-D43,0),D44),0)</f>
        <v>0</v>
      </c>
      <c r="E45" s="227">
        <f>IF(B14="YES",MIN(MAX(E28-E43,0),E44),0)</f>
        <v>0</v>
      </c>
      <c r="F45" s="227">
        <f>IF(B14="YES",MIN(MAX(F28-F43,0),F44),0)</f>
        <v>0</v>
      </c>
      <c r="G45" s="227">
        <f>IF(B14="YES",MIN(MAX(G28-G43,0),G44),0)</f>
        <v>0</v>
      </c>
      <c r="H45" s="227">
        <f>IF(B14="YES",MIN(MAX(H28-H43,0),H44),0)</f>
        <v>0</v>
      </c>
      <c r="I45" s="227">
        <f>IF(B14="YES",MIN(MAX(I28-I43,0),I44),0)</f>
        <v>0</v>
      </c>
      <c r="J45" s="227">
        <f>IF(B14="YES",MIN(MAX(J28-J43,0),J44),0)</f>
        <v>0</v>
      </c>
      <c r="K45" s="227">
        <f>IF(B14="YES",MIN(MAX(K28-K43,0),K44),0)</f>
        <v>0</v>
      </c>
      <c r="L45" s="227">
        <v>0</v>
      </c>
      <c r="M45" s="227">
        <f>SUM(B45:K45)</f>
        <v>0</v>
      </c>
    </row>
    <row r="46" spans="1:16" ht="18" customHeight="1" x14ac:dyDescent="0.25">
      <c r="A46" s="251" t="s">
        <v>1486</v>
      </c>
      <c r="B46" s="222">
        <f t="shared" ref="B46:K46" si="1">MAX(B28-B43-B45,0)</f>
        <v>0</v>
      </c>
      <c r="C46" s="222">
        <f t="shared" si="1"/>
        <v>0</v>
      </c>
      <c r="D46" s="222">
        <f t="shared" si="1"/>
        <v>0</v>
      </c>
      <c r="E46" s="222">
        <f t="shared" si="1"/>
        <v>0</v>
      </c>
      <c r="F46" s="222">
        <f t="shared" si="1"/>
        <v>0</v>
      </c>
      <c r="G46" s="222">
        <f t="shared" si="1"/>
        <v>0</v>
      </c>
      <c r="H46" s="222">
        <f t="shared" si="1"/>
        <v>0</v>
      </c>
      <c r="I46" s="222">
        <f t="shared" si="1"/>
        <v>0</v>
      </c>
      <c r="J46" s="222">
        <f t="shared" si="1"/>
        <v>0</v>
      </c>
      <c r="K46" s="222">
        <f t="shared" si="1"/>
        <v>0</v>
      </c>
      <c r="L46" s="222">
        <f>MAX(B35,0)</f>
        <v>0</v>
      </c>
      <c r="M46" s="222">
        <f>SUM(B46:L46)</f>
        <v>0</v>
      </c>
    </row>
    <row r="48" spans="1:16" ht="18" customHeight="1" x14ac:dyDescent="0.25">
      <c r="A48" s="10" t="s">
        <v>1487</v>
      </c>
      <c r="B48" s="254">
        <f t="shared" ref="B48:L48" si="2">B113</f>
        <v>0</v>
      </c>
      <c r="C48" s="254">
        <f t="shared" si="2"/>
        <v>0</v>
      </c>
      <c r="D48" s="254">
        <f t="shared" si="2"/>
        <v>0</v>
      </c>
      <c r="E48" s="254">
        <f t="shared" si="2"/>
        <v>0</v>
      </c>
      <c r="F48" s="254">
        <f t="shared" si="2"/>
        <v>0</v>
      </c>
      <c r="G48" s="254">
        <f t="shared" si="2"/>
        <v>0</v>
      </c>
      <c r="H48" s="254">
        <f t="shared" si="2"/>
        <v>0</v>
      </c>
      <c r="I48" s="254">
        <f t="shared" si="2"/>
        <v>0</v>
      </c>
      <c r="J48" s="254">
        <f t="shared" si="2"/>
        <v>0</v>
      </c>
      <c r="K48" s="254">
        <f t="shared" si="2"/>
        <v>0</v>
      </c>
      <c r="L48" s="254">
        <f t="shared" si="2"/>
        <v>0</v>
      </c>
      <c r="M48" s="254">
        <f>SUM(B48:L48)</f>
        <v>0</v>
      </c>
    </row>
    <row r="49" spans="1:13" ht="18" customHeight="1" x14ac:dyDescent="0.25">
      <c r="A49" s="10" t="s">
        <v>1488</v>
      </c>
      <c r="B49" s="254">
        <f t="shared" ref="B49:L49" si="3">B114</f>
        <v>0</v>
      </c>
      <c r="C49" s="254">
        <f t="shared" si="3"/>
        <v>0</v>
      </c>
      <c r="D49" s="254">
        <f t="shared" si="3"/>
        <v>0</v>
      </c>
      <c r="E49" s="254">
        <f t="shared" si="3"/>
        <v>0</v>
      </c>
      <c r="F49" s="254">
        <f t="shared" si="3"/>
        <v>0</v>
      </c>
      <c r="G49" s="254">
        <f t="shared" si="3"/>
        <v>0</v>
      </c>
      <c r="H49" s="254">
        <f t="shared" si="3"/>
        <v>0</v>
      </c>
      <c r="I49" s="254">
        <f t="shared" si="3"/>
        <v>0</v>
      </c>
      <c r="J49" s="254">
        <f t="shared" si="3"/>
        <v>0</v>
      </c>
      <c r="K49" s="254">
        <f t="shared" si="3"/>
        <v>0</v>
      </c>
      <c r="L49" s="254">
        <f t="shared" si="3"/>
        <v>0</v>
      </c>
      <c r="M49" s="254">
        <f>SUM(B49:L49)</f>
        <v>0</v>
      </c>
    </row>
    <row r="50" spans="1:13" ht="18" customHeight="1" x14ac:dyDescent="0.25">
      <c r="A50" s="1" t="s">
        <v>1489</v>
      </c>
      <c r="B50" s="23">
        <f t="shared" ref="B50:K50" si="4">IFERROR(B57/($B$9+$B$10),0)</f>
        <v>0</v>
      </c>
      <c r="C50" s="23">
        <f t="shared" si="4"/>
        <v>0</v>
      </c>
      <c r="D50" s="23">
        <f t="shared" si="4"/>
        <v>0</v>
      </c>
      <c r="E50" s="23">
        <f t="shared" si="4"/>
        <v>0</v>
      </c>
      <c r="F50" s="23">
        <f t="shared" si="4"/>
        <v>0</v>
      </c>
      <c r="G50" s="23">
        <f t="shared" si="4"/>
        <v>0</v>
      </c>
      <c r="H50" s="23">
        <f t="shared" si="4"/>
        <v>0</v>
      </c>
      <c r="I50" s="23">
        <f t="shared" si="4"/>
        <v>0</v>
      </c>
      <c r="J50" s="23">
        <f t="shared" si="4"/>
        <v>0</v>
      </c>
      <c r="K50" s="23">
        <f t="shared" si="4"/>
        <v>0</v>
      </c>
      <c r="M50" s="23">
        <f>SUM(B50:K50)</f>
        <v>0</v>
      </c>
    </row>
    <row r="51" spans="1:13" ht="6" customHeight="1" x14ac:dyDescent="0.25">
      <c r="A51" s="628"/>
      <c r="B51" s="227"/>
      <c r="C51" s="227"/>
      <c r="D51" s="227"/>
      <c r="E51" s="227"/>
      <c r="F51" s="227"/>
      <c r="G51" s="227"/>
      <c r="H51" s="227"/>
      <c r="I51" s="227"/>
      <c r="J51" s="227"/>
      <c r="K51" s="227"/>
      <c r="L51" s="227"/>
      <c r="M51" s="227"/>
    </row>
    <row r="52" spans="1:13" ht="6" customHeight="1" x14ac:dyDescent="0.25">
      <c r="A52" s="628"/>
      <c r="B52" s="227"/>
      <c r="C52" s="227"/>
      <c r="D52" s="227"/>
      <c r="E52" s="227"/>
      <c r="F52" s="227"/>
      <c r="G52" s="227"/>
      <c r="H52" s="227"/>
      <c r="I52" s="227"/>
      <c r="J52" s="227"/>
      <c r="K52" s="227"/>
      <c r="L52" s="227"/>
      <c r="M52" s="227"/>
    </row>
    <row r="53" spans="1:13" ht="6" customHeight="1" x14ac:dyDescent="0.25">
      <c r="A53" s="628"/>
      <c r="B53" s="227"/>
      <c r="C53" s="227"/>
      <c r="D53" s="227"/>
      <c r="E53" s="227"/>
      <c r="F53" s="227"/>
      <c r="G53" s="227"/>
      <c r="H53" s="227"/>
      <c r="I53" s="227"/>
      <c r="J53" s="227"/>
      <c r="K53" s="227"/>
      <c r="L53" s="227"/>
      <c r="M53" s="227"/>
    </row>
    <row r="54" spans="1:13" ht="18" customHeight="1" x14ac:dyDescent="0.25"/>
    <row r="55" spans="1:13" ht="18" customHeight="1" x14ac:dyDescent="0.25">
      <c r="A55" s="216" t="s">
        <v>1490</v>
      </c>
      <c r="B55" s="629">
        <f t="shared" ref="B55:K55" si="5">IF($E$12="Common Equity",B43+B48*IFERROR($B$9/($B$9+$B$10),1),B43+B48)</f>
        <v>0</v>
      </c>
      <c r="C55" s="629">
        <f t="shared" si="5"/>
        <v>0</v>
      </c>
      <c r="D55" s="629">
        <f t="shared" si="5"/>
        <v>0</v>
      </c>
      <c r="E55" s="629">
        <f t="shared" si="5"/>
        <v>0</v>
      </c>
      <c r="F55" s="629">
        <f t="shared" si="5"/>
        <v>0</v>
      </c>
      <c r="G55" s="629">
        <f t="shared" si="5"/>
        <v>0</v>
      </c>
      <c r="H55" s="629">
        <f t="shared" si="5"/>
        <v>0</v>
      </c>
      <c r="I55" s="629">
        <f t="shared" si="5"/>
        <v>0</v>
      </c>
      <c r="J55" s="629">
        <f t="shared" si="5"/>
        <v>0</v>
      </c>
      <c r="K55" s="629">
        <f t="shared" si="5"/>
        <v>0</v>
      </c>
      <c r="L55" s="629">
        <f>IF($E$12="Common Equity",L43+L48*IFERROR($B$9/($B$9+$B$10),1)+L36,L43+L48+L36)</f>
        <v>0</v>
      </c>
      <c r="M55" s="630">
        <f>SUM(B55:L55)</f>
        <v>0</v>
      </c>
    </row>
    <row r="56" spans="1:13" ht="15" customHeight="1" x14ac:dyDescent="0.25">
      <c r="A56" s="374" t="s">
        <v>1491</v>
      </c>
      <c r="B56" s="631">
        <f t="shared" ref="B56:K56" si="6">IF($E$12="Common Equity",B45+B48*IFERROR($B$10/($B$9+$B$10),0),B45)</f>
        <v>0</v>
      </c>
      <c r="C56" s="631">
        <f t="shared" si="6"/>
        <v>0</v>
      </c>
      <c r="D56" s="631">
        <f t="shared" si="6"/>
        <v>0</v>
      </c>
      <c r="E56" s="631">
        <f t="shared" si="6"/>
        <v>0</v>
      </c>
      <c r="F56" s="631">
        <f t="shared" si="6"/>
        <v>0</v>
      </c>
      <c r="G56" s="631">
        <f t="shared" si="6"/>
        <v>0</v>
      </c>
      <c r="H56" s="631">
        <f t="shared" si="6"/>
        <v>0</v>
      </c>
      <c r="I56" s="631">
        <f t="shared" si="6"/>
        <v>0</v>
      </c>
      <c r="J56" s="631">
        <f t="shared" si="6"/>
        <v>0</v>
      </c>
      <c r="K56" s="631">
        <f t="shared" si="6"/>
        <v>0</v>
      </c>
      <c r="L56" s="631">
        <f>IF($E$12="Common Equity",L45+L48*IFERROR($B$10/($B$9+$B$10),0)+L37,L45+L37)</f>
        <v>0</v>
      </c>
      <c r="M56" s="632">
        <f>SUM(B56:L56)</f>
        <v>0</v>
      </c>
    </row>
    <row r="57" spans="1:13" ht="24" customHeight="1" x14ac:dyDescent="0.25">
      <c r="A57" s="217" t="s">
        <v>1492</v>
      </c>
      <c r="B57" s="263">
        <f t="shared" ref="B57:L57" si="7">B55+B56</f>
        <v>0</v>
      </c>
      <c r="C57" s="263">
        <f t="shared" si="7"/>
        <v>0</v>
      </c>
      <c r="D57" s="263">
        <f t="shared" si="7"/>
        <v>0</v>
      </c>
      <c r="E57" s="263">
        <f t="shared" si="7"/>
        <v>0</v>
      </c>
      <c r="F57" s="263">
        <f t="shared" si="7"/>
        <v>0</v>
      </c>
      <c r="G57" s="311">
        <f t="shared" si="7"/>
        <v>0</v>
      </c>
      <c r="H57" s="311">
        <f t="shared" si="7"/>
        <v>0</v>
      </c>
      <c r="I57" s="311">
        <f t="shared" si="7"/>
        <v>0</v>
      </c>
      <c r="J57" s="311">
        <f t="shared" si="7"/>
        <v>0</v>
      </c>
      <c r="K57" s="311">
        <f t="shared" si="7"/>
        <v>0</v>
      </c>
      <c r="L57" s="311">
        <f t="shared" si="7"/>
        <v>0</v>
      </c>
      <c r="M57" s="263">
        <f>SUM(B57:L57)</f>
        <v>0</v>
      </c>
    </row>
    <row r="58" spans="1:13" ht="30" customHeight="1" x14ac:dyDescent="0.25">
      <c r="A58" s="33" t="s">
        <v>1493</v>
      </c>
      <c r="B58" s="321">
        <f t="shared" ref="B58:K58" si="8">B49</f>
        <v>0</v>
      </c>
      <c r="C58" s="321">
        <f t="shared" si="8"/>
        <v>0</v>
      </c>
      <c r="D58" s="321">
        <f t="shared" si="8"/>
        <v>0</v>
      </c>
      <c r="E58" s="321">
        <f t="shared" si="8"/>
        <v>0</v>
      </c>
      <c r="F58" s="321">
        <f t="shared" si="8"/>
        <v>0</v>
      </c>
      <c r="G58" s="321">
        <f t="shared" si="8"/>
        <v>0</v>
      </c>
      <c r="H58" s="321">
        <f t="shared" si="8"/>
        <v>0</v>
      </c>
      <c r="I58" s="321">
        <f t="shared" si="8"/>
        <v>0</v>
      </c>
      <c r="J58" s="321">
        <f t="shared" si="8"/>
        <v>0</v>
      </c>
      <c r="K58" s="321">
        <f t="shared" si="8"/>
        <v>0</v>
      </c>
      <c r="L58" s="311">
        <f>L49+L38</f>
        <v>0</v>
      </c>
      <c r="M58" s="321">
        <f>SUM(B58:L58)</f>
        <v>0</v>
      </c>
    </row>
    <row r="59" spans="1:13" ht="18" customHeight="1" x14ac:dyDescent="0.25"/>
    <row r="60" spans="1:13" ht="18" customHeight="1" x14ac:dyDescent="0.25">
      <c r="A60" s="2" t="s">
        <v>108</v>
      </c>
    </row>
    <row r="61" spans="1:13" ht="18" customHeight="1" x14ac:dyDescent="0.25">
      <c r="A61" s="27" t="s">
        <v>69</v>
      </c>
      <c r="B61" s="14" t="s">
        <v>109</v>
      </c>
      <c r="C61" s="361" t="s">
        <v>110</v>
      </c>
      <c r="D61" s="63" t="s">
        <v>1494</v>
      </c>
      <c r="E61" s="27" t="s">
        <v>112</v>
      </c>
      <c r="F61" s="62" t="s">
        <v>113</v>
      </c>
    </row>
    <row r="62" spans="1:13" ht="18" customHeight="1" x14ac:dyDescent="0.25">
      <c r="A62" s="1" t="s">
        <v>1495</v>
      </c>
      <c r="B62" s="633">
        <f>-B9</f>
        <v>0</v>
      </c>
      <c r="C62" s="633">
        <f>IF(1&gt;$B$5,0,B55+IF(1=$B$5,L55,0))</f>
        <v>0</v>
      </c>
      <c r="D62" s="633">
        <f>IF(2&gt;$B$5,0,C55+IF(2=$B$5,L55,0))</f>
        <v>0</v>
      </c>
      <c r="E62" s="633">
        <f>IF(3&gt;$B$5,0,D55+IF(3=$B$5,L55,0))</f>
        <v>0</v>
      </c>
      <c r="F62" s="633">
        <f>IF(4&gt;$B$5,0,E55+IF(4=$B$5,L55,0))</f>
        <v>0</v>
      </c>
      <c r="G62" s="633">
        <f>IF(5&gt;$B$5,0,F55+IF(5=$B$5,L55,0))</f>
        <v>0</v>
      </c>
      <c r="H62" s="633">
        <f>IF(6&gt;$B$5,0,G55+IF(6=$B$5,L55,0))</f>
        <v>0</v>
      </c>
      <c r="I62" s="633">
        <f>IF(7&gt;$B$5,0,H55+IF(7=$B$5,L55,0))</f>
        <v>0</v>
      </c>
      <c r="J62" s="633">
        <f>IF(8&gt;$B$5,0,I55+IF(8=$B$5,L55,0))</f>
        <v>0</v>
      </c>
      <c r="K62" s="633">
        <f>IF(9&gt;$B$5,0,J55+IF(9=$B$5,L55,0))</f>
        <v>0</v>
      </c>
      <c r="L62" s="633">
        <f>IF(10&gt;$B$5,0,K55+IF(10=$B$5,L55,0))</f>
        <v>0</v>
      </c>
      <c r="M62" s="633"/>
    </row>
    <row r="63" spans="1:13" ht="18" customHeight="1" x14ac:dyDescent="0.25">
      <c r="A63" s="1" t="s">
        <v>1496</v>
      </c>
      <c r="B63" s="633">
        <f>-B10</f>
        <v>0</v>
      </c>
      <c r="C63" s="633">
        <f>IF(1&gt;$B$5,0,B56+IF(1=$B$5,L56,0))</f>
        <v>0</v>
      </c>
      <c r="D63" s="633">
        <f>IF(2&gt;$B$5,0,C56+IF(2=$B$5,L56,0))</f>
        <v>0</v>
      </c>
      <c r="E63" s="633">
        <f>IF(3&gt;$B$5,0,D56+IF(3=$B$5,L56,0))</f>
        <v>0</v>
      </c>
      <c r="F63" s="633">
        <f>IF(4&gt;$B$5,0,E56+IF(4=$B$5,L56,0))</f>
        <v>0</v>
      </c>
      <c r="G63" s="633">
        <f>IF(5&gt;$B$5,0,F56+IF(5=$B$5,L56,0))</f>
        <v>0</v>
      </c>
      <c r="H63" s="633">
        <f>IF(6&gt;$B$5,0,G56+IF(6=$B$5,L56,0))</f>
        <v>0</v>
      </c>
      <c r="I63" s="633">
        <f>IF(7&gt;$B$5,0,H56+IF(7=$B$5,L56,0))</f>
        <v>0</v>
      </c>
      <c r="J63" s="633">
        <f>IF(8&gt;$B$5,0,I56+IF(8=$B$5,L56,0))</f>
        <v>0</v>
      </c>
      <c r="K63" s="633">
        <f>IF(9&gt;$B$5,0,J56+IF(9=$B$5,L56,0))</f>
        <v>0</v>
      </c>
      <c r="L63" s="633">
        <f>IF(10&gt;$B$5,0,K56+IF(10=$B$5,L56,0))</f>
        <v>0</v>
      </c>
      <c r="M63" s="633"/>
    </row>
    <row r="64" spans="1:13" ht="18" customHeight="1" x14ac:dyDescent="0.25">
      <c r="A64" s="1" t="s">
        <v>1497</v>
      </c>
      <c r="B64" s="633">
        <f>-B8</f>
        <v>0</v>
      </c>
      <c r="C64" s="633">
        <f>IF(1&gt;$B$5,0,B58+IF(1=$B$5,L58,0))</f>
        <v>0</v>
      </c>
      <c r="D64" s="633">
        <f>IF(2&gt;$B$5,0,C58+IF(2=$B$5,L58,0))</f>
        <v>0</v>
      </c>
      <c r="E64" s="633">
        <f>IF(3&gt;$B$5,0,D58+IF(3=$B$5,L58,0))</f>
        <v>0</v>
      </c>
      <c r="F64" s="633">
        <f>IF(4&gt;$B$5,0,E58+IF(4=$B$5,L58,0))</f>
        <v>0</v>
      </c>
      <c r="G64" s="633">
        <f>IF(5&gt;$B$5,0,F58+IF(5=$B$5,L58,0))</f>
        <v>0</v>
      </c>
      <c r="H64" s="633">
        <f>IF(6&gt;$B$5,0,G58+IF(6=$B$5,L58,0))</f>
        <v>0</v>
      </c>
      <c r="I64" s="633">
        <f>IF(7&gt;$B$5,0,H58+IF(7=$B$5,L58,0))</f>
        <v>0</v>
      </c>
      <c r="J64" s="633">
        <f>IF(8&gt;$B$5,0,I58+IF(8=$B$5,L58,0))</f>
        <v>0</v>
      </c>
      <c r="K64" s="633">
        <f>IF(9&gt;$B$5,0,J58+IF(9=$B$5,L58,0))</f>
        <v>0</v>
      </c>
      <c r="L64" s="633">
        <f>IF(10&gt;$B$5,0,K58+IF(10=$B$5,L58,0))</f>
        <v>0</v>
      </c>
      <c r="M64" s="633"/>
    </row>
    <row r="65" spans="1:14" ht="18" customHeight="1" x14ac:dyDescent="0.25">
      <c r="A65" s="1" t="s">
        <v>114</v>
      </c>
      <c r="B65" s="254">
        <f>B9</f>
        <v>0</v>
      </c>
      <c r="C65" s="254">
        <f>B10</f>
        <v>0</v>
      </c>
      <c r="D65" s="254">
        <f>B9+B10</f>
        <v>0</v>
      </c>
      <c r="E65" s="254">
        <f>B8</f>
        <v>0</v>
      </c>
    </row>
    <row r="66" spans="1:14" ht="18" customHeight="1" x14ac:dyDescent="0.25">
      <c r="A66" s="4" t="s">
        <v>116</v>
      </c>
      <c r="B66" s="255">
        <f>M55</f>
        <v>0</v>
      </c>
      <c r="C66" s="255">
        <f>M56</f>
        <v>0</v>
      </c>
      <c r="D66" s="255">
        <f>M57</f>
        <v>0</v>
      </c>
      <c r="E66" s="255">
        <f>M58</f>
        <v>0</v>
      </c>
    </row>
    <row r="67" spans="1:14" ht="15.75" customHeight="1" x14ac:dyDescent="0.25">
      <c r="A67" s="1" t="s">
        <v>119</v>
      </c>
      <c r="B67" s="634">
        <f>IFERROR(B66/B65,0)</f>
        <v>0</v>
      </c>
      <c r="C67" s="634">
        <f>IFERROR(C66/C65,0)</f>
        <v>0</v>
      </c>
      <c r="D67" s="634">
        <f>IFERROR(D66/D65,0)</f>
        <v>0</v>
      </c>
      <c r="E67" s="634">
        <f>IFERROR(E66/E65,0)</f>
        <v>0</v>
      </c>
    </row>
    <row r="68" spans="1:14" ht="15" customHeight="1" x14ac:dyDescent="0.25">
      <c r="A68" s="4" t="s">
        <v>118</v>
      </c>
      <c r="B68" s="255">
        <f>B66-B65</f>
        <v>0</v>
      </c>
      <c r="C68" s="255">
        <f>C66-C65</f>
        <v>0</v>
      </c>
      <c r="D68" s="255">
        <f>D66-D65</f>
        <v>0</v>
      </c>
      <c r="E68" s="255">
        <f>E66-E65</f>
        <v>0</v>
      </c>
    </row>
    <row r="69" spans="1:14" ht="15" customHeight="1" x14ac:dyDescent="0.25">
      <c r="A69" s="1" t="s">
        <v>121</v>
      </c>
      <c r="B69" s="635">
        <f>'XIRR Analysis'!H54</f>
        <v>0</v>
      </c>
      <c r="C69" s="635">
        <f>IFERROR(IRR(B63:M63),0)</f>
        <v>0</v>
      </c>
      <c r="D69" s="635">
        <f>IFERROR(IF(B10=0,B69,IRR(B70:M70)),0)</f>
        <v>0</v>
      </c>
      <c r="E69" s="635">
        <f>IFERROR(IRR(B64:M64),0)</f>
        <v>0</v>
      </c>
    </row>
    <row r="70" spans="1:14" ht="21.75" customHeight="1" x14ac:dyDescent="0.25">
      <c r="A70" s="851" t="s">
        <v>1498</v>
      </c>
      <c r="B70" s="798"/>
      <c r="C70" s="798"/>
      <c r="D70" s="798"/>
      <c r="E70" s="798"/>
      <c r="F70" s="798"/>
      <c r="G70" s="798"/>
      <c r="H70" s="798"/>
      <c r="I70" s="798"/>
      <c r="J70" s="798"/>
      <c r="K70" s="798"/>
      <c r="L70" s="798"/>
      <c r="M70" s="798"/>
      <c r="N70" s="798"/>
    </row>
    <row r="71" spans="1:14" ht="15.75" customHeight="1" x14ac:dyDescent="0.25"/>
    <row r="72" spans="1:14" ht="18" customHeight="1" x14ac:dyDescent="0.25"/>
    <row r="73" spans="1:14" ht="18" customHeight="1" x14ac:dyDescent="0.25">
      <c r="A73" s="2" t="s">
        <v>1499</v>
      </c>
    </row>
    <row r="74" spans="1:14" ht="18" customHeight="1" x14ac:dyDescent="0.25">
      <c r="A74" s="636" t="s">
        <v>1500</v>
      </c>
      <c r="B74" s="37" t="s">
        <v>1501</v>
      </c>
      <c r="C74" s="37" t="s">
        <v>1502</v>
      </c>
      <c r="D74" s="37" t="s">
        <v>1503</v>
      </c>
      <c r="E74" s="37" t="s">
        <v>1504</v>
      </c>
      <c r="F74" s="37" t="s">
        <v>1505</v>
      </c>
      <c r="G74" s="37" t="s">
        <v>1506</v>
      </c>
      <c r="H74" s="37" t="s">
        <v>1507</v>
      </c>
      <c r="I74" s="37" t="s">
        <v>1508</v>
      </c>
      <c r="J74" s="37" t="s">
        <v>1509</v>
      </c>
      <c r="K74" s="37" t="s">
        <v>1510</v>
      </c>
      <c r="L74" s="37" t="s">
        <v>1511</v>
      </c>
      <c r="M74" s="37" t="s">
        <v>1512</v>
      </c>
    </row>
    <row r="75" spans="1:14" ht="15" customHeight="1" x14ac:dyDescent="0.25">
      <c r="A75" s="250" t="s">
        <v>1513</v>
      </c>
      <c r="B75" s="637">
        <f>B9</f>
        <v>0</v>
      </c>
      <c r="C75" s="638">
        <f>IF(1&gt;$B$5,0,MAX(B75-IF($B$23="Return of Capital",IF(ISNUMBER('Exit Strategy'!$C$5),IF(1='Exit Strategy'!$C$5,'Exit Strategy'!$C$16*IFERROR($B$9/($B$9+$B$10),1),0),0),0),0))</f>
        <v>0</v>
      </c>
      <c r="D75" s="638">
        <f>IF(2&gt;$B$5,0,MAX(C75-IF($B$23="Return of Capital",IF(ISNUMBER('Exit Strategy'!$C$5),IF(2='Exit Strategy'!$C$5,'Exit Strategy'!$C$16*IFERROR($B$9/($B$9+$B$10),1),0),0),0),0))</f>
        <v>0</v>
      </c>
      <c r="E75" s="638">
        <f>IF(3&gt;$B$5,0,MAX(D75-IF($B$23="Return of Capital",IF(ISNUMBER('Exit Strategy'!$C$5),IF(3='Exit Strategy'!$C$5,'Exit Strategy'!$C$16*IFERROR($B$9/($B$9+$B$10),1),0),0),0),0))</f>
        <v>0</v>
      </c>
      <c r="F75" s="638">
        <f>IF(4&gt;$B$5,0,MAX(E75-IF($B$23="Return of Capital",IF(ISNUMBER('Exit Strategy'!$C$5),IF(4='Exit Strategy'!$C$5,'Exit Strategy'!$C$16*IFERROR($B$9/($B$9+$B$10),1),0),0),0),0))</f>
        <v>0</v>
      </c>
      <c r="G75" s="638">
        <f>IF(5&gt;$B$5,0,MAX(F75-IF($B$23="Return of Capital",IF(ISNUMBER('Exit Strategy'!$C$5),IF(5='Exit Strategy'!$C$5,'Exit Strategy'!$C$16*IFERROR($B$9/($B$9+$B$10),1),0),0),0),0))</f>
        <v>0</v>
      </c>
      <c r="H75" s="638">
        <f>IF(6&gt;$B$5,0,MAX(G75-IF($B$23="Return of Capital",IF(ISNUMBER('Exit Strategy'!$C$5),IF(6='Exit Strategy'!$C$5,'Exit Strategy'!$C$16*IFERROR($B$9/($B$9+$B$10),1),0),0),0),0))</f>
        <v>0</v>
      </c>
      <c r="I75" s="638">
        <f>IF(7&gt;$B$5,0,MAX(H75-IF($B$23="Return of Capital",IF(ISNUMBER('Exit Strategy'!$C$5),IF(7='Exit Strategy'!$C$5,'Exit Strategy'!$C$16*IFERROR($B$9/($B$9+$B$10),1),0),0),0),0))</f>
        <v>0</v>
      </c>
      <c r="J75" s="638">
        <f>IF(8&gt;$B$5,0,MAX(I75-IF($B$23="Return of Capital",IF(ISNUMBER('Exit Strategy'!$C$5),IF(8='Exit Strategy'!$C$5,'Exit Strategy'!$C$16*IFERROR($B$9/($B$9+$B$10),1),0),0),0),0))</f>
        <v>0</v>
      </c>
      <c r="K75" s="638">
        <f>IF(9&gt;$B$5,0,MAX(J75-IF($B$23="Return of Capital",IF(ISNUMBER('Exit Strategy'!$C$5),IF(9='Exit Strategy'!$C$5,'Exit Strategy'!$C$16*IFERROR($B$9/($B$9+$B$10),1),0),0),0),0))</f>
        <v>0</v>
      </c>
      <c r="L75" s="638">
        <f>IF(10&gt;$B$5,0,MAX(K75-IF($B$23="Return of Capital",IF(ISNUMBER('Exit Strategy'!$C$5),IF(10='Exit Strategy'!$C$5,'Exit Strategy'!$C$16*IFERROR($B$9/($B$9+$B$10),1),0),0),0),0))</f>
        <v>0</v>
      </c>
      <c r="M75" s="637">
        <f>B75</f>
        <v>0</v>
      </c>
      <c r="N75" s="637">
        <f>MAX(K75-L51,0)</f>
        <v>0</v>
      </c>
    </row>
    <row r="76" spans="1:14" ht="18" customHeight="1" x14ac:dyDescent="0.25">
      <c r="A76" s="639" t="s">
        <v>1514</v>
      </c>
      <c r="B76" s="640" t="s">
        <v>104</v>
      </c>
      <c r="C76" s="641">
        <f>IF($B$23="Return of Capital",IF(ISNUMBER('Exit Strategy'!$C$5),IF(1='Exit Strategy'!$C$5,'Exit Strategy'!$C$16*IFERROR($B$9/($B$9+$B$10),1),0),0),0)</f>
        <v>0</v>
      </c>
      <c r="D76" s="641">
        <f>IF($B$23="Return of Capital",IF(ISNUMBER('Exit Strategy'!$C$5),IF(2='Exit Strategy'!$C$5,'Exit Strategy'!$C$16*IFERROR($B$9/($B$9+$B$10),1),0),0),0)</f>
        <v>0</v>
      </c>
      <c r="E76" s="641">
        <f>IF($B$23="Return of Capital",IF(ISNUMBER('Exit Strategy'!$C$5),IF(3='Exit Strategy'!$C$5,'Exit Strategy'!$C$16*IFERROR($B$9/($B$9+$B$10),1),0),0),0)</f>
        <v>0</v>
      </c>
      <c r="F76" s="641">
        <f>IF($B$23="Return of Capital",IF(ISNUMBER('Exit Strategy'!$C$5),IF(4='Exit Strategy'!$C$5,'Exit Strategy'!$C$16*IFERROR($B$9/($B$9+$B$10),1),0),0),0)</f>
        <v>0</v>
      </c>
      <c r="G76" s="641">
        <f>IF($B$23="Return of Capital",IF(ISNUMBER('Exit Strategy'!$C$5),IF(5='Exit Strategy'!$C$5,'Exit Strategy'!$C$16*IFERROR($B$9/($B$9+$B$10),1),0),0),0)</f>
        <v>0</v>
      </c>
      <c r="H76" s="641">
        <f>IF($B$23="Return of Capital",IF(ISNUMBER('Exit Strategy'!$C$5),IF(6='Exit Strategy'!$C$5,'Exit Strategy'!$C$16*IFERROR($B$9/($B$9+$B$10),1),0),0),0)</f>
        <v>0</v>
      </c>
      <c r="I76" s="641">
        <f>IF($B$23="Return of Capital",IF(ISNUMBER('Exit Strategy'!$C$5),IF(7='Exit Strategy'!$C$5,'Exit Strategy'!$C$16*IFERROR($B$9/($B$9+$B$10),1),0),0),0)</f>
        <v>0</v>
      </c>
      <c r="J76" s="641">
        <f>IF($B$23="Return of Capital",IF(ISNUMBER('Exit Strategy'!$C$5),IF(8='Exit Strategy'!$C$5,'Exit Strategy'!$C$16*IFERROR($B$9/($B$9+$B$10),1),0),0),0)</f>
        <v>0</v>
      </c>
      <c r="K76" s="641">
        <f>IF($B$23="Return of Capital",IF(ISNUMBER('Exit Strategy'!$C$5),IF(9='Exit Strategy'!$C$5,'Exit Strategy'!$C$16*IFERROR($B$9/($B$9+$B$10),1),0),0),0)</f>
        <v>0</v>
      </c>
      <c r="L76" s="641">
        <f>IF($B$23="Return of Capital",IF(ISNUMBER('Exit Strategy'!$C$5),IF(10='Exit Strategy'!$C$5,'Exit Strategy'!$C$16*IFERROR($B$9/($B$9+$B$10),1),0),0),0)</f>
        <v>0</v>
      </c>
      <c r="M76" s="641">
        <f>SUM(C76:L76)</f>
        <v>0</v>
      </c>
      <c r="N76" s="641">
        <f>L51</f>
        <v>0</v>
      </c>
    </row>
    <row r="77" spans="1:14" ht="18" customHeight="1" x14ac:dyDescent="0.25">
      <c r="A77" s="642" t="s">
        <v>1515</v>
      </c>
      <c r="B77" s="643">
        <f t="shared" ref="B77:M77" si="9">B75</f>
        <v>0</v>
      </c>
      <c r="C77" s="643">
        <f t="shared" si="9"/>
        <v>0</v>
      </c>
      <c r="D77" s="643">
        <f t="shared" si="9"/>
        <v>0</v>
      </c>
      <c r="E77" s="643">
        <f t="shared" si="9"/>
        <v>0</v>
      </c>
      <c r="F77" s="643">
        <f t="shared" si="9"/>
        <v>0</v>
      </c>
      <c r="G77" s="643">
        <f t="shared" si="9"/>
        <v>0</v>
      </c>
      <c r="H77" s="643">
        <f t="shared" si="9"/>
        <v>0</v>
      </c>
      <c r="I77" s="643">
        <f t="shared" si="9"/>
        <v>0</v>
      </c>
      <c r="J77" s="643">
        <f t="shared" si="9"/>
        <v>0</v>
      </c>
      <c r="K77" s="643">
        <f t="shared" si="9"/>
        <v>0</v>
      </c>
      <c r="L77" s="643">
        <f t="shared" si="9"/>
        <v>0</v>
      </c>
      <c r="M77" s="643">
        <f t="shared" si="9"/>
        <v>0</v>
      </c>
    </row>
    <row r="78" spans="1:14" ht="18" customHeight="1" x14ac:dyDescent="0.25"/>
    <row r="79" spans="1:14" ht="15" customHeight="1" x14ac:dyDescent="0.25">
      <c r="A79" s="250" t="s">
        <v>1516</v>
      </c>
      <c r="B79" s="637">
        <f>B9+B10</f>
        <v>0</v>
      </c>
      <c r="C79" s="638">
        <f>IF(1&gt;$B$5,0,MAX(B79-IF($B$23="Return of Capital",IF(ISNUMBER('Exit Strategy'!$C$5),IF(1='Exit Strategy'!$C$5,'Exit Strategy'!$C$16,0),0),0),0))</f>
        <v>0</v>
      </c>
      <c r="D79" s="638">
        <f>IF(2&gt;$B$5,0,MAX(C79-IF($B$23="Return of Capital",IF(ISNUMBER('Exit Strategy'!$C$5),IF(2='Exit Strategy'!$C$5,'Exit Strategy'!$C$16,0),0),0),0))</f>
        <v>0</v>
      </c>
      <c r="E79" s="638">
        <f>IF(3&gt;$B$5,0,MAX(D79-IF($B$23="Return of Capital",IF(ISNUMBER('Exit Strategy'!$C$5),IF(3='Exit Strategy'!$C$5,'Exit Strategy'!$C$16,0),0),0),0))</f>
        <v>0</v>
      </c>
      <c r="F79" s="638">
        <f>IF(4&gt;$B$5,0,MAX(E79-IF($B$23="Return of Capital",IF(ISNUMBER('Exit Strategy'!$C$5),IF(4='Exit Strategy'!$C$5,'Exit Strategy'!$C$16,0),0),0),0))</f>
        <v>0</v>
      </c>
      <c r="G79" s="638">
        <f>IF(5&gt;$B$5,0,MAX(F79-IF($B$23="Return of Capital",IF(ISNUMBER('Exit Strategy'!$C$5),IF(5='Exit Strategy'!$C$5,'Exit Strategy'!$C$16,0),0),0),0))</f>
        <v>0</v>
      </c>
      <c r="H79" s="638">
        <f>IF(6&gt;$B$5,0,MAX(G79-IF($B$23="Return of Capital",IF(ISNUMBER('Exit Strategy'!$C$5),IF(6='Exit Strategy'!$C$5,'Exit Strategy'!$C$16,0),0),0),0))</f>
        <v>0</v>
      </c>
      <c r="I79" s="638">
        <f>IF(7&gt;$B$5,0,MAX(H79-IF($B$23="Return of Capital",IF(ISNUMBER('Exit Strategy'!$C$5),IF(7='Exit Strategy'!$C$5,'Exit Strategy'!$C$16,0),0),0),0))</f>
        <v>0</v>
      </c>
      <c r="J79" s="638">
        <f>IF(8&gt;$B$5,0,MAX(I79-IF($B$23="Return of Capital",IF(ISNUMBER('Exit Strategy'!$C$5),IF(8='Exit Strategy'!$C$5,'Exit Strategy'!$C$16,0),0),0),0))</f>
        <v>0</v>
      </c>
      <c r="K79" s="638">
        <f>IF(9&gt;$B$5,0,MAX(J79-IF($B$23="Return of Capital",IF(ISNUMBER('Exit Strategy'!$C$5),IF(9='Exit Strategy'!$C$5,'Exit Strategy'!$C$16,0),0),0),0))</f>
        <v>0</v>
      </c>
      <c r="L79" s="638">
        <f>IF(10&gt;$B$5,0,MAX(K79-IF($B$23="Return of Capital",IF(ISNUMBER('Exit Strategy'!$C$5),IF(10='Exit Strategy'!$C$5,'Exit Strategy'!$C$16,0),0),0),0))</f>
        <v>0</v>
      </c>
      <c r="M79" s="637">
        <f>B79</f>
        <v>0</v>
      </c>
      <c r="N79" s="637">
        <f>MAX(K79-L51-L52,0)</f>
        <v>0</v>
      </c>
    </row>
    <row r="80" spans="1:14" ht="27.75" customHeight="1" x14ac:dyDescent="0.25">
      <c r="A80" s="853" t="s">
        <v>1517</v>
      </c>
      <c r="B80" s="798"/>
      <c r="C80" s="798"/>
      <c r="D80" s="798"/>
      <c r="E80" s="798"/>
      <c r="F80" s="798"/>
      <c r="G80" s="798"/>
      <c r="H80" s="798"/>
      <c r="I80" s="798"/>
      <c r="J80" s="798"/>
      <c r="K80" s="798"/>
      <c r="L80" s="798"/>
      <c r="M80" s="798"/>
      <c r="N80" s="798"/>
    </row>
    <row r="81" spans="1:13" ht="15" customHeight="1" x14ac:dyDescent="0.25">
      <c r="A81" s="642" t="s">
        <v>1518</v>
      </c>
      <c r="B81" s="643">
        <f t="shared" ref="B81:M81" si="10">B79</f>
        <v>0</v>
      </c>
      <c r="C81" s="643">
        <f t="shared" si="10"/>
        <v>0</v>
      </c>
      <c r="D81" s="643">
        <f t="shared" si="10"/>
        <v>0</v>
      </c>
      <c r="E81" s="643">
        <f t="shared" si="10"/>
        <v>0</v>
      </c>
      <c r="F81" s="643">
        <f t="shared" si="10"/>
        <v>0</v>
      </c>
      <c r="G81" s="643">
        <f t="shared" si="10"/>
        <v>0</v>
      </c>
      <c r="H81" s="643">
        <f t="shared" si="10"/>
        <v>0</v>
      </c>
      <c r="I81" s="643">
        <f t="shared" si="10"/>
        <v>0</v>
      </c>
      <c r="J81" s="643">
        <f t="shared" si="10"/>
        <v>0</v>
      </c>
      <c r="K81" s="643">
        <f t="shared" si="10"/>
        <v>0</v>
      </c>
      <c r="L81" s="643">
        <f t="shared" si="10"/>
        <v>0</v>
      </c>
      <c r="M81" s="643">
        <f t="shared" si="10"/>
        <v>0</v>
      </c>
    </row>
    <row r="82" spans="1:13" ht="21.75" customHeight="1" x14ac:dyDescent="0.25">
      <c r="A82" s="798"/>
      <c r="B82" s="798"/>
      <c r="C82" s="798"/>
      <c r="D82" s="798"/>
      <c r="E82" s="798"/>
      <c r="F82" s="798"/>
      <c r="G82" s="798"/>
      <c r="H82" s="798"/>
      <c r="I82" s="798"/>
      <c r="J82" s="798"/>
      <c r="K82" s="798"/>
      <c r="L82" s="798"/>
      <c r="M82" s="798"/>
    </row>
    <row r="83" spans="1:13" ht="15.75" customHeight="1" x14ac:dyDescent="0.25">
      <c r="A83" s="40" t="s">
        <v>1519</v>
      </c>
    </row>
    <row r="84" spans="1:13" ht="18" customHeight="1" x14ac:dyDescent="0.25"/>
    <row r="85" spans="1:13" ht="18" customHeight="1" x14ac:dyDescent="0.25">
      <c r="A85" s="644" t="s">
        <v>1520</v>
      </c>
    </row>
    <row r="86" spans="1:13" ht="18" customHeight="1" x14ac:dyDescent="0.25">
      <c r="A86" s="38" t="s">
        <v>1521</v>
      </c>
      <c r="B86" s="37" t="s">
        <v>1502</v>
      </c>
      <c r="C86" s="37" t="s">
        <v>1503</v>
      </c>
      <c r="D86" s="37" t="s">
        <v>1504</v>
      </c>
      <c r="E86" s="37" t="s">
        <v>1505</v>
      </c>
      <c r="F86" s="37" t="s">
        <v>1506</v>
      </c>
      <c r="G86" s="37" t="s">
        <v>1507</v>
      </c>
      <c r="H86" s="37" t="s">
        <v>1508</v>
      </c>
      <c r="I86" s="37" t="s">
        <v>1509</v>
      </c>
      <c r="J86" s="37" t="s">
        <v>1510</v>
      </c>
      <c r="K86" s="37" t="s">
        <v>1511</v>
      </c>
      <c r="L86" s="37" t="s">
        <v>1512</v>
      </c>
      <c r="M86" s="37" t="s">
        <v>1522</v>
      </c>
    </row>
    <row r="87" spans="1:13" ht="18" customHeight="1" x14ac:dyDescent="0.25">
      <c r="A87" s="645" t="s">
        <v>1523</v>
      </c>
      <c r="B87" s="646">
        <f>Scenarios!F16</f>
        <v>0</v>
      </c>
      <c r="C87" s="647">
        <v>0</v>
      </c>
      <c r="D87" s="647">
        <v>0</v>
      </c>
      <c r="E87" s="647">
        <v>0</v>
      </c>
      <c r="F87" s="647">
        <v>0</v>
      </c>
      <c r="G87" s="647">
        <v>0</v>
      </c>
      <c r="H87" s="647">
        <v>0</v>
      </c>
      <c r="I87" s="647">
        <v>0</v>
      </c>
      <c r="J87" s="647">
        <v>0</v>
      </c>
      <c r="K87" s="647">
        <v>0</v>
      </c>
      <c r="L87" s="647">
        <v>0</v>
      </c>
      <c r="M87" s="648">
        <f>Scenarios!F16</f>
        <v>0</v>
      </c>
    </row>
    <row r="88" spans="1:13" ht="18" customHeight="1" x14ac:dyDescent="0.25">
      <c r="A88" s="645" t="s">
        <v>1524</v>
      </c>
      <c r="B88" s="646">
        <f>IF(1&gt;$B$5,0,IFERROR('P&amp;L'!D111,0))</f>
        <v>0</v>
      </c>
      <c r="C88" s="646">
        <f>IF(2&gt;$B$5,0,IFERROR('P&amp;L'!E111,0))</f>
        <v>0</v>
      </c>
      <c r="D88" s="646">
        <f>IF(3&gt;$B$5,0,IFERROR('P&amp;L'!F111,0))</f>
        <v>0</v>
      </c>
      <c r="E88" s="646">
        <f>IF(4&gt;$B$5,0,IFERROR('P&amp;L'!G111,0))</f>
        <v>0</v>
      </c>
      <c r="F88" s="646">
        <f>IF(5&gt;$B$5,0,IFERROR('P&amp;L'!H111,0))</f>
        <v>0</v>
      </c>
      <c r="G88" s="646">
        <f>IF(6&gt;$B$5,0,IFERROR('P&amp;L'!I111,0))</f>
        <v>0</v>
      </c>
      <c r="H88" s="646">
        <f>IF(7&gt;$B$5,0,IFERROR('P&amp;L'!J111,0))</f>
        <v>0</v>
      </c>
      <c r="I88" s="646">
        <f>IF(8&gt;$B$5,0,IFERROR('P&amp;L'!K111,0))</f>
        <v>0</v>
      </c>
      <c r="J88" s="646">
        <f>IF(9&gt;$B$5,0,IFERROR('P&amp;L'!L111,0))</f>
        <v>0</v>
      </c>
      <c r="K88" s="646">
        <f>IF(10&gt;$B$5,0,IFERROR('P&amp;L'!M111,0))</f>
        <v>0</v>
      </c>
      <c r="L88" s="647">
        <v>0</v>
      </c>
      <c r="M88" s="648">
        <f>SUM(B88:L88)</f>
        <v>0</v>
      </c>
    </row>
    <row r="89" spans="1:13" ht="18" customHeight="1" x14ac:dyDescent="0.25">
      <c r="A89" s="645" t="s">
        <v>1525</v>
      </c>
      <c r="B89" s="646">
        <f t="shared" ref="B89:L89" si="11">B49</f>
        <v>0</v>
      </c>
      <c r="C89" s="646">
        <f t="shared" si="11"/>
        <v>0</v>
      </c>
      <c r="D89" s="646">
        <f t="shared" si="11"/>
        <v>0</v>
      </c>
      <c r="E89" s="646">
        <f t="shared" si="11"/>
        <v>0</v>
      </c>
      <c r="F89" s="646">
        <f t="shared" si="11"/>
        <v>0</v>
      </c>
      <c r="G89" s="646">
        <f t="shared" si="11"/>
        <v>0</v>
      </c>
      <c r="H89" s="646">
        <f t="shared" si="11"/>
        <v>0</v>
      </c>
      <c r="I89" s="646">
        <f t="shared" si="11"/>
        <v>0</v>
      </c>
      <c r="J89" s="646">
        <f t="shared" si="11"/>
        <v>0</v>
      </c>
      <c r="K89" s="646">
        <f t="shared" si="11"/>
        <v>0</v>
      </c>
      <c r="L89" s="646">
        <f t="shared" si="11"/>
        <v>0</v>
      </c>
      <c r="M89" s="648">
        <f>SUM(B89:L89)</f>
        <v>0</v>
      </c>
    </row>
    <row r="90" spans="1:13" ht="15" customHeight="1" x14ac:dyDescent="0.25">
      <c r="A90" s="645" t="s">
        <v>1526</v>
      </c>
      <c r="B90" s="647">
        <v>0</v>
      </c>
      <c r="C90" s="647">
        <v>0</v>
      </c>
      <c r="D90" s="647">
        <v>0</v>
      </c>
      <c r="E90" s="647">
        <v>0</v>
      </c>
      <c r="F90" s="647">
        <v>0</v>
      </c>
      <c r="G90" s="647">
        <v>0</v>
      </c>
      <c r="H90" s="647">
        <v>0</v>
      </c>
      <c r="I90" s="647">
        <v>0</v>
      </c>
      <c r="J90" s="647">
        <v>0</v>
      </c>
      <c r="K90" s="647">
        <v>0</v>
      </c>
      <c r="L90" s="646">
        <f>'Exit Strategy'!G18</f>
        <v>0</v>
      </c>
      <c r="M90" s="648">
        <f>'Exit Strategy'!G18</f>
        <v>0</v>
      </c>
    </row>
    <row r="91" spans="1:13" ht="21.75" customHeight="1" x14ac:dyDescent="0.25">
      <c r="A91" s="854" t="s">
        <v>1527</v>
      </c>
      <c r="B91" s="798"/>
      <c r="C91" s="798"/>
      <c r="D91" s="798"/>
      <c r="E91" s="798"/>
      <c r="F91" s="647">
        <v>0</v>
      </c>
      <c r="G91" s="647">
        <v>0</v>
      </c>
      <c r="H91" s="647">
        <v>0</v>
      </c>
      <c r="I91" s="647">
        <v>0</v>
      </c>
      <c r="J91" s="647">
        <v>0</v>
      </c>
      <c r="K91" s="647">
        <v>0</v>
      </c>
      <c r="L91" s="646">
        <f>L38</f>
        <v>0</v>
      </c>
      <c r="M91" s="648">
        <f>L38</f>
        <v>0</v>
      </c>
    </row>
    <row r="92" spans="1:13" ht="15.75" customHeight="1" x14ac:dyDescent="0.25">
      <c r="A92" s="649" t="s">
        <v>1528</v>
      </c>
      <c r="B92" s="650">
        <f t="shared" ref="B92:M92" si="12">B87+B88+B89+B90+B91</f>
        <v>0</v>
      </c>
      <c r="C92" s="650">
        <f t="shared" si="12"/>
        <v>0</v>
      </c>
      <c r="D92" s="650">
        <f t="shared" si="12"/>
        <v>0</v>
      </c>
      <c r="E92" s="650">
        <f t="shared" si="12"/>
        <v>0</v>
      </c>
      <c r="F92" s="650">
        <f t="shared" si="12"/>
        <v>0</v>
      </c>
      <c r="G92" s="650">
        <f t="shared" si="12"/>
        <v>0</v>
      </c>
      <c r="H92" s="650">
        <f t="shared" si="12"/>
        <v>0</v>
      </c>
      <c r="I92" s="650">
        <f t="shared" si="12"/>
        <v>0</v>
      </c>
      <c r="J92" s="650">
        <f t="shared" si="12"/>
        <v>0</v>
      </c>
      <c r="K92" s="650">
        <f t="shared" si="12"/>
        <v>0</v>
      </c>
      <c r="L92" s="650">
        <f t="shared" si="12"/>
        <v>0</v>
      </c>
      <c r="M92" s="650">
        <f t="shared" si="12"/>
        <v>0</v>
      </c>
    </row>
    <row r="93" spans="1:13" ht="18" customHeight="1" x14ac:dyDescent="0.25"/>
    <row r="94" spans="1:13" ht="18" customHeight="1" x14ac:dyDescent="0.25">
      <c r="A94" s="651" t="s">
        <v>1529</v>
      </c>
      <c r="M94" s="84"/>
    </row>
    <row r="95" spans="1:13" ht="18" customHeight="1" x14ac:dyDescent="0.25">
      <c r="A95" s="38" t="s">
        <v>1530</v>
      </c>
      <c r="B95" s="37" t="s">
        <v>1462</v>
      </c>
      <c r="C95" s="37" t="s">
        <v>1531</v>
      </c>
      <c r="D95" s="37" t="s">
        <v>113</v>
      </c>
    </row>
    <row r="96" spans="1:13" ht="18" customHeight="1" x14ac:dyDescent="0.25">
      <c r="A96" s="645" t="s">
        <v>1532</v>
      </c>
      <c r="B96" s="646">
        <f>M87+M88+M90</f>
        <v>0</v>
      </c>
      <c r="C96" s="652">
        <f>IFERROR(B96/M92,0)</f>
        <v>0</v>
      </c>
      <c r="D96" s="653" t="s">
        <v>1533</v>
      </c>
    </row>
    <row r="97" spans="1:13" ht="15" customHeight="1" x14ac:dyDescent="0.25">
      <c r="A97" s="645" t="s">
        <v>1534</v>
      </c>
      <c r="B97" s="646">
        <f>M89</f>
        <v>0</v>
      </c>
      <c r="C97" s="652">
        <f>IFERROR(B97/M92,0)</f>
        <v>0</v>
      </c>
      <c r="D97" s="653" t="s">
        <v>1535</v>
      </c>
    </row>
    <row r="98" spans="1:13" ht="15.75" customHeight="1" x14ac:dyDescent="0.25">
      <c r="A98" s="854" t="s">
        <v>1536</v>
      </c>
      <c r="B98" s="798"/>
      <c r="C98" s="798"/>
      <c r="D98" s="798"/>
      <c r="E98" s="798"/>
      <c r="F98" s="798"/>
      <c r="G98" s="798"/>
      <c r="H98" s="798"/>
      <c r="I98" s="798"/>
      <c r="J98" s="798"/>
      <c r="K98" s="798"/>
      <c r="L98" s="798"/>
      <c r="M98" s="798"/>
    </row>
    <row r="99" spans="1:13" ht="15" customHeight="1" x14ac:dyDescent="0.25">
      <c r="A99" s="649" t="s">
        <v>1537</v>
      </c>
      <c r="B99" s="650">
        <f>M92</f>
        <v>0</v>
      </c>
      <c r="C99" s="654">
        <v>1</v>
      </c>
      <c r="D99" s="649" t="s">
        <v>1538</v>
      </c>
    </row>
    <row r="101" spans="1:13" ht="15" customHeight="1" x14ac:dyDescent="0.25">
      <c r="A101" s="40" t="s">
        <v>1539</v>
      </c>
    </row>
    <row r="104" spans="1:13" ht="15" customHeight="1" x14ac:dyDescent="0.25">
      <c r="A104" s="11" t="s">
        <v>1540</v>
      </c>
    </row>
    <row r="105" spans="1:13" ht="15" customHeight="1" x14ac:dyDescent="0.25">
      <c r="A105" s="10" t="s">
        <v>1541</v>
      </c>
      <c r="B105" s="655">
        <f t="shared" ref="B105:L105" si="13">B43+B45+B36+B37</f>
        <v>0</v>
      </c>
      <c r="C105" s="655">
        <f t="shared" si="13"/>
        <v>0</v>
      </c>
      <c r="D105" s="655">
        <f t="shared" si="13"/>
        <v>0</v>
      </c>
      <c r="E105" s="655">
        <f t="shared" si="13"/>
        <v>0</v>
      </c>
      <c r="F105" s="655">
        <f t="shared" si="13"/>
        <v>0</v>
      </c>
      <c r="G105" s="655">
        <f t="shared" si="13"/>
        <v>0</v>
      </c>
      <c r="H105" s="655">
        <f t="shared" si="13"/>
        <v>0</v>
      </c>
      <c r="I105" s="655">
        <f t="shared" si="13"/>
        <v>0</v>
      </c>
      <c r="J105" s="655">
        <f t="shared" si="13"/>
        <v>0</v>
      </c>
      <c r="K105" s="655">
        <f t="shared" si="13"/>
        <v>0</v>
      </c>
      <c r="L105" s="655">
        <f t="shared" si="13"/>
        <v>0</v>
      </c>
    </row>
    <row r="106" spans="1:13" ht="15" customHeight="1" x14ac:dyDescent="0.25">
      <c r="A106" s="10" t="s">
        <v>1542</v>
      </c>
      <c r="B106" s="655">
        <f t="shared" ref="B106:K106" si="14">B46</f>
        <v>0</v>
      </c>
      <c r="C106" s="655">
        <f t="shared" si="14"/>
        <v>0</v>
      </c>
      <c r="D106" s="655">
        <f t="shared" si="14"/>
        <v>0</v>
      </c>
      <c r="E106" s="655">
        <f t="shared" si="14"/>
        <v>0</v>
      </c>
      <c r="F106" s="655">
        <f t="shared" si="14"/>
        <v>0</v>
      </c>
      <c r="G106" s="655">
        <f t="shared" si="14"/>
        <v>0</v>
      </c>
      <c r="H106" s="655">
        <f t="shared" si="14"/>
        <v>0</v>
      </c>
      <c r="I106" s="655">
        <f t="shared" si="14"/>
        <v>0</v>
      </c>
      <c r="J106" s="655">
        <f t="shared" si="14"/>
        <v>0</v>
      </c>
      <c r="K106" s="655">
        <f t="shared" si="14"/>
        <v>0</v>
      </c>
      <c r="L106" s="655">
        <f>MAX(L46-L36-L37-L38,0)</f>
        <v>0</v>
      </c>
    </row>
    <row r="107" spans="1:13" ht="15" customHeight="1" x14ac:dyDescent="0.25">
      <c r="A107" s="10" t="s">
        <v>1543</v>
      </c>
      <c r="B107" s="655">
        <f>($B$9+$B$10)*(1+$B$17)</f>
        <v>0</v>
      </c>
      <c r="C107" s="655">
        <f t="shared" ref="C107:K107" si="15">B111*(1+$B$17)</f>
        <v>0</v>
      </c>
      <c r="D107" s="655">
        <f t="shared" si="15"/>
        <v>0</v>
      </c>
      <c r="E107" s="655">
        <f t="shared" si="15"/>
        <v>0</v>
      </c>
      <c r="F107" s="655">
        <f t="shared" si="15"/>
        <v>0</v>
      </c>
      <c r="G107" s="655">
        <f t="shared" si="15"/>
        <v>0</v>
      </c>
      <c r="H107" s="655">
        <f t="shared" si="15"/>
        <v>0</v>
      </c>
      <c r="I107" s="655">
        <f t="shared" si="15"/>
        <v>0</v>
      </c>
      <c r="J107" s="655">
        <f t="shared" si="15"/>
        <v>0</v>
      </c>
      <c r="K107" s="655">
        <f t="shared" si="15"/>
        <v>0</v>
      </c>
      <c r="L107" s="655">
        <f>IFERROR(INDEX($B$111:$K$111,1,$B$5),0)</f>
        <v>0</v>
      </c>
    </row>
    <row r="108" spans="1:13" ht="15" customHeight="1" x14ac:dyDescent="0.25">
      <c r="A108" s="10" t="s">
        <v>1544</v>
      </c>
      <c r="B108" s="655">
        <f>($B$9+$B$10)*(1+$B$20)</f>
        <v>0</v>
      </c>
      <c r="C108" s="655">
        <f t="shared" ref="C108:K108" si="16">B112*(1+$B$20)</f>
        <v>0</v>
      </c>
      <c r="D108" s="655">
        <f t="shared" si="16"/>
        <v>0</v>
      </c>
      <c r="E108" s="655">
        <f t="shared" si="16"/>
        <v>0</v>
      </c>
      <c r="F108" s="655">
        <f t="shared" si="16"/>
        <v>0</v>
      </c>
      <c r="G108" s="655">
        <f t="shared" si="16"/>
        <v>0</v>
      </c>
      <c r="H108" s="655">
        <f t="shared" si="16"/>
        <v>0</v>
      </c>
      <c r="I108" s="655">
        <f t="shared" si="16"/>
        <v>0</v>
      </c>
      <c r="J108" s="655">
        <f t="shared" si="16"/>
        <v>0</v>
      </c>
      <c r="K108" s="655">
        <f t="shared" si="16"/>
        <v>0</v>
      </c>
      <c r="L108" s="655">
        <f>IFERROR(INDEX($B$112:$K$112,1,$B$5),0)</f>
        <v>0</v>
      </c>
    </row>
    <row r="109" spans="1:13" ht="15" customHeight="1" x14ac:dyDescent="0.25">
      <c r="A109" s="10" t="s">
        <v>1545</v>
      </c>
      <c r="B109" s="655">
        <f t="shared" ref="B109:L109" si="17">IF($B$15&lt;=0,B106,MIN(B106,MAX(B107-B105,0)/$B$15))</f>
        <v>0</v>
      </c>
      <c r="C109" s="655">
        <f t="shared" si="17"/>
        <v>0</v>
      </c>
      <c r="D109" s="655">
        <f t="shared" si="17"/>
        <v>0</v>
      </c>
      <c r="E109" s="655">
        <f t="shared" si="17"/>
        <v>0</v>
      </c>
      <c r="F109" s="655">
        <f t="shared" si="17"/>
        <v>0</v>
      </c>
      <c r="G109" s="655">
        <f t="shared" si="17"/>
        <v>0</v>
      </c>
      <c r="H109" s="655">
        <f t="shared" si="17"/>
        <v>0</v>
      </c>
      <c r="I109" s="655">
        <f t="shared" si="17"/>
        <v>0</v>
      </c>
      <c r="J109" s="655">
        <f t="shared" si="17"/>
        <v>0</v>
      </c>
      <c r="K109" s="655">
        <f t="shared" si="17"/>
        <v>0</v>
      </c>
      <c r="L109" s="655">
        <f t="shared" si="17"/>
        <v>0</v>
      </c>
    </row>
    <row r="110" spans="1:13" ht="15" customHeight="1" x14ac:dyDescent="0.25">
      <c r="A110" s="10" t="s">
        <v>1546</v>
      </c>
      <c r="B110" s="655">
        <f t="shared" ref="B110:L110" si="18">IF($B$18&lt;=0,B106-B109,MIN(B106-B109,MAX((B108-B105)-$B$15*B109,0)/$B$18))</f>
        <v>0</v>
      </c>
      <c r="C110" s="655">
        <f t="shared" si="18"/>
        <v>0</v>
      </c>
      <c r="D110" s="655">
        <f t="shared" si="18"/>
        <v>0</v>
      </c>
      <c r="E110" s="655">
        <f t="shared" si="18"/>
        <v>0</v>
      </c>
      <c r="F110" s="655">
        <f t="shared" si="18"/>
        <v>0</v>
      </c>
      <c r="G110" s="655">
        <f t="shared" si="18"/>
        <v>0</v>
      </c>
      <c r="H110" s="655">
        <f t="shared" si="18"/>
        <v>0</v>
      </c>
      <c r="I110" s="655">
        <f t="shared" si="18"/>
        <v>0</v>
      </c>
      <c r="J110" s="655">
        <f t="shared" si="18"/>
        <v>0</v>
      </c>
      <c r="K110" s="655">
        <f t="shared" si="18"/>
        <v>0</v>
      </c>
      <c r="L110" s="655">
        <f t="shared" si="18"/>
        <v>0</v>
      </c>
    </row>
    <row r="111" spans="1:13" ht="15" customHeight="1" x14ac:dyDescent="0.25">
      <c r="A111" s="10" t="s">
        <v>1547</v>
      </c>
      <c r="B111" s="655">
        <f t="shared" ref="B111:L111" si="19">(B107-B105)-$B$15*B109</f>
        <v>0</v>
      </c>
      <c r="C111" s="655">
        <f t="shared" si="19"/>
        <v>0</v>
      </c>
      <c r="D111" s="655">
        <f t="shared" si="19"/>
        <v>0</v>
      </c>
      <c r="E111" s="655">
        <f t="shared" si="19"/>
        <v>0</v>
      </c>
      <c r="F111" s="655">
        <f t="shared" si="19"/>
        <v>0</v>
      </c>
      <c r="G111" s="655">
        <f t="shared" si="19"/>
        <v>0</v>
      </c>
      <c r="H111" s="655">
        <f t="shared" si="19"/>
        <v>0</v>
      </c>
      <c r="I111" s="655">
        <f t="shared" si="19"/>
        <v>0</v>
      </c>
      <c r="J111" s="655">
        <f t="shared" si="19"/>
        <v>0</v>
      </c>
      <c r="K111" s="655">
        <f t="shared" si="19"/>
        <v>0</v>
      </c>
      <c r="L111" s="655">
        <f t="shared" si="19"/>
        <v>0</v>
      </c>
    </row>
    <row r="112" spans="1:13" ht="15" customHeight="1" x14ac:dyDescent="0.25">
      <c r="A112" s="10" t="s">
        <v>1548</v>
      </c>
      <c r="B112" s="655">
        <f t="shared" ref="B112:L112" si="20">(B108-B105)-$B$15*B109-$B$18*B110</f>
        <v>0</v>
      </c>
      <c r="C112" s="655">
        <f t="shared" si="20"/>
        <v>0</v>
      </c>
      <c r="D112" s="655">
        <f t="shared" si="20"/>
        <v>0</v>
      </c>
      <c r="E112" s="655">
        <f t="shared" si="20"/>
        <v>0</v>
      </c>
      <c r="F112" s="655">
        <f t="shared" si="20"/>
        <v>0</v>
      </c>
      <c r="G112" s="655">
        <f t="shared" si="20"/>
        <v>0</v>
      </c>
      <c r="H112" s="655">
        <f t="shared" si="20"/>
        <v>0</v>
      </c>
      <c r="I112" s="655">
        <f t="shared" si="20"/>
        <v>0</v>
      </c>
      <c r="J112" s="655">
        <f t="shared" si="20"/>
        <v>0</v>
      </c>
      <c r="K112" s="655">
        <f t="shared" si="20"/>
        <v>0</v>
      </c>
      <c r="L112" s="655">
        <f t="shared" si="20"/>
        <v>0</v>
      </c>
    </row>
    <row r="113" spans="1:12" ht="15" customHeight="1" x14ac:dyDescent="0.25">
      <c r="A113" s="10" t="s">
        <v>1549</v>
      </c>
      <c r="B113" s="655">
        <f t="shared" ref="B113:L113" si="21">IFERROR($B$15*B109+$B$18*B110+$B$21*(B106-B109-B110),0)</f>
        <v>0</v>
      </c>
      <c r="C113" s="655">
        <f t="shared" si="21"/>
        <v>0</v>
      </c>
      <c r="D113" s="655">
        <f t="shared" si="21"/>
        <v>0</v>
      </c>
      <c r="E113" s="655">
        <f t="shared" si="21"/>
        <v>0</v>
      </c>
      <c r="F113" s="655">
        <f t="shared" si="21"/>
        <v>0</v>
      </c>
      <c r="G113" s="655">
        <f t="shared" si="21"/>
        <v>0</v>
      </c>
      <c r="H113" s="655">
        <f t="shared" si="21"/>
        <v>0</v>
      </c>
      <c r="I113" s="655">
        <f t="shared" si="21"/>
        <v>0</v>
      </c>
      <c r="J113" s="655">
        <f t="shared" si="21"/>
        <v>0</v>
      </c>
      <c r="K113" s="655">
        <f t="shared" si="21"/>
        <v>0</v>
      </c>
      <c r="L113" s="655">
        <f t="shared" si="21"/>
        <v>0</v>
      </c>
    </row>
    <row r="114" spans="1:12" ht="15" customHeight="1" x14ac:dyDescent="0.25">
      <c r="A114" s="10" t="s">
        <v>1550</v>
      </c>
      <c r="B114" s="655">
        <f t="shared" ref="B114:L114" si="22">B106-B113</f>
        <v>0</v>
      </c>
      <c r="C114" s="655">
        <f t="shared" si="22"/>
        <v>0</v>
      </c>
      <c r="D114" s="655">
        <f t="shared" si="22"/>
        <v>0</v>
      </c>
      <c r="E114" s="655">
        <f t="shared" si="22"/>
        <v>0</v>
      </c>
      <c r="F114" s="655">
        <f t="shared" si="22"/>
        <v>0</v>
      </c>
      <c r="G114" s="655">
        <f t="shared" si="22"/>
        <v>0</v>
      </c>
      <c r="H114" s="655">
        <f t="shared" si="22"/>
        <v>0</v>
      </c>
      <c r="I114" s="655">
        <f t="shared" si="22"/>
        <v>0</v>
      </c>
      <c r="J114" s="655">
        <f t="shared" si="22"/>
        <v>0</v>
      </c>
      <c r="K114" s="655">
        <f t="shared" si="22"/>
        <v>0</v>
      </c>
      <c r="L114" s="655">
        <f t="shared" si="22"/>
        <v>0</v>
      </c>
    </row>
    <row r="116" spans="1:12" ht="15" customHeight="1" x14ac:dyDescent="0.25">
      <c r="A116" s="10" t="s">
        <v>1551</v>
      </c>
    </row>
    <row r="117" spans="1:12" ht="15" customHeight="1" x14ac:dyDescent="0.25">
      <c r="A117" s="10" t="s">
        <v>1552</v>
      </c>
      <c r="B117" s="10" t="str">
        <f t="shared" ref="B117:L117" si="23">B41</f>
        <v>Year 1</v>
      </c>
      <c r="C117" s="10" t="str">
        <f t="shared" si="23"/>
        <v>Year 2</v>
      </c>
      <c r="D117" s="10" t="str">
        <f t="shared" si="23"/>
        <v>Year 3</v>
      </c>
      <c r="E117" s="10" t="str">
        <f t="shared" si="23"/>
        <v>Year 4</v>
      </c>
      <c r="F117" s="10" t="str">
        <f t="shared" si="23"/>
        <v>Year 5</v>
      </c>
      <c r="G117" s="10" t="str">
        <f t="shared" si="23"/>
        <v>Year 6</v>
      </c>
      <c r="H117" s="10" t="str">
        <f t="shared" si="23"/>
        <v>Year 7</v>
      </c>
      <c r="I117" s="10" t="str">
        <f t="shared" si="23"/>
        <v>Year 8</v>
      </c>
      <c r="J117" s="10" t="str">
        <f t="shared" si="23"/>
        <v>Year 9</v>
      </c>
      <c r="K117" s="10" t="str">
        <f t="shared" si="23"/>
        <v>Year 10</v>
      </c>
      <c r="L117" s="10" t="str">
        <f t="shared" si="23"/>
        <v>Exit Proceeds</v>
      </c>
    </row>
    <row r="118" spans="1:12" ht="15" customHeight="1" x14ac:dyDescent="0.25">
      <c r="A118" s="10" t="s">
        <v>1553</v>
      </c>
      <c r="B118" s="10" t="str">
        <f t="shared" ref="B118:L118" si="24">IFERROR(B113/B106,"")</f>
        <v/>
      </c>
      <c r="C118" s="10" t="str">
        <f t="shared" si="24"/>
        <v/>
      </c>
      <c r="D118" s="10" t="str">
        <f t="shared" si="24"/>
        <v/>
      </c>
      <c r="E118" s="10" t="str">
        <f t="shared" si="24"/>
        <v/>
      </c>
      <c r="F118" s="10" t="str">
        <f t="shared" si="24"/>
        <v/>
      </c>
      <c r="G118" s="10" t="str">
        <f t="shared" si="24"/>
        <v/>
      </c>
      <c r="H118" s="10" t="str">
        <f t="shared" si="24"/>
        <v/>
      </c>
      <c r="I118" s="10" t="str">
        <f t="shared" si="24"/>
        <v/>
      </c>
      <c r="J118" s="10" t="str">
        <f t="shared" si="24"/>
        <v/>
      </c>
      <c r="K118" s="10" t="str">
        <f t="shared" si="24"/>
        <v/>
      </c>
      <c r="L118" s="10" t="str">
        <f t="shared" si="24"/>
        <v/>
      </c>
    </row>
    <row r="119" spans="1:12" ht="15" customHeight="1" x14ac:dyDescent="0.25">
      <c r="A119" s="10" t="s">
        <v>1554</v>
      </c>
      <c r="B119" s="10" t="str">
        <f t="shared" ref="B119:L119" si="25">IF(B106=0,"",REPT("|",ROUND(IFERROR(B113/B106,0)*12,0))&amp;REPT(".",12-ROUND(IFERROR(B113/B106,0)*12,0)))</f>
        <v/>
      </c>
      <c r="C119" s="10" t="str">
        <f t="shared" si="25"/>
        <v/>
      </c>
      <c r="D119" s="10" t="str">
        <f t="shared" si="25"/>
        <v/>
      </c>
      <c r="E119" s="10" t="str">
        <f t="shared" si="25"/>
        <v/>
      </c>
      <c r="F119" s="10" t="str">
        <f t="shared" si="25"/>
        <v/>
      </c>
      <c r="G119" s="10" t="str">
        <f t="shared" si="25"/>
        <v/>
      </c>
      <c r="H119" s="10" t="str">
        <f t="shared" si="25"/>
        <v/>
      </c>
      <c r="I119" s="10" t="str">
        <f t="shared" si="25"/>
        <v/>
      </c>
      <c r="J119" s="10" t="str">
        <f t="shared" si="25"/>
        <v/>
      </c>
      <c r="K119" s="10" t="str">
        <f t="shared" si="25"/>
        <v/>
      </c>
      <c r="L119" s="10" t="str">
        <f t="shared" si="25"/>
        <v/>
      </c>
    </row>
    <row r="120" spans="1:12" ht="15" customHeight="1" x14ac:dyDescent="0.25">
      <c r="A120" s="10" t="s">
        <v>1555</v>
      </c>
      <c r="B120" s="10" t="str">
        <f t="shared" ref="B120:L120" si="26">IF(B106=0,"-","T"&amp;IF((B106-B109-B110)&gt;0.01,"3",IF(B110&gt;0.01,"2","1")))</f>
        <v>-</v>
      </c>
      <c r="C120" s="10" t="str">
        <f t="shared" si="26"/>
        <v>-</v>
      </c>
      <c r="D120" s="10" t="str">
        <f t="shared" si="26"/>
        <v>-</v>
      </c>
      <c r="E120" s="10" t="str">
        <f t="shared" si="26"/>
        <v>-</v>
      </c>
      <c r="F120" s="10" t="str">
        <f t="shared" si="26"/>
        <v>-</v>
      </c>
      <c r="G120" s="10" t="str">
        <f t="shared" si="26"/>
        <v>-</v>
      </c>
      <c r="H120" s="10" t="str">
        <f t="shared" si="26"/>
        <v>-</v>
      </c>
      <c r="I120" s="10" t="str">
        <f t="shared" si="26"/>
        <v>-</v>
      </c>
      <c r="J120" s="10" t="str">
        <f t="shared" si="26"/>
        <v>-</v>
      </c>
      <c r="K120" s="10" t="str">
        <f t="shared" si="26"/>
        <v>-</v>
      </c>
      <c r="L120" s="10" t="str">
        <f t="shared" si="26"/>
        <v>-</v>
      </c>
    </row>
    <row r="121" spans="1:12" ht="15" customHeight="1" x14ac:dyDescent="0.25">
      <c r="A121" s="10" t="s">
        <v>1556</v>
      </c>
      <c r="B121" s="10" t="str">
        <f>IF(AND(($B$9+$B$10)&gt;0,B111&lt;=0),"&lt;= Tier-1 hurdle ("&amp;TEXT($B$17,"0%")&amp;") met","")&amp;IF(AND(($B$9+$B$10)&gt;0,B112&lt;=0)," &lt;= Tier-2 hurdle ("&amp;TEXT($B$20,"0%")&amp;") met","")</f>
        <v/>
      </c>
      <c r="C121" s="10" t="str">
        <f t="shared" ref="C121:K121" si="27">IF(AND(B111&gt;0,C111&lt;=0),"&lt;= Tier-1 hurdle ("&amp;TEXT($B$17,"0%")&amp;") met","")&amp;IF(AND(B112&gt;0,C112&lt;=0)," &lt;= Tier-2 hurdle ("&amp;TEXT($B$20,"0%")&amp;") met","")</f>
        <v/>
      </c>
      <c r="D121" s="10" t="str">
        <f t="shared" si="27"/>
        <v/>
      </c>
      <c r="E121" s="10" t="str">
        <f t="shared" si="27"/>
        <v/>
      </c>
      <c r="F121" s="10" t="str">
        <f t="shared" si="27"/>
        <v/>
      </c>
      <c r="G121" s="10" t="str">
        <f t="shared" si="27"/>
        <v/>
      </c>
      <c r="H121" s="10" t="str">
        <f t="shared" si="27"/>
        <v/>
      </c>
      <c r="I121" s="10" t="str">
        <f t="shared" si="27"/>
        <v/>
      </c>
      <c r="J121" s="10" t="str">
        <f t="shared" si="27"/>
        <v/>
      </c>
      <c r="K121" s="10" t="str">
        <f t="shared" si="27"/>
        <v/>
      </c>
      <c r="L121" s="10" t="str">
        <f>IF(AND(IFERROR(INDEX($B$111:$K$111,1,$B$5),0)&gt;0,L111&lt;=0),"&lt;= Tier-1 hurdle ("&amp;TEXT($B$17,"0%")&amp;") met","")&amp;IF(AND(IFERROR(INDEX($B$112:$K$112,1,$B$5),0)&gt;0,L112&lt;=0)," &lt;= Tier-2 hurdle ("&amp;TEXT($B$20,"0%")&amp;") met","")</f>
        <v/>
      </c>
    </row>
  </sheetData>
  <mergeCells count="28">
    <mergeCell ref="A82:M82"/>
    <mergeCell ref="A80:N80"/>
    <mergeCell ref="A98:M98"/>
    <mergeCell ref="A1:M1"/>
    <mergeCell ref="C21:M21"/>
    <mergeCell ref="C11:M11"/>
    <mergeCell ref="C17:M17"/>
    <mergeCell ref="A91:E91"/>
    <mergeCell ref="C8:M8"/>
    <mergeCell ref="C7:M7"/>
    <mergeCell ref="C19:M19"/>
    <mergeCell ref="C13:M13"/>
    <mergeCell ref="A2:M2"/>
    <mergeCell ref="C18:M18"/>
    <mergeCell ref="A70:N70"/>
    <mergeCell ref="F12:M12"/>
    <mergeCell ref="C20:M20"/>
    <mergeCell ref="C10:M10"/>
    <mergeCell ref="C16:M16"/>
    <mergeCell ref="A30:M30"/>
    <mergeCell ref="A24:M24"/>
    <mergeCell ref="C22:M22"/>
    <mergeCell ref="C6:M6"/>
    <mergeCell ref="C15:M15"/>
    <mergeCell ref="A4:M4"/>
    <mergeCell ref="C5:M5"/>
    <mergeCell ref="C14:M14"/>
    <mergeCell ref="C9:M9"/>
  </mergeCells>
  <dataValidations count="1">
    <dataValidation type="list" sqref="E12" xr:uid="{00000000-0002-0000-0B00-000000000000}">
      <formula1>"Pref Only,Common Equity"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65"/>
  <sheetViews>
    <sheetView topLeftCell="A20" zoomScale="125" zoomScaleNormal="125" workbookViewId="0">
      <selection activeCell="B35" sqref="B35"/>
    </sheetView>
  </sheetViews>
  <sheetFormatPr defaultColWidth="8.85546875" defaultRowHeight="15" x14ac:dyDescent="0.25"/>
  <cols>
    <col min="1" max="1" width="43.85546875" customWidth="1"/>
    <col min="2" max="2" width="12" customWidth="1"/>
    <col min="3" max="3" width="19.7109375" customWidth="1"/>
    <col min="4" max="4" width="12" customWidth="1"/>
    <col min="5" max="5" width="21.42578125" customWidth="1"/>
    <col min="6" max="11" width="12" customWidth="1"/>
    <col min="12" max="12" width="13" customWidth="1"/>
    <col min="13" max="13" width="11" customWidth="1"/>
  </cols>
  <sheetData>
    <row r="1" spans="1:13" ht="27.75" customHeight="1" x14ac:dyDescent="0.25">
      <c r="A1" s="856" t="s">
        <v>1557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3"/>
    </row>
    <row r="2" spans="1:13" ht="18" customHeight="1" x14ac:dyDescent="0.25">
      <c r="A2" s="625" t="s">
        <v>1558</v>
      </c>
      <c r="B2" s="656">
        <f>Total_LPA_Equity</f>
        <v>0</v>
      </c>
      <c r="C2" s="857" t="s">
        <v>1559</v>
      </c>
      <c r="D2" s="832"/>
      <c r="E2" s="832"/>
      <c r="F2" s="832"/>
      <c r="G2" s="832"/>
      <c r="H2" s="832"/>
      <c r="I2" s="832"/>
      <c r="J2" s="832"/>
      <c r="K2" s="832"/>
      <c r="L2" s="832"/>
      <c r="M2" s="833"/>
    </row>
    <row r="3" spans="1:13" ht="18" customHeight="1" x14ac:dyDescent="0.25">
      <c r="A3" s="625" t="s">
        <v>1560</v>
      </c>
      <c r="B3" s="658" t="s">
        <v>1561</v>
      </c>
      <c r="C3" s="857" t="s">
        <v>1562</v>
      </c>
      <c r="D3" s="833"/>
      <c r="E3" s="659" t="s">
        <v>1563</v>
      </c>
      <c r="F3" s="660">
        <f>IFERROR($B$2/IF($B$3="Class A",Waterfall!$B$9,Waterfall!$B$10),0)</f>
        <v>0</v>
      </c>
      <c r="G3" s="659" t="s">
        <v>1564</v>
      </c>
      <c r="H3" s="661">
        <f>IF($B$3="Class A",Waterfall!$B$11,Waterfall!$B$12)</f>
        <v>0</v>
      </c>
      <c r="I3" s="625"/>
      <c r="J3" s="625"/>
      <c r="K3" s="625"/>
      <c r="L3" s="625"/>
      <c r="M3" s="625"/>
    </row>
    <row r="4" spans="1:13" ht="15" customHeight="1" x14ac:dyDescent="0.25">
      <c r="A4" s="662"/>
      <c r="B4" s="662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</row>
    <row r="5" spans="1:13" ht="21.75" customHeight="1" x14ac:dyDescent="0.25">
      <c r="A5" s="663" t="s">
        <v>1565</v>
      </c>
      <c r="B5" s="664">
        <v>1</v>
      </c>
      <c r="C5" s="664">
        <v>2</v>
      </c>
      <c r="D5" s="664">
        <v>3</v>
      </c>
      <c r="E5" s="664">
        <v>4</v>
      </c>
      <c r="F5" s="664">
        <v>5</v>
      </c>
      <c r="G5" s="664">
        <v>6</v>
      </c>
      <c r="H5" s="664">
        <v>7</v>
      </c>
      <c r="I5" s="664">
        <v>8</v>
      </c>
      <c r="J5" s="664">
        <v>9</v>
      </c>
      <c r="K5" s="664">
        <v>10</v>
      </c>
      <c r="L5" s="665" t="s">
        <v>1566</v>
      </c>
      <c r="M5" s="665" t="s">
        <v>1567</v>
      </c>
    </row>
    <row r="6" spans="1:13" ht="19.5" customHeight="1" x14ac:dyDescent="0.25">
      <c r="A6" s="855" t="s">
        <v>1568</v>
      </c>
      <c r="B6" s="832"/>
      <c r="C6" s="832"/>
      <c r="D6" s="832"/>
      <c r="E6" s="832"/>
      <c r="F6" s="832"/>
      <c r="G6" s="832"/>
      <c r="H6" s="832"/>
      <c r="I6" s="832"/>
      <c r="J6" s="832"/>
      <c r="K6" s="832"/>
      <c r="L6" s="832"/>
      <c r="M6" s="833"/>
    </row>
    <row r="7" spans="1:13" ht="16.5" customHeight="1" x14ac:dyDescent="0.25">
      <c r="A7" s="627" t="s">
        <v>1569</v>
      </c>
      <c r="B7" s="666">
        <f>IF(1&gt;Waterfall!$B$5,0,$B$2)</f>
        <v>0</v>
      </c>
      <c r="C7" s="666">
        <f>IF(2&gt;Waterfall!$B$5,0,$B$2)</f>
        <v>0</v>
      </c>
      <c r="D7" s="666">
        <f>IF(3&gt;Waterfall!$B$5,0,$B$2)</f>
        <v>0</v>
      </c>
      <c r="E7" s="666">
        <f>IF(4&gt;Waterfall!$B$5,0,$B$2)</f>
        <v>0</v>
      </c>
      <c r="F7" s="666">
        <f>IF(5&gt;Waterfall!$B$5,0,$B$2)</f>
        <v>0</v>
      </c>
      <c r="G7" s="666">
        <f>IF(6&gt;Waterfall!$B$5,0,$B$2)</f>
        <v>0</v>
      </c>
      <c r="H7" s="666">
        <f>IF(7&gt;Waterfall!$B$5,0,$B$2)</f>
        <v>0</v>
      </c>
      <c r="I7" s="666">
        <f>IF(8&gt;Waterfall!$B$5,0,$B$2)</f>
        <v>0</v>
      </c>
      <c r="J7" s="666">
        <f>IF(9&gt;Waterfall!$B$5,0,$B$2)</f>
        <v>0</v>
      </c>
      <c r="K7" s="666">
        <f>IF(10&gt;Waterfall!$B$5,0,$B$2)</f>
        <v>0</v>
      </c>
      <c r="L7" s="666"/>
      <c r="M7" s="666"/>
    </row>
    <row r="8" spans="1:13" ht="16.5" customHeight="1" x14ac:dyDescent="0.25">
      <c r="A8" s="625" t="s">
        <v>1570</v>
      </c>
      <c r="B8" s="667" t="str">
        <f>IF(1&gt;Waterfall!$B$5,"",IFERROR($B$2/IF($B$3="Class A",Waterfall!$B$9,Waterfall!$B$10),0))</f>
        <v/>
      </c>
      <c r="C8" s="667" t="str">
        <f>IF(2&gt;Waterfall!$B$5,"",IFERROR($B$2/IF($B$3="Class A",Waterfall!$B$9,Waterfall!$B$10),0))</f>
        <v/>
      </c>
      <c r="D8" s="667" t="str">
        <f>IF(3&gt;Waterfall!$B$5,"",IFERROR($B$2/IF($B$3="Class A",Waterfall!$B$9,Waterfall!$B$10),0))</f>
        <v/>
      </c>
      <c r="E8" s="667" t="str">
        <f>IF(4&gt;Waterfall!$B$5,"",IFERROR($B$2/IF($B$3="Class A",Waterfall!$B$9,Waterfall!$B$10),0))</f>
        <v/>
      </c>
      <c r="F8" s="667" t="str">
        <f>IF(5&gt;Waterfall!$B$5,"",IFERROR($B$2/IF($B$3="Class A",Waterfall!$B$9,Waterfall!$B$10),0))</f>
        <v/>
      </c>
      <c r="G8" s="667" t="str">
        <f>IF(6&gt;Waterfall!$B$5,"",IFERROR($B$2/IF($B$3="Class A",Waterfall!$B$9,Waterfall!$B$10),0))</f>
        <v/>
      </c>
      <c r="H8" s="667" t="str">
        <f>IF(7&gt;Waterfall!$B$5,"",IFERROR($B$2/IF($B$3="Class A",Waterfall!$B$9,Waterfall!$B$10),0))</f>
        <v/>
      </c>
      <c r="I8" s="667" t="str">
        <f>IF(8&gt;Waterfall!$B$5,"",IFERROR($B$2/IF($B$3="Class A",Waterfall!$B$9,Waterfall!$B$10),0))</f>
        <v/>
      </c>
      <c r="J8" s="667" t="str">
        <f>IF(9&gt;Waterfall!$B$5,"",IFERROR($B$2/IF($B$3="Class A",Waterfall!$B$9,Waterfall!$B$10),0))</f>
        <v/>
      </c>
      <c r="K8" s="667" t="str">
        <f>IF(10&gt;Waterfall!$B$5,"",IFERROR($B$2/IF($B$3="Class A",Waterfall!$B$9,Waterfall!$B$10),0))</f>
        <v/>
      </c>
      <c r="L8" s="667"/>
      <c r="M8" s="667"/>
    </row>
    <row r="9" spans="1:13" ht="19.5" customHeight="1" x14ac:dyDescent="0.25">
      <c r="A9" s="855" t="s">
        <v>1571</v>
      </c>
      <c r="B9" s="832"/>
      <c r="C9" s="832"/>
      <c r="D9" s="832"/>
      <c r="E9" s="832"/>
      <c r="F9" s="832"/>
      <c r="G9" s="832"/>
      <c r="H9" s="832"/>
      <c r="I9" s="832"/>
      <c r="J9" s="832"/>
      <c r="K9" s="832"/>
      <c r="L9" s="832"/>
      <c r="M9" s="833"/>
    </row>
    <row r="10" spans="1:13" ht="16.5" customHeight="1" x14ac:dyDescent="0.25">
      <c r="A10" s="625" t="s">
        <v>1572</v>
      </c>
      <c r="B10" s="668">
        <f>IF(1&gt;Waterfall!$B$5,0,$B$2*IF($B$3="Class A",Waterfall!$B$11,Waterfall!$B$12))</f>
        <v>0</v>
      </c>
      <c r="C10" s="668">
        <f>IF(2&gt;Waterfall!$B$5,0,$B$2*IF($B$3="Class A",Waterfall!$B$11,Waterfall!$B$12))</f>
        <v>0</v>
      </c>
      <c r="D10" s="668">
        <f>IF(3&gt;Waterfall!$B$5,0,$B$2*IF($B$3="Class A",Waterfall!$B$11,Waterfall!$B$12))</f>
        <v>0</v>
      </c>
      <c r="E10" s="668">
        <f>IF(4&gt;Waterfall!$B$5,0,$B$2*IF($B$3="Class A",Waterfall!$B$11,Waterfall!$B$12))</f>
        <v>0</v>
      </c>
      <c r="F10" s="668">
        <f>IF(5&gt;Waterfall!$B$5,0,$B$2*IF($B$3="Class A",Waterfall!$B$11,Waterfall!$B$12))</f>
        <v>0</v>
      </c>
      <c r="G10" s="668">
        <f>IF(6&gt;Waterfall!$B$5,0,$B$2*IF($B$3="Class A",Waterfall!$B$11,Waterfall!$B$12))</f>
        <v>0</v>
      </c>
      <c r="H10" s="668">
        <f>IF(7&gt;Waterfall!$B$5,0,$B$2*IF($B$3="Class A",Waterfall!$B$11,Waterfall!$B$12))</f>
        <v>0</v>
      </c>
      <c r="I10" s="668">
        <f>IF(8&gt;Waterfall!$B$5,0,$B$2*IF($B$3="Class A",Waterfall!$B$11,Waterfall!$B$12))</f>
        <v>0</v>
      </c>
      <c r="J10" s="668">
        <f>IF(9&gt;Waterfall!$B$5,0,$B$2*IF($B$3="Class A",Waterfall!$B$11,Waterfall!$B$12))</f>
        <v>0</v>
      </c>
      <c r="K10" s="668">
        <f>IF(10&gt;Waterfall!$B$5,0,$B$2*IF($B$3="Class A",Waterfall!$B$11,Waterfall!$B$12))</f>
        <v>0</v>
      </c>
      <c r="L10" s="668"/>
      <c r="M10" s="668">
        <f>SUM(B10:K10)</f>
        <v>0</v>
      </c>
    </row>
    <row r="11" spans="1:13" ht="16.5" customHeight="1" x14ac:dyDescent="0.25">
      <c r="A11" s="627" t="s">
        <v>1573</v>
      </c>
      <c r="B11" s="666">
        <f>IF(1&gt;Waterfall!$B$5,0,IFERROR($B$2/IF($B$3="Class A",Waterfall!$B$9,Waterfall!$B$10),0)*IF($B$3="Class A",Waterfall!B43,Waterfall!B45))</f>
        <v>0</v>
      </c>
      <c r="C11" s="666">
        <f>IF(2&gt;Waterfall!$B$5,0,IFERROR($B$2/IF($B$3="Class A",Waterfall!$B$9,Waterfall!$B$10),0)*IF($B$3="Class A",Waterfall!C43,Waterfall!C45))</f>
        <v>0</v>
      </c>
      <c r="D11" s="666">
        <f>IF(3&gt;Waterfall!$B$5,0,IFERROR($B$2/IF($B$3="Class A",Waterfall!$B$9,Waterfall!$B$10),0)*IF($B$3="Class A",Waterfall!D43,Waterfall!D45))</f>
        <v>0</v>
      </c>
      <c r="E11" s="666">
        <f>IF(4&gt;Waterfall!$B$5,0,IFERROR($B$2/IF($B$3="Class A",Waterfall!$B$9,Waterfall!$B$10),0)*IF($B$3="Class A",Waterfall!E43,Waterfall!E45))</f>
        <v>0</v>
      </c>
      <c r="F11" s="666">
        <f>IF(5&gt;Waterfall!$B$5,0,IFERROR($B$2/IF($B$3="Class A",Waterfall!$B$9,Waterfall!$B$10),0)*IF($B$3="Class A",Waterfall!F43,Waterfall!F45))</f>
        <v>0</v>
      </c>
      <c r="G11" s="666">
        <f>IF(6&gt;Waterfall!$B$5,0,IFERROR($B$2/IF($B$3="Class A",Waterfall!$B$9,Waterfall!$B$10),0)*IF($B$3="Class A",Waterfall!G43,Waterfall!G45))</f>
        <v>0</v>
      </c>
      <c r="H11" s="666">
        <f>IF(7&gt;Waterfall!$B$5,0,IFERROR($B$2/IF($B$3="Class A",Waterfall!$B$9,Waterfall!$B$10),0)*IF($B$3="Class A",Waterfall!H43,Waterfall!H45))</f>
        <v>0</v>
      </c>
      <c r="I11" s="666">
        <f>IF(8&gt;Waterfall!$B$5,0,IFERROR($B$2/IF($B$3="Class A",Waterfall!$B$9,Waterfall!$B$10),0)*IF($B$3="Class A",Waterfall!I43,Waterfall!I45))</f>
        <v>0</v>
      </c>
      <c r="J11" s="666">
        <f>IF(9&gt;Waterfall!$B$5,0,IFERROR($B$2/IF($B$3="Class A",Waterfall!$B$9,Waterfall!$B$10),0)*IF($B$3="Class A",Waterfall!J43,Waterfall!J45))</f>
        <v>0</v>
      </c>
      <c r="K11" s="666">
        <f>IF(10&gt;Waterfall!$B$5,0,IFERROR($B$2/IF($B$3="Class A",Waterfall!$B$9,Waterfall!$B$10),0)*IF($B$3="Class A",Waterfall!K43,Waterfall!K45))</f>
        <v>0</v>
      </c>
      <c r="L11" s="666"/>
      <c r="M11" s="666">
        <f>SUM(B11:K11)</f>
        <v>0</v>
      </c>
    </row>
    <row r="12" spans="1:13" ht="16.5" customHeight="1" x14ac:dyDescent="0.25">
      <c r="A12" s="669" t="s">
        <v>1574</v>
      </c>
      <c r="B12" s="670">
        <f>IF(1&gt;Waterfall!$B$5,0,MAX(B10-B11,0))</f>
        <v>0</v>
      </c>
      <c r="C12" s="670">
        <f>IF(2&gt;Waterfall!$B$5,0,MAX(B12+C10-C11,0))</f>
        <v>0</v>
      </c>
      <c r="D12" s="670">
        <f>IF(3&gt;Waterfall!$B$5,0,MAX(C12+D10-D11,0))</f>
        <v>0</v>
      </c>
      <c r="E12" s="670">
        <f>IF(4&gt;Waterfall!$B$5,0,MAX(D12+E10-E11,0))</f>
        <v>0</v>
      </c>
      <c r="F12" s="670">
        <f>IF(5&gt;Waterfall!$B$5,0,MAX(E12+F10-F11,0))</f>
        <v>0</v>
      </c>
      <c r="G12" s="670">
        <f>IF(6&gt;Waterfall!$B$5,0,MAX(F12+G10-G11,0))</f>
        <v>0</v>
      </c>
      <c r="H12" s="670">
        <f>IF(7&gt;Waterfall!$B$5,0,MAX(G12+H10-H11,0))</f>
        <v>0</v>
      </c>
      <c r="I12" s="670">
        <f>IF(8&gt;Waterfall!$B$5,0,MAX(H12+I10-I11,0))</f>
        <v>0</v>
      </c>
      <c r="J12" s="670">
        <f>IF(9&gt;Waterfall!$B$5,0,MAX(I12+J10-J11,0))</f>
        <v>0</v>
      </c>
      <c r="K12" s="670">
        <f>IF(10&gt;Waterfall!$B$5,0,MAX(J12+K10-K11,0))</f>
        <v>0</v>
      </c>
      <c r="L12" s="670"/>
      <c r="M12" s="670" t="e">
        <f>INDEX(B12:K12,MIN(Waterfall!$B$5,10))</f>
        <v>#VALUE!</v>
      </c>
    </row>
    <row r="13" spans="1:13" ht="19.5" customHeight="1" x14ac:dyDescent="0.25">
      <c r="A13" s="855" t="s">
        <v>1575</v>
      </c>
      <c r="B13" s="832"/>
      <c r="C13" s="832"/>
      <c r="D13" s="832"/>
      <c r="E13" s="832"/>
      <c r="F13" s="832"/>
      <c r="G13" s="832"/>
      <c r="H13" s="832"/>
      <c r="I13" s="832"/>
      <c r="J13" s="832"/>
      <c r="K13" s="832"/>
      <c r="L13" s="832"/>
      <c r="M13" s="833"/>
    </row>
    <row r="14" spans="1:13" ht="16.5" customHeight="1" x14ac:dyDescent="0.25">
      <c r="A14" s="625" t="s">
        <v>1576</v>
      </c>
      <c r="B14" s="668">
        <f>IF(1&gt;Waterfall!$B$5,0,IFERROR($B$2/IF($B$3="Class A",Waterfall!$B$9,Waterfall!$B$10),0)*IF($B$3="Class A",Waterfall!B55,Waterfall!B56))</f>
        <v>0</v>
      </c>
      <c r="C14" s="668">
        <f>IF(2&gt;Waterfall!$B$5,0,IFERROR($B$2/IF($B$3="Class A",Waterfall!$B$9,Waterfall!$B$10),0)*IF($B$3="Class A",Waterfall!C55,Waterfall!C56))</f>
        <v>0</v>
      </c>
      <c r="D14" s="668">
        <f>IF(3&gt;Waterfall!$B$5,0,IFERROR($B$2/IF($B$3="Class A",Waterfall!$B$9,Waterfall!$B$10),0)*IF($B$3="Class A",Waterfall!D55,Waterfall!D56))</f>
        <v>0</v>
      </c>
      <c r="E14" s="668">
        <f>IF(4&gt;Waterfall!$B$5,0,IFERROR($B$2/IF($B$3="Class A",Waterfall!$B$9,Waterfall!$B$10),0)*IF($B$3="Class A",Waterfall!E55,Waterfall!E56))</f>
        <v>0</v>
      </c>
      <c r="F14" s="668">
        <f>IF(5&gt;Waterfall!$B$5,0,IFERROR($B$2/IF($B$3="Class A",Waterfall!$B$9,Waterfall!$B$10),0)*IF($B$3="Class A",Waterfall!F55,Waterfall!F56))</f>
        <v>0</v>
      </c>
      <c r="G14" s="668">
        <f>IF(6&gt;Waterfall!$B$5,0,IFERROR($B$2/IF($B$3="Class A",Waterfall!$B$9,Waterfall!$B$10),0)*IF($B$3="Class A",Waterfall!G55,Waterfall!G56))</f>
        <v>0</v>
      </c>
      <c r="H14" s="668">
        <f>IF(7&gt;Waterfall!$B$5,0,IFERROR($B$2/IF($B$3="Class A",Waterfall!$B$9,Waterfall!$B$10),0)*IF($B$3="Class A",Waterfall!H55,Waterfall!H56))</f>
        <v>0</v>
      </c>
      <c r="I14" s="668">
        <f>IF(8&gt;Waterfall!$B$5,0,IFERROR($B$2/IF($B$3="Class A",Waterfall!$B$9,Waterfall!$B$10),0)*IF($B$3="Class A",Waterfall!I55,Waterfall!I56))</f>
        <v>0</v>
      </c>
      <c r="J14" s="668">
        <f>IF(9&gt;Waterfall!$B$5,0,IFERROR($B$2/IF($B$3="Class A",Waterfall!$B$9,Waterfall!$B$10),0)*IF($B$3="Class A",Waterfall!J55,Waterfall!J56))</f>
        <v>0</v>
      </c>
      <c r="K14" s="668">
        <f>IF(10&gt;Waterfall!$B$5,0,IFERROR($B$2/IF($B$3="Class A",Waterfall!$B$9,Waterfall!$B$10),0)*IF($B$3="Class A",Waterfall!K55,Waterfall!K56))</f>
        <v>0</v>
      </c>
      <c r="L14" s="668">
        <f>SUM(B14:K14)</f>
        <v>0</v>
      </c>
      <c r="M14" s="668">
        <f>SUM(B14:K14)</f>
        <v>0</v>
      </c>
    </row>
    <row r="15" spans="1:13" ht="16.5" customHeight="1" x14ac:dyDescent="0.25">
      <c r="A15" s="627" t="s">
        <v>505</v>
      </c>
      <c r="B15" s="671">
        <f>IF(1&gt;Waterfall!$B$5,0,IFERROR(B14/$B$2,0))</f>
        <v>0</v>
      </c>
      <c r="C15" s="671">
        <f>IF(2&gt;Waterfall!$B$5,0,IFERROR(C14/$B$2,0))</f>
        <v>0</v>
      </c>
      <c r="D15" s="671">
        <f>IF(3&gt;Waterfall!$B$5,0,IFERROR(D14/$B$2,0))</f>
        <v>0</v>
      </c>
      <c r="E15" s="671">
        <f>IF(4&gt;Waterfall!$B$5,0,IFERROR(E14/$B$2,0))</f>
        <v>0</v>
      </c>
      <c r="F15" s="671">
        <f>IF(5&gt;Waterfall!$B$5,0,IFERROR(F14/$B$2,0))</f>
        <v>0</v>
      </c>
      <c r="G15" s="671">
        <f>IF(6&gt;Waterfall!$B$5,0,IFERROR(G14/$B$2,0))</f>
        <v>0</v>
      </c>
      <c r="H15" s="671">
        <f>IF(7&gt;Waterfall!$B$5,0,IFERROR(H14/$B$2,0))</f>
        <v>0</v>
      </c>
      <c r="I15" s="671">
        <f>IF(8&gt;Waterfall!$B$5,0,IFERROR(I14/$B$2,0))</f>
        <v>0</v>
      </c>
      <c r="J15" s="671">
        <f>IF(9&gt;Waterfall!$B$5,0,IFERROR(J14/$B$2,0))</f>
        <v>0</v>
      </c>
      <c r="K15" s="671">
        <f>IF(10&gt;Waterfall!$B$5,0,IFERROR(K14/$B$2,0))</f>
        <v>0</v>
      </c>
      <c r="L15" s="671"/>
      <c r="M15" s="671"/>
    </row>
    <row r="16" spans="1:13" ht="16.5" customHeight="1" x14ac:dyDescent="0.25">
      <c r="A16" s="625" t="s">
        <v>1577</v>
      </c>
      <c r="B16" s="667">
        <f>IF(1&gt;Waterfall!$B$5,0,IFERROR(SUM($B$14:B14)/(1*$B$2),0))</f>
        <v>0</v>
      </c>
      <c r="C16" s="667">
        <f>IF(2&gt;Waterfall!$B$5,0,IFERROR(SUM($B$14:C14)/(2*$B$2),0))</f>
        <v>0</v>
      </c>
      <c r="D16" s="667">
        <f>IF(3&gt;Waterfall!$B$5,0,IFERROR(SUM($B$14:D14)/(3*$B$2),0))</f>
        <v>0</v>
      </c>
      <c r="E16" s="667">
        <f>IF(4&gt;Waterfall!$B$5,0,IFERROR(SUM($B$14:E14)/(4*$B$2),0))</f>
        <v>0</v>
      </c>
      <c r="F16" s="667">
        <f>IF(5&gt;Waterfall!$B$5,0,IFERROR(SUM($B$14:F14)/(5*$B$2),0))</f>
        <v>0</v>
      </c>
      <c r="G16" s="667">
        <f>IF(6&gt;Waterfall!$B$5,0,IFERROR(SUM($B$14:G14)/(6*$B$2),0))</f>
        <v>0</v>
      </c>
      <c r="H16" s="667">
        <f>IF(7&gt;Waterfall!$B$5,0,IFERROR(SUM($B$14:H14)/(7*$B$2),0))</f>
        <v>0</v>
      </c>
      <c r="I16" s="667">
        <f>IF(8&gt;Waterfall!$B$5,0,IFERROR(SUM($B$14:I14)/(8*$B$2),0))</f>
        <v>0</v>
      </c>
      <c r="J16" s="667">
        <f>IF(9&gt;Waterfall!$B$5,0,IFERROR(SUM($B$14:J14)/(9*$B$2),0))</f>
        <v>0</v>
      </c>
      <c r="K16" s="667">
        <f>IF(10&gt;Waterfall!$B$5,0,IFERROR(SUM($B$14:K14)/(10*$B$2),0))</f>
        <v>0</v>
      </c>
      <c r="L16" s="667"/>
      <c r="M16" s="667"/>
    </row>
    <row r="17" spans="1:13" ht="19.5" customHeight="1" x14ac:dyDescent="0.25">
      <c r="A17" s="855" t="s">
        <v>1578</v>
      </c>
      <c r="B17" s="832"/>
      <c r="C17" s="832"/>
      <c r="D17" s="832"/>
      <c r="E17" s="832"/>
      <c r="F17" s="832"/>
      <c r="G17" s="832"/>
      <c r="H17" s="832"/>
      <c r="I17" s="832"/>
      <c r="J17" s="832"/>
      <c r="K17" s="832"/>
      <c r="L17" s="832"/>
      <c r="M17" s="833"/>
    </row>
    <row r="18" spans="1:13" ht="16.5" customHeight="1" x14ac:dyDescent="0.25">
      <c r="A18" s="625" t="s">
        <v>1579</v>
      </c>
      <c r="B18" s="668">
        <f>IF(1=Waterfall!$B$5,IFERROR($B$2/IF($B$3="Class A",Waterfall!$B$9,Waterfall!$B$10),0)*IF($B$3="Class A",Waterfall!$L$55-Waterfall!$L$36,Waterfall!$L$56-Waterfall!$L$37),IF(AND(ISNUMBER('Exit Strategy'!$C$5),1='Exit Strategy'!$C$5,Waterfall!$B$23="Return of Capital"),IFERROR($B$2/IF($B$3="Class A",Waterfall!$B$9,Waterfall!$B$10),0)*'Exit Strategy'!$C$24,0))</f>
        <v>0</v>
      </c>
      <c r="C18" s="668">
        <f>IF(2=Waterfall!$B$5,IFERROR($B$2/IF($B$3="Class A",Waterfall!$B$9,Waterfall!$B$10),0)*IF($B$3="Class A",Waterfall!$L$55-Waterfall!$L$36,Waterfall!$L$56-Waterfall!$L$37),IF(AND(ISNUMBER('Exit Strategy'!$C$5),2='Exit Strategy'!$C$5,Waterfall!$B$23="Return of Capital"),IFERROR($B$2/IF($B$3="Class A",Waterfall!$B$9,Waterfall!$B$10),0)*'Exit Strategy'!$C$24,0))</f>
        <v>0</v>
      </c>
      <c r="D18" s="668">
        <f>IF(3=Waterfall!$B$5,IFERROR($B$2/IF($B$3="Class A",Waterfall!$B$9,Waterfall!$B$10),0)*IF($B$3="Class A",Waterfall!$L$55-Waterfall!$L$36,Waterfall!$L$56-Waterfall!$L$37),IF(AND(ISNUMBER('Exit Strategy'!$C$5),3='Exit Strategy'!$C$5,Waterfall!$B$23="Return of Capital"),IFERROR($B$2/IF($B$3="Class A",Waterfall!$B$9,Waterfall!$B$10),0)*'Exit Strategy'!$C$24,0))</f>
        <v>0</v>
      </c>
      <c r="E18" s="668">
        <f>IF(4=Waterfall!$B$5,IFERROR($B$2/IF($B$3="Class A",Waterfall!$B$9,Waterfall!$B$10),0)*IF($B$3="Class A",Waterfall!$L$55-Waterfall!$L$36,Waterfall!$L$56-Waterfall!$L$37),IF(AND(ISNUMBER('Exit Strategy'!$C$5),4='Exit Strategy'!$C$5,Waterfall!$B$23="Return of Capital"),IFERROR($B$2/IF($B$3="Class A",Waterfall!$B$9,Waterfall!$B$10),0)*'Exit Strategy'!$C$24,0))</f>
        <v>0</v>
      </c>
      <c r="F18" s="668">
        <f>IF(5=Waterfall!$B$5,IFERROR($B$2/IF($B$3="Class A",Waterfall!$B$9,Waterfall!$B$10),0)*IF($B$3="Class A",Waterfall!$L$55-Waterfall!$L$36,Waterfall!$L$56-Waterfall!$L$37),IF(AND(ISNUMBER('Exit Strategy'!$C$5),5='Exit Strategy'!$C$5,Waterfall!$B$23="Return of Capital"),IFERROR($B$2/IF($B$3="Class A",Waterfall!$B$9,Waterfall!$B$10),0)*'Exit Strategy'!$C$24,0))</f>
        <v>0</v>
      </c>
      <c r="G18" s="668">
        <f>IF(6=Waterfall!$B$5,IFERROR($B$2/IF($B$3="Class A",Waterfall!$B$9,Waterfall!$B$10),0)*IF($B$3="Class A",Waterfall!$L$55-Waterfall!$L$36,Waterfall!$L$56-Waterfall!$L$37),IF(AND(ISNUMBER('Exit Strategy'!$C$5),6='Exit Strategy'!$C$5,Waterfall!$B$23="Return of Capital"),IFERROR($B$2/IF($B$3="Class A",Waterfall!$B$9,Waterfall!$B$10),0)*'Exit Strategy'!$C$24,0))</f>
        <v>0</v>
      </c>
      <c r="H18" s="668">
        <f>IF(7=Waterfall!$B$5,IFERROR($B$2/IF($B$3="Class A",Waterfall!$B$9,Waterfall!$B$10),0)*IF($B$3="Class A",Waterfall!$L$55-Waterfall!$L$36,Waterfall!$L$56-Waterfall!$L$37),IF(AND(ISNUMBER('Exit Strategy'!$C$5),7='Exit Strategy'!$C$5,Waterfall!$B$23="Return of Capital"),IFERROR($B$2/IF($B$3="Class A",Waterfall!$B$9,Waterfall!$B$10),0)*'Exit Strategy'!$C$24,0))</f>
        <v>0</v>
      </c>
      <c r="I18" s="668">
        <f>IF(8=Waterfall!$B$5,IFERROR($B$2/IF($B$3="Class A",Waterfall!$B$9,Waterfall!$B$10),0)*IF($B$3="Class A",Waterfall!$L$55-Waterfall!$L$36,Waterfall!$L$56-Waterfall!$L$37),IF(AND(ISNUMBER('Exit Strategy'!$C$5),8='Exit Strategy'!$C$5,Waterfall!$B$23="Return of Capital"),IFERROR($B$2/IF($B$3="Class A",Waterfall!$B$9,Waterfall!$B$10),0)*'Exit Strategy'!$C$24,0))</f>
        <v>0</v>
      </c>
      <c r="J18" s="668">
        <f>IF(9=Waterfall!$B$5,IFERROR($B$2/IF($B$3="Class A",Waterfall!$B$9,Waterfall!$B$10),0)*IF($B$3="Class A",Waterfall!$L$55-Waterfall!$L$36,Waterfall!$L$56-Waterfall!$L$37),IF(AND(ISNUMBER('Exit Strategy'!$C$5),9='Exit Strategy'!$C$5,Waterfall!$B$23="Return of Capital"),IFERROR($B$2/IF($B$3="Class A",Waterfall!$B$9,Waterfall!$B$10),0)*'Exit Strategy'!$C$24,0))</f>
        <v>0</v>
      </c>
      <c r="K18" s="668">
        <f>IF(10=Waterfall!$B$5,IFERROR($B$2/IF($B$3="Class A",Waterfall!$B$9,Waterfall!$B$10),0)*IF($B$3="Class A",Waterfall!$L$55-Waterfall!$L$36,Waterfall!$L$56-Waterfall!$L$37),IF(AND(ISNUMBER('Exit Strategy'!$C$5),10='Exit Strategy'!$C$5,Waterfall!$B$23="Return of Capital"),IFERROR($B$2/IF($B$3="Class A",Waterfall!$B$9,Waterfall!$B$10),0)*'Exit Strategy'!$C$24,0))</f>
        <v>0</v>
      </c>
      <c r="L18" s="668"/>
      <c r="M18" s="668">
        <f>SUM(B18:K18)</f>
        <v>0</v>
      </c>
    </row>
    <row r="19" spans="1:13" ht="16.5" customHeight="1" x14ac:dyDescent="0.25">
      <c r="A19" s="627" t="s">
        <v>1580</v>
      </c>
      <c r="B19" s="666">
        <f>IF(1=Waterfall!$B$5,IFERROR($B$2/IF($B$3="Class A",Waterfall!$B$9,Waterfall!$B$10),0)*IF($B$3="Class A",Waterfall!$L$36,Waterfall!$L$37),IF(AND(ISNUMBER('Exit Strategy'!$C$5),1='Exit Strategy'!$C$5,Waterfall!$B$23="Return of Capital"),IFERROR($B$2/IF($B$3="Class A",Waterfall!$B$9,Waterfall!$B$10),0)*'Exit Strategy'!$C$17,0))</f>
        <v>0</v>
      </c>
      <c r="C19" s="666">
        <f>IF(2=Waterfall!$B$5,IFERROR($B$2/IF($B$3="Class A",Waterfall!$B$9,Waterfall!$B$10),0)*IF($B$3="Class A",Waterfall!$L$36,Waterfall!$L$37),IF(AND(ISNUMBER('Exit Strategy'!$C$5),2='Exit Strategy'!$C$5,Waterfall!$B$23="Return of Capital"),IFERROR($B$2/IF($B$3="Class A",Waterfall!$B$9,Waterfall!$B$10),0)*'Exit Strategy'!$C$17,0))</f>
        <v>0</v>
      </c>
      <c r="D19" s="666">
        <f>IF(3=Waterfall!$B$5,IFERROR($B$2/IF($B$3="Class A",Waterfall!$B$9,Waterfall!$B$10),0)*IF($B$3="Class A",Waterfall!$L$36,Waterfall!$L$37),IF(AND(ISNUMBER('Exit Strategy'!$C$5),3='Exit Strategy'!$C$5,Waterfall!$B$23="Return of Capital"),IFERROR($B$2/IF($B$3="Class A",Waterfall!$B$9,Waterfall!$B$10),0)*'Exit Strategy'!$C$17,0))</f>
        <v>0</v>
      </c>
      <c r="E19" s="666">
        <f>IF(4=Waterfall!$B$5,IFERROR($B$2/IF($B$3="Class A",Waterfall!$B$9,Waterfall!$B$10),0)*IF($B$3="Class A",Waterfall!$L$36,Waterfall!$L$37),IF(AND(ISNUMBER('Exit Strategy'!$C$5),4='Exit Strategy'!$C$5,Waterfall!$B$23="Return of Capital"),IFERROR($B$2/IF($B$3="Class A",Waterfall!$B$9,Waterfall!$B$10),0)*'Exit Strategy'!$C$17,0))</f>
        <v>0</v>
      </c>
      <c r="F19" s="666">
        <f>IF(5=Waterfall!$B$5,IFERROR($B$2/IF($B$3="Class A",Waterfall!$B$9,Waterfall!$B$10),0)*IF($B$3="Class A",Waterfall!$L$36,Waterfall!$L$37),IF(AND(ISNUMBER('Exit Strategy'!$C$5),5='Exit Strategy'!$C$5,Waterfall!$B$23="Return of Capital"),IFERROR($B$2/IF($B$3="Class A",Waterfall!$B$9,Waterfall!$B$10),0)*'Exit Strategy'!$C$17,0))</f>
        <v>0</v>
      </c>
      <c r="G19" s="666">
        <f>IF(6=Waterfall!$B$5,IFERROR($B$2/IF($B$3="Class A",Waterfall!$B$9,Waterfall!$B$10),0)*IF($B$3="Class A",Waterfall!$L$36,Waterfall!$L$37),IF(AND(ISNUMBER('Exit Strategy'!$C$5),6='Exit Strategy'!$C$5,Waterfall!$B$23="Return of Capital"),IFERROR($B$2/IF($B$3="Class A",Waterfall!$B$9,Waterfall!$B$10),0)*'Exit Strategy'!$C$17,0))</f>
        <v>0</v>
      </c>
      <c r="H19" s="666">
        <f>IF(7=Waterfall!$B$5,IFERROR($B$2/IF($B$3="Class A",Waterfall!$B$9,Waterfall!$B$10),0)*IF($B$3="Class A",Waterfall!$L$36,Waterfall!$L$37),IF(AND(ISNUMBER('Exit Strategy'!$C$5),7='Exit Strategy'!$C$5,Waterfall!$B$23="Return of Capital"),IFERROR($B$2/IF($B$3="Class A",Waterfall!$B$9,Waterfall!$B$10),0)*'Exit Strategy'!$C$17,0))</f>
        <v>0</v>
      </c>
      <c r="I19" s="666">
        <f>IF(8=Waterfall!$B$5,IFERROR($B$2/IF($B$3="Class A",Waterfall!$B$9,Waterfall!$B$10),0)*IF($B$3="Class A",Waterfall!$L$36,Waterfall!$L$37),IF(AND(ISNUMBER('Exit Strategy'!$C$5),8='Exit Strategy'!$C$5,Waterfall!$B$23="Return of Capital"),IFERROR($B$2/IF($B$3="Class A",Waterfall!$B$9,Waterfall!$B$10),0)*'Exit Strategy'!$C$17,0))</f>
        <v>0</v>
      </c>
      <c r="J19" s="666">
        <f>IF(9=Waterfall!$B$5,IFERROR($B$2/IF($B$3="Class A",Waterfall!$B$9,Waterfall!$B$10),0)*IF($B$3="Class A",Waterfall!$L$36,Waterfall!$L$37),IF(AND(ISNUMBER('Exit Strategy'!$C$5),9='Exit Strategy'!$C$5,Waterfall!$B$23="Return of Capital"),IFERROR($B$2/IF($B$3="Class A",Waterfall!$B$9,Waterfall!$B$10),0)*'Exit Strategy'!$C$17,0))</f>
        <v>0</v>
      </c>
      <c r="K19" s="666">
        <f>IF(10=Waterfall!$B$5,IFERROR($B$2/IF($B$3="Class A",Waterfall!$B$9,Waterfall!$B$10),0)*IF($B$3="Class A",Waterfall!$L$36,Waterfall!$L$37),IF(AND(ISNUMBER('Exit Strategy'!$C$5),10='Exit Strategy'!$C$5,Waterfall!$B$23="Return of Capital"),IFERROR($B$2/IF($B$3="Class A",Waterfall!$B$9,Waterfall!$B$10),0)*'Exit Strategy'!$C$17,0))</f>
        <v>0</v>
      </c>
      <c r="L19" s="666"/>
      <c r="M19" s="666">
        <f>SUM(B19:K19)</f>
        <v>0</v>
      </c>
    </row>
    <row r="20" spans="1:13" ht="16.5" customHeight="1" x14ac:dyDescent="0.25">
      <c r="A20" s="625" t="s">
        <v>1581</v>
      </c>
      <c r="B20" s="668">
        <f>IF(1&gt;Waterfall!$B$5,0,SUM($B$19:B19))</f>
        <v>0</v>
      </c>
      <c r="C20" s="668">
        <f>IF(2&gt;Waterfall!$B$5,0,SUM($B$19:C19))</f>
        <v>0</v>
      </c>
      <c r="D20" s="668">
        <f>IF(3&gt;Waterfall!$B$5,0,SUM($B$19:D19))</f>
        <v>0</v>
      </c>
      <c r="E20" s="668">
        <f>IF(4&gt;Waterfall!$B$5,0,SUM($B$19:E19))</f>
        <v>0</v>
      </c>
      <c r="F20" s="668">
        <f>IF(5&gt;Waterfall!$B$5,0,SUM($B$19:F19))</f>
        <v>0</v>
      </c>
      <c r="G20" s="668">
        <f>IF(6&gt;Waterfall!$B$5,0,SUM($B$19:G19))</f>
        <v>0</v>
      </c>
      <c r="H20" s="668">
        <f>IF(7&gt;Waterfall!$B$5,0,SUM($B$19:H19))</f>
        <v>0</v>
      </c>
      <c r="I20" s="668">
        <f>IF(8&gt;Waterfall!$B$5,0,SUM($B$19:I19))</f>
        <v>0</v>
      </c>
      <c r="J20" s="668">
        <f>IF(9&gt;Waterfall!$B$5,0,SUM($B$19:J19))</f>
        <v>0</v>
      </c>
      <c r="K20" s="668">
        <f>IF(10&gt;Waterfall!$B$5,0,SUM($B$19:K19))</f>
        <v>0</v>
      </c>
      <c r="L20" s="668"/>
      <c r="M20" s="668"/>
    </row>
    <row r="21" spans="1:13" ht="16.5" customHeight="1" x14ac:dyDescent="0.25">
      <c r="A21" s="627" t="s">
        <v>1582</v>
      </c>
      <c r="B21" s="666">
        <f>IF(1&gt;=Waterfall!$B$5,0,MAX($B$2-B20,0))</f>
        <v>0</v>
      </c>
      <c r="C21" s="666">
        <f>IF(2&gt;=Waterfall!$B$5,0,MAX($B$2-C20,0))</f>
        <v>0</v>
      </c>
      <c r="D21" s="666">
        <f>IF(3&gt;=Waterfall!$B$5,0,MAX($B$2-D20,0))</f>
        <v>0</v>
      </c>
      <c r="E21" s="666">
        <f>IF(4&gt;=Waterfall!$B$5,0,MAX($B$2-E20,0))</f>
        <v>0</v>
      </c>
      <c r="F21" s="666">
        <f>IF(5&gt;=Waterfall!$B$5,0,MAX($B$2-F20,0))</f>
        <v>0</v>
      </c>
      <c r="G21" s="666">
        <f>IF(6&gt;=Waterfall!$B$5,0,MAX($B$2-G20,0))</f>
        <v>0</v>
      </c>
      <c r="H21" s="666">
        <f>IF(7&gt;=Waterfall!$B$5,0,MAX($B$2-H20,0))</f>
        <v>0</v>
      </c>
      <c r="I21" s="666">
        <f>IF(8&gt;=Waterfall!$B$5,0,MAX($B$2-I20,0))</f>
        <v>0</v>
      </c>
      <c r="J21" s="666">
        <f>IF(9&gt;=Waterfall!$B$5,0,MAX($B$2-J20,0))</f>
        <v>0</v>
      </c>
      <c r="K21" s="666">
        <f>IF(10&gt;=Waterfall!$B$5,0,MAX($B$2-K20,0))</f>
        <v>0</v>
      </c>
      <c r="L21" s="666"/>
      <c r="M21" s="666"/>
    </row>
    <row r="22" spans="1:13" ht="19.5" customHeight="1" x14ac:dyDescent="0.25">
      <c r="A22" s="855" t="s">
        <v>1583</v>
      </c>
      <c r="B22" s="832"/>
      <c r="C22" s="832"/>
      <c r="D22" s="832"/>
      <c r="E22" s="832"/>
      <c r="F22" s="832"/>
      <c r="G22" s="832"/>
      <c r="H22" s="832"/>
      <c r="I22" s="832"/>
      <c r="J22" s="832"/>
      <c r="K22" s="832"/>
      <c r="L22" s="832"/>
      <c r="M22" s="833"/>
    </row>
    <row r="23" spans="1:13" ht="16.5" customHeight="1" x14ac:dyDescent="0.25">
      <c r="A23" s="627" t="s">
        <v>1584</v>
      </c>
      <c r="B23" s="666">
        <f>IF(1&gt;Waterfall!$B$5,0,SUM($B$14:B14)+SUM($B$18:B18)+SUM($B$19:B19))</f>
        <v>0</v>
      </c>
      <c r="C23" s="666">
        <f>IF(2&gt;Waterfall!$B$5,0,SUM($B$14:C14)+SUM($B$18:C18)+SUM($B$19:C19))</f>
        <v>0</v>
      </c>
      <c r="D23" s="666">
        <f>IF(3&gt;Waterfall!$B$5,0,SUM($B$14:D14)+SUM($B$18:D18)+SUM($B$19:D19))</f>
        <v>0</v>
      </c>
      <c r="E23" s="666">
        <f>IF(4&gt;Waterfall!$B$5,0,SUM($B$14:E14)+SUM($B$18:E18)+SUM($B$19:E19))</f>
        <v>0</v>
      </c>
      <c r="F23" s="666">
        <f>IF(5&gt;Waterfall!$B$5,0,SUM($B$14:F14)+SUM($B$18:F18)+SUM($B$19:F19))</f>
        <v>0</v>
      </c>
      <c r="G23" s="666">
        <f>IF(6&gt;Waterfall!$B$5,0,SUM($B$14:G14)+SUM($B$18:G18)+SUM($B$19:G19))</f>
        <v>0</v>
      </c>
      <c r="H23" s="666">
        <f>IF(7&gt;Waterfall!$B$5,0,SUM($B$14:H14)+SUM($B$18:H18)+SUM($B$19:H19))</f>
        <v>0</v>
      </c>
      <c r="I23" s="666">
        <f>IF(8&gt;Waterfall!$B$5,0,SUM($B$14:I14)+SUM($B$18:I18)+SUM($B$19:I19))</f>
        <v>0</v>
      </c>
      <c r="J23" s="666">
        <f>IF(9&gt;Waterfall!$B$5,0,SUM($B$14:J14)+SUM($B$18:J18)+SUM($B$19:J19))</f>
        <v>0</v>
      </c>
      <c r="K23" s="666">
        <f>IF(10&gt;Waterfall!$B$5,0,SUM($B$14:K14)+SUM($B$18:K18)+SUM($B$19:K19))</f>
        <v>0</v>
      </c>
      <c r="L23" s="666"/>
      <c r="M23" s="666"/>
    </row>
    <row r="24" spans="1:13" ht="16.5" customHeight="1" x14ac:dyDescent="0.25">
      <c r="A24" s="625" t="s">
        <v>1585</v>
      </c>
      <c r="B24" s="667">
        <f>IF(1&gt;Waterfall!$B$5,0,IFERROR((SUM($B$14:B14)+SUM($B$18:B18))/(1*$B$2),0))</f>
        <v>0</v>
      </c>
      <c r="C24" s="667">
        <f>IF(2&gt;Waterfall!$B$5,0,IFERROR((SUM($B$14:C14)+SUM($B$18:C18))/(2*$B$2),0))</f>
        <v>0</v>
      </c>
      <c r="D24" s="667">
        <f>IF(3&gt;Waterfall!$B$5,0,IFERROR((SUM($B$14:D14)+SUM($B$18:D18))/(3*$B$2),0))</f>
        <v>0</v>
      </c>
      <c r="E24" s="667">
        <f>IF(4&gt;Waterfall!$B$5,0,IFERROR((SUM($B$14:E14)+SUM($B$18:E18))/(4*$B$2),0))</f>
        <v>0</v>
      </c>
      <c r="F24" s="667">
        <f>IF(5&gt;Waterfall!$B$5,0,IFERROR((SUM($B$14:F14)+SUM($B$18:F18))/(5*$B$2),0))</f>
        <v>0</v>
      </c>
      <c r="G24" s="667">
        <f>IF(6&gt;Waterfall!$B$5,0,IFERROR((SUM($B$14:G14)+SUM($B$18:G18))/(6*$B$2),0))</f>
        <v>0</v>
      </c>
      <c r="H24" s="667">
        <f>IF(7&gt;Waterfall!$B$5,0,IFERROR((SUM($B$14:H14)+SUM($B$18:H18))/(7*$B$2),0))</f>
        <v>0</v>
      </c>
      <c r="I24" s="667">
        <f>IF(8&gt;Waterfall!$B$5,0,IFERROR((SUM($B$14:I14)+SUM($B$18:I18))/(8*$B$2),0))</f>
        <v>0</v>
      </c>
      <c r="J24" s="667">
        <f>IF(9&gt;Waterfall!$B$5,0,IFERROR((SUM($B$14:J14)+SUM($B$18:J18))/(9*$B$2),0))</f>
        <v>0</v>
      </c>
      <c r="K24" s="667">
        <f>IF(10&gt;Waterfall!$B$5,0,IFERROR((SUM($B$14:K14)+SUM($B$18:K18))/(10*$B$2),0))</f>
        <v>0</v>
      </c>
      <c r="L24" s="667"/>
      <c r="M24" s="667"/>
    </row>
    <row r="25" spans="1:13" ht="21.75" customHeight="1" x14ac:dyDescent="0.25">
      <c r="A25" s="47" t="s">
        <v>1586</v>
      </c>
      <c r="B25" s="672">
        <f t="shared" ref="B25:K25" si="0">B14+B18+B19</f>
        <v>0</v>
      </c>
      <c r="C25" s="672">
        <f t="shared" si="0"/>
        <v>0</v>
      </c>
      <c r="D25" s="672">
        <f t="shared" si="0"/>
        <v>0</v>
      </c>
      <c r="E25" s="672">
        <f t="shared" si="0"/>
        <v>0</v>
      </c>
      <c r="F25" s="672">
        <f t="shared" si="0"/>
        <v>0</v>
      </c>
      <c r="G25" s="672">
        <f t="shared" si="0"/>
        <v>0</v>
      </c>
      <c r="H25" s="672">
        <f t="shared" si="0"/>
        <v>0</v>
      </c>
      <c r="I25" s="672">
        <f t="shared" si="0"/>
        <v>0</v>
      </c>
      <c r="J25" s="672">
        <f t="shared" si="0"/>
        <v>0</v>
      </c>
      <c r="K25" s="672">
        <f t="shared" si="0"/>
        <v>0</v>
      </c>
      <c r="L25" s="672">
        <f>SUM(B25:K25)</f>
        <v>0</v>
      </c>
      <c r="M25" s="673">
        <f>IFERROR(L25/$B$2,0)</f>
        <v>0</v>
      </c>
    </row>
    <row r="26" spans="1:13" ht="6" customHeight="1" x14ac:dyDescent="0.25">
      <c r="A26" s="662"/>
      <c r="B26" s="674">
        <f>-$B$2</f>
        <v>0</v>
      </c>
      <c r="C26" s="674">
        <f t="shared" ref="C26:L26" si="1">B25</f>
        <v>0</v>
      </c>
      <c r="D26" s="674">
        <f t="shared" si="1"/>
        <v>0</v>
      </c>
      <c r="E26" s="674">
        <f t="shared" si="1"/>
        <v>0</v>
      </c>
      <c r="F26" s="674">
        <f t="shared" si="1"/>
        <v>0</v>
      </c>
      <c r="G26" s="674">
        <f t="shared" si="1"/>
        <v>0</v>
      </c>
      <c r="H26" s="674">
        <f t="shared" si="1"/>
        <v>0</v>
      </c>
      <c r="I26" s="674">
        <f t="shared" si="1"/>
        <v>0</v>
      </c>
      <c r="J26" s="674">
        <f t="shared" si="1"/>
        <v>0</v>
      </c>
      <c r="K26" s="674">
        <f t="shared" si="1"/>
        <v>0</v>
      </c>
      <c r="L26" s="674">
        <f t="shared" si="1"/>
        <v>0</v>
      </c>
      <c r="M26" s="662"/>
    </row>
    <row r="27" spans="1:13" ht="21.75" customHeight="1" x14ac:dyDescent="0.25">
      <c r="A27" s="675" t="s">
        <v>1587</v>
      </c>
      <c r="B27" s="676">
        <f>IFERROR((L25-$B$2)/(Waterfall!$B$5*$B$2),0)</f>
        <v>0</v>
      </c>
      <c r="C27" s="677"/>
      <c r="D27" s="677"/>
      <c r="E27" s="677"/>
      <c r="F27" s="677"/>
      <c r="G27" s="677"/>
      <c r="H27" s="677"/>
      <c r="I27" s="677"/>
      <c r="J27" s="677"/>
      <c r="K27" s="677"/>
      <c r="L27" s="678"/>
    </row>
    <row r="28" spans="1:13" ht="21.75" customHeight="1" x14ac:dyDescent="0.25">
      <c r="A28" s="675" t="s">
        <v>121</v>
      </c>
      <c r="B28" s="676">
        <f>IFERROR(IRR(B26:L26),0)</f>
        <v>0</v>
      </c>
      <c r="C28" s="677"/>
      <c r="D28" s="677"/>
      <c r="E28" s="677"/>
      <c r="F28" s="677"/>
      <c r="G28" s="677"/>
      <c r="H28" s="677"/>
      <c r="I28" s="677"/>
      <c r="J28" s="677"/>
      <c r="K28" s="677"/>
      <c r="L28" s="678"/>
    </row>
    <row r="29" spans="1:13" ht="21.75" customHeight="1" x14ac:dyDescent="0.25">
      <c r="A29" s="679" t="s">
        <v>1588</v>
      </c>
      <c r="B29" s="676">
        <f>'XIRR Analysis'!H54</f>
        <v>0</v>
      </c>
      <c r="C29" s="677"/>
      <c r="D29" s="677"/>
      <c r="E29" s="677"/>
      <c r="F29" s="677"/>
      <c r="G29" s="677"/>
      <c r="H29" s="677"/>
      <c r="I29" s="677"/>
      <c r="J29" s="677"/>
      <c r="K29" s="677"/>
      <c r="L29" s="678"/>
    </row>
    <row r="30" spans="1:13" ht="21.75" customHeight="1" x14ac:dyDescent="0.25">
      <c r="A30" s="675" t="s">
        <v>1589</v>
      </c>
      <c r="B30" s="676">
        <f>IFERROR(SUM(B14:K14)/(MIN(Waterfall!$B$5,10)*$B$2),0)</f>
        <v>0</v>
      </c>
      <c r="C30" s="677"/>
      <c r="D30" s="677"/>
      <c r="E30" s="677"/>
      <c r="F30" s="677"/>
      <c r="G30" s="677"/>
      <c r="H30" s="677"/>
      <c r="I30" s="677"/>
      <c r="J30" s="677"/>
      <c r="K30" s="677"/>
      <c r="L30" s="678"/>
    </row>
    <row r="31" spans="1:13" ht="21.75" customHeight="1" x14ac:dyDescent="0.25">
      <c r="A31" s="675" t="s">
        <v>119</v>
      </c>
      <c r="B31" s="680">
        <f>IFERROR(L25/$B$2,0)</f>
        <v>0</v>
      </c>
      <c r="C31" s="677"/>
      <c r="D31" s="677"/>
      <c r="E31" s="677"/>
      <c r="F31" s="677"/>
      <c r="G31" s="677"/>
      <c r="H31" s="677"/>
      <c r="I31" s="677"/>
      <c r="J31" s="677"/>
      <c r="K31" s="677"/>
      <c r="L31" s="678"/>
    </row>
    <row r="32" spans="1:13" ht="7.5" customHeight="1" x14ac:dyDescent="0.25">
      <c r="A32" s="662"/>
      <c r="B32" s="662"/>
      <c r="C32" s="662"/>
      <c r="D32" s="662"/>
      <c r="E32" s="662"/>
      <c r="F32" s="662"/>
      <c r="G32" s="662"/>
      <c r="H32" s="662"/>
      <c r="I32" s="662"/>
      <c r="J32" s="662"/>
      <c r="K32" s="662"/>
      <c r="L32" s="662"/>
      <c r="M32" s="662"/>
    </row>
    <row r="33" spans="1:13" ht="19.5" customHeight="1" x14ac:dyDescent="0.25">
      <c r="A33" s="855" t="s">
        <v>1590</v>
      </c>
      <c r="B33" s="832"/>
      <c r="C33" s="832"/>
      <c r="D33" s="832"/>
      <c r="E33" s="832"/>
      <c r="F33" s="832"/>
      <c r="G33" s="832"/>
      <c r="H33" s="832"/>
      <c r="I33" s="832"/>
      <c r="J33" s="832"/>
      <c r="K33" s="832"/>
      <c r="L33" s="832"/>
      <c r="M33" s="833"/>
    </row>
    <row r="34" spans="1:13" ht="16.5" customHeight="1" x14ac:dyDescent="0.25">
      <c r="A34" s="681" t="s">
        <v>1591</v>
      </c>
      <c r="B34" s="681" t="s">
        <v>1592</v>
      </c>
      <c r="C34" s="681" t="s">
        <v>1593</v>
      </c>
      <c r="D34" s="681" t="s">
        <v>1594</v>
      </c>
      <c r="E34" s="681" t="s">
        <v>1595</v>
      </c>
      <c r="F34" s="662"/>
      <c r="G34" s="662"/>
      <c r="H34" s="662"/>
      <c r="I34" s="662"/>
      <c r="J34" s="662"/>
      <c r="K34" s="662"/>
      <c r="L34" s="662"/>
      <c r="M34" s="662"/>
    </row>
    <row r="35" spans="1:13" ht="16.5" customHeight="1" x14ac:dyDescent="0.25">
      <c r="A35" s="625" t="s">
        <v>1596</v>
      </c>
      <c r="B35" s="656">
        <v>8000</v>
      </c>
      <c r="C35" s="682">
        <f>IFERROR(B35/(IF($B$3="Class A",Waterfall!$B$11,Waterfall!$B$12)),0)</f>
        <v>0</v>
      </c>
      <c r="D35" s="683">
        <f>$B$2*IF($B$3="Class A",Waterfall!$B$11,Waterfall!$B$12)</f>
        <v>0</v>
      </c>
      <c r="E35" s="684" t="str">
        <f>IFERROR(IF(D35&gt;=B35,"✓ Meets target","Need "&amp;TEXT(C35-$B$2,"$#,##0")&amp;" more"),"")</f>
        <v>Need $0 more</v>
      </c>
      <c r="F35" s="625"/>
      <c r="G35" s="625"/>
      <c r="H35" s="625"/>
      <c r="I35" s="625"/>
      <c r="J35" s="625"/>
      <c r="K35" s="625"/>
      <c r="L35" s="625"/>
      <c r="M35" s="625"/>
    </row>
    <row r="36" spans="1:13" ht="16.5" customHeight="1" x14ac:dyDescent="0.25">
      <c r="A36" s="627" t="s">
        <v>1597</v>
      </c>
      <c r="B36" s="685">
        <v>2</v>
      </c>
      <c r="C36" s="686" t="s">
        <v>1598</v>
      </c>
      <c r="D36" s="627"/>
      <c r="E36" s="687" t="str">
        <f>IFERROR(IF(IFERROR(L25/$B$2+1,0)&gt;=B36,"✓ Deal hits target","Deal at "&amp;TEXT(IFERROR(L25/$B$2+1,0),"0.00x")&amp;" vs "&amp;TEXT(B36,"0.00x")),"")</f>
        <v>Deal at 0.00x vs 2.00x</v>
      </c>
      <c r="F36" s="627"/>
      <c r="G36" s="627"/>
      <c r="H36" s="627"/>
      <c r="I36" s="627"/>
      <c r="J36" s="627"/>
      <c r="K36" s="627"/>
      <c r="L36" s="627"/>
      <c r="M36" s="627"/>
    </row>
    <row r="37" spans="1:13" ht="16.5" customHeight="1" x14ac:dyDescent="0.25">
      <c r="A37" s="625" t="s">
        <v>1599</v>
      </c>
      <c r="B37" s="688">
        <v>0.15</v>
      </c>
      <c r="C37" s="689" t="s">
        <v>1600</v>
      </c>
      <c r="D37" s="625"/>
      <c r="E37" s="684" t="str">
        <f>IFERROR(IF(IF($B$3="Class A",Waterfall!B69,Waterfall!C69)&gt;=B37,"✓ Deal hits target","Deal at "&amp;TEXT(IF($B$3="Class A",Waterfall!B69,Waterfall!C69),"0.0%")&amp;" vs "&amp;TEXT(B37,"0.0%")),"")</f>
        <v>Deal at 0.0% vs 15.0%</v>
      </c>
      <c r="F37" s="625"/>
      <c r="G37" s="625"/>
      <c r="H37" s="625"/>
      <c r="I37" s="625"/>
      <c r="J37" s="625"/>
      <c r="K37" s="625"/>
      <c r="L37" s="625"/>
      <c r="M37" s="625"/>
    </row>
    <row r="38" spans="1:13" ht="16.5" customHeight="1" x14ac:dyDescent="0.25">
      <c r="A38" s="627" t="s">
        <v>1601</v>
      </c>
      <c r="B38" s="656">
        <v>150000</v>
      </c>
      <c r="C38" s="690">
        <f>IFERROR(B38/(L25/$B$2),0)</f>
        <v>0</v>
      </c>
      <c r="D38" s="691">
        <f>L25</f>
        <v>0</v>
      </c>
      <c r="E38" s="687" t="str">
        <f>IFERROR(IF(L25&gt;=$B$2*(B38/$B$2),"✓ Meets target","Need "&amp;TEXT(C38-$B$2,"$#,##0")&amp;" more"),"")</f>
        <v/>
      </c>
      <c r="F38" s="627"/>
      <c r="G38" s="627"/>
      <c r="H38" s="627"/>
      <c r="I38" s="627"/>
      <c r="J38" s="627"/>
      <c r="K38" s="627"/>
      <c r="L38" s="627"/>
      <c r="M38" s="627"/>
    </row>
    <row r="39" spans="1:13" ht="7.5" customHeight="1" x14ac:dyDescent="0.25">
      <c r="A39" s="662"/>
      <c r="B39" s="662"/>
      <c r="C39" s="662"/>
      <c r="D39" s="662"/>
      <c r="E39" s="662"/>
      <c r="F39" s="662"/>
      <c r="G39" s="662"/>
      <c r="H39" s="662"/>
      <c r="I39" s="662"/>
      <c r="J39" s="662"/>
      <c r="K39" s="662"/>
      <c r="L39" s="662"/>
      <c r="M39" s="662"/>
    </row>
    <row r="40" spans="1:13" ht="19.5" customHeight="1" x14ac:dyDescent="0.25">
      <c r="A40" s="855" t="s">
        <v>1602</v>
      </c>
      <c r="B40" s="832"/>
      <c r="C40" s="832"/>
      <c r="D40" s="832"/>
      <c r="E40" s="832"/>
      <c r="F40" s="832"/>
      <c r="G40" s="832"/>
      <c r="H40" s="832"/>
      <c r="I40" s="832"/>
      <c r="J40" s="832"/>
      <c r="K40" s="832"/>
      <c r="L40" s="832"/>
      <c r="M40" s="833"/>
    </row>
    <row r="41" spans="1:13" ht="16.5" customHeight="1" x14ac:dyDescent="0.25">
      <c r="A41" s="858" t="s">
        <v>1603</v>
      </c>
      <c r="B41" s="832"/>
      <c r="C41" s="832"/>
      <c r="D41" s="832"/>
      <c r="E41" s="832"/>
      <c r="F41" s="832"/>
      <c r="G41" s="832"/>
      <c r="H41" s="832"/>
      <c r="I41" s="832"/>
      <c r="J41" s="832"/>
      <c r="K41" s="832"/>
      <c r="L41" s="832"/>
      <c r="M41" s="833"/>
    </row>
    <row r="42" spans="1:13" ht="16.5" customHeight="1" x14ac:dyDescent="0.25">
      <c r="A42" s="681" t="s">
        <v>86</v>
      </c>
      <c r="B42" s="681" t="s">
        <v>88</v>
      </c>
      <c r="C42" s="681" t="s">
        <v>1604</v>
      </c>
      <c r="D42" s="681" t="s">
        <v>1605</v>
      </c>
      <c r="E42" s="681" t="s">
        <v>1606</v>
      </c>
      <c r="F42" s="681" t="s">
        <v>118</v>
      </c>
      <c r="G42" s="681" t="s">
        <v>1607</v>
      </c>
      <c r="H42" s="681" t="s">
        <v>1608</v>
      </c>
      <c r="I42" s="662"/>
      <c r="J42" s="662"/>
      <c r="K42" s="662"/>
      <c r="L42" s="662"/>
      <c r="M42" s="662"/>
    </row>
    <row r="43" spans="1:13" ht="16.5" customHeight="1" x14ac:dyDescent="0.25">
      <c r="A43" s="692">
        <v>0.06</v>
      </c>
      <c r="B43" s="668">
        <f>IFERROR((IFERROR(INDEX('P&amp;L'!D115:M116,1,Waterfall!$B$5),0)+IFERROR(INDEX('P&amp;L'!D112:M113,1,Waterfall!$B$5),0))/0.06,0)</f>
        <v>0</v>
      </c>
      <c r="C43" s="668">
        <f>IFERROR(MAX(B43*(1-Waterfall!$B$7-'Exit Strategy'!$F$18)-IFERROR(INDEX(Loans!$J$43:$S$43,1,Waterfall!$B$5),0),0)*Waterfall!$B$15,0)</f>
        <v>0</v>
      </c>
      <c r="D43" s="668">
        <f>IFERROR(IFERROR($B$2/IF($B$3="Class A",Waterfall!$B$9,Waterfall!$B$10),0)*C43,0)</f>
        <v>0</v>
      </c>
      <c r="E43" s="668">
        <f>IFERROR(L14+L18+D43,0)</f>
        <v>0</v>
      </c>
      <c r="F43" s="668">
        <f t="shared" ref="F43:F50" si="2">IFERROR(E43-$B$2,0)</f>
        <v>0</v>
      </c>
      <c r="G43" s="693">
        <f t="shared" ref="G43:G50" si="3">IFERROR(E43/$B$2,0)</f>
        <v>0</v>
      </c>
      <c r="H43" s="694">
        <f>IFERROR(G43-L25/$B$2,0)</f>
        <v>0</v>
      </c>
      <c r="I43" s="625"/>
      <c r="J43" s="625"/>
      <c r="K43" s="625"/>
      <c r="L43" s="625"/>
      <c r="M43" s="625"/>
    </row>
    <row r="44" spans="1:13" ht="16.5" customHeight="1" x14ac:dyDescent="0.25">
      <c r="A44" s="695">
        <v>6.5000000000000002E-2</v>
      </c>
      <c r="B44" s="666">
        <f>IFERROR((IFERROR(INDEX('P&amp;L'!D115:M116,1,Waterfall!$B$5),0)+IFERROR(INDEX('P&amp;L'!D112:M113,1,Waterfall!$B$5),0))/0.065,0)</f>
        <v>0</v>
      </c>
      <c r="C44" s="666">
        <f>IFERROR(MAX(B44*(1-Waterfall!$B$7-'Exit Strategy'!$F$18)-IFERROR(INDEX(Loans!$J$43:$S$43,1,Waterfall!$B$5),0),0)*Waterfall!$B$15,0)</f>
        <v>0</v>
      </c>
      <c r="D44" s="666">
        <f>IFERROR(IFERROR($B$2/IF($B$3="Class A",Waterfall!$B$9,Waterfall!$B$10),0)*C44,0)</f>
        <v>0</v>
      </c>
      <c r="E44" s="666">
        <f>IFERROR(L14+L18+D44,0)</f>
        <v>0</v>
      </c>
      <c r="F44" s="666">
        <f t="shared" si="2"/>
        <v>0</v>
      </c>
      <c r="G44" s="696">
        <f t="shared" si="3"/>
        <v>0</v>
      </c>
      <c r="H44" s="697">
        <f>IFERROR(G44-L25/$B$2,0)</f>
        <v>0</v>
      </c>
      <c r="I44" s="627"/>
      <c r="J44" s="627"/>
      <c r="K44" s="627"/>
      <c r="L44" s="627"/>
      <c r="M44" s="627"/>
    </row>
    <row r="45" spans="1:13" ht="16.5" customHeight="1" x14ac:dyDescent="0.25">
      <c r="A45" s="692">
        <v>7.0000000000000007E-2</v>
      </c>
      <c r="B45" s="668">
        <f>IFERROR((IFERROR(INDEX('P&amp;L'!D115:M116,1,Waterfall!$B$5),0)+IFERROR(INDEX('P&amp;L'!D112:M113,1,Waterfall!$B$5),0))/0.07,0)</f>
        <v>0</v>
      </c>
      <c r="C45" s="668">
        <f>IFERROR(MAX(B45*(1-Waterfall!$B$7-'Exit Strategy'!$F$18)-IFERROR(INDEX(Loans!$J$43:$S$43,1,Waterfall!$B$5),0),0)*Waterfall!$B$15,0)</f>
        <v>0</v>
      </c>
      <c r="D45" s="668">
        <f>IFERROR(IFERROR($B$2/IF($B$3="Class A",Waterfall!$B$9,Waterfall!$B$10),0)*C45,0)</f>
        <v>0</v>
      </c>
      <c r="E45" s="668">
        <f>IFERROR(L14+L18+D45,0)</f>
        <v>0</v>
      </c>
      <c r="F45" s="668">
        <f t="shared" si="2"/>
        <v>0</v>
      </c>
      <c r="G45" s="693">
        <f t="shared" si="3"/>
        <v>0</v>
      </c>
      <c r="H45" s="694">
        <f>IFERROR(G45-L25/$B$2,0)</f>
        <v>0</v>
      </c>
      <c r="I45" s="625"/>
      <c r="J45" s="625"/>
      <c r="K45" s="625"/>
      <c r="L45" s="625"/>
      <c r="M45" s="625"/>
    </row>
    <row r="46" spans="1:13" ht="16.5" customHeight="1" x14ac:dyDescent="0.25">
      <c r="A46" s="695">
        <v>7.4999999999999997E-2</v>
      </c>
      <c r="B46" s="666">
        <f>IFERROR((IFERROR(INDEX('P&amp;L'!D115:M116,1,Waterfall!$B$5),0)+IFERROR(INDEX('P&amp;L'!D112:M113,1,Waterfall!$B$5),0))/0.075,0)</f>
        <v>0</v>
      </c>
      <c r="C46" s="666">
        <f>IFERROR(MAX(B46*(1-Waterfall!$B$7-'Exit Strategy'!$F$18)-IFERROR(INDEX(Loans!$J$43:$S$43,1,Waterfall!$B$5),0),0)*Waterfall!$B$15,0)</f>
        <v>0</v>
      </c>
      <c r="D46" s="666">
        <f>IFERROR(IFERROR($B$2/IF($B$3="Class A",Waterfall!$B$9,Waterfall!$B$10),0)*C46,0)</f>
        <v>0</v>
      </c>
      <c r="E46" s="666">
        <f>IFERROR(L14+L18+D46,0)</f>
        <v>0</v>
      </c>
      <c r="F46" s="666">
        <f t="shared" si="2"/>
        <v>0</v>
      </c>
      <c r="G46" s="696">
        <f t="shared" si="3"/>
        <v>0</v>
      </c>
      <c r="H46" s="697">
        <f>IFERROR(G46-L25/$B$2,0)</f>
        <v>0</v>
      </c>
      <c r="I46" s="627"/>
      <c r="J46" s="627"/>
      <c r="K46" s="627"/>
      <c r="L46" s="627"/>
      <c r="M46" s="627"/>
    </row>
    <row r="47" spans="1:13" ht="16.5" customHeight="1" x14ac:dyDescent="0.25">
      <c r="A47" s="655">
        <v>0.08</v>
      </c>
      <c r="B47" s="672">
        <f>IFERROR((IFERROR(INDEX('P&amp;L'!D115:M116,1,Waterfall!$B$5),0)+IFERROR(INDEX('P&amp;L'!D112:M113,1,Waterfall!$B$5),0))/0.08,0)</f>
        <v>0</v>
      </c>
      <c r="C47" s="672">
        <f>IFERROR(MAX(B47*(1-Waterfall!$B$7-'Exit Strategy'!$F$18)-IFERROR(INDEX(Loans!$J$43:$S$43,1,Waterfall!$B$5),0),0)*Waterfall!$B$15,0)</f>
        <v>0</v>
      </c>
      <c r="D47" s="672">
        <f>IFERROR(IFERROR($B$2/IF($B$3="Class A",Waterfall!$B$9,Waterfall!$B$10),0)*C47,0)</f>
        <v>0</v>
      </c>
      <c r="E47" s="672">
        <f>IFERROR(L14+L18+D47,0)</f>
        <v>0</v>
      </c>
      <c r="F47" s="672">
        <f t="shared" si="2"/>
        <v>0</v>
      </c>
      <c r="G47" s="698">
        <f t="shared" si="3"/>
        <v>0</v>
      </c>
      <c r="H47" s="699">
        <f>IFERROR(G47-L25/$B$2,0)</f>
        <v>0</v>
      </c>
      <c r="I47" s="49"/>
      <c r="J47" s="49"/>
      <c r="K47" s="49"/>
      <c r="L47" s="49"/>
      <c r="M47" s="49"/>
    </row>
    <row r="48" spans="1:13" ht="16.5" customHeight="1" x14ac:dyDescent="0.25">
      <c r="A48" s="695">
        <v>8.5000000000000006E-2</v>
      </c>
      <c r="B48" s="666">
        <f>IFERROR((IFERROR(INDEX('P&amp;L'!D115:M116,1,Waterfall!$B$5),0)+IFERROR(INDEX('P&amp;L'!D112:M113,1,Waterfall!$B$5),0))/0.085,0)</f>
        <v>0</v>
      </c>
      <c r="C48" s="666">
        <f>IFERROR(MAX(B48*(1-Waterfall!$B$7-'Exit Strategy'!$F$18)-IFERROR(INDEX(Loans!$J$43:$S$43,1,Waterfall!$B$5),0),0)*Waterfall!$B$15,0)</f>
        <v>0</v>
      </c>
      <c r="D48" s="666">
        <f>IFERROR(IFERROR($B$2/IF($B$3="Class A",Waterfall!$B$9,Waterfall!$B$10),0)*C48,0)</f>
        <v>0</v>
      </c>
      <c r="E48" s="666">
        <f>IFERROR(L14+L18+D48,0)</f>
        <v>0</v>
      </c>
      <c r="F48" s="666">
        <f t="shared" si="2"/>
        <v>0</v>
      </c>
      <c r="G48" s="696">
        <f t="shared" si="3"/>
        <v>0</v>
      </c>
      <c r="H48" s="697">
        <f>IFERROR(G48-L25/$B$2,0)</f>
        <v>0</v>
      </c>
      <c r="I48" s="627"/>
      <c r="J48" s="627"/>
      <c r="K48" s="627"/>
      <c r="L48" s="627"/>
      <c r="M48" s="627"/>
    </row>
    <row r="49" spans="1:13" ht="16.5" customHeight="1" x14ac:dyDescent="0.25">
      <c r="A49" s="692">
        <v>0.09</v>
      </c>
      <c r="B49" s="668">
        <f>IFERROR((IFERROR(INDEX('P&amp;L'!D115:M116,1,Waterfall!$B$5),0)+IFERROR(INDEX('P&amp;L'!D112:M113,1,Waterfall!$B$5),0))/0.09,0)</f>
        <v>0</v>
      </c>
      <c r="C49" s="668">
        <f>IFERROR(MAX(B49*(1-Waterfall!$B$7-'Exit Strategy'!$F$18)-IFERROR(INDEX(Loans!$J$43:$S$43,1,Waterfall!$B$5),0),0)*Waterfall!$B$15,0)</f>
        <v>0</v>
      </c>
      <c r="D49" s="668">
        <f>IFERROR(IFERROR($B$2/IF($B$3="Class A",Waterfall!$B$9,Waterfall!$B$10),0)*C49,0)</f>
        <v>0</v>
      </c>
      <c r="E49" s="668">
        <f>IFERROR(L14+L18+D49,0)</f>
        <v>0</v>
      </c>
      <c r="F49" s="668">
        <f t="shared" si="2"/>
        <v>0</v>
      </c>
      <c r="G49" s="693">
        <f t="shared" si="3"/>
        <v>0</v>
      </c>
      <c r="H49" s="694">
        <f>IFERROR(G49-L25/$B$2,0)</f>
        <v>0</v>
      </c>
      <c r="I49" s="625"/>
      <c r="J49" s="625"/>
      <c r="K49" s="625"/>
      <c r="L49" s="625"/>
      <c r="M49" s="625"/>
    </row>
    <row r="50" spans="1:13" ht="16.5" customHeight="1" x14ac:dyDescent="0.25">
      <c r="A50" s="695">
        <v>9.5000000000000001E-2</v>
      </c>
      <c r="B50" s="666">
        <f>IFERROR((IFERROR(INDEX('P&amp;L'!D115:M116,1,Waterfall!$B$5),0)+IFERROR(INDEX('P&amp;L'!D112:M113,1,Waterfall!$B$5),0))/0.095,0)</f>
        <v>0</v>
      </c>
      <c r="C50" s="666">
        <f>IFERROR(MAX(B50*(1-Waterfall!$B$7-'Exit Strategy'!$F$18)-IFERROR(INDEX(Loans!$J$43:$S$43,1,Waterfall!$B$5),0),0)*Waterfall!$B$15,0)</f>
        <v>0</v>
      </c>
      <c r="D50" s="666">
        <f>IFERROR(IFERROR($B$2/IF($B$3="Class A",Waterfall!$B$9,Waterfall!$B$10),0)*C50,0)</f>
        <v>0</v>
      </c>
      <c r="E50" s="666">
        <f>IFERROR(L14+L18+D50,0)</f>
        <v>0</v>
      </c>
      <c r="F50" s="666">
        <f t="shared" si="2"/>
        <v>0</v>
      </c>
      <c r="G50" s="696">
        <f t="shared" si="3"/>
        <v>0</v>
      </c>
      <c r="H50" s="697">
        <f>IFERROR(G50-L25/$B$2,0)</f>
        <v>0</v>
      </c>
      <c r="I50" s="627"/>
      <c r="J50" s="627"/>
      <c r="K50" s="627"/>
      <c r="L50" s="627"/>
      <c r="M50" s="627"/>
    </row>
    <row r="51" spans="1:13" ht="6" customHeight="1" x14ac:dyDescent="0.25">
      <c r="A51" s="662"/>
      <c r="B51" s="662"/>
      <c r="C51" s="662"/>
      <c r="D51" s="662"/>
      <c r="E51" s="662"/>
      <c r="F51" s="662"/>
      <c r="G51" s="662"/>
      <c r="H51" s="662"/>
      <c r="I51" s="662"/>
      <c r="J51" s="662"/>
      <c r="K51" s="662"/>
      <c r="L51" s="662"/>
      <c r="M51" s="662"/>
    </row>
    <row r="52" spans="1:13" ht="16.5" customHeight="1" x14ac:dyDescent="0.25">
      <c r="A52" s="858" t="s">
        <v>1609</v>
      </c>
      <c r="B52" s="832"/>
      <c r="C52" s="832"/>
      <c r="D52" s="832"/>
      <c r="E52" s="832"/>
      <c r="F52" s="832"/>
      <c r="G52" s="832"/>
      <c r="H52" s="832"/>
      <c r="I52" s="832"/>
      <c r="J52" s="832"/>
      <c r="K52" s="832"/>
      <c r="L52" s="832"/>
      <c r="M52" s="833"/>
    </row>
    <row r="53" spans="1:13" ht="16.5" customHeight="1" x14ac:dyDescent="0.25">
      <c r="A53" s="662"/>
      <c r="B53" s="662"/>
      <c r="C53" s="662"/>
      <c r="D53" s="662"/>
      <c r="E53" s="662"/>
      <c r="F53" s="662"/>
      <c r="G53" s="662"/>
      <c r="H53" s="662"/>
      <c r="I53" s="662"/>
      <c r="J53" s="662"/>
      <c r="K53" s="662"/>
      <c r="L53" s="662"/>
      <c r="M53" s="662"/>
    </row>
    <row r="54" spans="1:13" ht="16.5" customHeight="1" x14ac:dyDescent="0.25">
      <c r="A54" s="662"/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</row>
    <row r="55" spans="1:13" ht="16.5" customHeight="1" x14ac:dyDescent="0.25">
      <c r="A55" s="662"/>
      <c r="B55" s="662"/>
      <c r="C55" s="662"/>
      <c r="D55" s="662"/>
      <c r="E55" s="662"/>
      <c r="F55" s="662"/>
      <c r="G55" s="662"/>
      <c r="H55" s="662"/>
      <c r="I55" s="662"/>
      <c r="J55" s="662"/>
      <c r="K55" s="662"/>
      <c r="L55" s="662"/>
      <c r="M55" s="662"/>
    </row>
    <row r="56" spans="1:13" ht="16.5" customHeight="1" x14ac:dyDescent="0.25">
      <c r="A56" s="662"/>
      <c r="B56" s="662"/>
      <c r="C56" s="662"/>
      <c r="D56" s="662"/>
      <c r="E56" s="662"/>
      <c r="F56" s="662"/>
      <c r="G56" s="662"/>
      <c r="H56" s="662"/>
      <c r="I56" s="662"/>
      <c r="J56" s="662"/>
      <c r="K56" s="662"/>
      <c r="L56" s="662"/>
      <c r="M56" s="662"/>
    </row>
    <row r="57" spans="1:13" ht="16.5" customHeight="1" x14ac:dyDescent="0.25">
      <c r="A57" s="662"/>
      <c r="B57" s="662"/>
      <c r="C57" s="662"/>
      <c r="D57" s="662"/>
      <c r="E57" s="662"/>
      <c r="F57" s="662"/>
      <c r="G57" s="662"/>
      <c r="H57" s="662"/>
      <c r="I57" s="662"/>
      <c r="J57" s="662"/>
      <c r="K57" s="662"/>
      <c r="L57" s="662"/>
      <c r="M57" s="662"/>
    </row>
    <row r="58" spans="1:13" ht="16.5" customHeight="1" x14ac:dyDescent="0.25">
      <c r="A58" s="662"/>
      <c r="B58" s="662"/>
      <c r="C58" s="662"/>
      <c r="D58" s="662"/>
      <c r="E58" s="662"/>
      <c r="F58" s="662"/>
      <c r="G58" s="662"/>
      <c r="H58" s="662"/>
      <c r="I58" s="662"/>
      <c r="J58" s="662"/>
      <c r="K58" s="662"/>
      <c r="L58" s="662"/>
      <c r="M58" s="662"/>
    </row>
    <row r="59" spans="1:13" ht="16.5" customHeight="1" x14ac:dyDescent="0.25">
      <c r="A59" s="662"/>
      <c r="B59" s="662"/>
      <c r="C59" s="662"/>
      <c r="D59" s="662"/>
      <c r="E59" s="662"/>
      <c r="F59" s="662"/>
      <c r="G59" s="662"/>
      <c r="H59" s="662"/>
      <c r="I59" s="662"/>
      <c r="J59" s="662"/>
      <c r="K59" s="662"/>
      <c r="L59" s="662"/>
      <c r="M59" s="662"/>
    </row>
    <row r="60" spans="1:13" ht="16.5" customHeight="1" x14ac:dyDescent="0.25">
      <c r="A60" s="662"/>
      <c r="B60" s="662"/>
      <c r="C60" s="662"/>
      <c r="D60" s="662"/>
      <c r="E60" s="662"/>
      <c r="F60" s="662"/>
      <c r="G60" s="662"/>
      <c r="H60" s="662"/>
      <c r="I60" s="662"/>
      <c r="J60" s="662"/>
      <c r="K60" s="662"/>
      <c r="L60" s="662"/>
      <c r="M60" s="662"/>
    </row>
    <row r="61" spans="1:13" ht="16.5" customHeight="1" x14ac:dyDescent="0.25">
      <c r="A61" s="662"/>
      <c r="B61" s="662"/>
      <c r="C61" s="662"/>
      <c r="D61" s="662"/>
      <c r="E61" s="662"/>
      <c r="F61" s="662"/>
      <c r="G61" s="662"/>
      <c r="H61" s="662"/>
      <c r="I61" s="662"/>
      <c r="J61" s="662"/>
      <c r="K61" s="662"/>
      <c r="L61" s="662"/>
      <c r="M61" s="662"/>
    </row>
    <row r="62" spans="1:13" ht="16.5" customHeight="1" x14ac:dyDescent="0.25">
      <c r="A62" s="662"/>
      <c r="B62" s="662"/>
      <c r="C62" s="662"/>
      <c r="D62" s="662"/>
      <c r="E62" s="662"/>
      <c r="F62" s="662"/>
      <c r="G62" s="662"/>
      <c r="H62" s="662"/>
      <c r="I62" s="662"/>
      <c r="J62" s="662"/>
      <c r="K62" s="662"/>
      <c r="L62" s="662"/>
      <c r="M62" s="662"/>
    </row>
    <row r="63" spans="1:13" ht="16.5" customHeight="1" x14ac:dyDescent="0.25">
      <c r="A63" s="662"/>
      <c r="B63" s="662"/>
      <c r="C63" s="662"/>
      <c r="D63" s="662"/>
      <c r="E63" s="662"/>
      <c r="F63" s="662"/>
      <c r="G63" s="662"/>
      <c r="H63" s="662"/>
      <c r="I63" s="662"/>
      <c r="J63" s="662"/>
      <c r="K63" s="662"/>
      <c r="L63" s="662"/>
      <c r="M63" s="662"/>
    </row>
    <row r="64" spans="1:13" ht="16.5" customHeight="1" x14ac:dyDescent="0.25">
      <c r="A64" s="662"/>
      <c r="B64" s="662"/>
      <c r="C64" s="662"/>
      <c r="D64" s="662"/>
      <c r="E64" s="662"/>
      <c r="F64" s="662"/>
      <c r="G64" s="662"/>
      <c r="H64" s="662"/>
      <c r="I64" s="662"/>
      <c r="J64" s="662"/>
      <c r="K64" s="662"/>
      <c r="L64" s="662"/>
      <c r="M64" s="662"/>
    </row>
    <row r="65" spans="1:13" ht="16.5" customHeight="1" x14ac:dyDescent="0.25">
      <c r="A65" s="662"/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</row>
  </sheetData>
  <mergeCells count="12">
    <mergeCell ref="A40:M40"/>
    <mergeCell ref="C2:M2"/>
    <mergeCell ref="A41:M41"/>
    <mergeCell ref="A33:M33"/>
    <mergeCell ref="A52:M52"/>
    <mergeCell ref="A13:M13"/>
    <mergeCell ref="A1:M1"/>
    <mergeCell ref="C3:D3"/>
    <mergeCell ref="A6:M6"/>
    <mergeCell ref="A22:M22"/>
    <mergeCell ref="A17:M17"/>
    <mergeCell ref="A9:M9"/>
  </mergeCells>
  <dataValidations count="1">
    <dataValidation type="list" sqref="B3 B6" xr:uid="{00000000-0002-0000-0C00-000000000000}">
      <formula1>"Class A,Class B"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4"/>
  <sheetViews>
    <sheetView zoomScale="113" zoomScaleNormal="113" workbookViewId="0">
      <selection activeCell="I27" sqref="I27"/>
    </sheetView>
  </sheetViews>
  <sheetFormatPr defaultColWidth="8.85546875" defaultRowHeight="15" x14ac:dyDescent="0.25"/>
  <cols>
    <col min="1" max="1" width="30" customWidth="1"/>
    <col min="2" max="10" width="14" customWidth="1"/>
  </cols>
  <sheetData>
    <row r="1" spans="1:17" ht="24" customHeight="1" x14ac:dyDescent="0.25">
      <c r="A1" s="801" t="s">
        <v>1610</v>
      </c>
      <c r="B1" s="798"/>
      <c r="C1" s="798"/>
      <c r="D1" s="798"/>
      <c r="E1" s="798"/>
      <c r="F1" s="798"/>
      <c r="G1" s="798"/>
      <c r="H1" s="798"/>
      <c r="I1" s="798"/>
      <c r="J1" s="798"/>
    </row>
    <row r="2" spans="1:17" ht="15.75" customHeight="1" x14ac:dyDescent="0.25">
      <c r="A2" s="806" t="s">
        <v>1611</v>
      </c>
      <c r="B2" s="798"/>
      <c r="C2" s="798"/>
      <c r="D2" s="798"/>
      <c r="E2" s="798"/>
      <c r="F2" s="798"/>
      <c r="G2" s="798"/>
      <c r="H2" s="798"/>
      <c r="I2" s="798"/>
      <c r="J2" s="798"/>
    </row>
    <row r="4" spans="1:17" ht="24" customHeight="1" x14ac:dyDescent="0.25">
      <c r="A4" s="801" t="s">
        <v>1612</v>
      </c>
      <c r="B4" s="798"/>
      <c r="C4" s="798"/>
      <c r="D4" s="798"/>
      <c r="E4" s="798"/>
      <c r="F4" s="798"/>
      <c r="G4" s="798"/>
      <c r="H4" s="798"/>
      <c r="I4" s="798"/>
      <c r="J4" s="798"/>
    </row>
    <row r="5" spans="1:17" ht="15" customHeight="1" x14ac:dyDescent="0.25">
      <c r="A5" s="700" t="s">
        <v>1613</v>
      </c>
      <c r="B5" s="701">
        <f>$K$5+0*$M$5</f>
        <v>7.4999999999999997E-2</v>
      </c>
      <c r="C5" s="701">
        <f>$K$5+1*$M$5</f>
        <v>0.08</v>
      </c>
      <c r="D5" s="701">
        <f>$K$5+2*$M$5</f>
        <v>8.4999999999999992E-2</v>
      </c>
      <c r="E5" s="701">
        <f>$K$5+3*$M$5</f>
        <v>0.09</v>
      </c>
      <c r="F5" s="701">
        <f>$K$5+4*$M$5</f>
        <v>9.5000000000000001E-2</v>
      </c>
      <c r="G5" s="701">
        <f>$K$5+5*$M$5</f>
        <v>0.1</v>
      </c>
      <c r="H5" s="701">
        <f>$K$5+6*$M$5</f>
        <v>0.105</v>
      </c>
      <c r="J5" s="702" t="s">
        <v>1614</v>
      </c>
      <c r="K5" s="703">
        <v>7.4999999999999997E-2</v>
      </c>
      <c r="L5" s="702" t="s">
        <v>1615</v>
      </c>
      <c r="M5" s="703">
        <v>5.0000000000000001E-3</v>
      </c>
      <c r="N5" s="702" t="s">
        <v>1616</v>
      </c>
      <c r="O5" s="704">
        <v>0.7</v>
      </c>
      <c r="P5" s="702" t="s">
        <v>1617</v>
      </c>
      <c r="Q5" s="704">
        <v>2.5000000000000001E-2</v>
      </c>
    </row>
    <row r="6" spans="1:17" ht="15" customHeight="1" x14ac:dyDescent="0.25">
      <c r="A6" s="705">
        <f>$O$5+0*$Q$5</f>
        <v>0.7</v>
      </c>
      <c r="B6" s="706" t="str">
        <f>IFERROR(((('P&amp;L'!H97*(A6/(1-Scenarios!F45)))/B5*(1-0.025)-Scenarios!F150)/Scenarios!F31)^(1/5)-1,"")</f>
        <v/>
      </c>
      <c r="C6" s="706" t="str">
        <f>IFERROR(((('P&amp;L'!H97*(A6/(1-Scenarios!F45)))/C5*(1-0.025)-Scenarios!F150)/Scenarios!F31)^(1/5)-1,"")</f>
        <v/>
      </c>
      <c r="D6" s="706" t="str">
        <f>IFERROR(((('P&amp;L'!H97*(A6/(1-Scenarios!F45)))/D5*(1-0.025)-Scenarios!F150)/Scenarios!F31)^(1/5)-1,"")</f>
        <v/>
      </c>
      <c r="E6" s="706" t="str">
        <f>IFERROR(((('P&amp;L'!H97*(A6/(1-Scenarios!F45)))/E5*(1-0.025)-Scenarios!F150)/Scenarios!F31)^(1/5)-1,"")</f>
        <v/>
      </c>
      <c r="F6" s="706" t="str">
        <f>IFERROR(((('P&amp;L'!H97*(A6/(1-Scenarios!F45)))/F5*(1-0.025)-Scenarios!F150)/Scenarios!F31)^(1/5)-1,"")</f>
        <v/>
      </c>
      <c r="G6" s="706" t="str">
        <f>IFERROR(((('P&amp;L'!H97*(A6/(1-Scenarios!F45)))/G5*(1-0.025)-Scenarios!F150)/Scenarios!F31)^(1/5)-1,"")</f>
        <v/>
      </c>
      <c r="H6" s="706" t="str">
        <f>IFERROR(((('P&amp;L'!H97*(A6/(1-Scenarios!F45)))/H5*(1-0.025)-Scenarios!F150)/Scenarios!F31)^(1/5)-1,"")</f>
        <v/>
      </c>
    </row>
    <row r="7" spans="1:17" ht="15" customHeight="1" x14ac:dyDescent="0.25">
      <c r="A7" s="705">
        <f>$O$5+1*$Q$5</f>
        <v>0.72499999999999998</v>
      </c>
      <c r="B7" s="706" t="str">
        <f>IFERROR(((('P&amp;L'!H97*(A7/(1-Scenarios!F45)))/B5*(1-0.025)-Scenarios!F150)/Scenarios!F31)^(1/5)-1,"")</f>
        <v/>
      </c>
      <c r="C7" s="706" t="str">
        <f>IFERROR(((('P&amp;L'!H97*(A7/(1-Scenarios!F45)))/C5*(1-0.025)-Scenarios!F150)/Scenarios!F31)^(1/5)-1,"")</f>
        <v/>
      </c>
      <c r="D7" s="706" t="str">
        <f>IFERROR(((('P&amp;L'!H97*(A7/(1-Scenarios!F45)))/D5*(1-0.025)-Scenarios!F150)/Scenarios!F31)^(1/5)-1,"")</f>
        <v/>
      </c>
      <c r="E7" s="706" t="str">
        <f>IFERROR(((('P&amp;L'!H97*(A7/(1-Scenarios!F45)))/E5*(1-0.025)-Scenarios!F150)/Scenarios!F31)^(1/5)-1,"")</f>
        <v/>
      </c>
      <c r="F7" s="706" t="str">
        <f>IFERROR(((('P&amp;L'!H97*(A7/(1-Scenarios!F45)))/F5*(1-0.025)-Scenarios!F150)/Scenarios!F31)^(1/5)-1,"")</f>
        <v/>
      </c>
      <c r="G7" s="706" t="str">
        <f>IFERROR(((('P&amp;L'!H97*(A7/(1-Scenarios!F45)))/G5*(1-0.025)-Scenarios!F150)/Scenarios!F31)^(1/5)-1,"")</f>
        <v/>
      </c>
      <c r="H7" s="706" t="str">
        <f>IFERROR(((('P&amp;L'!H97*(A7/(1-Scenarios!F45)))/H5*(1-0.025)-Scenarios!F150)/Scenarios!F31)^(1/5)-1,"")</f>
        <v/>
      </c>
    </row>
    <row r="8" spans="1:17" ht="15" customHeight="1" x14ac:dyDescent="0.25">
      <c r="A8" s="705">
        <f>$O$5+2*$Q$5</f>
        <v>0.75</v>
      </c>
      <c r="B8" s="707" t="str">
        <f>IFERROR(((('P&amp;L'!H97*(A8/(1-Scenarios!F45)))/B5*(1-0.025)-Scenarios!F150)/Scenarios!F31)^(1/5)-1,"")</f>
        <v/>
      </c>
      <c r="C8" s="707" t="str">
        <f>IFERROR(((('P&amp;L'!H97*(A8/(1-Scenarios!F45)))/C5*(1-0.025)-Scenarios!F150)/Scenarios!F31)^(1/5)-1,"")</f>
        <v/>
      </c>
      <c r="D8" s="707" t="str">
        <f>IFERROR(((('P&amp;L'!H97*(A8/(1-Scenarios!F45)))/D5*(1-0.025)-Scenarios!F150)/Scenarios!F31)^(1/5)-1,"")</f>
        <v/>
      </c>
      <c r="E8" s="707" t="str">
        <f>IFERROR(((('P&amp;L'!H97*(A8/(1-Scenarios!F45)))/E5*(1-0.025)-Scenarios!F150)/Scenarios!F31)^(1/5)-1,"")</f>
        <v/>
      </c>
      <c r="F8" s="707" t="str">
        <f>IFERROR(((('P&amp;L'!H97*(A8/(1-Scenarios!F45)))/F5*(1-0.025)-Scenarios!F150)/Scenarios!F31)^(1/5)-1,"")</f>
        <v/>
      </c>
      <c r="G8" s="707" t="str">
        <f>IFERROR(((('P&amp;L'!H97*(A8/(1-Scenarios!F45)))/G5*(1-0.025)-Scenarios!F150)/Scenarios!F31)^(1/5)-1,"")</f>
        <v/>
      </c>
      <c r="H8" s="706" t="str">
        <f>IFERROR(((('P&amp;L'!H97*(A8/(1-Scenarios!F45)))/H5*(1-0.025)-Scenarios!F150)/Scenarios!F31)^(1/5)-1,"")</f>
        <v/>
      </c>
    </row>
    <row r="9" spans="1:17" ht="15" customHeight="1" x14ac:dyDescent="0.25">
      <c r="A9" s="705">
        <f>$O$5+3*$Q$5</f>
        <v>0.77499999999999991</v>
      </c>
      <c r="B9" s="707" t="str">
        <f>IFERROR(((('P&amp;L'!H97*(A9/(1-Scenarios!F45)))/B5*(1-0.025)-Scenarios!F150)/Scenarios!F31)^(1/5)-1,"")</f>
        <v/>
      </c>
      <c r="C9" s="707" t="str">
        <f>IFERROR(((('P&amp;L'!H97*(A9/(1-Scenarios!F45)))/C5*(1-0.025)-Scenarios!F150)/Scenarios!F31)^(1/5)-1,"")</f>
        <v/>
      </c>
      <c r="D9" s="707" t="str">
        <f>IFERROR(((('P&amp;L'!H97*(A9/(1-Scenarios!F45)))/D5*(1-0.025)-Scenarios!F150)/Scenarios!F31)^(1/5)-1,"")</f>
        <v/>
      </c>
      <c r="E9" s="707" t="str">
        <f>IFERROR(((('P&amp;L'!H97*(A9/(1-Scenarios!F45)))/E5*(1-0.025)-Scenarios!F150)/Scenarios!F31)^(1/5)-1,"")</f>
        <v/>
      </c>
      <c r="F9" s="707" t="str">
        <f>IFERROR(((('P&amp;L'!H97*(A9/(1-Scenarios!F45)))/F5*(1-0.025)-Scenarios!F150)/Scenarios!F31)^(1/5)-1,"")</f>
        <v/>
      </c>
      <c r="G9" s="707" t="str">
        <f>IFERROR(((('P&amp;L'!H97*(A9/(1-Scenarios!F45)))/G5*(1-0.025)-Scenarios!F150)/Scenarios!F31)^(1/5)-1,"")</f>
        <v/>
      </c>
      <c r="H9" s="706" t="str">
        <f>IFERROR(((('P&amp;L'!H97*(A9/(1-Scenarios!F45)))/H5*(1-0.025)-Scenarios!F150)/Scenarios!F31)^(1/5)-1,"")</f>
        <v/>
      </c>
    </row>
    <row r="10" spans="1:17" ht="15" customHeight="1" x14ac:dyDescent="0.25">
      <c r="A10" s="705">
        <f>$O$5+4*$Q$5</f>
        <v>0.79999999999999993</v>
      </c>
      <c r="B10" s="708" t="str">
        <f>IFERROR(((('P&amp;L'!H97*(A10/(1-Scenarios!F45)))/B5*(1-0.025)-Scenarios!F150)/Scenarios!F31)^(1/5)-1,"")</f>
        <v/>
      </c>
      <c r="C10" s="708" t="str">
        <f>IFERROR(((('P&amp;L'!H97*(A10/(1-Scenarios!F45)))/C5*(1-0.025)-Scenarios!F150)/Scenarios!F31)^(1/5)-1,"")</f>
        <v/>
      </c>
      <c r="D10" s="708" t="str">
        <f>IFERROR(((('P&amp;L'!H97*(A10/(1-Scenarios!F45)))/D5*(1-0.025)-Scenarios!F150)/Scenarios!F31)^(1/5)-1,"")</f>
        <v/>
      </c>
      <c r="E10" s="708" t="str">
        <f>IFERROR(((('P&amp;L'!H97*(A10/(1-Scenarios!F45)))/E5*(1-0.025)-Scenarios!F150)/Scenarios!F31)^(1/5)-1,"")</f>
        <v/>
      </c>
      <c r="F10" s="707" t="str">
        <f>IFERROR(((('P&amp;L'!H97*(A10/(1-Scenarios!F45)))/F5*(1-0.025)-Scenarios!F150)/Scenarios!F31)^(1/5)-1,"")</f>
        <v/>
      </c>
      <c r="G10" s="707" t="str">
        <f>IFERROR(((('P&amp;L'!H97*(A10/(1-Scenarios!F45)))/G5*(1-0.025)-Scenarios!F150)/Scenarios!F31)^(1/5)-1,"")</f>
        <v/>
      </c>
      <c r="H10" s="706" t="str">
        <f>IFERROR(((('P&amp;L'!H97*(A10/(1-Scenarios!F45)))/H5*(1-0.025)-Scenarios!F150)/Scenarios!F31)^(1/5)-1,"")</f>
        <v/>
      </c>
    </row>
    <row r="11" spans="1:17" ht="15" customHeight="1" x14ac:dyDescent="0.25">
      <c r="A11" s="705">
        <f>$O$5+5*$Q$5</f>
        <v>0.82499999999999996</v>
      </c>
      <c r="B11" s="708" t="str">
        <f>IFERROR(((('P&amp;L'!H97*(A11/(1-Scenarios!F45)))/B5*(1-0.025)-Scenarios!F150)/Scenarios!F31)^(1/5)-1,"")</f>
        <v/>
      </c>
      <c r="C11" s="708" t="str">
        <f>IFERROR(((('P&amp;L'!H97*(A11/(1-Scenarios!F45)))/C5*(1-0.025)-Scenarios!F150)/Scenarios!F31)^(1/5)-1,"")</f>
        <v/>
      </c>
      <c r="D11" s="708" t="str">
        <f>IFERROR(((('P&amp;L'!H97*(A11/(1-Scenarios!F45)))/D5*(1-0.025)-Scenarios!F150)/Scenarios!F31)^(1/5)-1,"")</f>
        <v/>
      </c>
      <c r="E11" s="708" t="str">
        <f>IFERROR(((('P&amp;L'!H97*(A11/(1-Scenarios!F45)))/E5*(1-0.025)-Scenarios!F150)/Scenarios!F31)^(1/5)-1,"")</f>
        <v/>
      </c>
      <c r="F11" s="707" t="str">
        <f>IFERROR(((('P&amp;L'!H97*(A11/(1-Scenarios!F45)))/F5*(1-0.025)-Scenarios!F150)/Scenarios!F31)^(1/5)-1,"")</f>
        <v/>
      </c>
      <c r="G11" s="707" t="str">
        <f>IFERROR(((('P&amp;L'!H97*(A11/(1-Scenarios!F45)))/G5*(1-0.025)-Scenarios!F150)/Scenarios!F31)^(1/5)-1,"")</f>
        <v/>
      </c>
      <c r="H11" s="706" t="str">
        <f>IFERROR(((('P&amp;L'!H97*(A11/(1-Scenarios!F45)))/H5*(1-0.025)-Scenarios!F150)/Scenarios!F31)^(1/5)-1,"")</f>
        <v/>
      </c>
    </row>
    <row r="12" spans="1:17" ht="15" customHeight="1" x14ac:dyDescent="0.25">
      <c r="A12" s="705">
        <f>$O$5+6*$Q$5</f>
        <v>0.85</v>
      </c>
      <c r="B12" s="708" t="str">
        <f>IFERROR(((('P&amp;L'!H97*(A12/(1-Scenarios!F45)))/B5*(1-0.025)-Scenarios!F150)/Scenarios!F31)^(1/5)-1,"")</f>
        <v/>
      </c>
      <c r="C12" s="708" t="str">
        <f>IFERROR(((('P&amp;L'!H97*(A12/(1-Scenarios!F45)))/C5*(1-0.025)-Scenarios!F150)/Scenarios!F31)^(1/5)-1,"")</f>
        <v/>
      </c>
      <c r="D12" s="708" t="str">
        <f>IFERROR(((('P&amp;L'!H97*(A12/(1-Scenarios!F45)))/D5*(1-0.025)-Scenarios!F150)/Scenarios!F31)^(1/5)-1,"")</f>
        <v/>
      </c>
      <c r="E12" s="708" t="str">
        <f>IFERROR(((('P&amp;L'!H97*(A12/(1-Scenarios!F45)))/E5*(1-0.025)-Scenarios!F150)/Scenarios!F31)^(1/5)-1,"")</f>
        <v/>
      </c>
      <c r="F12" s="707" t="str">
        <f>IFERROR(((('P&amp;L'!H97*(A12/(1-Scenarios!F45)))/F5*(1-0.025)-Scenarios!F150)/Scenarios!F31)^(1/5)-1,"")</f>
        <v/>
      </c>
      <c r="G12" s="707" t="str">
        <f>IFERROR(((('P&amp;L'!H97*(A12/(1-Scenarios!F45)))/G5*(1-0.025)-Scenarios!F150)/Scenarios!F31)^(1/5)-1,"")</f>
        <v/>
      </c>
      <c r="H12" s="706" t="str">
        <f>IFERROR(((('P&amp;L'!H97*(A12/(1-Scenarios!F45)))/H5*(1-0.025)-Scenarios!F150)/Scenarios!F31)^(1/5)-1,"")</f>
        <v/>
      </c>
    </row>
    <row r="13" spans="1:17" ht="15" customHeight="1" x14ac:dyDescent="0.25">
      <c r="A13" s="705">
        <f>$O$5+7*$Q$5</f>
        <v>0.875</v>
      </c>
      <c r="B13" s="708" t="str">
        <f>IFERROR(((('P&amp;L'!H97*(A13/(1-Scenarios!F45)))/B5*(1-0.025)-Scenarios!F150)/Scenarios!F31)^(1/5)-1,"")</f>
        <v/>
      </c>
      <c r="C13" s="708" t="str">
        <f>IFERROR(((('P&amp;L'!H97*(A13/(1-Scenarios!F45)))/C5*(1-0.025)-Scenarios!F150)/Scenarios!F31)^(1/5)-1,"")</f>
        <v/>
      </c>
      <c r="D13" s="708" t="str">
        <f>IFERROR(((('P&amp;L'!H97*(A13/(1-Scenarios!F45)))/D5*(1-0.025)-Scenarios!F150)/Scenarios!F31)^(1/5)-1,"")</f>
        <v/>
      </c>
      <c r="E13" s="708" t="str">
        <f>IFERROR(((('P&amp;L'!H97*(A13/(1-Scenarios!F45)))/E5*(1-0.025)-Scenarios!F150)/Scenarios!F31)^(1/5)-1,"")</f>
        <v/>
      </c>
      <c r="F13" s="707" t="str">
        <f>IFERROR(((('P&amp;L'!H97*(A13/(1-Scenarios!F45)))/F5*(1-0.025)-Scenarios!F150)/Scenarios!F31)^(1/5)-1,"")</f>
        <v/>
      </c>
      <c r="G13" s="707" t="str">
        <f>IFERROR(((('P&amp;L'!H97*(A13/(1-Scenarios!F45)))/G5*(1-0.025)-Scenarios!F150)/Scenarios!F31)^(1/5)-1,"")</f>
        <v/>
      </c>
      <c r="H13" s="706" t="str">
        <f>IFERROR(((('P&amp;L'!H97*(A13/(1-Scenarios!F45)))/H5*(1-0.025)-Scenarios!F150)/Scenarios!F31)^(1/5)-1,"")</f>
        <v/>
      </c>
    </row>
    <row r="15" spans="1:17" ht="24" customHeight="1" x14ac:dyDescent="0.25">
      <c r="A15" s="800" t="s">
        <v>1618</v>
      </c>
      <c r="B15" s="798"/>
      <c r="C15" s="798"/>
      <c r="D15" s="798"/>
      <c r="E15" s="798"/>
      <c r="F15" s="798"/>
      <c r="G15" s="798"/>
      <c r="H15" s="798"/>
      <c r="I15" s="798"/>
      <c r="J15" s="798"/>
    </row>
    <row r="16" spans="1:17" ht="15" customHeight="1" x14ac:dyDescent="0.25">
      <c r="A16" s="709" t="s">
        <v>1619</v>
      </c>
      <c r="B16" s="705">
        <f>$K$16+0*$M$16</f>
        <v>0.03</v>
      </c>
      <c r="C16" s="705">
        <f>$K$16+1*$M$16</f>
        <v>3.4999999999999996E-2</v>
      </c>
      <c r="D16" s="705">
        <f>$K$16+2*$M$16</f>
        <v>0.04</v>
      </c>
      <c r="E16" s="705">
        <f>$K$16+3*$M$16</f>
        <v>4.4999999999999998E-2</v>
      </c>
      <c r="F16" s="705">
        <f>$K$16+4*$M$16</f>
        <v>0.05</v>
      </c>
      <c r="G16" s="705">
        <f>$K$16+5*$M$16</f>
        <v>5.5E-2</v>
      </c>
      <c r="H16" s="705">
        <f>$K$16+6*$M$16</f>
        <v>0.06</v>
      </c>
      <c r="J16" s="702" t="s">
        <v>1620</v>
      </c>
      <c r="K16" s="704">
        <v>0.03</v>
      </c>
      <c r="L16" s="702" t="s">
        <v>1615</v>
      </c>
      <c r="M16" s="704">
        <v>5.0000000000000001E-3</v>
      </c>
      <c r="N16" s="702" t="s">
        <v>1621</v>
      </c>
      <c r="O16" s="704">
        <v>0.02</v>
      </c>
      <c r="P16" s="702" t="s">
        <v>1615</v>
      </c>
      <c r="Q16" s="704">
        <v>5.0000000000000001E-3</v>
      </c>
    </row>
    <row r="17" spans="1:17" ht="15" customHeight="1" x14ac:dyDescent="0.25">
      <c r="A17" s="705">
        <f>$O$16+0*$Q$16</f>
        <v>0.02</v>
      </c>
      <c r="B17" s="707" t="str">
        <f>IFERROR(('P&amp;L'!H50*(1+$A17)^5-'P&amp;L'!H95*(1+B16)^5)/('P&amp;L'!H50*(1+$A17)^5),"")</f>
        <v/>
      </c>
      <c r="C17" s="707" t="str">
        <f>IFERROR(('P&amp;L'!H50*(1+$A17)^5-'P&amp;L'!H95*(1+C16)^5)/('P&amp;L'!H50*(1+$A17)^5),"")</f>
        <v/>
      </c>
      <c r="D17" s="707" t="str">
        <f>IFERROR(('P&amp;L'!H50*(1+$A17)^5-'P&amp;L'!H95*(1+D16)^5)/('P&amp;L'!H50*(1+$A17)^5),"")</f>
        <v/>
      </c>
      <c r="E17" s="707" t="str">
        <f>IFERROR(('P&amp;L'!H50*(1+$A17)^5-'P&amp;L'!H95*(1+E16)^5)/('P&amp;L'!H50*(1+$A17)^5),"")</f>
        <v/>
      </c>
      <c r="F17" s="707" t="str">
        <f>IFERROR(('P&amp;L'!H50*(1+$A17)^5-'P&amp;L'!H95*(1+F16)^5)/('P&amp;L'!H50*(1+$A17)^5),"")</f>
        <v/>
      </c>
      <c r="G17" s="706" t="str">
        <f>IFERROR(('P&amp;L'!H50*(1+$A17)^5-'P&amp;L'!H95*(1+G16)^5)/('P&amp;L'!H50*(1+$A17)^5),"")</f>
        <v/>
      </c>
      <c r="H17" s="706" t="str">
        <f>IFERROR(('P&amp;L'!H50*(1+$A17)^5-'P&amp;L'!H95*(1+H16)^5)/('P&amp;L'!H50*(1+$A17)^5),"")</f>
        <v/>
      </c>
    </row>
    <row r="18" spans="1:17" ht="15" customHeight="1" x14ac:dyDescent="0.25">
      <c r="A18" s="705">
        <f>$O$16+1*$Q$16</f>
        <v>2.5000000000000001E-2</v>
      </c>
      <c r="B18" s="707" t="str">
        <f>IFERROR(('P&amp;L'!H50*(1+$A18)^5-'P&amp;L'!H95*(1+B16)^5)/('P&amp;L'!H50*(1+$A18)^5),"")</f>
        <v/>
      </c>
      <c r="C18" s="707" t="str">
        <f>IFERROR(('P&amp;L'!H50*(1+$A18)^5-'P&amp;L'!H95*(1+C16)^5)/('P&amp;L'!H50*(1+$A18)^5),"")</f>
        <v/>
      </c>
      <c r="D18" s="707" t="str">
        <f>IFERROR(('P&amp;L'!H50*(1+$A18)^5-'P&amp;L'!H95*(1+D16)^5)/('P&amp;L'!H50*(1+$A18)^5),"")</f>
        <v/>
      </c>
      <c r="E18" s="707" t="str">
        <f>IFERROR(('P&amp;L'!H50*(1+$A18)^5-'P&amp;L'!H95*(1+E16)^5)/('P&amp;L'!H50*(1+$A18)^5),"")</f>
        <v/>
      </c>
      <c r="F18" s="707" t="str">
        <f>IFERROR(('P&amp;L'!H50*(1+$A18)^5-'P&amp;L'!H95*(1+F16)^5)/('P&amp;L'!H50*(1+$A18)^5),"")</f>
        <v/>
      </c>
      <c r="G18" s="707" t="str">
        <f>IFERROR(('P&amp;L'!H50*(1+$A18)^5-'P&amp;L'!H95*(1+G16)^5)/('P&amp;L'!H50*(1+$A18)^5),"")</f>
        <v/>
      </c>
      <c r="H18" s="707" t="str">
        <f>IFERROR(('P&amp;L'!H50*(1+$A18)^5-'P&amp;L'!H95*(1+H16)^5)/('P&amp;L'!H50*(1+$A18)^5),"")</f>
        <v/>
      </c>
    </row>
    <row r="19" spans="1:17" ht="15" customHeight="1" x14ac:dyDescent="0.25">
      <c r="A19" s="705">
        <f>$O$16+2*$Q$16</f>
        <v>0.03</v>
      </c>
      <c r="B19" s="708" t="str">
        <f>IFERROR(('P&amp;L'!H50*(1+$A19)^5-'P&amp;L'!H95*(1+B16)^5)/('P&amp;L'!H50*(1+$A19)^5),"")</f>
        <v/>
      </c>
      <c r="C19" s="708" t="str">
        <f>IFERROR(('P&amp;L'!H50*(1+$A19)^5-'P&amp;L'!H95*(1+C16)^5)/('P&amp;L'!H50*(1+$A19)^5),"")</f>
        <v/>
      </c>
      <c r="D19" s="708" t="str">
        <f>IFERROR(('P&amp;L'!H50*(1+$A19)^5-'P&amp;L'!H95*(1+D16)^5)/('P&amp;L'!H50*(1+$A19)^5),"")</f>
        <v/>
      </c>
      <c r="E19" s="707" t="str">
        <f>IFERROR(('P&amp;L'!H50*(1+$A19)^5-'P&amp;L'!H95*(1+E16)^5)/('P&amp;L'!H50*(1+$A19)^5),"")</f>
        <v/>
      </c>
      <c r="F19" s="707" t="str">
        <f>IFERROR(('P&amp;L'!H50*(1+$A19)^5-'P&amp;L'!H95*(1+F16)^5)/('P&amp;L'!H50*(1+$A19)^5),"")</f>
        <v/>
      </c>
      <c r="G19" s="707" t="str">
        <f>IFERROR(('P&amp;L'!H50*(1+$A19)^5-'P&amp;L'!H95*(1+G16)^5)/('P&amp;L'!H50*(1+$A19)^5),"")</f>
        <v/>
      </c>
      <c r="H19" s="707" t="str">
        <f>IFERROR(('P&amp;L'!H50*(1+$A19)^5-'P&amp;L'!H95*(1+H16)^5)/('P&amp;L'!H50*(1+$A19)^5),"")</f>
        <v/>
      </c>
    </row>
    <row r="20" spans="1:17" ht="15" customHeight="1" x14ac:dyDescent="0.25">
      <c r="A20" s="705">
        <f>$O$16+3*$Q$16</f>
        <v>3.5000000000000003E-2</v>
      </c>
      <c r="B20" s="708" t="str">
        <f>IFERROR(('P&amp;L'!H50*(1+$A20)^5-'P&amp;L'!H95*(1+B16)^5)/('P&amp;L'!H50*(1+$A20)^5),"")</f>
        <v/>
      </c>
      <c r="C20" s="708" t="str">
        <f>IFERROR(('P&amp;L'!H50*(1+$A20)^5-'P&amp;L'!H95*(1+C16)^5)/('P&amp;L'!H50*(1+$A20)^5),"")</f>
        <v/>
      </c>
      <c r="D20" s="708" t="str">
        <f>IFERROR(('P&amp;L'!H50*(1+$A20)^5-'P&amp;L'!H95*(1+D16)^5)/('P&amp;L'!H50*(1+$A20)^5),"")</f>
        <v/>
      </c>
      <c r="E20" s="707" t="str">
        <f>IFERROR(('P&amp;L'!H50*(1+$A20)^5-'P&amp;L'!H95*(1+E16)^5)/('P&amp;L'!H50*(1+$A20)^5),"")</f>
        <v/>
      </c>
      <c r="F20" s="707" t="str">
        <f>IFERROR(('P&amp;L'!H50*(1+$A20)^5-'P&amp;L'!H95*(1+F16)^5)/('P&amp;L'!H50*(1+$A20)^5),"")</f>
        <v/>
      </c>
      <c r="G20" s="707" t="str">
        <f>IFERROR(('P&amp;L'!H50*(1+$A20)^5-'P&amp;L'!H95*(1+G16)^5)/('P&amp;L'!H50*(1+$A20)^5),"")</f>
        <v/>
      </c>
      <c r="H20" s="707" t="str">
        <f>IFERROR(('P&amp;L'!H50*(1+$A20)^5-'P&amp;L'!H95*(1+H16)^5)/('P&amp;L'!H50*(1+$A20)^5),"")</f>
        <v/>
      </c>
    </row>
    <row r="21" spans="1:17" ht="15" customHeight="1" x14ac:dyDescent="0.25">
      <c r="A21" s="705">
        <f>$O$16+4*$Q$16</f>
        <v>0.04</v>
      </c>
      <c r="B21" s="708" t="str">
        <f>IFERROR(('P&amp;L'!H50*(1+$A21)^5-'P&amp;L'!H95*(1+B16)^5)/('P&amp;L'!H50*(1+$A21)^5),"")</f>
        <v/>
      </c>
      <c r="C21" s="708" t="str">
        <f>IFERROR(('P&amp;L'!H50*(1+$A21)^5-'P&amp;L'!H95*(1+C16)^5)/('P&amp;L'!H50*(1+$A21)^5),"")</f>
        <v/>
      </c>
      <c r="D21" s="708" t="str">
        <f>IFERROR(('P&amp;L'!H50*(1+$A21)^5-'P&amp;L'!H95*(1+D16)^5)/('P&amp;L'!H50*(1+$A21)^5),"")</f>
        <v/>
      </c>
      <c r="E21" s="707" t="str">
        <f>IFERROR(('P&amp;L'!H50*(1+$A21)^5-'P&amp;L'!H95*(1+E16)^5)/('P&amp;L'!H50*(1+$A21)^5),"")</f>
        <v/>
      </c>
      <c r="F21" s="707" t="str">
        <f>IFERROR(('P&amp;L'!H50*(1+$A21)^5-'P&amp;L'!H95*(1+F16)^5)/('P&amp;L'!H50*(1+$A21)^5),"")</f>
        <v/>
      </c>
      <c r="G21" s="707" t="str">
        <f>IFERROR(('P&amp;L'!H50*(1+$A21)^5-'P&amp;L'!H95*(1+G16)^5)/('P&amp;L'!H50*(1+$A21)^5),"")</f>
        <v/>
      </c>
      <c r="H21" s="707" t="str">
        <f>IFERROR(('P&amp;L'!H50*(1+$A21)^5-'P&amp;L'!H95*(1+H16)^5)/('P&amp;L'!H50*(1+$A21)^5),"")</f>
        <v/>
      </c>
    </row>
    <row r="22" spans="1:17" ht="15" customHeight="1" x14ac:dyDescent="0.25">
      <c r="A22" s="705">
        <f>$O$16+5*$Q$16</f>
        <v>4.4999999999999998E-2</v>
      </c>
      <c r="B22" s="708" t="str">
        <f>IFERROR(('P&amp;L'!H50*(1+$A22)^5-'P&amp;L'!H95*(1+B16)^5)/('P&amp;L'!H50*(1+$A22)^5),"")</f>
        <v/>
      </c>
      <c r="C22" s="708" t="str">
        <f>IFERROR(('P&amp;L'!H50*(1+$A22)^5-'P&amp;L'!H95*(1+C16)^5)/('P&amp;L'!H50*(1+$A22)^5),"")</f>
        <v/>
      </c>
      <c r="D22" s="708" t="str">
        <f>IFERROR(('P&amp;L'!H50*(1+$A22)^5-'P&amp;L'!H95*(1+D16)^5)/('P&amp;L'!H50*(1+$A22)^5),"")</f>
        <v/>
      </c>
      <c r="E22" s="707" t="str">
        <f>IFERROR(('P&amp;L'!H50*(1+$A22)^5-'P&amp;L'!H95*(1+E16)^5)/('P&amp;L'!H50*(1+$A22)^5),"")</f>
        <v/>
      </c>
      <c r="F22" s="707" t="str">
        <f>IFERROR(('P&amp;L'!H50*(1+$A22)^5-'P&amp;L'!H95*(1+F16)^5)/('P&amp;L'!H50*(1+$A22)^5),"")</f>
        <v/>
      </c>
      <c r="G22" s="707" t="str">
        <f>IFERROR(('P&amp;L'!H50*(1+$A22)^5-'P&amp;L'!H95*(1+G16)^5)/('P&amp;L'!H50*(1+$A22)^5),"")</f>
        <v/>
      </c>
      <c r="H22" s="707" t="str">
        <f>IFERROR(('P&amp;L'!H50*(1+$A22)^5-'P&amp;L'!H95*(1+H16)^5)/('P&amp;L'!H50*(1+$A22)^5),"")</f>
        <v/>
      </c>
    </row>
    <row r="23" spans="1:17" ht="15" customHeight="1" x14ac:dyDescent="0.25">
      <c r="A23" s="705">
        <f>$O$16+6*$Q$16</f>
        <v>0.05</v>
      </c>
      <c r="B23" s="708" t="str">
        <f>IFERROR(('P&amp;L'!H50*(1+$A23)^5-'P&amp;L'!H95*(1+B16)^5)/('P&amp;L'!H50*(1+$A23)^5),"")</f>
        <v/>
      </c>
      <c r="C23" s="708" t="str">
        <f>IFERROR(('P&amp;L'!H50*(1+$A23)^5-'P&amp;L'!H95*(1+C16)^5)/('P&amp;L'!H50*(1+$A23)^5),"")</f>
        <v/>
      </c>
      <c r="D23" s="708" t="str">
        <f>IFERROR(('P&amp;L'!H50*(1+$A23)^5-'P&amp;L'!H95*(1+D16)^5)/('P&amp;L'!H50*(1+$A23)^5),"")</f>
        <v/>
      </c>
      <c r="E23" s="707" t="str">
        <f>IFERROR(('P&amp;L'!H50*(1+$A23)^5-'P&amp;L'!H95*(1+E16)^5)/('P&amp;L'!H50*(1+$A23)^5),"")</f>
        <v/>
      </c>
      <c r="F23" s="707" t="str">
        <f>IFERROR(('P&amp;L'!H50*(1+$A23)^5-'P&amp;L'!H95*(1+F16)^5)/('P&amp;L'!H50*(1+$A23)^5),"")</f>
        <v/>
      </c>
      <c r="G23" s="707" t="str">
        <f>IFERROR(('P&amp;L'!H50*(1+$A23)^5-'P&amp;L'!H95*(1+G16)^5)/('P&amp;L'!H50*(1+$A23)^5),"")</f>
        <v/>
      </c>
      <c r="H23" s="707" t="str">
        <f>IFERROR(('P&amp;L'!H50*(1+$A23)^5-'P&amp;L'!H95*(1+H16)^5)/('P&amp;L'!H50*(1+$A23)^5),"")</f>
        <v/>
      </c>
    </row>
    <row r="25" spans="1:17" ht="24" customHeight="1" x14ac:dyDescent="0.25">
      <c r="A25" s="814" t="s">
        <v>1622</v>
      </c>
      <c r="B25" s="798"/>
      <c r="C25" s="798"/>
      <c r="D25" s="798"/>
      <c r="E25" s="798"/>
      <c r="F25" s="798"/>
      <c r="G25" s="798"/>
      <c r="H25" s="798"/>
      <c r="I25" s="798"/>
      <c r="J25" s="798"/>
    </row>
    <row r="26" spans="1:17" ht="15" customHeight="1" x14ac:dyDescent="0.25">
      <c r="A26" s="700" t="s">
        <v>1623</v>
      </c>
      <c r="B26" s="710">
        <f>$K$26+0*$M$26</f>
        <v>0.8</v>
      </c>
      <c r="C26" s="710">
        <f>$K$26+1*$M$26</f>
        <v>0.85000000000000009</v>
      </c>
      <c r="D26" s="710">
        <f>$K$26+2*$M$26</f>
        <v>0.9</v>
      </c>
      <c r="E26" s="710">
        <f>$K$26+3*$M$26</f>
        <v>0.95000000000000007</v>
      </c>
      <c r="F26" s="710">
        <f>$K$26+4*$M$26</f>
        <v>1</v>
      </c>
      <c r="G26" s="710">
        <f>$K$26+5*$M$26</f>
        <v>1.05</v>
      </c>
      <c r="H26" s="710">
        <f>$K$26+6*$M$26</f>
        <v>1.1000000000000001</v>
      </c>
      <c r="I26" s="710">
        <f>$K$26+7*$M$26</f>
        <v>1.1500000000000001</v>
      </c>
      <c r="J26" s="702" t="s">
        <v>1624</v>
      </c>
      <c r="K26" s="711">
        <v>0.8</v>
      </c>
      <c r="L26" s="702" t="s">
        <v>1615</v>
      </c>
      <c r="M26" s="711">
        <v>0.05</v>
      </c>
      <c r="N26" s="702" t="s">
        <v>1625</v>
      </c>
      <c r="O26" s="711">
        <v>0.75</v>
      </c>
      <c r="P26" s="702" t="s">
        <v>1615</v>
      </c>
      <c r="Q26" s="711">
        <v>0.05</v>
      </c>
    </row>
    <row r="27" spans="1:17" ht="15" customHeight="1" x14ac:dyDescent="0.25">
      <c r="A27" s="710">
        <f>$O$26+0*$Q$26</f>
        <v>0.75</v>
      </c>
      <c r="B27" s="706" t="str">
        <f>IFERROR('P&amp;L'!D97*B26/(Scenarios!F7*$A27),"")</f>
        <v/>
      </c>
      <c r="C27" s="706" t="str">
        <f>IFERROR('P&amp;L'!D97*C26/(Scenarios!F7*$A27),"")</f>
        <v/>
      </c>
      <c r="D27" s="706" t="str">
        <f>IFERROR('P&amp;L'!D97*D26/(Scenarios!F7*$A27),"")</f>
        <v/>
      </c>
      <c r="E27" s="706" t="str">
        <f>IFERROR('P&amp;L'!D97*E26/(Scenarios!F7*$A27),"")</f>
        <v/>
      </c>
      <c r="F27" s="706" t="str">
        <f>IFERROR('P&amp;L'!D97*F26/(Scenarios!F7*$A27),"")</f>
        <v/>
      </c>
      <c r="G27" s="706" t="str">
        <f>IFERROR('P&amp;L'!D97*G26/(Scenarios!F7*$A27),"")</f>
        <v/>
      </c>
      <c r="H27" s="706" t="str">
        <f>IFERROR('P&amp;L'!D97*H26/(Scenarios!F7*$A27),"")</f>
        <v/>
      </c>
      <c r="I27" s="706" t="str">
        <f>IFERROR('P&amp;L'!D97*I26/(Scenarios!F7*$A27),"")</f>
        <v/>
      </c>
    </row>
    <row r="28" spans="1:17" ht="15" customHeight="1" x14ac:dyDescent="0.25">
      <c r="A28" s="710">
        <f>$O$26+1*$Q$26</f>
        <v>0.8</v>
      </c>
      <c r="B28" s="706" t="str">
        <f>IFERROR('P&amp;L'!D97*B26/(Scenarios!F7*$A28),"")</f>
        <v/>
      </c>
      <c r="C28" s="706" t="str">
        <f>IFERROR('P&amp;L'!D97*C26/(Scenarios!F7*$A28),"")</f>
        <v/>
      </c>
      <c r="D28" s="706" t="str">
        <f>IFERROR('P&amp;L'!D97*D26/(Scenarios!F7*$A28),"")</f>
        <v/>
      </c>
      <c r="E28" s="706" t="str">
        <f>IFERROR('P&amp;L'!D97*E26/(Scenarios!F7*$A28),"")</f>
        <v/>
      </c>
      <c r="F28" s="706" t="str">
        <f>IFERROR('P&amp;L'!D97*F26/(Scenarios!F7*$A28),"")</f>
        <v/>
      </c>
      <c r="G28" s="706" t="str">
        <f>IFERROR('P&amp;L'!D97*G26/(Scenarios!F7*$A28),"")</f>
        <v/>
      </c>
      <c r="H28" s="706" t="str">
        <f>IFERROR('P&amp;L'!D97*H26/(Scenarios!F7*$A28),"")</f>
        <v/>
      </c>
      <c r="I28" s="706" t="str">
        <f>IFERROR('P&amp;L'!D97*I26/(Scenarios!F7*$A28),"")</f>
        <v/>
      </c>
    </row>
    <row r="29" spans="1:17" ht="15" customHeight="1" x14ac:dyDescent="0.25">
      <c r="A29" s="710">
        <f>$O$26+2*$Q$26</f>
        <v>0.85</v>
      </c>
      <c r="B29" s="706" t="str">
        <f>IFERROR('P&amp;L'!D97*B26/(Scenarios!F7*$A29),"")</f>
        <v/>
      </c>
      <c r="C29" s="707" t="str">
        <f>IFERROR('P&amp;L'!D97*C26/(Scenarios!F7*$A29),"")</f>
        <v/>
      </c>
      <c r="D29" s="707" t="str">
        <f>IFERROR('P&amp;L'!D97*D26/(Scenarios!F7*$A29),"")</f>
        <v/>
      </c>
      <c r="E29" s="707" t="str">
        <f>IFERROR('P&amp;L'!D97*E26/(Scenarios!F7*$A29),"")</f>
        <v/>
      </c>
      <c r="F29" s="707" t="str">
        <f>IFERROR('P&amp;L'!D97*F26/(Scenarios!F7*$A29),"")</f>
        <v/>
      </c>
      <c r="G29" s="707" t="str">
        <f>IFERROR('P&amp;L'!D97*G26/(Scenarios!F7*$A29),"")</f>
        <v/>
      </c>
      <c r="H29" s="707" t="str">
        <f>IFERROR('P&amp;L'!D97*H26/(Scenarios!F7*$A29),"")</f>
        <v/>
      </c>
      <c r="I29" s="707" t="str">
        <f>IFERROR('P&amp;L'!D97*I26/(Scenarios!F7*$A29),"")</f>
        <v/>
      </c>
    </row>
    <row r="30" spans="1:17" ht="15" customHeight="1" x14ac:dyDescent="0.25">
      <c r="A30" s="710">
        <f>$O$26+3*$Q$26</f>
        <v>0.9</v>
      </c>
      <c r="B30" s="706" t="str">
        <f>IFERROR('P&amp;L'!D97*B26/(Scenarios!F7*$A30),"")</f>
        <v/>
      </c>
      <c r="C30" s="707" t="str">
        <f>IFERROR('P&amp;L'!D97*C26/(Scenarios!F7*$A30),"")</f>
        <v/>
      </c>
      <c r="D30" s="707" t="str">
        <f>IFERROR('P&amp;L'!D97*D26/(Scenarios!F7*$A30),"")</f>
        <v/>
      </c>
      <c r="E30" s="707" t="str">
        <f>IFERROR('P&amp;L'!D97*E26/(Scenarios!F7*$A30),"")</f>
        <v/>
      </c>
      <c r="F30" s="707" t="str">
        <f>IFERROR('P&amp;L'!D97*F26/(Scenarios!F7*$A30),"")</f>
        <v/>
      </c>
      <c r="G30" s="707" t="str">
        <f>IFERROR('P&amp;L'!D97*G26/(Scenarios!F7*$A30),"")</f>
        <v/>
      </c>
      <c r="H30" s="707" t="str">
        <f>IFERROR('P&amp;L'!D97*H26/(Scenarios!F7*$A30),"")</f>
        <v/>
      </c>
      <c r="I30" s="707" t="str">
        <f>IFERROR('P&amp;L'!D97*I26/(Scenarios!F7*$A30),"")</f>
        <v/>
      </c>
    </row>
    <row r="31" spans="1:17" ht="15" customHeight="1" x14ac:dyDescent="0.25">
      <c r="A31" s="710">
        <f>$O$26+4*$Q$26</f>
        <v>0.95</v>
      </c>
      <c r="B31" s="706" t="str">
        <f>IFERROR('P&amp;L'!D97*B26/(Scenarios!F7*$A31),"")</f>
        <v/>
      </c>
      <c r="C31" s="707" t="str">
        <f>IFERROR('P&amp;L'!D97*C26/(Scenarios!F7*$A31),"")</f>
        <v/>
      </c>
      <c r="D31" s="707" t="str">
        <f>IFERROR('P&amp;L'!D97*D26/(Scenarios!F7*$A31),"")</f>
        <v/>
      </c>
      <c r="E31" s="707" t="str">
        <f>IFERROR('P&amp;L'!D97*E26/(Scenarios!F7*$A31),"")</f>
        <v/>
      </c>
      <c r="F31" s="708" t="str">
        <f>IFERROR('P&amp;L'!D97*F26/(Scenarios!F7*$A31),"")</f>
        <v/>
      </c>
      <c r="G31" s="708" t="str">
        <f>IFERROR('P&amp;L'!D97*G26/(Scenarios!F7*$A31),"")</f>
        <v/>
      </c>
      <c r="H31" s="708" t="str">
        <f>IFERROR('P&amp;L'!D97*H26/(Scenarios!F7*$A31),"")</f>
        <v/>
      </c>
      <c r="I31" s="708" t="str">
        <f>IFERROR('P&amp;L'!D97*I26/(Scenarios!F7*$A31),"")</f>
        <v/>
      </c>
    </row>
    <row r="32" spans="1:17" ht="15" customHeight="1" x14ac:dyDescent="0.25">
      <c r="A32" s="710">
        <f>$O$26+5*$Q$26</f>
        <v>1</v>
      </c>
      <c r="B32" s="706" t="str">
        <f>IFERROR('P&amp;L'!D97*B26/(Scenarios!F7*$A32),"")</f>
        <v/>
      </c>
      <c r="C32" s="707" t="str">
        <f>IFERROR('P&amp;L'!D97*C26/(Scenarios!F7*$A32),"")</f>
        <v/>
      </c>
      <c r="D32" s="707" t="str">
        <f>IFERROR('P&amp;L'!D97*D26/(Scenarios!F7*$A32),"")</f>
        <v/>
      </c>
      <c r="E32" s="707" t="str">
        <f>IFERROR('P&amp;L'!D97*E26/(Scenarios!F7*$A32),"")</f>
        <v/>
      </c>
      <c r="F32" s="708" t="str">
        <f>IFERROR('P&amp;L'!D97*F26/(Scenarios!F7*$A32),"")</f>
        <v/>
      </c>
      <c r="G32" s="708" t="str">
        <f>IFERROR('P&amp;L'!D97*G26/(Scenarios!F7*$A32),"")</f>
        <v/>
      </c>
      <c r="H32" s="708" t="str">
        <f>IFERROR('P&amp;L'!D97*H26/(Scenarios!F7*$A32),"")</f>
        <v/>
      </c>
      <c r="I32" s="708" t="str">
        <f>IFERROR('P&amp;L'!D97*I26/(Scenarios!F7*$A32),"")</f>
        <v/>
      </c>
    </row>
    <row r="33" spans="1:9" ht="15" customHeight="1" x14ac:dyDescent="0.25">
      <c r="A33" s="710">
        <f>$O$26+6*$Q$26</f>
        <v>1.05</v>
      </c>
      <c r="B33" s="706" t="str">
        <f>IFERROR('P&amp;L'!D97*B26/(Scenarios!F7*$A33),"")</f>
        <v/>
      </c>
      <c r="C33" s="707" t="str">
        <f>IFERROR('P&amp;L'!D97*C26/(Scenarios!F7*$A33),"")</f>
        <v/>
      </c>
      <c r="D33" s="707" t="str">
        <f>IFERROR('P&amp;L'!D97*D26/(Scenarios!F7*$A33),"")</f>
        <v/>
      </c>
      <c r="E33" s="707" t="str">
        <f>IFERROR('P&amp;L'!D97*E26/(Scenarios!F7*$A33),"")</f>
        <v/>
      </c>
      <c r="F33" s="708" t="str">
        <f>IFERROR('P&amp;L'!D97*F26/(Scenarios!F7*$A33),"")</f>
        <v/>
      </c>
      <c r="G33" s="708" t="str">
        <f>IFERROR('P&amp;L'!D97*G26/(Scenarios!F7*$A33),"")</f>
        <v/>
      </c>
      <c r="H33" s="708" t="str">
        <f>IFERROR('P&amp;L'!D97*H26/(Scenarios!F7*$A33),"")</f>
        <v/>
      </c>
      <c r="I33" s="708" t="str">
        <f>IFERROR('P&amp;L'!D97*I26/(Scenarios!F7*$A33),"")</f>
        <v/>
      </c>
    </row>
    <row r="34" spans="1:9" ht="15" customHeight="1" x14ac:dyDescent="0.25">
      <c r="A34" s="710">
        <f>$O$26+7*$Q$26</f>
        <v>1.1000000000000001</v>
      </c>
      <c r="B34" s="706" t="str">
        <f>IFERROR('P&amp;L'!D97*B26/(Scenarios!F7*$A34),"")</f>
        <v/>
      </c>
      <c r="C34" s="707" t="str">
        <f>IFERROR('P&amp;L'!D97*C26/(Scenarios!F7*$A34),"")</f>
        <v/>
      </c>
      <c r="D34" s="707" t="str">
        <f>IFERROR('P&amp;L'!D97*D26/(Scenarios!F7*$A34),"")</f>
        <v/>
      </c>
      <c r="E34" s="707" t="str">
        <f>IFERROR('P&amp;L'!D97*E26/(Scenarios!F7*$A34),"")</f>
        <v/>
      </c>
      <c r="F34" s="708" t="str">
        <f>IFERROR('P&amp;L'!D97*F26/(Scenarios!F7*$A34),"")</f>
        <v/>
      </c>
      <c r="G34" s="708" t="str">
        <f>IFERROR('P&amp;L'!D97*G26/(Scenarios!F7*$A34),"")</f>
        <v/>
      </c>
      <c r="H34" s="708" t="str">
        <f>IFERROR('P&amp;L'!D97*H26/(Scenarios!F7*$A34),"")</f>
        <v/>
      </c>
      <c r="I34" s="708" t="str">
        <f>IFERROR('P&amp;L'!D97*I26/(Scenarios!F7*$A34),"")</f>
        <v/>
      </c>
    </row>
  </sheetData>
  <mergeCells count="5">
    <mergeCell ref="A1:J1"/>
    <mergeCell ref="A15:J15"/>
    <mergeCell ref="A4:J4"/>
    <mergeCell ref="A2:J2"/>
    <mergeCell ref="A25:J25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8"/>
  <sheetViews>
    <sheetView topLeftCell="A30" zoomScaleNormal="100" workbookViewId="0">
      <selection activeCell="E17" sqref="E17"/>
    </sheetView>
  </sheetViews>
  <sheetFormatPr defaultColWidth="8.7109375" defaultRowHeight="15" x14ac:dyDescent="0.25"/>
  <cols>
    <col min="1" max="1" width="7" customWidth="1"/>
    <col min="2" max="2" width="10" customWidth="1"/>
    <col min="3" max="3" width="14" customWidth="1"/>
    <col min="4" max="8" width="16" customWidth="1"/>
    <col min="9" max="9" width="22" customWidth="1"/>
  </cols>
  <sheetData>
    <row r="1" spans="1:9" ht="27.75" customHeight="1" x14ac:dyDescent="0.25">
      <c r="A1" s="856" t="s">
        <v>1626</v>
      </c>
      <c r="B1" s="832"/>
      <c r="C1" s="832"/>
      <c r="D1" s="832"/>
      <c r="E1" s="832"/>
      <c r="F1" s="832"/>
      <c r="G1" s="832"/>
      <c r="H1" s="832"/>
      <c r="I1" s="833"/>
    </row>
    <row r="2" spans="1:9" ht="6" customHeight="1" x14ac:dyDescent="0.25"/>
    <row r="3" spans="1:9" ht="19.5" customHeight="1" x14ac:dyDescent="0.25">
      <c r="A3" s="855" t="s">
        <v>1627</v>
      </c>
      <c r="B3" s="832"/>
      <c r="C3" s="832"/>
      <c r="D3" s="832"/>
      <c r="E3" s="832"/>
      <c r="F3" s="832"/>
      <c r="G3" s="832"/>
      <c r="H3" s="832"/>
      <c r="I3" s="833"/>
    </row>
    <row r="4" spans="1:9" ht="16.5" customHeight="1" x14ac:dyDescent="0.25">
      <c r="A4" s="625" t="s">
        <v>1628</v>
      </c>
      <c r="B4" s="712">
        <v>46117</v>
      </c>
      <c r="C4" s="857" t="s">
        <v>1629</v>
      </c>
      <c r="D4" s="832"/>
      <c r="E4" s="833"/>
      <c r="F4" s="625" t="s">
        <v>1560</v>
      </c>
      <c r="G4" s="658" t="str">
        <f>'LP Return Illustration'!$B$3</f>
        <v>Class A</v>
      </c>
      <c r="H4" s="857" t="s">
        <v>1630</v>
      </c>
      <c r="I4" s="833"/>
    </row>
    <row r="5" spans="1:9" ht="16.5" customHeight="1" x14ac:dyDescent="0.25">
      <c r="A5" s="625" t="s">
        <v>1558</v>
      </c>
      <c r="B5" s="713">
        <f>'LP Return Illustration'!$B$2</f>
        <v>0</v>
      </c>
      <c r="C5" s="857" t="s">
        <v>1630</v>
      </c>
      <c r="D5" s="832"/>
      <c r="E5" s="833"/>
      <c r="F5" s="625" t="s">
        <v>1631</v>
      </c>
      <c r="G5" s="714">
        <f>Waterfall!$B$5</f>
        <v>0</v>
      </c>
      <c r="H5" s="625" t="s">
        <v>1632</v>
      </c>
      <c r="I5" s="661" t="str">
        <f>'LP Return Illustration'!$G$3</f>
        <v>Pref Rate</v>
      </c>
    </row>
    <row r="6" spans="1:9" ht="6" customHeight="1" x14ac:dyDescent="0.25"/>
    <row r="7" spans="1:9" ht="15.75" customHeight="1" x14ac:dyDescent="0.25">
      <c r="A7" s="715" t="s">
        <v>1633</v>
      </c>
      <c r="B7" s="716" t="s">
        <v>1634</v>
      </c>
      <c r="C7" s="863" t="s">
        <v>1635</v>
      </c>
      <c r="D7" s="832"/>
      <c r="E7" s="833"/>
      <c r="F7" s="857" t="s">
        <v>1636</v>
      </c>
      <c r="G7" s="832"/>
      <c r="H7" s="832"/>
      <c r="I7" s="833"/>
    </row>
    <row r="8" spans="1:9" ht="30" customHeight="1" x14ac:dyDescent="0.25">
      <c r="A8" s="453" t="s">
        <v>1637</v>
      </c>
      <c r="B8" s="453" t="s">
        <v>1638</v>
      </c>
      <c r="C8" s="453" t="s">
        <v>1639</v>
      </c>
      <c r="D8" s="453" t="s">
        <v>1640</v>
      </c>
      <c r="E8" s="453" t="s">
        <v>1641</v>
      </c>
      <c r="F8" s="453" t="s">
        <v>1642</v>
      </c>
      <c r="G8" s="453" t="s">
        <v>1643</v>
      </c>
      <c r="H8" s="453" t="s">
        <v>1644</v>
      </c>
      <c r="I8" s="453" t="s">
        <v>113</v>
      </c>
    </row>
    <row r="9" spans="1:9" ht="16.5" customHeight="1" x14ac:dyDescent="0.25">
      <c r="A9" s="717" t="s">
        <v>1645</v>
      </c>
      <c r="B9" s="717" t="s">
        <v>1646</v>
      </c>
      <c r="C9" s="718">
        <f>$B$4</f>
        <v>46117</v>
      </c>
      <c r="D9" s="625"/>
      <c r="E9" s="625"/>
      <c r="F9" s="625"/>
      <c r="G9" s="719">
        <f>-'LP Return Illustration'!$B$2</f>
        <v>0</v>
      </c>
      <c r="H9" s="720">
        <f>G9</f>
        <v>0</v>
      </c>
      <c r="I9" s="657" t="s">
        <v>1647</v>
      </c>
    </row>
    <row r="10" spans="1:9" ht="16.5" customHeight="1" x14ac:dyDescent="0.25">
      <c r="A10" s="721">
        <v>1</v>
      </c>
      <c r="B10" s="722" t="s">
        <v>1648</v>
      </c>
      <c r="C10" s="723">
        <f>EDATE($B$4,3)</f>
        <v>46208</v>
      </c>
      <c r="D10" s="724">
        <f>'LP Return Illustration'!B14</f>
        <v>0</v>
      </c>
      <c r="E10" s="725">
        <f>IFERROR($D$10/4,0)</f>
        <v>0</v>
      </c>
      <c r="F10" s="726">
        <v>0</v>
      </c>
      <c r="G10" s="727">
        <f t="shared" ref="G10:G49" si="0">E10+F10</f>
        <v>0</v>
      </c>
      <c r="H10" s="727">
        <f t="shared" ref="H10:H49" si="1">H9+G10</f>
        <v>0</v>
      </c>
      <c r="I10" s="728" t="s">
        <v>1649</v>
      </c>
    </row>
    <row r="11" spans="1:9" ht="16.5" customHeight="1" x14ac:dyDescent="0.25">
      <c r="A11" s="729"/>
      <c r="B11" s="722" t="s">
        <v>1650</v>
      </c>
      <c r="C11" s="723">
        <f>EDATE($B$4,6)</f>
        <v>46300</v>
      </c>
      <c r="D11" s="730"/>
      <c r="E11" s="725">
        <f>IFERROR($D$10/4,0)</f>
        <v>0</v>
      </c>
      <c r="F11" s="726">
        <v>0</v>
      </c>
      <c r="G11" s="727">
        <f t="shared" si="0"/>
        <v>0</v>
      </c>
      <c r="H11" s="727">
        <f t="shared" si="1"/>
        <v>0</v>
      </c>
      <c r="I11" s="728"/>
    </row>
    <row r="12" spans="1:9" ht="16.5" customHeight="1" x14ac:dyDescent="0.25">
      <c r="A12" s="729"/>
      <c r="B12" s="722" t="s">
        <v>1651</v>
      </c>
      <c r="C12" s="723">
        <f>EDATE($B$4,9)</f>
        <v>46392</v>
      </c>
      <c r="D12" s="730"/>
      <c r="E12" s="725">
        <f>IFERROR($D$10/4,0)</f>
        <v>0</v>
      </c>
      <c r="F12" s="726">
        <v>0</v>
      </c>
      <c r="G12" s="727">
        <f t="shared" si="0"/>
        <v>0</v>
      </c>
      <c r="H12" s="727">
        <f t="shared" si="1"/>
        <v>0</v>
      </c>
      <c r="I12" s="728"/>
    </row>
    <row r="13" spans="1:9" ht="16.5" customHeight="1" x14ac:dyDescent="0.25">
      <c r="A13" s="729"/>
      <c r="B13" s="722" t="s">
        <v>1652</v>
      </c>
      <c r="C13" s="723">
        <f>EDATE($B$4,12)</f>
        <v>46482</v>
      </c>
      <c r="D13" s="730"/>
      <c r="E13" s="725">
        <f>IFERROR($D$10/4,0)</f>
        <v>0</v>
      </c>
      <c r="F13" s="724">
        <f>IFERROR('LP Return Illustration'!B18+'LP Return Illustration'!B19,0)</f>
        <v>0</v>
      </c>
      <c r="G13" s="727">
        <f t="shared" si="0"/>
        <v>0</v>
      </c>
      <c r="H13" s="727">
        <f t="shared" si="1"/>
        <v>0</v>
      </c>
      <c r="I13" s="728"/>
    </row>
    <row r="14" spans="1:9" ht="16.5" customHeight="1" x14ac:dyDescent="0.25">
      <c r="A14" s="731">
        <v>2</v>
      </c>
      <c r="B14" s="732" t="s">
        <v>1648</v>
      </c>
      <c r="C14" s="733">
        <f>EDATE($B$4,15)</f>
        <v>46573</v>
      </c>
      <c r="D14" s="724">
        <f>'LP Return Illustration'!C14</f>
        <v>0</v>
      </c>
      <c r="E14" s="725">
        <f>IFERROR($D$14/4,0)</f>
        <v>0</v>
      </c>
      <c r="F14" s="734">
        <v>0</v>
      </c>
      <c r="G14" s="720">
        <f t="shared" si="0"/>
        <v>0</v>
      </c>
      <c r="H14" s="720">
        <f t="shared" si="1"/>
        <v>0</v>
      </c>
      <c r="I14" s="657"/>
    </row>
    <row r="15" spans="1:9" ht="16.5" customHeight="1" x14ac:dyDescent="0.25">
      <c r="A15" s="735"/>
      <c r="B15" s="732" t="s">
        <v>1650</v>
      </c>
      <c r="C15" s="733">
        <f>EDATE($B$4,18)</f>
        <v>46665</v>
      </c>
      <c r="D15" s="730"/>
      <c r="E15" s="725">
        <f>IFERROR($D$14/4,0)</f>
        <v>0</v>
      </c>
      <c r="F15" s="734">
        <v>0</v>
      </c>
      <c r="G15" s="720">
        <f t="shared" si="0"/>
        <v>0</v>
      </c>
      <c r="H15" s="720">
        <f t="shared" si="1"/>
        <v>0</v>
      </c>
      <c r="I15" s="657"/>
    </row>
    <row r="16" spans="1:9" ht="16.5" customHeight="1" x14ac:dyDescent="0.25">
      <c r="A16" s="735"/>
      <c r="B16" s="732" t="s">
        <v>1651</v>
      </c>
      <c r="C16" s="733">
        <f>EDATE($B$4,21)</f>
        <v>46757</v>
      </c>
      <c r="D16" s="730"/>
      <c r="E16" s="725">
        <f>IFERROR($D$14/4,0)</f>
        <v>0</v>
      </c>
      <c r="F16" s="734">
        <v>0</v>
      </c>
      <c r="G16" s="720">
        <f t="shared" si="0"/>
        <v>0</v>
      </c>
      <c r="H16" s="720">
        <f t="shared" si="1"/>
        <v>0</v>
      </c>
      <c r="I16" s="657"/>
    </row>
    <row r="17" spans="1:9" ht="16.5" customHeight="1" x14ac:dyDescent="0.25">
      <c r="A17" s="735"/>
      <c r="B17" s="732" t="s">
        <v>1652</v>
      </c>
      <c r="C17" s="733">
        <f>EDATE($B$4,24)</f>
        <v>46848</v>
      </c>
      <c r="D17" s="730"/>
      <c r="E17" s="725">
        <f>IFERROR($D$14/4,0)</f>
        <v>0</v>
      </c>
      <c r="F17" s="724">
        <f>IFERROR('LP Return Illustration'!C18+'LP Return Illustration'!C19,0)</f>
        <v>0</v>
      </c>
      <c r="G17" s="720">
        <f t="shared" si="0"/>
        <v>0</v>
      </c>
      <c r="H17" s="720">
        <f t="shared" si="1"/>
        <v>0</v>
      </c>
      <c r="I17" s="657"/>
    </row>
    <row r="18" spans="1:9" ht="16.5" customHeight="1" x14ac:dyDescent="0.25">
      <c r="A18" s="721">
        <v>3</v>
      </c>
      <c r="B18" s="722" t="s">
        <v>1648</v>
      </c>
      <c r="C18" s="723">
        <f>EDATE($B$4,27)</f>
        <v>46939</v>
      </c>
      <c r="D18" s="724">
        <f>'LP Return Illustration'!D14</f>
        <v>0</v>
      </c>
      <c r="E18" s="725">
        <f>IFERROR($D$18/4,0)</f>
        <v>0</v>
      </c>
      <c r="F18" s="726">
        <v>0</v>
      </c>
      <c r="G18" s="727">
        <f t="shared" si="0"/>
        <v>0</v>
      </c>
      <c r="H18" s="727">
        <f t="shared" si="1"/>
        <v>0</v>
      </c>
      <c r="I18" s="728"/>
    </row>
    <row r="19" spans="1:9" ht="16.5" customHeight="1" x14ac:dyDescent="0.25">
      <c r="A19" s="729"/>
      <c r="B19" s="722" t="s">
        <v>1650</v>
      </c>
      <c r="C19" s="723">
        <f>EDATE($B$4,30)</f>
        <v>47031</v>
      </c>
      <c r="D19" s="730"/>
      <c r="E19" s="725">
        <f>IFERROR($D$18/4,0)</f>
        <v>0</v>
      </c>
      <c r="F19" s="726">
        <v>0</v>
      </c>
      <c r="G19" s="727">
        <f t="shared" si="0"/>
        <v>0</v>
      </c>
      <c r="H19" s="727">
        <f t="shared" si="1"/>
        <v>0</v>
      </c>
      <c r="I19" s="728"/>
    </row>
    <row r="20" spans="1:9" ht="16.5" customHeight="1" x14ac:dyDescent="0.25">
      <c r="A20" s="729"/>
      <c r="B20" s="722" t="s">
        <v>1651</v>
      </c>
      <c r="C20" s="723">
        <f>EDATE($B$4,33)</f>
        <v>47123</v>
      </c>
      <c r="D20" s="730"/>
      <c r="E20" s="725">
        <f>IFERROR($D$18/4,0)</f>
        <v>0</v>
      </c>
      <c r="F20" s="726">
        <v>0</v>
      </c>
      <c r="G20" s="727">
        <f t="shared" si="0"/>
        <v>0</v>
      </c>
      <c r="H20" s="727">
        <f t="shared" si="1"/>
        <v>0</v>
      </c>
      <c r="I20" s="728"/>
    </row>
    <row r="21" spans="1:9" ht="16.5" customHeight="1" x14ac:dyDescent="0.25">
      <c r="A21" s="729"/>
      <c r="B21" s="722" t="s">
        <v>1652</v>
      </c>
      <c r="C21" s="723">
        <f>EDATE($B$4,36)</f>
        <v>47213</v>
      </c>
      <c r="D21" s="730"/>
      <c r="E21" s="725">
        <f>IFERROR($D$18/4,0)</f>
        <v>0</v>
      </c>
      <c r="F21" s="724">
        <f>IFERROR('LP Return Illustration'!D18+'LP Return Illustration'!D19,0)</f>
        <v>0</v>
      </c>
      <c r="G21" s="727">
        <f t="shared" si="0"/>
        <v>0</v>
      </c>
      <c r="H21" s="727">
        <f t="shared" si="1"/>
        <v>0</v>
      </c>
      <c r="I21" s="728"/>
    </row>
    <row r="22" spans="1:9" ht="16.5" customHeight="1" x14ac:dyDescent="0.25">
      <c r="A22" s="731">
        <v>4</v>
      </c>
      <c r="B22" s="732" t="s">
        <v>1648</v>
      </c>
      <c r="C22" s="733">
        <f>EDATE($B$4,39)</f>
        <v>47304</v>
      </c>
      <c r="D22" s="724">
        <f>'LP Return Illustration'!E14</f>
        <v>0</v>
      </c>
      <c r="E22" s="725">
        <f>IFERROR($D$22/4,0)</f>
        <v>0</v>
      </c>
      <c r="F22" s="734">
        <v>0</v>
      </c>
      <c r="G22" s="720">
        <f t="shared" si="0"/>
        <v>0</v>
      </c>
      <c r="H22" s="720">
        <f t="shared" si="1"/>
        <v>0</v>
      </c>
      <c r="I22" s="657"/>
    </row>
    <row r="23" spans="1:9" ht="16.5" customHeight="1" x14ac:dyDescent="0.25">
      <c r="A23" s="735"/>
      <c r="B23" s="732" t="s">
        <v>1650</v>
      </c>
      <c r="C23" s="733">
        <f>EDATE($B$4,42)</f>
        <v>47396</v>
      </c>
      <c r="D23" s="730"/>
      <c r="E23" s="725">
        <f>IFERROR($D$22/4,0)</f>
        <v>0</v>
      </c>
      <c r="F23" s="734">
        <v>0</v>
      </c>
      <c r="G23" s="720">
        <f t="shared" si="0"/>
        <v>0</v>
      </c>
      <c r="H23" s="720">
        <f t="shared" si="1"/>
        <v>0</v>
      </c>
      <c r="I23" s="657"/>
    </row>
    <row r="24" spans="1:9" ht="16.5" customHeight="1" x14ac:dyDescent="0.25">
      <c r="A24" s="735"/>
      <c r="B24" s="732" t="s">
        <v>1651</v>
      </c>
      <c r="C24" s="733">
        <f>EDATE($B$4,45)</f>
        <v>47488</v>
      </c>
      <c r="D24" s="730"/>
      <c r="E24" s="725">
        <f>IFERROR($D$22/4,0)</f>
        <v>0</v>
      </c>
      <c r="F24" s="734">
        <v>0</v>
      </c>
      <c r="G24" s="720">
        <f t="shared" si="0"/>
        <v>0</v>
      </c>
      <c r="H24" s="720">
        <f t="shared" si="1"/>
        <v>0</v>
      </c>
      <c r="I24" s="657"/>
    </row>
    <row r="25" spans="1:9" ht="16.5" customHeight="1" x14ac:dyDescent="0.25">
      <c r="A25" s="735"/>
      <c r="B25" s="732" t="s">
        <v>1652</v>
      </c>
      <c r="C25" s="733">
        <f>EDATE($B$4,48)</f>
        <v>47578</v>
      </c>
      <c r="D25" s="730"/>
      <c r="E25" s="725">
        <f>IFERROR($D$22/4,0)</f>
        <v>0</v>
      </c>
      <c r="F25" s="724">
        <f>IFERROR('LP Return Illustration'!E18+'LP Return Illustration'!E19,0)</f>
        <v>0</v>
      </c>
      <c r="G25" s="720">
        <f t="shared" si="0"/>
        <v>0</v>
      </c>
      <c r="H25" s="720">
        <f t="shared" si="1"/>
        <v>0</v>
      </c>
      <c r="I25" s="657"/>
    </row>
    <row r="26" spans="1:9" ht="16.5" customHeight="1" x14ac:dyDescent="0.25">
      <c r="A26" s="721">
        <v>5</v>
      </c>
      <c r="B26" s="722" t="s">
        <v>1648</v>
      </c>
      <c r="C26" s="723">
        <f>EDATE($B$4,51)</f>
        <v>47669</v>
      </c>
      <c r="D26" s="724">
        <f>'LP Return Illustration'!F14</f>
        <v>0</v>
      </c>
      <c r="E26" s="725">
        <f>IFERROR($D$26/4,0)</f>
        <v>0</v>
      </c>
      <c r="F26" s="726">
        <v>0</v>
      </c>
      <c r="G26" s="727">
        <f t="shared" si="0"/>
        <v>0</v>
      </c>
      <c r="H26" s="727">
        <f t="shared" si="1"/>
        <v>0</v>
      </c>
      <c r="I26" s="728"/>
    </row>
    <row r="27" spans="1:9" ht="16.5" customHeight="1" x14ac:dyDescent="0.25">
      <c r="A27" s="729"/>
      <c r="B27" s="722" t="s">
        <v>1650</v>
      </c>
      <c r="C27" s="723">
        <f>EDATE($B$4,54)</f>
        <v>47761</v>
      </c>
      <c r="D27" s="730"/>
      <c r="E27" s="725">
        <f>IFERROR($D$26/4,0)</f>
        <v>0</v>
      </c>
      <c r="F27" s="726">
        <v>0</v>
      </c>
      <c r="G27" s="727">
        <f t="shared" si="0"/>
        <v>0</v>
      </c>
      <c r="H27" s="727">
        <f t="shared" si="1"/>
        <v>0</v>
      </c>
      <c r="I27" s="728"/>
    </row>
    <row r="28" spans="1:9" ht="16.5" customHeight="1" x14ac:dyDescent="0.25">
      <c r="A28" s="729"/>
      <c r="B28" s="722" t="s">
        <v>1651</v>
      </c>
      <c r="C28" s="723">
        <f>EDATE($B$4,57)</f>
        <v>47853</v>
      </c>
      <c r="D28" s="730"/>
      <c r="E28" s="725">
        <f>IFERROR($D$26/4,0)</f>
        <v>0</v>
      </c>
      <c r="F28" s="726">
        <v>0</v>
      </c>
      <c r="G28" s="727">
        <f t="shared" si="0"/>
        <v>0</v>
      </c>
      <c r="H28" s="727">
        <f t="shared" si="1"/>
        <v>0</v>
      </c>
      <c r="I28" s="728"/>
    </row>
    <row r="29" spans="1:9" ht="16.5" customHeight="1" x14ac:dyDescent="0.25">
      <c r="A29" s="729"/>
      <c r="B29" s="722" t="s">
        <v>1652</v>
      </c>
      <c r="C29" s="723">
        <f>EDATE($B$4,60)</f>
        <v>47943</v>
      </c>
      <c r="D29" s="730"/>
      <c r="E29" s="725">
        <f>IFERROR($D$26/4,0)</f>
        <v>0</v>
      </c>
      <c r="F29" s="724">
        <f>IFERROR('LP Return Illustration'!F18+'LP Return Illustration'!F19,0)</f>
        <v>0</v>
      </c>
      <c r="G29" s="727">
        <f t="shared" si="0"/>
        <v>0</v>
      </c>
      <c r="H29" s="727">
        <f t="shared" si="1"/>
        <v>0</v>
      </c>
      <c r="I29" s="728"/>
    </row>
    <row r="30" spans="1:9" ht="16.5" customHeight="1" x14ac:dyDescent="0.25">
      <c r="A30" s="731">
        <v>6</v>
      </c>
      <c r="B30" s="732" t="s">
        <v>1648</v>
      </c>
      <c r="C30" s="733">
        <f>EDATE($B$4,63)</f>
        <v>48034</v>
      </c>
      <c r="D30" s="724">
        <f>'LP Return Illustration'!G14</f>
        <v>0</v>
      </c>
      <c r="E30" s="725">
        <f>IFERROR($D$30/4,0)</f>
        <v>0</v>
      </c>
      <c r="F30" s="734">
        <v>0</v>
      </c>
      <c r="G30" s="720">
        <f t="shared" si="0"/>
        <v>0</v>
      </c>
      <c r="H30" s="720">
        <f t="shared" si="1"/>
        <v>0</v>
      </c>
      <c r="I30" s="657"/>
    </row>
    <row r="31" spans="1:9" ht="16.5" customHeight="1" x14ac:dyDescent="0.25">
      <c r="A31" s="735"/>
      <c r="B31" s="732" t="s">
        <v>1650</v>
      </c>
      <c r="C31" s="733">
        <f>EDATE($B$4,66)</f>
        <v>48126</v>
      </c>
      <c r="D31" s="730"/>
      <c r="E31" s="725">
        <f>IFERROR($D$30/4,0)</f>
        <v>0</v>
      </c>
      <c r="F31" s="734">
        <v>0</v>
      </c>
      <c r="G31" s="720">
        <f t="shared" si="0"/>
        <v>0</v>
      </c>
      <c r="H31" s="720">
        <f t="shared" si="1"/>
        <v>0</v>
      </c>
      <c r="I31" s="657"/>
    </row>
    <row r="32" spans="1:9" ht="16.5" customHeight="1" x14ac:dyDescent="0.25">
      <c r="A32" s="735"/>
      <c r="B32" s="732" t="s">
        <v>1651</v>
      </c>
      <c r="C32" s="733">
        <f>EDATE($B$4,69)</f>
        <v>48218</v>
      </c>
      <c r="D32" s="730"/>
      <c r="E32" s="725">
        <f>IFERROR($D$30/4,0)</f>
        <v>0</v>
      </c>
      <c r="F32" s="734">
        <v>0</v>
      </c>
      <c r="G32" s="720">
        <f t="shared" si="0"/>
        <v>0</v>
      </c>
      <c r="H32" s="720">
        <f t="shared" si="1"/>
        <v>0</v>
      </c>
      <c r="I32" s="657"/>
    </row>
    <row r="33" spans="1:9" ht="16.5" customHeight="1" x14ac:dyDescent="0.25">
      <c r="A33" s="735"/>
      <c r="B33" s="732" t="s">
        <v>1652</v>
      </c>
      <c r="C33" s="733">
        <f>EDATE($B$4,72)</f>
        <v>48309</v>
      </c>
      <c r="D33" s="730"/>
      <c r="E33" s="725">
        <f>IFERROR($D$30/4,0)</f>
        <v>0</v>
      </c>
      <c r="F33" s="724">
        <f>IFERROR('LP Return Illustration'!G18+'LP Return Illustration'!G19,0)</f>
        <v>0</v>
      </c>
      <c r="G33" s="720">
        <f t="shared" si="0"/>
        <v>0</v>
      </c>
      <c r="H33" s="720">
        <f t="shared" si="1"/>
        <v>0</v>
      </c>
      <c r="I33" s="657"/>
    </row>
    <row r="34" spans="1:9" ht="16.5" customHeight="1" x14ac:dyDescent="0.25">
      <c r="A34" s="721">
        <v>7</v>
      </c>
      <c r="B34" s="722" t="s">
        <v>1648</v>
      </c>
      <c r="C34" s="723">
        <f>EDATE($B$4,75)</f>
        <v>48400</v>
      </c>
      <c r="D34" s="724">
        <f>'LP Return Illustration'!H14</f>
        <v>0</v>
      </c>
      <c r="E34" s="725">
        <f>IFERROR($D$34/4,0)</f>
        <v>0</v>
      </c>
      <c r="F34" s="726">
        <v>0</v>
      </c>
      <c r="G34" s="727">
        <f t="shared" si="0"/>
        <v>0</v>
      </c>
      <c r="H34" s="727">
        <f t="shared" si="1"/>
        <v>0</v>
      </c>
      <c r="I34" s="728"/>
    </row>
    <row r="35" spans="1:9" ht="16.5" customHeight="1" x14ac:dyDescent="0.25">
      <c r="A35" s="729"/>
      <c r="B35" s="722" t="s">
        <v>1650</v>
      </c>
      <c r="C35" s="723">
        <f>EDATE($B$4,78)</f>
        <v>48492</v>
      </c>
      <c r="D35" s="730"/>
      <c r="E35" s="725">
        <f>IFERROR($D$34/4,0)</f>
        <v>0</v>
      </c>
      <c r="F35" s="726">
        <v>0</v>
      </c>
      <c r="G35" s="727">
        <f t="shared" si="0"/>
        <v>0</v>
      </c>
      <c r="H35" s="727">
        <f t="shared" si="1"/>
        <v>0</v>
      </c>
      <c r="I35" s="728"/>
    </row>
    <row r="36" spans="1:9" ht="16.5" customHeight="1" x14ac:dyDescent="0.25">
      <c r="A36" s="729"/>
      <c r="B36" s="722" t="s">
        <v>1651</v>
      </c>
      <c r="C36" s="723">
        <f>EDATE($B$4,81)</f>
        <v>48584</v>
      </c>
      <c r="D36" s="730"/>
      <c r="E36" s="725">
        <f>IFERROR($D$34/4,0)</f>
        <v>0</v>
      </c>
      <c r="F36" s="726">
        <v>0</v>
      </c>
      <c r="G36" s="727">
        <f t="shared" si="0"/>
        <v>0</v>
      </c>
      <c r="H36" s="727">
        <f t="shared" si="1"/>
        <v>0</v>
      </c>
      <c r="I36" s="728"/>
    </row>
    <row r="37" spans="1:9" ht="16.5" customHeight="1" x14ac:dyDescent="0.25">
      <c r="A37" s="729"/>
      <c r="B37" s="722" t="s">
        <v>1652</v>
      </c>
      <c r="C37" s="723">
        <f>EDATE($B$4,84)</f>
        <v>48674</v>
      </c>
      <c r="D37" s="730"/>
      <c r="E37" s="725">
        <f>IFERROR($D$34/4,0)</f>
        <v>0</v>
      </c>
      <c r="F37" s="724">
        <f>IFERROR('LP Return Illustration'!H18+'LP Return Illustration'!H19,0)</f>
        <v>0</v>
      </c>
      <c r="G37" s="727">
        <f t="shared" si="0"/>
        <v>0</v>
      </c>
      <c r="H37" s="727">
        <f t="shared" si="1"/>
        <v>0</v>
      </c>
      <c r="I37" s="728"/>
    </row>
    <row r="38" spans="1:9" ht="16.5" customHeight="1" x14ac:dyDescent="0.25">
      <c r="A38" s="731">
        <v>8</v>
      </c>
      <c r="B38" s="732" t="s">
        <v>1648</v>
      </c>
      <c r="C38" s="733">
        <f>EDATE($B$4,87)</f>
        <v>48765</v>
      </c>
      <c r="D38" s="724">
        <f>'LP Return Illustration'!I14</f>
        <v>0</v>
      </c>
      <c r="E38" s="725">
        <f>IFERROR($D$38/4,0)</f>
        <v>0</v>
      </c>
      <c r="F38" s="734">
        <v>0</v>
      </c>
      <c r="G38" s="720">
        <f t="shared" si="0"/>
        <v>0</v>
      </c>
      <c r="H38" s="720">
        <f t="shared" si="1"/>
        <v>0</v>
      </c>
      <c r="I38" s="657"/>
    </row>
    <row r="39" spans="1:9" ht="16.5" customHeight="1" x14ac:dyDescent="0.25">
      <c r="A39" s="735"/>
      <c r="B39" s="732" t="s">
        <v>1650</v>
      </c>
      <c r="C39" s="733">
        <f>EDATE($B$4,90)</f>
        <v>48857</v>
      </c>
      <c r="D39" s="730"/>
      <c r="E39" s="725">
        <f>IFERROR($D$38/4,0)</f>
        <v>0</v>
      </c>
      <c r="F39" s="734">
        <v>0</v>
      </c>
      <c r="G39" s="720">
        <f t="shared" si="0"/>
        <v>0</v>
      </c>
      <c r="H39" s="720">
        <f t="shared" si="1"/>
        <v>0</v>
      </c>
      <c r="I39" s="657"/>
    </row>
    <row r="40" spans="1:9" ht="16.5" customHeight="1" x14ac:dyDescent="0.25">
      <c r="A40" s="735"/>
      <c r="B40" s="732" t="s">
        <v>1651</v>
      </c>
      <c r="C40" s="733">
        <f>EDATE($B$4,93)</f>
        <v>48949</v>
      </c>
      <c r="D40" s="730"/>
      <c r="E40" s="725">
        <f>IFERROR($D$38/4,0)</f>
        <v>0</v>
      </c>
      <c r="F40" s="734">
        <v>0</v>
      </c>
      <c r="G40" s="720">
        <f t="shared" si="0"/>
        <v>0</v>
      </c>
      <c r="H40" s="720">
        <f t="shared" si="1"/>
        <v>0</v>
      </c>
      <c r="I40" s="657"/>
    </row>
    <row r="41" spans="1:9" ht="16.5" customHeight="1" x14ac:dyDescent="0.25">
      <c r="A41" s="735"/>
      <c r="B41" s="732" t="s">
        <v>1652</v>
      </c>
      <c r="C41" s="733">
        <f>EDATE($B$4,96)</f>
        <v>49039</v>
      </c>
      <c r="D41" s="730"/>
      <c r="E41" s="725">
        <f>IFERROR($D$38/4,0)</f>
        <v>0</v>
      </c>
      <c r="F41" s="724">
        <f>IFERROR('LP Return Illustration'!I18+'LP Return Illustration'!I19,0)</f>
        <v>0</v>
      </c>
      <c r="G41" s="720">
        <f t="shared" si="0"/>
        <v>0</v>
      </c>
      <c r="H41" s="720">
        <f t="shared" si="1"/>
        <v>0</v>
      </c>
      <c r="I41" s="657"/>
    </row>
    <row r="42" spans="1:9" ht="16.5" customHeight="1" x14ac:dyDescent="0.25">
      <c r="A42" s="721">
        <v>9</v>
      </c>
      <c r="B42" s="722" t="s">
        <v>1648</v>
      </c>
      <c r="C42" s="723">
        <f>EDATE($B$4,99)</f>
        <v>49130</v>
      </c>
      <c r="D42" s="724">
        <f>'LP Return Illustration'!J14</f>
        <v>0</v>
      </c>
      <c r="E42" s="725">
        <f>IFERROR($D$42/4,0)</f>
        <v>0</v>
      </c>
      <c r="F42" s="726">
        <v>0</v>
      </c>
      <c r="G42" s="727">
        <f t="shared" si="0"/>
        <v>0</v>
      </c>
      <c r="H42" s="727">
        <f t="shared" si="1"/>
        <v>0</v>
      </c>
      <c r="I42" s="728"/>
    </row>
    <row r="43" spans="1:9" ht="16.5" customHeight="1" x14ac:dyDescent="0.25">
      <c r="A43" s="729"/>
      <c r="B43" s="722" t="s">
        <v>1650</v>
      </c>
      <c r="C43" s="723">
        <f>EDATE($B$4,102)</f>
        <v>49222</v>
      </c>
      <c r="D43" s="730"/>
      <c r="E43" s="725">
        <f>IFERROR($D$42/4,0)</f>
        <v>0</v>
      </c>
      <c r="F43" s="726">
        <v>0</v>
      </c>
      <c r="G43" s="727">
        <f t="shared" si="0"/>
        <v>0</v>
      </c>
      <c r="H43" s="727">
        <f t="shared" si="1"/>
        <v>0</v>
      </c>
      <c r="I43" s="728"/>
    </row>
    <row r="44" spans="1:9" ht="16.5" customHeight="1" x14ac:dyDescent="0.25">
      <c r="A44" s="729"/>
      <c r="B44" s="722" t="s">
        <v>1651</v>
      </c>
      <c r="C44" s="723">
        <f>EDATE($B$4,105)</f>
        <v>49314</v>
      </c>
      <c r="D44" s="730"/>
      <c r="E44" s="725">
        <f>IFERROR($D$42/4,0)</f>
        <v>0</v>
      </c>
      <c r="F44" s="726">
        <v>0</v>
      </c>
      <c r="G44" s="727">
        <f t="shared" si="0"/>
        <v>0</v>
      </c>
      <c r="H44" s="727">
        <f t="shared" si="1"/>
        <v>0</v>
      </c>
      <c r="I44" s="728"/>
    </row>
    <row r="45" spans="1:9" ht="16.5" customHeight="1" x14ac:dyDescent="0.25">
      <c r="A45" s="729"/>
      <c r="B45" s="722" t="s">
        <v>1652</v>
      </c>
      <c r="C45" s="723">
        <f>EDATE($B$4,108)</f>
        <v>49404</v>
      </c>
      <c r="D45" s="730"/>
      <c r="E45" s="725">
        <f>IFERROR($D$42/4,0)</f>
        <v>0</v>
      </c>
      <c r="F45" s="724">
        <f>IFERROR('LP Return Illustration'!J18+'LP Return Illustration'!J19,0)</f>
        <v>0</v>
      </c>
      <c r="G45" s="727">
        <f t="shared" si="0"/>
        <v>0</v>
      </c>
      <c r="H45" s="727">
        <f t="shared" si="1"/>
        <v>0</v>
      </c>
      <c r="I45" s="728"/>
    </row>
    <row r="46" spans="1:9" ht="16.5" customHeight="1" x14ac:dyDescent="0.25">
      <c r="A46" s="731">
        <v>10</v>
      </c>
      <c r="B46" s="732" t="s">
        <v>1648</v>
      </c>
      <c r="C46" s="733">
        <f>EDATE($B$4,111)</f>
        <v>49495</v>
      </c>
      <c r="D46" s="724">
        <f>'LP Return Illustration'!K14</f>
        <v>0</v>
      </c>
      <c r="E46" s="725">
        <f>IFERROR($D$46/4,0)</f>
        <v>0</v>
      </c>
      <c r="F46" s="734">
        <v>0</v>
      </c>
      <c r="G46" s="720">
        <f t="shared" si="0"/>
        <v>0</v>
      </c>
      <c r="H46" s="720">
        <f t="shared" si="1"/>
        <v>0</v>
      </c>
      <c r="I46" s="657"/>
    </row>
    <row r="47" spans="1:9" ht="16.5" customHeight="1" x14ac:dyDescent="0.25">
      <c r="A47" s="735"/>
      <c r="B47" s="732" t="s">
        <v>1650</v>
      </c>
      <c r="C47" s="733">
        <f>EDATE($B$4,114)</f>
        <v>49587</v>
      </c>
      <c r="D47" s="730"/>
      <c r="E47" s="725">
        <f>IFERROR($D$46/4,0)</f>
        <v>0</v>
      </c>
      <c r="F47" s="734">
        <v>0</v>
      </c>
      <c r="G47" s="720">
        <f t="shared" si="0"/>
        <v>0</v>
      </c>
      <c r="H47" s="720">
        <f t="shared" si="1"/>
        <v>0</v>
      </c>
      <c r="I47" s="657"/>
    </row>
    <row r="48" spans="1:9" ht="16.5" customHeight="1" x14ac:dyDescent="0.25">
      <c r="A48" s="735"/>
      <c r="B48" s="732" t="s">
        <v>1651</v>
      </c>
      <c r="C48" s="733">
        <f>EDATE($B$4,117)</f>
        <v>49679</v>
      </c>
      <c r="D48" s="730"/>
      <c r="E48" s="725">
        <f>IFERROR($D$46/4,0)</f>
        <v>0</v>
      </c>
      <c r="F48" s="734">
        <v>0</v>
      </c>
      <c r="G48" s="720">
        <f t="shared" si="0"/>
        <v>0</v>
      </c>
      <c r="H48" s="720">
        <f t="shared" si="1"/>
        <v>0</v>
      </c>
      <c r="I48" s="657"/>
    </row>
    <row r="49" spans="1:9" ht="16.5" customHeight="1" x14ac:dyDescent="0.25">
      <c r="A49" s="735"/>
      <c r="B49" s="732" t="s">
        <v>1652</v>
      </c>
      <c r="C49" s="733">
        <f>EDATE($B$4,120)</f>
        <v>49770</v>
      </c>
      <c r="D49" s="730"/>
      <c r="E49" s="725">
        <f>IFERROR($D$46/4,0)</f>
        <v>0</v>
      </c>
      <c r="F49" s="724">
        <f>IFERROR('LP Return Illustration'!K18+'LP Return Illustration'!K19,0)</f>
        <v>0</v>
      </c>
      <c r="G49" s="720">
        <f t="shared" si="0"/>
        <v>0</v>
      </c>
      <c r="H49" s="720">
        <f t="shared" si="1"/>
        <v>0</v>
      </c>
      <c r="I49" s="657"/>
    </row>
    <row r="50" spans="1:9" ht="7.5" customHeight="1" x14ac:dyDescent="0.25"/>
    <row r="51" spans="1:9" ht="21.75" customHeight="1" x14ac:dyDescent="0.25">
      <c r="A51" s="860" t="s">
        <v>1653</v>
      </c>
      <c r="B51" s="833"/>
      <c r="C51" s="736"/>
      <c r="D51" s="736"/>
      <c r="E51" s="737">
        <f>SUM(E10:E49)</f>
        <v>0</v>
      </c>
      <c r="F51" s="737">
        <f>SUM(F10:F49)</f>
        <v>0</v>
      </c>
      <c r="G51" s="737">
        <f>SUM(G9:G49)</f>
        <v>0</v>
      </c>
      <c r="H51" s="737">
        <f>H49</f>
        <v>0</v>
      </c>
      <c r="I51" s="736"/>
    </row>
    <row r="52" spans="1:9" ht="7.5" customHeight="1" x14ac:dyDescent="0.25"/>
    <row r="53" spans="1:9" ht="19.5" customHeight="1" x14ac:dyDescent="0.25">
      <c r="A53" s="855" t="s">
        <v>1654</v>
      </c>
      <c r="B53" s="832"/>
      <c r="C53" s="832"/>
      <c r="D53" s="832"/>
      <c r="E53" s="832"/>
      <c r="F53" s="832"/>
      <c r="G53" s="832"/>
      <c r="H53" s="832"/>
      <c r="I53" s="833"/>
    </row>
    <row r="54" spans="1:9" ht="19.5" customHeight="1" x14ac:dyDescent="0.25">
      <c r="A54" s="862" t="s">
        <v>1655</v>
      </c>
      <c r="B54" s="832"/>
      <c r="C54" s="832"/>
      <c r="D54" s="832"/>
      <c r="E54" s="832"/>
      <c r="F54" s="832"/>
      <c r="G54" s="833"/>
      <c r="H54" s="738">
        <f>IFERROR(XIRR(G9:G49,C9:C49,0.1),0)</f>
        <v>0</v>
      </c>
      <c r="I54" s="739"/>
    </row>
    <row r="55" spans="1:9" ht="16.5" customHeight="1" x14ac:dyDescent="0.25">
      <c r="A55" s="861" t="s">
        <v>1656</v>
      </c>
      <c r="B55" s="832"/>
      <c r="C55" s="832"/>
      <c r="D55" s="832"/>
      <c r="E55" s="832"/>
      <c r="F55" s="832"/>
      <c r="G55" s="833"/>
      <c r="H55" s="740">
        <f>IFERROR('LP Return Illustration'!B28,0)</f>
        <v>0</v>
      </c>
      <c r="I55" s="627"/>
    </row>
    <row r="56" spans="1:9" ht="16.5" customHeight="1" x14ac:dyDescent="0.25">
      <c r="A56" s="859" t="s">
        <v>1657</v>
      </c>
      <c r="B56" s="832"/>
      <c r="C56" s="832"/>
      <c r="D56" s="832"/>
      <c r="E56" s="832"/>
      <c r="F56" s="832"/>
      <c r="G56" s="833"/>
      <c r="H56" s="741">
        <f>IFERROR(H54-H55,0)</f>
        <v>0</v>
      </c>
      <c r="I56" s="625"/>
    </row>
    <row r="57" spans="1:9" ht="16.5" customHeight="1" x14ac:dyDescent="0.25">
      <c r="A57" s="861" t="s">
        <v>1658</v>
      </c>
      <c r="B57" s="832"/>
      <c r="C57" s="832"/>
      <c r="D57" s="832"/>
      <c r="E57" s="832"/>
      <c r="F57" s="832"/>
      <c r="G57" s="833"/>
      <c r="H57" s="742">
        <f>IFERROR((H49+'LP Return Illustration'!$B$2)/'LP Return Illustration'!$B$2,0)</f>
        <v>0</v>
      </c>
      <c r="I57" s="627"/>
    </row>
    <row r="58" spans="1:9" ht="16.5" customHeight="1" x14ac:dyDescent="0.25">
      <c r="A58" s="859" t="s">
        <v>1659</v>
      </c>
      <c r="B58" s="832"/>
      <c r="C58" s="832"/>
      <c r="D58" s="832"/>
      <c r="E58" s="832"/>
      <c r="F58" s="832"/>
      <c r="G58" s="833"/>
      <c r="H58" s="743">
        <f>H49+ABS(G9)</f>
        <v>0</v>
      </c>
      <c r="I58" s="625"/>
    </row>
  </sheetData>
  <mergeCells count="14">
    <mergeCell ref="A1:I1"/>
    <mergeCell ref="C4:E4"/>
    <mergeCell ref="A54:G54"/>
    <mergeCell ref="A3:I3"/>
    <mergeCell ref="H4:I4"/>
    <mergeCell ref="A53:I53"/>
    <mergeCell ref="C7:E7"/>
    <mergeCell ref="A58:G58"/>
    <mergeCell ref="A56:G56"/>
    <mergeCell ref="C5:E5"/>
    <mergeCell ref="F7:I7"/>
    <mergeCell ref="A51:B51"/>
    <mergeCell ref="A55:G55"/>
    <mergeCell ref="A57:G57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70"/>
  <sheetViews>
    <sheetView zoomScale="115" zoomScaleNormal="115" workbookViewId="0"/>
  </sheetViews>
  <sheetFormatPr defaultColWidth="8.85546875" defaultRowHeight="15" x14ac:dyDescent="0.25"/>
  <cols>
    <col min="1" max="1" width="28" customWidth="1"/>
    <col min="2" max="4" width="18" customWidth="1"/>
    <col min="5" max="6" width="16" customWidth="1"/>
    <col min="9" max="9" width="28" customWidth="1"/>
    <col min="10" max="17" width="14.85546875" customWidth="1"/>
    <col min="18" max="19" width="15.85546875" customWidth="1"/>
  </cols>
  <sheetData>
    <row r="1" spans="1:19" ht="18" customHeight="1" x14ac:dyDescent="0.25">
      <c r="A1" s="801" t="s">
        <v>1660</v>
      </c>
      <c r="B1" s="798"/>
      <c r="C1" s="798"/>
      <c r="D1" s="798"/>
      <c r="E1" s="798"/>
      <c r="F1" s="798"/>
      <c r="I1" s="6"/>
      <c r="J1" s="744" t="str">
        <f>IF(ISNUMBER('Exit Strategy'!$C$5),IF(1='Exit Strategy'!$C$5,"REFINANCE!",IF(1=Scenarios!$F$86,"SALE!","")),IF(1=Scenarios!$F$86,"SALE!",""))</f>
        <v/>
      </c>
      <c r="K1" s="744" t="str">
        <f>IF(ISNUMBER('Exit Strategy'!$C$5),IF(2='Exit Strategy'!$C$5,"REFINANCE!",IF(2=Scenarios!$F$86,"SALE!","")),IF(2=Scenarios!$F$86,"SALE!",""))</f>
        <v/>
      </c>
      <c r="L1" s="744" t="str">
        <f>IF(ISNUMBER('Exit Strategy'!$C$5),IF(3='Exit Strategy'!$C$5,"REFINANCE!",IF(3=Scenarios!$F$86,"SALE!","")),IF(3=Scenarios!$F$86,"SALE!",""))</f>
        <v/>
      </c>
      <c r="M1" s="744" t="str">
        <f>IF(ISNUMBER('Exit Strategy'!$C$5),IF(4='Exit Strategy'!$C$5,"REFINANCE!",IF(4=Scenarios!$F$86,"SALE!","")),IF(4=Scenarios!$F$86,"SALE!",""))</f>
        <v/>
      </c>
      <c r="N1" s="744" t="str">
        <f>IF(ISNUMBER('Exit Strategy'!$C$5),IF(5='Exit Strategy'!$C$5,"REFINANCE!",IF(5=Scenarios!$F$86,"SALE!","")),IF(5=Scenarios!$F$86,"SALE!",""))</f>
        <v/>
      </c>
      <c r="O1" s="744" t="str">
        <f>IF(ISNUMBER('Exit Strategy'!$C$5),IF(6='Exit Strategy'!$C$5,"REFINANCE!",IF(6=Scenarios!$F$86,"SALE!","")),IF(6=Scenarios!$F$86,"SALE!",""))</f>
        <v/>
      </c>
      <c r="P1" s="744" t="str">
        <f>IF(ISNUMBER('Exit Strategy'!$C$5),IF(7='Exit Strategy'!$C$5,"REFINANCE!",IF(7=Scenarios!$F$86,"SALE!","")),IF(7=Scenarios!$F$86,"SALE!",""))</f>
        <v/>
      </c>
      <c r="Q1" s="744" t="str">
        <f>IF(ISNUMBER('Exit Strategy'!$C$5),IF(8='Exit Strategy'!$C$5,"REFINANCE!",IF(8=Scenarios!$F$86,"SALE!","")),IF(8=Scenarios!$F$86,"SALE!",""))</f>
        <v/>
      </c>
      <c r="R1" s="744" t="str">
        <f>IF(ISNUMBER('Exit Strategy'!$C$5),IF(9='Exit Strategy'!$C$5,"REFINANCE!",IF(9=Scenarios!$F$86,"SALE!","")),IF(9=Scenarios!$F$86,"SALE!",""))</f>
        <v/>
      </c>
      <c r="S1" s="744" t="str">
        <f>IF(ISNUMBER('Exit Strategy'!$C$5),IF(10='Exit Strategy'!$C$5,"REFINANCE!",IF(10=Scenarios!$F$86,"SALE!","")),IF(10=Scenarios!$F$86,"SALE!",""))</f>
        <v/>
      </c>
    </row>
    <row r="2" spans="1:19" ht="15" customHeight="1" x14ac:dyDescent="0.25">
      <c r="A2" s="806" t="s">
        <v>1661</v>
      </c>
      <c r="B2" s="798"/>
      <c r="C2" s="798"/>
      <c r="D2" s="798"/>
      <c r="E2" s="798"/>
      <c r="F2" s="798"/>
      <c r="I2" s="665" t="s">
        <v>1637</v>
      </c>
      <c r="J2" s="664">
        <v>1</v>
      </c>
      <c r="K2" s="664">
        <v>2</v>
      </c>
      <c r="L2" s="664">
        <v>3</v>
      </c>
      <c r="M2" s="664">
        <v>4</v>
      </c>
      <c r="N2" s="664">
        <v>5</v>
      </c>
      <c r="O2" s="664">
        <v>6</v>
      </c>
      <c r="P2" s="664">
        <v>7</v>
      </c>
      <c r="Q2" s="664">
        <v>8</v>
      </c>
      <c r="R2" s="664">
        <v>9</v>
      </c>
      <c r="S2" s="664">
        <v>10</v>
      </c>
    </row>
    <row r="3" spans="1:19" ht="15" customHeight="1" x14ac:dyDescent="0.25">
      <c r="A3" s="27" t="s">
        <v>69</v>
      </c>
      <c r="B3" s="339" t="s">
        <v>1662</v>
      </c>
      <c r="C3" s="14" t="s">
        <v>101</v>
      </c>
      <c r="D3" s="361" t="s">
        <v>102</v>
      </c>
      <c r="E3" s="27" t="s">
        <v>178</v>
      </c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</row>
    <row r="4" spans="1:19" ht="15" customHeight="1" x14ac:dyDescent="0.25">
      <c r="A4" s="1" t="s">
        <v>1663</v>
      </c>
      <c r="B4" s="246">
        <f>Scenarios!F141</f>
        <v>0</v>
      </c>
      <c r="C4" s="246">
        <f>Scenarios!F148</f>
        <v>0</v>
      </c>
      <c r="D4" s="246">
        <f>Scenarios!F155</f>
        <v>0</v>
      </c>
      <c r="E4" s="227">
        <f>B4+C4+D4</f>
        <v>0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</row>
    <row r="5" spans="1:19" ht="15" customHeight="1" x14ac:dyDescent="0.25">
      <c r="A5" s="4" t="s">
        <v>1664</v>
      </c>
      <c r="B5" s="745">
        <f>Scenarios!F143</f>
        <v>0</v>
      </c>
      <c r="C5" s="745">
        <f>Scenarios!F150</f>
        <v>0</v>
      </c>
      <c r="D5" s="745">
        <f>Scenarios!F157</f>
        <v>0</v>
      </c>
      <c r="E5" s="746" t="s">
        <v>104</v>
      </c>
      <c r="I5" s="663" t="s">
        <v>1665</v>
      </c>
      <c r="J5" s="737">
        <f>IFERROR(Scenarios!$F$141,0)</f>
        <v>0</v>
      </c>
      <c r="K5" s="736"/>
      <c r="L5" s="736"/>
      <c r="M5" s="736"/>
      <c r="N5" s="736"/>
      <c r="O5" s="736"/>
      <c r="P5" s="736"/>
      <c r="Q5" s="736"/>
      <c r="R5" s="736"/>
      <c r="S5" s="736"/>
    </row>
    <row r="6" spans="1:19" ht="15" customHeight="1" x14ac:dyDescent="0.25">
      <c r="A6" s="1" t="s">
        <v>1377</v>
      </c>
      <c r="B6" s="747">
        <f>Scenarios!F142</f>
        <v>0</v>
      </c>
      <c r="C6" s="747">
        <f>Scenarios!F149</f>
        <v>0</v>
      </c>
      <c r="D6" s="747">
        <f>Scenarios!F156</f>
        <v>0</v>
      </c>
      <c r="E6" s="748" t="s">
        <v>104</v>
      </c>
      <c r="I6" s="749" t="s">
        <v>1666</v>
      </c>
      <c r="J6" s="658" t="s">
        <v>1667</v>
      </c>
      <c r="K6" s="750"/>
      <c r="L6" s="750"/>
      <c r="M6" s="750"/>
      <c r="N6" s="750"/>
      <c r="O6" s="750"/>
      <c r="P6" s="750"/>
      <c r="Q6" s="750"/>
      <c r="R6" s="750"/>
      <c r="S6" s="750"/>
    </row>
    <row r="7" spans="1:19" ht="15" customHeight="1" x14ac:dyDescent="0.25">
      <c r="A7" s="4" t="s">
        <v>1668</v>
      </c>
      <c r="B7" s="745">
        <f>Scenarios!F144</f>
        <v>0</v>
      </c>
      <c r="C7" s="745">
        <f>Scenarios!F151</f>
        <v>0</v>
      </c>
      <c r="D7" s="745">
        <f>Scenarios!F158</f>
        <v>0</v>
      </c>
      <c r="E7" s="746" t="s">
        <v>104</v>
      </c>
      <c r="I7" s="625" t="s">
        <v>1669</v>
      </c>
      <c r="J7" s="743">
        <f>IF(1&lt;=IF($J$6="YES",IF(AND(ISNUMBER('Exit Strategy'!$C$5),'Exit Strategy'!$C$5&gt;0),'Exit Strategy'!$C$5,Scenarios!$F$86),Scenarios!$F$86),IFERROR(Scenarios!$F$141,0),0)</f>
        <v>0</v>
      </c>
      <c r="K7" s="743">
        <f>IF(2&lt;=IF($J$6="YES",IF(AND(ISNUMBER('Exit Strategy'!$C$5),'Exit Strategy'!$C$5&gt;0),'Exit Strategy'!$C$5,Scenarios!$F$86),Scenarios!$F$86),J11,0)</f>
        <v>0</v>
      </c>
      <c r="L7" s="743">
        <f>IF(3&lt;=IF($J$6="YES",IF(AND(ISNUMBER('Exit Strategy'!$C$5),'Exit Strategy'!$C$5&gt;0),'Exit Strategy'!$C$5,Scenarios!$F$86),Scenarios!$F$86),K11,0)</f>
        <v>0</v>
      </c>
      <c r="M7" s="743">
        <f>IF(4&lt;=IF($J$6="YES",IF(AND(ISNUMBER('Exit Strategy'!$C$5),'Exit Strategy'!$C$5&gt;0),'Exit Strategy'!$C$5,Scenarios!$F$86),Scenarios!$F$86),L11,0)</f>
        <v>0</v>
      </c>
      <c r="N7" s="743">
        <f>IF(5&lt;=IF($J$6="YES",IF(AND(ISNUMBER('Exit Strategy'!$C$5),'Exit Strategy'!$C$5&gt;0),'Exit Strategy'!$C$5,Scenarios!$F$86),Scenarios!$F$86),M11,0)</f>
        <v>0</v>
      </c>
      <c r="O7" s="743">
        <f>IF(6&lt;=IF($J$6="YES",IF(AND(ISNUMBER('Exit Strategy'!$C$5),'Exit Strategy'!$C$5&gt;0),'Exit Strategy'!$C$5,Scenarios!$F$86),Scenarios!$F$86),N11,0)</f>
        <v>0</v>
      </c>
      <c r="P7" s="743">
        <f>IF(7&lt;=IF($J$6="YES",IF(AND(ISNUMBER('Exit Strategy'!$C$5),'Exit Strategy'!$C$5&gt;0),'Exit Strategy'!$C$5,Scenarios!$F$86),Scenarios!$F$86),O11,0)</f>
        <v>0</v>
      </c>
      <c r="Q7" s="743">
        <f>IF(8&lt;=IF($J$6="YES",IF(AND(ISNUMBER('Exit Strategy'!$C$5),'Exit Strategy'!$C$5&gt;0),'Exit Strategy'!$C$5,Scenarios!$F$86),Scenarios!$F$86),P11,0)</f>
        <v>0</v>
      </c>
      <c r="R7" s="743">
        <f>IF(9&lt;=IF($J$6="YES",IF(AND(ISNUMBER('Exit Strategy'!$C$5),'Exit Strategy'!$C$5&gt;0),'Exit Strategy'!$C$5,Scenarios!$F$86),Scenarios!$F$86),Q11,0)</f>
        <v>0</v>
      </c>
      <c r="S7" s="743">
        <f>IF(10&lt;=IF($J$6="YES",IF(AND(ISNUMBER('Exit Strategy'!$C$5),'Exit Strategy'!$C$5&gt;0),'Exit Strategy'!$C$5,Scenarios!$F$86),Scenarios!$F$86),R11,0)</f>
        <v>0</v>
      </c>
    </row>
    <row r="8" spans="1:19" ht="15" customHeight="1" x14ac:dyDescent="0.25">
      <c r="A8" s="1" t="s">
        <v>1670</v>
      </c>
      <c r="B8" s="247">
        <f>Scenarios!F145</f>
        <v>0</v>
      </c>
      <c r="C8" s="247">
        <f>Scenarios!F152</f>
        <v>0</v>
      </c>
      <c r="D8" s="247">
        <f>Scenarios!F159</f>
        <v>0</v>
      </c>
      <c r="E8" s="746" t="s">
        <v>104</v>
      </c>
      <c r="I8" s="627" t="s">
        <v>1671</v>
      </c>
      <c r="J8" s="751">
        <f>IF(1&gt;IF($J$6="YES",IF(AND(ISNUMBER('Exit Strategy'!$C$5),'Exit Strategy'!$C$5&gt;0),'Exit Strategy'!$C$5,Scenarios!$F$86),Scenarios!$F$86),0,IFERROR(IF(AND(ISNUMBER(Scenarios!$F$145),Scenarios!$F$145&gt;0,1*12&lt;=Scenarios!$F$145),0,-CUMPRINC(Scenarios!$F$142/12,Scenarios!$F$143*12,Scenarios!$F$141,(1-1)*12+1,1*12,0)),0))</f>
        <v>0</v>
      </c>
      <c r="K8" s="751">
        <f>IF(2&gt;IF($J$6="YES",IF(AND(ISNUMBER('Exit Strategy'!$C$5),'Exit Strategy'!$C$5&gt;0),'Exit Strategy'!$C$5,Scenarios!$F$86),Scenarios!$F$86),0,IFERROR(IF(AND(ISNUMBER(Scenarios!$F$145),Scenarios!$F$145&gt;0,2*12&lt;=Scenarios!$F$145),0,-CUMPRINC(Scenarios!$F$142/12,Scenarios!$F$143*12,Scenarios!$F$141,(2-1)*12+1,2*12,0)),0))</f>
        <v>0</v>
      </c>
      <c r="L8" s="751">
        <f>IF(3&gt;IF($J$6="YES",IF(AND(ISNUMBER('Exit Strategy'!$C$5),'Exit Strategy'!$C$5&gt;0),'Exit Strategy'!$C$5,Scenarios!$F$86),Scenarios!$F$86),0,IFERROR(IF(AND(ISNUMBER(Scenarios!$F$145),Scenarios!$F$145&gt;0,3*12&lt;=Scenarios!$F$145),0,-CUMPRINC(Scenarios!$F$142/12,Scenarios!$F$143*12,Scenarios!$F$141,(3-1)*12+1,3*12,0)),0))</f>
        <v>0</v>
      </c>
      <c r="M8" s="751">
        <f>IF(4&gt;IF($J$6="YES",IF(AND(ISNUMBER('Exit Strategy'!$C$5),'Exit Strategy'!$C$5&gt;0),'Exit Strategy'!$C$5,Scenarios!$F$86),Scenarios!$F$86),0,IFERROR(IF(AND(ISNUMBER(Scenarios!$F$145),Scenarios!$F$145&gt;0,4*12&lt;=Scenarios!$F$145),0,-CUMPRINC(Scenarios!$F$142/12,Scenarios!$F$143*12,Scenarios!$F$141,(4-1)*12+1,4*12,0)),0))</f>
        <v>0</v>
      </c>
      <c r="N8" s="751">
        <f>IF(5&gt;IF($J$6="YES",IF(AND(ISNUMBER('Exit Strategy'!$C$5),'Exit Strategy'!$C$5&gt;0),'Exit Strategy'!$C$5,Scenarios!$F$86),Scenarios!$F$86),0,IFERROR(IF(AND(ISNUMBER(Scenarios!$F$145),Scenarios!$F$145&gt;0,5*12&lt;=Scenarios!$F$145),0,-CUMPRINC(Scenarios!$F$142/12,Scenarios!$F$143*12,Scenarios!$F$141,(5-1)*12+1,5*12,0)),0))</f>
        <v>0</v>
      </c>
      <c r="O8" s="751">
        <f>IF(6&gt;IF($J$6="YES",IF(AND(ISNUMBER('Exit Strategy'!$C$5),'Exit Strategy'!$C$5&gt;0),'Exit Strategy'!$C$5,Scenarios!$F$86),Scenarios!$F$86),0,IFERROR(IF(AND(ISNUMBER(Scenarios!$F$145),Scenarios!$F$145&gt;0,6*12&lt;=Scenarios!$F$145),0,-CUMPRINC(Scenarios!$F$142/12,Scenarios!$F$143*12,Scenarios!$F$141,(6-1)*12+1,6*12,0)),0))</f>
        <v>0</v>
      </c>
      <c r="P8" s="751">
        <f>IF(7&gt;IF($J$6="YES",IF(AND(ISNUMBER('Exit Strategy'!$C$5),'Exit Strategy'!$C$5&gt;0),'Exit Strategy'!$C$5,Scenarios!$F$86),Scenarios!$F$86),0,IFERROR(IF(AND(ISNUMBER(Scenarios!$F$145),Scenarios!$F$145&gt;0,7*12&lt;=Scenarios!$F$145),0,-CUMPRINC(Scenarios!$F$142/12,Scenarios!$F$143*12,Scenarios!$F$141,(7-1)*12+1,7*12,0)),0))</f>
        <v>0</v>
      </c>
      <c r="Q8" s="751">
        <f>IF(8&gt;IF($J$6="YES",IF(AND(ISNUMBER('Exit Strategy'!$C$5),'Exit Strategy'!$C$5&gt;0),'Exit Strategy'!$C$5,Scenarios!$F$86),Scenarios!$F$86),0,IFERROR(IF(AND(ISNUMBER(Scenarios!$F$145),Scenarios!$F$145&gt;0,8*12&lt;=Scenarios!$F$145),0,-CUMPRINC(Scenarios!$F$142/12,Scenarios!$F$143*12,Scenarios!$F$141,(8-1)*12+1,8*12,0)),0))</f>
        <v>0</v>
      </c>
      <c r="R8" s="751">
        <f>IF(9&gt;IF($J$6="YES",IF(AND(ISNUMBER('Exit Strategy'!$C$5),'Exit Strategy'!$C$5&gt;0),'Exit Strategy'!$C$5,Scenarios!$F$86),Scenarios!$F$86),0,IFERROR(IF(AND(ISNUMBER(Scenarios!$F$145),Scenarios!$F$145&gt;0,9*12&lt;=Scenarios!$F$145),0,-CUMPRINC(Scenarios!$F$142/12,Scenarios!$F$143*12,Scenarios!$F$141,(9-1)*12+1,9*12,0)),0))</f>
        <v>0</v>
      </c>
      <c r="S8" s="751">
        <f>IF(10&gt;IF($J$6="YES",IF(AND(ISNUMBER('Exit Strategy'!$C$5),'Exit Strategy'!$C$5&gt;0),'Exit Strategy'!$C$5,Scenarios!$F$86),Scenarios!$F$86),0,IFERROR(IF(AND(ISNUMBER(Scenarios!$F$145),Scenarios!$F$145&gt;0,10*12&lt;=Scenarios!$F$145),0,-CUMPRINC(Scenarios!$F$142/12,Scenarios!$F$143*12,Scenarios!$F$141,(10-1)*12+1,10*12,0)),0))</f>
        <v>0</v>
      </c>
    </row>
    <row r="9" spans="1:19" ht="15" customHeight="1" x14ac:dyDescent="0.25">
      <c r="A9" s="4" t="s">
        <v>1672</v>
      </c>
      <c r="B9" s="752">
        <f>Scenarios!F146</f>
        <v>0</v>
      </c>
      <c r="C9" s="752">
        <f>Scenarios!F153</f>
        <v>0</v>
      </c>
      <c r="D9" s="752">
        <f>Scenarios!F160</f>
        <v>0</v>
      </c>
      <c r="E9" s="748" t="s">
        <v>104</v>
      </c>
      <c r="I9" s="625" t="s">
        <v>1673</v>
      </c>
      <c r="J9" s="743">
        <f>IF(1&gt;IF($J$6="YES",IF(AND(ISNUMBER('Exit Strategy'!$C$5),'Exit Strategy'!$C$5&gt;0),'Exit Strategy'!$C$5,Scenarios!$F$86),Scenarios!$F$86),0,IFERROR(IF(AND(ISNUMBER(Scenarios!$F$145),Scenarios!$F$145&gt;0,1*12&lt;=Scenarios!$F$145),Scenarios!$F$141*Scenarios!$F$142,-CUMIPMT(Scenarios!$F$142/12,Scenarios!$F$143*12,Scenarios!$F$141,(1-1)*12+1,1*12,0)),0))</f>
        <v>0</v>
      </c>
      <c r="K9" s="743">
        <f>IF(2&gt;IF($J$6="YES",IF(AND(ISNUMBER('Exit Strategy'!$C$5),'Exit Strategy'!$C$5&gt;0),'Exit Strategy'!$C$5,Scenarios!$F$86),Scenarios!$F$86),0,IFERROR(IF(AND(ISNUMBER(Scenarios!$F$145),Scenarios!$F$145&gt;0,2*12&lt;=Scenarios!$F$145),Scenarios!$F$141*Scenarios!$F$142,-CUMIPMT(Scenarios!$F$142/12,Scenarios!$F$143*12,Scenarios!$F$141,(2-1)*12+1,2*12,0)),0))</f>
        <v>0</v>
      </c>
      <c r="L9" s="743">
        <f>IF(3&gt;IF($J$6="YES",IF(AND(ISNUMBER('Exit Strategy'!$C$5),'Exit Strategy'!$C$5&gt;0),'Exit Strategy'!$C$5,Scenarios!$F$86),Scenarios!$F$86),0,IFERROR(IF(AND(ISNUMBER(Scenarios!$F$145),Scenarios!$F$145&gt;0,3*12&lt;=Scenarios!$F$145),Scenarios!$F$141*Scenarios!$F$142,-CUMIPMT(Scenarios!$F$142/12,Scenarios!$F$143*12,Scenarios!$F$141,(3-1)*12+1,3*12,0)),0))</f>
        <v>0</v>
      </c>
      <c r="M9" s="743">
        <f>IF(4&gt;IF($J$6="YES",IF(AND(ISNUMBER('Exit Strategy'!$C$5),'Exit Strategy'!$C$5&gt;0),'Exit Strategy'!$C$5,Scenarios!$F$86),Scenarios!$F$86),0,IFERROR(IF(AND(ISNUMBER(Scenarios!$F$145),Scenarios!$F$145&gt;0,4*12&lt;=Scenarios!$F$145),Scenarios!$F$141*Scenarios!$F$142,-CUMIPMT(Scenarios!$F$142/12,Scenarios!$F$143*12,Scenarios!$F$141,(4-1)*12+1,4*12,0)),0))</f>
        <v>0</v>
      </c>
      <c r="N9" s="743">
        <f>IF(5&gt;IF($J$6="YES",IF(AND(ISNUMBER('Exit Strategy'!$C$5),'Exit Strategy'!$C$5&gt;0),'Exit Strategy'!$C$5,Scenarios!$F$86),Scenarios!$F$86),0,IFERROR(IF(AND(ISNUMBER(Scenarios!$F$145),Scenarios!$F$145&gt;0,5*12&lt;=Scenarios!$F$145),Scenarios!$F$141*Scenarios!$F$142,-CUMIPMT(Scenarios!$F$142/12,Scenarios!$F$143*12,Scenarios!$F$141,(5-1)*12+1,5*12,0)),0))</f>
        <v>0</v>
      </c>
      <c r="O9" s="743">
        <f>IF(6&gt;IF($J$6="YES",IF(AND(ISNUMBER('Exit Strategy'!$C$5),'Exit Strategy'!$C$5&gt;0),'Exit Strategy'!$C$5,Scenarios!$F$86),Scenarios!$F$86),0,IFERROR(IF(AND(ISNUMBER(Scenarios!$F$145),Scenarios!$F$145&gt;0,6*12&lt;=Scenarios!$F$145),Scenarios!$F$141*Scenarios!$F$142,-CUMIPMT(Scenarios!$F$142/12,Scenarios!$F$143*12,Scenarios!$F$141,(6-1)*12+1,6*12,0)),0))</f>
        <v>0</v>
      </c>
      <c r="P9" s="743">
        <f>IF(7&gt;IF($J$6="YES",IF(AND(ISNUMBER('Exit Strategy'!$C$5),'Exit Strategy'!$C$5&gt;0),'Exit Strategy'!$C$5,Scenarios!$F$86),Scenarios!$F$86),0,IFERROR(IF(AND(ISNUMBER(Scenarios!$F$145),Scenarios!$F$145&gt;0,7*12&lt;=Scenarios!$F$145),Scenarios!$F$141*Scenarios!$F$142,-CUMIPMT(Scenarios!$F$142/12,Scenarios!$F$143*12,Scenarios!$F$141,(7-1)*12+1,7*12,0)),0))</f>
        <v>0</v>
      </c>
      <c r="Q9" s="743">
        <f>IF(8&gt;IF($J$6="YES",IF(AND(ISNUMBER('Exit Strategy'!$C$5),'Exit Strategy'!$C$5&gt;0),'Exit Strategy'!$C$5,Scenarios!$F$86),Scenarios!$F$86),0,IFERROR(IF(AND(ISNUMBER(Scenarios!$F$145),Scenarios!$F$145&gt;0,8*12&lt;=Scenarios!$F$145),Scenarios!$F$141*Scenarios!$F$142,-CUMIPMT(Scenarios!$F$142/12,Scenarios!$F$143*12,Scenarios!$F$141,(8-1)*12+1,8*12,0)),0))</f>
        <v>0</v>
      </c>
      <c r="R9" s="743">
        <f>IF(9&gt;IF($J$6="YES",IF(AND(ISNUMBER('Exit Strategy'!$C$5),'Exit Strategy'!$C$5&gt;0),'Exit Strategy'!$C$5,Scenarios!$F$86),Scenarios!$F$86),0,IFERROR(IF(AND(ISNUMBER(Scenarios!$F$145),Scenarios!$F$145&gt;0,9*12&lt;=Scenarios!$F$145),Scenarios!$F$141*Scenarios!$F$142,-CUMIPMT(Scenarios!$F$142/12,Scenarios!$F$143*12,Scenarios!$F$141,(9-1)*12+1,9*12,0)),0))</f>
        <v>0</v>
      </c>
      <c r="S9" s="743">
        <f>IF(10&gt;IF($J$6="YES",IF(AND(ISNUMBER('Exit Strategy'!$C$5),'Exit Strategy'!$C$5&gt;0),'Exit Strategy'!$C$5,Scenarios!$F$86),Scenarios!$F$86),0,IFERROR(IF(AND(ISNUMBER(Scenarios!$F$145),Scenarios!$F$145&gt;0,10*12&lt;=Scenarios!$F$145),Scenarios!$F$141*Scenarios!$F$142,-CUMIPMT(Scenarios!$F$142/12,Scenarios!$F$143*12,Scenarios!$F$141,(10-1)*12+1,10*12,0)),0))</f>
        <v>0</v>
      </c>
    </row>
    <row r="10" spans="1:19" ht="15" customHeight="1" x14ac:dyDescent="0.25">
      <c r="A10" s="1" t="s">
        <v>1674</v>
      </c>
      <c r="B10" s="254">
        <f>B4*B9</f>
        <v>0</v>
      </c>
      <c r="C10" s="254">
        <f>C4*C9</f>
        <v>0</v>
      </c>
      <c r="D10" s="254">
        <f>D4*D9</f>
        <v>0</v>
      </c>
      <c r="E10" s="227">
        <f>B10+C10+D10</f>
        <v>0</v>
      </c>
      <c r="I10" s="753" t="s">
        <v>1675</v>
      </c>
      <c r="J10" s="754">
        <f t="shared" ref="J10:S10" si="0">J8+J9</f>
        <v>0</v>
      </c>
      <c r="K10" s="754">
        <f t="shared" si="0"/>
        <v>0</v>
      </c>
      <c r="L10" s="754">
        <f t="shared" si="0"/>
        <v>0</v>
      </c>
      <c r="M10" s="754">
        <f t="shared" si="0"/>
        <v>0</v>
      </c>
      <c r="N10" s="754">
        <f t="shared" si="0"/>
        <v>0</v>
      </c>
      <c r="O10" s="754">
        <f t="shared" si="0"/>
        <v>0</v>
      </c>
      <c r="P10" s="754">
        <f t="shared" si="0"/>
        <v>0</v>
      </c>
      <c r="Q10" s="754">
        <f t="shared" si="0"/>
        <v>0</v>
      </c>
      <c r="R10" s="754">
        <f t="shared" si="0"/>
        <v>0</v>
      </c>
      <c r="S10" s="754">
        <f t="shared" si="0"/>
        <v>0</v>
      </c>
    </row>
    <row r="11" spans="1:19" ht="15" customHeight="1" x14ac:dyDescent="0.25">
      <c r="A11" s="4" t="s">
        <v>1676</v>
      </c>
      <c r="B11" s="255">
        <f>IFERROR(IF(B4=0,0,IF(B8&gt;0,B4*B6,B12*12)),0)</f>
        <v>0</v>
      </c>
      <c r="C11" s="255">
        <f>IFERROR(IF(C4=0,0,IF(C8&gt;0,C4*C6,C12*12)),0)</f>
        <v>0</v>
      </c>
      <c r="D11" s="255">
        <f>IFERROR(IF(D4=0,0,IF(D8&gt;0,D4*D6,D12*12)),0)</f>
        <v>0</v>
      </c>
      <c r="E11" s="227">
        <f>B11+C11+D11</f>
        <v>0</v>
      </c>
      <c r="I11" s="755" t="s">
        <v>1677</v>
      </c>
      <c r="J11" s="756">
        <f t="shared" ref="J11:S11" si="1">J7-J8</f>
        <v>0</v>
      </c>
      <c r="K11" s="756">
        <f t="shared" si="1"/>
        <v>0</v>
      </c>
      <c r="L11" s="756">
        <f t="shared" si="1"/>
        <v>0</v>
      </c>
      <c r="M11" s="756">
        <f t="shared" si="1"/>
        <v>0</v>
      </c>
      <c r="N11" s="756">
        <f t="shared" si="1"/>
        <v>0</v>
      </c>
      <c r="O11" s="756">
        <f t="shared" si="1"/>
        <v>0</v>
      </c>
      <c r="P11" s="756">
        <f t="shared" si="1"/>
        <v>0</v>
      </c>
      <c r="Q11" s="756">
        <f t="shared" si="1"/>
        <v>0</v>
      </c>
      <c r="R11" s="756">
        <f t="shared" si="1"/>
        <v>0</v>
      </c>
      <c r="S11" s="756">
        <f t="shared" si="1"/>
        <v>0</v>
      </c>
    </row>
    <row r="12" spans="1:19" ht="15" customHeight="1" x14ac:dyDescent="0.25">
      <c r="A12" s="1" t="s">
        <v>1678</v>
      </c>
      <c r="B12" s="254">
        <f>IFERROR(IF(B4=0,0,-PMT(B6/12,B5*12,B4)),0)</f>
        <v>0</v>
      </c>
      <c r="C12" s="254">
        <f>IFERROR(IF(C4=0,0,-PMT(C6/12,C5*12,C4)),0)</f>
        <v>0</v>
      </c>
      <c r="D12" s="254">
        <f>IFERROR(IF(D4=0,0,-PMT(D6/12,D5*12,D4)),0)</f>
        <v>0</v>
      </c>
      <c r="E12" s="227">
        <f>B12+C12+D12</f>
        <v>0</v>
      </c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</row>
    <row r="13" spans="1:19" ht="15" customHeight="1" x14ac:dyDescent="0.25">
      <c r="A13" s="4" t="s">
        <v>1679</v>
      </c>
      <c r="B13" s="255">
        <f>IFERROR(B4*B6,0)</f>
        <v>0</v>
      </c>
      <c r="C13" s="255">
        <f>IFERROR(C4*C6,0)</f>
        <v>0</v>
      </c>
      <c r="D13" s="255">
        <f>IFERROR(D4*D6,0)</f>
        <v>0</v>
      </c>
      <c r="E13" s="227">
        <f>B13+C13+D13</f>
        <v>0</v>
      </c>
      <c r="I13" s="757" t="s">
        <v>1680</v>
      </c>
      <c r="J13" s="758">
        <f>IFERROR(Scenarios!$F$148,0)</f>
        <v>0</v>
      </c>
      <c r="K13" s="759"/>
      <c r="L13" s="759"/>
      <c r="M13" s="759"/>
      <c r="N13" s="759"/>
      <c r="O13" s="759"/>
      <c r="P13" s="759"/>
      <c r="Q13" s="759"/>
      <c r="R13" s="759"/>
      <c r="S13" s="759"/>
    </row>
    <row r="14" spans="1:19" ht="15" customHeight="1" x14ac:dyDescent="0.25">
      <c r="A14" s="1" t="s">
        <v>1681</v>
      </c>
      <c r="B14" s="254">
        <f>IFERROR(ABS(B11)-B13,0)</f>
        <v>0</v>
      </c>
      <c r="C14" s="254">
        <f>IFERROR(ABS(C11)-C13,0)</f>
        <v>0</v>
      </c>
      <c r="D14" s="254">
        <f>IFERROR(ABS(D11)-D13,0)</f>
        <v>0</v>
      </c>
      <c r="E14" s="227">
        <f>B14+C14+D14</f>
        <v>0</v>
      </c>
      <c r="I14" s="749" t="s">
        <v>1666</v>
      </c>
      <c r="J14" s="658" t="s">
        <v>421</v>
      </c>
      <c r="K14" s="750"/>
      <c r="L14" s="750"/>
      <c r="M14" s="750"/>
      <c r="N14" s="750"/>
      <c r="O14" s="750"/>
      <c r="P14" s="750"/>
      <c r="Q14" s="750"/>
      <c r="R14" s="750"/>
      <c r="S14" s="750"/>
    </row>
    <row r="15" spans="1:19" ht="16.5" customHeight="1" x14ac:dyDescent="0.25">
      <c r="I15" s="625" t="s">
        <v>1669</v>
      </c>
      <c r="J15" s="743">
        <f>IF(1&lt;=IF($J$14="YES",IF(AND(ISNUMBER('Exit Strategy'!$C$5),'Exit Strategy'!$C$5&gt;0),'Exit Strategy'!$C$5,Scenarios!$F$86),Scenarios!$F$86),IFERROR(Scenarios!$F$148,0),0)</f>
        <v>0</v>
      </c>
      <c r="K15" s="743">
        <f>IF(2&lt;=IF($J$14="YES",IF(AND(ISNUMBER('Exit Strategy'!$C$5),'Exit Strategy'!$C$5&gt;0),'Exit Strategy'!$C$5,Scenarios!$F$86),Scenarios!$F$86),J19,0)</f>
        <v>0</v>
      </c>
      <c r="L15" s="743">
        <f>IF(3&lt;=IF($J$14="YES",IF(AND(ISNUMBER('Exit Strategy'!$C$5),'Exit Strategy'!$C$5&gt;0),'Exit Strategy'!$C$5,Scenarios!$F$86),Scenarios!$F$86),K19,0)</f>
        <v>0</v>
      </c>
      <c r="M15" s="743">
        <f>IF(4&lt;=IF($J$14="YES",IF(AND(ISNUMBER('Exit Strategy'!$C$5),'Exit Strategy'!$C$5&gt;0),'Exit Strategy'!$C$5,Scenarios!$F$86),Scenarios!$F$86),L19,0)</f>
        <v>0</v>
      </c>
      <c r="N15" s="743">
        <f>IF(5&lt;=IF($J$14="YES",IF(AND(ISNUMBER('Exit Strategy'!$C$5),'Exit Strategy'!$C$5&gt;0),'Exit Strategy'!$C$5,Scenarios!$F$86),Scenarios!$F$86),M19,0)</f>
        <v>0</v>
      </c>
      <c r="O15" s="743">
        <f>IF(6&lt;=IF($J$14="YES",IF(AND(ISNUMBER('Exit Strategy'!$C$5),'Exit Strategy'!$C$5&gt;0),'Exit Strategy'!$C$5,Scenarios!$F$86),Scenarios!$F$86),N19,0)</f>
        <v>0</v>
      </c>
      <c r="P15" s="743">
        <f>IF(7&lt;=IF($J$14="YES",IF(AND(ISNUMBER('Exit Strategy'!$C$5),'Exit Strategy'!$C$5&gt;0),'Exit Strategy'!$C$5,Scenarios!$F$86),Scenarios!$F$86),O19,0)</f>
        <v>0</v>
      </c>
      <c r="Q15" s="743">
        <f>IF(8&lt;=IF($J$14="YES",IF(AND(ISNUMBER('Exit Strategy'!$C$5),'Exit Strategy'!$C$5&gt;0),'Exit Strategy'!$C$5,Scenarios!$F$86),Scenarios!$F$86),P19,0)</f>
        <v>0</v>
      </c>
      <c r="R15" s="743">
        <f>IF(9&lt;=IF($J$14="YES",IF(AND(ISNUMBER('Exit Strategy'!$C$5),'Exit Strategy'!$C$5&gt;0),'Exit Strategy'!$C$5,Scenarios!$F$86),Scenarios!$F$86),Q19,0)</f>
        <v>0</v>
      </c>
      <c r="S15" s="743">
        <f>IF(10&lt;=IF($J$14="YES",IF(AND(ISNUMBER('Exit Strategy'!$C$5),'Exit Strategy'!$C$5&gt;0),'Exit Strategy'!$C$5,Scenarios!$F$86),Scenarios!$F$86),R19,0)</f>
        <v>0</v>
      </c>
    </row>
    <row r="16" spans="1:19" ht="16.5" customHeight="1" x14ac:dyDescent="0.25">
      <c r="I16" s="627" t="s">
        <v>1671</v>
      </c>
      <c r="J16" s="751">
        <f>IF(1&gt;IF($J$14="YES",IF(AND(ISNUMBER('Exit Strategy'!$C$5),'Exit Strategy'!$C$5&gt;0),'Exit Strategy'!$C$5,Scenarios!$F$86),Scenarios!$F$86),0,IFERROR(IF(AND(ISNUMBER(Scenarios!$F$152),Scenarios!$F$152&gt;0,1*12&lt;=Scenarios!$F$152),0,-CUMPRINC(Scenarios!$F$149/12,Scenarios!$F$150*12,Scenarios!$F$148,(1-1)*12+1,1*12,0)),0))</f>
        <v>0</v>
      </c>
      <c r="K16" s="751">
        <f>IF(2&gt;IF($J$14="YES",IF(AND(ISNUMBER('Exit Strategy'!$C$5),'Exit Strategy'!$C$5&gt;0),'Exit Strategy'!$C$5,Scenarios!$F$86),Scenarios!$F$86),0,IFERROR(IF(AND(ISNUMBER(Scenarios!$F$152),Scenarios!$F$152&gt;0,2*12&lt;=Scenarios!$F$152),0,-CUMPRINC(Scenarios!$F$149/12,Scenarios!$F$150*12,Scenarios!$F$148,(2-1)*12+1,2*12,0)),0))</f>
        <v>0</v>
      </c>
      <c r="L16" s="751">
        <f>IF(3&gt;IF($J$14="YES",IF(AND(ISNUMBER('Exit Strategy'!$C$5),'Exit Strategy'!$C$5&gt;0),'Exit Strategy'!$C$5,Scenarios!$F$86),Scenarios!$F$86),0,IFERROR(IF(AND(ISNUMBER(Scenarios!$F$152),Scenarios!$F$152&gt;0,3*12&lt;=Scenarios!$F$152),0,-CUMPRINC(Scenarios!$F$149/12,Scenarios!$F$150*12,Scenarios!$F$148,(3-1)*12+1,3*12,0)),0))</f>
        <v>0</v>
      </c>
      <c r="M16" s="751">
        <f>IF(4&gt;IF($J$14="YES",IF(AND(ISNUMBER('Exit Strategy'!$C$5),'Exit Strategy'!$C$5&gt;0),'Exit Strategy'!$C$5,Scenarios!$F$86),Scenarios!$F$86),0,IFERROR(IF(AND(ISNUMBER(Scenarios!$F$152),Scenarios!$F$152&gt;0,4*12&lt;=Scenarios!$F$152),0,-CUMPRINC(Scenarios!$F$149/12,Scenarios!$F$150*12,Scenarios!$F$148,(4-1)*12+1,4*12,0)),0))</f>
        <v>0</v>
      </c>
      <c r="N16" s="751">
        <f>IF(5&gt;IF($J$14="YES",IF(AND(ISNUMBER('Exit Strategy'!$C$5),'Exit Strategy'!$C$5&gt;0),'Exit Strategy'!$C$5,Scenarios!$F$86),Scenarios!$F$86),0,IFERROR(IF(AND(ISNUMBER(Scenarios!$F$152),Scenarios!$F$152&gt;0,5*12&lt;=Scenarios!$F$152),0,-CUMPRINC(Scenarios!$F$149/12,Scenarios!$F$150*12,Scenarios!$F$148,(5-1)*12+1,5*12,0)),0))</f>
        <v>0</v>
      </c>
      <c r="O16" s="751">
        <f>IF(6&gt;IF($J$14="YES",IF(AND(ISNUMBER('Exit Strategy'!$C$5),'Exit Strategy'!$C$5&gt;0),'Exit Strategy'!$C$5,Scenarios!$F$86),Scenarios!$F$86),0,IFERROR(IF(AND(ISNUMBER(Scenarios!$F$152),Scenarios!$F$152&gt;0,6*12&lt;=Scenarios!$F$152),0,-CUMPRINC(Scenarios!$F$149/12,Scenarios!$F$150*12,Scenarios!$F$148,(6-1)*12+1,6*12,0)),0))</f>
        <v>0</v>
      </c>
      <c r="P16" s="751">
        <f>IF(7&gt;IF($J$14="YES",IF(AND(ISNUMBER('Exit Strategy'!$C$5),'Exit Strategy'!$C$5&gt;0),'Exit Strategy'!$C$5,Scenarios!$F$86),Scenarios!$F$86),0,IFERROR(IF(AND(ISNUMBER(Scenarios!$F$152),Scenarios!$F$152&gt;0,7*12&lt;=Scenarios!$F$152),0,-CUMPRINC(Scenarios!$F$149/12,Scenarios!$F$150*12,Scenarios!$F$148,(7-1)*12+1,7*12,0)),0))</f>
        <v>0</v>
      </c>
      <c r="Q16" s="751">
        <f>IF(8&gt;IF($J$14="YES",IF(AND(ISNUMBER('Exit Strategy'!$C$5),'Exit Strategy'!$C$5&gt;0),'Exit Strategy'!$C$5,Scenarios!$F$86),Scenarios!$F$86),0,IFERROR(IF(AND(ISNUMBER(Scenarios!$F$152),Scenarios!$F$152&gt;0,8*12&lt;=Scenarios!$F$152),0,-CUMPRINC(Scenarios!$F$149/12,Scenarios!$F$150*12,Scenarios!$F$148,(8-1)*12+1,8*12,0)),0))</f>
        <v>0</v>
      </c>
      <c r="R16" s="751">
        <f>IF(9&gt;IF($J$14="YES",IF(AND(ISNUMBER('Exit Strategy'!$C$5),'Exit Strategy'!$C$5&gt;0),'Exit Strategy'!$C$5,Scenarios!$F$86),Scenarios!$F$86),0,IFERROR(IF(AND(ISNUMBER(Scenarios!$F$152),Scenarios!$F$152&gt;0,9*12&lt;=Scenarios!$F$152),0,-CUMPRINC(Scenarios!$F$149/12,Scenarios!$F$150*12,Scenarios!$F$148,(9-1)*12+1,9*12,0)),0))</f>
        <v>0</v>
      </c>
      <c r="S16" s="751">
        <f>IF(10&gt;IF($J$14="YES",IF(AND(ISNUMBER('Exit Strategy'!$C$5),'Exit Strategy'!$C$5&gt;0),'Exit Strategy'!$C$5,Scenarios!$F$86),Scenarios!$F$86),0,IFERROR(IF(AND(ISNUMBER(Scenarios!$F$152),Scenarios!$F$152&gt;0,10*12&lt;=Scenarios!$F$152),0,-CUMPRINC(Scenarios!$F$149/12,Scenarios!$F$150*12,Scenarios!$F$148,(10-1)*12+1,10*12,0)),0))</f>
        <v>0</v>
      </c>
    </row>
    <row r="17" spans="9:19" ht="16.5" customHeight="1" x14ac:dyDescent="0.25">
      <c r="I17" s="625" t="s">
        <v>1673</v>
      </c>
      <c r="J17" s="743">
        <f>IF(1&gt;IF($J$14="YES",IF(AND(ISNUMBER('Exit Strategy'!$C$5),'Exit Strategy'!$C$5&gt;0),'Exit Strategy'!$C$5,Scenarios!$F$86),Scenarios!$F$86),0,IFERROR(IF(AND(ISNUMBER(Scenarios!$F$152),Scenarios!$F$152&gt;0,1*12&lt;=Scenarios!$F$152),Scenarios!$F$148*Scenarios!$F$149,-CUMIPMT(Scenarios!$F$149/12,Scenarios!$F$150*12,Scenarios!$F$148,(1-1)*12+1,1*12,0)),0))</f>
        <v>0</v>
      </c>
      <c r="K17" s="743">
        <f>IF(2&gt;IF($J$14="YES",IF(AND(ISNUMBER('Exit Strategy'!$C$5),'Exit Strategy'!$C$5&gt;0),'Exit Strategy'!$C$5,Scenarios!$F$86),Scenarios!$F$86),0,IFERROR(IF(AND(ISNUMBER(Scenarios!$F$152),Scenarios!$F$152&gt;0,2*12&lt;=Scenarios!$F$152),Scenarios!$F$148*Scenarios!$F$149,-CUMIPMT(Scenarios!$F$149/12,Scenarios!$F$150*12,Scenarios!$F$148,(2-1)*12+1,2*12,0)),0))</f>
        <v>0</v>
      </c>
      <c r="L17" s="743">
        <f>IF(3&gt;IF($J$14="YES",IF(AND(ISNUMBER('Exit Strategy'!$C$5),'Exit Strategy'!$C$5&gt;0),'Exit Strategy'!$C$5,Scenarios!$F$86),Scenarios!$F$86),0,IFERROR(IF(AND(ISNUMBER(Scenarios!$F$152),Scenarios!$F$152&gt;0,3*12&lt;=Scenarios!$F$152),Scenarios!$F$148*Scenarios!$F$149,-CUMIPMT(Scenarios!$F$149/12,Scenarios!$F$150*12,Scenarios!$F$148,(3-1)*12+1,3*12,0)),0))</f>
        <v>0</v>
      </c>
      <c r="M17" s="743">
        <f>IF(4&gt;IF($J$14="YES",IF(AND(ISNUMBER('Exit Strategy'!$C$5),'Exit Strategy'!$C$5&gt;0),'Exit Strategy'!$C$5,Scenarios!$F$86),Scenarios!$F$86),0,IFERROR(IF(AND(ISNUMBER(Scenarios!$F$152),Scenarios!$F$152&gt;0,4*12&lt;=Scenarios!$F$152),Scenarios!$F$148*Scenarios!$F$149,-CUMIPMT(Scenarios!$F$149/12,Scenarios!$F$150*12,Scenarios!$F$148,(4-1)*12+1,4*12,0)),0))</f>
        <v>0</v>
      </c>
      <c r="N17" s="743">
        <f>IF(5&gt;IF($J$14="YES",IF(AND(ISNUMBER('Exit Strategy'!$C$5),'Exit Strategy'!$C$5&gt;0),'Exit Strategy'!$C$5,Scenarios!$F$86),Scenarios!$F$86),0,IFERROR(IF(AND(ISNUMBER(Scenarios!$F$152),Scenarios!$F$152&gt;0,5*12&lt;=Scenarios!$F$152),Scenarios!$F$148*Scenarios!$F$149,-CUMIPMT(Scenarios!$F$149/12,Scenarios!$F$150*12,Scenarios!$F$148,(5-1)*12+1,5*12,0)),0))</f>
        <v>0</v>
      </c>
      <c r="O17" s="743">
        <f>IF(6&gt;IF($J$14="YES",IF(AND(ISNUMBER('Exit Strategy'!$C$5),'Exit Strategy'!$C$5&gt;0),'Exit Strategy'!$C$5,Scenarios!$F$86),Scenarios!$F$86),0,IFERROR(IF(AND(ISNUMBER(Scenarios!$F$152),Scenarios!$F$152&gt;0,6*12&lt;=Scenarios!$F$152),Scenarios!$F$148*Scenarios!$F$149,-CUMIPMT(Scenarios!$F$149/12,Scenarios!$F$150*12,Scenarios!$F$148,(6-1)*12+1,6*12,0)),0))</f>
        <v>0</v>
      </c>
      <c r="P17" s="743">
        <f>IF(7&gt;IF($J$14="YES",IF(AND(ISNUMBER('Exit Strategy'!$C$5),'Exit Strategy'!$C$5&gt;0),'Exit Strategy'!$C$5,Scenarios!$F$86),Scenarios!$F$86),0,IFERROR(IF(AND(ISNUMBER(Scenarios!$F$152),Scenarios!$F$152&gt;0,7*12&lt;=Scenarios!$F$152),Scenarios!$F$148*Scenarios!$F$149,-CUMIPMT(Scenarios!$F$149/12,Scenarios!$F$150*12,Scenarios!$F$148,(7-1)*12+1,7*12,0)),0))</f>
        <v>0</v>
      </c>
      <c r="Q17" s="743">
        <f>IF(8&gt;IF($J$14="YES",IF(AND(ISNUMBER('Exit Strategy'!$C$5),'Exit Strategy'!$C$5&gt;0),'Exit Strategy'!$C$5,Scenarios!$F$86),Scenarios!$F$86),0,IFERROR(IF(AND(ISNUMBER(Scenarios!$F$152),Scenarios!$F$152&gt;0,8*12&lt;=Scenarios!$F$152),Scenarios!$F$148*Scenarios!$F$149,-CUMIPMT(Scenarios!$F$149/12,Scenarios!$F$150*12,Scenarios!$F$148,(8-1)*12+1,8*12,0)),0))</f>
        <v>0</v>
      </c>
      <c r="R17" s="743">
        <f>IF(9&gt;IF($J$14="YES",IF(AND(ISNUMBER('Exit Strategy'!$C$5),'Exit Strategy'!$C$5&gt;0),'Exit Strategy'!$C$5,Scenarios!$F$86),Scenarios!$F$86),0,IFERROR(IF(AND(ISNUMBER(Scenarios!$F$152),Scenarios!$F$152&gt;0,9*12&lt;=Scenarios!$F$152),Scenarios!$F$148*Scenarios!$F$149,-CUMIPMT(Scenarios!$F$149/12,Scenarios!$F$150*12,Scenarios!$F$148,(9-1)*12+1,9*12,0)),0))</f>
        <v>0</v>
      </c>
      <c r="S17" s="743">
        <f>IF(10&gt;IF($J$14="YES",IF(AND(ISNUMBER('Exit Strategy'!$C$5),'Exit Strategy'!$C$5&gt;0),'Exit Strategy'!$C$5,Scenarios!$F$86),Scenarios!$F$86),0,IFERROR(IF(AND(ISNUMBER(Scenarios!$F$152),Scenarios!$F$152&gt;0,10*12&lt;=Scenarios!$F$152),Scenarios!$F$148*Scenarios!$F$149,-CUMIPMT(Scenarios!$F$149/12,Scenarios!$F$150*12,Scenarios!$F$148,(10-1)*12+1,10*12,0)),0))</f>
        <v>0</v>
      </c>
    </row>
    <row r="18" spans="9:19" ht="16.5" customHeight="1" x14ac:dyDescent="0.25">
      <c r="I18" s="753" t="s">
        <v>1675</v>
      </c>
      <c r="J18" s="754">
        <f t="shared" ref="J18:S18" si="2">J16+J17</f>
        <v>0</v>
      </c>
      <c r="K18" s="754">
        <f t="shared" si="2"/>
        <v>0</v>
      </c>
      <c r="L18" s="754">
        <f t="shared" si="2"/>
        <v>0</v>
      </c>
      <c r="M18" s="754">
        <f t="shared" si="2"/>
        <v>0</v>
      </c>
      <c r="N18" s="754">
        <f t="shared" si="2"/>
        <v>0</v>
      </c>
      <c r="O18" s="754">
        <f t="shared" si="2"/>
        <v>0</v>
      </c>
      <c r="P18" s="754">
        <f t="shared" si="2"/>
        <v>0</v>
      </c>
      <c r="Q18" s="754">
        <f t="shared" si="2"/>
        <v>0</v>
      </c>
      <c r="R18" s="754">
        <f t="shared" si="2"/>
        <v>0</v>
      </c>
      <c r="S18" s="754">
        <f t="shared" si="2"/>
        <v>0</v>
      </c>
    </row>
    <row r="19" spans="9:19" ht="16.5" customHeight="1" x14ac:dyDescent="0.25">
      <c r="I19" s="755" t="s">
        <v>1677</v>
      </c>
      <c r="J19" s="756">
        <f t="shared" ref="J19:S19" si="3">J15-J16</f>
        <v>0</v>
      </c>
      <c r="K19" s="756">
        <f t="shared" si="3"/>
        <v>0</v>
      </c>
      <c r="L19" s="756">
        <f t="shared" si="3"/>
        <v>0</v>
      </c>
      <c r="M19" s="756">
        <f t="shared" si="3"/>
        <v>0</v>
      </c>
      <c r="N19" s="756">
        <f t="shared" si="3"/>
        <v>0</v>
      </c>
      <c r="O19" s="756">
        <f t="shared" si="3"/>
        <v>0</v>
      </c>
      <c r="P19" s="756">
        <f t="shared" si="3"/>
        <v>0</v>
      </c>
      <c r="Q19" s="756">
        <f t="shared" si="3"/>
        <v>0</v>
      </c>
      <c r="R19" s="756">
        <f t="shared" si="3"/>
        <v>0</v>
      </c>
      <c r="S19" s="756">
        <f t="shared" si="3"/>
        <v>0</v>
      </c>
    </row>
    <row r="20" spans="9:19" ht="6" customHeight="1" x14ac:dyDescent="0.25"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</row>
    <row r="21" spans="9:19" ht="19.5" customHeight="1" x14ac:dyDescent="0.25">
      <c r="I21" s="760" t="s">
        <v>102</v>
      </c>
      <c r="J21" s="761">
        <f>IFERROR(Scenarios!$F$155,0)</f>
        <v>0</v>
      </c>
      <c r="K21" s="762"/>
      <c r="L21" s="762"/>
      <c r="M21" s="762"/>
      <c r="N21" s="762"/>
      <c r="O21" s="762"/>
      <c r="P21" s="762"/>
      <c r="Q21" s="762"/>
      <c r="R21" s="762"/>
      <c r="S21" s="762"/>
    </row>
    <row r="22" spans="9:19" ht="16.5" customHeight="1" x14ac:dyDescent="0.25">
      <c r="I22" s="749" t="s">
        <v>1666</v>
      </c>
      <c r="J22" s="658" t="s">
        <v>1667</v>
      </c>
      <c r="K22" s="750"/>
      <c r="L22" s="750"/>
      <c r="M22" s="750"/>
      <c r="N22" s="750"/>
      <c r="O22" s="750"/>
      <c r="P22" s="750"/>
      <c r="Q22" s="750"/>
      <c r="R22" s="750"/>
      <c r="S22" s="750"/>
    </row>
    <row r="23" spans="9:19" ht="16.5" customHeight="1" x14ac:dyDescent="0.25">
      <c r="I23" s="625" t="s">
        <v>1669</v>
      </c>
      <c r="J23" s="743">
        <f>IF(1&lt;=IF($J$22="YES",IF(AND(ISNUMBER('Exit Strategy'!$C$5),'Exit Strategy'!$C$5&gt;0),'Exit Strategy'!$C$5,Scenarios!$F$86),Scenarios!$F$86),IFERROR(Scenarios!$F$155,0),0)</f>
        <v>0</v>
      </c>
      <c r="K23" s="743">
        <f>IF(2&lt;=IF($J$22="YES",IF(AND(ISNUMBER('Exit Strategy'!$C$5),'Exit Strategy'!$C$5&gt;0),'Exit Strategy'!$C$5,Scenarios!$F$86),Scenarios!$F$86),J27,0)</f>
        <v>0</v>
      </c>
      <c r="L23" s="743">
        <f>IF(3&lt;=IF($J$22="YES",IF(AND(ISNUMBER('Exit Strategy'!$C$5),'Exit Strategy'!$C$5&gt;0),'Exit Strategy'!$C$5,Scenarios!$F$86),Scenarios!$F$86),K27,0)</f>
        <v>0</v>
      </c>
      <c r="M23" s="743">
        <f>IF(4&lt;=IF($J$22="YES",IF(AND(ISNUMBER('Exit Strategy'!$C$5),'Exit Strategy'!$C$5&gt;0),'Exit Strategy'!$C$5,Scenarios!$F$86),Scenarios!$F$86),L27,0)</f>
        <v>0</v>
      </c>
      <c r="N23" s="743">
        <f>IF(5&lt;=IF($J$22="YES",IF(AND(ISNUMBER('Exit Strategy'!$C$5),'Exit Strategy'!$C$5&gt;0),'Exit Strategy'!$C$5,Scenarios!$F$86),Scenarios!$F$86),M27,0)</f>
        <v>0</v>
      </c>
      <c r="O23" s="743">
        <f>IF(6&lt;=IF($J$22="YES",IF(AND(ISNUMBER('Exit Strategy'!$C$5),'Exit Strategy'!$C$5&gt;0),'Exit Strategy'!$C$5,Scenarios!$F$86),Scenarios!$F$86),N27,0)</f>
        <v>0</v>
      </c>
      <c r="P23" s="743">
        <f>IF(7&lt;=IF($J$22="YES",IF(AND(ISNUMBER('Exit Strategy'!$C$5),'Exit Strategy'!$C$5&gt;0),'Exit Strategy'!$C$5,Scenarios!$F$86),Scenarios!$F$86),O27,0)</f>
        <v>0</v>
      </c>
      <c r="Q23" s="743">
        <f>IF(8&lt;=IF($J$22="YES",IF(AND(ISNUMBER('Exit Strategy'!$C$5),'Exit Strategy'!$C$5&gt;0),'Exit Strategy'!$C$5,Scenarios!$F$86),Scenarios!$F$86),P27,0)</f>
        <v>0</v>
      </c>
      <c r="R23" s="743">
        <f>IF(9&lt;=IF($J$22="YES",IF(AND(ISNUMBER('Exit Strategy'!$C$5),'Exit Strategy'!$C$5&gt;0),'Exit Strategy'!$C$5,Scenarios!$F$86),Scenarios!$F$86),Q27,0)</f>
        <v>0</v>
      </c>
      <c r="S23" s="743">
        <f>IF(10&lt;=IF($J$22="YES",IF(AND(ISNUMBER('Exit Strategy'!$C$5),'Exit Strategy'!$C$5&gt;0),'Exit Strategy'!$C$5,Scenarios!$F$86),Scenarios!$F$86),R27,0)</f>
        <v>0</v>
      </c>
    </row>
    <row r="24" spans="9:19" ht="16.5" customHeight="1" x14ac:dyDescent="0.25">
      <c r="I24" s="627" t="s">
        <v>1671</v>
      </c>
      <c r="J24" s="751">
        <f>IF(1&gt;IF($J$22="YES",IF(AND(ISNUMBER('Exit Strategy'!$C$5),'Exit Strategy'!$C$5&gt;0),'Exit Strategy'!$C$5,Scenarios!$F$86),Scenarios!$F$86),0,IFERROR(IF(AND(ISNUMBER(Scenarios!$F$159),Scenarios!$F$159&gt;0,1*12&lt;=Scenarios!$F$159),0,-CUMPRINC(Scenarios!$F$156/12,Scenarios!$F$157*12,Scenarios!$F$155,(1-1)*12+1,1*12,0)),0))</f>
        <v>0</v>
      </c>
      <c r="K24" s="751">
        <f>IF(2&gt;IF($J$22="YES",IF(AND(ISNUMBER('Exit Strategy'!$C$5),'Exit Strategy'!$C$5&gt;0),'Exit Strategy'!$C$5,Scenarios!$F$86),Scenarios!$F$86),0,IFERROR(IF(AND(ISNUMBER(Scenarios!$F$159),Scenarios!$F$159&gt;0,2*12&lt;=Scenarios!$F$159),0,-CUMPRINC(Scenarios!$F$156/12,Scenarios!$F$157*12,Scenarios!$F$155,(2-1)*12+1,2*12,0)),0))</f>
        <v>0</v>
      </c>
      <c r="L24" s="751">
        <f>IF(3&gt;IF($J$22="YES",IF(AND(ISNUMBER('Exit Strategy'!$C$5),'Exit Strategy'!$C$5&gt;0),'Exit Strategy'!$C$5,Scenarios!$F$86),Scenarios!$F$86),0,IFERROR(IF(AND(ISNUMBER(Scenarios!$F$159),Scenarios!$F$159&gt;0,3*12&lt;=Scenarios!$F$159),0,-CUMPRINC(Scenarios!$F$156/12,Scenarios!$F$157*12,Scenarios!$F$155,(3-1)*12+1,3*12,0)),0))</f>
        <v>0</v>
      </c>
      <c r="M24" s="751">
        <f>IF(4&gt;IF($J$22="YES",IF(AND(ISNUMBER('Exit Strategy'!$C$5),'Exit Strategy'!$C$5&gt;0),'Exit Strategy'!$C$5,Scenarios!$F$86),Scenarios!$F$86),0,IFERROR(IF(AND(ISNUMBER(Scenarios!$F$159),Scenarios!$F$159&gt;0,4*12&lt;=Scenarios!$F$159),0,-CUMPRINC(Scenarios!$F$156/12,Scenarios!$F$157*12,Scenarios!$F$155,(4-1)*12+1,4*12,0)),0))</f>
        <v>0</v>
      </c>
      <c r="N24" s="751">
        <f>IF(5&gt;IF($J$22="YES",IF(AND(ISNUMBER('Exit Strategy'!$C$5),'Exit Strategy'!$C$5&gt;0),'Exit Strategy'!$C$5,Scenarios!$F$86),Scenarios!$F$86),0,IFERROR(IF(AND(ISNUMBER(Scenarios!$F$159),Scenarios!$F$159&gt;0,5*12&lt;=Scenarios!$F$159),0,-CUMPRINC(Scenarios!$F$156/12,Scenarios!$F$157*12,Scenarios!$F$155,(5-1)*12+1,5*12,0)),0))</f>
        <v>0</v>
      </c>
      <c r="O24" s="751">
        <f>IF(6&gt;IF($J$22="YES",IF(AND(ISNUMBER('Exit Strategy'!$C$5),'Exit Strategy'!$C$5&gt;0),'Exit Strategy'!$C$5,Scenarios!$F$86),Scenarios!$F$86),0,IFERROR(IF(AND(ISNUMBER(Scenarios!$F$159),Scenarios!$F$159&gt;0,6*12&lt;=Scenarios!$F$159),0,-CUMPRINC(Scenarios!$F$156/12,Scenarios!$F$157*12,Scenarios!$F$155,(6-1)*12+1,6*12,0)),0))</f>
        <v>0</v>
      </c>
      <c r="P24" s="751">
        <f>IF(7&gt;IF($J$22="YES",IF(AND(ISNUMBER('Exit Strategy'!$C$5),'Exit Strategy'!$C$5&gt;0),'Exit Strategy'!$C$5,Scenarios!$F$86),Scenarios!$F$86),0,IFERROR(IF(AND(ISNUMBER(Scenarios!$F$159),Scenarios!$F$159&gt;0,7*12&lt;=Scenarios!$F$159),0,-CUMPRINC(Scenarios!$F$156/12,Scenarios!$F$157*12,Scenarios!$F$155,(7-1)*12+1,7*12,0)),0))</f>
        <v>0</v>
      </c>
      <c r="Q24" s="751">
        <f>IF(8&gt;IF($J$22="YES",IF(AND(ISNUMBER('Exit Strategy'!$C$5),'Exit Strategy'!$C$5&gt;0),'Exit Strategy'!$C$5,Scenarios!$F$86),Scenarios!$F$86),0,IFERROR(IF(AND(ISNUMBER(Scenarios!$F$159),Scenarios!$F$159&gt;0,8*12&lt;=Scenarios!$F$159),0,-CUMPRINC(Scenarios!$F$156/12,Scenarios!$F$157*12,Scenarios!$F$155,(8-1)*12+1,8*12,0)),0))</f>
        <v>0</v>
      </c>
      <c r="R24" s="751">
        <f>IF(9&gt;IF($J$22="YES",IF(AND(ISNUMBER('Exit Strategy'!$C$5),'Exit Strategy'!$C$5&gt;0),'Exit Strategy'!$C$5,Scenarios!$F$86),Scenarios!$F$86),0,IFERROR(IF(AND(ISNUMBER(Scenarios!$F$159),Scenarios!$F$159&gt;0,9*12&lt;=Scenarios!$F$159),0,-CUMPRINC(Scenarios!$F$156/12,Scenarios!$F$157*12,Scenarios!$F$155,(9-1)*12+1,9*12,0)),0))</f>
        <v>0</v>
      </c>
      <c r="S24" s="751">
        <f>IF(10&gt;IF($J$22="YES",IF(AND(ISNUMBER('Exit Strategy'!$C$5),'Exit Strategy'!$C$5&gt;0),'Exit Strategy'!$C$5,Scenarios!$F$86),Scenarios!$F$86),0,IFERROR(IF(AND(ISNUMBER(Scenarios!$F$159),Scenarios!$F$159&gt;0,10*12&lt;=Scenarios!$F$159),0,-CUMPRINC(Scenarios!$F$156/12,Scenarios!$F$157*12,Scenarios!$F$155,(10-1)*12+1,10*12,0)),0))</f>
        <v>0</v>
      </c>
    </row>
    <row r="25" spans="9:19" ht="16.5" customHeight="1" x14ac:dyDescent="0.25">
      <c r="I25" s="625" t="s">
        <v>1673</v>
      </c>
      <c r="J25" s="743">
        <f>IF(1&gt;IF($J$22="YES",IF(AND(ISNUMBER('Exit Strategy'!$C$5),'Exit Strategy'!$C$5&gt;0),'Exit Strategy'!$C$5,Scenarios!$F$86),Scenarios!$F$86),0,IFERROR(IF(AND(ISNUMBER(Scenarios!$F$159),Scenarios!$F$159&gt;0,1*12&lt;=Scenarios!$F$159),Scenarios!$F$155*Scenarios!$F$156,-CUMIPMT(Scenarios!$F$156/12,Scenarios!$F$157*12,Scenarios!$F$155,(1-1)*12+1,1*12,0)),0))</f>
        <v>0</v>
      </c>
      <c r="K25" s="743">
        <f>IF(2&gt;IF($J$22="YES",IF(AND(ISNUMBER('Exit Strategy'!$C$5),'Exit Strategy'!$C$5&gt;0),'Exit Strategy'!$C$5,Scenarios!$F$86),Scenarios!$F$86),0,IFERROR(IF(AND(ISNUMBER(Scenarios!$F$159),Scenarios!$F$159&gt;0,2*12&lt;=Scenarios!$F$159),Scenarios!$F$155*Scenarios!$F$156,-CUMIPMT(Scenarios!$F$156/12,Scenarios!$F$157*12,Scenarios!$F$155,(2-1)*12+1,2*12,0)),0))</f>
        <v>0</v>
      </c>
      <c r="L25" s="743">
        <f>IF(3&gt;IF($J$22="YES",IF(AND(ISNUMBER('Exit Strategy'!$C$5),'Exit Strategy'!$C$5&gt;0),'Exit Strategy'!$C$5,Scenarios!$F$86),Scenarios!$F$86),0,IFERROR(IF(AND(ISNUMBER(Scenarios!$F$159),Scenarios!$F$159&gt;0,3*12&lt;=Scenarios!$F$159),Scenarios!$F$155*Scenarios!$F$156,-CUMIPMT(Scenarios!$F$156/12,Scenarios!$F$157*12,Scenarios!$F$155,(3-1)*12+1,3*12,0)),0))</f>
        <v>0</v>
      </c>
      <c r="M25" s="743">
        <f>IF(4&gt;IF($J$22="YES",IF(AND(ISNUMBER('Exit Strategy'!$C$5),'Exit Strategy'!$C$5&gt;0),'Exit Strategy'!$C$5,Scenarios!$F$86),Scenarios!$F$86),0,IFERROR(IF(AND(ISNUMBER(Scenarios!$F$159),Scenarios!$F$159&gt;0,4*12&lt;=Scenarios!$F$159),Scenarios!$F$155*Scenarios!$F$156,-CUMIPMT(Scenarios!$F$156/12,Scenarios!$F$157*12,Scenarios!$F$155,(4-1)*12+1,4*12,0)),0))</f>
        <v>0</v>
      </c>
      <c r="N25" s="743">
        <f>IF(5&gt;IF($J$22="YES",IF(AND(ISNUMBER('Exit Strategy'!$C$5),'Exit Strategy'!$C$5&gt;0),'Exit Strategy'!$C$5,Scenarios!$F$86),Scenarios!$F$86),0,IFERROR(IF(AND(ISNUMBER(Scenarios!$F$159),Scenarios!$F$159&gt;0,5*12&lt;=Scenarios!$F$159),Scenarios!$F$155*Scenarios!$F$156,-CUMIPMT(Scenarios!$F$156/12,Scenarios!$F$157*12,Scenarios!$F$155,(5-1)*12+1,5*12,0)),0))</f>
        <v>0</v>
      </c>
      <c r="O25" s="743">
        <f>IF(6&gt;IF($J$22="YES",IF(AND(ISNUMBER('Exit Strategy'!$C$5),'Exit Strategy'!$C$5&gt;0),'Exit Strategy'!$C$5,Scenarios!$F$86),Scenarios!$F$86),0,IFERROR(IF(AND(ISNUMBER(Scenarios!$F$159),Scenarios!$F$159&gt;0,6*12&lt;=Scenarios!$F$159),Scenarios!$F$155*Scenarios!$F$156,-CUMIPMT(Scenarios!$F$156/12,Scenarios!$F$157*12,Scenarios!$F$155,(6-1)*12+1,6*12,0)),0))</f>
        <v>0</v>
      </c>
      <c r="P25" s="743">
        <f>IF(7&gt;IF($J$22="YES",IF(AND(ISNUMBER('Exit Strategy'!$C$5),'Exit Strategy'!$C$5&gt;0),'Exit Strategy'!$C$5,Scenarios!$F$86),Scenarios!$F$86),0,IFERROR(IF(AND(ISNUMBER(Scenarios!$F$159),Scenarios!$F$159&gt;0,7*12&lt;=Scenarios!$F$159),Scenarios!$F$155*Scenarios!$F$156,-CUMIPMT(Scenarios!$F$156/12,Scenarios!$F$157*12,Scenarios!$F$155,(7-1)*12+1,7*12,0)),0))</f>
        <v>0</v>
      </c>
      <c r="Q25" s="743">
        <f>IF(8&gt;IF($J$22="YES",IF(AND(ISNUMBER('Exit Strategy'!$C$5),'Exit Strategy'!$C$5&gt;0),'Exit Strategy'!$C$5,Scenarios!$F$86),Scenarios!$F$86),0,IFERROR(IF(AND(ISNUMBER(Scenarios!$F$159),Scenarios!$F$159&gt;0,8*12&lt;=Scenarios!$F$159),Scenarios!$F$155*Scenarios!$F$156,-CUMIPMT(Scenarios!$F$156/12,Scenarios!$F$157*12,Scenarios!$F$155,(8-1)*12+1,8*12,0)),0))</f>
        <v>0</v>
      </c>
      <c r="R25" s="743">
        <f>IF(9&gt;IF($J$22="YES",IF(AND(ISNUMBER('Exit Strategy'!$C$5),'Exit Strategy'!$C$5&gt;0),'Exit Strategy'!$C$5,Scenarios!$F$86),Scenarios!$F$86),0,IFERROR(IF(AND(ISNUMBER(Scenarios!$F$159),Scenarios!$F$159&gt;0,9*12&lt;=Scenarios!$F$159),Scenarios!$F$155*Scenarios!$F$156,-CUMIPMT(Scenarios!$F$156/12,Scenarios!$F$157*12,Scenarios!$F$155,(9-1)*12+1,9*12,0)),0))</f>
        <v>0</v>
      </c>
      <c r="S25" s="743">
        <f>IF(10&gt;IF($J$22="YES",IF(AND(ISNUMBER('Exit Strategy'!$C$5),'Exit Strategy'!$C$5&gt;0),'Exit Strategy'!$C$5,Scenarios!$F$86),Scenarios!$F$86),0,IFERROR(IF(AND(ISNUMBER(Scenarios!$F$159),Scenarios!$F$159&gt;0,10*12&lt;=Scenarios!$F$159),Scenarios!$F$155*Scenarios!$F$156,-CUMIPMT(Scenarios!$F$156/12,Scenarios!$F$157*12,Scenarios!$F$155,(10-1)*12+1,10*12,0)),0))</f>
        <v>0</v>
      </c>
    </row>
    <row r="26" spans="9:19" ht="16.5" customHeight="1" x14ac:dyDescent="0.25">
      <c r="I26" s="753" t="s">
        <v>1675</v>
      </c>
      <c r="J26" s="754">
        <f t="shared" ref="J26:S26" si="4">J24+J25</f>
        <v>0</v>
      </c>
      <c r="K26" s="754">
        <f t="shared" si="4"/>
        <v>0</v>
      </c>
      <c r="L26" s="754">
        <f t="shared" si="4"/>
        <v>0</v>
      </c>
      <c r="M26" s="754">
        <f t="shared" si="4"/>
        <v>0</v>
      </c>
      <c r="N26" s="754">
        <f t="shared" si="4"/>
        <v>0</v>
      </c>
      <c r="O26" s="754">
        <f t="shared" si="4"/>
        <v>0</v>
      </c>
      <c r="P26" s="754">
        <f t="shared" si="4"/>
        <v>0</v>
      </c>
      <c r="Q26" s="754">
        <f t="shared" si="4"/>
        <v>0</v>
      </c>
      <c r="R26" s="754">
        <f t="shared" si="4"/>
        <v>0</v>
      </c>
      <c r="S26" s="754">
        <f t="shared" si="4"/>
        <v>0</v>
      </c>
    </row>
    <row r="27" spans="9:19" ht="16.5" customHeight="1" x14ac:dyDescent="0.25">
      <c r="I27" s="755" t="s">
        <v>1677</v>
      </c>
      <c r="J27" s="756">
        <f t="shared" ref="J27:S27" si="5">J23-J24</f>
        <v>0</v>
      </c>
      <c r="K27" s="756">
        <f t="shared" si="5"/>
        <v>0</v>
      </c>
      <c r="L27" s="756">
        <f t="shared" si="5"/>
        <v>0</v>
      </c>
      <c r="M27" s="756">
        <f t="shared" si="5"/>
        <v>0</v>
      </c>
      <c r="N27" s="756">
        <f t="shared" si="5"/>
        <v>0</v>
      </c>
      <c r="O27" s="756">
        <f t="shared" si="5"/>
        <v>0</v>
      </c>
      <c r="P27" s="756">
        <f t="shared" si="5"/>
        <v>0</v>
      </c>
      <c r="Q27" s="756">
        <f t="shared" si="5"/>
        <v>0</v>
      </c>
      <c r="R27" s="756">
        <f t="shared" si="5"/>
        <v>0</v>
      </c>
      <c r="S27" s="756">
        <f t="shared" si="5"/>
        <v>0</v>
      </c>
    </row>
    <row r="28" spans="9:19" ht="6" customHeight="1" x14ac:dyDescent="0.25"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</row>
    <row r="29" spans="9:19" ht="19.5" customHeight="1" x14ac:dyDescent="0.25">
      <c r="I29" s="763" t="s">
        <v>1682</v>
      </c>
      <c r="J29" s="764">
        <f>IFERROR('Exit Strategy'!$C$12,0)</f>
        <v>0</v>
      </c>
      <c r="K29" s="765"/>
      <c r="L29" s="765"/>
      <c r="M29" s="765"/>
      <c r="N29" s="765"/>
      <c r="O29" s="765"/>
      <c r="P29" s="765"/>
      <c r="Q29" s="765"/>
      <c r="R29" s="765"/>
      <c r="S29" s="765"/>
    </row>
    <row r="30" spans="9:19" ht="16.5" customHeight="1" x14ac:dyDescent="0.25">
      <c r="I30" s="625" t="s">
        <v>1669</v>
      </c>
      <c r="J30" s="743">
        <f>0</f>
        <v>0</v>
      </c>
      <c r="K30" s="743">
        <f>IF(AND(ISNUMBER('Exit Strategy'!$C$5),2&gt;'Exit Strategy'!$C$5,2&lt;=Scenarios!$F$86),IF(2=IFERROR('Exit Strategy'!$C$5+1,10000),'Exit Strategy'!$C$12,J34),0)</f>
        <v>0</v>
      </c>
      <c r="L30" s="743">
        <f>IF(AND(ISNUMBER('Exit Strategy'!$C$5),3&gt;'Exit Strategy'!$C$5,3&lt;=Scenarios!$F$86),IF(3=IFERROR('Exit Strategy'!$C$5+1,10000),'Exit Strategy'!$C$12,K34),0)</f>
        <v>0</v>
      </c>
      <c r="M30" s="743">
        <f>IF(AND(ISNUMBER('Exit Strategy'!$C$5),4&gt;'Exit Strategy'!$C$5,4&lt;=Scenarios!$F$86),IF(4=IFERROR('Exit Strategy'!$C$5+1,10000),'Exit Strategy'!$C$12,L34),0)</f>
        <v>0</v>
      </c>
      <c r="N30" s="743">
        <f>IF(AND(ISNUMBER('Exit Strategy'!$C$5),5&gt;'Exit Strategy'!$C$5,5&lt;=Scenarios!$F$86),IF(5=IFERROR('Exit Strategy'!$C$5+1,10000),'Exit Strategy'!$C$12,M34),0)</f>
        <v>0</v>
      </c>
      <c r="O30" s="743">
        <f>IF(AND(ISNUMBER('Exit Strategy'!$C$5),6&gt;'Exit Strategy'!$C$5,6&lt;=Scenarios!$F$86),IF(6=IFERROR('Exit Strategy'!$C$5+1,10000),'Exit Strategy'!$C$12,N34),0)</f>
        <v>0</v>
      </c>
      <c r="P30" s="743">
        <f>IF(AND(ISNUMBER('Exit Strategy'!$C$5),7&gt;'Exit Strategy'!$C$5,7&lt;=Scenarios!$F$86),IF(7=IFERROR('Exit Strategy'!$C$5+1,10000),'Exit Strategy'!$C$12,O34),0)</f>
        <v>0</v>
      </c>
      <c r="Q30" s="743">
        <f>IF(AND(ISNUMBER('Exit Strategy'!$C$5),8&gt;'Exit Strategy'!$C$5,8&lt;=Scenarios!$F$86),IF(8=IFERROR('Exit Strategy'!$C$5+1,10000),'Exit Strategy'!$C$12,P34),0)</f>
        <v>0</v>
      </c>
      <c r="R30" s="743">
        <f>IF(AND(ISNUMBER('Exit Strategy'!$C$5),9&gt;'Exit Strategy'!$C$5,9&lt;=Scenarios!$F$86),IF(9=IFERROR('Exit Strategy'!$C$5+1,10000),'Exit Strategy'!$C$12,Q34),0)</f>
        <v>0</v>
      </c>
      <c r="S30" s="743">
        <f>IF(AND(ISNUMBER('Exit Strategy'!$C$5),10&gt;'Exit Strategy'!$C$5,10&lt;=Scenarios!$F$86),IF(10=IFERROR('Exit Strategy'!$C$5+1,10000),'Exit Strategy'!$C$12,R34),0)</f>
        <v>0</v>
      </c>
    </row>
    <row r="31" spans="9:19" ht="16.5" customHeight="1" x14ac:dyDescent="0.25">
      <c r="I31" s="627" t="s">
        <v>1671</v>
      </c>
      <c r="J31" s="751">
        <f>IF(AND(ISNUMBER('Exit Strategy'!$C$5),1&gt;'Exit Strategy'!$C$5,1&lt;=Scenarios!$F$86),IF((1-'Exit Strategy'!$C$5)*12&lt;=IFERROR('Exit Strategy'!$C$28,0),0,IFERROR(-CUMPRINC('Exit Strategy'!$C$10/12,'Exit Strategy'!$C$11*12,'Exit Strategy'!$C$12,MAX((1-'Exit Strategy'!$C$5-1)*12+1-IFERROR('Exit Strategy'!$C$28,0),1),(1-'Exit Strategy'!$C$5)*12-IFERROR('Exit Strategy'!$C$28,0),0),0)),0)</f>
        <v>0</v>
      </c>
      <c r="K31" s="751">
        <f>IF(AND(ISNUMBER('Exit Strategy'!$C$5),2&gt;'Exit Strategy'!$C$5,2&lt;=Scenarios!$F$86),IF((2-'Exit Strategy'!$C$5)*12&lt;=IFERROR('Exit Strategy'!$C$28,0),0,IFERROR(-CUMPRINC('Exit Strategy'!$C$10/12,'Exit Strategy'!$C$11*12,'Exit Strategy'!$C$12,MAX((2-'Exit Strategy'!$C$5-1)*12+1-IFERROR('Exit Strategy'!$C$28,0),1),(2-'Exit Strategy'!$C$5)*12-IFERROR('Exit Strategy'!$C$28,0),0),0)),0)</f>
        <v>0</v>
      </c>
      <c r="L31" s="751">
        <f>IF(AND(ISNUMBER('Exit Strategy'!$C$5),3&gt;'Exit Strategy'!$C$5,3&lt;=Scenarios!$F$86),IF((3-'Exit Strategy'!$C$5)*12&lt;=IFERROR('Exit Strategy'!$C$28,0),0,IFERROR(-CUMPRINC('Exit Strategy'!$C$10/12,'Exit Strategy'!$C$11*12,'Exit Strategy'!$C$12,MAX((3-'Exit Strategy'!$C$5-1)*12+1-IFERROR('Exit Strategy'!$C$28,0),1),(3-'Exit Strategy'!$C$5)*12-IFERROR('Exit Strategy'!$C$28,0),0),0)),0)</f>
        <v>0</v>
      </c>
      <c r="M31" s="751">
        <f>IF(AND(ISNUMBER('Exit Strategy'!$C$5),4&gt;'Exit Strategy'!$C$5,4&lt;=Scenarios!$F$86),IF((4-'Exit Strategy'!$C$5)*12&lt;=IFERROR('Exit Strategy'!$C$28,0),0,IFERROR(-CUMPRINC('Exit Strategy'!$C$10/12,'Exit Strategy'!$C$11*12,'Exit Strategy'!$C$12,MAX((4-'Exit Strategy'!$C$5-1)*12+1-IFERROR('Exit Strategy'!$C$28,0),1),(4-'Exit Strategy'!$C$5)*12-IFERROR('Exit Strategy'!$C$28,0),0),0)),0)</f>
        <v>0</v>
      </c>
      <c r="N31" s="751">
        <f>IF(AND(ISNUMBER('Exit Strategy'!$C$5),5&gt;'Exit Strategy'!$C$5,5&lt;=Scenarios!$F$86),IF((5-'Exit Strategy'!$C$5)*12&lt;=IFERROR('Exit Strategy'!$C$28,0),0,IFERROR(-CUMPRINC('Exit Strategy'!$C$10/12,'Exit Strategy'!$C$11*12,'Exit Strategy'!$C$12,MAX((5-'Exit Strategy'!$C$5-1)*12+1-IFERROR('Exit Strategy'!$C$28,0),1),(5-'Exit Strategy'!$C$5)*12-IFERROR('Exit Strategy'!$C$28,0),0),0)),0)</f>
        <v>0</v>
      </c>
      <c r="O31" s="751">
        <f>IF(AND(ISNUMBER('Exit Strategy'!$C$5),6&gt;'Exit Strategy'!$C$5,6&lt;=Scenarios!$F$86),IF((6-'Exit Strategy'!$C$5)*12&lt;=IFERROR('Exit Strategy'!$C$28,0),0,IFERROR(-CUMPRINC('Exit Strategy'!$C$10/12,'Exit Strategy'!$C$11*12,'Exit Strategy'!$C$12,MAX((6-'Exit Strategy'!$C$5-1)*12+1-IFERROR('Exit Strategy'!$C$28,0),1),(6-'Exit Strategy'!$C$5)*12-IFERROR('Exit Strategy'!$C$28,0),0),0)),0)</f>
        <v>0</v>
      </c>
      <c r="P31" s="751">
        <f>IF(AND(ISNUMBER('Exit Strategy'!$C$5),7&gt;'Exit Strategy'!$C$5,7&lt;=Scenarios!$F$86),IF((7-'Exit Strategy'!$C$5)*12&lt;=IFERROR('Exit Strategy'!$C$28,0),0,IFERROR(-CUMPRINC('Exit Strategy'!$C$10/12,'Exit Strategy'!$C$11*12,'Exit Strategy'!$C$12,MAX((7-'Exit Strategy'!$C$5-1)*12+1-IFERROR('Exit Strategy'!$C$28,0),1),(7-'Exit Strategy'!$C$5)*12-IFERROR('Exit Strategy'!$C$28,0),0),0)),0)</f>
        <v>0</v>
      </c>
      <c r="Q31" s="751">
        <f>IF(AND(ISNUMBER('Exit Strategy'!$C$5),8&gt;'Exit Strategy'!$C$5,8&lt;=Scenarios!$F$86),IF((8-'Exit Strategy'!$C$5)*12&lt;=IFERROR('Exit Strategy'!$C$28,0),0,IFERROR(-CUMPRINC('Exit Strategy'!$C$10/12,'Exit Strategy'!$C$11*12,'Exit Strategy'!$C$12,MAX((8-'Exit Strategy'!$C$5-1)*12+1-IFERROR('Exit Strategy'!$C$28,0),1),(8-'Exit Strategy'!$C$5)*12-IFERROR('Exit Strategy'!$C$28,0),0),0)),0)</f>
        <v>0</v>
      </c>
      <c r="R31" s="751">
        <f>IF(AND(ISNUMBER('Exit Strategy'!$C$5),9&gt;'Exit Strategy'!$C$5,9&lt;=Scenarios!$F$86),IF((9-'Exit Strategy'!$C$5)*12&lt;=IFERROR('Exit Strategy'!$C$28,0),0,IFERROR(-CUMPRINC('Exit Strategy'!$C$10/12,'Exit Strategy'!$C$11*12,'Exit Strategy'!$C$12,MAX((9-'Exit Strategy'!$C$5-1)*12+1-IFERROR('Exit Strategy'!$C$28,0),1),(9-'Exit Strategy'!$C$5)*12-IFERROR('Exit Strategy'!$C$28,0),0),0)),0)</f>
        <v>0</v>
      </c>
      <c r="S31" s="751">
        <f>IF(AND(ISNUMBER('Exit Strategy'!$C$5),10&gt;'Exit Strategy'!$C$5,10&lt;=Scenarios!$F$86),IF((10-'Exit Strategy'!$C$5)*12&lt;=IFERROR('Exit Strategy'!$C$28,0),0,IFERROR(-CUMPRINC('Exit Strategy'!$C$10/12,'Exit Strategy'!$C$11*12,'Exit Strategy'!$C$12,MAX((10-'Exit Strategy'!$C$5-1)*12+1-IFERROR('Exit Strategy'!$C$28,0),1),(10-'Exit Strategy'!$C$5)*12-IFERROR('Exit Strategy'!$C$28,0),0),0)),0)</f>
        <v>0</v>
      </c>
    </row>
    <row r="32" spans="9:19" ht="16.5" customHeight="1" x14ac:dyDescent="0.25">
      <c r="I32" s="625" t="s">
        <v>1673</v>
      </c>
      <c r="J32" s="743">
        <f>IF(AND(ISNUMBER('Exit Strategy'!$C$5),1&gt;'Exit Strategy'!$C$5,1&lt;=Scenarios!$F$86),IF((1-'Exit Strategy'!$C$5)*12&lt;=IFERROR('Exit Strategy'!$C$28,0),'Exit Strategy'!$C$12*'Exit Strategy'!$C$10,IFERROR(-CUMIPMT('Exit Strategy'!$C$10/12,'Exit Strategy'!$C$11*12,'Exit Strategy'!$C$12,MAX((1-'Exit Strategy'!$C$5-1)*12+1-IFERROR('Exit Strategy'!$C$28,0),1),(1-'Exit Strategy'!$C$5)*12-IFERROR('Exit Strategy'!$C$28,0),0),0)),0)</f>
        <v>0</v>
      </c>
      <c r="K32" s="743">
        <f>IF(AND(ISNUMBER('Exit Strategy'!$C$5),2&gt;'Exit Strategy'!$C$5,2&lt;=Scenarios!$F$86),IF((2-'Exit Strategy'!$C$5)*12&lt;=IFERROR('Exit Strategy'!$C$28,0),'Exit Strategy'!$C$12*'Exit Strategy'!$C$10,IFERROR(-CUMIPMT('Exit Strategy'!$C$10/12,'Exit Strategy'!$C$11*12,'Exit Strategy'!$C$12,MAX((2-'Exit Strategy'!$C$5-1)*12+1-IFERROR('Exit Strategy'!$C$28,0),1),(2-'Exit Strategy'!$C$5)*12-IFERROR('Exit Strategy'!$C$28,0),0),0)),0)</f>
        <v>0</v>
      </c>
      <c r="L32" s="743">
        <f>IF(AND(ISNUMBER('Exit Strategy'!$C$5),3&gt;'Exit Strategy'!$C$5,3&lt;=Scenarios!$F$86),IF((3-'Exit Strategy'!$C$5)*12&lt;=IFERROR('Exit Strategy'!$C$28,0),'Exit Strategy'!$C$12*'Exit Strategy'!$C$10,IFERROR(-CUMIPMT('Exit Strategy'!$C$10/12,'Exit Strategy'!$C$11*12,'Exit Strategy'!$C$12,MAX((3-'Exit Strategy'!$C$5-1)*12+1-IFERROR('Exit Strategy'!$C$28,0),1),(3-'Exit Strategy'!$C$5)*12-IFERROR('Exit Strategy'!$C$28,0),0),0)),0)</f>
        <v>0</v>
      </c>
      <c r="M32" s="743">
        <f>IF(AND(ISNUMBER('Exit Strategy'!$C$5),4&gt;'Exit Strategy'!$C$5,4&lt;=Scenarios!$F$86),IF((4-'Exit Strategy'!$C$5)*12&lt;=IFERROR('Exit Strategy'!$C$28,0),'Exit Strategy'!$C$12*'Exit Strategy'!$C$10,IFERROR(-CUMIPMT('Exit Strategy'!$C$10/12,'Exit Strategy'!$C$11*12,'Exit Strategy'!$C$12,MAX((4-'Exit Strategy'!$C$5-1)*12+1-IFERROR('Exit Strategy'!$C$28,0),1),(4-'Exit Strategy'!$C$5)*12-IFERROR('Exit Strategy'!$C$28,0),0),0)),0)</f>
        <v>0</v>
      </c>
      <c r="N32" s="743">
        <f>IF(AND(ISNUMBER('Exit Strategy'!$C$5),5&gt;'Exit Strategy'!$C$5,5&lt;=Scenarios!$F$86),IF((5-'Exit Strategy'!$C$5)*12&lt;=IFERROR('Exit Strategy'!$C$28,0),'Exit Strategy'!$C$12*'Exit Strategy'!$C$10,IFERROR(-CUMIPMT('Exit Strategy'!$C$10/12,'Exit Strategy'!$C$11*12,'Exit Strategy'!$C$12,MAX((5-'Exit Strategy'!$C$5-1)*12+1-IFERROR('Exit Strategy'!$C$28,0),1),(5-'Exit Strategy'!$C$5)*12-IFERROR('Exit Strategy'!$C$28,0),0),0)),0)</f>
        <v>0</v>
      </c>
      <c r="O32" s="743">
        <f>IF(AND(ISNUMBER('Exit Strategy'!$C$5),6&gt;'Exit Strategy'!$C$5,6&lt;=Scenarios!$F$86),IF((6-'Exit Strategy'!$C$5)*12&lt;=IFERROR('Exit Strategy'!$C$28,0),'Exit Strategy'!$C$12*'Exit Strategy'!$C$10,IFERROR(-CUMIPMT('Exit Strategy'!$C$10/12,'Exit Strategy'!$C$11*12,'Exit Strategy'!$C$12,MAX((6-'Exit Strategy'!$C$5-1)*12+1-IFERROR('Exit Strategy'!$C$28,0),1),(6-'Exit Strategy'!$C$5)*12-IFERROR('Exit Strategy'!$C$28,0),0),0)),0)</f>
        <v>0</v>
      </c>
      <c r="P32" s="743">
        <f>IF(AND(ISNUMBER('Exit Strategy'!$C$5),7&gt;'Exit Strategy'!$C$5,7&lt;=Scenarios!$F$86),IF((7-'Exit Strategy'!$C$5)*12&lt;=IFERROR('Exit Strategy'!$C$28,0),'Exit Strategy'!$C$12*'Exit Strategy'!$C$10,IFERROR(-CUMIPMT('Exit Strategy'!$C$10/12,'Exit Strategy'!$C$11*12,'Exit Strategy'!$C$12,MAX((7-'Exit Strategy'!$C$5-1)*12+1-IFERROR('Exit Strategy'!$C$28,0),1),(7-'Exit Strategy'!$C$5)*12-IFERROR('Exit Strategy'!$C$28,0),0),0)),0)</f>
        <v>0</v>
      </c>
      <c r="Q32" s="743">
        <f>IF(AND(ISNUMBER('Exit Strategy'!$C$5),8&gt;'Exit Strategy'!$C$5,8&lt;=Scenarios!$F$86),IF((8-'Exit Strategy'!$C$5)*12&lt;=IFERROR('Exit Strategy'!$C$28,0),'Exit Strategy'!$C$12*'Exit Strategy'!$C$10,IFERROR(-CUMIPMT('Exit Strategy'!$C$10/12,'Exit Strategy'!$C$11*12,'Exit Strategy'!$C$12,MAX((8-'Exit Strategy'!$C$5-1)*12+1-IFERROR('Exit Strategy'!$C$28,0),1),(8-'Exit Strategy'!$C$5)*12-IFERROR('Exit Strategy'!$C$28,0),0),0)),0)</f>
        <v>0</v>
      </c>
      <c r="R32" s="743">
        <f>IF(AND(ISNUMBER('Exit Strategy'!$C$5),9&gt;'Exit Strategy'!$C$5,9&lt;=Scenarios!$F$86),IF((9-'Exit Strategy'!$C$5)*12&lt;=IFERROR('Exit Strategy'!$C$28,0),'Exit Strategy'!$C$12*'Exit Strategy'!$C$10,IFERROR(-CUMIPMT('Exit Strategy'!$C$10/12,'Exit Strategy'!$C$11*12,'Exit Strategy'!$C$12,MAX((9-'Exit Strategy'!$C$5-1)*12+1-IFERROR('Exit Strategy'!$C$28,0),1),(9-'Exit Strategy'!$C$5)*12-IFERROR('Exit Strategy'!$C$28,0),0),0)),0)</f>
        <v>0</v>
      </c>
      <c r="S32" s="743">
        <f>IF(AND(ISNUMBER('Exit Strategy'!$C$5),10&gt;'Exit Strategy'!$C$5,10&lt;=Scenarios!$F$86),IF((10-'Exit Strategy'!$C$5)*12&lt;=IFERROR('Exit Strategy'!$C$28,0),'Exit Strategy'!$C$12*'Exit Strategy'!$C$10,IFERROR(-CUMIPMT('Exit Strategy'!$C$10/12,'Exit Strategy'!$C$11*12,'Exit Strategy'!$C$12,MAX((10-'Exit Strategy'!$C$5-1)*12+1-IFERROR('Exit Strategy'!$C$28,0),1),(10-'Exit Strategy'!$C$5)*12-IFERROR('Exit Strategy'!$C$28,0),0),0)),0)</f>
        <v>0</v>
      </c>
    </row>
    <row r="33" spans="9:19" ht="16.5" customHeight="1" x14ac:dyDescent="0.25">
      <c r="I33" s="753" t="s">
        <v>1675</v>
      </c>
      <c r="J33" s="754">
        <f t="shared" ref="J33:S33" si="6">J31+J32</f>
        <v>0</v>
      </c>
      <c r="K33" s="754">
        <f t="shared" si="6"/>
        <v>0</v>
      </c>
      <c r="L33" s="754">
        <f t="shared" si="6"/>
        <v>0</v>
      </c>
      <c r="M33" s="754">
        <f t="shared" si="6"/>
        <v>0</v>
      </c>
      <c r="N33" s="754">
        <f t="shared" si="6"/>
        <v>0</v>
      </c>
      <c r="O33" s="754">
        <f t="shared" si="6"/>
        <v>0</v>
      </c>
      <c r="P33" s="754">
        <f t="shared" si="6"/>
        <v>0</v>
      </c>
      <c r="Q33" s="754">
        <f t="shared" si="6"/>
        <v>0</v>
      </c>
      <c r="R33" s="754">
        <f t="shared" si="6"/>
        <v>0</v>
      </c>
      <c r="S33" s="754">
        <f t="shared" si="6"/>
        <v>0</v>
      </c>
    </row>
    <row r="34" spans="9:19" ht="16.5" customHeight="1" x14ac:dyDescent="0.25">
      <c r="I34" s="755" t="s">
        <v>1677</v>
      </c>
      <c r="J34" s="756">
        <f t="shared" ref="J34:S34" si="7">J30-J31</f>
        <v>0</v>
      </c>
      <c r="K34" s="756">
        <f t="shared" si="7"/>
        <v>0</v>
      </c>
      <c r="L34" s="756">
        <f t="shared" si="7"/>
        <v>0</v>
      </c>
      <c r="M34" s="756">
        <f t="shared" si="7"/>
        <v>0</v>
      </c>
      <c r="N34" s="756">
        <f t="shared" si="7"/>
        <v>0</v>
      </c>
      <c r="O34" s="756">
        <f t="shared" si="7"/>
        <v>0</v>
      </c>
      <c r="P34" s="756">
        <f t="shared" si="7"/>
        <v>0</v>
      </c>
      <c r="Q34" s="756">
        <f t="shared" si="7"/>
        <v>0</v>
      </c>
      <c r="R34" s="756">
        <f t="shared" si="7"/>
        <v>0</v>
      </c>
      <c r="S34" s="756">
        <f t="shared" si="7"/>
        <v>0</v>
      </c>
    </row>
    <row r="35" spans="9:19" ht="6" customHeight="1" x14ac:dyDescent="0.25"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</row>
    <row r="36" spans="9:19" ht="21.75" customHeight="1" x14ac:dyDescent="0.25">
      <c r="I36" s="766" t="s">
        <v>1653</v>
      </c>
      <c r="J36" s="736"/>
      <c r="K36" s="736"/>
      <c r="L36" s="736"/>
      <c r="M36" s="736"/>
      <c r="N36" s="736"/>
      <c r="O36" s="736"/>
      <c r="P36" s="736"/>
      <c r="Q36" s="736"/>
      <c r="R36" s="736"/>
      <c r="S36" s="736"/>
    </row>
    <row r="37" spans="9:19" ht="16.5" customHeight="1" x14ac:dyDescent="0.25">
      <c r="I37" s="625" t="s">
        <v>1669</v>
      </c>
      <c r="J37" s="743">
        <f t="shared" ref="J37:S37" si="8">J7+J15+J23+J30</f>
        <v>0</v>
      </c>
      <c r="K37" s="743">
        <f t="shared" si="8"/>
        <v>0</v>
      </c>
      <c r="L37" s="743">
        <f t="shared" si="8"/>
        <v>0</v>
      </c>
      <c r="M37" s="743">
        <f t="shared" si="8"/>
        <v>0</v>
      </c>
      <c r="N37" s="743">
        <f t="shared" si="8"/>
        <v>0</v>
      </c>
      <c r="O37" s="743">
        <f t="shared" si="8"/>
        <v>0</v>
      </c>
      <c r="P37" s="743">
        <f t="shared" si="8"/>
        <v>0</v>
      </c>
      <c r="Q37" s="743">
        <f t="shared" si="8"/>
        <v>0</v>
      </c>
      <c r="R37" s="743">
        <f t="shared" si="8"/>
        <v>0</v>
      </c>
      <c r="S37" s="743">
        <f t="shared" si="8"/>
        <v>0</v>
      </c>
    </row>
    <row r="38" spans="9:19" ht="16.5" customHeight="1" x14ac:dyDescent="0.25">
      <c r="I38" s="627" t="s">
        <v>1673</v>
      </c>
      <c r="J38" s="751">
        <f t="shared" ref="J38:S38" si="9">J9+J17+J25+J32</f>
        <v>0</v>
      </c>
      <c r="K38" s="751">
        <f t="shared" si="9"/>
        <v>0</v>
      </c>
      <c r="L38" s="751">
        <f t="shared" si="9"/>
        <v>0</v>
      </c>
      <c r="M38" s="751">
        <f t="shared" si="9"/>
        <v>0</v>
      </c>
      <c r="N38" s="751">
        <f t="shared" si="9"/>
        <v>0</v>
      </c>
      <c r="O38" s="751">
        <f t="shared" si="9"/>
        <v>0</v>
      </c>
      <c r="P38" s="751">
        <f t="shared" si="9"/>
        <v>0</v>
      </c>
      <c r="Q38" s="751">
        <f t="shared" si="9"/>
        <v>0</v>
      </c>
      <c r="R38" s="751">
        <f t="shared" si="9"/>
        <v>0</v>
      </c>
      <c r="S38" s="751">
        <f t="shared" si="9"/>
        <v>0</v>
      </c>
    </row>
    <row r="39" spans="9:19" ht="16.5" customHeight="1" x14ac:dyDescent="0.25">
      <c r="I39" s="767" t="s">
        <v>1683</v>
      </c>
      <c r="J39" s="768">
        <f>J38</f>
        <v>0</v>
      </c>
      <c r="K39" s="768">
        <f t="shared" ref="K39:S39" si="10">J39+K38</f>
        <v>0</v>
      </c>
      <c r="L39" s="768">
        <f t="shared" si="10"/>
        <v>0</v>
      </c>
      <c r="M39" s="768">
        <f t="shared" si="10"/>
        <v>0</v>
      </c>
      <c r="N39" s="768">
        <f t="shared" si="10"/>
        <v>0</v>
      </c>
      <c r="O39" s="768">
        <f t="shared" si="10"/>
        <v>0</v>
      </c>
      <c r="P39" s="768">
        <f t="shared" si="10"/>
        <v>0</v>
      </c>
      <c r="Q39" s="768">
        <f t="shared" si="10"/>
        <v>0</v>
      </c>
      <c r="R39" s="768">
        <f t="shared" si="10"/>
        <v>0</v>
      </c>
      <c r="S39" s="768">
        <f t="shared" si="10"/>
        <v>0</v>
      </c>
    </row>
    <row r="40" spans="9:19" ht="16.5" customHeight="1" x14ac:dyDescent="0.25">
      <c r="I40" s="627" t="s">
        <v>1671</v>
      </c>
      <c r="J40" s="751">
        <f t="shared" ref="J40:S40" si="11">J8+J16+J24+J31</f>
        <v>0</v>
      </c>
      <c r="K40" s="751">
        <f t="shared" si="11"/>
        <v>0</v>
      </c>
      <c r="L40" s="751">
        <f t="shared" si="11"/>
        <v>0</v>
      </c>
      <c r="M40" s="751">
        <f t="shared" si="11"/>
        <v>0</v>
      </c>
      <c r="N40" s="751">
        <f t="shared" si="11"/>
        <v>0</v>
      </c>
      <c r="O40" s="751">
        <f t="shared" si="11"/>
        <v>0</v>
      </c>
      <c r="P40" s="751">
        <f t="shared" si="11"/>
        <v>0</v>
      </c>
      <c r="Q40" s="751">
        <f t="shared" si="11"/>
        <v>0</v>
      </c>
      <c r="R40" s="751">
        <f t="shared" si="11"/>
        <v>0</v>
      </c>
      <c r="S40" s="751">
        <f t="shared" si="11"/>
        <v>0</v>
      </c>
    </row>
    <row r="41" spans="9:19" ht="16.5" customHeight="1" x14ac:dyDescent="0.25">
      <c r="I41" s="767" t="s">
        <v>1684</v>
      </c>
      <c r="J41" s="768">
        <f>J40</f>
        <v>0</v>
      </c>
      <c r="K41" s="768">
        <f t="shared" ref="K41:S41" si="12">J41+K40</f>
        <v>0</v>
      </c>
      <c r="L41" s="768">
        <f t="shared" si="12"/>
        <v>0</v>
      </c>
      <c r="M41" s="768">
        <f t="shared" si="12"/>
        <v>0</v>
      </c>
      <c r="N41" s="768">
        <f t="shared" si="12"/>
        <v>0</v>
      </c>
      <c r="O41" s="768">
        <f t="shared" si="12"/>
        <v>0</v>
      </c>
      <c r="P41" s="768">
        <f t="shared" si="12"/>
        <v>0</v>
      </c>
      <c r="Q41" s="768">
        <f t="shared" si="12"/>
        <v>0</v>
      </c>
      <c r="R41" s="768">
        <f t="shared" si="12"/>
        <v>0</v>
      </c>
      <c r="S41" s="768">
        <f t="shared" si="12"/>
        <v>0</v>
      </c>
    </row>
    <row r="42" spans="9:19" ht="16.5" customHeight="1" x14ac:dyDescent="0.25">
      <c r="I42" s="753" t="s">
        <v>1675</v>
      </c>
      <c r="J42" s="754">
        <f t="shared" ref="J42:S42" si="13">J40+J38</f>
        <v>0</v>
      </c>
      <c r="K42" s="754">
        <f t="shared" si="13"/>
        <v>0</v>
      </c>
      <c r="L42" s="754">
        <f t="shared" si="13"/>
        <v>0</v>
      </c>
      <c r="M42" s="754">
        <f t="shared" si="13"/>
        <v>0</v>
      </c>
      <c r="N42" s="754">
        <f t="shared" si="13"/>
        <v>0</v>
      </c>
      <c r="O42" s="754">
        <f t="shared" si="13"/>
        <v>0</v>
      </c>
      <c r="P42" s="754">
        <f t="shared" si="13"/>
        <v>0</v>
      </c>
      <c r="Q42" s="754">
        <f t="shared" si="13"/>
        <v>0</v>
      </c>
      <c r="R42" s="754">
        <f t="shared" si="13"/>
        <v>0</v>
      </c>
      <c r="S42" s="754">
        <f t="shared" si="13"/>
        <v>0</v>
      </c>
    </row>
    <row r="43" spans="9:19" ht="16.5" customHeight="1" x14ac:dyDescent="0.25">
      <c r="I43" s="755" t="s">
        <v>1677</v>
      </c>
      <c r="J43" s="756">
        <f t="shared" ref="J43:S43" si="14">J11+J19+J27+J34</f>
        <v>0</v>
      </c>
      <c r="K43" s="756">
        <f t="shared" si="14"/>
        <v>0</v>
      </c>
      <c r="L43" s="756">
        <f t="shared" si="14"/>
        <v>0</v>
      </c>
      <c r="M43" s="756">
        <f t="shared" si="14"/>
        <v>0</v>
      </c>
      <c r="N43" s="756">
        <f t="shared" si="14"/>
        <v>0</v>
      </c>
      <c r="O43" s="756">
        <f t="shared" si="14"/>
        <v>0</v>
      </c>
      <c r="P43" s="756">
        <f t="shared" si="14"/>
        <v>0</v>
      </c>
      <c r="Q43" s="756">
        <f t="shared" si="14"/>
        <v>0</v>
      </c>
      <c r="R43" s="756">
        <f t="shared" si="14"/>
        <v>0</v>
      </c>
      <c r="S43" s="756">
        <f t="shared" si="14"/>
        <v>0</v>
      </c>
    </row>
    <row r="44" spans="9:19" ht="16.5" customHeight="1" x14ac:dyDescent="0.25"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</row>
    <row r="45" spans="9:19" ht="16.5" customHeight="1" x14ac:dyDescent="0.25"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</row>
    <row r="46" spans="9:19" ht="6" customHeight="1" x14ac:dyDescent="0.25"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</row>
    <row r="47" spans="9:19" ht="19.5" customHeight="1" x14ac:dyDescent="0.25"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</row>
    <row r="48" spans="9:19" ht="16.5" customHeight="1" x14ac:dyDescent="0.25"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</row>
    <row r="49" spans="9:19" ht="16.5" customHeight="1" x14ac:dyDescent="0.25"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</row>
    <row r="50" spans="9:19" ht="16.5" customHeight="1" x14ac:dyDescent="0.25"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</row>
    <row r="51" spans="9:19" ht="16.5" customHeight="1" x14ac:dyDescent="0.25"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</row>
    <row r="52" spans="9:19" ht="16.5" customHeight="1" x14ac:dyDescent="0.25"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</row>
    <row r="53" spans="9:19" ht="6" customHeight="1" x14ac:dyDescent="0.25"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</row>
    <row r="54" spans="9:19" ht="21.75" customHeight="1" x14ac:dyDescent="0.25"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</row>
    <row r="55" spans="9:19" ht="16.5" customHeight="1" x14ac:dyDescent="0.25"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</row>
    <row r="56" spans="9:19" ht="16.5" customHeight="1" x14ac:dyDescent="0.25"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</row>
    <row r="57" spans="9:19" ht="16.5" customHeight="1" x14ac:dyDescent="0.25"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</row>
    <row r="58" spans="9:19" ht="16.5" customHeight="1" x14ac:dyDescent="0.25"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</row>
    <row r="59" spans="9:19" ht="16.5" customHeight="1" x14ac:dyDescent="0.25"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</row>
    <row r="60" spans="9:19" ht="16.5" customHeight="1" x14ac:dyDescent="0.25"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</row>
    <row r="61" spans="9:19" ht="16.5" customHeight="1" x14ac:dyDescent="0.25"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</row>
    <row r="62" spans="9:19" ht="15" customHeight="1" x14ac:dyDescent="0.25"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</row>
    <row r="63" spans="9:19" ht="15" customHeight="1" x14ac:dyDescent="0.25"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</row>
    <row r="64" spans="9:19" ht="15" customHeight="1" x14ac:dyDescent="0.25"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</row>
    <row r="65" spans="9:19" ht="15" customHeight="1" x14ac:dyDescent="0.25"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</row>
    <row r="66" spans="9:19" ht="15" customHeight="1" x14ac:dyDescent="0.25"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</row>
    <row r="67" spans="9:19" ht="15" customHeight="1" x14ac:dyDescent="0.25"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</row>
    <row r="68" spans="9:19" ht="15" customHeight="1" x14ac:dyDescent="0.25"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</row>
    <row r="69" spans="9:19" ht="15" customHeight="1" x14ac:dyDescent="0.25"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</row>
    <row r="70" spans="9:19" ht="15" customHeight="1" x14ac:dyDescent="0.25"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</row>
  </sheetData>
  <mergeCells count="2">
    <mergeCell ref="A2:F2"/>
    <mergeCell ref="A1:F1"/>
  </mergeCells>
  <dataValidations count="1">
    <dataValidation type="list" sqref="J6 J14 J22" xr:uid="{00000000-0002-0000-0F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Cover</vt:lpstr>
      <vt:lpstr>Prop Info</vt:lpstr>
      <vt:lpstr>Scenarios</vt:lpstr>
      <vt:lpstr>P&amp;L</vt:lpstr>
      <vt:lpstr>T-12 Analysis</vt:lpstr>
      <vt:lpstr>Acquisition Costs</vt:lpstr>
      <vt:lpstr>Staffing Matrix</vt:lpstr>
      <vt:lpstr>Rent Roll Analysis</vt:lpstr>
      <vt:lpstr>Rental Comps</vt:lpstr>
      <vt:lpstr>Capex</vt:lpstr>
      <vt:lpstr>Exit Strategy</vt:lpstr>
      <vt:lpstr>Waterfall</vt:lpstr>
      <vt:lpstr>LP Return Illustration</vt:lpstr>
      <vt:lpstr>Sensitivity</vt:lpstr>
      <vt:lpstr>XIRR Analysis</vt:lpstr>
      <vt:lpstr>Loans</vt:lpstr>
      <vt:lpstr>Beds</vt:lpstr>
      <vt:lpstr>EGI</vt:lpstr>
      <vt:lpstr>Total_LPA_Equity</vt:lpstr>
      <vt:lpstr>Total_Payroll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 J</cp:lastModifiedBy>
  <cp:revision>1</cp:revision>
  <dcterms:created xsi:type="dcterms:W3CDTF">2026-03-25T21:57:35Z</dcterms:created>
  <dcterms:modified xsi:type="dcterms:W3CDTF">2026-06-16T19:48:05Z</dcterms:modified>
  <dc:language>en-US</dc:language>
</cp:coreProperties>
</file>