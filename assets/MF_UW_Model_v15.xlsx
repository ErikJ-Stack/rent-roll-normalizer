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comments6.xml" ContentType="application/vnd.openxmlformats-officedocument.spreadsheetml.comments+xml"/>
  <Override PartName="/xl/comments18.xml" ContentType="application/vnd.openxmlformats-officedocument.spreadsheetml.comment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over" sheetId="1" state="visible" r:id="rId3"/>
    <sheet name="Inputs" sheetId="2" state="visible" r:id="rId4"/>
    <sheet name="Prop Info" sheetId="3" state="visible" r:id="rId5"/>
    <sheet name="Data Refresh" sheetId="4" state="visible" r:id="rId6"/>
    <sheet name="Data Checklist" sheetId="5" state="visible" r:id="rId7"/>
    <sheet name="Scenarios" sheetId="6" state="visible" r:id="rId8"/>
    <sheet name="Acquisition Costs" sheetId="7" state="visible" r:id="rId9"/>
    <sheet name="T-12 Analysis" sheetId="8" state="visible" r:id="rId10"/>
    <sheet name="Recapture &amp; Upside" sheetId="9" state="visible" r:id="rId11"/>
    <sheet name="Rent Roll Analysis" sheetId="10" state="visible" r:id="rId12"/>
    <sheet name="P&amp;L" sheetId="11" state="visible" r:id="rId13"/>
    <sheet name="Lease-Up &amp; Capital Call" sheetId="12" state="visible" r:id="rId14"/>
    <sheet name="Loans" sheetId="13" state="visible" r:id="rId15"/>
    <sheet name="Rental Comps" sheetId="14" state="visible" r:id="rId16"/>
    <sheet name="Capex" sheetId="15" state="visible" r:id="rId17"/>
    <sheet name="Payroll" sheetId="16" state="visible" r:id="rId18"/>
    <sheet name="Waterfall" sheetId="17" state="visible" r:id="rId19"/>
    <sheet name="Exit Strategy" sheetId="18" state="visible" r:id="rId20"/>
    <sheet name="XIRR Analysis" sheetId="19" state="visible" r:id="rId21"/>
    <sheet name="Sensitivity" sheetId="20" state="visible" r:id="rId22"/>
    <sheet name="LP Return Illustration" sheetId="21" state="visible" r:id="rId23"/>
    <sheet name="Portfolio Rollup" sheetId="22" state="visible" r:id="rId24"/>
    <sheet name="_StdCOA" sheetId="23" state="hidden" r:id="rId25"/>
  </sheets>
  <definedNames>
    <definedName function="false" hidden="true" localSheetId="7" name="_xlnm._FilterDatabase" vbProcedure="false">'T-12 Analysis'!$A$105:$R$255</definedName>
    <definedName function="false" hidden="false" name="EGI" vbProcedure="false">Scenarios!$F$50</definedName>
    <definedName function="false" hidden="false" name="StdBuckets" vbProcedure="false">_StdCOA!$A$4:$A$56</definedName>
    <definedName function="false" hidden="false" name="Total_Payroll" vbProcedure="false">Payroll!$F$25</definedName>
    <definedName function="false" hidden="false" name="Units" vbProcedure="false">Scenarios!$B$8</definedName>
  </definedName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39" authorId="0">
      <text>
        <r>
          <rPr>
            <sz val="10"/>
            <rFont val="Arial"/>
            <family val="2"/>
          </rPr>
          <t xml:space="preserve">T-12 Actual: GPR (T-12!N58) </t>
        </r>
        <r>
          <rPr>
            <sz val="11"/>
            <color rgb="FF000000"/>
            <rFont val="Calibri"/>
            <family val="2"/>
            <charset val="1"/>
          </rPr>
          <t xml:space="preserve">÷ 12 mo ÷ 143 units = monthly scheduled rent/unit. This reflects what the operator was contractually charging, not the marketing brochure rent.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-199</xdr:colOff>
                <xdr:row>3</xdr:row>
                <xdr:rowOff>16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Erik Javellana</author>
    <author>Unknown Author</author>
  </authors>
  <commentList>
    <comment ref="A18" authorId="0">
      <text>
        <r>
          <rPr>
            <sz val="10"/>
            <rFont val="Arial"/>
            <family val="2"/>
          </rPr>
          <t xml:space="preserve">Erik Javellana:
Catch-all: any unit whose Status label doesn't match the buckets above. Count = total units in RR minus all mapped buckets. Should be 0 — if positive, a status label in column E isn't recognized by the taxonomy and needs a bucket.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-234</xdr:colOff>
                <xdr:row>3</xdr:row>
                <xdr:rowOff>4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Erik Javellana:
Memo line — NOT added to TOTAL. Notice Given is a flag on occupied units (already counted in rows 9-11), so it is shown separately to avoid double-counting.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-234</xdr:colOff>
                <xdr:row>3</xdr:row>
                <xdr:rowOff>4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Erik Javellana:
Occupied units on notice. Counts an occupied unit if its Status text contains "NTV" OR it has an Expected Move-Out date in column K. Memo only — not added to TOTAL (already counted in rows 9-11).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-234</xdr:colOff>
                <xdr:row>3</xdr:row>
                <xdr:rowOff>4</xdr:rowOff>
              </xdr:to>
            </anchor>
          </commentPr>
        </mc:Choice>
        <mc:Fallback/>
      </mc:AlternateContent>
    </comment>
    <comment ref="F21" authorId="1">
      <text>
        <r>
          <rPr>
            <sz val="10"/>
            <rFont val="Arial"/>
            <family val="2"/>
          </rPr>
          <t xml:space="preserve">F17 = Avg Scheduled Rent per OCCUPIED unit per month.
Formula: SUM(D9:D11) / SUM(B9:B11)
= Total scheduled charges on occupied units ÷ Total occupied unit count
Compare to Scenarios!C38 (smart-source market rent) to see Loss to Lease per unit.
If F17 &gt; C38: tenants paying above market (no rent-push upside from in-place leases).
If F17 &lt; C38: tenants paying below market (upside exists from renewals).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-234</xdr:colOff>
                <xdr:row>3</xdr:row>
                <xdr:rowOff>4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Erik Javellana</author>
  </authors>
  <commentList>
    <comment ref="A1" authorId="0">
      <text>
        <r>
          <rPr>
            <sz val="10"/>
            <rFont val="Arial"/>
            <family val="2"/>
          </rPr>
          <t xml:space="preserve">Erik Javellana:
Audit findings — see notes on B11, B12, B23, B89, C46, C53, C59, C64, C66, L48, L52, L53, L55, M52, M53, M55, N72, N76. Reserve-release formulas (B28, B48:B50, etc.) reference Scenarios!F149:F151 — those rows exist at C149:C151, not column 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-105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Linked to Scenarios!F36 (Class B pref rate, active scenario).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-105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Erik Javellana</author>
  </authors>
  <commentList>
    <comment ref="A45" authorId="0">
      <text>
        <r>
          <rPr>
            <sz val="10"/>
            <rFont val="Arial"/>
            <family val="2"/>
          </rPr>
          <t xml:space="preserve">Erik Javellana:
Year driven by Refi Year input at C5 (defaults to Y3 if blank).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-144</xdr:colOff>
                <xdr:row>4</xdr:row>
                <xdr:rowOff>3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Erik Javellana:
Pulls outstanding loan balance at refi year from the Refi block (C15 is negative repayment, so negated here as a positive payoff).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-144</xdr:colOff>
                <xdr:row>4</xdr:row>
                <xdr:rowOff>3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Erik Javellana:
Principal Reduction = Initial Loan Balance (sum of 3 tranches) less Repay Outstanding Loan Balance (C15 is negative, so adding it gives reduction).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-144</xdr:colOff>
                <xdr:row>4</xdr:row>
                <xdr:rowOff>3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Erik Javellana:
Sizes loan per program: Loan = NOI / MinDY. Annual DS = PMT(rate/12, amort*12, Loan)*12. Qualifies if NOI/DS &gt;= MinDSCR. Returns earliest qualifying year Y1-Y10.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-144</xdr:colOff>
                <xdr:row>4</xdr:row>
                <xdr:rowOff>3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Erik Javellana:
Manual input: insurance/tax/lender escrows recovered at sale. Template references 'Acquisition Costs'!D35:D36 which may not map here — set to 0 or enter actual escrow balance.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-144</xdr:colOff>
                <xdr:row>4</xdr:row>
                <xdr:rowOff>3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Erik Javellana:
Manual input: operating reserves remaining at exit year. Destination P&amp;L does not carry a reserve-stock row — enter the balance you expect to recover.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-144</xdr:colOff>
                <xdr:row>4</xdr:row>
                <xdr:rowOff>3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Erik Javellana:
If refi year is set, this rolls the new refi loan forward from refi year to sale year. Otherwise uses Scenarios!F115 (orig loan balance at sale).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-144</xdr:colOff>
                <xdr:row>4</xdr:row>
                <xdr:rowOff>3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Erik Javellana:
Template formula: MAX((Waterfall!M39+M41)-(Waterfall!M40+M42),0). Destination Waterfall layout may differ — verify M40/M42 hold cumulative pref paid before refining.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-144</xdr:colOff>
                <xdr:row>4</xdr:row>
                <xdr:rowOff>3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Erik Javellana:
Principal Reduction = initial loan (sum of 3 tranches) less outstanding balance at sale (G11 already negative).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-144</xdr:colOff>
                <xdr:row>4</xdr:row>
                <xdr:rowOff>3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Erik Javellana:
Broken reference: this workbook has no 'XIRR Analysis' tab. Returns #REF until that sheet is built. Replace formula with this workbook's IRR calc if available.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-144</xdr:colOff>
                <xdr:row>4</xdr:row>
                <xdr:rowOff>3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Erik Javellana:
Reference to 'LP Return Illustration'!B30. Verify that cell holds the average Class A LP cash-on-cash; if not, repoint to the correct cell.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59</xdr:colOff>
                <xdr:row>0</xdr:row>
                <xdr:rowOff>2</xdr:rowOff>
              </xdr:from>
              <xdr:to>
                <xdr:col>1</xdr:col>
                <xdr:colOff>-144</xdr:colOff>
                <xdr:row>4</xdr:row>
                <xdr:rowOff>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<sst xmlns="http://schemas.openxmlformats.org/spreadsheetml/2006/main" count="4304" uniqueCount="2344">
  <si>
    <t xml:space="preserve">Confidential — For Authorized Recipients Only</t>
  </si>
  <si>
    <t xml:space="preserve">PROPERTY INFORMATION</t>
  </si>
  <si>
    <t xml:space="preserve">Property Name</t>
  </si>
  <si>
    <t xml:space="preserve">Location</t>
  </si>
  <si>
    <t xml:space="preserve">Year Built</t>
  </si>
  <si>
    <t xml:space="preserve">Total Units</t>
  </si>
  <si>
    <t xml:space="preserve">Gross Sq Ft</t>
  </si>
  <si>
    <t xml:space="preserve">Asset Class (A/B/C)</t>
  </si>
  <si>
    <t xml:space="preserve">Active Scenario</t>
  </si>
  <si>
    <t xml:space="preserve">Avg Monthly Rent / Unit</t>
  </si>
  <si>
    <t xml:space="preserve">KEY DEAL METRICS</t>
  </si>
  <si>
    <t xml:space="preserve">Metric</t>
  </si>
  <si>
    <t xml:space="preserve">Value</t>
  </si>
  <si>
    <t xml:space="preserve">/ Beds</t>
  </si>
  <si>
    <t xml:space="preserve">Returns Metric</t>
  </si>
  <si>
    <t xml:space="preserve">Purchase Price</t>
  </si>
  <si>
    <t xml:space="preserve">LP IRR</t>
  </si>
  <si>
    <t xml:space="preserve">Price Per Unit</t>
  </si>
  <si>
    <t xml:space="preserve">GP IRR</t>
  </si>
  <si>
    <t xml:space="preserve">Total Acquisition Cost</t>
  </si>
  <si>
    <t xml:space="preserve">LP Equity Multiple</t>
  </si>
  <si>
    <t xml:space="preserve">Loan Amount (Total)</t>
  </si>
  <si>
    <t xml:space="preserve">Y1 Cash-on-Cash</t>
  </si>
  <si>
    <t xml:space="preserve">LTV</t>
  </si>
  <si>
    <t xml:space="preserve">Year 5 NOI</t>
  </si>
  <si>
    <t xml:space="preserve">LTC</t>
  </si>
  <si>
    <t xml:space="preserve">Exit Year</t>
  </si>
  <si>
    <t xml:space="preserve">Equity Required</t>
  </si>
  <si>
    <t xml:space="preserve">Exit Cap Rate</t>
  </si>
  <si>
    <t xml:space="preserve">Down Payment %</t>
  </si>
  <si>
    <t xml:space="preserve">Gross Sale Price</t>
  </si>
  <si>
    <t xml:space="preserve">Entry Cap Rate</t>
  </si>
  <si>
    <t xml:space="preserve">Net to Equity (Exit)</t>
  </si>
  <si>
    <t xml:space="preserve">Stabilized Cap Rate (Y5)</t>
  </si>
  <si>
    <t xml:space="preserve">Avg Annual Return (LP)</t>
  </si>
  <si>
    <t xml:space="preserve">CAPITAL STACK</t>
  </si>
  <si>
    <t xml:space="preserve">Tranche</t>
  </si>
  <si>
    <t xml:space="preserve">Amount</t>
  </si>
  <si>
    <t xml:space="preserve">%</t>
  </si>
  <si>
    <t xml:space="preserve">Rate</t>
  </si>
  <si>
    <t xml:space="preserve">Term (yrs)</t>
  </si>
  <si>
    <t xml:space="preserve">Amort (yrs)</t>
  </si>
  <si>
    <t xml:space="preserve">Senior Loan (1st)</t>
  </si>
  <si>
    <t xml:space="preserve">2nd Loan</t>
  </si>
  <si>
    <t xml:space="preserve">Supplemental</t>
  </si>
  <si>
    <t xml:space="preserve">GP Equity</t>
  </si>
  <si>
    <t xml:space="preserve">—</t>
  </si>
  <si>
    <t xml:space="preserve">Class A LP Equity</t>
  </si>
  <si>
    <t xml:space="preserve">Class B LP Equity</t>
  </si>
  <si>
    <t xml:space="preserve">TOTAL</t>
  </si>
  <si>
    <t xml:space="preserve">INVESTOR RETURNS SUMMARY</t>
  </si>
  <si>
    <t xml:space="preserve">Class A LP</t>
  </si>
  <si>
    <t xml:space="preserve">Class B LP</t>
  </si>
  <si>
    <t xml:space="preserve">LP Combined</t>
  </si>
  <si>
    <t xml:space="preserve">GP</t>
  </si>
  <si>
    <t xml:space="preserve">Notes</t>
  </si>
  <si>
    <t xml:space="preserve">Total Equity Invested</t>
  </si>
  <si>
    <t xml:space="preserve">Capital contributed by each party</t>
  </si>
  <si>
    <t xml:space="preserve">Total Distributions</t>
  </si>
  <si>
    <t xml:space="preserve">Operating CF + exit proceeds</t>
  </si>
  <si>
    <t xml:space="preserve">Net Profit</t>
  </si>
  <si>
    <t xml:space="preserve">Equity Multiple (EM)</t>
  </si>
  <si>
    <t xml:space="preserve">Total value returned / capital in</t>
  </si>
  <si>
    <t xml:space="preserve">IRR</t>
  </si>
  <si>
    <t xml:space="preserve">Includes exit proceeds</t>
  </si>
  <si>
    <t xml:space="preserve">Avg Annual Return  (simple, incl. exit)</t>
  </si>
  <si>
    <t xml:space="preserve">Simple: (total distributions − equity) ÷ equity ÷ hold yrs. Not compounded.</t>
  </si>
  <si>
    <t xml:space="preserve">EXIT &amp; DEAL METRICS</t>
  </si>
  <si>
    <t xml:space="preserve">Hold Period (yrs)</t>
  </si>
  <si>
    <t xml:space="preserve">Exit Year NOI</t>
  </si>
  <si>
    <t xml:space="preserve">Y5 NOI</t>
  </si>
  <si>
    <t xml:space="preserve">NOI ÷ exit cap</t>
  </si>
  <si>
    <t xml:space="preserve">Less: Loan Payoff</t>
  </si>
  <si>
    <t xml:space="preserve">Amortized balance</t>
  </si>
  <si>
    <t xml:space="preserve">Net Sale Proceeds</t>
  </si>
  <si>
    <t xml:space="preserve">After selling costs &amp; loan</t>
  </si>
  <si>
    <t xml:space="preserve">Version:</t>
  </si>
  <si>
    <t xml:space="preserve">v13</t>
  </si>
  <si>
    <t xml:space="preserve">Last Updated:</t>
  </si>
  <si>
    <t xml:space="preserve">2026-05-15</t>
  </si>
  <si>
    <t xml:space="preserve">NAVIGATION &amp; LEGEND</t>
  </si>
  <si>
    <t xml:space="preserve">TAB NAVIGATION</t>
  </si>
  <si>
    <t xml:space="preserve">Color Legend:</t>
  </si>
  <si>
    <t xml:space="preserve">Blue</t>
  </si>
  <si>
    <t xml:space="preserve">Hardcoded input — type here</t>
  </si>
  <si>
    <t xml:space="preserve">Black</t>
  </si>
  <si>
    <t xml:space="preserve">Same-sheet formula — do not edit</t>
  </si>
  <si>
    <t xml:space="preserve">Green</t>
  </si>
  <si>
    <t xml:space="preserve">Cross-sheet link — do not edit</t>
  </si>
  <si>
    <t xml:space="preserve">Red</t>
  </si>
  <si>
    <t xml:space="preserve">External file link — do not edit</t>
  </si>
  <si>
    <t xml:space="preserve">COLOR LEGEND</t>
  </si>
  <si>
    <t xml:space="preserve">Total input cells:</t>
  </si>
  <si>
    <t xml:space="preserve">across</t>
  </si>
  <si>
    <t xml:space="preserve">tabs</t>
  </si>
  <si>
    <t xml:space="preserve">Tab</t>
  </si>
  <si>
    <t xml:space="preserve">Cell</t>
  </si>
  <si>
    <t xml:space="preserve">Label</t>
  </si>
  <si>
    <t xml:space="preserve">Current Value</t>
  </si>
  <si>
    <t xml:space="preserve">SCENARIOS</t>
  </si>
  <si>
    <t xml:space="preserve">66 inputs</t>
  </si>
  <si>
    <t xml:space="preserve">Scenarios</t>
  </si>
  <si>
    <t xml:space="preserve">Acquisition Fee (%)</t>
  </si>
  <si>
    <t xml:space="preserve">GP Ownership %</t>
  </si>
  <si>
    <t xml:space="preserve">GP Equity ($)</t>
  </si>
  <si>
    <t xml:space="preserve">Class A Preferred Return %</t>
  </si>
  <si>
    <t xml:space="preserve">Class B Preferred Return % (T-12 Actuals)</t>
  </si>
  <si>
    <t xml:space="preserve">Class B Preferred Return % (My Version)</t>
  </si>
  <si>
    <t xml:space="preserve">Class B Preferred Return % (Projected)</t>
  </si>
  <si>
    <t xml:space="preserve">Class B Preferred Return % (Offer)</t>
  </si>
  <si>
    <t xml:space="preserve">Covered/garage: 1–3% of GPR</t>
  </si>
  <si>
    <t xml:space="preserve">Market Cap Rate</t>
  </si>
  <si>
    <t xml:space="preserve">As-Is Appraised Value</t>
  </si>
  <si>
    <t xml:space="preserve">Origination Fee % — 1st</t>
  </si>
  <si>
    <t xml:space="preserve">Loan Amount — 2nd ($)</t>
  </si>
  <si>
    <t xml:space="preserve">Interest Rate — 2nd (%)</t>
  </si>
  <si>
    <t xml:space="preserve">Amortization (years) — 2nd</t>
  </si>
  <si>
    <t xml:space="preserve">Loan Term (years) — 2nd</t>
  </si>
  <si>
    <t xml:space="preserve">Interest-Only Period (months) — 2nd</t>
  </si>
  <si>
    <t xml:space="preserve">Origination Fee % — 2nd</t>
  </si>
  <si>
    <t xml:space="preserve">Loan Amount — Supplemental ($)</t>
  </si>
  <si>
    <t xml:space="preserve">Interest Rate — Supplemental (%)</t>
  </si>
  <si>
    <t xml:space="preserve">Amortization (years) — Supplemental</t>
  </si>
  <si>
    <t xml:space="preserve">Loan Term (years) — Supplemental</t>
  </si>
  <si>
    <t xml:space="preserve">Interest-Only Period (months) — Supplemental</t>
  </si>
  <si>
    <t xml:space="preserve">Origination Fee % — Supplemental</t>
  </si>
  <si>
    <t xml:space="preserve">Vacancy %</t>
  </si>
  <si>
    <t xml:space="preserve">Bad Debt / Concessions %</t>
  </si>
  <si>
    <t xml:space="preserve">Loss to Lease %</t>
  </si>
  <si>
    <t xml:space="preserve">Mgmt Fee %</t>
  </si>
  <si>
    <t xml:space="preserve">Insurance / Unit / Yr</t>
  </si>
  <si>
    <t xml:space="preserve">CapEx Reserve / Unit / Yr</t>
  </si>
  <si>
    <t xml:space="preserve">R&amp;M / Unit / Yr</t>
  </si>
  <si>
    <t xml:space="preserve">Op Reserve Release Year</t>
  </si>
  <si>
    <t xml:space="preserve">Op Reserve Release Amount ($)</t>
  </si>
  <si>
    <t xml:space="preserve">DATA CHECKLIST</t>
  </si>
  <si>
    <t xml:space="preserve">74 inputs</t>
  </si>
  <si>
    <t xml:space="preserve">Data Checklist</t>
  </si>
  <si>
    <t xml:space="preserve">⚠ Trailing 12 (T-12) — current month-end</t>
  </si>
  <si>
    <t xml:space="preserve">⚠ Trailing 3 (T-3) — current month-end</t>
  </si>
  <si>
    <t xml:space="preserve">Year-to-Date Income Statement (current FY)</t>
  </si>
  <si>
    <t xml:space="preserve">Prior Year (Y-1) Annual Income Statement</t>
  </si>
  <si>
    <t xml:space="preserve">Prior Year (Y-2) Annual Income Statement</t>
  </si>
  <si>
    <t xml:space="preserve">Budget vs Actual — current FY</t>
  </si>
  <si>
    <t xml:space="preserve">General Ledger (current FY)</t>
  </si>
  <si>
    <t xml:space="preserve">Bank Statements (last 3 months)</t>
  </si>
  <si>
    <t xml:space="preserve">Tax Returns (last 2 years)</t>
  </si>
  <si>
    <t xml:space="preserve">⚠ Current Rent Roll (with all status detail)</t>
  </si>
  <si>
    <t xml:space="preserve">⚠ Detailed AR Aging (0-30, 31-60, 61-90, 90+)</t>
  </si>
  <si>
    <t xml:space="preserve">⚠ Eviction Status Report</t>
  </si>
  <si>
    <t xml:space="preserve">Lease Files / Tenant Files (sample)</t>
  </si>
  <si>
    <t xml:space="preserve">⚠ Bankruptcy / Litigation Disclosures</t>
  </si>
  <si>
    <t xml:space="preserve">Concession Log (last 12 months)</t>
  </si>
  <si>
    <t xml:space="preserve">Move-In/Move-Out Report (last 12 months)</t>
  </si>
  <si>
    <t xml:space="preserve">Pre-Paid Rent / Security Deposits Schedule</t>
  </si>
  <si>
    <t xml:space="preserve">Delinquency History (24 months)</t>
  </si>
  <si>
    <t xml:space="preserve">⚠ Property Tax Bills (last 2 years)</t>
  </si>
  <si>
    <t xml:space="preserve">⚠ Property Tax Reassessment Estimate</t>
  </si>
  <si>
    <t xml:space="preserve">⚠ Insurance Policy &amp; Premium Detail</t>
  </si>
  <si>
    <t xml:space="preserve">⚠ Insurance Loss Runs (5 years)</t>
  </si>
  <si>
    <t xml:space="preserve">⚠ Utility Bills (Water/Electric/Gas — 12 months)</t>
  </si>
  <si>
    <t xml:space="preserve">Trash / Recycling Contract</t>
  </si>
  <si>
    <t xml:space="preserve">Pest Control Contract</t>
  </si>
  <si>
    <t xml:space="preserve">Landscaping Contract</t>
  </si>
  <si>
    <t xml:space="preserve">Property Management Agreement</t>
  </si>
  <si>
    <t xml:space="preserve">Service Contracts — All</t>
  </si>
  <si>
    <t xml:space="preserve">Vendor Invoices (sample, last 6 months)</t>
  </si>
  <si>
    <t xml:space="preserve">⚠ Payroll Register (current employees)</t>
  </si>
  <si>
    <t xml:space="preserve">Employee Benefits Schedule</t>
  </si>
  <si>
    <t xml:space="preserve">⚠ CapEx History (last 5 years)</t>
  </si>
  <si>
    <t xml:space="preserve">⚠ Pending CapEx / Open POs</t>
  </si>
  <si>
    <t xml:space="preserve">⚠ Property Condition Report (PCR/PCA)</t>
  </si>
  <si>
    <t xml:space="preserve">⚠ Roof Inspection / Warranty</t>
  </si>
  <si>
    <t xml:space="preserve">HVAC Age &amp; Condition Inventory</t>
  </si>
  <si>
    <t xml:space="preserve">⚠ Plumbing Inspection</t>
  </si>
  <si>
    <t xml:space="preserve">Electrical / Panel Inspection</t>
  </si>
  <si>
    <t xml:space="preserve">⚠ Make-Ready Backlog Detail (per unit)</t>
  </si>
  <si>
    <t xml:space="preserve">⚠ ALTA Survey (current)</t>
  </si>
  <si>
    <t xml:space="preserve">⚠ Phase I Environmental (ESA)</t>
  </si>
  <si>
    <t xml:space="preserve">Phase II ESA (if recommended)</t>
  </si>
  <si>
    <t xml:space="preserve">Asbestos / Lead Inspection</t>
  </si>
  <si>
    <t xml:space="preserve">Mold / Moisture Inspection</t>
  </si>
  <si>
    <t xml:space="preserve">Termite / WDO Report</t>
  </si>
  <si>
    <t xml:space="preserve">⚠ Floodplain Determination</t>
  </si>
  <si>
    <t xml:space="preserve">⚠ Zoning Verification</t>
  </si>
  <si>
    <t xml:space="preserve">Site Plans / As-Builts</t>
  </si>
  <si>
    <t xml:space="preserve">Building Permits / C of O</t>
  </si>
  <si>
    <t xml:space="preserve">⚠ Title Commitment / Preliminary Report</t>
  </si>
  <si>
    <t xml:space="preserve">⚠ Recorded Deed (most recent)</t>
  </si>
  <si>
    <t xml:space="preserve">⚠ Easements / Restrictive Covenants</t>
  </si>
  <si>
    <t xml:space="preserve">⚠ Liens / UCC Search</t>
  </si>
  <si>
    <t xml:space="preserve">⚠ Pending Litigation</t>
  </si>
  <si>
    <t xml:space="preserve">⚠ Code Violations / Citations</t>
  </si>
  <si>
    <t xml:space="preserve">Operating Agreement / LLC Docs</t>
  </si>
  <si>
    <t xml:space="preserve">Comparable Sales (last 24 months)</t>
  </si>
  <si>
    <t xml:space="preserve">Rental Comp Survey (current)</t>
  </si>
  <si>
    <t xml:space="preserve">CoStar / RealPage Submarket Report</t>
  </si>
  <si>
    <t xml:space="preserve">Demographic Report (3-mile/5-mile)</t>
  </si>
  <si>
    <t xml:space="preserve">New Supply Pipeline (under construction)</t>
  </si>
  <si>
    <t xml:space="preserve">Employment / Major Employers</t>
  </si>
  <si>
    <t xml:space="preserve">School District Ratings</t>
  </si>
  <si>
    <t xml:space="preserve">Existing Loan Documents (if assumable)</t>
  </si>
  <si>
    <t xml:space="preserve">Loan Payoff Statement</t>
  </si>
  <si>
    <t xml:space="preserve">Prepayment Penalty / Defeasance Calc</t>
  </si>
  <si>
    <t xml:space="preserve">⚠ Term Sheet — New Loan</t>
  </si>
  <si>
    <t xml:space="preserve">Lender Quotes (multiple)</t>
  </si>
  <si>
    <t xml:space="preserve">Appraisal (most recent)</t>
  </si>
  <si>
    <t xml:space="preserve">⚠ Letter of Intent (LOI)</t>
  </si>
  <si>
    <t xml:space="preserve">⚠ Purchase &amp; Sale Agreement (PSA)</t>
  </si>
  <si>
    <t xml:space="preserve">⚠ Seller Disclosure Statement</t>
  </si>
  <si>
    <t xml:space="preserve">Operating Agreement Amendments</t>
  </si>
  <si>
    <t xml:space="preserve">Closing Statement (HUD/CD)</t>
  </si>
  <si>
    <t xml:space="preserve">ACQUISITION COSTS</t>
  </si>
  <si>
    <t xml:space="preserve">16 inputs</t>
  </si>
  <si>
    <t xml:space="preserve">Acquisition Costs</t>
  </si>
  <si>
    <t xml:space="preserve">Phase I ESA — flat fee</t>
  </si>
  <si>
    <t xml:space="preserve">Commercial appraisal — flat fee</t>
  </si>
  <si>
    <t xml:space="preserve">PCA / structural — flat fee</t>
  </si>
  <si>
    <t xml:space="preserve">Lender counsel — flat fee</t>
  </si>
  <si>
    <t xml:space="preserve">Lender doc prep — flat fee</t>
  </si>
  <si>
    <t xml:space="preserve">Title Policy</t>
  </si>
  <si>
    <t xml:space="preserve">ALTA survey — flat fee</t>
  </si>
  <si>
    <t xml:space="preserve">Recording fees — flat fee</t>
  </si>
  <si>
    <t xml:space="preserve">Transfer Taxes</t>
  </si>
  <si>
    <t xml:space="preserve">Title processing — flat fee</t>
  </si>
  <si>
    <t xml:space="preserve">Title search — flat fee</t>
  </si>
  <si>
    <t xml:space="preserve">Buyer's counsel — flat fee</t>
  </si>
  <si>
    <t xml:space="preserve">Sponsor legal — LLC formation, PPM, operating agreement</t>
  </si>
  <si>
    <t xml:space="preserve">Buyer property walks &amp; unit inspections — flat estimate</t>
  </si>
  <si>
    <t xml:space="preserve">Sponsor travel &amp; DD logistics — flat estimate</t>
  </si>
  <si>
    <t xml:space="preserve">Miscellaneous</t>
  </si>
  <si>
    <t xml:space="preserve">LOANS</t>
  </si>
  <si>
    <t xml:space="preserve">2 inputs</t>
  </si>
  <si>
    <t xml:space="preserve">Loans</t>
  </si>
  <si>
    <t xml:space="preserve">Loan Term (yrs)</t>
  </si>
  <si>
    <t xml:space="preserve">Interest-Only Months</t>
  </si>
  <si>
    <t xml:space="preserve">P&amp;L</t>
  </si>
  <si>
    <t xml:space="preserve">31 inputs</t>
  </si>
  <si>
    <t xml:space="preserve">   Loss to Lease %</t>
  </si>
  <si>
    <t xml:space="preserve">   Bad Debt / Concessions %</t>
  </si>
  <si>
    <t xml:space="preserve">  Less: Concessions/Bad Debt</t>
  </si>
  <si>
    <t xml:space="preserve">Op Reserve Drawdown (from reserve pool)</t>
  </si>
  <si>
    <t xml:space="preserve">WATERFALL</t>
  </si>
  <si>
    <t xml:space="preserve">36 inputs</t>
  </si>
  <si>
    <t xml:space="preserve">Waterfall</t>
  </si>
  <si>
    <t xml:space="preserve">Selling Costs at Exit</t>
  </si>
  <si>
    <t xml:space="preserve">  [IRR Helper] Class A LP Cash Flows</t>
  </si>
  <si>
    <t xml:space="preserve">  [IRR Helper] Class B LP Cash Flows</t>
  </si>
  <si>
    <t xml:space="preserve">  [IRR Helper] GP Cash Flows</t>
  </si>
  <si>
    <t xml:space="preserve">  [IRR Helper] Combined LP Cash Flows</t>
  </si>
  <si>
    <t xml:space="preserve">Acquisition Fee  (one-time at close)</t>
  </si>
  <si>
    <t xml:space="preserve">Asset Management Fee  (annual)</t>
  </si>
  <si>
    <t xml:space="preserve">Disposition Fee  (at exit)</t>
  </si>
  <si>
    <t xml:space="preserve">GP Co-invest Return  (at exit)</t>
  </si>
  <si>
    <t xml:space="preserve">CAPEX</t>
  </si>
  <si>
    <t xml:space="preserve">12 inputs</t>
  </si>
  <si>
    <t xml:space="preserve">Capex</t>
  </si>
  <si>
    <t xml:space="preserve">Light Turn</t>
  </si>
  <si>
    <t xml:space="preserve">Standard Turn</t>
  </si>
  <si>
    <t xml:space="preserve">Medium Rehab</t>
  </si>
  <si>
    <t xml:space="preserve">Heavy Rehab</t>
  </si>
  <si>
    <t xml:space="preserve">Down-to-Studs</t>
  </si>
  <si>
    <t xml:space="preserve">Contingency</t>
  </si>
  <si>
    <t xml:space="preserve">Capacity (units/mo)</t>
  </si>
  <si>
    <t xml:space="preserve">STAFFING MATRIX</t>
  </si>
  <si>
    <t xml:space="preserve">8 inputs</t>
  </si>
  <si>
    <t xml:space="preserve">Staffing Matrix</t>
  </si>
  <si>
    <t xml:space="preserve">Benefits Load %  (FICA + health + 401k)</t>
  </si>
  <si>
    <t xml:space="preserve">Overtime / Contingency Load %</t>
  </si>
  <si>
    <t xml:space="preserve">Leasing</t>
  </si>
  <si>
    <t xml:space="preserve">Maint</t>
  </si>
  <si>
    <t xml:space="preserve">H/K</t>
  </si>
  <si>
    <t xml:space="preserve">Admin</t>
  </si>
  <si>
    <t xml:space="preserve">EXIT STRATEGY</t>
  </si>
  <si>
    <t xml:space="preserve">35 inputs</t>
  </si>
  <si>
    <t xml:space="preserve">Exit Strategy</t>
  </si>
  <si>
    <t xml:space="preserve">Refi Year (or NA)</t>
  </si>
  <si>
    <t xml:space="preserve">Cap Rate at Refi</t>
  </si>
  <si>
    <t xml:space="preserve">Refi LTV</t>
  </si>
  <si>
    <t xml:space="preserve">Interest Rate (Refi)</t>
  </si>
  <si>
    <t xml:space="preserve">Amortization (years)</t>
  </si>
  <si>
    <t xml:space="preserve">Refi Costs (%)</t>
  </si>
  <si>
    <t xml:space="preserve">Prepayment Penalty ($)</t>
  </si>
  <si>
    <t xml:space="preserve">Fannie SBL ($1-9MM)</t>
  </si>
  <si>
    <t xml:space="preserve">Freddie SBL ($1-7.5MM)</t>
  </si>
  <si>
    <t xml:space="preserve">Fannie Standard</t>
  </si>
  <si>
    <t xml:space="preserve">Freddie Standard</t>
  </si>
  <si>
    <t xml:space="preserve">Life Co (Class B+)</t>
  </si>
  <si>
    <t xml:space="preserve">CMBS</t>
  </si>
  <si>
    <t xml:space="preserve">Bridge (refi-the-bridge)</t>
  </si>
  <si>
    <t xml:space="preserve">SENSITIVITY</t>
  </si>
  <si>
    <t xml:space="preserve">Sensitivity</t>
  </si>
  <si>
    <t xml:space="preserve">Cap Start →</t>
  </si>
  <si>
    <t xml:space="preserve">Step →</t>
  </si>
  <si>
    <t xml:space="preserve">Occ Start →</t>
  </si>
  <si>
    <t xml:space="preserve">Occ Step →</t>
  </si>
  <si>
    <t xml:space="preserve">Exp Gr Start →</t>
  </si>
  <si>
    <t xml:space="preserve">Rate Gr Start →</t>
  </si>
  <si>
    <t xml:space="preserve">NOI Mult Start →</t>
  </si>
  <si>
    <t xml:space="preserve">PP Mult Start →</t>
  </si>
  <si>
    <t xml:space="preserve">RECAPTURE &amp; UPSIDE</t>
  </si>
  <si>
    <t xml:space="preserve">98 inputs</t>
  </si>
  <si>
    <t xml:space="preserve">Recapture &amp; Upside</t>
  </si>
  <si>
    <t xml:space="preserve">Water / Sewer</t>
  </si>
  <si>
    <t xml:space="preserve">Electric (common areas)</t>
  </si>
  <si>
    <t xml:space="preserve">Gas (common)</t>
  </si>
  <si>
    <t xml:space="preserve">Trash</t>
  </si>
  <si>
    <t xml:space="preserve">Internet / Cable (bulk)</t>
  </si>
  <si>
    <t xml:space="preserve">Pest Control</t>
  </si>
  <si>
    <t xml:space="preserve">Other Utility Reimb</t>
  </si>
  <si>
    <t xml:space="preserve">Loss to Lease (Mkt − Sched, occupied)</t>
  </si>
  <si>
    <t xml:space="preserve">Vacancy Loss (vacant × market rent)</t>
  </si>
  <si>
    <t xml:space="preserve">Bad Debt Risk (legal-flagged)</t>
  </si>
  <si>
    <t xml:space="preserve">Renovated Upside (post-capex)</t>
  </si>
  <si>
    <t xml:space="preserve">Pet Rent (monthly)</t>
  </si>
  <si>
    <t xml:space="preserve">Reserved Parking</t>
  </si>
  <si>
    <t xml:space="preserve">Covered Parking</t>
  </si>
  <si>
    <t xml:space="preserve">EV Parking (charger)</t>
  </si>
  <si>
    <t xml:space="preserve">Late Fee (enforcement)</t>
  </si>
  <si>
    <t xml:space="preserve">Amenity Package — base</t>
  </si>
  <si>
    <t xml:space="preserve">Amenity Premium (dog park/tech)</t>
  </si>
  <si>
    <t xml:space="preserve">Renters Insurance Mandate</t>
  </si>
  <si>
    <t xml:space="preserve">RUBS Implementation</t>
  </si>
  <si>
    <t xml:space="preserve">Package Service / Lockers</t>
  </si>
  <si>
    <t xml:space="preserve">Storage / Common Bins</t>
  </si>
  <si>
    <t xml:space="preserve">Lease Lock Fee</t>
  </si>
  <si>
    <t xml:space="preserve">Utilities Service Fee</t>
  </si>
  <si>
    <t xml:space="preserve">Damage Waiver</t>
  </si>
  <si>
    <t xml:space="preserve">Trash Removal (valet)</t>
  </si>
  <si>
    <t xml:space="preserve">Cable Revenue (bulk)</t>
  </si>
  <si>
    <t xml:space="preserve">Convenience Fees (online pay)</t>
  </si>
  <si>
    <t xml:space="preserve">Other (laundry / vending)</t>
  </si>
  <si>
    <t xml:space="preserve">Y1 Ramp %:</t>
  </si>
  <si>
    <t xml:space="preserve">Application Fee</t>
  </si>
  <si>
    <t xml:space="preserve">Pet Fee (one-time deposit)</t>
  </si>
  <si>
    <t xml:space="preserve">MTM Fee (month-to-month)</t>
  </si>
  <si>
    <t xml:space="preserve">Lease Break Fee</t>
  </si>
  <si>
    <t xml:space="preserve">Utility Setup Fee</t>
  </si>
  <si>
    <t xml:space="preserve">Admin / Lease Renewal Fee</t>
  </si>
  <si>
    <t xml:space="preserve">Smart Home Tech (locks/thermo)</t>
  </si>
  <si>
    <t xml:space="preserve">Furnished Unit Premium</t>
  </si>
  <si>
    <t xml:space="preserve">Short-Term / Corp Housing Premium</t>
  </si>
  <si>
    <t xml:space="preserve">Co-Working Lounge Access</t>
  </si>
  <si>
    <t xml:space="preserve">RENT ROLL ANALYSIS</t>
  </si>
  <si>
    <t xml:space="preserve">45 inputs</t>
  </si>
  <si>
    <t xml:space="preserve">Rent Roll Analysis</t>
  </si>
  <si>
    <t xml:space="preserve">Vacant Unrented Ready</t>
  </si>
  <si>
    <t xml:space="preserve">Vacant Unrented Not Ready</t>
  </si>
  <si>
    <t xml:space="preserve">Down / Off-line</t>
  </si>
  <si>
    <t xml:space="preserve">Notice Given</t>
  </si>
  <si>
    <t xml:space="preserve">Model / Employee / Other</t>
  </si>
  <si>
    <t xml:space="preserve">Rank</t>
  </si>
  <si>
    <t xml:space="preserve">Actual = Scheduled (clean)</t>
  </si>
  <si>
    <t xml:space="preserve">Resident — Rent</t>
  </si>
  <si>
    <t xml:space="preserve">Resident — Other (utility/MTM/water/trash)</t>
  </si>
  <si>
    <t xml:space="preserve">Subsidy — HCV / Tenant-Based</t>
  </si>
  <si>
    <t xml:space="preserve">#</t>
  </si>
  <si>
    <t xml:space="preserve">RENTAL COMPS</t>
  </si>
  <si>
    <t xml:space="preserve">Rental Comps</t>
  </si>
  <si>
    <t xml:space="preserve">(see unit mix)</t>
  </si>
  <si>
    <t xml:space="preserve">Concession (wks free)</t>
  </si>
  <si>
    <t xml:space="preserve">  TOTAL / AVERAGE</t>
  </si>
  <si>
    <t xml:space="preserve">LP RETURN ILLUSTRATION</t>
  </si>
  <si>
    <t xml:space="preserve">9 inputs</t>
  </si>
  <si>
    <t xml:space="preserve">LP Return Illustration</t>
  </si>
  <si>
    <t xml:space="preserve">Investment Amount</t>
  </si>
  <si>
    <t xml:space="preserve">  Blue = manual input. Use the AI Market Research tool (separate app) to auto-populate market fields.</t>
  </si>
  <si>
    <t xml:space="preserve">  PROPERTY DETAILS</t>
  </si>
  <si>
    <t xml:space="preserve">Location / Address</t>
  </si>
  <si>
    <t xml:space="preserve"># Units</t>
  </si>
  <si>
    <t xml:space="preserve"># Buildings</t>
  </si>
  <si>
    <t xml:space="preserve">Height (stories)</t>
  </si>
  <si>
    <t xml:space="preserve">Lot Size (acres)</t>
  </si>
  <si>
    <t xml:space="preserve">Parking Spaces</t>
  </si>
  <si>
    <t xml:space="preserve">Building Class (A/B/C)</t>
  </si>
  <si>
    <t xml:space="preserve">Amenity Tier (Standard / Mid / Luxury)</t>
  </si>
  <si>
    <t xml:space="preserve">Total Rentable SF</t>
  </si>
  <si>
    <t xml:space="preserve">Studio Units</t>
  </si>
  <si>
    <t xml:space="preserve">1BR Units</t>
  </si>
  <si>
    <t xml:space="preserve">2BR Units</t>
  </si>
  <si>
    <t xml:space="preserve">  MARKET DATA  —  4-source averaged market research</t>
  </si>
  <si>
    <t xml:space="preserve">City / Market</t>
  </si>
  <si>
    <t xml:space="preserve">MSA Name</t>
  </si>
  <si>
    <t xml:space="preserve">MSA Population</t>
  </si>
  <si>
    <t xml:space="preserve">City Population</t>
  </si>
  <si>
    <t xml:space="preserve">Population Growth Rate</t>
  </si>
  <si>
    <t xml:space="preserve">Renter-Age Population (25–44)</t>
  </si>
  <si>
    <t xml:space="preserve">Renter-Age Population Growth Rate</t>
  </si>
  <si>
    <t xml:space="preserve">Avg Household Income</t>
  </si>
  <si>
    <t xml:space="preserve">Median Income</t>
  </si>
  <si>
    <t xml:space="preserve">School District Rating (1-10)</t>
  </si>
  <si>
    <t xml:space="preserve">  COMPETITIVE MARKET  —  Multifamily fundamentals (4-source averaged)</t>
  </si>
  <si>
    <t xml:space="preserve">3BR Units</t>
  </si>
  <si>
    <t xml:space="preserve">Blended Avg Monthly Rent</t>
  </si>
  <si>
    <t xml:space="preserve">Avg Unit SF</t>
  </si>
  <si>
    <t xml:space="preserve">Market Vacancy Rate</t>
  </si>
  <si>
    <t xml:space="preserve">Market Rent Growth (Annual)</t>
  </si>
  <si>
    <t xml:space="preserve">New Supply — Units Under Construction</t>
  </si>
  <si>
    <t xml:space="preserve">Renter Household % of Population</t>
  </si>
  <si>
    <t xml:space="preserve">  UTILITIES</t>
  </si>
  <si>
    <t xml:space="preserve">Electric Meter</t>
  </si>
  <si>
    <t xml:space="preserve">Water Meter</t>
  </si>
  <si>
    <t xml:space="preserve">Gas</t>
  </si>
  <si>
    <t xml:space="preserve">  OTHER NOTES</t>
  </si>
  <si>
    <t xml:space="preserve">Other Property Information</t>
  </si>
  <si>
    <t xml:space="preserve">Other Market Information</t>
  </si>
  <si>
    <t xml:space="preserve">Survey / Zoning Notes</t>
  </si>
  <si>
    <t xml:space="preserve">Value-Add Thesis</t>
  </si>
  <si>
    <t xml:space="preserve">  Pulls Census, FRED, and BLS data on demand. Refresh updates these cells in Prop Info automatically.</t>
  </si>
  <si>
    <t xml:space="preserve">A.  HOW THIS WORKS</t>
  </si>
  <si>
    <t xml:space="preserve">1. Get free API keys (5 min, one-time):</t>
  </si>
  <si>
    <t xml:space="preserve">       • Census Bureau:  https://api.census.gov/data/key_signup.html</t>
  </si>
  <si>
    <t xml:space="preserve">       • FRED (St. Louis Fed):  https://fred.stlouisfed.org/docs/api/api_key.html</t>
  </si>
  <si>
    <t xml:space="preserve">       • BLS (optional):  https://data.bls.gov/registrationEngine/</t>
  </si>
  <si>
    <t xml:space="preserve">2. Open Excel → Data tab → Get Data → From Other Sources → Blank Query → Advanced Editor</t>
  </si>
  <si>
    <t xml:space="preserve">3. Paste the M code from sections B, C, or D below into the editor. Replace YOUR_KEY_HERE with your key.</t>
  </si>
  <si>
    <t xml:space="preserve">4. Name the query (e.g. "Census_Demographics"), click Close &amp; Load → Load To → Existing Worksheet → "_API_Output" tab.</t>
  </si>
  <si>
    <t xml:space="preserve">5. To refresh: Data tab → Refresh All. Prop Info cells will recalculate from latest API data.</t>
  </si>
  <si>
    <t xml:space="preserve">6. To schedule auto-refresh: Data → Connections → Properties → "Refresh every X min" or "Refresh on file open".</t>
  </si>
  <si>
    <t xml:space="preserve">B.  CENSUS ACS 1-YEAR API  —  covers 7 of 17 Prop Info cells</t>
  </si>
  <si>
    <t xml:space="preserve">  Atlanta MSA (CBSA #12060). Returns population, age cohorts, income, household tenure in one call.</t>
  </si>
  <si>
    <t xml:space="preserve">Prop Info Cell</t>
  </si>
  <si>
    <t xml:space="preserve">Census ACS Variable</t>
  </si>
  <si>
    <t xml:space="preserve">Last Refreshed</t>
  </si>
  <si>
    <t xml:space="preserve">B22</t>
  </si>
  <si>
    <t xml:space="preserve">B01003_001E</t>
  </si>
  <si>
    <t xml:space="preserve">(set after refresh)</t>
  </si>
  <si>
    <t xml:space="preserve">Total pop, single variable</t>
  </si>
  <si>
    <t xml:space="preserve">B23</t>
  </si>
  <si>
    <t xml:space="preserve">B01003_001E (place geo)</t>
  </si>
  <si>
    <t xml:space="preserve">Separate query — geography=place:04000</t>
  </si>
  <si>
    <t xml:space="preserve">B25</t>
  </si>
  <si>
    <t xml:space="preserve">Renter-Age Pop (25–44)</t>
  </si>
  <si>
    <t xml:space="preserve">B01001_011E..014E + _035E..038E</t>
  </si>
  <si>
    <t xml:space="preserve">Sum 8 male+female age cohorts</t>
  </si>
  <si>
    <t xml:space="preserve">B27</t>
  </si>
  <si>
    <t xml:space="preserve">B19025_001E / B11001_001E</t>
  </si>
  <si>
    <t xml:space="preserve">Aggregate income / household count</t>
  </si>
  <si>
    <t xml:space="preserve">B28</t>
  </si>
  <si>
    <t xml:space="preserve">B19013_001E</t>
  </si>
  <si>
    <t xml:space="preserve">Direct variable</t>
  </si>
  <si>
    <t xml:space="preserve">B37</t>
  </si>
  <si>
    <t xml:space="preserve">Renter Household %</t>
  </si>
  <si>
    <t xml:space="preserve">B25003_003E / B25003_001E</t>
  </si>
  <si>
    <t xml:space="preserve">Renter-occupied / total occupied</t>
  </si>
  <si>
    <t xml:space="preserve">B24</t>
  </si>
  <si>
    <t xml:space="preserve">(B01003_001E[year] - B01003_001E[year-1]) / prev</t>
  </si>
  <si>
    <t xml:space="preserve">Two queries: current year + prior year</t>
  </si>
  <si>
    <t xml:space="preserve">  M code  →  paste into Power Query Advanced Editor:</t>
  </si>
  <si>
    <t xml:space="preserve">let
    // ===== USER CONFIGURATION =====
    ApiKey      = "YOUR_CENSUS_API_KEY",  // Free at https://api.census.gov/data/key_signup.html
    Year        = "2024",                  // Latest ACS 1-year
    CbsaCode    = "12060",                  // Atlanta-Sandy Springs-Roswell MSA
    // ===== VARIABLES TO FETCH =====
    // B01003_001E = Total population
    // B01001_011E..014E = Male age 25-44 cohorts (4 brackets)
    // B01001_035E..038E = Female age 25-44 cohorts (4 brackets)
    // B19013_001E = Median household income
    // B19025_001E = Aggregate household income (for mean calc)
    // B11001_001E = Total households
    // B25003_001E = Total occupied housing units
    // B25003_003E = Renter-occupied housing units
    Vars = "NAME,B01003_001E,B01001_011E,B01001_012E,B01001_013E,B01001_014E,B01001_035E,B01001_036E,B01001_037E,B01001_038E,B19013_001E,B19025_001E,B11001_001E,B25003_001E,B25003_003E",
    Url = "https://api.census.gov/data/" &amp; Year &amp; "/acs/acs1?get=" &amp; Vars
          &amp; "&amp;for=metropolitan%20statistical%20area/micropolitan%20statistical%20area:" &amp; CbsaCode
          &amp; "&amp;key=" &amp; ApiKey,
    Source  = Json.Document(Web.Contents(Url)),
    Headers = List.Transform(Source{0}, Text.From),
    Data    = List.Transform(List.Skip(Source, 1), each List.Transform(_, Text.From)),
    Raw     = #table(Headers, Data),
    // Convert numeric columns
    NumCols = List.RemoveItems(Headers, {"NAME"}),
    Typed   = Table.TransformColumnTypes(Raw, List.Transform(NumCols, each {_, type number})),
    // ===== DERIVED METRICS =====
    Pop          = Record.Field(Typed{0}, "B01003_001E"),
    RenterAge    = Record.Field(Typed{0}, "B01001_011E") + Record.Field(Typed{0}, "B01001_012E")
                 + Record.Field(Typed{0}, "B01001_013E") + Record.Field(Typed{0}, "B01001_014E")
                 + Record.Field(Typed{0}, "B01001_035E") + Record.Field(Typed{0}, "B01001_036E")
                 + Record.Field(Typed{0}, "B01001_037E") + Record.Field(Typed{0}, "B01001_038E"),
    MedInc       = Record.Field(Typed{0}, "B19013_001E"),
    AggInc       = Record.Field(Typed{0}, "B19025_001E"),
    Households   = Record.Field(Typed{0}, "B11001_001E"),
    AvgInc       = if Households &gt; 0 then AggInc / Households else null,
    OccUnits     = Record.Field(Typed{0}, "B25003_001E"),
    RenterUnits  = Record.Field(Typed{0}, "B25003_003E"),
    RenterPct    = if OccUnits &gt; 0 then RenterUnits / OccUnits else null,
    // ===== OUTPUT TABLE =====
    Output = #table(
        {"Metric", "Value", "Source", "Refreshed"},
        {
            {"MSA Population",                Pop,        "Census ACS B01003_001E",   DateTime.LocalNow()},
            {"Renter-Age Population (25-44)", RenterAge,  "Census ACS B01001 sum",    DateTime.LocalNow()},
            {"Median Household Income",       MedInc,     "Census ACS B19013_001E",   DateTime.LocalNow()},
            {"Avg Household Income",          AvgInc,     "Census ACS B19025/B11001", DateTime.LocalNow()},
            {"Renter Household %",            RenterPct,  "Census ACS B25003_003/_001E", DateTime.LocalNow()}
        }
    )
in
    Output</t>
  </si>
  <si>
    <t xml:space="preserve">C.  FRED API  —  population growth + economic proxies</t>
  </si>
  <si>
    <t xml:space="preserve">  Use this for time-series data: population growth rate, building permits (supply proxy), employment.</t>
  </si>
  <si>
    <t xml:space="preserve">FRED Series ID</t>
  </si>
  <si>
    <t xml:space="preserve">ATLPOP</t>
  </si>
  <si>
    <t xml:space="preserve">Annual MSA population — derive YoY %</t>
  </si>
  <si>
    <t xml:space="preserve">B36</t>
  </si>
  <si>
    <t xml:space="preserve">Housing Starts (proxy)</t>
  </si>
  <si>
    <t xml:space="preserve">ATLA013BPPRIVSA</t>
  </si>
  <si>
    <t xml:space="preserve">Building permits — proxy for new supply</t>
  </si>
  <si>
    <t xml:space="preserve">Atlanta unemployment</t>
  </si>
  <si>
    <t xml:space="preserve">ATLA013URN</t>
  </si>
  <si>
    <t xml:space="preserve">Indicates renter income strength</t>
  </si>
  <si>
    <t xml:space="preserve">Per capita income</t>
  </si>
  <si>
    <t xml:space="preserve">PCPI13013</t>
  </si>
  <si>
    <t xml:space="preserve">Atlanta MSA per capita personal income</t>
  </si>
  <si>
    <t xml:space="preserve">let
    // ===== USER CONFIGURATION =====
    ApiKey   = "YOUR_FRED_API_KEY",  // Free at https://fred.stlouisfed.org/docs/api/api_key.html
    SeriesId = "ATLPOP",              // Atlanta MSA Resident Population (annual)
    Url = "https://api.stlouisfed.org/fred/series/observations?series_id=" &amp; SeriesId
          &amp; "&amp;api_key=" &amp; ApiKey &amp; "&amp;file_type=json&amp;sort_order=desc&amp;limit=10",
    Source       = Json.Document(Web.Contents(Url)),
    Observations = Source[observations],
    Raw          = Table.FromRecords(Observations),
    Typed        = Table.TransformColumnTypes(Raw, {{"date", type date}, {"value", type number}}),
    Sorted       = Table.Sort(Typed, {{"date", Order.Descending}}),
    // Calculate YoY growth rate
    Latest   = Sorted{0}[value],
    Prior    = Sorted{1}[value],
    Growth   = if Prior &gt; 0 then (Latest - Prior) / Prior else null,
    // Output table
    Output = #table(
        {"Metric", "Value", "Source", "AsOf", "Refreshed"},
        {
            {"Latest Population",         Latest, "FRED " &amp; SeriesId, Sorted{0}[date], DateTime.LocalNow()},
            {"Prior Year Population",     Prior,  "FRED " &amp; SeriesId, Sorted{1}[date], DateTime.LocalNow()},
            {"YoY Growth Rate",           Growth, "FRED derived",     Sorted{0}[date], DateTime.LocalNow()}
        }
    )
in
    Output</t>
  </si>
  <si>
    <t xml:space="preserve">D.  WIRE API OUTPUT INTO PROP INFO  —  formula pattern</t>
  </si>
  <si>
    <t xml:space="preserve">  After Power Query loads to a sheet (e.g. '_API_Output'), replace Prop Info column B with formulas like:</t>
  </si>
  <si>
    <t xml:space="preserve">Formula</t>
  </si>
  <si>
    <t xml:space="preserve">Pulls</t>
  </si>
  <si>
    <t xml:space="preserve">Prop Info!B22</t>
  </si>
  <si>
    <t xml:space="preserve">=INDEX(_api_output!b:b, MATCH("MSA Population", _api_output!a:a, 0))</t>
  </si>
  <si>
    <t xml:space="preserve">Pull MSA pop from Census query output</t>
  </si>
  <si>
    <t xml:space="preserve">Prop Info!B25</t>
  </si>
  <si>
    <t xml:space="preserve">=INDEX(_api_output!b:b, MATCH("Renter-Age Population (25-44)", _api_output!a:a, 0))</t>
  </si>
  <si>
    <t xml:space="preserve">Pull renter-age count</t>
  </si>
  <si>
    <t xml:space="preserve">Prop Info!B28</t>
  </si>
  <si>
    <t xml:space="preserve">=INDEX(_api_output!b:b, MATCH("Median Household Income", _api_output!a:a, 0))</t>
  </si>
  <si>
    <t xml:space="preserve">Pull median income</t>
  </si>
  <si>
    <t xml:space="preserve">Prop Info!B37</t>
  </si>
  <si>
    <t xml:space="preserve">=INDEX(_api_output!b:b, MATCH("Renter Household %", _api_output!a:a, 0))</t>
  </si>
  <si>
    <t xml:space="preserve">Pull renter %</t>
  </si>
  <si>
    <t xml:space="preserve">Prop Info!B24</t>
  </si>
  <si>
    <t xml:space="preserve">=INDEX(_api_output_fred!b:b, MATCH("YoY Growth Rate", _api_output_fred!a:a, 0))</t>
  </si>
  <si>
    <t xml:space="preserve">Pull pop growth from FRED query</t>
  </si>
  <si>
    <t xml:space="preserve">E.  MANUAL REFRESH  —  10 of 17 cells (apartment market + school data)</t>
  </si>
  <si>
    <t xml:space="preserve">  These metrics have no free API at MSA granularity. Update quarterly from the URLs below or paste from CoStar/Yardi if subscribed.</t>
  </si>
  <si>
    <t xml:space="preserve">Best free quarterly source</t>
  </si>
  <si>
    <t xml:space="preserve">Frequency</t>
  </si>
  <si>
    <t xml:space="preserve">B26</t>
  </si>
  <si>
    <t xml:space="preserve">Renter-Age Pop Growth Rate</t>
  </si>
  <si>
    <t xml:space="preserve">Derive from Census ACS YoY (script needed)</t>
  </si>
  <si>
    <t xml:space="preserve">Annual</t>
  </si>
  <si>
    <t xml:space="preserve">Could be added to Census Power Query</t>
  </si>
  <si>
    <t xml:space="preserve">B29</t>
  </si>
  <si>
    <t xml:space="preserve">School District Rating</t>
  </si>
  <si>
    <t xml:space="preserve">https://www.greatschools.org</t>
  </si>
  <si>
    <t xml:space="preserve">On address change</t>
  </si>
  <si>
    <t xml:space="preserve">Address-specific lookup</t>
  </si>
  <si>
    <t xml:space="preserve">B31</t>
  </si>
  <si>
    <t xml:space="preserve">3BR Units (clarify intent)</t>
  </si>
  <si>
    <t xml:space="preserve">Internal data</t>
  </si>
  <si>
    <t xml:space="preserve">Field intent unclear</t>
  </si>
  <si>
    <t xml:space="preserve">B32</t>
  </si>
  <si>
    <t xml:space="preserve">Yardi Matrix Atlanta MMR (free quarterly summary)</t>
  </si>
  <si>
    <t xml:space="preserve">Quarterly</t>
  </si>
  <si>
    <t xml:space="preserve">https://www.yardimatrix.com/blog/</t>
  </si>
  <si>
    <t xml:space="preserve">B33</t>
  </si>
  <si>
    <t xml:space="preserve">RentCafe Atlanta market trends</t>
  </si>
  <si>
    <t xml:space="preserve">https://www.rentcafe.com/average-rent-market-trends/us/ga/atlanta/</t>
  </si>
  <si>
    <t xml:space="preserve">B34</t>
  </si>
  <si>
    <t xml:space="preserve">Multiple: Matthews, Northmarq, Yardi quarterly reports</t>
  </si>
  <si>
    <t xml:space="preserve">Average 3-4 sources</t>
  </si>
  <si>
    <t xml:space="preserve">B35</t>
  </si>
  <si>
    <t xml:space="preserve">Yardi Matrix YoY rent change</t>
  </si>
  <si>
    <t xml:space="preserve">Same source as B32</t>
  </si>
  <si>
    <t xml:space="preserve">Units Under Construction</t>
  </si>
  <si>
    <t xml:space="preserve">Yardi Matrix or MMG/Northmarq forecast reports</t>
  </si>
  <si>
    <t xml:space="preserve">Sub for FRED if MF-specific needed</t>
  </si>
  <si>
    <t xml:space="preserve">F.  CURRENT STATUS  —  what each Prop Info cell currently shows</t>
  </si>
  <si>
    <t xml:space="preserve">  Live read of Prop Info column B values. After Power Query setup + wiring, these refresh automatically.</t>
  </si>
  <si>
    <t xml:space="preserve">Refresh Method</t>
  </si>
  <si>
    <t xml:space="preserve">API Available?</t>
  </si>
  <si>
    <t xml:space="preserve">Census ACS</t>
  </si>
  <si>
    <t xml:space="preserve">🟢 Yes</t>
  </si>
  <si>
    <t xml:space="preserve">Census ACS (place)</t>
  </si>
  <si>
    <t xml:space="preserve">FRED</t>
  </si>
  <si>
    <t xml:space="preserve">Renter-Age Growth Rate</t>
  </si>
  <si>
    <t xml:space="preserve">Census ACS (derived)</t>
  </si>
  <si>
    <t xml:space="preserve">🟡 Possible</t>
  </si>
  <si>
    <t xml:space="preserve">Manual</t>
  </si>
  <si>
    <t xml:space="preserve">🔴 No</t>
  </si>
  <si>
    <t xml:space="preserve">Manual / clarify</t>
  </si>
  <si>
    <t xml:space="preserve">Manual (paid Yardi)</t>
  </si>
  <si>
    <t xml:space="preserve">Market Rent Growth</t>
  </si>
  <si>
    <t xml:space="preserve">Manual / FRED proxy</t>
  </si>
  <si>
    <t xml:space="preserve">🟡 Proxy only</t>
  </si>
  <si>
    <t xml:space="preserve">COVERAGE SUMMARY:</t>
  </si>
  <si>
    <t xml:space="preserve">  🟢 Auto-refresh via free API: 7 cells (population, age, income, renter %)</t>
  </si>
  <si>
    <t xml:space="preserve">  🟡 Possible with extra work: 2 cells (renter age growth, supply proxy)</t>
  </si>
  <si>
    <t xml:space="preserve">  🔴 Manual quarterly refresh: 6 cells (apartment market, schools)</t>
  </si>
  <si>
    <t xml:space="preserve">Track every DD item from request through review. Status dropdown drives % complete and color flags. Cross-Check column shows reconciliation formulas where relevant.</t>
  </si>
  <si>
    <t xml:space="preserve">Total Items</t>
  </si>
  <si>
    <t xml:space="preserve">Complete</t>
  </si>
  <si>
    <t xml:space="preserve">% Complete</t>
  </si>
  <si>
    <t xml:space="preserve">Critical Open</t>
  </si>
  <si>
    <t xml:space="preserve">Status</t>
  </si>
  <si>
    <t xml:space="preserve">Item</t>
  </si>
  <si>
    <t xml:space="preserve">Date Requested</t>
  </si>
  <si>
    <t xml:space="preserve">Date Received</t>
  </si>
  <si>
    <t xml:space="preserve">Source / Counterparty</t>
  </si>
  <si>
    <t xml:space="preserve">Format</t>
  </si>
  <si>
    <t xml:space="preserve">Reviewer</t>
  </si>
  <si>
    <t xml:space="preserve">Cross-Check / Reconciliation</t>
  </si>
  <si>
    <t xml:space="preserve">A.  FINANCIAL STATEMENTS</t>
  </si>
  <si>
    <t xml:space="preserve">Not Requested</t>
  </si>
  <si>
    <t xml:space="preserve">PSI/Yardi cash basis Apr 2025-Mar 2026</t>
  </si>
  <si>
    <t xml:space="preserve">Derived from T-12 monthly columns</t>
  </si>
  <si>
    <t xml:space="preserve">YTD compared to prior year same period</t>
  </si>
  <si>
    <t xml:space="preserve">For T-12 trend comparison</t>
  </si>
  <si>
    <t xml:space="preserve">Validates 3-year trajectory</t>
  </si>
  <si>
    <t xml:space="preserve">Reveals operator forecasting accuracy</t>
  </si>
  <si>
    <t xml:space="preserve">For deep-dive on individual accounts</t>
  </si>
  <si>
    <t xml:space="preserve">For revenue verification</t>
  </si>
  <si>
    <t xml:space="preserve">Form 8825 / Schedule E</t>
  </si>
  <si>
    <t xml:space="preserve">B.  RENT ROLL &amp; ACCOUNTS RECEIVABLE</t>
  </si>
  <si>
    <t xml:space="preserve">Received</t>
  </si>
  <si>
    <t xml:space="preserve">As of 4/16/2026</t>
  </si>
  <si>
    <t xml:space="preserve">In rent roll columns Q-T</t>
  </si>
  <si>
    <t xml:space="preserve">9 active evictions, 1 bankruptcy known</t>
  </si>
  <si>
    <t xml:space="preserve">Pull random sample of 10-15 leases</t>
  </si>
  <si>
    <t xml:space="preserve">Smith N6 Ch 7 filed 3/28/26</t>
  </si>
  <si>
    <t xml:space="preserve">Reconcile to T-12 concession lines</t>
  </si>
  <si>
    <t xml:space="preserve">For turnover rate calculation</t>
  </si>
  <si>
    <t xml:space="preserve">Liability transfer at closing</t>
  </si>
  <si>
    <t xml:space="preserve">Trend analysis on collection</t>
  </si>
  <si>
    <t xml:space="preserve">C.  OPERATING EXPENSE DETAIL</t>
  </si>
  <si>
    <t xml:space="preserve">Validate accrual + millage rate</t>
  </si>
  <si>
    <t xml:space="preserve">Critical: post-sale reassessment</t>
  </si>
  <si>
    <t xml:space="preserve">Validate insurance line + coverage</t>
  </si>
  <si>
    <t xml:space="preserve">Material claims history</t>
  </si>
  <si>
    <t xml:space="preserve">Water bill $198K — investigate leak</t>
  </si>
  <si>
    <t xml:space="preserve">Termination notice required for sale</t>
  </si>
  <si>
    <t xml:space="preserve">Pool, elevator, HVAC, security, etc.</t>
  </si>
  <si>
    <t xml:space="preserve">For expense verification</t>
  </si>
  <si>
    <t xml:space="preserve">On-site staff &amp; wages</t>
  </si>
  <si>
    <t xml:space="preserve">Healthcare, 401k contribution</t>
  </si>
  <si>
    <t xml:space="preserve">D.  CAPITAL EXPENDITURES</t>
  </si>
  <si>
    <t xml:space="preserve">What's already been done?</t>
  </si>
  <si>
    <t xml:space="preserve">Near-term obligations</t>
  </si>
  <si>
    <t xml:space="preserve">3rd party engineering report</t>
  </si>
  <si>
    <t xml:space="preserve">Per unit — system age</t>
  </si>
  <si>
    <t xml:space="preserve">Critical given water bill</t>
  </si>
  <si>
    <t xml:space="preserve">77 vacant not ready — get scope per unit</t>
  </si>
  <si>
    <t xml:space="preserve">E.  PROPERTY PHYSICAL &amp; ENVIRONMENTAL</t>
  </si>
  <si>
    <t xml:space="preserve">Less than 5 years old preferred</t>
  </si>
  <si>
    <t xml:space="preserve">Most lenders require</t>
  </si>
  <si>
    <t xml:space="preserve">Only if Phase I flags</t>
  </si>
  <si>
    <t xml:space="preserve">Pre-1978 builds especially</t>
  </si>
  <si>
    <t xml:space="preserve">FEMA flood zone — drives insurance</t>
  </si>
  <si>
    <t xml:space="preserve">Confirm legal use</t>
  </si>
  <si>
    <t xml:space="preserve">F.  TITLE &amp; LEGAL</t>
  </si>
  <si>
    <t xml:space="preserve">For seller entity</t>
  </si>
  <si>
    <t xml:space="preserve">G.  MARKET INFO</t>
  </si>
  <si>
    <t xml:space="preserve">Within 1-mile / similar class</t>
  </si>
  <si>
    <t xml:space="preserve">Drives Rental Comps tab</t>
  </si>
  <si>
    <t xml:space="preserve">Within 3 miles</t>
  </si>
  <si>
    <t xml:space="preserve">H.  LOAN / DEBT</t>
  </si>
  <si>
    <t xml:space="preserve">Note, mortgage, all amendments</t>
  </si>
  <si>
    <t xml:space="preserve">Closing requirement</t>
  </si>
  <si>
    <t xml:space="preserve">For UW assumptions</t>
  </si>
  <si>
    <t xml:space="preserve">3 quotes minimum</t>
  </si>
  <si>
    <t xml:space="preserve">Validates LTV assumption</t>
  </si>
  <si>
    <t xml:space="preserve">I.  SELLER &amp; TRANSACTION</t>
  </si>
  <si>
    <t xml:space="preserve">Drives Acquisition Costs</t>
  </si>
  <si>
    <t xml:space="preserve">Active Scenario →</t>
  </si>
  <si>
    <t xml:space="preserve">1. T-12 Actuals</t>
  </si>
  <si>
    <t xml:space="preserve">  Selecting an active scenario drives P&amp;L, Cover Sheet, and Sensitivity tabs. Column B = T-12 Actuals (last 12 months, hardwired to T-12 Analysis). Yellow cells have explanatory comments — hover to see source mapping.</t>
  </si>
  <si>
    <t xml:space="preserve">Line Item</t>
  </si>
  <si>
    <t xml:space="preserve">2. My Version</t>
  </si>
  <si>
    <t xml:space="preserve">3. Projected</t>
  </si>
  <si>
    <t xml:space="preserve">4. Offer</t>
  </si>
  <si>
    <t xml:space="preserve">Active
Scenario</t>
  </si>
  <si>
    <t xml:space="preserve">$/Unit</t>
  </si>
  <si>
    <t xml:space="preserve">Benchmark</t>
  </si>
  <si>
    <t xml:space="preserve">ACQUISITION</t>
  </si>
  <si>
    <t xml:space="preserve">Asking Price</t>
  </si>
  <si>
    <t xml:space="preserve">$5–100M+ MF; Class A 250-unit typically $40–100M</t>
  </si>
  <si>
    <t xml:space="preserve">Purchase Price / Offer</t>
  </si>
  <si>
    <t xml:space="preserve">Offer 3–8% below ask; value-add plays</t>
  </si>
  <si>
    <t xml:space="preserve">Total unit count — drives GPR and all per-unit metrics</t>
  </si>
  <si>
    <t xml:space="preserve">Class A: $200–400k/door; Class B: $100–200k/door</t>
  </si>
  <si>
    <t xml:space="preserve">25–35% down; 65–75% LTV target</t>
  </si>
  <si>
    <t xml:space="preserve">Down Payment $</t>
  </si>
  <si>
    <t xml:space="preserve">Auto-calculated from down payment</t>
  </si>
  <si>
    <t xml:space="preserve">Repairs / CapEx at Close</t>
  </si>
  <si>
    <t xml:space="preserve">Get contractor bid at LOI stage</t>
  </si>
  <si>
    <t xml:space="preserve">Operating Reserves</t>
  </si>
  <si>
    <t xml:space="preserve">3–6 months operating expenses</t>
  </si>
  <si>
    <t xml:space="preserve">Est. Closing Costs</t>
  </si>
  <si>
    <t xml:space="preserve">1.5–2.5% of purchase price</t>
  </si>
  <si>
    <t xml:space="preserve">0.5–1.5% acquisition fee standard</t>
  </si>
  <si>
    <t xml:space="preserve">Acquisition Fee ($)</t>
  </si>
  <si>
    <t xml:space="preserve">Auto-calculated</t>
  </si>
  <si>
    <t xml:space="preserve">TOTAL ACQUISITION COST</t>
  </si>
  <si>
    <t xml:space="preserve">Auto-calculated total cost</t>
  </si>
  <si>
    <t xml:space="preserve">DEBT STRUCTURE</t>
  </si>
  <si>
    <t xml:space="preserve">Loan Amount (1st)</t>
  </si>
  <si>
    <t xml:space="preserve">65–75% LTV; Agency (FNMA/FHLMC) or CMBS/bridge</t>
  </si>
  <si>
    <t xml:space="preserve">Loan Amount (2nd)</t>
  </si>
  <si>
    <t xml:space="preserve">$0 if no mezz; up to 10% of stack</t>
  </si>
  <si>
    <t xml:space="preserve">Supplemental Loan</t>
  </si>
  <si>
    <t xml:space="preserve">$0 supplemental; add if SBA/seller</t>
  </si>
  <si>
    <t xml:space="preserve">Total Debt</t>
  </si>
  <si>
    <t xml:space="preserve">Auto-calculated total debt</t>
  </si>
  <si>
    <t xml:space="preserve">LTV (Loan/Purchase Price)</t>
  </si>
  <si>
    <t xml:space="preserve">Target ≤75% LTV; agency max 80%</t>
  </si>
  <si>
    <t xml:space="preserve">LTC (Loan/Total Acq. Cost)</t>
  </si>
  <si>
    <t xml:space="preserve">Target ≤85% LTC (value-add); 75–80% stabilized</t>
  </si>
  <si>
    <t xml:space="preserve">EQUITY STRUCTURE</t>
  </si>
  <si>
    <t xml:space="preserve">GP co-invest 5–20% of total equity</t>
  </si>
  <si>
    <t xml:space="preserve">Class A LP %</t>
  </si>
  <si>
    <t xml:space="preserve">Class A LP 40–70% of total equity</t>
  </si>
  <si>
    <t xml:space="preserve">Class B LP % (auto)</t>
  </si>
  <si>
    <t xml:space="preserve">Class B LP 20–40% of total equity</t>
  </si>
  <si>
    <t xml:space="preserve">Total Equity (Acq Cost − Debt)</t>
  </si>
  <si>
    <t xml:space="preserve">Enter GP co-invest $ directly — not tied to GP Ownership %</t>
  </si>
  <si>
    <t xml:space="preserve">Class A LP Equity ($)</t>
  </si>
  <si>
    <t xml:space="preserve">Total Equity − GP co-invest. GP can be $0 (all-LP deal).</t>
  </si>
  <si>
    <t xml:space="preserve">Class B LP Equity ($)</t>
  </si>
  <si>
    <t xml:space="preserve">Class A pref: 6–8% typical MF PE</t>
  </si>
  <si>
    <t xml:space="preserve">Class B Preferred Return %</t>
  </si>
  <si>
    <t xml:space="preserve">Class B pref (subordinated); 0 if no Class B equity</t>
  </si>
  <si>
    <t xml:space="preserve">GP Promote % (defaults to GP% — edit to override)</t>
  </si>
  <si>
    <t xml:space="preserve">Promote: 20–30% GP typical</t>
  </si>
  <si>
    <t xml:space="preserve">INCOME (YEAR 1 SNAPSHOT)  —  Revenue is per UNIT, not per bed</t>
  </si>
  <si>
    <t xml:space="preserve">Avg Monthly Rent / Unit  (at 100% occupancy)</t>
  </si>
  <si>
    <t xml:space="preserve">Avg rent × total units × 12 = max revenue potential</t>
  </si>
  <si>
    <t xml:space="preserve">C38 benchmark = MAX(RR Market GPR, Occupied Scheduled GPR). If residents pay above listed market rent, occupied scheduled is the truer market. T-12 credibility check and fallback both use this MAX. B38 = T-12 actuals (unchanged).</t>
  </si>
  <si>
    <t xml:space="preserve">Gross Potential Rent  (at 100% unit occupancy)</t>
  </si>
  <si>
    <t xml:space="preserve">Units × avg rent × 12 — maximum revenue at 100% occupancy</t>
  </si>
  <si>
    <t xml:space="preserve">  Unit Vacancy %  (unoccupied units ÷ total units)</t>
  </si>
  <si>
    <t xml:space="preserve">Class A target 5–8%; value-add 10–15% at acquisition</t>
  </si>
  <si>
    <t xml:space="preserve">  Vacancy ($)</t>
  </si>
  <si>
    <t xml:space="preserve">  Other Revenue Adj %  (Down/Employee Units, Prepaid Rent change)</t>
  </si>
  <si>
    <t xml:space="preserve">1–3% loss to lease typical MF</t>
  </si>
  <si>
    <t xml:space="preserve">  Other Revenue Adj ($)</t>
  </si>
  <si>
    <t xml:space="preserve">  Concessions / Bad Debt %</t>
  </si>
  <si>
    <t xml:space="preserve">0.5–2% bad debt/concessions</t>
  </si>
  <si>
    <t xml:space="preserve">  Concessions / Bad Debt ($)</t>
  </si>
  <si>
    <t xml:space="preserve">  Parking Revenue %  (of GPR; use 0 if surface/free)</t>
  </si>
  <si>
    <t xml:space="preserve">Parking Revenue ($)</t>
  </si>
  <si>
    <t xml:space="preserve">Or enter flat $ (e.g. # spaces × $100/mo × 12)</t>
  </si>
  <si>
    <t xml:space="preserve">Other Income (T-12 base + Committed Recapture — Year 1)</t>
  </si>
  <si>
    <t xml:space="preserve">EFFECTIVE GROSS INCOME</t>
  </si>
  <si>
    <t xml:space="preserve">  ↳ Occupied Units  (units × (1 − vacancy%))</t>
  </si>
  <si>
    <t xml:space="preserve">Total units × occupancy% — revenue-generating units</t>
  </si>
  <si>
    <t xml:space="preserve">EXPENSES (YEAR 1)</t>
  </si>
  <si>
    <t xml:space="preserve">2. My Versio</t>
  </si>
  <si>
    <t xml:space="preserve">Active</t>
  </si>
  <si>
    <t xml:space="preserve">$/Bed | % EGI</t>
  </si>
  <si>
    <t xml:space="preserve">Leasing &amp; Marketing</t>
  </si>
  <si>
    <t xml:space="preserve">$350–800/unit; Class A 1–2% EGI</t>
  </si>
  <si>
    <t xml:space="preserve">Grounds / Landscaping</t>
  </si>
  <si>
    <t xml:space="preserve">$300–700/unit; landscapes scale with unit count</t>
  </si>
  <si>
    <t xml:space="preserve">added landscaping and sanitation together</t>
  </si>
  <si>
    <t xml:space="preserve">Gas &amp; Electric (common areas)</t>
  </si>
  <si>
    <t xml:space="preserve">$600–1,200/unit (common area electric + gas)</t>
  </si>
  <si>
    <t xml:space="preserve">General / Admin</t>
  </si>
  <si>
    <t xml:space="preserve">$200–500/unit; scales with property size</t>
  </si>
  <si>
    <t xml:space="preserve">Insurance</t>
  </si>
  <si>
    <t xml:space="preserve">$800–1,500/unit; Class A higher, earthquake/flood add-ons</t>
  </si>
  <si>
    <t xml:space="preserve">Legal</t>
  </si>
  <si>
    <t xml:space="preserve">$150–400/unit; HOA/entity legal</t>
  </si>
  <si>
    <t xml:space="preserve">Real Estate Taxes</t>
  </si>
  <si>
    <t xml:space="preserve">$800–2,500/unit; varies by jurisdiction and assessment</t>
  </si>
  <si>
    <t xml:space="preserve">Trash Removal</t>
  </si>
  <si>
    <t xml:space="preserve">$100–250/unit; per-unit trash / valet waste</t>
  </si>
  <si>
    <t xml:space="preserve">Management Fee  (% of EGI)</t>
  </si>
  <si>
    <t xml:space="preserve">4–6% EGI typical MF; 3.5% large portfolios</t>
  </si>
  <si>
    <t xml:space="preserve">On-Site Payroll (from Staffing)</t>
  </si>
  <si>
    <t xml:space="preserve">From staffing model — scales with unit count</t>
  </si>
  <si>
    <t xml:space="preserve">Repairs &amp; Maintenance</t>
  </si>
  <si>
    <t xml:space="preserve">$400–900/unit; value-add higher in stabilization</t>
  </si>
  <si>
    <t xml:space="preserve">Contract Services</t>
  </si>
  <si>
    <t xml:space="preserve">Make-Ready / Turnover</t>
  </si>
  <si>
    <t xml:space="preserve">$300–800/unit; depends on turnover rate and finish level</t>
  </si>
  <si>
    <t xml:space="preserve">Water &amp; Sewer</t>
  </si>
  <si>
    <t xml:space="preserve">$400–1,000/unit; master-metered typical</t>
  </si>
  <si>
    <t xml:space="preserve">Amenity Maintenance (Pool/Gym/Lounge)</t>
  </si>
  <si>
    <t xml:space="preserve">$200–600/unit; Class A pool/gym/lounge maintenance</t>
  </si>
  <si>
    <t xml:space="preserve">CapEx / Replacement Reserve</t>
  </si>
  <si>
    <t xml:space="preserve">$200–400/unit; Class A use $350–500/unit</t>
  </si>
  <si>
    <t xml:space="preserve">TOTAL EXPENSES</t>
  </si>
  <si>
    <t xml:space="preserve">NET OPERATING INCOME</t>
  </si>
  <si>
    <t xml:space="preserve">DEAL SUMMARY METRICS</t>
  </si>
  <si>
    <t xml:space="preserve">Cap Rate (NOI/Purchase Price)</t>
  </si>
  <si>
    <t xml:space="preserve">Debt Service (Annual)</t>
  </si>
  <si>
    <t xml:space="preserve">DSCR target ≥1.20x; watch Y1</t>
  </si>
  <si>
    <t xml:space="preserve">Cash Flow After Debt Service</t>
  </si>
  <si>
    <t xml:space="preserve">Positive Y2+ for value-add</t>
  </si>
  <si>
    <t xml:space="preserve">Debt Coverage Ratio</t>
  </si>
  <si>
    <t xml:space="preserve">≥1.20x required; ≥1.25x agency underwriting</t>
  </si>
  <si>
    <t xml:space="preserve">4.5–6.5% MF cap rate; Class A metro lower end</t>
  </si>
  <si>
    <t xml:space="preserve">Fair Market Value (NOI/Mkt Cap)</t>
  </si>
  <si>
    <t xml:space="preserve">Lender as-is appraisal input (per scenario). Enter 0 to default to FMV (row 78). LTV row 117 uses IFERROR(this, FMV).</t>
  </si>
  <si>
    <t xml:space="preserve">Hold: 3–7 years typical value-add PE</t>
  </si>
  <si>
    <t xml:space="preserve">Exit cap: entry + 25–75 bps; buyer-driven compression in Class A</t>
  </si>
  <si>
    <t xml:space="preserve">DEBT STRUCTURE — PER-SCENARIO LOAN INPUTS  (drives Loans, Waterfall &amp; P&amp;L)</t>
  </si>
  <si>
    <t xml:space="preserve">  Blue = input per scenario. Active scenario col F feeds all downstream sheets. Use $0 for unused tranches.</t>
  </si>
  <si>
    <t xml:space="preserve">  1ST LOAN — SENIOR / PRIMARY</t>
  </si>
  <si>
    <t xml:space="preserve">Loan Amount — 1st ($)</t>
  </si>
  <si>
    <t xml:space="preserve">60–70% LTV first lien; $0 to disable</t>
  </si>
  <si>
    <t xml:space="preserve">Interest Rate — 1st (%)</t>
  </si>
  <si>
    <t xml:space="preserve">Bridge: 6–8%; Agency FNMA/FHLMC: 5–6.5%</t>
  </si>
  <si>
    <t xml:space="preserve">Amortization (years) — 1st</t>
  </si>
  <si>
    <t xml:space="preserve">25–30yr amortization standard; IO period common</t>
  </si>
  <si>
    <t xml:space="preserve">Loan Term (years) — 1st</t>
  </si>
  <si>
    <t xml:space="preserve">Match hold period</t>
  </si>
  <si>
    <t xml:space="preserve">Interest-Only Period (months) — 1st</t>
  </si>
  <si>
    <t xml:space="preserve">IO 0–24 months; 0=fully amortizing</t>
  </si>
  <si>
    <t xml:space="preserve">0.5–1.5% origination; 1–2% bridge</t>
  </si>
  <si>
    <t xml:space="preserve">  2ND LOAN — MEZZANINE / BRIDGE</t>
  </si>
  <si>
    <t xml:space="preserve">Mezz: 8–12% typical</t>
  </si>
  <si>
    <t xml:space="preserve">  SUPPLEMENTAL — SBA / SELLER CARRY</t>
  </si>
  <si>
    <t xml:space="preserve">$0 if no supplemental tranche</t>
  </si>
  <si>
    <t xml:space="preserve">  CALCULATED METRICS (auto — do not edit)</t>
  </si>
  <si>
    <t xml:space="preserve">  Monthly Payment — 1st</t>
  </si>
  <si>
    <t xml:space="preserve">  Monthly Payment — 2nd</t>
  </si>
  <si>
    <t xml:space="preserve">  Monthly Payment — Supplemental</t>
  </si>
  <si>
    <t xml:space="preserve">Annual DS — 1st</t>
  </si>
  <si>
    <t xml:space="preserve">Annual DS — 2nd</t>
  </si>
  <si>
    <t xml:space="preserve">Annual DS — Supplemental</t>
  </si>
  <si>
    <t xml:space="preserve">TOTAL ANNUAL DEBT SERVICE</t>
  </si>
  <si>
    <t xml:space="preserve">Auto-calculated total DS</t>
  </si>
  <si>
    <t xml:space="preserve">Total Loan Balance at Exit (payoff)</t>
  </si>
  <si>
    <t xml:space="preserve">CUMPRINC-based balloon payoff</t>
  </si>
  <si>
    <t xml:space="preserve">Total Debt — All Tranches</t>
  </si>
  <si>
    <t xml:space="preserve">LTV — Total Debt / As-Is Appraised Value</t>
  </si>
  <si>
    <t xml:space="preserve">Uses As-Is Appraised Value (row 79) if entered; falls back to FMV (row 78). Target ≤65–75% per lender.</t>
  </si>
  <si>
    <t xml:space="preserve">LTC — Total Debt / Total Acquisition Cost</t>
  </si>
  <si>
    <t xml:space="preserve">Target ≤80–85% LTC (value-add). LTC should exceed LTV on value-add deals — larger denominator = lower %.</t>
  </si>
  <si>
    <t xml:space="preserve">Size Senior Loan off Total Acq Cost? (LTC)</t>
  </si>
  <si>
    <t xml:space="preserve">NO</t>
  </si>
  <si>
    <t xml:space="preserve">YES = size 1st loan off Total Acquisition Cost (LTC basis, wraps soft costs). NO = size off Purchase Price (LTV basis, default).</t>
  </si>
  <si>
    <t xml:space="preserve">Wrapped into LTC:</t>
  </si>
  <si>
    <t xml:space="preserve">  Repairs / CapEx at Close</t>
  </si>
  <si>
    <t xml:space="preserve">  Operating Reserves</t>
  </si>
  <si>
    <t xml:space="preserve">  Est. Closing Costs</t>
  </si>
  <si>
    <t xml:space="preserve">  Acquisition Fee</t>
  </si>
  <si>
    <t xml:space="preserve">  Total Soft Costs</t>
  </si>
  <si>
    <t xml:space="preserve">DEAL PROFILE TOGGLE  &amp;  RETURN ENHANCEMENTS</t>
  </si>
  <si>
    <t xml:space="preserve">Deal Profile (preset reference)</t>
  </si>
  <si>
    <t xml:space="preserve">Distressed Turnaround</t>
  </si>
  <si>
    <t xml:space="preserve">Stabilized | Light Value-Add | Heavy Value-Add | Distressed Turnaround</t>
  </si>
  <si>
    <t xml:space="preserve">Recommended Inputs by Profile  →</t>
  </si>
  <si>
    <t xml:space="preserve">Stabilized</t>
  </si>
  <si>
    <t xml:space="preserve">Light V-A</t>
  </si>
  <si>
    <t xml:space="preserve">Heavy V-A</t>
  </si>
  <si>
    <t xml:space="preserve">Distressed</t>
  </si>
  <si>
    <t xml:space="preserve">Active Recommended</t>
  </si>
  <si>
    <t xml:space="preserve">Currently Modeled</t>
  </si>
  <si>
    <t xml:space="preserve">Variance</t>
  </si>
  <si>
    <t xml:space="preserve">  Recommended values ≠ what's modeled. Adjust your inputs in the scenario columns above to match the active profile, OR override deliberately.</t>
  </si>
  <si>
    <t xml:space="preserve">DEBT YIELD &amp; YIELD-ON-COST  —  Lender &amp; developer metrics</t>
  </si>
  <si>
    <t xml:space="preserve">Going-In Debt Yield  (T-12 NOI / Total Debt)</t>
  </si>
  <si>
    <t xml:space="preserve">Lender quotes off this. Bridge: ≥ 7%, Agency: ≥ 8%</t>
  </si>
  <si>
    <t xml:space="preserve">Y1 Debt Yield (Pro Forma)</t>
  </si>
  <si>
    <t xml:space="preserve">First-year stabilized</t>
  </si>
  <si>
    <t xml:space="preserve">Stabilized Debt Yield (Y3)</t>
  </si>
  <si>
    <t xml:space="preserve">After turnaround</t>
  </si>
  <si>
    <t xml:space="preserve">Going-In Yield-on-Cost (T-12 NOI / Total Cost)</t>
  </si>
  <si>
    <t xml:space="preserve">Cost basis: acquisition + closing + reserves + capex</t>
  </si>
  <si>
    <t xml:space="preserve">Stabilized Yield-on-Cost (Y3 NOI / Total Cost+CapEx)</t>
  </si>
  <si>
    <t xml:space="preserve">The development margin metric — compare to market cap</t>
  </si>
  <si>
    <t xml:space="preserve">Yield-on-Cost vs. Market Cap Spread (bps)</t>
  </si>
  <si>
    <t xml:space="preserve">&gt;200 bps spread = real value creation. &lt;100 bps = no margin.</t>
  </si>
  <si>
    <t xml:space="preserve">Yield-on-Cost vs. Exit Cap Spread (bps)</t>
  </si>
  <si>
    <t xml:space="preserve">Stabilized YoC vs. exit cap = your trade</t>
  </si>
  <si>
    <t xml:space="preserve">Total Project Cost (Acq + CapEx)</t>
  </si>
  <si>
    <t xml:space="preserve">Used in YoC calc</t>
  </si>
  <si>
    <t xml:space="preserve">Cost per Unit (incl. CapEx)</t>
  </si>
  <si>
    <t xml:space="preserve">All-in $/door</t>
  </si>
  <si>
    <t xml:space="preserve">Implied Stabilized Value (Y3 NOI / Exit Cap)</t>
  </si>
  <si>
    <t xml:space="preserve">Year 3 NOI capped at exit cap</t>
  </si>
  <si>
    <t xml:space="preserve">Stabilized Value vs. Total Cost — $ Spread</t>
  </si>
  <si>
    <t xml:space="preserve">Profit on paper at stabilization</t>
  </si>
  <si>
    <t xml:space="preserve">Stabilized Value vs. Total Cost — % Spread</t>
  </si>
  <si>
    <t xml:space="preserve">Equity multiple on paper at stab</t>
  </si>
  <si>
    <t xml:space="preserve">OPERATING RESERVE — RELEASE PARAMETERS  (GP discretion)</t>
  </si>
  <si>
    <t xml:space="preserve">Year you release remaining reserve. Defaults to Year 3 — adjust per stabilization target.</t>
  </si>
  <si>
    <t xml:space="preserve">Enter $ amount to release. Leave 0 to auto-use remaining reserve balance from P&amp;L!O45.</t>
  </si>
  <si>
    <t xml:space="preserve">Reserve Release Treatment</t>
  </si>
  <si>
    <t xml:space="preserve">Distribution</t>
  </si>
  <si>
    <t xml:space="preserve">Distribution = flows through waterfall (pref → promote). Return of Capital = returned proportional to equity contribution, before waterfall.</t>
  </si>
  <si>
    <t xml:space="preserve">USE OF CAPITAL SUMMARY</t>
  </si>
  <si>
    <t xml:space="preserve">Less: Total Loan Amount</t>
  </si>
  <si>
    <t xml:space="preserve">Down Payment Required</t>
  </si>
  <si>
    <t xml:space="preserve">Closing Costs</t>
  </si>
  <si>
    <t xml:space="preserve">Acquisition Fee</t>
  </si>
  <si>
    <t xml:space="preserve">Repair Escrow / CapEx</t>
  </si>
  <si>
    <t xml:space="preserve">TOTAL CASH AT CLOSE</t>
  </si>
  <si>
    <t xml:space="preserve">CLOSING COSTS DETAIL</t>
  </si>
  <si>
    <t xml:space="preserve">Rate/Factor</t>
  </si>
  <si>
    <t xml:space="preserve">LENDER FEES &amp; THIRD-PARTY COSTS</t>
  </si>
  <si>
    <t xml:space="preserve">Environmental (EDR)</t>
  </si>
  <si>
    <t xml:space="preserve">Appraisal</t>
  </si>
  <si>
    <t xml:space="preserve">Structural Inspection</t>
  </si>
  <si>
    <t xml:space="preserve">Lender Legal Fees</t>
  </si>
  <si>
    <t xml:space="preserve">Bank Doc Prep Fee</t>
  </si>
  <si>
    <t xml:space="preserve">Origination Fee</t>
  </si>
  <si>
    <t xml:space="preserve">Total origination fees — all tranches</t>
  </si>
  <si>
    <t xml:space="preserve">TITLE &amp; CLOSING COSTS</t>
  </si>
  <si>
    <t xml:space="preserve">0.30% of purchase price</t>
  </si>
  <si>
    <t xml:space="preserve">Survey</t>
  </si>
  <si>
    <t xml:space="preserve">Recording</t>
  </si>
  <si>
    <t xml:space="preserve">0.35% of purchase price</t>
  </si>
  <si>
    <t xml:space="preserve">Title Processing Fee</t>
  </si>
  <si>
    <t xml:space="preserve">Title Search</t>
  </si>
  <si>
    <t xml:space="preserve">Attorney Fees</t>
  </si>
  <si>
    <t xml:space="preserve">OTHER COSTS</t>
  </si>
  <si>
    <t xml:space="preserve">Legal (LLC, PPM, OA)</t>
  </si>
  <si>
    <t xml:space="preserve">Property Inspection</t>
  </si>
  <si>
    <t xml:space="preserve">Travel</t>
  </si>
  <si>
    <t xml:space="preserve">Contingency — % of Purchase Price for unknowns</t>
  </si>
  <si>
    <t xml:space="preserve">TOTAL CLOSING &amp; OTHER COSTS</t>
  </si>
  <si>
    <t xml:space="preserve">ANALYSIS on top. Standardized aggregation (Layer 3) and raw paste block (Layer 1) below — scroll down to access data.</t>
  </si>
  <si>
    <t xml:space="preserve">B.  RECONCILIATION CHECK  —  Are all raw lines mapped?</t>
  </si>
  <si>
    <t xml:space="preserve">EGI:</t>
  </si>
  <si>
    <t xml:space="preserve">OpEx:</t>
  </si>
  <si>
    <t xml:space="preserve">NOI:</t>
  </si>
  <si>
    <t xml:space="preserve">Unmapped $:</t>
  </si>
  <si>
    <t xml:space="preserve">EGI/Unit/Mo:</t>
  </si>
  <si>
    <t xml:space="preserve">C.  TREND ANALYSIS  —  T-3 vs. T-6 vs. T-12 (annualized)</t>
  </si>
  <si>
    <t xml:space="preserve">T-12 Actual</t>
  </si>
  <si>
    <t xml:space="preserve">T-6 Annlzd</t>
  </si>
  <si>
    <t xml:space="preserve">T-3 Annlzd</t>
  </si>
  <si>
    <t xml:space="preserve">T-3 vs T-12 Δ$</t>
  </si>
  <si>
    <t xml:space="preserve">T-3 vs T-12 Δ%</t>
  </si>
  <si>
    <t xml:space="preserve">Direction</t>
  </si>
  <si>
    <t xml:space="preserve">Read</t>
  </si>
  <si>
    <t xml:space="preserve">EGI</t>
  </si>
  <si>
    <t xml:space="preserve">Total OpEx</t>
  </si>
  <si>
    <t xml:space="preserve">NOI</t>
  </si>
  <si>
    <t xml:space="preserve">Bad Debt + Write-offs</t>
  </si>
  <si>
    <t xml:space="preserve">Payroll</t>
  </si>
  <si>
    <t xml:space="preserve">Make-Ready</t>
  </si>
  <si>
    <t xml:space="preserve">D.  ECONOMIC vs. PHYSICAL OCCUPANCY RECONCILIATION</t>
  </si>
  <si>
    <t xml:space="preserve">Physically Occupied Units</t>
  </si>
  <si>
    <t xml:space="preserve">Physical Occupancy %</t>
  </si>
  <si>
    <t xml:space="preserve">Gross Potential Rent (annual)</t>
  </si>
  <si>
    <t xml:space="preserve">Gross Rent Billed (Net Rent Rev)</t>
  </si>
  <si>
    <t xml:space="preserve">Total Revenue (EGI)</t>
  </si>
  <si>
    <t xml:space="preserve">Economic Occupancy % (Net Rent / GPR)</t>
  </si>
  <si>
    <t xml:space="preserve">Economic vs. Physical Gap</t>
  </si>
  <si>
    <t xml:space="preserve">  → Lost Revenue from Gap ($)</t>
  </si>
  <si>
    <t xml:space="preserve">E.  BAD DEBT &amp; WRITE-OFF LAYERED ANALYSIS</t>
  </si>
  <si>
    <t xml:space="preserve">Component</t>
  </si>
  <si>
    <t xml:space="preserve">% of GPR</t>
  </si>
  <si>
    <t xml:space="preserve">PUPM</t>
  </si>
  <si>
    <t xml:space="preserve">Vacancy Loss</t>
  </si>
  <si>
    <t xml:space="preserve">5-8% GPR</t>
  </si>
  <si>
    <t xml:space="preserve">Bad Debt / Write-offs</t>
  </si>
  <si>
    <t xml:space="preserve">1-3% GPR</t>
  </si>
  <si>
    <t xml:space="preserve">Concessions</t>
  </si>
  <si>
    <t xml:space="preserve">0.5-2% GPR</t>
  </si>
  <si>
    <t xml:space="preserve">Delinquency Change</t>
  </si>
  <si>
    <t xml:space="preserve">&lt;2% GPR</t>
  </si>
  <si>
    <t xml:space="preserve">Down Units Loss</t>
  </si>
  <si>
    <t xml:space="preserve">&lt;1% GPR</t>
  </si>
  <si>
    <t xml:space="preserve">Employee Units</t>
  </si>
  <si>
    <t xml:space="preserve">Total Rent Reductions</t>
  </si>
  <si>
    <t xml:space="preserve">F.  TAX &amp; INSURANCE ACCRUAL CHECK</t>
  </si>
  <si>
    <t xml:space="preserve">T-12 actuals are rarely the right pro forma number. Triangulate with reassessment estimate and lender quote. Status flags missing/skipped accruals.</t>
  </si>
  <si>
    <t xml:space="preserve">  T-12 Actual</t>
  </si>
  <si>
    <t xml:space="preserve">  Pro Forma Estimate</t>
  </si>
  <si>
    <t xml:space="preserve">  Variance (Actual − PF)</t>
  </si>
  <si>
    <t xml:space="preserve">  Status</t>
  </si>
  <si>
    <t xml:space="preserve">  Variance</t>
  </si>
  <si>
    <t xml:space="preserve">↓  ↓  ↓   DATA TIER BELOW — Standardized Aggregation (Layer 3) and Raw T-12 (Layer 1)   ↓  ↓  ↓</t>
  </si>
  <si>
    <t xml:space="preserve">H.  LAYER 3: STANDARDIZED AGGREGATION  —  Bucket-level detail</t>
  </si>
  <si>
    <t xml:space="preserve">Standardized Bucket</t>
  </si>
  <si>
    <t xml:space="preserve">Apr-25</t>
  </si>
  <si>
    <t xml:space="preserve">May-25</t>
  </si>
  <si>
    <t xml:space="preserve">Jun-25</t>
  </si>
  <si>
    <t xml:space="preserve">Jul-25</t>
  </si>
  <si>
    <t xml:space="preserve">Aug-25</t>
  </si>
  <si>
    <t xml:space="preserve">Sep-25</t>
  </si>
  <si>
    <t xml:space="preserve">Oct-25</t>
  </si>
  <si>
    <t xml:space="preserve">Nov-25</t>
  </si>
  <si>
    <t xml:space="preserve">Dec-25</t>
  </si>
  <si>
    <t xml:space="preserve">Jan-26</t>
  </si>
  <si>
    <t xml:space="preserve">Feb-26</t>
  </si>
  <si>
    <t xml:space="preserve">Mar-26</t>
  </si>
  <si>
    <t xml:space="preserve">T-12 Total</t>
  </si>
  <si>
    <t xml:space="preserve">% of EGI</t>
  </si>
  <si>
    <t xml:space="preserve">Bench Flag</t>
  </si>
  <si>
    <t xml:space="preserve">INCOME</t>
  </si>
  <si>
    <t xml:space="preserve">Gross Potential Rent</t>
  </si>
  <si>
    <t xml:space="preserve">Gain/Loss on Market Rent</t>
  </si>
  <si>
    <t xml:space="preserve">Write-offs / Bad Debt</t>
  </si>
  <si>
    <t xml:space="preserve">Prepaid Rent Change</t>
  </si>
  <si>
    <t xml:space="preserve">Net Rent Revenue</t>
  </si>
  <si>
    <t xml:space="preserve">MTM Fees</t>
  </si>
  <si>
    <t xml:space="preserve">Application Fees</t>
  </si>
  <si>
    <t xml:space="preserve">Late Fees</t>
  </si>
  <si>
    <t xml:space="preserve">Utility Reimbursement</t>
  </si>
  <si>
    <t xml:space="preserve">Pet Fees</t>
  </si>
  <si>
    <t xml:space="preserve">Parking Income</t>
  </si>
  <si>
    <t xml:space="preserve">Amenity Fees</t>
  </si>
  <si>
    <t xml:space="preserve">Admin Fees</t>
  </si>
  <si>
    <t xml:space="preserve">Insurance Pass-Thru</t>
  </si>
  <si>
    <t xml:space="preserve">Misc Other Income</t>
  </si>
  <si>
    <t xml:space="preserve">Renter's Insurance</t>
  </si>
  <si>
    <t xml:space="preserve">Total Other Income</t>
  </si>
  <si>
    <t xml:space="preserve">OPERATING EXPENSES</t>
  </si>
  <si>
    <t xml:space="preserve">Landscaping</t>
  </si>
  <si>
    <t xml:space="preserve">Pool / Amenity Maintenance</t>
  </si>
  <si>
    <t xml:space="preserve">Payroll — On-Site</t>
  </si>
  <si>
    <t xml:space="preserve">General &amp; Administrative</t>
  </si>
  <si>
    <t xml:space="preserve">Legal / Eviction</t>
  </si>
  <si>
    <t xml:space="preserve">Utilities — Electric</t>
  </si>
  <si>
    <t xml:space="preserve">Utilities — Gas</t>
  </si>
  <si>
    <t xml:space="preserve">Utilities — Water/Sewer</t>
  </si>
  <si>
    <t xml:space="preserve">Utilities — Trash</t>
  </si>
  <si>
    <t xml:space="preserve">Utilities — Internet/Cable</t>
  </si>
  <si>
    <t xml:space="preserve">Management Fee</t>
  </si>
  <si>
    <t xml:space="preserve">TOTAL OPERATING EXPENSES</t>
  </si>
  <si>
    <t xml:space="preserve">I.  LAYER 1: RAW T-12  (paste operator data here, then map column P)</t>
  </si>
  <si>
    <t xml:space="preserve">Acct #</t>
  </si>
  <si>
    <t xml:space="preserve">Account Name (raw)</t>
  </si>
  <si>
    <t xml:space="preserve">→ MAPPING</t>
  </si>
  <si>
    <t xml:space="preserve">J.  RAW TOTALS  —  Source-of-truth sums (should match Section H subtotals)</t>
  </si>
  <si>
    <t xml:space="preserve">Total Revenue (raw, income-mapped)</t>
  </si>
  <si>
    <t xml:space="preserve">Total OpEx (raw, expense-mapped)</t>
  </si>
  <si>
    <t xml:space="preserve">Unmapped lines:</t>
  </si>
  <si>
    <t xml:space="preserve">Excluded:</t>
  </si>
  <si>
    <t xml:space="preserve">  Blue = property context | Yellow = your input | Green = auto formula | Purple = projected totals</t>
  </si>
  <si>
    <t xml:space="preserve">  Income Scenario (distressed override):</t>
  </si>
  <si>
    <t xml:space="preserve">← Switch to My Version / Projected when T-12 distorted (high vacancy, below-market rents)</t>
  </si>
  <si>
    <t xml:space="preserve">PROPERTY REFERENCE</t>
  </si>
  <si>
    <t xml:space="preserve">ACTIVE SCENARIO CONTEXT</t>
  </si>
  <si>
    <t xml:space="preserve">COMMITTED UPSIDE SUMMARY</t>
  </si>
  <si>
    <t xml:space="preserve">Scenario:</t>
  </si>
  <si>
    <t xml:space="preserve">Committed Y1 $</t>
  </si>
  <si>
    <t xml:space="preserve">← Y1 feeds Scenarios Other Income</t>
  </si>
  <si>
    <t xml:space="preserve">Occupancy %</t>
  </si>
  <si>
    <t xml:space="preserve">Rent/Unit (active):</t>
  </si>
  <si>
    <t xml:space="preserve">Committed Stab $</t>
  </si>
  <si>
    <t xml:space="preserve">← Stab feeds P&amp;L Year 2 ramp</t>
  </si>
  <si>
    <t xml:space="preserve">Occupied Units</t>
  </si>
  <si>
    <t xml:space="preserve">Vacancy % (active):</t>
  </si>
  <si>
    <t xml:space="preserve">Total Possible Y1 $</t>
  </si>
  <si>
    <t xml:space="preserve">← all upside at target adoption</t>
  </si>
  <si>
    <t xml:space="preserve">← cross-check Scenarios!B40</t>
  </si>
  <si>
    <t xml:space="preserve">Units × Rent/Mo:</t>
  </si>
  <si>
    <t xml:space="preserve">Total Possible Stab $</t>
  </si>
  <si>
    <t xml:space="preserve">← all upside stabilized run-rate</t>
  </si>
  <si>
    <t xml:space="preserve">A.  RUBS RECAPTURE  —  Per-utility billing coverage vs T-12 cost</t>
  </si>
  <si>
    <t xml:space="preserve">  Coverage% = T-12 Recapture ÷ T-12 Cost. Gap = (Target coverage × Cost) − current recapture. Y1=0 (12-18 month rollout). Stab = full gap.</t>
  </si>
  <si>
    <t xml:space="preserve">Utility</t>
  </si>
  <si>
    <t xml:space="preserve">T-12 Utility Cost</t>
  </si>
  <si>
    <t xml:space="preserve">T-12 Recapture $</t>
  </si>
  <si>
    <t xml:space="preserve">Coverage % Now</t>
  </si>
  <si>
    <t xml:space="preserve">Target Coverage %</t>
  </si>
  <si>
    <t xml:space="preserve">N/A</t>
  </si>
  <si>
    <t xml:space="preserve">Annual Gap $</t>
  </si>
  <si>
    <t xml:space="preserve">Pursue?</t>
  </si>
  <si>
    <t xml:space="preserve">Y1 Upside $</t>
  </si>
  <si>
    <t xml:space="preserve">Stab Upside $</t>
  </si>
  <si>
    <t xml:space="preserve">Y1 Total Recapture $</t>
  </si>
  <si>
    <t xml:space="preserve">Stab Total Recapture $</t>
  </si>
  <si>
    <t xml:space="preserve">Operator does NOT separately track water RUBS. See Other Utility Reimb row.</t>
  </si>
  <si>
    <t xml:space="preserve">Operator bills back common-area electric (acct 4815=$6,313). Tenant pays in-unit.</t>
  </si>
  <si>
    <t xml:space="preserve">Hidden Lakes has no gas service.</t>
  </si>
  <si>
    <t xml:space="preserve">Not tracked separately. Standard $10-25/unit/mo flat fee.</t>
  </si>
  <si>
    <t xml:space="preserve">Bulk-billed $1,465; full passthrough opportunity.</t>
  </si>
  <si>
    <t xml:space="preserve">Acct 4820=$678 reimbursed. Standard $3-5/unit/mo flat fee.</t>
  </si>
  <si>
    <t xml:space="preserve">Acct 4825 ($39,241)+4855 ($206). Mostly water RUBS; operator does not break out by utility.</t>
  </si>
  <si>
    <t xml:space="preserve">  Tie-out: T-12 Recapture (D20)</t>
  </si>
  <si>
    <t xml:space="preserve">← D20 should equal T-12 Analysis!N71</t>
  </si>
  <si>
    <t xml:space="preserve">B.  LOSS-TO-LEASE RECAPTURE  —  In-place rents vs market</t>
  </si>
  <si>
    <t xml:space="preserve">  Uses current-market LTL only (conservative). Renovated/post-capex rent uplift is in row 4 (pulls from Capex tab). Scenario selector at C3 drives rows 1-2.</t>
  </si>
  <si>
    <t xml:space="preserve">Gap Value $</t>
  </si>
  <si>
    <t xml:space="preserve">Annualized $</t>
  </si>
  <si>
    <t xml:space="preserve">Y1 Capture %</t>
  </si>
  <si>
    <t xml:space="preserve">Stab Capture %</t>
  </si>
  <si>
    <t xml:space="preserve">Full Opportunity $</t>
  </si>
  <si>
    <t xml:space="preserve">Y1 Total $</t>
  </si>
  <si>
    <t xml:space="preserve">Stab Total $</t>
  </si>
  <si>
    <t xml:space="preserve">~30% Y1 via renewals; 70%+ stabilized.</t>
  </si>
  <si>
    <t xml:space="preserve">40% of vacant leased Y1; 85% stabilized.</t>
  </si>
  <si>
    <t xml:space="preserve">Eviction resolves ~50% Y1; 80%+ stabilized.</t>
  </si>
  <si>
    <t xml:space="preserve">Pulls from Capex tab rent-bump assumptions.</t>
  </si>
  <si>
    <t xml:space="preserve">C.  RECURRING FEES  —  Monthly revenue streams not fully collected</t>
  </si>
  <si>
    <t xml:space="preserve">  Monthly per-unit fees. D=current $/unit derived from T-12. E/F=your targets (yellow). G=capture % of market rate. H=realistic annual gap at target adoption. J/K=net new above T-12.</t>
  </si>
  <si>
    <t xml:space="preserve">Fee Type</t>
  </si>
  <si>
    <t xml:space="preserve">T-12 Annual $</t>
  </si>
  <si>
    <t xml:space="preserve">Current $/Unit/Mo</t>
  </si>
  <si>
    <t xml:space="preserve">Target $/Unit/Mo</t>
  </si>
  <si>
    <t xml:space="preserve">Adoption %</t>
  </si>
  <si>
    <t xml:space="preserve">Capture %</t>
  </si>
  <si>
    <t xml:space="preserve">Y</t>
  </si>
  <si>
    <t xml:space="preserve">Monthly surcharge per pet. $25-50/mo; ~30% of units have pets.</t>
  </si>
  <si>
    <t xml:space="preserve">Upgrade to reserved spot. $20-30/mo suburban garden.</t>
  </si>
  <si>
    <t xml:space="preserve">Carport/garage; $35-75/mo.</t>
  </si>
  <si>
    <t xml:space="preserve">Reserved EV spot with charging access. New revenue stream.</t>
  </si>
  <si>
    <t xml:space="preserve">T-12 shows $26,725 — improve enforcement, not rate.</t>
  </si>
  <si>
    <t xml:space="preserve">Universal monthly add for pool/gym/lounge access.</t>
  </si>
  <si>
    <t xml:space="preserve">Add-on for premium amenities post-capex.</t>
  </si>
  <si>
    <t xml:space="preserve">$14-15 wholesale; $12 charged or admin fee per policy.</t>
  </si>
  <si>
    <t xml:space="preserve">→ Quantified in Section A. $0 here to avoid double-count.</t>
  </si>
  <si>
    <t xml:space="preserve">$3-8/unit/mo Amazon Hub or smartbox.</t>
  </si>
  <si>
    <t xml:space="preserve">New revenue. Garage bays or storage rooms.</t>
  </si>
  <si>
    <t xml:space="preserve">Tenant pays monthly fee to lock renewal rate. ~40% adoption.</t>
  </si>
  <si>
    <t xml:space="preserve">Flat admin fee for billing/handling utility passthroughs.</t>
  </si>
  <si>
    <t xml:space="preserve">Alternative to security deposit; 30% adoption typical.</t>
  </si>
  <si>
    <t xml:space="preserve">$25/mo doorstep trash; 70% adoption in suburban garden.</t>
  </si>
  <si>
    <t xml:space="preserve">Bulk cable/internet upcharge; resell $30 vs $15-20 wholesale.</t>
  </si>
  <si>
    <t xml:space="preserve">Standard $2-5 per online payment — pure margin.</t>
  </si>
  <si>
    <t xml:space="preserve">Misc revenue typically embedded in rent.</t>
  </si>
  <si>
    <t xml:space="preserve">TOTAL RECURRING FEES</t>
  </si>
  <si>
    <t xml:space="preserve">D.  ONE-TIME FEES  —  Per-event fees at lease events</t>
  </si>
  <si>
    <t xml:space="preserve">  Annual revenue = Fee $ × # Events × 100% (events already count actual occurrences). D = implied effective rate from T-12. G = effective rate vs market fee. Y1 uses Y1 Ramp % (K56).</t>
  </si>
  <si>
    <t xml:space="preserve">← % of full-year capture in Y1 (default 50%)</t>
  </si>
  <si>
    <t xml:space="preserve">Effective $/Event</t>
  </si>
  <si>
    <t xml:space="preserve">Market Fee $</t>
  </si>
  <si>
    <t xml:space="preserve"># Events / Yr</t>
  </si>
  <si>
    <t xml:space="preserve">T-12 shows $1,675 — undercollected. Enter expected applications/yr.</t>
  </si>
  <si>
    <t xml:space="preserve">One-time pet enrollment at move-in. ~21 events if 30% of move-ins have pets.</t>
  </si>
  <si>
    <t xml:space="preserve">Per-month MTM premium × # tenants going MTM/yr (~5-10% of base).</t>
  </si>
  <si>
    <t xml:space="preserve">Lease break events/yr (~5% of leases break early).</t>
  </si>
  <si>
    <t xml:space="preserve">One-time at move-in for utility transfer. = # move-ins/yr.</t>
  </si>
  <si>
    <t xml:space="preserve">Per renewal event/yr. T-12 shows $3,974 already collected.</t>
  </si>
  <si>
    <t xml:space="preserve">  Enter expected # events directly in column F (e.g., 60 turnovers/yr = 60 events).</t>
  </si>
  <si>
    <t xml:space="preserve">TOTAL ONE-TIME FEES</t>
  </si>
  <si>
    <t xml:space="preserve">E.  BILLABLE UPSIDE  —  Net-new services beyond standard fee schedule</t>
  </si>
  <si>
    <t xml:space="preserve">  Items that cost nothing additional but generate margin if charged. T-12=0 for all — 100% of J/K is net-new. Excludes items already in C/D to avoid double-count.</t>
  </si>
  <si>
    <t xml:space="preserve">Tech upgrade rolled at lease renewal. $25-35/unit/mo.</t>
  </si>
  <si>
    <t xml:space="preserve">5-10% of units; furniture amortized over 24 months.</t>
  </si>
  <si>
    <t xml:space="preserve">3% of units at premium nightly rate.</t>
  </si>
  <si>
    <t xml:space="preserve">Convert unused space; $15/mo per resident user.</t>
  </si>
  <si>
    <t xml:space="preserve">TOTAL BILLABLE UPSIDE</t>
  </si>
  <si>
    <t xml:space="preserve">F.  GRAND TOTAL  —  All recapture and upside categories</t>
  </si>
  <si>
    <t xml:space="preserve">Category</t>
  </si>
  <si>
    <t xml:space="preserve">T-12 Baseline $</t>
  </si>
  <si>
    <t xml:space="preserve">A. RUBS Recapture</t>
  </si>
  <si>
    <t xml:space="preserve">Sub-meter rollout 12-18 months. Y1=0.</t>
  </si>
  <si>
    <t xml:space="preserve">B. Loss-to-Lease</t>
  </si>
  <si>
    <t xml:space="preserve">Captured at lease renewals + new leases.</t>
  </si>
  <si>
    <t xml:space="preserve">C. Recurring Fees</t>
  </si>
  <si>
    <t xml:space="preserve">Pet/parking/admin fees from rollout.</t>
  </si>
  <si>
    <t xml:space="preserve">D. One-Time Fees</t>
  </si>
  <si>
    <t xml:space="preserve">Per-event fees at move-in/renewal.</t>
  </si>
  <si>
    <t xml:space="preserve">E. Billable Upside</t>
  </si>
  <si>
    <t xml:space="preserve">New service offerings.</t>
  </si>
  <si>
    <t xml:space="preserve">GRAND TOTAL</t>
  </si>
  <si>
    <t xml:space="preserve">← Y1 feeds Scenarios!C/D/E48</t>
  </si>
  <si>
    <t xml:space="preserve">← Stab feeds P&amp;L Y2 ramp</t>
  </si>
  <si>
    <t xml:space="preserve">VALUE-CREATION MULTIPLIER</t>
  </si>
  <si>
    <t xml:space="preserve">  Stabilized NOI add (Committed Stab):</t>
  </si>
  <si>
    <t xml:space="preserve">  Exit cap rate (Scenarios market):</t>
  </si>
  <si>
    <t xml:space="preserve">  Implied value creation:</t>
  </si>
  <si>
    <t xml:space="preserve">← Committed Stab NOI add ÷ cap rate = property value uplift from pursued items</t>
  </si>
  <si>
    <t xml:space="preserve">ANALYSIS on top. Raw rent roll below — 143 units pre-loaded from source 4/16/2026. AR aging columns Q-T blank (paste from separate AR aging report).</t>
  </si>
  <si>
    <t xml:space="preserve">B.  HEALTH CHECK  —  RR vs Prop Info reconciliation</t>
  </si>
  <si>
    <t xml:space="preserve">Date:</t>
  </si>
  <si>
    <t xml:space="preserve">Property:</t>
  </si>
  <si>
    <t xml:space="preserve">Units (Prop):</t>
  </si>
  <si>
    <t xml:space="preserve">Units (RR):</t>
  </si>
  <si>
    <t xml:space="preserve">Match:</t>
  </si>
  <si>
    <t xml:space="preserve">Total AR:</t>
  </si>
  <si>
    <t xml:space="preserve">Legal cases:</t>
  </si>
  <si>
    <t xml:space="preserve">Occupied:</t>
  </si>
  <si>
    <t xml:space="preserve">C.  UNIT STATUS TAXONOMY  —  Where everyone stands</t>
  </si>
  <si>
    <t xml:space="preserve">Status Bucket</t>
  </si>
  <si>
    <t xml:space="preserve">% of Total</t>
  </si>
  <si>
    <t xml:space="preserve">Sched Charges ($/mo)</t>
  </si>
  <si>
    <t xml:space="preserve">Market Rent ($/mo)</t>
  </si>
  <si>
    <t xml:space="preserve">Avg Sched / Unit</t>
  </si>
  <si>
    <t xml:space="preserve">AR Balance</t>
  </si>
  <si>
    <t xml:space="preserve">Occupied — Current (no legal)</t>
  </si>
  <si>
    <t xml:space="preserve">Occupied — Delinquent (&gt;$500, no legal)</t>
  </si>
  <si>
    <t xml:space="preserve">Occupied — Legal/Eviction (** flag)</t>
  </si>
  <si>
    <t xml:space="preserve">Vacant — Leased / Pre-Leased</t>
  </si>
  <si>
    <t xml:space="preserve">Unmatched / Other status</t>
  </si>
  <si>
    <t xml:space="preserve">  memo: Occupied units On Notice</t>
  </si>
  <si>
    <t xml:space="preserve">  check: TOTAL = Prop Info unit count</t>
  </si>
  <si>
    <t xml:space="preserve">← avg sched/occupied unit</t>
  </si>
  <si>
    <t xml:space="preserve">  Tie-out: Occ Mkt + Vac Loss = Section D GPR</t>
  </si>
  <si>
    <t xml:space="preserve">D.  GPR RECONCILIATION  —  Three views of "potential rent"</t>
  </si>
  <si>
    <t xml:space="preserve">Annual Amount</t>
  </si>
  <si>
    <t xml:space="preserve">Market GPR (all units × market rent × 12)</t>
  </si>
  <si>
    <t xml:space="preserve">Max revenue if all units leased at market rent</t>
  </si>
  <si>
    <t xml:space="preserve">Scheduled GPR (occupied × scheduled charges × 12)</t>
  </si>
  <si>
    <t xml:space="preserve">What occupied residents are contracted to pay</t>
  </si>
  <si>
    <t xml:space="preserve">Loss to Lease (Mkt − Sched on occupied)</t>
  </si>
  <si>
    <t xml:space="preserve">Negative = below-market in-place rent (recapture upside)</t>
  </si>
  <si>
    <t xml:space="preserve">Vacancy Loss (vacant × market × 12)</t>
  </si>
  <si>
    <t xml:space="preserve">Lost revenue from physical vacancy</t>
  </si>
  <si>
    <t xml:space="preserve">Bad Debt Risk (legal-flagged units × scheduled × 12)</t>
  </si>
  <si>
    <t xml:space="preserve">Annualized exposure on legally-flagged units</t>
  </si>
  <si>
    <t xml:space="preserve">Economic GPR (Mkt − LTL − Vac − Bad Debt)</t>
  </si>
  <si>
    <t xml:space="preserve">Realistic collected rent estimate</t>
  </si>
  <si>
    <t xml:space="preserve">Economic Occupancy % (Econ GPR / Mkt GPR)</t>
  </si>
  <si>
    <t xml:space="preserve">Compare to physical occupancy from Section C</t>
  </si>
  <si>
    <t xml:space="preserve">Current RR GPR — Occupied Scheduled (as-is)</t>
  </si>
  <si>
    <t xml:space="preserve">Scheduled rent on occupied units × 12 (point-in-time snapshot)</t>
  </si>
  <si>
    <t xml:space="preserve">T-3 GPR Annualized (last 3 months × 4)</t>
  </si>
  <si>
    <t xml:space="preserve">Trailing 3-month GPR × 4 — momentum vs T-12 average. Source: T-12 Analysis!O58</t>
  </si>
  <si>
    <t xml:space="preserve">E.  LEASE EXPIRATION SCHEDULE  —  Next 24 months</t>
  </si>
  <si>
    <t xml:space="preserve">  Months count from TODAY(). Blank or past lease-end on occupied = MTM/Open bucket.</t>
  </si>
  <si>
    <t xml:space="preserve">Month</t>
  </si>
  <si>
    <t xml:space="preserve"># Expirations</t>
  </si>
  <si>
    <t xml:space="preserve">% of Occupied</t>
  </si>
  <si>
    <t xml:space="preserve">Sched Rent</t>
  </si>
  <si>
    <t xml:space="preserve">Market Rent</t>
  </si>
  <si>
    <t xml:space="preserve">LTL at Renewal</t>
  </si>
  <si>
    <t xml:space="preserve">Cumulative %</t>
  </si>
  <si>
    <t xml:space="preserve">MTM / Past-due / Blank</t>
  </si>
  <si>
    <t xml:space="preserve">Concentration: largest single-month expiration</t>
  </si>
  <si>
    <t xml:space="preserve">F.  DAYS VACANT TRACKER  —  How long have the empties been empty?</t>
  </si>
  <si>
    <t xml:space="preserve">  Calculated from last lease end. Blank lease end = unknown duration.</t>
  </si>
  <si>
    <t xml:space="preserve">Vacancy Bucket</t>
  </si>
  <si>
    <t xml:space="preserve">% of Vacant</t>
  </si>
  <si>
    <t xml:space="preserve">Lost Rent ($/yr)</t>
  </si>
  <si>
    <t xml:space="preserve">Implied Make-Ready Tier</t>
  </si>
  <si>
    <t xml:space="preserve">Vacant Unrented Ready (any age)</t>
  </si>
  <si>
    <t xml:space="preserve">Light turn (&lt;30 days)</t>
  </si>
  <si>
    <t xml:space="preserve">Vacant Not Ready 0-90 days</t>
  </si>
  <si>
    <t xml:space="preserve">Light/medium turn</t>
  </si>
  <si>
    <t xml:space="preserve">Vacant Not Ready 90-180 days</t>
  </si>
  <si>
    <t xml:space="preserve">Medium turn</t>
  </si>
  <si>
    <t xml:space="preserve">Vacant Not Ready 180-365 days</t>
  </si>
  <si>
    <t xml:space="preserve">Heavy turn likely</t>
  </si>
  <si>
    <t xml:space="preserve">Vacant Not Ready 365+ days</t>
  </si>
  <si>
    <t xml:space="preserve">Heavy turn / down-to-studs</t>
  </si>
  <si>
    <t xml:space="preserve">Vacant — Lease End Unknown</t>
  </si>
  <si>
    <t xml:space="preserve">Investigate</t>
  </si>
  <si>
    <t xml:space="preserve">Total Lost Annual Rent (vacant)</t>
  </si>
  <si>
    <t xml:space="preserve">G.  RESIDENT TENURE COHORT  —  How long they've been here</t>
  </si>
  <si>
    <t xml:space="preserve">Tenure</t>
  </si>
  <si>
    <t xml:space="preserve"># Residents</t>
  </si>
  <si>
    <t xml:space="preserve">Avg Sched Rent</t>
  </si>
  <si>
    <t xml:space="preserve">Avg Market</t>
  </si>
  <si>
    <t xml:space="preserve">LTL/mo/unit</t>
  </si>
  <si>
    <t xml:space="preserve">0-6 months</t>
  </si>
  <si>
    <t xml:space="preserve">Recent move-ins</t>
  </si>
  <si>
    <t xml:space="preserve">6-12 months</t>
  </si>
  <si>
    <t xml:space="preserve">First renewal pending</t>
  </si>
  <si>
    <t xml:space="preserve">1-2 years</t>
  </si>
  <si>
    <t xml:space="preserve">Established</t>
  </si>
  <si>
    <t xml:space="preserve">2-3 years</t>
  </si>
  <si>
    <t xml:space="preserve">Likely below market</t>
  </si>
  <si>
    <t xml:space="preserve">3+ years</t>
  </si>
  <si>
    <t xml:space="preserve">Deep below market</t>
  </si>
  <si>
    <t xml:space="preserve">H.  DELINQUENCY  —  AR aging summary (paste from separate aging report into cols Q-T)</t>
  </si>
  <si>
    <t xml:space="preserve">Aging Bucket</t>
  </si>
  <si>
    <t xml:space="preserve">Total $</t>
  </si>
  <si>
    <t xml:space="preserve">% of Total AR</t>
  </si>
  <si>
    <t xml:space="preserve">Avg per Unit</t>
  </si>
  <si>
    <t xml:space="preserve">0-30 Days</t>
  </si>
  <si>
    <t xml:space="preserve">31-60 Days</t>
  </si>
  <si>
    <t xml:space="preserve">61-90 Days</t>
  </si>
  <si>
    <t xml:space="preserve">90+ Days</t>
  </si>
  <si>
    <t xml:space="preserve">Total AR (from balance col)</t>
  </si>
  <si>
    <t xml:space="preserve">I.  TOP-10 DELINQUENT UNITS  —  Highest balances</t>
  </si>
  <si>
    <t xml:space="preserve">  Sorted by Balance descending. ✱✱ flag in Legal column = operator marked for legal/eviction.</t>
  </si>
  <si>
    <t xml:space="preserve">Bldg</t>
  </si>
  <si>
    <t xml:space="preserve">Unit</t>
  </si>
  <si>
    <t xml:space="preserve">Resident</t>
  </si>
  <si>
    <t xml:space="preserve">Market</t>
  </si>
  <si>
    <t xml:space="preserve">Balance</t>
  </si>
  <si>
    <t xml:space="preserve">Deposit</t>
  </si>
  <si>
    <t xml:space="preserve">Net Exp</t>
  </si>
  <si>
    <t xml:space="preserve">Top 10 Total</t>
  </si>
  <si>
    <t xml:space="preserve">Top 10 as % of total AR</t>
  </si>
  <si>
    <t xml:space="preserve">Legal-Flagged Units (count)</t>
  </si>
  <si>
    <t xml:space="preserve">Legal $ Exposure</t>
  </si>
  <si>
    <t xml:space="preserve">J.  SUBJECT PROPERTY LEASING VELOCITY  —  Recent move-ins</t>
  </si>
  <si>
    <t xml:space="preserve">  Move-ins within last N days. Tells you how fast THIS property leases.</t>
  </si>
  <si>
    <t xml:space="preserve">RECENT LEASE PRICING TREND — new-lease sched rent vs in-place book avg, by type (by Lease Start).  Snapshot has no prior-lease rent, so this is new-vs-book, not a renewal trade-out.</t>
  </si>
  <si>
    <t xml:space="preserve">Window</t>
  </si>
  <si>
    <t xml:space="preserve"># New Leases</t>
  </si>
  <si>
    <t xml:space="preserve">Avg Rent Achieved</t>
  </si>
  <si>
    <t xml:space="preserve">Annualized Pace</t>
  </si>
  <si>
    <t xml:space="preserve">Mo to Stabilize</t>
  </si>
  <si>
    <t xml:space="preserve">Unit Type</t>
  </si>
  <si>
    <t xml:space="preserve">Avg New Rent</t>
  </si>
  <si>
    <t xml:space="preserve">In-Place Avg</t>
  </si>
  <si>
    <t xml:space="preserve">Δ% vs Book</t>
  </si>
  <si>
    <t xml:space="preserve">Last 30 days</t>
  </si>
  <si>
    <t xml:space="preserve">1x1</t>
  </si>
  <si>
    <t xml:space="preserve">Last 60 days</t>
  </si>
  <si>
    <t xml:space="preserve">2x2</t>
  </si>
  <si>
    <t xml:space="preserve">Last 90 days</t>
  </si>
  <si>
    <t xml:space="preserve">3x2</t>
  </si>
  <si>
    <t xml:space="preserve">Last 180 days</t>
  </si>
  <si>
    <t xml:space="preserve">TOTAL / WTD</t>
  </si>
  <si>
    <t xml:space="preserve">Lookback window (days)  ▶</t>
  </si>
  <si>
    <t xml:space="preserve">K.  CHARGE VARIANCE  —  Actual vs Scheduled (catches billing errors / undocumented concessions)</t>
  </si>
  <si>
    <t xml:space="preserve">  "Actual Charges" = what they're actually being billed. "Scheduled Charges" = what they should be billed per lease. Material gap = billing error or hidden concession.</t>
  </si>
  <si>
    <t xml:space="preserve">Variance Bucket</t>
  </si>
  <si>
    <t xml:space="preserve">% Occupied</t>
  </si>
  <si>
    <t xml:space="preserve">Total Variance ($/mo)</t>
  </si>
  <si>
    <t xml:space="preserve">Annualized</t>
  </si>
  <si>
    <t xml:space="preserve">Actual &gt; Scheduled (over-billed?)</t>
  </si>
  <si>
    <t xml:space="preserve">Actual &lt; Scheduled (under-billed / concession)</t>
  </si>
  <si>
    <t xml:space="preserve">Net Variance (Actual − Scheduled, all occupied)</t>
  </si>
  <si>
    <t xml:space="preserve">L.  LOSS-TO-LEASE BY UNIT TYPE  —  Which floorplan to renovate first?</t>
  </si>
  <si>
    <t xml:space="preserve">Occupied</t>
  </si>
  <si>
    <t xml:space="preserve">Avg Mkt Rent</t>
  </si>
  <si>
    <t xml:space="preserve">LTL/mo</t>
  </si>
  <si>
    <t xml:space="preserve">LTL %</t>
  </si>
  <si>
    <t xml:space="preserve">Annual Recapture</t>
  </si>
  <si>
    <t xml:space="preserve">M.  RENEWAL PIPELINE VALUE  —  LTL recapture on leases expiring next 12 months</t>
  </si>
  <si>
    <t xml:space="preserve">  Sum of (market − scheduled) for each lease expiring in this window. Assumes 100% renewal at market — discount by your renewal probability.</t>
  </si>
  <si>
    <t xml:space="preserve">LTL/mo (Mkt − Sched)</t>
  </si>
  <si>
    <t xml:space="preserve">Annual Recapture if 100% Renew</t>
  </si>
  <si>
    <t xml:space="preserve">@ 70% Renew</t>
  </si>
  <si>
    <t xml:space="preserve">@ 50% Renew</t>
  </si>
  <si>
    <t xml:space="preserve">Next 3 months</t>
  </si>
  <si>
    <t xml:space="preserve">Next 6 months</t>
  </si>
  <si>
    <t xml:space="preserve">Next 12 months</t>
  </si>
  <si>
    <t xml:space="preserve">Next 24 months</t>
  </si>
  <si>
    <t xml:space="preserve">N.  DISTRESS COHORT  —  ✱✱-flagged units (operator legal/eviction marker)</t>
  </si>
  <si>
    <t xml:space="preserve">  Operator marks legal/eviction cases with ✱✱ prefix on resident name. Flag column G is auto-derived. These are pre-eviction or in-process units.</t>
  </si>
  <si>
    <t xml:space="preserve">% Comparison</t>
  </si>
  <si>
    <t xml:space="preserve">Legal-flagged units (count)</t>
  </si>
  <si>
    <t xml:space="preserve">% of occupied</t>
  </si>
  <si>
    <t xml:space="preserve">Total AR exposure on legal cohort</t>
  </si>
  <si>
    <t xml:space="preserve">% of total AR</t>
  </si>
  <si>
    <t xml:space="preserve">Avg balance per legal unit</t>
  </si>
  <si>
    <t xml:space="preserve">Avg scheduled rent (legal cohort)</t>
  </si>
  <si>
    <t xml:space="preserve">Months of rent in arrears (avg)</t>
  </si>
  <si>
    <t xml:space="preserve">Higher = longer process</t>
  </si>
  <si>
    <t xml:space="preserve">Annualized rent exposure on legal</t>
  </si>
  <si>
    <t xml:space="preserve">Total deposits held (legal cohort)</t>
  </si>
  <si>
    <t xml:space="preserve">Deposit / Balance coverage %</t>
  </si>
  <si>
    <t xml:space="preserve">O.  BUILDING-LEVEL VACANCY CONCENTRATION  —  Catches localized issues</t>
  </si>
  <si>
    <t xml:space="preserve">  Vacancy clustered in one building often signals a localized problem (roof leak, mold, building-wide systems issue). Flag if any building shows &gt;75% vacancy.</t>
  </si>
  <si>
    <t xml:space="preserve">Vacant</t>
  </si>
  <si>
    <t xml:space="preserve">Vac %</t>
  </si>
  <si>
    <t xml:space="preserve">Down</t>
  </si>
  <si>
    <t xml:space="preserve">Legal Cases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</si>
  <si>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</si>
  <si>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</si>
  <si>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</si>
  <si>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</si>
  <si>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</si>
  <si>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</si>
  <si>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</si>
  <si>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</si>
  <si>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</si>
  <si>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</si>
  <si>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</si>
  <si>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</si>
  <si>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</si>
  <si>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</si>
  <si>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</si>
  <si>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</si>
  <si>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</si>
  <si>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</si>
  <si>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P.  DEPOSIT COVERAGE ON DELINQUENT UNITS  —  Recovery expectation if move-out</t>
  </si>
  <si>
    <t xml:space="preserve">  For occupied units with positive balance, deposit / balance ratio. &lt;100% = uncovered loss on move-out.</t>
  </si>
  <si>
    <t xml:space="preserve">Coverage Bucket</t>
  </si>
  <si>
    <t xml:space="preserve">Total Balance</t>
  </si>
  <si>
    <t xml:space="preserve">Total Deposits</t>
  </si>
  <si>
    <t xml:space="preserve">Coverage %</t>
  </si>
  <si>
    <t xml:space="preserve">Uncovered $</t>
  </si>
  <si>
    <t xml:space="preserve">Fully covered (deposit ≥ balance)</t>
  </si>
  <si>
    <t xml:space="preserve">Partially covered (0 &lt; deposit &lt; balance)</t>
  </si>
  <si>
    <t xml:space="preserve">Zero deposit + balance owed</t>
  </si>
  <si>
    <t xml:space="preserve">Total: Occupied with positive balance</t>
  </si>
  <si>
    <t xml:space="preserve">Q.  SUBSIDY &amp; CHARGE CODE MIX  —  How resilient is collections to market shocks?</t>
  </si>
  <si>
    <t xml:space="preserve">  Source footer breakdown (per Yardi Charge Code Summary). Subsidy revenue (HCV/Section 8) is more reliable than market rent — higher % = lower volatility.</t>
  </si>
  <si>
    <t xml:space="preserve">Charge Source</t>
  </si>
  <si>
    <t xml:space="preserve">Monthly $</t>
  </si>
  <si>
    <t xml:space="preserve">Annual $</t>
  </si>
  <si>
    <t xml:space="preserve">% of Sched</t>
  </si>
  <si>
    <t xml:space="preserve">Reliability</t>
  </si>
  <si>
    <t xml:space="preserve">🟡 market-sensitive</t>
  </si>
  <si>
    <t xml:space="preserve">🟢 contractual</t>
  </si>
  <si>
    <t xml:space="preserve">🟢 govt-backed</t>
  </si>
  <si>
    <t xml:space="preserve">TOTAL Scheduled Charges</t>
  </si>
  <si>
    <t xml:space="preserve">Subsidy Concentration Metrics:</t>
  </si>
  <si>
    <t xml:space="preserve">  Subsidy as % of total scheduled</t>
  </si>
  <si>
    <t xml:space="preserve">Higher = lower revenue volatility (govt-backed)</t>
  </si>
  <si>
    <t xml:space="preserve">  Annual subsidy revenue (committed)</t>
  </si>
  <si>
    <t xml:space="preserve">Floor on revenue assuming residents stay</t>
  </si>
  <si>
    <t xml:space="preserve">  Annual market-sensitive revenue</t>
  </si>
  <si>
    <t xml:space="preserve">Subject to vacancy + bad debt risk</t>
  </si>
  <si>
    <t xml:space="preserve">  Annual collected vs Sched GPR</t>
  </si>
  <si>
    <t xml:space="preserve">How much of scheduled GPR comes through these charge codes</t>
  </si>
  <si>
    <t xml:space="preserve">R.  RENT-PER-SF BY UNIT TYPE  —  Comp benchmark</t>
  </si>
  <si>
    <t xml:space="preserve">  $/SF for each floorplan vs market. Compare to Rental Comps tab to see if subject is above/below submarket pricing.</t>
  </si>
  <si>
    <t xml:space="preserve">Avg SF</t>
  </si>
  <si>
    <t xml:space="preserve">Total SF</t>
  </si>
  <si>
    <t xml:space="preserve">Mkt Rent/SF</t>
  </si>
  <si>
    <t xml:space="preserve">Sched Rent/SF</t>
  </si>
  <si>
    <t xml:space="preserve">Δ/SF</t>
  </si>
  <si>
    <t xml:space="preserve">Annual $/SF (occ)</t>
  </si>
  <si>
    <t xml:space="preserve">vs Comp</t>
  </si>
  <si>
    <t xml:space="preserve">— see Rental Comps —</t>
  </si>
  <si>
    <t xml:space="preserve">WEIGHTED AVG</t>
  </si>
  <si>
    <t xml:space="preserve">S.  BELOW / AT / ABOVE MARKET COHORT  —  Renewal pricing posture</t>
  </si>
  <si>
    <t xml:space="preserve">  Splits occupied units by Sched vs Mkt thresholds. &gt;5% Below = recapture target. ±5% = priced right. &gt;5% Above = renewal risk. Col F = Mkt − Sched (positive = below market upside; negative = tenant overpaying).</t>
  </si>
  <si>
    <t xml:space="preserve">Cohort</t>
  </si>
  <si>
    <t xml:space="preserve">Total Sched</t>
  </si>
  <si>
    <t xml:space="preserve">Total Mkt</t>
  </si>
  <si>
    <t xml:space="preserve">Mkt − Sched</t>
  </si>
  <si>
    <t xml:space="preserve">Avg LTL/unit</t>
  </si>
  <si>
    <t xml:space="preserve">&gt;5% Below market (recapture target)</t>
  </si>
  <si>
    <t xml:space="preserve">Within ±5% of market (priced right)</t>
  </si>
  <si>
    <t xml:space="preserve">&gt;5% Above market (renewal risk)</t>
  </si>
  <si>
    <t xml:space="preserve">TOTAL Occupied (Mkt &gt; 0)</t>
  </si>
  <si>
    <t xml:space="preserve">T.  MOVE-IN SEASONALITY  —  When did current residents sign on? (predicts when leases roll)</t>
  </si>
  <si>
    <t xml:space="preserve">  Distribution of CURRENT occupied residents by month-of-move-in. Helps predict expiration clusters and turn-prep timing.</t>
  </si>
  <si>
    <t xml:space="preserve">Move-In Month</t>
  </si>
  <si>
    <t xml:space="preserve">Bar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</si>
  <si>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</si>
  <si>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</si>
  <si>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</si>
  <si>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</si>
  <si>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</si>
  <si>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</si>
  <si>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</si>
  <si>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</si>
  <si>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</si>
  <si>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</si>
  <si>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</si>
  <si>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</si>
  <si>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Peak move-in month</t>
  </si>
  <si>
    <t xml:space="preserve">Slowest move-in month</t>
  </si>
  <si>
    <t xml:space="preserve">Q2-Q3 (Apr-Sep) % — typical busy season</t>
  </si>
  <si>
    <t xml:space="preserve">U.  FUTURE RESIDENT PIPELINE  —  Signed leases not yet moved in</t>
  </si>
  <si>
    <t xml:space="preserve">  Detected as units in raw block with Lease Start date in the future. Source had none in 4/16/2026 snapshot — paste future residents into raw block to populate.</t>
  </si>
  <si>
    <t xml:space="preserve">Pipeline Metric</t>
  </si>
  <si>
    <t xml:space="preserve">Note</t>
  </si>
  <si>
    <t xml:space="preserve">Future-dated leases (Lease Start &gt; today)</t>
  </si>
  <si>
    <t xml:space="preserve">Count of pre-leases</t>
  </si>
  <si>
    <t xml:space="preserve">Future-dated leases on currently vacant units</t>
  </si>
  <si>
    <t xml:space="preserve">Vacant units already pre-leased</t>
  </si>
  <si>
    <t xml:space="preserve">Total scheduled rent committed (annualized)</t>
  </si>
  <si>
    <t xml:space="preserve">Revenue locked in pre-occupancy</t>
  </si>
  <si>
    <t xml:space="preserve">Days to soonest pre-leased move-in</t>
  </si>
  <si>
    <t xml:space="preserve">How fast revenue starts</t>
  </si>
  <si>
    <t xml:space="preserve">Avg days until pre-leased start</t>
  </si>
  <si>
    <t xml:space="preserve">Lead time on pipeline</t>
  </si>
  <si>
    <t xml:space="preserve">V.  UNIT-TYPE MATRIX (EXTENDED)  -  Vacancy / Rent /mo / $/SF / LTL / Renewals by unit type</t>
  </si>
  <si>
    <t xml:space="preserve">  Unit-type labels link to 'Rental Comps'!A7:A16 (label types once on the Rental Comps tab). Add more types by filling Rental Comps A10:A16 — they auto-flow here. Blank rows guard cleanly.</t>
  </si>
  <si>
    <t xml:space="preserve">Top %ile for max rents (whole #, 10% steps; e.g. 25 = top 25% of units):</t>
  </si>
  <si>
    <t xml:space="preserve">TYPE</t>
  </si>
  <si>
    <t xml:space="preserve">UNIT MIX</t>
  </si>
  <si>
    <t xml:space="preserve">VACANCY BY TYPE</t>
  </si>
  <si>
    <t xml:space="preserve">RENT /mo (occ scheduled vs market)</t>
  </si>
  <si>
    <t xml:space="preserve">RENT $/SF</t>
  </si>
  <si>
    <t xml:space="preserve">LOSS TO LEASE</t>
  </si>
  <si>
    <t xml:space="preserve">RENEWALS NEXT 12 MO</t>
  </si>
  <si>
    <t xml:space="preserve">ACHIEVABLE RENT (Top %ile) &amp; LTL vs achievable</t>
  </si>
  <si>
    <t xml:space="preserve">Avg Sched</t>
  </si>
  <si>
    <t xml:space="preserve">LTL /mo (Mkt-Sched)</t>
  </si>
  <si>
    <t xml:space="preserve">Sched $/SF</t>
  </si>
  <si>
    <t xml:space="preserve">Market $/SF</t>
  </si>
  <si>
    <t xml:space="preserve">Comp $/SF (ref)</t>
  </si>
  <si>
    <t xml:space="preserve">LTL Total /yr</t>
  </si>
  <si>
    <t xml:space="preserve">LTL % of Mkt</t>
  </si>
  <si>
    <t xml:space="preserve"># Expiring 12mo</t>
  </si>
  <si>
    <t xml:space="preserve">Recapture /yr (100%)</t>
  </si>
  <si>
    <t xml:space="preserve">Min Sched (occ)</t>
  </si>
  <si>
    <t xml:space="preserve">Max Sched (occ)</t>
  </si>
  <si>
    <t xml:space="preserve">Top X% Avg (achievable)</t>
  </si>
  <si>
    <t xml:space="preserve">LTL vs TopX% /mo</t>
  </si>
  <si>
    <t xml:space="preserve">LTL vs TopX% /yr</t>
  </si>
  <si>
    <t xml:space="preserve">TopX% threshold (helper)</t>
  </si>
  <si>
    <t xml:space="preserve">TOTAL / AVERAGE</t>
  </si>
  <si>
    <t xml:space="preserve">  Vacancy by type = Section C taxonomy split by unit type   /   Avg Sched = scheduled charges on occupied   /   Avg Market = market rent field, all units of type   /   Recapture caps at 100% renewal — multiply by your renewal rate assumption.</t>
  </si>
  <si>
    <t xml:space="preserve">↓  ↓  ↓   DATA TIER BELOW — Raw Rent Roll (143 actual units pre-loaded)   ↓  ↓  ↓</t>
  </si>
  <si>
    <t xml:space="preserve">Source: RR-Hidden-Lakes-4-16-26.xlsx | Legal flag (col G) = TRUE if resident name starts with ** in source</t>
  </si>
  <si>
    <t xml:space="preserve">Q.  RAW RENT ROLL  —  143 units loaded from source 4/16/2026  (200-row capacity)</t>
  </si>
  <si>
    <t xml:space="preserve">Unit #</t>
  </si>
  <si>
    <t xml:space="preserve">Type</t>
  </si>
  <si>
    <t xml:space="preserve">SF</t>
  </si>
  <si>
    <t xml:space="preserve">Move-In</t>
  </si>
  <si>
    <t xml:space="preserve">Lease Start</t>
  </si>
  <si>
    <t xml:space="preserve">Lease End</t>
  </si>
  <si>
    <t xml:space="preserve">Exp Move-Out</t>
  </si>
  <si>
    <t xml:space="preserve">Mkt Rent</t>
  </si>
  <si>
    <t xml:space="preserve">Actual Chgs</t>
  </si>
  <si>
    <t xml:space="preserve">Sched Chgs</t>
  </si>
  <si>
    <t xml:space="preserve">31-60</t>
  </si>
  <si>
    <t xml:space="preserve">61-90</t>
  </si>
  <si>
    <t xml:space="preserve">90+</t>
  </si>
  <si>
    <t xml:space="preserve">Status Flag</t>
  </si>
  <si>
    <t xml:space="preserve">Valet Trash</t>
  </si>
  <si>
    <t xml:space="preserve">W.  OTHER CHARGES — TIE-OUT TO RECAPTURE STRATEGY  (RR ancillary income vs Recapture &amp; Upside tab)</t>
  </si>
  <si>
    <t xml:space="preserve">Paste per-unit monthly ancillary charges into raw cols W–AF.  RR-derived $/yr = SUM(col) × Annualize.  Recapture figure = current Recapture &amp; Upside tab value (editable).  ⚑ = confirm mapping.  Transactional buckets (MTM/App/Admin/Late) are event-based — set Annualize=1; they live in T-12, so RR often shows 0.</t>
  </si>
  <si>
    <t xml:space="preserve">Revenue Bucket</t>
  </si>
  <si>
    <t xml:space="preserve">RR col</t>
  </si>
  <si>
    <t xml:space="preserve">Annualize ×</t>
  </si>
  <si>
    <t xml:space="preserve">RR-derived $/yr</t>
  </si>
  <si>
    <t xml:space="preserve">Recapture figure</t>
  </si>
  <si>
    <t xml:space="preserve">Δ (RR − Recap)</t>
  </si>
  <si>
    <t xml:space="preserve">W</t>
  </si>
  <si>
    <t xml:space="preserve">transactional (from T-12 / ledger, not per-unit on RR)</t>
  </si>
  <si>
    <t xml:space="preserve">X</t>
  </si>
  <si>
    <t xml:space="preserve">transactional</t>
  </si>
  <si>
    <t xml:space="preserve">event-based</t>
  </si>
  <si>
    <t xml:space="preserve">Z</t>
  </si>
  <si>
    <t xml:space="preserve">⚑ confirm Recapture cell (RUBS/utility total)</t>
  </si>
  <si>
    <t xml:space="preserve">AA</t>
  </si>
  <si>
    <t xml:space="preserve">AB</t>
  </si>
  <si>
    <t xml:space="preserve">sum of Reserved+Covered+EV</t>
  </si>
  <si>
    <t xml:space="preserve">AC</t>
  </si>
  <si>
    <t xml:space="preserve">base + premium</t>
  </si>
  <si>
    <t xml:space="preserve">AD</t>
  </si>
  <si>
    <t xml:space="preserve">AE</t>
  </si>
  <si>
    <t xml:space="preserve">AF</t>
  </si>
  <si>
    <t xml:space="preserve">⚑ confirm Recapture cell</t>
  </si>
  <si>
    <t xml:space="preserve">AG</t>
  </si>
  <si>
    <t xml:space="preserve">AH</t>
  </si>
  <si>
    <t xml:space="preserve">AI</t>
  </si>
  <si>
    <t xml:space="preserve">AJ</t>
  </si>
  <si>
    <t xml:space="preserve">AK</t>
  </si>
  <si>
    <t xml:space="preserve">one-time / event-based</t>
  </si>
  <si>
    <t xml:space="preserve">Cross-check: Recapture recurring (C53) + one-time (C65) total</t>
  </si>
  <si>
    <t xml:space="preserve">RR-derived total (above)</t>
  </si>
  <si>
    <t xml:space="preserve">Δ (RR − Recapture grand total)</t>
  </si>
  <si>
    <t xml:space="preserve">  Blue = input | Black = formula | Green = cross-sheet. Escalators auto-pulled from annual averages. Override any cell and highlight yellow.</t>
  </si>
  <si>
    <t xml:space="preserve">ESCALATORS &amp; ASSUMPTIONS</t>
  </si>
  <si>
    <t xml:space="preserve">Annual Revenue Escalator</t>
  </si>
  <si>
    <t xml:space="preserve">Avg:</t>
  </si>
  <si>
    <t xml:space="preserve">Annual Expense Escalator</t>
  </si>
  <si>
    <t xml:space="preserve">Management Fee % (of EGI)</t>
  </si>
  <si>
    <t xml:space="preserve">Drives row 30 mgmt fee. Default 5%.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</si>
  <si>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</si>
  <si>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</si>
  <si>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</si>
  <si>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</si>
  <si>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</si>
  <si>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</si>
  <si>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</si>
  <si>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</si>
  <si>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</si>
  <si>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</si>
  <si>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Total
(Y1–Y5)</t>
  </si>
  <si>
    <t xml:space="preserve">Total
(Y1–Y10)</t>
  </si>
  <si>
    <t xml:space="preserve">Avg / Yr</t>
  </si>
  <si>
    <t xml:space="preserve">Y1 % EGI
/ Y1 Value</t>
  </si>
  <si>
    <t xml:space="preserve">   Vacancy %</t>
  </si>
  <si>
    <t xml:space="preserve">  Less: Vacancy</t>
  </si>
  <si>
    <t xml:space="preserve">  Less: Loss to Lease</t>
  </si>
  <si>
    <t xml:space="preserve">Parking / Other Revenue</t>
  </si>
  <si>
    <t xml:space="preserve">Other Income (T-12 base + Recapture ramp → Stab Y2)</t>
  </si>
  <si>
    <t xml:space="preserve">EXPENSES</t>
  </si>
  <si>
    <t xml:space="preserve">Gas &amp; Electric</t>
  </si>
  <si>
    <t xml:space="preserve">Management Fee (% EGI)</t>
  </si>
  <si>
    <t xml:space="preserve">NET OPERATING INCOME (NOI)</t>
  </si>
  <si>
    <t xml:space="preserve">DEBT SERVICE</t>
  </si>
  <si>
    <t xml:space="preserve">Principal</t>
  </si>
  <si>
    <t xml:space="preserve">Interest</t>
  </si>
  <si>
    <t xml:space="preserve">Total Debt Service</t>
  </si>
  <si>
    <t xml:space="preserve">CASH FLOW AFTER DEBT SERVICE</t>
  </si>
  <si>
    <t xml:space="preserve">Total reserve drawn (10yr) → remaining = Scenarios!F13 - O45</t>
  </si>
  <si>
    <t xml:space="preserve">Adjusted CF — Reserve Supported (≥0 during burn period)</t>
  </si>
  <si>
    <t xml:space="preserve">CFADS + reserve draw. Shows true investor CF including reserve support.</t>
  </si>
  <si>
    <t xml:space="preserve">DISTRIBUTIONS FROM CASH FLOW</t>
  </si>
  <si>
    <t xml:space="preserve">Asset Mgmt Fee (1.5% equity)</t>
  </si>
  <si>
    <t xml:space="preserve">Class A LP Preferred Return</t>
  </si>
  <si>
    <t xml:space="preserve">LP Excess CF Share (1 - GP Promote %)</t>
  </si>
  <si>
    <t xml:space="preserve">GP Excess CF Share (GP Promote %)</t>
  </si>
  <si>
    <t xml:space="preserve">KEY METRICS &amp; BREAKEVEN ANALYSIS</t>
  </si>
  <si>
    <t xml:space="preserve">Cash on Cash Return</t>
  </si>
  <si>
    <t xml:space="preserve">Average Cash on Cash (Y1–Y10)</t>
  </si>
  <si>
    <t xml:space="preserve">Breakeven Occupancy %</t>
  </si>
  <si>
    <t xml:space="preserve">NOI Margin</t>
  </si>
  <si>
    <t xml:space="preserve">Cap Rate (on Purchase Price)</t>
  </si>
  <si>
    <t xml:space="preserve">Property Value (@ 7% cap)</t>
  </si>
  <si>
    <t xml:space="preserve">LP-SPECIFIC CASH YIELD  (from Waterfall distributions ÷ LP equity)</t>
  </si>
  <si>
    <t xml:space="preserve">Class A LP Cash Yield (annual)</t>
  </si>
  <si>
    <t xml:space="preserve">  Avg Class A LP Cash Yield (hold period)</t>
  </si>
  <si>
    <t xml:space="preserve">Total LP Cash Yield  (Class A + B)</t>
  </si>
  <si>
    <t xml:space="preserve">  Avg Total LP Cash Yield (hold period)</t>
  </si>
  <si>
    <t xml:space="preserve">  Note: LP Cash Yield uses actual Waterfall distributions (after pref + promote). Deal-level CoC (R51) uses total pre-distribution CF — different denominator and numerator.</t>
  </si>
  <si>
    <t xml:space="preserve">BREAK-EVEN ANALYSIS — Rent &amp; Stress Tests</t>
  </si>
  <si>
    <t xml:space="preserve">Break-Even Monthly Rent / Unit  (NOI = DS)</t>
  </si>
  <si>
    <t xml:space="preserve">Break-Even Annual GPR ($)</t>
  </si>
  <si>
    <t xml:space="preserve">Margin of Safety  (current rent vs break-even)</t>
  </si>
  <si>
    <t xml:space="preserve">Stress Test: Y1 NOI if Vacancy +5pp</t>
  </si>
  <si>
    <t xml:space="preserve">Y1 NOI if Vacancy +10pp</t>
  </si>
  <si>
    <t xml:space="preserve">Y1 NOI if Bad Debt +3pp</t>
  </si>
  <si>
    <t xml:space="preserve">Stress: Year 1 DSCR @ +5pp Vacancy</t>
  </si>
  <si>
    <t xml:space="preserve">@ +10pp Vacancy</t>
  </si>
  <si>
    <t xml:space="preserve">@ +3pp Bad Debt</t>
  </si>
  <si>
    <t xml:space="preserve">Monthly operational ramp from acquisition through stabilization. Drives realistic Y1/Y2 cash flow vs. step-function pro forma. Capital call schedule shows peak equity required — critical for distressed/value-add deals.</t>
  </si>
  <si>
    <t xml:space="preserve">A.  LEASE-UP INPUTS  —  Drives monthly ramp</t>
  </si>
  <si>
    <t xml:space="preserve">Starting Occupied Units (Month 0)</t>
  </si>
  <si>
    <t xml:space="preserve">Hardcode from rent roll: physically occupied at acquisition</t>
  </si>
  <si>
    <t xml:space="preserve">Target Stabilized Occupancy %</t>
  </si>
  <si>
    <t xml:space="preserve">Typical 92-95% physical occupancy at stabilization</t>
  </si>
  <si>
    <t xml:space="preserve">Net Leases per Month (initial)</t>
  </si>
  <si>
    <t xml:space="preserve">After offsetting move-outs. Class C distressed: 3-6/mo</t>
  </si>
  <si>
    <t xml:space="preserve">Net Leases per Month (months 7-12)</t>
  </si>
  <si>
    <t xml:space="preserve">Pace usually accelerates after marketing ramp</t>
  </si>
  <si>
    <t xml:space="preserve">Net Leases per Month (months 13+)</t>
  </si>
  <si>
    <t xml:space="preserve">Slower as you approach stabilization</t>
  </si>
  <si>
    <t xml:space="preserve">Avg Rent Achieved (Month 1, $/unit/mo)</t>
  </si>
  <si>
    <t xml:space="preserve">New lease pricing — start below market to attract demand</t>
  </si>
  <si>
    <t xml:space="preserve">Avg Rent Achieved (Stabilized, $/unit/mo)</t>
  </si>
  <si>
    <t xml:space="preserve">Should match Scenarios!F38</t>
  </si>
  <si>
    <t xml:space="preserve">Months to Hit Stabilized Rent</t>
  </si>
  <si>
    <t xml:space="preserve">Linear ramp from M1 to this month</t>
  </si>
  <si>
    <t xml:space="preserve">Make-Ready Cost per Unit ($)</t>
  </si>
  <si>
    <t xml:space="preserve">Avg across all 77 vacant units. Pull from CapEx tab</t>
  </si>
  <si>
    <t xml:space="preserve">Make-Ready Pace (units/month)</t>
  </si>
  <si>
    <t xml:space="preserve">Capacity constraint — usually 4-8 units/mo</t>
  </si>
  <si>
    <t xml:space="preserve">Bad Debt % during lease-up</t>
  </si>
  <si>
    <t xml:space="preserve">Higher than stabilized — collections take time to fix</t>
  </si>
  <si>
    <t xml:space="preserve">Bad Debt % at stabilization</t>
  </si>
  <si>
    <t xml:space="preserve">Run-rate after evictions complete</t>
  </si>
  <si>
    <t xml:space="preserve">Concessions ($/new lease, one-time)</t>
  </si>
  <si>
    <t xml:space="preserve">1 month free × 0.5 (= ~half-month avg)</t>
  </si>
  <si>
    <t xml:space="preserve">OpEx — Distressed Run-Rate (annual)</t>
  </si>
  <si>
    <t xml:space="preserve">Pulls from Scenarios — distressed expense load</t>
  </si>
  <si>
    <t xml:space="preserve">OpEx — Stabilized Run-Rate (annual)</t>
  </si>
  <si>
    <t xml:space="preserve">Should reduce ~15% as water/payroll normalize</t>
  </si>
  <si>
    <t xml:space="preserve">OpEx Normalization Month</t>
  </si>
  <si>
    <t xml:space="preserve">Month at which expenses hit stabilized run-rate</t>
  </si>
  <si>
    <t xml:space="preserve">Annual Debt Service</t>
  </si>
  <si>
    <t xml:space="preserve">IO assumption from Scenarios</t>
  </si>
  <si>
    <t xml:space="preserve">Total Equity Required (from Scenarios)</t>
  </si>
  <si>
    <t xml:space="preserve">Calculated equity required</t>
  </si>
  <si>
    <t xml:space="preserve">Initial Equity Funded at Close</t>
  </si>
  <si>
    <t xml:space="preserve">Typical: 60-80% at close, rest staged</t>
  </si>
  <si>
    <t xml:space="preserve">B.  MONTHLY OCCUPANCY &amp; RENT RAMP</t>
  </si>
  <si>
    <t xml:space="preserve">Y1+Y2+Y3 Total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</si>
  <si>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</si>
  <si>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</si>
  <si>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</si>
  <si>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</si>
  <si>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</si>
  <si>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</si>
  <si>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</si>
  <si>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</si>
  <si>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</si>
  <si>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</si>
  <si>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</si>
  <si>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</si>
  <si>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</si>
  <si>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</si>
  <si>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</si>
  <si>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</si>
  <si>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</si>
  <si>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</si>
  <si>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</si>
  <si>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</si>
  <si>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</si>
  <si>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</si>
  <si>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</si>
  <si>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</si>
  <si>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</si>
  <si>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</si>
  <si>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</si>
  <si>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</si>
  <si>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</si>
  <si>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</si>
  <si>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</si>
  <si>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</si>
  <si>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</si>
  <si>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</si>
  <si>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</si>
  <si>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</si>
  <si>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Net Leases Added (per month)</t>
  </si>
  <si>
    <t xml:space="preserve">Cumulative Occupied Units</t>
  </si>
  <si>
    <t xml:space="preserve">Make-Ready Units Completed (cumul)</t>
  </si>
  <si>
    <t xml:space="preserve">Avg Rent Achieved ($/unit/mo)</t>
  </si>
  <si>
    <t xml:space="preserve">Gross Rent Billed ($/mo)</t>
  </si>
  <si>
    <t xml:space="preserve">Bad Debt % (ramping down)</t>
  </si>
  <si>
    <t xml:space="preserve">Concessions ($)</t>
  </si>
  <si>
    <t xml:space="preserve">Effective Rent Collected ($/mo)</t>
  </si>
  <si>
    <t xml:space="preserve">Other Income ($/mo)</t>
  </si>
  <si>
    <t xml:space="preserve">TOTAL MONTHLY REVENUE</t>
  </si>
  <si>
    <t xml:space="preserve">C.  MONTHLY OPERATING EXPENSES (ramping from distressed → stabilized)</t>
  </si>
  <si>
    <t xml:space="preserve">Monthly OpEx ($/mo)</t>
  </si>
  <si>
    <t xml:space="preserve">NOI ($/mo)</t>
  </si>
  <si>
    <t xml:space="preserve">Debt Service ($/mo)</t>
  </si>
  <si>
    <t xml:space="preserve">Cash Flow After DS ($/mo)</t>
  </si>
  <si>
    <t xml:space="preserve">DSCR (monthly)</t>
  </si>
  <si>
    <t xml:space="preserve">D.  CAPITAL DEPLOYMENT  —  When does money go in / come out?</t>
  </si>
  <si>
    <t xml:space="preserve">CapEx — Initial Improvements ($/mo)</t>
  </si>
  <si>
    <t xml:space="preserve">Make-Ready Spend ($/mo)</t>
  </si>
  <si>
    <t xml:space="preserve">Operating Cash Shortfall ($/mo)</t>
  </si>
  <si>
    <t xml:space="preserve">TOTAL CAPITAL DEPLOYED ($/mo)</t>
  </si>
  <si>
    <t xml:space="preserve">Cumulative Capital Deployed</t>
  </si>
  <si>
    <t xml:space="preserve">Distributable Cash ($/mo)</t>
  </si>
  <si>
    <t xml:space="preserve">E.  KEY METRICS SUMMARY</t>
  </si>
  <si>
    <t xml:space="preserve">Peak Equity Required</t>
  </si>
  <si>
    <t xml:space="preserve">Largest cumulative capital outlay — true equity check</t>
  </si>
  <si>
    <t xml:space="preserve">Month of Peak Equity</t>
  </si>
  <si>
    <t xml:space="preserve">Month when capital need maxes out</t>
  </si>
  <si>
    <t xml:space="preserve">Cash Flow Breakeven Month</t>
  </si>
  <si>
    <t xml:space="preserve">First month with positive cash flow after debt service</t>
  </si>
  <si>
    <t xml:space="preserve">Stabilization Month (95% occ)</t>
  </si>
  <si>
    <t xml:space="preserve">First month hitting target occupancy</t>
  </si>
  <si>
    <t xml:space="preserve">Total Make-Ready Capital</t>
  </si>
  <si>
    <t xml:space="preserve">Across all turn units</t>
  </si>
  <si>
    <t xml:space="preserve">Total Operating Shortfall (Y1-Y3)</t>
  </si>
  <si>
    <t xml:space="preserve">Cash burn before stabilization</t>
  </si>
  <si>
    <t xml:space="preserve">Cumulative Distributable Cash (3 yrs)</t>
  </si>
  <si>
    <t xml:space="preserve">Total positive cash flow over 36 months</t>
  </si>
  <si>
    <t xml:space="preserve">Y1 Avg Occupancy</t>
  </si>
  <si>
    <t xml:space="preserve">Month 1-12 average physical occupancy</t>
  </si>
  <si>
    <t xml:space="preserve">Y2 Avg Occupancy</t>
  </si>
  <si>
    <t xml:space="preserve">Month 13-24 average physical occupancy</t>
  </si>
  <si>
    <t xml:space="preserve">Y3 Avg Occupancy</t>
  </si>
  <si>
    <t xml:space="preserve">Month 25-36 average physical occupancy</t>
  </si>
  <si>
    <t xml:space="preserve">Y1 Total NOI</t>
  </si>
  <si>
    <t xml:space="preserve">Compare to step-function pro forma</t>
  </si>
  <si>
    <t xml:space="preserve">Y2 Total NOI</t>
  </si>
  <si>
    <t xml:space="preserve">Y3 Total NOI</t>
  </si>
  <si>
    <t xml:space="preserve">Implied Yield-on-Cost (Y3 NOI / Total Cap)</t>
  </si>
  <si>
    <t xml:space="preserve">Year 3 NOI ÷ (acq cost + make-ready spend)</t>
  </si>
  <si>
    <t xml:space="preserve">  Inputs pull from active Scenario col F. Edit loan terms in the Scenarios tab per scenario.</t>
  </si>
  <si>
    <t xml:space="preserve">1st Loan (Senior)</t>
  </si>
  <si>
    <t xml:space="preserve">Loan Amount</t>
  </si>
  <si>
    <t xml:space="preserve">Amortization (yrs)</t>
  </si>
  <si>
    <t xml:space="preserve">Interest Rate</t>
  </si>
  <si>
    <t xml:space="preserve">Origination Fee %</t>
  </si>
  <si>
    <t xml:space="preserve">Origination Fee $</t>
  </si>
  <si>
    <t xml:space="preserve">Monthly Payment</t>
  </si>
  <si>
    <t xml:space="preserve">Annual Interest (Y1)</t>
  </si>
  <si>
    <t xml:space="preserve">Annual Principal (Y1)</t>
  </si>
  <si>
    <t xml:space="preserve">REFINANCE LOAN DETAILS  —  Inputs (used by year-by-year tracker)</t>
  </si>
  <si>
    <t xml:space="preserve">Refi Loan</t>
  </si>
  <si>
    <t xml:space="preserve">Auto = Exit Strategy New Loan Amount</t>
  </si>
  <si>
    <t xml:space="preserve">YELLOW INPUT (was missing in v7)</t>
  </si>
  <si>
    <t xml:space="preserve">Auto = Exit Strategy Refi Rate</t>
  </si>
  <si>
    <t xml:space="preserve">YELLOW INPUT — typical agency 10yr</t>
  </si>
  <si>
    <t xml:space="preserve">YELLOW INPUT — 0 = no IO</t>
  </si>
  <si>
    <t xml:space="preserve">Used by P&amp;L row 45 (legacy ref)</t>
  </si>
  <si>
    <t xml:space="preserve">YEAR-BY-YEAR DEBT SERVICE TRACKER  —  Per-Tranche Amortization + Refi Transition</t>
  </si>
  <si>
    <t xml:space="preserve">Refi Year (from Exit Strategy!B5)</t>
  </si>
  <si>
    <t xml:space="preserve">Refi happens AT END of this year. Years &gt; refi_yr use new loan.</t>
  </si>
  <si>
    <t xml:space="preserve">SENIOR LOAN (Tranche 1)  —  Pre-refi debt</t>
  </si>
  <si>
    <t xml:space="preserve">Notes / Inputs</t>
  </si>
  <si>
    <t xml:space="preserve">Active this year?</t>
  </si>
  <si>
    <t xml:space="preserve">Active = Yes when year ≤ refi year</t>
  </si>
  <si>
    <t xml:space="preserve">Beginning Balance</t>
  </si>
  <si>
    <t xml:space="preserve">Prior year ending balance</t>
  </si>
  <si>
    <t xml:space="preserve">Annual Interest</t>
  </si>
  <si>
    <t xml:space="preserve">IO: bal × rate; else CUMIPMT</t>
  </si>
  <si>
    <t xml:space="preserve">Annual Principal</t>
  </si>
  <si>
    <t xml:space="preserve">Zero during IO; CUMPRINC after</t>
  </si>
  <si>
    <t xml:space="preserve">Ending Balance</t>
  </si>
  <si>
    <t xml:space="preserve">Beg Bal − Annual Principal</t>
  </si>
  <si>
    <t xml:space="preserve">Annual DS (P+I)</t>
  </si>
  <si>
    <t xml:space="preserve">Used by P&amp;L row 43+42</t>
  </si>
  <si>
    <t xml:space="preserve">2ND LOAN (Tranche 2)  —  Subordinate debt</t>
  </si>
  <si>
    <t xml:space="preserve">SUPPLEMENTAL LOAN (Tranche 3)  —  Supplemental debt</t>
  </si>
  <si>
    <t xml:space="preserve">Annual DS (Supplemental)</t>
  </si>
  <si>
    <t xml:space="preserve">REFINANCE LOAN (Takeout)  —  Active POST-refi-year</t>
  </si>
  <si>
    <t xml:space="preserve">Yes when year &gt; refi_year</t>
  </si>
  <si>
    <t xml:space="preserve">Refi loan amount (post-refi)</t>
  </si>
  <si>
    <t xml:space="preserve">IO: bal×rate; else CUMIPMT</t>
  </si>
  <si>
    <t xml:space="preserve">Annual DS (Refi)</t>
  </si>
  <si>
    <t xml:space="preserve">Refi loan annual debt service</t>
  </si>
  <si>
    <t xml:space="preserve">CONSOLIDATED ANNUAL DEBT SERVICE  →  feeds P&amp;L rows 42–45</t>
  </si>
  <si>
    <t xml:space="preserve">Total Annual Interest    (Sr + 2nd + Refi)</t>
  </si>
  <si>
    <t xml:space="preserve">→ P&amp;L row 43</t>
  </si>
  <si>
    <t xml:space="preserve">Total Annual Principal  (Sr + 2nd + Refi)</t>
  </si>
  <si>
    <t xml:space="preserve">→ P&amp;L row 42</t>
  </si>
  <si>
    <t xml:space="preserve">Total Supplemental DS</t>
  </si>
  <si>
    <t xml:space="preserve">→ P&amp;L row 44</t>
  </si>
  <si>
    <t xml:space="preserve">→ P&amp;L row 45 (tie-out)</t>
  </si>
  <si>
    <t xml:space="preserve">  C.  RENTAL COMPS  -  SUBMARKET COMP SET</t>
  </si>
  <si>
    <t xml:space="preserve">  D.  AMENITY &amp; FEE COMPARISON MATRIX</t>
  </si>
  <si>
    <t xml:space="preserve">  Reference only - nothing on this tab links to Scenarios or P&amp;L.  Cream = input  /  black = formula  /  green = cross-sheet link.  Target Rent defaults to comp-set $/SF (matched by bedroom count) x unit SF; type over to override.</t>
  </si>
  <si>
    <t xml:space="preserve">  Enter up to 15 comps (cream cells). Effective Rent, $/SF and averages auto-calculate. Label Unit Type starting with the bedroom count (e.g. "2 BR / 2 BA") so it feeds the Target Rent match in Section A.</t>
  </si>
  <si>
    <t xml:space="preserve">  Mark check where the comp offers the amenity. Comp column headers auto-link to the first 5 comps in Section C. Fees &amp; in-unit features are cream inputs.</t>
  </si>
  <si>
    <t xml:space="preserve">  A.  UNIT MIX &amp; TARGET RENT  -  drives the new Target GPR</t>
  </si>
  <si>
    <t xml:space="preserve">  COMP PROPERTIES</t>
  </si>
  <si>
    <t xml:space="preserve">  AMENITY COMPS</t>
  </si>
  <si>
    <t xml:space="preserve">UNIT DETAIL (from Rent Roll)</t>
  </si>
  <si>
    <t xml:space="preserve">CURRENT RENT (from Rent Roll)</t>
  </si>
  <si>
    <t xml:space="preserve">TARGET RENT (comp-derived)</t>
  </si>
  <si>
    <t xml:space="preserve">PROPERTY</t>
  </si>
  <si>
    <t xml:space="preserve">RENT &amp; OCCUPANCY</t>
  </si>
  <si>
    <t xml:space="preserve">ADJUSTMENT</t>
  </si>
  <si>
    <t xml:space="preserve">Mix %</t>
  </si>
  <si>
    <t xml:space="preserve">In-Place Avg /mo</t>
  </si>
  <si>
    <t xml:space="preserve">Market Avg /mo</t>
  </si>
  <si>
    <t xml:space="preserve">In-Place Total /mo</t>
  </si>
  <si>
    <t xml:space="preserve">In-Place $/SF</t>
  </si>
  <si>
    <t xml:space="preserve">Comp Avg $/SF</t>
  </si>
  <si>
    <t xml:space="preserve">Comp Avg Rent /mo</t>
  </si>
  <si>
    <t xml:space="preserve">Target Rent /mo</t>
  </si>
  <si>
    <t xml:space="preserve">Delta %</t>
  </si>
  <si>
    <t xml:space="preserve">Delta $</t>
  </si>
  <si>
    <t xml:space="preserve">Target Total /mo</t>
  </si>
  <si>
    <t xml:space="preserve">Adjustment / Comment</t>
  </si>
  <si>
    <t xml:space="preserve">Distance (mi)</t>
  </si>
  <si>
    <t xml:space="preserve">Comp Property</t>
  </si>
  <si>
    <t xml:space="preserve">Class (A/B/C)</t>
  </si>
  <si>
    <t xml:space="preserve">Vintage</t>
  </si>
  <si>
    <t xml:space="preserve"># Units (Bldg)</t>
  </si>
  <si>
    <t xml:space="preserve">Asking Rent /mo</t>
  </si>
  <si>
    <t xml:space="preserve">Adj. Effective Rent /mo</t>
  </si>
  <si>
    <t xml:space="preserve">$/SF (Eff)</t>
  </si>
  <si>
    <t xml:space="preserve">Occ %</t>
  </si>
  <si>
    <t xml:space="preserve">Comp Adjustment</t>
  </si>
  <si>
    <t xml:space="preserve">Comment on Adjustment</t>
  </si>
  <si>
    <t xml:space="preserve">Business Center</t>
  </si>
  <si>
    <t xml:space="preserve">SUBJECT &gt;</t>
  </si>
  <si>
    <t xml:space="preserve">In-place blended - auto from Prop Info &amp; Rent Roll</t>
  </si>
  <si>
    <t xml:space="preserve">Car Wash Area</t>
  </si>
  <si>
    <t xml:space="preserve">Clubhouse / Lounge</t>
  </si>
  <si>
    <t xml:space="preserve">Dog Park</t>
  </si>
  <si>
    <t xml:space="preserve">EV Charging</t>
  </si>
  <si>
    <t xml:space="preserve">Fitness Center</t>
  </si>
  <si>
    <t xml:space="preserve">Gated</t>
  </si>
  <si>
    <t xml:space="preserve">Grill / Fire Pit</t>
  </si>
  <si>
    <t xml:space="preserve">Package Service</t>
  </si>
  <si>
    <t xml:space="preserve">Parking</t>
  </si>
  <si>
    <t xml:space="preserve">Playground</t>
  </si>
  <si>
    <t xml:space="preserve">  Subtotal - Existing Unit Mix</t>
  </si>
  <si>
    <t xml:space="preserve">Pool</t>
  </si>
  <si>
    <t xml:space="preserve">Storage Space</t>
  </si>
  <si>
    <t xml:space="preserve">  PLANNED / POST-RENO UNIT TYPES  -  manual input / not in current rent roll</t>
  </si>
  <si>
    <t xml:space="preserve">Spa</t>
  </si>
  <si>
    <t xml:space="preserve">  Enter reconfigured or net-new floorplans here (type label, planned SF, planned # units). Comp Avg $/SF still matches by bedroom count if the comp set covers the type.</t>
  </si>
  <si>
    <t xml:space="preserve">Outdoor Activities / Gaming</t>
  </si>
  <si>
    <t xml:space="preserve">-</t>
  </si>
  <si>
    <t xml:space="preserve">  Total Amenity Count</t>
  </si>
  <si>
    <t xml:space="preserve">  COMP SET AVERAGE</t>
  </si>
  <si>
    <t xml:space="preserve">  FEES &amp; RECURRING CHARGES COMP</t>
  </si>
  <si>
    <t xml:space="preserve">  SUBJECT vs COMP AVG</t>
  </si>
  <si>
    <t xml:space="preserve">Pet Fee - Application</t>
  </si>
  <si>
    <t xml:space="preserve">  Effective Rent = Asking x (1 - weeks free / 52).   $/SF (Eff) = Effective Rent / Avg SF.   Comp Avg $/SF by bedroom count feeds Target Rent in Section A.</t>
  </si>
  <si>
    <t xml:space="preserve">  Subtotal - Planned / Post-Reno</t>
  </si>
  <si>
    <t xml:space="preserve">Administrative Fee</t>
  </si>
  <si>
    <t xml:space="preserve">  TOTAL / AVERAGE - ALL UNIT TYPES</t>
  </si>
  <si>
    <t xml:space="preserve">Trash Removal (monthly)</t>
  </si>
  <si>
    <t xml:space="preserve">  GPR SUMMARY  -  reference only / do not link to Scenarios or P&amp;L</t>
  </si>
  <si>
    <t xml:space="preserve">Amenity Fee (monthly)</t>
  </si>
  <si>
    <t xml:space="preserve">PUPM /mo</t>
  </si>
  <si>
    <t xml:space="preserve">Damage Waiver (monthly)</t>
  </si>
  <si>
    <t xml:space="preserve">  Current GPR - In-Place Scheduled</t>
  </si>
  <si>
    <t xml:space="preserve">Sum of in-place avg rent x units (occupied scheduled charges from rent roll).</t>
  </si>
  <si>
    <t xml:space="preserve">Parking (monthly)</t>
  </si>
  <si>
    <t xml:space="preserve">  Current GPR - Market Rent</t>
  </si>
  <si>
    <t xml:space="preserve">Sum of market-rent field x units, existing unit types only.</t>
  </si>
  <si>
    <t xml:space="preserve">Storage (monthly)</t>
  </si>
  <si>
    <t xml:space="preserve">  Target GPR - Comp-Derived</t>
  </si>
  <si>
    <t xml:space="preserve">NEW GPR. Sum of Target Rent x units across all unit types (existing + planned).</t>
  </si>
  <si>
    <t xml:space="preserve">Valet Trash (monthly)</t>
  </si>
  <si>
    <t xml:space="preserve">  Loss to Lease (Target - In-Place)</t>
  </si>
  <si>
    <t xml:space="preserve">Upside from moving in-place rents to comp-derived target.</t>
  </si>
  <si>
    <t xml:space="preserve">  Loss to Lease %</t>
  </si>
  <si>
    <t xml:space="preserve">Target GPR vs In-Place GPR.</t>
  </si>
  <si>
    <t xml:space="preserve">  IN-UNIT FEATURES COMP</t>
  </si>
  <si>
    <t xml:space="preserve">  Target vs Market Gap (Target - Market)</t>
  </si>
  <si>
    <t xml:space="preserve">How comp-derived target compares to the operator's stated market rent.</t>
  </si>
  <si>
    <t xml:space="preserve">Washer/Dryer In-Unit</t>
  </si>
  <si>
    <t xml:space="preserve">Washer/Dryer Hookups</t>
  </si>
  <si>
    <t xml:space="preserve">  B.  UNIT TYPE SUMMARY FROM RENT ROLL  -  SF / quantity / avg / min / max rent</t>
  </si>
  <si>
    <t xml:space="preserve">Stainless Appliances</t>
  </si>
  <si>
    <t xml:space="preserve">UNIT DETAIL</t>
  </si>
  <si>
    <t xml:space="preserve">IN-PLACE SCHEDULED RENT (occupied)</t>
  </si>
  <si>
    <t xml:space="preserve">MARKET RENT (all units)</t>
  </si>
  <si>
    <t xml:space="preserve">Granite / Quartz Counters</t>
  </si>
  <si>
    <t xml:space="preserve">Min SF</t>
  </si>
  <si>
    <t xml:space="preserve">Max SF</t>
  </si>
  <si>
    <t xml:space="preserve">Avg</t>
  </si>
  <si>
    <t xml:space="preserve">Min</t>
  </si>
  <si>
    <t xml:space="preserve">Max</t>
  </si>
  <si>
    <t xml:space="preserve">LVP / Hardwood Flooring</t>
  </si>
  <si>
    <t xml:space="preserve">Walk-In Closets</t>
  </si>
  <si>
    <t xml:space="preserve">Patio / Balcony</t>
  </si>
  <si>
    <t xml:space="preserve">Ceiling Fans</t>
  </si>
  <si>
    <t xml:space="preserve">Smart Home / Thermostat</t>
  </si>
  <si>
    <t xml:space="preserve">Other</t>
  </si>
  <si>
    <t xml:space="preserve">  Classify each item as Value-Add (VA) or Maintenance (M). VA flows into LTC; Maintenance is operating reserve.</t>
  </si>
  <si>
    <t xml:space="preserve">Qty</t>
  </si>
  <si>
    <t xml:space="preserve">Unit Cost</t>
  </si>
  <si>
    <t xml:space="preserve">Total Cost</t>
  </si>
  <si>
    <t xml:space="preserve">VA or M?</t>
  </si>
  <si>
    <t xml:space="preserve">Funded By</t>
  </si>
  <si>
    <t xml:space="preserve">  EXTERIOR &amp; GROUNDS</t>
  </si>
  <si>
    <t xml:space="preserve">Roof Replacement</t>
  </si>
  <si>
    <t xml:space="preserve">Parking Lot / Garage Resurface</t>
  </si>
  <si>
    <t xml:space="preserve">Landscaping / Curb Appeal</t>
  </si>
  <si>
    <t xml:space="preserve">Signage &amp; Monument</t>
  </si>
  <si>
    <t xml:space="preserve">Exterior Paint / Siding</t>
  </si>
  <si>
    <t xml:space="preserve">Lighting (exterior)</t>
  </si>
  <si>
    <t xml:space="preserve">  Subtotal — EXTERIOR &amp; GROUNDS</t>
  </si>
  <si>
    <t xml:space="preserve">  COMMON AREAS</t>
  </si>
  <si>
    <t xml:space="preserve">Lobby / Leasing Office Renovation</t>
  </si>
  <si>
    <t xml:space="preserve">Mail Room / Package Room</t>
  </si>
  <si>
    <t xml:space="preserve">Coworking / Business Center</t>
  </si>
  <si>
    <t xml:space="preserve">Corridor Flooring / Paint</t>
  </si>
  <si>
    <t xml:space="preserve">Common Area Furniture (FF&amp;E)</t>
  </si>
  <si>
    <t xml:space="preserve">Elevator Modernization</t>
  </si>
  <si>
    <t xml:space="preserve">  Subtotal — COMMON AREAS</t>
  </si>
  <si>
    <t xml:space="preserve">  UNIT INTERIORS</t>
  </si>
  <si>
    <t xml:space="preserve">LVP / Hardwood Flooring (per unit)</t>
  </si>
  <si>
    <t xml:space="preserve">Unit Paint (per unit)</t>
  </si>
  <si>
    <t xml:space="preserve">Smart Thermostat (per unit)</t>
  </si>
  <si>
    <t xml:space="preserve">Stainless Appliance Package (per unit)</t>
  </si>
  <si>
    <t xml:space="preserve">In-Unit Washer/Dryer Hookup (per unit)</t>
  </si>
  <si>
    <t xml:space="preserve">Countertop Upgrade — Quartz (per unit)</t>
  </si>
  <si>
    <t xml:space="preserve">  Subtotal — UNIT INTERIORS</t>
  </si>
  <si>
    <t xml:space="preserve">  AMENITY UPGRADES</t>
  </si>
  <si>
    <t xml:space="preserve">Pool / Spa Renovation</t>
  </si>
  <si>
    <t xml:space="preserve">Fitness Center &amp; Equipment</t>
  </si>
  <si>
    <t xml:space="preserve">HVAC Units</t>
  </si>
  <si>
    <t xml:space="preserve">Clubhouse / Coworking Space</t>
  </si>
  <si>
    <t xml:space="preserve">Dog Park / Pet Wash Station</t>
  </si>
  <si>
    <t xml:space="preserve">Outdoor Lounge / Grills / Fire Pit</t>
  </si>
  <si>
    <t xml:space="preserve">  Subtotal — AMENITY UPGRADES</t>
  </si>
  <si>
    <t xml:space="preserve">  TECHNOLOGY &amp; SMART HOME</t>
  </si>
  <si>
    <t xml:space="preserve">Property Mgmt Software (Yardi / Entrata)</t>
  </si>
  <si>
    <t xml:space="preserve">Fiber / WiFi Infrastructure</t>
  </si>
  <si>
    <t xml:space="preserve">Package Lockers (Amazon Hub / Luxer)</t>
  </si>
  <si>
    <t xml:space="preserve">Smart Locks / Access Control</t>
  </si>
  <si>
    <t xml:space="preserve">  Subtotal — TECHNOLOGY &amp; SMART HOME</t>
  </si>
  <si>
    <t xml:space="preserve">  CONTINGENCY</t>
  </si>
  <si>
    <t xml:space="preserve">Contingency (10%)</t>
  </si>
  <si>
    <t xml:space="preserve">  Subtotal — CONTINGENCY</t>
  </si>
  <si>
    <t xml:space="preserve">TOTAL CAPEX BUDGET</t>
  </si>
  <si>
    <t xml:space="preserve">  Value-Add CapEx (VA)</t>
  </si>
  <si>
    <t xml:space="preserve">  Maintenance CapEx (M)</t>
  </si>
  <si>
    <t xml:space="preserve">MAKE-READY MATRIX  —  Per-unit turn cost by scope tier</t>
  </si>
  <si>
    <t xml:space="preserve">  Categorize each vacant or down unit by scope tier. Total flows up to make-ready capital required.</t>
  </si>
  <si>
    <t xml:space="preserve">Scope Tier</t>
  </si>
  <si>
    <t xml:space="preserve">Cost / Unit</t>
  </si>
  <si>
    <t xml:space="preserve">Total</t>
  </si>
  <si>
    <t xml:space="preserve">Days to Complete</t>
  </si>
  <si>
    <t xml:space="preserve">Description</t>
  </si>
  <si>
    <t xml:space="preserve">Paint touch-up + clean, quick turn</t>
  </si>
  <si>
    <t xml:space="preserve">Vacant Ready</t>
  </si>
  <si>
    <t xml:space="preserve">Paint + carpet/LVP + appliance check</t>
  </si>
  <si>
    <t xml:space="preserve">Mid range</t>
  </si>
  <si>
    <t xml:space="preserve">Full paint + flooring + appliance updates</t>
  </si>
  <si>
    <t xml:space="preserve">Down 30-90 days</t>
  </si>
  <si>
    <t xml:space="preserve">Full unit refresh + cabinets + minor systems</t>
  </si>
  <si>
    <t xml:space="preserve">Down 90+ days</t>
  </si>
  <si>
    <t xml:space="preserve">Reframe + drywall + full systems</t>
  </si>
  <si>
    <t xml:space="preserve">Severe damage</t>
  </si>
  <si>
    <t xml:space="preserve">Avg Cost/Unit</t>
  </si>
  <si>
    <t xml:space="preserve">TOTAL MAKE-READY BUDGET</t>
  </si>
  <si>
    <t xml:space="preserve">Months to complete:</t>
  </si>
  <si>
    <t xml:space="preserve">Lost rent during turn ($/unit-month)</t>
  </si>
  <si>
    <t xml:space="preserve">Total Carry Cost</t>
  </si>
  <si>
    <t xml:space="preserve">Total Lost Rent During Turn (carry)</t>
  </si>
  <si>
    <t xml:space="preserve">TOTAL CAPITAL: Initial CapEx + Make-Ready + Carry</t>
  </si>
  <si>
    <t xml:space="preserve">  Note: Scenarios!F12 (Repairs/CapEx at Close) still references Capex!D51 only. To include make-ready, manually update Scenarios!F12 to point here.</t>
  </si>
  <si>
    <t xml:space="preserve">  Blue = input | Black = formula | Green = cross-sheet.  Total Payroll (F31) feeds P&amp;L On-Site Payroll automatically.</t>
  </si>
  <si>
    <t xml:space="preserve">SECTION 1 — INPUTS &amp; RATE ASSUMPTIONS</t>
  </si>
  <si>
    <t xml:space="preserve">Total Units  (from Prop Info)</t>
  </si>
  <si>
    <t xml:space="preserve">Unit count drives leasing agent FTE scale</t>
  </si>
  <si>
    <t xml:space="preserve">Unit Occupancy %  (from Scenarios)</t>
  </si>
  <si>
    <t xml:space="preserve">Active scenario vacancy rate</t>
  </si>
  <si>
    <t xml:space="preserve">Revenue-generating units (B6 × (1−B7))</t>
  </si>
  <si>
    <t xml:space="preserve">Typical 20–25%; edit per deal</t>
  </si>
  <si>
    <t xml:space="preserve">2–5% on top of base + benefits</t>
  </si>
  <si>
    <t xml:space="preserve">SECTION 2 — POSITION TABLE  (FTE × Salary × Load = Total Comp)</t>
  </si>
  <si>
    <t xml:space="preserve">Position</t>
  </si>
  <si>
    <t xml:space="preserve">Dept</t>
  </si>
  <si>
    <t xml:space="preserve">FTE</t>
  </si>
  <si>
    <t xml:space="preserve">Annual Salary</t>
  </si>
  <si>
    <t xml:space="preserve">Benefits Load ($)</t>
  </si>
  <si>
    <t xml:space="preserve">Total Comp ($)</t>
  </si>
  <si>
    <t xml:space="preserve">Property Manager</t>
  </si>
  <si>
    <t xml:space="preserve">Split with Shadowood</t>
  </si>
  <si>
    <t xml:space="preserve">Assistant Property Manager</t>
  </si>
  <si>
    <t xml:space="preserve">Required 100+ units; $48–65k</t>
  </si>
  <si>
    <t xml:space="preserve">Leasing Manager</t>
  </si>
  <si>
    <t xml:space="preserve">Leasing Consultant</t>
  </si>
  <si>
    <t xml:space="preserve">1 per ~100 units; $38–55k; includes leasing commissions</t>
  </si>
  <si>
    <t xml:space="preserve">Maintenance Supervisor</t>
  </si>
  <si>
    <t xml:space="preserve">Maintenance Technician</t>
  </si>
  <si>
    <t xml:space="preserve">1 per ~75 units; $42–60k</t>
  </si>
  <si>
    <t xml:space="preserve">Groundskeeper / Porter</t>
  </si>
  <si>
    <t xml:space="preserve">100+ unit properties; $32–42k</t>
  </si>
  <si>
    <t xml:space="preserve">Housekeeper (common areas)</t>
  </si>
  <si>
    <t xml:space="preserve">Common-area only; $28–40k; scale to 2 for 200+ units</t>
  </si>
  <si>
    <t xml:space="preserve">Concierge / Lifestyle Director</t>
  </si>
  <si>
    <t xml:space="preserve">Class A / luxury only — set FTE to 1 if applicable; $48–65k</t>
  </si>
  <si>
    <t xml:space="preserve">Admin / Accounting Assistant</t>
  </si>
  <si>
    <t xml:space="preserve">150+ units; $40–56k</t>
  </si>
  <si>
    <t xml:space="preserve">TOTAL ANNUAL PAYROLL</t>
  </si>
  <si>
    <t xml:space="preserve">Total Payroll as % of EGI</t>
  </si>
  <si>
    <t xml:space="preserve">  Inputs at top. All distributions cascade automatically. Class A/B LP toggle in row 7. Active Scenario drives equity and NOI.</t>
  </si>
  <si>
    <t xml:space="preserve">WATERFALL INPUTS (auto-linked to active scenario — override here if needed)</t>
  </si>
  <si>
    <t xml:space="preserve">Hold Period (years)</t>
  </si>
  <si>
    <t xml:space="preserve">From Scenarios — selectable exit year</t>
  </si>
  <si>
    <t xml:space="preserve">Applied to Y{hold} NOI</t>
  </si>
  <si>
    <t xml:space="preserve">2.5% of gross sale price</t>
  </si>
  <si>
    <t xml:space="preserve">Co-invest; promote governed by tiers below</t>
  </si>
  <si>
    <t xml:space="preserve">Preferred equity — priority capital return</t>
  </si>
  <si>
    <t xml:space="preserve">Common equity — participates in promote</t>
  </si>
  <si>
    <t xml:space="preserve">Annual pref on Class A equity (linked to Scenarios!F35)</t>
  </si>
  <si>
    <t xml:space="preserve">Annual pref on Class B equity (linked to Scenarios!F36)</t>
  </si>
  <si>
    <t xml:space="preserve">GP Preferred Return %</t>
  </si>
  <si>
    <t xml:space="preserve">Set 0 if GP pref not negotiated</t>
  </si>
  <si>
    <t xml:space="preserve">Use Two LP Classes? (YES/NO)</t>
  </si>
  <si>
    <t xml:space="preserve">Auto: YES only when Class B equity &gt; 0</t>
  </si>
  <si>
    <t xml:space="preserve">Tier 1 LP Split %</t>
  </si>
  <si>
    <t xml:space="preserve">LP share above pref, below Tier 1 hurdle</t>
  </si>
  <si>
    <t xml:space="preserve">Tier 1 GP Split %</t>
  </si>
  <si>
    <t xml:space="preserve">Auto = 1 - LP %</t>
  </si>
  <si>
    <t xml:space="preserve">Tier 1 IRR Hurdle</t>
  </si>
  <si>
    <t xml:space="preserve">LP blended IRR to trigger Tier 2</t>
  </si>
  <si>
    <t xml:space="preserve">Tier 2 LP Split %</t>
  </si>
  <si>
    <t xml:space="preserve">Above Tier 1 hurdle</t>
  </si>
  <si>
    <t xml:space="preserve">Tier 2 GP Split %</t>
  </si>
  <si>
    <t xml:space="preserve">GP promote above Tier 1</t>
  </si>
  <si>
    <t xml:space="preserve">Tier 2 IRR Hurdle</t>
  </si>
  <si>
    <t xml:space="preserve">LP blended IRR to trigger Tier 3</t>
  </si>
  <si>
    <t xml:space="preserve">Tier 3 LP Split %</t>
  </si>
  <si>
    <t xml:space="preserve">Above Tier 2 hurdle</t>
  </si>
  <si>
    <t xml:space="preserve">Tier 3 GP Split %</t>
  </si>
  <si>
    <t xml:space="preserve">Super-promote above Tier 2</t>
  </si>
  <si>
    <t xml:space="preserve">Refi Proceeds Treatment</t>
  </si>
  <si>
    <t xml:space="preserve">Return of Capital</t>
  </si>
  <si>
    <t xml:space="preserve">Options: "Return of Capital"  or  "Waterfall"  — controls how refi cash-out is treated</t>
  </si>
  <si>
    <t xml:space="preserve">ANNUAL CASH FLOW &amp; DISTRIBUTION WATERFALL</t>
  </si>
  <si>
    <t xml:space="preserve">Exit
Proceeds</t>
  </si>
  <si>
    <t xml:space="preserve">Total ($)</t>
  </si>
  <si>
    <t xml:space="preserve">NOI (from P&amp;L)</t>
  </si>
  <si>
    <t xml:space="preserve">Less: Debt Service (annual)</t>
  </si>
  <si>
    <t xml:space="preserve">Free Cash Flow (FCF)</t>
  </si>
  <si>
    <t xml:space="preserve">EXIT PROCEEDS ANALYSIS</t>
  </si>
  <si>
    <t xml:space="preserve">Gross Sale Price (NOI ÷ Exit Cap)</t>
  </si>
  <si>
    <t xml:space="preserve">Less: Selling Costs + Disposition Fee</t>
  </si>
  <si>
    <t xml:space="preserve">NET SALE PROCEEDS</t>
  </si>
  <si>
    <t xml:space="preserve">ANNUAL DISTRIBUTION WATERFALL</t>
  </si>
  <si>
    <t xml:space="preserve">Distribution Tier</t>
  </si>
  <si>
    <t xml:space="preserve">Exit Proceeds</t>
  </si>
  <si>
    <t xml:space="preserve">  Class A Pref Distributed</t>
  </si>
  <si>
    <t xml:space="preserve">Class B LP Preferred Return</t>
  </si>
  <si>
    <t xml:space="preserve">  Class B Pref Distributed</t>
  </si>
  <si>
    <t xml:space="preserve">FCF Remaining After Prefs</t>
  </si>
  <si>
    <t xml:space="preserve">Tier 1 — LP Share (FCF)</t>
  </si>
  <si>
    <t xml:space="preserve">Tier 1 — GP Share (FCF)</t>
  </si>
  <si>
    <t xml:space="preserve">Return of Capital — Class A LP</t>
  </si>
  <si>
    <t xml:space="preserve">Return of Capital — Class B LP</t>
  </si>
  <si>
    <t xml:space="preserve">Return of Capital — GP</t>
  </si>
  <si>
    <t xml:space="preserve">TOTAL CLASS A LP DISTRIBUTIONS</t>
  </si>
  <si>
    <t xml:space="preserve">TOTAL CLASS B LP DISTRIBUTIONS</t>
  </si>
  <si>
    <t xml:space="preserve">TOTAL LP DISTRIBUTIONS (A+B)</t>
  </si>
  <si>
    <t xml:space="preserve">TOTAL GP DISTRIBUTIONS</t>
  </si>
  <si>
    <t xml:space="preserve">LP (Combined)</t>
  </si>
  <si>
    <t xml:space="preserve">LP CAPITAL BALANCE TRACKER  (Unreturned Capital by Year)</t>
  </si>
  <si>
    <t xml:space="preserve">Party</t>
  </si>
  <si>
    <t xml:space="preserve">Y0 (Invested)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</si>
  <si>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</si>
  <si>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</si>
  <si>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</si>
  <si>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</si>
  <si>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</si>
  <si>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Y6</t>
  </si>
  <si>
    <t xml:space="preserve">Y7</t>
  </si>
  <si>
    <t xml:space="preserve">Y8</t>
  </si>
  <si>
    <t xml:space="preserve">Y9</t>
  </si>
  <si>
    <t xml:space="preserve">Y10</t>
  </si>
  <si>
    <t xml:space="preserve">Exit</t>
  </si>
  <si>
    <t xml:space="preserve">Class A LP — Invested Capital</t>
  </si>
  <si>
    <t xml:space="preserve">  Less: Refi — Return of Capital</t>
  </si>
  <si>
    <t xml:space="preserve">  Closing Balance</t>
  </si>
  <si>
    <t xml:space="preserve">Total LP — Invested Capital</t>
  </si>
  <si>
    <t xml:space="preserve">  Less: Refi — Return of Capital (Total LP)</t>
  </si>
  <si>
    <t xml:space="preserve">  Closing Balance (Total LP)</t>
  </si>
  <si>
    <t xml:space="preserve">  Note: When toggle = "Return of Capital", refi proceeds reduce LP capital balance and are excluded from operating FCF waterfall. When toggle = "Waterfall", refi proceeds flow through the distribution cascade as additional FCF.</t>
  </si>
  <si>
    <t xml:space="preserve">GP ECONOMICS SUMMARY  —  All Income Streams by Year</t>
  </si>
  <si>
    <t xml:space="preserve">Income Source</t>
  </si>
  <si>
    <t xml:space="preserve">TOTAL ($)</t>
  </si>
  <si>
    <t xml:space="preserve">Operating Promote  (Waterfall — annual)</t>
  </si>
  <si>
    <t xml:space="preserve">TOTAL GP ECONOMICS</t>
  </si>
  <si>
    <t xml:space="preserve">GP ECONOMICS — BREAKDOWN BY TYPE</t>
  </si>
  <si>
    <t xml:space="preserve">% of GP Economics</t>
  </si>
  <si>
    <t xml:space="preserve">Total Fees  (Acq + Mgmt + Disposition)</t>
  </si>
  <si>
    <t xml:space="preserve">One-time + annual + exit fees</t>
  </si>
  <si>
    <t xml:space="preserve">Total Promote  (operating waterfall)</t>
  </si>
  <si>
    <t xml:space="preserve">GP share of FCF above LP pref</t>
  </si>
  <si>
    <t xml:space="preserve">Co-invest Return  (capital returned at exit)</t>
  </si>
  <si>
    <t xml:space="preserve">Return of GP co-invest equity at exit</t>
  </si>
  <si>
    <t xml:space="preserve">100.0%</t>
  </si>
  <si>
    <t xml:space="preserve">All GP income streams combined</t>
  </si>
  <si>
    <t xml:space="preserve">  GP economics include: (1) Acquisition fee at close, (2) Asset mgmt fee annually, (3) Waterfall promote above LP pref, (4) Disposition fee at sale, (5) Return of GP co-invest equity. Promote tracks Scenarios!F36 (GP Promote %). Note: GP co-invest return is return OF capital, not profit — included for completeness.</t>
  </si>
  <si>
    <t xml:space="preserve">Net Operating Income</t>
  </si>
  <si>
    <t xml:space="preserve">Cap Rate</t>
  </si>
  <si>
    <t xml:space="preserve">Cap Rate at Re-Finance</t>
  </si>
  <si>
    <t xml:space="preserve">Insurance/Tax/Lender Escrows</t>
  </si>
  <si>
    <t xml:space="preserve">Appraised Value</t>
  </si>
  <si>
    <t xml:space="preserve">Operating Reserves remaining</t>
  </si>
  <si>
    <t xml:space="preserve">Re-Finance LTV</t>
  </si>
  <si>
    <t xml:space="preserve">Sales Price</t>
  </si>
  <si>
    <t xml:space="preserve">Sales Cost</t>
  </si>
  <si>
    <t xml:space="preserve">Term / Amortization (Years)</t>
  </si>
  <si>
    <t xml:space="preserve">Outstanding Loan Balance</t>
  </si>
  <si>
    <t xml:space="preserve">Re-Finance Loan Amount</t>
  </si>
  <si>
    <t xml:space="preserve">Total Equity</t>
  </si>
  <si>
    <t xml:space="preserve">  - Re-Finance Costs</t>
  </si>
  <si>
    <t xml:space="preserve">  - Return of Member Capital</t>
  </si>
  <si>
    <t xml:space="preserve">  - Prepayment Penalty</t>
  </si>
  <si>
    <t xml:space="preserve">  - Members Preferred Return Deficiency</t>
  </si>
  <si>
    <t xml:space="preserve">  - Repay Outstanding Loan Balance</t>
  </si>
  <si>
    <t xml:space="preserve">Net Proceeds/Profit from Sale</t>
  </si>
  <si>
    <t xml:space="preserve">Gross Proceeds from Re-Finance</t>
  </si>
  <si>
    <t xml:space="preserve">    Principal Reduction</t>
  </si>
  <si>
    <t xml:space="preserve">    Appreciation</t>
  </si>
  <si>
    <t xml:space="preserve">Capital Account Balance After Re-Fi</t>
  </si>
  <si>
    <t xml:space="preserve">Capital Transaction Fee to Mgr</t>
  </si>
  <si>
    <t xml:space="preserve">  % of Initial Investment Returned</t>
  </si>
  <si>
    <t xml:space="preserve">Net Proceeds/Profit Paid to Members</t>
  </si>
  <si>
    <t xml:space="preserve">Net Proceeds/Profit from Re-Finance</t>
  </si>
  <si>
    <t xml:space="preserve">Net Proceeds/Profit Paid to Manager</t>
  </si>
  <si>
    <t xml:space="preserve">Total Cash to Members at Sale  (Init. Cptl. + Apprec.)</t>
  </si>
  <si>
    <t xml:space="preserve">After Final Disposition</t>
  </si>
  <si>
    <t xml:space="preserve">Total Profits from Appreciation Paid to Members</t>
  </si>
  <si>
    <t xml:space="preserve">Total Cash to Members</t>
  </si>
  <si>
    <t xml:space="preserve">Total Cash to Members at Refi  (Init. Cptl. + Apprec.)</t>
  </si>
  <si>
    <t xml:space="preserve">Internal Rate of Return (IRR)  — Class A LP</t>
  </si>
  <si>
    <t xml:space="preserve">Ending Capital Account Balance</t>
  </si>
  <si>
    <t xml:space="preserve">Average Cash on Cash Return  — Class A LP</t>
  </si>
  <si>
    <t xml:space="preserve">Re-Finance IO Period</t>
  </si>
  <si>
    <t xml:space="preserve">REFINANCE TRIGGERS — When can the bridge refi out?</t>
  </si>
  <si>
    <t xml:space="preserve">  Each program has minimum NOI / DSCR / Debt Yield requirements. Shows which year you qualify for each, and at what loan size.</t>
  </si>
  <si>
    <t xml:space="preserve">Program</t>
  </si>
  <si>
    <t xml:space="preserve">Min Debt Yield</t>
  </si>
  <si>
    <t xml:space="preserve">Min DSCR</t>
  </si>
  <si>
    <t xml:space="preserve">Max LTV</t>
  </si>
  <si>
    <t xml:space="preserve">Likely Rate</t>
  </si>
  <si>
    <t xml:space="preserve">Earliest Qualifying Year</t>
  </si>
  <si>
    <t xml:space="preserve">Amort</t>
  </si>
  <si>
    <t xml:space="preserve">For loans &lt;$9MM only</t>
  </si>
  <si>
    <t xml:space="preserve">For loans &lt;$7.5MM only</t>
  </si>
  <si>
    <t xml:space="preserve">Standard agency</t>
  </si>
  <si>
    <t xml:space="preserve">Best pricing — strict criteria</t>
  </si>
  <si>
    <t xml:space="preserve">Available with stable cash flow</t>
  </si>
  <si>
    <t xml:space="preserve">If still in lease-up</t>
  </si>
  <si>
    <t xml:space="preserve">  At 8% Debt Yield</t>
  </si>
  <si>
    <t xml:space="preserve">  At 9% Debt Yield</t>
  </si>
  <si>
    <t xml:space="preserve">  At 10% Debt Yield</t>
  </si>
  <si>
    <t xml:space="preserve">Cash-Out Available</t>
  </si>
  <si>
    <t xml:space="preserve">  INPUTS</t>
  </si>
  <si>
    <t xml:space="preserve">Close / Funding Date</t>
  </si>
  <si>
    <t xml:space="preserve">← Today's date. Change to actual close date.</t>
  </si>
  <si>
    <t xml:space="preserve">LP Class</t>
  </si>
  <si>
    <t xml:space="preserve">← Change in LP Return sheet</t>
  </si>
  <si>
    <t xml:space="preserve">Hold Period</t>
  </si>
  <si>
    <t xml:space="preserve">Yrs  |  Pref Rate:</t>
  </si>
  <si>
    <t xml:space="preserve">Legend:</t>
  </si>
  <si>
    <t xml:space="preserve">Blue = editable</t>
  </si>
  <si>
    <t xml:space="preserve">Yellow = model ref (read-only)</t>
  </si>
  <si>
    <t xml:space="preserve">Quarterly Dist = Annual ÷ 4 by default. Override any cell in col E.</t>
  </si>
  <si>
    <t xml:space="preserve">Year</t>
  </si>
  <si>
    <t xml:space="preserve">Quarter</t>
  </si>
  <si>
    <t xml:space="preserve">XIRR Date</t>
  </si>
  <si>
    <t xml:space="preserve">Annual Dist
(from model)</t>
  </si>
  <si>
    <t xml:space="preserve">Quarterly Dist
(editable ↓)</t>
  </si>
  <si>
    <t xml:space="preserve">Exit / Refi
Proceeds</t>
  </si>
  <si>
    <t xml:space="preserve">Total CF
(XIRR input)</t>
  </si>
  <si>
    <t xml:space="preserve">Cumulative
Cash Received</t>
  </si>
  <si>
    <t xml:space="preserve">Annual CF (IRR helper)</t>
  </si>
  <si>
    <t xml:space="preserve">0</t>
  </si>
  <si>
    <t xml:space="preserve">Invest</t>
  </si>
  <si>
    <t xml:space="preserve">Initial member contribution</t>
  </si>
  <si>
    <t xml:space="preserve">Q1</t>
  </si>
  <si>
    <t xml:space="preserve">Distributions begin</t>
  </si>
  <si>
    <t xml:space="preserve">Q2</t>
  </si>
  <si>
    <t xml:space="preserve">Q3</t>
  </si>
  <si>
    <t xml:space="preserve">Q4</t>
  </si>
  <si>
    <t xml:space="preserve">TOTALS</t>
  </si>
  <si>
    <t xml:space="preserve">  RETURN SUMMARY</t>
  </si>
  <si>
    <t xml:space="preserve">XIRR  (quarterly distributions)</t>
  </si>
  <si>
    <t xml:space="preserve">Standard IRR  (annual, year-end)</t>
  </si>
  <si>
    <t xml:space="preserve">Difference  (XIRR − IRR)</t>
  </si>
  <si>
    <t xml:space="preserve">Equity Multiple  (XIRR basis)</t>
  </si>
  <si>
    <t xml:space="preserve">Total Cash Received</t>
  </si>
  <si>
    <t xml:space="preserve">  Green = meets investment threshold. Yellow = marginal. Red = below threshold. All cells are live formulas.</t>
  </si>
  <si>
    <t xml:space="preserve">TABLE 1 — OCCUPANCY vs EXIT CAP RATE → LP IRR (MOIC approximation)</t>
  </si>
  <si>
    <t xml:space="preserve">Occ % \ Exit Cap →</t>
  </si>
  <si>
    <t xml:space="preserve">TABLE 2 — RATE GROWTH vs EXPENSE GROWTH → NOI MARGIN (Year 5)</t>
  </si>
  <si>
    <t xml:space="preserve">Rate Gr. \ Exp Gr. →</t>
  </si>
  <si>
    <t xml:space="preserve">TABLE 3 — PURCHASE PRICE MULTIPLE vs NOI MULTIPLE → GOING-IN CAP RATE</t>
  </si>
  <si>
    <t xml:space="preserve">PP Mult \ NOI Mult →</t>
  </si>
  <si>
    <t xml:space="preserve">  Change the Investment Amount in the blue cell below. All figures scale automatically to any investment size.</t>
  </si>
  <si>
    <t xml:space="preserve">← Change this to illustrate any investor</t>
  </si>
  <si>
    <t xml:space="preserve">Class A</t>
  </si>
  <si>
    <t xml:space="preserve">← Select Class A or Class B</t>
  </si>
  <si>
    <t xml:space="preserve">Ownership of LP Pool</t>
  </si>
  <si>
    <t xml:space="preserve">Preferred Return Rate</t>
  </si>
  <si>
    <t xml:space="preserve">EXIT</t>
  </si>
  <si>
    <t xml:space="preserve">  A.  INVESTED CAPITAL</t>
  </si>
  <si>
    <t xml:space="preserve">Initial Investment</t>
  </si>
  <si>
    <t xml:space="preserve">  B.  ANNUAL CASH DISTRIBUTIONS</t>
  </si>
  <si>
    <t xml:space="preserve">Preferred Return  (8% × invested capital)</t>
  </si>
  <si>
    <t xml:space="preserve">Additional Upside  (pro-rata share above pref)</t>
  </si>
  <si>
    <t xml:space="preserve">Total Annual Distribution</t>
  </si>
  <si>
    <t xml:space="preserve">  C.  CAPITAL EVENTS</t>
  </si>
  <si>
    <t xml:space="preserve">Refinance Distribution</t>
  </si>
  <si>
    <t xml:space="preserve">  Refi proceeds are returned as Return of Capital when the toggle in Waterfall B23 = "Return of Capital". Tax-free basis return, not income.</t>
  </si>
  <si>
    <t xml:space="preserve">  D.  UNRETURNED CAPITAL BALANCE</t>
  </si>
  <si>
    <t xml:space="preserve">Opening Balance</t>
  </si>
  <si>
    <t xml:space="preserve">Less: Refi — Return of Capital</t>
  </si>
  <si>
    <t xml:space="preserve">Closing Balance</t>
  </si>
  <si>
    <t xml:space="preserve">Return of Capital  (your original investment returned)</t>
  </si>
  <si>
    <t xml:space="preserve">Exit Upside / Promote  (your share of sale profits)</t>
  </si>
  <si>
    <t xml:space="preserve">  F.  TOTAL CASH RECEIVED</t>
  </si>
  <si>
    <t xml:space="preserve">Total Cash Received  (distributions + refi + exit)</t>
  </si>
  <si>
    <t xml:space="preserve">Cumulative Cash Received</t>
  </si>
  <si>
    <t xml:space="preserve">  G.  INVESTOR SUMMARY</t>
  </si>
  <si>
    <t xml:space="preserve">Capital Invested</t>
  </si>
  <si>
    <t xml:space="preserve">Equity Multiple</t>
  </si>
  <si>
    <t xml:space="preserve">Avg Annual Return  (simple)</t>
  </si>
  <si>
    <t xml:space="preserve">  Preferred return is paid first each year before any profit sharing. Additional upside is your pro-rata share of cash flow above the pref hurdle. Refi proceeds (if applicable) reduce your capital basis and are tax-free. Exit distributions are paid from the property sale after loan payoff and selling costs.</t>
  </si>
  <si>
    <t xml:space="preserve">  H.  TARGET RETURN ANALYSIS  —  How much do I need to invest?</t>
  </si>
  <si>
    <t xml:space="preserve">  Enter your target below. The model shows the required investment amount to hit that goal, based on this deal's projected returns.</t>
  </si>
  <si>
    <t xml:space="preserve">Target</t>
  </si>
  <si>
    <t xml:space="preserve">Your Target</t>
  </si>
  <si>
    <t xml:space="preserve">Required Investment</t>
  </si>
  <si>
    <t xml:space="preserve">At $100k you get →</t>
  </si>
  <si>
    <t xml:space="preserve">vs Target</t>
  </si>
  <si>
    <t xml:space="preserve">Annual Pref Income  ($/yr)</t>
  </si>
  <si>
    <t xml:space="preserve">Target Equity Multiple</t>
  </si>
  <si>
    <t xml:space="preserve">EM scales with the deal, not investment size</t>
  </si>
  <si>
    <t xml:space="preserve">Target IRR</t>
  </si>
  <si>
    <t xml:space="preserve">IRR is deal-level — same at any investment size</t>
  </si>
  <si>
    <t xml:space="preserve">Target Total Cash Back  ($)</t>
  </si>
  <si>
    <t xml:space="preserve">  Required Investment = your target ÷ return-per-dollar at current $100k illustration. IRR and Equity Multiple are deal-level and do not change with investment size.</t>
  </si>
  <si>
    <t xml:space="preserve">  I.  SENSITIVITY ANALYSIS  —  Your Returns at Different Exit Cap Rates</t>
  </si>
  <si>
    <t xml:space="preserve">  Assumes all operating distributions unchanged. Only the exit proceeds change with the cap rate. Green = better than base case. Red = worse.</t>
  </si>
  <si>
    <t xml:space="preserve">Net to LP Pool (exit)</t>
  </si>
  <si>
    <t xml:space="preserve">Your Exit $</t>
  </si>
  <si>
    <t xml:space="preserve">Total Received</t>
  </si>
  <si>
    <t xml:space="preserve">vs Base EM</t>
  </si>
  <si>
    <t xml:space="preserve">  Base case highlighted in navy (current exit cap rate from Scenarios). Exit NOI = P&amp;L year matching hold period. Loan balance at exit from amortization schedule.</t>
  </si>
  <si>
    <t xml:space="preserve">Property 1 = this workbook (auto-populated). Properties 2-5 = paste from sister workbooks (yellow blocks). For ≥6 properties, use the Export Block at the bottom and aggregate in a master portfolio sheet.</t>
  </si>
  <si>
    <t xml:space="preserve">B.  ASSET INVENTORY</t>
  </si>
  <si>
    <t xml:space="preserve">Property 1 (this)</t>
  </si>
  <si>
    <t xml:space="preserve">Property 2</t>
  </si>
  <si>
    <t xml:space="preserve">Property 3</t>
  </si>
  <si>
    <t xml:space="preserve">Property 4</t>
  </si>
  <si>
    <t xml:space="preserve">Property 5</t>
  </si>
  <si>
    <t xml:space="preserve">Portfolio Total / Avg</t>
  </si>
  <si>
    <t xml:space="preserve">Market / MSA</t>
  </si>
  <si>
    <t xml:space="preserve">Asset Class</t>
  </si>
  <si>
    <t xml:space="preserve">Total units across portfolio</t>
  </si>
  <si>
    <t xml:space="preserve">Weighted by units</t>
  </si>
  <si>
    <t xml:space="preserve">Incl. closing, reserves, capex</t>
  </si>
  <si>
    <t xml:space="preserve">Price / Unit</t>
  </si>
  <si>
    <t xml:space="preserve">Price / SF</t>
  </si>
  <si>
    <t xml:space="preserve">Weighted by SF</t>
  </si>
  <si>
    <t xml:space="preserve">Going-In Cap Rate</t>
  </si>
  <si>
    <t xml:space="preserve">Weighted by purchase price</t>
  </si>
  <si>
    <t xml:space="preserve">C.  AGGREGATE METRICS</t>
  </si>
  <si>
    <t xml:space="preserve">Property 1</t>
  </si>
  <si>
    <t xml:space="preserve">Portfolio</t>
  </si>
  <si>
    <t xml:space="preserve">GPR (Y1)</t>
  </si>
  <si>
    <t xml:space="preserve">EGI (Y1)</t>
  </si>
  <si>
    <t xml:space="preserve">T-12 NOI (in-place)</t>
  </si>
  <si>
    <t xml:space="preserve">In-place — pre-stabilization</t>
  </si>
  <si>
    <t xml:space="preserve">Y1 NOI</t>
  </si>
  <si>
    <t xml:space="preserve">Y3 NOI (stabilized)</t>
  </si>
  <si>
    <t xml:space="preserve">Y1 Vacancy %</t>
  </si>
  <si>
    <t xml:space="preserve">Weighted by GPR</t>
  </si>
  <si>
    <t xml:space="preserve">Going-In Cap</t>
  </si>
  <si>
    <t xml:space="preserve">Y3 Stabilized Cap</t>
  </si>
  <si>
    <t xml:space="preserve">Going-In Yield-on-Cost</t>
  </si>
  <si>
    <t xml:space="preserve">Weighted by total cost</t>
  </si>
  <si>
    <t xml:space="preserve">Stabilized YoC (Y3)</t>
  </si>
  <si>
    <t xml:space="preserve">The development margin metric</t>
  </si>
  <si>
    <t xml:space="preserve">D.  COMBINED CAPITAL STACK</t>
  </si>
  <si>
    <t xml:space="preserve">Capital Source</t>
  </si>
  <si>
    <t xml:space="preserve">Wtd Avg Rate</t>
  </si>
  <si>
    <t xml:space="preserve">Senior Loan ($)</t>
  </si>
  <si>
    <t xml:space="preserve">Senior Loan Rate</t>
  </si>
  <si>
    <t xml:space="preserve">2nd / Mezz ($)</t>
  </si>
  <si>
    <t xml:space="preserve">2nd / Mezz Rate</t>
  </si>
  <si>
    <t xml:space="preserve">Supplemental ($)</t>
  </si>
  <si>
    <t xml:space="preserve">Supplemental Rate</t>
  </si>
  <si>
    <t xml:space="preserve">E.  COMBINED RETURNS</t>
  </si>
  <si>
    <t xml:space="preserve">Project IRR</t>
  </si>
  <si>
    <t xml:space="preserve">Weighted by equity</t>
  </si>
  <si>
    <t xml:space="preserve">Weighted by LP equity</t>
  </si>
  <si>
    <t xml:space="preserve">Weighted by GP equity</t>
  </si>
  <si>
    <t xml:space="preserve">Equity Multiple (Project)</t>
  </si>
  <si>
    <t xml:space="preserve">Avg DSCR (Hold Period)</t>
  </si>
  <si>
    <t xml:space="preserve">Weighted by debt</t>
  </si>
  <si>
    <t xml:space="preserve">Going-In Debt Yield</t>
  </si>
  <si>
    <t xml:space="preserve">Stabilized Debt Yield</t>
  </si>
  <si>
    <t xml:space="preserve">F.  RISK CONCENTRATION</t>
  </si>
  <si>
    <t xml:space="preserve">Risk Metric</t>
  </si>
  <si>
    <t xml:space="preserve">Threshold</t>
  </si>
  <si>
    <t xml:space="preserve">Flag</t>
  </si>
  <si>
    <t xml:space="preserve">% of Portfolio NOI from Largest Property</t>
  </si>
  <si>
    <t xml:space="preserve">&lt;40%</t>
  </si>
  <si>
    <t xml:space="preserve">Single-property NOI dependence</t>
  </si>
  <si>
    <t xml:space="preserve">% of Portfolio Units in Largest Property</t>
  </si>
  <si>
    <t xml:space="preserve">&lt;50%</t>
  </si>
  <si>
    <t xml:space="preserve">Operational concentration</t>
  </si>
  <si>
    <t xml:space="preserve"># of Distinct Markets</t>
  </si>
  <si>
    <t xml:space="preserve">≥2 ideal</t>
  </si>
  <si>
    <t xml:space="preserve">Geographic diversification</t>
  </si>
  <si>
    <t xml:space="preserve">Portfolio Avg Going-In Cap</t>
  </si>
  <si>
    <t xml:space="preserve">6-9% range typical</t>
  </si>
  <si>
    <t xml:space="preserve">Blended in-place cap</t>
  </si>
  <si>
    <t xml:space="preserve">Min Single-Property DSCR</t>
  </si>
  <si>
    <t xml:space="preserve">{=MIN(IF(B59:F59&gt;0,B59:F59))}</t>
  </si>
  <si>
    <t xml:space="preserve">≥1.20</t>
  </si>
  <si>
    <t xml:space="preserve">Weakest property DSCR — covenant exposure</t>
  </si>
  <si>
    <t xml:space="preserve">Wtd Avg Loan Maturity (years)</t>
  </si>
  <si>
    <t xml:space="preserve">&gt;3 desirable</t>
  </si>
  <si>
    <t xml:space="preserve">Manually populate — refi exposure</t>
  </si>
  <si>
    <t xml:space="preserve">G.  CROSS-PROPERTY NORMALIZED PUPM  —  Per-Unit-Per-Month anomaly flagger</t>
  </si>
  <si>
    <t xml:space="preserve">  Same OpEx categories normalized to PUPM across properties. Auto-flags lines &gt;50% above portfolio average.</t>
  </si>
  <si>
    <t xml:space="preserve">Expense Line</t>
  </si>
  <si>
    <t xml:space="preserve">P1 PUPM</t>
  </si>
  <si>
    <t xml:space="preserve">P2 PUPM</t>
  </si>
  <si>
    <t xml:space="preserve">P3 PUPM</t>
  </si>
  <si>
    <t xml:space="preserve">P4 PUPM</t>
  </si>
  <si>
    <t xml:space="preserve">P5 PUPM</t>
  </si>
  <si>
    <t xml:space="preserve">Portfolio Avg</t>
  </si>
  <si>
    <t xml:space="preserve">Largest Outlier</t>
  </si>
  <si>
    <t xml:space="preserve">General &amp; Admin</t>
  </si>
  <si>
    <t xml:space="preserve">R&amp;M</t>
  </si>
  <si>
    <t xml:space="preserve">Amenity</t>
  </si>
  <si>
    <t xml:space="preserve">H.  EXPORT BLOCK  —  Copy this row into your master portfolio sheet</t>
  </si>
  <si>
    <t xml:space="preserve">  Single horizontal row with key metrics. Copy entire row + paste into master portfolio workbook.</t>
  </si>
  <si>
    <t xml:space="preserve">Total Acq Cost</t>
  </si>
  <si>
    <t xml:space="preserve">T-12 NOI</t>
  </si>
  <si>
    <t xml:space="preserve">Y3 NOI</t>
  </si>
  <si>
    <t xml:space="preserve">LP EM</t>
  </si>
  <si>
    <t xml:space="preserve">STANDARDIZED COA — Bucket Master List (helper tab; edit to add buckets)</t>
  </si>
  <si>
    <t xml:space="preserve">Subcategory</t>
  </si>
  <si>
    <t xml:space="preserve">Bench PUPM Low</t>
  </si>
  <si>
    <t xml:space="preserve">Bench PUPM High</t>
  </si>
  <si>
    <t xml:space="preserve">Definition / Maps from accounts like…</t>
  </si>
  <si>
    <t xml:space="preserve">Income</t>
  </si>
  <si>
    <t xml:space="preserve">Rent</t>
  </si>
  <si>
    <t xml:space="preserve">Market Rent on all units (4210). Sum of market rent across all units, leased or vacant.</t>
  </si>
  <si>
    <t xml:space="preserve">Rent Adj</t>
  </si>
  <si>
    <t xml:space="preserve">Adjustment to market rent (4230). Usually small.</t>
  </si>
  <si>
    <t xml:space="preserve">Rent Reduction</t>
  </si>
  <si>
    <t xml:space="preserve">Less: Vacancy (4305). Lost rent on vacant units.</t>
  </si>
  <si>
    <t xml:space="preserve">Less: Down Units (4310). Lost rent on units off-line.</t>
  </si>
  <si>
    <t xml:space="preserve">Less: Employee Units (4325). Free/discounted rent for staff.</t>
  </si>
  <si>
    <t xml:space="preserve">All concession types: move-in (4330), one-time (4331), recurring (4340), corp (4350).</t>
  </si>
  <si>
    <t xml:space="preserve">Change in Delinquency (4365). AR balance increase reduces revenue.</t>
  </si>
  <si>
    <t xml:space="preserve">Write Offs (4370). Uncollected rent written off.</t>
  </si>
  <si>
    <t xml:space="preserve">Change in Prepaid Rent (4390). Can be positive or negative.</t>
  </si>
  <si>
    <t xml:space="preserve">Other Income</t>
  </si>
  <si>
    <t xml:space="preserve">Month-to-month fees (4705).</t>
  </si>
  <si>
    <t xml:space="preserve">New tenant application fees (4730).</t>
  </si>
  <si>
    <t xml:space="preserve">Late payment fees (4750), NSF fees (4755).</t>
  </si>
  <si>
    <t xml:space="preserve">RUBS / utility billbacks (4815, 4820, 4825, 4855).</t>
  </si>
  <si>
    <t xml:space="preserve">Pet rent and fees.</t>
  </si>
  <si>
    <t xml:space="preserve">Parking, garage, storage rent.</t>
  </si>
  <si>
    <t xml:space="preserve">Amenity fees (4842), pool, gym fees.</t>
  </si>
  <si>
    <t xml:space="preserve">Admin fees (4890), risk fees (4905).</t>
  </si>
  <si>
    <t xml:space="preserve">POL Insurance (4916), FPI (4917, 4918), Building Fee (4919).</t>
  </si>
  <si>
    <t xml:space="preserve">DWP, Tenant Damages, Credit Builder, Misc (4870, 4906, 4996, 4997).</t>
  </si>
  <si>
    <t xml:space="preserve">Expense</t>
  </si>
  <si>
    <t xml:space="preserve">OpEx — R&amp;M</t>
  </si>
  <si>
    <t xml:space="preserve">Plumbing, HVAC, lights, supplies, repairs (5113-5170, 5215). Excludes contract landscape, pest.</t>
  </si>
  <si>
    <t xml:space="preserve">Landscaping contract + supplies (5154, 5157).</t>
  </si>
  <si>
    <t xml:space="preserve">Pest contract (5161).</t>
  </si>
  <si>
    <t xml:space="preserve">Pool supplies, amenity upkeep (5146).</t>
  </si>
  <si>
    <t xml:space="preserve">OpEx — Turn</t>
  </si>
  <si>
    <t xml:space="preserve">Unit turn costs: paint, clean, carpet, repairs (5601-5625).</t>
  </si>
  <si>
    <t xml:space="preserve">OpEx — Labor</t>
  </si>
  <si>
    <t xml:space="preserve">On-site staff salaries, bonuses, payroll fees (5217, 5265).</t>
  </si>
  <si>
    <t xml:space="preserve">OpEx — G&amp;A</t>
  </si>
  <si>
    <t xml:space="preserve">Admin services (5205), commissions (5220), uniforms (5260), ILS (6135).</t>
  </si>
  <si>
    <t xml:space="preserve">Office supplies, postage, telephone, software, training, banking (6201-6299).</t>
  </si>
  <si>
    <t xml:space="preserve">Eviction fees (6215), legal services, professional fees.</t>
  </si>
  <si>
    <t xml:space="preserve">OpEx — Fixed</t>
  </si>
  <si>
    <t xml:space="preserve">Property insurance, liability, umbrella.</t>
  </si>
  <si>
    <t xml:space="preserve">Property taxes paid to county/municipality.</t>
  </si>
  <si>
    <t xml:space="preserve">OpEx — Util</t>
  </si>
  <si>
    <t xml:space="preserve">Electric common area + vacant (5305, 5310).</t>
  </si>
  <si>
    <t xml:space="preserve">Natural gas service (if metered).</t>
  </si>
  <si>
    <t xml:space="preserve">Water common area (5330). Largest single line if master-metered.</t>
  </si>
  <si>
    <t xml:space="preserve">Garbage removal contract + other (5140, 5170).</t>
  </si>
  <si>
    <t xml:space="preserve">Internet access for office/common (6232).</t>
  </si>
  <si>
    <t xml:space="preserve">OpEx — Mgmt</t>
  </si>
  <si>
    <t xml:space="preserve">Property management fee (6310). Usually 3-4% EGI stabilized, 6-8% distressed.</t>
  </si>
  <si>
    <t xml:space="preserve">OpEx — Contract</t>
  </si>
  <si>
    <t xml:space="preserve">Reimbursement — Water/Sewer</t>
  </si>
  <si>
    <t xml:space="preserve">Reimbursement — Electric</t>
  </si>
  <si>
    <t xml:space="preserve">Reimbursement — Trash</t>
  </si>
  <si>
    <t xml:space="preserve">Reimbursement — Other</t>
  </si>
  <si>
    <t xml:space="preserve">Reimbursement — Pest</t>
  </si>
  <si>
    <t xml:space="preserve">Reimbursement — Gas</t>
  </si>
  <si>
    <t xml:space="preserve">Reimbursement — Internet</t>
  </si>
  <si>
    <t xml:space="preserve">(expansion slot 15)</t>
  </si>
  <si>
    <t xml:space="preserve">— UNMAPPED —</t>
  </si>
  <si>
    <t xml:space="preserve">Error</t>
  </si>
  <si>
    <t xml:space="preserve">Lines not yet mapped to a bucket. Should be empty after mapping is complete.</t>
  </si>
  <si>
    <t xml:space="preserve">— EXCLUDED (non-OpEx) —</t>
  </si>
  <si>
    <t xml:space="preserve">Excluded</t>
  </si>
  <si>
    <t xml:space="preserve">Lines explicitly excluded from analysis (e.g., one-time entries, owner-level items).</t>
  </si>
</sst>
</file>

<file path=xl/styles.xml><?xml version="1.0" encoding="utf-8"?>
<styleSheet xmlns="http://schemas.openxmlformats.org/spreadsheetml/2006/main">
  <numFmts count="33">
    <numFmt numFmtId="164" formatCode="General"/>
    <numFmt numFmtId="165" formatCode="@"/>
    <numFmt numFmtId="166" formatCode="#,##0;\(#,##0\);\-"/>
    <numFmt numFmtId="167" formatCode="0.0%;\(0.0%\);\-"/>
    <numFmt numFmtId="168" formatCode="\$#,##0;&quot;($&quot;#,##0\);\-"/>
    <numFmt numFmtId="169" formatCode="0.00%;\(0.00%\);\-"/>
    <numFmt numFmtId="170" formatCode="0.00\x;\(0.00&quot;x)&quot;;\-"/>
    <numFmt numFmtId="171" formatCode="0.00\x"/>
    <numFmt numFmtId="172" formatCode="#,##0"/>
    <numFmt numFmtId="173" formatCode="0.00%"/>
    <numFmt numFmtId="174" formatCode="0.0%"/>
    <numFmt numFmtId="175" formatCode="0.0%;\(0.0%\)"/>
    <numFmt numFmtId="176" formatCode="0%"/>
    <numFmt numFmtId="177" formatCode="0.0"/>
    <numFmt numFmtId="178" formatCode="\$#,##0"/>
    <numFmt numFmtId="179" formatCode="0.000%"/>
    <numFmt numFmtId="180" formatCode="\$#,##0.00"/>
    <numFmt numFmtId="181" formatCode="#,##0.0;\(#,##0.0\);\-"/>
    <numFmt numFmtId="182" formatCode="0.0&quot; / 10&quot;"/>
    <numFmt numFmtId="183" formatCode="#&quot; Month(s)&quot;"/>
    <numFmt numFmtId="184" formatCode="\$#,##0.00_);[RED]&quot;($&quot;#,##0.00\)"/>
    <numFmt numFmtId="185" formatCode="\$#,##0;&quot;($&quot;#,##0\);\-"/>
    <numFmt numFmtId="186" formatCode="0;\-0;&quot;&quot;"/>
    <numFmt numFmtId="187" formatCode="\$#,##0.00;&quot;($&quot;#,##0.00\);\-"/>
    <numFmt numFmtId="188" formatCode="0.0&quot; mo&quot;"/>
    <numFmt numFmtId="189" formatCode="m/d/yyyy"/>
    <numFmt numFmtId="190" formatCode="#,##0_);\(#,##0\)"/>
    <numFmt numFmtId="191" formatCode="#,##0.00;\(#,##0.00\);\-"/>
    <numFmt numFmtId="192" formatCode="#,##0.00"/>
    <numFmt numFmtId="193" formatCode="0"/>
    <numFmt numFmtId="194" formatCode="mm/dd/yyyy"/>
    <numFmt numFmtId="195" formatCode="#,##0;\(#,##0\)"/>
    <numFmt numFmtId="196" formatCode="\+0.00\x;\-0.00\x;\—"/>
  </numFmts>
  <fonts count="1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2"/>
      <charset val="1"/>
    </font>
    <font>
      <i val="true"/>
      <sz val="10"/>
      <color rgb="FFFFFFF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6100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sz val="10"/>
      <color rgb="FF595959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i val="true"/>
      <sz val="9"/>
      <color rgb="FF595959"/>
      <name val="Arial"/>
      <family val="2"/>
      <charset val="1"/>
    </font>
    <font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6100"/>
      <name val="Arial"/>
      <family val="2"/>
      <charset val="1"/>
    </font>
    <font>
      <i val="true"/>
      <sz val="9"/>
      <color rgb="FF595959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1"/>
      <color rgb="FF1F2937"/>
      <name val="Calibri"/>
      <family val="2"/>
      <charset val="1"/>
    </font>
    <font>
      <sz val="10"/>
      <color rgb="FF1F2937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u val="single"/>
      <sz val="10"/>
      <color rgb="FF0563C1"/>
      <name val="Calibri"/>
      <family val="2"/>
      <charset val="1"/>
    </font>
    <font>
      <u val="single"/>
      <sz val="10"/>
      <color rgb="FF0563C1"/>
      <name val="Calibri"/>
      <family val="2"/>
      <charset val="1"/>
    </font>
    <font>
      <b val="true"/>
      <sz val="11"/>
      <color rgb="FF0000FF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0061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6"/>
      <color rgb="FFFFFFFF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i val="true"/>
      <sz val="11"/>
      <color rgb="FF0000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u val="single"/>
      <sz val="11"/>
      <color rgb="FF0563C1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11"/>
      <color rgb="FF0000FF"/>
      <name val="Cambria"/>
      <family val="1"/>
      <charset val="1"/>
    </font>
    <font>
      <sz val="8"/>
      <color rgb="FF0563C1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sz val="9"/>
      <color rgb="FF000000"/>
      <name val="Consolas"/>
      <family val="2"/>
      <charset val="1"/>
    </font>
    <font>
      <sz val="9"/>
      <color rgb="FF006100"/>
      <name val="Consolas"/>
      <family val="2"/>
      <charset val="1"/>
    </font>
    <font>
      <sz val="10"/>
      <color rgb="FF0000FF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1"/>
      <color rgb="FF000000"/>
      <name val="Cambria"/>
      <family val="1"/>
      <charset val="1"/>
    </font>
    <font>
      <i val="true"/>
      <sz val="9"/>
      <color rgb="FF006100"/>
      <name val="Arial"/>
      <family val="2"/>
      <charset val="1"/>
    </font>
    <font>
      <sz val="10"/>
      <color rgb="FF7F6000"/>
      <name val="Arial"/>
      <family val="2"/>
      <charset val="1"/>
    </font>
    <font>
      <i val="true"/>
      <sz val="10"/>
      <color rgb="FF000000"/>
      <name val="Arial"/>
      <family val="2"/>
      <charset val="1"/>
    </font>
    <font>
      <i val="true"/>
      <sz val="10"/>
      <color rgb="FF006100"/>
      <name val="Arial"/>
      <family val="2"/>
      <charset val="1"/>
    </font>
    <font>
      <sz val="11"/>
      <color rgb="FF006100"/>
      <name val="Cambria"/>
      <family val="1"/>
      <charset val="1"/>
    </font>
    <font>
      <sz val="9"/>
      <name val="Cambria"/>
      <family val="1"/>
      <charset val="1"/>
    </font>
    <font>
      <sz val="9"/>
      <color rgb="FF0000FF"/>
      <name val="Cambria"/>
      <family val="1"/>
      <charset val="1"/>
    </font>
    <font>
      <sz val="9"/>
      <color rgb="FF000000"/>
      <name val="Cambria"/>
      <family val="1"/>
      <charset val="1"/>
    </font>
    <font>
      <i val="true"/>
      <sz val="8"/>
      <color rgb="FF595959"/>
      <name val="Cambria"/>
      <family val="1"/>
      <charset val="1"/>
    </font>
    <font>
      <b val="true"/>
      <sz val="10"/>
      <color theme="0"/>
      <name val="Arial"/>
      <family val="2"/>
      <charset val="1"/>
    </font>
    <font>
      <i val="true"/>
      <sz val="9"/>
      <color theme="0"/>
      <name val="Arial"/>
      <family val="2"/>
      <charset val="1"/>
    </font>
    <font>
      <b val="true"/>
      <sz val="10"/>
      <color rgb="FF0000FF"/>
      <name val="Arial"/>
      <family val="2"/>
      <charset val="1"/>
    </font>
    <font>
      <sz val="9"/>
      <color rgb="FF808080"/>
      <name val="Arial"/>
      <family val="2"/>
      <charset val="1"/>
    </font>
    <font>
      <b val="true"/>
      <sz val="9"/>
      <color rgb="FF80808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color rgb="FF7D6608"/>
      <name val="Cambria"/>
      <family val="1"/>
      <charset val="1"/>
    </font>
    <font>
      <sz val="10"/>
      <name val="Arial"/>
      <family val="2"/>
    </font>
    <font>
      <sz val="11"/>
      <color rgb="FF006100"/>
      <name val="Calibri"/>
      <family val="2"/>
      <charset val="1"/>
    </font>
    <font>
      <sz val="11"/>
      <color rgb="FF0000FF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0"/>
      <color rgb="FF1F3864"/>
      <name val="Cambria"/>
      <family val="1"/>
      <charset val="1"/>
    </font>
    <font>
      <b val="true"/>
      <sz val="9"/>
      <name val="Cambria"/>
      <family val="1"/>
      <charset val="1"/>
    </font>
    <font>
      <sz val="9"/>
      <color rgb="FF006100"/>
      <name val="Cambria"/>
      <family val="1"/>
      <charset val="1"/>
    </font>
    <font>
      <b val="true"/>
      <sz val="9"/>
      <color rgb="FF000000"/>
      <name val="Cambria"/>
      <family val="1"/>
      <charset val="1"/>
    </font>
    <font>
      <b val="true"/>
      <sz val="9"/>
      <color rgb="FFFFFFFF"/>
      <name val="Cambria"/>
      <family val="1"/>
      <charset val="1"/>
    </font>
    <font>
      <b val="true"/>
      <sz val="9"/>
      <color rgb="FF1F3864"/>
      <name val="Cambria"/>
      <family val="1"/>
      <charset val="1"/>
    </font>
    <font>
      <i val="true"/>
      <sz val="9"/>
      <color rgb="FF6B7280"/>
      <name val="Arial"/>
      <family val="2"/>
      <charset val="1"/>
    </font>
    <font>
      <i val="true"/>
      <sz val="9"/>
      <color rgb="FF000000"/>
      <name val="Arial"/>
      <family val="2"/>
      <charset val="1"/>
    </font>
    <font>
      <sz val="10"/>
      <color rgb="FFBFBFBF"/>
      <name val="Arial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mbria"/>
      <family val="1"/>
      <charset val="1"/>
    </font>
    <font>
      <sz val="9"/>
      <color rgb="FF008000"/>
      <name val="Arial"/>
      <family val="2"/>
      <charset val="1"/>
    </font>
    <font>
      <b val="true"/>
      <sz val="9"/>
      <color rgb="FF0000FF"/>
      <name val="Arial"/>
      <family val="2"/>
      <charset val="1"/>
    </font>
    <font>
      <b val="true"/>
      <sz val="9"/>
      <color rgb="FF000000"/>
      <name val="Arial"/>
      <family val="2"/>
      <charset val="1"/>
    </font>
    <font>
      <b val="true"/>
      <sz val="9"/>
      <color rgb="FF006100"/>
      <name val="Arial"/>
      <family val="2"/>
      <charset val="1"/>
    </font>
    <font>
      <sz val="10"/>
      <color rgb="FF008000"/>
      <name val="Arial"/>
      <family val="2"/>
      <charset val="1"/>
    </font>
    <font>
      <sz val="11"/>
      <color rgb="FF006100"/>
      <name val="Arial"/>
      <family val="2"/>
      <charset val="1"/>
    </font>
    <font>
      <sz val="10"/>
      <color rgb="FF0000FF"/>
      <name val="Calibri"/>
      <family val="2"/>
      <charset val="1"/>
    </font>
    <font>
      <sz val="10"/>
      <color rgb="FF006100"/>
      <name val="Cambria"/>
      <family val="1"/>
      <charset val="1"/>
    </font>
    <font>
      <sz val="10"/>
      <color rgb="FF000000"/>
      <name val="Cambria"/>
      <family val="1"/>
      <charset val="1"/>
    </font>
    <font>
      <i val="true"/>
      <sz val="10"/>
      <color rgb="FF595959"/>
      <name val="Cambria"/>
      <family val="1"/>
      <charset val="1"/>
    </font>
    <font>
      <sz val="10"/>
      <color rgb="FF000000"/>
      <name val="Calibri"/>
      <family val="2"/>
      <charset val="1"/>
    </font>
    <font>
      <b val="true"/>
      <sz val="10"/>
      <color rgb="FF006100"/>
      <name val="Cambria"/>
      <family val="1"/>
      <charset val="1"/>
    </font>
    <font>
      <sz val="10"/>
      <color theme="1"/>
      <name val="Calibri"/>
      <family val="2"/>
      <charset val="1"/>
    </font>
    <font>
      <sz val="10"/>
      <color rgb="FF006100"/>
      <name val="Calibri"/>
      <family val="2"/>
      <charset val="1"/>
    </font>
    <font>
      <b val="true"/>
      <sz val="10"/>
      <color rgb="FF375623"/>
      <name val="Arial"/>
      <family val="2"/>
      <charset val="1"/>
    </font>
    <font>
      <i val="true"/>
      <sz val="10"/>
      <color rgb="FF375623"/>
      <name val="Arial"/>
      <family val="2"/>
      <charset val="1"/>
    </font>
    <font>
      <b val="true"/>
      <sz val="13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 val="true"/>
      <i val="true"/>
      <sz val="10"/>
      <color rgb="FF595959"/>
      <name val="Arial"/>
      <family val="2"/>
      <charset val="1"/>
    </font>
    <font>
      <sz val="10"/>
      <color rgb="FFA6A6A6"/>
      <name val="Arial"/>
      <family val="2"/>
      <charset val="1"/>
    </font>
    <font>
      <b val="true"/>
      <sz val="10"/>
      <color rgb="FFA6A6A6"/>
      <name val="Arial"/>
      <family val="2"/>
      <charset val="1"/>
    </font>
    <font>
      <b val="true"/>
      <sz val="10"/>
      <color rgb="FF1F3864"/>
      <name val="Arial"/>
      <family val="2"/>
      <charset val="1"/>
    </font>
    <font>
      <b val="true"/>
      <sz val="11"/>
      <color theme="0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7F6000"/>
      <name val="Arial"/>
      <family val="2"/>
      <charset val="1"/>
    </font>
    <font>
      <i val="true"/>
      <sz val="10"/>
      <color rgb="FF7F6000"/>
      <name val="Arial"/>
      <family val="2"/>
      <charset val="1"/>
    </font>
    <font>
      <i val="true"/>
      <sz val="9"/>
      <color rgb="FF0000FF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i val="true"/>
      <sz val="10"/>
      <color theme="1"/>
      <name val="Arial"/>
      <family val="2"/>
      <charset val="1"/>
    </font>
    <font>
      <b val="true"/>
      <sz val="13"/>
      <color rgb="FF1F4E78"/>
      <name val="Calibri"/>
      <family val="2"/>
      <charset val="1"/>
    </font>
    <font>
      <b val="true"/>
      <sz val="11"/>
      <name val="Calibri"/>
      <family val="2"/>
      <charset val="1"/>
    </font>
    <font>
      <i val="true"/>
      <sz val="9"/>
      <color rgb="FF808080"/>
      <name val="Calibri"/>
      <family val="2"/>
      <charset val="1"/>
    </font>
    <font>
      <sz val="9"/>
      <name val="Calibri"/>
      <family val="2"/>
      <charset val="1"/>
    </font>
    <font>
      <sz val="10"/>
      <name val="Calibri"/>
      <family val="2"/>
      <charset val="1"/>
    </font>
    <font>
      <i val="true"/>
      <sz val="8"/>
      <color rgb="FF595959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i val="true"/>
      <sz val="9"/>
      <color rgb="FF7F6000"/>
      <name val="Arial"/>
      <family val="2"/>
      <charset val="1"/>
    </font>
    <font>
      <b val="true"/>
      <sz val="11"/>
      <color rgb="FF0000FF"/>
      <name val="Arial"/>
      <family val="2"/>
      <charset val="1"/>
    </font>
    <font>
      <b val="true"/>
      <sz val="11"/>
      <color rgb="FF7F6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0"/>
      <color rgb="FF1F3864"/>
      <name val="Arial"/>
      <family val="2"/>
      <charset val="1"/>
    </font>
    <font>
      <sz val="10"/>
      <color rgb="FF375623"/>
      <name val="Arial"/>
      <family val="2"/>
      <charset val="1"/>
    </font>
    <font>
      <b val="true"/>
      <sz val="11"/>
      <color rgb="FF006100"/>
      <name val="Arial"/>
      <family val="2"/>
      <charset val="1"/>
    </font>
    <font>
      <b val="true"/>
      <sz val="10"/>
      <color rgb="FF7030A0"/>
      <name val="Arial"/>
      <family val="2"/>
      <charset val="1"/>
    </font>
    <font>
      <i val="true"/>
      <sz val="10"/>
      <color rgb="FF7030A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2"/>
      <color rgb="FF006100"/>
      <name val="Arial"/>
      <family val="2"/>
      <charset val="1"/>
    </font>
    <font>
      <b val="true"/>
      <sz val="13"/>
      <color rgb="FF0000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i val="true"/>
      <sz val="10"/>
      <color rgb="FF006100"/>
      <name val="Arial"/>
      <family val="2"/>
      <charset val="1"/>
    </font>
  </fonts>
  <fills count="40">
    <fill>
      <patternFill patternType="none"/>
    </fill>
    <fill>
      <patternFill patternType="gray125"/>
    </fill>
    <fill>
      <patternFill patternType="solid">
        <fgColor rgb="FF1F3864"/>
        <bgColor rgb="FF17375E"/>
      </patternFill>
    </fill>
    <fill>
      <patternFill patternType="solid">
        <fgColor rgb="FF4472C4"/>
        <bgColor rgb="FF2E75B6"/>
      </patternFill>
    </fill>
    <fill>
      <patternFill patternType="solid">
        <fgColor rgb="FFF2F2F2"/>
        <bgColor rgb="FFEBF3FB"/>
      </patternFill>
    </fill>
    <fill>
      <patternFill patternType="solid">
        <fgColor rgb="FFFFFFFF"/>
        <bgColor rgb="FFF7F9FC"/>
      </patternFill>
    </fill>
    <fill>
      <patternFill patternType="solid">
        <fgColor rgb="FF1F7A6E"/>
        <bgColor rgb="FF2E75B6"/>
      </patternFill>
    </fill>
    <fill>
      <patternFill patternType="solid">
        <fgColor rgb="FFD6E4F0"/>
        <bgColor rgb="FFD6E4F7"/>
      </patternFill>
    </fill>
    <fill>
      <patternFill patternType="solid">
        <fgColor rgb="FFE2EFDA"/>
        <bgColor rgb="FFE8F4F1"/>
      </patternFill>
    </fill>
    <fill>
      <patternFill patternType="solid">
        <fgColor rgb="FF1F4E78"/>
        <bgColor rgb="FF2E5B8A"/>
      </patternFill>
    </fill>
    <fill>
      <patternFill patternType="solid">
        <fgColor rgb="FFFFF2CC"/>
        <bgColor rgb="FFFFF8DC"/>
      </patternFill>
    </fill>
    <fill>
      <patternFill patternType="solid">
        <fgColor rgb="FFD9E1F2"/>
        <bgColor rgb="FFD9E2F3"/>
      </patternFill>
    </fill>
    <fill>
      <patternFill patternType="solid">
        <fgColor rgb="FF2E75B6"/>
        <bgColor rgb="FF4472C4"/>
      </patternFill>
    </fill>
    <fill>
      <patternFill patternType="solid">
        <fgColor rgb="FFDCE6F1"/>
        <bgColor rgb="FFD9E2F3"/>
      </patternFill>
    </fill>
    <fill>
      <patternFill patternType="solid">
        <fgColor rgb="FFF8F8F2"/>
        <bgColor rgb="FFF7F7F7"/>
      </patternFill>
    </fill>
    <fill>
      <patternFill patternType="solid">
        <fgColor rgb="FFFFFF99"/>
        <bgColor rgb="FFFFEB9C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595959"/>
      </patternFill>
    </fill>
    <fill>
      <patternFill patternType="solid">
        <fgColor rgb="FFFFF8DC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FF00"/>
        <bgColor rgb="FFFFFF99"/>
      </patternFill>
    </fill>
    <fill>
      <patternFill patternType="solid">
        <fgColor rgb="FFFFEB9C"/>
        <bgColor rgb="FFFFFF99"/>
      </patternFill>
    </fill>
    <fill>
      <patternFill patternType="solid">
        <fgColor rgb="FFEBF3FB"/>
        <bgColor rgb="FFEAF1FA"/>
      </patternFill>
    </fill>
    <fill>
      <patternFill patternType="solid">
        <fgColor rgb="FFEDE9FE"/>
        <bgColor rgb="FFEAF1FA"/>
      </patternFill>
    </fill>
    <fill>
      <patternFill patternType="solid">
        <fgColor rgb="FF2E3F5C"/>
        <bgColor rgb="FF1F3864"/>
      </patternFill>
    </fill>
    <fill>
      <patternFill patternType="solid">
        <fgColor rgb="FFF7F7F7"/>
        <bgColor rgb="FFF8F8F2"/>
      </patternFill>
    </fill>
    <fill>
      <patternFill patternType="solid">
        <fgColor rgb="FFC6D9F0"/>
        <bgColor rgb="FFD9E1F2"/>
      </patternFill>
    </fill>
    <fill>
      <patternFill patternType="solid">
        <fgColor theme="3" tint="-0.25"/>
        <bgColor rgb="FF1F3864"/>
      </patternFill>
    </fill>
    <fill>
      <patternFill patternType="solid">
        <fgColor rgb="FF2E5B8A"/>
        <bgColor rgb="FF1F4E78"/>
      </patternFill>
    </fill>
    <fill>
      <patternFill patternType="solid">
        <fgColor rgb="FFD6E4F7"/>
        <bgColor rgb="FFD6E4F0"/>
      </patternFill>
    </fill>
    <fill>
      <patternFill patternType="solid">
        <fgColor rgb="FFC9A227"/>
        <bgColor rgb="FFA6A6A6"/>
      </patternFill>
    </fill>
    <fill>
      <patternFill patternType="solid">
        <fgColor rgb="FF7F6000"/>
        <bgColor rgb="FF7D6608"/>
      </patternFill>
    </fill>
    <fill>
      <patternFill patternType="solid">
        <fgColor rgb="FFEAF1FA"/>
        <bgColor rgb="FFEBF3FB"/>
      </patternFill>
    </fill>
    <fill>
      <patternFill patternType="solid">
        <fgColor rgb="FFE8F4F1"/>
        <bgColor rgb="FFEBF3FB"/>
      </patternFill>
    </fill>
    <fill>
      <patternFill patternType="solid">
        <fgColor rgb="FFCFE6E0"/>
        <bgColor rgb="FFD6E4F0"/>
      </patternFill>
    </fill>
    <fill>
      <patternFill patternType="solid">
        <fgColor rgb="FFD9E2F3"/>
        <bgColor rgb="FFD9E1F2"/>
      </patternFill>
    </fill>
    <fill>
      <patternFill patternType="solid">
        <fgColor rgb="FFF7F9FC"/>
        <bgColor rgb="FFF7F7F7"/>
      </patternFill>
    </fill>
    <fill>
      <patternFill patternType="solid">
        <fgColor rgb="FFDDEBF7"/>
        <bgColor rgb="FFDCE6F1"/>
      </patternFill>
    </fill>
    <fill>
      <patternFill patternType="solid">
        <fgColor rgb="FFC6EBD8"/>
        <bgColor rgb="FFC6EFCE"/>
      </patternFill>
    </fill>
    <fill>
      <patternFill patternType="solid">
        <fgColor rgb="FFEAE0F5"/>
        <bgColor rgb="FFEDE9FE"/>
      </patternFill>
    </fill>
  </fills>
  <borders count="4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 diagonalUp="false" diagonalDown="false">
      <left/>
      <right/>
      <top style="medium">
        <color rgb="FF1F3864"/>
      </top>
      <bottom style="medium">
        <color rgb="FF1F3864"/>
      </bottom>
      <diagonal/>
    </border>
    <border diagonalUp="false" diagonalDown="false">
      <left style="medium">
        <color rgb="FF1F3864"/>
      </left>
      <right/>
      <top style="medium">
        <color rgb="FF1F3864"/>
      </top>
      <bottom/>
      <diagonal/>
    </border>
    <border diagonalUp="false" diagonalDown="false">
      <left/>
      <right/>
      <top style="medium">
        <color rgb="FF1F3864"/>
      </top>
      <bottom/>
      <diagonal/>
    </border>
    <border diagonalUp="false" diagonalDown="false">
      <left/>
      <right/>
      <top style="medium">
        <color rgb="FF1F7A6E"/>
      </top>
      <bottom/>
      <diagonal/>
    </border>
    <border diagonalUp="false" diagonalDown="false">
      <left style="medium">
        <color rgb="FF1F3864"/>
      </left>
      <right/>
      <top/>
      <bottom style="thin">
        <color rgb="FFD9D9D9"/>
      </bottom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 style="medium">
        <color rgb="FF1F3864"/>
      </left>
      <right/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D9D9D9"/>
      </top>
      <bottom/>
      <diagonal/>
    </border>
    <border diagonalUp="false" diagonalDown="false">
      <left/>
      <right/>
      <top style="medium">
        <color rgb="FF1F7A6E"/>
      </top>
      <bottom style="thin">
        <color rgb="FFD9D9D9"/>
      </bottom>
      <diagonal/>
    </border>
    <border diagonalUp="false" diagonalDown="false">
      <left style="medium">
        <color rgb="FF1F3864"/>
      </left>
      <right/>
      <top style="thin">
        <color rgb="FFD9D9D9"/>
      </top>
      <bottom/>
      <diagonal/>
    </border>
    <border diagonalUp="false" diagonalDown="false">
      <left style="medium">
        <color rgb="FF1F3864"/>
      </left>
      <right/>
      <top style="medium">
        <color rgb="FF1F3864"/>
      </top>
      <bottom style="thin">
        <color rgb="FFD9D9D9"/>
      </bottom>
      <diagonal/>
    </border>
    <border diagonalUp="false" diagonalDown="false">
      <left/>
      <right/>
      <top style="medium">
        <color rgb="FF1F3864"/>
      </top>
      <bottom style="thin">
        <color rgb="FFD9D9D9"/>
      </bottom>
      <diagonal/>
    </border>
    <border diagonalUp="false" diagonalDown="false">
      <left/>
      <right/>
      <top style="thin">
        <color rgb="FFD9D9D9"/>
      </top>
      <bottom style="medium">
        <color rgb="FF1F7A6E"/>
      </bottom>
      <diagonal/>
    </border>
    <border diagonalUp="false" diagonalDown="false">
      <left style="medium">
        <color rgb="FF1F3864"/>
      </left>
      <right/>
      <top style="thin">
        <color rgb="FFD9D9D9"/>
      </top>
      <bottom style="medium">
        <color rgb="FF1F3864"/>
      </bottom>
      <diagonal/>
    </border>
    <border diagonalUp="false" diagonalDown="false">
      <left/>
      <right/>
      <top style="thin">
        <color rgb="FFD9D9D9"/>
      </top>
      <bottom style="medium">
        <color rgb="FF1F3864"/>
      </bottom>
      <diagonal/>
    </border>
    <border diagonalUp="false" diagonalDown="false">
      <left style="medium">
        <color rgb="FF1F7A6E"/>
      </left>
      <right/>
      <top style="medium">
        <color rgb="FF1F7A6E"/>
      </top>
      <bottom style="medium">
        <color rgb="FF1F7A6E"/>
      </bottom>
      <diagonal/>
    </border>
    <border diagonalUp="false" diagonalDown="false">
      <left/>
      <right/>
      <top style="medium">
        <color rgb="FF1F7A6E"/>
      </top>
      <bottom style="medium">
        <color rgb="FF1F7A6E"/>
      </bottom>
      <diagonal/>
    </border>
    <border diagonalUp="false" diagonalDown="false">
      <left style="medium">
        <color rgb="FF1F3864"/>
      </left>
      <right style="thin">
        <color rgb="FFD9D9D9"/>
      </right>
      <top style="medium">
        <color rgb="FF1F3864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medium">
        <color rgb="FF1F3864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medium">
        <color rgb="FF1F3864"/>
      </top>
      <bottom style="thin">
        <color rgb="FFD9D9D9"/>
      </bottom>
      <diagonal/>
    </border>
    <border diagonalUp="false" diagonalDown="false">
      <left/>
      <right style="thin">
        <color rgb="FFD9D9D9"/>
      </right>
      <top style="medium">
        <color rgb="FF1F3864"/>
      </top>
      <bottom style="thin">
        <color rgb="FFD9D9D9"/>
      </bottom>
      <diagonal/>
    </border>
    <border diagonalUp="false" diagonalDown="false">
      <left style="medium">
        <color rgb="FF1F386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  <border diagonalUp="false" diagonalDown="false">
      <left/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1F3864"/>
      </left>
      <right style="thin">
        <color rgb="FFD9D9D9"/>
      </right>
      <top style="thin">
        <color rgb="FFD9D9D9"/>
      </top>
      <bottom style="medium">
        <color rgb="FF1F3864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medium">
        <color rgb="FF1F3864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medium">
        <color rgb="FF1F3864"/>
      </bottom>
      <diagonal/>
    </border>
    <border diagonalUp="false" diagonalDown="false">
      <left/>
      <right style="thin">
        <color rgb="FFD9D9D9"/>
      </right>
      <top style="thin">
        <color rgb="FFD9D9D9"/>
      </top>
      <bottom style="medium">
        <color rgb="FF1F3864"/>
      </bottom>
      <diagonal/>
    </border>
    <border diagonalUp="false" diagonalDown="false">
      <left/>
      <right style="medium">
        <color rgb="FF1F3864"/>
      </right>
      <top style="medium">
        <color rgb="FF1F3864"/>
      </top>
      <bottom style="thin">
        <color rgb="FFD9D9D9"/>
      </bottom>
      <diagonal/>
    </border>
    <border diagonalUp="false" diagonalDown="false">
      <left/>
      <right style="medium">
        <color rgb="FF1F3864"/>
      </right>
      <top style="thin">
        <color rgb="FFD9D9D9"/>
      </top>
      <bottom style="thin">
        <color rgb="FFD9D9D9"/>
      </bottom>
      <diagonal/>
    </border>
    <border diagonalUp="false" diagonalDown="false">
      <left/>
      <right style="medium">
        <color rgb="FF1F3864"/>
      </right>
      <top style="thin">
        <color rgb="FFD9D9D9"/>
      </top>
      <bottom/>
      <diagonal/>
    </border>
    <border diagonalUp="false" diagonalDown="false">
      <left/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8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8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8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1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3" fillId="4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4" fontId="16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7" fillId="7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71" fontId="15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9" fontId="15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4" fontId="9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8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15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6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1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2" fontId="1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9" fillId="1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1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1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4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4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3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3" fontId="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1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7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1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3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1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7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7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1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7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3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1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46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1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43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7" fillId="7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7" fontId="7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8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8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36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18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1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1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1" fontId="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1" fontId="7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2" fontId="50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51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51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4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3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3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3" fontId="50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51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3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3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16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2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2" fontId="5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18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7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2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2" fillId="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4" fontId="55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6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85" fontId="5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5" fontId="5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85" fontId="5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5" fontId="5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0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9" fillId="2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7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6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8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6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3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1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4" fontId="63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1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41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1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8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7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9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2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2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6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1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67" fillId="2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2" fillId="2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6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0" fontId="6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6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51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8" fillId="2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8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2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2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9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51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50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2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2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67" fillId="2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7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7" fillId="2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1" fillId="2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0" fontId="50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59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1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2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80" fontId="51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1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5" fillId="2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7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1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1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7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1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7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8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1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7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8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18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41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7" fontId="72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55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73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1" fillId="2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74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10" borderId="0" xfId="0" applyFont="true" applyBorder="false" applyAlignment="true" applyProtection="false">
      <alignment horizontal="left" vertical="center" textRotation="0" wrapText="false" indent="3" shrinkToFit="false"/>
      <protection locked="true" hidden="false"/>
    </xf>
    <xf numFmtId="168" fontId="75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76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77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71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4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8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90" fontId="71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5" fontId="71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5" fontId="78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9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71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4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8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19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7" fillId="1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5" fillId="1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8" fillId="1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8" fillId="1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7" fillId="1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5" fillId="1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8" fillId="1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8" fillId="1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5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17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8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2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83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2" fontId="8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6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1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91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1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1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7" fontId="15" fillId="1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9" fillId="8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9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5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0" fillId="8" borderId="0" xfId="0" applyFont="true" applyBorder="false" applyAlignment="true" applyProtection="false">
      <alignment horizontal="left" vertical="center" textRotation="0" wrapText="false" indent="3" shrinkToFit="false"/>
      <protection locked="true" hidden="false"/>
    </xf>
    <xf numFmtId="169" fontId="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7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5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6" fillId="7" borderId="0" xfId="0" applyFont="true" applyBorder="false" applyAlignment="true" applyProtection="false">
      <alignment horizontal="left" vertical="center" textRotation="0" wrapText="false" indent="3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41" fillId="2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9" fontId="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1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7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8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5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1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2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2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2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2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5" fillId="2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8" fillId="2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18" fillId="2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2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3" fillId="2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1" fontId="41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1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41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1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18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7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41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8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8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5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9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8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5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1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1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7" fillId="8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7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1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6" fillId="2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6" fillId="2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96" fillId="2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4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3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4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3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1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1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9" fillId="1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5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0" fillId="1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17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18" fillId="1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1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0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8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7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0" fillId="8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4" fontId="6" fillId="3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5" fillId="1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8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41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5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8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7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3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18" fillId="3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3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7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7" fontId="14" fillId="3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2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2" fillId="3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2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41" fillId="32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2" fillId="33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3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2" fillId="33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2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2" fillId="0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2" fillId="33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3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2" fillId="33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41" fillId="0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2" fillId="0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41" fillId="0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3" fillId="0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2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1" fillId="0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3" fillId="34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4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3" fillId="34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2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41" fillId="0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2" fillId="0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3" fontId="41" fillId="0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2" fillId="0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2" fillId="32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2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3" fillId="3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3" fillId="33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3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3" fillId="33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2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3" fillId="35" borderId="1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5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3" fillId="35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4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04" fillId="0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2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4" fillId="0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04" fillId="0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2" fillId="3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02" fillId="0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02" fillId="0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3" fillId="32" borderId="1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2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3" fillId="32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6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4" fillId="6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4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3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4" fillId="2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02" fillId="0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3" fillId="35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3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3" fillId="35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2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102" fillId="0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2" fillId="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41" fillId="0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6" borderId="2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6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1" fillId="36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1" fillId="36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1" fillId="36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6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6" borderId="3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93" fontId="4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1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1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1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3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6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1" fillId="36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1" fillId="36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1" fillId="36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6" borderId="3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2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2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3" fillId="35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03" fillId="3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3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3" fillId="35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4" fontId="106" fillId="3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4" fontId="10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10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10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7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9" fontId="55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55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7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61" fillId="1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61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61" fillId="3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7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55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1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9" fillId="10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111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2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3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5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2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6" fillId="7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4" fontId="7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7" fillId="8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4" fontId="72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118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2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5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9" fillId="39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15" fillId="3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2" fillId="3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8" fillId="3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3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46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0" fillId="4" borderId="0" xfId="0" applyFont="true" applyBorder="false" applyAlignment="true" applyProtection="false">
      <alignment horizontal="left" vertical="center" textRotation="0" wrapText="false" indent="3" shrinkToFit="false"/>
      <protection locked="true" hidden="false"/>
    </xf>
    <xf numFmtId="164" fontId="14" fillId="6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15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4" fillId="30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4" fontId="72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8" fillId="3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1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2" fillId="16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122" fillId="1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23" fillId="3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24" fillId="3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71" fontId="18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5" fillId="10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113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6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1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7" fontId="41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5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96" fontId="47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5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96" fontId="12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1" fillId="1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1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5" fillId="1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96" fontId="47" fillId="1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7" fontId="4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7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</dxfs>
  <colors>
    <indexedColors>
      <rgbColor rgb="FF000000"/>
      <rgbColor rgb="FFFFFFFF"/>
      <rgbColor rgb="FFFF0000"/>
      <rgbColor rgb="FFEAF1FA"/>
      <rgbColor rgb="FF0000FF"/>
      <rgbColor rgb="FFFFFF00"/>
      <rgbColor rgb="FFEDE9FE"/>
      <rgbColor rgb="FFDCE6F1"/>
      <rgbColor rgb="FFF8F8F2"/>
      <rgbColor rgb="FF008000"/>
      <rgbColor rgb="FF2E3F5C"/>
      <rgbColor rgb="FF7D6608"/>
      <rgbColor rgb="FFEBF3FB"/>
      <rgbColor rgb="FF1F7A6E"/>
      <rgbColor rgb="FFBFBFBF"/>
      <rgbColor rgb="FF808080"/>
      <rgbColor rgb="FFD9E1F2"/>
      <rgbColor rgb="FF7030A0"/>
      <rgbColor rgb="FFFFF8DC"/>
      <rgbColor rgb="FFE8F4F1"/>
      <rgbColor rgb="FF2E5B8A"/>
      <rgbColor rgb="FFD9E2F3"/>
      <rgbColor rgb="FF0563C1"/>
      <rgbColor rgb="FFC6D9F0"/>
      <rgbColor rgb="FF1F4E78"/>
      <rgbColor rgb="FFF2F2F2"/>
      <rgbColor rgb="FFFFEB9C"/>
      <rgbColor rgb="FFE2EFDA"/>
      <rgbColor rgb="FFF7F7F7"/>
      <rgbColor rgb="FFF7F9FC"/>
      <rgbColor rgb="FF0070C0"/>
      <rgbColor rgb="FF0000FF"/>
      <rgbColor rgb="FFD6E4F7"/>
      <rgbColor rgb="FFDDEBF7"/>
      <rgbColor rgb="FFC6EFCE"/>
      <rgbColor rgb="FFFFFF99"/>
      <rgbColor rgb="FFC6EBD8"/>
      <rgbColor rgb="FFEAE0F5"/>
      <rgbColor rgb="FFD9D9D9"/>
      <rgbColor rgb="FFF8CBAD"/>
      <rgbColor rgb="FF4472C4"/>
      <rgbColor rgb="FFD6E4F0"/>
      <rgbColor rgb="FFCFE6E0"/>
      <rgbColor rgb="FFFCE4D6"/>
      <rgbColor rgb="FFC9A227"/>
      <rgbColor rgb="FFFFF2CC"/>
      <rgbColor rgb="FF6B7280"/>
      <rgbColor rgb="FFA6A6A6"/>
      <rgbColor rgb="FF17375E"/>
      <rgbColor rgb="FF2E75B6"/>
      <rgbColor rgb="FF006100"/>
      <rgbColor rgb="FF375623"/>
      <rgbColor rgb="FF7F6000"/>
      <rgbColor rgb="FF595959"/>
      <rgbColor rgb="FF1F3864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2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3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false" showRowColHeaders="true" showZeros="true" rightToLeft="false" tabSelected="false" showOutlineSymbols="true" defaultGridColor="true" view="normal" topLeftCell="A6" colorId="64" zoomScale="119" zoomScaleNormal="119" zoomScalePageLayoutView="100" workbookViewId="0">
      <selection pane="topLeft" activeCell="B5" activeCellId="0" sqref="B5"/>
    </sheetView>
  </sheetViews>
  <sheetFormatPr defaultColWidth="8.8593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.71"/>
    <col collapsed="false" customWidth="true" hidden="false" outlineLevel="0" max="5" min="3" style="0" width="14"/>
    <col collapsed="false" customWidth="true" hidden="false" outlineLevel="0" max="6" min="6" style="0" width="30"/>
  </cols>
  <sheetData>
    <row r="1" customFormat="false" ht="39.75" hidden="false" customHeight="true" outlineLevel="0" collapsed="false">
      <c r="A1" s="1" t="str">
        <f aca="false">IF('Prop Info'!B4="","MULTIFAMILY — INVESTMENT SUMMARY","MULTIFAMILY — INVESTMENT SUMMARY"&amp;" — "&amp;'Prop Info'!B4)</f>
        <v>MULTIFAMILY — INVESTMENT SUMMARY</v>
      </c>
      <c r="B1" s="1"/>
      <c r="C1" s="1"/>
      <c r="D1" s="1"/>
      <c r="E1" s="1"/>
      <c r="F1" s="1"/>
    </row>
    <row r="2" customFormat="false" ht="19.5" hidden="false" customHeight="true" outlineLevel="0" collapsed="false">
      <c r="A2" s="2" t="s">
        <v>0</v>
      </c>
      <c r="B2" s="2"/>
      <c r="C2" s="2"/>
      <c r="D2" s="2"/>
      <c r="E2" s="2"/>
      <c r="F2" s="2"/>
    </row>
    <row r="4" customFormat="false" ht="24" hidden="false" customHeight="true" outlineLevel="0" collapsed="false">
      <c r="A4" s="3" t="s">
        <v>1</v>
      </c>
      <c r="B4" s="3"/>
      <c r="C4" s="3"/>
      <c r="D4" s="3"/>
      <c r="E4" s="3"/>
      <c r="F4" s="3"/>
    </row>
    <row r="5" customFormat="false" ht="18" hidden="false" customHeight="true" outlineLevel="0" collapsed="false">
      <c r="A5" s="4" t="s">
        <v>2</v>
      </c>
      <c r="B5" s="5" t="n">
        <f aca="false">'Prop Info'!B4</f>
        <v>0</v>
      </c>
    </row>
    <row r="6" customFormat="false" ht="18" hidden="false" customHeight="true" outlineLevel="0" collapsed="false">
      <c r="A6" s="6" t="s">
        <v>3</v>
      </c>
      <c r="B6" s="7" t="n">
        <f aca="false">'Prop Info'!B5</f>
        <v>0</v>
      </c>
    </row>
    <row r="7" customFormat="false" ht="18" hidden="false" customHeight="true" outlineLevel="0" collapsed="false">
      <c r="A7" s="4" t="s">
        <v>4</v>
      </c>
      <c r="B7" s="5" t="n">
        <f aca="false">'Prop Info'!B9</f>
        <v>0</v>
      </c>
    </row>
    <row r="8" customFormat="false" ht="18" hidden="false" customHeight="true" outlineLevel="0" collapsed="false">
      <c r="A8" s="8" t="s">
        <v>5</v>
      </c>
      <c r="B8" s="9" t="str">
        <f aca="false">Scenarios!F8</f>
        <v/>
      </c>
      <c r="C8" s="10"/>
    </row>
    <row r="9" customFormat="false" ht="18" hidden="false" customHeight="true" outlineLevel="0" collapsed="false">
      <c r="A9" s="4" t="s">
        <v>6</v>
      </c>
      <c r="B9" s="5" t="n">
        <f aca="false">'Prop Info'!B11</f>
        <v>0</v>
      </c>
    </row>
    <row r="10" customFormat="false" ht="18" hidden="false" customHeight="true" outlineLevel="0" collapsed="false">
      <c r="A10" s="6" t="s">
        <v>7</v>
      </c>
      <c r="B10" s="7" t="n">
        <f aca="false">'Prop Info'!B13</f>
        <v>0</v>
      </c>
    </row>
    <row r="11" customFormat="false" ht="18" hidden="false" customHeight="true" outlineLevel="0" collapsed="false">
      <c r="A11" s="4" t="s">
        <v>8</v>
      </c>
      <c r="B11" s="11" t="str">
        <f aca="false">Scenarios!B2</f>
        <v>1. T-12 Actuals</v>
      </c>
      <c r="C11" s="11"/>
      <c r="D11" s="11"/>
    </row>
    <row r="12" customFormat="false" ht="18" hidden="false" customHeight="true" outlineLevel="0" collapsed="false">
      <c r="A12" s="12" t="s">
        <v>9</v>
      </c>
      <c r="B12" s="13" t="str">
        <f aca="false">Scenarios!F39</f>
        <v/>
      </c>
      <c r="C12" s="14"/>
      <c r="D12" s="15"/>
      <c r="E12" s="16"/>
    </row>
    <row r="13" customFormat="false" ht="24" hidden="false" customHeight="true" outlineLevel="0" collapsed="false">
      <c r="A13" s="17" t="s">
        <v>10</v>
      </c>
      <c r="B13" s="17"/>
      <c r="C13" s="17"/>
      <c r="D13" s="17"/>
      <c r="E13" s="17"/>
      <c r="F13" s="17"/>
    </row>
    <row r="14" customFormat="false" ht="30" hidden="false" customHeight="true" outlineLevel="0" collapsed="false">
      <c r="A14" s="18" t="s">
        <v>11</v>
      </c>
      <c r="B14" s="18" t="s">
        <v>12</v>
      </c>
      <c r="C14" s="19" t="s">
        <v>13</v>
      </c>
      <c r="D14" s="18" t="s">
        <v>14</v>
      </c>
      <c r="E14" s="18" t="s">
        <v>12</v>
      </c>
      <c r="F14" s="18"/>
    </row>
    <row r="15" customFormat="false" ht="18" hidden="false" customHeight="true" outlineLevel="0" collapsed="false">
      <c r="A15" s="4" t="s">
        <v>15</v>
      </c>
      <c r="B15" s="20" t="str">
        <f aca="false">Scenarios!F7</f>
        <v/>
      </c>
      <c r="D15" s="4" t="s">
        <v>16</v>
      </c>
      <c r="E15" s="21" t="n">
        <f aca="false">Waterfall!B66</f>
        <v>0</v>
      </c>
    </row>
    <row r="16" customFormat="false" ht="18" hidden="false" customHeight="true" outlineLevel="0" collapsed="false">
      <c r="A16" s="8" t="s">
        <v>17</v>
      </c>
      <c r="B16" s="22" t="str">
        <f aca="false">Scenarios!F9</f>
        <v/>
      </c>
      <c r="C16" s="23" t="n">
        <f aca="false">IFERROR(Scenarios!F7/'Prop Info'!$B$6,0)</f>
        <v>0</v>
      </c>
      <c r="D16" s="6" t="s">
        <v>18</v>
      </c>
      <c r="E16" s="21" t="n">
        <f aca="false">Waterfall!E66</f>
        <v>0</v>
      </c>
    </row>
    <row r="17" customFormat="false" ht="18" hidden="false" customHeight="true" outlineLevel="0" collapsed="false">
      <c r="A17" s="4" t="s">
        <v>19</v>
      </c>
      <c r="B17" s="20" t="str">
        <f aca="false">IFERROR(Scenarios!F17,0)</f>
        <v/>
      </c>
      <c r="D17" s="4" t="s">
        <v>20</v>
      </c>
      <c r="E17" s="24" t="n">
        <f aca="false">Waterfall!B64</f>
        <v>0</v>
      </c>
    </row>
    <row r="18" customFormat="false" ht="18" hidden="false" customHeight="true" outlineLevel="0" collapsed="false">
      <c r="A18" s="6" t="s">
        <v>21</v>
      </c>
      <c r="B18" s="22" t="str">
        <f aca="false">Scenarios!F117</f>
        <v/>
      </c>
      <c r="D18" s="25" t="s">
        <v>22</v>
      </c>
      <c r="E18" s="26" t="n">
        <f aca="false">'P&amp;L'!D68</f>
        <v>0</v>
      </c>
    </row>
    <row r="19" customFormat="false" ht="18" hidden="false" customHeight="true" outlineLevel="0" collapsed="false">
      <c r="A19" s="4" t="s">
        <v>23</v>
      </c>
      <c r="B19" s="27" t="n">
        <f aca="false">IFERROR(Scenarios!F117/Scenarios!F7,0)</f>
        <v>0</v>
      </c>
      <c r="D19" s="4" t="s">
        <v>24</v>
      </c>
      <c r="E19" s="28" t="n">
        <f aca="false">'P&amp;L'!H40</f>
        <v>0</v>
      </c>
    </row>
    <row r="20" customFormat="false" ht="18" hidden="false" customHeight="true" outlineLevel="0" collapsed="false">
      <c r="A20" s="6" t="s">
        <v>25</v>
      </c>
      <c r="B20" s="29" t="n">
        <f aca="false">IFERROR(Scenarios!F117/Scenarios!F17,0)</f>
        <v>0</v>
      </c>
      <c r="D20" s="6" t="s">
        <v>26</v>
      </c>
      <c r="E20" s="30" t="str">
        <f aca="false">Scenarios!F82</f>
        <v/>
      </c>
    </row>
    <row r="21" customFormat="false" ht="18" hidden="false" customHeight="true" outlineLevel="0" collapsed="false">
      <c r="A21" s="4" t="s">
        <v>27</v>
      </c>
      <c r="B21" s="20" t="str">
        <f aca="false">Scenarios!F31</f>
        <v/>
      </c>
      <c r="D21" s="4" t="s">
        <v>28</v>
      </c>
      <c r="E21" s="21" t="str">
        <f aca="false">Waterfall!B6</f>
        <v/>
      </c>
    </row>
    <row r="22" customFormat="false" ht="18" hidden="false" customHeight="true" outlineLevel="0" collapsed="false">
      <c r="A22" s="6" t="s">
        <v>29</v>
      </c>
      <c r="B22" s="29" t="n">
        <f aca="false">Scenarios!F10</f>
        <v>0.2</v>
      </c>
      <c r="D22" s="6" t="s">
        <v>30</v>
      </c>
      <c r="E22" s="28" t="n">
        <f aca="false">Waterfall!B32</f>
        <v>0</v>
      </c>
    </row>
    <row r="23" customFormat="false" ht="18" hidden="false" customHeight="true" outlineLevel="0" collapsed="false">
      <c r="A23" s="4" t="s">
        <v>31</v>
      </c>
      <c r="B23" s="27" t="n">
        <f aca="false">IFERROR('P&amp;L'!D40/Scenarios!F7,0)</f>
        <v>0</v>
      </c>
      <c r="D23" s="4" t="s">
        <v>32</v>
      </c>
      <c r="E23" s="28" t="e">
        <f aca="false">Waterfall!B35</f>
        <v>#VALUE!</v>
      </c>
    </row>
    <row r="24" customFormat="false" ht="18" hidden="false" customHeight="true" outlineLevel="0" collapsed="false">
      <c r="A24" s="6" t="s">
        <v>33</v>
      </c>
      <c r="B24" s="29" t="n">
        <f aca="false">IFERROR('P&amp;L'!H40/Scenarios!F7,0)</f>
        <v>0</v>
      </c>
      <c r="D24" s="25" t="s">
        <v>34</v>
      </c>
      <c r="E24" s="26" t="n">
        <f aca="false">IFERROR((Waterfall!M54-(Waterfall!B9+Waterfall!B10))/(Waterfall!B9+Waterfall!B10)/Scenarios!F82,0)</f>
        <v>0</v>
      </c>
    </row>
    <row r="26" customFormat="false" ht="24" hidden="false" customHeight="true" outlineLevel="0" collapsed="false">
      <c r="A26" s="3" t="s">
        <v>35</v>
      </c>
      <c r="B26" s="3"/>
      <c r="C26" s="3"/>
      <c r="D26" s="3"/>
      <c r="E26" s="3"/>
      <c r="F26" s="3"/>
    </row>
    <row r="27" customFormat="false" ht="30" hidden="false" customHeight="true" outlineLevel="0" collapsed="false">
      <c r="A27" s="31" t="s">
        <v>36</v>
      </c>
      <c r="B27" s="31" t="s">
        <v>37</v>
      </c>
      <c r="C27" s="31" t="s">
        <v>38</v>
      </c>
      <c r="D27" s="31" t="s">
        <v>39</v>
      </c>
      <c r="E27" s="31" t="s">
        <v>40</v>
      </c>
      <c r="F27" s="31" t="s">
        <v>41</v>
      </c>
    </row>
    <row r="28" customFormat="false" ht="18" hidden="false" customHeight="true" outlineLevel="0" collapsed="false">
      <c r="A28" s="4" t="s">
        <v>42</v>
      </c>
      <c r="B28" s="20" t="str">
        <f aca="false">Scenarios!F88</f>
        <v/>
      </c>
      <c r="C28" s="27" t="n">
        <f aca="false">IFERROR(Scenarios!F88/Scenarios!F17,0)</f>
        <v>0</v>
      </c>
      <c r="D28" s="26" t="str">
        <f aca="false">Scenarios!F89</f>
        <v/>
      </c>
      <c r="E28" s="32" t="str">
        <f aca="false">Scenarios!F91</f>
        <v/>
      </c>
      <c r="F28" s="32" t="str">
        <f aca="false">Scenarios!F90</f>
        <v/>
      </c>
    </row>
    <row r="29" customFormat="false" ht="18" hidden="false" customHeight="true" outlineLevel="0" collapsed="false">
      <c r="A29" s="6" t="s">
        <v>43</v>
      </c>
      <c r="B29" s="22" t="str">
        <f aca="false">Scenarios!F95</f>
        <v/>
      </c>
      <c r="C29" s="29" t="n">
        <f aca="false">IFERROR(Scenarios!F95/Scenarios!F17,0)</f>
        <v>0</v>
      </c>
      <c r="D29" s="33" t="str">
        <f aca="false">Scenarios!F96</f>
        <v/>
      </c>
      <c r="E29" s="34" t="str">
        <f aca="false">Scenarios!F98</f>
        <v/>
      </c>
      <c r="F29" s="34" t="str">
        <f aca="false">Scenarios!F97</f>
        <v/>
      </c>
    </row>
    <row r="30" customFormat="false" ht="18" hidden="false" customHeight="true" outlineLevel="0" collapsed="false">
      <c r="A30" s="4" t="s">
        <v>44</v>
      </c>
      <c r="B30" s="20" t="str">
        <f aca="false">Scenarios!F102</f>
        <v/>
      </c>
      <c r="C30" s="27" t="n">
        <f aca="false">IFERROR(Scenarios!F102/Scenarios!F17,0)</f>
        <v>0</v>
      </c>
      <c r="D30" s="26" t="str">
        <f aca="false">Scenarios!F103</f>
        <v/>
      </c>
      <c r="E30" s="32" t="str">
        <f aca="false">Scenarios!F105</f>
        <v/>
      </c>
      <c r="F30" s="32" t="str">
        <f aca="false">Scenarios!F104</f>
        <v/>
      </c>
    </row>
    <row r="31" customFormat="false" ht="18" hidden="false" customHeight="true" outlineLevel="0" collapsed="false">
      <c r="A31" s="6" t="s">
        <v>45</v>
      </c>
      <c r="B31" s="22" t="str">
        <f aca="false">Scenarios!F32</f>
        <v/>
      </c>
      <c r="C31" s="29" t="n">
        <f aca="false">Scenarios!F28</f>
        <v>0.3</v>
      </c>
      <c r="D31" s="35" t="s">
        <v>46</v>
      </c>
      <c r="E31" s="35" t="s">
        <v>46</v>
      </c>
      <c r="F31" s="35" t="s">
        <v>46</v>
      </c>
    </row>
    <row r="32" customFormat="false" ht="18" hidden="false" customHeight="true" outlineLevel="0" collapsed="false">
      <c r="A32" s="4" t="s">
        <v>47</v>
      </c>
      <c r="B32" s="20" t="str">
        <f aca="false">Scenarios!F33</f>
        <v/>
      </c>
      <c r="C32" s="27" t="n">
        <f aca="false">Scenarios!F29</f>
        <v>0.7</v>
      </c>
      <c r="D32" s="27" t="str">
        <f aca="false">Scenarios!F35</f>
        <v/>
      </c>
      <c r="E32" s="36" t="s">
        <v>46</v>
      </c>
      <c r="F32" s="36" t="s">
        <v>46</v>
      </c>
    </row>
    <row r="33" customFormat="false" ht="18" hidden="false" customHeight="true" outlineLevel="0" collapsed="false">
      <c r="A33" s="6" t="s">
        <v>48</v>
      </c>
      <c r="B33" s="22" t="str">
        <f aca="false">Scenarios!F34</f>
        <v/>
      </c>
      <c r="C33" s="29" t="str">
        <f aca="false">Scenarios!F30</f>
        <v/>
      </c>
      <c r="D33" s="37" t="s">
        <v>46</v>
      </c>
      <c r="E33" s="37" t="s">
        <v>46</v>
      </c>
      <c r="F33" s="37" t="s">
        <v>46</v>
      </c>
    </row>
    <row r="34" customFormat="false" ht="18" hidden="false" customHeight="true" outlineLevel="0" collapsed="false">
      <c r="A34" s="38" t="s">
        <v>49</v>
      </c>
      <c r="B34" s="39" t="str">
        <f aca="false">Scenarios!F31</f>
        <v/>
      </c>
      <c r="C34" s="40" t="n">
        <f aca="false">IFERROR(Scenarios!F31/Scenarios!F17,0)</f>
        <v>0</v>
      </c>
      <c r="D34" s="41" t="s">
        <v>46</v>
      </c>
      <c r="E34" s="41" t="s">
        <v>46</v>
      </c>
      <c r="F34" s="41" t="s">
        <v>46</v>
      </c>
    </row>
    <row r="36" customFormat="false" ht="21.75" hidden="false" customHeight="true" outlineLevel="0" collapsed="false">
      <c r="A36" s="3" t="s">
        <v>50</v>
      </c>
      <c r="B36" s="3"/>
      <c r="C36" s="3"/>
      <c r="D36" s="3"/>
      <c r="E36" s="3"/>
      <c r="F36" s="3"/>
    </row>
    <row r="37" customFormat="false" ht="15.75" hidden="false" customHeight="true" outlineLevel="0" collapsed="false">
      <c r="A37" s="42" t="s">
        <v>11</v>
      </c>
      <c r="B37" s="42" t="s">
        <v>51</v>
      </c>
      <c r="C37" s="42" t="s">
        <v>52</v>
      </c>
      <c r="D37" s="42" t="s">
        <v>53</v>
      </c>
      <c r="E37" s="42" t="s">
        <v>54</v>
      </c>
      <c r="F37" s="43" t="s">
        <v>55</v>
      </c>
    </row>
    <row r="38" customFormat="false" ht="18" hidden="false" customHeight="true" outlineLevel="0" collapsed="false">
      <c r="A38" s="44" t="s">
        <v>56</v>
      </c>
      <c r="B38" s="20" t="str">
        <f aca="false">Waterfall!B9</f>
        <v/>
      </c>
      <c r="C38" s="20" t="str">
        <f aca="false">Waterfall!B10</f>
        <v/>
      </c>
      <c r="D38" s="20" t="e">
        <f aca="false">Waterfall!B9+Waterfall!B10</f>
        <v>#VALUE!</v>
      </c>
      <c r="E38" s="20" t="str">
        <f aca="false">Waterfall!B8</f>
        <v/>
      </c>
      <c r="F38" s="45" t="s">
        <v>57</v>
      </c>
    </row>
    <row r="39" customFormat="false" ht="18" hidden="false" customHeight="true" outlineLevel="0" collapsed="false">
      <c r="A39" s="44" t="s">
        <v>58</v>
      </c>
      <c r="B39" s="20" t="e">
        <f aca="false">Waterfall!M52</f>
        <v>#VALUE!</v>
      </c>
      <c r="C39" s="20" t="e">
        <f aca="false">Waterfall!M53</f>
        <v>#VALUE!</v>
      </c>
      <c r="D39" s="20" t="e">
        <f aca="false">Waterfall!M54</f>
        <v>#VALUE!</v>
      </c>
      <c r="E39" s="20" t="e">
        <f aca="false">Waterfall!M55</f>
        <v>#VALUE!</v>
      </c>
      <c r="F39" s="45" t="s">
        <v>59</v>
      </c>
    </row>
    <row r="40" customFormat="false" ht="18" hidden="false" customHeight="true" outlineLevel="0" collapsed="false">
      <c r="A40" s="44" t="s">
        <v>60</v>
      </c>
      <c r="B40" s="20" t="e">
        <f aca="false">Waterfall!M52-Waterfall!B9</f>
        <v>#VALUE!</v>
      </c>
      <c r="C40" s="20" t="n">
        <f aca="false">IFERROR(Waterfall!M53-Waterfall!B10,0)</f>
        <v>0</v>
      </c>
      <c r="D40" s="20" t="e">
        <f aca="false">Waterfall!M54-(Waterfall!B9+Waterfall!B10)</f>
        <v>#VALUE!</v>
      </c>
      <c r="E40" s="20" t="e">
        <f aca="false">Waterfall!M55-Waterfall!B8</f>
        <v>#VALUE!</v>
      </c>
    </row>
    <row r="41" customFormat="false" ht="18" hidden="false" customHeight="true" outlineLevel="0" collapsed="false">
      <c r="A41" s="46" t="s">
        <v>61</v>
      </c>
      <c r="B41" s="47" t="n">
        <f aca="false">IFERROR(Waterfall!B64,0)</f>
        <v>0</v>
      </c>
      <c r="C41" s="47" t="n">
        <f aca="false">IFERROR(Waterfall!C64,0)</f>
        <v>0</v>
      </c>
      <c r="D41" s="47" t="n">
        <f aca="false">IFERROR(Waterfall!D64,0)</f>
        <v>0</v>
      </c>
      <c r="E41" s="47" t="n">
        <f aca="false">IFERROR(Waterfall!E64,0)</f>
        <v>0</v>
      </c>
      <c r="F41" s="48" t="s">
        <v>62</v>
      </c>
    </row>
    <row r="42" customFormat="false" ht="18" hidden="false" customHeight="true" outlineLevel="0" collapsed="false">
      <c r="A42" s="46" t="s">
        <v>63</v>
      </c>
      <c r="B42" s="49" t="n">
        <f aca="false">Waterfall!B66</f>
        <v>0</v>
      </c>
      <c r="C42" s="49" t="n">
        <f aca="false">Waterfall!C66</f>
        <v>0</v>
      </c>
      <c r="D42" s="49" t="n">
        <f aca="false">Waterfall!D66</f>
        <v>0</v>
      </c>
      <c r="E42" s="49" t="n">
        <f aca="false">Waterfall!E66</f>
        <v>0</v>
      </c>
      <c r="F42" s="48" t="s">
        <v>64</v>
      </c>
    </row>
    <row r="43" customFormat="false" ht="18" hidden="false" customHeight="true" outlineLevel="0" collapsed="false">
      <c r="A43" s="50" t="s">
        <v>65</v>
      </c>
      <c r="B43" s="49" t="n">
        <f aca="false">IFERROR((Waterfall!M52-Waterfall!B9)/Waterfall!B9/Scenarios!F82,0)</f>
        <v>0</v>
      </c>
      <c r="C43" s="49" t="n">
        <f aca="false">IFERROR((Waterfall!M53-Waterfall!B10)/Waterfall!B10/Scenarios!F82,0)</f>
        <v>0</v>
      </c>
      <c r="D43" s="49" t="n">
        <f aca="false">IFERROR((Waterfall!M54-(Waterfall!B9+Waterfall!B10))/(Waterfall!B9+Waterfall!B10)/Scenarios!F82,0)</f>
        <v>0</v>
      </c>
      <c r="E43" s="49" t="n">
        <f aca="false">IFERROR(IF(Waterfall!B8=0,"N/A",(Waterfall!M55-Waterfall!B8)/Waterfall!B8/Scenarios!F82),0)</f>
        <v>0</v>
      </c>
      <c r="F43" s="51" t="s">
        <v>66</v>
      </c>
    </row>
    <row r="44" customFormat="false" ht="21.75" hidden="false" customHeight="true" outlineLevel="0" collapsed="false">
      <c r="A44" s="3" t="s">
        <v>67</v>
      </c>
      <c r="B44" s="3"/>
      <c r="C44" s="3"/>
      <c r="D44" s="3"/>
      <c r="E44" s="3"/>
      <c r="F44" s="3"/>
    </row>
    <row r="45" customFormat="false" ht="18" hidden="false" customHeight="true" outlineLevel="0" collapsed="false">
      <c r="A45" s="44" t="s">
        <v>68</v>
      </c>
      <c r="B45" s="52" t="str">
        <f aca="false">Scenarios!F82</f>
        <v/>
      </c>
      <c r="C45" s="53"/>
      <c r="D45" s="53"/>
      <c r="E45" s="53"/>
    </row>
    <row r="46" customFormat="false" ht="18" hidden="false" customHeight="true" outlineLevel="0" collapsed="false">
      <c r="A46" s="44" t="s">
        <v>28</v>
      </c>
      <c r="B46" s="27" t="str">
        <f aca="false">Waterfall!B6</f>
        <v/>
      </c>
      <c r="C46" s="53"/>
      <c r="D46" s="53"/>
      <c r="E46" s="53"/>
    </row>
    <row r="47" customFormat="false" ht="18" hidden="false" customHeight="true" outlineLevel="0" collapsed="false">
      <c r="A47" s="44" t="s">
        <v>69</v>
      </c>
      <c r="B47" s="20" t="n">
        <f aca="false">'P&amp;L'!H40</f>
        <v>0</v>
      </c>
      <c r="C47" s="53"/>
      <c r="D47" s="53"/>
      <c r="E47" s="53"/>
      <c r="F47" s="45" t="s">
        <v>70</v>
      </c>
    </row>
    <row r="48" customFormat="false" ht="18" hidden="false" customHeight="true" outlineLevel="0" collapsed="false">
      <c r="A48" s="44" t="s">
        <v>30</v>
      </c>
      <c r="B48" s="20" t="n">
        <f aca="false">Waterfall!B32</f>
        <v>0</v>
      </c>
      <c r="C48" s="53"/>
      <c r="D48" s="53"/>
      <c r="E48" s="53"/>
      <c r="F48" s="45" t="s">
        <v>71</v>
      </c>
    </row>
    <row r="49" customFormat="false" ht="18" hidden="false" customHeight="true" outlineLevel="0" collapsed="false">
      <c r="A49" s="44" t="s">
        <v>72</v>
      </c>
      <c r="B49" s="20" t="e">
        <f aca="false">Waterfall!B34</f>
        <v>#VALUE!</v>
      </c>
      <c r="C49" s="53"/>
      <c r="D49" s="53"/>
      <c r="E49" s="53"/>
      <c r="F49" s="45" t="s">
        <v>73</v>
      </c>
    </row>
    <row r="50" customFormat="false" ht="18" hidden="false" customHeight="true" outlineLevel="0" collapsed="false">
      <c r="A50" s="54" t="s">
        <v>74</v>
      </c>
      <c r="B50" s="55" t="e">
        <f aca="false">Waterfall!B35</f>
        <v>#VALUE!</v>
      </c>
      <c r="C50" s="56"/>
      <c r="D50" s="56"/>
      <c r="E50" s="56"/>
      <c r="F50" s="57" t="s">
        <v>75</v>
      </c>
    </row>
    <row r="52" customFormat="false" ht="15" hidden="false" customHeight="true" outlineLevel="0" collapsed="false">
      <c r="A52" s="58" t="s">
        <v>76</v>
      </c>
      <c r="B52" s="59" t="s">
        <v>77</v>
      </c>
    </row>
    <row r="53" customFormat="false" ht="15" hidden="false" customHeight="true" outlineLevel="0" collapsed="false">
      <c r="A53" s="58" t="s">
        <v>78</v>
      </c>
      <c r="B53" s="59" t="s">
        <v>79</v>
      </c>
    </row>
    <row r="54" customFormat="false" ht="15.75" hidden="false" customHeight="true" outlineLevel="0" collapsed="false">
      <c r="A54" s="60" t="s">
        <v>80</v>
      </c>
      <c r="D54" s="61" t="s">
        <v>81</v>
      </c>
      <c r="E54" s="61"/>
      <c r="F54" s="61"/>
    </row>
    <row r="55" customFormat="false" ht="15" hidden="false" customHeight="true" outlineLevel="0" collapsed="false">
      <c r="A55" s="62" t="s">
        <v>82</v>
      </c>
      <c r="D55" s="63" t="str">
        <f aca="false">HYPERLINK("#Inputs!A1","Inputs")</f>
        <v>Inputs</v>
      </c>
      <c r="E55" s="64" t="str">
        <f aca="false">HYPERLINK("#Loans!A1","Loans")</f>
        <v>Loans</v>
      </c>
    </row>
    <row r="56" customFormat="false" ht="15" hidden="false" customHeight="true" outlineLevel="0" collapsed="false">
      <c r="A56" s="65" t="s">
        <v>83</v>
      </c>
      <c r="B56" s="0" t="s">
        <v>84</v>
      </c>
      <c r="D56" s="64" t="str">
        <f aca="false">HYPERLINK("#'Prop Info'!A1","Prop Info")</f>
        <v>Prop Info</v>
      </c>
      <c r="E56" s="64" t="str">
        <f aca="false">HYPERLINK("#'Acquisition Costs'!A1","Acquisition Costs")</f>
        <v>Acquisition Costs</v>
      </c>
    </row>
    <row r="57" customFormat="false" ht="15" hidden="false" customHeight="true" outlineLevel="0" collapsed="false">
      <c r="A57" s="66" t="s">
        <v>85</v>
      </c>
      <c r="B57" s="0" t="s">
        <v>86</v>
      </c>
      <c r="D57" s="64" t="str">
        <f aca="false">HYPERLINK("#'Data Refresh'!A1","Data Refresh")</f>
        <v>Data Refresh</v>
      </c>
      <c r="E57" s="64" t="str">
        <f aca="false">HYPERLINK("#'Rental Comps'!A1","Rental Comps")</f>
        <v>Rental Comps</v>
      </c>
    </row>
    <row r="58" customFormat="false" ht="15" hidden="false" customHeight="true" outlineLevel="0" collapsed="false">
      <c r="A58" s="67" t="s">
        <v>87</v>
      </c>
      <c r="B58" s="0" t="s">
        <v>88</v>
      </c>
      <c r="D58" s="64" t="str">
        <f aca="false">HYPERLINK("#'Data Checklist'!A1","Data Checklist")</f>
        <v>Data Checklist</v>
      </c>
      <c r="E58" s="64" t="str">
        <f aca="false">HYPERLINK("#Capex!A1","Capex")</f>
        <v>Capex</v>
      </c>
    </row>
    <row r="59" customFormat="false" ht="15" hidden="false" customHeight="true" outlineLevel="0" collapsed="false">
      <c r="A59" s="68" t="s">
        <v>89</v>
      </c>
      <c r="B59" s="0" t="s">
        <v>90</v>
      </c>
      <c r="D59" s="64" t="str">
        <f aca="false">HYPERLINK("#Scenarios!A1","Scenarios")</f>
        <v>Scenarios</v>
      </c>
      <c r="E59" s="64" t="str">
        <f aca="false">HYPERLINK("#'Staffing Matrix'!A1","Staffing Matrix")</f>
        <v>Staffing Matrix</v>
      </c>
    </row>
    <row r="60" customFormat="false" ht="15" hidden="false" customHeight="true" outlineLevel="0" collapsed="false">
      <c r="D60" s="64" t="str">
        <f aca="false">HYPERLINK("#'T-12 Analysis'!A1","T-12 Analysis")</f>
        <v>T-12 Analysis</v>
      </c>
      <c r="E60" s="64" t="str">
        <f aca="false">HYPERLINK("#Waterfall!A1","Waterfall")</f>
        <v>Waterfall</v>
      </c>
    </row>
    <row r="61" customFormat="false" ht="15" hidden="false" customHeight="true" outlineLevel="0" collapsed="false">
      <c r="D61" s="64" t="str">
        <f aca="false">HYPERLINK("#'Recapture &amp; Upside'!A1","Recapture &amp; Upside")</f>
        <v>Recapture &amp; Upside</v>
      </c>
      <c r="E61" s="64" t="str">
        <f aca="false">HYPERLINK("#'Exit Strategy'!A1","Exit Strategy")</f>
        <v>Exit Strategy</v>
      </c>
    </row>
    <row r="62" customFormat="false" ht="15" hidden="false" customHeight="true" outlineLevel="0" collapsed="false">
      <c r="D62" s="64" t="str">
        <f aca="false">HYPERLINK("#'Rent Roll Analysis'!A1","Rent Roll Analysis")</f>
        <v>Rent Roll Analysis</v>
      </c>
      <c r="E62" s="64" t="str">
        <f aca="false">HYPERLINK("#Sensitivity!A1","Sensitivity")</f>
        <v>Sensitivity</v>
      </c>
    </row>
    <row r="63" customFormat="false" ht="15" hidden="false" customHeight="true" outlineLevel="0" collapsed="false">
      <c r="D63" s="64" t="str">
        <f aca="false">HYPERLINK("#'P&amp;L'!A1","P&amp;L")</f>
        <v>P&amp;L</v>
      </c>
      <c r="E63" s="64" t="str">
        <f aca="false">HYPERLINK("#'LP Return Illustration'!A1","LP Return Illustration")</f>
        <v>LP Return Illustration</v>
      </c>
    </row>
    <row r="64" customFormat="false" ht="15" hidden="false" customHeight="true" outlineLevel="0" collapsed="false">
      <c r="D64" s="64" t="str">
        <f aca="false">HYPERLINK("#'Lease-Up &amp; Capital Call'!A1","Lease-Up &amp; Capital Call")</f>
        <v>Lease-Up &amp; Capital Call</v>
      </c>
      <c r="E64" s="64" t="str">
        <f aca="false">HYPERLINK("#'Portfolio Rollup'!A1","Portfolio Rollup")</f>
        <v>Portfolio Rollup</v>
      </c>
    </row>
  </sheetData>
  <mergeCells count="9">
    <mergeCell ref="A1:F1"/>
    <mergeCell ref="A2:F2"/>
    <mergeCell ref="A4:F4"/>
    <mergeCell ref="B11:D11"/>
    <mergeCell ref="A13:F13"/>
    <mergeCell ref="A26:F26"/>
    <mergeCell ref="A36:F36"/>
    <mergeCell ref="A44:F44"/>
    <mergeCell ref="D54:F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E4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55" activePane="bottomLeft" state="frozen"/>
      <selection pane="topLeft" activeCell="A1" activeCellId="0" sqref="A1"/>
      <selection pane="bottomLeft" activeCell="B325" activeCellId="0" sqref="B325"/>
    </sheetView>
  </sheetViews>
  <sheetFormatPr defaultColWidth="8.859375" defaultRowHeight="15" customHeight="false" zeroHeight="false" outlineLevelRow="1" outlineLevelCol="0"/>
  <cols>
    <col collapsed="false" customWidth="true" hidden="false" outlineLevel="0" max="1" min="1" style="0" width="34.29"/>
    <col collapsed="false" customWidth="true" hidden="false" outlineLevel="0" max="2" min="2" style="0" width="13.29"/>
    <col collapsed="false" customWidth="true" hidden="false" outlineLevel="0" max="3" min="3" style="0" width="61"/>
    <col collapsed="false" customWidth="true" hidden="false" outlineLevel="0" max="4" min="4" style="0" width="22.86"/>
    <col collapsed="false" customWidth="true" hidden="false" outlineLevel="0" max="5" min="5" style="0" width="3.86"/>
  </cols>
  <sheetData>
    <row r="1" customFormat="false" ht="27.75" hidden="false" customHeight="true" outlineLevel="0" collapsed="false">
      <c r="A1" s="69" t="str">
        <f aca="false">IF('Prop Info'!B4="","MODEL INPUTS — NAVIGATION","MODEL INPUTS — NAVIGATION"&amp;" — "&amp;'Prop Info'!B4)</f>
        <v>MODEL INPUTS — NAVIGATION</v>
      </c>
      <c r="B1" s="69"/>
      <c r="C1" s="69"/>
      <c r="D1" s="69"/>
      <c r="E1" s="69"/>
    </row>
    <row r="3" customFormat="false" ht="15" hidden="false" customHeight="true" outlineLevel="0" collapsed="false">
      <c r="A3" s="70" t="s">
        <v>91</v>
      </c>
    </row>
    <row r="4" customFormat="false" ht="15" hidden="false" customHeight="true" outlineLevel="0" collapsed="false">
      <c r="A4" s="65" t="s">
        <v>83</v>
      </c>
      <c r="B4" s="0" t="s">
        <v>84</v>
      </c>
    </row>
    <row r="5" customFormat="false" ht="15" hidden="false" customHeight="true" outlineLevel="0" collapsed="false">
      <c r="A5" s="66" t="s">
        <v>85</v>
      </c>
      <c r="B5" s="0" t="s">
        <v>86</v>
      </c>
    </row>
    <row r="6" customFormat="false" ht="15" hidden="false" customHeight="true" outlineLevel="0" collapsed="false">
      <c r="A6" s="67" t="s">
        <v>87</v>
      </c>
      <c r="B6" s="0" t="s">
        <v>88</v>
      </c>
    </row>
    <row r="7" customFormat="false" ht="15" hidden="false" customHeight="true" outlineLevel="0" collapsed="false">
      <c r="A7" s="68" t="s">
        <v>89</v>
      </c>
      <c r="B7" s="0" t="s">
        <v>90</v>
      </c>
    </row>
    <row r="9" customFormat="false" ht="15" hidden="false" customHeight="true" outlineLevel="0" collapsed="false">
      <c r="A9" s="71" t="s">
        <v>92</v>
      </c>
      <c r="B9" s="72" t="n">
        <v>452</v>
      </c>
      <c r="C9" s="73" t="s">
        <v>93</v>
      </c>
      <c r="D9" s="72" t="n">
        <v>14</v>
      </c>
      <c r="E9" s="73" t="s">
        <v>94</v>
      </c>
    </row>
    <row r="11" customFormat="false" ht="15" hidden="false" customHeight="true" outlineLevel="0" collapsed="false">
      <c r="A11" s="74" t="s">
        <v>95</v>
      </c>
      <c r="B11" s="74" t="s">
        <v>96</v>
      </c>
      <c r="C11" s="74" t="s">
        <v>97</v>
      </c>
      <c r="D11" s="74" t="s">
        <v>98</v>
      </c>
      <c r="E11" s="74"/>
    </row>
    <row r="12" customFormat="false" ht="15" hidden="false" customHeight="true" outlineLevel="0" collapsed="false">
      <c r="A12" s="75" t="s">
        <v>99</v>
      </c>
      <c r="B12" s="76" t="s">
        <v>100</v>
      </c>
      <c r="C12" s="75"/>
      <c r="D12" s="75"/>
      <c r="E12" s="75"/>
    </row>
    <row r="13" customFormat="false" ht="15" hidden="true" customHeight="true" outlineLevel="1" collapsed="false">
      <c r="A13" s="0" t="s">
        <v>101</v>
      </c>
      <c r="B13" s="77" t="str">
        <f aca="false">HYPERLINK("#Scenarios!B10","B10")</f>
        <v>B10</v>
      </c>
      <c r="C13" s="0" t="s">
        <v>29</v>
      </c>
      <c r="D13" s="78" t="n">
        <v>0.2</v>
      </c>
    </row>
    <row r="14" customFormat="false" ht="15" hidden="true" customHeight="true" outlineLevel="1" collapsed="false">
      <c r="A14" s="0" t="s">
        <v>101</v>
      </c>
      <c r="B14" s="77" t="str">
        <f aca="false">HYPERLINK("#Scenarios!B15","B15")</f>
        <v>B15</v>
      </c>
      <c r="C14" s="0" t="s">
        <v>102</v>
      </c>
      <c r="D14" s="78" t="n">
        <v>0.03</v>
      </c>
    </row>
    <row r="15" customFormat="false" ht="15" hidden="true" customHeight="true" outlineLevel="1" collapsed="false">
      <c r="A15" s="0" t="s">
        <v>101</v>
      </c>
      <c r="B15" s="77" t="str">
        <f aca="false">HYPERLINK("#Scenarios!B28","B28")</f>
        <v>B28</v>
      </c>
      <c r="C15" s="0" t="s">
        <v>103</v>
      </c>
      <c r="D15" s="78" t="n">
        <v>0.3</v>
      </c>
    </row>
    <row r="16" customFormat="false" ht="15" hidden="true" customHeight="true" outlineLevel="1" collapsed="false">
      <c r="A16" s="0" t="s">
        <v>101</v>
      </c>
      <c r="B16" s="77" t="str">
        <f aca="false">HYPERLINK("#Scenarios!C28","C28")</f>
        <v>C28</v>
      </c>
      <c r="C16" s="0" t="s">
        <v>103</v>
      </c>
      <c r="D16" s="78" t="n">
        <v>0.3</v>
      </c>
    </row>
    <row r="17" customFormat="false" ht="15" hidden="true" customHeight="true" outlineLevel="1" collapsed="false">
      <c r="A17" s="0" t="s">
        <v>101</v>
      </c>
      <c r="B17" s="77" t="str">
        <f aca="false">HYPERLINK("#Scenarios!C32","C32")</f>
        <v>C32</v>
      </c>
      <c r="C17" s="0" t="s">
        <v>104</v>
      </c>
      <c r="D17" s="79" t="n">
        <v>0</v>
      </c>
    </row>
    <row r="18" customFormat="false" ht="15" hidden="true" customHeight="true" outlineLevel="1" collapsed="false">
      <c r="A18" s="0" t="s">
        <v>101</v>
      </c>
      <c r="B18" s="77" t="str">
        <f aca="false">HYPERLINK("#Scenarios!B35","B35")</f>
        <v>B35</v>
      </c>
      <c r="C18" s="0" t="s">
        <v>105</v>
      </c>
      <c r="D18" s="78" t="n">
        <v>0</v>
      </c>
    </row>
    <row r="19" customFormat="false" ht="15" hidden="true" customHeight="true" outlineLevel="1" collapsed="false">
      <c r="A19" s="0" t="s">
        <v>101</v>
      </c>
      <c r="B19" s="77" t="str">
        <f aca="false">HYPERLINK("#Scenarios!C35","C35")</f>
        <v>C35</v>
      </c>
      <c r="C19" s="0" t="s">
        <v>105</v>
      </c>
      <c r="D19" s="78" t="n">
        <v>0</v>
      </c>
    </row>
    <row r="20" customFormat="false" ht="15" hidden="true" customHeight="true" outlineLevel="1" collapsed="false">
      <c r="A20" s="0" t="s">
        <v>101</v>
      </c>
      <c r="B20" s="77" t="str">
        <f aca="false">HYPERLINK("#Scenarios!B36","B36")</f>
        <v>B36</v>
      </c>
      <c r="C20" s="0" t="s">
        <v>106</v>
      </c>
      <c r="D20" s="78" t="n">
        <f aca="false">Scenarios!B36</f>
        <v>0</v>
      </c>
    </row>
    <row r="21" customFormat="false" ht="15" hidden="true" customHeight="true" outlineLevel="1" collapsed="false">
      <c r="A21" s="0" t="s">
        <v>101</v>
      </c>
      <c r="B21" s="77" t="str">
        <f aca="false">HYPERLINK("#Scenarios!C36","C36")</f>
        <v>C36</v>
      </c>
      <c r="C21" s="0" t="s">
        <v>107</v>
      </c>
      <c r="D21" s="78" t="n">
        <f aca="false">Scenarios!C36</f>
        <v>0</v>
      </c>
    </row>
    <row r="22" customFormat="false" ht="15" hidden="true" customHeight="true" outlineLevel="1" collapsed="false">
      <c r="A22" s="0" t="s">
        <v>101</v>
      </c>
      <c r="B22" s="77" t="str">
        <f aca="false">HYPERLINK("#Scenarios!D36","D36")</f>
        <v>D36</v>
      </c>
      <c r="C22" s="0" t="s">
        <v>108</v>
      </c>
      <c r="D22" s="78" t="n">
        <f aca="false">Scenarios!D36</f>
        <v>0</v>
      </c>
    </row>
    <row r="23" customFormat="false" ht="15" hidden="true" customHeight="true" outlineLevel="1" collapsed="false">
      <c r="A23" s="0" t="s">
        <v>101</v>
      </c>
      <c r="B23" s="77" t="str">
        <f aca="false">HYPERLINK("#Scenarios!E36","E36")</f>
        <v>E36</v>
      </c>
      <c r="C23" s="0" t="s">
        <v>109</v>
      </c>
      <c r="D23" s="78" t="n">
        <f aca="false">Scenarios!E36</f>
        <v>0</v>
      </c>
    </row>
    <row r="24" customFormat="false" ht="15" hidden="true" customHeight="true" outlineLevel="1" collapsed="false">
      <c r="A24" s="0" t="s">
        <v>101</v>
      </c>
      <c r="B24" s="77" t="str">
        <f aca="false">HYPERLINK("#Scenarios!C46","C46")</f>
        <v>C46</v>
      </c>
      <c r="C24" s="0" t="s">
        <v>110</v>
      </c>
      <c r="D24" s="78" t="n">
        <v>0</v>
      </c>
    </row>
    <row r="25" customFormat="false" ht="15" hidden="true" customHeight="true" outlineLevel="1" collapsed="false">
      <c r="A25" s="0" t="s">
        <v>101</v>
      </c>
      <c r="B25" s="77" t="str">
        <f aca="false">HYPERLINK("#Scenarios!B77","B77")</f>
        <v>B77</v>
      </c>
      <c r="C25" s="0" t="s">
        <v>111</v>
      </c>
      <c r="D25" s="78" t="n">
        <v>0.08</v>
      </c>
    </row>
    <row r="26" customFormat="false" ht="15" hidden="true" customHeight="true" outlineLevel="1" collapsed="false">
      <c r="A26" s="0" t="s">
        <v>101</v>
      </c>
      <c r="B26" s="77" t="str">
        <f aca="false">HYPERLINK("#Scenarios!D77","D77")</f>
        <v>D77</v>
      </c>
      <c r="C26" s="0" t="s">
        <v>111</v>
      </c>
      <c r="D26" s="78" t="n">
        <v>0.08</v>
      </c>
    </row>
    <row r="27" customFormat="false" ht="15" hidden="true" customHeight="true" outlineLevel="1" collapsed="false">
      <c r="A27" s="0" t="s">
        <v>101</v>
      </c>
      <c r="B27" s="77" t="str">
        <f aca="false">HYPERLINK("#Scenarios!E77","E77")</f>
        <v>E77</v>
      </c>
      <c r="C27" s="0" t="s">
        <v>111</v>
      </c>
      <c r="D27" s="78" t="n">
        <v>0.08</v>
      </c>
    </row>
    <row r="28" customFormat="false" ht="15" hidden="true" customHeight="true" outlineLevel="1" collapsed="false">
      <c r="A28" s="0" t="s">
        <v>101</v>
      </c>
      <c r="B28" s="77" t="str">
        <f aca="false">HYPERLINK("#Scenarios!B79","B79")</f>
        <v>B79</v>
      </c>
      <c r="C28" s="0" t="s">
        <v>112</v>
      </c>
      <c r="D28" s="80" t="n">
        <v>0</v>
      </c>
    </row>
    <row r="29" customFormat="false" ht="15" hidden="true" customHeight="true" outlineLevel="1" collapsed="false">
      <c r="A29" s="0" t="s">
        <v>101</v>
      </c>
      <c r="B29" s="77" t="str">
        <f aca="false">HYPERLINK("#Scenarios!D80","D80")</f>
        <v>D80</v>
      </c>
      <c r="C29" s="0" t="s">
        <v>26</v>
      </c>
      <c r="D29" s="81" t="n">
        <v>7</v>
      </c>
    </row>
    <row r="30" customFormat="false" ht="15" hidden="true" customHeight="true" outlineLevel="1" collapsed="false">
      <c r="A30" s="0" t="s">
        <v>101</v>
      </c>
      <c r="B30" s="77" t="str">
        <f aca="false">HYPERLINK("#Scenarios!E80","E80")</f>
        <v>E80</v>
      </c>
      <c r="C30" s="0" t="s">
        <v>26</v>
      </c>
      <c r="D30" s="81" t="n">
        <v>7</v>
      </c>
    </row>
    <row r="31" customFormat="false" ht="15" hidden="true" customHeight="true" outlineLevel="1" collapsed="false">
      <c r="A31" s="0" t="s">
        <v>101</v>
      </c>
      <c r="B31" s="77" t="str">
        <f aca="false">HYPERLINK("#Scenarios!D81","D81")</f>
        <v>D81</v>
      </c>
      <c r="C31" s="0" t="s">
        <v>28</v>
      </c>
      <c r="D31" s="78" t="n">
        <v>0.085</v>
      </c>
    </row>
    <row r="32" customFormat="false" ht="15" hidden="true" customHeight="true" outlineLevel="1" collapsed="false">
      <c r="A32" s="0" t="s">
        <v>101</v>
      </c>
      <c r="B32" s="77" t="str">
        <f aca="false">HYPERLINK("#Scenarios!E81","E81")</f>
        <v>E81</v>
      </c>
      <c r="C32" s="0" t="s">
        <v>28</v>
      </c>
      <c r="D32" s="78" t="n">
        <v>0.085</v>
      </c>
    </row>
    <row r="33" customFormat="false" ht="15" hidden="true" customHeight="true" outlineLevel="1" collapsed="false">
      <c r="A33" s="0" t="s">
        <v>101</v>
      </c>
      <c r="B33" s="77" t="str">
        <f aca="false">HYPERLINK("#Scenarios!B91","B91")</f>
        <v>B91</v>
      </c>
      <c r="C33" s="0" t="s">
        <v>113</v>
      </c>
      <c r="D33" s="82" t="n">
        <v>0.01</v>
      </c>
    </row>
    <row r="34" customFormat="false" ht="15" hidden="true" customHeight="true" outlineLevel="1" collapsed="false">
      <c r="A34" s="0" t="s">
        <v>101</v>
      </c>
      <c r="B34" s="77" t="str">
        <f aca="false">HYPERLINK("#Scenarios!C91","C91")</f>
        <v>C91</v>
      </c>
      <c r="C34" s="0" t="s">
        <v>113</v>
      </c>
      <c r="D34" s="82" t="n">
        <v>0.01</v>
      </c>
    </row>
    <row r="35" customFormat="false" ht="15" hidden="true" customHeight="true" outlineLevel="1" collapsed="false">
      <c r="A35" s="0" t="s">
        <v>101</v>
      </c>
      <c r="B35" s="77" t="str">
        <f aca="false">HYPERLINK("#Scenarios!C93","C93")</f>
        <v>C93</v>
      </c>
      <c r="C35" s="0" t="s">
        <v>114</v>
      </c>
      <c r="D35" s="79" t="n">
        <v>0</v>
      </c>
    </row>
    <row r="36" customFormat="false" ht="15" hidden="true" customHeight="true" outlineLevel="1" collapsed="false">
      <c r="A36" s="0" t="s">
        <v>101</v>
      </c>
      <c r="B36" s="77" t="str">
        <f aca="false">HYPERLINK("#Scenarios!C94","C94")</f>
        <v>C94</v>
      </c>
      <c r="C36" s="0" t="s">
        <v>115</v>
      </c>
      <c r="D36" s="78" t="n">
        <v>0</v>
      </c>
    </row>
    <row r="37" customFormat="false" ht="15" hidden="true" customHeight="true" outlineLevel="1" collapsed="false">
      <c r="A37" s="0" t="s">
        <v>101</v>
      </c>
      <c r="B37" s="77" t="str">
        <f aca="false">HYPERLINK("#Scenarios!C95","C95")</f>
        <v>C95</v>
      </c>
      <c r="C37" s="0" t="s">
        <v>116</v>
      </c>
      <c r="D37" s="81" t="n">
        <v>0</v>
      </c>
    </row>
    <row r="38" customFormat="false" ht="15" hidden="true" customHeight="true" outlineLevel="1" collapsed="false">
      <c r="A38" s="0" t="s">
        <v>101</v>
      </c>
      <c r="B38" s="77" t="str">
        <f aca="false">HYPERLINK("#Scenarios!C96","C96")</f>
        <v>C96</v>
      </c>
      <c r="C38" s="0" t="s">
        <v>117</v>
      </c>
      <c r="D38" s="81" t="n">
        <v>0</v>
      </c>
    </row>
    <row r="39" customFormat="false" ht="15" hidden="true" customHeight="true" outlineLevel="1" collapsed="false">
      <c r="A39" s="0" t="s">
        <v>101</v>
      </c>
      <c r="B39" s="77" t="str">
        <f aca="false">HYPERLINK("#Scenarios!C97","C97")</f>
        <v>C97</v>
      </c>
      <c r="C39" s="0" t="s">
        <v>118</v>
      </c>
      <c r="D39" s="81" t="n">
        <v>0</v>
      </c>
    </row>
    <row r="40" customFormat="false" ht="15" hidden="true" customHeight="true" outlineLevel="1" collapsed="false">
      <c r="A40" s="0" t="s">
        <v>101</v>
      </c>
      <c r="B40" s="77" t="str">
        <f aca="false">HYPERLINK("#Scenarios!B98","B98")</f>
        <v>B98</v>
      </c>
      <c r="C40" s="0" t="s">
        <v>119</v>
      </c>
      <c r="D40" s="82" t="n">
        <v>0</v>
      </c>
    </row>
    <row r="41" customFormat="false" ht="15" hidden="true" customHeight="true" outlineLevel="1" collapsed="false">
      <c r="A41" s="0" t="s">
        <v>101</v>
      </c>
      <c r="B41" s="77" t="str">
        <f aca="false">HYPERLINK("#Scenarios!C98","C98")</f>
        <v>C98</v>
      </c>
      <c r="C41" s="0" t="s">
        <v>119</v>
      </c>
      <c r="D41" s="82" t="n">
        <v>0</v>
      </c>
    </row>
    <row r="42" customFormat="false" ht="15" hidden="true" customHeight="true" outlineLevel="1" collapsed="false">
      <c r="A42" s="0" t="s">
        <v>101</v>
      </c>
      <c r="B42" s="77" t="str">
        <f aca="false">HYPERLINK("#Scenarios!C100","C100")</f>
        <v>C100</v>
      </c>
      <c r="C42" s="0" t="s">
        <v>120</v>
      </c>
      <c r="D42" s="79" t="n">
        <v>0</v>
      </c>
    </row>
    <row r="43" customFormat="false" ht="15" hidden="true" customHeight="true" outlineLevel="1" collapsed="false">
      <c r="A43" s="0" t="s">
        <v>101</v>
      </c>
      <c r="B43" s="77" t="str">
        <f aca="false">HYPERLINK("#Scenarios!C101","C101")</f>
        <v>C101</v>
      </c>
      <c r="C43" s="0" t="s">
        <v>121</v>
      </c>
      <c r="D43" s="78" t="n">
        <v>0</v>
      </c>
    </row>
    <row r="44" customFormat="false" ht="15" hidden="true" customHeight="true" outlineLevel="1" collapsed="false">
      <c r="A44" s="0" t="s">
        <v>101</v>
      </c>
      <c r="B44" s="77" t="str">
        <f aca="false">HYPERLINK("#Scenarios!C102","C102")</f>
        <v>C102</v>
      </c>
      <c r="C44" s="0" t="s">
        <v>122</v>
      </c>
      <c r="D44" s="81" t="n">
        <v>0</v>
      </c>
    </row>
    <row r="45" customFormat="false" ht="15" hidden="true" customHeight="true" outlineLevel="1" collapsed="false">
      <c r="A45" s="0" t="s">
        <v>101</v>
      </c>
      <c r="B45" s="77" t="str">
        <f aca="false">HYPERLINK("#Scenarios!C103","C103")</f>
        <v>C103</v>
      </c>
      <c r="C45" s="0" t="s">
        <v>123</v>
      </c>
      <c r="D45" s="81" t="n">
        <v>0</v>
      </c>
    </row>
    <row r="46" customFormat="false" ht="15" hidden="true" customHeight="true" outlineLevel="1" collapsed="false">
      <c r="A46" s="0" t="s">
        <v>101</v>
      </c>
      <c r="B46" s="77" t="str">
        <f aca="false">HYPERLINK("#Scenarios!C104","C104")</f>
        <v>C104</v>
      </c>
      <c r="C46" s="0" t="s">
        <v>124</v>
      </c>
      <c r="D46" s="81" t="n">
        <v>0</v>
      </c>
    </row>
    <row r="47" customFormat="false" ht="15" hidden="true" customHeight="true" outlineLevel="1" collapsed="false">
      <c r="A47" s="0" t="s">
        <v>101</v>
      </c>
      <c r="B47" s="77" t="str">
        <f aca="false">HYPERLINK("#Scenarios!B105","B105")</f>
        <v>B105</v>
      </c>
      <c r="C47" s="0" t="s">
        <v>125</v>
      </c>
      <c r="D47" s="82" t="n">
        <v>0</v>
      </c>
    </row>
    <row r="48" customFormat="false" ht="15" hidden="true" customHeight="true" outlineLevel="1" collapsed="false">
      <c r="A48" s="0" t="s">
        <v>101</v>
      </c>
      <c r="B48" s="77" t="str">
        <f aca="false">HYPERLINK("#Scenarios!C105","C105")</f>
        <v>C105</v>
      </c>
      <c r="C48" s="0" t="s">
        <v>125</v>
      </c>
      <c r="D48" s="82" t="n">
        <v>0</v>
      </c>
    </row>
    <row r="49" customFormat="false" ht="15" hidden="true" customHeight="true" outlineLevel="1" collapsed="false">
      <c r="A49" s="0" t="s">
        <v>101</v>
      </c>
      <c r="B49" s="77" t="str">
        <f aca="false">HYPERLINK("#Scenarios!B124","B124")</f>
        <v>B124</v>
      </c>
      <c r="C49" s="0" t="s">
        <v>126</v>
      </c>
      <c r="D49" s="78" t="n">
        <v>0.05</v>
      </c>
    </row>
    <row r="50" customFormat="false" ht="15" hidden="true" customHeight="true" outlineLevel="1" collapsed="false">
      <c r="A50" s="0" t="s">
        <v>101</v>
      </c>
      <c r="B50" s="77" t="str">
        <f aca="false">HYPERLINK("#Scenarios!C124","C124")</f>
        <v>C124</v>
      </c>
      <c r="C50" s="0" t="s">
        <v>126</v>
      </c>
      <c r="D50" s="78" t="n">
        <v>0.08</v>
      </c>
    </row>
    <row r="51" customFormat="false" ht="15" hidden="true" customHeight="true" outlineLevel="1" collapsed="false">
      <c r="A51" s="0" t="s">
        <v>101</v>
      </c>
      <c r="B51" s="77" t="str">
        <f aca="false">HYPERLINK("#Scenarios!D124","D124")</f>
        <v>D124</v>
      </c>
      <c r="C51" s="0" t="s">
        <v>126</v>
      </c>
      <c r="D51" s="78" t="n">
        <v>0.12</v>
      </c>
    </row>
    <row r="52" customFormat="false" ht="15" hidden="true" customHeight="true" outlineLevel="1" collapsed="false">
      <c r="A52" s="0" t="s">
        <v>101</v>
      </c>
      <c r="B52" s="77" t="str">
        <f aca="false">HYPERLINK("#Scenarios!E124","E124")</f>
        <v>E124</v>
      </c>
      <c r="C52" s="0" t="s">
        <v>126</v>
      </c>
      <c r="D52" s="78" t="n">
        <v>0.15</v>
      </c>
    </row>
    <row r="53" customFormat="false" ht="15" hidden="true" customHeight="true" outlineLevel="1" collapsed="false">
      <c r="A53" s="0" t="s">
        <v>101</v>
      </c>
      <c r="B53" s="77" t="str">
        <f aca="false">HYPERLINK("#Scenarios!B125","B125")</f>
        <v>B125</v>
      </c>
      <c r="C53" s="0" t="s">
        <v>127</v>
      </c>
      <c r="D53" s="78" t="n">
        <v>0.02</v>
      </c>
    </row>
    <row r="54" customFormat="false" ht="15" hidden="true" customHeight="true" outlineLevel="1" collapsed="false">
      <c r="A54" s="0" t="s">
        <v>101</v>
      </c>
      <c r="B54" s="77" t="str">
        <f aca="false">HYPERLINK("#Scenarios!C125","C125")</f>
        <v>C125</v>
      </c>
      <c r="C54" s="0" t="s">
        <v>127</v>
      </c>
      <c r="D54" s="78" t="n">
        <v>0.03</v>
      </c>
    </row>
    <row r="55" customFormat="false" ht="15" hidden="true" customHeight="true" outlineLevel="1" collapsed="false">
      <c r="A55" s="0" t="s">
        <v>101</v>
      </c>
      <c r="B55" s="77" t="str">
        <f aca="false">HYPERLINK("#Scenarios!D125","D125")</f>
        <v>D125</v>
      </c>
      <c r="C55" s="0" t="s">
        <v>127</v>
      </c>
      <c r="D55" s="78" t="n">
        <v>0.05</v>
      </c>
    </row>
    <row r="56" customFormat="false" ht="15" hidden="true" customHeight="true" outlineLevel="1" collapsed="false">
      <c r="A56" s="0" t="s">
        <v>101</v>
      </c>
      <c r="B56" s="77" t="str">
        <f aca="false">HYPERLINK("#Scenarios!E125","E125")</f>
        <v>E125</v>
      </c>
      <c r="C56" s="0" t="s">
        <v>127</v>
      </c>
      <c r="D56" s="78" t="n">
        <v>0.06</v>
      </c>
    </row>
    <row r="57" customFormat="false" ht="15" hidden="true" customHeight="true" outlineLevel="1" collapsed="false">
      <c r="A57" s="0" t="s">
        <v>101</v>
      </c>
      <c r="B57" s="77" t="str">
        <f aca="false">HYPERLINK("#Scenarios!B126","B126")</f>
        <v>B126</v>
      </c>
      <c r="C57" s="0" t="s">
        <v>128</v>
      </c>
      <c r="D57" s="78" t="n">
        <v>0.03</v>
      </c>
    </row>
    <row r="58" customFormat="false" ht="15" hidden="true" customHeight="true" outlineLevel="1" collapsed="false">
      <c r="A58" s="0" t="s">
        <v>101</v>
      </c>
      <c r="B58" s="77" t="str">
        <f aca="false">HYPERLINK("#Scenarios!C126","C126")</f>
        <v>C126</v>
      </c>
      <c r="C58" s="0" t="s">
        <v>128</v>
      </c>
      <c r="D58" s="78" t="n">
        <v>0.02</v>
      </c>
    </row>
    <row r="59" customFormat="false" ht="15" hidden="true" customHeight="true" outlineLevel="1" collapsed="false">
      <c r="A59" s="0" t="s">
        <v>101</v>
      </c>
      <c r="B59" s="77" t="str">
        <f aca="false">HYPERLINK("#Scenarios!D126","D126")</f>
        <v>D126</v>
      </c>
      <c r="C59" s="0" t="s">
        <v>128</v>
      </c>
      <c r="D59" s="78" t="n">
        <v>0.01</v>
      </c>
    </row>
    <row r="60" customFormat="false" ht="15" hidden="true" customHeight="true" outlineLevel="1" collapsed="false">
      <c r="A60" s="0" t="s">
        <v>101</v>
      </c>
      <c r="B60" s="77" t="str">
        <f aca="false">HYPERLINK("#Scenarios!E126","E126")</f>
        <v>E126</v>
      </c>
      <c r="C60" s="0" t="s">
        <v>128</v>
      </c>
      <c r="D60" s="78" t="n">
        <v>0</v>
      </c>
    </row>
    <row r="61" customFormat="false" ht="15" hidden="true" customHeight="true" outlineLevel="1" collapsed="false">
      <c r="A61" s="0" t="s">
        <v>101</v>
      </c>
      <c r="B61" s="77" t="str">
        <f aca="false">HYPERLINK("#Scenarios!B127","B127")</f>
        <v>B127</v>
      </c>
      <c r="C61" s="0" t="s">
        <v>129</v>
      </c>
      <c r="D61" s="78" t="n">
        <v>0.03</v>
      </c>
    </row>
    <row r="62" customFormat="false" ht="15" hidden="true" customHeight="true" outlineLevel="1" collapsed="false">
      <c r="A62" s="0" t="s">
        <v>101</v>
      </c>
      <c r="B62" s="77" t="str">
        <f aca="false">HYPERLINK("#Scenarios!C127","C127")</f>
        <v>C127</v>
      </c>
      <c r="C62" s="0" t="s">
        <v>129</v>
      </c>
      <c r="D62" s="78" t="n">
        <v>0.04</v>
      </c>
    </row>
    <row r="63" customFormat="false" ht="15" hidden="true" customHeight="true" outlineLevel="1" collapsed="false">
      <c r="A63" s="0" t="s">
        <v>101</v>
      </c>
      <c r="B63" s="77" t="str">
        <f aca="false">HYPERLINK("#Scenarios!D127","D127")</f>
        <v>D127</v>
      </c>
      <c r="C63" s="0" t="s">
        <v>129</v>
      </c>
      <c r="D63" s="78" t="n">
        <v>0.06</v>
      </c>
    </row>
    <row r="64" customFormat="false" ht="15" hidden="true" customHeight="true" outlineLevel="1" collapsed="false">
      <c r="A64" s="0" t="s">
        <v>101</v>
      </c>
      <c r="B64" s="77" t="str">
        <f aca="false">HYPERLINK("#Scenarios!E127","E127")</f>
        <v>E127</v>
      </c>
      <c r="C64" s="0" t="s">
        <v>129</v>
      </c>
      <c r="D64" s="78" t="n">
        <v>0.08</v>
      </c>
    </row>
    <row r="65" customFormat="false" ht="15" hidden="true" customHeight="true" outlineLevel="1" collapsed="false">
      <c r="A65" s="0" t="s">
        <v>101</v>
      </c>
      <c r="B65" s="77" t="str">
        <f aca="false">HYPERLINK("#Scenarios!B128","B128")</f>
        <v>B128</v>
      </c>
      <c r="C65" s="0" t="s">
        <v>130</v>
      </c>
      <c r="D65" s="79" t="n">
        <v>600</v>
      </c>
    </row>
    <row r="66" customFormat="false" ht="15" hidden="true" customHeight="true" outlineLevel="1" collapsed="false">
      <c r="A66" s="0" t="s">
        <v>101</v>
      </c>
      <c r="B66" s="77" t="str">
        <f aca="false">HYPERLINK("#Scenarios!C128","C128")</f>
        <v>C128</v>
      </c>
      <c r="C66" s="0" t="s">
        <v>130</v>
      </c>
      <c r="D66" s="79" t="n">
        <v>650</v>
      </c>
    </row>
    <row r="67" customFormat="false" ht="15" hidden="true" customHeight="true" outlineLevel="1" collapsed="false">
      <c r="A67" s="0" t="s">
        <v>101</v>
      </c>
      <c r="B67" s="77" t="str">
        <f aca="false">HYPERLINK("#Scenarios!D128","D128")</f>
        <v>D128</v>
      </c>
      <c r="C67" s="0" t="s">
        <v>130</v>
      </c>
      <c r="D67" s="79" t="n">
        <v>700</v>
      </c>
    </row>
    <row r="68" customFormat="false" ht="15" hidden="true" customHeight="true" outlineLevel="1" collapsed="false">
      <c r="A68" s="0" t="s">
        <v>101</v>
      </c>
      <c r="B68" s="77" t="str">
        <f aca="false">HYPERLINK("#Scenarios!E128","E128")</f>
        <v>E128</v>
      </c>
      <c r="C68" s="0" t="s">
        <v>130</v>
      </c>
      <c r="D68" s="79" t="n">
        <v>750</v>
      </c>
    </row>
    <row r="69" customFormat="false" ht="15" hidden="true" customHeight="true" outlineLevel="1" collapsed="false">
      <c r="A69" s="0" t="s">
        <v>101</v>
      </c>
      <c r="B69" s="77" t="str">
        <f aca="false">HYPERLINK("#Scenarios!B129","B129")</f>
        <v>B129</v>
      </c>
      <c r="C69" s="0" t="s">
        <v>131</v>
      </c>
      <c r="D69" s="79" t="n">
        <v>250</v>
      </c>
    </row>
    <row r="70" customFormat="false" ht="15" hidden="true" customHeight="true" outlineLevel="1" collapsed="false">
      <c r="A70" s="0" t="s">
        <v>101</v>
      </c>
      <c r="B70" s="77" t="str">
        <f aca="false">HYPERLINK("#Scenarios!C129","C129")</f>
        <v>C129</v>
      </c>
      <c r="C70" s="0" t="s">
        <v>131</v>
      </c>
      <c r="D70" s="79" t="n">
        <v>350</v>
      </c>
    </row>
    <row r="71" customFormat="false" ht="15" hidden="true" customHeight="true" outlineLevel="1" collapsed="false">
      <c r="A71" s="0" t="s">
        <v>101</v>
      </c>
      <c r="B71" s="77" t="str">
        <f aca="false">HYPERLINK("#Scenarios!D129","D129")</f>
        <v>D129</v>
      </c>
      <c r="C71" s="0" t="s">
        <v>131</v>
      </c>
      <c r="D71" s="79" t="n">
        <v>450</v>
      </c>
    </row>
    <row r="72" customFormat="false" ht="15" hidden="true" customHeight="true" outlineLevel="1" collapsed="false">
      <c r="A72" s="0" t="s">
        <v>101</v>
      </c>
      <c r="B72" s="77" t="str">
        <f aca="false">HYPERLINK("#Scenarios!E129","E129")</f>
        <v>E129</v>
      </c>
      <c r="C72" s="0" t="s">
        <v>131</v>
      </c>
      <c r="D72" s="79" t="n">
        <v>500</v>
      </c>
    </row>
    <row r="73" customFormat="false" ht="15" hidden="true" customHeight="true" outlineLevel="1" collapsed="false">
      <c r="A73" s="0" t="s">
        <v>101</v>
      </c>
      <c r="B73" s="77" t="str">
        <f aca="false">HYPERLINK("#Scenarios!B130","B130")</f>
        <v>B130</v>
      </c>
      <c r="C73" s="0" t="s">
        <v>132</v>
      </c>
      <c r="D73" s="79" t="n">
        <v>550</v>
      </c>
    </row>
    <row r="74" customFormat="false" ht="15" hidden="true" customHeight="true" outlineLevel="1" collapsed="false">
      <c r="A74" s="0" t="s">
        <v>101</v>
      </c>
      <c r="B74" s="77" t="str">
        <f aca="false">HYPERLINK("#Scenarios!C130","C130")</f>
        <v>C130</v>
      </c>
      <c r="C74" s="0" t="s">
        <v>132</v>
      </c>
      <c r="D74" s="79" t="n">
        <v>700</v>
      </c>
    </row>
    <row r="75" customFormat="false" ht="15" hidden="true" customHeight="true" outlineLevel="1" collapsed="false">
      <c r="A75" s="0" t="s">
        <v>101</v>
      </c>
      <c r="B75" s="77" t="str">
        <f aca="false">HYPERLINK("#Scenarios!D130","D130")</f>
        <v>D130</v>
      </c>
      <c r="C75" s="0" t="s">
        <v>132</v>
      </c>
      <c r="D75" s="79" t="n">
        <v>900</v>
      </c>
    </row>
    <row r="76" customFormat="false" ht="15" hidden="true" customHeight="true" outlineLevel="1" collapsed="false">
      <c r="A76" s="0" t="s">
        <v>101</v>
      </c>
      <c r="B76" s="77" t="str">
        <f aca="false">HYPERLINK("#Scenarios!E130","E130")</f>
        <v>E130</v>
      </c>
      <c r="C76" s="0" t="s">
        <v>132</v>
      </c>
      <c r="D76" s="79" t="n">
        <v>1000</v>
      </c>
    </row>
    <row r="77" customFormat="false" ht="15" hidden="true" customHeight="true" outlineLevel="1" collapsed="false">
      <c r="A77" s="0" t="s">
        <v>101</v>
      </c>
      <c r="B77" s="77" t="str">
        <f aca="false">HYPERLINK("#Scenarios!C149","C149")</f>
        <v>C149</v>
      </c>
      <c r="C77" s="0" t="s">
        <v>133</v>
      </c>
      <c r="D77" s="65" t="n">
        <v>3</v>
      </c>
    </row>
    <row r="78" customFormat="false" ht="15" hidden="true" customHeight="true" outlineLevel="1" collapsed="false">
      <c r="A78" s="0" t="s">
        <v>101</v>
      </c>
      <c r="B78" s="77" t="str">
        <f aca="false">HYPERLINK("#Scenarios!C150","C150")</f>
        <v>C150</v>
      </c>
      <c r="C78" s="0" t="s">
        <v>134</v>
      </c>
      <c r="D78" s="80" t="n">
        <v>0</v>
      </c>
    </row>
    <row r="79" customFormat="false" ht="15" hidden="false" customHeight="true" outlineLevel="0" collapsed="false">
      <c r="B79" s="77"/>
    </row>
    <row r="80" customFormat="false" ht="15" hidden="false" customHeight="true" outlineLevel="0" collapsed="false">
      <c r="A80" s="75" t="s">
        <v>135</v>
      </c>
      <c r="B80" s="76" t="s">
        <v>136</v>
      </c>
      <c r="C80" s="75"/>
      <c r="D80" s="75"/>
      <c r="E80" s="75"/>
    </row>
    <row r="81" customFormat="false" ht="15" hidden="true" customHeight="true" outlineLevel="1" collapsed="false">
      <c r="A81" s="0" t="s">
        <v>137</v>
      </c>
      <c r="B81" s="77" t="str">
        <f aca="false">HYPERLINK("#'Data Checklist'!A8","A8")</f>
        <v>A8</v>
      </c>
      <c r="C81" s="0" t="s">
        <v>138</v>
      </c>
      <c r="D81" s="65" t="n">
        <v>1</v>
      </c>
    </row>
    <row r="82" customFormat="false" ht="15" hidden="true" customHeight="true" outlineLevel="1" collapsed="false">
      <c r="A82" s="0" t="s">
        <v>137</v>
      </c>
      <c r="B82" s="77" t="str">
        <f aca="false">HYPERLINK("#'Data Checklist'!A9","A9")</f>
        <v>A9</v>
      </c>
      <c r="C82" s="0" t="s">
        <v>139</v>
      </c>
      <c r="D82" s="65" t="n">
        <v>2</v>
      </c>
    </row>
    <row r="83" customFormat="false" ht="15" hidden="true" customHeight="true" outlineLevel="1" collapsed="false">
      <c r="A83" s="0" t="s">
        <v>137</v>
      </c>
      <c r="B83" s="77" t="str">
        <f aca="false">HYPERLINK("#'Data Checklist'!A10","A10")</f>
        <v>A10</v>
      </c>
      <c r="C83" s="0" t="s">
        <v>140</v>
      </c>
      <c r="D83" s="65" t="n">
        <v>3</v>
      </c>
    </row>
    <row r="84" customFormat="false" ht="15" hidden="true" customHeight="true" outlineLevel="1" collapsed="false">
      <c r="A84" s="0" t="s">
        <v>137</v>
      </c>
      <c r="B84" s="77" t="str">
        <f aca="false">HYPERLINK("#'Data Checklist'!A11","A11")</f>
        <v>A11</v>
      </c>
      <c r="C84" s="0" t="s">
        <v>141</v>
      </c>
      <c r="D84" s="65" t="n">
        <v>4</v>
      </c>
    </row>
    <row r="85" customFormat="false" ht="15" hidden="true" customHeight="true" outlineLevel="1" collapsed="false">
      <c r="A85" s="0" t="s">
        <v>137</v>
      </c>
      <c r="B85" s="77" t="str">
        <f aca="false">HYPERLINK("#'Data Checklist'!A12","A12")</f>
        <v>A12</v>
      </c>
      <c r="C85" s="0" t="s">
        <v>142</v>
      </c>
      <c r="D85" s="65" t="n">
        <v>5</v>
      </c>
    </row>
    <row r="86" customFormat="false" ht="15" hidden="true" customHeight="true" outlineLevel="1" collapsed="false">
      <c r="A86" s="0" t="s">
        <v>137</v>
      </c>
      <c r="B86" s="77" t="str">
        <f aca="false">HYPERLINK("#'Data Checklist'!A13","A13")</f>
        <v>A13</v>
      </c>
      <c r="C86" s="0" t="s">
        <v>143</v>
      </c>
      <c r="D86" s="65" t="n">
        <v>6</v>
      </c>
    </row>
    <row r="87" customFormat="false" ht="15" hidden="true" customHeight="true" outlineLevel="1" collapsed="false">
      <c r="A87" s="0" t="s">
        <v>137</v>
      </c>
      <c r="B87" s="77" t="str">
        <f aca="false">HYPERLINK("#'Data Checklist'!A14","A14")</f>
        <v>A14</v>
      </c>
      <c r="C87" s="0" t="s">
        <v>144</v>
      </c>
      <c r="D87" s="65" t="n">
        <v>7</v>
      </c>
    </row>
    <row r="88" customFormat="false" ht="15" hidden="true" customHeight="true" outlineLevel="1" collapsed="false">
      <c r="A88" s="0" t="s">
        <v>137</v>
      </c>
      <c r="B88" s="77" t="str">
        <f aca="false">HYPERLINK("#'Data Checklist'!A15","A15")</f>
        <v>A15</v>
      </c>
      <c r="C88" s="0" t="s">
        <v>145</v>
      </c>
      <c r="D88" s="65" t="n">
        <v>8</v>
      </c>
    </row>
    <row r="89" customFormat="false" ht="15" hidden="true" customHeight="true" outlineLevel="1" collapsed="false">
      <c r="A89" s="0" t="s">
        <v>137</v>
      </c>
      <c r="B89" s="77" t="str">
        <f aca="false">HYPERLINK("#'Data Checklist'!A16","A16")</f>
        <v>A16</v>
      </c>
      <c r="C89" s="0" t="s">
        <v>146</v>
      </c>
      <c r="D89" s="65" t="n">
        <v>9</v>
      </c>
    </row>
    <row r="90" customFormat="false" ht="15" hidden="true" customHeight="true" outlineLevel="1" collapsed="false">
      <c r="A90" s="0" t="s">
        <v>137</v>
      </c>
      <c r="B90" s="77" t="str">
        <f aca="false">HYPERLINK("#'Data Checklist'!A19","A19")</f>
        <v>A19</v>
      </c>
      <c r="C90" s="0" t="s">
        <v>147</v>
      </c>
      <c r="D90" s="65" t="n">
        <v>10</v>
      </c>
    </row>
    <row r="91" customFormat="false" ht="15" hidden="true" customHeight="true" outlineLevel="1" collapsed="false">
      <c r="A91" s="0" t="s">
        <v>137</v>
      </c>
      <c r="B91" s="77" t="str">
        <f aca="false">HYPERLINK("#'Data Checklist'!A20","A20")</f>
        <v>A20</v>
      </c>
      <c r="C91" s="0" t="s">
        <v>148</v>
      </c>
      <c r="D91" s="65" t="n">
        <v>11</v>
      </c>
    </row>
    <row r="92" customFormat="false" ht="15" hidden="true" customHeight="true" outlineLevel="1" collapsed="false">
      <c r="A92" s="0" t="s">
        <v>137</v>
      </c>
      <c r="B92" s="77" t="str">
        <f aca="false">HYPERLINK("#'Data Checklist'!A21","A21")</f>
        <v>A21</v>
      </c>
      <c r="C92" s="0" t="s">
        <v>149</v>
      </c>
      <c r="D92" s="65" t="n">
        <v>12</v>
      </c>
    </row>
    <row r="93" customFormat="false" ht="15" hidden="true" customHeight="true" outlineLevel="1" collapsed="false">
      <c r="A93" s="0" t="s">
        <v>137</v>
      </c>
      <c r="B93" s="77" t="str">
        <f aca="false">HYPERLINK("#'Data Checklist'!A22","A22")</f>
        <v>A22</v>
      </c>
      <c r="C93" s="0" t="s">
        <v>150</v>
      </c>
      <c r="D93" s="65" t="n">
        <v>13</v>
      </c>
    </row>
    <row r="94" customFormat="false" ht="15" hidden="true" customHeight="true" outlineLevel="1" collapsed="false">
      <c r="A94" s="0" t="s">
        <v>137</v>
      </c>
      <c r="B94" s="77" t="str">
        <f aca="false">HYPERLINK("#'Data Checklist'!A23","A23")</f>
        <v>A23</v>
      </c>
      <c r="C94" s="0" t="s">
        <v>151</v>
      </c>
      <c r="D94" s="65" t="n">
        <v>14</v>
      </c>
    </row>
    <row r="95" customFormat="false" ht="15" hidden="true" customHeight="true" outlineLevel="1" collapsed="false">
      <c r="A95" s="0" t="s">
        <v>137</v>
      </c>
      <c r="B95" s="77" t="str">
        <f aca="false">HYPERLINK("#'Data Checklist'!A24","A24")</f>
        <v>A24</v>
      </c>
      <c r="C95" s="0" t="s">
        <v>152</v>
      </c>
      <c r="D95" s="65" t="n">
        <v>15</v>
      </c>
    </row>
    <row r="96" customFormat="false" ht="15" hidden="true" customHeight="true" outlineLevel="1" collapsed="false">
      <c r="A96" s="0" t="s">
        <v>137</v>
      </c>
      <c r="B96" s="77" t="str">
        <f aca="false">HYPERLINK("#'Data Checklist'!A25","A25")</f>
        <v>A25</v>
      </c>
      <c r="C96" s="0" t="s">
        <v>153</v>
      </c>
      <c r="D96" s="65" t="n">
        <v>16</v>
      </c>
    </row>
    <row r="97" customFormat="false" ht="15" hidden="true" customHeight="true" outlineLevel="1" collapsed="false">
      <c r="A97" s="0" t="s">
        <v>137</v>
      </c>
      <c r="B97" s="77" t="str">
        <f aca="false">HYPERLINK("#'Data Checklist'!A26","A26")</f>
        <v>A26</v>
      </c>
      <c r="C97" s="0" t="s">
        <v>154</v>
      </c>
      <c r="D97" s="65" t="n">
        <v>17</v>
      </c>
    </row>
    <row r="98" customFormat="false" ht="15" hidden="true" customHeight="true" outlineLevel="1" collapsed="false">
      <c r="A98" s="0" t="s">
        <v>137</v>
      </c>
      <c r="B98" s="77" t="str">
        <f aca="false">HYPERLINK("#'Data Checklist'!A27","A27")</f>
        <v>A27</v>
      </c>
      <c r="C98" s="0" t="s">
        <v>155</v>
      </c>
      <c r="D98" s="65" t="n">
        <v>18</v>
      </c>
    </row>
    <row r="99" customFormat="false" ht="15" hidden="true" customHeight="true" outlineLevel="1" collapsed="false">
      <c r="A99" s="0" t="s">
        <v>137</v>
      </c>
      <c r="B99" s="77" t="str">
        <f aca="false">HYPERLINK("#'Data Checklist'!A30","A30")</f>
        <v>A30</v>
      </c>
      <c r="C99" s="0" t="s">
        <v>156</v>
      </c>
      <c r="D99" s="65" t="n">
        <v>19</v>
      </c>
    </row>
    <row r="100" customFormat="false" ht="15" hidden="true" customHeight="true" outlineLevel="1" collapsed="false">
      <c r="A100" s="0" t="s">
        <v>137</v>
      </c>
      <c r="B100" s="77" t="str">
        <f aca="false">HYPERLINK("#'Data Checklist'!A31","A31")</f>
        <v>A31</v>
      </c>
      <c r="C100" s="0" t="s">
        <v>157</v>
      </c>
      <c r="D100" s="65" t="n">
        <v>20</v>
      </c>
    </row>
    <row r="101" customFormat="false" ht="15" hidden="true" customHeight="true" outlineLevel="1" collapsed="false">
      <c r="A101" s="0" t="s">
        <v>137</v>
      </c>
      <c r="B101" s="77" t="str">
        <f aca="false">HYPERLINK("#'Data Checklist'!A32","A32")</f>
        <v>A32</v>
      </c>
      <c r="C101" s="0" t="s">
        <v>158</v>
      </c>
      <c r="D101" s="65" t="n">
        <v>21</v>
      </c>
    </row>
    <row r="102" customFormat="false" ht="15" hidden="true" customHeight="true" outlineLevel="1" collapsed="false">
      <c r="A102" s="0" t="s">
        <v>137</v>
      </c>
      <c r="B102" s="77" t="str">
        <f aca="false">HYPERLINK("#'Data Checklist'!A33","A33")</f>
        <v>A33</v>
      </c>
      <c r="C102" s="0" t="s">
        <v>159</v>
      </c>
      <c r="D102" s="65" t="n">
        <v>22</v>
      </c>
    </row>
    <row r="103" customFormat="false" ht="15" hidden="true" customHeight="true" outlineLevel="1" collapsed="false">
      <c r="A103" s="0" t="s">
        <v>137</v>
      </c>
      <c r="B103" s="77" t="str">
        <f aca="false">HYPERLINK("#'Data Checklist'!A34","A34")</f>
        <v>A34</v>
      </c>
      <c r="C103" s="0" t="s">
        <v>160</v>
      </c>
      <c r="D103" s="65" t="n">
        <v>23</v>
      </c>
    </row>
    <row r="104" customFormat="false" ht="15" hidden="true" customHeight="true" outlineLevel="1" collapsed="false">
      <c r="A104" s="0" t="s">
        <v>137</v>
      </c>
      <c r="B104" s="77" t="str">
        <f aca="false">HYPERLINK("#'Data Checklist'!A35","A35")</f>
        <v>A35</v>
      </c>
      <c r="C104" s="0" t="s">
        <v>161</v>
      </c>
      <c r="D104" s="65" t="n">
        <v>24</v>
      </c>
    </row>
    <row r="105" customFormat="false" ht="15" hidden="true" customHeight="true" outlineLevel="1" collapsed="false">
      <c r="A105" s="0" t="s">
        <v>137</v>
      </c>
      <c r="B105" s="77" t="str">
        <f aca="false">HYPERLINK("#'Data Checklist'!A36","A36")</f>
        <v>A36</v>
      </c>
      <c r="C105" s="0" t="s">
        <v>162</v>
      </c>
      <c r="D105" s="65" t="n">
        <v>25</v>
      </c>
    </row>
    <row r="106" customFormat="false" ht="15" hidden="true" customHeight="true" outlineLevel="1" collapsed="false">
      <c r="A106" s="0" t="s">
        <v>137</v>
      </c>
      <c r="B106" s="77" t="str">
        <f aca="false">HYPERLINK("#'Data Checklist'!A37","A37")</f>
        <v>A37</v>
      </c>
      <c r="C106" s="0" t="s">
        <v>163</v>
      </c>
      <c r="D106" s="65" t="n">
        <v>26</v>
      </c>
    </row>
    <row r="107" customFormat="false" ht="15" hidden="true" customHeight="true" outlineLevel="1" collapsed="false">
      <c r="A107" s="0" t="s">
        <v>137</v>
      </c>
      <c r="B107" s="77" t="str">
        <f aca="false">HYPERLINK("#'Data Checklist'!A38","A38")</f>
        <v>A38</v>
      </c>
      <c r="C107" s="0" t="s">
        <v>164</v>
      </c>
      <c r="D107" s="65" t="n">
        <v>27</v>
      </c>
    </row>
    <row r="108" customFormat="false" ht="15" hidden="true" customHeight="true" outlineLevel="1" collapsed="false">
      <c r="A108" s="0" t="s">
        <v>137</v>
      </c>
      <c r="B108" s="77" t="str">
        <f aca="false">HYPERLINK("#'Data Checklist'!A39","A39")</f>
        <v>A39</v>
      </c>
      <c r="C108" s="0" t="s">
        <v>165</v>
      </c>
      <c r="D108" s="65" t="n">
        <v>28</v>
      </c>
    </row>
    <row r="109" customFormat="false" ht="15" hidden="true" customHeight="true" outlineLevel="1" collapsed="false">
      <c r="A109" s="0" t="s">
        <v>137</v>
      </c>
      <c r="B109" s="77" t="str">
        <f aca="false">HYPERLINK("#'Data Checklist'!A40","A40")</f>
        <v>A40</v>
      </c>
      <c r="C109" s="0" t="s">
        <v>166</v>
      </c>
      <c r="D109" s="65" t="n">
        <v>29</v>
      </c>
    </row>
    <row r="110" customFormat="false" ht="15" hidden="true" customHeight="true" outlineLevel="1" collapsed="false">
      <c r="A110" s="0" t="s">
        <v>137</v>
      </c>
      <c r="B110" s="77" t="str">
        <f aca="false">HYPERLINK("#'Data Checklist'!A41","A41")</f>
        <v>A41</v>
      </c>
      <c r="C110" s="0" t="s">
        <v>167</v>
      </c>
      <c r="D110" s="65" t="n">
        <v>30</v>
      </c>
    </row>
    <row r="111" customFormat="false" ht="15" hidden="true" customHeight="true" outlineLevel="1" collapsed="false">
      <c r="A111" s="0" t="s">
        <v>137</v>
      </c>
      <c r="B111" s="77" t="str">
        <f aca="false">HYPERLINK("#'Data Checklist'!A42","A42")</f>
        <v>A42</v>
      </c>
      <c r="C111" s="0" t="s">
        <v>168</v>
      </c>
      <c r="D111" s="65" t="n">
        <v>31</v>
      </c>
    </row>
    <row r="112" customFormat="false" ht="15" hidden="true" customHeight="true" outlineLevel="1" collapsed="false">
      <c r="A112" s="0" t="s">
        <v>137</v>
      </c>
      <c r="B112" s="77" t="str">
        <f aca="false">HYPERLINK("#'Data Checklist'!A45","A45")</f>
        <v>A45</v>
      </c>
      <c r="C112" s="0" t="s">
        <v>169</v>
      </c>
      <c r="D112" s="65" t="n">
        <v>32</v>
      </c>
    </row>
    <row r="113" customFormat="false" ht="15" hidden="true" customHeight="true" outlineLevel="1" collapsed="false">
      <c r="A113" s="0" t="s">
        <v>137</v>
      </c>
      <c r="B113" s="77" t="str">
        <f aca="false">HYPERLINK("#'Data Checklist'!A46","A46")</f>
        <v>A46</v>
      </c>
      <c r="C113" s="0" t="s">
        <v>170</v>
      </c>
      <c r="D113" s="65" t="n">
        <v>33</v>
      </c>
    </row>
    <row r="114" customFormat="false" ht="15" hidden="true" customHeight="true" outlineLevel="1" collapsed="false">
      <c r="A114" s="0" t="s">
        <v>137</v>
      </c>
      <c r="B114" s="77" t="str">
        <f aca="false">HYPERLINK("#'Data Checklist'!A47","A47")</f>
        <v>A47</v>
      </c>
      <c r="C114" s="0" t="s">
        <v>171</v>
      </c>
      <c r="D114" s="65" t="n">
        <v>34</v>
      </c>
    </row>
    <row r="115" customFormat="false" ht="15" hidden="true" customHeight="true" outlineLevel="1" collapsed="false">
      <c r="A115" s="0" t="s">
        <v>137</v>
      </c>
      <c r="B115" s="77" t="str">
        <f aca="false">HYPERLINK("#'Data Checklist'!A48","A48")</f>
        <v>A48</v>
      </c>
      <c r="C115" s="0" t="s">
        <v>172</v>
      </c>
      <c r="D115" s="65" t="n">
        <v>35</v>
      </c>
    </row>
    <row r="116" customFormat="false" ht="15" hidden="true" customHeight="true" outlineLevel="1" collapsed="false">
      <c r="A116" s="0" t="s">
        <v>137</v>
      </c>
      <c r="B116" s="77" t="str">
        <f aca="false">HYPERLINK("#'Data Checklist'!A49","A49")</f>
        <v>A49</v>
      </c>
      <c r="C116" s="0" t="s">
        <v>173</v>
      </c>
      <c r="D116" s="65" t="n">
        <v>36</v>
      </c>
    </row>
    <row r="117" customFormat="false" ht="15" hidden="true" customHeight="true" outlineLevel="1" collapsed="false">
      <c r="A117" s="0" t="s">
        <v>137</v>
      </c>
      <c r="B117" s="77" t="str">
        <f aca="false">HYPERLINK("#'Data Checklist'!A50","A50")</f>
        <v>A50</v>
      </c>
      <c r="C117" s="0" t="s">
        <v>174</v>
      </c>
      <c r="D117" s="65" t="n">
        <v>37</v>
      </c>
    </row>
    <row r="118" customFormat="false" ht="15" hidden="true" customHeight="true" outlineLevel="1" collapsed="false">
      <c r="A118" s="0" t="s">
        <v>137</v>
      </c>
      <c r="B118" s="77" t="str">
        <f aca="false">HYPERLINK("#'Data Checklist'!A51","A51")</f>
        <v>A51</v>
      </c>
      <c r="C118" s="0" t="s">
        <v>175</v>
      </c>
      <c r="D118" s="65" t="n">
        <v>38</v>
      </c>
    </row>
    <row r="119" customFormat="false" ht="15" hidden="true" customHeight="true" outlineLevel="1" collapsed="false">
      <c r="A119" s="0" t="s">
        <v>137</v>
      </c>
      <c r="B119" s="77" t="str">
        <f aca="false">HYPERLINK("#'Data Checklist'!A52","A52")</f>
        <v>A52</v>
      </c>
      <c r="C119" s="0" t="s">
        <v>176</v>
      </c>
      <c r="D119" s="65" t="n">
        <v>39</v>
      </c>
    </row>
    <row r="120" customFormat="false" ht="15" hidden="true" customHeight="true" outlineLevel="1" collapsed="false">
      <c r="A120" s="0" t="s">
        <v>137</v>
      </c>
      <c r="B120" s="77" t="str">
        <f aca="false">HYPERLINK("#'Data Checklist'!A55","A55")</f>
        <v>A55</v>
      </c>
      <c r="C120" s="0" t="s">
        <v>177</v>
      </c>
      <c r="D120" s="65" t="n">
        <v>40</v>
      </c>
    </row>
    <row r="121" customFormat="false" ht="15" hidden="true" customHeight="true" outlineLevel="1" collapsed="false">
      <c r="A121" s="0" t="s">
        <v>137</v>
      </c>
      <c r="B121" s="77" t="str">
        <f aca="false">HYPERLINK("#'Data Checklist'!A56","A56")</f>
        <v>A56</v>
      </c>
      <c r="C121" s="0" t="s">
        <v>178</v>
      </c>
      <c r="D121" s="65" t="n">
        <v>41</v>
      </c>
    </row>
    <row r="122" customFormat="false" ht="15" hidden="true" customHeight="true" outlineLevel="1" collapsed="false">
      <c r="A122" s="0" t="s">
        <v>137</v>
      </c>
      <c r="B122" s="77" t="str">
        <f aca="false">HYPERLINK("#'Data Checklist'!A57","A57")</f>
        <v>A57</v>
      </c>
      <c r="C122" s="0" t="s">
        <v>179</v>
      </c>
      <c r="D122" s="65" t="n">
        <v>42</v>
      </c>
    </row>
    <row r="123" customFormat="false" ht="15" hidden="true" customHeight="true" outlineLevel="1" collapsed="false">
      <c r="A123" s="0" t="s">
        <v>137</v>
      </c>
      <c r="B123" s="77" t="str">
        <f aca="false">HYPERLINK("#'Data Checklist'!A58","A58")</f>
        <v>A58</v>
      </c>
      <c r="C123" s="0" t="s">
        <v>180</v>
      </c>
      <c r="D123" s="65" t="n">
        <v>43</v>
      </c>
    </row>
    <row r="124" customFormat="false" ht="15" hidden="true" customHeight="true" outlineLevel="1" collapsed="false">
      <c r="A124" s="0" t="s">
        <v>137</v>
      </c>
      <c r="B124" s="77" t="str">
        <f aca="false">HYPERLINK("#'Data Checklist'!A59","A59")</f>
        <v>A59</v>
      </c>
      <c r="C124" s="0" t="s">
        <v>181</v>
      </c>
      <c r="D124" s="65" t="n">
        <v>44</v>
      </c>
    </row>
    <row r="125" customFormat="false" ht="15" hidden="true" customHeight="true" outlineLevel="1" collapsed="false">
      <c r="A125" s="0" t="s">
        <v>137</v>
      </c>
      <c r="B125" s="77" t="str">
        <f aca="false">HYPERLINK("#'Data Checklist'!A60","A60")</f>
        <v>A60</v>
      </c>
      <c r="C125" s="0" t="s">
        <v>182</v>
      </c>
      <c r="D125" s="65" t="n">
        <v>45</v>
      </c>
    </row>
    <row r="126" customFormat="false" ht="15" hidden="true" customHeight="true" outlineLevel="1" collapsed="false">
      <c r="A126" s="0" t="s">
        <v>137</v>
      </c>
      <c r="B126" s="77" t="str">
        <f aca="false">HYPERLINK("#'Data Checklist'!A61","A61")</f>
        <v>A61</v>
      </c>
      <c r="C126" s="0" t="s">
        <v>183</v>
      </c>
      <c r="D126" s="65" t="n">
        <v>46</v>
      </c>
    </row>
    <row r="127" customFormat="false" ht="15" hidden="true" customHeight="true" outlineLevel="1" collapsed="false">
      <c r="A127" s="0" t="s">
        <v>137</v>
      </c>
      <c r="B127" s="77" t="str">
        <f aca="false">HYPERLINK("#'Data Checklist'!A62","A62")</f>
        <v>A62</v>
      </c>
      <c r="C127" s="0" t="s">
        <v>184</v>
      </c>
      <c r="D127" s="65" t="n">
        <v>47</v>
      </c>
    </row>
    <row r="128" customFormat="false" ht="15" hidden="true" customHeight="true" outlineLevel="1" collapsed="false">
      <c r="A128" s="0" t="s">
        <v>137</v>
      </c>
      <c r="B128" s="77" t="str">
        <f aca="false">HYPERLINK("#'Data Checklist'!A63","A63")</f>
        <v>A63</v>
      </c>
      <c r="C128" s="0" t="s">
        <v>185</v>
      </c>
      <c r="D128" s="65" t="n">
        <v>48</v>
      </c>
    </row>
    <row r="129" customFormat="false" ht="15" hidden="true" customHeight="true" outlineLevel="1" collapsed="false">
      <c r="A129" s="0" t="s">
        <v>137</v>
      </c>
      <c r="B129" s="77" t="str">
        <f aca="false">HYPERLINK("#'Data Checklist'!A64","A64")</f>
        <v>A64</v>
      </c>
      <c r="C129" s="0" t="s">
        <v>186</v>
      </c>
      <c r="D129" s="65" t="n">
        <v>49</v>
      </c>
    </row>
    <row r="130" customFormat="false" ht="15" hidden="true" customHeight="true" outlineLevel="1" collapsed="false">
      <c r="A130" s="0" t="s">
        <v>137</v>
      </c>
      <c r="B130" s="77" t="str">
        <f aca="false">HYPERLINK("#'Data Checklist'!A67","A67")</f>
        <v>A67</v>
      </c>
      <c r="C130" s="0" t="s">
        <v>187</v>
      </c>
      <c r="D130" s="65" t="n">
        <v>50</v>
      </c>
    </row>
    <row r="131" customFormat="false" ht="15" hidden="true" customHeight="true" outlineLevel="1" collapsed="false">
      <c r="A131" s="0" t="s">
        <v>137</v>
      </c>
      <c r="B131" s="77" t="str">
        <f aca="false">HYPERLINK("#'Data Checklist'!A68","A68")</f>
        <v>A68</v>
      </c>
      <c r="C131" s="0" t="s">
        <v>188</v>
      </c>
      <c r="D131" s="65" t="n">
        <v>51</v>
      </c>
    </row>
    <row r="132" customFormat="false" ht="15" hidden="true" customHeight="true" outlineLevel="1" collapsed="false">
      <c r="A132" s="0" t="s">
        <v>137</v>
      </c>
      <c r="B132" s="77" t="str">
        <f aca="false">HYPERLINK("#'Data Checklist'!A69","A69")</f>
        <v>A69</v>
      </c>
      <c r="C132" s="0" t="s">
        <v>189</v>
      </c>
      <c r="D132" s="65" t="n">
        <v>52</v>
      </c>
    </row>
    <row r="133" customFormat="false" ht="15" hidden="true" customHeight="true" outlineLevel="1" collapsed="false">
      <c r="A133" s="0" t="s">
        <v>137</v>
      </c>
      <c r="B133" s="77" t="str">
        <f aca="false">HYPERLINK("#'Data Checklist'!A70","A70")</f>
        <v>A70</v>
      </c>
      <c r="C133" s="0" t="s">
        <v>190</v>
      </c>
      <c r="D133" s="65" t="n">
        <v>53</v>
      </c>
    </row>
    <row r="134" customFormat="false" ht="15" hidden="true" customHeight="true" outlineLevel="1" collapsed="false">
      <c r="A134" s="0" t="s">
        <v>137</v>
      </c>
      <c r="B134" s="77" t="str">
        <f aca="false">HYPERLINK("#'Data Checklist'!A71","A71")</f>
        <v>A71</v>
      </c>
      <c r="C134" s="0" t="s">
        <v>191</v>
      </c>
      <c r="D134" s="65" t="n">
        <v>54</v>
      </c>
    </row>
    <row r="135" customFormat="false" ht="15" hidden="true" customHeight="true" outlineLevel="1" collapsed="false">
      <c r="A135" s="0" t="s">
        <v>137</v>
      </c>
      <c r="B135" s="77" t="str">
        <f aca="false">HYPERLINK("#'Data Checklist'!A72","A72")</f>
        <v>A72</v>
      </c>
      <c r="C135" s="0" t="s">
        <v>192</v>
      </c>
      <c r="D135" s="65" t="n">
        <v>55</v>
      </c>
    </row>
    <row r="136" customFormat="false" ht="15" hidden="true" customHeight="true" outlineLevel="1" collapsed="false">
      <c r="A136" s="0" t="s">
        <v>137</v>
      </c>
      <c r="B136" s="77" t="str">
        <f aca="false">HYPERLINK("#'Data Checklist'!A73","A73")</f>
        <v>A73</v>
      </c>
      <c r="C136" s="0" t="s">
        <v>193</v>
      </c>
      <c r="D136" s="65" t="n">
        <v>56</v>
      </c>
    </row>
    <row r="137" customFormat="false" ht="15" hidden="true" customHeight="true" outlineLevel="1" collapsed="false">
      <c r="A137" s="0" t="s">
        <v>137</v>
      </c>
      <c r="B137" s="77" t="str">
        <f aca="false">HYPERLINK("#'Data Checklist'!A76","A76")</f>
        <v>A76</v>
      </c>
      <c r="C137" s="0" t="s">
        <v>194</v>
      </c>
      <c r="D137" s="65" t="n">
        <v>57</v>
      </c>
    </row>
    <row r="138" customFormat="false" ht="15" hidden="true" customHeight="true" outlineLevel="1" collapsed="false">
      <c r="A138" s="0" t="s">
        <v>137</v>
      </c>
      <c r="B138" s="77" t="str">
        <f aca="false">HYPERLINK("#'Data Checklist'!A77","A77")</f>
        <v>A77</v>
      </c>
      <c r="C138" s="0" t="s">
        <v>195</v>
      </c>
      <c r="D138" s="65" t="n">
        <v>58</v>
      </c>
    </row>
    <row r="139" customFormat="false" ht="15" hidden="true" customHeight="true" outlineLevel="1" collapsed="false">
      <c r="A139" s="0" t="s">
        <v>137</v>
      </c>
      <c r="B139" s="77" t="str">
        <f aca="false">HYPERLINK("#'Data Checklist'!A78","A78")</f>
        <v>A78</v>
      </c>
      <c r="C139" s="0" t="s">
        <v>196</v>
      </c>
      <c r="D139" s="65" t="n">
        <v>59</v>
      </c>
    </row>
    <row r="140" customFormat="false" ht="15" hidden="true" customHeight="true" outlineLevel="1" collapsed="false">
      <c r="A140" s="0" t="s">
        <v>137</v>
      </c>
      <c r="B140" s="77" t="str">
        <f aca="false">HYPERLINK("#'Data Checklist'!A79","A79")</f>
        <v>A79</v>
      </c>
      <c r="C140" s="0" t="s">
        <v>197</v>
      </c>
      <c r="D140" s="65" t="n">
        <v>60</v>
      </c>
    </row>
    <row r="141" customFormat="false" ht="15" hidden="true" customHeight="true" outlineLevel="1" collapsed="false">
      <c r="A141" s="0" t="s">
        <v>137</v>
      </c>
      <c r="B141" s="77" t="str">
        <f aca="false">HYPERLINK("#'Data Checklist'!A80","A80")</f>
        <v>A80</v>
      </c>
      <c r="C141" s="0" t="s">
        <v>198</v>
      </c>
      <c r="D141" s="65" t="n">
        <v>61</v>
      </c>
    </row>
    <row r="142" customFormat="false" ht="15" hidden="true" customHeight="true" outlineLevel="1" collapsed="false">
      <c r="A142" s="0" t="s">
        <v>137</v>
      </c>
      <c r="B142" s="77" t="str">
        <f aca="false">HYPERLINK("#'Data Checklist'!A81","A81")</f>
        <v>A81</v>
      </c>
      <c r="C142" s="0" t="s">
        <v>199</v>
      </c>
      <c r="D142" s="65" t="n">
        <v>62</v>
      </c>
    </row>
    <row r="143" customFormat="false" ht="15" hidden="true" customHeight="true" outlineLevel="1" collapsed="false">
      <c r="A143" s="0" t="s">
        <v>137</v>
      </c>
      <c r="B143" s="77" t="str">
        <f aca="false">HYPERLINK("#'Data Checklist'!A82","A82")</f>
        <v>A82</v>
      </c>
      <c r="C143" s="0" t="s">
        <v>200</v>
      </c>
      <c r="D143" s="65" t="n">
        <v>63</v>
      </c>
    </row>
    <row r="144" customFormat="false" ht="15" hidden="true" customHeight="true" outlineLevel="1" collapsed="false">
      <c r="A144" s="0" t="s">
        <v>137</v>
      </c>
      <c r="B144" s="77" t="str">
        <f aca="false">HYPERLINK("#'Data Checklist'!A85","A85")</f>
        <v>A85</v>
      </c>
      <c r="C144" s="0" t="s">
        <v>201</v>
      </c>
      <c r="D144" s="65" t="n">
        <v>64</v>
      </c>
    </row>
    <row r="145" customFormat="false" ht="15" hidden="true" customHeight="true" outlineLevel="1" collapsed="false">
      <c r="A145" s="0" t="s">
        <v>137</v>
      </c>
      <c r="B145" s="77" t="str">
        <f aca="false">HYPERLINK("#'Data Checklist'!A86","A86")</f>
        <v>A86</v>
      </c>
      <c r="C145" s="0" t="s">
        <v>202</v>
      </c>
      <c r="D145" s="65" t="n">
        <v>65</v>
      </c>
    </row>
    <row r="146" customFormat="false" ht="15" hidden="true" customHeight="true" outlineLevel="1" collapsed="false">
      <c r="A146" s="0" t="s">
        <v>137</v>
      </c>
      <c r="B146" s="77" t="str">
        <f aca="false">HYPERLINK("#'Data Checklist'!A87","A87")</f>
        <v>A87</v>
      </c>
      <c r="C146" s="0" t="s">
        <v>203</v>
      </c>
      <c r="D146" s="65" t="n">
        <v>66</v>
      </c>
    </row>
    <row r="147" customFormat="false" ht="15" hidden="true" customHeight="true" outlineLevel="1" collapsed="false">
      <c r="A147" s="0" t="s">
        <v>137</v>
      </c>
      <c r="B147" s="77" t="str">
        <f aca="false">HYPERLINK("#'Data Checklist'!A88","A88")</f>
        <v>A88</v>
      </c>
      <c r="C147" s="0" t="s">
        <v>204</v>
      </c>
      <c r="D147" s="65" t="n">
        <v>67</v>
      </c>
    </row>
    <row r="148" customFormat="false" ht="15" hidden="true" customHeight="true" outlineLevel="1" collapsed="false">
      <c r="A148" s="0" t="s">
        <v>137</v>
      </c>
      <c r="B148" s="77" t="str">
        <f aca="false">HYPERLINK("#'Data Checklist'!A89","A89")</f>
        <v>A89</v>
      </c>
      <c r="C148" s="0" t="s">
        <v>205</v>
      </c>
      <c r="D148" s="65" t="n">
        <v>68</v>
      </c>
    </row>
    <row r="149" customFormat="false" ht="15" hidden="true" customHeight="true" outlineLevel="1" collapsed="false">
      <c r="A149" s="0" t="s">
        <v>137</v>
      </c>
      <c r="B149" s="77" t="str">
        <f aca="false">HYPERLINK("#'Data Checklist'!A90","A90")</f>
        <v>A90</v>
      </c>
      <c r="C149" s="0" t="s">
        <v>206</v>
      </c>
      <c r="D149" s="65" t="n">
        <v>69</v>
      </c>
    </row>
    <row r="150" customFormat="false" ht="15" hidden="true" customHeight="true" outlineLevel="1" collapsed="false">
      <c r="A150" s="0" t="s">
        <v>137</v>
      </c>
      <c r="B150" s="77" t="str">
        <f aca="false">HYPERLINK("#'Data Checklist'!A93","A93")</f>
        <v>A93</v>
      </c>
      <c r="C150" s="0" t="s">
        <v>207</v>
      </c>
      <c r="D150" s="65" t="n">
        <v>70</v>
      </c>
    </row>
    <row r="151" customFormat="false" ht="15" hidden="true" customHeight="true" outlineLevel="1" collapsed="false">
      <c r="A151" s="0" t="s">
        <v>137</v>
      </c>
      <c r="B151" s="77" t="str">
        <f aca="false">HYPERLINK("#'Data Checklist'!A94","A94")</f>
        <v>A94</v>
      </c>
      <c r="C151" s="0" t="s">
        <v>208</v>
      </c>
      <c r="D151" s="65" t="n">
        <v>71</v>
      </c>
    </row>
    <row r="152" customFormat="false" ht="15" hidden="true" customHeight="true" outlineLevel="1" collapsed="false">
      <c r="A152" s="0" t="s">
        <v>137</v>
      </c>
      <c r="B152" s="77" t="str">
        <f aca="false">HYPERLINK("#'Data Checklist'!A95","A95")</f>
        <v>A95</v>
      </c>
      <c r="C152" s="0" t="s">
        <v>209</v>
      </c>
      <c r="D152" s="65" t="n">
        <v>72</v>
      </c>
    </row>
    <row r="153" customFormat="false" ht="15" hidden="true" customHeight="true" outlineLevel="1" collapsed="false">
      <c r="A153" s="0" t="s">
        <v>137</v>
      </c>
      <c r="B153" s="77" t="str">
        <f aca="false">HYPERLINK("#'Data Checklist'!A96","A96")</f>
        <v>A96</v>
      </c>
      <c r="C153" s="0" t="s">
        <v>210</v>
      </c>
      <c r="D153" s="65" t="n">
        <v>73</v>
      </c>
    </row>
    <row r="154" customFormat="false" ht="15" hidden="true" customHeight="true" outlineLevel="1" collapsed="false">
      <c r="A154" s="0" t="s">
        <v>137</v>
      </c>
      <c r="B154" s="77" t="str">
        <f aca="false">HYPERLINK("#'Data Checklist'!A97","A97")</f>
        <v>A97</v>
      </c>
      <c r="C154" s="0" t="s">
        <v>211</v>
      </c>
      <c r="D154" s="65" t="n">
        <v>74</v>
      </c>
    </row>
    <row r="155" customFormat="false" ht="15" hidden="false" customHeight="true" outlineLevel="0" collapsed="false">
      <c r="B155" s="77"/>
    </row>
    <row r="156" customFormat="false" ht="15" hidden="false" customHeight="true" outlineLevel="0" collapsed="false">
      <c r="A156" s="75" t="s">
        <v>212</v>
      </c>
      <c r="B156" s="76" t="s">
        <v>213</v>
      </c>
      <c r="C156" s="75"/>
      <c r="D156" s="75"/>
      <c r="E156" s="75"/>
    </row>
    <row r="157" customFormat="false" ht="15" hidden="true" customHeight="true" outlineLevel="1" collapsed="false">
      <c r="A157" s="0" t="s">
        <v>214</v>
      </c>
      <c r="B157" s="77" t="str">
        <f aca="false">HYPERLINK("#'Acquisition Costs'!D16","D16")</f>
        <v>D16</v>
      </c>
      <c r="C157" s="0" t="s">
        <v>215</v>
      </c>
      <c r="D157" s="79" t="n">
        <v>3500</v>
      </c>
    </row>
    <row r="158" customFormat="false" ht="15" hidden="true" customHeight="true" outlineLevel="1" collapsed="false">
      <c r="A158" s="0" t="s">
        <v>214</v>
      </c>
      <c r="B158" s="77" t="str">
        <f aca="false">HYPERLINK("#'Acquisition Costs'!D17","D17")</f>
        <v>D17</v>
      </c>
      <c r="C158" s="0" t="s">
        <v>216</v>
      </c>
      <c r="D158" s="79" t="n">
        <v>6500</v>
      </c>
    </row>
    <row r="159" customFormat="false" ht="15" hidden="true" customHeight="true" outlineLevel="1" collapsed="false">
      <c r="A159" s="0" t="s">
        <v>214</v>
      </c>
      <c r="B159" s="77" t="str">
        <f aca="false">HYPERLINK("#'Acquisition Costs'!D18","D18")</f>
        <v>D18</v>
      </c>
      <c r="C159" s="0" t="s">
        <v>217</v>
      </c>
      <c r="D159" s="79" t="n">
        <v>4500</v>
      </c>
    </row>
    <row r="160" customFormat="false" ht="15" hidden="true" customHeight="true" outlineLevel="1" collapsed="false">
      <c r="A160" s="0" t="s">
        <v>214</v>
      </c>
      <c r="B160" s="77" t="str">
        <f aca="false">HYPERLINK("#'Acquisition Costs'!D19","D19")</f>
        <v>D19</v>
      </c>
      <c r="C160" s="0" t="s">
        <v>218</v>
      </c>
      <c r="D160" s="79" t="n">
        <v>15000</v>
      </c>
    </row>
    <row r="161" customFormat="false" ht="15" hidden="true" customHeight="true" outlineLevel="1" collapsed="false">
      <c r="A161" s="0" t="s">
        <v>214</v>
      </c>
      <c r="B161" s="77" t="str">
        <f aca="false">HYPERLINK("#'Acquisition Costs'!D20","D20")</f>
        <v>D20</v>
      </c>
      <c r="C161" s="0" t="s">
        <v>219</v>
      </c>
      <c r="D161" s="79" t="n">
        <v>2500</v>
      </c>
    </row>
    <row r="162" customFormat="false" ht="15" hidden="true" customHeight="true" outlineLevel="1" collapsed="false">
      <c r="A162" s="0" t="s">
        <v>214</v>
      </c>
      <c r="B162" s="77" t="str">
        <f aca="false">HYPERLINK("#'Acquisition Costs'!B23","B23")</f>
        <v>B23</v>
      </c>
      <c r="C162" s="0" t="s">
        <v>220</v>
      </c>
      <c r="D162" s="82" t="n">
        <v>0.003</v>
      </c>
    </row>
    <row r="163" customFormat="false" ht="15" hidden="true" customHeight="true" outlineLevel="1" collapsed="false">
      <c r="A163" s="0" t="s">
        <v>214</v>
      </c>
      <c r="B163" s="77" t="str">
        <f aca="false">HYPERLINK("#'Acquisition Costs'!D24","D24")</f>
        <v>D24</v>
      </c>
      <c r="C163" s="0" t="s">
        <v>221</v>
      </c>
      <c r="D163" s="79" t="n">
        <v>5000</v>
      </c>
    </row>
    <row r="164" customFormat="false" ht="15" hidden="true" customHeight="true" outlineLevel="1" collapsed="false">
      <c r="A164" s="0" t="s">
        <v>214</v>
      </c>
      <c r="B164" s="77" t="str">
        <f aca="false">HYPERLINK("#'Acquisition Costs'!D25","D25")</f>
        <v>D25</v>
      </c>
      <c r="C164" s="0" t="s">
        <v>222</v>
      </c>
      <c r="D164" s="79" t="n">
        <v>1500</v>
      </c>
    </row>
    <row r="165" customFormat="false" ht="15" hidden="true" customHeight="true" outlineLevel="1" collapsed="false">
      <c r="A165" s="0" t="s">
        <v>214</v>
      </c>
      <c r="B165" s="77" t="str">
        <f aca="false">HYPERLINK("#'Acquisition Costs'!B26","B26")</f>
        <v>B26</v>
      </c>
      <c r="C165" s="0" t="s">
        <v>223</v>
      </c>
      <c r="D165" s="83" t="n">
        <v>0.0035</v>
      </c>
    </row>
    <row r="166" customFormat="false" ht="15" hidden="true" customHeight="true" outlineLevel="1" collapsed="false">
      <c r="A166" s="0" t="s">
        <v>214</v>
      </c>
      <c r="B166" s="77" t="str">
        <f aca="false">HYPERLINK("#'Acquisition Costs'!D27","D27")</f>
        <v>D27</v>
      </c>
      <c r="C166" s="0" t="s">
        <v>224</v>
      </c>
      <c r="D166" s="79" t="n">
        <v>750</v>
      </c>
    </row>
    <row r="167" customFormat="false" ht="15" hidden="true" customHeight="true" outlineLevel="1" collapsed="false">
      <c r="A167" s="0" t="s">
        <v>214</v>
      </c>
      <c r="B167" s="77" t="str">
        <f aca="false">HYPERLINK("#'Acquisition Costs'!D28","D28")</f>
        <v>D28</v>
      </c>
      <c r="C167" s="0" t="s">
        <v>225</v>
      </c>
      <c r="D167" s="79" t="n">
        <v>500</v>
      </c>
    </row>
    <row r="168" customFormat="false" ht="15" hidden="true" customHeight="true" outlineLevel="1" collapsed="false">
      <c r="A168" s="0" t="s">
        <v>214</v>
      </c>
      <c r="B168" s="77" t="str">
        <f aca="false">HYPERLINK("#'Acquisition Costs'!D29","D29")</f>
        <v>D29</v>
      </c>
      <c r="C168" s="0" t="s">
        <v>226</v>
      </c>
      <c r="D168" s="79" t="n">
        <v>12500</v>
      </c>
    </row>
    <row r="169" customFormat="false" ht="15" hidden="true" customHeight="true" outlineLevel="1" collapsed="false">
      <c r="A169" s="0" t="s">
        <v>214</v>
      </c>
      <c r="B169" s="77" t="str">
        <f aca="false">HYPERLINK("#'Acquisition Costs'!D31","D31")</f>
        <v>D31</v>
      </c>
      <c r="C169" s="0" t="s">
        <v>227</v>
      </c>
      <c r="D169" s="79" t="n">
        <v>7500</v>
      </c>
    </row>
    <row r="170" customFormat="false" ht="15" hidden="true" customHeight="true" outlineLevel="1" collapsed="false">
      <c r="A170" s="0" t="s">
        <v>214</v>
      </c>
      <c r="B170" s="77" t="str">
        <f aca="false">HYPERLINK("#'Acquisition Costs'!D32","D32")</f>
        <v>D32</v>
      </c>
      <c r="C170" s="0" t="s">
        <v>228</v>
      </c>
      <c r="D170" s="79" t="n">
        <v>3500</v>
      </c>
    </row>
    <row r="171" customFormat="false" ht="15" hidden="true" customHeight="true" outlineLevel="1" collapsed="false">
      <c r="A171" s="0" t="s">
        <v>214</v>
      </c>
      <c r="B171" s="77" t="str">
        <f aca="false">HYPERLINK("#'Acquisition Costs'!D33","D33")</f>
        <v>D33</v>
      </c>
      <c r="C171" s="0" t="s">
        <v>229</v>
      </c>
      <c r="D171" s="79" t="n">
        <v>7500</v>
      </c>
    </row>
    <row r="172" customFormat="false" ht="15" hidden="true" customHeight="true" outlineLevel="1" collapsed="false">
      <c r="A172" s="0" t="s">
        <v>214</v>
      </c>
      <c r="B172" s="77" t="str">
        <f aca="false">HYPERLINK("#'Acquisition Costs'!B34","B34")</f>
        <v>B34</v>
      </c>
      <c r="C172" s="0" t="s">
        <v>230</v>
      </c>
      <c r="D172" s="82" t="n">
        <v>0.005</v>
      </c>
    </row>
    <row r="173" customFormat="false" ht="15" hidden="false" customHeight="true" outlineLevel="0" collapsed="false">
      <c r="B173" s="77"/>
    </row>
    <row r="174" customFormat="false" ht="15" hidden="false" customHeight="true" outlineLevel="0" collapsed="false">
      <c r="A174" s="75" t="s">
        <v>231</v>
      </c>
      <c r="B174" s="76" t="s">
        <v>232</v>
      </c>
      <c r="C174" s="75"/>
      <c r="D174" s="75"/>
      <c r="E174" s="75"/>
    </row>
    <row r="175" customFormat="false" ht="15" hidden="true" customHeight="true" outlineLevel="1" collapsed="false">
      <c r="A175" s="0" t="s">
        <v>233</v>
      </c>
      <c r="B175" s="77" t="str">
        <f aca="false">HYPERLINK("#Loans!B21","B21")</f>
        <v>B21</v>
      </c>
      <c r="C175" s="0" t="s">
        <v>234</v>
      </c>
      <c r="D175" s="81" t="n">
        <v>10</v>
      </c>
    </row>
    <row r="176" customFormat="false" ht="15" hidden="true" customHeight="true" outlineLevel="1" collapsed="false">
      <c r="A176" s="0" t="s">
        <v>233</v>
      </c>
      <c r="B176" s="77" t="str">
        <f aca="false">HYPERLINK("#Loans!B22","B22")</f>
        <v>B22</v>
      </c>
      <c r="C176" s="0" t="s">
        <v>235</v>
      </c>
      <c r="D176" s="81" t="n">
        <v>0</v>
      </c>
    </row>
    <row r="177" customFormat="false" ht="15" hidden="false" customHeight="true" outlineLevel="0" collapsed="false">
      <c r="B177" s="77"/>
    </row>
    <row r="178" customFormat="false" ht="15" hidden="false" customHeight="true" outlineLevel="0" collapsed="false">
      <c r="A178" s="75" t="s">
        <v>236</v>
      </c>
      <c r="B178" s="76" t="s">
        <v>237</v>
      </c>
      <c r="C178" s="75"/>
      <c r="D178" s="75"/>
      <c r="E178" s="75"/>
    </row>
    <row r="179" customFormat="false" ht="15" hidden="true" customHeight="true" outlineLevel="1" collapsed="false">
      <c r="A179" s="0" t="s">
        <v>236</v>
      </c>
      <c r="B179" s="77" t="str">
        <f aca="false">HYPERLINK("#'P&amp;L'!C5","C5")</f>
        <v>C5</v>
      </c>
      <c r="C179" s="0" t="s">
        <v>46</v>
      </c>
      <c r="D179" s="84" t="n">
        <v>0</v>
      </c>
    </row>
    <row r="180" customFormat="false" ht="15" hidden="true" customHeight="true" outlineLevel="1" collapsed="false">
      <c r="A180" s="0" t="s">
        <v>236</v>
      </c>
      <c r="B180" s="77" t="str">
        <f aca="false">HYPERLINK("#'P&amp;L'!D5","D5")</f>
        <v>D5</v>
      </c>
      <c r="C180" s="0" t="s">
        <v>46</v>
      </c>
      <c r="D180" s="84" t="n">
        <v>0.02</v>
      </c>
    </row>
    <row r="181" customFormat="false" ht="15" hidden="true" customHeight="true" outlineLevel="1" collapsed="false">
      <c r="A181" s="0" t="s">
        <v>236</v>
      </c>
      <c r="B181" s="77" t="str">
        <f aca="false">HYPERLINK("#'P&amp;L'!E5","E5")</f>
        <v>E5</v>
      </c>
      <c r="C181" s="0" t="s">
        <v>46</v>
      </c>
      <c r="D181" s="84" t="n">
        <v>0.03</v>
      </c>
    </row>
    <row r="182" customFormat="false" ht="15" hidden="true" customHeight="true" outlineLevel="1" collapsed="false">
      <c r="A182" s="0" t="s">
        <v>236</v>
      </c>
      <c r="B182" s="77" t="str">
        <f aca="false">HYPERLINK("#'P&amp;L'!F5","F5")</f>
        <v>F5</v>
      </c>
      <c r="C182" s="0" t="s">
        <v>46</v>
      </c>
      <c r="D182" s="84" t="n">
        <v>0.03</v>
      </c>
    </row>
    <row r="183" customFormat="false" ht="15" hidden="true" customHeight="true" outlineLevel="1" collapsed="false">
      <c r="A183" s="0" t="s">
        <v>236</v>
      </c>
      <c r="B183" s="77" t="str">
        <f aca="false">HYPERLINK("#'P&amp;L'!G5","G5")</f>
        <v>G5</v>
      </c>
      <c r="C183" s="0" t="s">
        <v>46</v>
      </c>
      <c r="D183" s="84" t="n">
        <v>0.03</v>
      </c>
    </row>
    <row r="184" customFormat="false" ht="15" hidden="true" customHeight="true" outlineLevel="1" collapsed="false">
      <c r="A184" s="0" t="s">
        <v>236</v>
      </c>
      <c r="B184" s="77" t="str">
        <f aca="false">HYPERLINK("#'P&amp;L'!H5","H5")</f>
        <v>H5</v>
      </c>
      <c r="C184" s="0" t="s">
        <v>46</v>
      </c>
      <c r="D184" s="84" t="n">
        <v>0.03</v>
      </c>
    </row>
    <row r="185" customFormat="false" ht="15" hidden="true" customHeight="true" outlineLevel="1" collapsed="false">
      <c r="A185" s="0" t="s">
        <v>236</v>
      </c>
      <c r="B185" s="77" t="str">
        <f aca="false">HYPERLINK("#'P&amp;L'!I5","I5")</f>
        <v>I5</v>
      </c>
      <c r="C185" s="0" t="s">
        <v>46</v>
      </c>
      <c r="D185" s="84" t="n">
        <v>0.03</v>
      </c>
    </row>
    <row r="186" customFormat="false" ht="15" hidden="true" customHeight="true" outlineLevel="1" collapsed="false">
      <c r="A186" s="0" t="s">
        <v>236</v>
      </c>
      <c r="B186" s="77" t="str">
        <f aca="false">HYPERLINK("#'P&amp;L'!J5","J5")</f>
        <v>J5</v>
      </c>
      <c r="C186" s="0" t="s">
        <v>46</v>
      </c>
      <c r="D186" s="84" t="n">
        <v>0.03</v>
      </c>
    </row>
    <row r="187" customFormat="false" ht="15" hidden="true" customHeight="true" outlineLevel="1" collapsed="false">
      <c r="A187" s="0" t="s">
        <v>236</v>
      </c>
      <c r="B187" s="77" t="str">
        <f aca="false">HYPERLINK("#'P&amp;L'!K5","K5")</f>
        <v>K5</v>
      </c>
      <c r="C187" s="0" t="s">
        <v>46</v>
      </c>
      <c r="D187" s="84" t="n">
        <v>0.03</v>
      </c>
    </row>
    <row r="188" customFormat="false" ht="15" hidden="true" customHeight="true" outlineLevel="1" collapsed="false">
      <c r="A188" s="0" t="s">
        <v>236</v>
      </c>
      <c r="B188" s="77" t="str">
        <f aca="false">HYPERLINK("#'P&amp;L'!L5","L5")</f>
        <v>L5</v>
      </c>
      <c r="C188" s="0" t="s">
        <v>46</v>
      </c>
      <c r="D188" s="84" t="n">
        <v>0.03</v>
      </c>
    </row>
    <row r="189" customFormat="false" ht="15" hidden="true" customHeight="true" outlineLevel="1" collapsed="false">
      <c r="A189" s="0" t="s">
        <v>236</v>
      </c>
      <c r="B189" s="77" t="str">
        <f aca="false">HYPERLINK("#'P&amp;L'!C6","C6")</f>
        <v>C6</v>
      </c>
      <c r="C189" s="0" t="s">
        <v>46</v>
      </c>
      <c r="D189" s="84" t="n">
        <v>0.03</v>
      </c>
    </row>
    <row r="190" customFormat="false" ht="15" hidden="true" customHeight="true" outlineLevel="1" collapsed="false">
      <c r="A190" s="0" t="s">
        <v>236</v>
      </c>
      <c r="B190" s="77" t="str">
        <f aca="false">HYPERLINK("#'P&amp;L'!D6","D6")</f>
        <v>D6</v>
      </c>
      <c r="C190" s="0" t="s">
        <v>46</v>
      </c>
      <c r="D190" s="84" t="n">
        <v>0.03</v>
      </c>
    </row>
    <row r="191" customFormat="false" ht="15" hidden="true" customHeight="true" outlineLevel="1" collapsed="false">
      <c r="A191" s="0" t="s">
        <v>236</v>
      </c>
      <c r="B191" s="77" t="str">
        <f aca="false">HYPERLINK("#'P&amp;L'!E6","E6")</f>
        <v>E6</v>
      </c>
      <c r="C191" s="0" t="s">
        <v>46</v>
      </c>
      <c r="D191" s="84" t="n">
        <v>0.03</v>
      </c>
    </row>
    <row r="192" customFormat="false" ht="15" hidden="true" customHeight="true" outlineLevel="1" collapsed="false">
      <c r="A192" s="0" t="s">
        <v>236</v>
      </c>
      <c r="B192" s="77" t="str">
        <f aca="false">HYPERLINK("#'P&amp;L'!F6","F6")</f>
        <v>F6</v>
      </c>
      <c r="C192" s="0" t="s">
        <v>46</v>
      </c>
      <c r="D192" s="84" t="n">
        <v>0.03</v>
      </c>
    </row>
    <row r="193" customFormat="false" ht="15" hidden="true" customHeight="true" outlineLevel="1" collapsed="false">
      <c r="A193" s="0" t="s">
        <v>236</v>
      </c>
      <c r="B193" s="77" t="str">
        <f aca="false">HYPERLINK("#'P&amp;L'!G6","G6")</f>
        <v>G6</v>
      </c>
      <c r="C193" s="0" t="s">
        <v>46</v>
      </c>
      <c r="D193" s="84" t="n">
        <v>0.03</v>
      </c>
    </row>
    <row r="194" customFormat="false" ht="15" hidden="true" customHeight="true" outlineLevel="1" collapsed="false">
      <c r="A194" s="0" t="s">
        <v>236</v>
      </c>
      <c r="B194" s="77" t="str">
        <f aca="false">HYPERLINK("#'P&amp;L'!H6","H6")</f>
        <v>H6</v>
      </c>
      <c r="C194" s="0" t="s">
        <v>46</v>
      </c>
      <c r="D194" s="84" t="n">
        <v>0.03</v>
      </c>
    </row>
    <row r="195" customFormat="false" ht="15" hidden="true" customHeight="true" outlineLevel="1" collapsed="false">
      <c r="A195" s="0" t="s">
        <v>236</v>
      </c>
      <c r="B195" s="77" t="str">
        <f aca="false">HYPERLINK("#'P&amp;L'!I6","I6")</f>
        <v>I6</v>
      </c>
      <c r="C195" s="0" t="s">
        <v>46</v>
      </c>
      <c r="D195" s="84" t="n">
        <v>0.03</v>
      </c>
    </row>
    <row r="196" customFormat="false" ht="15" hidden="true" customHeight="true" outlineLevel="1" collapsed="false">
      <c r="A196" s="0" t="s">
        <v>236</v>
      </c>
      <c r="B196" s="77" t="str">
        <f aca="false">HYPERLINK("#'P&amp;L'!J6","J6")</f>
        <v>J6</v>
      </c>
      <c r="C196" s="0" t="s">
        <v>46</v>
      </c>
      <c r="D196" s="84" t="n">
        <v>0.03</v>
      </c>
    </row>
    <row r="197" customFormat="false" ht="15" hidden="true" customHeight="true" outlineLevel="1" collapsed="false">
      <c r="A197" s="0" t="s">
        <v>236</v>
      </c>
      <c r="B197" s="77" t="str">
        <f aca="false">HYPERLINK("#'P&amp;L'!K6","K6")</f>
        <v>K6</v>
      </c>
      <c r="C197" s="0" t="s">
        <v>46</v>
      </c>
      <c r="D197" s="84" t="n">
        <v>0.03</v>
      </c>
    </row>
    <row r="198" customFormat="false" ht="15" hidden="true" customHeight="true" outlineLevel="1" collapsed="false">
      <c r="A198" s="0" t="s">
        <v>236</v>
      </c>
      <c r="B198" s="77" t="str">
        <f aca="false">HYPERLINK("#'P&amp;L'!L6","L6")</f>
        <v>L6</v>
      </c>
      <c r="C198" s="0" t="s">
        <v>46</v>
      </c>
      <c r="D198" s="84" t="n">
        <v>0.03</v>
      </c>
    </row>
    <row r="199" customFormat="false" ht="15" hidden="true" customHeight="true" outlineLevel="1" collapsed="false">
      <c r="A199" s="0" t="s">
        <v>236</v>
      </c>
      <c r="B199" s="77" t="str">
        <f aca="false">HYPERLINK("#'P&amp;L'!C7","C7")</f>
        <v>C7</v>
      </c>
      <c r="C199" s="0" t="s">
        <v>46</v>
      </c>
      <c r="D199" s="78" t="n">
        <v>0.05</v>
      </c>
    </row>
    <row r="200" customFormat="false" ht="15" hidden="true" customHeight="true" outlineLevel="1" collapsed="false">
      <c r="A200" s="0" t="s">
        <v>236</v>
      </c>
      <c r="B200" s="77" t="str">
        <f aca="false">HYPERLINK("#'P&amp;L'!C11","C11")</f>
        <v>C11</v>
      </c>
      <c r="C200" s="0" t="s">
        <v>46</v>
      </c>
      <c r="D200" s="85" t="n">
        <v>0.25</v>
      </c>
    </row>
    <row r="201" customFormat="false" ht="15" hidden="true" customHeight="true" outlineLevel="1" collapsed="false">
      <c r="A201" s="0" t="s">
        <v>236</v>
      </c>
      <c r="B201" s="77" t="str">
        <f aca="false">HYPERLINK("#'P&amp;L'!D11","D11")</f>
        <v>D11</v>
      </c>
      <c r="C201" s="0" t="s">
        <v>46</v>
      </c>
      <c r="D201" s="85" t="n">
        <v>0.12</v>
      </c>
    </row>
    <row r="202" customFormat="false" ht="15" hidden="true" customHeight="true" outlineLevel="1" collapsed="false">
      <c r="A202" s="0" t="s">
        <v>236</v>
      </c>
      <c r="B202" s="77" t="str">
        <f aca="false">HYPERLINK("#'P&amp;L'!E11","E11")</f>
        <v>E11</v>
      </c>
      <c r="C202" s="0" t="s">
        <v>46</v>
      </c>
      <c r="D202" s="85" t="n">
        <v>0.1</v>
      </c>
    </row>
    <row r="203" customFormat="false" ht="15" hidden="true" customHeight="true" outlineLevel="1" collapsed="false">
      <c r="A203" s="0" t="s">
        <v>236</v>
      </c>
      <c r="B203" s="77" t="str">
        <f aca="false">HYPERLINK("#'P&amp;L'!B13","B13")</f>
        <v>B13</v>
      </c>
      <c r="C203" s="0" t="s">
        <v>238</v>
      </c>
      <c r="D203" s="79" t="n">
        <v>0</v>
      </c>
    </row>
    <row r="204" customFormat="false" ht="15" hidden="true" customHeight="true" outlineLevel="1" collapsed="false">
      <c r="A204" s="0" t="s">
        <v>236</v>
      </c>
      <c r="B204" s="77" t="str">
        <f aca="false">HYPERLINK("#'P&amp;L'!D13","D13")</f>
        <v>D13</v>
      </c>
      <c r="C204" s="0" t="s">
        <v>238</v>
      </c>
      <c r="D204" s="85" t="n">
        <v>0.01</v>
      </c>
    </row>
    <row r="205" customFormat="false" ht="15" hidden="true" customHeight="true" outlineLevel="1" collapsed="false">
      <c r="A205" s="0" t="s">
        <v>236</v>
      </c>
      <c r="B205" s="77" t="str">
        <f aca="false">HYPERLINK("#'P&amp;L'!B15","B15")</f>
        <v>B15</v>
      </c>
      <c r="C205" s="0" t="s">
        <v>239</v>
      </c>
      <c r="D205" s="79" t="n">
        <v>0</v>
      </c>
    </row>
    <row r="206" customFormat="false" ht="15" hidden="true" customHeight="true" outlineLevel="1" collapsed="false">
      <c r="A206" s="0" t="s">
        <v>236</v>
      </c>
      <c r="B206" s="77" t="str">
        <f aca="false">HYPERLINK("#'P&amp;L'!C15","C15")</f>
        <v>C15</v>
      </c>
      <c r="C206" s="0" t="s">
        <v>239</v>
      </c>
      <c r="D206" s="85" t="n">
        <v>0.1</v>
      </c>
    </row>
    <row r="207" customFormat="false" ht="15" hidden="true" customHeight="true" outlineLevel="1" collapsed="false">
      <c r="A207" s="0" t="s">
        <v>236</v>
      </c>
      <c r="B207" s="77" t="str">
        <f aca="false">HYPERLINK("#'P&amp;L'!D15","D15")</f>
        <v>D15</v>
      </c>
      <c r="C207" s="0" t="s">
        <v>239</v>
      </c>
      <c r="D207" s="85" t="n">
        <v>0.03</v>
      </c>
    </row>
    <row r="208" customFormat="false" ht="15" hidden="true" customHeight="true" outlineLevel="1" collapsed="false">
      <c r="A208" s="0" t="s">
        <v>236</v>
      </c>
      <c r="B208" s="77" t="str">
        <f aca="false">HYPERLINK("#'P&amp;L'!B16","B16")</f>
        <v>B16</v>
      </c>
      <c r="C208" s="0" t="s">
        <v>240</v>
      </c>
      <c r="D208" s="79" t="n">
        <v>0</v>
      </c>
    </row>
    <row r="209" customFormat="false" ht="15" hidden="true" customHeight="true" outlineLevel="1" collapsed="false">
      <c r="A209" s="0" t="s">
        <v>236</v>
      </c>
      <c r="B209" s="77" t="str">
        <f aca="false">HYPERLINK("#'P&amp;L'!B48","B48")</f>
        <v>B48</v>
      </c>
      <c r="C209" s="0" t="s">
        <v>241</v>
      </c>
      <c r="D209" s="80" t="n">
        <v>0</v>
      </c>
    </row>
    <row r="210" customFormat="false" ht="15" hidden="false" customHeight="true" outlineLevel="0" collapsed="false">
      <c r="B210" s="77"/>
    </row>
    <row r="211" customFormat="false" ht="15" hidden="false" customHeight="true" outlineLevel="0" collapsed="false">
      <c r="A211" s="75" t="s">
        <v>242</v>
      </c>
      <c r="B211" s="76" t="s">
        <v>243</v>
      </c>
      <c r="C211" s="75"/>
      <c r="D211" s="75"/>
      <c r="E211" s="75"/>
    </row>
    <row r="212" customFormat="false" ht="15" hidden="true" customHeight="true" outlineLevel="1" collapsed="false">
      <c r="A212" s="0" t="s">
        <v>244</v>
      </c>
      <c r="B212" s="77" t="str">
        <f aca="false">HYPERLINK("#Waterfall!B7","B7")</f>
        <v>B7</v>
      </c>
      <c r="C212" s="0" t="s">
        <v>245</v>
      </c>
      <c r="D212" s="78" t="n">
        <v>0.03</v>
      </c>
    </row>
    <row r="213" customFormat="false" ht="15" hidden="true" customHeight="true" outlineLevel="1" collapsed="false">
      <c r="A213" s="0" t="s">
        <v>244</v>
      </c>
      <c r="B213" s="77" t="str">
        <f aca="false">HYPERLINK("#Waterfall!M59","M59")</f>
        <v>M59</v>
      </c>
      <c r="C213" s="0" t="s">
        <v>246</v>
      </c>
      <c r="D213" s="79" t="n">
        <v>0</v>
      </c>
    </row>
    <row r="214" customFormat="false" ht="15" hidden="true" customHeight="true" outlineLevel="1" collapsed="false">
      <c r="A214" s="0" t="s">
        <v>244</v>
      </c>
      <c r="B214" s="77" t="str">
        <f aca="false">HYPERLINK("#Waterfall!M60","M60")</f>
        <v>M60</v>
      </c>
      <c r="C214" s="0" t="s">
        <v>247</v>
      </c>
      <c r="D214" s="79" t="n">
        <v>0</v>
      </c>
    </row>
    <row r="215" customFormat="false" ht="15" hidden="true" customHeight="true" outlineLevel="1" collapsed="false">
      <c r="A215" s="0" t="s">
        <v>244</v>
      </c>
      <c r="B215" s="77" t="str">
        <f aca="false">HYPERLINK("#Waterfall!M61","M61")</f>
        <v>M61</v>
      </c>
      <c r="C215" s="0" t="s">
        <v>248</v>
      </c>
      <c r="D215" s="79" t="n">
        <v>0</v>
      </c>
    </row>
    <row r="216" customFormat="false" ht="15" hidden="true" customHeight="true" outlineLevel="1" collapsed="false">
      <c r="A216" s="0" t="s">
        <v>244</v>
      </c>
      <c r="B216" s="77" t="str">
        <f aca="false">HYPERLINK("#Waterfall!M67","M67")</f>
        <v>M67</v>
      </c>
      <c r="C216" s="0" t="s">
        <v>249</v>
      </c>
      <c r="D216" s="79" t="n">
        <v>0</v>
      </c>
    </row>
    <row r="217" customFormat="false" ht="15" hidden="true" customHeight="true" outlineLevel="1" collapsed="false">
      <c r="A217" s="0" t="s">
        <v>244</v>
      </c>
      <c r="B217" s="77" t="str">
        <f aca="false">HYPERLINK("#Waterfall!C84","C84")</f>
        <v>C84</v>
      </c>
      <c r="C217" s="0" t="s">
        <v>250</v>
      </c>
      <c r="D217" s="79" t="n">
        <v>0</v>
      </c>
    </row>
    <row r="218" customFormat="false" ht="15" hidden="true" customHeight="true" outlineLevel="1" collapsed="false">
      <c r="A218" s="0" t="s">
        <v>244</v>
      </c>
      <c r="B218" s="77" t="str">
        <f aca="false">HYPERLINK("#Waterfall!D84","D84")</f>
        <v>D84</v>
      </c>
      <c r="C218" s="0" t="s">
        <v>250</v>
      </c>
      <c r="D218" s="79" t="n">
        <v>0</v>
      </c>
    </row>
    <row r="219" customFormat="false" ht="15" hidden="true" customHeight="true" outlineLevel="1" collapsed="false">
      <c r="A219" s="0" t="s">
        <v>244</v>
      </c>
      <c r="B219" s="77" t="str">
        <f aca="false">HYPERLINK("#Waterfall!E84","E84")</f>
        <v>E84</v>
      </c>
      <c r="C219" s="0" t="s">
        <v>250</v>
      </c>
      <c r="D219" s="79" t="n">
        <v>0</v>
      </c>
    </row>
    <row r="220" customFormat="false" ht="15" hidden="true" customHeight="true" outlineLevel="1" collapsed="false">
      <c r="A220" s="0" t="s">
        <v>244</v>
      </c>
      <c r="B220" s="77" t="str">
        <f aca="false">HYPERLINK("#Waterfall!F84","F84")</f>
        <v>F84</v>
      </c>
      <c r="C220" s="0" t="s">
        <v>250</v>
      </c>
      <c r="D220" s="79" t="n">
        <v>0</v>
      </c>
    </row>
    <row r="221" customFormat="false" ht="15" hidden="true" customHeight="true" outlineLevel="1" collapsed="false">
      <c r="A221" s="0" t="s">
        <v>244</v>
      </c>
      <c r="B221" s="77" t="str">
        <f aca="false">HYPERLINK("#Waterfall!G84","G84")</f>
        <v>G84</v>
      </c>
      <c r="C221" s="0" t="s">
        <v>250</v>
      </c>
      <c r="D221" s="79" t="n">
        <v>0</v>
      </c>
    </row>
    <row r="222" customFormat="false" ht="15" hidden="true" customHeight="true" outlineLevel="1" collapsed="false">
      <c r="A222" s="0" t="s">
        <v>244</v>
      </c>
      <c r="B222" s="77" t="str">
        <f aca="false">HYPERLINK("#Waterfall!H84","H84")</f>
        <v>H84</v>
      </c>
      <c r="C222" s="0" t="s">
        <v>250</v>
      </c>
      <c r="D222" s="79" t="n">
        <v>0</v>
      </c>
    </row>
    <row r="223" customFormat="false" ht="15" hidden="true" customHeight="true" outlineLevel="1" collapsed="false">
      <c r="A223" s="0" t="s">
        <v>244</v>
      </c>
      <c r="B223" s="77" t="str">
        <f aca="false">HYPERLINK("#Waterfall!I84","I84")</f>
        <v>I84</v>
      </c>
      <c r="C223" s="0" t="s">
        <v>250</v>
      </c>
      <c r="D223" s="79" t="n">
        <v>0</v>
      </c>
    </row>
    <row r="224" customFormat="false" ht="15" hidden="true" customHeight="true" outlineLevel="1" collapsed="false">
      <c r="A224" s="0" t="s">
        <v>244</v>
      </c>
      <c r="B224" s="77" t="str">
        <f aca="false">HYPERLINK("#Waterfall!J84","J84")</f>
        <v>J84</v>
      </c>
      <c r="C224" s="0" t="s">
        <v>250</v>
      </c>
      <c r="D224" s="79" t="n">
        <v>0</v>
      </c>
    </row>
    <row r="225" customFormat="false" ht="15" hidden="true" customHeight="true" outlineLevel="1" collapsed="false">
      <c r="A225" s="0" t="s">
        <v>244</v>
      </c>
      <c r="B225" s="77" t="str">
        <f aca="false">HYPERLINK("#Waterfall!K84","K84")</f>
        <v>K84</v>
      </c>
      <c r="C225" s="0" t="s">
        <v>250</v>
      </c>
      <c r="D225" s="79" t="n">
        <v>0</v>
      </c>
    </row>
    <row r="226" customFormat="false" ht="15" hidden="true" customHeight="true" outlineLevel="1" collapsed="false">
      <c r="A226" s="0" t="s">
        <v>244</v>
      </c>
      <c r="B226" s="77" t="str">
        <f aca="false">HYPERLINK("#Waterfall!L84","L84")</f>
        <v>L84</v>
      </c>
      <c r="C226" s="0" t="s">
        <v>250</v>
      </c>
      <c r="D226" s="79" t="n">
        <v>0</v>
      </c>
    </row>
    <row r="227" customFormat="false" ht="15" hidden="true" customHeight="true" outlineLevel="1" collapsed="false">
      <c r="A227" s="0" t="s">
        <v>244</v>
      </c>
      <c r="B227" s="77" t="str">
        <f aca="false">HYPERLINK("#Waterfall!L85","L85")</f>
        <v>L85</v>
      </c>
      <c r="C227" s="0" t="s">
        <v>251</v>
      </c>
      <c r="D227" s="79" t="n">
        <v>0</v>
      </c>
    </row>
    <row r="228" customFormat="false" ht="15" hidden="true" customHeight="true" outlineLevel="1" collapsed="false">
      <c r="A228" s="0" t="s">
        <v>244</v>
      </c>
      <c r="B228" s="77" t="str">
        <f aca="false">HYPERLINK("#Waterfall!B87","B87")</f>
        <v>B87</v>
      </c>
      <c r="C228" s="0" t="s">
        <v>252</v>
      </c>
      <c r="D228" s="79" t="n">
        <v>0</v>
      </c>
    </row>
    <row r="229" customFormat="false" ht="15" hidden="true" customHeight="true" outlineLevel="1" collapsed="false">
      <c r="A229" s="0" t="s">
        <v>244</v>
      </c>
      <c r="B229" s="77" t="str">
        <f aca="false">HYPERLINK("#Waterfall!C87","C87")</f>
        <v>C87</v>
      </c>
      <c r="C229" s="0" t="s">
        <v>252</v>
      </c>
      <c r="D229" s="79" t="n">
        <v>0</v>
      </c>
    </row>
    <row r="230" customFormat="false" ht="15" hidden="true" customHeight="true" outlineLevel="1" collapsed="false">
      <c r="A230" s="0" t="s">
        <v>244</v>
      </c>
      <c r="B230" s="77" t="str">
        <f aca="false">HYPERLINK("#Waterfall!D87","D87")</f>
        <v>D87</v>
      </c>
      <c r="C230" s="0" t="s">
        <v>252</v>
      </c>
      <c r="D230" s="79" t="n">
        <v>0</v>
      </c>
    </row>
    <row r="231" customFormat="false" ht="15" hidden="true" customHeight="true" outlineLevel="1" collapsed="false">
      <c r="A231" s="0" t="s">
        <v>244</v>
      </c>
      <c r="B231" s="77" t="str">
        <f aca="false">HYPERLINK("#Waterfall!E87","E87")</f>
        <v>E87</v>
      </c>
      <c r="C231" s="0" t="s">
        <v>252</v>
      </c>
      <c r="D231" s="79" t="n">
        <v>0</v>
      </c>
    </row>
    <row r="232" customFormat="false" ht="15" hidden="true" customHeight="true" outlineLevel="1" collapsed="false">
      <c r="A232" s="0" t="s">
        <v>244</v>
      </c>
      <c r="B232" s="77" t="str">
        <f aca="false">HYPERLINK("#Waterfall!F87","F87")</f>
        <v>F87</v>
      </c>
      <c r="C232" s="0" t="s">
        <v>252</v>
      </c>
      <c r="D232" s="79" t="n">
        <v>0</v>
      </c>
    </row>
    <row r="233" customFormat="false" ht="15" hidden="true" customHeight="true" outlineLevel="1" collapsed="false">
      <c r="A233" s="0" t="s">
        <v>244</v>
      </c>
      <c r="B233" s="77" t="str">
        <f aca="false">HYPERLINK("#Waterfall!G87","G87")</f>
        <v>G87</v>
      </c>
      <c r="C233" s="0" t="s">
        <v>252</v>
      </c>
      <c r="D233" s="79" t="n">
        <v>0</v>
      </c>
    </row>
    <row r="234" customFormat="false" ht="15" hidden="true" customHeight="true" outlineLevel="1" collapsed="false">
      <c r="A234" s="0" t="s">
        <v>244</v>
      </c>
      <c r="B234" s="77" t="str">
        <f aca="false">HYPERLINK("#Waterfall!H87","H87")</f>
        <v>H87</v>
      </c>
      <c r="C234" s="0" t="s">
        <v>252</v>
      </c>
      <c r="D234" s="79" t="n">
        <v>0</v>
      </c>
    </row>
    <row r="235" customFormat="false" ht="15" hidden="true" customHeight="true" outlineLevel="1" collapsed="false">
      <c r="A235" s="0" t="s">
        <v>244</v>
      </c>
      <c r="B235" s="77" t="str">
        <f aca="false">HYPERLINK("#Waterfall!I87","I87")</f>
        <v>I87</v>
      </c>
      <c r="C235" s="0" t="s">
        <v>252</v>
      </c>
      <c r="D235" s="79" t="n">
        <v>0</v>
      </c>
    </row>
    <row r="236" customFormat="false" ht="15" hidden="true" customHeight="true" outlineLevel="1" collapsed="false">
      <c r="A236" s="0" t="s">
        <v>244</v>
      </c>
      <c r="B236" s="77" t="str">
        <f aca="false">HYPERLINK("#Waterfall!J87","J87")</f>
        <v>J87</v>
      </c>
      <c r="C236" s="0" t="s">
        <v>252</v>
      </c>
      <c r="D236" s="79" t="n">
        <v>0</v>
      </c>
    </row>
    <row r="237" customFormat="false" ht="15" hidden="true" customHeight="true" outlineLevel="1" collapsed="false">
      <c r="A237" s="0" t="s">
        <v>244</v>
      </c>
      <c r="B237" s="77" t="str">
        <f aca="false">HYPERLINK("#Waterfall!K87","K87")</f>
        <v>K87</v>
      </c>
      <c r="C237" s="0" t="s">
        <v>252</v>
      </c>
      <c r="D237" s="79" t="n">
        <v>0</v>
      </c>
    </row>
    <row r="238" customFormat="false" ht="15" hidden="true" customHeight="true" outlineLevel="1" collapsed="false">
      <c r="A238" s="0" t="s">
        <v>244</v>
      </c>
      <c r="B238" s="77" t="str">
        <f aca="false">HYPERLINK("#Waterfall!B88","B88")</f>
        <v>B88</v>
      </c>
      <c r="C238" s="0" t="s">
        <v>253</v>
      </c>
      <c r="D238" s="79" t="n">
        <v>0</v>
      </c>
    </row>
    <row r="239" customFormat="false" ht="15" hidden="true" customHeight="true" outlineLevel="1" collapsed="false">
      <c r="A239" s="0" t="s">
        <v>244</v>
      </c>
      <c r="B239" s="77" t="str">
        <f aca="false">HYPERLINK("#Waterfall!C88","C88")</f>
        <v>C88</v>
      </c>
      <c r="C239" s="0" t="s">
        <v>253</v>
      </c>
      <c r="D239" s="79" t="n">
        <v>0</v>
      </c>
    </row>
    <row r="240" customFormat="false" ht="15" hidden="true" customHeight="true" outlineLevel="1" collapsed="false">
      <c r="A240" s="0" t="s">
        <v>244</v>
      </c>
      <c r="B240" s="77" t="str">
        <f aca="false">HYPERLINK("#Waterfall!D88","D88")</f>
        <v>D88</v>
      </c>
      <c r="C240" s="0" t="s">
        <v>253</v>
      </c>
      <c r="D240" s="79" t="n">
        <v>0</v>
      </c>
    </row>
    <row r="241" customFormat="false" ht="15" hidden="true" customHeight="true" outlineLevel="1" collapsed="false">
      <c r="A241" s="0" t="s">
        <v>244</v>
      </c>
      <c r="B241" s="77" t="str">
        <f aca="false">HYPERLINK("#Waterfall!E88","E88")</f>
        <v>E88</v>
      </c>
      <c r="C241" s="0" t="s">
        <v>253</v>
      </c>
      <c r="D241" s="79" t="n">
        <v>0</v>
      </c>
    </row>
    <row r="242" customFormat="false" ht="15" hidden="true" customHeight="true" outlineLevel="1" collapsed="false">
      <c r="A242" s="0" t="s">
        <v>244</v>
      </c>
      <c r="B242" s="77" t="str">
        <f aca="false">HYPERLINK("#Waterfall!F88","F88")</f>
        <v>F88</v>
      </c>
      <c r="C242" s="0" t="s">
        <v>253</v>
      </c>
      <c r="D242" s="79" t="n">
        <v>0</v>
      </c>
    </row>
    <row r="243" customFormat="false" ht="15" hidden="true" customHeight="true" outlineLevel="1" collapsed="false">
      <c r="A243" s="0" t="s">
        <v>244</v>
      </c>
      <c r="B243" s="77" t="str">
        <f aca="false">HYPERLINK("#Waterfall!G88","G88")</f>
        <v>G88</v>
      </c>
      <c r="C243" s="0" t="s">
        <v>253</v>
      </c>
      <c r="D243" s="79" t="n">
        <v>0</v>
      </c>
    </row>
    <row r="244" customFormat="false" ht="15" hidden="true" customHeight="true" outlineLevel="1" collapsed="false">
      <c r="A244" s="0" t="s">
        <v>244</v>
      </c>
      <c r="B244" s="77" t="str">
        <f aca="false">HYPERLINK("#Waterfall!H88","H88")</f>
        <v>H88</v>
      </c>
      <c r="C244" s="0" t="s">
        <v>253</v>
      </c>
      <c r="D244" s="79" t="n">
        <v>0</v>
      </c>
    </row>
    <row r="245" customFormat="false" ht="15" hidden="true" customHeight="true" outlineLevel="1" collapsed="false">
      <c r="A245" s="0" t="s">
        <v>244</v>
      </c>
      <c r="B245" s="77" t="str">
        <f aca="false">HYPERLINK("#Waterfall!I88","I88")</f>
        <v>I88</v>
      </c>
      <c r="C245" s="0" t="s">
        <v>253</v>
      </c>
      <c r="D245" s="79" t="n">
        <v>0</v>
      </c>
    </row>
    <row r="246" customFormat="false" ht="15" hidden="true" customHeight="true" outlineLevel="1" collapsed="false">
      <c r="A246" s="0" t="s">
        <v>244</v>
      </c>
      <c r="B246" s="77" t="str">
        <f aca="false">HYPERLINK("#Waterfall!J88","J88")</f>
        <v>J88</v>
      </c>
      <c r="C246" s="0" t="s">
        <v>253</v>
      </c>
      <c r="D246" s="79" t="n">
        <v>0</v>
      </c>
    </row>
    <row r="247" customFormat="false" ht="15" hidden="true" customHeight="true" outlineLevel="1" collapsed="false">
      <c r="A247" s="0" t="s">
        <v>244</v>
      </c>
      <c r="B247" s="77" t="str">
        <f aca="false">HYPERLINK("#Waterfall!K88","K88")</f>
        <v>K88</v>
      </c>
      <c r="C247" s="0" t="s">
        <v>253</v>
      </c>
      <c r="D247" s="79" t="n">
        <v>0</v>
      </c>
    </row>
    <row r="248" customFormat="false" ht="15" hidden="false" customHeight="true" outlineLevel="0" collapsed="false">
      <c r="B248" s="77"/>
    </row>
    <row r="249" customFormat="false" ht="15" hidden="false" customHeight="true" outlineLevel="0" collapsed="false">
      <c r="A249" s="75" t="s">
        <v>254</v>
      </c>
      <c r="B249" s="76" t="s">
        <v>255</v>
      </c>
      <c r="C249" s="75"/>
      <c r="D249" s="75"/>
      <c r="E249" s="75"/>
    </row>
    <row r="250" customFormat="false" ht="15" hidden="true" customHeight="true" outlineLevel="1" collapsed="false">
      <c r="A250" s="0" t="s">
        <v>256</v>
      </c>
      <c r="B250" s="77" t="str">
        <f aca="false">HYPERLINK("#Capex!C60","C60")</f>
        <v>C60</v>
      </c>
      <c r="C250" s="0" t="s">
        <v>257</v>
      </c>
      <c r="D250" s="79" t="n">
        <v>1500</v>
      </c>
    </row>
    <row r="251" customFormat="false" ht="15" hidden="true" customHeight="true" outlineLevel="1" collapsed="false">
      <c r="A251" s="0" t="s">
        <v>256</v>
      </c>
      <c r="B251" s="77" t="str">
        <f aca="false">HYPERLINK("#Capex!E60","E60")</f>
        <v>E60</v>
      </c>
      <c r="C251" s="0" t="s">
        <v>257</v>
      </c>
      <c r="D251" s="81" t="n">
        <v>7</v>
      </c>
    </row>
    <row r="252" customFormat="false" ht="15" hidden="true" customHeight="true" outlineLevel="1" collapsed="false">
      <c r="A252" s="0" t="s">
        <v>256</v>
      </c>
      <c r="B252" s="77" t="str">
        <f aca="false">HYPERLINK("#Capex!C61","C61")</f>
        <v>C61</v>
      </c>
      <c r="C252" s="0" t="s">
        <v>258</v>
      </c>
      <c r="D252" s="79" t="n">
        <v>3500</v>
      </c>
    </row>
    <row r="253" customFormat="false" ht="15" hidden="true" customHeight="true" outlineLevel="1" collapsed="false">
      <c r="A253" s="0" t="s">
        <v>256</v>
      </c>
      <c r="B253" s="77" t="str">
        <f aca="false">HYPERLINK("#Capex!E61","E61")</f>
        <v>E61</v>
      </c>
      <c r="C253" s="0" t="s">
        <v>258</v>
      </c>
      <c r="D253" s="81" t="n">
        <v>14</v>
      </c>
    </row>
    <row r="254" customFormat="false" ht="15" hidden="true" customHeight="true" outlineLevel="1" collapsed="false">
      <c r="A254" s="0" t="s">
        <v>256</v>
      </c>
      <c r="B254" s="77" t="str">
        <f aca="false">HYPERLINK("#Capex!C62","C62")</f>
        <v>C62</v>
      </c>
      <c r="C254" s="0" t="s">
        <v>259</v>
      </c>
      <c r="D254" s="79" t="n">
        <v>7000</v>
      </c>
    </row>
    <row r="255" customFormat="false" ht="15" hidden="true" customHeight="true" outlineLevel="1" collapsed="false">
      <c r="A255" s="0" t="s">
        <v>256</v>
      </c>
      <c r="B255" s="77" t="str">
        <f aca="false">HYPERLINK("#Capex!E62","E62")</f>
        <v>E62</v>
      </c>
      <c r="C255" s="0" t="s">
        <v>259</v>
      </c>
      <c r="D255" s="81" t="n">
        <v>30</v>
      </c>
    </row>
    <row r="256" customFormat="false" ht="15" hidden="true" customHeight="true" outlineLevel="1" collapsed="false">
      <c r="A256" s="0" t="s">
        <v>256</v>
      </c>
      <c r="B256" s="77" t="str">
        <f aca="false">HYPERLINK("#Capex!C63","C63")</f>
        <v>C63</v>
      </c>
      <c r="C256" s="0" t="s">
        <v>260</v>
      </c>
      <c r="D256" s="79" t="n">
        <v>15000</v>
      </c>
    </row>
    <row r="257" customFormat="false" ht="15" hidden="true" customHeight="true" outlineLevel="1" collapsed="false">
      <c r="A257" s="0" t="s">
        <v>256</v>
      </c>
      <c r="B257" s="77" t="str">
        <f aca="false">HYPERLINK("#Capex!E63","E63")</f>
        <v>E63</v>
      </c>
      <c r="C257" s="0" t="s">
        <v>260</v>
      </c>
      <c r="D257" s="81" t="n">
        <v>60</v>
      </c>
    </row>
    <row r="258" customFormat="false" ht="15" hidden="true" customHeight="true" outlineLevel="1" collapsed="false">
      <c r="A258" s="0" t="s">
        <v>256</v>
      </c>
      <c r="B258" s="77" t="str">
        <f aca="false">HYPERLINK("#Capex!C64","C64")</f>
        <v>C64</v>
      </c>
      <c r="C258" s="0" t="s">
        <v>261</v>
      </c>
      <c r="D258" s="79" t="n">
        <v>35000</v>
      </c>
    </row>
    <row r="259" customFormat="false" ht="15" hidden="true" customHeight="true" outlineLevel="1" collapsed="false">
      <c r="A259" s="0" t="s">
        <v>256</v>
      </c>
      <c r="B259" s="77" t="str">
        <f aca="false">HYPERLINK("#Capex!E64","E64")</f>
        <v>E64</v>
      </c>
      <c r="C259" s="0" t="s">
        <v>261</v>
      </c>
      <c r="D259" s="81" t="n">
        <v>120</v>
      </c>
    </row>
    <row r="260" customFormat="false" ht="15" hidden="true" customHeight="true" outlineLevel="1" collapsed="false">
      <c r="A260" s="0" t="s">
        <v>256</v>
      </c>
      <c r="B260" s="77" t="str">
        <f aca="false">HYPERLINK("#Capex!C66","C66")</f>
        <v>C66</v>
      </c>
      <c r="C260" s="0" t="s">
        <v>262</v>
      </c>
      <c r="D260" s="86" t="n">
        <v>0.1</v>
      </c>
    </row>
    <row r="261" customFormat="false" ht="15" hidden="true" customHeight="true" outlineLevel="1" collapsed="false">
      <c r="A261" s="0" t="s">
        <v>256</v>
      </c>
      <c r="B261" s="77" t="str">
        <f aca="false">HYPERLINK("#Capex!B69","B69")</f>
        <v>B69</v>
      </c>
      <c r="C261" s="0" t="s">
        <v>263</v>
      </c>
      <c r="D261" s="81" t="n">
        <v>8</v>
      </c>
    </row>
    <row r="262" customFormat="false" ht="15" hidden="false" customHeight="true" outlineLevel="0" collapsed="false">
      <c r="B262" s="77"/>
    </row>
    <row r="263" customFormat="false" ht="15" hidden="false" customHeight="true" outlineLevel="0" collapsed="false">
      <c r="A263" s="75" t="s">
        <v>264</v>
      </c>
      <c r="B263" s="76" t="s">
        <v>265</v>
      </c>
      <c r="C263" s="75"/>
      <c r="D263" s="75"/>
      <c r="E263" s="75"/>
    </row>
    <row r="264" customFormat="false" ht="15" hidden="true" customHeight="true" outlineLevel="1" collapsed="false">
      <c r="A264" s="0" t="s">
        <v>266</v>
      </c>
      <c r="B264" s="77" t="str">
        <f aca="false">HYPERLINK("#'Staffing Matrix'!B9","B9")</f>
        <v>B9</v>
      </c>
      <c r="C264" s="0" t="s">
        <v>267</v>
      </c>
      <c r="D264" s="84" t="n">
        <v>0.22</v>
      </c>
    </row>
    <row r="265" customFormat="false" ht="15" hidden="true" customHeight="true" outlineLevel="1" collapsed="false">
      <c r="A265" s="0" t="s">
        <v>266</v>
      </c>
      <c r="B265" s="77" t="str">
        <f aca="false">HYPERLINK("#'Staffing Matrix'!B10","B10")</f>
        <v>B10</v>
      </c>
      <c r="C265" s="0" t="s">
        <v>268</v>
      </c>
      <c r="D265" s="84" t="n">
        <v>0.06</v>
      </c>
    </row>
    <row r="266" customFormat="false" ht="15" hidden="true" customHeight="true" outlineLevel="1" collapsed="false">
      <c r="A266" s="0" t="s">
        <v>266</v>
      </c>
      <c r="B266" s="77" t="str">
        <f aca="false">HYPERLINK("#'Staffing Matrix'!C16","C16")</f>
        <v>C16</v>
      </c>
      <c r="C266" s="0" t="s">
        <v>269</v>
      </c>
      <c r="D266" s="87" t="n">
        <v>1</v>
      </c>
    </row>
    <row r="267" customFormat="false" ht="15" hidden="true" customHeight="true" outlineLevel="1" collapsed="false">
      <c r="A267" s="0" t="s">
        <v>266</v>
      </c>
      <c r="B267" s="77" t="str">
        <f aca="false">HYPERLINK("#'Staffing Matrix'!C17","C17")</f>
        <v>C17</v>
      </c>
      <c r="C267" s="0" t="s">
        <v>269</v>
      </c>
      <c r="D267" s="87" t="n">
        <v>1</v>
      </c>
    </row>
    <row r="268" customFormat="false" ht="15" hidden="true" customHeight="true" outlineLevel="1" collapsed="false">
      <c r="A268" s="0" t="s">
        <v>266</v>
      </c>
      <c r="B268" s="77" t="str">
        <f aca="false">HYPERLINK("#'Staffing Matrix'!C19","C19")</f>
        <v>C19</v>
      </c>
      <c r="C268" s="0" t="s">
        <v>270</v>
      </c>
      <c r="D268" s="87" t="n">
        <v>1</v>
      </c>
    </row>
    <row r="269" customFormat="false" ht="15" hidden="true" customHeight="true" outlineLevel="1" collapsed="false">
      <c r="A269" s="0" t="s">
        <v>266</v>
      </c>
      <c r="B269" s="77" t="str">
        <f aca="false">HYPERLINK("#'Staffing Matrix'!D21","D21")</f>
        <v>D21</v>
      </c>
      <c r="C269" s="0" t="s">
        <v>271</v>
      </c>
      <c r="D269" s="88" t="n">
        <v>0</v>
      </c>
    </row>
    <row r="270" customFormat="false" ht="15" hidden="true" customHeight="true" outlineLevel="1" collapsed="false">
      <c r="A270" s="0" t="s">
        <v>266</v>
      </c>
      <c r="B270" s="77" t="str">
        <f aca="false">HYPERLINK("#'Staffing Matrix'!D22","D22")</f>
        <v>D22</v>
      </c>
      <c r="C270" s="0" t="s">
        <v>272</v>
      </c>
      <c r="D270" s="88" t="n">
        <v>0</v>
      </c>
    </row>
    <row r="271" customFormat="false" ht="15" hidden="true" customHeight="true" outlineLevel="1" collapsed="false">
      <c r="A271" s="0" t="s">
        <v>266</v>
      </c>
      <c r="B271" s="77" t="str">
        <f aca="false">HYPERLINK("#'Staffing Matrix'!D23","D23")</f>
        <v>D23</v>
      </c>
      <c r="C271" s="0" t="s">
        <v>272</v>
      </c>
      <c r="D271" s="88" t="n">
        <v>0</v>
      </c>
    </row>
    <row r="272" customFormat="false" ht="15" hidden="false" customHeight="true" outlineLevel="0" collapsed="false">
      <c r="B272" s="77"/>
    </row>
    <row r="273" customFormat="false" ht="15" hidden="false" customHeight="true" outlineLevel="0" collapsed="false">
      <c r="A273" s="75" t="s">
        <v>273</v>
      </c>
      <c r="B273" s="76" t="s">
        <v>274</v>
      </c>
      <c r="C273" s="75"/>
      <c r="D273" s="75"/>
      <c r="E273" s="75"/>
    </row>
    <row r="274" customFormat="false" ht="15" hidden="true" customHeight="true" outlineLevel="1" collapsed="false">
      <c r="A274" s="0" t="s">
        <v>275</v>
      </c>
      <c r="B274" s="77" t="str">
        <f aca="false">HYPERLINK("#'Exit Strategy'!B5","B5")</f>
        <v>B5</v>
      </c>
      <c r="C274" s="0" t="s">
        <v>276</v>
      </c>
      <c r="D274" s="81" t="n">
        <v>0</v>
      </c>
    </row>
    <row r="275" customFormat="false" ht="15" hidden="true" customHeight="true" outlineLevel="1" collapsed="false">
      <c r="A275" s="0" t="s">
        <v>275</v>
      </c>
      <c r="B275" s="77" t="str">
        <f aca="false">HYPERLINK("#'Exit Strategy'!B7","B7")</f>
        <v>B7</v>
      </c>
      <c r="C275" s="0" t="s">
        <v>277</v>
      </c>
      <c r="D275" s="86" t="n">
        <v>0</v>
      </c>
    </row>
    <row r="276" customFormat="false" ht="15" hidden="true" customHeight="true" outlineLevel="1" collapsed="false">
      <c r="A276" s="0" t="s">
        <v>275</v>
      </c>
      <c r="B276" s="77" t="str">
        <f aca="false">HYPERLINK("#'Exit Strategy'!B9","B9")</f>
        <v>B9</v>
      </c>
      <c r="C276" s="0" t="s">
        <v>278</v>
      </c>
      <c r="D276" s="78" t="n">
        <v>0</v>
      </c>
    </row>
    <row r="277" customFormat="false" ht="15" hidden="true" customHeight="true" outlineLevel="1" collapsed="false">
      <c r="A277" s="0" t="s">
        <v>275</v>
      </c>
      <c r="B277" s="77" t="str">
        <f aca="false">HYPERLINK("#'Exit Strategy'!B11","B11")</f>
        <v>B11</v>
      </c>
      <c r="C277" s="0" t="s">
        <v>279</v>
      </c>
      <c r="D277" s="78" t="n">
        <v>0</v>
      </c>
    </row>
    <row r="278" customFormat="false" ht="15" hidden="true" customHeight="true" outlineLevel="1" collapsed="false">
      <c r="A278" s="0" t="s">
        <v>275</v>
      </c>
      <c r="B278" s="77" t="str">
        <f aca="false">HYPERLINK("#'Exit Strategy'!B12","B12")</f>
        <v>B12</v>
      </c>
      <c r="C278" s="0" t="s">
        <v>280</v>
      </c>
      <c r="D278" s="81" t="n">
        <v>0</v>
      </c>
    </row>
    <row r="279" customFormat="false" ht="15" hidden="true" customHeight="true" outlineLevel="1" collapsed="false">
      <c r="A279" s="0" t="s">
        <v>275</v>
      </c>
      <c r="B279" s="77" t="str">
        <f aca="false">HYPERLINK("#'Exit Strategy'!B13","B13")</f>
        <v>B13</v>
      </c>
      <c r="C279" s="0" t="s">
        <v>281</v>
      </c>
      <c r="D279" s="78" t="n">
        <v>0</v>
      </c>
    </row>
    <row r="280" customFormat="false" ht="15" hidden="true" customHeight="true" outlineLevel="1" collapsed="false">
      <c r="A280" s="0" t="s">
        <v>275</v>
      </c>
      <c r="B280" s="77" t="str">
        <f aca="false">HYPERLINK("#'Exit Strategy'!B15","B15")</f>
        <v>B15</v>
      </c>
      <c r="C280" s="0" t="s">
        <v>282</v>
      </c>
      <c r="D280" s="86" t="n">
        <v>0</v>
      </c>
    </row>
    <row r="281" customFormat="false" ht="15" hidden="true" customHeight="true" outlineLevel="1" collapsed="false">
      <c r="A281" s="0" t="s">
        <v>275</v>
      </c>
      <c r="B281" s="77" t="str">
        <f aca="false">HYPERLINK("#'Exit Strategy'!B28","B28")</f>
        <v>B28</v>
      </c>
      <c r="C281" s="0" t="s">
        <v>283</v>
      </c>
      <c r="D281" s="78" t="n">
        <v>0.075</v>
      </c>
    </row>
    <row r="282" customFormat="false" ht="15" hidden="true" customHeight="true" outlineLevel="1" collapsed="false">
      <c r="A282" s="0" t="s">
        <v>275</v>
      </c>
      <c r="B282" s="77" t="str">
        <f aca="false">HYPERLINK("#'Exit Strategy'!C28","C28")</f>
        <v>C28</v>
      </c>
      <c r="C282" s="0" t="s">
        <v>283</v>
      </c>
      <c r="D282" s="89" t="n">
        <v>1.3</v>
      </c>
    </row>
    <row r="283" customFormat="false" ht="15" hidden="true" customHeight="true" outlineLevel="1" collapsed="false">
      <c r="A283" s="0" t="s">
        <v>275</v>
      </c>
      <c r="B283" s="77" t="str">
        <f aca="false">HYPERLINK("#'Exit Strategy'!D28","D28")</f>
        <v>D28</v>
      </c>
      <c r="C283" s="0" t="s">
        <v>283</v>
      </c>
      <c r="D283" s="78" t="n">
        <v>0.8</v>
      </c>
    </row>
    <row r="284" customFormat="false" ht="15" hidden="true" customHeight="true" outlineLevel="1" collapsed="false">
      <c r="A284" s="0" t="s">
        <v>275</v>
      </c>
      <c r="B284" s="77" t="str">
        <f aca="false">HYPERLINK("#'Exit Strategy'!E28","E28")</f>
        <v>E28</v>
      </c>
      <c r="C284" s="0" t="s">
        <v>283</v>
      </c>
      <c r="D284" s="78" t="n">
        <v>0.06</v>
      </c>
    </row>
    <row r="285" customFormat="false" ht="15" hidden="true" customHeight="true" outlineLevel="1" collapsed="false">
      <c r="A285" s="0" t="s">
        <v>275</v>
      </c>
      <c r="B285" s="77" t="str">
        <f aca="false">HYPERLINK("#'Exit Strategy'!B29","B29")</f>
        <v>B29</v>
      </c>
      <c r="C285" s="0" t="s">
        <v>284</v>
      </c>
      <c r="D285" s="78" t="n">
        <v>0.075</v>
      </c>
    </row>
    <row r="286" customFormat="false" ht="15" hidden="true" customHeight="true" outlineLevel="1" collapsed="false">
      <c r="A286" s="0" t="s">
        <v>275</v>
      </c>
      <c r="B286" s="77" t="str">
        <f aca="false">HYPERLINK("#'Exit Strategy'!C29","C29")</f>
        <v>C29</v>
      </c>
      <c r="C286" s="0" t="s">
        <v>284</v>
      </c>
      <c r="D286" s="89" t="n">
        <v>1.3</v>
      </c>
    </row>
    <row r="287" customFormat="false" ht="15" hidden="true" customHeight="true" outlineLevel="1" collapsed="false">
      <c r="A287" s="0" t="s">
        <v>275</v>
      </c>
      <c r="B287" s="77" t="str">
        <f aca="false">HYPERLINK("#'Exit Strategy'!D29","D29")</f>
        <v>D29</v>
      </c>
      <c r="C287" s="0" t="s">
        <v>284</v>
      </c>
      <c r="D287" s="78" t="n">
        <v>0.8</v>
      </c>
    </row>
    <row r="288" customFormat="false" ht="15" hidden="true" customHeight="true" outlineLevel="1" collapsed="false">
      <c r="A288" s="0" t="s">
        <v>275</v>
      </c>
      <c r="B288" s="77" t="str">
        <f aca="false">HYPERLINK("#'Exit Strategy'!E29","E29")</f>
        <v>E29</v>
      </c>
      <c r="C288" s="0" t="s">
        <v>284</v>
      </c>
      <c r="D288" s="78" t="n">
        <v>0.06</v>
      </c>
    </row>
    <row r="289" customFormat="false" ht="15" hidden="true" customHeight="true" outlineLevel="1" collapsed="false">
      <c r="A289" s="0" t="s">
        <v>275</v>
      </c>
      <c r="B289" s="77" t="str">
        <f aca="false">HYPERLINK("#'Exit Strategy'!B30","B30")</f>
        <v>B30</v>
      </c>
      <c r="C289" s="0" t="s">
        <v>285</v>
      </c>
      <c r="D289" s="78" t="n">
        <v>0.08</v>
      </c>
    </row>
    <row r="290" customFormat="false" ht="15" hidden="true" customHeight="true" outlineLevel="1" collapsed="false">
      <c r="A290" s="0" t="s">
        <v>275</v>
      </c>
      <c r="B290" s="77" t="str">
        <f aca="false">HYPERLINK("#'Exit Strategy'!C30","C30")</f>
        <v>C30</v>
      </c>
      <c r="C290" s="0" t="s">
        <v>285</v>
      </c>
      <c r="D290" s="89" t="n">
        <v>1.25</v>
      </c>
    </row>
    <row r="291" customFormat="false" ht="15" hidden="true" customHeight="true" outlineLevel="1" collapsed="false">
      <c r="A291" s="0" t="s">
        <v>275</v>
      </c>
      <c r="B291" s="77" t="str">
        <f aca="false">HYPERLINK("#'Exit Strategy'!D30","D30")</f>
        <v>D30</v>
      </c>
      <c r="C291" s="0" t="s">
        <v>285</v>
      </c>
      <c r="D291" s="78" t="n">
        <v>0.75</v>
      </c>
    </row>
    <row r="292" customFormat="false" ht="15" hidden="true" customHeight="true" outlineLevel="1" collapsed="false">
      <c r="A292" s="0" t="s">
        <v>275</v>
      </c>
      <c r="B292" s="77" t="str">
        <f aca="false">HYPERLINK("#'Exit Strategy'!E30","E30")</f>
        <v>E30</v>
      </c>
      <c r="C292" s="0" t="s">
        <v>285</v>
      </c>
      <c r="D292" s="78" t="n">
        <v>0.058</v>
      </c>
    </row>
    <row r="293" customFormat="false" ht="15" hidden="true" customHeight="true" outlineLevel="1" collapsed="false">
      <c r="A293" s="0" t="s">
        <v>275</v>
      </c>
      <c r="B293" s="77" t="str">
        <f aca="false">HYPERLINK("#'Exit Strategy'!B31","B31")</f>
        <v>B31</v>
      </c>
      <c r="C293" s="0" t="s">
        <v>286</v>
      </c>
      <c r="D293" s="78" t="n">
        <v>0.08</v>
      </c>
    </row>
    <row r="294" customFormat="false" ht="15" hidden="true" customHeight="true" outlineLevel="1" collapsed="false">
      <c r="A294" s="0" t="s">
        <v>275</v>
      </c>
      <c r="B294" s="77" t="str">
        <f aca="false">HYPERLINK("#'Exit Strategy'!C31","C31")</f>
        <v>C31</v>
      </c>
      <c r="C294" s="0" t="s">
        <v>286</v>
      </c>
      <c r="D294" s="89" t="n">
        <v>1.25</v>
      </c>
    </row>
    <row r="295" customFormat="false" ht="15" hidden="true" customHeight="true" outlineLevel="1" collapsed="false">
      <c r="A295" s="0" t="s">
        <v>275</v>
      </c>
      <c r="B295" s="77" t="str">
        <f aca="false">HYPERLINK("#'Exit Strategy'!D31","D31")</f>
        <v>D31</v>
      </c>
      <c r="C295" s="0" t="s">
        <v>286</v>
      </c>
      <c r="D295" s="78" t="n">
        <v>0.75</v>
      </c>
    </row>
    <row r="296" customFormat="false" ht="15" hidden="true" customHeight="true" outlineLevel="1" collapsed="false">
      <c r="A296" s="0" t="s">
        <v>275</v>
      </c>
      <c r="B296" s="77" t="str">
        <f aca="false">HYPERLINK("#'Exit Strategy'!E31","E31")</f>
        <v>E31</v>
      </c>
      <c r="C296" s="0" t="s">
        <v>286</v>
      </c>
      <c r="D296" s="78" t="n">
        <v>0.058</v>
      </c>
    </row>
    <row r="297" customFormat="false" ht="15" hidden="true" customHeight="true" outlineLevel="1" collapsed="false">
      <c r="A297" s="0" t="s">
        <v>275</v>
      </c>
      <c r="B297" s="77" t="str">
        <f aca="false">HYPERLINK("#'Exit Strategy'!B32","B32")</f>
        <v>B32</v>
      </c>
      <c r="C297" s="0" t="s">
        <v>287</v>
      </c>
      <c r="D297" s="78" t="n">
        <v>0.085</v>
      </c>
    </row>
    <row r="298" customFormat="false" ht="15" hidden="true" customHeight="true" outlineLevel="1" collapsed="false">
      <c r="A298" s="0" t="s">
        <v>275</v>
      </c>
      <c r="B298" s="77" t="str">
        <f aca="false">HYPERLINK("#'Exit Strategy'!C32","C32")</f>
        <v>C32</v>
      </c>
      <c r="C298" s="0" t="s">
        <v>287</v>
      </c>
      <c r="D298" s="89" t="n">
        <v>1.3</v>
      </c>
    </row>
    <row r="299" customFormat="false" ht="15" hidden="true" customHeight="true" outlineLevel="1" collapsed="false">
      <c r="A299" s="0" t="s">
        <v>275</v>
      </c>
      <c r="B299" s="77" t="str">
        <f aca="false">HYPERLINK("#'Exit Strategy'!D32","D32")</f>
        <v>D32</v>
      </c>
      <c r="C299" s="0" t="s">
        <v>287</v>
      </c>
      <c r="D299" s="78" t="n">
        <v>0.65</v>
      </c>
    </row>
    <row r="300" customFormat="false" ht="15" hidden="true" customHeight="true" outlineLevel="1" collapsed="false">
      <c r="A300" s="0" t="s">
        <v>275</v>
      </c>
      <c r="B300" s="77" t="str">
        <f aca="false">HYPERLINK("#'Exit Strategy'!E32","E32")</f>
        <v>E32</v>
      </c>
      <c r="C300" s="0" t="s">
        <v>287</v>
      </c>
      <c r="D300" s="78" t="n">
        <v>0.055</v>
      </c>
    </row>
    <row r="301" customFormat="false" ht="15" hidden="true" customHeight="true" outlineLevel="1" collapsed="false">
      <c r="A301" s="0" t="s">
        <v>275</v>
      </c>
      <c r="B301" s="77" t="str">
        <f aca="false">HYPERLINK("#'Exit Strategy'!B33","B33")</f>
        <v>B33</v>
      </c>
      <c r="C301" s="0" t="s">
        <v>288</v>
      </c>
      <c r="D301" s="78" t="n">
        <v>0.09</v>
      </c>
    </row>
    <row r="302" customFormat="false" ht="15" hidden="true" customHeight="true" outlineLevel="1" collapsed="false">
      <c r="A302" s="0" t="s">
        <v>275</v>
      </c>
      <c r="B302" s="77" t="str">
        <f aca="false">HYPERLINK("#'Exit Strategy'!C33","C33")</f>
        <v>C33</v>
      </c>
      <c r="C302" s="0" t="s">
        <v>288</v>
      </c>
      <c r="D302" s="89" t="n">
        <v>1.25</v>
      </c>
    </row>
    <row r="303" customFormat="false" ht="15" hidden="true" customHeight="true" outlineLevel="1" collapsed="false">
      <c r="A303" s="0" t="s">
        <v>275</v>
      </c>
      <c r="B303" s="77" t="str">
        <f aca="false">HYPERLINK("#'Exit Strategy'!D33","D33")</f>
        <v>D33</v>
      </c>
      <c r="C303" s="0" t="s">
        <v>288</v>
      </c>
      <c r="D303" s="78" t="n">
        <v>0.75</v>
      </c>
    </row>
    <row r="304" customFormat="false" ht="15" hidden="true" customHeight="true" outlineLevel="1" collapsed="false">
      <c r="A304" s="0" t="s">
        <v>275</v>
      </c>
      <c r="B304" s="77" t="str">
        <f aca="false">HYPERLINK("#'Exit Strategy'!E33","E33")</f>
        <v>E33</v>
      </c>
      <c r="C304" s="0" t="s">
        <v>288</v>
      </c>
      <c r="D304" s="78" t="n">
        <v>0.065</v>
      </c>
    </row>
    <row r="305" customFormat="false" ht="15" hidden="true" customHeight="true" outlineLevel="1" collapsed="false">
      <c r="A305" s="0" t="s">
        <v>275</v>
      </c>
      <c r="B305" s="77" t="str">
        <f aca="false">HYPERLINK("#'Exit Strategy'!B34","B34")</f>
        <v>B34</v>
      </c>
      <c r="C305" s="0" t="s">
        <v>289</v>
      </c>
      <c r="D305" s="78" t="n">
        <v>0.07</v>
      </c>
    </row>
    <row r="306" customFormat="false" ht="15" hidden="true" customHeight="true" outlineLevel="1" collapsed="false">
      <c r="A306" s="0" t="s">
        <v>275</v>
      </c>
      <c r="B306" s="77" t="str">
        <f aca="false">HYPERLINK("#'Exit Strategy'!C34","C34")</f>
        <v>C34</v>
      </c>
      <c r="C306" s="0" t="s">
        <v>289</v>
      </c>
      <c r="D306" s="89" t="n">
        <v>1.1</v>
      </c>
    </row>
    <row r="307" customFormat="false" ht="15" hidden="true" customHeight="true" outlineLevel="1" collapsed="false">
      <c r="A307" s="0" t="s">
        <v>275</v>
      </c>
      <c r="B307" s="77" t="str">
        <f aca="false">HYPERLINK("#'Exit Strategy'!D34","D34")</f>
        <v>D34</v>
      </c>
      <c r="C307" s="0" t="s">
        <v>289</v>
      </c>
      <c r="D307" s="78" t="n">
        <v>0.75</v>
      </c>
    </row>
    <row r="308" customFormat="false" ht="15" hidden="true" customHeight="true" outlineLevel="1" collapsed="false">
      <c r="A308" s="0" t="s">
        <v>275</v>
      </c>
      <c r="B308" s="77" t="str">
        <f aca="false">HYPERLINK("#'Exit Strategy'!E34","E34")</f>
        <v>E34</v>
      </c>
      <c r="C308" s="0" t="s">
        <v>289</v>
      </c>
      <c r="D308" s="78" t="n">
        <v>0.08</v>
      </c>
    </row>
    <row r="309" customFormat="false" ht="15" hidden="false" customHeight="true" outlineLevel="0" collapsed="false">
      <c r="B309" s="77"/>
    </row>
    <row r="310" customFormat="false" ht="15" hidden="false" customHeight="true" outlineLevel="0" collapsed="false">
      <c r="A310" s="75" t="s">
        <v>290</v>
      </c>
      <c r="B310" s="76" t="s">
        <v>255</v>
      </c>
      <c r="C310" s="75"/>
      <c r="D310" s="75"/>
      <c r="E310" s="75"/>
    </row>
    <row r="311" customFormat="false" ht="15" hidden="true" customHeight="true" outlineLevel="1" collapsed="false">
      <c r="A311" s="0" t="s">
        <v>291</v>
      </c>
      <c r="B311" s="77" t="str">
        <f aca="false">HYPERLINK("#Sensitivity!K5","K5")</f>
        <v>K5</v>
      </c>
      <c r="C311" s="0" t="s">
        <v>292</v>
      </c>
      <c r="D311" s="90" t="n">
        <v>0.075</v>
      </c>
    </row>
    <row r="312" customFormat="false" ht="15" hidden="true" customHeight="true" outlineLevel="1" collapsed="false">
      <c r="A312" s="0" t="s">
        <v>291</v>
      </c>
      <c r="B312" s="77" t="str">
        <f aca="false">HYPERLINK("#Sensitivity!M5","M5")</f>
        <v>M5</v>
      </c>
      <c r="C312" s="0" t="s">
        <v>293</v>
      </c>
      <c r="D312" s="90" t="n">
        <v>0.005</v>
      </c>
    </row>
    <row r="313" customFormat="false" ht="15" hidden="true" customHeight="true" outlineLevel="1" collapsed="false">
      <c r="A313" s="0" t="s">
        <v>291</v>
      </c>
      <c r="B313" s="77" t="str">
        <f aca="false">HYPERLINK("#Sensitivity!O5","O5")</f>
        <v>O5</v>
      </c>
      <c r="C313" s="0" t="s">
        <v>294</v>
      </c>
      <c r="D313" s="84" t="n">
        <v>0.7</v>
      </c>
    </row>
    <row r="314" customFormat="false" ht="15" hidden="true" customHeight="true" outlineLevel="1" collapsed="false">
      <c r="A314" s="0" t="s">
        <v>291</v>
      </c>
      <c r="B314" s="77" t="str">
        <f aca="false">HYPERLINK("#Sensitivity!Q5","Q5")</f>
        <v>Q5</v>
      </c>
      <c r="C314" s="0" t="s">
        <v>295</v>
      </c>
      <c r="D314" s="84" t="n">
        <v>0.025</v>
      </c>
    </row>
    <row r="315" customFormat="false" ht="15" hidden="true" customHeight="true" outlineLevel="1" collapsed="false">
      <c r="A315" s="0" t="s">
        <v>291</v>
      </c>
      <c r="B315" s="77" t="str">
        <f aca="false">HYPERLINK("#Sensitivity!K16","K16")</f>
        <v>K16</v>
      </c>
      <c r="C315" s="0" t="s">
        <v>296</v>
      </c>
      <c r="D315" s="84" t="n">
        <v>0.03</v>
      </c>
    </row>
    <row r="316" customFormat="false" ht="15" hidden="true" customHeight="true" outlineLevel="1" collapsed="false">
      <c r="A316" s="0" t="s">
        <v>291</v>
      </c>
      <c r="B316" s="77" t="str">
        <f aca="false">HYPERLINK("#Sensitivity!M16","M16")</f>
        <v>M16</v>
      </c>
      <c r="C316" s="0" t="s">
        <v>293</v>
      </c>
      <c r="D316" s="84" t="n">
        <v>0.005</v>
      </c>
    </row>
    <row r="317" customFormat="false" ht="15" hidden="true" customHeight="true" outlineLevel="1" collapsed="false">
      <c r="A317" s="0" t="s">
        <v>291</v>
      </c>
      <c r="B317" s="77" t="str">
        <f aca="false">HYPERLINK("#Sensitivity!O16","O16")</f>
        <v>O16</v>
      </c>
      <c r="C317" s="0" t="s">
        <v>297</v>
      </c>
      <c r="D317" s="84" t="n">
        <v>0.02</v>
      </c>
    </row>
    <row r="318" customFormat="false" ht="15" hidden="true" customHeight="true" outlineLevel="1" collapsed="false">
      <c r="A318" s="0" t="s">
        <v>291</v>
      </c>
      <c r="B318" s="77" t="str">
        <f aca="false">HYPERLINK("#Sensitivity!Q16","Q16")</f>
        <v>Q16</v>
      </c>
      <c r="C318" s="0" t="s">
        <v>293</v>
      </c>
      <c r="D318" s="84" t="n">
        <v>0.005</v>
      </c>
    </row>
    <row r="319" customFormat="false" ht="15" hidden="true" customHeight="true" outlineLevel="1" collapsed="false">
      <c r="A319" s="0" t="s">
        <v>291</v>
      </c>
      <c r="B319" s="77" t="str">
        <f aca="false">HYPERLINK("#Sensitivity!K26","K26")</f>
        <v>K26</v>
      </c>
      <c r="C319" s="0" t="s">
        <v>298</v>
      </c>
      <c r="D319" s="86" t="n">
        <v>0.8</v>
      </c>
    </row>
    <row r="320" customFormat="false" ht="15" hidden="true" customHeight="true" outlineLevel="1" collapsed="false">
      <c r="A320" s="0" t="s">
        <v>291</v>
      </c>
      <c r="B320" s="77" t="str">
        <f aca="false">HYPERLINK("#Sensitivity!M26","M26")</f>
        <v>M26</v>
      </c>
      <c r="C320" s="0" t="s">
        <v>293</v>
      </c>
      <c r="D320" s="86" t="n">
        <v>0.05</v>
      </c>
    </row>
    <row r="321" customFormat="false" ht="15" hidden="true" customHeight="true" outlineLevel="1" collapsed="false">
      <c r="A321" s="0" t="s">
        <v>291</v>
      </c>
      <c r="B321" s="77" t="str">
        <f aca="false">HYPERLINK("#Sensitivity!O26","O26")</f>
        <v>O26</v>
      </c>
      <c r="C321" s="0" t="s">
        <v>299</v>
      </c>
      <c r="D321" s="86" t="n">
        <v>0.75</v>
      </c>
    </row>
    <row r="322" customFormat="false" ht="15" hidden="true" customHeight="true" outlineLevel="1" collapsed="false">
      <c r="A322" s="0" t="s">
        <v>291</v>
      </c>
      <c r="B322" s="77" t="str">
        <f aca="false">HYPERLINK("#Sensitivity!Q26","Q26")</f>
        <v>Q26</v>
      </c>
      <c r="C322" s="0" t="s">
        <v>293</v>
      </c>
      <c r="D322" s="86" t="n">
        <v>0.05</v>
      </c>
    </row>
    <row r="323" customFormat="false" ht="15" hidden="false" customHeight="true" outlineLevel="0" collapsed="false">
      <c r="B323" s="77"/>
    </row>
    <row r="324" customFormat="false" ht="15" hidden="false" customHeight="true" outlineLevel="0" collapsed="false">
      <c r="A324" s="75" t="s">
        <v>300</v>
      </c>
      <c r="B324" s="76" t="s">
        <v>301</v>
      </c>
      <c r="C324" s="75"/>
      <c r="D324" s="75"/>
      <c r="E324" s="75"/>
    </row>
    <row r="325" customFormat="false" ht="15" hidden="false" customHeight="true" outlineLevel="1" collapsed="false">
      <c r="A325" s="0" t="s">
        <v>302</v>
      </c>
      <c r="B325" s="77" t="str">
        <f aca="false">HYPERLINK("#'Recapture &amp; Upside'!A13","A13")</f>
        <v>A13</v>
      </c>
      <c r="C325" s="0" t="s">
        <v>303</v>
      </c>
      <c r="D325" s="65" t="n">
        <v>1</v>
      </c>
    </row>
    <row r="326" customFormat="false" ht="15" hidden="false" customHeight="true" outlineLevel="1" collapsed="false">
      <c r="A326" s="0" t="s">
        <v>302</v>
      </c>
      <c r="B326" s="77" t="str">
        <f aca="false">HYPERLINK("#'Recapture &amp; Upside'!E13","E13")</f>
        <v>E13</v>
      </c>
      <c r="C326" s="0" t="s">
        <v>303</v>
      </c>
      <c r="D326" s="84" t="n">
        <v>0.7</v>
      </c>
    </row>
    <row r="327" customFormat="false" ht="15" hidden="false" customHeight="true" outlineLevel="1" collapsed="false">
      <c r="A327" s="0" t="s">
        <v>302</v>
      </c>
      <c r="B327" s="77" t="str">
        <f aca="false">HYPERLINK("#'Recapture &amp; Upside'!A14","A14")</f>
        <v>A14</v>
      </c>
      <c r="C327" s="0" t="s">
        <v>304</v>
      </c>
      <c r="D327" s="65" t="n">
        <v>2</v>
      </c>
    </row>
    <row r="328" customFormat="false" ht="15" hidden="false" customHeight="true" outlineLevel="1" collapsed="false">
      <c r="A328" s="0" t="s">
        <v>302</v>
      </c>
      <c r="B328" s="77" t="str">
        <f aca="false">HYPERLINK("#'Recapture &amp; Upside'!E14","E14")</f>
        <v>E14</v>
      </c>
      <c r="C328" s="0" t="s">
        <v>304</v>
      </c>
      <c r="D328" s="84" t="n">
        <v>0</v>
      </c>
    </row>
    <row r="329" customFormat="false" ht="15" hidden="false" customHeight="true" outlineLevel="1" collapsed="false">
      <c r="A329" s="0" t="s">
        <v>302</v>
      </c>
      <c r="B329" s="77" t="str">
        <f aca="false">HYPERLINK("#'Recapture &amp; Upside'!A15","A15")</f>
        <v>A15</v>
      </c>
      <c r="C329" s="0" t="s">
        <v>305</v>
      </c>
      <c r="D329" s="65" t="n">
        <v>3</v>
      </c>
    </row>
    <row r="330" customFormat="false" ht="15" hidden="false" customHeight="true" outlineLevel="1" collapsed="false">
      <c r="A330" s="0" t="s">
        <v>302</v>
      </c>
      <c r="B330" s="77" t="str">
        <f aca="false">HYPERLINK("#'Recapture &amp; Upside'!E15","E15")</f>
        <v>E15</v>
      </c>
      <c r="C330" s="0" t="s">
        <v>305</v>
      </c>
      <c r="D330" s="84" t="n">
        <v>0</v>
      </c>
    </row>
    <row r="331" customFormat="false" ht="15" hidden="false" customHeight="true" outlineLevel="1" collapsed="false">
      <c r="A331" s="0" t="s">
        <v>302</v>
      </c>
      <c r="B331" s="77" t="str">
        <f aca="false">HYPERLINK("#'Recapture &amp; Upside'!A16","A16")</f>
        <v>A16</v>
      </c>
      <c r="C331" s="0" t="s">
        <v>306</v>
      </c>
      <c r="D331" s="65" t="n">
        <v>4</v>
      </c>
    </row>
    <row r="332" customFormat="false" ht="15" hidden="false" customHeight="true" outlineLevel="1" collapsed="false">
      <c r="A332" s="0" t="s">
        <v>302</v>
      </c>
      <c r="B332" s="77" t="str">
        <f aca="false">HYPERLINK("#'Recapture &amp; Upside'!E16","E16")</f>
        <v>E16</v>
      </c>
      <c r="C332" s="0" t="s">
        <v>306</v>
      </c>
      <c r="D332" s="84" t="n">
        <v>0.5</v>
      </c>
    </row>
    <row r="333" customFormat="false" ht="15" hidden="false" customHeight="true" outlineLevel="1" collapsed="false">
      <c r="A333" s="0" t="s">
        <v>302</v>
      </c>
      <c r="B333" s="77" t="str">
        <f aca="false">HYPERLINK("#'Recapture &amp; Upside'!A17","A17")</f>
        <v>A17</v>
      </c>
      <c r="C333" s="0" t="s">
        <v>307</v>
      </c>
      <c r="D333" s="65" t="n">
        <v>5</v>
      </c>
    </row>
    <row r="334" customFormat="false" ht="15" hidden="false" customHeight="true" outlineLevel="1" collapsed="false">
      <c r="A334" s="0" t="s">
        <v>302</v>
      </c>
      <c r="B334" s="77" t="str">
        <f aca="false">HYPERLINK("#'Recapture &amp; Upside'!E17","E17")</f>
        <v>E17</v>
      </c>
      <c r="C334" s="0" t="s">
        <v>307</v>
      </c>
      <c r="D334" s="84" t="n">
        <v>1</v>
      </c>
    </row>
    <row r="335" customFormat="false" ht="15" hidden="false" customHeight="true" outlineLevel="1" collapsed="false">
      <c r="A335" s="0" t="s">
        <v>302</v>
      </c>
      <c r="B335" s="77" t="str">
        <f aca="false">HYPERLINK("#'Recapture &amp; Upside'!A18","A18")</f>
        <v>A18</v>
      </c>
      <c r="C335" s="0" t="s">
        <v>308</v>
      </c>
      <c r="D335" s="65" t="n">
        <v>6</v>
      </c>
    </row>
    <row r="336" customFormat="false" ht="15" hidden="false" customHeight="true" outlineLevel="1" collapsed="false">
      <c r="A336" s="0" t="s">
        <v>302</v>
      </c>
      <c r="B336" s="77" t="str">
        <f aca="false">HYPERLINK("#'Recapture &amp; Upside'!E18","E18")</f>
        <v>E18</v>
      </c>
      <c r="C336" s="0" t="s">
        <v>308</v>
      </c>
      <c r="D336" s="84" t="n">
        <v>0.5</v>
      </c>
    </row>
    <row r="337" customFormat="false" ht="15" hidden="false" customHeight="true" outlineLevel="1" collapsed="false">
      <c r="A337" s="0" t="s">
        <v>302</v>
      </c>
      <c r="B337" s="77" t="str">
        <f aca="false">HYPERLINK("#'Recapture &amp; Upside'!A19","A19")</f>
        <v>A19</v>
      </c>
      <c r="C337" s="0" t="s">
        <v>309</v>
      </c>
      <c r="D337" s="65" t="n">
        <v>7</v>
      </c>
    </row>
    <row r="338" customFormat="false" ht="15" hidden="false" customHeight="true" outlineLevel="1" collapsed="false">
      <c r="A338" s="0" t="s">
        <v>302</v>
      </c>
      <c r="B338" s="77" t="str">
        <f aca="false">HYPERLINK("#'Recapture &amp; Upside'!A26","A26")</f>
        <v>A26</v>
      </c>
      <c r="C338" s="0" t="s">
        <v>310</v>
      </c>
      <c r="D338" s="65" t="n">
        <v>1</v>
      </c>
    </row>
    <row r="339" customFormat="false" ht="15" hidden="false" customHeight="true" outlineLevel="1" collapsed="false">
      <c r="A339" s="0" t="s">
        <v>302</v>
      </c>
      <c r="B339" s="77" t="str">
        <f aca="false">HYPERLINK("#'Recapture &amp; Upside'!E26","E26")</f>
        <v>E26</v>
      </c>
      <c r="C339" s="0" t="s">
        <v>310</v>
      </c>
      <c r="D339" s="84" t="n">
        <v>0.3</v>
      </c>
    </row>
    <row r="340" customFormat="false" ht="15" hidden="false" customHeight="true" outlineLevel="1" collapsed="false">
      <c r="A340" s="0" t="s">
        <v>302</v>
      </c>
      <c r="B340" s="77" t="str">
        <f aca="false">HYPERLINK("#'Recapture &amp; Upside'!F26","F26")</f>
        <v>F26</v>
      </c>
      <c r="C340" s="0" t="s">
        <v>310</v>
      </c>
      <c r="D340" s="84" t="n">
        <v>0.7</v>
      </c>
    </row>
    <row r="341" customFormat="false" ht="15" hidden="false" customHeight="true" outlineLevel="1" collapsed="false">
      <c r="A341" s="0" t="s">
        <v>302</v>
      </c>
      <c r="B341" s="77" t="str">
        <f aca="false">HYPERLINK("#'Recapture &amp; Upside'!A27","A27")</f>
        <v>A27</v>
      </c>
      <c r="C341" s="0" t="s">
        <v>311</v>
      </c>
      <c r="D341" s="65" t="n">
        <v>2</v>
      </c>
    </row>
    <row r="342" customFormat="false" ht="15" hidden="false" customHeight="true" outlineLevel="1" collapsed="false">
      <c r="A342" s="0" t="s">
        <v>302</v>
      </c>
      <c r="B342" s="77" t="str">
        <f aca="false">HYPERLINK("#'Recapture &amp; Upside'!E27","E27")</f>
        <v>E27</v>
      </c>
      <c r="C342" s="0" t="s">
        <v>311</v>
      </c>
      <c r="D342" s="84" t="n">
        <v>0.4</v>
      </c>
    </row>
    <row r="343" customFormat="false" ht="15" hidden="false" customHeight="true" outlineLevel="1" collapsed="false">
      <c r="A343" s="0" t="s">
        <v>302</v>
      </c>
      <c r="B343" s="77" t="str">
        <f aca="false">HYPERLINK("#'Recapture &amp; Upside'!F27","F27")</f>
        <v>F27</v>
      </c>
      <c r="C343" s="0" t="s">
        <v>311</v>
      </c>
      <c r="D343" s="84" t="n">
        <v>0.85</v>
      </c>
    </row>
    <row r="344" customFormat="false" ht="15" hidden="false" customHeight="true" outlineLevel="1" collapsed="false">
      <c r="A344" s="0" t="s">
        <v>302</v>
      </c>
      <c r="B344" s="77" t="str">
        <f aca="false">HYPERLINK("#'Recapture &amp; Upside'!A28","A28")</f>
        <v>A28</v>
      </c>
      <c r="C344" s="0" t="s">
        <v>312</v>
      </c>
      <c r="D344" s="65" t="n">
        <v>3</v>
      </c>
    </row>
    <row r="345" customFormat="false" ht="15" hidden="false" customHeight="true" outlineLevel="1" collapsed="false">
      <c r="A345" s="0" t="s">
        <v>302</v>
      </c>
      <c r="B345" s="77" t="str">
        <f aca="false">HYPERLINK("#'Recapture &amp; Upside'!E28","E28")</f>
        <v>E28</v>
      </c>
      <c r="C345" s="0" t="s">
        <v>312</v>
      </c>
      <c r="D345" s="84" t="n">
        <v>0.5</v>
      </c>
    </row>
    <row r="346" customFormat="false" ht="15" hidden="false" customHeight="true" outlineLevel="1" collapsed="false">
      <c r="A346" s="0" t="s">
        <v>302</v>
      </c>
      <c r="B346" s="77" t="str">
        <f aca="false">HYPERLINK("#'Recapture &amp; Upside'!F28","F28")</f>
        <v>F28</v>
      </c>
      <c r="C346" s="0" t="s">
        <v>312</v>
      </c>
      <c r="D346" s="84" t="n">
        <v>0.8</v>
      </c>
    </row>
    <row r="347" customFormat="false" ht="15" hidden="false" customHeight="true" outlineLevel="1" collapsed="false">
      <c r="A347" s="0" t="s">
        <v>302</v>
      </c>
      <c r="B347" s="77" t="str">
        <f aca="false">HYPERLINK("#'Recapture &amp; Upside'!A29","A29")</f>
        <v>A29</v>
      </c>
      <c r="C347" s="0" t="s">
        <v>313</v>
      </c>
      <c r="D347" s="65" t="n">
        <v>4</v>
      </c>
    </row>
    <row r="348" customFormat="false" ht="15" hidden="false" customHeight="true" outlineLevel="1" collapsed="false">
      <c r="A348" s="0" t="s">
        <v>302</v>
      </c>
      <c r="B348" s="77" t="str">
        <f aca="false">HYPERLINK("#'Recapture &amp; Upside'!E29","E29")</f>
        <v>E29</v>
      </c>
      <c r="C348" s="0" t="s">
        <v>313</v>
      </c>
      <c r="D348" s="84" t="n">
        <v>0</v>
      </c>
    </row>
    <row r="349" customFormat="false" ht="15" hidden="false" customHeight="true" outlineLevel="1" collapsed="false">
      <c r="A349" s="0" t="s">
        <v>302</v>
      </c>
      <c r="B349" s="77" t="str">
        <f aca="false">HYPERLINK("#'Recapture &amp; Upside'!F29","F29")</f>
        <v>F29</v>
      </c>
      <c r="C349" s="0" t="s">
        <v>313</v>
      </c>
      <c r="D349" s="84" t="n">
        <v>1</v>
      </c>
    </row>
    <row r="350" customFormat="false" ht="15" hidden="false" customHeight="true" outlineLevel="1" collapsed="false">
      <c r="A350" s="0" t="s">
        <v>302</v>
      </c>
      <c r="B350" s="77" t="str">
        <f aca="false">HYPERLINK("#'Recapture &amp; Upside'!A35","A35")</f>
        <v>A35</v>
      </c>
      <c r="C350" s="0" t="s">
        <v>314</v>
      </c>
      <c r="D350" s="65" t="n">
        <v>1</v>
      </c>
    </row>
    <row r="351" customFormat="false" ht="15" hidden="false" customHeight="true" outlineLevel="1" collapsed="false">
      <c r="A351" s="0" t="s">
        <v>302</v>
      </c>
      <c r="B351" s="77" t="str">
        <f aca="false">HYPERLINK("#'Recapture &amp; Upside'!E35","E35")</f>
        <v>E35</v>
      </c>
      <c r="C351" s="0" t="s">
        <v>314</v>
      </c>
      <c r="D351" s="91" t="n">
        <v>35</v>
      </c>
    </row>
    <row r="352" customFormat="false" ht="15" hidden="false" customHeight="true" outlineLevel="1" collapsed="false">
      <c r="A352" s="0" t="s">
        <v>302</v>
      </c>
      <c r="B352" s="77" t="str">
        <f aca="false">HYPERLINK("#'Recapture &amp; Upside'!F35","F35")</f>
        <v>F35</v>
      </c>
      <c r="C352" s="0" t="s">
        <v>314</v>
      </c>
      <c r="D352" s="84" t="n">
        <v>0.2</v>
      </c>
    </row>
    <row r="353" customFormat="false" ht="15" hidden="false" customHeight="true" outlineLevel="1" collapsed="false">
      <c r="A353" s="0" t="s">
        <v>302</v>
      </c>
      <c r="B353" s="77" t="str">
        <f aca="false">HYPERLINK("#'Recapture &amp; Upside'!A36","A36")</f>
        <v>A36</v>
      </c>
      <c r="C353" s="0" t="s">
        <v>315</v>
      </c>
      <c r="D353" s="65" t="n">
        <v>2</v>
      </c>
    </row>
    <row r="354" customFormat="false" ht="15" hidden="false" customHeight="true" outlineLevel="1" collapsed="false">
      <c r="A354" s="0" t="s">
        <v>302</v>
      </c>
      <c r="B354" s="77" t="str">
        <f aca="false">HYPERLINK("#'Recapture &amp; Upside'!E36","E36")</f>
        <v>E36</v>
      </c>
      <c r="C354" s="0" t="s">
        <v>315</v>
      </c>
      <c r="D354" s="91" t="n">
        <v>25</v>
      </c>
    </row>
    <row r="355" customFormat="false" ht="15" hidden="false" customHeight="true" outlineLevel="1" collapsed="false">
      <c r="A355" s="0" t="s">
        <v>302</v>
      </c>
      <c r="B355" s="77" t="str">
        <f aca="false">HYPERLINK("#'Recapture &amp; Upside'!A37","A37")</f>
        <v>A37</v>
      </c>
      <c r="C355" s="0" t="s">
        <v>316</v>
      </c>
      <c r="D355" s="65" t="n">
        <v>3</v>
      </c>
    </row>
    <row r="356" customFormat="false" ht="15" hidden="false" customHeight="true" outlineLevel="1" collapsed="false">
      <c r="A356" s="0" t="s">
        <v>302</v>
      </c>
      <c r="B356" s="77" t="str">
        <f aca="false">HYPERLINK("#'Recapture &amp; Upside'!E37","E37")</f>
        <v>E37</v>
      </c>
      <c r="C356" s="0" t="s">
        <v>316</v>
      </c>
      <c r="D356" s="91" t="n">
        <v>50</v>
      </c>
    </row>
    <row r="357" customFormat="false" ht="15" hidden="false" customHeight="true" outlineLevel="1" collapsed="false">
      <c r="A357" s="0" t="s">
        <v>302</v>
      </c>
      <c r="B357" s="77" t="str">
        <f aca="false">HYPERLINK("#'Recapture &amp; Upside'!A38","A38")</f>
        <v>A38</v>
      </c>
      <c r="C357" s="0" t="s">
        <v>317</v>
      </c>
      <c r="D357" s="65" t="n">
        <v>4</v>
      </c>
    </row>
    <row r="358" customFormat="false" ht="15" hidden="false" customHeight="true" outlineLevel="1" collapsed="false">
      <c r="A358" s="0" t="s">
        <v>302</v>
      </c>
      <c r="B358" s="77" t="str">
        <f aca="false">HYPERLINK("#'Recapture &amp; Upside'!E38","E38")</f>
        <v>E38</v>
      </c>
      <c r="C358" s="0" t="s">
        <v>317</v>
      </c>
      <c r="D358" s="91" t="n">
        <v>75</v>
      </c>
    </row>
    <row r="359" customFormat="false" ht="15" hidden="false" customHeight="true" outlineLevel="1" collapsed="false">
      <c r="A359" s="0" t="s">
        <v>302</v>
      </c>
      <c r="B359" s="77" t="str">
        <f aca="false">HYPERLINK("#'Recapture &amp; Upside'!A39","A39")</f>
        <v>A39</v>
      </c>
      <c r="C359" s="0" t="s">
        <v>318</v>
      </c>
      <c r="D359" s="65" t="n">
        <v>5</v>
      </c>
    </row>
    <row r="360" customFormat="false" ht="15" hidden="false" customHeight="true" outlineLevel="1" collapsed="false">
      <c r="A360" s="0" t="s">
        <v>302</v>
      </c>
      <c r="B360" s="77" t="str">
        <f aca="false">HYPERLINK("#'Recapture &amp; Upside'!E39","E39")</f>
        <v>E39</v>
      </c>
      <c r="C360" s="0" t="s">
        <v>318</v>
      </c>
      <c r="D360" s="91" t="n">
        <v>75</v>
      </c>
    </row>
    <row r="361" customFormat="false" ht="15" hidden="false" customHeight="true" outlineLevel="1" collapsed="false">
      <c r="A361" s="0" t="s">
        <v>302</v>
      </c>
      <c r="B361" s="77" t="str">
        <f aca="false">HYPERLINK("#'Recapture &amp; Upside'!F39","F39")</f>
        <v>F39</v>
      </c>
      <c r="C361" s="0" t="s">
        <v>318</v>
      </c>
      <c r="D361" s="84" t="n">
        <v>0.1</v>
      </c>
    </row>
    <row r="362" customFormat="false" ht="15" hidden="false" customHeight="true" outlineLevel="1" collapsed="false">
      <c r="A362" s="0" t="s">
        <v>302</v>
      </c>
      <c r="B362" s="77" t="str">
        <f aca="false">HYPERLINK("#'Recapture &amp; Upside'!A40","A40")</f>
        <v>A40</v>
      </c>
      <c r="C362" s="0" t="s">
        <v>319</v>
      </c>
      <c r="D362" s="65" t="n">
        <v>6</v>
      </c>
    </row>
    <row r="363" customFormat="false" ht="15" hidden="false" customHeight="true" outlineLevel="1" collapsed="false">
      <c r="A363" s="0" t="s">
        <v>302</v>
      </c>
      <c r="B363" s="77" t="str">
        <f aca="false">HYPERLINK("#'Recapture &amp; Upside'!E40","E40")</f>
        <v>E40</v>
      </c>
      <c r="C363" s="0" t="s">
        <v>319</v>
      </c>
      <c r="D363" s="91" t="n">
        <v>15</v>
      </c>
    </row>
    <row r="364" customFormat="false" ht="15" hidden="false" customHeight="true" outlineLevel="1" collapsed="false">
      <c r="A364" s="0" t="s">
        <v>302</v>
      </c>
      <c r="B364" s="77" t="str">
        <f aca="false">HYPERLINK("#'Recapture &amp; Upside'!F40","F40")</f>
        <v>F40</v>
      </c>
      <c r="C364" s="0" t="s">
        <v>319</v>
      </c>
      <c r="D364" s="84" t="n">
        <v>1</v>
      </c>
    </row>
    <row r="365" customFormat="false" ht="15" hidden="false" customHeight="true" outlineLevel="1" collapsed="false">
      <c r="A365" s="0" t="s">
        <v>302</v>
      </c>
      <c r="B365" s="77" t="str">
        <f aca="false">HYPERLINK("#'Recapture &amp; Upside'!A41","A41")</f>
        <v>A41</v>
      </c>
      <c r="C365" s="0" t="s">
        <v>320</v>
      </c>
      <c r="D365" s="65" t="n">
        <v>7</v>
      </c>
    </row>
    <row r="366" customFormat="false" ht="15" hidden="false" customHeight="true" outlineLevel="1" collapsed="false">
      <c r="A366" s="0" t="s">
        <v>302</v>
      </c>
      <c r="B366" s="77" t="str">
        <f aca="false">HYPERLINK("#'Recapture &amp; Upside'!E41","E41")</f>
        <v>E41</v>
      </c>
      <c r="C366" s="0" t="s">
        <v>320</v>
      </c>
      <c r="D366" s="91" t="n">
        <v>10</v>
      </c>
    </row>
    <row r="367" customFormat="false" ht="15" hidden="false" customHeight="true" outlineLevel="1" collapsed="false">
      <c r="A367" s="0" t="s">
        <v>302</v>
      </c>
      <c r="B367" s="77" t="str">
        <f aca="false">HYPERLINK("#'Recapture &amp; Upside'!A42","A42")</f>
        <v>A42</v>
      </c>
      <c r="C367" s="0" t="s">
        <v>321</v>
      </c>
      <c r="D367" s="65" t="n">
        <v>8</v>
      </c>
    </row>
    <row r="368" customFormat="false" ht="15" hidden="false" customHeight="true" outlineLevel="1" collapsed="false">
      <c r="A368" s="0" t="s">
        <v>302</v>
      </c>
      <c r="B368" s="77" t="str">
        <f aca="false">HYPERLINK("#'Recapture &amp; Upside'!E42","E42")</f>
        <v>E42</v>
      </c>
      <c r="C368" s="0" t="s">
        <v>321</v>
      </c>
      <c r="D368" s="91" t="n">
        <v>12</v>
      </c>
    </row>
    <row r="369" customFormat="false" ht="15" hidden="false" customHeight="true" outlineLevel="1" collapsed="false">
      <c r="A369" s="0" t="s">
        <v>302</v>
      </c>
      <c r="B369" s="77" t="str">
        <f aca="false">HYPERLINK("#'Recapture &amp; Upside'!A43","A43")</f>
        <v>A43</v>
      </c>
      <c r="C369" s="0" t="s">
        <v>322</v>
      </c>
      <c r="D369" s="65" t="n">
        <v>9</v>
      </c>
    </row>
    <row r="370" customFormat="false" ht="15" hidden="false" customHeight="true" outlineLevel="1" collapsed="false">
      <c r="A370" s="0" t="s">
        <v>302</v>
      </c>
      <c r="B370" s="77" t="str">
        <f aca="false">HYPERLINK("#'Recapture &amp; Upside'!E43","E43")</f>
        <v>E43</v>
      </c>
      <c r="C370" s="0" t="s">
        <v>322</v>
      </c>
      <c r="D370" s="91" t="n">
        <v>25</v>
      </c>
    </row>
    <row r="371" customFormat="false" ht="15" hidden="false" customHeight="true" outlineLevel="1" collapsed="false">
      <c r="A371" s="0" t="s">
        <v>302</v>
      </c>
      <c r="B371" s="77" t="str">
        <f aca="false">HYPERLINK("#'Recapture &amp; Upside'!F43","F43")</f>
        <v>F43</v>
      </c>
      <c r="C371" s="0" t="s">
        <v>322</v>
      </c>
      <c r="D371" s="84" t="n">
        <v>0.9</v>
      </c>
    </row>
    <row r="372" customFormat="false" ht="15" hidden="false" customHeight="true" outlineLevel="1" collapsed="false">
      <c r="A372" s="0" t="s">
        <v>302</v>
      </c>
      <c r="B372" s="77" t="str">
        <f aca="false">HYPERLINK("#'Recapture &amp; Upside'!A44","A44")</f>
        <v>A44</v>
      </c>
      <c r="C372" s="0" t="s">
        <v>323</v>
      </c>
      <c r="D372" s="65" t="n">
        <v>10</v>
      </c>
    </row>
    <row r="373" customFormat="false" ht="15" hidden="false" customHeight="true" outlineLevel="1" collapsed="false">
      <c r="A373" s="0" t="s">
        <v>302</v>
      </c>
      <c r="B373" s="77" t="str">
        <f aca="false">HYPERLINK("#'Recapture &amp; Upside'!E44","E44")</f>
        <v>E44</v>
      </c>
      <c r="C373" s="0" t="s">
        <v>323</v>
      </c>
      <c r="D373" s="91" t="n">
        <v>5</v>
      </c>
    </row>
    <row r="374" customFormat="false" ht="15" hidden="false" customHeight="true" outlineLevel="1" collapsed="false">
      <c r="A374" s="0" t="s">
        <v>302</v>
      </c>
      <c r="B374" s="77" t="str">
        <f aca="false">HYPERLINK("#'Recapture &amp; Upside'!A45","A45")</f>
        <v>A45</v>
      </c>
      <c r="C374" s="0" t="s">
        <v>324</v>
      </c>
      <c r="D374" s="65" t="n">
        <v>11</v>
      </c>
    </row>
    <row r="375" customFormat="false" ht="15" hidden="false" customHeight="true" outlineLevel="1" collapsed="false">
      <c r="A375" s="0" t="s">
        <v>302</v>
      </c>
      <c r="B375" s="77" t="str">
        <f aca="false">HYPERLINK("#'Recapture &amp; Upside'!E45","E45")</f>
        <v>E45</v>
      </c>
      <c r="C375" s="0" t="s">
        <v>324</v>
      </c>
      <c r="D375" s="91" t="n">
        <v>15</v>
      </c>
    </row>
    <row r="376" customFormat="false" ht="15" hidden="false" customHeight="true" outlineLevel="1" collapsed="false">
      <c r="A376" s="0" t="s">
        <v>302</v>
      </c>
      <c r="B376" s="77" t="str">
        <f aca="false">HYPERLINK("#'Recapture &amp; Upside'!A46","A46")</f>
        <v>A46</v>
      </c>
      <c r="C376" s="0" t="s">
        <v>325</v>
      </c>
      <c r="D376" s="65" t="n">
        <v>12</v>
      </c>
    </row>
    <row r="377" customFormat="false" ht="15" hidden="false" customHeight="true" outlineLevel="1" collapsed="false">
      <c r="A377" s="0" t="s">
        <v>302</v>
      </c>
      <c r="B377" s="77" t="str">
        <f aca="false">HYPERLINK("#'Recapture &amp; Upside'!E46","E46")</f>
        <v>E46</v>
      </c>
      <c r="C377" s="0" t="s">
        <v>325</v>
      </c>
      <c r="D377" s="91" t="n">
        <v>12</v>
      </c>
    </row>
    <row r="378" customFormat="false" ht="15" hidden="false" customHeight="true" outlineLevel="1" collapsed="false">
      <c r="A378" s="0" t="s">
        <v>302</v>
      </c>
      <c r="B378" s="77" t="str">
        <f aca="false">HYPERLINK("#'Recapture &amp; Upside'!A47","A47")</f>
        <v>A47</v>
      </c>
      <c r="C378" s="0" t="s">
        <v>326</v>
      </c>
      <c r="D378" s="65" t="n">
        <v>13</v>
      </c>
    </row>
    <row r="379" customFormat="false" ht="15" hidden="false" customHeight="true" outlineLevel="1" collapsed="false">
      <c r="A379" s="0" t="s">
        <v>302</v>
      </c>
      <c r="B379" s="77" t="str">
        <f aca="false">HYPERLINK("#'Recapture &amp; Upside'!E47","E47")</f>
        <v>E47</v>
      </c>
      <c r="C379" s="0" t="s">
        <v>326</v>
      </c>
      <c r="D379" s="91" t="n">
        <v>8</v>
      </c>
    </row>
    <row r="380" customFormat="false" ht="15" hidden="false" customHeight="true" outlineLevel="1" collapsed="false">
      <c r="A380" s="0" t="s">
        <v>302</v>
      </c>
      <c r="B380" s="77" t="str">
        <f aca="false">HYPERLINK("#'Recapture &amp; Upside'!A48","A48")</f>
        <v>A48</v>
      </c>
      <c r="C380" s="0" t="s">
        <v>327</v>
      </c>
      <c r="D380" s="65" t="n">
        <v>14</v>
      </c>
    </row>
    <row r="381" customFormat="false" ht="15" hidden="false" customHeight="true" outlineLevel="1" collapsed="false">
      <c r="A381" s="0" t="s">
        <v>302</v>
      </c>
      <c r="B381" s="77" t="str">
        <f aca="false">HYPERLINK("#'Recapture &amp; Upside'!E48","E48")</f>
        <v>E48</v>
      </c>
      <c r="C381" s="0" t="s">
        <v>327</v>
      </c>
      <c r="D381" s="91" t="n">
        <v>10</v>
      </c>
    </row>
    <row r="382" customFormat="false" ht="15" hidden="false" customHeight="true" outlineLevel="1" collapsed="false">
      <c r="A382" s="0" t="s">
        <v>302</v>
      </c>
      <c r="B382" s="77" t="str">
        <f aca="false">HYPERLINK("#'Recapture &amp; Upside'!A49","A49")</f>
        <v>A49</v>
      </c>
      <c r="C382" s="0" t="s">
        <v>328</v>
      </c>
      <c r="D382" s="65" t="n">
        <v>15</v>
      </c>
    </row>
    <row r="383" customFormat="false" ht="15" hidden="false" customHeight="true" outlineLevel="1" collapsed="false">
      <c r="A383" s="0" t="s">
        <v>302</v>
      </c>
      <c r="B383" s="77" t="str">
        <f aca="false">HYPERLINK("#'Recapture &amp; Upside'!E49","E49")</f>
        <v>E49</v>
      </c>
      <c r="C383" s="0" t="s">
        <v>328</v>
      </c>
      <c r="D383" s="91" t="n">
        <v>25</v>
      </c>
    </row>
    <row r="384" customFormat="false" ht="15" hidden="false" customHeight="true" outlineLevel="1" collapsed="false">
      <c r="A384" s="0" t="s">
        <v>302</v>
      </c>
      <c r="B384" s="77" t="str">
        <f aca="false">HYPERLINK("#'Recapture &amp; Upside'!A50","A50")</f>
        <v>A50</v>
      </c>
      <c r="C384" s="0" t="s">
        <v>329</v>
      </c>
      <c r="D384" s="65" t="n">
        <v>16</v>
      </c>
    </row>
    <row r="385" customFormat="false" ht="15" hidden="false" customHeight="true" outlineLevel="1" collapsed="false">
      <c r="A385" s="0" t="s">
        <v>302</v>
      </c>
      <c r="B385" s="77" t="str">
        <f aca="false">HYPERLINK("#'Recapture &amp; Upside'!E50","E50")</f>
        <v>E50</v>
      </c>
      <c r="C385" s="0" t="s">
        <v>329</v>
      </c>
      <c r="D385" s="91" t="n">
        <v>30</v>
      </c>
    </row>
    <row r="386" customFormat="false" ht="15" hidden="false" customHeight="true" outlineLevel="1" collapsed="false">
      <c r="A386" s="0" t="s">
        <v>302</v>
      </c>
      <c r="B386" s="77" t="str">
        <f aca="false">HYPERLINK("#'Recapture &amp; Upside'!F50","F50")</f>
        <v>F50</v>
      </c>
      <c r="C386" s="0" t="s">
        <v>329</v>
      </c>
      <c r="D386" s="84" t="n">
        <v>0.8</v>
      </c>
    </row>
    <row r="387" customFormat="false" ht="15" hidden="false" customHeight="true" outlineLevel="1" collapsed="false">
      <c r="A387" s="0" t="s">
        <v>302</v>
      </c>
      <c r="B387" s="77" t="str">
        <f aca="false">HYPERLINK("#'Recapture &amp; Upside'!A51","A51")</f>
        <v>A51</v>
      </c>
      <c r="C387" s="0" t="s">
        <v>330</v>
      </c>
      <c r="D387" s="65" t="n">
        <v>17</v>
      </c>
    </row>
    <row r="388" customFormat="false" ht="15" hidden="false" customHeight="true" outlineLevel="1" collapsed="false">
      <c r="A388" s="0" t="s">
        <v>302</v>
      </c>
      <c r="B388" s="77" t="str">
        <f aca="false">HYPERLINK("#'Recapture &amp; Upside'!E51","E51")</f>
        <v>E51</v>
      </c>
      <c r="C388" s="0" t="s">
        <v>330</v>
      </c>
      <c r="D388" s="91" t="n">
        <v>3</v>
      </c>
    </row>
    <row r="389" customFormat="false" ht="15" hidden="false" customHeight="true" outlineLevel="1" collapsed="false">
      <c r="A389" s="0" t="s">
        <v>302</v>
      </c>
      <c r="B389" s="77" t="str">
        <f aca="false">HYPERLINK("#'Recapture &amp; Upside'!A52","A52")</f>
        <v>A52</v>
      </c>
      <c r="C389" s="0" t="s">
        <v>331</v>
      </c>
      <c r="D389" s="65" t="n">
        <v>18</v>
      </c>
    </row>
    <row r="390" customFormat="false" ht="15" hidden="false" customHeight="true" outlineLevel="1" collapsed="false">
      <c r="A390" s="0" t="s">
        <v>302</v>
      </c>
      <c r="B390" s="77" t="str">
        <f aca="false">HYPERLINK("#'Recapture &amp; Upside'!E52","E52")</f>
        <v>E52</v>
      </c>
      <c r="C390" s="0" t="s">
        <v>331</v>
      </c>
      <c r="D390" s="91" t="n">
        <v>2</v>
      </c>
    </row>
    <row r="391" customFormat="false" ht="15" hidden="false" customHeight="true" outlineLevel="1" collapsed="false">
      <c r="A391" s="0" t="s">
        <v>302</v>
      </c>
      <c r="B391" s="77" t="str">
        <f aca="false">HYPERLINK("#'Recapture &amp; Upside'!F52","F52")</f>
        <v>F52</v>
      </c>
      <c r="C391" s="0" t="s">
        <v>331</v>
      </c>
      <c r="D391" s="84" t="n">
        <v>1</v>
      </c>
    </row>
    <row r="392" customFormat="false" ht="15" hidden="false" customHeight="true" outlineLevel="1" collapsed="false">
      <c r="A392" s="0" t="s">
        <v>302</v>
      </c>
      <c r="B392" s="77" t="str">
        <f aca="false">HYPERLINK("#'Recapture &amp; Upside'!K56","K56")</f>
        <v>K56</v>
      </c>
      <c r="C392" s="0" t="s">
        <v>332</v>
      </c>
      <c r="D392" s="78" t="n">
        <v>0.5</v>
      </c>
    </row>
    <row r="393" customFormat="false" ht="15" hidden="false" customHeight="true" outlineLevel="1" collapsed="false">
      <c r="A393" s="0" t="s">
        <v>302</v>
      </c>
      <c r="B393" s="77" t="str">
        <f aca="false">HYPERLINK("#'Recapture &amp; Upside'!A58","A58")</f>
        <v>A58</v>
      </c>
      <c r="C393" s="0" t="s">
        <v>333</v>
      </c>
      <c r="D393" s="65" t="n">
        <v>1</v>
      </c>
    </row>
    <row r="394" customFormat="false" ht="15" hidden="false" customHeight="true" outlineLevel="1" collapsed="false">
      <c r="A394" s="0" t="s">
        <v>302</v>
      </c>
      <c r="B394" s="77" t="str">
        <f aca="false">HYPERLINK("#'Recapture &amp; Upside'!E58","E58")</f>
        <v>E58</v>
      </c>
      <c r="C394" s="0" t="s">
        <v>333</v>
      </c>
      <c r="D394" s="91" t="n">
        <v>75</v>
      </c>
    </row>
    <row r="395" customFormat="false" ht="15" hidden="false" customHeight="true" outlineLevel="1" collapsed="false">
      <c r="A395" s="0" t="s">
        <v>302</v>
      </c>
      <c r="B395" s="77" t="str">
        <f aca="false">HYPERLINK("#'Recapture &amp; Upside'!F58","F58")</f>
        <v>F58</v>
      </c>
      <c r="C395" s="0" t="s">
        <v>333</v>
      </c>
      <c r="D395" s="81" t="n">
        <v>72</v>
      </c>
    </row>
    <row r="396" customFormat="false" ht="15" hidden="false" customHeight="true" outlineLevel="1" collapsed="false">
      <c r="A396" s="0" t="s">
        <v>302</v>
      </c>
      <c r="B396" s="77" t="str">
        <f aca="false">HYPERLINK("#'Recapture &amp; Upside'!A59","A59")</f>
        <v>A59</v>
      </c>
      <c r="C396" s="0" t="s">
        <v>334</v>
      </c>
      <c r="D396" s="65" t="n">
        <v>2</v>
      </c>
    </row>
    <row r="397" customFormat="false" ht="15" hidden="false" customHeight="true" outlineLevel="1" collapsed="false">
      <c r="A397" s="0" t="s">
        <v>302</v>
      </c>
      <c r="B397" s="77" t="str">
        <f aca="false">HYPERLINK("#'Recapture &amp; Upside'!E59","E59")</f>
        <v>E59</v>
      </c>
      <c r="C397" s="0" t="s">
        <v>334</v>
      </c>
      <c r="D397" s="91" t="n">
        <v>250</v>
      </c>
    </row>
    <row r="398" customFormat="false" ht="15" hidden="false" customHeight="true" outlineLevel="1" collapsed="false">
      <c r="A398" s="0" t="s">
        <v>302</v>
      </c>
      <c r="B398" s="77" t="str">
        <f aca="false">HYPERLINK("#'Recapture &amp; Upside'!F59","F59")</f>
        <v>F59</v>
      </c>
      <c r="C398" s="0" t="s">
        <v>334</v>
      </c>
      <c r="D398" s="81" t="n">
        <v>21</v>
      </c>
    </row>
    <row r="399" customFormat="false" ht="15" hidden="false" customHeight="true" outlineLevel="1" collapsed="false">
      <c r="A399" s="0" t="s">
        <v>302</v>
      </c>
      <c r="B399" s="77" t="str">
        <f aca="false">HYPERLINK("#'Recapture &amp; Upside'!A60","A60")</f>
        <v>A60</v>
      </c>
      <c r="C399" s="0" t="s">
        <v>335</v>
      </c>
      <c r="D399" s="65" t="n">
        <v>3</v>
      </c>
    </row>
    <row r="400" customFormat="false" ht="15" hidden="false" customHeight="true" outlineLevel="1" collapsed="false">
      <c r="A400" s="0" t="s">
        <v>302</v>
      </c>
      <c r="B400" s="77" t="str">
        <f aca="false">HYPERLINK("#'Recapture &amp; Upside'!E60","E60")</f>
        <v>E60</v>
      </c>
      <c r="C400" s="0" t="s">
        <v>335</v>
      </c>
      <c r="D400" s="91" t="n">
        <v>150</v>
      </c>
    </row>
    <row r="401" customFormat="false" ht="15" hidden="false" customHeight="true" outlineLevel="1" collapsed="false">
      <c r="A401" s="0" t="s">
        <v>302</v>
      </c>
      <c r="B401" s="77" t="str">
        <f aca="false">HYPERLINK("#'Recapture &amp; Upside'!F60","F60")</f>
        <v>F60</v>
      </c>
      <c r="C401" s="0" t="s">
        <v>335</v>
      </c>
      <c r="D401" s="81" t="n">
        <v>7</v>
      </c>
    </row>
    <row r="402" customFormat="false" ht="15" hidden="false" customHeight="true" outlineLevel="1" collapsed="false">
      <c r="A402" s="0" t="s">
        <v>302</v>
      </c>
      <c r="B402" s="77" t="str">
        <f aca="false">HYPERLINK("#'Recapture &amp; Upside'!A61","A61")</f>
        <v>A61</v>
      </c>
      <c r="C402" s="0" t="s">
        <v>336</v>
      </c>
      <c r="D402" s="65" t="n">
        <v>4</v>
      </c>
    </row>
    <row r="403" customFormat="false" ht="15" hidden="false" customHeight="true" outlineLevel="1" collapsed="false">
      <c r="A403" s="0" t="s">
        <v>302</v>
      </c>
      <c r="B403" s="77" t="str">
        <f aca="false">HYPERLINK("#'Recapture &amp; Upside'!E61","E61")</f>
        <v>E61</v>
      </c>
      <c r="C403" s="0" t="s">
        <v>336</v>
      </c>
      <c r="D403" s="91" t="n">
        <v>1500</v>
      </c>
    </row>
    <row r="404" customFormat="false" ht="15" hidden="false" customHeight="true" outlineLevel="1" collapsed="false">
      <c r="A404" s="0" t="s">
        <v>302</v>
      </c>
      <c r="B404" s="77" t="str">
        <f aca="false">HYPERLINK("#'Recapture &amp; Upside'!F61","F61")</f>
        <v>F61</v>
      </c>
      <c r="C404" s="0" t="s">
        <v>336</v>
      </c>
      <c r="D404" s="81" t="n">
        <v>4</v>
      </c>
    </row>
    <row r="405" customFormat="false" ht="15" hidden="false" customHeight="true" outlineLevel="1" collapsed="false">
      <c r="A405" s="0" t="s">
        <v>302</v>
      </c>
      <c r="B405" s="77" t="str">
        <f aca="false">HYPERLINK("#'Recapture &amp; Upside'!A62","A62")</f>
        <v>A62</v>
      </c>
      <c r="C405" s="0" t="s">
        <v>337</v>
      </c>
      <c r="D405" s="65" t="n">
        <v>5</v>
      </c>
    </row>
    <row r="406" customFormat="false" ht="15" hidden="false" customHeight="true" outlineLevel="1" collapsed="false">
      <c r="A406" s="0" t="s">
        <v>302</v>
      </c>
      <c r="B406" s="77" t="str">
        <f aca="false">HYPERLINK("#'Recapture &amp; Upside'!E62","E62")</f>
        <v>E62</v>
      </c>
      <c r="C406" s="0" t="s">
        <v>337</v>
      </c>
      <c r="D406" s="91" t="n">
        <v>75</v>
      </c>
    </row>
    <row r="407" customFormat="false" ht="15" hidden="false" customHeight="true" outlineLevel="1" collapsed="false">
      <c r="A407" s="0" t="s">
        <v>302</v>
      </c>
      <c r="B407" s="77" t="str">
        <f aca="false">HYPERLINK("#'Recapture &amp; Upside'!F62","F62")</f>
        <v>F62</v>
      </c>
      <c r="C407" s="0" t="s">
        <v>337</v>
      </c>
      <c r="D407" s="81" t="n">
        <v>72</v>
      </c>
    </row>
    <row r="408" customFormat="false" ht="15" hidden="false" customHeight="true" outlineLevel="1" collapsed="false">
      <c r="A408" s="0" t="s">
        <v>302</v>
      </c>
      <c r="B408" s="77" t="str">
        <f aca="false">HYPERLINK("#'Recapture &amp; Upside'!A63","A63")</f>
        <v>A63</v>
      </c>
      <c r="C408" s="0" t="s">
        <v>338</v>
      </c>
      <c r="D408" s="65" t="n">
        <v>6</v>
      </c>
    </row>
    <row r="409" customFormat="false" ht="15" hidden="false" customHeight="true" outlineLevel="1" collapsed="false">
      <c r="A409" s="0" t="s">
        <v>302</v>
      </c>
      <c r="B409" s="77" t="str">
        <f aca="false">HYPERLINK("#'Recapture &amp; Upside'!E63","E63")</f>
        <v>E63</v>
      </c>
      <c r="C409" s="0" t="s">
        <v>338</v>
      </c>
      <c r="D409" s="91" t="n">
        <v>200</v>
      </c>
    </row>
    <row r="410" customFormat="false" ht="15" hidden="false" customHeight="true" outlineLevel="1" collapsed="false">
      <c r="A410" s="0" t="s">
        <v>302</v>
      </c>
      <c r="B410" s="77" t="str">
        <f aca="false">HYPERLINK("#'Recapture &amp; Upside'!F63","F63")</f>
        <v>F63</v>
      </c>
      <c r="C410" s="0" t="s">
        <v>338</v>
      </c>
      <c r="D410" s="81" t="n">
        <v>72</v>
      </c>
    </row>
    <row r="411" customFormat="false" ht="15" hidden="false" customHeight="true" outlineLevel="1" collapsed="false">
      <c r="A411" s="0" t="s">
        <v>302</v>
      </c>
      <c r="B411" s="77" t="str">
        <f aca="false">HYPERLINK("#'Recapture &amp; Upside'!A70","A70")</f>
        <v>A70</v>
      </c>
      <c r="C411" s="0" t="s">
        <v>339</v>
      </c>
      <c r="D411" s="65" t="n">
        <v>1</v>
      </c>
    </row>
    <row r="412" customFormat="false" ht="15" hidden="false" customHeight="true" outlineLevel="1" collapsed="false">
      <c r="A412" s="0" t="s">
        <v>302</v>
      </c>
      <c r="B412" s="77" t="str">
        <f aca="false">HYPERLINK("#'Recapture &amp; Upside'!E70","E70")</f>
        <v>E70</v>
      </c>
      <c r="C412" s="0" t="s">
        <v>339</v>
      </c>
      <c r="D412" s="91" t="n">
        <v>25</v>
      </c>
    </row>
    <row r="413" customFormat="false" ht="15" hidden="false" customHeight="true" outlineLevel="1" collapsed="false">
      <c r="A413" s="0" t="s">
        <v>302</v>
      </c>
      <c r="B413" s="77" t="str">
        <f aca="false">HYPERLINK("#'Recapture &amp; Upside'!F70","F70")</f>
        <v>F70</v>
      </c>
      <c r="C413" s="0" t="s">
        <v>339</v>
      </c>
      <c r="D413" s="84" t="n">
        <v>0.5</v>
      </c>
    </row>
    <row r="414" customFormat="false" ht="15" hidden="false" customHeight="true" outlineLevel="1" collapsed="false">
      <c r="A414" s="0" t="s">
        <v>302</v>
      </c>
      <c r="B414" s="77" t="str">
        <f aca="false">HYPERLINK("#'Recapture &amp; Upside'!A71","A71")</f>
        <v>A71</v>
      </c>
      <c r="C414" s="0" t="s">
        <v>340</v>
      </c>
      <c r="D414" s="65" t="n">
        <v>2</v>
      </c>
    </row>
    <row r="415" customFormat="false" ht="15" hidden="false" customHeight="true" outlineLevel="1" collapsed="false">
      <c r="A415" s="0" t="s">
        <v>302</v>
      </c>
      <c r="B415" s="77" t="str">
        <f aca="false">HYPERLINK("#'Recapture &amp; Upside'!E71","E71")</f>
        <v>E71</v>
      </c>
      <c r="C415" s="0" t="s">
        <v>340</v>
      </c>
      <c r="D415" s="91" t="n">
        <v>200</v>
      </c>
    </row>
    <row r="416" customFormat="false" ht="15" hidden="false" customHeight="true" outlineLevel="1" collapsed="false">
      <c r="A416" s="0" t="s">
        <v>302</v>
      </c>
      <c r="B416" s="77" t="str">
        <f aca="false">HYPERLINK("#'Recapture &amp; Upside'!F71","F71")</f>
        <v>F71</v>
      </c>
      <c r="C416" s="0" t="s">
        <v>340</v>
      </c>
      <c r="D416" s="84" t="n">
        <v>0.05</v>
      </c>
    </row>
    <row r="417" customFormat="false" ht="15" hidden="false" customHeight="true" outlineLevel="1" collapsed="false">
      <c r="A417" s="0" t="s">
        <v>302</v>
      </c>
      <c r="B417" s="77" t="str">
        <f aca="false">HYPERLINK("#'Recapture &amp; Upside'!A72","A72")</f>
        <v>A72</v>
      </c>
      <c r="C417" s="0" t="s">
        <v>341</v>
      </c>
      <c r="D417" s="65" t="n">
        <v>3</v>
      </c>
    </row>
    <row r="418" customFormat="false" ht="15" hidden="false" customHeight="true" outlineLevel="1" collapsed="false">
      <c r="A418" s="0" t="s">
        <v>302</v>
      </c>
      <c r="B418" s="77" t="str">
        <f aca="false">HYPERLINK("#'Recapture &amp; Upside'!E72","E72")</f>
        <v>E72</v>
      </c>
      <c r="C418" s="0" t="s">
        <v>341</v>
      </c>
      <c r="D418" s="91" t="n">
        <v>400</v>
      </c>
    </row>
    <row r="419" customFormat="false" ht="15" hidden="false" customHeight="true" outlineLevel="1" collapsed="false">
      <c r="A419" s="0" t="s">
        <v>302</v>
      </c>
      <c r="B419" s="77" t="str">
        <f aca="false">HYPERLINK("#'Recapture &amp; Upside'!F72","F72")</f>
        <v>F72</v>
      </c>
      <c r="C419" s="0" t="s">
        <v>341</v>
      </c>
      <c r="D419" s="84" t="n">
        <v>0.03</v>
      </c>
    </row>
    <row r="420" customFormat="false" ht="15" hidden="false" customHeight="true" outlineLevel="1" collapsed="false">
      <c r="A420" s="0" t="s">
        <v>302</v>
      </c>
      <c r="B420" s="77" t="str">
        <f aca="false">HYPERLINK("#'Recapture &amp; Upside'!A73","A73")</f>
        <v>A73</v>
      </c>
      <c r="C420" s="0" t="s">
        <v>342</v>
      </c>
      <c r="D420" s="65" t="n">
        <v>4</v>
      </c>
    </row>
    <row r="421" customFormat="false" ht="15" hidden="false" customHeight="true" outlineLevel="1" collapsed="false">
      <c r="A421" s="0" t="s">
        <v>302</v>
      </c>
      <c r="B421" s="77" t="str">
        <f aca="false">HYPERLINK("#'Recapture &amp; Upside'!E73","E73")</f>
        <v>E73</v>
      </c>
      <c r="C421" s="0" t="s">
        <v>342</v>
      </c>
      <c r="D421" s="91" t="n">
        <v>15</v>
      </c>
    </row>
    <row r="422" customFormat="false" ht="15" hidden="false" customHeight="true" outlineLevel="1" collapsed="false">
      <c r="A422" s="0" t="s">
        <v>302</v>
      </c>
      <c r="B422" s="77" t="str">
        <f aca="false">HYPERLINK("#'Recapture &amp; Upside'!F73","F73")</f>
        <v>F73</v>
      </c>
      <c r="C422" s="0" t="s">
        <v>342</v>
      </c>
      <c r="D422" s="84" t="n">
        <v>0.3</v>
      </c>
    </row>
    <row r="423" customFormat="false" ht="15" hidden="false" customHeight="true" outlineLevel="0" collapsed="false">
      <c r="B423" s="77"/>
    </row>
    <row r="424" customFormat="false" ht="15" hidden="false" customHeight="true" outlineLevel="0" collapsed="false">
      <c r="A424" s="75" t="s">
        <v>343</v>
      </c>
      <c r="B424" s="76" t="s">
        <v>344</v>
      </c>
      <c r="C424" s="75"/>
      <c r="D424" s="75"/>
      <c r="E424" s="75"/>
    </row>
    <row r="425" customFormat="false" ht="15" hidden="true" customHeight="true" outlineLevel="1" collapsed="false">
      <c r="A425" s="0" t="s">
        <v>345</v>
      </c>
      <c r="B425" s="77" t="str">
        <f aca="false">HYPERLINK("#'Rent Roll Analysis'!D12","D12")</f>
        <v>D12</v>
      </c>
      <c r="C425" s="0" t="s">
        <v>346</v>
      </c>
      <c r="D425" s="79" t="n">
        <v>0</v>
      </c>
    </row>
    <row r="426" customFormat="false" ht="15" hidden="true" customHeight="true" outlineLevel="1" collapsed="false">
      <c r="A426" s="0" t="s">
        <v>345</v>
      </c>
      <c r="B426" s="77" t="str">
        <f aca="false">HYPERLINK("#'Rent Roll Analysis'!E12","E12")</f>
        <v>E12</v>
      </c>
      <c r="C426" s="0" t="s">
        <v>346</v>
      </c>
      <c r="D426" s="79" t="n">
        <v>0</v>
      </c>
    </row>
    <row r="427" customFormat="false" ht="15" hidden="true" customHeight="true" outlineLevel="1" collapsed="false">
      <c r="A427" s="0" t="s">
        <v>345</v>
      </c>
      <c r="B427" s="77" t="str">
        <f aca="false">HYPERLINK("#'Rent Roll Analysis'!F12","F12")</f>
        <v>F12</v>
      </c>
      <c r="C427" s="0" t="s">
        <v>346</v>
      </c>
      <c r="D427" s="79" t="n">
        <v>0</v>
      </c>
    </row>
    <row r="428" customFormat="false" ht="15" hidden="true" customHeight="true" outlineLevel="1" collapsed="false">
      <c r="A428" s="0" t="s">
        <v>345</v>
      </c>
      <c r="B428" s="77" t="str">
        <f aca="false">HYPERLINK("#'Rent Roll Analysis'!G12","G12")</f>
        <v>G12</v>
      </c>
      <c r="C428" s="0" t="s">
        <v>346</v>
      </c>
      <c r="D428" s="79" t="n">
        <v>0</v>
      </c>
    </row>
    <row r="429" customFormat="false" ht="15" hidden="true" customHeight="true" outlineLevel="1" collapsed="false">
      <c r="A429" s="0" t="s">
        <v>345</v>
      </c>
      <c r="B429" s="77" t="str">
        <f aca="false">HYPERLINK("#'Rent Roll Analysis'!D13","D13")</f>
        <v>D13</v>
      </c>
      <c r="C429" s="0" t="s">
        <v>347</v>
      </c>
      <c r="D429" s="79" t="n">
        <v>0</v>
      </c>
    </row>
    <row r="430" customFormat="false" ht="15" hidden="true" customHeight="true" outlineLevel="1" collapsed="false">
      <c r="A430" s="0" t="s">
        <v>345</v>
      </c>
      <c r="B430" s="77" t="str">
        <f aca="false">HYPERLINK("#'Rent Roll Analysis'!E13","E13")</f>
        <v>E13</v>
      </c>
      <c r="C430" s="0" t="s">
        <v>347</v>
      </c>
      <c r="D430" s="79" t="n">
        <v>0</v>
      </c>
    </row>
    <row r="431" customFormat="false" ht="15" hidden="true" customHeight="true" outlineLevel="1" collapsed="false">
      <c r="A431" s="0" t="s">
        <v>345</v>
      </c>
      <c r="B431" s="77" t="str">
        <f aca="false">HYPERLINK("#'Rent Roll Analysis'!F13","F13")</f>
        <v>F13</v>
      </c>
      <c r="C431" s="0" t="s">
        <v>347</v>
      </c>
      <c r="D431" s="79" t="n">
        <v>0</v>
      </c>
    </row>
    <row r="432" customFormat="false" ht="15" hidden="true" customHeight="true" outlineLevel="1" collapsed="false">
      <c r="A432" s="0" t="s">
        <v>345</v>
      </c>
      <c r="B432" s="77" t="str">
        <f aca="false">HYPERLINK("#'Rent Roll Analysis'!G13","G13")</f>
        <v>G13</v>
      </c>
      <c r="C432" s="0" t="s">
        <v>347</v>
      </c>
      <c r="D432" s="79" t="n">
        <v>0</v>
      </c>
    </row>
    <row r="433" customFormat="false" ht="15" hidden="true" customHeight="true" outlineLevel="1" collapsed="false">
      <c r="A433" s="0" t="s">
        <v>345</v>
      </c>
      <c r="B433" s="77" t="str">
        <f aca="false">HYPERLINK("#'Rent Roll Analysis'!D14","D14")</f>
        <v>D14</v>
      </c>
      <c r="C433" s="0" t="s">
        <v>348</v>
      </c>
      <c r="D433" s="79" t="n">
        <v>0</v>
      </c>
    </row>
    <row r="434" customFormat="false" ht="15" hidden="true" customHeight="true" outlineLevel="1" collapsed="false">
      <c r="A434" s="0" t="s">
        <v>345</v>
      </c>
      <c r="B434" s="77" t="str">
        <f aca="false">HYPERLINK("#'Rent Roll Analysis'!E14","E14")</f>
        <v>E14</v>
      </c>
      <c r="C434" s="0" t="s">
        <v>348</v>
      </c>
      <c r="D434" s="79" t="n">
        <v>0</v>
      </c>
    </row>
    <row r="435" customFormat="false" ht="15" hidden="true" customHeight="true" outlineLevel="1" collapsed="false">
      <c r="A435" s="0" t="s">
        <v>345</v>
      </c>
      <c r="B435" s="77" t="str">
        <f aca="false">HYPERLINK("#'Rent Roll Analysis'!F14","F14")</f>
        <v>F14</v>
      </c>
      <c r="C435" s="0" t="s">
        <v>348</v>
      </c>
      <c r="D435" s="79" t="n">
        <v>0</v>
      </c>
    </row>
    <row r="436" customFormat="false" ht="15" hidden="true" customHeight="true" outlineLevel="1" collapsed="false">
      <c r="A436" s="0" t="s">
        <v>345</v>
      </c>
      <c r="B436" s="77" t="str">
        <f aca="false">HYPERLINK("#'Rent Roll Analysis'!G14","G14")</f>
        <v>G14</v>
      </c>
      <c r="C436" s="0" t="s">
        <v>348</v>
      </c>
      <c r="D436" s="79" t="n">
        <v>0</v>
      </c>
    </row>
    <row r="437" customFormat="false" ht="15" hidden="true" customHeight="true" outlineLevel="1" collapsed="false">
      <c r="A437" s="0" t="s">
        <v>345</v>
      </c>
      <c r="B437" s="77" t="str">
        <f aca="false">HYPERLINK("#'Rent Roll Analysis'!D15","D15")</f>
        <v>D15</v>
      </c>
      <c r="C437" s="0" t="s">
        <v>349</v>
      </c>
      <c r="D437" s="79" t="n">
        <v>0</v>
      </c>
    </row>
    <row r="438" customFormat="false" ht="15" hidden="true" customHeight="true" outlineLevel="1" collapsed="false">
      <c r="A438" s="0" t="s">
        <v>345</v>
      </c>
      <c r="B438" s="77" t="str">
        <f aca="false">HYPERLINK("#'Rent Roll Analysis'!E15","E15")</f>
        <v>E15</v>
      </c>
      <c r="C438" s="0" t="s">
        <v>349</v>
      </c>
      <c r="D438" s="79" t="n">
        <v>0</v>
      </c>
    </row>
    <row r="439" customFormat="false" ht="15" hidden="true" customHeight="true" outlineLevel="1" collapsed="false">
      <c r="A439" s="0" t="s">
        <v>345</v>
      </c>
      <c r="B439" s="77" t="str">
        <f aca="false">HYPERLINK("#'Rent Roll Analysis'!F15","F15")</f>
        <v>F15</v>
      </c>
      <c r="C439" s="0" t="s">
        <v>349</v>
      </c>
      <c r="D439" s="79" t="n">
        <v>0</v>
      </c>
    </row>
    <row r="440" customFormat="false" ht="15" hidden="true" customHeight="true" outlineLevel="1" collapsed="false">
      <c r="A440" s="0" t="s">
        <v>345</v>
      </c>
      <c r="B440" s="77" t="str">
        <f aca="false">HYPERLINK("#'Rent Roll Analysis'!G15","G15")</f>
        <v>G15</v>
      </c>
      <c r="C440" s="0" t="s">
        <v>349</v>
      </c>
      <c r="D440" s="79" t="n">
        <v>0</v>
      </c>
    </row>
    <row r="441" customFormat="false" ht="15" hidden="true" customHeight="true" outlineLevel="1" collapsed="false">
      <c r="A441" s="0" t="s">
        <v>345</v>
      </c>
      <c r="B441" s="77" t="str">
        <f aca="false">HYPERLINK("#'Rent Roll Analysis'!D16","D16")</f>
        <v>D16</v>
      </c>
      <c r="C441" s="0" t="s">
        <v>350</v>
      </c>
      <c r="D441" s="79" t="n">
        <v>0</v>
      </c>
    </row>
    <row r="442" customFormat="false" ht="15" hidden="true" customHeight="true" outlineLevel="1" collapsed="false">
      <c r="A442" s="0" t="s">
        <v>345</v>
      </c>
      <c r="B442" s="77" t="str">
        <f aca="false">HYPERLINK("#'Rent Roll Analysis'!E16","E16")</f>
        <v>E16</v>
      </c>
      <c r="C442" s="0" t="s">
        <v>350</v>
      </c>
      <c r="D442" s="79" t="n">
        <v>0</v>
      </c>
    </row>
    <row r="443" customFormat="false" ht="15" hidden="true" customHeight="true" outlineLevel="1" collapsed="false">
      <c r="A443" s="0" t="s">
        <v>345</v>
      </c>
      <c r="B443" s="77" t="str">
        <f aca="false">HYPERLINK("#'Rent Roll Analysis'!F16","F16")</f>
        <v>F16</v>
      </c>
      <c r="C443" s="0" t="s">
        <v>350</v>
      </c>
      <c r="D443" s="79" t="n">
        <v>0</v>
      </c>
    </row>
    <row r="444" customFormat="false" ht="15" hidden="true" customHeight="true" outlineLevel="1" collapsed="false">
      <c r="A444" s="0" t="s">
        <v>345</v>
      </c>
      <c r="B444" s="77" t="str">
        <f aca="false">HYPERLINK("#'Rent Roll Analysis'!G16","G16")</f>
        <v>G16</v>
      </c>
      <c r="C444" s="0" t="s">
        <v>350</v>
      </c>
      <c r="D444" s="79" t="n">
        <v>0</v>
      </c>
    </row>
    <row r="445" customFormat="false" ht="15" hidden="true" customHeight="true" outlineLevel="1" collapsed="false">
      <c r="A445" s="0" t="s">
        <v>345</v>
      </c>
      <c r="B445" s="77" t="str">
        <f aca="false">HYPERLINK("#'Rent Roll Analysis'!A96","A96")</f>
        <v>A96</v>
      </c>
      <c r="C445" s="0" t="s">
        <v>351</v>
      </c>
      <c r="D445" s="65" t="n">
        <v>1</v>
      </c>
    </row>
    <row r="446" customFormat="false" ht="15" hidden="true" customHeight="true" outlineLevel="1" collapsed="false">
      <c r="A446" s="0" t="s">
        <v>345</v>
      </c>
      <c r="B446" s="77" t="str">
        <f aca="false">HYPERLINK("#'Rent Roll Analysis'!A97","A97")</f>
        <v>A97</v>
      </c>
      <c r="C446" s="0" t="s">
        <v>351</v>
      </c>
      <c r="D446" s="65" t="n">
        <v>2</v>
      </c>
    </row>
    <row r="447" customFormat="false" ht="15" hidden="true" customHeight="true" outlineLevel="1" collapsed="false">
      <c r="A447" s="0" t="s">
        <v>345</v>
      </c>
      <c r="B447" s="77" t="str">
        <f aca="false">HYPERLINK("#'Rent Roll Analysis'!A98","A98")</f>
        <v>A98</v>
      </c>
      <c r="C447" s="0" t="s">
        <v>351</v>
      </c>
      <c r="D447" s="65" t="n">
        <v>3</v>
      </c>
    </row>
    <row r="448" customFormat="false" ht="15" hidden="true" customHeight="true" outlineLevel="1" collapsed="false">
      <c r="A448" s="0" t="s">
        <v>345</v>
      </c>
      <c r="B448" s="77" t="str">
        <f aca="false">HYPERLINK("#'Rent Roll Analysis'!A99","A99")</f>
        <v>A99</v>
      </c>
      <c r="C448" s="0" t="s">
        <v>351</v>
      </c>
      <c r="D448" s="65" t="n">
        <v>4</v>
      </c>
    </row>
    <row r="449" customFormat="false" ht="15" hidden="true" customHeight="true" outlineLevel="1" collapsed="false">
      <c r="A449" s="0" t="s">
        <v>345</v>
      </c>
      <c r="B449" s="77" t="str">
        <f aca="false">HYPERLINK("#'Rent Roll Analysis'!A100","A100")</f>
        <v>A100</v>
      </c>
      <c r="C449" s="0" t="s">
        <v>351</v>
      </c>
      <c r="D449" s="65" t="n">
        <v>5</v>
      </c>
    </row>
    <row r="450" customFormat="false" ht="15" hidden="true" customHeight="true" outlineLevel="1" collapsed="false">
      <c r="A450" s="0" t="s">
        <v>345</v>
      </c>
      <c r="B450" s="77" t="str">
        <f aca="false">HYPERLINK("#'Rent Roll Analysis'!A101","A101")</f>
        <v>A101</v>
      </c>
      <c r="C450" s="0" t="s">
        <v>351</v>
      </c>
      <c r="D450" s="65" t="n">
        <v>6</v>
      </c>
    </row>
    <row r="451" customFormat="false" ht="15" hidden="true" customHeight="true" outlineLevel="1" collapsed="false">
      <c r="A451" s="0" t="s">
        <v>345</v>
      </c>
      <c r="B451" s="77" t="str">
        <f aca="false">HYPERLINK("#'Rent Roll Analysis'!A102","A102")</f>
        <v>A102</v>
      </c>
      <c r="C451" s="0" t="s">
        <v>351</v>
      </c>
      <c r="D451" s="65" t="n">
        <v>7</v>
      </c>
    </row>
    <row r="452" customFormat="false" ht="15" hidden="true" customHeight="true" outlineLevel="1" collapsed="false">
      <c r="A452" s="0" t="s">
        <v>345</v>
      </c>
      <c r="B452" s="77" t="str">
        <f aca="false">HYPERLINK("#'Rent Roll Analysis'!A103","A103")</f>
        <v>A103</v>
      </c>
      <c r="C452" s="0" t="s">
        <v>351</v>
      </c>
      <c r="D452" s="65" t="n">
        <v>8</v>
      </c>
    </row>
    <row r="453" customFormat="false" ht="15" hidden="true" customHeight="true" outlineLevel="1" collapsed="false">
      <c r="A453" s="0" t="s">
        <v>345</v>
      </c>
      <c r="B453" s="77" t="str">
        <f aca="false">HYPERLINK("#'Rent Roll Analysis'!A104","A104")</f>
        <v>A104</v>
      </c>
      <c r="C453" s="0" t="s">
        <v>351</v>
      </c>
      <c r="D453" s="65" t="n">
        <v>9</v>
      </c>
    </row>
    <row r="454" customFormat="false" ht="15" hidden="true" customHeight="true" outlineLevel="1" collapsed="false">
      <c r="A454" s="0" t="s">
        <v>345</v>
      </c>
      <c r="B454" s="77" t="str">
        <f aca="false">HYPERLINK("#'Rent Roll Analysis'!A105","A105")</f>
        <v>A105</v>
      </c>
      <c r="C454" s="0" t="s">
        <v>351</v>
      </c>
      <c r="D454" s="65" t="n">
        <v>10</v>
      </c>
    </row>
    <row r="455" customFormat="false" ht="15" hidden="true" customHeight="true" outlineLevel="1" collapsed="false">
      <c r="A455" s="0" t="s">
        <v>345</v>
      </c>
      <c r="B455" s="77" t="str">
        <f aca="false">HYPERLINK("#'Rent Roll Analysis'!D124","D124")</f>
        <v>D124</v>
      </c>
      <c r="C455" s="0" t="s">
        <v>352</v>
      </c>
      <c r="D455" s="79" t="n">
        <v>0</v>
      </c>
    </row>
    <row r="456" customFormat="false" ht="15" hidden="true" customHeight="true" outlineLevel="1" collapsed="false">
      <c r="A456" s="0" t="s">
        <v>345</v>
      </c>
      <c r="B456" s="77" t="str">
        <f aca="false">HYPERLINK("#'Rent Roll Analysis'!E124","E124")</f>
        <v>E124</v>
      </c>
      <c r="C456" s="0" t="s">
        <v>352</v>
      </c>
      <c r="D456" s="79" t="n">
        <v>0</v>
      </c>
    </row>
    <row r="457" customFormat="false" ht="15" hidden="true" customHeight="true" outlineLevel="1" collapsed="false">
      <c r="A457" s="0" t="s">
        <v>345</v>
      </c>
      <c r="B457" s="77" t="str">
        <f aca="false">HYPERLINK("#'Rent Roll Analysis'!B190","B190")</f>
        <v>B190</v>
      </c>
      <c r="C457" s="0" t="s">
        <v>353</v>
      </c>
      <c r="D457" s="79" t="n">
        <v>50911</v>
      </c>
    </row>
    <row r="458" customFormat="false" ht="15" hidden="true" customHeight="true" outlineLevel="1" collapsed="false">
      <c r="A458" s="0" t="s">
        <v>345</v>
      </c>
      <c r="B458" s="77" t="str">
        <f aca="false">HYPERLINK("#'Rent Roll Analysis'!B191","B191")</f>
        <v>B191</v>
      </c>
      <c r="C458" s="0" t="s">
        <v>354</v>
      </c>
      <c r="D458" s="79" t="n">
        <v>4487</v>
      </c>
    </row>
    <row r="459" customFormat="false" ht="15" hidden="true" customHeight="true" outlineLevel="1" collapsed="false">
      <c r="A459" s="0" t="s">
        <v>345</v>
      </c>
      <c r="B459" s="77" t="str">
        <f aca="false">HYPERLINK("#'Rent Roll Analysis'!B192","B192")</f>
        <v>B192</v>
      </c>
      <c r="C459" s="0" t="s">
        <v>355</v>
      </c>
      <c r="D459" s="79" t="n">
        <v>7105</v>
      </c>
    </row>
    <row r="460" customFormat="false" ht="15" hidden="true" customHeight="true" outlineLevel="1" collapsed="false">
      <c r="A460" s="0" t="s">
        <v>345</v>
      </c>
      <c r="B460" s="77" t="str">
        <f aca="false">HYPERLINK("#'Rent Roll Analysis'!A249","A249")</f>
        <v>A249</v>
      </c>
      <c r="C460" s="0" t="s">
        <v>356</v>
      </c>
      <c r="D460" s="81" t="n">
        <v>1</v>
      </c>
    </row>
    <row r="461" customFormat="false" ht="15" hidden="true" customHeight="true" outlineLevel="1" collapsed="false">
      <c r="A461" s="0" t="s">
        <v>345</v>
      </c>
      <c r="B461" s="77" t="str">
        <f aca="false">HYPERLINK("#'Rent Roll Analysis'!A250","A250")</f>
        <v>A250</v>
      </c>
      <c r="C461" s="0" t="s">
        <v>356</v>
      </c>
      <c r="D461" s="81" t="n">
        <v>2</v>
      </c>
    </row>
    <row r="462" customFormat="false" ht="15" hidden="true" customHeight="true" outlineLevel="1" collapsed="false">
      <c r="A462" s="0" t="s">
        <v>345</v>
      </c>
      <c r="B462" s="77" t="str">
        <f aca="false">HYPERLINK("#'Rent Roll Analysis'!A251","A251")</f>
        <v>A251</v>
      </c>
      <c r="C462" s="0" t="s">
        <v>356</v>
      </c>
      <c r="D462" s="81" t="n">
        <v>3</v>
      </c>
    </row>
    <row r="463" customFormat="false" ht="15" hidden="true" customHeight="true" outlineLevel="1" collapsed="false">
      <c r="A463" s="0" t="s">
        <v>345</v>
      </c>
      <c r="B463" s="77" t="str">
        <f aca="false">HYPERLINK("#'Rent Roll Analysis'!A252","A252")</f>
        <v>A252</v>
      </c>
      <c r="C463" s="0" t="s">
        <v>356</v>
      </c>
      <c r="D463" s="81" t="n">
        <v>4</v>
      </c>
    </row>
    <row r="464" customFormat="false" ht="15" hidden="true" customHeight="true" outlineLevel="1" collapsed="false">
      <c r="A464" s="0" t="s">
        <v>345</v>
      </c>
      <c r="B464" s="77" t="str">
        <f aca="false">HYPERLINK("#'Rent Roll Analysis'!A253","A253")</f>
        <v>A253</v>
      </c>
      <c r="C464" s="0" t="s">
        <v>356</v>
      </c>
      <c r="D464" s="81" t="n">
        <v>5</v>
      </c>
    </row>
    <row r="465" customFormat="false" ht="15" hidden="true" customHeight="true" outlineLevel="1" collapsed="false">
      <c r="A465" s="0" t="s">
        <v>345</v>
      </c>
      <c r="B465" s="77" t="str">
        <f aca="false">HYPERLINK("#'Rent Roll Analysis'!A254","A254")</f>
        <v>A254</v>
      </c>
      <c r="C465" s="0" t="s">
        <v>356</v>
      </c>
      <c r="D465" s="81" t="n">
        <v>6</v>
      </c>
    </row>
    <row r="466" customFormat="false" ht="15" hidden="true" customHeight="true" outlineLevel="1" collapsed="false">
      <c r="A466" s="0" t="s">
        <v>345</v>
      </c>
      <c r="B466" s="77" t="str">
        <f aca="false">HYPERLINK("#'Rent Roll Analysis'!A255","A255")</f>
        <v>A255</v>
      </c>
      <c r="C466" s="0" t="s">
        <v>356</v>
      </c>
      <c r="D466" s="81" t="n">
        <v>7</v>
      </c>
    </row>
    <row r="467" customFormat="false" ht="15" hidden="true" customHeight="true" outlineLevel="1" collapsed="false">
      <c r="A467" s="0" t="s">
        <v>345</v>
      </c>
      <c r="B467" s="77" t="str">
        <f aca="false">HYPERLINK("#'Rent Roll Analysis'!A256","A256")</f>
        <v>A256</v>
      </c>
      <c r="C467" s="0" t="s">
        <v>356</v>
      </c>
      <c r="D467" s="81" t="n">
        <v>8</v>
      </c>
    </row>
    <row r="468" customFormat="false" ht="15" hidden="true" customHeight="true" outlineLevel="1" collapsed="false">
      <c r="A468" s="0" t="s">
        <v>345</v>
      </c>
      <c r="B468" s="77" t="str">
        <f aca="false">HYPERLINK("#'Rent Roll Analysis'!A257","A257")</f>
        <v>A257</v>
      </c>
      <c r="C468" s="0" t="s">
        <v>356</v>
      </c>
      <c r="D468" s="81" t="n">
        <v>9</v>
      </c>
    </row>
    <row r="469" customFormat="false" ht="15" hidden="true" customHeight="true" outlineLevel="1" collapsed="false">
      <c r="A469" s="0" t="s">
        <v>345</v>
      </c>
      <c r="B469" s="77" t="str">
        <f aca="false">HYPERLINK("#'Rent Roll Analysis'!A258","A258")</f>
        <v>A258</v>
      </c>
      <c r="C469" s="0" t="s">
        <v>356</v>
      </c>
      <c r="D469" s="81" t="n">
        <v>10</v>
      </c>
    </row>
    <row r="470" customFormat="false" ht="15" hidden="false" customHeight="true" outlineLevel="0" collapsed="false">
      <c r="B470" s="77"/>
    </row>
    <row r="471" customFormat="false" ht="15" hidden="false" customHeight="true" outlineLevel="0" collapsed="false">
      <c r="A471" s="75" t="s">
        <v>357</v>
      </c>
      <c r="B471" s="76" t="s">
        <v>255</v>
      </c>
      <c r="C471" s="75"/>
      <c r="D471" s="75"/>
      <c r="E471" s="75"/>
    </row>
    <row r="472" customFormat="false" ht="15" hidden="true" customHeight="true" outlineLevel="1" collapsed="false">
      <c r="A472" s="0" t="s">
        <v>358</v>
      </c>
      <c r="B472" s="77" t="str">
        <f aca="false">HYPERLINK("#'Rental Comps'!Y7","Y7")</f>
        <v>Y7</v>
      </c>
      <c r="C472" s="0" t="s">
        <v>359</v>
      </c>
      <c r="D472" s="81" t="n">
        <v>0</v>
      </c>
    </row>
    <row r="473" customFormat="false" ht="15" hidden="true" customHeight="true" outlineLevel="1" collapsed="false">
      <c r="A473" s="0" t="s">
        <v>358</v>
      </c>
      <c r="B473" s="77" t="str">
        <f aca="false">HYPERLINK("#'Rental Comps'!Y8","Y8")</f>
        <v>Y8</v>
      </c>
      <c r="C473" s="0" t="s">
        <v>360</v>
      </c>
      <c r="D473" s="92" t="n">
        <v>0</v>
      </c>
    </row>
    <row r="474" customFormat="false" ht="15" hidden="true" customHeight="true" outlineLevel="1" collapsed="false">
      <c r="A474" s="0" t="s">
        <v>358</v>
      </c>
      <c r="B474" s="77" t="str">
        <f aca="false">HYPERLINK("#'Rental Comps'!Y9","Y9")</f>
        <v>Y9</v>
      </c>
      <c r="C474" s="0" t="s">
        <v>360</v>
      </c>
      <c r="D474" s="92" t="n">
        <v>0</v>
      </c>
    </row>
    <row r="475" customFormat="false" ht="15" hidden="true" customHeight="true" outlineLevel="1" collapsed="false">
      <c r="A475" s="0" t="s">
        <v>358</v>
      </c>
      <c r="B475" s="77" t="str">
        <f aca="false">HYPERLINK("#'Rental Comps'!Y10","Y10")</f>
        <v>Y10</v>
      </c>
      <c r="C475" s="0" t="s">
        <v>360</v>
      </c>
      <c r="D475" s="92" t="n">
        <v>0</v>
      </c>
    </row>
    <row r="476" customFormat="false" ht="15" hidden="true" customHeight="true" outlineLevel="1" collapsed="false">
      <c r="A476" s="0" t="s">
        <v>358</v>
      </c>
      <c r="B476" s="77" t="str">
        <f aca="false">HYPERLINK("#'Rental Comps'!Y11","Y11")</f>
        <v>Y11</v>
      </c>
      <c r="C476" s="0" t="s">
        <v>360</v>
      </c>
      <c r="D476" s="92" t="n">
        <v>0</v>
      </c>
    </row>
    <row r="477" customFormat="false" ht="15" hidden="true" customHeight="true" outlineLevel="1" collapsed="false">
      <c r="A477" s="0" t="s">
        <v>358</v>
      </c>
      <c r="B477" s="77" t="str">
        <f aca="false">HYPERLINK("#'Rental Comps'!Y12","Y12")</f>
        <v>Y12</v>
      </c>
      <c r="C477" s="0" t="s">
        <v>360</v>
      </c>
      <c r="D477" s="92" t="n">
        <v>0</v>
      </c>
    </row>
    <row r="478" customFormat="false" ht="15" hidden="true" customHeight="true" outlineLevel="1" collapsed="false">
      <c r="A478" s="0" t="s">
        <v>358</v>
      </c>
      <c r="B478" s="77" t="str">
        <f aca="false">HYPERLINK("#'Rental Comps'!Y13","Y13")</f>
        <v>Y13</v>
      </c>
      <c r="C478" s="0" t="s">
        <v>360</v>
      </c>
      <c r="D478" s="92" t="n">
        <v>0</v>
      </c>
    </row>
    <row r="479" customFormat="false" ht="15" hidden="true" customHeight="true" outlineLevel="1" collapsed="false">
      <c r="A479" s="0" t="s">
        <v>358</v>
      </c>
      <c r="B479" s="77" t="str">
        <f aca="false">HYPERLINK("#'Rental Comps'!Y14","Y14")</f>
        <v>Y14</v>
      </c>
      <c r="C479" s="0" t="s">
        <v>360</v>
      </c>
      <c r="D479" s="92" t="n">
        <v>0</v>
      </c>
    </row>
    <row r="480" customFormat="false" ht="15" hidden="true" customHeight="true" outlineLevel="1" collapsed="false">
      <c r="A480" s="0" t="s">
        <v>358</v>
      </c>
      <c r="B480" s="77" t="str">
        <f aca="false">HYPERLINK("#'Rental Comps'!Y15","Y15")</f>
        <v>Y15</v>
      </c>
      <c r="C480" s="0" t="s">
        <v>360</v>
      </c>
      <c r="D480" s="92" t="n">
        <v>0</v>
      </c>
    </row>
    <row r="481" customFormat="false" ht="15" hidden="true" customHeight="true" outlineLevel="1" collapsed="false">
      <c r="A481" s="0" t="s">
        <v>358</v>
      </c>
      <c r="B481" s="77" t="str">
        <f aca="false">HYPERLINK("#'Rental Comps'!D53","D53")</f>
        <v>D53</v>
      </c>
      <c r="C481" s="0" t="s">
        <v>361</v>
      </c>
      <c r="D481" s="81" t="n">
        <v>0</v>
      </c>
    </row>
    <row r="482" customFormat="false" ht="15" hidden="true" customHeight="true" outlineLevel="1" collapsed="false">
      <c r="A482" s="0" t="s">
        <v>358</v>
      </c>
      <c r="B482" s="77" t="str">
        <f aca="false">HYPERLINK("#'Rental Comps'!G53","G53")</f>
        <v>G53</v>
      </c>
      <c r="C482" s="0" t="s">
        <v>361</v>
      </c>
      <c r="D482" s="79" t="n">
        <v>0</v>
      </c>
    </row>
    <row r="483" customFormat="false" ht="15" hidden="true" customHeight="true" outlineLevel="1" collapsed="false">
      <c r="A483" s="0" t="s">
        <v>358</v>
      </c>
      <c r="B483" s="77" t="str">
        <f aca="false">HYPERLINK("#'Rental Comps'!J53","J53")</f>
        <v>J53</v>
      </c>
      <c r="C483" s="0" t="s">
        <v>361</v>
      </c>
      <c r="D483" s="79" t="n">
        <v>0</v>
      </c>
    </row>
    <row r="484" customFormat="false" ht="15" hidden="false" customHeight="true" outlineLevel="0" collapsed="false">
      <c r="B484" s="77"/>
    </row>
    <row r="485" customFormat="false" ht="15" hidden="false" customHeight="true" outlineLevel="0" collapsed="false">
      <c r="A485" s="75" t="s">
        <v>362</v>
      </c>
      <c r="B485" s="76" t="s">
        <v>363</v>
      </c>
      <c r="C485" s="75"/>
      <c r="D485" s="75"/>
      <c r="E485" s="75"/>
    </row>
    <row r="486" customFormat="false" ht="15" hidden="true" customHeight="true" outlineLevel="1" collapsed="false">
      <c r="A486" s="0" t="s">
        <v>364</v>
      </c>
      <c r="B486" s="77" t="str">
        <f aca="false">HYPERLINK("#'LP Return Illustration'!B5","B5")</f>
        <v>B5</v>
      </c>
      <c r="C486" s="0" t="s">
        <v>365</v>
      </c>
      <c r="D486" s="79" t="n">
        <v>100000</v>
      </c>
    </row>
    <row r="487" customFormat="false" ht="15" hidden="true" customHeight="true" outlineLevel="1" collapsed="false">
      <c r="A487" s="0" t="s">
        <v>364</v>
      </c>
      <c r="B487" s="77" t="str">
        <f aca="false">HYPERLINK("#'LP Return Illustration'!A51","A51")</f>
        <v>A51</v>
      </c>
      <c r="C487" s="0" t="s">
        <v>28</v>
      </c>
      <c r="D487" s="78" t="n">
        <v>0.06</v>
      </c>
    </row>
    <row r="488" customFormat="false" ht="15" hidden="true" customHeight="true" outlineLevel="1" collapsed="false">
      <c r="A488" s="0" t="s">
        <v>364</v>
      </c>
      <c r="B488" s="77" t="str">
        <f aca="false">HYPERLINK("#'LP Return Illustration'!A52","A52")</f>
        <v>A52</v>
      </c>
      <c r="C488" s="0" t="s">
        <v>28</v>
      </c>
      <c r="D488" s="78" t="n">
        <v>0.065</v>
      </c>
    </row>
    <row r="489" customFormat="false" ht="15" hidden="true" customHeight="true" outlineLevel="1" collapsed="false">
      <c r="A489" s="0" t="s">
        <v>364</v>
      </c>
      <c r="B489" s="77" t="str">
        <f aca="false">HYPERLINK("#'LP Return Illustration'!A53","A53")</f>
        <v>A53</v>
      </c>
      <c r="C489" s="0" t="s">
        <v>28</v>
      </c>
      <c r="D489" s="78" t="n">
        <v>0.07</v>
      </c>
    </row>
    <row r="490" customFormat="false" ht="15" hidden="true" customHeight="true" outlineLevel="1" collapsed="false">
      <c r="A490" s="0" t="s">
        <v>364</v>
      </c>
      <c r="B490" s="77" t="str">
        <f aca="false">HYPERLINK("#'LP Return Illustration'!A54","A54")</f>
        <v>A54</v>
      </c>
      <c r="C490" s="0" t="s">
        <v>28</v>
      </c>
      <c r="D490" s="78" t="n">
        <v>0.075</v>
      </c>
    </row>
    <row r="491" customFormat="false" ht="15" hidden="true" customHeight="true" outlineLevel="1" collapsed="false">
      <c r="A491" s="0" t="s">
        <v>364</v>
      </c>
      <c r="B491" s="77" t="str">
        <f aca="false">HYPERLINK("#'LP Return Illustration'!A55","A55")</f>
        <v>A55</v>
      </c>
      <c r="C491" s="0" t="s">
        <v>28</v>
      </c>
      <c r="D491" s="78" t="n">
        <v>0.08</v>
      </c>
    </row>
    <row r="492" customFormat="false" ht="15" hidden="true" customHeight="true" outlineLevel="1" collapsed="false">
      <c r="A492" s="0" t="s">
        <v>364</v>
      </c>
      <c r="B492" s="77" t="str">
        <f aca="false">HYPERLINK("#'LP Return Illustration'!A56","A56")</f>
        <v>A56</v>
      </c>
      <c r="C492" s="0" t="s">
        <v>28</v>
      </c>
      <c r="D492" s="78" t="n">
        <v>0.085</v>
      </c>
    </row>
    <row r="493" customFormat="false" ht="15" hidden="true" customHeight="true" outlineLevel="1" collapsed="false">
      <c r="A493" s="0" t="s">
        <v>364</v>
      </c>
      <c r="B493" s="77" t="str">
        <f aca="false">HYPERLINK("#'LP Return Illustration'!A57","A57")</f>
        <v>A57</v>
      </c>
      <c r="C493" s="0" t="s">
        <v>28</v>
      </c>
      <c r="D493" s="78" t="n">
        <v>0.09</v>
      </c>
    </row>
    <row r="494" customFormat="false" ht="15" hidden="true" customHeight="true" outlineLevel="1" collapsed="false">
      <c r="A494" s="0" t="s">
        <v>364</v>
      </c>
      <c r="B494" s="77" t="str">
        <f aca="false">HYPERLINK("#'LP Return Illustration'!A58","A58")</f>
        <v>A58</v>
      </c>
      <c r="C494" s="0" t="s">
        <v>28</v>
      </c>
      <c r="D494" s="78" t="n">
        <v>0.095</v>
      </c>
    </row>
    <row r="495" customFormat="false" ht="15" hidden="false" customHeight="true" outlineLevel="0" collapsed="false">
      <c r="B495" s="77"/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19" activeCellId="0" sqref="G19"/>
    </sheetView>
  </sheetViews>
  <sheetFormatPr defaultColWidth="8.8593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  <col collapsed="false" customWidth="true" hidden="false" outlineLevel="0" max="3" min="3" style="0" width="11"/>
    <col collapsed="false" customWidth="true" hidden="false" outlineLevel="0" max="4" min="4" style="0" width="60"/>
    <col collapsed="false" customWidth="true" hidden="false" outlineLevel="0" max="5" min="5" style="0" width="38"/>
    <col collapsed="false" customWidth="true" hidden="false" outlineLevel="0" max="6" min="6" style="0" width="32"/>
  </cols>
  <sheetData>
    <row r="1" customFormat="false" ht="24" hidden="false" customHeight="true" outlineLevel="0" collapsed="false">
      <c r="A1" s="3" t="str">
        <f aca="false">IF('Prop Info'!B4="","PROPERTY INFORMATION &amp; MARKET DATA","PROPERTY INFORMATION &amp; MARKET DATA"&amp;" — "&amp;'Prop Info'!B4)</f>
        <v>PROPERTY INFORMATION &amp; MARKET DATA</v>
      </c>
      <c r="B1" s="3"/>
      <c r="C1" s="3"/>
      <c r="D1" s="3"/>
    </row>
    <row r="2" customFormat="false" ht="15.75" hidden="false" customHeight="true" outlineLevel="0" collapsed="false">
      <c r="A2" s="93" t="s">
        <v>366</v>
      </c>
      <c r="B2" s="93"/>
      <c r="C2" s="93"/>
      <c r="D2" s="93"/>
    </row>
    <row r="3" customFormat="false" ht="19.5" hidden="false" customHeight="true" outlineLevel="0" collapsed="false">
      <c r="A3" s="94" t="s">
        <v>367</v>
      </c>
      <c r="B3" s="94"/>
      <c r="C3" s="94"/>
      <c r="D3" s="94"/>
    </row>
    <row r="4" customFormat="false" ht="18" hidden="false" customHeight="true" outlineLevel="0" collapsed="false">
      <c r="A4" s="4" t="s">
        <v>2</v>
      </c>
      <c r="B4" s="95"/>
      <c r="C4" s="95"/>
      <c r="D4" s="95"/>
    </row>
    <row r="5" customFormat="false" ht="18" hidden="false" customHeight="true" outlineLevel="0" collapsed="false">
      <c r="A5" s="6" t="s">
        <v>368</v>
      </c>
      <c r="B5" s="95"/>
      <c r="C5" s="95"/>
      <c r="D5" s="95"/>
    </row>
    <row r="6" customFormat="false" ht="18" hidden="false" customHeight="true" outlineLevel="0" collapsed="false">
      <c r="A6" s="4" t="s">
        <v>369</v>
      </c>
      <c r="B6" s="95"/>
      <c r="C6" s="95"/>
      <c r="D6" s="95"/>
    </row>
    <row r="7" customFormat="false" ht="18" hidden="false" customHeight="true" outlineLevel="0" collapsed="false">
      <c r="A7" s="6" t="s">
        <v>370</v>
      </c>
      <c r="B7" s="95"/>
      <c r="C7" s="95"/>
      <c r="D7" s="95"/>
    </row>
    <row r="8" customFormat="false" ht="18" hidden="false" customHeight="true" outlineLevel="0" collapsed="false">
      <c r="A8" s="4" t="s">
        <v>371</v>
      </c>
      <c r="B8" s="95"/>
      <c r="C8" s="95"/>
      <c r="D8" s="95"/>
    </row>
    <row r="9" customFormat="false" ht="18" hidden="false" customHeight="true" outlineLevel="0" collapsed="false">
      <c r="A9" s="6" t="s">
        <v>4</v>
      </c>
      <c r="B9" s="95"/>
      <c r="C9" s="95"/>
      <c r="D9" s="95"/>
    </row>
    <row r="10" customFormat="false" ht="18" hidden="false" customHeight="true" outlineLevel="0" collapsed="false">
      <c r="A10" s="4" t="s">
        <v>372</v>
      </c>
      <c r="B10" s="95"/>
      <c r="C10" s="95"/>
      <c r="D10" s="95"/>
    </row>
    <row r="11" customFormat="false" ht="18" hidden="false" customHeight="true" outlineLevel="0" collapsed="false">
      <c r="A11" s="6" t="s">
        <v>6</v>
      </c>
      <c r="B11" s="95"/>
      <c r="C11" s="95"/>
      <c r="D11" s="95"/>
    </row>
    <row r="12" customFormat="false" ht="18" hidden="false" customHeight="true" outlineLevel="0" collapsed="false">
      <c r="A12" s="4" t="s">
        <v>373</v>
      </c>
      <c r="B12" s="95"/>
      <c r="C12" s="95"/>
      <c r="D12" s="95"/>
    </row>
    <row r="13" customFormat="false" ht="18" hidden="false" customHeight="true" outlineLevel="0" collapsed="false">
      <c r="A13" s="6" t="s">
        <v>374</v>
      </c>
      <c r="B13" s="95"/>
      <c r="C13" s="95"/>
      <c r="D13" s="95"/>
    </row>
    <row r="14" customFormat="false" ht="18" hidden="false" customHeight="true" outlineLevel="0" collapsed="false">
      <c r="A14" s="4" t="s">
        <v>375</v>
      </c>
      <c r="B14" s="95"/>
      <c r="C14" s="95"/>
      <c r="D14" s="95"/>
    </row>
    <row r="15" customFormat="false" ht="18" hidden="false" customHeight="true" outlineLevel="0" collapsed="false">
      <c r="A15" s="6" t="s">
        <v>376</v>
      </c>
      <c r="B15" s="95"/>
      <c r="C15" s="95"/>
      <c r="D15" s="95"/>
    </row>
    <row r="16" customFormat="false" ht="18" hidden="false" customHeight="true" outlineLevel="0" collapsed="false">
      <c r="A16" s="4" t="s">
        <v>377</v>
      </c>
      <c r="B16" s="95"/>
      <c r="C16" s="95"/>
      <c r="D16" s="95"/>
    </row>
    <row r="17" customFormat="false" ht="18" hidden="false" customHeight="true" outlineLevel="0" collapsed="false">
      <c r="A17" s="6" t="s">
        <v>378</v>
      </c>
      <c r="B17" s="95"/>
      <c r="C17" s="95"/>
      <c r="D17" s="95"/>
    </row>
    <row r="18" customFormat="false" ht="18" hidden="false" customHeight="true" outlineLevel="0" collapsed="false">
      <c r="A18" s="4" t="s">
        <v>379</v>
      </c>
      <c r="B18" s="95"/>
      <c r="C18" s="95"/>
      <c r="D18" s="95"/>
    </row>
    <row r="19" customFormat="false" ht="21.75" hidden="false" customHeight="true" outlineLevel="0" collapsed="false">
      <c r="A19" s="3" t="s">
        <v>380</v>
      </c>
      <c r="B19" s="3"/>
      <c r="C19" s="3"/>
      <c r="D19" s="3"/>
      <c r="E19" s="3"/>
      <c r="F19" s="3"/>
    </row>
    <row r="20" customFormat="false" ht="61.5" hidden="false" customHeight="true" outlineLevel="0" collapsed="false">
      <c r="A20" s="4" t="s">
        <v>381</v>
      </c>
      <c r="B20" s="96"/>
      <c r="C20" s="97"/>
      <c r="D20" s="98"/>
      <c r="E20" s="99"/>
      <c r="F20" s="99"/>
    </row>
    <row r="21" customFormat="false" ht="61.5" hidden="false" customHeight="true" outlineLevel="0" collapsed="false">
      <c r="A21" s="6" t="s">
        <v>382</v>
      </c>
      <c r="B21" s="96"/>
      <c r="C21" s="97"/>
      <c r="D21" s="98"/>
      <c r="E21" s="99"/>
      <c r="F21" s="99"/>
    </row>
    <row r="22" customFormat="false" ht="61.5" hidden="false" customHeight="true" outlineLevel="0" collapsed="false">
      <c r="A22" s="4" t="s">
        <v>383</v>
      </c>
      <c r="B22" s="100"/>
      <c r="C22" s="97"/>
      <c r="D22" s="98"/>
      <c r="E22" s="99"/>
      <c r="F22" s="99"/>
    </row>
    <row r="23" customFormat="false" ht="61.5" hidden="false" customHeight="true" outlineLevel="0" collapsed="false">
      <c r="A23" s="6" t="s">
        <v>384</v>
      </c>
      <c r="B23" s="100"/>
      <c r="C23" s="97"/>
      <c r="D23" s="98"/>
      <c r="E23" s="99"/>
      <c r="F23" s="99"/>
    </row>
    <row r="24" customFormat="false" ht="61.5" hidden="false" customHeight="true" outlineLevel="0" collapsed="false">
      <c r="A24" s="4" t="s">
        <v>385</v>
      </c>
      <c r="B24" s="101"/>
      <c r="C24" s="97"/>
      <c r="D24" s="98"/>
      <c r="E24" s="99"/>
      <c r="F24" s="99"/>
    </row>
    <row r="25" customFormat="false" ht="61.5" hidden="false" customHeight="true" outlineLevel="0" collapsed="false">
      <c r="A25" s="6" t="s">
        <v>386</v>
      </c>
      <c r="B25" s="100"/>
      <c r="C25" s="97"/>
      <c r="D25" s="98"/>
      <c r="E25" s="99"/>
      <c r="F25" s="99"/>
    </row>
    <row r="26" customFormat="false" ht="61.5" hidden="false" customHeight="true" outlineLevel="0" collapsed="false">
      <c r="A26" s="4" t="s">
        <v>387</v>
      </c>
      <c r="B26" s="101"/>
      <c r="C26" s="97"/>
      <c r="D26" s="98"/>
      <c r="E26" s="99"/>
      <c r="F26" s="99"/>
    </row>
    <row r="27" customFormat="false" ht="61.5" hidden="false" customHeight="true" outlineLevel="0" collapsed="false">
      <c r="A27" s="6" t="s">
        <v>388</v>
      </c>
      <c r="B27" s="102"/>
      <c r="C27" s="97"/>
      <c r="D27" s="98"/>
      <c r="E27" s="99"/>
      <c r="F27" s="99"/>
    </row>
    <row r="28" customFormat="false" ht="61.5" hidden="false" customHeight="true" outlineLevel="0" collapsed="false">
      <c r="A28" s="4" t="s">
        <v>389</v>
      </c>
      <c r="B28" s="102"/>
      <c r="C28" s="97"/>
      <c r="D28" s="98"/>
      <c r="E28" s="99"/>
      <c r="F28" s="99"/>
    </row>
    <row r="29" customFormat="false" ht="61.5" hidden="false" customHeight="true" outlineLevel="0" collapsed="false">
      <c r="A29" s="6" t="s">
        <v>390</v>
      </c>
      <c r="B29" s="103"/>
      <c r="C29" s="97"/>
      <c r="D29" s="98"/>
      <c r="E29" s="99"/>
      <c r="F29" s="99"/>
    </row>
    <row r="30" customFormat="false" ht="21.75" hidden="false" customHeight="true" outlineLevel="0" collapsed="false">
      <c r="A30" s="3" t="s">
        <v>391</v>
      </c>
      <c r="B30" s="3"/>
      <c r="C30" s="3"/>
      <c r="D30" s="3"/>
      <c r="E30" s="3"/>
      <c r="F30" s="3"/>
    </row>
    <row r="31" customFormat="false" ht="61.5" hidden="false" customHeight="true" outlineLevel="0" collapsed="false">
      <c r="A31" s="6" t="s">
        <v>392</v>
      </c>
      <c r="B31" s="104"/>
      <c r="C31" s="97"/>
      <c r="D31" s="98"/>
      <c r="E31" s="99"/>
      <c r="F31" s="99"/>
    </row>
    <row r="32" customFormat="false" ht="61.5" hidden="false" customHeight="true" outlineLevel="0" collapsed="false">
      <c r="A32" s="4" t="s">
        <v>393</v>
      </c>
      <c r="B32" s="102"/>
      <c r="C32" s="97"/>
      <c r="D32" s="98"/>
      <c r="E32" s="99"/>
      <c r="F32" s="99"/>
    </row>
    <row r="33" customFormat="false" ht="61.5" hidden="false" customHeight="true" outlineLevel="0" collapsed="false">
      <c r="A33" s="6" t="s">
        <v>394</v>
      </c>
      <c r="B33" s="100"/>
      <c r="C33" s="97"/>
      <c r="D33" s="98"/>
      <c r="E33" s="99"/>
      <c r="F33" s="99"/>
    </row>
    <row r="34" customFormat="false" ht="61.5" hidden="false" customHeight="true" outlineLevel="0" collapsed="false">
      <c r="A34" s="4" t="s">
        <v>395</v>
      </c>
      <c r="B34" s="101"/>
      <c r="C34" s="97"/>
      <c r="D34" s="98"/>
      <c r="E34" s="99"/>
      <c r="F34" s="99"/>
    </row>
    <row r="35" customFormat="false" ht="61.5" hidden="false" customHeight="true" outlineLevel="0" collapsed="false">
      <c r="A35" s="6" t="s">
        <v>396</v>
      </c>
      <c r="B35" s="101"/>
      <c r="C35" s="97"/>
      <c r="D35" s="98"/>
      <c r="E35" s="99"/>
      <c r="F35" s="99"/>
    </row>
    <row r="36" customFormat="false" ht="61.5" hidden="false" customHeight="true" outlineLevel="0" collapsed="false">
      <c r="A36" s="4" t="s">
        <v>397</v>
      </c>
      <c r="B36" s="100"/>
      <c r="C36" s="97"/>
      <c r="D36" s="98"/>
      <c r="E36" s="99"/>
      <c r="F36" s="99"/>
    </row>
    <row r="37" customFormat="false" ht="61.5" hidden="false" customHeight="true" outlineLevel="0" collapsed="false">
      <c r="A37" s="6" t="s">
        <v>398</v>
      </c>
      <c r="B37" s="101"/>
      <c r="C37" s="97"/>
      <c r="D37" s="98"/>
      <c r="E37" s="99"/>
      <c r="F37" s="99"/>
    </row>
    <row r="38" customFormat="false" ht="19.5" hidden="false" customHeight="true" outlineLevel="0" collapsed="false">
      <c r="A38" s="94" t="s">
        <v>399</v>
      </c>
      <c r="B38" s="94"/>
      <c r="C38" s="94"/>
      <c r="D38" s="94"/>
    </row>
    <row r="39" customFormat="false" ht="18" hidden="false" customHeight="true" outlineLevel="0" collapsed="false">
      <c r="A39" s="6" t="s">
        <v>400</v>
      </c>
      <c r="B39" s="105"/>
      <c r="C39" s="105"/>
      <c r="D39" s="105"/>
    </row>
    <row r="40" customFormat="false" ht="18" hidden="false" customHeight="true" outlineLevel="0" collapsed="false">
      <c r="A40" s="4" t="s">
        <v>401</v>
      </c>
      <c r="B40" s="105"/>
      <c r="C40" s="105"/>
      <c r="D40" s="105"/>
    </row>
    <row r="41" customFormat="false" ht="18" hidden="false" customHeight="true" outlineLevel="0" collapsed="false">
      <c r="A41" s="6" t="s">
        <v>402</v>
      </c>
      <c r="B41" s="105"/>
      <c r="C41" s="105"/>
      <c r="D41" s="105"/>
    </row>
    <row r="42" customFormat="false" ht="18" hidden="false" customHeight="true" outlineLevel="0" collapsed="false">
      <c r="A42" s="4" t="s">
        <v>306</v>
      </c>
      <c r="B42" s="105"/>
      <c r="C42" s="105"/>
      <c r="D42" s="105"/>
    </row>
    <row r="43" customFormat="false" ht="19.5" hidden="false" customHeight="true" outlineLevel="0" collapsed="false">
      <c r="A43" s="94" t="s">
        <v>403</v>
      </c>
      <c r="B43" s="94"/>
      <c r="C43" s="94"/>
      <c r="D43" s="94"/>
    </row>
    <row r="44" customFormat="false" ht="18" hidden="false" customHeight="true" outlineLevel="0" collapsed="false">
      <c r="A44" s="4" t="s">
        <v>404</v>
      </c>
      <c r="B44" s="105"/>
      <c r="C44" s="105"/>
      <c r="D44" s="105"/>
    </row>
    <row r="45" customFormat="false" ht="18" hidden="false" customHeight="true" outlineLevel="0" collapsed="false">
      <c r="A45" s="6" t="s">
        <v>405</v>
      </c>
      <c r="B45" s="105"/>
      <c r="C45" s="105"/>
      <c r="D45" s="105"/>
    </row>
    <row r="46" customFormat="false" ht="18" hidden="false" customHeight="true" outlineLevel="0" collapsed="false">
      <c r="A46" s="4" t="s">
        <v>406</v>
      </c>
      <c r="B46" s="105"/>
      <c r="C46" s="105"/>
      <c r="D46" s="105"/>
    </row>
    <row r="47" customFormat="false" ht="18" hidden="false" customHeight="true" outlineLevel="0" collapsed="false">
      <c r="A47" s="6" t="s">
        <v>407</v>
      </c>
      <c r="B47" s="105"/>
      <c r="C47" s="105"/>
      <c r="D47" s="105"/>
    </row>
  </sheetData>
  <mergeCells count="15">
    <mergeCell ref="A1:D1"/>
    <mergeCell ref="A2:D2"/>
    <mergeCell ref="A3:D3"/>
    <mergeCell ref="A19:F19"/>
    <mergeCell ref="A30:F30"/>
    <mergeCell ref="A38:D38"/>
    <mergeCell ref="B39:D39"/>
    <mergeCell ref="B40:D40"/>
    <mergeCell ref="B41:D41"/>
    <mergeCell ref="B42:D42"/>
    <mergeCell ref="A43:D43"/>
    <mergeCell ref="B44:D44"/>
    <mergeCell ref="B45:D45"/>
    <mergeCell ref="B46:D46"/>
    <mergeCell ref="B47:D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33" activePane="bottomLeft" state="frozen"/>
      <selection pane="topLeft" activeCell="A1" activeCellId="0" sqref="A1"/>
      <selection pane="bottomLeft" activeCell="A15" activeCellId="0" sqref="A15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100"/>
    <col collapsed="false" customWidth="true" hidden="false" outlineLevel="0" max="4" min="4" style="0" width="18"/>
    <col collapsed="false" customWidth="true" hidden="false" outlineLevel="0" max="5" min="5" style="0" width="32"/>
  </cols>
  <sheetData>
    <row r="1" customFormat="false" ht="21.75" hidden="false" customHeight="true" outlineLevel="0" collapsed="false">
      <c r="A1" s="106" t="str">
        <f aca="false">IF('Prop Info'!B4="","DATA REFRESH  —  Power Query connections for live market data","DATA REFRESH  —  Power Query connections for live market data"&amp;" — "&amp;'Prop Info'!B4)</f>
        <v>DATA REFRESH  —  Power Query connections for live market data</v>
      </c>
      <c r="B1" s="106"/>
      <c r="C1" s="106"/>
      <c r="D1" s="106"/>
      <c r="E1" s="106"/>
    </row>
    <row r="2" customFormat="false" ht="21.75" hidden="false" customHeight="true" outlineLevel="0" collapsed="false">
      <c r="A2" s="107" t="s">
        <v>408</v>
      </c>
      <c r="B2" s="107"/>
      <c r="C2" s="107"/>
      <c r="D2" s="107"/>
      <c r="E2" s="107"/>
    </row>
    <row r="4" customFormat="false" ht="21.75" hidden="false" customHeight="true" outlineLevel="0" collapsed="false">
      <c r="A4" s="17" t="s">
        <v>409</v>
      </c>
      <c r="B4" s="17"/>
      <c r="C4" s="17"/>
      <c r="D4" s="17"/>
      <c r="E4" s="17"/>
    </row>
    <row r="5" customFormat="false" ht="15" hidden="false" customHeight="true" outlineLevel="0" collapsed="false">
      <c r="A5" s="108" t="s">
        <v>410</v>
      </c>
      <c r="B5" s="108"/>
      <c r="C5" s="108"/>
      <c r="D5" s="108"/>
      <c r="E5" s="108"/>
    </row>
    <row r="6" customFormat="false" ht="15" hidden="false" customHeight="true" outlineLevel="0" collapsed="false">
      <c r="A6" s="107" t="s">
        <v>411</v>
      </c>
      <c r="B6" s="107"/>
      <c r="C6" s="107"/>
      <c r="D6" s="107"/>
      <c r="E6" s="107"/>
    </row>
    <row r="7" customFormat="false" ht="15" hidden="false" customHeight="true" outlineLevel="0" collapsed="false">
      <c r="A7" s="107" t="s">
        <v>412</v>
      </c>
      <c r="B7" s="107"/>
      <c r="C7" s="107"/>
      <c r="D7" s="107"/>
      <c r="E7" s="107"/>
    </row>
    <row r="8" customFormat="false" ht="15" hidden="false" customHeight="true" outlineLevel="0" collapsed="false">
      <c r="A8" s="107" t="s">
        <v>413</v>
      </c>
      <c r="B8" s="107"/>
      <c r="C8" s="107"/>
      <c r="D8" s="107"/>
      <c r="E8" s="107"/>
    </row>
    <row r="9" customFormat="false" ht="15" hidden="false" customHeight="true" outlineLevel="0" collapsed="false">
      <c r="A9" s="107"/>
      <c r="B9" s="107"/>
      <c r="C9" s="107"/>
      <c r="D9" s="107"/>
      <c r="E9" s="107"/>
    </row>
    <row r="10" customFormat="false" ht="15" hidden="false" customHeight="true" outlineLevel="0" collapsed="false">
      <c r="A10" s="108" t="s">
        <v>414</v>
      </c>
      <c r="B10" s="108"/>
      <c r="C10" s="108"/>
      <c r="D10" s="108"/>
      <c r="E10" s="108"/>
    </row>
    <row r="11" customFormat="false" ht="15" hidden="false" customHeight="true" outlineLevel="0" collapsed="false">
      <c r="A11" s="107"/>
      <c r="B11" s="107"/>
      <c r="C11" s="107"/>
      <c r="D11" s="107"/>
      <c r="E11" s="107"/>
    </row>
    <row r="12" customFormat="false" ht="15" hidden="false" customHeight="true" outlineLevel="0" collapsed="false">
      <c r="A12" s="108" t="s">
        <v>415</v>
      </c>
      <c r="B12" s="108"/>
      <c r="C12" s="108"/>
      <c r="D12" s="108"/>
      <c r="E12" s="108"/>
    </row>
    <row r="13" customFormat="false" ht="15" hidden="false" customHeight="true" outlineLevel="0" collapsed="false">
      <c r="A13" s="107"/>
      <c r="B13" s="107"/>
      <c r="C13" s="107"/>
      <c r="D13" s="107"/>
      <c r="E13" s="107"/>
    </row>
    <row r="14" customFormat="false" ht="15" hidden="false" customHeight="true" outlineLevel="0" collapsed="false">
      <c r="A14" s="108" t="s">
        <v>416</v>
      </c>
      <c r="B14" s="108"/>
      <c r="C14" s="108"/>
      <c r="D14" s="108"/>
      <c r="E14" s="108"/>
    </row>
    <row r="15" customFormat="false" ht="15" hidden="false" customHeight="true" outlineLevel="0" collapsed="false">
      <c r="A15" s="107"/>
      <c r="B15" s="107"/>
      <c r="C15" s="107"/>
      <c r="D15" s="107"/>
      <c r="E15" s="107"/>
    </row>
    <row r="16" customFormat="false" ht="15" hidden="false" customHeight="true" outlineLevel="0" collapsed="false">
      <c r="A16" s="108" t="s">
        <v>417</v>
      </c>
      <c r="B16" s="108"/>
      <c r="C16" s="108"/>
      <c r="D16" s="108"/>
      <c r="E16" s="108"/>
    </row>
    <row r="17" customFormat="false" ht="15" hidden="false" customHeight="true" outlineLevel="0" collapsed="false">
      <c r="A17" s="107"/>
      <c r="B17" s="107"/>
      <c r="C17" s="107"/>
      <c r="D17" s="107"/>
      <c r="E17" s="107"/>
    </row>
    <row r="18" customFormat="false" ht="15" hidden="false" customHeight="true" outlineLevel="0" collapsed="false">
      <c r="A18" s="108" t="s">
        <v>418</v>
      </c>
      <c r="B18" s="108"/>
      <c r="C18" s="108"/>
      <c r="D18" s="108"/>
      <c r="E18" s="108"/>
    </row>
    <row r="21" customFormat="false" ht="21.75" hidden="false" customHeight="true" outlineLevel="0" collapsed="false">
      <c r="A21" s="17" t="s">
        <v>419</v>
      </c>
      <c r="B21" s="17"/>
      <c r="C21" s="17"/>
      <c r="D21" s="17"/>
      <c r="E21" s="17"/>
    </row>
    <row r="22" customFormat="false" ht="15" hidden="false" customHeight="true" outlineLevel="0" collapsed="false">
      <c r="A22" s="107" t="s">
        <v>420</v>
      </c>
      <c r="B22" s="107"/>
      <c r="C22" s="107"/>
      <c r="D22" s="107"/>
      <c r="E22" s="107"/>
    </row>
    <row r="24" customFormat="false" ht="15" hidden="false" customHeight="true" outlineLevel="0" collapsed="false">
      <c r="A24" s="109" t="s">
        <v>421</v>
      </c>
      <c r="B24" s="109" t="s">
        <v>11</v>
      </c>
      <c r="C24" s="109" t="s">
        <v>422</v>
      </c>
      <c r="D24" s="109" t="s">
        <v>423</v>
      </c>
      <c r="E24" s="109" t="s">
        <v>55</v>
      </c>
    </row>
    <row r="25" customFormat="false" ht="15" hidden="false" customHeight="true" outlineLevel="0" collapsed="false">
      <c r="A25" s="110" t="s">
        <v>424</v>
      </c>
      <c r="B25" s="111" t="s">
        <v>383</v>
      </c>
      <c r="C25" s="112" t="s">
        <v>425</v>
      </c>
      <c r="D25" s="97" t="s">
        <v>426</v>
      </c>
      <c r="E25" s="113" t="s">
        <v>427</v>
      </c>
    </row>
    <row r="26" customFormat="false" ht="15" hidden="false" customHeight="true" outlineLevel="0" collapsed="false">
      <c r="A26" s="110" t="s">
        <v>428</v>
      </c>
      <c r="B26" s="111" t="s">
        <v>384</v>
      </c>
      <c r="C26" s="112" t="s">
        <v>429</v>
      </c>
      <c r="D26" s="97" t="s">
        <v>426</v>
      </c>
      <c r="E26" s="113" t="s">
        <v>430</v>
      </c>
    </row>
    <row r="27" customFormat="false" ht="15" hidden="false" customHeight="true" outlineLevel="0" collapsed="false">
      <c r="A27" s="110" t="s">
        <v>431</v>
      </c>
      <c r="B27" s="111" t="s">
        <v>432</v>
      </c>
      <c r="C27" s="112" t="s">
        <v>433</v>
      </c>
      <c r="D27" s="97" t="s">
        <v>426</v>
      </c>
      <c r="E27" s="113" t="s">
        <v>434</v>
      </c>
    </row>
    <row r="28" customFormat="false" ht="15" hidden="false" customHeight="true" outlineLevel="0" collapsed="false">
      <c r="A28" s="110" t="s">
        <v>435</v>
      </c>
      <c r="B28" s="111" t="s">
        <v>388</v>
      </c>
      <c r="C28" s="112" t="s">
        <v>436</v>
      </c>
      <c r="D28" s="97" t="s">
        <v>426</v>
      </c>
      <c r="E28" s="113" t="s">
        <v>437</v>
      </c>
    </row>
    <row r="29" customFormat="false" ht="15" hidden="false" customHeight="true" outlineLevel="0" collapsed="false">
      <c r="A29" s="110" t="s">
        <v>438</v>
      </c>
      <c r="B29" s="111" t="s">
        <v>389</v>
      </c>
      <c r="C29" s="112" t="s">
        <v>439</v>
      </c>
      <c r="D29" s="97" t="s">
        <v>426</v>
      </c>
      <c r="E29" s="113" t="s">
        <v>440</v>
      </c>
    </row>
    <row r="30" customFormat="false" ht="15" hidden="false" customHeight="true" outlineLevel="0" collapsed="false">
      <c r="A30" s="110" t="s">
        <v>441</v>
      </c>
      <c r="B30" s="111" t="s">
        <v>442</v>
      </c>
      <c r="C30" s="112" t="s">
        <v>443</v>
      </c>
      <c r="D30" s="97" t="s">
        <v>426</v>
      </c>
      <c r="E30" s="113" t="s">
        <v>444</v>
      </c>
    </row>
    <row r="31" customFormat="false" ht="15" hidden="false" customHeight="true" outlineLevel="0" collapsed="false">
      <c r="A31" s="110" t="s">
        <v>445</v>
      </c>
      <c r="B31" s="111" t="s">
        <v>385</v>
      </c>
      <c r="C31" s="112" t="s">
        <v>446</v>
      </c>
      <c r="D31" s="97" t="s">
        <v>426</v>
      </c>
      <c r="E31" s="113" t="s">
        <v>447</v>
      </c>
    </row>
    <row r="33" customFormat="false" ht="15" hidden="false" customHeight="true" outlineLevel="0" collapsed="false">
      <c r="A33" s="114" t="s">
        <v>448</v>
      </c>
      <c r="B33" s="114"/>
      <c r="C33" s="114"/>
      <c r="D33" s="114"/>
      <c r="E33" s="114"/>
    </row>
    <row r="34" customFormat="false" ht="409.5" hidden="false" customHeight="true" outlineLevel="0" collapsed="false">
      <c r="A34" s="115" t="s">
        <v>449</v>
      </c>
      <c r="B34" s="115"/>
      <c r="C34" s="115"/>
      <c r="D34" s="115"/>
      <c r="E34" s="115"/>
    </row>
    <row r="36" customFormat="false" ht="21.75" hidden="false" customHeight="true" outlineLevel="0" collapsed="false">
      <c r="A36" s="17" t="s">
        <v>450</v>
      </c>
      <c r="B36" s="17"/>
      <c r="C36" s="17"/>
      <c r="D36" s="17"/>
      <c r="E36" s="17"/>
    </row>
    <row r="37" customFormat="false" ht="15" hidden="false" customHeight="true" outlineLevel="0" collapsed="false">
      <c r="A37" s="107" t="s">
        <v>451</v>
      </c>
      <c r="B37" s="107"/>
      <c r="C37" s="107"/>
      <c r="D37" s="107"/>
      <c r="E37" s="107"/>
    </row>
    <row r="39" customFormat="false" ht="15" hidden="false" customHeight="true" outlineLevel="0" collapsed="false">
      <c r="A39" s="109" t="s">
        <v>421</v>
      </c>
      <c r="B39" s="109" t="s">
        <v>11</v>
      </c>
      <c r="C39" s="109" t="s">
        <v>452</v>
      </c>
      <c r="D39" s="109" t="s">
        <v>423</v>
      </c>
      <c r="E39" s="109" t="s">
        <v>55</v>
      </c>
    </row>
    <row r="40" customFormat="false" ht="15" hidden="false" customHeight="true" outlineLevel="0" collapsed="false">
      <c r="A40" s="110" t="s">
        <v>445</v>
      </c>
      <c r="B40" s="111" t="s">
        <v>385</v>
      </c>
      <c r="C40" s="112" t="s">
        <v>453</v>
      </c>
      <c r="D40" s="97" t="s">
        <v>426</v>
      </c>
      <c r="E40" s="113" t="s">
        <v>454</v>
      </c>
    </row>
    <row r="41" customFormat="false" ht="15" hidden="false" customHeight="true" outlineLevel="0" collapsed="false">
      <c r="A41" s="110" t="s">
        <v>455</v>
      </c>
      <c r="B41" s="111" t="s">
        <v>456</v>
      </c>
      <c r="C41" s="112" t="s">
        <v>457</v>
      </c>
      <c r="D41" s="97" t="s">
        <v>426</v>
      </c>
      <c r="E41" s="113" t="s">
        <v>458</v>
      </c>
    </row>
    <row r="42" customFormat="false" ht="15" hidden="false" customHeight="true" outlineLevel="0" collapsed="false">
      <c r="A42" s="110" t="s">
        <v>46</v>
      </c>
      <c r="B42" s="111" t="s">
        <v>459</v>
      </c>
      <c r="C42" s="112" t="s">
        <v>460</v>
      </c>
      <c r="D42" s="97" t="s">
        <v>426</v>
      </c>
      <c r="E42" s="113" t="s">
        <v>461</v>
      </c>
    </row>
    <row r="43" customFormat="false" ht="15" hidden="false" customHeight="true" outlineLevel="0" collapsed="false">
      <c r="A43" s="110" t="s">
        <v>46</v>
      </c>
      <c r="B43" s="111" t="s">
        <v>462</v>
      </c>
      <c r="C43" s="112" t="s">
        <v>463</v>
      </c>
      <c r="D43" s="97" t="s">
        <v>426</v>
      </c>
      <c r="E43" s="113" t="s">
        <v>464</v>
      </c>
    </row>
    <row r="45" customFormat="false" ht="15" hidden="false" customHeight="true" outlineLevel="0" collapsed="false">
      <c r="A45" s="114" t="s">
        <v>448</v>
      </c>
      <c r="B45" s="114"/>
      <c r="C45" s="114"/>
      <c r="D45" s="114"/>
      <c r="E45" s="114"/>
    </row>
    <row r="46" customFormat="false" ht="349.5" hidden="false" customHeight="true" outlineLevel="0" collapsed="false">
      <c r="A46" s="115" t="s">
        <v>465</v>
      </c>
      <c r="B46" s="115"/>
      <c r="C46" s="115"/>
      <c r="D46" s="115"/>
      <c r="E46" s="115"/>
    </row>
    <row r="48" customFormat="false" ht="21.75" hidden="false" customHeight="true" outlineLevel="0" collapsed="false">
      <c r="A48" s="17" t="s">
        <v>466</v>
      </c>
      <c r="B48" s="17"/>
      <c r="C48" s="17"/>
      <c r="D48" s="17"/>
      <c r="E48" s="17"/>
    </row>
    <row r="49" customFormat="false" ht="15" hidden="false" customHeight="true" outlineLevel="0" collapsed="false">
      <c r="A49" s="107" t="s">
        <v>467</v>
      </c>
      <c r="B49" s="107"/>
      <c r="C49" s="107"/>
      <c r="D49" s="107"/>
      <c r="E49" s="107"/>
    </row>
    <row r="51" customFormat="false" ht="15" hidden="false" customHeight="true" outlineLevel="0" collapsed="false">
      <c r="A51" s="109" t="s">
        <v>96</v>
      </c>
      <c r="B51" s="116" t="s">
        <v>468</v>
      </c>
      <c r="C51" s="116"/>
      <c r="D51" s="109" t="s">
        <v>469</v>
      </c>
    </row>
    <row r="52" customFormat="false" ht="15" hidden="false" customHeight="true" outlineLevel="0" collapsed="false">
      <c r="A52" s="110" t="s">
        <v>470</v>
      </c>
      <c r="B52" s="117" t="s">
        <v>471</v>
      </c>
      <c r="C52" s="117"/>
      <c r="D52" s="107" t="s">
        <v>472</v>
      </c>
      <c r="E52" s="107"/>
    </row>
    <row r="53" customFormat="false" ht="15" hidden="false" customHeight="true" outlineLevel="0" collapsed="false">
      <c r="A53" s="110" t="s">
        <v>473</v>
      </c>
      <c r="B53" s="117" t="s">
        <v>474</v>
      </c>
      <c r="C53" s="117"/>
      <c r="D53" s="107" t="s">
        <v>475</v>
      </c>
      <c r="E53" s="107"/>
    </row>
    <row r="54" customFormat="false" ht="15" hidden="false" customHeight="true" outlineLevel="0" collapsed="false">
      <c r="A54" s="110" t="s">
        <v>476</v>
      </c>
      <c r="B54" s="117" t="s">
        <v>477</v>
      </c>
      <c r="C54" s="117"/>
      <c r="D54" s="107" t="s">
        <v>478</v>
      </c>
      <c r="E54" s="107"/>
    </row>
    <row r="55" customFormat="false" ht="15" hidden="false" customHeight="true" outlineLevel="0" collapsed="false">
      <c r="A55" s="110" t="s">
        <v>479</v>
      </c>
      <c r="B55" s="117" t="s">
        <v>480</v>
      </c>
      <c r="C55" s="117"/>
      <c r="D55" s="107" t="s">
        <v>481</v>
      </c>
      <c r="E55" s="107"/>
    </row>
    <row r="56" customFormat="false" ht="15" hidden="false" customHeight="true" outlineLevel="0" collapsed="false">
      <c r="A56" s="110" t="s">
        <v>482</v>
      </c>
      <c r="B56" s="117" t="s">
        <v>483</v>
      </c>
      <c r="C56" s="117"/>
      <c r="D56" s="107" t="s">
        <v>484</v>
      </c>
      <c r="E56" s="107"/>
    </row>
    <row r="58" customFormat="false" ht="21.75" hidden="false" customHeight="true" outlineLevel="0" collapsed="false">
      <c r="A58" s="17" t="s">
        <v>485</v>
      </c>
      <c r="B58" s="17"/>
      <c r="C58" s="17"/>
      <c r="D58" s="17"/>
      <c r="E58" s="17"/>
    </row>
    <row r="59" customFormat="false" ht="15" hidden="false" customHeight="true" outlineLevel="0" collapsed="false">
      <c r="A59" s="107" t="s">
        <v>486</v>
      </c>
      <c r="B59" s="107"/>
      <c r="C59" s="107"/>
      <c r="D59" s="107"/>
      <c r="E59" s="107"/>
    </row>
    <row r="61" customFormat="false" ht="15" hidden="false" customHeight="true" outlineLevel="0" collapsed="false">
      <c r="A61" s="109" t="s">
        <v>96</v>
      </c>
      <c r="B61" s="109" t="s">
        <v>11</v>
      </c>
      <c r="C61" s="109" t="s">
        <v>487</v>
      </c>
      <c r="D61" s="109" t="s">
        <v>488</v>
      </c>
      <c r="E61" s="109" t="s">
        <v>55</v>
      </c>
    </row>
    <row r="62" customFormat="false" ht="15" hidden="false" customHeight="true" outlineLevel="0" collapsed="false">
      <c r="A62" s="110" t="s">
        <v>489</v>
      </c>
      <c r="B62" s="111" t="s">
        <v>490</v>
      </c>
      <c r="C62" s="113" t="s">
        <v>491</v>
      </c>
      <c r="D62" s="97" t="s">
        <v>492</v>
      </c>
      <c r="E62" s="113" t="s">
        <v>493</v>
      </c>
    </row>
    <row r="63" customFormat="false" ht="15" hidden="false" customHeight="true" outlineLevel="0" collapsed="false">
      <c r="A63" s="110" t="s">
        <v>494</v>
      </c>
      <c r="B63" s="111" t="s">
        <v>495</v>
      </c>
      <c r="C63" s="113" t="s">
        <v>496</v>
      </c>
      <c r="D63" s="97" t="s">
        <v>497</v>
      </c>
      <c r="E63" s="113" t="s">
        <v>498</v>
      </c>
    </row>
    <row r="64" customFormat="false" ht="15" hidden="false" customHeight="true" outlineLevel="0" collapsed="false">
      <c r="A64" s="110" t="s">
        <v>499</v>
      </c>
      <c r="B64" s="111" t="s">
        <v>500</v>
      </c>
      <c r="C64" s="113" t="s">
        <v>501</v>
      </c>
      <c r="D64" s="97" t="s">
        <v>497</v>
      </c>
      <c r="E64" s="113" t="s">
        <v>502</v>
      </c>
    </row>
    <row r="65" customFormat="false" ht="15" hidden="false" customHeight="true" outlineLevel="0" collapsed="false">
      <c r="A65" s="110" t="s">
        <v>503</v>
      </c>
      <c r="B65" s="111" t="s">
        <v>393</v>
      </c>
      <c r="C65" s="113" t="s">
        <v>504</v>
      </c>
      <c r="D65" s="97" t="s">
        <v>505</v>
      </c>
      <c r="E65" s="113" t="s">
        <v>506</v>
      </c>
    </row>
    <row r="66" customFormat="false" ht="15" hidden="false" customHeight="true" outlineLevel="0" collapsed="false">
      <c r="A66" s="110" t="s">
        <v>507</v>
      </c>
      <c r="B66" s="111" t="s">
        <v>394</v>
      </c>
      <c r="C66" s="113" t="s">
        <v>508</v>
      </c>
      <c r="D66" s="97" t="s">
        <v>492</v>
      </c>
      <c r="E66" s="113" t="s">
        <v>509</v>
      </c>
    </row>
    <row r="67" customFormat="false" ht="15" hidden="false" customHeight="true" outlineLevel="0" collapsed="false">
      <c r="A67" s="110" t="s">
        <v>510</v>
      </c>
      <c r="B67" s="111" t="s">
        <v>395</v>
      </c>
      <c r="C67" s="113" t="s">
        <v>511</v>
      </c>
      <c r="D67" s="97" t="s">
        <v>505</v>
      </c>
      <c r="E67" s="113" t="s">
        <v>512</v>
      </c>
    </row>
    <row r="68" customFormat="false" ht="15" hidden="false" customHeight="true" outlineLevel="0" collapsed="false">
      <c r="A68" s="110" t="s">
        <v>513</v>
      </c>
      <c r="B68" s="111" t="s">
        <v>396</v>
      </c>
      <c r="C68" s="113" t="s">
        <v>514</v>
      </c>
      <c r="D68" s="97" t="s">
        <v>505</v>
      </c>
      <c r="E68" s="113" t="s">
        <v>515</v>
      </c>
    </row>
    <row r="69" customFormat="false" ht="15" hidden="false" customHeight="true" outlineLevel="0" collapsed="false">
      <c r="A69" s="110" t="s">
        <v>455</v>
      </c>
      <c r="B69" s="111" t="s">
        <v>516</v>
      </c>
      <c r="C69" s="113" t="s">
        <v>517</v>
      </c>
      <c r="D69" s="97" t="s">
        <v>505</v>
      </c>
      <c r="E69" s="113" t="s">
        <v>518</v>
      </c>
    </row>
    <row r="71" customFormat="false" ht="21.75" hidden="false" customHeight="true" outlineLevel="0" collapsed="false">
      <c r="A71" s="17" t="s">
        <v>519</v>
      </c>
      <c r="B71" s="17"/>
      <c r="C71" s="17"/>
      <c r="D71" s="17"/>
      <c r="E71" s="17"/>
    </row>
    <row r="72" customFormat="false" ht="15" hidden="false" customHeight="true" outlineLevel="0" collapsed="false">
      <c r="A72" s="107" t="s">
        <v>520</v>
      </c>
      <c r="B72" s="107"/>
      <c r="C72" s="107"/>
      <c r="D72" s="107"/>
      <c r="E72" s="107"/>
    </row>
    <row r="74" customFormat="false" ht="15" hidden="false" customHeight="true" outlineLevel="0" collapsed="false">
      <c r="A74" s="109" t="s">
        <v>96</v>
      </c>
      <c r="B74" s="109" t="s">
        <v>11</v>
      </c>
      <c r="C74" s="109" t="s">
        <v>98</v>
      </c>
      <c r="D74" s="109" t="s">
        <v>521</v>
      </c>
      <c r="E74" s="109" t="s">
        <v>522</v>
      </c>
    </row>
    <row r="75" customFormat="false" ht="15" hidden="false" customHeight="true" outlineLevel="0" collapsed="false">
      <c r="A75" s="110" t="s">
        <v>424</v>
      </c>
      <c r="B75" s="111" t="s">
        <v>383</v>
      </c>
      <c r="C75" s="118" t="n">
        <f aca="false">'Prop Info'!B22</f>
        <v>0</v>
      </c>
      <c r="D75" s="113" t="s">
        <v>523</v>
      </c>
      <c r="E75" s="97" t="s">
        <v>524</v>
      </c>
    </row>
    <row r="76" customFormat="false" ht="15" hidden="false" customHeight="true" outlineLevel="0" collapsed="false">
      <c r="A76" s="110" t="s">
        <v>428</v>
      </c>
      <c r="B76" s="111" t="s">
        <v>384</v>
      </c>
      <c r="C76" s="118" t="n">
        <f aca="false">'Prop Info'!B23</f>
        <v>0</v>
      </c>
      <c r="D76" s="113" t="s">
        <v>525</v>
      </c>
      <c r="E76" s="97" t="s">
        <v>524</v>
      </c>
    </row>
    <row r="77" customFormat="false" ht="15" hidden="false" customHeight="true" outlineLevel="0" collapsed="false">
      <c r="A77" s="110" t="s">
        <v>445</v>
      </c>
      <c r="B77" s="111" t="s">
        <v>385</v>
      </c>
      <c r="C77" s="119" t="n">
        <f aca="false">'Prop Info'!B24</f>
        <v>0</v>
      </c>
      <c r="D77" s="113" t="s">
        <v>526</v>
      </c>
      <c r="E77" s="97" t="s">
        <v>524</v>
      </c>
    </row>
    <row r="78" customFormat="false" ht="15" hidden="false" customHeight="true" outlineLevel="0" collapsed="false">
      <c r="A78" s="110" t="s">
        <v>431</v>
      </c>
      <c r="B78" s="111" t="s">
        <v>432</v>
      </c>
      <c r="C78" s="118" t="n">
        <f aca="false">'Prop Info'!B25</f>
        <v>0</v>
      </c>
      <c r="D78" s="113" t="s">
        <v>523</v>
      </c>
      <c r="E78" s="97" t="s">
        <v>524</v>
      </c>
    </row>
    <row r="79" customFormat="false" ht="15" hidden="false" customHeight="true" outlineLevel="0" collapsed="false">
      <c r="A79" s="110" t="s">
        <v>489</v>
      </c>
      <c r="B79" s="111" t="s">
        <v>527</v>
      </c>
      <c r="C79" s="119" t="n">
        <f aca="false">'Prop Info'!B26</f>
        <v>0</v>
      </c>
      <c r="D79" s="113" t="s">
        <v>528</v>
      </c>
      <c r="E79" s="97" t="s">
        <v>529</v>
      </c>
    </row>
    <row r="80" customFormat="false" ht="15" hidden="false" customHeight="true" outlineLevel="0" collapsed="false">
      <c r="A80" s="110" t="s">
        <v>435</v>
      </c>
      <c r="B80" s="111" t="s">
        <v>388</v>
      </c>
      <c r="C80" s="120" t="n">
        <f aca="false">'Prop Info'!B27</f>
        <v>0</v>
      </c>
      <c r="D80" s="113" t="s">
        <v>523</v>
      </c>
      <c r="E80" s="97" t="s">
        <v>524</v>
      </c>
    </row>
    <row r="81" customFormat="false" ht="15" hidden="false" customHeight="true" outlineLevel="0" collapsed="false">
      <c r="A81" s="110" t="s">
        <v>438</v>
      </c>
      <c r="B81" s="111" t="s">
        <v>389</v>
      </c>
      <c r="C81" s="120" t="n">
        <f aca="false">'Prop Info'!B28</f>
        <v>0</v>
      </c>
      <c r="D81" s="113" t="s">
        <v>523</v>
      </c>
      <c r="E81" s="97" t="s">
        <v>524</v>
      </c>
    </row>
    <row r="82" customFormat="false" ht="15" hidden="false" customHeight="true" outlineLevel="0" collapsed="false">
      <c r="A82" s="110" t="s">
        <v>494</v>
      </c>
      <c r="B82" s="111" t="s">
        <v>495</v>
      </c>
      <c r="C82" s="121" t="n">
        <f aca="false">'Prop Info'!B29</f>
        <v>0</v>
      </c>
      <c r="D82" s="113" t="s">
        <v>530</v>
      </c>
      <c r="E82" s="97" t="s">
        <v>531</v>
      </c>
    </row>
    <row r="83" customFormat="false" ht="15" hidden="false" customHeight="true" outlineLevel="0" collapsed="false">
      <c r="A83" s="110" t="s">
        <v>499</v>
      </c>
      <c r="B83" s="111" t="s">
        <v>392</v>
      </c>
      <c r="C83" s="120" t="n">
        <f aca="false">'Prop Info'!B31</f>
        <v>0</v>
      </c>
      <c r="D83" s="113" t="s">
        <v>532</v>
      </c>
      <c r="E83" s="97" t="s">
        <v>531</v>
      </c>
    </row>
    <row r="84" customFormat="false" ht="15" hidden="false" customHeight="true" outlineLevel="0" collapsed="false">
      <c r="A84" s="110" t="s">
        <v>503</v>
      </c>
      <c r="B84" s="111" t="s">
        <v>393</v>
      </c>
      <c r="C84" s="120" t="n">
        <f aca="false">'Prop Info'!B32</f>
        <v>0</v>
      </c>
      <c r="D84" s="113" t="s">
        <v>533</v>
      </c>
      <c r="E84" s="97" t="s">
        <v>531</v>
      </c>
    </row>
    <row r="85" customFormat="false" ht="15" hidden="false" customHeight="true" outlineLevel="0" collapsed="false">
      <c r="A85" s="110" t="s">
        <v>507</v>
      </c>
      <c r="B85" s="111" t="s">
        <v>394</v>
      </c>
      <c r="C85" s="118" t="n">
        <f aca="false">'Prop Info'!B33</f>
        <v>0</v>
      </c>
      <c r="D85" s="113" t="s">
        <v>530</v>
      </c>
      <c r="E85" s="97" t="s">
        <v>531</v>
      </c>
    </row>
    <row r="86" customFormat="false" ht="15" hidden="false" customHeight="true" outlineLevel="0" collapsed="false">
      <c r="A86" s="110" t="s">
        <v>510</v>
      </c>
      <c r="B86" s="111" t="s">
        <v>395</v>
      </c>
      <c r="C86" s="119" t="n">
        <f aca="false">'Prop Info'!B34</f>
        <v>0</v>
      </c>
      <c r="D86" s="113" t="s">
        <v>530</v>
      </c>
      <c r="E86" s="97" t="s">
        <v>531</v>
      </c>
    </row>
    <row r="87" customFormat="false" ht="15" hidden="false" customHeight="true" outlineLevel="0" collapsed="false">
      <c r="A87" s="110" t="s">
        <v>513</v>
      </c>
      <c r="B87" s="111" t="s">
        <v>534</v>
      </c>
      <c r="C87" s="119" t="n">
        <f aca="false">'Prop Info'!B35</f>
        <v>0</v>
      </c>
      <c r="D87" s="113" t="s">
        <v>530</v>
      </c>
      <c r="E87" s="97" t="s">
        <v>531</v>
      </c>
    </row>
    <row r="88" customFormat="false" ht="15" hidden="false" customHeight="true" outlineLevel="0" collapsed="false">
      <c r="A88" s="110" t="s">
        <v>455</v>
      </c>
      <c r="B88" s="111" t="s">
        <v>516</v>
      </c>
      <c r="C88" s="118" t="n">
        <f aca="false">'Prop Info'!B36</f>
        <v>0</v>
      </c>
      <c r="D88" s="113" t="s">
        <v>535</v>
      </c>
      <c r="E88" s="97" t="s">
        <v>536</v>
      </c>
    </row>
    <row r="89" customFormat="false" ht="15" hidden="false" customHeight="true" outlineLevel="0" collapsed="false">
      <c r="A89" s="110" t="s">
        <v>441</v>
      </c>
      <c r="B89" s="111" t="s">
        <v>442</v>
      </c>
      <c r="C89" s="119" t="n">
        <f aca="false">'Prop Info'!B37</f>
        <v>0</v>
      </c>
      <c r="D89" s="113" t="s">
        <v>523</v>
      </c>
      <c r="E89" s="97" t="s">
        <v>524</v>
      </c>
    </row>
    <row r="91" customFormat="false" ht="15" hidden="false" customHeight="true" outlineLevel="0" collapsed="false">
      <c r="A91" s="122" t="s">
        <v>537</v>
      </c>
      <c r="B91" s="122"/>
      <c r="C91" s="122"/>
      <c r="D91" s="122"/>
      <c r="E91" s="122"/>
    </row>
    <row r="92" customFormat="false" ht="15" hidden="false" customHeight="true" outlineLevel="0" collapsed="false">
      <c r="A92" s="108" t="s">
        <v>538</v>
      </c>
      <c r="B92" s="108"/>
      <c r="C92" s="108"/>
      <c r="D92" s="108"/>
      <c r="E92" s="108"/>
    </row>
    <row r="93" customFormat="false" ht="15" hidden="false" customHeight="true" outlineLevel="0" collapsed="false">
      <c r="A93" s="108" t="s">
        <v>539</v>
      </c>
      <c r="B93" s="108"/>
      <c r="C93" s="108"/>
      <c r="D93" s="108"/>
      <c r="E93" s="108"/>
    </row>
    <row r="94" customFormat="false" ht="15" hidden="false" customHeight="true" outlineLevel="0" collapsed="false">
      <c r="A94" s="108" t="s">
        <v>540</v>
      </c>
      <c r="B94" s="108"/>
      <c r="C94" s="108"/>
      <c r="D94" s="108"/>
      <c r="E94" s="108"/>
    </row>
  </sheetData>
  <mergeCells count="46">
    <mergeCell ref="A1:E1"/>
    <mergeCell ref="A2:E2"/>
    <mergeCell ref="A4:E4"/>
    <mergeCell ref="A5:E5"/>
    <mergeCell ref="A6:E6"/>
    <mergeCell ref="A7:E7"/>
    <mergeCell ref="A8:E8"/>
    <mergeCell ref="A9:E9"/>
    <mergeCell ref="A10:E10"/>
    <mergeCell ref="A11:E11"/>
    <mergeCell ref="A12:E12"/>
    <mergeCell ref="A13:E13"/>
    <mergeCell ref="A14:E14"/>
    <mergeCell ref="A15:E15"/>
    <mergeCell ref="A16:E16"/>
    <mergeCell ref="A17:E17"/>
    <mergeCell ref="A18:E18"/>
    <mergeCell ref="A21:E21"/>
    <mergeCell ref="A22:E22"/>
    <mergeCell ref="A33:E33"/>
    <mergeCell ref="A34:E34"/>
    <mergeCell ref="A36:E36"/>
    <mergeCell ref="A37:E37"/>
    <mergeCell ref="A45:E45"/>
    <mergeCell ref="A46:E46"/>
    <mergeCell ref="A48:E48"/>
    <mergeCell ref="A49:E49"/>
    <mergeCell ref="B51:C51"/>
    <mergeCell ref="B52:C52"/>
    <mergeCell ref="D52:E52"/>
    <mergeCell ref="B53:C53"/>
    <mergeCell ref="D53:E53"/>
    <mergeCell ref="B54:C54"/>
    <mergeCell ref="D54:E54"/>
    <mergeCell ref="B55:C55"/>
    <mergeCell ref="D55:E55"/>
    <mergeCell ref="B56:C56"/>
    <mergeCell ref="D56:E56"/>
    <mergeCell ref="A58:E58"/>
    <mergeCell ref="A59:E59"/>
    <mergeCell ref="A71:E71"/>
    <mergeCell ref="A72:E72"/>
    <mergeCell ref="A91:E91"/>
    <mergeCell ref="A92:E92"/>
    <mergeCell ref="A93:E93"/>
    <mergeCell ref="A94:E9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A8" activeCellId="0" sqref="A8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24"/>
    <col collapsed="false" customWidth="true" hidden="false" outlineLevel="0" max="8" min="7" style="0" width="14"/>
    <col collapsed="false" customWidth="true" hidden="false" outlineLevel="0" max="9" min="9" style="0" width="28"/>
    <col collapsed="false" customWidth="true" hidden="false" outlineLevel="0" max="10" min="10" style="0" width="38"/>
  </cols>
  <sheetData>
    <row r="1" customFormat="false" ht="21.75" hidden="false" customHeight="true" outlineLevel="0" collapsed="false">
      <c r="A1" s="106" t="str">
        <f aca="false">IF('Prop Info'!B4="","DATA CHECKLIST  —  Due Diligence Tracker","DATA CHECKLIST  —  Due Diligence Tracker"&amp;" — "&amp;'Prop Info'!B4)</f>
        <v>DATA CHECKLIST  —  Due Diligence Tracker</v>
      </c>
      <c r="B1" s="106"/>
      <c r="C1" s="106"/>
      <c r="D1" s="106"/>
      <c r="E1" s="106"/>
      <c r="F1" s="106"/>
      <c r="G1" s="106"/>
      <c r="H1" s="106"/>
      <c r="I1" s="106"/>
      <c r="J1" s="106"/>
    </row>
    <row r="2" customFormat="false" ht="27.75" hidden="false" customHeight="true" outlineLevel="0" collapsed="false">
      <c r="A2" s="113" t="s">
        <v>541</v>
      </c>
    </row>
    <row r="3" customFormat="false" ht="15" hidden="false" customHeight="true" outlineLevel="0" collapsed="false">
      <c r="F3" s="123" t="s">
        <v>542</v>
      </c>
      <c r="G3" s="123" t="s">
        <v>543</v>
      </c>
      <c r="H3" s="123" t="s">
        <v>544</v>
      </c>
      <c r="I3" s="123" t="s">
        <v>545</v>
      </c>
      <c r="J3" s="123" t="s">
        <v>546</v>
      </c>
    </row>
    <row r="4" customFormat="false" ht="15" hidden="false" customHeight="true" outlineLevel="0" collapsed="false">
      <c r="F4" s="124" t="n">
        <f aca="false">COUNT(A7:A97)</f>
        <v>74</v>
      </c>
      <c r="G4" s="124" t="n">
        <f aca="false">COUNTIF(C7:C97,"Complete")+COUNTIF(C7:C97,"N/A")</f>
        <v>0</v>
      </c>
      <c r="H4" s="125" t="n">
        <f aca="false">IFERROR(G4/F4,0)</f>
        <v>0</v>
      </c>
      <c r="I4" s="124" t="n">
        <f aca="false">SUMPRODUCT((LEFT(B7:B97,1)="⚠")*(C7:C97&lt;&gt;"Complete")*(C7:C97&lt;&gt;"N/A"))</f>
        <v>32</v>
      </c>
      <c r="J4" s="126" t="str">
        <f aca="false">IF(I4&gt;5,"🔴 many critical open",IF(I4&gt;0,"🟡 critical items pending","🟢 critical items resolved"))</f>
        <v>🔴 many critical open</v>
      </c>
    </row>
    <row r="6" customFormat="false" ht="31.5" hidden="false" customHeight="true" outlineLevel="0" collapsed="false">
      <c r="A6" s="127" t="s">
        <v>356</v>
      </c>
      <c r="B6" s="127" t="s">
        <v>547</v>
      </c>
      <c r="C6" s="127" t="s">
        <v>546</v>
      </c>
      <c r="D6" s="127" t="s">
        <v>548</v>
      </c>
      <c r="E6" s="127" t="s">
        <v>549</v>
      </c>
      <c r="F6" s="127" t="s">
        <v>550</v>
      </c>
      <c r="G6" s="127" t="s">
        <v>551</v>
      </c>
      <c r="H6" s="127" t="s">
        <v>552</v>
      </c>
      <c r="I6" s="127" t="s">
        <v>553</v>
      </c>
      <c r="J6" s="127" t="s">
        <v>55</v>
      </c>
    </row>
    <row r="7" customFormat="false" ht="21.75" hidden="false" customHeight="true" outlineLevel="0" collapsed="false">
      <c r="A7" s="128" t="s">
        <v>554</v>
      </c>
      <c r="B7" s="128"/>
      <c r="C7" s="128"/>
      <c r="D7" s="128"/>
      <c r="E7" s="128"/>
      <c r="F7" s="128"/>
      <c r="G7" s="128"/>
      <c r="H7" s="128"/>
      <c r="I7" s="128"/>
      <c r="J7" s="128"/>
    </row>
    <row r="8" customFormat="false" ht="15" hidden="false" customHeight="true" outlineLevel="0" collapsed="false">
      <c r="A8" s="129" t="n">
        <v>1</v>
      </c>
      <c r="B8" s="126" t="s">
        <v>138</v>
      </c>
      <c r="C8" s="129" t="s">
        <v>555</v>
      </c>
      <c r="I8" s="130" t="str">
        <f aca="false">IF('T-12 Analysis'!N80&gt;0,"✓ EGI loaded $"&amp;TEXT('T-12 Analysis'!N80,"#,##0"),"⚠ T-12 not loaded")</f>
        <v>⚠ T-12 not loaded</v>
      </c>
      <c r="J8" s="113" t="s">
        <v>556</v>
      </c>
    </row>
    <row r="9" customFormat="false" ht="15" hidden="false" customHeight="true" outlineLevel="0" collapsed="false">
      <c r="A9" s="129" t="n">
        <v>2</v>
      </c>
      <c r="B9" s="126" t="s">
        <v>139</v>
      </c>
      <c r="C9" s="129" t="s">
        <v>555</v>
      </c>
      <c r="I9" s="130" t="str">
        <f aca="false">IF('T-12 Analysis'!O80&gt;0,"✓ T-3 derived from T-12","derive from T-12 monthly")</f>
        <v>derive from T-12 monthly</v>
      </c>
      <c r="J9" s="113" t="s">
        <v>557</v>
      </c>
    </row>
    <row r="10" customFormat="false" ht="15" hidden="false" customHeight="true" outlineLevel="0" collapsed="false">
      <c r="A10" s="129" t="n">
        <v>3</v>
      </c>
      <c r="B10" s="111" t="s">
        <v>140</v>
      </c>
      <c r="C10" s="129" t="s">
        <v>555</v>
      </c>
      <c r="J10" s="113" t="s">
        <v>558</v>
      </c>
    </row>
    <row r="11" customFormat="false" ht="15" hidden="false" customHeight="true" outlineLevel="0" collapsed="false">
      <c r="A11" s="129" t="n">
        <v>4</v>
      </c>
      <c r="B11" s="111" t="s">
        <v>141</v>
      </c>
      <c r="C11" s="129" t="s">
        <v>555</v>
      </c>
      <c r="J11" s="113" t="s">
        <v>559</v>
      </c>
    </row>
    <row r="12" customFormat="false" ht="15" hidden="false" customHeight="true" outlineLevel="0" collapsed="false">
      <c r="A12" s="129" t="n">
        <v>5</v>
      </c>
      <c r="B12" s="111" t="s">
        <v>142</v>
      </c>
      <c r="C12" s="129" t="s">
        <v>555</v>
      </c>
      <c r="J12" s="113" t="s">
        <v>560</v>
      </c>
    </row>
    <row r="13" customFormat="false" ht="15" hidden="false" customHeight="true" outlineLevel="0" collapsed="false">
      <c r="A13" s="129" t="n">
        <v>6</v>
      </c>
      <c r="B13" s="111" t="s">
        <v>143</v>
      </c>
      <c r="C13" s="129" t="s">
        <v>555</v>
      </c>
      <c r="J13" s="113" t="s">
        <v>561</v>
      </c>
    </row>
    <row r="14" customFormat="false" ht="15" hidden="false" customHeight="true" outlineLevel="0" collapsed="false">
      <c r="A14" s="129" t="n">
        <v>7</v>
      </c>
      <c r="B14" s="111" t="s">
        <v>144</v>
      </c>
      <c r="C14" s="129" t="s">
        <v>555</v>
      </c>
      <c r="J14" s="113" t="s">
        <v>562</v>
      </c>
    </row>
    <row r="15" customFormat="false" ht="15" hidden="false" customHeight="true" outlineLevel="0" collapsed="false">
      <c r="A15" s="129" t="n">
        <v>8</v>
      </c>
      <c r="B15" s="111" t="s">
        <v>145</v>
      </c>
      <c r="C15" s="129" t="s">
        <v>555</v>
      </c>
      <c r="J15" s="113" t="s">
        <v>563</v>
      </c>
    </row>
    <row r="16" customFormat="false" ht="15" hidden="false" customHeight="true" outlineLevel="0" collapsed="false">
      <c r="A16" s="129" t="n">
        <v>9</v>
      </c>
      <c r="B16" s="111" t="s">
        <v>146</v>
      </c>
      <c r="C16" s="129" t="s">
        <v>555</v>
      </c>
      <c r="J16" s="113" t="s">
        <v>564</v>
      </c>
    </row>
    <row r="18" customFormat="false" ht="21.75" hidden="false" customHeight="true" outlineLevel="0" collapsed="false">
      <c r="A18" s="128" t="s">
        <v>565</v>
      </c>
      <c r="B18" s="128"/>
      <c r="C18" s="128"/>
      <c r="D18" s="128"/>
      <c r="E18" s="128"/>
      <c r="F18" s="128"/>
      <c r="G18" s="128"/>
      <c r="H18" s="128"/>
      <c r="I18" s="128"/>
      <c r="J18" s="128"/>
    </row>
    <row r="19" customFormat="false" ht="15" hidden="false" customHeight="true" outlineLevel="0" collapsed="false">
      <c r="A19" s="129" t="n">
        <v>10</v>
      </c>
      <c r="B19" s="126" t="s">
        <v>147</v>
      </c>
      <c r="C19" s="129" t="s">
        <v>566</v>
      </c>
      <c r="I19" s="130" t="str">
        <f aca="false">IF('Rent Roll Analysis'!I5&gt;0,"✓ "&amp;'Rent Roll Analysis'!I5&amp;" units in RR vs "&amp;'Rent Roll Analysis'!G5&amp;" total","⚠ RR not loaded")</f>
        <v>⚠ RR not loaded</v>
      </c>
      <c r="J19" s="113" t="s">
        <v>567</v>
      </c>
    </row>
    <row r="20" customFormat="false" ht="15" hidden="false" customHeight="true" outlineLevel="0" collapsed="false">
      <c r="A20" s="129" t="n">
        <v>11</v>
      </c>
      <c r="B20" s="126" t="s">
        <v>148</v>
      </c>
      <c r="C20" s="129" t="s">
        <v>566</v>
      </c>
      <c r="I20" s="130" t="str">
        <f aca="false">IF('Rent Roll Analysis'!C94&gt;0,"✓ Total AR $"&amp;TEXT('Rent Roll Analysis'!C94,"#,##0"),"⚠ AR not loaded")</f>
        <v>⚠ AR not loaded</v>
      </c>
      <c r="J20" s="113" t="s">
        <v>568</v>
      </c>
    </row>
    <row r="21" customFormat="false" ht="15" hidden="false" customHeight="true" outlineLevel="0" collapsed="false">
      <c r="A21" s="129" t="n">
        <v>12</v>
      </c>
      <c r="B21" s="126" t="s">
        <v>149</v>
      </c>
      <c r="C21" s="129" t="s">
        <v>566</v>
      </c>
      <c r="I21" s="130" t="str">
        <f aca="false">IF('Rent Roll Analysis'!B113&gt;0,"✓ "&amp;'Rent Roll Analysis'!B113&amp;" units flagged for legal/eviction (** in source)","none flagged")</f>
        <v>none flagged</v>
      </c>
      <c r="J21" s="113" t="s">
        <v>569</v>
      </c>
    </row>
    <row r="22" customFormat="false" ht="15" hidden="false" customHeight="true" outlineLevel="0" collapsed="false">
      <c r="A22" s="129" t="n">
        <v>13</v>
      </c>
      <c r="B22" s="111" t="s">
        <v>150</v>
      </c>
      <c r="C22" s="129" t="s">
        <v>555</v>
      </c>
      <c r="J22" s="113" t="s">
        <v>570</v>
      </c>
    </row>
    <row r="23" customFormat="false" ht="15" hidden="false" customHeight="true" outlineLevel="0" collapsed="false">
      <c r="A23" s="129" t="n">
        <v>14</v>
      </c>
      <c r="B23" s="126" t="s">
        <v>151</v>
      </c>
      <c r="C23" s="129" t="s">
        <v>566</v>
      </c>
      <c r="I23" s="130" t="str">
        <f aca="false">IF('Rent Roll Analysis'!D113&gt;0,"⚠ $"&amp;TEXT('Rent Roll Analysis'!D113,"#,##0")&amp;" AR exposure on legal cohort","none on record")</f>
        <v>none on record</v>
      </c>
      <c r="J23" s="113" t="s">
        <v>571</v>
      </c>
    </row>
    <row r="24" customFormat="false" ht="15" hidden="false" customHeight="true" outlineLevel="0" collapsed="false">
      <c r="A24" s="129" t="n">
        <v>15</v>
      </c>
      <c r="B24" s="111" t="s">
        <v>152</v>
      </c>
      <c r="C24" s="129" t="s">
        <v>555</v>
      </c>
      <c r="J24" s="113" t="s">
        <v>572</v>
      </c>
    </row>
    <row r="25" customFormat="false" ht="15" hidden="false" customHeight="true" outlineLevel="0" collapsed="false">
      <c r="A25" s="129" t="n">
        <v>16</v>
      </c>
      <c r="B25" s="111" t="s">
        <v>153</v>
      </c>
      <c r="C25" s="129" t="s">
        <v>555</v>
      </c>
      <c r="J25" s="113" t="s">
        <v>573</v>
      </c>
    </row>
    <row r="26" customFormat="false" ht="15" hidden="false" customHeight="true" outlineLevel="0" collapsed="false">
      <c r="A26" s="129" t="n">
        <v>17</v>
      </c>
      <c r="B26" s="111" t="s">
        <v>154</v>
      </c>
      <c r="C26" s="129" t="s">
        <v>555</v>
      </c>
      <c r="J26" s="113" t="s">
        <v>574</v>
      </c>
    </row>
    <row r="27" customFormat="false" ht="15" hidden="false" customHeight="true" outlineLevel="0" collapsed="false">
      <c r="A27" s="129" t="n">
        <v>18</v>
      </c>
      <c r="B27" s="111" t="s">
        <v>155</v>
      </c>
      <c r="C27" s="129" t="s">
        <v>555</v>
      </c>
      <c r="J27" s="113" t="s">
        <v>575</v>
      </c>
    </row>
    <row r="29" customFormat="false" ht="21.75" hidden="false" customHeight="true" outlineLevel="0" collapsed="false">
      <c r="A29" s="128" t="s">
        <v>576</v>
      </c>
      <c r="B29" s="128"/>
      <c r="C29" s="128"/>
      <c r="D29" s="128"/>
      <c r="E29" s="128"/>
      <c r="F29" s="128"/>
      <c r="G29" s="128"/>
      <c r="H29" s="128"/>
      <c r="I29" s="128"/>
      <c r="J29" s="128"/>
    </row>
    <row r="30" customFormat="false" ht="15" hidden="false" customHeight="true" outlineLevel="0" collapsed="false">
      <c r="A30" s="129" t="n">
        <v>19</v>
      </c>
      <c r="B30" s="126" t="s">
        <v>156</v>
      </c>
      <c r="C30" s="129" t="s">
        <v>555</v>
      </c>
      <c r="J30" s="113" t="s">
        <v>577</v>
      </c>
    </row>
    <row r="31" customFormat="false" ht="15" hidden="false" customHeight="true" outlineLevel="0" collapsed="false">
      <c r="A31" s="129" t="n">
        <v>20</v>
      </c>
      <c r="B31" s="126" t="s">
        <v>157</v>
      </c>
      <c r="C31" s="129" t="s">
        <v>555</v>
      </c>
      <c r="J31" s="113" t="s">
        <v>578</v>
      </c>
    </row>
    <row r="32" customFormat="false" ht="15" hidden="false" customHeight="true" outlineLevel="0" collapsed="false">
      <c r="A32" s="129" t="n">
        <v>21</v>
      </c>
      <c r="B32" s="126" t="s">
        <v>158</v>
      </c>
      <c r="C32" s="129" t="s">
        <v>555</v>
      </c>
      <c r="J32" s="113" t="s">
        <v>579</v>
      </c>
    </row>
    <row r="33" customFormat="false" ht="15" hidden="false" customHeight="true" outlineLevel="0" collapsed="false">
      <c r="A33" s="129" t="n">
        <v>22</v>
      </c>
      <c r="B33" s="126" t="s">
        <v>159</v>
      </c>
      <c r="C33" s="129" t="s">
        <v>555</v>
      </c>
      <c r="J33" s="113" t="s">
        <v>580</v>
      </c>
    </row>
    <row r="34" customFormat="false" ht="15" hidden="false" customHeight="true" outlineLevel="0" collapsed="false">
      <c r="A34" s="129" t="n">
        <v>23</v>
      </c>
      <c r="B34" s="126" t="s">
        <v>160</v>
      </c>
      <c r="C34" s="129" t="s">
        <v>555</v>
      </c>
      <c r="I34" s="130" t="str">
        <f aca="false">IF('T-12 Analysis'!P96&gt;70,"⚠ water $"&amp;TEXT('T-12 Analysis'!P96,"0.00")&amp;" PUPM — investigate","ok")</f>
        <v>ok</v>
      </c>
      <c r="J34" s="113" t="s">
        <v>581</v>
      </c>
    </row>
    <row r="35" customFormat="false" ht="15" hidden="false" customHeight="true" outlineLevel="0" collapsed="false">
      <c r="A35" s="129" t="n">
        <v>24</v>
      </c>
      <c r="B35" s="111" t="s">
        <v>161</v>
      </c>
      <c r="C35" s="129" t="s">
        <v>555</v>
      </c>
    </row>
    <row r="36" customFormat="false" ht="15" hidden="false" customHeight="true" outlineLevel="0" collapsed="false">
      <c r="A36" s="129" t="n">
        <v>25</v>
      </c>
      <c r="B36" s="111" t="s">
        <v>162</v>
      </c>
      <c r="C36" s="129" t="s">
        <v>555</v>
      </c>
    </row>
    <row r="37" customFormat="false" ht="15" hidden="false" customHeight="true" outlineLevel="0" collapsed="false">
      <c r="A37" s="129" t="n">
        <v>26</v>
      </c>
      <c r="B37" s="111" t="s">
        <v>163</v>
      </c>
      <c r="C37" s="129" t="s">
        <v>555</v>
      </c>
    </row>
    <row r="38" customFormat="false" ht="15" hidden="false" customHeight="true" outlineLevel="0" collapsed="false">
      <c r="A38" s="129" t="n">
        <v>27</v>
      </c>
      <c r="B38" s="111" t="s">
        <v>164</v>
      </c>
      <c r="C38" s="129" t="s">
        <v>555</v>
      </c>
      <c r="J38" s="113" t="s">
        <v>582</v>
      </c>
    </row>
    <row r="39" customFormat="false" ht="15" hidden="false" customHeight="true" outlineLevel="0" collapsed="false">
      <c r="A39" s="129" t="n">
        <v>28</v>
      </c>
      <c r="B39" s="111" t="s">
        <v>165</v>
      </c>
      <c r="C39" s="129" t="s">
        <v>555</v>
      </c>
      <c r="J39" s="113" t="s">
        <v>583</v>
      </c>
    </row>
    <row r="40" customFormat="false" ht="15" hidden="false" customHeight="true" outlineLevel="0" collapsed="false">
      <c r="A40" s="129" t="n">
        <v>29</v>
      </c>
      <c r="B40" s="111" t="s">
        <v>166</v>
      </c>
      <c r="C40" s="129" t="s">
        <v>555</v>
      </c>
      <c r="J40" s="113" t="s">
        <v>584</v>
      </c>
    </row>
    <row r="41" customFormat="false" ht="15" hidden="false" customHeight="true" outlineLevel="0" collapsed="false">
      <c r="A41" s="129" t="n">
        <v>30</v>
      </c>
      <c r="B41" s="126" t="s">
        <v>167</v>
      </c>
      <c r="C41" s="129" t="s">
        <v>555</v>
      </c>
      <c r="J41" s="113" t="s">
        <v>585</v>
      </c>
    </row>
    <row r="42" customFormat="false" ht="15" hidden="false" customHeight="true" outlineLevel="0" collapsed="false">
      <c r="A42" s="129" t="n">
        <v>31</v>
      </c>
      <c r="B42" s="111" t="s">
        <v>168</v>
      </c>
      <c r="C42" s="129" t="s">
        <v>555</v>
      </c>
      <c r="J42" s="113" t="s">
        <v>586</v>
      </c>
    </row>
    <row r="44" customFormat="false" ht="21.75" hidden="false" customHeight="true" outlineLevel="0" collapsed="false">
      <c r="A44" s="128" t="s">
        <v>587</v>
      </c>
      <c r="B44" s="128"/>
      <c r="C44" s="128"/>
      <c r="D44" s="128"/>
      <c r="E44" s="128"/>
      <c r="F44" s="128"/>
      <c r="G44" s="128"/>
      <c r="H44" s="128"/>
      <c r="I44" s="128"/>
      <c r="J44" s="128"/>
    </row>
    <row r="45" customFormat="false" ht="15" hidden="false" customHeight="true" outlineLevel="0" collapsed="false">
      <c r="A45" s="129" t="n">
        <v>32</v>
      </c>
      <c r="B45" s="126" t="s">
        <v>169</v>
      </c>
      <c r="C45" s="129" t="s">
        <v>555</v>
      </c>
      <c r="J45" s="113" t="s">
        <v>588</v>
      </c>
    </row>
    <row r="46" customFormat="false" ht="15" hidden="false" customHeight="true" outlineLevel="0" collapsed="false">
      <c r="A46" s="129" t="n">
        <v>33</v>
      </c>
      <c r="B46" s="126" t="s">
        <v>170</v>
      </c>
      <c r="C46" s="129" t="s">
        <v>555</v>
      </c>
      <c r="J46" s="113" t="s">
        <v>589</v>
      </c>
    </row>
    <row r="47" customFormat="false" ht="15" hidden="false" customHeight="true" outlineLevel="0" collapsed="false">
      <c r="A47" s="129" t="n">
        <v>34</v>
      </c>
      <c r="B47" s="126" t="s">
        <v>171</v>
      </c>
      <c r="C47" s="129" t="s">
        <v>555</v>
      </c>
      <c r="J47" s="113" t="s">
        <v>590</v>
      </c>
    </row>
    <row r="48" customFormat="false" ht="15" hidden="false" customHeight="true" outlineLevel="0" collapsed="false">
      <c r="A48" s="129" t="n">
        <v>35</v>
      </c>
      <c r="B48" s="126" t="s">
        <v>172</v>
      </c>
      <c r="C48" s="129" t="s">
        <v>555</v>
      </c>
    </row>
    <row r="49" customFormat="false" ht="15" hidden="false" customHeight="true" outlineLevel="0" collapsed="false">
      <c r="A49" s="129" t="n">
        <v>36</v>
      </c>
      <c r="B49" s="111" t="s">
        <v>173</v>
      </c>
      <c r="C49" s="129" t="s">
        <v>555</v>
      </c>
      <c r="J49" s="113" t="s">
        <v>591</v>
      </c>
    </row>
    <row r="50" customFormat="false" ht="15" hidden="false" customHeight="true" outlineLevel="0" collapsed="false">
      <c r="A50" s="129" t="n">
        <v>37</v>
      </c>
      <c r="B50" s="126" t="s">
        <v>174</v>
      </c>
      <c r="C50" s="129" t="s">
        <v>555</v>
      </c>
      <c r="I50" s="130" t="str">
        <f aca="false">IF('T-12 Analysis'!P96&gt;70,"⚠ likely leak — inspect","ok")</f>
        <v>ok</v>
      </c>
      <c r="J50" s="113" t="s">
        <v>592</v>
      </c>
    </row>
    <row r="51" customFormat="false" ht="15" hidden="false" customHeight="true" outlineLevel="0" collapsed="false">
      <c r="A51" s="129" t="n">
        <v>38</v>
      </c>
      <c r="B51" s="111" t="s">
        <v>175</v>
      </c>
      <c r="C51" s="129" t="s">
        <v>555</v>
      </c>
    </row>
    <row r="52" customFormat="false" ht="15" hidden="false" customHeight="true" outlineLevel="0" collapsed="false">
      <c r="A52" s="129" t="n">
        <v>39</v>
      </c>
      <c r="B52" s="126" t="s">
        <v>176</v>
      </c>
      <c r="C52" s="129" t="s">
        <v>555</v>
      </c>
      <c r="J52" s="113" t="s">
        <v>593</v>
      </c>
    </row>
    <row r="54" customFormat="false" ht="21.75" hidden="false" customHeight="true" outlineLevel="0" collapsed="false">
      <c r="A54" s="128" t="s">
        <v>594</v>
      </c>
      <c r="B54" s="128"/>
      <c r="C54" s="128"/>
      <c r="D54" s="128"/>
      <c r="E54" s="128"/>
      <c r="F54" s="128"/>
      <c r="G54" s="128"/>
      <c r="H54" s="128"/>
      <c r="I54" s="128"/>
      <c r="J54" s="128"/>
    </row>
    <row r="55" customFormat="false" ht="15" hidden="false" customHeight="true" outlineLevel="0" collapsed="false">
      <c r="A55" s="129" t="n">
        <v>40</v>
      </c>
      <c r="B55" s="126" t="s">
        <v>177</v>
      </c>
      <c r="C55" s="129" t="s">
        <v>555</v>
      </c>
      <c r="J55" s="113" t="s">
        <v>595</v>
      </c>
    </row>
    <row r="56" customFormat="false" ht="15" hidden="false" customHeight="true" outlineLevel="0" collapsed="false">
      <c r="A56" s="129" t="n">
        <v>41</v>
      </c>
      <c r="B56" s="126" t="s">
        <v>178</v>
      </c>
      <c r="C56" s="129" t="s">
        <v>555</v>
      </c>
      <c r="J56" s="113" t="s">
        <v>596</v>
      </c>
    </row>
    <row r="57" customFormat="false" ht="15" hidden="false" customHeight="true" outlineLevel="0" collapsed="false">
      <c r="A57" s="129" t="n">
        <v>42</v>
      </c>
      <c r="B57" s="111" t="s">
        <v>179</v>
      </c>
      <c r="C57" s="129" t="s">
        <v>555</v>
      </c>
      <c r="J57" s="113" t="s">
        <v>597</v>
      </c>
    </row>
    <row r="58" customFormat="false" ht="15" hidden="false" customHeight="true" outlineLevel="0" collapsed="false">
      <c r="A58" s="129" t="n">
        <v>43</v>
      </c>
      <c r="B58" s="111" t="s">
        <v>180</v>
      </c>
      <c r="C58" s="129" t="s">
        <v>555</v>
      </c>
      <c r="J58" s="113" t="s">
        <v>598</v>
      </c>
    </row>
    <row r="59" customFormat="false" ht="15" hidden="false" customHeight="true" outlineLevel="0" collapsed="false">
      <c r="A59" s="129" t="n">
        <v>44</v>
      </c>
      <c r="B59" s="111" t="s">
        <v>181</v>
      </c>
      <c r="C59" s="129" t="s">
        <v>555</v>
      </c>
    </row>
    <row r="60" customFormat="false" ht="15" hidden="false" customHeight="true" outlineLevel="0" collapsed="false">
      <c r="A60" s="129" t="n">
        <v>45</v>
      </c>
      <c r="B60" s="111" t="s">
        <v>182</v>
      </c>
      <c r="C60" s="129" t="s">
        <v>555</v>
      </c>
    </row>
    <row r="61" customFormat="false" ht="15" hidden="false" customHeight="true" outlineLevel="0" collapsed="false">
      <c r="A61" s="129" t="n">
        <v>46</v>
      </c>
      <c r="B61" s="126" t="s">
        <v>183</v>
      </c>
      <c r="C61" s="129" t="s">
        <v>555</v>
      </c>
      <c r="J61" s="113" t="s">
        <v>599</v>
      </c>
    </row>
    <row r="62" customFormat="false" ht="15" hidden="false" customHeight="true" outlineLevel="0" collapsed="false">
      <c r="A62" s="129" t="n">
        <v>47</v>
      </c>
      <c r="B62" s="126" t="s">
        <v>184</v>
      </c>
      <c r="C62" s="129" t="s">
        <v>555</v>
      </c>
      <c r="J62" s="113" t="s">
        <v>600</v>
      </c>
    </row>
    <row r="63" customFormat="false" ht="15" hidden="false" customHeight="true" outlineLevel="0" collapsed="false">
      <c r="A63" s="129" t="n">
        <v>48</v>
      </c>
      <c r="B63" s="111" t="s">
        <v>185</v>
      </c>
      <c r="C63" s="129" t="s">
        <v>555</v>
      </c>
    </row>
    <row r="64" customFormat="false" ht="15" hidden="false" customHeight="true" outlineLevel="0" collapsed="false">
      <c r="A64" s="129" t="n">
        <v>49</v>
      </c>
      <c r="B64" s="111" t="s">
        <v>186</v>
      </c>
      <c r="C64" s="129" t="s">
        <v>555</v>
      </c>
    </row>
    <row r="66" customFormat="false" ht="21.75" hidden="false" customHeight="true" outlineLevel="0" collapsed="false">
      <c r="A66" s="128" t="s">
        <v>601</v>
      </c>
      <c r="B66" s="128"/>
      <c r="C66" s="128"/>
      <c r="D66" s="128"/>
      <c r="E66" s="128"/>
      <c r="F66" s="128"/>
      <c r="G66" s="128"/>
      <c r="H66" s="128"/>
      <c r="I66" s="128"/>
      <c r="J66" s="128"/>
    </row>
    <row r="67" customFormat="false" ht="15" hidden="false" customHeight="true" outlineLevel="0" collapsed="false">
      <c r="A67" s="129" t="n">
        <v>50</v>
      </c>
      <c r="B67" s="126" t="s">
        <v>187</v>
      </c>
      <c r="C67" s="129" t="s">
        <v>555</v>
      </c>
    </row>
    <row r="68" customFormat="false" ht="15" hidden="false" customHeight="true" outlineLevel="0" collapsed="false">
      <c r="A68" s="129" t="n">
        <v>51</v>
      </c>
      <c r="B68" s="126" t="s">
        <v>188</v>
      </c>
      <c r="C68" s="129" t="s">
        <v>555</v>
      </c>
    </row>
    <row r="69" customFormat="false" ht="15" hidden="false" customHeight="true" outlineLevel="0" collapsed="false">
      <c r="A69" s="129" t="n">
        <v>52</v>
      </c>
      <c r="B69" s="126" t="s">
        <v>189</v>
      </c>
      <c r="C69" s="129" t="s">
        <v>555</v>
      </c>
    </row>
    <row r="70" customFormat="false" ht="15" hidden="false" customHeight="true" outlineLevel="0" collapsed="false">
      <c r="A70" s="129" t="n">
        <v>53</v>
      </c>
      <c r="B70" s="126" t="s">
        <v>190</v>
      </c>
      <c r="C70" s="129" t="s">
        <v>555</v>
      </c>
    </row>
    <row r="71" customFormat="false" ht="15" hidden="false" customHeight="true" outlineLevel="0" collapsed="false">
      <c r="A71" s="129" t="n">
        <v>54</v>
      </c>
      <c r="B71" s="126" t="s">
        <v>191</v>
      </c>
      <c r="C71" s="129" t="s">
        <v>555</v>
      </c>
    </row>
    <row r="72" customFormat="false" ht="15" hidden="false" customHeight="true" outlineLevel="0" collapsed="false">
      <c r="A72" s="129" t="n">
        <v>55</v>
      </c>
      <c r="B72" s="126" t="s">
        <v>192</v>
      </c>
      <c r="C72" s="129" t="s">
        <v>555</v>
      </c>
    </row>
    <row r="73" customFormat="false" ht="15" hidden="false" customHeight="true" outlineLevel="0" collapsed="false">
      <c r="A73" s="129" t="n">
        <v>56</v>
      </c>
      <c r="B73" s="111" t="s">
        <v>193</v>
      </c>
      <c r="C73" s="129" t="s">
        <v>555</v>
      </c>
      <c r="J73" s="113" t="s">
        <v>602</v>
      </c>
    </row>
    <row r="75" customFormat="false" ht="21.75" hidden="false" customHeight="true" outlineLevel="0" collapsed="false">
      <c r="A75" s="128" t="s">
        <v>603</v>
      </c>
      <c r="B75" s="128"/>
      <c r="C75" s="128"/>
      <c r="D75" s="128"/>
      <c r="E75" s="128"/>
      <c r="F75" s="128"/>
      <c r="G75" s="128"/>
      <c r="H75" s="128"/>
      <c r="I75" s="128"/>
      <c r="J75" s="128"/>
    </row>
    <row r="76" customFormat="false" ht="15" hidden="false" customHeight="true" outlineLevel="0" collapsed="false">
      <c r="A76" s="129" t="n">
        <v>57</v>
      </c>
      <c r="B76" s="111" t="s">
        <v>194</v>
      </c>
      <c r="C76" s="129" t="s">
        <v>555</v>
      </c>
      <c r="J76" s="113" t="s">
        <v>604</v>
      </c>
    </row>
    <row r="77" customFormat="false" ht="15" hidden="false" customHeight="true" outlineLevel="0" collapsed="false">
      <c r="A77" s="129" t="n">
        <v>58</v>
      </c>
      <c r="B77" s="111" t="s">
        <v>195</v>
      </c>
      <c r="C77" s="129" t="s">
        <v>555</v>
      </c>
      <c r="J77" s="113" t="s">
        <v>605</v>
      </c>
    </row>
    <row r="78" customFormat="false" ht="15" hidden="false" customHeight="true" outlineLevel="0" collapsed="false">
      <c r="A78" s="129" t="n">
        <v>59</v>
      </c>
      <c r="B78" s="111" t="s">
        <v>196</v>
      </c>
      <c r="C78" s="129" t="s">
        <v>555</v>
      </c>
    </row>
    <row r="79" customFormat="false" ht="15" hidden="false" customHeight="true" outlineLevel="0" collapsed="false">
      <c r="A79" s="129" t="n">
        <v>60</v>
      </c>
      <c r="B79" s="111" t="s">
        <v>197</v>
      </c>
      <c r="C79" s="129" t="s">
        <v>555</v>
      </c>
    </row>
    <row r="80" customFormat="false" ht="15" hidden="false" customHeight="true" outlineLevel="0" collapsed="false">
      <c r="A80" s="129" t="n">
        <v>61</v>
      </c>
      <c r="B80" s="111" t="s">
        <v>198</v>
      </c>
      <c r="C80" s="129" t="s">
        <v>555</v>
      </c>
      <c r="J80" s="113" t="s">
        <v>606</v>
      </c>
    </row>
    <row r="81" customFormat="false" ht="15" hidden="false" customHeight="true" outlineLevel="0" collapsed="false">
      <c r="A81" s="129" t="n">
        <v>62</v>
      </c>
      <c r="B81" s="111" t="s">
        <v>199</v>
      </c>
      <c r="C81" s="129" t="s">
        <v>555</v>
      </c>
    </row>
    <row r="82" customFormat="false" ht="15" hidden="false" customHeight="true" outlineLevel="0" collapsed="false">
      <c r="A82" s="129" t="n">
        <v>63</v>
      </c>
      <c r="B82" s="111" t="s">
        <v>200</v>
      </c>
      <c r="C82" s="129" t="s">
        <v>555</v>
      </c>
    </row>
    <row r="84" customFormat="false" ht="21.75" hidden="false" customHeight="true" outlineLevel="0" collapsed="false">
      <c r="A84" s="128" t="s">
        <v>607</v>
      </c>
      <c r="B84" s="128"/>
      <c r="C84" s="128"/>
      <c r="D84" s="128"/>
      <c r="E84" s="128"/>
      <c r="F84" s="128"/>
      <c r="G84" s="128"/>
      <c r="H84" s="128"/>
      <c r="I84" s="128"/>
      <c r="J84" s="128"/>
    </row>
    <row r="85" customFormat="false" ht="15" hidden="false" customHeight="true" outlineLevel="0" collapsed="false">
      <c r="A85" s="129" t="n">
        <v>64</v>
      </c>
      <c r="B85" s="111" t="s">
        <v>201</v>
      </c>
      <c r="C85" s="129" t="s">
        <v>555</v>
      </c>
      <c r="J85" s="113" t="s">
        <v>608</v>
      </c>
    </row>
    <row r="86" customFormat="false" ht="15" hidden="false" customHeight="true" outlineLevel="0" collapsed="false">
      <c r="A86" s="129" t="n">
        <v>65</v>
      </c>
      <c r="B86" s="111" t="s">
        <v>202</v>
      </c>
      <c r="C86" s="129" t="s">
        <v>555</v>
      </c>
      <c r="J86" s="113" t="s">
        <v>609</v>
      </c>
    </row>
    <row r="87" customFormat="false" ht="15" hidden="false" customHeight="true" outlineLevel="0" collapsed="false">
      <c r="A87" s="129" t="n">
        <v>66</v>
      </c>
      <c r="B87" s="111" t="s">
        <v>203</v>
      </c>
      <c r="C87" s="129" t="s">
        <v>555</v>
      </c>
    </row>
    <row r="88" customFormat="false" ht="15" hidden="false" customHeight="true" outlineLevel="0" collapsed="false">
      <c r="A88" s="129" t="n">
        <v>67</v>
      </c>
      <c r="B88" s="126" t="s">
        <v>204</v>
      </c>
      <c r="C88" s="129" t="s">
        <v>555</v>
      </c>
      <c r="J88" s="113" t="s">
        <v>610</v>
      </c>
    </row>
    <row r="89" customFormat="false" ht="15" hidden="false" customHeight="true" outlineLevel="0" collapsed="false">
      <c r="A89" s="129" t="n">
        <v>68</v>
      </c>
      <c r="B89" s="111" t="s">
        <v>205</v>
      </c>
      <c r="C89" s="129" t="s">
        <v>555</v>
      </c>
      <c r="J89" s="113" t="s">
        <v>611</v>
      </c>
    </row>
    <row r="90" customFormat="false" ht="15" hidden="false" customHeight="true" outlineLevel="0" collapsed="false">
      <c r="A90" s="129" t="n">
        <v>69</v>
      </c>
      <c r="B90" s="111" t="s">
        <v>206</v>
      </c>
      <c r="C90" s="129" t="s">
        <v>555</v>
      </c>
      <c r="J90" s="113" t="s">
        <v>612</v>
      </c>
    </row>
    <row r="92" customFormat="false" ht="21.75" hidden="false" customHeight="true" outlineLevel="0" collapsed="false">
      <c r="A92" s="128" t="s">
        <v>613</v>
      </c>
      <c r="B92" s="128"/>
      <c r="C92" s="128"/>
      <c r="D92" s="128"/>
      <c r="E92" s="128"/>
      <c r="F92" s="128"/>
      <c r="G92" s="128"/>
      <c r="H92" s="128"/>
      <c r="I92" s="128"/>
      <c r="J92" s="128"/>
    </row>
    <row r="93" customFormat="false" ht="15" hidden="false" customHeight="true" outlineLevel="0" collapsed="false">
      <c r="A93" s="129" t="n">
        <v>70</v>
      </c>
      <c r="B93" s="126" t="s">
        <v>207</v>
      </c>
      <c r="C93" s="129" t="s">
        <v>555</v>
      </c>
    </row>
    <row r="94" customFormat="false" ht="15" hidden="false" customHeight="true" outlineLevel="0" collapsed="false">
      <c r="A94" s="129" t="n">
        <v>71</v>
      </c>
      <c r="B94" s="126" t="s">
        <v>208</v>
      </c>
      <c r="C94" s="129" t="s">
        <v>555</v>
      </c>
    </row>
    <row r="95" customFormat="false" ht="15" hidden="false" customHeight="true" outlineLevel="0" collapsed="false">
      <c r="A95" s="129" t="n">
        <v>72</v>
      </c>
      <c r="B95" s="126" t="s">
        <v>209</v>
      </c>
      <c r="C95" s="129" t="s">
        <v>555</v>
      </c>
    </row>
    <row r="96" customFormat="false" ht="15" hidden="false" customHeight="true" outlineLevel="0" collapsed="false">
      <c r="A96" s="129" t="n">
        <v>73</v>
      </c>
      <c r="B96" s="111" t="s">
        <v>210</v>
      </c>
      <c r="C96" s="129" t="s">
        <v>555</v>
      </c>
    </row>
    <row r="97" customFormat="false" ht="15" hidden="false" customHeight="true" outlineLevel="0" collapsed="false">
      <c r="A97" s="129" t="n">
        <v>74</v>
      </c>
      <c r="B97" s="111" t="s">
        <v>211</v>
      </c>
      <c r="C97" s="129" t="s">
        <v>555</v>
      </c>
      <c r="J97" s="113" t="s">
        <v>614</v>
      </c>
    </row>
  </sheetData>
  <mergeCells count="10">
    <mergeCell ref="A1:J1"/>
    <mergeCell ref="A7:J7"/>
    <mergeCell ref="A18:J18"/>
    <mergeCell ref="A29:J29"/>
    <mergeCell ref="A44:J44"/>
    <mergeCell ref="A54:J54"/>
    <mergeCell ref="A66:J66"/>
    <mergeCell ref="A75:J75"/>
    <mergeCell ref="A84:J84"/>
    <mergeCell ref="A92:J92"/>
  </mergeCells>
  <conditionalFormatting sqref="C7:C97">
    <cfRule type="cellIs" priority="2" operator="equal" aboveAverage="0" equalAverage="0" bottom="0" percent="0" rank="0" text="" dxfId="0">
      <formula>"Complete"</formula>
    </cfRule>
    <cfRule type="cellIs" priority="3" operator="equal" aboveAverage="0" equalAverage="0" bottom="0" percent="0" rank="0" text="" dxfId="1">
      <formula>"In Review"</formula>
    </cfRule>
    <cfRule type="cellIs" priority="4" operator="equal" aboveAverage="0" equalAverage="0" bottom="0" percent="0" rank="0" text="" dxfId="2">
      <formula>"Received"</formula>
    </cfRule>
    <cfRule type="cellIs" priority="5" operator="equal" aboveAverage="0" equalAverage="0" bottom="0" percent="0" rank="0" text="" dxfId="3">
      <formula>"Issue"</formula>
    </cfRule>
    <cfRule type="cellIs" priority="6" operator="equal" aboveAverage="0" equalAverage="0" bottom="0" percent="0" rank="0" text="" dxfId="4">
      <formula>"Not Requested"</formula>
    </cfRule>
  </conditionalFormatting>
  <dataValidations count="2">
    <dataValidation allowBlank="true" error="Use the dropdown" errorStyle="stop" errorTitle="Invalid status" operator="between" showDropDown="false" showErrorMessage="false" showInputMessage="false" sqref="C8:C16 C19:C27 C30:C42 C45:C52 C55:C64 C67:C73 C76:C82 C85:C90 C93:C97" type="list">
      <formula1>"Not Requested,Requested,Received,In Review,Complete,N/A,Issue"</formula1>
      <formula2>0</formula2>
    </dataValidation>
    <dataValidation allowBlank="true" errorStyle="stop" operator="between" showDropDown="false" showErrorMessage="false" showInputMessage="false" sqref="G8:G16 G19:G27 G30:G42 G45:G52 G55:G64 G67:G73 G76:G82 G85:G90 G93:G97" type="list">
      <formula1>"PDF,Excel,CSV,Word,Image,Email,Verbal,Other"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1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1" ySplit="4" topLeftCell="B100" activePane="bottomRight" state="frozen"/>
      <selection pane="topLeft" activeCell="A1" activeCellId="0" sqref="A1"/>
      <selection pane="topRight" activeCell="B1" activeCellId="0" sqref="B1"/>
      <selection pane="bottomLeft" activeCell="A100" activeCellId="0" sqref="A100"/>
      <selection pane="bottomRight" activeCell="B120" activeCellId="0" sqref="B120"/>
    </sheetView>
  </sheetViews>
  <sheetFormatPr defaultColWidth="8.859375" defaultRowHeight="15" customHeight="false" zeroHeight="false" outlineLevelRow="1" outlineLevelCol="0"/>
  <cols>
    <col collapsed="false" customWidth="true" hidden="false" outlineLevel="0" max="1" min="1" style="131" width="49.42"/>
    <col collapsed="false" customWidth="true" hidden="false" outlineLevel="0" max="5" min="2" style="132" width="18"/>
    <col collapsed="false" customWidth="true" hidden="false" outlineLevel="0" max="6" min="6" style="132" width="16"/>
    <col collapsed="false" customWidth="true" hidden="false" outlineLevel="0" max="7" min="7" style="0" width="22"/>
    <col collapsed="false" customWidth="true" hidden="false" outlineLevel="0" max="8" min="8" style="0" width="40.29"/>
    <col collapsed="false" customWidth="true" hidden="false" outlineLevel="0" max="9" min="9" style="0" width="14"/>
    <col collapsed="false" customWidth="true" hidden="false" outlineLevel="0" max="10" min="10" style="0" width="16"/>
  </cols>
  <sheetData>
    <row r="1" customFormat="false" ht="15.75" hidden="false" customHeight="true" outlineLevel="0" collapsed="false">
      <c r="A1" s="133" t="str">
        <f aca="false">IF('Prop Info'!B4="","SIDE-BY-SIDE SCENARIO ANALYSIS  —  ""The 10-Minute Offer""","SIDE-BY-SIDE SCENARIO ANALYSIS  —  ""The 10-Minute Offer"""&amp;" — "&amp;'Prop Info'!B4)</f>
        <v>SIDE-BY-SIDE SCENARIO ANALYSIS  —  "The 10-Minute Offer"</v>
      </c>
      <c r="B1" s="133"/>
      <c r="C1" s="133"/>
      <c r="D1" s="133"/>
      <c r="E1" s="133"/>
      <c r="F1" s="133"/>
      <c r="G1" s="133"/>
      <c r="H1" s="133"/>
    </row>
    <row r="2" customFormat="false" ht="15" hidden="false" customHeight="true" outlineLevel="0" collapsed="false">
      <c r="A2" s="134" t="s">
        <v>615</v>
      </c>
      <c r="B2" s="135" t="s">
        <v>616</v>
      </c>
    </row>
    <row r="3" customFormat="false" ht="15" hidden="false" customHeight="true" outlineLevel="0" collapsed="false">
      <c r="A3" s="93" t="s">
        <v>617</v>
      </c>
      <c r="B3" s="93"/>
      <c r="C3" s="93"/>
      <c r="D3" s="93"/>
      <c r="E3" s="93"/>
      <c r="F3" s="93"/>
      <c r="G3" s="93"/>
      <c r="H3" s="93"/>
    </row>
    <row r="4" customFormat="false" ht="24" hidden="false" customHeight="true" outlineLevel="0" collapsed="false">
      <c r="A4" s="31" t="s">
        <v>618</v>
      </c>
      <c r="B4" s="136" t="s">
        <v>616</v>
      </c>
      <c r="C4" s="136" t="s">
        <v>619</v>
      </c>
      <c r="D4" s="136" t="s">
        <v>620</v>
      </c>
      <c r="E4" s="136" t="s">
        <v>621</v>
      </c>
      <c r="F4" s="137" t="s">
        <v>622</v>
      </c>
      <c r="G4" s="42" t="s">
        <v>623</v>
      </c>
      <c r="H4" s="31" t="s">
        <v>624</v>
      </c>
    </row>
    <row r="5" customFormat="false" ht="15" hidden="false" customHeight="true" outlineLevel="0" collapsed="false">
      <c r="A5" s="138" t="s">
        <v>625</v>
      </c>
      <c r="B5" s="139"/>
      <c r="C5" s="139"/>
      <c r="D5" s="139"/>
      <c r="E5" s="139"/>
      <c r="F5" s="139"/>
      <c r="G5" s="140"/>
      <c r="H5" s="140"/>
    </row>
    <row r="6" customFormat="false" ht="15" hidden="false" customHeight="true" outlineLevel="1" collapsed="false">
      <c r="A6" s="141" t="s">
        <v>626</v>
      </c>
      <c r="B6" s="142"/>
      <c r="C6" s="143" t="str">
        <f aca="false">IFERROR(IF((B6)=0,"",(B6)),"")</f>
        <v/>
      </c>
      <c r="D6" s="143" t="str">
        <f aca="false">IFERROR(IF((C6)=0,"",(C6)),"")</f>
        <v/>
      </c>
      <c r="E6" s="143" t="str">
        <f aca="false">IFERROR(IF((D6)=0,"",(D6)),"")</f>
        <v/>
      </c>
      <c r="F6" s="144" t="str">
        <f aca="false">IFERROR(IF((CHOOSE(MATCH(B$2,{"1. T-12 Actuals","2. My Version","3. Projected","4. Offer"},0),B6,C6,D6,E6))=0,"",(CHOOSE(MATCH(B$2,{"1. T-12 Actuals","2. My Version","3. Projected","4. Offer"},0),B6,C6,D6,E6))),"")</f>
        <v/>
      </c>
      <c r="G6" s="144" t="str">
        <f aca="false">IFERROR(IF((B6/Units)=0,"",(B6/Units)),"")</f>
        <v/>
      </c>
      <c r="H6" s="45" t="s">
        <v>627</v>
      </c>
    </row>
    <row r="7" customFormat="false" ht="15" hidden="false" customHeight="true" outlineLevel="1" collapsed="false">
      <c r="A7" s="145" t="s">
        <v>628</v>
      </c>
      <c r="B7" s="146"/>
      <c r="C7" s="147" t="str">
        <f aca="false">IFERROR(IF((B7)=0,"",(B7)),"")</f>
        <v/>
      </c>
      <c r="D7" s="148" t="str">
        <f aca="false">IFERROR(IF((C7)=0,"",(C7)),"")</f>
        <v/>
      </c>
      <c r="E7" s="148" t="str">
        <f aca="false">IFERROR(IF((D7)=0,"",(D7)),"")</f>
        <v/>
      </c>
      <c r="F7" s="144" t="str">
        <f aca="false">IFERROR(IF((CHOOSE(MATCH(B$2,{"1. T-12 Actuals","2. My Version","3. Projected","4. Offer"},0),B7,C7,D7,E7))=0,"",(CHOOSE(MATCH(B$2,{"1. T-12 Actuals","2. My Version","3. Projected","4. Offer"},0),B7,C7,D7,E7))),"")</f>
        <v/>
      </c>
      <c r="G7" s="144" t="str">
        <f aca="false">IFERROR(IF((B7/Units)=0,"",(B7/Units)),"")</f>
        <v/>
      </c>
      <c r="H7" s="149" t="s">
        <v>629</v>
      </c>
    </row>
    <row r="8" customFormat="false" ht="15" hidden="false" customHeight="true" outlineLevel="1" collapsed="false">
      <c r="A8" s="150" t="s">
        <v>369</v>
      </c>
      <c r="B8" s="151" t="str">
        <f aca="false">IFERROR(IF(('Prop Info'!B6)=0,"",('Prop Info'!B6)),"")</f>
        <v/>
      </c>
      <c r="C8" s="152" t="str">
        <f aca="false">IFERROR(IF((Units)=0,"",(Units)),"")</f>
        <v/>
      </c>
      <c r="D8" s="152" t="str">
        <f aca="false">IFERROR(IF((C8)=0,"",(C8)),"")</f>
        <v/>
      </c>
      <c r="E8" s="152" t="str">
        <f aca="false">IFERROR(IF((D8)=0,"",(D8)),"")</f>
        <v/>
      </c>
      <c r="F8" s="153" t="str">
        <f aca="false">IFERROR(IF((CHOOSE(MATCH(B$2,{"1. T-12 Actuals","2. My Version","3. Projected","4. Offer"},0),B8,C8,D8,E8))=0,"",(CHOOSE(MATCH(B$2,{"1. T-12 Actuals","2. My Version","3. Projected","4. Offer"},0),B8,C8,D8,E8))),"")</f>
        <v/>
      </c>
      <c r="G8" s="154" t="str">
        <f aca="false">IFERROR(IF(('Prop Info'!$B$6)=0,"",('Prop Info'!$B$6)),"")</f>
        <v/>
      </c>
      <c r="H8" s="45" t="s">
        <v>630</v>
      </c>
    </row>
    <row r="9" customFormat="false" ht="15" hidden="false" customHeight="true" outlineLevel="1" collapsed="false">
      <c r="A9" s="145" t="s">
        <v>17</v>
      </c>
      <c r="B9" s="148" t="str">
        <f aca="false">IFERROR(IF((IFERROR(B7/B8,0))=0,"",(IFERROR(B7/B8,0))),"")</f>
        <v/>
      </c>
      <c r="C9" s="148" t="str">
        <f aca="false">IFERROR(IF((IFERROR(C7/C8,0))=0,"",(IFERROR(C7/C8,0))),"")</f>
        <v/>
      </c>
      <c r="D9" s="148" t="str">
        <f aca="false">IFERROR(IF((IFERROR(D7/D8,0))=0,"",(IFERROR(D7/D8,0))),"")</f>
        <v/>
      </c>
      <c r="E9" s="148" t="str">
        <f aca="false">IFERROR(IF((IFERROR(E7/E8,0))=0,"",(IFERROR(E7/E8,0))),"")</f>
        <v/>
      </c>
      <c r="F9" s="144" t="str">
        <f aca="false">IFERROR(IF((CHOOSE(MATCH(B$2,{"1. T-12 Actuals","2. My Version","3. Projected","4. Offer"},0),B9,C9,D9,E9))=0,"",(CHOOSE(MATCH(B$2,{"1. T-12 Actuals","2. My Version","3. Projected","4. Offer"},0),B9,C9,D9,E9))),"")</f>
        <v/>
      </c>
      <c r="G9" s="155" t="str">
        <f aca="false">IFERROR(IF((IFERROR(F7/'Prop Info'!$B$6,0))=0,"",(IFERROR(F7/'Prop Info'!$B$6,0))),"")</f>
        <v/>
      </c>
      <c r="H9" s="149" t="s">
        <v>631</v>
      </c>
    </row>
    <row r="10" customFormat="false" ht="15" hidden="false" customHeight="true" outlineLevel="1" collapsed="false">
      <c r="A10" s="141" t="s">
        <v>29</v>
      </c>
      <c r="B10" s="156" t="n">
        <v>0.2</v>
      </c>
      <c r="C10" s="157" t="n">
        <f aca="false">IFERROR(IF((B10)=0,"",(B10)),"")</f>
        <v>0.2</v>
      </c>
      <c r="D10" s="158" t="n">
        <f aca="false">IFERROR(IF((C10)=0,"",(C10)),"")</f>
        <v>0.2</v>
      </c>
      <c r="E10" s="158" t="n">
        <f aca="false">IFERROR(IF((D10)=0,"",(D10)),"")</f>
        <v>0.2</v>
      </c>
      <c r="F10" s="159" t="n">
        <f aca="false">IFERROR(IF((CHOOSE(MATCH(B$2,{"1. T-12 Actuals","2. My Version","3. Projected","4. Offer"},0),B10,C10,D10,E10))=0,"",(CHOOSE(MATCH(B$2,{"1. T-12 Actuals","2. My Version","3. Projected","4. Offer"},0),B10,C10,D10,E10))),"")</f>
        <v>0.2</v>
      </c>
      <c r="G10" s="159"/>
      <c r="H10" s="45" t="s">
        <v>632</v>
      </c>
    </row>
    <row r="11" customFormat="false" ht="15" hidden="false" customHeight="true" outlineLevel="1" collapsed="false">
      <c r="A11" s="145" t="s">
        <v>633</v>
      </c>
      <c r="B11" s="148" t="str">
        <f aca="false">IFERROR(IF((B10*B7)=0,"",(B10*B7)),"")</f>
        <v/>
      </c>
      <c r="C11" s="148" t="str">
        <f aca="false">IFERROR(IF((C10*C7)=0,"",(C10*C7)),"")</f>
        <v/>
      </c>
      <c r="D11" s="148" t="str">
        <f aca="false">IFERROR(IF((D10*D7)=0,"",(D10*D7)),"")</f>
        <v/>
      </c>
      <c r="E11" s="148" t="str">
        <f aca="false">IFERROR(IF((E10*E7)=0,"",(E10*E7)),"")</f>
        <v/>
      </c>
      <c r="F11" s="144" t="str">
        <f aca="false">IFERROR(IF((CHOOSE(MATCH(B$2,{"1. T-12 Actuals","2. My Version","3. Projected","4. Offer"},0),B11,C11,D11,E11))=0,"",(CHOOSE(MATCH(B$2,{"1. T-12 Actuals","2. My Version","3. Projected","4. Offer"},0),B11,C11,D11,E11))),"")</f>
        <v/>
      </c>
      <c r="G11" s="144"/>
      <c r="H11" s="149" t="s">
        <v>634</v>
      </c>
    </row>
    <row r="12" customFormat="false" ht="15" hidden="false" customHeight="true" outlineLevel="1" collapsed="false">
      <c r="A12" s="141" t="s">
        <v>635</v>
      </c>
      <c r="B12" s="160" t="str">
        <f aca="false">IFERROR(IF((Capex!$D$51)=0,"",(Capex!$D$51)),"")</f>
        <v/>
      </c>
      <c r="C12" s="160" t="str">
        <f aca="false">IFERROR(IF((Capex!$D$51)=0,"",(Capex!$D$51)),"")</f>
        <v/>
      </c>
      <c r="D12" s="160" t="str">
        <f aca="false">IFERROR(IF((Capex!$D$51)=0,"",(Capex!$D$51)),"")</f>
        <v/>
      </c>
      <c r="E12" s="160" t="str">
        <f aca="false">IFERROR(IF((Capex!$D$51)=0,"",(Capex!$D$51)),"")</f>
        <v/>
      </c>
      <c r="F12" s="144" t="str">
        <f aca="false">IFERROR(IF((CHOOSE(MATCH(B$2,{"1. T-12 Actuals","2. My Version","3. Projected","4. Offer"},0),B12,C12,D12,E12))=0,"",(CHOOSE(MATCH(B$2,{"1. T-12 Actuals","2. My Version","3. Projected","4. Offer"},0),B12,C12,D12,E12))),"")</f>
        <v/>
      </c>
      <c r="G12" s="144"/>
      <c r="H12" s="45" t="s">
        <v>636</v>
      </c>
    </row>
    <row r="13" customFormat="false" ht="15" hidden="false" customHeight="true" outlineLevel="1" collapsed="false">
      <c r="A13" s="145" t="s">
        <v>637</v>
      </c>
      <c r="B13" s="148" t="str">
        <f aca="false">IFERROR(IF(((B70/12)*G13)=0,"",((B70/12)*G13)),"")</f>
        <v/>
      </c>
      <c r="C13" s="148" t="str">
        <f aca="false">IFERROR(IF(((C70/12)*3)=0,"",((C70/12)*3)),"")</f>
        <v/>
      </c>
      <c r="D13" s="148" t="str">
        <f aca="false">IFERROR(IF(((D70/12)*3)=0,"",((D70/12)*3)),"")</f>
        <v/>
      </c>
      <c r="E13" s="148" t="str">
        <f aca="false">IFERROR(IF(((E70/12)*3)=0,"",((E70/12)*3)),"")</f>
        <v/>
      </c>
      <c r="F13" s="144" t="str">
        <f aca="false">IFERROR(IF((CHOOSE(MATCH(B$2,{"1. T-12 Actuals","2. My Version","3. Projected","4. Offer"},0),B13,C13,D13,E13))=0,"",(CHOOSE(MATCH(B$2,{"1. T-12 Actuals","2. My Version","3. Projected","4. Offer"},0),B13,C13,D13,E13))),"")</f>
        <v/>
      </c>
      <c r="G13" s="161" t="n">
        <v>1</v>
      </c>
      <c r="H13" s="149" t="s">
        <v>638</v>
      </c>
      <c r="I13" s="162"/>
    </row>
    <row r="14" customFormat="false" ht="15" hidden="false" customHeight="true" outlineLevel="1" collapsed="false">
      <c r="A14" s="141" t="s">
        <v>639</v>
      </c>
      <c r="B14" s="160" t="str">
        <f aca="false">IFERROR(IF(('Acquisition Costs'!$D$35)=0,"",('Acquisition Costs'!$D$35)),"")</f>
        <v/>
      </c>
      <c r="C14" s="160" t="str">
        <f aca="false">IFERROR(IF(('Acquisition Costs'!$D$35)=0,"",('Acquisition Costs'!$D$35)),"")</f>
        <v/>
      </c>
      <c r="D14" s="160" t="str">
        <f aca="false">IFERROR(IF(('Acquisition Costs'!$D$35)=0,"",('Acquisition Costs'!$D$35)),"")</f>
        <v/>
      </c>
      <c r="E14" s="160" t="str">
        <f aca="false">IFERROR(IF(('Acquisition Costs'!$D$35)=0,"",('Acquisition Costs'!$D$35)),"")</f>
        <v/>
      </c>
      <c r="F14" s="144" t="str">
        <f aca="false">IFERROR(IF((CHOOSE(MATCH(B$2,{"1. T-12 Actuals","2. My Version","3. Projected","4. Offer"},0),B14,C14,D14,E14))=0,"",(CHOOSE(MATCH(B$2,{"1. T-12 Actuals","2. My Version","3. Projected","4. Offer"},0),B14,C14,D14,E14))),"")</f>
        <v/>
      </c>
      <c r="G14" s="163" t="str">
        <f aca="false">IFERROR(IF((IFERROR(F14/F7,0))=0,"",(IFERROR(F14/F7,0))),"")</f>
        <v/>
      </c>
      <c r="H14" s="45" t="s">
        <v>640</v>
      </c>
    </row>
    <row r="15" customFormat="false" ht="15" hidden="false" customHeight="true" outlineLevel="1" collapsed="false">
      <c r="A15" s="145" t="s">
        <v>102</v>
      </c>
      <c r="B15" s="164" t="n">
        <v>0.02</v>
      </c>
      <c r="C15" s="165" t="n">
        <f aca="false">IFERROR(IF((B15)=0,"",(B15)),"")</f>
        <v>0.02</v>
      </c>
      <c r="D15" s="165" t="n">
        <f aca="false">IFERROR(IF((C15)=0,"",(C15)),"")</f>
        <v>0.02</v>
      </c>
      <c r="E15" s="165" t="n">
        <f aca="false">IFERROR(IF((D15)=0,"",(D15)),"")</f>
        <v>0.02</v>
      </c>
      <c r="F15" s="159" t="n">
        <f aca="false">IFERROR(IF((CHOOSE(MATCH(B$2,{"1. T-12 Actuals","2. My Version","3. Projected","4. Offer"},0),B15,C15,D15,E15))=0,"",(CHOOSE(MATCH(B$2,{"1. T-12 Actuals","2. My Version","3. Projected","4. Offer"},0),B15,C15,D15,E15))),"")</f>
        <v>0.02</v>
      </c>
      <c r="G15" s="159"/>
      <c r="H15" s="149" t="s">
        <v>641</v>
      </c>
    </row>
    <row r="16" customFormat="false" ht="15" hidden="false" customHeight="true" outlineLevel="1" collapsed="false">
      <c r="A16" s="141" t="s">
        <v>642</v>
      </c>
      <c r="B16" s="143" t="str">
        <f aca="false">IFERROR(IF((B15*B7)=0,"",(B15*B7)),"")</f>
        <v/>
      </c>
      <c r="C16" s="143" t="str">
        <f aca="false">IFERROR(IF((C15*C7)=0,"",(C15*C7)),"")</f>
        <v/>
      </c>
      <c r="D16" s="143" t="str">
        <f aca="false">IFERROR(IF((D15*D7)=0,"",(D15*D7)),"")</f>
        <v/>
      </c>
      <c r="E16" s="143" t="str">
        <f aca="false">IFERROR(IF((E15*E7)=0,"",(E15*E7)),"")</f>
        <v/>
      </c>
      <c r="F16" s="144" t="str">
        <f aca="false">IFERROR(IF((CHOOSE(MATCH(B$2,{"1. T-12 Actuals","2. My Version","3. Projected","4. Offer"},0),B16,C16,D16,E16))=0,"",(CHOOSE(MATCH(B$2,{"1. T-12 Actuals","2. My Version","3. Projected","4. Offer"},0),B16,C16,D16,E16))),"")</f>
        <v/>
      </c>
      <c r="G16" s="144"/>
      <c r="H16" s="45" t="s">
        <v>643</v>
      </c>
    </row>
    <row r="17" customFormat="false" ht="15" hidden="false" customHeight="true" outlineLevel="1" collapsed="false">
      <c r="A17" s="166" t="s">
        <v>644</v>
      </c>
      <c r="B17" s="167" t="str">
        <f aca="false">IFERROR(IF((B7+B12+B13+B14+B16)=0,"",(B7+B12+B13+B14+B16)),"")</f>
        <v/>
      </c>
      <c r="C17" s="167" t="str">
        <f aca="false">IFERROR(IF((C7+C12+C13+C14+C16)=0,"",(C7+C12+C13+C14+C16)),"")</f>
        <v/>
      </c>
      <c r="D17" s="167" t="str">
        <f aca="false">IFERROR(IF((D7+D12+D13+D14+D16)=0,"",(D7+D12+D13+D14+D16)),"")</f>
        <v/>
      </c>
      <c r="E17" s="167" t="str">
        <f aca="false">IFERROR(IF((E7+E12+E13+E14+E16)=0,"",(E7+E12+E13+E14+E16)),"")</f>
        <v/>
      </c>
      <c r="F17" s="168" t="str">
        <f aca="false">IFERROR(IF((CHOOSE(MATCH(B$2,{"1. T-12 Actuals","2. My Version","3. Projected","4. Offer"},0),B17,C17,D17,E17))=0,"",(CHOOSE(MATCH(B$2,{"1. T-12 Actuals","2. My Version","3. Projected","4. Offer"},0),B17,C17,D17,E17))),"")</f>
        <v/>
      </c>
      <c r="G17" s="168"/>
      <c r="H17" s="48" t="s">
        <v>645</v>
      </c>
    </row>
    <row r="18" customFormat="false" ht="15" hidden="false" customHeight="true" outlineLevel="1" collapsed="false"/>
    <row r="19" customFormat="false" ht="15" hidden="false" customHeight="true" outlineLevel="0" collapsed="false">
      <c r="A19" s="17" t="s">
        <v>646</v>
      </c>
      <c r="B19" s="17"/>
      <c r="C19" s="17"/>
      <c r="D19" s="17"/>
      <c r="E19" s="17"/>
      <c r="F19" s="17"/>
      <c r="G19" s="17"/>
      <c r="H19" s="17"/>
    </row>
    <row r="20" customFormat="false" ht="15" hidden="false" customHeight="true" outlineLevel="1" collapsed="false">
      <c r="A20" s="141" t="s">
        <v>647</v>
      </c>
      <c r="B20" s="143" t="str">
        <f aca="false">IFERROR(IF((B88)=0,"",(B88)),"")</f>
        <v/>
      </c>
      <c r="C20" s="143" t="str">
        <f aca="false">IFERROR(IF((C88)=0,"",(C88)),"")</f>
        <v/>
      </c>
      <c r="D20" s="143" t="str">
        <f aca="false">IFERROR(IF((D88)=0,"",(D88)),"")</f>
        <v/>
      </c>
      <c r="E20" s="143" t="str">
        <f aca="false">IFERROR(IF((E88)=0,"",(E88)),"")</f>
        <v/>
      </c>
      <c r="F20" s="144" t="str">
        <f aca="false">IFERROR(IF((CHOOSE(MATCH(B$2,{"1. T-12 Actuals","2. My Version","3. Projected","4. Offer"},0),B20,C20,D20,E20))=0,"",(CHOOSE(MATCH(B$2,{"1. T-12 Actuals","2. My Version","3. Projected","4. Offer"},0),B20,C20,D20,E20))),"")</f>
        <v/>
      </c>
      <c r="G20" s="169"/>
      <c r="H20" s="45" t="s">
        <v>648</v>
      </c>
    </row>
    <row r="21" customFormat="false" ht="15" hidden="false" customHeight="true" outlineLevel="1" collapsed="false">
      <c r="A21" s="145" t="s">
        <v>649</v>
      </c>
      <c r="B21" s="148" t="str">
        <f aca="false">IFERROR(IF((B95)=0,"",(B95)),"")</f>
        <v/>
      </c>
      <c r="C21" s="148" t="str">
        <f aca="false">IFERROR(IF((C95)=0,"",(C95)),"")</f>
        <v/>
      </c>
      <c r="D21" s="148" t="str">
        <f aca="false">IFERROR(IF((D95)=0,"",(D95)),"")</f>
        <v/>
      </c>
      <c r="E21" s="148" t="str">
        <f aca="false">IFERROR(IF((E95)=0,"",(E95)),"")</f>
        <v/>
      </c>
      <c r="F21" s="144" t="str">
        <f aca="false">IFERROR(IF((CHOOSE(MATCH(B$2,{"1. T-12 Actuals","2. My Version","3. Projected","4. Offer"},0),B21,C21,D21,E21))=0,"",(CHOOSE(MATCH(B$2,{"1. T-12 Actuals","2. My Version","3. Projected","4. Offer"},0),B21,C21,D21,E21))),"")</f>
        <v/>
      </c>
      <c r="G21" s="169"/>
      <c r="H21" s="149" t="s">
        <v>650</v>
      </c>
    </row>
    <row r="22" customFormat="false" ht="15" hidden="false" customHeight="true" outlineLevel="1" collapsed="false">
      <c r="A22" s="141" t="s">
        <v>651</v>
      </c>
      <c r="B22" s="143" t="str">
        <f aca="false">IFERROR(IF((B102)=0,"",(B102)),"")</f>
        <v/>
      </c>
      <c r="C22" s="143" t="str">
        <f aca="false">IFERROR(IF((C102)=0,"",(C102)),"")</f>
        <v/>
      </c>
      <c r="D22" s="143" t="str">
        <f aca="false">IFERROR(IF((D102)=0,"",(D102)),"")</f>
        <v/>
      </c>
      <c r="E22" s="143" t="str">
        <f aca="false">IFERROR(IF((E102)=0,"",(E102)),"")</f>
        <v/>
      </c>
      <c r="F22" s="144" t="str">
        <f aca="false">IFERROR(IF((CHOOSE(MATCH(B$2,{"1. T-12 Actuals","2. My Version","3. Projected","4. Offer"},0),B22,C22,D22,E22))=0,"",(CHOOSE(MATCH(B$2,{"1. T-12 Actuals","2. My Version","3. Projected","4. Offer"},0),B22,C22,D22,E22))),"")</f>
        <v/>
      </c>
      <c r="G22" s="169"/>
      <c r="H22" s="45" t="s">
        <v>652</v>
      </c>
    </row>
    <row r="23" customFormat="false" ht="15" hidden="false" customHeight="true" outlineLevel="1" collapsed="false">
      <c r="A23" s="166" t="s">
        <v>653</v>
      </c>
      <c r="B23" s="167" t="str">
        <f aca="false">IFERROR(IF((B20+B21+B22)=0,"",(B20+B21+B22)),"")</f>
        <v/>
      </c>
      <c r="C23" s="167" t="str">
        <f aca="false">IFERROR(IF((C20+C21+C22)=0,"",(C20+C21+C22)),"")</f>
        <v/>
      </c>
      <c r="D23" s="167" t="str">
        <f aca="false">IFERROR(IF((D20+D21+D22)=0,"",(D20+D21+D22)),"")</f>
        <v/>
      </c>
      <c r="E23" s="167" t="str">
        <f aca="false">IFERROR(IF((E20+E21+E22)=0,"",(E20+E21+E22)),"")</f>
        <v/>
      </c>
      <c r="F23" s="168" t="str">
        <f aca="false">IFERROR(IF((CHOOSE(MATCH(B$2,{"1. T-12 Actuals","2. My Version","3. Projected","4. Offer"},0),B23,C23,D23,E23))=0,"",(CHOOSE(MATCH(B$2,{"1. T-12 Actuals","2. My Version","3. Projected","4. Offer"},0),B23,C23,D23,E23))),"")</f>
        <v/>
      </c>
      <c r="G23" s="170"/>
      <c r="H23" s="48" t="s">
        <v>654</v>
      </c>
    </row>
    <row r="24" customFormat="false" ht="15" hidden="false" customHeight="true" outlineLevel="1" collapsed="false">
      <c r="A24" s="141" t="s">
        <v>655</v>
      </c>
      <c r="B24" s="158" t="str">
        <f aca="false">IFERROR(IF((IFERROR(B23/B7,0))=0,"",(IFERROR(B23/B7,0))),"")</f>
        <v/>
      </c>
      <c r="C24" s="158" t="str">
        <f aca="false">IFERROR(IF((IFERROR(C23/C7,0))=0,"",(IFERROR(C23/C7,0))),"")</f>
        <v/>
      </c>
      <c r="D24" s="158" t="str">
        <f aca="false">IFERROR(IF((IFERROR(D23/D7,0))=0,"",(IFERROR(D23/D7,0))),"")</f>
        <v/>
      </c>
      <c r="E24" s="158" t="str">
        <f aca="false">IFERROR(IF((IFERROR(E23/E7,0))=0,"",(IFERROR(E23/E7,0))),"")</f>
        <v/>
      </c>
      <c r="F24" s="159" t="str">
        <f aca="false">IFERROR(IF((CHOOSE(MATCH(B$2,{"1. T-12 Actuals","2. My Version","3. Projected","4. Offer"},0),B24,C24,D24,E24))=0,"",(CHOOSE(MATCH(B$2,{"1. T-12 Actuals","2. My Version","3. Projected","4. Offer"},0),B24,C24,D24,E24))),"")</f>
        <v/>
      </c>
      <c r="G24" s="171"/>
      <c r="H24" s="45" t="s">
        <v>656</v>
      </c>
    </row>
    <row r="25" customFormat="false" ht="15" hidden="false" customHeight="true" outlineLevel="1" collapsed="false">
      <c r="A25" s="145" t="s">
        <v>657</v>
      </c>
      <c r="B25" s="165" t="str">
        <f aca="false">IFERROR(IF((IFERROR(B23/B17,0))=0,"",(IFERROR(B23/B17,0))),"")</f>
        <v/>
      </c>
      <c r="C25" s="165" t="str">
        <f aca="false">IFERROR(IF((IFERROR(C23/C17,0))=0,"",(IFERROR(C23/C17,0))),"")</f>
        <v/>
      </c>
      <c r="D25" s="165" t="str">
        <f aca="false">IFERROR(IF((IFERROR(D23/D17,0))=0,"",(IFERROR(D23/D17,0))),"")</f>
        <v/>
      </c>
      <c r="E25" s="165" t="str">
        <f aca="false">IFERROR(IF((IFERROR(E23/E17,0))=0,"",(IFERROR(E23/E17,0))),"")</f>
        <v/>
      </c>
      <c r="F25" s="159" t="str">
        <f aca="false">IFERROR(IF((CHOOSE(MATCH(B$2,{"1. T-12 Actuals","2. My Version","3. Projected","4. Offer"},0),B25,C25,D25,E25))=0,"",(CHOOSE(MATCH(B$2,{"1. T-12 Actuals","2. My Version","3. Projected","4. Offer"},0),B25,C25,D25,E25))),"")</f>
        <v/>
      </c>
      <c r="G25" s="171"/>
      <c r="H25" s="149" t="s">
        <v>658</v>
      </c>
    </row>
    <row r="26" customFormat="false" ht="15" hidden="false" customHeight="true" outlineLevel="1" collapsed="false"/>
    <row r="27" customFormat="false" ht="15" hidden="false" customHeight="true" outlineLevel="0" collapsed="false">
      <c r="A27" s="172" t="s">
        <v>659</v>
      </c>
      <c r="B27" s="172"/>
      <c r="C27" s="172"/>
      <c r="D27" s="172"/>
      <c r="E27" s="172"/>
      <c r="F27" s="172"/>
      <c r="G27" s="172"/>
      <c r="H27" s="172"/>
    </row>
    <row r="28" customFormat="false" ht="15" hidden="false" customHeight="true" outlineLevel="1" collapsed="false">
      <c r="A28" s="141" t="s">
        <v>103</v>
      </c>
      <c r="B28" s="156" t="n">
        <v>0.3</v>
      </c>
      <c r="C28" s="173" t="n">
        <v>0.3</v>
      </c>
      <c r="D28" s="158" t="n">
        <f aca="false">IFERROR(IF((C28)=0,"",(C28)),"")</f>
        <v>0.3</v>
      </c>
      <c r="E28" s="158" t="n">
        <f aca="false">IFERROR(IF((D28)=0,"",(D28)),"")</f>
        <v>0.3</v>
      </c>
      <c r="F28" s="174" t="n">
        <f aca="false">IFERROR(IF((CHOOSE(MATCH(B$2,{"1. T-12 Actuals","2. My Version","3. Projected","4. Offer"},0),B28,C28,D28,E28))=0,"",(CHOOSE(MATCH(B$2,{"1. T-12 Actuals","2. My Version","3. Projected","4. Offer"},0),B28,C28,D28,E28))),"")</f>
        <v>0.3</v>
      </c>
      <c r="G28" s="175"/>
      <c r="H28" s="45" t="s">
        <v>660</v>
      </c>
    </row>
    <row r="29" customFormat="false" ht="15" hidden="false" customHeight="true" outlineLevel="1" collapsed="false">
      <c r="A29" s="141" t="s">
        <v>661</v>
      </c>
      <c r="B29" s="158" t="n">
        <f aca="false">IFERROR(IF((1-B28)=0,"",(1-B28)),"")</f>
        <v>0.7</v>
      </c>
      <c r="C29" s="158" t="n">
        <f aca="false">IFERROR(IF((1-C28)=0,"",(1-C28)),"")</f>
        <v>0.7</v>
      </c>
      <c r="D29" s="158" t="n">
        <f aca="false">IFERROR(IF((1-D28)=0,"",(1-D28)),"")</f>
        <v>0.7</v>
      </c>
      <c r="E29" s="158" t="n">
        <f aca="false">IFERROR(IF((1-E28)=0,"",(1-E28)),"")</f>
        <v>0.7</v>
      </c>
      <c r="F29" s="174" t="n">
        <f aca="false">IFERROR(IF((CHOOSE(MATCH(B$2,{"1. T-12 Actuals","2. My Version","3. Projected","4. Offer"},0),B29,C29,D29,E29))=0,"",(CHOOSE(MATCH(B$2,{"1. T-12 Actuals","2. My Version","3. Projected","4. Offer"},0),B29,C29,D29,E29))),"")</f>
        <v>0.7</v>
      </c>
      <c r="G29" s="175"/>
      <c r="H29" s="149" t="s">
        <v>662</v>
      </c>
    </row>
    <row r="30" customFormat="false" ht="15" hidden="false" customHeight="true" outlineLevel="1" collapsed="false">
      <c r="A30" s="141" t="s">
        <v>663</v>
      </c>
      <c r="B30" s="176" t="str">
        <f aca="false">IFERROR(IF((1-B28-B29)=0,"",(1-B28-B29)),"")</f>
        <v/>
      </c>
      <c r="C30" s="176" t="str">
        <f aca="false">IFERROR(IF((1-C28-C29)=0,"",(1-C28-C29)),"")</f>
        <v/>
      </c>
      <c r="D30" s="176" t="str">
        <f aca="false">IFERROR(IF((1-D28-D29)=0,"",(1-D28-D29)),"")</f>
        <v/>
      </c>
      <c r="E30" s="176" t="str">
        <f aca="false">IFERROR(IF((1-E28-E29)=0,"",(1-E28-E29)),"")</f>
        <v/>
      </c>
      <c r="F30" s="174" t="str">
        <f aca="false">IFERROR(IF((CHOOSE(MATCH(B$2,{"1. T-12 Actuals","2. My Version","3. Projected","4. Offer"},0),B30,C30,D30,E30))=0,"",(CHOOSE(MATCH(B$2,{"1. T-12 Actuals","2. My Version","3. Projected","4. Offer"},0),B30,C30,D30,E30))),"")</f>
        <v/>
      </c>
      <c r="G30" s="175"/>
      <c r="H30" s="45" t="s">
        <v>664</v>
      </c>
    </row>
    <row r="31" customFormat="false" ht="15" hidden="false" customHeight="true" outlineLevel="1" collapsed="false">
      <c r="A31" s="177" t="s">
        <v>665</v>
      </c>
      <c r="B31" s="168" t="str">
        <f aca="false">IFERROR(IF((IFERROR(B17-B117,0))=0,"",(IFERROR(B17-B117,0))),"")</f>
        <v/>
      </c>
      <c r="C31" s="168" t="str">
        <f aca="false">IFERROR(IF((IFERROR(C17-C117,0))=0,"",(IFERROR(C17-C117,0))),"")</f>
        <v/>
      </c>
      <c r="D31" s="168" t="str">
        <f aca="false">IFERROR(IF((IFERROR(D17-D117,0))=0,"",(IFERROR(D17-D117,0))),"")</f>
        <v/>
      </c>
      <c r="E31" s="168" t="str">
        <f aca="false">IFERROR(IF((IFERROR(E17-E117,0))=0,"",(IFERROR(E17-E117,0))),"")</f>
        <v/>
      </c>
      <c r="F31" s="178" t="str">
        <f aca="false">IFERROR(IF((CHOOSE(MATCH(B$2,{"1. T-12 Actuals","2. My Version","3. Projected","4. Offer"},0),B31,C31,D31,E31))=0,"",(CHOOSE(MATCH(B$2,{"1. T-12 Actuals","2. My Version","3. Projected","4. Offer"},0),B31,C31,D31,E31))),"")</f>
        <v/>
      </c>
      <c r="G31" s="179"/>
      <c r="H31" s="48" t="s">
        <v>643</v>
      </c>
    </row>
    <row r="32" customFormat="false" ht="15" hidden="false" customHeight="true" outlineLevel="1" collapsed="false">
      <c r="A32" s="141" t="s">
        <v>104</v>
      </c>
      <c r="B32" s="142" t="n">
        <v>0</v>
      </c>
      <c r="C32" s="142" t="n">
        <f aca="false">B32</f>
        <v>0</v>
      </c>
      <c r="D32" s="142" t="n">
        <f aca="false">C32</f>
        <v>0</v>
      </c>
      <c r="E32" s="142" t="n">
        <f aca="false">D32</f>
        <v>0</v>
      </c>
      <c r="F32" s="178" t="str">
        <f aca="false">IFERROR(IF((CHOOSE(MATCH(B$2,{"1. T-12 Actuals","2. My Version","3. Projected","4. Offer"},0),B32,C32,D32,E32))=0,"",(CHOOSE(MATCH(B$2,{"1. T-12 Actuals","2. My Version","3. Projected","4. Offer"},0),B32,C32,D32,E32))),"")</f>
        <v/>
      </c>
      <c r="G32" s="179"/>
      <c r="H32" s="180" t="s">
        <v>666</v>
      </c>
    </row>
    <row r="33" customFormat="false" ht="15" hidden="false" customHeight="true" outlineLevel="1" collapsed="false">
      <c r="A33" s="141" t="s">
        <v>667</v>
      </c>
      <c r="B33" s="181" t="str">
        <f aca="false">IFERROR(IF((B31-B32)=0,"",(B31-B32)),"")</f>
        <v/>
      </c>
      <c r="C33" s="181" t="str">
        <f aca="false">IFERROR(IF((C31-C32)=0,"",(C31-C32)),"")</f>
        <v/>
      </c>
      <c r="D33" s="181" t="str">
        <f aca="false">IFERROR(IF((D31-D32)=0,"",(D31-D32)),"")</f>
        <v/>
      </c>
      <c r="E33" s="181" t="str">
        <f aca="false">IFERROR(IF((E31-E32)=0,"",(E31-E32)),"")</f>
        <v/>
      </c>
      <c r="F33" s="178" t="str">
        <f aca="false">IFERROR(IF((CHOOSE(MATCH(B$2,{"1. T-12 Actuals","2. My Version","3. Projected","4. Offer"},0),B33,C33,D33,E33))=0,"",(CHOOSE(MATCH(B$2,{"1. T-12 Actuals","2. My Version","3. Projected","4. Offer"},0),B33,C33,D33,E33))),"")</f>
        <v/>
      </c>
      <c r="G33" s="179"/>
      <c r="H33" s="182" t="s">
        <v>668</v>
      </c>
    </row>
    <row r="34" customFormat="false" ht="15" hidden="false" customHeight="true" outlineLevel="1" collapsed="false">
      <c r="A34" s="141" t="s">
        <v>669</v>
      </c>
      <c r="B34" s="181" t="str">
        <f aca="false">IFERROR(IF((B30*B31)=0,"",(B30*B31)),"")</f>
        <v/>
      </c>
      <c r="C34" s="181" t="str">
        <f aca="false">IFERROR(IF((C30*C31)=0,"",(C30*C31)),"")</f>
        <v/>
      </c>
      <c r="D34" s="181" t="str">
        <f aca="false">IFERROR(IF((D30*D31)=0,"",(D30*D31)),"")</f>
        <v/>
      </c>
      <c r="E34" s="181" t="str">
        <f aca="false">IFERROR(IF((E30*E31)=0,"",(E30*E31)),"")</f>
        <v/>
      </c>
      <c r="F34" s="178" t="str">
        <f aca="false">IFERROR(IF((CHOOSE(MATCH(B$2,{"1. T-12 Actuals","2. My Version","3. Projected","4. Offer"},0),B34,C34,D34,E34))=0,"",(CHOOSE(MATCH(B$2,{"1. T-12 Actuals","2. My Version","3. Projected","4. Offer"},0),B34,C34,D34,E34))),"")</f>
        <v/>
      </c>
      <c r="G34" s="179"/>
      <c r="H34" s="45" t="s">
        <v>643</v>
      </c>
    </row>
    <row r="35" customFormat="false" ht="15" hidden="false" customHeight="true" outlineLevel="1" collapsed="false">
      <c r="A35" s="145" t="s">
        <v>105</v>
      </c>
      <c r="B35" s="164"/>
      <c r="C35" s="183"/>
      <c r="D35" s="164"/>
      <c r="E35" s="164"/>
      <c r="F35" s="159" t="str">
        <f aca="false">IFERROR(IF((CHOOSE(MATCH(B$2,{"1. T-12 Actuals","2. My Version","3. Projected","4. Offer"},0),B35,C35,D35,E35))=0,"",(CHOOSE(MATCH(B$2,{"1. T-12 Actuals","2. My Version","3. Projected","4. Offer"},0),B35,C35,D35,E35))),"")</f>
        <v/>
      </c>
      <c r="G35" s="171"/>
      <c r="H35" s="149" t="s">
        <v>670</v>
      </c>
    </row>
    <row r="36" customFormat="false" ht="15" hidden="false" customHeight="true" outlineLevel="1" collapsed="false">
      <c r="A36" s="145" t="s">
        <v>671</v>
      </c>
      <c r="B36" s="164"/>
      <c r="C36" s="183"/>
      <c r="D36" s="164"/>
      <c r="E36" s="164"/>
      <c r="F36" s="159" t="str">
        <f aca="false">IFERROR(IF((CHOOSE(MATCH(B$2,{"1. T-12 Actuals","2. My Version","3. Projected","4. Offer"},0),B36,C36,D36,E36))=0,"",(CHOOSE(MATCH(B$2,{"1. T-12 Actuals","2. My Version","3. Projected","4. Offer"},0),B36,C36,D36,E36))),"")</f>
        <v/>
      </c>
      <c r="G36" s="171"/>
      <c r="H36" s="149" t="s">
        <v>672</v>
      </c>
    </row>
    <row r="37" customFormat="false" ht="15" hidden="false" customHeight="true" outlineLevel="1" collapsed="false">
      <c r="A37" s="184" t="s">
        <v>673</v>
      </c>
      <c r="B37" s="185" t="n">
        <f aca="false">IFERROR(IF((B28)=0,"",(B28)),"")</f>
        <v>0.3</v>
      </c>
      <c r="C37" s="185" t="n">
        <f aca="false">IFERROR(IF((C28)=0,"",(C28)),"")</f>
        <v>0.3</v>
      </c>
      <c r="D37" s="185" t="n">
        <f aca="false">IFERROR(IF((D28)=0,"",(D28)),"")</f>
        <v>0.3</v>
      </c>
      <c r="E37" s="185" t="n">
        <f aca="false">IFERROR(IF((E28)=0,"",(E28)),"")</f>
        <v>0.3</v>
      </c>
      <c r="F37" s="174" t="n">
        <f aca="false">IFERROR(IF((CHOOSE(MATCH(B$2,{"1. T-12 Actuals","2. My Version","3. Projected","4. Offer"},0),B37,C37,D37,E37))=0,"",(CHOOSE(MATCH(B$2,{"1. T-12 Actuals","2. My Version","3. Projected","4. Offer"},0),B37,C37,D37,E37))),"")</f>
        <v>0.3</v>
      </c>
      <c r="G37" s="175"/>
      <c r="H37" s="186" t="s">
        <v>674</v>
      </c>
    </row>
    <row r="38" customFormat="false" ht="15" hidden="false" customHeight="true" outlineLevel="0" collapsed="false">
      <c r="A38" s="3" t="s">
        <v>675</v>
      </c>
      <c r="B38" s="3"/>
      <c r="C38" s="3"/>
      <c r="D38" s="3"/>
      <c r="E38" s="3"/>
      <c r="F38" s="3"/>
      <c r="G38" s="3"/>
      <c r="H38" s="3"/>
    </row>
    <row r="39" customFormat="false" ht="15" hidden="false" customHeight="true" outlineLevel="1" collapsed="false">
      <c r="A39" s="141" t="s">
        <v>676</v>
      </c>
      <c r="B39" s="187" t="str">
        <f aca="false">IFERROR(IF((C39)=0,"",(C39)),"")</f>
        <v/>
      </c>
      <c r="C39" s="160" t="str">
        <f aca="false">IFERROR(IF((IFERROR(IF('T-12 Analysis'!N58&gt;=MAX('Rent Roll Analysis'!B26,'Rent Roll Analysis'!B34)*0.95,'T-12 Analysis'!N58,MAX('Rent Roll Analysis'!B26,'Rent Roll Analysis'!B34))/12/'Prop Info'!$B$6,0))=0,"",(IFERROR(IF('T-12 Analysis'!N58&gt;=MAX('Rent Roll Analysis'!B26,'Rent Roll Analysis'!B34)*0.95,'T-12 Analysis'!N58,MAX('Rent Roll Analysis'!B26,'Rent Roll Analysis'!B34))/12/'Prop Info'!$B$6,0))),"")</f>
        <v/>
      </c>
      <c r="D39" s="160" t="str">
        <f aca="false">IFERROR(IF(('Rent Roll Analysis'!C34)=0,"",('Rent Roll Analysis'!C34)),"")</f>
        <v/>
      </c>
      <c r="E39" s="143" t="str">
        <f aca="false">IFERROR(IF((D39)=0,"",(D39)),"")</f>
        <v/>
      </c>
      <c r="F39" s="144" t="str">
        <f aca="false">IFERROR(IF((CHOOSE(MATCH(B$2,{"1. T-12 Actuals","2. My Version","3. Projected","4. Offer"},0),B39,C39,D39,E39))=0,"",(CHOOSE(MATCH(B$2,{"1. T-12 Actuals","2. My Version","3. Projected","4. Offer"},0),B39,C39,D39,E39))),"")</f>
        <v/>
      </c>
      <c r="G39" s="188"/>
      <c r="H39" s="189" t="s">
        <v>677</v>
      </c>
      <c r="I39" s="0" t="s">
        <v>678</v>
      </c>
    </row>
    <row r="40" customFormat="false" ht="15" hidden="false" customHeight="true" outlineLevel="1" collapsed="false">
      <c r="A40" s="166" t="s">
        <v>679</v>
      </c>
      <c r="B40" s="190" t="str">
        <f aca="false">IFERROR(IF(('Prop Info'!$B$6*B39*12)=0,"",('Prop Info'!$B$6*B39*12)),"")</f>
        <v/>
      </c>
      <c r="C40" s="190" t="str">
        <f aca="false">IFERROR(IF(('Prop Info'!$B$6*C39*12)=0,"",('Prop Info'!$B$6*C39*12)),"")</f>
        <v/>
      </c>
      <c r="D40" s="190" t="str">
        <f aca="false">IFERROR(IF(('Prop Info'!$B$6*D39*12)=0,"",('Prop Info'!$B$6*D39*12)),"")</f>
        <v/>
      </c>
      <c r="E40" s="190" t="str">
        <f aca="false">IFERROR(IF(('Prop Info'!$B$6*E39*12)=0,"",('Prop Info'!$B$6*E39*12)),"")</f>
        <v/>
      </c>
      <c r="F40" s="144" t="str">
        <f aca="false">IFERROR(IF((CHOOSE(MATCH(B$2,{"1. T-12 Actuals","2. My Version","3. Projected","4. Offer"},0),B40,C40,D40,E40))=0,"",(CHOOSE(MATCH(B$2,{"1. T-12 Actuals","2. My Version","3. Projected","4. Offer"},0),B40,C40,D40,E40))),"")</f>
        <v/>
      </c>
      <c r="G40" s="188"/>
      <c r="H40" s="191" t="s">
        <v>680</v>
      </c>
    </row>
    <row r="41" customFormat="false" ht="15" hidden="false" customHeight="true" outlineLevel="1" collapsed="false">
      <c r="A41" s="141" t="s">
        <v>681</v>
      </c>
      <c r="B41" s="192" t="str">
        <f aca="false">IFERROR(IF((C41)=0,"",(C41)),"")</f>
        <v/>
      </c>
      <c r="C41" s="193" t="str">
        <f aca="false">IFERROR(IF((IFERROR(('Rent Roll Analysis'!B13+'Rent Roll Analysis'!B14)/'Prop Info'!$B$6,0))=0,"",(IFERROR(('Rent Roll Analysis'!B13+'Rent Roll Analysis'!B14)/'Prop Info'!$B$6,0))),"")</f>
        <v/>
      </c>
      <c r="D41" s="158" t="str">
        <f aca="false">IFERROR(IF((C41)=0,"",(C41)),"")</f>
        <v/>
      </c>
      <c r="E41" s="158" t="str">
        <f aca="false">IFERROR(IF((D41)=0,"",(D41)),"")</f>
        <v/>
      </c>
      <c r="F41" s="159" t="str">
        <f aca="false">IFERROR(IF((CHOOSE(MATCH(B$2,{"1. T-12 Actuals","2. My Version","3. Projected","4. Offer"},0),B41,C41,D41,E41))=0,"",(CHOOSE(MATCH(B$2,{"1. T-12 Actuals","2. My Version","3. Projected","4. Offer"},0),B41,C41,D41,E41))),"")</f>
        <v/>
      </c>
      <c r="G41" s="171"/>
      <c r="H41" s="189" t="s">
        <v>682</v>
      </c>
    </row>
    <row r="42" customFormat="false" ht="15" hidden="false" customHeight="true" outlineLevel="1" collapsed="false">
      <c r="A42" s="145" t="s">
        <v>683</v>
      </c>
      <c r="B42" s="148" t="str">
        <f aca="false">IFERROR(IF((-B41*B40)=0,"",(-B41*B40)),"")</f>
        <v/>
      </c>
      <c r="C42" s="148" t="str">
        <f aca="false">IFERROR(IF((-C41*C40)=0,"",(-C41*C40)),"")</f>
        <v/>
      </c>
      <c r="D42" s="148" t="str">
        <f aca="false">IFERROR(IF((-D41*D40)=0,"",(-D41*D40)),"")</f>
        <v/>
      </c>
      <c r="E42" s="148" t="str">
        <f aca="false">IFERROR(IF((-E41*E40)=0,"",(-E41*E40)),"")</f>
        <v/>
      </c>
      <c r="F42" s="144" t="str">
        <f aca="false">IFERROR(IF((CHOOSE(MATCH(B$2,{"1. T-12 Actuals","2. My Version","3. Projected","4. Offer"},0),B42,C42,D42,E42))=0,"",(CHOOSE(MATCH(B$2,{"1. T-12 Actuals","2. My Version","3. Projected","4. Offer"},0),B42,C42,D42,E42))),"")</f>
        <v/>
      </c>
      <c r="G42" s="188"/>
    </row>
    <row r="43" customFormat="false" ht="25.5" hidden="false" customHeight="true" outlineLevel="1" collapsed="false">
      <c r="A43" s="141" t="s">
        <v>684</v>
      </c>
      <c r="B43" s="192" t="str">
        <f aca="false">IFERROR(IF((IFERROR(B44/B40,0))=0,"",(IFERROR(B44/B40,0))),"")</f>
        <v/>
      </c>
      <c r="C43" s="173"/>
      <c r="D43" s="158" t="str">
        <f aca="false">IFERROR(IF((C43)=0,"",(C43)),"")</f>
        <v/>
      </c>
      <c r="E43" s="158" t="str">
        <f aca="false">IFERROR(IF((D43)=0,"",(D43)),"")</f>
        <v/>
      </c>
      <c r="F43" s="159" t="str">
        <f aca="false">IFERROR(IF((CHOOSE(MATCH(B$2,{"1. T-12 Actuals","2. My Version","3. Projected","4. Offer"},0),B43,C43,D43,E43))=0,"",(CHOOSE(MATCH(B$2,{"1. T-12 Actuals","2. My Version","3. Projected","4. Offer"},0),B43,C43,D43,E43))),"")</f>
        <v/>
      </c>
      <c r="G43" s="171"/>
      <c r="H43" s="45" t="s">
        <v>685</v>
      </c>
    </row>
    <row r="44" customFormat="false" ht="15" hidden="false" customHeight="true" outlineLevel="1" collapsed="false">
      <c r="A44" s="145" t="s">
        <v>686</v>
      </c>
      <c r="B44" s="194" t="str">
        <f aca="false">IFERROR(IF((C44)=0,"",(C44)),"")</f>
        <v/>
      </c>
      <c r="C44" s="148" t="str">
        <f aca="false">IFERROR(IF((-C43*C40)=0,"",(-C43*C40)),"")</f>
        <v/>
      </c>
      <c r="D44" s="148" t="str">
        <f aca="false">IFERROR(IF((-D43*D40)=0,"",(-D43*D40)),"")</f>
        <v/>
      </c>
      <c r="E44" s="148" t="str">
        <f aca="false">IFERROR(IF((-E43*E40)=0,"",(-E43*E40)),"")</f>
        <v/>
      </c>
      <c r="F44" s="144" t="str">
        <f aca="false">IFERROR(IF((CHOOSE(MATCH(B$2,{"1. T-12 Actuals","2. My Version","3. Projected","4. Offer"},0),B44,C44,D44,E44))=0,"",(CHOOSE(MATCH(B$2,{"1. T-12 Actuals","2. My Version","3. Projected","4. Offer"},0),B44,C44,D44,E44))),"")</f>
        <v/>
      </c>
      <c r="G44" s="188"/>
    </row>
    <row r="45" customFormat="false" ht="15" hidden="false" customHeight="true" outlineLevel="1" collapsed="false">
      <c r="A45" s="141" t="s">
        <v>687</v>
      </c>
      <c r="B45" s="195" t="str">
        <f aca="false">IFERROR(IF((ABS('T-12 Analysis'!N63+'T-12 Analysis'!N64+'T-12 Analysis'!N65+'T-12 Analysis'!N59)/'T-12 Analysis'!N58)=0,"",(ABS('T-12 Analysis'!N63+'T-12 Analysis'!N64+'T-12 Analysis'!N65+'T-12 Analysis'!N59)/'T-12 Analysis'!N58)),"")</f>
        <v/>
      </c>
      <c r="C45" s="157" t="str">
        <f aca="false">IFERROR(IF((B45)=0,"",(B45)),"")</f>
        <v/>
      </c>
      <c r="D45" s="158" t="str">
        <f aca="false">IFERROR(IF((C45)=0,"",(C45)),"")</f>
        <v/>
      </c>
      <c r="E45" s="158" t="str">
        <f aca="false">IFERROR(IF((D45)=0,"",(D45)),"")</f>
        <v/>
      </c>
      <c r="F45" s="159" t="str">
        <f aca="false">IFERROR(IF((CHOOSE(MATCH(B$2,{"1. T-12 Actuals","2. My Version","3. Projected","4. Offer"},0),B45,C45,D45,E45))=0,"",(CHOOSE(MATCH(B$2,{"1. T-12 Actuals","2. My Version","3. Projected","4. Offer"},0),B45,C45,D45,E45))),"")</f>
        <v/>
      </c>
      <c r="G45" s="171"/>
      <c r="H45" s="45" t="s">
        <v>688</v>
      </c>
    </row>
    <row r="46" customFormat="false" ht="15" hidden="false" customHeight="true" outlineLevel="1" collapsed="false">
      <c r="A46" s="145" t="s">
        <v>689</v>
      </c>
      <c r="B46" s="148" t="str">
        <f aca="false">IFERROR(IF((-B45*B40)=0,"",(-B45*B40)),"")</f>
        <v/>
      </c>
      <c r="C46" s="148" t="str">
        <f aca="false">IFERROR(IF((-C45*C40)=0,"",(-C45*C40)),"")</f>
        <v/>
      </c>
      <c r="D46" s="148" t="str">
        <f aca="false">IFERROR(IF((-D45*D40)=0,"",(-D45*D40)),"")</f>
        <v/>
      </c>
      <c r="E46" s="148" t="str">
        <f aca="false">IFERROR(IF((-E45*E40)=0,"",(-E45*E40)),"")</f>
        <v/>
      </c>
      <c r="F46" s="144" t="str">
        <f aca="false">IFERROR(IF((CHOOSE(MATCH(B$2,{"1. T-12 Actuals","2. My Version","3. Projected","4. Offer"},0),B46,C46,D46,E46))=0,"",(CHOOSE(MATCH(B$2,{"1. T-12 Actuals","2. My Version","3. Projected","4. Offer"},0),B46,C46,D46,E46))),"")</f>
        <v/>
      </c>
      <c r="G46" s="188"/>
    </row>
    <row r="47" customFormat="false" ht="15" hidden="false" customHeight="true" outlineLevel="1" collapsed="false">
      <c r="A47" s="141" t="s">
        <v>690</v>
      </c>
      <c r="B47" s="195" t="str">
        <f aca="false">IFERROR(IF(('T-12 Analysis'!N73/'T-12 Analysis'!N58)=0,"",('T-12 Analysis'!N73/'T-12 Analysis'!N58)),"")</f>
        <v/>
      </c>
      <c r="C47" s="173" t="n">
        <v>0</v>
      </c>
      <c r="D47" s="158" t="str">
        <f aca="false">IFERROR(IF((C47)=0,"",(C47)),"")</f>
        <v/>
      </c>
      <c r="E47" s="158" t="str">
        <f aca="false">IFERROR(IF((D47)=0,"",(D47)),"")</f>
        <v/>
      </c>
      <c r="F47" s="159" t="str">
        <f aca="false">IFERROR(IF((CHOOSE(MATCH(B$2,{"1. T-12 Actuals","2. My Version","3. Projected","4. Offer"},0),B47,C47,D47,E47))=0,"",(CHOOSE(MATCH(B$2,{"1. T-12 Actuals","2. My Version","3. Projected","4. Offer"},0),B47,C47,D47,E47))),"")</f>
        <v/>
      </c>
      <c r="G47" s="171"/>
      <c r="H47" s="45" t="s">
        <v>110</v>
      </c>
    </row>
    <row r="48" customFormat="false" ht="15" hidden="false" customHeight="true" outlineLevel="1" collapsed="false">
      <c r="A48" s="145" t="s">
        <v>691</v>
      </c>
      <c r="B48" s="148" t="str">
        <f aca="false">IFERROR(IF((B47*B40)=0,"",(B47*B40)),"")</f>
        <v/>
      </c>
      <c r="C48" s="148" t="str">
        <f aca="false">IFERROR(IF((C47*C40)=0,"",(C47*C40)),"")</f>
        <v/>
      </c>
      <c r="D48" s="148" t="str">
        <f aca="false">IFERROR(IF((D47*D40)=0,"",(D47*D40)),"")</f>
        <v/>
      </c>
      <c r="E48" s="148" t="str">
        <f aca="false">IFERROR(IF((E47*E40)=0,"",(E47*E40)),"")</f>
        <v/>
      </c>
      <c r="F48" s="144" t="str">
        <f aca="false">IFERROR(IF((CHOOSE(MATCH(B$2,{"1. T-12 Actuals","2. My Version","3. Projected","4. Offer"},0),B48,C48,D48,E48))=0,"",(CHOOSE(MATCH(B$2,{"1. T-12 Actuals","2. My Version","3. Projected","4. Offer"},0),B48,C48,D48,E48))),"")</f>
        <v/>
      </c>
      <c r="G48" s="188"/>
      <c r="H48" s="0" t="s">
        <v>692</v>
      </c>
    </row>
    <row r="49" customFormat="false" ht="25.5" hidden="false" customHeight="true" outlineLevel="1" collapsed="false">
      <c r="A49" s="141" t="s">
        <v>693</v>
      </c>
      <c r="B49" s="196" t="str">
        <f aca="false">IFERROR(IF(('T-12 Analysis'!N79)=0,"",('T-12 Analysis'!N79)),"")</f>
        <v/>
      </c>
      <c r="C49" s="197" t="str">
        <f aca="false">IFERROR(IF(('T-12 Analysis'!N79+'Recapture &amp; Upside'!L84)=0,"",('T-12 Analysis'!N79+'Recapture &amp; Upside'!L84)),"")</f>
        <v/>
      </c>
      <c r="D49" s="160" t="str">
        <f aca="false">IFERROR(IF(('T-12 Analysis'!N79+'Recapture &amp; Upside'!L84)=0,"",('T-12 Analysis'!N79+'Recapture &amp; Upside'!L84)),"")</f>
        <v/>
      </c>
      <c r="E49" s="160" t="str">
        <f aca="false">IFERROR(IF(('T-12 Analysis'!N79+'Recapture &amp; Upside'!L84)=0,"",('T-12 Analysis'!N79+'Recapture &amp; Upside'!L84)),"")</f>
        <v/>
      </c>
      <c r="F49" s="144" t="str">
        <f aca="false">IFERROR(IF((CHOOSE(MATCH(B$2,{"1. T-12 Actuals","2. My Version","3. Projected","4. Offer"},0),B49,C49,D49,E49))=0,"",(CHOOSE(MATCH(B$2,{"1. T-12 Actuals","2. My Version","3. Projected","4. Offer"},0),B49,C49,D49,E49))),"")</f>
        <v/>
      </c>
      <c r="G49" s="188"/>
    </row>
    <row r="50" customFormat="false" ht="15" hidden="false" customHeight="true" outlineLevel="1" collapsed="false">
      <c r="A50" s="177" t="s">
        <v>694</v>
      </c>
      <c r="B50" s="168" t="str">
        <f aca="false">IFERROR(IF((B40+B42+B44+B46+B48+B49)=0,"",(B40+B42+B44+B46+B48+B49)),"")</f>
        <v/>
      </c>
      <c r="C50" s="168" t="str">
        <f aca="false">IFERROR(IF((C40+C42+C44+C46+C48+C49)=0,"",(C40+C42+C44+C46+C48+C49)),"")</f>
        <v/>
      </c>
      <c r="D50" s="168" t="str">
        <f aca="false">IFERROR(IF((D40+D42+D44+D46+D48+D49)=0,"",(D40+D42+D44+D46+D48+D49)),"")</f>
        <v/>
      </c>
      <c r="E50" s="168" t="str">
        <f aca="false">IFERROR(IF((E40+E42+E44+E46+E48+E49)=0,"",(E40+E42+E44+E46+E48+E49)),"")</f>
        <v/>
      </c>
      <c r="F50" s="168" t="str">
        <f aca="false">IFERROR(IF((CHOOSE(MATCH(B$2,{"1. T-12 Actuals","2. My Version","3. Projected","4. Offer"},0),B50,C50,D50,E50))=0,"",(CHOOSE(MATCH(B$2,{"1. T-12 Actuals","2. My Version","3. Projected","4. Offer"},0),B50,C50,D50,E50))),"")</f>
        <v/>
      </c>
      <c r="G50" s="170"/>
    </row>
    <row r="51" customFormat="false" ht="15" hidden="false" customHeight="true" outlineLevel="1" collapsed="false">
      <c r="A51" s="198" t="s">
        <v>695</v>
      </c>
      <c r="B51" s="199" t="str">
        <f aca="false">IFERROR(IF((IFERROR(ROUND('Prop Info'!$B$6*(1-B41),0),0))=0,"",(IFERROR(ROUND('Prop Info'!$B$6*(1-B41),0),0))),"")</f>
        <v/>
      </c>
      <c r="C51" s="199" t="str">
        <f aca="false">IFERROR(IF((IFERROR(ROUND('Prop Info'!$B$6*(1-C41),0),0))=0,"",(IFERROR(ROUND('Prop Info'!$B$6*(1-C41),0),0))),"")</f>
        <v/>
      </c>
      <c r="D51" s="199" t="str">
        <f aca="false">IFERROR(IF((IFERROR(ROUND('Prop Info'!$B$6*(1-D41),0),0))=0,"",(IFERROR(ROUND('Prop Info'!$B$6*(1-D41),0),0))),"")</f>
        <v/>
      </c>
      <c r="E51" s="199" t="str">
        <f aca="false">IFERROR(IF((IFERROR(ROUND('Prop Info'!$B$6*(1-E41),0),0))=0,"",(IFERROR(ROUND('Prop Info'!$B$6*(1-E41),0),0))),"")</f>
        <v/>
      </c>
      <c r="F51" s="200" t="str">
        <f aca="false">IFERROR(IF((CHOOSE(MATCH(B$2,{"1. T-12 Actuals","2. My Version","3. Projected","4. Offer"},0),B51,C51,D51,E51))=0,"",(CHOOSE(MATCH(B$2,{"1. T-12 Actuals","2. My Version","3. Projected","4. Offer"},0),B51,C51,D51,E51))),"")</f>
        <v/>
      </c>
      <c r="H51" s="57" t="s">
        <v>696</v>
      </c>
    </row>
    <row r="52" customFormat="false" ht="15" hidden="false" customHeight="true" outlineLevel="0" collapsed="false">
      <c r="A52" s="201" t="s">
        <v>697</v>
      </c>
      <c r="B52" s="201"/>
      <c r="C52" s="201"/>
      <c r="D52" s="201"/>
      <c r="E52" s="201"/>
      <c r="F52" s="201"/>
      <c r="G52" s="201"/>
      <c r="H52" s="201"/>
    </row>
    <row r="53" customFormat="false" ht="15" hidden="false" customHeight="true" outlineLevel="1" collapsed="false">
      <c r="A53" s="202" t="s">
        <v>618</v>
      </c>
      <c r="B53" s="202" t="s">
        <v>616</v>
      </c>
      <c r="C53" s="202" t="s">
        <v>698</v>
      </c>
      <c r="D53" s="202" t="s">
        <v>620</v>
      </c>
      <c r="E53" s="202" t="s">
        <v>621</v>
      </c>
      <c r="F53" s="202" t="s">
        <v>699</v>
      </c>
      <c r="G53" s="42" t="s">
        <v>700</v>
      </c>
      <c r="H53" s="202" t="s">
        <v>55</v>
      </c>
    </row>
    <row r="54" customFormat="false" ht="15" hidden="false" customHeight="true" outlineLevel="1" collapsed="false">
      <c r="A54" s="141" t="s">
        <v>701</v>
      </c>
      <c r="B54" s="203" t="str">
        <f aca="false">IFERROR(IF(('T-12 Analysis'!N89)=0,"",('T-12 Analysis'!N89)),"")</f>
        <v/>
      </c>
      <c r="C54" s="143" t="str">
        <f aca="false">IFERROR(IF((B54)=0,"",(B54)),"")</f>
        <v/>
      </c>
      <c r="D54" s="143" t="str">
        <f aca="false">IFERROR(IF((C54)=0,"",(C54)),"")</f>
        <v/>
      </c>
      <c r="E54" s="143" t="str">
        <f aca="false">IFERROR(IF((D54)=0,"",(D54)),"")</f>
        <v/>
      </c>
      <c r="F54" s="144" t="str">
        <f aca="false">IFERROR(IF((CHOOSE(MATCH(B$2,{"1. T-12 Actuals","2. My Version","3. Projected","4. Offer"},0),B54,C54,D54,E54))=0,"",(CHOOSE(MATCH(B$2,{"1. T-12 Actuals","2. My Version","3. Projected","4. Offer"},0),B54,C54,D54,E54))),"")</f>
        <v/>
      </c>
      <c r="G54" s="204" t="str">
        <f aca="false">IFERROR(IF((IFERROR(TEXT(F54/'Prop Info'!$B$6,"$#,##0")&amp;"/Unit | "&amp;TEXT(F54/F50,"0.0%"),""))=0,"",(IFERROR(TEXT(F54/'Prop Info'!$B$6,"$#,##0")&amp;"/Unit | "&amp;TEXT(F54/F50,"0.0%"),""))),"")</f>
        <v/>
      </c>
      <c r="H54" s="27" t="s">
        <v>702</v>
      </c>
    </row>
    <row r="55" customFormat="false" ht="15" hidden="false" customHeight="true" outlineLevel="1" collapsed="false">
      <c r="A55" s="145" t="s">
        <v>703</v>
      </c>
      <c r="B55" s="203" t="str">
        <f aca="false">IFERROR(IF(('T-12 Analysis'!N84)=0,"",('T-12 Analysis'!N84)),"")</f>
        <v/>
      </c>
      <c r="C55" s="148" t="str">
        <f aca="false">IFERROR(IF((B55)=0,"",(B55)),"")</f>
        <v/>
      </c>
      <c r="D55" s="148" t="str">
        <f aca="false">IFERROR(IF((C55)=0,"",(C55)),"")</f>
        <v/>
      </c>
      <c r="E55" s="148" t="str">
        <f aca="false">IFERROR(IF((D55)=0,"",(D55)),"")</f>
        <v/>
      </c>
      <c r="F55" s="144" t="str">
        <f aca="false">IFERROR(IF((CHOOSE(MATCH(B$2,{"1. T-12 Actuals","2. My Version","3. Projected","4. Offer"},0),B55,C55,D55,E55))=0,"",(CHOOSE(MATCH(B$2,{"1. T-12 Actuals","2. My Version","3. Projected","4. Offer"},0),B55,C55,D55,E55))),"")</f>
        <v/>
      </c>
      <c r="G55" s="205" t="str">
        <f aca="false">IFERROR(IF((IFERROR(TEXT(F55/'Prop Info'!$B$6,"$#,##0")&amp;"/Unit | "&amp;TEXT(F55/F50,"0.0%"),""))=0,"",(IFERROR(TEXT(F55/'Prop Info'!$B$6,"$#,##0")&amp;"/Unit | "&amp;TEXT(F55/F50,"0.0%"),""))),"")</f>
        <v/>
      </c>
      <c r="H55" s="206" t="s">
        <v>704</v>
      </c>
      <c r="I55" s="0" t="s">
        <v>705</v>
      </c>
    </row>
    <row r="56" customFormat="false" ht="15" hidden="false" customHeight="true" outlineLevel="1" collapsed="false">
      <c r="A56" s="141" t="s">
        <v>706</v>
      </c>
      <c r="B56" s="203" t="str">
        <f aca="false">IFERROR(IF(('T-12 Analysis'!N94+'T-12 Analysis'!N95)=0,"",('T-12 Analysis'!N94+'T-12 Analysis'!N95)),"")</f>
        <v/>
      </c>
      <c r="C56" s="143" t="str">
        <f aca="false">IFERROR(IF((B56)=0,"",(B56)),"")</f>
        <v/>
      </c>
      <c r="D56" s="143" t="str">
        <f aca="false">IFERROR(IF((C56)=0,"",(C56)),"")</f>
        <v/>
      </c>
      <c r="E56" s="143" t="str">
        <f aca="false">IFERROR(IF((D56)=0,"",(D56)),"")</f>
        <v/>
      </c>
      <c r="F56" s="144" t="str">
        <f aca="false">IFERROR(IF((CHOOSE(MATCH(B$2,{"1. T-12 Actuals","2. My Version","3. Projected","4. Offer"},0),B56,C56,D56,E56))=0,"",(CHOOSE(MATCH(B$2,{"1. T-12 Actuals","2. My Version","3. Projected","4. Offer"},0),B56,C56,D56,E56))),"")</f>
        <v/>
      </c>
      <c r="G56" s="204" t="str">
        <f aca="false">IFERROR(IF((IFERROR(TEXT(F56/'Prop Info'!$B$6,"$#,##0")&amp;"/Unit | "&amp;TEXT(F56/F50,"0.0%"),""))=0,"",(IFERROR(TEXT(F56/'Prop Info'!$B$6,"$#,##0")&amp;"/Unit | "&amp;TEXT(F56/F50,"0.0%"),""))),"")</f>
        <v/>
      </c>
      <c r="H56" s="206" t="s">
        <v>707</v>
      </c>
    </row>
    <row r="57" customFormat="false" ht="15" hidden="false" customHeight="true" outlineLevel="1" collapsed="false">
      <c r="A57" s="145" t="s">
        <v>708</v>
      </c>
      <c r="B57" s="203" t="str">
        <f aca="false">IFERROR(IF(('T-12 Analysis'!N90+'T-12 Analysis'!N98)=0,"",('T-12 Analysis'!N90+'T-12 Analysis'!N98)),"")</f>
        <v/>
      </c>
      <c r="C57" s="148" t="str">
        <f aca="false">IFERROR(IF((B57)=0,"",(B57)),"")</f>
        <v/>
      </c>
      <c r="D57" s="148" t="str">
        <f aca="false">IFERROR(IF((C57)=0,"",(C57)),"")</f>
        <v/>
      </c>
      <c r="E57" s="148" t="str">
        <f aca="false">IFERROR(IF((D57)=0,"",(D57)),"")</f>
        <v/>
      </c>
      <c r="F57" s="144" t="str">
        <f aca="false">IFERROR(IF((CHOOSE(MATCH(B$2,{"1. T-12 Actuals","2. My Version","3. Projected","4. Offer"},0),B57,C57,D57,E57))=0,"",(CHOOSE(MATCH(B$2,{"1. T-12 Actuals","2. My Version","3. Projected","4. Offer"},0),B57,C57,D57,E57))),"")</f>
        <v/>
      </c>
      <c r="G57" s="205" t="str">
        <f aca="false">IFERROR(IF((IFERROR(TEXT(F57/'Prop Info'!$B$6,"$#,##0")&amp;"/Unit | "&amp;TEXT(F57/F50,"0.0%"),""))=0,"",(IFERROR(TEXT(F57/'Prop Info'!$B$6,"$#,##0")&amp;"/Unit | "&amp;TEXT(F57/F50,"0.0%"),""))),"")</f>
        <v/>
      </c>
      <c r="H57" s="206" t="s">
        <v>709</v>
      </c>
    </row>
    <row r="58" customFormat="false" ht="15" hidden="false" customHeight="true" outlineLevel="1" collapsed="false">
      <c r="A58" s="141" t="s">
        <v>710</v>
      </c>
      <c r="B58" s="203" t="str">
        <f aca="false">IFERROR(IF(('T-12 Analysis'!N92)=0,"",('T-12 Analysis'!N92)),"")</f>
        <v/>
      </c>
      <c r="C58" s="143" t="str">
        <f aca="false">IFERROR(IF((B58)=0,"",(B58)),"")</f>
        <v/>
      </c>
      <c r="D58" s="143" t="str">
        <f aca="false">IFERROR(IF((C58)=0,"",(C58)),"")</f>
        <v/>
      </c>
      <c r="E58" s="143" t="str">
        <f aca="false">IFERROR(IF((D58)=0,"",(D58)),"")</f>
        <v/>
      </c>
      <c r="F58" s="144" t="str">
        <f aca="false">IFERROR(IF((CHOOSE(MATCH(B$2,{"1. T-12 Actuals","2. My Version","3. Projected","4. Offer"},0),B58,C58,D58,E58))=0,"",(CHOOSE(MATCH(B$2,{"1. T-12 Actuals","2. My Version","3. Projected","4. Offer"},0),B58,C58,D58,E58))),"")</f>
        <v/>
      </c>
      <c r="G58" s="204" t="str">
        <f aca="false">IFERROR(IF((IFERROR(TEXT(F58/'Prop Info'!$B$6,"$#,##0")&amp;"/Unit | "&amp;TEXT(F58/F50,"0.0%"),""))=0,"",(IFERROR(TEXT(F58/'Prop Info'!$B$6,"$#,##0")&amp;"/Unit | "&amp;TEXT(F58/F50,"0.0%"),""))),"")</f>
        <v/>
      </c>
      <c r="H58" s="207" t="s">
        <v>711</v>
      </c>
    </row>
    <row r="59" customFormat="false" ht="15" hidden="false" customHeight="true" outlineLevel="1" collapsed="false">
      <c r="A59" s="145" t="s">
        <v>712</v>
      </c>
      <c r="B59" s="203" t="str">
        <f aca="false">IFERROR(IF(('T-12 Analysis'!N91)=0,"",('T-12 Analysis'!N91)),"")</f>
        <v/>
      </c>
      <c r="C59" s="148" t="str">
        <f aca="false">IFERROR(IF((B59)=0,"",(B59)),"")</f>
        <v/>
      </c>
      <c r="D59" s="148" t="str">
        <f aca="false">IFERROR(IF((C59)=0,"",(C59)),"")</f>
        <v/>
      </c>
      <c r="E59" s="148" t="str">
        <f aca="false">IFERROR(IF((D59)=0,"",(D59)),"")</f>
        <v/>
      </c>
      <c r="F59" s="144" t="str">
        <f aca="false">IFERROR(IF((CHOOSE(MATCH(B$2,{"1. T-12 Actuals","2. My Version","3. Projected","4. Offer"},0),B59,C59,D59,E59))=0,"",(CHOOSE(MATCH(B$2,{"1. T-12 Actuals","2. My Version","3. Projected","4. Offer"},0),B59,C59,D59,E59))),"")</f>
        <v/>
      </c>
      <c r="G59" s="205" t="str">
        <f aca="false">IFERROR(IF((IFERROR(TEXT(F59/'Prop Info'!$B$6,"$#,##0")&amp;"/Unit | "&amp;TEXT(F59/F50,"0.0%"),""))=0,"",(IFERROR(TEXT(F59/'Prop Info'!$B$6,"$#,##0")&amp;"/Unit | "&amp;TEXT(F59/F50,"0.0%"),""))),"")</f>
        <v/>
      </c>
      <c r="H59" s="206" t="s">
        <v>713</v>
      </c>
    </row>
    <row r="60" customFormat="false" ht="15" hidden="false" customHeight="true" outlineLevel="1" collapsed="false">
      <c r="A60" s="141" t="s">
        <v>714</v>
      </c>
      <c r="B60" s="203" t="str">
        <f aca="false">IFERROR(IF(('T-12 Analysis'!N93)=0,"",('T-12 Analysis'!N93)),"")</f>
        <v/>
      </c>
      <c r="C60" s="143" t="str">
        <f aca="false">IFERROR(IF((B60)=0,"",(B60)),"")</f>
        <v/>
      </c>
      <c r="D60" s="143" t="str">
        <f aca="false">IFERROR(IF((C60)=0,"",(C60)),"")</f>
        <v/>
      </c>
      <c r="E60" s="143" t="str">
        <f aca="false">IFERROR(IF((D60)=0,"",(D60)),"")</f>
        <v/>
      </c>
      <c r="F60" s="144" t="str">
        <f aca="false">IFERROR(IF((CHOOSE(MATCH(B$2,{"1. T-12 Actuals","2. My Version","3. Projected","4. Offer"},0),B60,C60,D60,E60))=0,"",(CHOOSE(MATCH(B$2,{"1. T-12 Actuals","2. My Version","3. Projected","4. Offer"},0),B60,C60,D60,E60))),"")</f>
        <v/>
      </c>
      <c r="G60" s="204" t="str">
        <f aca="false">IFERROR(IF((IFERROR(TEXT(F60/'Prop Info'!$B$6,"$#,##0")&amp;"/Unit | "&amp;TEXT(F60/F50,"0.0%"),""))=0,"",(IFERROR(TEXT(F60/'Prop Info'!$B$6,"$#,##0")&amp;"/Unit | "&amp;TEXT(F60/F50,"0.0%"),""))),"")</f>
        <v/>
      </c>
      <c r="H60" s="206" t="s">
        <v>715</v>
      </c>
    </row>
    <row r="61" customFormat="false" ht="15" hidden="false" customHeight="true" outlineLevel="1" collapsed="false">
      <c r="A61" s="145" t="s">
        <v>716</v>
      </c>
      <c r="B61" s="203" t="str">
        <f aca="false">IFERROR(IF(('T-12 Analysis'!N97)=0,"",('T-12 Analysis'!N97)),"")</f>
        <v/>
      </c>
      <c r="C61" s="148" t="str">
        <f aca="false">IFERROR(IF((B61)=0,"",(B61)),"")</f>
        <v/>
      </c>
      <c r="D61" s="148" t="str">
        <f aca="false">IFERROR(IF((C61)=0,"",(C61)),"")</f>
        <v/>
      </c>
      <c r="E61" s="148" t="str">
        <f aca="false">IFERROR(IF((D61)=0,"",(D61)),"")</f>
        <v/>
      </c>
      <c r="F61" s="144" t="str">
        <f aca="false">IFERROR(IF((CHOOSE(MATCH(B$2,{"1. T-12 Actuals","2. My Version","3. Projected","4. Offer"},0),B61,C61,D61,E61))=0,"",(CHOOSE(MATCH(B$2,{"1. T-12 Actuals","2. My Version","3. Projected","4. Offer"},0),B61,C61,D61,E61))),"")</f>
        <v/>
      </c>
      <c r="G61" s="205" t="str">
        <f aca="false">IFERROR(IF((IFERROR(TEXT(F61/'Prop Info'!$B$6,"$#,##0")&amp;"/Unit | "&amp;TEXT(F61/F50,"0.0%"),""))=0,"",(IFERROR(TEXT(F61/'Prop Info'!$B$6,"$#,##0")&amp;"/Unit | "&amp;TEXT(F61/F50,"0.0%"),""))),"")</f>
        <v/>
      </c>
      <c r="H61" s="206" t="s">
        <v>717</v>
      </c>
    </row>
    <row r="62" customFormat="false" ht="15" hidden="false" customHeight="true" outlineLevel="1" collapsed="false">
      <c r="A62" s="141" t="s">
        <v>718</v>
      </c>
      <c r="B62" s="196" t="str">
        <f aca="false">IFERROR(IF(('T-12 Analysis'!N99)=0,"",('T-12 Analysis'!N99)),"")</f>
        <v/>
      </c>
      <c r="C62" s="143" t="str">
        <f aca="false">IFERROR(IF((C50*0.05)=0,"",(C50*0.05)),"")</f>
        <v/>
      </c>
      <c r="D62" s="143" t="str">
        <f aca="false">IFERROR(IF((D50*0.05)=0,"",(D50*0.05)),"")</f>
        <v/>
      </c>
      <c r="E62" s="143" t="str">
        <f aca="false">IFERROR(IF((E50*0.05)=0,"",(E50*0.05)),"")</f>
        <v/>
      </c>
      <c r="F62" s="144" t="str">
        <f aca="false">IFERROR(IF((CHOOSE(MATCH(B$2,{"1. T-12 Actuals","2. My Version","3. Projected","4. Offer"},0),B62,C62,D62,E62))=0,"",(CHOOSE(MATCH(B$2,{"1. T-12 Actuals","2. My Version","3. Projected","4. Offer"},0),B62,C62,D62,E62))),"")</f>
        <v/>
      </c>
      <c r="G62" s="204" t="str">
        <f aca="false">IFERROR(IF((IFERROR(TEXT(F62/'Prop Info'!$B$6,"$#,##0")&amp;"/Unit | "&amp;TEXT(F62/F50,"0.0%"),""))=0,"",(IFERROR(TEXT(F62/'Prop Info'!$B$6,"$#,##0")&amp;"/Unit | "&amp;TEXT(F62/F50,"0.0%"),""))),"")</f>
        <v/>
      </c>
      <c r="H62" s="206" t="s">
        <v>719</v>
      </c>
    </row>
    <row r="63" customFormat="false" ht="15" hidden="false" customHeight="true" outlineLevel="1" collapsed="false">
      <c r="A63" s="145" t="s">
        <v>720</v>
      </c>
      <c r="B63" s="196" t="str">
        <f aca="false">IFERROR(IF(('T-12 Analysis'!N88)=0,"",('T-12 Analysis'!N88)),"")</f>
        <v/>
      </c>
      <c r="C63" s="148" t="str">
        <f aca="false">IFERROR(IF((IFERROR(Total_Payroll,0))=0,"",(IFERROR(Total_Payroll,0))),"")</f>
        <v/>
      </c>
      <c r="D63" s="148" t="str">
        <f aca="false">IFERROR(IF((IFERROR(Total_Payroll,0))=0,"",(IFERROR(Total_Payroll,0))),"")</f>
        <v/>
      </c>
      <c r="E63" s="148" t="str">
        <f aca="false">IFERROR(IF((IFERROR(Total_Payroll,0))=0,"",(IFERROR(Total_Payroll,0))),"")</f>
        <v/>
      </c>
      <c r="F63" s="144" t="str">
        <f aca="false">IFERROR(IF((CHOOSE(MATCH(B$2,{"1. T-12 Actuals","2. My Version","3. Projected","4. Offer"},0),B63,C63,D63,E63))=0,"",(CHOOSE(MATCH(B$2,{"1. T-12 Actuals","2. My Version","3. Projected","4. Offer"},0),B63,C63,D63,E63))),"")</f>
        <v/>
      </c>
      <c r="G63" s="205" t="str">
        <f aca="false">IFERROR(IF((IFERROR(TEXT(F63/'Prop Info'!$B$6,"$#,##0")&amp;"/Unit | "&amp;TEXT(F63/F50,"0.0%"),""))=0,"",(IFERROR(TEXT(F63/'Prop Info'!$B$6,"$#,##0")&amp;"/Unit | "&amp;TEXT(F63/F50,"0.0%"),""))),"")</f>
        <v/>
      </c>
      <c r="H63" s="208" t="s">
        <v>721</v>
      </c>
    </row>
    <row r="64" customFormat="false" ht="15" hidden="false" customHeight="true" outlineLevel="1" collapsed="false">
      <c r="A64" s="141" t="s">
        <v>722</v>
      </c>
      <c r="B64" s="203" t="str">
        <f aca="false">IFERROR(IF(('T-12 Analysis'!N82+'T-12 Analysis'!N85)=0,"",('T-12 Analysis'!N82+'T-12 Analysis'!N85)),"")</f>
        <v/>
      </c>
      <c r="C64" s="142" t="str">
        <f aca="false">IFERROR(IF((B64)=0,"",(B64)),"")</f>
        <v/>
      </c>
      <c r="D64" s="143" t="str">
        <f aca="false">IFERROR(IF((C64)=0,"",(C64)),"")</f>
        <v/>
      </c>
      <c r="E64" s="143" t="str">
        <f aca="false">IFERROR(IF((D64)=0,"",(D64)),"")</f>
        <v/>
      </c>
      <c r="F64" s="144" t="str">
        <f aca="false">IFERROR(IF((CHOOSE(MATCH(B$2,{"1. T-12 Actuals","2. My Version","3. Projected","4. Offer"},0),B64,C64,D64,E64))=0,"",(CHOOSE(MATCH(B$2,{"1. T-12 Actuals","2. My Version","3. Projected","4. Offer"},0),B64,C64,D64,E64))),"")</f>
        <v/>
      </c>
      <c r="G64" s="204" t="str">
        <f aca="false">IFERROR(IF((IFERROR(TEXT(F64/'Prop Info'!$B$6,"$#,##0")&amp;"/Unit | "&amp;TEXT(F64/F50,"0.0%"),""))=0,"",(IFERROR(TEXT(F64/'Prop Info'!$B$6,"$#,##0")&amp;"/Unit | "&amp;TEXT(F64/F50,"0.0%"),""))),"")</f>
        <v/>
      </c>
      <c r="H64" s="207" t="s">
        <v>723</v>
      </c>
    </row>
    <row r="65" customFormat="false" ht="15" hidden="false" customHeight="true" outlineLevel="1" collapsed="false">
      <c r="A65" s="141" t="s">
        <v>724</v>
      </c>
      <c r="B65" s="203" t="str">
        <f aca="false">IFERROR(IF(('T-12 Analysis'!N83)=0,"",('T-12 Analysis'!N83)),"")</f>
        <v/>
      </c>
      <c r="C65" s="142" t="str">
        <f aca="false">IFERROR(IF((B65)=0,"",(B65)),"")</f>
        <v/>
      </c>
      <c r="D65" s="143" t="str">
        <f aca="false">IFERROR(IF((C65)=0,"",(C65)),"")</f>
        <v/>
      </c>
      <c r="E65" s="143" t="str">
        <f aca="false">IFERROR(IF((D65)=0,"",(D65)),"")</f>
        <v/>
      </c>
      <c r="F65" s="144" t="str">
        <f aca="false">IFERROR(IF((CHOOSE(MATCH(B$2,{"1. T-12 Actuals","2. My Version","3. Projected","4. Offer"},0),B65,C65,D65,E65))=0,"",(CHOOSE(MATCH(B$2,{"1. T-12 Actuals","2. My Version","3. Projected","4. Offer"},0),B65,C65,D65,E65))),"")</f>
        <v/>
      </c>
      <c r="G65" s="209"/>
      <c r="H65" s="207"/>
    </row>
    <row r="66" customFormat="false" ht="15" hidden="false" customHeight="true" outlineLevel="1" collapsed="false">
      <c r="A66" s="145" t="s">
        <v>725</v>
      </c>
      <c r="B66" s="203" t="str">
        <f aca="false">IFERROR(IF(('T-12 Analysis'!N87)=0,"",('T-12 Analysis'!N87)),"")</f>
        <v/>
      </c>
      <c r="C66" s="148" t="str">
        <f aca="false">IFERROR(IF((B66)=0,"",(B66)),"")</f>
        <v/>
      </c>
      <c r="D66" s="148" t="str">
        <f aca="false">IFERROR(IF((C66)=0,"",(C66)),"")</f>
        <v/>
      </c>
      <c r="E66" s="148" t="str">
        <f aca="false">IFERROR(IF((D66)=0,"",(D66)),"")</f>
        <v/>
      </c>
      <c r="F66" s="144" t="str">
        <f aca="false">IFERROR(IF((CHOOSE(MATCH(B$2,{"1. T-12 Actuals","2. My Version","3. Projected","4. Offer"},0),B66,C66,D66,E66))=0,"",(CHOOSE(MATCH(B$2,{"1. T-12 Actuals","2. My Version","3. Projected","4. Offer"},0),B66,C66,D66,E66))),"")</f>
        <v/>
      </c>
      <c r="G66" s="205" t="str">
        <f aca="false">IFERROR(IF((IFERROR(TEXT(F66/'Prop Info'!$B$6,"$#,##0")&amp;"/Unit | "&amp;TEXT(F66/F50,"0.0%"),""))=0,"",(IFERROR(TEXT(F66/'Prop Info'!$B$6,"$#,##0")&amp;"/Unit | "&amp;TEXT(F66/F50,"0.0%"),""))),"")</f>
        <v/>
      </c>
      <c r="H66" s="206" t="s">
        <v>726</v>
      </c>
    </row>
    <row r="67" customFormat="false" ht="15" hidden="false" customHeight="true" outlineLevel="1" collapsed="false">
      <c r="A67" s="141" t="s">
        <v>727</v>
      </c>
      <c r="B67" s="203" t="str">
        <f aca="false">IFERROR(IF(('T-12 Analysis'!N96)=0,"",('T-12 Analysis'!N96)),"")</f>
        <v/>
      </c>
      <c r="C67" s="142" t="str">
        <f aca="false">IFERROR(IF((B67)=0,"",(B67)),"")</f>
        <v/>
      </c>
      <c r="D67" s="143" t="str">
        <f aca="false">IFERROR(IF((C67)=0,"",(C67)),"")</f>
        <v/>
      </c>
      <c r="E67" s="143" t="str">
        <f aca="false">IFERROR(IF((D67)=0,"",(D67)),"")</f>
        <v/>
      </c>
      <c r="F67" s="144" t="str">
        <f aca="false">IFERROR(IF((CHOOSE(MATCH(B$2,{"1. T-12 Actuals","2. My Version","3. Projected","4. Offer"},0),B67,C67,D67,E67))=0,"",(CHOOSE(MATCH(B$2,{"1. T-12 Actuals","2. My Version","3. Projected","4. Offer"},0),B67,C67,D67,E67))),"")</f>
        <v/>
      </c>
      <c r="G67" s="204" t="str">
        <f aca="false">IFERROR(IF((IFERROR(TEXT(F67/'Prop Info'!$B$6,"$#,##0")&amp;"/Unit | "&amp;TEXT(F67/F50,"0.0%"),""))=0,"",(IFERROR(TEXT(F67/'Prop Info'!$B$6,"$#,##0")&amp;"/Unit | "&amp;TEXT(F67/F50,"0.0%"),""))),"")</f>
        <v/>
      </c>
      <c r="H67" s="206" t="s">
        <v>728</v>
      </c>
    </row>
    <row r="68" customFormat="false" ht="15" hidden="false" customHeight="true" outlineLevel="1" collapsed="false">
      <c r="A68" s="145" t="s">
        <v>729</v>
      </c>
      <c r="B68" s="203" t="str">
        <f aca="false">IFERROR(IF(('T-12 Analysis'!N86)=0,"",('T-12 Analysis'!N86)),"")</f>
        <v/>
      </c>
      <c r="C68" s="148" t="str">
        <f aca="false">IFERROR(IF((B68)=0,"",(B68)),"")</f>
        <v/>
      </c>
      <c r="D68" s="148" t="str">
        <f aca="false">IFERROR(IF((C68)=0,"",(C68)),"")</f>
        <v/>
      </c>
      <c r="E68" s="148" t="str">
        <f aca="false">IFERROR(IF((D68)=0,"",(D68)),"")</f>
        <v/>
      </c>
      <c r="F68" s="144" t="str">
        <f aca="false">IFERROR(IF((CHOOSE(MATCH(B$2,{"1. T-12 Actuals","2. My Version","3. Projected","4. Offer"},0),B68,C68,D68,E68))=0,"",(CHOOSE(MATCH(B$2,{"1. T-12 Actuals","2. My Version","3. Projected","4. Offer"},0),B68,C68,D68,E68))),"")</f>
        <v/>
      </c>
      <c r="G68" s="205" t="str">
        <f aca="false">IFERROR(IF((IFERROR(TEXT(F68/'Prop Info'!$B$6,"$#,##0")&amp;"/Unit | "&amp;TEXT(F68/F50,"0.0%"),""))=0,"",(IFERROR(TEXT(F68/'Prop Info'!$B$6,"$#,##0")&amp;"/Unit | "&amp;TEXT(F68/F50,"0.0%"),""))),"")</f>
        <v/>
      </c>
      <c r="H68" s="206" t="s">
        <v>730</v>
      </c>
      <c r="I68" s="210"/>
    </row>
    <row r="69" customFormat="false" ht="15" hidden="false" customHeight="true" outlineLevel="1" collapsed="false">
      <c r="A69" s="141" t="s">
        <v>731</v>
      </c>
      <c r="B69" s="211"/>
      <c r="C69" s="143" t="str">
        <f aca="false">IFERROR(IF((B69)=0,"",(B69)),"")</f>
        <v/>
      </c>
      <c r="D69" s="143" t="str">
        <f aca="false">IFERROR(IF((C69)=0,"",(C69)),"")</f>
        <v/>
      </c>
      <c r="E69" s="143" t="str">
        <f aca="false">IFERROR(IF((D69)=0,"",(D69)),"")</f>
        <v/>
      </c>
      <c r="F69" s="144" t="str">
        <f aca="false">IFERROR(IF((CHOOSE(MATCH(B$2,{"1. T-12 Actuals","2. My Version","3. Projected","4. Offer"},0),B69,C69,D69,E69))=0,"",(CHOOSE(MATCH(B$2,{"1. T-12 Actuals","2. My Version","3. Projected","4. Offer"},0),B69,C69,D69,E69))),"")</f>
        <v/>
      </c>
      <c r="G69" s="204" t="str">
        <f aca="false">IFERROR(IF((IFERROR(TEXT(F69/'Prop Info'!$B$6,"$#,##0")&amp;"/Unit | "&amp;TEXT(F69/F50,"0.0%"),""))=0,"",(IFERROR(TEXT(F69/'Prop Info'!$B$6,"$#,##0")&amp;"/Unit | "&amp;TEXT(F69/F50,"0.0%"),""))),"")</f>
        <v/>
      </c>
      <c r="H69" s="206" t="s">
        <v>732</v>
      </c>
    </row>
    <row r="70" customFormat="false" ht="15" hidden="false" customHeight="true" outlineLevel="1" collapsed="false">
      <c r="A70" s="212" t="s">
        <v>733</v>
      </c>
      <c r="B70" s="213" t="str">
        <f aca="false">IFERROR(IF((SUM(B54:B69))=0,"",(SUM(B54:B69))),"")</f>
        <v/>
      </c>
      <c r="C70" s="213" t="str">
        <f aca="false">IFERROR(IF((SUM(C54:C69))=0,"",(SUM(C54:C69))),"")</f>
        <v/>
      </c>
      <c r="D70" s="213" t="str">
        <f aca="false">IFERROR(IF((SUM(D54:D69))=0,"",(SUM(D54:D69))),"")</f>
        <v/>
      </c>
      <c r="E70" s="213" t="str">
        <f aca="false">IFERROR(IF((SUM(E54:E69))=0,"",(SUM(E54:E69))),"")</f>
        <v/>
      </c>
      <c r="F70" s="168" t="str">
        <f aca="false">IFERROR(IF((CHOOSE(MATCH(B$2,{"1. T-12 Actuals","2. My Version","3. Projected","4. Offer"},0),B70,C70,D70,E70))=0,"",(CHOOSE(MATCH(B$2,{"1. T-12 Actuals","2. My Version","3. Projected","4. Offer"},0),B70,C70,D70,E70))),"")</f>
        <v/>
      </c>
      <c r="G70" s="214" t="str">
        <f aca="false">IFERROR(IF((IFERROR(TEXT(F70/'Prop Info'!$B$6,"$#,##0")&amp;"/Unit | "&amp;TEXT(F70/F50,"0.0%"),""))=0,"",(IFERROR(TEXT(F70/'Prop Info'!$B$6,"$#,##0")&amp;"/Unit | "&amp;TEXT(F70/F50,"0.0%"),""))),"")</f>
        <v/>
      </c>
      <c r="H70" s="215"/>
    </row>
    <row r="71" customFormat="false" ht="15" hidden="false" customHeight="true" outlineLevel="1" collapsed="false">
      <c r="G71" s="132"/>
      <c r="H71" s="216"/>
    </row>
    <row r="72" customFormat="false" ht="15" hidden="false" customHeight="true" outlineLevel="0" collapsed="false">
      <c r="A72" s="177" t="s">
        <v>734</v>
      </c>
      <c r="B72" s="168" t="str">
        <f aca="false">IFERROR(IF((B50-B70)=0,"",(B50-B70)),"")</f>
        <v/>
      </c>
      <c r="C72" s="168" t="str">
        <f aca="false">IFERROR(IF((C50-C70)=0,"",(C50-C70)),"")</f>
        <v/>
      </c>
      <c r="D72" s="168" t="str">
        <f aca="false">IFERROR(IF((D50-D70)=0,"",(D50-D70)),"")</f>
        <v/>
      </c>
      <c r="E72" s="168" t="str">
        <f aca="false">IFERROR(IF((E50-E70)=0,"",(E50-E70)),"")</f>
        <v/>
      </c>
      <c r="F72" s="168" t="str">
        <f aca="false">IFERROR(IF((CHOOSE(MATCH(B$2,{"1. T-12 Actuals","2. My Version","3. Projected","4. Offer"},0),B72,C72,D72,E72))=0,"",(CHOOSE(MATCH(B$2,{"1. T-12 Actuals","2. My Version","3. Projected","4. Offer"},0),B72,C72,D72,E72))),"")</f>
        <v/>
      </c>
      <c r="G72" s="217" t="str">
        <f aca="false">IFERROR(IF((IFERROR(TEXT(F72/'Prop Info'!$B$15,"$#,##0")&amp;"/Bed | "&amp;TEXT(F72/F50,"0.0%"),""))=0,"",(IFERROR(TEXT(F72/'Prop Info'!$B$15,"$#,##0")&amp;"/Bed | "&amp;TEXT(F72/F50,"0.0%"),""))),"")</f>
        <v/>
      </c>
      <c r="H72" s="215"/>
    </row>
    <row r="74" customFormat="false" ht="15" hidden="false" customHeight="true" outlineLevel="0" collapsed="false">
      <c r="A74" s="3" t="s">
        <v>735</v>
      </c>
      <c r="B74" s="3"/>
      <c r="C74" s="3"/>
      <c r="D74" s="3"/>
      <c r="E74" s="3"/>
      <c r="F74" s="3"/>
      <c r="G74" s="3"/>
      <c r="H74" s="3"/>
    </row>
    <row r="75" customFormat="false" ht="15" hidden="false" customHeight="true" outlineLevel="1" collapsed="false">
      <c r="A75" s="145" t="s">
        <v>736</v>
      </c>
      <c r="B75" s="165" t="str">
        <f aca="false">IFERROR(IF((IFERROR(B72/B7,0))=0,"",(IFERROR(B72/B7,0))),"")</f>
        <v/>
      </c>
      <c r="C75" s="165" t="str">
        <f aca="false">IFERROR(IF((IFERROR(C72/C7,0))=0,"",(IFERROR(C72/C7,0))),"")</f>
        <v/>
      </c>
      <c r="D75" s="165" t="str">
        <f aca="false">IFERROR(IF((IFERROR(D72/D7,0))=0,"",(IFERROR(D72/D7,0))),"")</f>
        <v/>
      </c>
      <c r="E75" s="165" t="str">
        <f aca="false">IFERROR(IF((IFERROR(E72/E7,0))=0,"",(IFERROR(E72/E7,0))),"")</f>
        <v/>
      </c>
      <c r="F75" s="159" t="str">
        <f aca="false">IFERROR(IF((CHOOSE(MATCH(B$2,{"1. T-12 Actuals","2. My Version","3. Projected","4. Offer"},0),B75,C75,D75,E75))=0,"",(CHOOSE(MATCH(B$2,{"1. T-12 Actuals","2. My Version","3. Projected","4. Offer"},0),B75,C75,D75,E75))),"")</f>
        <v/>
      </c>
      <c r="G75" s="171"/>
    </row>
    <row r="76" customFormat="false" ht="15" hidden="false" customHeight="true" outlineLevel="1" collapsed="false">
      <c r="A76" s="141" t="s">
        <v>737</v>
      </c>
      <c r="B76" s="143" t="str">
        <f aca="false">IFERROR(IF((B115)=0,"",(B115)),"")</f>
        <v/>
      </c>
      <c r="C76" s="143" t="str">
        <f aca="false">IFERROR(IF((C115)=0,"",(C115)),"")</f>
        <v/>
      </c>
      <c r="D76" s="143" t="str">
        <f aca="false">IFERROR(IF((D115)=0,"",(D115)),"")</f>
        <v/>
      </c>
      <c r="E76" s="143" t="str">
        <f aca="false">IFERROR(IF((E115)=0,"",(E115)),"")</f>
        <v/>
      </c>
      <c r="F76" s="218" t="str">
        <f aca="false">IFERROR(IF((CHOOSE(MATCH(B$2,{"1. T-12 Actuals","2. My Version","3. Projected","4. Offer"},0),B76,C76,D76,E76))=0,"",(CHOOSE(MATCH(B$2,{"1. T-12 Actuals","2. My Version","3. Projected","4. Offer"},0),B76,C76,D76,E76))),"")</f>
        <v/>
      </c>
      <c r="G76" s="169"/>
      <c r="H76" s="45" t="s">
        <v>738</v>
      </c>
    </row>
    <row r="77" customFormat="false" ht="15" hidden="false" customHeight="true" outlineLevel="1" collapsed="false">
      <c r="A77" s="145" t="s">
        <v>739</v>
      </c>
      <c r="B77" s="148" t="str">
        <f aca="false">IFERROR(IF((B72-B76)=0,"",(B72-B76)),"")</f>
        <v/>
      </c>
      <c r="C77" s="148" t="str">
        <f aca="false">IFERROR(IF((C72-C76)=0,"",(C72-C76)),"")</f>
        <v/>
      </c>
      <c r="D77" s="148" t="str">
        <f aca="false">IFERROR(IF((D72-D76)=0,"",(D72-D76)),"")</f>
        <v/>
      </c>
      <c r="E77" s="148" t="str">
        <f aca="false">IFERROR(IF((E72-E76)=0,"",(E72-E76)),"")</f>
        <v/>
      </c>
      <c r="F77" s="144" t="str">
        <f aca="false">IFERROR(IF((CHOOSE(MATCH(B$2,{"1. T-12 Actuals","2. My Version","3. Projected","4. Offer"},0),B77,C77,D77,E77))=0,"",(CHOOSE(MATCH(B$2,{"1. T-12 Actuals","2. My Version","3. Projected","4. Offer"},0),B77,C77,D77,E77))),"")</f>
        <v/>
      </c>
      <c r="G77" s="188"/>
      <c r="H77" s="149" t="s">
        <v>740</v>
      </c>
    </row>
    <row r="78" customFormat="false" ht="15" hidden="false" customHeight="true" outlineLevel="1" collapsed="false">
      <c r="A78" s="141" t="s">
        <v>741</v>
      </c>
      <c r="B78" s="219" t="str">
        <f aca="false">IFERROR(IF((IFERROR(B72/B76,0))=0,"",(IFERROR(B72/B76,0))),"")</f>
        <v/>
      </c>
      <c r="C78" s="219" t="str">
        <f aca="false">IFERROR(IF((IFERROR(C72/C76,0))=0,"",(IFERROR(C72/C76,0))),"")</f>
        <v/>
      </c>
      <c r="D78" s="219" t="str">
        <f aca="false">IFERROR(IF((IFERROR(D72/D76,0))=0,"",(IFERROR(D72/D76,0))),"")</f>
        <v/>
      </c>
      <c r="E78" s="219" t="str">
        <f aca="false">IFERROR(IF((IFERROR(E72/E76,0))=0,"",(IFERROR(E72/E76,0))),"")</f>
        <v/>
      </c>
      <c r="F78" s="220" t="str">
        <f aca="false">IFERROR(IF((CHOOSE(MATCH(B$2,{"1. T-12 Actuals","2. My Version","3. Projected","4. Offer"},0),B78,C78,D78,E78))=0,"",(CHOOSE(MATCH(B$2,{"1. T-12 Actuals","2. My Version","3. Projected","4. Offer"},0),B78,C78,D78,E78))),"")</f>
        <v/>
      </c>
      <c r="G78" s="221"/>
      <c r="H78" s="45" t="s">
        <v>742</v>
      </c>
    </row>
    <row r="79" customFormat="false" ht="15" hidden="false" customHeight="true" outlineLevel="1" collapsed="false">
      <c r="A79" s="145" t="s">
        <v>111</v>
      </c>
      <c r="B79" s="164"/>
      <c r="C79" s="222" t="str">
        <f aca="false">IFERROR(IF((B79)=0,"",(B79)),"")</f>
        <v/>
      </c>
      <c r="D79" s="164" t="str">
        <f aca="false">IFERROR(IF((C79)=0,"",(C79)),"")</f>
        <v/>
      </c>
      <c r="E79" s="164" t="str">
        <f aca="false">IFERROR(IF((D79)=0,"",(D79)),"")</f>
        <v/>
      </c>
      <c r="F79" s="159" t="str">
        <f aca="false">IFERROR(IF((CHOOSE(MATCH(B$2,{"1. T-12 Actuals","2. My Version","3. Projected","4. Offer"},0),B79,C79,D79,E79))=0,"",(CHOOSE(MATCH(B$2,{"1. T-12 Actuals","2. My Version","3. Projected","4. Offer"},0),B79,C79,D79,E79))),"")</f>
        <v/>
      </c>
      <c r="G79" s="171"/>
      <c r="H79" s="149" t="s">
        <v>743</v>
      </c>
    </row>
    <row r="80" customFormat="false" ht="15" hidden="false" customHeight="true" outlineLevel="1" collapsed="false">
      <c r="A80" s="141" t="s">
        <v>744</v>
      </c>
      <c r="B80" s="143" t="str">
        <f aca="false">IFERROR(IF((IFERROR(B72/B79,0))=0,"",(IFERROR(B72/B79,0))),"")</f>
        <v/>
      </c>
      <c r="C80" s="143" t="str">
        <f aca="false">IFERROR(IF((IFERROR(C72/C79,0))=0,"",(IFERROR(C72/C79,0))),"")</f>
        <v/>
      </c>
      <c r="D80" s="143" t="str">
        <f aca="false">IFERROR(IF((IFERROR(D72/D79,0))=0,"",(IFERROR(D72/D79,0))),"")</f>
        <v/>
      </c>
      <c r="E80" s="143" t="str">
        <f aca="false">IFERROR(IF((IFERROR(E72/E79,0))=0,"",(IFERROR(E72/E79,0))),"")</f>
        <v/>
      </c>
      <c r="F80" s="144" t="str">
        <f aca="false">IFERROR(IF((CHOOSE(MATCH(B$2,{"1. T-12 Actuals","2. My Version","3. Projected","4. Offer"},0),B80,C80,D80,E80))=0,"",(CHOOSE(MATCH(B$2,{"1. T-12 Actuals","2. My Version","3. Projected","4. Offer"},0),B80,C80,D80,E80))),"")</f>
        <v/>
      </c>
      <c r="G80" s="188"/>
    </row>
    <row r="81" customFormat="false" ht="15" hidden="false" customHeight="true" outlineLevel="1" collapsed="false">
      <c r="A81" s="223" t="s">
        <v>112</v>
      </c>
      <c r="B81" s="224" t="str">
        <f aca="false">IFERROR(IF((B7)=0,"",(B7)),"")</f>
        <v/>
      </c>
      <c r="C81" s="225" t="str">
        <f aca="false">IFERROR(IF((C7)=0,"",(C7)),"")</f>
        <v/>
      </c>
      <c r="D81" s="225" t="str">
        <f aca="false">IFERROR(IF((D7)=0,"",(D7)),"")</f>
        <v/>
      </c>
      <c r="E81" s="225" t="str">
        <f aca="false">IFERROR(IF((E7)=0,"",(E7)),"")</f>
        <v/>
      </c>
      <c r="F81" s="226" t="str">
        <f aca="false">IFERROR(IF((CHOOSE(MATCH(B$2,{"1. T-12 Actuals","2. My Version","3. Projected","4. Offer"},0),B81,C81,D81,E81))=0,"",(CHOOSE(MATCH(B$2,{"1. T-12 Actuals","2. My Version","3. Projected","4. Offer"},0),B81,C81,D81,E81))),"")</f>
        <v/>
      </c>
      <c r="H81" s="227" t="s">
        <v>745</v>
      </c>
    </row>
    <row r="82" customFormat="false" ht="15" hidden="false" customHeight="true" outlineLevel="1" collapsed="false">
      <c r="A82" s="145" t="s">
        <v>26</v>
      </c>
      <c r="B82" s="228"/>
      <c r="C82" s="229" t="str">
        <f aca="false">IFERROR(IF((B82)=0,"",(B82)),"")</f>
        <v/>
      </c>
      <c r="D82" s="228" t="str">
        <f aca="false">IFERROR(IF((C82)=0,"",(C82)),"")</f>
        <v/>
      </c>
      <c r="E82" s="228" t="str">
        <f aca="false">IFERROR(IF((D82)=0,"",(D82)),"")</f>
        <v/>
      </c>
      <c r="F82" s="153" t="str">
        <f aca="false">IFERROR(IF((CHOOSE(MATCH(B$2,{"1. T-12 Actuals","2. My Version","3. Projected","4. Offer"},0),B82,C82,D82,E82))=0,"",(CHOOSE(MATCH(B$2,{"1. T-12 Actuals","2. My Version","3. Projected","4. Offer"},0),B82,C82,D82,E82))),"")</f>
        <v/>
      </c>
      <c r="G82" s="230"/>
      <c r="H82" s="149" t="s">
        <v>746</v>
      </c>
    </row>
    <row r="83" customFormat="false" ht="15" hidden="false" customHeight="true" outlineLevel="1" collapsed="false">
      <c r="A83" s="141" t="s">
        <v>28</v>
      </c>
      <c r="B83" s="156"/>
      <c r="C83" s="173" t="str">
        <f aca="false">IFERROR(IF((B83)=0,"",(B83)),"")</f>
        <v/>
      </c>
      <c r="D83" s="156" t="str">
        <f aca="false">IFERROR(IF((C83)=0,"",(C83)),"")</f>
        <v/>
      </c>
      <c r="E83" s="156" t="str">
        <f aca="false">IFERROR(IF((D83)=0,"",(D83)),"")</f>
        <v/>
      </c>
      <c r="F83" s="159" t="str">
        <f aca="false">IFERROR(IF((CHOOSE(MATCH(B$2,{"1. T-12 Actuals","2. My Version","3. Projected","4. Offer"},0),B83,C83,D83,E83))=0,"",(CHOOSE(MATCH(B$2,{"1. T-12 Actuals","2. My Version","3. Projected","4. Offer"},0),B83,C83,D83,E83))),"")</f>
        <v/>
      </c>
      <c r="G83" s="171"/>
      <c r="H83" s="45" t="s">
        <v>747</v>
      </c>
    </row>
    <row r="84" customFormat="false" ht="15" hidden="false" customHeight="true" outlineLevel="1" collapsed="false">
      <c r="A84" s="231"/>
      <c r="B84" s="231"/>
      <c r="C84" s="231"/>
      <c r="D84" s="231"/>
      <c r="E84" s="231"/>
      <c r="F84" s="231"/>
      <c r="G84" s="231"/>
      <c r="H84" s="231"/>
    </row>
    <row r="85" customFormat="false" ht="15" hidden="false" customHeight="true" outlineLevel="0" collapsed="false">
      <c r="A85" s="3" t="s">
        <v>748</v>
      </c>
      <c r="B85" s="3"/>
      <c r="C85" s="3"/>
      <c r="D85" s="3"/>
      <c r="E85" s="3"/>
      <c r="F85" s="3"/>
      <c r="G85" s="3"/>
      <c r="H85" s="3"/>
    </row>
    <row r="86" customFormat="false" ht="15" hidden="false" customHeight="true" outlineLevel="1" collapsed="false">
      <c r="A86" s="232" t="s">
        <v>749</v>
      </c>
      <c r="B86" s="232"/>
      <c r="C86" s="232"/>
      <c r="D86" s="232"/>
      <c r="E86" s="232"/>
      <c r="F86" s="232"/>
      <c r="G86" s="232"/>
      <c r="H86" s="232"/>
    </row>
    <row r="87" customFormat="false" ht="15" hidden="false" customHeight="true" outlineLevel="1" collapsed="false">
      <c r="A87" s="38" t="s">
        <v>750</v>
      </c>
    </row>
    <row r="88" customFormat="false" ht="15" hidden="false" customHeight="true" outlineLevel="1" collapsed="false">
      <c r="A88" s="145" t="s">
        <v>751</v>
      </c>
      <c r="B88" s="148" t="str">
        <f aca="false">IFERROR(IF((IF(B120="YES",B17*(1-B10),B7*(1-B10)))=0,"",(IF(B120="YES",B17*(1-B10),B7*(1-B10)))),"")</f>
        <v/>
      </c>
      <c r="C88" s="148" t="str">
        <f aca="false">IFERROR(IF((IF(C120="YES",C17*(1-C10),C7*(1-C10)))=0,"",(IF(C120="YES",C17*(1-C10),C7*(1-C10)))),"")</f>
        <v/>
      </c>
      <c r="D88" s="148" t="str">
        <f aca="false">IFERROR(IF((IF(D120="YES",D17*(1-D10),D7*(1-D10)))=0,"",(IF(D120="YES",D17*(1-D10),D7*(1-D10)))),"")</f>
        <v/>
      </c>
      <c r="E88" s="148" t="str">
        <f aca="false">IFERROR(IF((IF(E120="YES",E17*(1-E10),E7*(1-E10)))=0,"",(IF(E120="YES",E17*(1-E10),E7*(1-E10)))),"")</f>
        <v/>
      </c>
      <c r="F88" s="178" t="str">
        <f aca="false">IFERROR(IF((CHOOSE(MATCH(B$2,{"1. T-12 Actuals","2. My Version","3. Projected","4. Offer"},0),B88,C88,D88,E88))=0,"",(CHOOSE(MATCH(B$2,{"1. T-12 Actuals","2. My Version","3. Projected","4. Offer"},0),B88,C88,D88,E88))),"")</f>
        <v/>
      </c>
      <c r="G88" s="178"/>
      <c r="H88" s="149" t="s">
        <v>752</v>
      </c>
    </row>
    <row r="89" customFormat="false" ht="15" hidden="false" customHeight="true" outlineLevel="1" collapsed="false">
      <c r="A89" s="141" t="s">
        <v>753</v>
      </c>
      <c r="B89" s="156"/>
      <c r="C89" s="173"/>
      <c r="D89" s="156"/>
      <c r="E89" s="156"/>
      <c r="F89" s="174" t="str">
        <f aca="false">IFERROR(IF((CHOOSE(MATCH(B$2,{"1. T-12 Actuals","2. My Version","3. Projected","4. Offer"},0),B89,C89,D89,E89))=0,"",(CHOOSE(MATCH(B$2,{"1. T-12 Actuals","2. My Version","3. Projected","4. Offer"},0),B89,C89,D89,E89))),"")</f>
        <v/>
      </c>
      <c r="G89" s="174"/>
      <c r="H89" s="45" t="s">
        <v>754</v>
      </c>
    </row>
    <row r="90" customFormat="false" ht="15" hidden="false" customHeight="true" outlineLevel="1" collapsed="false">
      <c r="A90" s="145" t="s">
        <v>755</v>
      </c>
      <c r="B90" s="228"/>
      <c r="C90" s="229"/>
      <c r="D90" s="228"/>
      <c r="E90" s="228"/>
      <c r="F90" s="200" t="str">
        <f aca="false">IFERROR(IF((CHOOSE(MATCH(B$2,{"1. T-12 Actuals","2. My Version","3. Projected","4. Offer"},0),B90,C90,D90,E90))=0,"",(CHOOSE(MATCH(B$2,{"1. T-12 Actuals","2. My Version","3. Projected","4. Offer"},0),B90,C90,D90,E90))),"")</f>
        <v/>
      </c>
      <c r="G90" s="200"/>
      <c r="H90" s="149" t="s">
        <v>756</v>
      </c>
    </row>
    <row r="91" customFormat="false" ht="15" hidden="false" customHeight="true" outlineLevel="1" collapsed="false">
      <c r="A91" s="141" t="s">
        <v>757</v>
      </c>
      <c r="B91" s="233"/>
      <c r="C91" s="234"/>
      <c r="D91" s="233"/>
      <c r="E91" s="233"/>
      <c r="F91" s="200" t="str">
        <f aca="false">IFERROR(IF((CHOOSE(MATCH(B$2,{"1. T-12 Actuals","2. My Version","3. Projected","4. Offer"},0),B91,C91,D91,E91))=0,"",(CHOOSE(MATCH(B$2,{"1. T-12 Actuals","2. My Version","3. Projected","4. Offer"},0),B91,C91,D91,E91))),"")</f>
        <v/>
      </c>
      <c r="G91" s="200"/>
      <c r="H91" s="45" t="s">
        <v>758</v>
      </c>
    </row>
    <row r="92" customFormat="false" ht="15" hidden="false" customHeight="true" outlineLevel="1" collapsed="false">
      <c r="A92" s="145" t="s">
        <v>759</v>
      </c>
      <c r="B92" s="228"/>
      <c r="C92" s="229"/>
      <c r="D92" s="228"/>
      <c r="E92" s="228"/>
      <c r="F92" s="200" t="str">
        <f aca="false">IFERROR(IF((CHOOSE(MATCH(B$2,{"1. T-12 Actuals","2. My Version","3. Projected","4. Offer"},0),B92,C92,D92,E92))=0,"",(CHOOSE(MATCH(B$2,{"1. T-12 Actuals","2. My Version","3. Projected","4. Offer"},0),B92,C92,D92,E92))),"")</f>
        <v/>
      </c>
      <c r="G92" s="200"/>
      <c r="H92" s="149" t="s">
        <v>760</v>
      </c>
    </row>
    <row r="93" customFormat="false" ht="15" hidden="false" customHeight="true" outlineLevel="1" collapsed="false">
      <c r="A93" s="235" t="s">
        <v>113</v>
      </c>
      <c r="B93" s="236" t="n">
        <v>0.01</v>
      </c>
      <c r="C93" s="236" t="n">
        <v>0.01</v>
      </c>
      <c r="D93" s="237" t="n">
        <f aca="false">IFERROR(IF((C93)=0,"",(C93)),"")</f>
        <v>0.01</v>
      </c>
      <c r="E93" s="237" t="n">
        <f aca="false">IFERROR(IF((D93)=0,"",(D93)),"")</f>
        <v>0.01</v>
      </c>
      <c r="F93" s="237" t="n">
        <f aca="false">IFERROR(IF((CHOOSE(MATCH(B$2,{"1. T-12 Actuals","2. My Version","3. Projected","4. Offer"},0),B93,C93,D93,E93))=0,"",(CHOOSE(MATCH(B$2,{"1. T-12 Actuals","2. My Version","3. Projected","4. Offer"},0),B93,C93,D93,E93))),"")</f>
        <v>0.01</v>
      </c>
      <c r="H93" s="0" t="s">
        <v>761</v>
      </c>
    </row>
    <row r="94" customFormat="false" ht="15" hidden="false" customHeight="true" outlineLevel="1" collapsed="false">
      <c r="A94" s="238" t="s">
        <v>762</v>
      </c>
    </row>
    <row r="95" customFormat="false" ht="15" hidden="false" customHeight="true" outlineLevel="1" collapsed="false">
      <c r="A95" s="141" t="s">
        <v>114</v>
      </c>
      <c r="B95" s="142"/>
      <c r="C95" s="239" t="n">
        <v>0</v>
      </c>
      <c r="D95" s="142"/>
      <c r="E95" s="142"/>
      <c r="F95" s="178" t="str">
        <f aca="false">IFERROR(IF((CHOOSE(MATCH(B$2,{"1. T-12 Actuals","2. My Version","3. Projected","4. Offer"},0),B95,C95,D95,E95))=0,"",(CHOOSE(MATCH(B$2,{"1. T-12 Actuals","2. My Version","3. Projected","4. Offer"},0),B95,C95,D95,E95))),"")</f>
        <v/>
      </c>
      <c r="G95" s="178"/>
      <c r="H95" s="45" t="s">
        <v>650</v>
      </c>
    </row>
    <row r="96" customFormat="false" ht="15" hidden="false" customHeight="true" outlineLevel="1" collapsed="false">
      <c r="A96" s="145" t="s">
        <v>115</v>
      </c>
      <c r="B96" s="164"/>
      <c r="C96" s="183" t="n">
        <v>0</v>
      </c>
      <c r="D96" s="164"/>
      <c r="E96" s="164"/>
      <c r="F96" s="174" t="str">
        <f aca="false">IFERROR(IF((CHOOSE(MATCH(B$2,{"1. T-12 Actuals","2. My Version","3. Projected","4. Offer"},0),B96,C96,D96,E96))=0,"",(CHOOSE(MATCH(B$2,{"1. T-12 Actuals","2. My Version","3. Projected","4. Offer"},0),B96,C96,D96,E96))),"")</f>
        <v/>
      </c>
      <c r="G96" s="174"/>
      <c r="H96" s="149" t="s">
        <v>763</v>
      </c>
    </row>
    <row r="97" customFormat="false" ht="15" hidden="false" customHeight="true" outlineLevel="1" collapsed="false">
      <c r="A97" s="141" t="s">
        <v>116</v>
      </c>
      <c r="B97" s="233"/>
      <c r="C97" s="234" t="n">
        <v>0</v>
      </c>
      <c r="D97" s="233"/>
      <c r="E97" s="233"/>
      <c r="F97" s="200" t="str">
        <f aca="false">IFERROR(IF((CHOOSE(MATCH(B$2,{"1. T-12 Actuals","2. My Version","3. Projected","4. Offer"},0),B97,C97,D97,E97))=0,"",(CHOOSE(MATCH(B$2,{"1. T-12 Actuals","2. My Version","3. Projected","4. Offer"},0),B97,C97,D97,E97))),"")</f>
        <v/>
      </c>
      <c r="G97" s="200"/>
    </row>
    <row r="98" customFormat="false" ht="15" hidden="false" customHeight="true" outlineLevel="1" collapsed="false">
      <c r="A98" s="145" t="s">
        <v>117</v>
      </c>
      <c r="B98" s="228"/>
      <c r="C98" s="229" t="n">
        <v>0</v>
      </c>
      <c r="D98" s="228"/>
      <c r="E98" s="228"/>
      <c r="F98" s="200" t="str">
        <f aca="false">IFERROR(IF((CHOOSE(MATCH(B$2,{"1. T-12 Actuals","2. My Version","3. Projected","4. Offer"},0),B98,C98,D98,E98))=0,"",(CHOOSE(MATCH(B$2,{"1. T-12 Actuals","2. My Version","3. Projected","4. Offer"},0),B98,C98,D98,E98))),"")</f>
        <v/>
      </c>
      <c r="G98" s="200"/>
    </row>
    <row r="99" customFormat="false" ht="15" hidden="false" customHeight="true" outlineLevel="1" collapsed="false">
      <c r="A99" s="141" t="s">
        <v>118</v>
      </c>
      <c r="B99" s="233"/>
      <c r="C99" s="234" t="n">
        <v>0</v>
      </c>
      <c r="D99" s="233"/>
      <c r="E99" s="233"/>
      <c r="F99" s="200" t="str">
        <f aca="false">IFERROR(IF((CHOOSE(MATCH(B$2,{"1. T-12 Actuals","2. My Version","3. Projected","4. Offer"},0),B99,C99,D99,E99))=0,"",(CHOOSE(MATCH(B$2,{"1. T-12 Actuals","2. My Version","3. Projected","4. Offer"},0),B99,C99,D99,E99))),"")</f>
        <v/>
      </c>
      <c r="G99" s="200"/>
    </row>
    <row r="100" customFormat="false" ht="15" hidden="false" customHeight="true" outlineLevel="1" collapsed="false">
      <c r="A100" s="240" t="s">
        <v>119</v>
      </c>
      <c r="B100" s="236" t="n">
        <v>0</v>
      </c>
      <c r="C100" s="236" t="n">
        <v>0</v>
      </c>
      <c r="D100" s="237" t="str">
        <f aca="false">IFERROR(IF((C100)=0,"",(C100)),"")</f>
        <v/>
      </c>
      <c r="E100" s="237" t="str">
        <f aca="false">IFERROR(IF((D100)=0,"",(D100)),"")</f>
        <v/>
      </c>
      <c r="F100" s="237" t="str">
        <f aca="false">IFERROR(IF((CHOOSE(MATCH(B$2,{"1. T-12 Actuals","2. My Version","3. Projected","4. Offer"},0),B100,C100,D100,E100))=0,"",(CHOOSE(MATCH(B$2,{"1. T-12 Actuals","2. My Version","3. Projected","4. Offer"},0),B100,C100,D100,E100))),"")</f>
        <v/>
      </c>
      <c r="H100" s="0" t="s">
        <v>761</v>
      </c>
    </row>
    <row r="101" customFormat="false" ht="15" hidden="false" customHeight="true" outlineLevel="1" collapsed="false">
      <c r="A101" s="241" t="s">
        <v>764</v>
      </c>
    </row>
    <row r="102" customFormat="false" ht="15" hidden="false" customHeight="true" outlineLevel="1" collapsed="false">
      <c r="A102" s="145" t="s">
        <v>120</v>
      </c>
      <c r="B102" s="146"/>
      <c r="C102" s="242" t="n">
        <v>0</v>
      </c>
      <c r="D102" s="146"/>
      <c r="E102" s="146"/>
      <c r="F102" s="178" t="str">
        <f aca="false">IFERROR(IF((CHOOSE(MATCH(B$2,{"1. T-12 Actuals","2. My Version","3. Projected","4. Offer"},0),B102,C102,D102,E102))=0,"",(CHOOSE(MATCH(B$2,{"1. T-12 Actuals","2. My Version","3. Projected","4. Offer"},0),B102,C102,D102,E102))),"")</f>
        <v/>
      </c>
      <c r="G102" s="178"/>
      <c r="H102" s="149" t="s">
        <v>765</v>
      </c>
    </row>
    <row r="103" customFormat="false" ht="15" hidden="false" customHeight="true" outlineLevel="1" collapsed="false">
      <c r="A103" s="141" t="s">
        <v>121</v>
      </c>
      <c r="B103" s="156"/>
      <c r="C103" s="173" t="n">
        <v>0</v>
      </c>
      <c r="D103" s="156"/>
      <c r="E103" s="156"/>
      <c r="F103" s="174" t="str">
        <f aca="false">IFERROR(IF((CHOOSE(MATCH(B$2,{"1. T-12 Actuals","2. My Version","3. Projected","4. Offer"},0),B103,C103,D103,E103))=0,"",(CHOOSE(MATCH(B$2,{"1. T-12 Actuals","2. My Version","3. Projected","4. Offer"},0),B103,C103,D103,E103))),"")</f>
        <v/>
      </c>
      <c r="G103" s="174"/>
    </row>
    <row r="104" customFormat="false" ht="15" hidden="false" customHeight="true" outlineLevel="1" collapsed="false">
      <c r="A104" s="145" t="s">
        <v>122</v>
      </c>
      <c r="B104" s="228"/>
      <c r="C104" s="229" t="n">
        <v>0</v>
      </c>
      <c r="D104" s="228"/>
      <c r="E104" s="228"/>
      <c r="F104" s="200" t="str">
        <f aca="false">IFERROR(IF((CHOOSE(MATCH(B$2,{"1. T-12 Actuals","2. My Version","3. Projected","4. Offer"},0),B104,C104,D104,E104))=0,"",(CHOOSE(MATCH(B$2,{"1. T-12 Actuals","2. My Version","3. Projected","4. Offer"},0),B104,C104,D104,E104))),"")</f>
        <v/>
      </c>
      <c r="G104" s="200"/>
    </row>
    <row r="105" customFormat="false" ht="15" hidden="false" customHeight="true" outlineLevel="1" collapsed="false">
      <c r="A105" s="141" t="s">
        <v>123</v>
      </c>
      <c r="B105" s="233"/>
      <c r="C105" s="234" t="n">
        <v>0</v>
      </c>
      <c r="D105" s="233"/>
      <c r="E105" s="233"/>
      <c r="F105" s="200" t="str">
        <f aca="false">IFERROR(IF((CHOOSE(MATCH(B$2,{"1. T-12 Actuals","2. My Version","3. Projected","4. Offer"},0),B105,C105,D105,E105))=0,"",(CHOOSE(MATCH(B$2,{"1. T-12 Actuals","2. My Version","3. Projected","4. Offer"},0),B105,C105,D105,E105))),"")</f>
        <v/>
      </c>
      <c r="G105" s="200"/>
    </row>
    <row r="106" customFormat="false" ht="15" hidden="false" customHeight="true" outlineLevel="1" collapsed="false">
      <c r="A106" s="145" t="s">
        <v>124</v>
      </c>
      <c r="B106" s="228"/>
      <c r="C106" s="229" t="n">
        <v>0</v>
      </c>
      <c r="D106" s="228"/>
      <c r="E106" s="228"/>
      <c r="F106" s="200" t="str">
        <f aca="false">IFERROR(IF((CHOOSE(MATCH(B$2,{"1. T-12 Actuals","2. My Version","3. Projected","4. Offer"},0),B106,C106,D106,E106))=0,"",(CHOOSE(MATCH(B$2,{"1. T-12 Actuals","2. My Version","3. Projected","4. Offer"},0),B106,C106,D106,E106))),"")</f>
        <v/>
      </c>
      <c r="G106" s="200"/>
    </row>
    <row r="107" customFormat="false" ht="15" hidden="false" customHeight="true" outlineLevel="1" collapsed="false">
      <c r="A107" s="235" t="s">
        <v>125</v>
      </c>
      <c r="B107" s="236" t="n">
        <v>0</v>
      </c>
      <c r="C107" s="236" t="n">
        <v>0</v>
      </c>
      <c r="D107" s="237" t="str">
        <f aca="false">IFERROR(IF((C107)=0,"",(C107)),"")</f>
        <v/>
      </c>
      <c r="E107" s="237" t="str">
        <f aca="false">IFERROR(IF((D107)=0,"",(D107)),"")</f>
        <v/>
      </c>
      <c r="F107" s="237" t="str">
        <f aca="false">IFERROR(IF((CHOOSE(MATCH(B$2,{"1. T-12 Actuals","2. My Version","3. Projected","4. Offer"},0),B107,C107,D107,E107))=0,"",(CHOOSE(MATCH(B$2,{"1. T-12 Actuals","2. My Version","3. Projected","4. Offer"},0),B107,C107,D107,E107))),"")</f>
        <v/>
      </c>
      <c r="H107" s="0" t="s">
        <v>761</v>
      </c>
    </row>
    <row r="108" customFormat="false" ht="15" hidden="false" customHeight="true" outlineLevel="1" collapsed="false">
      <c r="A108" s="243" t="s">
        <v>766</v>
      </c>
    </row>
    <row r="109" customFormat="false" ht="15" hidden="false" customHeight="true" outlineLevel="1" collapsed="false">
      <c r="A109" s="141" t="s">
        <v>767</v>
      </c>
      <c r="B109" s="143" t="str">
        <f aca="false">IFERROR(IF((IFERROR(IF(B88=0,0,IF(B92&gt;0,B88*B89/12,-PMT(B89/12,B90*12,B88))),0))=0,"",(IFERROR(IF(B88=0,0,IF(B92&gt;0,B88*B89/12,-PMT(B89/12,B90*12,B88))),0))),"")</f>
        <v/>
      </c>
      <c r="C109" s="143" t="str">
        <f aca="false">IFERROR(IF((IFERROR(IF(C88=0,0,IF(C92&gt;0,C88*C89/12,-PMT(C89/12,C90*12,C88))),0))=0,"",(IFERROR(IF(C88=0,0,IF(C92&gt;0,C88*C89/12,-PMT(C89/12,C90*12,C88))),0))),"")</f>
        <v/>
      </c>
      <c r="D109" s="143" t="str">
        <f aca="false">IFERROR(IF((IFERROR(IF(D88=0,0,IF(D92&gt;0,D88*D89/12,-PMT(D89/12,D90*12,D88))),0))=0,"",(IFERROR(IF(D88=0,0,IF(D92&gt;0,D88*D89/12,-PMT(D89/12,D90*12,D88))),0))),"")</f>
        <v/>
      </c>
      <c r="E109" s="143" t="str">
        <f aca="false">IFERROR(IF((IFERROR(IF(E88=0,0,IF(E92&gt;0,E88*E89/12,-PMT(E89/12,E90*12,E88))),0))=0,"",(IFERROR(IF(E88=0,0,IF(E92&gt;0,E88*E89/12,-PMT(E89/12,E90*12,E88))),0))),"")</f>
        <v/>
      </c>
      <c r="F109" s="178" t="str">
        <f aca="false">IFERROR(IF((CHOOSE(MATCH(B$2,{"1. T-12 Actuals","2. My Version","3. Projected","4. Offer"},0),B109,C109,D109,E109))=0,"",(CHOOSE(MATCH(B$2,{"1. T-12 Actuals","2. My Version","3. Projected","4. Offer"},0),B109,C109,D109,E109))),"")</f>
        <v/>
      </c>
      <c r="G109" s="178"/>
    </row>
    <row r="110" customFormat="false" ht="15" hidden="false" customHeight="true" outlineLevel="1" collapsed="false">
      <c r="A110" s="141" t="s">
        <v>768</v>
      </c>
      <c r="B110" s="143" t="str">
        <f aca="false">IFERROR(IF((IFERROR(IF(B95=0,0,IF(B99&gt;0,B95*B96/12,-PMT(B96/12,B97*12,B95))),0))=0,"",(IFERROR(IF(B95=0,0,IF(B99&gt;0,B95*B96/12,-PMT(B96/12,B97*12,B95))),0))),"")</f>
        <v/>
      </c>
      <c r="C110" s="143" t="str">
        <f aca="false">IFERROR(IF((IFERROR(IF(C95=0,0,IF(C99&gt;0,C95*C96/12,-PMT(C96/12,C97*12,C95))),0))=0,"",(IFERROR(IF(C95=0,0,IF(C99&gt;0,C95*C96/12,-PMT(C96/12,C97*12,C95))),0))),"")</f>
        <v/>
      </c>
      <c r="D110" s="143" t="str">
        <f aca="false">IFERROR(IF((IFERROR(IF(D95=0,0,IF(D99&gt;0,D95*D96/12,-PMT(D96/12,D97*12,D95))),0))=0,"",(IFERROR(IF(D95=0,0,IF(D99&gt;0,D95*D96/12,-PMT(D96/12,D97*12,D95))),0))),"")</f>
        <v/>
      </c>
      <c r="E110" s="143" t="str">
        <f aca="false">IFERROR(IF((IFERROR(IF(E95=0,0,IF(E99&gt;0,E95*E96/12,-PMT(E96/12,E97*12,E95))),0))=0,"",(IFERROR(IF(E95=0,0,IF(E99&gt;0,E95*E96/12,-PMT(E96/12,E97*12,E95))),0))),"")</f>
        <v/>
      </c>
      <c r="F110" s="178" t="str">
        <f aca="false">IFERROR(IF((CHOOSE(MATCH(B$2,{"1. T-12 Actuals","2. My Version","3. Projected","4. Offer"},0),B110,C110,D110,E110))=0,"",(CHOOSE(MATCH(B$2,{"1. T-12 Actuals","2. My Version","3. Projected","4. Offer"},0),B110,C110,D110,E110))),"")</f>
        <v/>
      </c>
      <c r="G110" s="178"/>
    </row>
    <row r="111" customFormat="false" ht="15" hidden="false" customHeight="true" outlineLevel="1" collapsed="false">
      <c r="A111" s="141" t="s">
        <v>769</v>
      </c>
      <c r="B111" s="143" t="str">
        <f aca="false">IFERROR(IF((IFERROR(IF(B102=0,0,IF(B106&gt;0,B102*B103/12,-PMT(B103/12,B104*12,B102))),0))=0,"",(IFERROR(IF(B102=0,0,IF(B106&gt;0,B102*B103/12,-PMT(B103/12,B104*12,B102))),0))),"")</f>
        <v/>
      </c>
      <c r="C111" s="143" t="str">
        <f aca="false">IFERROR(IF((IFERROR(IF(C102=0,0,IF(C106&gt;0,C102*C103/12,-PMT(C103/12,C104*12,C102))),0))=0,"",(IFERROR(IF(C102=0,0,IF(C106&gt;0,C102*C103/12,-PMT(C103/12,C104*12,C102))),0))),"")</f>
        <v/>
      </c>
      <c r="D111" s="143" t="str">
        <f aca="false">IFERROR(IF((IFERROR(IF(D102=0,0,IF(D106&gt;0,D102*D103/12,-PMT(D103/12,D104*12,D102))),0))=0,"",(IFERROR(IF(D102=0,0,IF(D106&gt;0,D102*D103/12,-PMT(D103/12,D104*12,D102))),0))),"")</f>
        <v/>
      </c>
      <c r="E111" s="143" t="str">
        <f aca="false">IFERROR(IF((IFERROR(IF(E102=0,0,IF(E106&gt;0,E102*E103/12,-PMT(E103/12,E104*12,E102))),0))=0,"",(IFERROR(IF(E102=0,0,IF(E106&gt;0,E102*E103/12,-PMT(E103/12,E104*12,E102))),0))),"")</f>
        <v/>
      </c>
      <c r="F111" s="178" t="str">
        <f aca="false">IFERROR(IF((CHOOSE(MATCH(B$2,{"1. T-12 Actuals","2. My Version","3. Projected","4. Offer"},0),B111,C111,D111,E111))=0,"",(CHOOSE(MATCH(B$2,{"1. T-12 Actuals","2. My Version","3. Projected","4. Offer"},0),B111,C111,D111,E111))),"")</f>
        <v/>
      </c>
      <c r="G111" s="178"/>
    </row>
    <row r="112" customFormat="false" ht="15" hidden="false" customHeight="true" outlineLevel="1" collapsed="false">
      <c r="A112" s="141" t="s">
        <v>770</v>
      </c>
      <c r="B112" s="244" t="str">
        <f aca="false">IFERROR(IF((IFERROR(IF(B88=0,0,B109*12),0))=0,"",(IFERROR(IF(B88=0,0,B109*12),0))),"")</f>
        <v/>
      </c>
      <c r="C112" s="244" t="str">
        <f aca="false">IFERROR(IF((IFERROR(IF(C88=0,0,C109*12),0))=0,"",(IFERROR(IF(C88=0,0,C109*12),0))),"")</f>
        <v/>
      </c>
      <c r="D112" s="244" t="str">
        <f aca="false">IFERROR(IF((IFERROR(IF(D88=0,0,D109*12),0))=0,"",(IFERROR(IF(D88=0,0,D109*12),0))),"")</f>
        <v/>
      </c>
      <c r="E112" s="244" t="str">
        <f aca="false">IFERROR(IF((IFERROR(IF(E88=0,0,E109*12),0))=0,"",(IFERROR(IF(E88=0,0,E109*12),0))),"")</f>
        <v/>
      </c>
      <c r="F112" s="178" t="str">
        <f aca="false">IFERROR(IF((CHOOSE(MATCH(B$2,{"1. T-12 Actuals","2. My Version","3. Projected","4. Offer"},0),B112,C112,D112,E112))=0,"",(CHOOSE(MATCH(B$2,{"1. T-12 Actuals","2. My Version","3. Projected","4. Offer"},0),B112,C112,D112,E112))),"")</f>
        <v/>
      </c>
      <c r="G112" s="178"/>
    </row>
    <row r="113" customFormat="false" ht="15" hidden="false" customHeight="true" outlineLevel="1" collapsed="false">
      <c r="A113" s="141" t="s">
        <v>771</v>
      </c>
      <c r="B113" s="244" t="str">
        <f aca="false">IFERROR(IF((IFERROR(IF(B95=0,0,B110*12),0))=0,"",(IFERROR(IF(B95=0,0,B110*12),0))),"")</f>
        <v/>
      </c>
      <c r="C113" s="244" t="str">
        <f aca="false">IFERROR(IF((IFERROR(IF(C95=0,0,C110*12),0))=0,"",(IFERROR(IF(C95=0,0,C110*12),0))),"")</f>
        <v/>
      </c>
      <c r="D113" s="244" t="str">
        <f aca="false">IFERROR(IF((IFERROR(IF(D95=0,0,D110*12),0))=0,"",(IFERROR(IF(D95=0,0,D110*12),0))),"")</f>
        <v/>
      </c>
      <c r="E113" s="244" t="str">
        <f aca="false">IFERROR(IF((IFERROR(IF(E95=0,0,E110*12),0))=0,"",(IFERROR(IF(E95=0,0,E110*12),0))),"")</f>
        <v/>
      </c>
      <c r="F113" s="178" t="str">
        <f aca="false">IFERROR(IF((CHOOSE(MATCH(B$2,{"1. T-12 Actuals","2. My Version","3. Projected","4. Offer"},0),B113,C113,D113,E113))=0,"",(CHOOSE(MATCH(B$2,{"1. T-12 Actuals","2. My Version","3. Projected","4. Offer"},0),B113,C113,D113,E113))),"")</f>
        <v/>
      </c>
      <c r="G113" s="178"/>
    </row>
    <row r="114" customFormat="false" ht="15" hidden="false" customHeight="true" outlineLevel="1" collapsed="false">
      <c r="A114" s="141" t="s">
        <v>772</v>
      </c>
      <c r="B114" s="244" t="str">
        <f aca="false">IFERROR(IF((IFERROR(IF(B102=0,0,B111*12),0))=0,"",(IFERROR(IF(B102=0,0,B111*12),0))),"")</f>
        <v/>
      </c>
      <c r="C114" s="244" t="str">
        <f aca="false">IFERROR(IF((IFERROR(IF(C102=0,0,C111*12),0))=0,"",(IFERROR(IF(C102=0,0,C111*12),0))),"")</f>
        <v/>
      </c>
      <c r="D114" s="244" t="str">
        <f aca="false">IFERROR(IF((IFERROR(IF(D102=0,0,D111*12),0))=0,"",(IFERROR(IF(D102=0,0,D111*12),0))),"")</f>
        <v/>
      </c>
      <c r="E114" s="244" t="str">
        <f aca="false">IFERROR(IF((IFERROR(IF(E102=0,0,E111*12),0))=0,"",(IFERROR(IF(E102=0,0,E111*12),0))),"")</f>
        <v/>
      </c>
      <c r="F114" s="178" t="str">
        <f aca="false">IFERROR(IF((CHOOSE(MATCH(B$2,{"1. T-12 Actuals","2. My Version","3. Projected","4. Offer"},0),B114,C114,D114,E114))=0,"",(CHOOSE(MATCH(B$2,{"1. T-12 Actuals","2. My Version","3. Projected","4. Offer"},0),B114,C114,D114,E114))),"")</f>
        <v/>
      </c>
      <c r="G114" s="178"/>
    </row>
    <row r="115" customFormat="false" ht="15" hidden="false" customHeight="true" outlineLevel="1" collapsed="false">
      <c r="A115" s="245" t="s">
        <v>773</v>
      </c>
      <c r="B115" s="246" t="str">
        <f aca="false">IFERROR(IF((B112+B113+B114)=0,"",(B112+B113+B114)),"")</f>
        <v/>
      </c>
      <c r="C115" s="246" t="str">
        <f aca="false">IFERROR(IF((C112+C113+C114)=0,"",(C112+C113+C114)),"")</f>
        <v/>
      </c>
      <c r="D115" s="246" t="str">
        <f aca="false">IFERROR(IF((D112+D113+D114)=0,"",(D112+D113+D114)),"")</f>
        <v/>
      </c>
      <c r="E115" s="246" t="str">
        <f aca="false">IFERROR(IF((E112+E113+E114)=0,"",(E112+E113+E114)),"")</f>
        <v/>
      </c>
      <c r="F115" s="247" t="str">
        <f aca="false">IFERROR(IF((CHOOSE(MATCH(B$2,{"1. T-12 Actuals","2. My Version","3. Projected","4. Offer"},0),B115,C115,D115,E115))=0,"",(CHOOSE(MATCH(B$2,{"1. T-12 Actuals","2. My Version","3. Projected","4. Offer"},0),B115,C115,D115,E115))),"")</f>
        <v/>
      </c>
      <c r="G115" s="248"/>
      <c r="H115" s="249" t="s">
        <v>774</v>
      </c>
    </row>
    <row r="116" customFormat="false" ht="15" hidden="false" customHeight="true" outlineLevel="1" collapsed="false">
      <c r="A116" s="177" t="s">
        <v>775</v>
      </c>
      <c r="B116" s="168" t="str">
        <f aca="false">IFERROR(IF((IFERROR(IF(B88=0,0,IF(B92&gt;0,B88,B88-CUMPRINC(B89/12,B90*12,B88,1,B82*12,0))),0)+IFERROR(IF(B95=0,0,IF(B99&gt;0,B95,B95-CUMPRINC(B96/12,B97*12,B95,1,B82*12,0))),0)+IFERROR(IF(B102=0,0,IF(B106&gt;0,B102,B102-CUMPRINC(B103/12,B104*12,B102,1,B82*12,0))),0))=0,"",(IFERROR(IF(B88=0,0,IF(B92&gt;0,B88,B88-CUMPRINC(B89/12,B90*12,B88,1,B82*12,0))),0)+IFERROR(IF(B95=0,0,IF(B99&gt;0,B95,B95-CUMPRINC(B96/12,B97*12,B95,1,B82*12,0))),0)+IFERROR(IF(B102=0,0,IF(B106&gt;0,B102,B102-CUMPRINC(B103/12,B104*12,B102,1,B82*12,0))),0))),"")</f>
        <v/>
      </c>
      <c r="C116" s="168" t="str">
        <f aca="false">IFERROR(IF((IFERROR(IF(C88=0,0,IF(C92&gt;0,C88,C88-CUMPRINC(C89/12,C90*12,C88,1,C82*12,0))),0)+IFERROR(IF(C95=0,0,IF(C99&gt;0,C95,C95-CUMPRINC(C96/12,C97*12,C95,1,C82*12,0))),0)+IFERROR(IF(C102=0,0,IF(C106&gt;0,C102,C102-CUMPRINC(C103/12,C104*12,C102,1,C82*12,0))),0))=0,"",(IFERROR(IF(C88=0,0,IF(C92&gt;0,C88,C88-CUMPRINC(C89/12,C90*12,C88,1,C82*12,0))),0)+IFERROR(IF(C95=0,0,IF(C99&gt;0,C95,C95-CUMPRINC(C96/12,C97*12,C95,1,C82*12,0))),0)+IFERROR(IF(C102=0,0,IF(C106&gt;0,C102,C102-CUMPRINC(C103/12,C104*12,C102,1,C82*12,0))),0))),"")</f>
        <v/>
      </c>
      <c r="D116" s="168" t="str">
        <f aca="false">IFERROR(IF((IFERROR(IF(D88=0,0,IF(D92&gt;0,D88,D88-CUMPRINC(D89/12,D90*12,D88,1,D82*12,0))),0)+IFERROR(IF(D95=0,0,IF(D99&gt;0,D95,D95-CUMPRINC(D96/12,D97*12,D95,1,D82*12,0))),0)+IFERROR(IF(D102=0,0,IF(D106&gt;0,D102,D102-CUMPRINC(D103/12,D104*12,D102,1,D82*12,0))),0))=0,"",(IFERROR(IF(D88=0,0,IF(D92&gt;0,D88,D88-CUMPRINC(D89/12,D90*12,D88,1,D82*12,0))),0)+IFERROR(IF(D95=0,0,IF(D99&gt;0,D95,D95-CUMPRINC(D96/12,D97*12,D95,1,D82*12,0))),0)+IFERROR(IF(D102=0,0,IF(D106&gt;0,D102,D102-CUMPRINC(D103/12,D104*12,D102,1,D82*12,0))),0))),"")</f>
        <v/>
      </c>
      <c r="E116" s="168" t="str">
        <f aca="false">IFERROR(IF((IFERROR(IF(E88=0,0,IF(E92&gt;0,E88,E88-CUMPRINC(E89/12,E90*12,E88,1,E82*12,0))),0)+IFERROR(IF(E95=0,0,IF(E99&gt;0,E95,E95-CUMPRINC(E96/12,E97*12,E95,1,E82*12,0))),0)+IFERROR(IF(E102=0,0,IF(E106&gt;0,E102,E102-CUMPRINC(E103/12,E104*12,E102,1,E82*12,0))),0))=0,"",(IFERROR(IF(E88=0,0,IF(E92&gt;0,E88,E88-CUMPRINC(E89/12,E90*12,E88,1,E82*12,0))),0)+IFERROR(IF(E95=0,0,IF(E99&gt;0,E95,E95-CUMPRINC(E96/12,E97*12,E95,1,E82*12,0))),0)+IFERROR(IF(E102=0,0,IF(E106&gt;0,E102,E102-CUMPRINC(E103/12,E104*12,E102,1,E82*12,0))),0))),"")</f>
        <v/>
      </c>
      <c r="F116" s="250" t="str">
        <f aca="false">IFERROR(IF((CHOOSE(MATCH(B$2,{"1. T-12 Actuals","2. My Version","3. Projected","4. Offer"},0),B116,C116,D116,E116))=0,"",(CHOOSE(MATCH(B$2,{"1. T-12 Actuals","2. My Version","3. Projected","4. Offer"},0),B116,C116,D116,E116))),"")</f>
        <v/>
      </c>
      <c r="G116" s="250"/>
      <c r="H116" s="57" t="s">
        <v>776</v>
      </c>
    </row>
    <row r="117" customFormat="false" ht="15" hidden="false" customHeight="true" outlineLevel="1" collapsed="false">
      <c r="A117" s="251" t="s">
        <v>777</v>
      </c>
      <c r="B117" s="181" t="str">
        <f aca="false">IFERROR(IF((B88+B95+B102)=0,"",(B88+B95+B102)),"")</f>
        <v/>
      </c>
      <c r="C117" s="181" t="str">
        <f aca="false">IFERROR(IF((C88+C95+C102)=0,"",(C88+C95+C102)),"")</f>
        <v/>
      </c>
      <c r="D117" s="181" t="str">
        <f aca="false">IFERROR(IF((D88+D95+D102)=0,"",(D88+D95+D102)),"")</f>
        <v/>
      </c>
      <c r="E117" s="181" t="str">
        <f aca="false">IFERROR(IF((E88+E95+E102)=0,"",(E88+E95+E102)),"")</f>
        <v/>
      </c>
      <c r="F117" s="178" t="str">
        <f aca="false">IFERROR(IF((CHOOSE(MATCH(B$2,{"1. T-12 Actuals","2. My Version","3. Projected","4. Offer"},0),B117,C117,D117,E117))=0,"",(CHOOSE(MATCH(B$2,{"1. T-12 Actuals","2. My Version","3. Projected","4. Offer"},0),B117,C117,D117,E117))),"")</f>
        <v/>
      </c>
      <c r="G117" s="178"/>
      <c r="H117" s="48" t="s">
        <v>654</v>
      </c>
    </row>
    <row r="118" customFormat="false" ht="15" hidden="false" customHeight="true" outlineLevel="1" collapsed="false">
      <c r="A118" s="141" t="s">
        <v>778</v>
      </c>
      <c r="B118" s="252" t="str">
        <f aca="false">IFERROR(IF((IFERROR(B117/IF(B81&gt;0,B81,B80),0))=0,"",(IFERROR(B117/IF(B81&gt;0,B81,B80),0))),"")</f>
        <v/>
      </c>
      <c r="C118" s="252" t="str">
        <f aca="false">IFERROR(IF((IFERROR(C117/IF(C81&gt;0,C81,C80),0))=0,"",(IFERROR(C117/IF(C81&gt;0,C81,C80),0))),"")</f>
        <v/>
      </c>
      <c r="D118" s="252" t="str">
        <f aca="false">IFERROR(IF((IFERROR(D117/IF(D81&gt;0,D81,D80),0))=0,"",(IFERROR(D117/IF(D81&gt;0,D81,D80),0))),"")</f>
        <v/>
      </c>
      <c r="E118" s="252" t="str">
        <f aca="false">IFERROR(IF((IFERROR(E117/IF(E81&gt;0,E81,E80),0))=0,"",(IFERROR(E117/IF(E81&gt;0,E81,E80),0))),"")</f>
        <v/>
      </c>
      <c r="F118" s="253" t="str">
        <f aca="false">IFERROR(IF((CHOOSE(MATCH(B$2,{"1. T-12 Actuals","2. My Version","3. Projected","4. Offer"},0),B118,C118,D118,E118))=0,"",(CHOOSE(MATCH(B$2,{"1. T-12 Actuals","2. My Version","3. Projected","4. Offer"},0),B118,C118,D118,E118))),"")</f>
        <v/>
      </c>
      <c r="G118" s="174"/>
      <c r="H118" s="254" t="s">
        <v>779</v>
      </c>
    </row>
    <row r="119" customFormat="false" ht="20.25" hidden="false" customHeight="true" outlineLevel="1" collapsed="false">
      <c r="A119" s="198" t="s">
        <v>780</v>
      </c>
      <c r="B119" s="163" t="str">
        <f aca="false">IFERROR(IF((IFERROR(B117/B17,0))=0,"",(IFERROR(B117/B17,0))),"")</f>
        <v/>
      </c>
      <c r="C119" s="163" t="str">
        <f aca="false">IFERROR(IF((IFERROR(C117/C17,0))=0,"",(IFERROR(C117/C17,0))),"")</f>
        <v/>
      </c>
      <c r="D119" s="163" t="str">
        <f aca="false">IFERROR(IF((IFERROR(D117/D17,0))=0,"",(IFERROR(D117/D17,0))),"")</f>
        <v/>
      </c>
      <c r="E119" s="163" t="str">
        <f aca="false">IFERROR(IF((IFERROR(E117/E17,0))=0,"",(IFERROR(E117/E17,0))),"")</f>
        <v/>
      </c>
      <c r="F119" s="253" t="str">
        <f aca="false">IFERROR(IF((CHOOSE(MATCH(B$2,{"1. T-12 Actuals","2. My Version","3. Projected","4. Offer"},0),B119,C119,D119,E119))=0,"",(CHOOSE(MATCH(B$2,{"1. T-12 Actuals","2. My Version","3. Projected","4. Offer"},0),B119,C119,D119,E119))),"")</f>
        <v/>
      </c>
      <c r="G119" s="174"/>
      <c r="H119" s="255" t="s">
        <v>781</v>
      </c>
    </row>
    <row r="120" customFormat="false" ht="20.25" hidden="false" customHeight="true" outlineLevel="1" collapsed="false">
      <c r="A120" s="256" t="s">
        <v>782</v>
      </c>
      <c r="B120" s="257" t="s">
        <v>783</v>
      </c>
      <c r="C120" s="252" t="str">
        <f aca="false">B120</f>
        <v>NO</v>
      </c>
      <c r="D120" s="252" t="str">
        <f aca="false">C120</f>
        <v>NO</v>
      </c>
      <c r="E120" s="252" t="str">
        <f aca="false">D120</f>
        <v>NO</v>
      </c>
      <c r="F120" s="163" t="str">
        <f aca="false">IFERROR(IF((CHOOSE(MATCH(B$2,{"1. T-12 Actuals","2. My Version","3. Projected","4. Offer"},0),B120,C120,D120,E120))=0,"",(CHOOSE(MATCH(B$2,{"1. T-12 Actuals","2. My Version","3. Projected","4. Offer"},0),B120,C120,D120,E120))),"")</f>
        <v>NO</v>
      </c>
      <c r="G120" s="174"/>
      <c r="H120" s="258" t="s">
        <v>784</v>
      </c>
    </row>
    <row r="121" customFormat="false" ht="20.25" hidden="false" customHeight="true" outlineLevel="1" collapsed="false">
      <c r="A121" s="258" t="s">
        <v>785</v>
      </c>
      <c r="B121" s="163"/>
      <c r="C121" s="163"/>
      <c r="D121" s="163"/>
      <c r="E121" s="163"/>
      <c r="F121" s="253"/>
      <c r="G121" s="174"/>
      <c r="H121" s="255"/>
    </row>
    <row r="122" customFormat="false" ht="20.25" hidden="false" customHeight="true" outlineLevel="1" collapsed="false">
      <c r="A122" s="259" t="s">
        <v>786</v>
      </c>
      <c r="B122" s="260" t="str">
        <f aca="false">IFERROR(IF((B12)=0,"",(B12)),"")</f>
        <v/>
      </c>
      <c r="C122" s="260" t="str">
        <f aca="false">IFERROR(IF((C12)=0,"",(C12)),"")</f>
        <v/>
      </c>
      <c r="D122" s="260" t="str">
        <f aca="false">IFERROR(IF((D12)=0,"",(D12)),"")</f>
        <v/>
      </c>
      <c r="E122" s="260" t="str">
        <f aca="false">IFERROR(IF((E12)=0,"",(E12)),"")</f>
        <v/>
      </c>
      <c r="F122" s="261" t="str">
        <f aca="false">IFERROR(IF((CHOOSE(MATCH(B$2,{"1. T-12 Actuals","2. My Version","3. Projected","4. Offer"},0),B122,C122,D122,E122))=0,"",(CHOOSE(MATCH(B$2,{"1. T-12 Actuals","2. My Version","3. Projected","4. Offer"},0),B122,C122,D122,E122))),"")</f>
        <v/>
      </c>
      <c r="G122" s="174"/>
      <c r="H122" s="255"/>
    </row>
    <row r="123" customFormat="false" ht="20.25" hidden="false" customHeight="true" outlineLevel="1" collapsed="false">
      <c r="A123" s="259" t="s">
        <v>787</v>
      </c>
      <c r="B123" s="260" t="str">
        <f aca="false">IFERROR(IF((B13)=0,"",(B13)),"")</f>
        <v/>
      </c>
      <c r="C123" s="260" t="str">
        <f aca="false">IFERROR(IF((C13)=0,"",(C13)),"")</f>
        <v/>
      </c>
      <c r="D123" s="260" t="str">
        <f aca="false">IFERROR(IF((D13)=0,"",(D13)),"")</f>
        <v/>
      </c>
      <c r="E123" s="260" t="str">
        <f aca="false">IFERROR(IF((E13)=0,"",(E13)),"")</f>
        <v/>
      </c>
      <c r="F123" s="261" t="str">
        <f aca="false">IFERROR(IF((CHOOSE(MATCH(B$2,{"1. T-12 Actuals","2. My Version","3. Projected","4. Offer"},0),B123,C123,D123,E123))=0,"",(CHOOSE(MATCH(B$2,{"1. T-12 Actuals","2. My Version","3. Projected","4. Offer"},0),B123,C123,D123,E123))),"")</f>
        <v/>
      </c>
      <c r="G123" s="174"/>
      <c r="H123" s="255"/>
    </row>
    <row r="124" customFormat="false" ht="20.25" hidden="false" customHeight="true" outlineLevel="1" collapsed="false">
      <c r="A124" s="259" t="s">
        <v>788</v>
      </c>
      <c r="B124" s="260" t="str">
        <f aca="false">IFERROR(IF((B14)=0,"",(B14)),"")</f>
        <v/>
      </c>
      <c r="C124" s="260" t="str">
        <f aca="false">IFERROR(IF((C14)=0,"",(C14)),"")</f>
        <v/>
      </c>
      <c r="D124" s="260" t="str">
        <f aca="false">IFERROR(IF((D14)=0,"",(D14)),"")</f>
        <v/>
      </c>
      <c r="E124" s="260" t="str">
        <f aca="false">IFERROR(IF((E14)=0,"",(E14)),"")</f>
        <v/>
      </c>
      <c r="F124" s="261" t="str">
        <f aca="false">IFERROR(IF((CHOOSE(MATCH(B$2,{"1. T-12 Actuals","2. My Version","3. Projected","4. Offer"},0),B124,C124,D124,E124))=0,"",(CHOOSE(MATCH(B$2,{"1. T-12 Actuals","2. My Version","3. Projected","4. Offer"},0),B124,C124,D124,E124))),"")</f>
        <v/>
      </c>
      <c r="G124" s="174"/>
      <c r="H124" s="255"/>
    </row>
    <row r="125" customFormat="false" ht="20.25" hidden="false" customHeight="true" outlineLevel="1" collapsed="false">
      <c r="A125" s="259" t="s">
        <v>789</v>
      </c>
      <c r="B125" s="260" t="str">
        <f aca="false">IFERROR(IF((B16)=0,"",(B16)),"")</f>
        <v/>
      </c>
      <c r="C125" s="260" t="str">
        <f aca="false">IFERROR(IF((C16)=0,"",(C16)),"")</f>
        <v/>
      </c>
      <c r="D125" s="260" t="str">
        <f aca="false">IFERROR(IF((D16)=0,"",(D16)),"")</f>
        <v/>
      </c>
      <c r="E125" s="260" t="str">
        <f aca="false">IFERROR(IF((E16)=0,"",(E16)),"")</f>
        <v/>
      </c>
      <c r="F125" s="261" t="str">
        <f aca="false">IFERROR(IF((CHOOSE(MATCH(B$2,{"1. T-12 Actuals","2. My Version","3. Projected","4. Offer"},0),B125,C125,D125,E125))=0,"",(CHOOSE(MATCH(B$2,{"1. T-12 Actuals","2. My Version","3. Projected","4. Offer"},0),B125,C125,D125,E125))),"")</f>
        <v/>
      </c>
      <c r="G125" s="174"/>
      <c r="H125" s="255"/>
    </row>
    <row r="126" customFormat="false" ht="20.25" hidden="false" customHeight="true" outlineLevel="1" collapsed="false">
      <c r="A126" s="262" t="s">
        <v>790</v>
      </c>
      <c r="B126" s="263" t="str">
        <f aca="false">IFERROR(IF((IFERROR(B12,0)+IFERROR(B13,0)+IFERROR(B14,0)+IFERROR(B16,0))=0,"",(IFERROR(B12,0)+IFERROR(B13,0)+IFERROR(B14,0)+IFERROR(B16,0))),"")</f>
        <v/>
      </c>
      <c r="C126" s="263" t="str">
        <f aca="false">IFERROR(IF((IFERROR(C12,0)+IFERROR(C13,0)+IFERROR(C14,0)+IFERROR(C16,0))=0,"",(IFERROR(C12,0)+IFERROR(C13,0)+IFERROR(C14,0)+IFERROR(C16,0))),"")</f>
        <v/>
      </c>
      <c r="D126" s="263" t="str">
        <f aca="false">IFERROR(IF((IFERROR(D12,0)+IFERROR(D13,0)+IFERROR(D14,0)+IFERROR(D16,0))=0,"",(IFERROR(D12,0)+IFERROR(D13,0)+IFERROR(D14,0)+IFERROR(D16,0))),"")</f>
        <v/>
      </c>
      <c r="E126" s="263" t="str">
        <f aca="false">IFERROR(IF((IFERROR(E12,0)+IFERROR(E13,0)+IFERROR(E14,0)+IFERROR(E16,0))=0,"",(IFERROR(E12,0)+IFERROR(E13,0)+IFERROR(E14,0)+IFERROR(E16,0))),"")</f>
        <v/>
      </c>
      <c r="F126" s="264" t="str">
        <f aca="false">IFERROR(IF((CHOOSE(MATCH(B$2,{"1. T-12 Actuals","2. My Version","3. Projected","4. Offer"},0),B126,C126,D126,E126))=0,"",(CHOOSE(MATCH(B$2,{"1. T-12 Actuals","2. My Version","3. Projected","4. Offer"},0),B126,C126,D126,E126))),"")</f>
        <v/>
      </c>
      <c r="G126" s="174"/>
      <c r="H126" s="255"/>
    </row>
    <row r="127" customFormat="false" ht="20.25" hidden="false" customHeight="true" outlineLevel="1" collapsed="false">
      <c r="A127" s="198"/>
      <c r="B127" s="163"/>
      <c r="C127" s="163"/>
      <c r="D127" s="163"/>
      <c r="E127" s="163"/>
      <c r="F127" s="253"/>
      <c r="G127" s="174"/>
      <c r="H127" s="255"/>
    </row>
    <row r="128" customFormat="false" ht="15" hidden="false" customHeight="true" outlineLevel="1" collapsed="false"/>
    <row r="129" customFormat="false" ht="15" hidden="false" customHeight="true" outlineLevel="1" collapsed="false">
      <c r="A129" s="231"/>
      <c r="B129" s="231"/>
      <c r="C129" s="231"/>
      <c r="D129" s="231"/>
      <c r="E129" s="231"/>
      <c r="F129" s="231"/>
      <c r="G129" s="231"/>
      <c r="H129" s="231"/>
    </row>
    <row r="130" customFormat="false" ht="15" hidden="false" customHeight="true" outlineLevel="0" collapsed="false">
      <c r="A130" s="265" t="s">
        <v>791</v>
      </c>
      <c r="B130" s="265"/>
      <c r="C130" s="265"/>
      <c r="D130" s="265"/>
      <c r="E130" s="265"/>
      <c r="F130" s="265"/>
      <c r="G130" s="265"/>
      <c r="H130" s="265"/>
    </row>
    <row r="131" customFormat="false" ht="15" hidden="false" customHeight="true" outlineLevel="1" collapsed="false">
      <c r="A131" s="266" t="s">
        <v>792</v>
      </c>
      <c r="C131" s="267" t="s">
        <v>793</v>
      </c>
      <c r="H131" s="268" t="s">
        <v>794</v>
      </c>
    </row>
    <row r="132" customFormat="false" ht="25.5" hidden="false" customHeight="true" outlineLevel="1" collapsed="false"/>
    <row r="133" customFormat="false" ht="15" hidden="false" customHeight="true" outlineLevel="1" collapsed="false">
      <c r="A133" s="269" t="s">
        <v>795</v>
      </c>
      <c r="B133" s="109" t="s">
        <v>796</v>
      </c>
      <c r="C133" s="109" t="s">
        <v>797</v>
      </c>
      <c r="D133" s="109" t="s">
        <v>798</v>
      </c>
      <c r="E133" s="109" t="s">
        <v>799</v>
      </c>
      <c r="F133" s="127" t="s">
        <v>800</v>
      </c>
      <c r="G133" s="127" t="s">
        <v>801</v>
      </c>
      <c r="H133" s="109" t="s">
        <v>802</v>
      </c>
    </row>
    <row r="134" customFormat="false" ht="15" hidden="false" customHeight="true" outlineLevel="1" collapsed="false">
      <c r="A134" s="270" t="s">
        <v>126</v>
      </c>
      <c r="B134" s="271" t="n">
        <v>0.05</v>
      </c>
      <c r="C134" s="271" t="n">
        <v>0.08</v>
      </c>
      <c r="D134" s="271" t="n">
        <v>0.12</v>
      </c>
      <c r="E134" s="271" t="n">
        <v>0.15</v>
      </c>
      <c r="F134" s="272" t="str">
        <f aca="false">IFERROR(IF((IFERROR(CHOOSE(MATCH($C$130,{"Stabilized","Light Value-Add","Heavy Value-Add","Distressed Turnaround"},0),B133,C133,D133,E133),0))=0,"",(IFERROR(CHOOSE(MATCH($C$130,{"Stabilized","Light Value-Add","Heavy Value-Add","Distressed Turnaround"},0),B133,C133,D133,E133),0))),"")</f>
        <v/>
      </c>
      <c r="G134" s="273" t="str">
        <f aca="false">IFERROR(IF((Scenarios!F41)=0,"",(Scenarios!F41)),"")</f>
        <v/>
      </c>
      <c r="H134" s="273" t="str">
        <f aca="false">IFERROR(IF((IFERROR(G134-F134,0))=0,"",(IFERROR(G134-F134,0))),"")</f>
        <v/>
      </c>
    </row>
    <row r="135" customFormat="false" ht="15" hidden="false" customHeight="true" outlineLevel="1" collapsed="false">
      <c r="A135" s="270" t="s">
        <v>127</v>
      </c>
      <c r="B135" s="271" t="n">
        <v>0.02</v>
      </c>
      <c r="C135" s="271" t="n">
        <v>0.03</v>
      </c>
      <c r="D135" s="271" t="n">
        <v>0.05</v>
      </c>
      <c r="E135" s="271" t="n">
        <v>0.06</v>
      </c>
      <c r="F135" s="272" t="str">
        <f aca="false">IFERROR(IF((IFERROR(CHOOSE(MATCH($C$130,{"Stabilized","Light Value-Add","Heavy Value-Add","Distressed Turnaround"},0),B134,C134,D134,E134),0))=0,"",(IFERROR(CHOOSE(MATCH($C$130,{"Stabilized","Light Value-Add","Heavy Value-Add","Distressed Turnaround"},0),B134,C134,D134,E134),0))),"")</f>
        <v/>
      </c>
      <c r="G135" s="273" t="str">
        <f aca="false">IFERROR(IF((Scenarios!F45)=0,"",(Scenarios!F45)),"")</f>
        <v/>
      </c>
      <c r="H135" s="273" t="str">
        <f aca="false">IFERROR(IF((IFERROR(G135-F135,0))=0,"",(IFERROR(G135-F135,0))),"")</f>
        <v/>
      </c>
    </row>
    <row r="136" customFormat="false" ht="15" hidden="false" customHeight="true" outlineLevel="1" collapsed="false">
      <c r="A136" s="270" t="s">
        <v>128</v>
      </c>
      <c r="B136" s="271" t="n">
        <v>0.03</v>
      </c>
      <c r="C136" s="271" t="n">
        <v>0.02</v>
      </c>
      <c r="D136" s="271" t="n">
        <v>0.01</v>
      </c>
      <c r="E136" s="271" t="n">
        <v>0</v>
      </c>
      <c r="F136" s="272" t="str">
        <f aca="false">IFERROR(IF((IFERROR(CHOOSE(MATCH($C$130,{"Stabilized","Light Value-Add","Heavy Value-Add","Distressed Turnaround"},0),B135,C135,D135,E135),0))=0,"",(IFERROR(CHOOSE(MATCH($C$130,{"Stabilized","Light Value-Add","Heavy Value-Add","Distressed Turnaround"},0),B135,C135,D135,E135),0))),"")</f>
        <v/>
      </c>
      <c r="G136" s="273" t="str">
        <f aca="false">IFERROR(IF((Scenarios!F43)=0,"",(Scenarios!F43)),"")</f>
        <v/>
      </c>
      <c r="H136" s="273" t="str">
        <f aca="false">IFERROR(IF((IFERROR(G136-F136,0))=0,"",(IFERROR(G136-F136,0))),"")</f>
        <v/>
      </c>
    </row>
    <row r="137" customFormat="false" ht="15" hidden="false" customHeight="true" outlineLevel="1" collapsed="false">
      <c r="A137" s="270" t="s">
        <v>129</v>
      </c>
      <c r="B137" s="271" t="n">
        <v>0.03</v>
      </c>
      <c r="C137" s="271" t="n">
        <v>0.04</v>
      </c>
      <c r="D137" s="271" t="n">
        <v>0.06</v>
      </c>
      <c r="E137" s="271" t="n">
        <v>0.08</v>
      </c>
      <c r="F137" s="272" t="str">
        <f aca="false">IFERROR(IF((IFERROR(CHOOSE(MATCH($C$130,{"Stabilized","Light Value-Add","Heavy Value-Add","Distressed Turnaround"},0),B137,C137,D137,E137),0))=0,"",(IFERROR(CHOOSE(MATCH($C$130,{"Stabilized","Light Value-Add","Heavy Value-Add","Distressed Turnaround"},0),B137,C137,D137,E137),0))),"")</f>
        <v/>
      </c>
      <c r="G137" s="274" t="str">
        <f aca="false">IFERROR(IF((IFERROR(F62/F50,0))=0,"",(IFERROR(F62/F50,0))),"")</f>
        <v/>
      </c>
    </row>
    <row r="138" customFormat="false" ht="15" hidden="false" customHeight="true" outlineLevel="1" collapsed="false">
      <c r="A138" s="270" t="s">
        <v>130</v>
      </c>
      <c r="B138" s="275" t="n">
        <v>600</v>
      </c>
      <c r="C138" s="275" t="n">
        <v>650</v>
      </c>
      <c r="D138" s="275" t="n">
        <v>700</v>
      </c>
      <c r="E138" s="275" t="n">
        <v>750</v>
      </c>
      <c r="F138" s="276" t="str">
        <f aca="false">IFERROR(IF((IFERROR(CHOOSE(MATCH($C$130,{"Stabilized","Light Value-Add","Heavy Value-Add","Distressed Turnaround"},0),B138,C138,D138,E138),0))=0,"",(IFERROR(CHOOSE(MATCH($C$130,{"Stabilized","Light Value-Add","Heavy Value-Add","Distressed Turnaround"},0),B138,C138,D138,E138),0))),"")</f>
        <v/>
      </c>
      <c r="G138" s="120" t="str">
        <f aca="false">IFERROR(IF((Scenarios!F58/'Prop Info'!$B$6)=0,"",(Scenarios!F58/'Prop Info'!$B$6)),"")</f>
        <v/>
      </c>
      <c r="H138" s="277" t="str">
        <f aca="false">IFERROR(IF((IFERROR(G138-F138,0))=0,"",(IFERROR(G138-F138,0))),"")</f>
        <v/>
      </c>
    </row>
    <row r="139" customFormat="false" ht="15" hidden="false" customHeight="true" outlineLevel="1" collapsed="false">
      <c r="A139" s="270" t="s">
        <v>131</v>
      </c>
      <c r="B139" s="275" t="n">
        <v>250</v>
      </c>
      <c r="C139" s="275" t="n">
        <v>350</v>
      </c>
      <c r="D139" s="275" t="n">
        <v>450</v>
      </c>
      <c r="E139" s="275" t="n">
        <v>500</v>
      </c>
      <c r="F139" s="276" t="str">
        <f aca="false">IFERROR(IF((IFERROR(CHOOSE(MATCH($C$130,{"Stabilized","Light Value-Add","Heavy Value-Add","Distressed Turnaround"},0),B139,C139,D139,E139),0))=0,"",(IFERROR(CHOOSE(MATCH($C$130,{"Stabilized","Light Value-Add","Heavy Value-Add","Distressed Turnaround"},0),B139,C139,D139,E139),0))),"")</f>
        <v/>
      </c>
      <c r="G139" s="120" t="str">
        <f aca="false">IFERROR(IF((Scenarios!F69/'Prop Info'!$B$6)=0,"",(Scenarios!F69/'Prop Info'!$B$6)),"")</f>
        <v/>
      </c>
      <c r="H139" s="277" t="str">
        <f aca="false">IFERROR(IF((IFERROR(G139-F139,0))=0,"",(IFERROR(G139-F139,0))),"")</f>
        <v/>
      </c>
    </row>
    <row r="140" customFormat="false" ht="36" hidden="false" customHeight="true" outlineLevel="1" collapsed="false">
      <c r="A140" s="270" t="s">
        <v>132</v>
      </c>
      <c r="B140" s="275" t="n">
        <v>550</v>
      </c>
      <c r="C140" s="275" t="n">
        <v>700</v>
      </c>
      <c r="D140" s="275" t="n">
        <v>900</v>
      </c>
      <c r="E140" s="275" t="n">
        <v>1000</v>
      </c>
      <c r="F140" s="276" t="str">
        <f aca="false">IFERROR(IF((IFERROR(CHOOSE(MATCH($C$130,{"Stabilized","Light Value-Add","Heavy Value-Add","Distressed Turnaround"},0),B140,C140,D140,E140),0))=0,"",(IFERROR(CHOOSE(MATCH($C$130,{"Stabilized","Light Value-Add","Heavy Value-Add","Distressed Turnaround"},0),B140,C140,D140,E140),0))),"")</f>
        <v/>
      </c>
      <c r="G140" s="120" t="str">
        <f aca="false">IFERROR(IF((Scenarios!F64/'Prop Info'!$B$6)=0,"",(Scenarios!F64/'Prop Info'!$B$6)),"")</f>
        <v/>
      </c>
      <c r="H140" s="277" t="str">
        <f aca="false">IFERROR(IF((IFERROR(G140-F140,0))=0,"",(IFERROR(G140-F140,0))),"")</f>
        <v/>
      </c>
    </row>
    <row r="141" customFormat="false" ht="15" hidden="false" customHeight="true" outlineLevel="1" collapsed="false">
      <c r="A141" s="278" t="s">
        <v>803</v>
      </c>
    </row>
    <row r="142" customFormat="false" ht="15" hidden="false" customHeight="true" outlineLevel="1" collapsed="false">
      <c r="A142" s="279"/>
      <c r="B142" s="279"/>
      <c r="C142" s="279"/>
      <c r="D142" s="279"/>
      <c r="E142" s="279"/>
      <c r="F142" s="279"/>
      <c r="G142" s="279"/>
      <c r="H142" s="279"/>
    </row>
    <row r="143" customFormat="false" ht="15" hidden="false" customHeight="true" outlineLevel="0" collapsed="false">
      <c r="A143" s="265" t="s">
        <v>804</v>
      </c>
      <c r="B143" s="265"/>
      <c r="C143" s="265"/>
      <c r="D143" s="265"/>
      <c r="E143" s="265"/>
      <c r="F143" s="265"/>
      <c r="G143" s="265"/>
      <c r="H143" s="265"/>
    </row>
    <row r="144" customFormat="false" ht="15" hidden="false" customHeight="true" outlineLevel="1" collapsed="false">
      <c r="A144" s="270" t="s">
        <v>805</v>
      </c>
      <c r="F144" s="280" t="str">
        <f aca="false">IFERROR(IF((IFERROR('P&amp;L'!C40/F$117,0))=0,"",(IFERROR('P&amp;L'!C40/F$117,0))),"")</f>
        <v/>
      </c>
      <c r="G144" s="107" t="s">
        <v>806</v>
      </c>
      <c r="H144" s="107"/>
    </row>
    <row r="145" customFormat="false" ht="15" hidden="false" customHeight="true" outlineLevel="1" collapsed="false">
      <c r="A145" s="270" t="s">
        <v>807</v>
      </c>
      <c r="F145" s="280" t="str">
        <f aca="false">IFERROR(IF((IFERROR('P&amp;L'!D40/F$117,0))=0,"",(IFERROR('P&amp;L'!D40/F$117,0))),"")</f>
        <v/>
      </c>
      <c r="G145" s="107" t="s">
        <v>808</v>
      </c>
      <c r="H145" s="107"/>
    </row>
    <row r="146" customFormat="false" ht="15" hidden="false" customHeight="true" outlineLevel="1" collapsed="false">
      <c r="A146" s="270" t="s">
        <v>809</v>
      </c>
      <c r="F146" s="280" t="str">
        <f aca="false">IFERROR(IF((IFERROR('P&amp;L'!F40/F$117,0))=0,"",(IFERROR('P&amp;L'!F40/F$117,0))),"")</f>
        <v/>
      </c>
      <c r="G146" s="107" t="s">
        <v>810</v>
      </c>
      <c r="H146" s="107"/>
    </row>
    <row r="147" customFormat="false" ht="15" hidden="false" customHeight="true" outlineLevel="1" collapsed="false">
      <c r="A147" s="270" t="s">
        <v>811</v>
      </c>
      <c r="F147" s="281" t="str">
        <f aca="false">IFERROR(IF((IFERROR('P&amp;L'!C40/F$17,0))=0,"",(IFERROR('P&amp;L'!C40/F$17,0))),"")</f>
        <v/>
      </c>
      <c r="G147" s="107" t="s">
        <v>812</v>
      </c>
      <c r="H147" s="107"/>
    </row>
    <row r="148" customFormat="false" ht="15" hidden="false" customHeight="true" outlineLevel="1" collapsed="false">
      <c r="A148" s="270" t="s">
        <v>813</v>
      </c>
      <c r="F148" s="281" t="str">
        <f aca="false">IFERROR(IF((IFERROR('P&amp;L'!F40/(F$17+Capex!$D$51),0))=0,"",(IFERROR('P&amp;L'!F40/(F$17+Capex!$D$51),0))),"")</f>
        <v/>
      </c>
      <c r="G148" s="107" t="s">
        <v>814</v>
      </c>
      <c r="H148" s="107"/>
    </row>
    <row r="149" customFormat="false" ht="15" hidden="false" customHeight="true" outlineLevel="1" collapsed="false">
      <c r="A149" s="270" t="s">
        <v>815</v>
      </c>
      <c r="F149" s="282" t="str">
        <f aca="false">IFERROR(IF(((F147-F$79)*10000)=0,"",((F147-F$79)*10000)),"")</f>
        <v/>
      </c>
      <c r="G149" s="107" t="s">
        <v>816</v>
      </c>
      <c r="H149" s="107"/>
    </row>
    <row r="150" customFormat="false" ht="15" hidden="false" customHeight="true" outlineLevel="1" collapsed="false">
      <c r="A150" s="270" t="s">
        <v>817</v>
      </c>
      <c r="F150" s="283" t="str">
        <f aca="false">IFERROR(IF(((F148-Waterfall!B6)*10000)=0,"",((F148-Waterfall!B6)*10000)),"")</f>
        <v/>
      </c>
      <c r="G150" s="107" t="s">
        <v>818</v>
      </c>
      <c r="H150" s="107"/>
    </row>
    <row r="151" customFormat="false" ht="15" hidden="false" customHeight="true" outlineLevel="1" collapsed="false">
      <c r="A151" s="270" t="s">
        <v>819</v>
      </c>
      <c r="F151" s="284" t="str">
        <f aca="false">IFERROR(IF((F$17+Capex!$D$51)=0,"",(F$17+Capex!$D$51)),"")</f>
        <v/>
      </c>
      <c r="G151" s="107" t="s">
        <v>820</v>
      </c>
      <c r="H151" s="107"/>
    </row>
    <row r="152" customFormat="false" ht="15" hidden="false" customHeight="true" outlineLevel="1" collapsed="false">
      <c r="A152" s="270" t="s">
        <v>821</v>
      </c>
      <c r="F152" s="284" t="str">
        <f aca="false">IFERROR(IF((IFERROR((F$17+Capex!$D$51)/'Prop Info'!$B$6,0))=0,"",(IFERROR((F$17+Capex!$D$51)/'Prop Info'!$B$6,0))),"")</f>
        <v/>
      </c>
      <c r="G152" s="107" t="s">
        <v>822</v>
      </c>
      <c r="H152" s="107"/>
    </row>
    <row r="153" customFormat="false" ht="15" hidden="false" customHeight="true" outlineLevel="1" collapsed="false">
      <c r="A153" s="270" t="s">
        <v>823</v>
      </c>
      <c r="F153" s="284" t="str">
        <f aca="false">IFERROR(IF((IFERROR('P&amp;L'!F40/Waterfall!B6,0))=0,"",(IFERROR('P&amp;L'!F40/Waterfall!B6,0))),"")</f>
        <v/>
      </c>
      <c r="G153" s="107" t="s">
        <v>824</v>
      </c>
      <c r="H153" s="107"/>
    </row>
    <row r="154" customFormat="false" ht="15" hidden="false" customHeight="true" outlineLevel="1" collapsed="false">
      <c r="A154" s="270" t="s">
        <v>825</v>
      </c>
      <c r="F154" s="285" t="str">
        <f aca="false">IFERROR(IF((F153-F151)=0,"",(F153-F151)),"")</f>
        <v/>
      </c>
      <c r="G154" s="107" t="s">
        <v>826</v>
      </c>
      <c r="H154" s="107"/>
    </row>
    <row r="155" customFormat="false" ht="15" hidden="false" customHeight="true" outlineLevel="1" collapsed="false">
      <c r="A155" s="270" t="s">
        <v>827</v>
      </c>
      <c r="F155" s="286" t="str">
        <f aca="false">IFERROR(IF((IFERROR(F153/F151-1,0))=0,"",(IFERROR(F153/F151-1,0))),"")</f>
        <v/>
      </c>
      <c r="G155" s="113" t="s">
        <v>828</v>
      </c>
    </row>
    <row r="156" customFormat="false" ht="15" hidden="false" customHeight="true" outlineLevel="1" collapsed="false"/>
    <row r="157" customFormat="false" ht="15" hidden="false" customHeight="true" outlineLevel="1" collapsed="false"/>
    <row r="158" customFormat="false" ht="42.75" hidden="false" customHeight="true" outlineLevel="0" collapsed="false">
      <c r="A158" s="265" t="s">
        <v>829</v>
      </c>
      <c r="B158" s="265"/>
      <c r="C158" s="265"/>
      <c r="D158" s="265"/>
      <c r="E158" s="265"/>
      <c r="F158" s="265"/>
      <c r="G158" s="265"/>
      <c r="H158" s="265"/>
    </row>
    <row r="159" customFormat="false" ht="20.25" hidden="false" customHeight="true" outlineLevel="1" collapsed="false">
      <c r="A159" s="223" t="s">
        <v>133</v>
      </c>
      <c r="C159" s="287" t="n">
        <v>3</v>
      </c>
      <c r="H159" s="227" t="s">
        <v>830</v>
      </c>
    </row>
    <row r="160" customFormat="false" ht="20.25" hidden="false" customHeight="true" outlineLevel="1" collapsed="false">
      <c r="A160" s="223" t="s">
        <v>134</v>
      </c>
      <c r="C160" s="224" t="n">
        <v>0</v>
      </c>
      <c r="H160" s="227" t="s">
        <v>831</v>
      </c>
    </row>
    <row r="161" customFormat="false" ht="30" hidden="false" customHeight="true" outlineLevel="1" collapsed="false">
      <c r="A161" s="223" t="s">
        <v>832</v>
      </c>
      <c r="C161" s="288" t="s">
        <v>833</v>
      </c>
      <c r="H161" s="227" t="s">
        <v>834</v>
      </c>
    </row>
  </sheetData>
  <mergeCells count="26">
    <mergeCell ref="A1:H1"/>
    <mergeCell ref="A3:H3"/>
    <mergeCell ref="A19:H19"/>
    <mergeCell ref="A27:H27"/>
    <mergeCell ref="A38:H38"/>
    <mergeCell ref="A52:H52"/>
    <mergeCell ref="A74:H74"/>
    <mergeCell ref="A84:H84"/>
    <mergeCell ref="A85:H85"/>
    <mergeCell ref="A86:H86"/>
    <mergeCell ref="A129:H129"/>
    <mergeCell ref="A130:H130"/>
    <mergeCell ref="A142:H142"/>
    <mergeCell ref="A143:H143"/>
    <mergeCell ref="G144:H144"/>
    <mergeCell ref="G145:H145"/>
    <mergeCell ref="G146:H146"/>
    <mergeCell ref="G147:H147"/>
    <mergeCell ref="G148:H148"/>
    <mergeCell ref="G149:H149"/>
    <mergeCell ref="G150:H150"/>
    <mergeCell ref="G151:H151"/>
    <mergeCell ref="G152:H152"/>
    <mergeCell ref="G153:H153"/>
    <mergeCell ref="G154:H154"/>
    <mergeCell ref="A158:H158"/>
  </mergeCells>
  <dataValidations count="4">
    <dataValidation allowBlank="false" errorStyle="stop" operator="between" showDropDown="false" showErrorMessage="false" showInputMessage="false" sqref="B2" type="list">
      <formula1>"1. T-12 Actuals,2. My Version,3. Projected,4. Offer"</formula1>
      <formula2>0</formula2>
    </dataValidation>
    <dataValidation allowBlank="false" errorStyle="stop" operator="between" showDropDown="false" showErrorMessage="false" showInputMessage="false" sqref="C161" type="list">
      <formula1>"Distribution,Return of Capital"</formula1>
      <formula2>0</formula2>
    </dataValidation>
    <dataValidation allowBlank="true" error="Pick one of the four deal profiles." errorStyle="stop" errorTitle="Invalid profile" operator="between" showDropDown="false" showErrorMessage="true" showInputMessage="true" sqref="C131" type="list">
      <formula1>"Stabilized,Light Value-Add,Heavy Value-Add,Distressed Turnaround"</formula1>
      <formula2>0</formula2>
    </dataValidation>
    <dataValidation allowBlank="true" error="Please select YES or NO." errorStyle="stop" errorTitle="Invalid Input" operator="between" prompt="YES = size senior loan off Total Acquisition Cost (LTC). NO = size off Purchase Price (LTV, default)." promptTitle="LTV / LTC Toggle" showDropDown="false" showErrorMessage="true" showInputMessage="true" sqref="B12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8" colorId="64" zoomScale="125" zoomScaleNormal="125" zoomScalePageLayoutView="100" workbookViewId="0">
      <selection pane="topLeft" activeCell="E32" activeCellId="0" sqref="E32"/>
    </sheetView>
  </sheetViews>
  <sheetFormatPr defaultColWidth="8.859375" defaultRowHeight="15" customHeight="false" zeroHeight="false" outlineLevelRow="0" outlineLevelCol="0"/>
  <cols>
    <col collapsed="false" customWidth="true" hidden="false" outlineLevel="0" max="1" min="1" style="0" width="27.29"/>
    <col collapsed="false" customWidth="true" hidden="false" outlineLevel="0" max="2" min="2" style="0" width="10.29"/>
    <col collapsed="false" customWidth="true" hidden="false" outlineLevel="0" max="3" min="3" style="0" width="33.42"/>
    <col collapsed="false" customWidth="true" hidden="false" outlineLevel="0" max="4" min="4" style="0" width="16"/>
  </cols>
  <sheetData>
    <row r="1" customFormat="false" ht="24" hidden="false" customHeight="true" outlineLevel="0" collapsed="false">
      <c r="A1" s="3" t="str">
        <f aca="false">IF('Prop Info'!B4="","ACQUISITION COSTS — USE OF CAPITAL","ACQUISITION COSTS — USE OF CAPITAL"&amp;" — "&amp;'Prop Info'!B4)</f>
        <v>ACQUISITION COSTS — USE OF CAPITAL</v>
      </c>
      <c r="B1" s="3"/>
      <c r="C1" s="3"/>
      <c r="D1" s="3"/>
    </row>
    <row r="3" customFormat="false" ht="24" hidden="false" customHeight="true" outlineLevel="0" collapsed="false">
      <c r="A3" s="17" t="s">
        <v>835</v>
      </c>
      <c r="B3" s="17"/>
      <c r="C3" s="17"/>
      <c r="D3" s="17"/>
    </row>
    <row r="4" customFormat="false" ht="18" hidden="false" customHeight="true" outlineLevel="0" collapsed="false">
      <c r="A4" s="4" t="s">
        <v>15</v>
      </c>
      <c r="D4" s="20" t="str">
        <f aca="false">Scenarios!F7</f>
        <v/>
      </c>
    </row>
    <row r="5" customFormat="false" ht="18" hidden="false" customHeight="true" outlineLevel="0" collapsed="false">
      <c r="A5" s="6" t="s">
        <v>836</v>
      </c>
      <c r="D5" s="22" t="e">
        <f aca="false">-Scenarios!F116</f>
        <v>#VALUE!</v>
      </c>
    </row>
    <row r="6" customFormat="false" ht="18" hidden="false" customHeight="true" outlineLevel="0" collapsed="false">
      <c r="A6" s="4" t="s">
        <v>837</v>
      </c>
      <c r="D6" s="289" t="e">
        <f aca="false">D4+D5</f>
        <v>#VALUE!</v>
      </c>
    </row>
    <row r="7" customFormat="false" ht="18" hidden="false" customHeight="true" outlineLevel="0" collapsed="false">
      <c r="A7" s="6" t="s">
        <v>838</v>
      </c>
      <c r="D7" s="290" t="e">
        <f aca="false">D35</f>
        <v>#VALUE!</v>
      </c>
    </row>
    <row r="8" customFormat="false" ht="18" hidden="false" customHeight="true" outlineLevel="0" collapsed="false">
      <c r="A8" s="4" t="s">
        <v>839</v>
      </c>
      <c r="B8" s="291" t="n">
        <f aca="false">Scenarios!F15</f>
        <v>0.02</v>
      </c>
      <c r="D8" s="20" t="str">
        <f aca="false">Scenarios!F16</f>
        <v/>
      </c>
    </row>
    <row r="9" customFormat="false" ht="18" hidden="false" customHeight="true" outlineLevel="0" collapsed="false">
      <c r="A9" s="6" t="s">
        <v>840</v>
      </c>
      <c r="D9" s="22" t="str">
        <f aca="false">Scenarios!F12</f>
        <v/>
      </c>
    </row>
    <row r="10" customFormat="false" ht="18" hidden="false" customHeight="true" outlineLevel="0" collapsed="false">
      <c r="A10" s="4" t="s">
        <v>637</v>
      </c>
      <c r="D10" s="20" t="str">
        <f aca="false">IFERROR(Scenarios!F13,0)</f>
        <v/>
      </c>
    </row>
    <row r="11" customFormat="false" ht="18" hidden="false" customHeight="true" outlineLevel="0" collapsed="false">
      <c r="A11" s="292" t="s">
        <v>841</v>
      </c>
      <c r="D11" s="170" t="e">
        <f aca="false">SUM(D6:D10)</f>
        <v>#VALUE!</v>
      </c>
    </row>
    <row r="13" customFormat="false" ht="24" hidden="false" customHeight="true" outlineLevel="0" collapsed="false">
      <c r="A13" s="3" t="s">
        <v>842</v>
      </c>
      <c r="B13" s="3"/>
      <c r="C13" s="3"/>
      <c r="D13" s="3"/>
    </row>
    <row r="14" customFormat="false" ht="30" hidden="false" customHeight="true" outlineLevel="0" collapsed="false">
      <c r="A14" s="31" t="s">
        <v>547</v>
      </c>
      <c r="B14" s="31" t="s">
        <v>843</v>
      </c>
      <c r="C14" s="31" t="s">
        <v>55</v>
      </c>
      <c r="D14" s="31" t="s">
        <v>37</v>
      </c>
    </row>
    <row r="15" customFormat="false" ht="19.5" hidden="false" customHeight="true" outlineLevel="0" collapsed="false">
      <c r="A15" s="94" t="s">
        <v>844</v>
      </c>
      <c r="B15" s="94"/>
      <c r="C15" s="94"/>
      <c r="D15" s="94"/>
    </row>
    <row r="16" customFormat="false" ht="18" hidden="false" customHeight="true" outlineLevel="0" collapsed="false">
      <c r="A16" s="293" t="s">
        <v>845</v>
      </c>
      <c r="B16" s="294"/>
      <c r="C16" s="295" t="s">
        <v>215</v>
      </c>
      <c r="D16" s="296" t="n">
        <v>3500</v>
      </c>
    </row>
    <row r="17" customFormat="false" ht="18" hidden="false" customHeight="true" outlineLevel="0" collapsed="false">
      <c r="A17" s="297" t="s">
        <v>846</v>
      </c>
      <c r="B17" s="294"/>
      <c r="C17" s="298" t="s">
        <v>216</v>
      </c>
      <c r="D17" s="299" t="n">
        <v>6500</v>
      </c>
    </row>
    <row r="18" customFormat="false" ht="18" hidden="false" customHeight="true" outlineLevel="0" collapsed="false">
      <c r="A18" s="293" t="s">
        <v>847</v>
      </c>
      <c r="B18" s="294"/>
      <c r="C18" s="300" t="s">
        <v>217</v>
      </c>
      <c r="D18" s="296" t="n">
        <v>4500</v>
      </c>
    </row>
    <row r="19" customFormat="false" ht="18" hidden="false" customHeight="true" outlineLevel="0" collapsed="false">
      <c r="A19" s="297" t="s">
        <v>848</v>
      </c>
      <c r="B19" s="294"/>
      <c r="C19" s="300" t="s">
        <v>218</v>
      </c>
      <c r="D19" s="299" t="n">
        <v>15000</v>
      </c>
    </row>
    <row r="20" customFormat="false" ht="18" hidden="false" customHeight="true" outlineLevel="0" collapsed="false">
      <c r="A20" s="293" t="s">
        <v>849</v>
      </c>
      <c r="B20" s="294"/>
      <c r="C20" s="300" t="s">
        <v>219</v>
      </c>
      <c r="D20" s="296" t="n">
        <v>2500</v>
      </c>
    </row>
    <row r="21" customFormat="false" ht="18" hidden="false" customHeight="true" outlineLevel="0" collapsed="false">
      <c r="A21" s="297" t="s">
        <v>850</v>
      </c>
      <c r="B21" s="27" t="n">
        <f aca="false">Loans!B9</f>
        <v>0.01</v>
      </c>
      <c r="C21" s="301" t="s">
        <v>851</v>
      </c>
      <c r="D21" s="20" t="e">
        <f aca="false">Loans!E10</f>
        <v>#VALUE!</v>
      </c>
    </row>
    <row r="22" customFormat="false" ht="19.5" hidden="false" customHeight="true" outlineLevel="0" collapsed="false">
      <c r="A22" s="94" t="s">
        <v>852</v>
      </c>
      <c r="B22" s="94"/>
      <c r="C22" s="94"/>
      <c r="D22" s="94"/>
    </row>
    <row r="23" customFormat="false" ht="18" hidden="false" customHeight="true" outlineLevel="0" collapsed="false">
      <c r="A23" s="297" t="s">
        <v>220</v>
      </c>
      <c r="B23" s="302" t="n">
        <v>0.003</v>
      </c>
      <c r="C23" s="303" t="s">
        <v>853</v>
      </c>
      <c r="D23" s="20" t="e">
        <f aca="false">B23*Scenarios!F7</f>
        <v>#VALUE!</v>
      </c>
    </row>
    <row r="24" customFormat="false" ht="18" hidden="false" customHeight="true" outlineLevel="0" collapsed="false">
      <c r="A24" s="293" t="s">
        <v>854</v>
      </c>
      <c r="B24" s="294"/>
      <c r="C24" s="300" t="s">
        <v>221</v>
      </c>
      <c r="D24" s="296" t="n">
        <v>5000</v>
      </c>
    </row>
    <row r="25" customFormat="false" ht="18" hidden="false" customHeight="true" outlineLevel="0" collapsed="false">
      <c r="A25" s="297" t="s">
        <v>855</v>
      </c>
      <c r="B25" s="294"/>
      <c r="C25" s="300" t="s">
        <v>222</v>
      </c>
      <c r="D25" s="299" t="n">
        <v>1500</v>
      </c>
    </row>
    <row r="26" customFormat="false" ht="18" hidden="false" customHeight="true" outlineLevel="0" collapsed="false">
      <c r="A26" s="293" t="s">
        <v>223</v>
      </c>
      <c r="B26" s="304" t="n">
        <v>0.0035</v>
      </c>
      <c r="C26" s="305" t="s">
        <v>856</v>
      </c>
      <c r="D26" s="20" t="e">
        <f aca="false">B26*Scenarios!F7</f>
        <v>#VALUE!</v>
      </c>
    </row>
    <row r="27" customFormat="false" ht="18" hidden="false" customHeight="true" outlineLevel="0" collapsed="false">
      <c r="A27" s="297" t="s">
        <v>857</v>
      </c>
      <c r="B27" s="294"/>
      <c r="C27" s="300" t="s">
        <v>224</v>
      </c>
      <c r="D27" s="299" t="n">
        <v>750</v>
      </c>
    </row>
    <row r="28" customFormat="false" ht="18" hidden="false" customHeight="true" outlineLevel="0" collapsed="false">
      <c r="A28" s="293" t="s">
        <v>858</v>
      </c>
      <c r="B28" s="294"/>
      <c r="C28" s="300" t="s">
        <v>225</v>
      </c>
      <c r="D28" s="296" t="n">
        <v>500</v>
      </c>
    </row>
    <row r="29" customFormat="false" ht="18" hidden="false" customHeight="true" outlineLevel="0" collapsed="false">
      <c r="A29" s="297" t="s">
        <v>859</v>
      </c>
      <c r="B29" s="294"/>
      <c r="C29" s="300" t="s">
        <v>226</v>
      </c>
      <c r="D29" s="299" t="n">
        <v>12500</v>
      </c>
    </row>
    <row r="30" customFormat="false" ht="19.5" hidden="false" customHeight="true" outlineLevel="0" collapsed="false">
      <c r="A30" s="94" t="s">
        <v>860</v>
      </c>
      <c r="B30" s="94"/>
      <c r="C30" s="94"/>
      <c r="D30" s="94"/>
    </row>
    <row r="31" customFormat="false" ht="18" hidden="false" customHeight="true" outlineLevel="0" collapsed="false">
      <c r="A31" s="297" t="s">
        <v>861</v>
      </c>
      <c r="B31" s="294"/>
      <c r="C31" s="300" t="s">
        <v>227</v>
      </c>
      <c r="D31" s="299" t="n">
        <v>7500</v>
      </c>
    </row>
    <row r="32" customFormat="false" ht="18" hidden="false" customHeight="true" outlineLevel="0" collapsed="false">
      <c r="A32" s="293" t="s">
        <v>862</v>
      </c>
      <c r="B32" s="294"/>
      <c r="C32" s="300" t="s">
        <v>228</v>
      </c>
      <c r="D32" s="296" t="n">
        <v>3500</v>
      </c>
    </row>
    <row r="33" customFormat="false" ht="18" hidden="false" customHeight="true" outlineLevel="0" collapsed="false">
      <c r="A33" s="297" t="s">
        <v>863</v>
      </c>
      <c r="B33" s="294"/>
      <c r="C33" s="300" t="s">
        <v>229</v>
      </c>
      <c r="D33" s="299" t="n">
        <v>7500</v>
      </c>
    </row>
    <row r="34" customFormat="false" ht="18" hidden="false" customHeight="true" outlineLevel="0" collapsed="false">
      <c r="A34" s="293" t="s">
        <v>230</v>
      </c>
      <c r="B34" s="306" t="n">
        <v>0.005</v>
      </c>
      <c r="C34" s="300" t="s">
        <v>864</v>
      </c>
      <c r="D34" s="22" t="e">
        <f aca="false">B34*Scenarios!F7</f>
        <v>#VALUE!</v>
      </c>
    </row>
    <row r="35" customFormat="false" ht="18" hidden="false" customHeight="true" outlineLevel="0" collapsed="false">
      <c r="A35" s="307" t="s">
        <v>865</v>
      </c>
      <c r="B35" s="307"/>
      <c r="C35" s="307"/>
      <c r="D35" s="308" t="e">
        <f aca="false">IF(Scenarios!$F$7=0,0,SUM(D16:D34))</f>
        <v>#VALUE!</v>
      </c>
    </row>
  </sheetData>
  <mergeCells count="7">
    <mergeCell ref="A1:D1"/>
    <mergeCell ref="A3:D3"/>
    <mergeCell ref="A13:D13"/>
    <mergeCell ref="A15:D15"/>
    <mergeCell ref="A22:D22"/>
    <mergeCell ref="A30:D30"/>
    <mergeCell ref="A35:C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38" activePane="bottomLeft" state="frozen"/>
      <selection pane="topLeft" activeCell="A1" activeCellId="0" sqref="A1"/>
      <selection pane="bottomLeft" activeCell="B20" activeCellId="0" sqref="B20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41.29"/>
    <col collapsed="false" customWidth="true" hidden="false" outlineLevel="0" max="2" min="2" style="0" width="24.86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26"/>
    <col collapsed="false" customWidth="true" hidden="false" outlineLevel="0" max="17" min="17" style="0" width="12"/>
    <col collapsed="false" customWidth="true" hidden="false" outlineLevel="0" max="18" min="18" style="0" width="30"/>
  </cols>
  <sheetData>
    <row r="1" customFormat="false" ht="21.75" hidden="false" customHeight="true" outlineLevel="0" collapsed="false">
      <c r="A1" s="106" t="str">
        <f aca="false">IF('Prop Info'!B4="","T-12 ANALYSIS  —  Trailing 12 Diagnostic Layer","T-12 ANALYSIS  —  Trailing 12 Diagnostic Layer"&amp;" — "&amp;'Prop Info'!B4)</f>
        <v>T-12 ANALYSIS  —  Trailing 12 Diagnostic Layer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</row>
    <row r="2" customFormat="false" ht="21.75" hidden="false" customHeight="true" outlineLevel="0" collapsed="false">
      <c r="A2" s="113" t="s">
        <v>866</v>
      </c>
    </row>
    <row r="4" customFormat="false" ht="21.75" hidden="false" customHeight="true" outlineLevel="0" collapsed="false">
      <c r="A4" s="17" t="s">
        <v>867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customFormat="false" ht="15" hidden="false" customHeight="true" outlineLevel="0" collapsed="false">
      <c r="A5" s="126" t="s">
        <v>868</v>
      </c>
      <c r="B5" s="309" t="n">
        <f aca="false">N80</f>
        <v>0</v>
      </c>
      <c r="C5" s="126" t="s">
        <v>869</v>
      </c>
      <c r="D5" s="309" t="n">
        <f aca="false">N100</f>
        <v>0</v>
      </c>
      <c r="E5" s="126" t="s">
        <v>870</v>
      </c>
      <c r="F5" s="309" t="n">
        <f aca="false">N101</f>
        <v>0</v>
      </c>
      <c r="G5" s="126" t="s">
        <v>871</v>
      </c>
      <c r="H5" s="309" t="n">
        <f aca="false">SUMIF(P106:P255,"",O106:O255)+SUMIF(P106:P255,"— UNMAPPED —",O106:O255)</f>
        <v>0</v>
      </c>
      <c r="I5" s="126" t="str">
        <f aca="false">IF(ABS(H5)&lt;1,"🟢 all mapped","🔴 mapping incomplete")</f>
        <v>🟢 all mapped</v>
      </c>
      <c r="L5" s="126" t="s">
        <v>872</v>
      </c>
      <c r="M5" s="310" t="n">
        <f aca="false">IFERROR(N80/12/'Prop Info'!$B$6,0)</f>
        <v>0</v>
      </c>
    </row>
    <row r="7" customFormat="false" ht="21.75" hidden="false" customHeight="true" outlineLevel="0" collapsed="false">
      <c r="A7" s="17" t="s">
        <v>873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customFormat="false" ht="24" hidden="false" customHeight="true" outlineLevel="0" collapsed="false">
      <c r="A8" s="109" t="s">
        <v>11</v>
      </c>
      <c r="B8" s="109" t="s">
        <v>874</v>
      </c>
      <c r="C8" s="109" t="s">
        <v>875</v>
      </c>
      <c r="D8" s="109" t="s">
        <v>876</v>
      </c>
      <c r="E8" s="127" t="s">
        <v>877</v>
      </c>
      <c r="F8" s="127" t="s">
        <v>878</v>
      </c>
      <c r="G8" s="109" t="s">
        <v>879</v>
      </c>
      <c r="H8" s="109" t="s">
        <v>880</v>
      </c>
    </row>
    <row r="9" customFormat="false" ht="15" hidden="false" customHeight="true" outlineLevel="0" collapsed="false">
      <c r="A9" s="111" t="s">
        <v>881</v>
      </c>
      <c r="B9" s="277" t="n">
        <f aca="false">N80</f>
        <v>0</v>
      </c>
      <c r="C9" s="277" t="n">
        <f aca="false">SUM(H80:M80)*2</f>
        <v>0</v>
      </c>
      <c r="D9" s="277" t="n">
        <f aca="false">SUM(K80:M80)*4</f>
        <v>0</v>
      </c>
      <c r="E9" s="277" t="n">
        <f aca="false">D9-B9</f>
        <v>0</v>
      </c>
      <c r="F9" s="273" t="n">
        <f aca="false">IFERROR(D9/B9-1,0)</f>
        <v>0</v>
      </c>
      <c r="G9" s="311" t="str">
        <f aca="false">IF(F9&gt;0.05,"↑ rising",IF(F9&lt;-0.05,"↓ falling","→ stable"))</f>
        <v>→ stable</v>
      </c>
      <c r="H9" s="311" t="str">
        <f aca="false">IF(F9&gt;0.1,"improving",IF(F9&lt;-0.1,"⚠ deteriorating","stable"))</f>
        <v>stable</v>
      </c>
    </row>
    <row r="10" customFormat="false" ht="15" hidden="false" customHeight="true" outlineLevel="0" collapsed="false">
      <c r="A10" s="111" t="s">
        <v>882</v>
      </c>
      <c r="B10" s="277" t="n">
        <f aca="false">N100</f>
        <v>0</v>
      </c>
      <c r="C10" s="277" t="n">
        <f aca="false">SUM(H100:M100)*2</f>
        <v>0</v>
      </c>
      <c r="D10" s="277" t="n">
        <f aca="false">SUM(K100:M100)*4</f>
        <v>0</v>
      </c>
      <c r="E10" s="277" t="n">
        <f aca="false">D10-B10</f>
        <v>0</v>
      </c>
      <c r="F10" s="273" t="n">
        <f aca="false">IFERROR(D10/B10-1,0)</f>
        <v>0</v>
      </c>
      <c r="G10" s="311" t="str">
        <f aca="false">IF(F10&gt;0.05,"↑ rising",IF(F10&lt;-0.05,"↓ falling","→ stable"))</f>
        <v>→ stable</v>
      </c>
      <c r="H10" s="311" t="str">
        <f aca="false">IF(F10&gt;0.1,"⚠ deteriorating",IF(F10&lt;-0.1,"improving","stable"))</f>
        <v>stable</v>
      </c>
    </row>
    <row r="11" customFormat="false" ht="15" hidden="false" customHeight="true" outlineLevel="0" collapsed="false">
      <c r="A11" s="111" t="s">
        <v>883</v>
      </c>
      <c r="B11" s="277" t="n">
        <f aca="false">N101</f>
        <v>0</v>
      </c>
      <c r="C11" s="277" t="n">
        <f aca="false">SUM(H101:M101)*2</f>
        <v>0</v>
      </c>
      <c r="D11" s="277" t="n">
        <f aca="false">SUM(K101:M101)*4</f>
        <v>0</v>
      </c>
      <c r="E11" s="277" t="n">
        <f aca="false">D11-B11</f>
        <v>0</v>
      </c>
      <c r="F11" s="273" t="n">
        <f aca="false">IFERROR(D11/B11-1,0)</f>
        <v>0</v>
      </c>
      <c r="G11" s="311" t="str">
        <f aca="false">IF(F11&gt;0.05,"↑ rising",IF(F11&lt;-0.05,"↓ falling","→ stable"))</f>
        <v>→ stable</v>
      </c>
      <c r="H11" s="311" t="str">
        <f aca="false">IF(F11&gt;0.1,"improving",IF(F11&lt;-0.1,"⚠ deteriorating","stable"))</f>
        <v>stable</v>
      </c>
    </row>
    <row r="12" customFormat="false" ht="15" hidden="false" customHeight="true" outlineLevel="0" collapsed="false">
      <c r="A12" s="111" t="s">
        <v>884</v>
      </c>
      <c r="B12" s="277" t="n">
        <f aca="false">N65</f>
        <v>0</v>
      </c>
      <c r="C12" s="277" t="n">
        <f aca="false">SUM(H65:M65)*2</f>
        <v>0</v>
      </c>
      <c r="D12" s="277" t="n">
        <f aca="false">SUM(K65:M65)*4</f>
        <v>0</v>
      </c>
      <c r="E12" s="277" t="n">
        <f aca="false">D12-B12</f>
        <v>0</v>
      </c>
      <c r="F12" s="273" t="n">
        <f aca="false">IFERROR(D12/B12-1,0)</f>
        <v>0</v>
      </c>
      <c r="G12" s="311" t="str">
        <f aca="false">IF(F12&gt;0.05,"↑ rising",IF(F12&lt;-0.05,"↓ falling","→ stable"))</f>
        <v>→ stable</v>
      </c>
      <c r="H12" s="311" t="str">
        <f aca="false">IF(F12&gt;0.1,"⚠ deteriorating",IF(F12&lt;-0.1,"improving","stable"))</f>
        <v>stable</v>
      </c>
    </row>
    <row r="13" customFormat="false" ht="15" hidden="false" customHeight="true" outlineLevel="0" collapsed="false">
      <c r="A13" s="111" t="s">
        <v>727</v>
      </c>
      <c r="B13" s="277" t="n">
        <f aca="false">N96</f>
        <v>0</v>
      </c>
      <c r="C13" s="277" t="n">
        <f aca="false">SUM(H96:M96)*2</f>
        <v>0</v>
      </c>
      <c r="D13" s="277" t="n">
        <f aca="false">SUM(K96:M96)*4</f>
        <v>0</v>
      </c>
      <c r="E13" s="277" t="n">
        <f aca="false">D13-B13</f>
        <v>0</v>
      </c>
      <c r="F13" s="273" t="n">
        <f aca="false">IFERROR(D13/B13-1,0)</f>
        <v>0</v>
      </c>
      <c r="G13" s="311" t="str">
        <f aca="false">IF(F13&gt;0.05,"↑ rising",IF(F13&lt;-0.05,"↓ falling","→ stable"))</f>
        <v>→ stable</v>
      </c>
      <c r="H13" s="311" t="str">
        <f aca="false">IF(F13&gt;0.1,"⚠ deteriorating",IF(F13&lt;-0.1,"improving","stable"))</f>
        <v>stable</v>
      </c>
    </row>
    <row r="14" customFormat="false" ht="15" hidden="false" customHeight="true" outlineLevel="0" collapsed="false">
      <c r="A14" s="111" t="s">
        <v>885</v>
      </c>
      <c r="B14" s="277" t="n">
        <f aca="false">N88</f>
        <v>0</v>
      </c>
      <c r="C14" s="277" t="n">
        <f aca="false">SUM(H88:M88)*2</f>
        <v>0</v>
      </c>
      <c r="D14" s="277" t="n">
        <f aca="false">SUM(K88:M88)*4</f>
        <v>0</v>
      </c>
      <c r="E14" s="277" t="n">
        <f aca="false">D14-B14</f>
        <v>0</v>
      </c>
      <c r="F14" s="273" t="n">
        <f aca="false">IFERROR(D14/B14-1,0)</f>
        <v>0</v>
      </c>
      <c r="G14" s="311" t="str">
        <f aca="false">IF(F14&gt;0.05,"↑ rising",IF(F14&lt;-0.05,"↓ falling","→ stable"))</f>
        <v>→ stable</v>
      </c>
      <c r="H14" s="311" t="str">
        <f aca="false">IF(F14&gt;0.1,"⚠ deteriorating",IF(F14&lt;-0.1,"improving","stable"))</f>
        <v>stable</v>
      </c>
    </row>
    <row r="15" customFormat="false" ht="15" hidden="false" customHeight="true" outlineLevel="0" collapsed="false">
      <c r="A15" s="111" t="s">
        <v>722</v>
      </c>
      <c r="B15" s="277" t="n">
        <f aca="false">N82</f>
        <v>0</v>
      </c>
      <c r="C15" s="277" t="n">
        <f aca="false">SUM(H82:M82)*2</f>
        <v>0</v>
      </c>
      <c r="D15" s="277" t="n">
        <f aca="false">SUM(K82:M82)*4</f>
        <v>0</v>
      </c>
      <c r="E15" s="277" t="n">
        <f aca="false">D15-B15</f>
        <v>0</v>
      </c>
      <c r="F15" s="273" t="n">
        <f aca="false">IFERROR(D15/B15-1,0)</f>
        <v>0</v>
      </c>
      <c r="G15" s="311" t="str">
        <f aca="false">IF(F15&gt;0.05,"↑ rising",IF(F15&lt;-0.05,"↓ falling","→ stable"))</f>
        <v>→ stable</v>
      </c>
      <c r="H15" s="311" t="str">
        <f aca="false">IF(F15&gt;0.1,"⚠ deteriorating",IF(F15&lt;-0.1,"improving","stable"))</f>
        <v>stable</v>
      </c>
    </row>
    <row r="16" customFormat="false" ht="15" hidden="false" customHeight="true" outlineLevel="0" collapsed="false">
      <c r="A16" s="111" t="s">
        <v>886</v>
      </c>
      <c r="B16" s="277" t="n">
        <f aca="false">N87</f>
        <v>0</v>
      </c>
      <c r="C16" s="277" t="n">
        <f aca="false">SUM(H87:M87)*2</f>
        <v>0</v>
      </c>
      <c r="D16" s="277" t="n">
        <f aca="false">SUM(K87:M87)*4</f>
        <v>0</v>
      </c>
      <c r="E16" s="277" t="n">
        <f aca="false">D16-B16</f>
        <v>0</v>
      </c>
      <c r="F16" s="273" t="n">
        <f aca="false">IFERROR(D16/B16-1,0)</f>
        <v>0</v>
      </c>
      <c r="G16" s="311" t="str">
        <f aca="false">IF(F16&gt;0.05,"↑ rising",IF(F16&lt;-0.05,"↓ falling","→ stable"))</f>
        <v>→ stable</v>
      </c>
      <c r="H16" s="311" t="str">
        <f aca="false">IF(F16&gt;0.1,"⚠ deteriorating",IF(F16&lt;-0.1,"improving","stable"))</f>
        <v>stable</v>
      </c>
    </row>
    <row r="18" customFormat="false" ht="21.75" hidden="false" customHeight="true" outlineLevel="0" collapsed="false">
      <c r="A18" s="17" t="s">
        <v>887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</row>
    <row r="19" customFormat="false" ht="15" hidden="false" customHeight="true" outlineLevel="0" collapsed="false">
      <c r="A19" s="111" t="s">
        <v>5</v>
      </c>
      <c r="B19" s="118" t="n">
        <f aca="false">'Prop Info'!$B$6</f>
        <v>0</v>
      </c>
    </row>
    <row r="20" customFormat="false" ht="15" hidden="false" customHeight="true" outlineLevel="0" collapsed="false">
      <c r="A20" s="111" t="s">
        <v>888</v>
      </c>
      <c r="B20" s="118" t="n">
        <f aca="false">'Rent Roll Analysis'!T5</f>
        <v>0</v>
      </c>
    </row>
    <row r="21" customFormat="false" ht="15" hidden="false" customHeight="true" outlineLevel="0" collapsed="false">
      <c r="A21" s="111" t="s">
        <v>889</v>
      </c>
      <c r="B21" s="273" t="n">
        <f aca="false">IFERROR(B20/B19,0)</f>
        <v>0</v>
      </c>
    </row>
    <row r="22" customFormat="false" ht="15" hidden="false" customHeight="true" outlineLevel="0" collapsed="false">
      <c r="A22" s="111" t="s">
        <v>890</v>
      </c>
      <c r="B22" s="277" t="n">
        <f aca="false">N58</f>
        <v>0</v>
      </c>
    </row>
    <row r="23" customFormat="false" ht="15" hidden="false" customHeight="true" outlineLevel="0" collapsed="false">
      <c r="A23" s="111" t="s">
        <v>891</v>
      </c>
      <c r="B23" s="277" t="n">
        <f aca="false">N67</f>
        <v>0</v>
      </c>
    </row>
    <row r="24" customFormat="false" ht="15" hidden="false" customHeight="true" outlineLevel="0" collapsed="false">
      <c r="A24" s="111" t="s">
        <v>892</v>
      </c>
      <c r="B24" s="277" t="n">
        <f aca="false">N80</f>
        <v>0</v>
      </c>
    </row>
    <row r="25" customFormat="false" ht="15" hidden="false" customHeight="true" outlineLevel="0" collapsed="false">
      <c r="A25" s="111" t="s">
        <v>893</v>
      </c>
      <c r="B25" s="273" t="n">
        <f aca="false">IFERROR(B23/B22,0)</f>
        <v>0</v>
      </c>
    </row>
    <row r="26" customFormat="false" ht="15" hidden="false" customHeight="true" outlineLevel="0" collapsed="false">
      <c r="A26" s="111" t="s">
        <v>894</v>
      </c>
      <c r="B26" s="273" t="n">
        <f aca="false">B21-B25</f>
        <v>0</v>
      </c>
    </row>
    <row r="27" customFormat="false" ht="15" hidden="false" customHeight="true" outlineLevel="0" collapsed="false">
      <c r="A27" s="111" t="s">
        <v>895</v>
      </c>
      <c r="B27" s="277" t="n">
        <f aca="false">B26*B22</f>
        <v>0</v>
      </c>
    </row>
    <row r="29" customFormat="false" ht="21.75" hidden="false" customHeight="true" outlineLevel="0" collapsed="false">
      <c r="A29" s="17" t="s">
        <v>896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</row>
    <row r="30" customFormat="false" ht="15" hidden="false" customHeight="true" outlineLevel="0" collapsed="false">
      <c r="A30" s="109" t="s">
        <v>897</v>
      </c>
      <c r="B30" s="109" t="s">
        <v>37</v>
      </c>
      <c r="C30" s="109" t="s">
        <v>898</v>
      </c>
      <c r="D30" s="109" t="s">
        <v>899</v>
      </c>
      <c r="E30" s="109" t="s">
        <v>624</v>
      </c>
      <c r="F30" s="109" t="s">
        <v>880</v>
      </c>
    </row>
    <row r="31" customFormat="false" ht="15" hidden="false" customHeight="true" outlineLevel="0" collapsed="false">
      <c r="A31" s="111" t="s">
        <v>900</v>
      </c>
      <c r="B31" s="277" t="n">
        <f aca="false">ABS(N60)</f>
        <v>0</v>
      </c>
      <c r="C31" s="273" t="n">
        <f aca="false">IFERROR(B31/N58,0)</f>
        <v>0</v>
      </c>
      <c r="D31" s="312" t="n">
        <f aca="false">IFERROR(B31/12/'Prop Info'!$B$6,0)</f>
        <v>0</v>
      </c>
      <c r="E31" s="97" t="s">
        <v>901</v>
      </c>
    </row>
    <row r="32" customFormat="false" ht="15" hidden="false" customHeight="true" outlineLevel="0" collapsed="false">
      <c r="A32" s="111" t="s">
        <v>902</v>
      </c>
      <c r="B32" s="277" t="n">
        <f aca="false">ABS(N65)</f>
        <v>0</v>
      </c>
      <c r="C32" s="273" t="n">
        <f aca="false">IFERROR(B32/N58,0)</f>
        <v>0</v>
      </c>
      <c r="D32" s="312" t="n">
        <f aca="false">IFERROR(B32/12/'Prop Info'!$B$6,0)</f>
        <v>0</v>
      </c>
      <c r="E32" s="97" t="s">
        <v>903</v>
      </c>
    </row>
    <row r="33" customFormat="false" ht="15" hidden="false" customHeight="true" outlineLevel="0" collapsed="false">
      <c r="A33" s="111" t="s">
        <v>904</v>
      </c>
      <c r="B33" s="277" t="n">
        <f aca="false">ABS(N63)</f>
        <v>0</v>
      </c>
      <c r="C33" s="273" t="n">
        <f aca="false">IFERROR(B33/N58,0)</f>
        <v>0</v>
      </c>
      <c r="D33" s="312" t="n">
        <f aca="false">IFERROR(B33/12/'Prop Info'!$B$6,0)</f>
        <v>0</v>
      </c>
      <c r="E33" s="97" t="s">
        <v>905</v>
      </c>
    </row>
    <row r="34" customFormat="false" ht="15" hidden="false" customHeight="true" outlineLevel="0" collapsed="false">
      <c r="A34" s="111" t="s">
        <v>906</v>
      </c>
      <c r="B34" s="277" t="n">
        <f aca="false">ABS(N64)</f>
        <v>0</v>
      </c>
      <c r="C34" s="273" t="n">
        <f aca="false">IFERROR(B34/N58,0)</f>
        <v>0</v>
      </c>
      <c r="D34" s="312" t="n">
        <f aca="false">IFERROR(B34/12/'Prop Info'!$B$6,0)</f>
        <v>0</v>
      </c>
      <c r="E34" s="97" t="s">
        <v>907</v>
      </c>
    </row>
    <row r="35" customFormat="false" ht="15" hidden="false" customHeight="true" outlineLevel="0" collapsed="false">
      <c r="A35" s="111" t="s">
        <v>908</v>
      </c>
      <c r="B35" s="277" t="n">
        <f aca="false">ABS(N61)</f>
        <v>0</v>
      </c>
      <c r="C35" s="273" t="n">
        <f aca="false">IFERROR(B35/N58,0)</f>
        <v>0</v>
      </c>
      <c r="D35" s="312" t="n">
        <f aca="false">IFERROR(B35/12/'Prop Info'!$B$6,0)</f>
        <v>0</v>
      </c>
      <c r="E35" s="97" t="s">
        <v>909</v>
      </c>
    </row>
    <row r="36" customFormat="false" ht="15" hidden="false" customHeight="true" outlineLevel="0" collapsed="false">
      <c r="A36" s="111" t="s">
        <v>910</v>
      </c>
      <c r="B36" s="277" t="n">
        <f aca="false">ABS(N62)</f>
        <v>0</v>
      </c>
      <c r="C36" s="273" t="n">
        <f aca="false">IFERROR(B36/N58,0)</f>
        <v>0</v>
      </c>
      <c r="D36" s="312" t="n">
        <f aca="false">IFERROR(B36/12/'Prop Info'!$B$6,0)</f>
        <v>0</v>
      </c>
      <c r="E36" s="97" t="s">
        <v>909</v>
      </c>
    </row>
    <row r="37" customFormat="false" ht="15" hidden="false" customHeight="true" outlineLevel="0" collapsed="false">
      <c r="A37" s="313" t="s">
        <v>911</v>
      </c>
      <c r="B37" s="314" t="n">
        <f aca="false">SUM(B31:B36)</f>
        <v>0</v>
      </c>
      <c r="C37" s="315" t="n">
        <f aca="false">IFERROR(B37/N58,0)</f>
        <v>0</v>
      </c>
      <c r="F37" s="316" t="str">
        <f aca="false">IF(C37&gt;0.2,"🔴 critical",IF(C37&gt;0.13,"⚠ high","ok"))</f>
        <v>ok</v>
      </c>
    </row>
    <row r="39" customFormat="false" ht="21.75" hidden="false" customHeight="true" outlineLevel="0" collapsed="false">
      <c r="A39" s="17" t="s">
        <v>912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</row>
    <row r="40" customFormat="false" ht="15" hidden="false" customHeight="true" outlineLevel="0" collapsed="false">
      <c r="A40" s="113" t="s">
        <v>913</v>
      </c>
    </row>
    <row r="42" customFormat="false" ht="15" hidden="false" customHeight="true" outlineLevel="0" collapsed="false">
      <c r="A42" s="123" t="s">
        <v>714</v>
      </c>
    </row>
    <row r="43" customFormat="false" ht="15" hidden="false" customHeight="true" outlineLevel="0" collapsed="false">
      <c r="A43" s="111" t="s">
        <v>914</v>
      </c>
      <c r="B43" s="277" t="n">
        <f aca="false">N93</f>
        <v>0</v>
      </c>
    </row>
    <row r="44" customFormat="false" ht="15" hidden="false" customHeight="true" outlineLevel="0" collapsed="false">
      <c r="A44" s="111" t="s">
        <v>915</v>
      </c>
      <c r="B44" s="120" t="str">
        <f aca="false">Scenarios!F60</f>
        <v/>
      </c>
    </row>
    <row r="45" customFormat="false" ht="15" hidden="false" customHeight="true" outlineLevel="0" collapsed="false">
      <c r="A45" s="111" t="s">
        <v>916</v>
      </c>
      <c r="B45" s="277" t="e">
        <f aca="false">B43-B44</f>
        <v>#VALUE!</v>
      </c>
    </row>
    <row r="46" customFormat="false" ht="15" hidden="false" customHeight="true" outlineLevel="0" collapsed="false">
      <c r="A46" s="111" t="s">
        <v>917</v>
      </c>
      <c r="B46" s="111" t="str">
        <f aca="false">IF(B43=0,"⚠ not in T-12 — likely paid at entity level — VERIFY",IF(B44=0,"⚠ pro forma not set",IF(ABS(B45)/B44&gt;0.2,"⚠ material variance","ok")))</f>
        <v>⚠ not in T-12 — likely paid at entity level — VERIFY</v>
      </c>
    </row>
    <row r="48" customFormat="false" ht="15" hidden="false" customHeight="true" outlineLevel="0" collapsed="false">
      <c r="A48" s="123" t="s">
        <v>710</v>
      </c>
    </row>
    <row r="49" customFormat="false" ht="15" hidden="false" customHeight="true" outlineLevel="0" collapsed="false">
      <c r="A49" s="111" t="s">
        <v>914</v>
      </c>
      <c r="B49" s="277" t="n">
        <f aca="false">N92</f>
        <v>0</v>
      </c>
    </row>
    <row r="50" customFormat="false" ht="15" hidden="false" customHeight="true" outlineLevel="0" collapsed="false">
      <c r="A50" s="111" t="s">
        <v>915</v>
      </c>
      <c r="B50" s="120" t="str">
        <f aca="false">Scenarios!F58</f>
        <v/>
      </c>
    </row>
    <row r="51" customFormat="false" ht="15" hidden="false" customHeight="true" outlineLevel="0" collapsed="false">
      <c r="A51" s="111" t="s">
        <v>918</v>
      </c>
      <c r="B51" s="277" t="e">
        <f aca="false">B49-B50</f>
        <v>#VALUE!</v>
      </c>
    </row>
    <row r="52" customFormat="false" ht="15" hidden="false" customHeight="true" outlineLevel="0" collapsed="false">
      <c r="A52" s="111" t="s">
        <v>917</v>
      </c>
      <c r="B52" s="111" t="str">
        <f aca="false">IF(B49=0,"⚠ not in T-12 — likely paid at entity level — VERIFY",IF(B50=0,"⚠ pro forma not set",IF(ABS(B51)/B50&gt;0.2,"⚠ material variance","ok")))</f>
        <v>⚠ not in T-12 — likely paid at entity level — VERIFY</v>
      </c>
    </row>
    <row r="54" customFormat="false" ht="27.75" hidden="false" customHeight="true" outlineLevel="0" collapsed="false">
      <c r="A54" s="317" t="s">
        <v>919</v>
      </c>
      <c r="B54" s="317"/>
      <c r="C54" s="317"/>
      <c r="D54" s="317"/>
      <c r="E54" s="317"/>
      <c r="F54" s="317"/>
      <c r="G54" s="317"/>
      <c r="H54" s="317"/>
      <c r="I54" s="317"/>
      <c r="J54" s="317"/>
      <c r="K54" s="317"/>
      <c r="L54" s="317"/>
      <c r="M54" s="317"/>
      <c r="N54" s="317"/>
      <c r="O54" s="317"/>
      <c r="P54" s="317"/>
      <c r="Q54" s="317"/>
      <c r="R54" s="317"/>
    </row>
    <row r="55" customFormat="false" ht="21.75" hidden="false" customHeight="true" outlineLevel="0" collapsed="false">
      <c r="A55" s="17" t="s">
        <v>920</v>
      </c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customFormat="false" ht="24" hidden="false" customHeight="true" outlineLevel="0" collapsed="false">
      <c r="A56" s="109" t="s">
        <v>921</v>
      </c>
      <c r="B56" s="109" t="s">
        <v>922</v>
      </c>
      <c r="C56" s="109" t="s">
        <v>923</v>
      </c>
      <c r="D56" s="109" t="s">
        <v>924</v>
      </c>
      <c r="E56" s="109" t="s">
        <v>925</v>
      </c>
      <c r="F56" s="109" t="s">
        <v>926</v>
      </c>
      <c r="G56" s="109" t="s">
        <v>927</v>
      </c>
      <c r="H56" s="109" t="s">
        <v>928</v>
      </c>
      <c r="I56" s="109" t="s">
        <v>929</v>
      </c>
      <c r="J56" s="109" t="s">
        <v>930</v>
      </c>
      <c r="K56" s="109" t="s">
        <v>931</v>
      </c>
      <c r="L56" s="109" t="s">
        <v>932</v>
      </c>
      <c r="M56" s="109" t="s">
        <v>933</v>
      </c>
      <c r="N56" s="109" t="s">
        <v>934</v>
      </c>
      <c r="O56" s="109" t="s">
        <v>876</v>
      </c>
      <c r="P56" s="109" t="s">
        <v>899</v>
      </c>
      <c r="Q56" s="109" t="s">
        <v>935</v>
      </c>
      <c r="R56" s="109" t="s">
        <v>936</v>
      </c>
    </row>
    <row r="57" customFormat="false" ht="15" hidden="false" customHeight="true" outlineLevel="0" collapsed="false">
      <c r="A57" s="318" t="s">
        <v>937</v>
      </c>
      <c r="B57" s="318"/>
      <c r="C57" s="318"/>
      <c r="D57" s="318"/>
      <c r="E57" s="318"/>
      <c r="F57" s="318"/>
      <c r="G57" s="318"/>
      <c r="H57" s="318"/>
      <c r="I57" s="318"/>
      <c r="J57" s="318"/>
      <c r="K57" s="318"/>
      <c r="L57" s="318"/>
      <c r="M57" s="318"/>
      <c r="N57" s="318"/>
      <c r="O57" s="318"/>
      <c r="P57" s="318"/>
      <c r="Q57" s="318"/>
      <c r="R57" s="318"/>
    </row>
    <row r="58" customFormat="false" ht="15" hidden="false" customHeight="true" outlineLevel="0" collapsed="false">
      <c r="A58" s="111" t="s">
        <v>938</v>
      </c>
      <c r="B58" s="277" t="n">
        <f aca="false">SUMIFS($C$106:$C$255,$P$106:$P$255,"Gross Potential Rent")</f>
        <v>0</v>
      </c>
      <c r="C58" s="277" t="n">
        <f aca="false">SUMIFS($D$106:$D$255,$P$106:$P$255,"Gross Potential Rent")</f>
        <v>0</v>
      </c>
      <c r="D58" s="277" t="n">
        <f aca="false">SUMIFS($E$106:$E$255,$P$106:$P$255,"Gross Potential Rent")</f>
        <v>0</v>
      </c>
      <c r="E58" s="277" t="n">
        <f aca="false">SUMIFS($F$106:$F$255,$P$106:$P$255,"Gross Potential Rent")</f>
        <v>0</v>
      </c>
      <c r="F58" s="277" t="n">
        <f aca="false">SUMIFS($G$106:$G$255,$P$106:$P$255,"Gross Potential Rent")</f>
        <v>0</v>
      </c>
      <c r="G58" s="277" t="n">
        <f aca="false">SUMIFS($H$106:$H$255,$P$106:$P$255,"Gross Potential Rent")</f>
        <v>0</v>
      </c>
      <c r="H58" s="277" t="n">
        <f aca="false">SUMIFS($I$106:$I$255,$P$106:$P$255,"Gross Potential Rent")</f>
        <v>0</v>
      </c>
      <c r="I58" s="277" t="n">
        <f aca="false">SUMIFS($J$106:$J$255,$P$106:$P$255,"Gross Potential Rent")</f>
        <v>0</v>
      </c>
      <c r="J58" s="277" t="n">
        <f aca="false">SUMIFS($K$106:$K$255,$P$106:$P$255,"Gross Potential Rent")</f>
        <v>0</v>
      </c>
      <c r="K58" s="277" t="n">
        <f aca="false">SUMIFS($L$106:$L$255,$P$106:$P$255,"Gross Potential Rent")</f>
        <v>0</v>
      </c>
      <c r="L58" s="277" t="n">
        <f aca="false">SUMIFS($M$106:$M$255,$P$106:$P$255,"Gross Potential Rent")</f>
        <v>0</v>
      </c>
      <c r="M58" s="277" t="n">
        <f aca="false">SUMIFS($N$106:$N$255,$P$106:$P$255,"Gross Potential Rent")</f>
        <v>0</v>
      </c>
      <c r="N58" s="309" t="n">
        <f aca="false">SUMIFS($O$106:$O$255,$P$106:$P$255,"Gross Potential Rent")</f>
        <v>0</v>
      </c>
      <c r="O58" s="277" t="n">
        <f aca="false">SUM(K58:M58)*4</f>
        <v>0</v>
      </c>
      <c r="P58" s="312" t="n">
        <f aca="false">IFERROR(N58/12/'Prop Info'!$B$6,0)</f>
        <v>0</v>
      </c>
      <c r="Q58" s="273" t="n">
        <f aca="false">IFERROR(N58/N$80,0)</f>
        <v>0</v>
      </c>
      <c r="R58" s="319" t="str">
        <f aca="false">IFERROR(IF(OR(VLOOKUP(A58,_StdCOA!$A$4:$E$56,4,0)=0,VLOOKUP(A58,_StdCOA!$A$4:$E$56,5,0)=0),"",IF(ABS(P58)&gt;VLOOKUP(A58,_StdCOA!$A$4:$E$56,5,0),"🔴 high",IF(ABS(P58)&lt;VLOOKUP(A58,_StdCOA!$A$4:$E$56,4,0),"🟢 low","🟡 in range"))),"")</f>
        <v/>
      </c>
    </row>
    <row r="59" customFormat="false" ht="15" hidden="false" customHeight="true" outlineLevel="0" collapsed="false">
      <c r="A59" s="111" t="s">
        <v>939</v>
      </c>
      <c r="B59" s="277" t="n">
        <f aca="false">SUMIFS($C$106:$C$255,$P$106:$P$255,"Gain/Loss on Market Rent")</f>
        <v>0</v>
      </c>
      <c r="C59" s="277" t="n">
        <f aca="false">SUMIFS($D$106:$D$255,$P$106:$P$255,"Gain/Loss on Market Rent")</f>
        <v>0</v>
      </c>
      <c r="D59" s="277" t="n">
        <f aca="false">SUMIFS($E$106:$E$255,$P$106:$P$255,"Gain/Loss on Market Rent")</f>
        <v>0</v>
      </c>
      <c r="E59" s="277" t="n">
        <f aca="false">SUMIFS($F$106:$F$255,$P$106:$P$255,"Gain/Loss on Market Rent")</f>
        <v>0</v>
      </c>
      <c r="F59" s="277" t="n">
        <f aca="false">SUMIFS($G$106:$G$255,$P$106:$P$255,"Gain/Loss on Market Rent")</f>
        <v>0</v>
      </c>
      <c r="G59" s="277" t="n">
        <f aca="false">SUMIFS($H$106:$H$255,$P$106:$P$255,"Gain/Loss on Market Rent")</f>
        <v>0</v>
      </c>
      <c r="H59" s="277" t="n">
        <f aca="false">SUMIFS($I$106:$I$255,$P$106:$P$255,"Gain/Loss on Market Rent")</f>
        <v>0</v>
      </c>
      <c r="I59" s="277" t="n">
        <f aca="false">SUMIFS($J$106:$J$255,$P$106:$P$255,"Gain/Loss on Market Rent")</f>
        <v>0</v>
      </c>
      <c r="J59" s="277" t="n">
        <f aca="false">SUMIFS($K$106:$K$255,$P$106:$P$255,"Gain/Loss on Market Rent")</f>
        <v>0</v>
      </c>
      <c r="K59" s="277" t="n">
        <f aca="false">SUMIFS($L$106:$L$255,$P$106:$P$255,"Gain/Loss on Market Rent")</f>
        <v>0</v>
      </c>
      <c r="L59" s="277" t="n">
        <f aca="false">SUMIFS($M$106:$M$255,$P$106:$P$255,"Gain/Loss on Market Rent")</f>
        <v>0</v>
      </c>
      <c r="M59" s="277" t="n">
        <f aca="false">SUMIFS($N$106:$N$255,$P$106:$P$255,"Gain/Loss on Market Rent")</f>
        <v>0</v>
      </c>
      <c r="N59" s="309" t="n">
        <f aca="false">SUMIFS($O$106:$O$255,$P$106:$P$255,"Gain/Loss on Market Rent")</f>
        <v>0</v>
      </c>
      <c r="O59" s="277" t="n">
        <f aca="false">SUM(K59:M59)*4</f>
        <v>0</v>
      </c>
      <c r="P59" s="312" t="n">
        <f aca="false">IFERROR(N59/12/'Prop Info'!$B$6,0)</f>
        <v>0</v>
      </c>
      <c r="Q59" s="273" t="n">
        <f aca="false">IFERROR(N59/N$80,0)</f>
        <v>0</v>
      </c>
      <c r="R59" s="319" t="str">
        <f aca="false">IFERROR(IF(OR(VLOOKUP(A59,_StdCOA!$A$4:$E$56,4,0)=0,VLOOKUP(A59,_StdCOA!$A$4:$E$56,5,0)=0),"",IF(ABS(P59)&gt;VLOOKUP(A59,_StdCOA!$A$4:$E$56,5,0),"🔴 high",IF(ABS(P59)&lt;VLOOKUP(A59,_StdCOA!$A$4:$E$56,4,0),"🟢 low","🟡 in range"))),"")</f>
        <v/>
      </c>
    </row>
    <row r="60" customFormat="false" ht="15" hidden="false" customHeight="true" outlineLevel="0" collapsed="false">
      <c r="A60" s="111" t="s">
        <v>900</v>
      </c>
      <c r="B60" s="277" t="n">
        <f aca="false">SUMIFS($C$106:$C$255,$P$106:$P$255,"Vacancy Loss")</f>
        <v>0</v>
      </c>
      <c r="C60" s="277" t="n">
        <f aca="false">SUMIFS($D$106:$D$255,$P$106:$P$255,"Vacancy Loss")</f>
        <v>0</v>
      </c>
      <c r="D60" s="277" t="n">
        <f aca="false">SUMIFS($E$106:$E$255,$P$106:$P$255,"Vacancy Loss")</f>
        <v>0</v>
      </c>
      <c r="E60" s="277" t="n">
        <f aca="false">SUMIFS($F$106:$F$255,$P$106:$P$255,"Vacancy Loss")</f>
        <v>0</v>
      </c>
      <c r="F60" s="277" t="n">
        <f aca="false">SUMIFS($G$106:$G$255,$P$106:$P$255,"Vacancy Loss")</f>
        <v>0</v>
      </c>
      <c r="G60" s="277" t="n">
        <f aca="false">SUMIFS($H$106:$H$255,$P$106:$P$255,"Vacancy Loss")</f>
        <v>0</v>
      </c>
      <c r="H60" s="277" t="n">
        <f aca="false">SUMIFS($I$106:$I$255,$P$106:$P$255,"Vacancy Loss")</f>
        <v>0</v>
      </c>
      <c r="I60" s="277" t="n">
        <f aca="false">SUMIFS($J$106:$J$255,$P$106:$P$255,"Vacancy Loss")</f>
        <v>0</v>
      </c>
      <c r="J60" s="277" t="n">
        <f aca="false">SUMIFS($K$106:$K$255,$P$106:$P$255,"Vacancy Loss")</f>
        <v>0</v>
      </c>
      <c r="K60" s="277" t="n">
        <f aca="false">SUMIFS($L$106:$L$255,$P$106:$P$255,"Vacancy Loss")</f>
        <v>0</v>
      </c>
      <c r="L60" s="277" t="n">
        <f aca="false">SUMIFS($M$106:$M$255,$P$106:$P$255,"Vacancy Loss")</f>
        <v>0</v>
      </c>
      <c r="M60" s="277" t="n">
        <f aca="false">SUMIFS($N$106:$N$255,$P$106:$P$255,"Vacancy Loss")</f>
        <v>0</v>
      </c>
      <c r="N60" s="309" t="n">
        <f aca="false">SUMIFS($O$106:$O$255,$P$106:$P$255,"Vacancy Loss")</f>
        <v>0</v>
      </c>
      <c r="O60" s="277" t="n">
        <f aca="false">SUM(K60:M60)*4</f>
        <v>0</v>
      </c>
      <c r="P60" s="312" t="n">
        <f aca="false">IFERROR(N60/12/'Prop Info'!$B$6,0)</f>
        <v>0</v>
      </c>
      <c r="Q60" s="273" t="n">
        <f aca="false">IFERROR(N60/N$80,0)</f>
        <v>0</v>
      </c>
      <c r="R60" s="319" t="str">
        <f aca="false">IFERROR(IF(OR(VLOOKUP(A60,_StdCOA!$A$4:$E$56,4,0)=0,VLOOKUP(A60,_StdCOA!$A$4:$E$56,5,0)=0),"",IF(ABS(P60)&gt;VLOOKUP(A60,_StdCOA!$A$4:$E$56,5,0),"🔴 high",IF(ABS(P60)&lt;VLOOKUP(A60,_StdCOA!$A$4:$E$56,4,0),"🟢 low","🟡 in range"))),"")</f>
        <v/>
      </c>
    </row>
    <row r="61" customFormat="false" ht="15" hidden="false" customHeight="true" outlineLevel="0" collapsed="false">
      <c r="A61" s="111" t="s">
        <v>908</v>
      </c>
      <c r="B61" s="277" t="n">
        <f aca="false">SUMIFS($C$106:$C$255,$P$106:$P$255,"Down Units Loss")</f>
        <v>0</v>
      </c>
      <c r="C61" s="277" t="n">
        <f aca="false">SUMIFS($D$106:$D$255,$P$106:$P$255,"Down Units Loss")</f>
        <v>0</v>
      </c>
      <c r="D61" s="277" t="n">
        <f aca="false">SUMIFS($E$106:$E$255,$P$106:$P$255,"Down Units Loss")</f>
        <v>0</v>
      </c>
      <c r="E61" s="277" t="n">
        <f aca="false">SUMIFS($F$106:$F$255,$P$106:$P$255,"Down Units Loss")</f>
        <v>0</v>
      </c>
      <c r="F61" s="277" t="n">
        <f aca="false">SUMIFS($G$106:$G$255,$P$106:$P$255,"Down Units Loss")</f>
        <v>0</v>
      </c>
      <c r="G61" s="277" t="n">
        <f aca="false">SUMIFS($H$106:$H$255,$P$106:$P$255,"Down Units Loss")</f>
        <v>0</v>
      </c>
      <c r="H61" s="277" t="n">
        <f aca="false">SUMIFS($I$106:$I$255,$P$106:$P$255,"Down Units Loss")</f>
        <v>0</v>
      </c>
      <c r="I61" s="277" t="n">
        <f aca="false">SUMIFS($J$106:$J$255,$P$106:$P$255,"Down Units Loss")</f>
        <v>0</v>
      </c>
      <c r="J61" s="277" t="n">
        <f aca="false">SUMIFS($K$106:$K$255,$P$106:$P$255,"Down Units Loss")</f>
        <v>0</v>
      </c>
      <c r="K61" s="277" t="n">
        <f aca="false">SUMIFS($L$106:$L$255,$P$106:$P$255,"Down Units Loss")</f>
        <v>0</v>
      </c>
      <c r="L61" s="277" t="n">
        <f aca="false">SUMIFS($M$106:$M$255,$P$106:$P$255,"Down Units Loss")</f>
        <v>0</v>
      </c>
      <c r="M61" s="277" t="n">
        <f aca="false">SUMIFS($N$106:$N$255,$P$106:$P$255,"Down Units Loss")</f>
        <v>0</v>
      </c>
      <c r="N61" s="309" t="n">
        <f aca="false">SUMIFS($O$106:$O$255,$P$106:$P$255,"Down Units Loss")</f>
        <v>0</v>
      </c>
      <c r="O61" s="277" t="n">
        <f aca="false">SUM(K61:M61)*4</f>
        <v>0</v>
      </c>
      <c r="P61" s="312" t="n">
        <f aca="false">IFERROR(N61/12/'Prop Info'!$B$6,0)</f>
        <v>0</v>
      </c>
      <c r="Q61" s="273" t="n">
        <f aca="false">IFERROR(N61/N$80,0)</f>
        <v>0</v>
      </c>
      <c r="R61" s="319" t="str">
        <f aca="false">IFERROR(IF(OR(VLOOKUP(A61,_StdCOA!$A$4:$E$56,4,0)=0,VLOOKUP(A61,_StdCOA!$A$4:$E$56,5,0)=0),"",IF(ABS(P61)&gt;VLOOKUP(A61,_StdCOA!$A$4:$E$56,5,0),"🔴 high",IF(ABS(P61)&lt;VLOOKUP(A61,_StdCOA!$A$4:$E$56,4,0),"🟢 low","🟡 in range"))),"")</f>
        <v/>
      </c>
    </row>
    <row r="62" customFormat="false" ht="15" hidden="false" customHeight="true" outlineLevel="0" collapsed="false">
      <c r="A62" s="111" t="s">
        <v>910</v>
      </c>
      <c r="B62" s="277" t="n">
        <f aca="false">SUMIFS($C$106:$C$255,$P$106:$P$255,"Employee Units")</f>
        <v>0</v>
      </c>
      <c r="C62" s="277" t="n">
        <f aca="false">SUMIFS($D$106:$D$255,$P$106:$P$255,"Employee Units")</f>
        <v>0</v>
      </c>
      <c r="D62" s="277" t="n">
        <f aca="false">SUMIFS($E$106:$E$255,$P$106:$P$255,"Employee Units")</f>
        <v>0</v>
      </c>
      <c r="E62" s="277" t="n">
        <f aca="false">SUMIFS($F$106:$F$255,$P$106:$P$255,"Employee Units")</f>
        <v>0</v>
      </c>
      <c r="F62" s="277" t="n">
        <f aca="false">SUMIFS($G$106:$G$255,$P$106:$P$255,"Employee Units")</f>
        <v>0</v>
      </c>
      <c r="G62" s="277" t="n">
        <f aca="false">SUMIFS($H$106:$H$255,$P$106:$P$255,"Employee Units")</f>
        <v>0</v>
      </c>
      <c r="H62" s="277" t="n">
        <f aca="false">SUMIFS($I$106:$I$255,$P$106:$P$255,"Employee Units")</f>
        <v>0</v>
      </c>
      <c r="I62" s="277" t="n">
        <f aca="false">SUMIFS($J$106:$J$255,$P$106:$P$255,"Employee Units")</f>
        <v>0</v>
      </c>
      <c r="J62" s="277" t="n">
        <f aca="false">SUMIFS($K$106:$K$255,$P$106:$P$255,"Employee Units")</f>
        <v>0</v>
      </c>
      <c r="K62" s="277" t="n">
        <f aca="false">SUMIFS($L$106:$L$255,$P$106:$P$255,"Employee Units")</f>
        <v>0</v>
      </c>
      <c r="L62" s="277" t="n">
        <f aca="false">SUMIFS($M$106:$M$255,$P$106:$P$255,"Employee Units")</f>
        <v>0</v>
      </c>
      <c r="M62" s="277" t="n">
        <f aca="false">SUMIFS($N$106:$N$255,$P$106:$P$255,"Employee Units")</f>
        <v>0</v>
      </c>
      <c r="N62" s="309" t="n">
        <f aca="false">SUMIFS($O$106:$O$255,$P$106:$P$255,"Employee Units")</f>
        <v>0</v>
      </c>
      <c r="O62" s="277" t="n">
        <f aca="false">SUM(K62:M62)*4</f>
        <v>0</v>
      </c>
      <c r="P62" s="312" t="n">
        <f aca="false">IFERROR(N62/12/'Prop Info'!$B$6,0)</f>
        <v>0</v>
      </c>
      <c r="Q62" s="273" t="n">
        <f aca="false">IFERROR(N62/N$80,0)</f>
        <v>0</v>
      </c>
      <c r="R62" s="319" t="str">
        <f aca="false">IFERROR(IF(OR(VLOOKUP(A62,_StdCOA!$A$4:$E$56,4,0)=0,VLOOKUP(A62,_StdCOA!$A$4:$E$56,5,0)=0),"",IF(ABS(P62)&gt;VLOOKUP(A62,_StdCOA!$A$4:$E$56,5,0),"🔴 high",IF(ABS(P62)&lt;VLOOKUP(A62,_StdCOA!$A$4:$E$56,4,0),"🟢 low","🟡 in range"))),"")</f>
        <v/>
      </c>
    </row>
    <row r="63" customFormat="false" ht="15" hidden="false" customHeight="true" outlineLevel="0" collapsed="false">
      <c r="A63" s="111" t="s">
        <v>904</v>
      </c>
      <c r="B63" s="277" t="n">
        <f aca="false">SUMIFS($C$106:$C$255,$P$106:$P$255,"Concessions")</f>
        <v>0</v>
      </c>
      <c r="C63" s="277" t="n">
        <f aca="false">SUMIFS($D$106:$D$255,$P$106:$P$255,"Concessions")</f>
        <v>0</v>
      </c>
      <c r="D63" s="277" t="n">
        <f aca="false">SUMIFS($E$106:$E$255,$P$106:$P$255,"Concessions")</f>
        <v>0</v>
      </c>
      <c r="E63" s="277" t="n">
        <f aca="false">SUMIFS($F$106:$F$255,$P$106:$P$255,"Concessions")</f>
        <v>0</v>
      </c>
      <c r="F63" s="277" t="n">
        <f aca="false">SUMIFS($G$106:$G$255,$P$106:$P$255,"Concessions")</f>
        <v>0</v>
      </c>
      <c r="G63" s="277" t="n">
        <f aca="false">SUMIFS($H$106:$H$255,$P$106:$P$255,"Concessions")</f>
        <v>0</v>
      </c>
      <c r="H63" s="277" t="n">
        <f aca="false">SUMIFS($I$106:$I$255,$P$106:$P$255,"Concessions")</f>
        <v>0</v>
      </c>
      <c r="I63" s="277" t="n">
        <f aca="false">SUMIFS($J$106:$J$255,$P$106:$P$255,"Concessions")</f>
        <v>0</v>
      </c>
      <c r="J63" s="277" t="n">
        <f aca="false">SUMIFS($K$106:$K$255,$P$106:$P$255,"Concessions")</f>
        <v>0</v>
      </c>
      <c r="K63" s="277" t="n">
        <f aca="false">SUMIFS($L$106:$L$255,$P$106:$P$255,"Concessions")</f>
        <v>0</v>
      </c>
      <c r="L63" s="277" t="n">
        <f aca="false">SUMIFS($M$106:$M$255,$P$106:$P$255,"Concessions")</f>
        <v>0</v>
      </c>
      <c r="M63" s="277" t="n">
        <f aca="false">SUMIFS($N$106:$N$255,$P$106:$P$255,"Concessions")</f>
        <v>0</v>
      </c>
      <c r="N63" s="309" t="n">
        <f aca="false">SUMIFS($O$106:$O$255,$P$106:$P$255,"Concessions")</f>
        <v>0</v>
      </c>
      <c r="O63" s="277" t="n">
        <f aca="false">SUM(K63:M63)*4</f>
        <v>0</v>
      </c>
      <c r="P63" s="312" t="n">
        <f aca="false">IFERROR(N63/12/'Prop Info'!$B$6,0)</f>
        <v>0</v>
      </c>
      <c r="Q63" s="273" t="n">
        <f aca="false">IFERROR(N63/N$80,0)</f>
        <v>0</v>
      </c>
      <c r="R63" s="319" t="str">
        <f aca="false">IFERROR(IF(OR(VLOOKUP(A63,_StdCOA!$A$4:$E$56,4,0)=0,VLOOKUP(A63,_StdCOA!$A$4:$E$56,5,0)=0),"",IF(ABS(P63)&gt;VLOOKUP(A63,_StdCOA!$A$4:$E$56,5,0),"🔴 high",IF(ABS(P63)&lt;VLOOKUP(A63,_StdCOA!$A$4:$E$56,4,0),"🟢 low","🟡 in range"))),"")</f>
        <v/>
      </c>
    </row>
    <row r="64" customFormat="false" ht="15" hidden="false" customHeight="true" outlineLevel="0" collapsed="false">
      <c r="A64" s="111" t="s">
        <v>906</v>
      </c>
      <c r="B64" s="277" t="n">
        <f aca="false">SUMIFS($C$106:$C$255,$P$106:$P$255,"Delinquency Change")</f>
        <v>0</v>
      </c>
      <c r="C64" s="277" t="n">
        <f aca="false">SUMIFS($D$106:$D$255,$P$106:$P$255,"Delinquency Change")</f>
        <v>0</v>
      </c>
      <c r="D64" s="277" t="n">
        <f aca="false">SUMIFS($E$106:$E$255,$P$106:$P$255,"Delinquency Change")</f>
        <v>0</v>
      </c>
      <c r="E64" s="277" t="n">
        <f aca="false">SUMIFS($F$106:$F$255,$P$106:$P$255,"Delinquency Change")</f>
        <v>0</v>
      </c>
      <c r="F64" s="277" t="n">
        <f aca="false">SUMIFS($G$106:$G$255,$P$106:$P$255,"Delinquency Change")</f>
        <v>0</v>
      </c>
      <c r="G64" s="277" t="n">
        <f aca="false">SUMIFS($H$106:$H$255,$P$106:$P$255,"Delinquency Change")</f>
        <v>0</v>
      </c>
      <c r="H64" s="277" t="n">
        <f aca="false">SUMIFS($I$106:$I$255,$P$106:$P$255,"Delinquency Change")</f>
        <v>0</v>
      </c>
      <c r="I64" s="277" t="n">
        <f aca="false">SUMIFS($J$106:$J$255,$P$106:$P$255,"Delinquency Change")</f>
        <v>0</v>
      </c>
      <c r="J64" s="277" t="n">
        <f aca="false">SUMIFS($K$106:$K$255,$P$106:$P$255,"Delinquency Change")</f>
        <v>0</v>
      </c>
      <c r="K64" s="277" t="n">
        <f aca="false">SUMIFS($L$106:$L$255,$P$106:$P$255,"Delinquency Change")</f>
        <v>0</v>
      </c>
      <c r="L64" s="277" t="n">
        <f aca="false">SUMIFS($M$106:$M$255,$P$106:$P$255,"Delinquency Change")</f>
        <v>0</v>
      </c>
      <c r="M64" s="277" t="n">
        <f aca="false">SUMIFS($N$106:$N$255,$P$106:$P$255,"Delinquency Change")</f>
        <v>0</v>
      </c>
      <c r="N64" s="309" t="n">
        <f aca="false">SUMIFS($O$106:$O$255,$P$106:$P$255,"Delinquency Change")</f>
        <v>0</v>
      </c>
      <c r="O64" s="277" t="n">
        <f aca="false">SUM(K64:M64)*4</f>
        <v>0</v>
      </c>
      <c r="P64" s="312" t="n">
        <f aca="false">IFERROR(N64/12/'Prop Info'!$B$6,0)</f>
        <v>0</v>
      </c>
      <c r="Q64" s="273" t="n">
        <f aca="false">IFERROR(N64/N$80,0)</f>
        <v>0</v>
      </c>
      <c r="R64" s="319" t="str">
        <f aca="false">IFERROR(IF(OR(VLOOKUP(A64,_StdCOA!$A$4:$E$56,4,0)=0,VLOOKUP(A64,_StdCOA!$A$4:$E$56,5,0)=0),"",IF(ABS(P64)&gt;VLOOKUP(A64,_StdCOA!$A$4:$E$56,5,0),"🔴 high",IF(ABS(P64)&lt;VLOOKUP(A64,_StdCOA!$A$4:$E$56,4,0),"🟢 low","🟡 in range"))),"")</f>
        <v/>
      </c>
    </row>
    <row r="65" customFormat="false" ht="15" hidden="false" customHeight="true" outlineLevel="0" collapsed="false">
      <c r="A65" s="111" t="s">
        <v>940</v>
      </c>
      <c r="B65" s="277" t="n">
        <f aca="false">SUMIFS($C$106:$C$255,$P$106:$P$255,"Write-offs / Bad Debt")</f>
        <v>0</v>
      </c>
      <c r="C65" s="277" t="n">
        <f aca="false">SUMIFS($D$106:$D$255,$P$106:$P$255,"Write-offs / Bad Debt")</f>
        <v>0</v>
      </c>
      <c r="D65" s="277" t="n">
        <f aca="false">SUMIFS($E$106:$E$255,$P$106:$P$255,"Write-offs / Bad Debt")</f>
        <v>0</v>
      </c>
      <c r="E65" s="277" t="n">
        <f aca="false">SUMIFS($F$106:$F$255,$P$106:$P$255,"Write-offs / Bad Debt")</f>
        <v>0</v>
      </c>
      <c r="F65" s="277" t="n">
        <f aca="false">SUMIFS($G$106:$G$255,$P$106:$P$255,"Write-offs / Bad Debt")</f>
        <v>0</v>
      </c>
      <c r="G65" s="277" t="n">
        <f aca="false">SUMIFS($H$106:$H$255,$P$106:$P$255,"Write-offs / Bad Debt")</f>
        <v>0</v>
      </c>
      <c r="H65" s="277" t="n">
        <f aca="false">SUMIFS($I$106:$I$255,$P$106:$P$255,"Write-offs / Bad Debt")</f>
        <v>0</v>
      </c>
      <c r="I65" s="277" t="n">
        <f aca="false">SUMIFS($J$106:$J$255,$P$106:$P$255,"Write-offs / Bad Debt")</f>
        <v>0</v>
      </c>
      <c r="J65" s="277" t="n">
        <f aca="false">SUMIFS($K$106:$K$255,$P$106:$P$255,"Write-offs / Bad Debt")</f>
        <v>0</v>
      </c>
      <c r="K65" s="277" t="n">
        <f aca="false">SUMIFS($L$106:$L$255,$P$106:$P$255,"Write-offs / Bad Debt")</f>
        <v>0</v>
      </c>
      <c r="L65" s="277" t="n">
        <f aca="false">SUMIFS($M$106:$M$255,$P$106:$P$255,"Write-offs / Bad Debt")</f>
        <v>0</v>
      </c>
      <c r="M65" s="277" t="n">
        <f aca="false">SUMIFS($N$106:$N$255,$P$106:$P$255,"Write-offs / Bad Debt")</f>
        <v>0</v>
      </c>
      <c r="N65" s="309" t="n">
        <f aca="false">SUMIFS($O$106:$O$255,$P$106:$P$255,"Write-offs / Bad Debt")</f>
        <v>0</v>
      </c>
      <c r="O65" s="277" t="n">
        <f aca="false">SUM(K65:M65)*4</f>
        <v>0</v>
      </c>
      <c r="P65" s="312" t="n">
        <f aca="false">IFERROR(N65/12/'Prop Info'!$B$6,0)</f>
        <v>0</v>
      </c>
      <c r="Q65" s="273" t="n">
        <f aca="false">IFERROR(N65/N$80,0)</f>
        <v>0</v>
      </c>
      <c r="R65" s="319" t="str">
        <f aca="false">IFERROR(IF(OR(VLOOKUP(A65,_StdCOA!$A$4:$E$56,4,0)=0,VLOOKUP(A65,_StdCOA!$A$4:$E$56,5,0)=0),"",IF(ABS(P65)&gt;VLOOKUP(A65,_StdCOA!$A$4:$E$56,5,0),"🔴 high",IF(ABS(P65)&lt;VLOOKUP(A65,_StdCOA!$A$4:$E$56,4,0),"🟢 low","🟡 in range"))),"")</f>
        <v/>
      </c>
    </row>
    <row r="66" customFormat="false" ht="15" hidden="false" customHeight="true" outlineLevel="0" collapsed="false">
      <c r="A66" s="111" t="s">
        <v>941</v>
      </c>
      <c r="B66" s="277" t="n">
        <f aca="false">SUMIFS($C$106:$C$255,$P$106:$P$255,"Prepaid Rent Change")</f>
        <v>0</v>
      </c>
      <c r="C66" s="277" t="n">
        <f aca="false">SUMIFS($D$106:$D$255,$P$106:$P$255,"Prepaid Rent Change")</f>
        <v>0</v>
      </c>
      <c r="D66" s="277" t="n">
        <f aca="false">SUMIFS($E$106:$E$255,$P$106:$P$255,"Prepaid Rent Change")</f>
        <v>0</v>
      </c>
      <c r="E66" s="277" t="n">
        <f aca="false">SUMIFS($F$106:$F$255,$P$106:$P$255,"Prepaid Rent Change")</f>
        <v>0</v>
      </c>
      <c r="F66" s="277" t="n">
        <f aca="false">SUMIFS($G$106:$G$255,$P$106:$P$255,"Prepaid Rent Change")</f>
        <v>0</v>
      </c>
      <c r="G66" s="277" t="n">
        <f aca="false">SUMIFS($H$106:$H$255,$P$106:$P$255,"Prepaid Rent Change")</f>
        <v>0</v>
      </c>
      <c r="H66" s="277" t="n">
        <f aca="false">SUMIFS($I$106:$I$255,$P$106:$P$255,"Prepaid Rent Change")</f>
        <v>0</v>
      </c>
      <c r="I66" s="277" t="n">
        <f aca="false">SUMIFS($J$106:$J$255,$P$106:$P$255,"Prepaid Rent Change")</f>
        <v>0</v>
      </c>
      <c r="J66" s="277" t="n">
        <f aca="false">SUMIFS($K$106:$K$255,$P$106:$P$255,"Prepaid Rent Change")</f>
        <v>0</v>
      </c>
      <c r="K66" s="277" t="n">
        <f aca="false">SUMIFS($L$106:$L$255,$P$106:$P$255,"Prepaid Rent Change")</f>
        <v>0</v>
      </c>
      <c r="L66" s="277" t="n">
        <f aca="false">SUMIFS($M$106:$M$255,$P$106:$P$255,"Prepaid Rent Change")</f>
        <v>0</v>
      </c>
      <c r="M66" s="277" t="n">
        <f aca="false">SUMIFS($N$106:$N$255,$P$106:$P$255,"Prepaid Rent Change")</f>
        <v>0</v>
      </c>
      <c r="N66" s="309" t="n">
        <f aca="false">SUMIFS($O$106:$O$255,$P$106:$P$255,"Prepaid Rent Change")</f>
        <v>0</v>
      </c>
      <c r="O66" s="277" t="n">
        <f aca="false">SUM(K66:M66)*4</f>
        <v>0</v>
      </c>
      <c r="P66" s="312" t="n">
        <f aca="false">IFERROR(N66/12/'Prop Info'!$B$6,0)</f>
        <v>0</v>
      </c>
      <c r="Q66" s="273" t="n">
        <f aca="false">IFERROR(N66/N$80,0)</f>
        <v>0</v>
      </c>
      <c r="R66" s="319" t="str">
        <f aca="false">IFERROR(IF(OR(VLOOKUP(A66,_StdCOA!$A$4:$E$56,4,0)=0,VLOOKUP(A66,_StdCOA!$A$4:$E$56,5,0)=0),"",IF(ABS(P66)&gt;VLOOKUP(A66,_StdCOA!$A$4:$E$56,5,0),"🔴 high",IF(ABS(P66)&lt;VLOOKUP(A66,_StdCOA!$A$4:$E$56,4,0),"🟢 low","🟡 in range"))),"")</f>
        <v/>
      </c>
    </row>
    <row r="67" customFormat="false" ht="15" hidden="false" customHeight="true" outlineLevel="0" collapsed="false">
      <c r="A67" s="313" t="s">
        <v>942</v>
      </c>
      <c r="B67" s="314" t="n">
        <f aca="false">B58+B59+B60+B61+B62+B63+B64+B65+B66</f>
        <v>0</v>
      </c>
      <c r="C67" s="314" t="n">
        <f aca="false">C58+C59+C60+C61+C62+C63+C64+C65+C66</f>
        <v>0</v>
      </c>
      <c r="D67" s="314" t="n">
        <f aca="false">D58+D59+D60+D61+D62+D63+D64+D65+D66</f>
        <v>0</v>
      </c>
      <c r="E67" s="314" t="n">
        <f aca="false">E58+E59+E60+E61+E62+E63+E64+E65+E66</f>
        <v>0</v>
      </c>
      <c r="F67" s="314" t="n">
        <f aca="false">F58+F59+F60+F61+F62+F63+F64+F65+F66</f>
        <v>0</v>
      </c>
      <c r="G67" s="314" t="n">
        <f aca="false">G58+G59+G60+G61+G62+G63+G64+G65+G66</f>
        <v>0</v>
      </c>
      <c r="H67" s="314" t="n">
        <f aca="false">H58+H59+H60+H61+H62+H63+H64+H65+H66</f>
        <v>0</v>
      </c>
      <c r="I67" s="314" t="n">
        <f aca="false">I58+I59+I60+I61+I62+I63+I64+I65+I66</f>
        <v>0</v>
      </c>
      <c r="J67" s="314" t="n">
        <f aca="false">J58+J59+J60+J61+J62+J63+J64+J65+J66</f>
        <v>0</v>
      </c>
      <c r="K67" s="314" t="n">
        <f aca="false">K58+K59+K60+K61+K62+K63+K64+K65+K66</f>
        <v>0</v>
      </c>
      <c r="L67" s="314" t="n">
        <f aca="false">L58+L59+L60+L61+L62+L63+L64+L65+L66</f>
        <v>0</v>
      </c>
      <c r="M67" s="314" t="n">
        <f aca="false">M58+M59+M60+M61+M62+M63+M64+M65+M66</f>
        <v>0</v>
      </c>
      <c r="N67" s="314" t="n">
        <f aca="false">N58+N59+N60+N61+N62+N63+N64+N65+N66</f>
        <v>0</v>
      </c>
      <c r="O67" s="314" t="n">
        <f aca="false">SUM(K67:M67)*4</f>
        <v>0</v>
      </c>
      <c r="P67" s="320" t="n">
        <f aca="false">IFERROR(N67/12/'Prop Info'!$B$6,0)</f>
        <v>0</v>
      </c>
      <c r="Q67" s="315" t="n">
        <f aca="false">IFERROR(N67/N$80,0)</f>
        <v>0</v>
      </c>
    </row>
    <row r="68" customFormat="false" ht="15" hidden="false" customHeight="true" outlineLevel="0" collapsed="false">
      <c r="A68" s="111" t="s">
        <v>943</v>
      </c>
      <c r="B68" s="277" t="n">
        <f aca="false">SUMIFS($C$106:$C$255,$P$106:$P$255,"MTM Fees")</f>
        <v>0</v>
      </c>
      <c r="C68" s="277" t="n">
        <f aca="false">SUMIFS($D$106:$D$255,$P$106:$P$255,"MTM Fees")</f>
        <v>0</v>
      </c>
      <c r="D68" s="277" t="n">
        <f aca="false">SUMIFS($E$106:$E$255,$P$106:$P$255,"MTM Fees")</f>
        <v>0</v>
      </c>
      <c r="E68" s="277" t="n">
        <f aca="false">SUMIFS($F$106:$F$255,$P$106:$P$255,"MTM Fees")</f>
        <v>0</v>
      </c>
      <c r="F68" s="277" t="n">
        <f aca="false">SUMIFS($G$106:$G$255,$P$106:$P$255,"MTM Fees")</f>
        <v>0</v>
      </c>
      <c r="G68" s="277" t="n">
        <f aca="false">SUMIFS($H$106:$H$255,$P$106:$P$255,"MTM Fees")</f>
        <v>0</v>
      </c>
      <c r="H68" s="277" t="n">
        <f aca="false">SUMIFS($I$106:$I$255,$P$106:$P$255,"MTM Fees")</f>
        <v>0</v>
      </c>
      <c r="I68" s="277" t="n">
        <f aca="false">SUMIFS($J$106:$J$255,$P$106:$P$255,"MTM Fees")</f>
        <v>0</v>
      </c>
      <c r="J68" s="277" t="n">
        <f aca="false">SUMIFS($K$106:$K$255,$P$106:$P$255,"MTM Fees")</f>
        <v>0</v>
      </c>
      <c r="K68" s="277" t="n">
        <f aca="false">SUMIFS($L$106:$L$255,$P$106:$P$255,"MTM Fees")</f>
        <v>0</v>
      </c>
      <c r="L68" s="277" t="n">
        <f aca="false">SUMIFS($M$106:$M$255,$P$106:$P$255,"MTM Fees")</f>
        <v>0</v>
      </c>
      <c r="M68" s="277" t="n">
        <f aca="false">SUMIFS($N$106:$N$255,$P$106:$P$255,"MTM Fees")</f>
        <v>0</v>
      </c>
      <c r="N68" s="309" t="n">
        <f aca="false">SUMIFS($O$106:$O$255,$P$106:$P$255,"MTM Fees")</f>
        <v>0</v>
      </c>
      <c r="O68" s="277" t="n">
        <f aca="false">SUM(K68:M68)*4</f>
        <v>0</v>
      </c>
      <c r="P68" s="312" t="n">
        <f aca="false">IFERROR(N68/12/'Prop Info'!$B$6,0)</f>
        <v>0</v>
      </c>
      <c r="Q68" s="273" t="n">
        <f aca="false">IFERROR(N68/N$80,0)</f>
        <v>0</v>
      </c>
      <c r="R68" s="319" t="str">
        <f aca="false">IFERROR(IF(OR(VLOOKUP(A68,_StdCOA!$A$4:$E$56,4,0)=0,VLOOKUP(A68,_StdCOA!$A$4:$E$56,5,0)=0),"",IF(ABS(P68)&gt;VLOOKUP(A68,_StdCOA!$A$4:$E$56,5,0),"🔴 high",IF(ABS(P68)&lt;VLOOKUP(A68,_StdCOA!$A$4:$E$56,4,0),"🟢 low","🟡 in range"))),"")</f>
        <v/>
      </c>
    </row>
    <row r="69" customFormat="false" ht="15" hidden="false" customHeight="true" outlineLevel="0" collapsed="false">
      <c r="A69" s="111" t="s">
        <v>944</v>
      </c>
      <c r="B69" s="277" t="n">
        <f aca="false">SUMIFS($C$106:$C$255,$P$106:$P$255,"Application Fees")</f>
        <v>0</v>
      </c>
      <c r="C69" s="277" t="n">
        <f aca="false">SUMIFS($D$106:$D$255,$P$106:$P$255,"Application Fees")</f>
        <v>0</v>
      </c>
      <c r="D69" s="277" t="n">
        <f aca="false">SUMIFS($E$106:$E$255,$P$106:$P$255,"Application Fees")</f>
        <v>0</v>
      </c>
      <c r="E69" s="277" t="n">
        <f aca="false">SUMIFS($F$106:$F$255,$P$106:$P$255,"Application Fees")</f>
        <v>0</v>
      </c>
      <c r="F69" s="277" t="n">
        <f aca="false">SUMIFS($G$106:$G$255,$P$106:$P$255,"Application Fees")</f>
        <v>0</v>
      </c>
      <c r="G69" s="277" t="n">
        <f aca="false">SUMIFS($H$106:$H$255,$P$106:$P$255,"Application Fees")</f>
        <v>0</v>
      </c>
      <c r="H69" s="277" t="n">
        <f aca="false">SUMIFS($I$106:$I$255,$P$106:$P$255,"Application Fees")</f>
        <v>0</v>
      </c>
      <c r="I69" s="277" t="n">
        <f aca="false">SUMIFS($J$106:$J$255,$P$106:$P$255,"Application Fees")</f>
        <v>0</v>
      </c>
      <c r="J69" s="277" t="n">
        <f aca="false">SUMIFS($K$106:$K$255,$P$106:$P$255,"Application Fees")</f>
        <v>0</v>
      </c>
      <c r="K69" s="277" t="n">
        <f aca="false">SUMIFS($L$106:$L$255,$P$106:$P$255,"Application Fees")</f>
        <v>0</v>
      </c>
      <c r="L69" s="277" t="n">
        <f aca="false">SUMIFS($M$106:$M$255,$P$106:$P$255,"Application Fees")</f>
        <v>0</v>
      </c>
      <c r="M69" s="277" t="n">
        <f aca="false">SUMIFS($N$106:$N$255,$P$106:$P$255,"Application Fees")</f>
        <v>0</v>
      </c>
      <c r="N69" s="309" t="n">
        <f aca="false">SUMIFS($O$106:$O$255,$P$106:$P$255,"Application Fees")</f>
        <v>0</v>
      </c>
      <c r="O69" s="277" t="n">
        <f aca="false">SUM(K69:M69)*4</f>
        <v>0</v>
      </c>
      <c r="P69" s="312" t="n">
        <f aca="false">IFERROR(N69/12/'Prop Info'!$B$6,0)</f>
        <v>0</v>
      </c>
      <c r="Q69" s="273" t="n">
        <f aca="false">IFERROR(N69/N$80,0)</f>
        <v>0</v>
      </c>
      <c r="R69" s="319" t="str">
        <f aca="false">IFERROR(IF(OR(VLOOKUP(A69,_StdCOA!$A$4:$E$56,4,0)=0,VLOOKUP(A69,_StdCOA!$A$4:$E$56,5,0)=0),"",IF(ABS(P69)&gt;VLOOKUP(A69,_StdCOA!$A$4:$E$56,5,0),"🔴 high",IF(ABS(P69)&lt;VLOOKUP(A69,_StdCOA!$A$4:$E$56,4,0),"🟢 low","🟡 in range"))),"")</f>
        <v/>
      </c>
    </row>
    <row r="70" customFormat="false" ht="15" hidden="false" customHeight="true" outlineLevel="0" collapsed="false">
      <c r="A70" s="111" t="s">
        <v>945</v>
      </c>
      <c r="B70" s="277" t="n">
        <f aca="false">SUMIFS($C$106:$C$255,$P$106:$P$255,"Late Fees")</f>
        <v>0</v>
      </c>
      <c r="C70" s="277" t="n">
        <f aca="false">SUMIFS($D$106:$D$255,$P$106:$P$255,"Late Fees")</f>
        <v>0</v>
      </c>
      <c r="D70" s="277" t="n">
        <f aca="false">SUMIFS($E$106:$E$255,$P$106:$P$255,"Late Fees")</f>
        <v>0</v>
      </c>
      <c r="E70" s="277" t="n">
        <f aca="false">SUMIFS($F$106:$F$255,$P$106:$P$255,"Late Fees")</f>
        <v>0</v>
      </c>
      <c r="F70" s="277" t="n">
        <f aca="false">SUMIFS($G$106:$G$255,$P$106:$P$255,"Late Fees")</f>
        <v>0</v>
      </c>
      <c r="G70" s="277" t="n">
        <f aca="false">SUMIFS($H$106:$H$255,$P$106:$P$255,"Late Fees")</f>
        <v>0</v>
      </c>
      <c r="H70" s="277" t="n">
        <f aca="false">SUMIFS($I$106:$I$255,$P$106:$P$255,"Late Fees")</f>
        <v>0</v>
      </c>
      <c r="I70" s="277" t="n">
        <f aca="false">SUMIFS($J$106:$J$255,$P$106:$P$255,"Late Fees")</f>
        <v>0</v>
      </c>
      <c r="J70" s="277" t="n">
        <f aca="false">SUMIFS($K$106:$K$255,$P$106:$P$255,"Late Fees")</f>
        <v>0</v>
      </c>
      <c r="K70" s="277" t="n">
        <f aca="false">SUMIFS($L$106:$L$255,$P$106:$P$255,"Late Fees")</f>
        <v>0</v>
      </c>
      <c r="L70" s="277" t="n">
        <f aca="false">SUMIFS($M$106:$M$255,$P$106:$P$255,"Late Fees")</f>
        <v>0</v>
      </c>
      <c r="M70" s="277" t="n">
        <f aca="false">SUMIFS($N$106:$N$255,$P$106:$P$255,"Late Fees")</f>
        <v>0</v>
      </c>
      <c r="N70" s="309" t="n">
        <f aca="false">SUMIFS($O$106:$O$255,$P$106:$P$255,"Late Fees")</f>
        <v>0</v>
      </c>
      <c r="O70" s="277" t="n">
        <f aca="false">SUM(K70:M70)*4</f>
        <v>0</v>
      </c>
      <c r="P70" s="312" t="n">
        <f aca="false">IFERROR(N70/12/'Prop Info'!$B$6,0)</f>
        <v>0</v>
      </c>
      <c r="Q70" s="273" t="n">
        <f aca="false">IFERROR(N70/N$80,0)</f>
        <v>0</v>
      </c>
      <c r="R70" s="319" t="str">
        <f aca="false">IFERROR(IF(OR(VLOOKUP(A70,_StdCOA!$A$4:$E$56,4,0)=0,VLOOKUP(A70,_StdCOA!$A$4:$E$56,5,0)=0),"",IF(ABS(P70)&gt;VLOOKUP(A70,_StdCOA!$A$4:$E$56,5,0),"🔴 high",IF(ABS(P70)&lt;VLOOKUP(A70,_StdCOA!$A$4:$E$56,4,0),"🟢 low","🟡 in range"))),"")</f>
        <v/>
      </c>
    </row>
    <row r="71" customFormat="false" ht="15" hidden="false" customHeight="true" outlineLevel="0" collapsed="false">
      <c r="A71" s="111" t="s">
        <v>946</v>
      </c>
      <c r="B71" s="277" t="n">
        <f aca="false">SUMIFS($C$106:$C$255,$P$106:$P$255,_StdCOA!$A$16)+SUMIFS($C$106:$C$255,$P$106:$P$255,_StdCOA!$A$42)+SUMIFS($C$106:$C$255,$P$106:$P$255,_StdCOA!$A$43)+SUMIFS($C$106:$C$255,$P$106:$P$255,_StdCOA!$A$44)+SUMIFS($C$106:$C$255,$P$106:$P$255,_StdCOA!$A$45)</f>
        <v>0</v>
      </c>
      <c r="C71" s="277" t="n">
        <f aca="false">SUMIFS($D$106:$D$255,$P$106:$P$255,_StdCOA!$A$16)+SUMIFS($D$106:$D$255,$P$106:$P$255,_StdCOA!$A$42)+SUMIFS($D$106:$D$255,$P$106:$P$255,_StdCOA!$A$43)+SUMIFS($D$106:$D$255,$P$106:$P$255,_StdCOA!$A$44)+SUMIFS($D$106:$D$255,$P$106:$P$255,_StdCOA!$A$45)</f>
        <v>0</v>
      </c>
      <c r="D71" s="277" t="n">
        <f aca="false">SUMIFS($E$106:$E$255,$P$106:$P$255,_StdCOA!$A$16)+SUMIFS($E$106:$E$255,$P$106:$P$255,_StdCOA!$A$42)+SUMIFS($E$106:$E$255,$P$106:$P$255,_StdCOA!$A$43)+SUMIFS($E$106:$E$255,$P$106:$P$255,_StdCOA!$A$44)+SUMIFS($E$106:$E$255,$P$106:$P$255,_StdCOA!$A$45)</f>
        <v>0</v>
      </c>
      <c r="E71" s="277" t="n">
        <f aca="false">SUMIFS($F$106:$F$255,$P$106:$P$255,_StdCOA!$A$16)+SUMIFS($F$106:$F$255,$P$106:$P$255,_StdCOA!$A$42)+SUMIFS($F$106:$F$255,$P$106:$P$255,_StdCOA!$A$43)+SUMIFS($F$106:$F$255,$P$106:$P$255,_StdCOA!$A$44)+SUMIFS($F$106:$F$255,$P$106:$P$255,_StdCOA!$A$45)</f>
        <v>0</v>
      </c>
      <c r="F71" s="277" t="n">
        <f aca="false">SUMIFS($G$106:$G$255,$P$106:$P$255,_StdCOA!$A$16)+SUMIFS($G$106:$G$255,$P$106:$P$255,_StdCOA!$A$42)+SUMIFS($G$106:$G$255,$P$106:$P$255,_StdCOA!$A$43)+SUMIFS($G$106:$G$255,$P$106:$P$255,_StdCOA!$A$44)+SUMIFS($G$106:$G$255,$P$106:$P$255,_StdCOA!$A$45)</f>
        <v>0</v>
      </c>
      <c r="G71" s="277" t="n">
        <f aca="false">SUMIFS($H$106:$H$255,$P$106:$P$255,_StdCOA!$A$16)+SUMIFS($H$106:$H$255,$P$106:$P$255,_StdCOA!$A$42)+SUMIFS($H$106:$H$255,$P$106:$P$255,_StdCOA!$A$43)+SUMIFS($H$106:$H$255,$P$106:$P$255,_StdCOA!$A$44)+SUMIFS($H$106:$H$255,$P$106:$P$255,_StdCOA!$A$45)</f>
        <v>0</v>
      </c>
      <c r="H71" s="277" t="n">
        <f aca="false">SUMIFS($I$106:$I$255,$P$106:$P$255,_StdCOA!$A$16)+SUMIFS($I$106:$I$255,$P$106:$P$255,_StdCOA!$A$42)+SUMIFS($I$106:$I$255,$P$106:$P$255,_StdCOA!$A$43)+SUMIFS($I$106:$I$255,$P$106:$P$255,_StdCOA!$A$44)+SUMIFS($I$106:$I$255,$P$106:$P$255,_StdCOA!$A$45)</f>
        <v>0</v>
      </c>
      <c r="I71" s="277" t="n">
        <f aca="false">SUMIFS($J$106:$J$255,$P$106:$P$255,_StdCOA!$A$16)+SUMIFS($J$106:$J$255,$P$106:$P$255,_StdCOA!$A$42)+SUMIFS($J$106:$J$255,$P$106:$P$255,_StdCOA!$A$43)+SUMIFS($J$106:$J$255,$P$106:$P$255,_StdCOA!$A$44)+SUMIFS($J$106:$J$255,$P$106:$P$255,_StdCOA!$A$45)</f>
        <v>0</v>
      </c>
      <c r="J71" s="277" t="n">
        <f aca="false">SUMIFS($K$106:$K$255,$P$106:$P$255,_StdCOA!$A$16)+SUMIFS($K$106:$K$255,$P$106:$P$255,_StdCOA!$A$42)+SUMIFS($K$106:$K$255,$P$106:$P$255,_StdCOA!$A$43)+SUMIFS($K$106:$K$255,$P$106:$P$255,_StdCOA!$A$44)+SUMIFS($K$106:$K$255,$P$106:$P$255,_StdCOA!$A$45)</f>
        <v>0</v>
      </c>
      <c r="K71" s="277" t="n">
        <f aca="false">SUMIFS($L$106:$L$255,$P$106:$P$255,_StdCOA!$A$16)+SUMIFS($L$106:$L$255,$P$106:$P$255,_StdCOA!$A$42)+SUMIFS($L$106:$L$255,$P$106:$P$255,_StdCOA!$A$43)+SUMIFS($L$106:$L$255,$P$106:$P$255,_StdCOA!$A$44)+SUMIFS($L$106:$L$255,$P$106:$P$255,_StdCOA!$A$45)</f>
        <v>0</v>
      </c>
      <c r="L71" s="277" t="n">
        <f aca="false">SUMIFS($M$106:$M$255,$P$106:$P$255,_StdCOA!$A$16)+SUMIFS($M$106:$M$255,$P$106:$P$255,_StdCOA!$A$42)+SUMIFS($M$106:$M$255,$P$106:$P$255,_StdCOA!$A$43)+SUMIFS($M$106:$M$255,$P$106:$P$255,_StdCOA!$A$44)+SUMIFS($M$106:$M$255,$P$106:$P$255,_StdCOA!$A$45)</f>
        <v>0</v>
      </c>
      <c r="M71" s="277" t="n">
        <f aca="false">SUMIFS($N$106:$N$255,$P$106:$P$255,_StdCOA!$A$16)+SUMIFS($N$106:$N$255,$P$106:$P$255,_StdCOA!$A$42)+SUMIFS($N$106:$N$255,$P$106:$P$255,_StdCOA!$A$43)+SUMIFS($N$106:$N$255,$P$106:$P$255,_StdCOA!$A$44)+SUMIFS($N$106:$N$255,$P$106:$P$255,_StdCOA!$A$45)+SUMIFS($N$106:$N$255,$P$106:$P$255,_StdCOA!$A$46)+SUMIFS($N$106:$N$255,$P$106:$P$255,_StdCOA!$A$47)+SUMIFS($N$106:$N$255,$P$106:$P$255,_StdCOA!$A$48)</f>
        <v>0</v>
      </c>
      <c r="N71" s="309" t="n">
        <f aca="false">SUMIFS($O$106:$O$255,$P$106:$P$255,_StdCOA!$A$16)+SUMIFS($O$106:$O$255,$P$106:$P$255,_StdCOA!$A$42)+SUMIFS($O$106:$O$255,$P$106:$P$255,_StdCOA!$A$43)+SUMIFS($O$106:$O$255,$P$106:$P$255,_StdCOA!$A$44)+SUMIFS($O$106:$O$255,$P$106:$P$255,_StdCOA!$A$45)+SUMIFS($O$106:$O$255,$P$106:$P$255,_StdCOA!$A$46)+SUMIFS($O$106:$O$255,$P$106:$P$255,_StdCOA!$A$47)+SUMIFS($O$106:$O$255,$P$106:$P$255,_StdCOA!$A$48)</f>
        <v>0</v>
      </c>
      <c r="O71" s="277" t="n">
        <f aca="false">SUM(K71:M71)*4</f>
        <v>0</v>
      </c>
      <c r="P71" s="312" t="n">
        <f aca="false">IFERROR(N71/12/'Prop Info'!$B$6,0)</f>
        <v>0</v>
      </c>
      <c r="Q71" s="273" t="n">
        <f aca="false">IFERROR(N71/N$80,0)</f>
        <v>0</v>
      </c>
      <c r="R71" s="319" t="str">
        <f aca="false">IFERROR(IF(OR(VLOOKUP(A71,_StdCOA!$A$4:$E$56,4,0)=0,VLOOKUP(A71,_StdCOA!$A$4:$E$56,5,0)=0),"",IF(ABS(P71)&gt;VLOOKUP(A71,_StdCOA!$A$4:$E$56,5,0),"🔴 high",IF(ABS(P71)&lt;VLOOKUP(A71,_StdCOA!$A$4:$E$56,4,0),"🟢 low","🟡 in range"))),"")</f>
        <v/>
      </c>
    </row>
    <row r="72" customFormat="false" ht="15" hidden="false" customHeight="true" outlineLevel="0" collapsed="false">
      <c r="A72" s="111" t="s">
        <v>947</v>
      </c>
      <c r="B72" s="277" t="n">
        <f aca="false">SUMIFS($C$106:$C$255,$P$106:$P$255,"Pet Fees")</f>
        <v>0</v>
      </c>
      <c r="C72" s="277" t="n">
        <f aca="false">SUMIFS($D$106:$D$255,$P$106:$P$255,"Pet Fees")</f>
        <v>0</v>
      </c>
      <c r="D72" s="277" t="n">
        <f aca="false">SUMIFS($E$106:$E$255,$P$106:$P$255,"Pet Fees")</f>
        <v>0</v>
      </c>
      <c r="E72" s="277" t="n">
        <f aca="false">SUMIFS($F$106:$F$255,$P$106:$P$255,"Pet Fees")</f>
        <v>0</v>
      </c>
      <c r="F72" s="277" t="n">
        <f aca="false">SUMIFS($G$106:$G$255,$P$106:$P$255,"Pet Fees")</f>
        <v>0</v>
      </c>
      <c r="G72" s="277" t="n">
        <f aca="false">SUMIFS($H$106:$H$255,$P$106:$P$255,"Pet Fees")</f>
        <v>0</v>
      </c>
      <c r="H72" s="277" t="n">
        <f aca="false">SUMIFS($I$106:$I$255,$P$106:$P$255,"Pet Fees")</f>
        <v>0</v>
      </c>
      <c r="I72" s="277" t="n">
        <f aca="false">SUMIFS($J$106:$J$255,$P$106:$P$255,"Pet Fees")</f>
        <v>0</v>
      </c>
      <c r="J72" s="277" t="n">
        <f aca="false">SUMIFS($K$106:$K$255,$P$106:$P$255,"Pet Fees")</f>
        <v>0</v>
      </c>
      <c r="K72" s="277" t="n">
        <f aca="false">SUMIFS($L$106:$L$255,$P$106:$P$255,"Pet Fees")</f>
        <v>0</v>
      </c>
      <c r="L72" s="277" t="n">
        <f aca="false">SUMIFS($M$106:$M$255,$P$106:$P$255,"Pet Fees")</f>
        <v>0</v>
      </c>
      <c r="M72" s="277" t="n">
        <f aca="false">SUMIFS($N$106:$N$255,$P$106:$P$255,"Pet Fees")</f>
        <v>0</v>
      </c>
      <c r="N72" s="309" t="n">
        <f aca="false">SUMIFS($O$106:$O$255,$P$106:$P$255,"Pet Fees")</f>
        <v>0</v>
      </c>
      <c r="O72" s="277" t="n">
        <f aca="false">SUM(K72:M72)*4</f>
        <v>0</v>
      </c>
      <c r="P72" s="312" t="n">
        <f aca="false">IFERROR(N72/12/'Prop Info'!$B$6,0)</f>
        <v>0</v>
      </c>
      <c r="Q72" s="273" t="n">
        <f aca="false">IFERROR(N72/N$80,0)</f>
        <v>0</v>
      </c>
      <c r="R72" s="319" t="str">
        <f aca="false">IFERROR(IF(OR(VLOOKUP(A72,_StdCOA!$A$4:$E$56,4,0)=0,VLOOKUP(A72,_StdCOA!$A$4:$E$56,5,0)=0),"",IF(ABS(P72)&gt;VLOOKUP(A72,_StdCOA!$A$4:$E$56,5,0),"🔴 high",IF(ABS(P72)&lt;VLOOKUP(A72,_StdCOA!$A$4:$E$56,4,0),"🟢 low","🟡 in range"))),"")</f>
        <v/>
      </c>
    </row>
    <row r="73" customFormat="false" ht="15" hidden="false" customHeight="true" outlineLevel="0" collapsed="false">
      <c r="A73" s="111" t="s">
        <v>948</v>
      </c>
      <c r="B73" s="277" t="n">
        <f aca="false">SUMIFS($C$106:$C$255,$P$106:$P$255,"Parking Income")</f>
        <v>0</v>
      </c>
      <c r="C73" s="277" t="n">
        <f aca="false">SUMIFS($D$106:$D$255,$P$106:$P$255,"Parking Income")</f>
        <v>0</v>
      </c>
      <c r="D73" s="277" t="n">
        <f aca="false">SUMIFS($E$106:$E$255,$P$106:$P$255,"Parking Income")</f>
        <v>0</v>
      </c>
      <c r="E73" s="277" t="n">
        <f aca="false">SUMIFS($F$106:$F$255,$P$106:$P$255,"Parking Income")</f>
        <v>0</v>
      </c>
      <c r="F73" s="277" t="n">
        <f aca="false">SUMIFS($G$106:$G$255,$P$106:$P$255,"Parking Income")</f>
        <v>0</v>
      </c>
      <c r="G73" s="277" t="n">
        <f aca="false">SUMIFS($H$106:$H$255,$P$106:$P$255,"Parking Income")</f>
        <v>0</v>
      </c>
      <c r="H73" s="277" t="n">
        <f aca="false">SUMIFS($I$106:$I$255,$P$106:$P$255,"Parking Income")</f>
        <v>0</v>
      </c>
      <c r="I73" s="277" t="n">
        <f aca="false">SUMIFS($J$106:$J$255,$P$106:$P$255,"Parking Income")</f>
        <v>0</v>
      </c>
      <c r="J73" s="277" t="n">
        <f aca="false">SUMIFS($K$106:$K$255,$P$106:$P$255,"Parking Income")</f>
        <v>0</v>
      </c>
      <c r="K73" s="277" t="n">
        <f aca="false">SUMIFS($L$106:$L$255,$P$106:$P$255,"Parking Income")</f>
        <v>0</v>
      </c>
      <c r="L73" s="277" t="n">
        <f aca="false">SUMIFS($M$106:$M$255,$P$106:$P$255,"Parking Income")</f>
        <v>0</v>
      </c>
      <c r="M73" s="277" t="n">
        <f aca="false">SUMIFS($N$106:$N$255,$P$106:$P$255,"Parking Income")</f>
        <v>0</v>
      </c>
      <c r="N73" s="309" t="n">
        <f aca="false">SUMIFS($O$106:$O$255,$P$106:$P$255,"Parking Income")</f>
        <v>0</v>
      </c>
      <c r="O73" s="277" t="n">
        <f aca="false">SUM(K73:M73)*4</f>
        <v>0</v>
      </c>
      <c r="P73" s="312" t="n">
        <f aca="false">IFERROR(N73/12/'Prop Info'!$B$6,0)</f>
        <v>0</v>
      </c>
      <c r="Q73" s="273" t="n">
        <f aca="false">IFERROR(N73/N$80,0)</f>
        <v>0</v>
      </c>
      <c r="R73" s="319" t="str">
        <f aca="false">IFERROR(IF(OR(VLOOKUP(A73,_StdCOA!$A$4:$E$56,4,0)=0,VLOOKUP(A73,_StdCOA!$A$4:$E$56,5,0)=0),"",IF(ABS(P73)&gt;VLOOKUP(A73,_StdCOA!$A$4:$E$56,5,0),"🔴 high",IF(ABS(P73)&lt;VLOOKUP(A73,_StdCOA!$A$4:$E$56,4,0),"🟢 low","🟡 in range"))),"")</f>
        <v/>
      </c>
    </row>
    <row r="74" customFormat="false" ht="15" hidden="false" customHeight="true" outlineLevel="0" collapsed="false">
      <c r="A74" s="111" t="s">
        <v>949</v>
      </c>
      <c r="B74" s="277" t="n">
        <f aca="false">SUMIFS($C$106:$C$255,$P$106:$P$255,"Amenity Fees")</f>
        <v>0</v>
      </c>
      <c r="C74" s="277" t="n">
        <f aca="false">SUMIFS($D$106:$D$255,$P$106:$P$255,"Amenity Fees")</f>
        <v>0</v>
      </c>
      <c r="D74" s="277" t="n">
        <f aca="false">SUMIFS($E$106:$E$255,$P$106:$P$255,"Amenity Fees")</f>
        <v>0</v>
      </c>
      <c r="E74" s="277" t="n">
        <f aca="false">SUMIFS($F$106:$F$255,$P$106:$P$255,"Amenity Fees")</f>
        <v>0</v>
      </c>
      <c r="F74" s="277" t="n">
        <f aca="false">SUMIFS($G$106:$G$255,$P$106:$P$255,"Amenity Fees")</f>
        <v>0</v>
      </c>
      <c r="G74" s="277" t="n">
        <f aca="false">SUMIFS($H$106:$H$255,$P$106:$P$255,"Amenity Fees")</f>
        <v>0</v>
      </c>
      <c r="H74" s="277" t="n">
        <f aca="false">SUMIFS($I$106:$I$255,$P$106:$P$255,"Amenity Fees")</f>
        <v>0</v>
      </c>
      <c r="I74" s="277" t="n">
        <f aca="false">SUMIFS($J$106:$J$255,$P$106:$P$255,"Amenity Fees")</f>
        <v>0</v>
      </c>
      <c r="J74" s="277" t="n">
        <f aca="false">SUMIFS($K$106:$K$255,$P$106:$P$255,"Amenity Fees")</f>
        <v>0</v>
      </c>
      <c r="K74" s="277" t="n">
        <f aca="false">SUMIFS($L$106:$L$255,$P$106:$P$255,"Amenity Fees")</f>
        <v>0</v>
      </c>
      <c r="L74" s="277" t="n">
        <f aca="false">SUMIFS($M$106:$M$255,$P$106:$P$255,"Amenity Fees")</f>
        <v>0</v>
      </c>
      <c r="M74" s="277" t="n">
        <f aca="false">SUMIFS($N$106:$N$255,$P$106:$P$255,"Amenity Fees")</f>
        <v>0</v>
      </c>
      <c r="N74" s="309" t="n">
        <f aca="false">SUMIFS($O$106:$O$255,$P$106:$P$255,"Amenity Fees")</f>
        <v>0</v>
      </c>
      <c r="O74" s="277" t="n">
        <f aca="false">SUM(K74:M74)*4</f>
        <v>0</v>
      </c>
      <c r="P74" s="312" t="n">
        <f aca="false">IFERROR(N74/12/'Prop Info'!$B$6,0)</f>
        <v>0</v>
      </c>
      <c r="Q74" s="273" t="n">
        <f aca="false">IFERROR(N74/N$80,0)</f>
        <v>0</v>
      </c>
      <c r="R74" s="319" t="str">
        <f aca="false">IFERROR(IF(OR(VLOOKUP(A74,_StdCOA!$A$4:$E$56,4,0)=0,VLOOKUP(A74,_StdCOA!$A$4:$E$56,5,0)=0),"",IF(ABS(P74)&gt;VLOOKUP(A74,_StdCOA!$A$4:$E$56,5,0),"🔴 high",IF(ABS(P74)&lt;VLOOKUP(A74,_StdCOA!$A$4:$E$56,4,0),"🟢 low","🟡 in range"))),"")</f>
        <v/>
      </c>
    </row>
    <row r="75" customFormat="false" ht="15" hidden="false" customHeight="true" outlineLevel="0" collapsed="false">
      <c r="A75" s="111" t="s">
        <v>950</v>
      </c>
      <c r="B75" s="277" t="n">
        <f aca="false">SUMIFS($C$106:$C$255,$P$106:$P$255,"Admin Fees")</f>
        <v>0</v>
      </c>
      <c r="C75" s="277" t="n">
        <f aca="false">SUMIFS($D$106:$D$255,$P$106:$P$255,"Admin Fees")</f>
        <v>0</v>
      </c>
      <c r="D75" s="277" t="n">
        <f aca="false">SUMIFS($E$106:$E$255,$P$106:$P$255,"Admin Fees")</f>
        <v>0</v>
      </c>
      <c r="E75" s="277" t="n">
        <f aca="false">SUMIFS($F$106:$F$255,$P$106:$P$255,"Admin Fees")</f>
        <v>0</v>
      </c>
      <c r="F75" s="277" t="n">
        <f aca="false">SUMIFS($G$106:$G$255,$P$106:$P$255,"Admin Fees")</f>
        <v>0</v>
      </c>
      <c r="G75" s="277" t="n">
        <f aca="false">SUMIFS($H$106:$H$255,$P$106:$P$255,"Admin Fees")</f>
        <v>0</v>
      </c>
      <c r="H75" s="277" t="n">
        <f aca="false">SUMIFS($I$106:$I$255,$P$106:$P$255,"Admin Fees")</f>
        <v>0</v>
      </c>
      <c r="I75" s="277" t="n">
        <f aca="false">SUMIFS($J$106:$J$255,$P$106:$P$255,"Admin Fees")</f>
        <v>0</v>
      </c>
      <c r="J75" s="277" t="n">
        <f aca="false">SUMIFS($K$106:$K$255,$P$106:$P$255,"Admin Fees")</f>
        <v>0</v>
      </c>
      <c r="K75" s="277" t="n">
        <f aca="false">SUMIFS($L$106:$L$255,$P$106:$P$255,"Admin Fees")</f>
        <v>0</v>
      </c>
      <c r="L75" s="277" t="n">
        <f aca="false">SUMIFS($M$106:$M$255,$P$106:$P$255,"Admin Fees")</f>
        <v>0</v>
      </c>
      <c r="M75" s="277" t="n">
        <f aca="false">SUMIFS($N$106:$N$255,$P$106:$P$255,"Admin Fees")</f>
        <v>0</v>
      </c>
      <c r="N75" s="309" t="n">
        <f aca="false">SUMIFS($O$106:$O$255,$P$106:$P$255,"Admin Fees")</f>
        <v>0</v>
      </c>
      <c r="O75" s="277" t="n">
        <f aca="false">SUM(K75:M75)*4</f>
        <v>0</v>
      </c>
      <c r="P75" s="312" t="n">
        <f aca="false">IFERROR(N75/12/'Prop Info'!$B$6,0)</f>
        <v>0</v>
      </c>
      <c r="Q75" s="273" t="n">
        <f aca="false">IFERROR(N75/N$80,0)</f>
        <v>0</v>
      </c>
      <c r="R75" s="319" t="str">
        <f aca="false">IFERROR(IF(OR(VLOOKUP(A75,_StdCOA!$A$4:$E$56,4,0)=0,VLOOKUP(A75,_StdCOA!$A$4:$E$56,5,0)=0),"",IF(ABS(P75)&gt;VLOOKUP(A75,_StdCOA!$A$4:$E$56,5,0),"🔴 high",IF(ABS(P75)&lt;VLOOKUP(A75,_StdCOA!$A$4:$E$56,4,0),"🟢 low","🟡 in range"))),"")</f>
        <v/>
      </c>
    </row>
    <row r="76" customFormat="false" ht="15" hidden="false" customHeight="true" outlineLevel="0" collapsed="false">
      <c r="A76" s="111" t="s">
        <v>951</v>
      </c>
      <c r="B76" s="277" t="n">
        <f aca="false">SUMIFS($C$106:$C$255,$P$106:$P$255,"Insurance Pass-Thru")</f>
        <v>0</v>
      </c>
      <c r="C76" s="277" t="n">
        <f aca="false">SUMIFS($D$106:$D$255,$P$106:$P$255,"Insurance Pass-Thru")</f>
        <v>0</v>
      </c>
      <c r="D76" s="277" t="n">
        <f aca="false">SUMIFS($E$106:$E$255,$P$106:$P$255,"Insurance Pass-Thru")</f>
        <v>0</v>
      </c>
      <c r="E76" s="277" t="n">
        <f aca="false">SUMIFS($F$106:$F$255,$P$106:$P$255,"Insurance Pass-Thru")</f>
        <v>0</v>
      </c>
      <c r="F76" s="277" t="n">
        <f aca="false">SUMIFS($G$106:$G$255,$P$106:$P$255,"Insurance Pass-Thru")</f>
        <v>0</v>
      </c>
      <c r="G76" s="277" t="n">
        <f aca="false">SUMIFS($H$106:$H$255,$P$106:$P$255,"Insurance Pass-Thru")</f>
        <v>0</v>
      </c>
      <c r="H76" s="277" t="n">
        <f aca="false">SUMIFS($I$106:$I$255,$P$106:$P$255,"Insurance Pass-Thru")</f>
        <v>0</v>
      </c>
      <c r="I76" s="277" t="n">
        <f aca="false">SUMIFS($J$106:$J$255,$P$106:$P$255,"Insurance Pass-Thru")</f>
        <v>0</v>
      </c>
      <c r="J76" s="277" t="n">
        <f aca="false">SUMIFS($K$106:$K$255,$P$106:$P$255,"Insurance Pass-Thru")</f>
        <v>0</v>
      </c>
      <c r="K76" s="277" t="n">
        <f aca="false">SUMIFS($L$106:$L$255,$P$106:$P$255,"Insurance Pass-Thru")</f>
        <v>0</v>
      </c>
      <c r="L76" s="277" t="n">
        <f aca="false">SUMIFS($M$106:$M$255,$P$106:$P$255,"Insurance Pass-Thru")</f>
        <v>0</v>
      </c>
      <c r="M76" s="277" t="n">
        <f aca="false">SUMIFS($N$106:$N$255,$P$106:$P$255,"Insurance Pass-Thru")</f>
        <v>0</v>
      </c>
      <c r="N76" s="309" t="n">
        <f aca="false">SUMIFS($O$106:$O$255,$P$106:$P$255,"Insurance Pass-Thru")</f>
        <v>0</v>
      </c>
      <c r="O76" s="277" t="n">
        <f aca="false">SUM(K76:M76)*4</f>
        <v>0</v>
      </c>
      <c r="P76" s="312" t="n">
        <f aca="false">IFERROR(N76/12/'Prop Info'!$B$6,0)</f>
        <v>0</v>
      </c>
      <c r="Q76" s="273" t="n">
        <f aca="false">IFERROR(N76/N$80,0)</f>
        <v>0</v>
      </c>
      <c r="R76" s="319" t="str">
        <f aca="false">IFERROR(IF(OR(VLOOKUP(A76,_StdCOA!$A$4:$E$56,4,0)=0,VLOOKUP(A76,_StdCOA!$A$4:$E$56,5,0)=0),"",IF(ABS(P76)&gt;VLOOKUP(A76,_StdCOA!$A$4:$E$56,5,0),"🔴 high",IF(ABS(P76)&lt;VLOOKUP(A76,_StdCOA!$A$4:$E$56,4,0),"🟢 low","🟡 in range"))),"")</f>
        <v/>
      </c>
    </row>
    <row r="77" customFormat="false" ht="15" hidden="false" customHeight="true" outlineLevel="0" collapsed="false">
      <c r="A77" s="111" t="s">
        <v>952</v>
      </c>
      <c r="B77" s="277" t="n">
        <f aca="false">SUMIFS($C$106:$C$255,$P$106:$P$255,"Misc Other Income")</f>
        <v>0</v>
      </c>
      <c r="C77" s="277" t="n">
        <f aca="false">SUMIFS($D$106:$D$255,$P$106:$P$255,"Misc Other Income")</f>
        <v>0</v>
      </c>
      <c r="D77" s="277" t="n">
        <f aca="false">SUMIFS($E$106:$E$255,$P$106:$P$255,"Misc Other Income")</f>
        <v>0</v>
      </c>
      <c r="E77" s="277" t="n">
        <f aca="false">SUMIFS($F$106:$F$255,$P$106:$P$255,"Misc Other Income")</f>
        <v>0</v>
      </c>
      <c r="F77" s="277" t="n">
        <f aca="false">SUMIFS($G$106:$G$255,$P$106:$P$255,"Misc Other Income")</f>
        <v>0</v>
      </c>
      <c r="G77" s="277" t="n">
        <f aca="false">SUMIFS($H$106:$H$255,$P$106:$P$255,"Misc Other Income")</f>
        <v>0</v>
      </c>
      <c r="H77" s="277" t="n">
        <f aca="false">SUMIFS($I$106:$I$255,$P$106:$P$255,"Misc Other Income")</f>
        <v>0</v>
      </c>
      <c r="I77" s="277" t="n">
        <f aca="false">SUMIFS($J$106:$J$255,$P$106:$P$255,"Misc Other Income")</f>
        <v>0</v>
      </c>
      <c r="J77" s="277" t="n">
        <f aca="false">SUMIFS($K$106:$K$255,$P$106:$P$255,"Misc Other Income")</f>
        <v>0</v>
      </c>
      <c r="K77" s="277" t="n">
        <f aca="false">SUMIFS($L$106:$L$255,$P$106:$P$255,"Misc Other Income")</f>
        <v>0</v>
      </c>
      <c r="L77" s="277" t="n">
        <f aca="false">SUMIFS($M$106:$M$255,$P$106:$P$255,"Misc Other Income")</f>
        <v>0</v>
      </c>
      <c r="M77" s="277" t="n">
        <f aca="false">SUMIFS($N$106:$N$255,$P$106:$P$255,"Misc Other Income")</f>
        <v>0</v>
      </c>
      <c r="N77" s="309" t="n">
        <f aca="false">SUMIFS($O$106:$O$255,$P$106:$P$255,"Misc Other Income")</f>
        <v>0</v>
      </c>
      <c r="O77" s="277" t="n">
        <f aca="false">SUM(K77:M77)*4</f>
        <v>0</v>
      </c>
      <c r="P77" s="312" t="n">
        <f aca="false">IFERROR(N77/12/'Prop Info'!$B$6,0)</f>
        <v>0</v>
      </c>
      <c r="Q77" s="273" t="n">
        <f aca="false">IFERROR(N77/N$80,0)</f>
        <v>0</v>
      </c>
      <c r="R77" s="319" t="str">
        <f aca="false">IFERROR(IF(OR(VLOOKUP(A77,_StdCOA!$A$4:$E$56,4,0)=0,VLOOKUP(A77,_StdCOA!$A$4:$E$56,5,0)=0),"",IF(ABS(P77)&gt;VLOOKUP(A77,_StdCOA!$A$4:$E$56,5,0),"🔴 high",IF(ABS(P77)&lt;VLOOKUP(A77,_StdCOA!$A$4:$E$56,4,0),"🟢 low","🟡 in range"))),"")</f>
        <v/>
      </c>
    </row>
    <row r="78" customFormat="false" ht="15" hidden="false" customHeight="true" outlineLevel="0" collapsed="false">
      <c r="A78" s="111" t="s">
        <v>953</v>
      </c>
      <c r="B78" s="277" t="n">
        <f aca="false">SUMIFS($C$106:$C$255,$P$106:$P$255,$A78)</f>
        <v>0</v>
      </c>
      <c r="C78" s="277" t="n">
        <f aca="false">SUMIFS($D$106:$D$255,$P$106:$P$255,$A78)</f>
        <v>0</v>
      </c>
      <c r="D78" s="277" t="n">
        <f aca="false">SUMIFS($E$106:$E$255,$P$106:$P$255,$A78)</f>
        <v>0</v>
      </c>
      <c r="E78" s="277" t="n">
        <f aca="false">SUMIFS($F$106:$F$255,$P$106:$P$255,$A78)</f>
        <v>0</v>
      </c>
      <c r="F78" s="277" t="n">
        <f aca="false">SUMIFS($G$106:$G$255,$P$106:$P$255,$A78)</f>
        <v>0</v>
      </c>
      <c r="G78" s="277" t="n">
        <f aca="false">SUMIFS($H$106:$H$255,$P$106:$P$255,$A78)</f>
        <v>0</v>
      </c>
      <c r="H78" s="277" t="n">
        <f aca="false">SUMIFS($I$106:$I$255,$P$106:$P$255,$A78)</f>
        <v>0</v>
      </c>
      <c r="I78" s="277" t="n">
        <f aca="false">SUMIFS($J$106:$J$255,$P$106:$P$255,$A78)</f>
        <v>0</v>
      </c>
      <c r="J78" s="277" t="n">
        <f aca="false">SUMIFS($K$106:$K$255,$P$106:$P$255,$A78)</f>
        <v>0</v>
      </c>
      <c r="K78" s="277" t="n">
        <f aca="false">SUMIFS($L$106:$L$255,$P$106:$P$255,$A78)</f>
        <v>0</v>
      </c>
      <c r="L78" s="277" t="n">
        <f aca="false">SUMIFS($M$106:$M$255,$P$106:$P$255,$A78)</f>
        <v>0</v>
      </c>
      <c r="M78" s="277" t="n">
        <f aca="false">SUMIFS($N$106:$N$255,$P$106:$P$255,$A78)</f>
        <v>0</v>
      </c>
      <c r="N78" s="309" t="n">
        <f aca="false">SUMIFS($O$106:$O$255,$P$106:$P$255,$A78)</f>
        <v>0</v>
      </c>
      <c r="O78" s="277" t="n">
        <f aca="false">SUM(K78:M78)*4</f>
        <v>0</v>
      </c>
      <c r="P78" s="312" t="n">
        <f aca="false">IFERROR(N78/12/'Prop Info'!$B$6,0)</f>
        <v>0</v>
      </c>
      <c r="Q78" s="273" t="n">
        <f aca="false">IFERROR(N78/N$80,0)</f>
        <v>0</v>
      </c>
      <c r="R78" s="319"/>
    </row>
    <row r="79" customFormat="false" ht="15" hidden="false" customHeight="true" outlineLevel="0" collapsed="false">
      <c r="A79" s="313" t="s">
        <v>954</v>
      </c>
      <c r="B79" s="314" t="n">
        <f aca="false">B68+B69+B70+B71+B72+B73+B74+B75+B76+B77+B78</f>
        <v>0</v>
      </c>
      <c r="C79" s="314" t="n">
        <f aca="false">C68+C69+C70+C71+C72+C73+C74+C75+C76+C77+C78</f>
        <v>0</v>
      </c>
      <c r="D79" s="314" t="n">
        <f aca="false">D68+D69+D70+D71+D72+D73+D74+D75+D76+D77+D78</f>
        <v>0</v>
      </c>
      <c r="E79" s="314" t="n">
        <f aca="false">E68+E69+E70+E71+E72+E73+E74+E75+E76+E77+E78</f>
        <v>0</v>
      </c>
      <c r="F79" s="314" t="n">
        <f aca="false">F68+F69+F70+F71+F72+F73+F74+F75+F76+F77+F78</f>
        <v>0</v>
      </c>
      <c r="G79" s="314" t="n">
        <f aca="false">G68+G69+G70+G71+G72+G73+G74+G75+G76+G77+G78</f>
        <v>0</v>
      </c>
      <c r="H79" s="314" t="n">
        <f aca="false">H68+H69+H70+H71+H72+H73+H74+H75+H76+H77+H78</f>
        <v>0</v>
      </c>
      <c r="I79" s="314" t="n">
        <f aca="false">I68+I69+I70+I71+I72+I73+I74+I75+I76+I77+I78</f>
        <v>0</v>
      </c>
      <c r="J79" s="314" t="n">
        <f aca="false">J68+J69+J70+J71+J72+J73+J74+J75+J76+J77+J78</f>
        <v>0</v>
      </c>
      <c r="K79" s="314" t="n">
        <f aca="false">K68+K69+K70+K71+K72+K73+K74+K75+K76+K77+K78</f>
        <v>0</v>
      </c>
      <c r="L79" s="314" t="n">
        <f aca="false">L68+L69+L70+L71+L72+L73+L74+L75+L76+L77+L78</f>
        <v>0</v>
      </c>
      <c r="M79" s="314" t="n">
        <f aca="false">M68+M69+M70+M71+M72+M73+M74+M75+M76+M77+M78</f>
        <v>0</v>
      </c>
      <c r="N79" s="314" t="n">
        <f aca="false">N68+N69+N70+N71+N72+N73+N74+N75+N76+N77+N78</f>
        <v>0</v>
      </c>
      <c r="O79" s="314" t="n">
        <f aca="false">SUM(K79:M79)*4</f>
        <v>0</v>
      </c>
      <c r="P79" s="320" t="n">
        <f aca="false">IFERROR(N79/12/'Prop Info'!$B$6,0)</f>
        <v>0</v>
      </c>
      <c r="Q79" s="315" t="n">
        <f aca="false">IFERROR(N79/N$80,0)</f>
        <v>0</v>
      </c>
    </row>
    <row r="80" customFormat="false" ht="15" hidden="false" customHeight="true" outlineLevel="0" collapsed="false">
      <c r="A80" s="321" t="s">
        <v>694</v>
      </c>
      <c r="B80" s="322" t="n">
        <f aca="false">B67+B79</f>
        <v>0</v>
      </c>
      <c r="C80" s="322" t="n">
        <f aca="false">C67+C79</f>
        <v>0</v>
      </c>
      <c r="D80" s="322" t="n">
        <f aca="false">D67+D79</f>
        <v>0</v>
      </c>
      <c r="E80" s="322" t="n">
        <f aca="false">E67+E79</f>
        <v>0</v>
      </c>
      <c r="F80" s="322" t="n">
        <f aca="false">F67+F79</f>
        <v>0</v>
      </c>
      <c r="G80" s="322" t="n">
        <f aca="false">G67+G79</f>
        <v>0</v>
      </c>
      <c r="H80" s="322" t="n">
        <f aca="false">H67+H79</f>
        <v>0</v>
      </c>
      <c r="I80" s="322" t="n">
        <f aca="false">I67+I79</f>
        <v>0</v>
      </c>
      <c r="J80" s="322" t="n">
        <f aca="false">J67+J79</f>
        <v>0</v>
      </c>
      <c r="K80" s="322" t="n">
        <f aca="false">K67+K79</f>
        <v>0</v>
      </c>
      <c r="L80" s="322" t="n">
        <f aca="false">L67+L79</f>
        <v>0</v>
      </c>
      <c r="M80" s="322" t="n">
        <f aca="false">M67+M79</f>
        <v>0</v>
      </c>
      <c r="N80" s="322" t="n">
        <f aca="false">N67+N79</f>
        <v>0</v>
      </c>
      <c r="O80" s="322" t="n">
        <f aca="false">SUM(K80:M80)*4</f>
        <v>0</v>
      </c>
      <c r="P80" s="323" t="n">
        <f aca="false">IFERROR(N80/12/'Prop Info'!$B$6,0)</f>
        <v>0</v>
      </c>
      <c r="Q80" s="324" t="n">
        <f aca="false">IFERROR(N80/N$80,0)</f>
        <v>0</v>
      </c>
      <c r="R80" s="325"/>
    </row>
    <row r="81" customFormat="false" ht="15" hidden="false" customHeight="true" outlineLevel="0" collapsed="false">
      <c r="A81" s="318" t="s">
        <v>955</v>
      </c>
      <c r="B81" s="318"/>
      <c r="C81" s="318"/>
      <c r="D81" s="318"/>
      <c r="E81" s="318"/>
      <c r="F81" s="318"/>
      <c r="G81" s="318"/>
      <c r="H81" s="318"/>
      <c r="I81" s="318"/>
      <c r="J81" s="318"/>
      <c r="K81" s="318"/>
      <c r="L81" s="318"/>
      <c r="M81" s="318"/>
      <c r="N81" s="318"/>
      <c r="O81" s="318"/>
      <c r="P81" s="318"/>
      <c r="Q81" s="318"/>
      <c r="R81" s="318"/>
    </row>
    <row r="82" customFormat="false" ht="15" hidden="false" customHeight="true" outlineLevel="0" collapsed="false">
      <c r="A82" s="111" t="s">
        <v>722</v>
      </c>
      <c r="B82" s="277" t="n">
        <f aca="false">SUMIFS($C$106:$C$255,$P$106:$P$255,"Repairs &amp; Maintenance")</f>
        <v>0</v>
      </c>
      <c r="C82" s="277" t="n">
        <f aca="false">SUMIFS($D$106:$D$255,$P$106:$P$255,"Repairs &amp; Maintenance")</f>
        <v>0</v>
      </c>
      <c r="D82" s="277" t="n">
        <f aca="false">SUMIFS($E$106:$E$255,$P$106:$P$255,"Repairs &amp; Maintenance")</f>
        <v>0</v>
      </c>
      <c r="E82" s="277" t="n">
        <f aca="false">SUMIFS($F$106:$F$255,$P$106:$P$255,"Repairs &amp; Maintenance")</f>
        <v>0</v>
      </c>
      <c r="F82" s="277" t="n">
        <f aca="false">SUMIFS($G$106:$G$255,$P$106:$P$255,"Repairs &amp; Maintenance")</f>
        <v>0</v>
      </c>
      <c r="G82" s="277" t="n">
        <f aca="false">SUMIFS($H$106:$H$255,$P$106:$P$255,"Repairs &amp; Maintenance")</f>
        <v>0</v>
      </c>
      <c r="H82" s="277" t="n">
        <f aca="false">SUMIFS($I$106:$I$255,$P$106:$P$255,"Repairs &amp; Maintenance")</f>
        <v>0</v>
      </c>
      <c r="I82" s="277" t="n">
        <f aca="false">SUMIFS($J$106:$J$255,$P$106:$P$255,"Repairs &amp; Maintenance")</f>
        <v>0</v>
      </c>
      <c r="J82" s="277" t="n">
        <f aca="false">SUMIFS($K$106:$K$255,$P$106:$P$255,"Repairs &amp; Maintenance")</f>
        <v>0</v>
      </c>
      <c r="K82" s="277" t="n">
        <f aca="false">SUMIFS($L$106:$L$255,$P$106:$P$255,"Repairs &amp; Maintenance")</f>
        <v>0</v>
      </c>
      <c r="L82" s="277" t="n">
        <f aca="false">SUMIFS($M$106:$M$255,$P$106:$P$255,"Repairs &amp; Maintenance")</f>
        <v>0</v>
      </c>
      <c r="M82" s="277" t="n">
        <f aca="false">SUMIFS($N$106:$N$255,$P$106:$P$255,"Repairs &amp; Maintenance")</f>
        <v>0</v>
      </c>
      <c r="N82" s="309" t="n">
        <f aca="false">SUMIFS($O$106:$O$255,$P$106:$P$255,"Repairs &amp; Maintenance")</f>
        <v>0</v>
      </c>
      <c r="O82" s="277" t="n">
        <f aca="false">SUM(K82:M82)*4</f>
        <v>0</v>
      </c>
      <c r="P82" s="312" t="n">
        <f aca="false">IFERROR(N82/12/'Prop Info'!$B$6,0)</f>
        <v>0</v>
      </c>
      <c r="Q82" s="273" t="n">
        <f aca="false">IFERROR(N82/N$80,0)</f>
        <v>0</v>
      </c>
      <c r="R82" s="319" t="str">
        <f aca="false">IFERROR(IF(OR(VLOOKUP(A82,_StdCOA!$A$4:$E$56,4,0)=0,VLOOKUP(A82,_StdCOA!$A$4:$E$56,5,0)=0),"",IF(ABS(P82)&gt;VLOOKUP(A82,_StdCOA!$A$4:$E$56,5,0),"🔴 high",IF(ABS(P82)&lt;VLOOKUP(A82,_StdCOA!$A$4:$E$56,4,0),"🟢 low","🟡 in range"))),"")</f>
        <v>🟢 low</v>
      </c>
    </row>
    <row r="83" customFormat="false" ht="15" hidden="false" customHeight="true" outlineLevel="0" collapsed="false">
      <c r="A83" s="111" t="s">
        <v>724</v>
      </c>
      <c r="B83" s="277" t="n">
        <f aca="false">SUMIFS($C$106:$C$255,$P$106:$P$255,"Contract Services")</f>
        <v>0</v>
      </c>
      <c r="C83" s="277" t="n">
        <f aca="false">SUMIFS($D$106:$D$255,$P$106:$P$255,"Contract Services")</f>
        <v>0</v>
      </c>
      <c r="D83" s="277" t="n">
        <f aca="false">SUMIFS($E$106:$E$255,$P$106:$P$255,"Contract Services")</f>
        <v>0</v>
      </c>
      <c r="E83" s="277" t="n">
        <f aca="false">SUMIFS($F$106:$F$255,$P$106:$P$255,"Contract Services")</f>
        <v>0</v>
      </c>
      <c r="F83" s="277" t="n">
        <f aca="false">SUMIFS($G$106:$G$255,$P$106:$P$255,"Contract Services")</f>
        <v>0</v>
      </c>
      <c r="G83" s="277" t="n">
        <f aca="false">SUMIFS($H$106:$H$255,$P$106:$P$255,"Contract Services")</f>
        <v>0</v>
      </c>
      <c r="H83" s="277" t="n">
        <f aca="false">SUMIFS($I$106:$I$255,$P$106:$P$255,"Contract Services")</f>
        <v>0</v>
      </c>
      <c r="I83" s="277" t="n">
        <f aca="false">SUMIFS($J$106:$J$255,$P$106:$P$255,"Contract Services")</f>
        <v>0</v>
      </c>
      <c r="J83" s="277" t="n">
        <f aca="false">SUMIFS($K$106:$K$255,$P$106:$P$255,"Contract Services")</f>
        <v>0</v>
      </c>
      <c r="K83" s="277" t="n">
        <f aca="false">SUMIFS($L$106:$L$255,$P$106:$P$255,"Contract Services")</f>
        <v>0</v>
      </c>
      <c r="L83" s="277" t="n">
        <f aca="false">SUMIFS($M$106:$M$255,$P$106:$P$255,"Contract Services")</f>
        <v>0</v>
      </c>
      <c r="M83" s="277" t="n">
        <f aca="false">SUMIFS($N$106:$N$255,$P$106:$P$255,"Contract Services")</f>
        <v>0</v>
      </c>
      <c r="N83" s="309" t="n">
        <f aca="false">SUMIFS($O$106:$O$255,$P$106:$P$255,"Contract Services")</f>
        <v>0</v>
      </c>
      <c r="O83" s="277" t="n">
        <f aca="false">SUM(K83:M83)*4</f>
        <v>0</v>
      </c>
      <c r="P83" s="312" t="n">
        <f aca="false">IFERROR(N83/12/'Prop Info'!$B$6,0)</f>
        <v>0</v>
      </c>
      <c r="Q83" s="273" t="n">
        <f aca="false">IFERROR(N83/N$80,0)</f>
        <v>0</v>
      </c>
      <c r="R83" s="319" t="str">
        <f aca="false">IFERROR(IF(OR(VLOOKUP(A83,_StdCOA!$A$4:$E$56,4,0)=0,VLOOKUP(A83,_StdCOA!$A$4:$E$56,5,0)=0),"",IF(ABS(P83)&gt;VLOOKUP(A83,_StdCOA!$A$4:$E$56,5,0),"🔴 high",IF(ABS(P83)&lt;VLOOKUP(A83,_StdCOA!$A$4:$E$56,4,0),"🟢 low","🟡 in range"))),"")</f>
        <v/>
      </c>
    </row>
    <row r="84" customFormat="false" ht="15" hidden="false" customHeight="true" outlineLevel="0" collapsed="false">
      <c r="A84" s="111" t="s">
        <v>956</v>
      </c>
      <c r="B84" s="277" t="n">
        <f aca="false">SUMIFS($C$106:$C$255,$P$106:$P$255,"Landscaping")</f>
        <v>0</v>
      </c>
      <c r="C84" s="277" t="n">
        <f aca="false">SUMIFS($D$106:$D$255,$P$106:$P$255,"Landscaping")</f>
        <v>0</v>
      </c>
      <c r="D84" s="277" t="n">
        <f aca="false">SUMIFS($E$106:$E$255,$P$106:$P$255,"Landscaping")</f>
        <v>0</v>
      </c>
      <c r="E84" s="277" t="n">
        <f aca="false">SUMIFS($F$106:$F$255,$P$106:$P$255,"Landscaping")</f>
        <v>0</v>
      </c>
      <c r="F84" s="277" t="n">
        <f aca="false">SUMIFS($G$106:$G$255,$P$106:$P$255,"Landscaping")</f>
        <v>0</v>
      </c>
      <c r="G84" s="277" t="n">
        <f aca="false">SUMIFS($H$106:$H$255,$P$106:$P$255,"Landscaping")</f>
        <v>0</v>
      </c>
      <c r="H84" s="277" t="n">
        <f aca="false">SUMIFS($I$106:$I$255,$P$106:$P$255,"Landscaping")</f>
        <v>0</v>
      </c>
      <c r="I84" s="277" t="n">
        <f aca="false">SUMIFS($J$106:$J$255,$P$106:$P$255,"Landscaping")</f>
        <v>0</v>
      </c>
      <c r="J84" s="277" t="n">
        <f aca="false">SUMIFS($K$106:$K$255,$P$106:$P$255,"Landscaping")</f>
        <v>0</v>
      </c>
      <c r="K84" s="277" t="n">
        <f aca="false">SUMIFS($L$106:$L$255,$P$106:$P$255,"Landscaping")</f>
        <v>0</v>
      </c>
      <c r="L84" s="277" t="n">
        <f aca="false">SUMIFS($M$106:$M$255,$P$106:$P$255,"Landscaping")</f>
        <v>0</v>
      </c>
      <c r="M84" s="277" t="n">
        <f aca="false">SUMIFS($N$106:$N$255,$P$106:$P$255,"Landscaping")</f>
        <v>0</v>
      </c>
      <c r="N84" s="309" t="n">
        <f aca="false">SUMIFS($O$106:$O$255,$P$106:$P$255,"Landscaping")</f>
        <v>0</v>
      </c>
      <c r="O84" s="277" t="n">
        <f aca="false">SUM(K84:M84)*4</f>
        <v>0</v>
      </c>
      <c r="P84" s="312" t="n">
        <f aca="false">IFERROR(N84/12/'Prop Info'!$B$6,0)</f>
        <v>0</v>
      </c>
      <c r="Q84" s="273" t="n">
        <f aca="false">IFERROR(N84/N$80,0)</f>
        <v>0</v>
      </c>
      <c r="R84" s="319" t="str">
        <f aca="false">IFERROR(IF(OR(VLOOKUP(A84,_StdCOA!$A$4:$E$56,4,0)=0,VLOOKUP(A84,_StdCOA!$A$4:$E$56,5,0)=0),"",IF(ABS(P84)&gt;VLOOKUP(A84,_StdCOA!$A$4:$E$56,5,0),"🔴 high",IF(ABS(P84)&lt;VLOOKUP(A84,_StdCOA!$A$4:$E$56,4,0),"🟢 low","🟡 in range"))),"")</f>
        <v>🟢 low</v>
      </c>
    </row>
    <row r="85" customFormat="false" ht="15" hidden="false" customHeight="true" outlineLevel="0" collapsed="false">
      <c r="A85" s="111" t="s">
        <v>308</v>
      </c>
      <c r="B85" s="277" t="n">
        <f aca="false">SUMIFS($C$106:$C$255,$P$106:$P$255,"Pest Control")</f>
        <v>0</v>
      </c>
      <c r="C85" s="277" t="n">
        <f aca="false">SUMIFS($D$106:$D$255,$P$106:$P$255,"Pest Control")</f>
        <v>0</v>
      </c>
      <c r="D85" s="277" t="n">
        <f aca="false">SUMIFS($E$106:$E$255,$P$106:$P$255,"Pest Control")</f>
        <v>0</v>
      </c>
      <c r="E85" s="277" t="n">
        <f aca="false">SUMIFS($F$106:$F$255,$P$106:$P$255,"Pest Control")</f>
        <v>0</v>
      </c>
      <c r="F85" s="277" t="n">
        <f aca="false">SUMIFS($G$106:$G$255,$P$106:$P$255,"Pest Control")</f>
        <v>0</v>
      </c>
      <c r="G85" s="277" t="n">
        <f aca="false">SUMIFS($H$106:$H$255,$P$106:$P$255,"Pest Control")</f>
        <v>0</v>
      </c>
      <c r="H85" s="277" t="n">
        <f aca="false">SUMIFS($I$106:$I$255,$P$106:$P$255,"Pest Control")</f>
        <v>0</v>
      </c>
      <c r="I85" s="277" t="n">
        <f aca="false">SUMIFS($J$106:$J$255,$P$106:$P$255,"Pest Control")</f>
        <v>0</v>
      </c>
      <c r="J85" s="277" t="n">
        <f aca="false">SUMIFS($K$106:$K$255,$P$106:$P$255,"Pest Control")</f>
        <v>0</v>
      </c>
      <c r="K85" s="277" t="n">
        <f aca="false">SUMIFS($L$106:$L$255,$P$106:$P$255,"Pest Control")</f>
        <v>0</v>
      </c>
      <c r="L85" s="277" t="n">
        <f aca="false">SUMIFS($M$106:$M$255,$P$106:$P$255,"Pest Control")</f>
        <v>0</v>
      </c>
      <c r="M85" s="277" t="n">
        <f aca="false">SUMIFS($N$106:$N$255,$P$106:$P$255,"Pest Control")</f>
        <v>0</v>
      </c>
      <c r="N85" s="309" t="n">
        <f aca="false">SUMIFS($O$106:$O$255,$P$106:$P$255,"Pest Control")</f>
        <v>0</v>
      </c>
      <c r="O85" s="277" t="n">
        <f aca="false">SUM(K85:M85)*4</f>
        <v>0</v>
      </c>
      <c r="P85" s="312" t="n">
        <f aca="false">IFERROR(N85/12/'Prop Info'!$B$6,0)</f>
        <v>0</v>
      </c>
      <c r="Q85" s="273" t="n">
        <f aca="false">IFERROR(N85/N$80,0)</f>
        <v>0</v>
      </c>
      <c r="R85" s="319" t="str">
        <f aca="false">IFERROR(IF(OR(VLOOKUP(A85,_StdCOA!$A$4:$E$56,4,0)=0,VLOOKUP(A85,_StdCOA!$A$4:$E$56,5,0)=0),"",IF(ABS(P85)&gt;VLOOKUP(A85,_StdCOA!$A$4:$E$56,5,0),"🔴 high",IF(ABS(P85)&lt;VLOOKUP(A85,_StdCOA!$A$4:$E$56,4,0),"🟢 low","🟡 in range"))),"")</f>
        <v>🟢 low</v>
      </c>
    </row>
    <row r="86" customFormat="false" ht="15" hidden="false" customHeight="true" outlineLevel="0" collapsed="false">
      <c r="A86" s="111" t="s">
        <v>957</v>
      </c>
      <c r="B86" s="277" t="n">
        <f aca="false">SUMIFS($C$106:$C$255,$P$106:$P$255,"Pool / Amenity Maintenance")</f>
        <v>0</v>
      </c>
      <c r="C86" s="277" t="n">
        <f aca="false">SUMIFS($D$106:$D$255,$P$106:$P$255,"Pool / Amenity Maintenance")</f>
        <v>0</v>
      </c>
      <c r="D86" s="277" t="n">
        <f aca="false">SUMIFS($E$106:$E$255,$P$106:$P$255,"Pool / Amenity Maintenance")</f>
        <v>0</v>
      </c>
      <c r="E86" s="277" t="n">
        <f aca="false">SUMIFS($F$106:$F$255,$P$106:$P$255,"Pool / Amenity Maintenance")</f>
        <v>0</v>
      </c>
      <c r="F86" s="277" t="n">
        <f aca="false">SUMIFS($G$106:$G$255,$P$106:$P$255,"Pool / Amenity Maintenance")</f>
        <v>0</v>
      </c>
      <c r="G86" s="277" t="n">
        <f aca="false">SUMIFS($H$106:$H$255,$P$106:$P$255,"Pool / Amenity Maintenance")</f>
        <v>0</v>
      </c>
      <c r="H86" s="277" t="n">
        <f aca="false">SUMIFS($I$106:$I$255,$P$106:$P$255,"Pool / Amenity Maintenance")</f>
        <v>0</v>
      </c>
      <c r="I86" s="277" t="n">
        <f aca="false">SUMIFS($J$106:$J$255,$P$106:$P$255,"Pool / Amenity Maintenance")</f>
        <v>0</v>
      </c>
      <c r="J86" s="277" t="n">
        <f aca="false">SUMIFS($K$106:$K$255,$P$106:$P$255,"Pool / Amenity Maintenance")</f>
        <v>0</v>
      </c>
      <c r="K86" s="277" t="n">
        <f aca="false">SUMIFS($L$106:$L$255,$P$106:$P$255,"Pool / Amenity Maintenance")</f>
        <v>0</v>
      </c>
      <c r="L86" s="277" t="n">
        <f aca="false">SUMIFS($M$106:$M$255,$P$106:$P$255,"Pool / Amenity Maintenance")</f>
        <v>0</v>
      </c>
      <c r="M86" s="277" t="n">
        <f aca="false">SUMIFS($N$106:$N$255,$P$106:$P$255,"Pool / Amenity Maintenance")</f>
        <v>0</v>
      </c>
      <c r="N86" s="309" t="n">
        <f aca="false">SUMIFS($O$106:$O$255,$P$106:$P$255,"Pool / Amenity Maintenance")</f>
        <v>0</v>
      </c>
      <c r="O86" s="277" t="n">
        <f aca="false">SUM(K86:M86)*4</f>
        <v>0</v>
      </c>
      <c r="P86" s="312" t="n">
        <f aca="false">IFERROR(N86/12/'Prop Info'!$B$6,0)</f>
        <v>0</v>
      </c>
      <c r="Q86" s="273" t="n">
        <f aca="false">IFERROR(N86/N$80,0)</f>
        <v>0</v>
      </c>
      <c r="R86" s="319" t="str">
        <f aca="false">IFERROR(IF(OR(VLOOKUP(A86,_StdCOA!$A$4:$E$56,4,0)=0,VLOOKUP(A86,_StdCOA!$A$4:$E$56,5,0)=0),"",IF(ABS(P86)&gt;VLOOKUP(A86,_StdCOA!$A$4:$E$56,5,0),"🔴 high",IF(ABS(P86)&lt;VLOOKUP(A86,_StdCOA!$A$4:$E$56,4,0),"🟢 low","🟡 in range"))),"")</f>
        <v>🟢 low</v>
      </c>
    </row>
    <row r="87" customFormat="false" ht="15" hidden="false" customHeight="true" outlineLevel="0" collapsed="false">
      <c r="A87" s="111" t="s">
        <v>725</v>
      </c>
      <c r="B87" s="277" t="n">
        <f aca="false">SUMIFS($C$106:$C$255,$P$106:$P$255,"Make-Ready / Turnover")</f>
        <v>0</v>
      </c>
      <c r="C87" s="277" t="n">
        <f aca="false">SUMIFS($D$106:$D$255,$P$106:$P$255,"Make-Ready / Turnover")</f>
        <v>0</v>
      </c>
      <c r="D87" s="277" t="n">
        <f aca="false">SUMIFS($E$106:$E$255,$P$106:$P$255,"Make-Ready / Turnover")</f>
        <v>0</v>
      </c>
      <c r="E87" s="277" t="n">
        <f aca="false">SUMIFS($F$106:$F$255,$P$106:$P$255,"Make-Ready / Turnover")</f>
        <v>0</v>
      </c>
      <c r="F87" s="277" t="n">
        <f aca="false">SUMIFS($G$106:$G$255,$P$106:$P$255,"Make-Ready / Turnover")</f>
        <v>0</v>
      </c>
      <c r="G87" s="277" t="n">
        <f aca="false">SUMIFS($H$106:$H$255,$P$106:$P$255,"Make-Ready / Turnover")</f>
        <v>0</v>
      </c>
      <c r="H87" s="277" t="n">
        <f aca="false">SUMIFS($I$106:$I$255,$P$106:$P$255,"Make-Ready / Turnover")</f>
        <v>0</v>
      </c>
      <c r="I87" s="277" t="n">
        <f aca="false">SUMIFS($J$106:$J$255,$P$106:$P$255,"Make-Ready / Turnover")</f>
        <v>0</v>
      </c>
      <c r="J87" s="277" t="n">
        <f aca="false">SUMIFS($K$106:$K$255,$P$106:$P$255,"Make-Ready / Turnover")</f>
        <v>0</v>
      </c>
      <c r="K87" s="277" t="n">
        <f aca="false">SUMIFS($L$106:$L$255,$P$106:$P$255,"Make-Ready / Turnover")</f>
        <v>0</v>
      </c>
      <c r="L87" s="277" t="n">
        <f aca="false">SUMIFS($M$106:$M$255,$P$106:$P$255,"Make-Ready / Turnover")</f>
        <v>0</v>
      </c>
      <c r="M87" s="277" t="n">
        <f aca="false">SUMIFS($N$106:$N$255,$P$106:$P$255,"Make-Ready / Turnover")</f>
        <v>0</v>
      </c>
      <c r="N87" s="309" t="n">
        <f aca="false">SUMIFS($O$106:$O$255,$P$106:$P$255,"Make-Ready / Turnover")</f>
        <v>0</v>
      </c>
      <c r="O87" s="277" t="n">
        <f aca="false">SUM(K87:M87)*4</f>
        <v>0</v>
      </c>
      <c r="P87" s="312" t="n">
        <f aca="false">IFERROR(N87/12/'Prop Info'!$B$6,0)</f>
        <v>0</v>
      </c>
      <c r="Q87" s="273" t="n">
        <f aca="false">IFERROR(N87/N$80,0)</f>
        <v>0</v>
      </c>
      <c r="R87" s="319" t="str">
        <f aca="false">IFERROR(IF(OR(VLOOKUP(A87,_StdCOA!$A$4:$E$56,4,0)=0,VLOOKUP(A87,_StdCOA!$A$4:$E$56,5,0)=0),"",IF(ABS(P87)&gt;VLOOKUP(A87,_StdCOA!$A$4:$E$56,5,0),"🔴 high",IF(ABS(P87)&lt;VLOOKUP(A87,_StdCOA!$A$4:$E$56,4,0),"🟢 low","🟡 in range"))),"")</f>
        <v>🟢 low</v>
      </c>
    </row>
    <row r="88" customFormat="false" ht="15" hidden="false" customHeight="true" outlineLevel="0" collapsed="false">
      <c r="A88" s="111" t="s">
        <v>958</v>
      </c>
      <c r="B88" s="277" t="n">
        <f aca="false">SUMIFS($C$106:$C$255,$P$106:$P$255,"Payroll — On-Site")</f>
        <v>0</v>
      </c>
      <c r="C88" s="277" t="n">
        <f aca="false">SUMIFS($D$106:$D$255,$P$106:$P$255,"Payroll — On-Site")</f>
        <v>0</v>
      </c>
      <c r="D88" s="277" t="n">
        <f aca="false">SUMIFS($E$106:$E$255,$P$106:$P$255,"Payroll — On-Site")</f>
        <v>0</v>
      </c>
      <c r="E88" s="277" t="n">
        <f aca="false">SUMIFS($F$106:$F$255,$P$106:$P$255,"Payroll — On-Site")</f>
        <v>0</v>
      </c>
      <c r="F88" s="277" t="n">
        <f aca="false">SUMIFS($G$106:$G$255,$P$106:$P$255,"Payroll — On-Site")</f>
        <v>0</v>
      </c>
      <c r="G88" s="277" t="n">
        <f aca="false">SUMIFS($H$106:$H$255,$P$106:$P$255,"Payroll — On-Site")</f>
        <v>0</v>
      </c>
      <c r="H88" s="277" t="n">
        <f aca="false">SUMIFS($I$106:$I$255,$P$106:$P$255,"Payroll — On-Site")</f>
        <v>0</v>
      </c>
      <c r="I88" s="277" t="n">
        <f aca="false">SUMIFS($J$106:$J$255,$P$106:$P$255,"Payroll — On-Site")</f>
        <v>0</v>
      </c>
      <c r="J88" s="277" t="n">
        <f aca="false">SUMIFS($K$106:$K$255,$P$106:$P$255,"Payroll — On-Site")</f>
        <v>0</v>
      </c>
      <c r="K88" s="277" t="n">
        <f aca="false">SUMIFS($L$106:$L$255,$P$106:$P$255,"Payroll — On-Site")</f>
        <v>0</v>
      </c>
      <c r="L88" s="277" t="n">
        <f aca="false">SUMIFS($M$106:$M$255,$P$106:$P$255,"Payroll — On-Site")</f>
        <v>0</v>
      </c>
      <c r="M88" s="277" t="n">
        <f aca="false">SUMIFS($N$106:$N$255,$P$106:$P$255,"Payroll — On-Site")</f>
        <v>0</v>
      </c>
      <c r="N88" s="309" t="n">
        <f aca="false">SUMIFS($O$106:$O$255,$P$106:$P$255,"Payroll — On-Site")</f>
        <v>0</v>
      </c>
      <c r="O88" s="277" t="n">
        <f aca="false">SUM(K88:M88)*4</f>
        <v>0</v>
      </c>
      <c r="P88" s="312" t="n">
        <f aca="false">IFERROR(N88/12/'Prop Info'!$B$6,0)</f>
        <v>0</v>
      </c>
      <c r="Q88" s="273" t="n">
        <f aca="false">IFERROR(N88/N$80,0)</f>
        <v>0</v>
      </c>
      <c r="R88" s="319" t="str">
        <f aca="false">IFERROR(IF(OR(VLOOKUP(A88,_StdCOA!$A$4:$E$56,4,0)=0,VLOOKUP(A88,_StdCOA!$A$4:$E$56,5,0)=0),"",IF(ABS(P88)&gt;VLOOKUP(A88,_StdCOA!$A$4:$E$56,5,0),"🔴 high",IF(ABS(P88)&lt;VLOOKUP(A88,_StdCOA!$A$4:$E$56,4,0),"🟢 low","🟡 in range"))),"")</f>
        <v>🟢 low</v>
      </c>
    </row>
    <row r="89" customFormat="false" ht="15" hidden="false" customHeight="true" outlineLevel="0" collapsed="false">
      <c r="A89" s="111" t="s">
        <v>701</v>
      </c>
      <c r="B89" s="277" t="n">
        <f aca="false">SUMIFS($C$106:$C$255,$P$106:$P$255,"Leasing &amp; Marketing")</f>
        <v>0</v>
      </c>
      <c r="C89" s="277" t="n">
        <f aca="false">SUMIFS($D$106:$D$255,$P$106:$P$255,"Leasing &amp; Marketing")</f>
        <v>0</v>
      </c>
      <c r="D89" s="277" t="n">
        <f aca="false">SUMIFS($E$106:$E$255,$P$106:$P$255,"Leasing &amp; Marketing")</f>
        <v>0</v>
      </c>
      <c r="E89" s="277" t="n">
        <f aca="false">SUMIFS($F$106:$F$255,$P$106:$P$255,"Leasing &amp; Marketing")</f>
        <v>0</v>
      </c>
      <c r="F89" s="277" t="n">
        <f aca="false">SUMIFS($G$106:$G$255,$P$106:$P$255,"Leasing &amp; Marketing")</f>
        <v>0</v>
      </c>
      <c r="G89" s="277" t="n">
        <f aca="false">SUMIFS($H$106:$H$255,$P$106:$P$255,"Leasing &amp; Marketing")</f>
        <v>0</v>
      </c>
      <c r="H89" s="277" t="n">
        <f aca="false">SUMIFS($I$106:$I$255,$P$106:$P$255,"Leasing &amp; Marketing")</f>
        <v>0</v>
      </c>
      <c r="I89" s="277" t="n">
        <f aca="false">SUMIFS($J$106:$J$255,$P$106:$P$255,"Leasing &amp; Marketing")</f>
        <v>0</v>
      </c>
      <c r="J89" s="277" t="n">
        <f aca="false">SUMIFS($K$106:$K$255,$P$106:$P$255,"Leasing &amp; Marketing")</f>
        <v>0</v>
      </c>
      <c r="K89" s="277" t="n">
        <f aca="false">SUMIFS($L$106:$L$255,$P$106:$P$255,"Leasing &amp; Marketing")</f>
        <v>0</v>
      </c>
      <c r="L89" s="277" t="n">
        <f aca="false">SUMIFS($M$106:$M$255,$P$106:$P$255,"Leasing &amp; Marketing")</f>
        <v>0</v>
      </c>
      <c r="M89" s="277" t="n">
        <f aca="false">SUMIFS($N$106:$N$255,$P$106:$P$255,"Leasing &amp; Marketing")</f>
        <v>0</v>
      </c>
      <c r="N89" s="309" t="n">
        <f aca="false">SUMIFS($O$106:$O$255,$P$106:$P$255,"Leasing &amp; Marketing")</f>
        <v>0</v>
      </c>
      <c r="O89" s="277" t="n">
        <f aca="false">SUM(K89:M89)*4</f>
        <v>0</v>
      </c>
      <c r="P89" s="312" t="n">
        <f aca="false">IFERROR(N89/12/'Prop Info'!$B$6,0)</f>
        <v>0</v>
      </c>
      <c r="Q89" s="273" t="n">
        <f aca="false">IFERROR(N89/N$80,0)</f>
        <v>0</v>
      </c>
      <c r="R89" s="319" t="str">
        <f aca="false">IFERROR(IF(OR(VLOOKUP(A89,_StdCOA!$A$4:$E$56,4,0)=0,VLOOKUP(A89,_StdCOA!$A$4:$E$56,5,0)=0),"",IF(ABS(P89)&gt;VLOOKUP(A89,_StdCOA!$A$4:$E$56,5,0),"🔴 high",IF(ABS(P89)&lt;VLOOKUP(A89,_StdCOA!$A$4:$E$56,4,0),"🟢 low","🟡 in range"))),"")</f>
        <v>🟢 low</v>
      </c>
    </row>
    <row r="90" customFormat="false" ht="15" hidden="false" customHeight="true" outlineLevel="0" collapsed="false">
      <c r="A90" s="111" t="s">
        <v>959</v>
      </c>
      <c r="B90" s="277" t="n">
        <f aca="false">SUMIFS($C$106:$C$255,$P$106:$P$255,"General &amp; Administrative")</f>
        <v>0</v>
      </c>
      <c r="C90" s="277" t="n">
        <f aca="false">SUMIFS($D$106:$D$255,$P$106:$P$255,"General &amp; Administrative")</f>
        <v>0</v>
      </c>
      <c r="D90" s="277" t="n">
        <f aca="false">SUMIFS($E$106:$E$255,$P$106:$P$255,"General &amp; Administrative")</f>
        <v>0</v>
      </c>
      <c r="E90" s="277" t="n">
        <f aca="false">SUMIFS($F$106:$F$255,$P$106:$P$255,"General &amp; Administrative")</f>
        <v>0</v>
      </c>
      <c r="F90" s="277" t="n">
        <f aca="false">SUMIFS($G$106:$G$255,$P$106:$P$255,"General &amp; Administrative")</f>
        <v>0</v>
      </c>
      <c r="G90" s="277" t="n">
        <f aca="false">SUMIFS($H$106:$H$255,$P$106:$P$255,"General &amp; Administrative")</f>
        <v>0</v>
      </c>
      <c r="H90" s="277" t="n">
        <f aca="false">SUMIFS($I$106:$I$255,$P$106:$P$255,"General &amp; Administrative")</f>
        <v>0</v>
      </c>
      <c r="I90" s="277" t="n">
        <f aca="false">SUMIFS($J$106:$J$255,$P$106:$P$255,"General &amp; Administrative")</f>
        <v>0</v>
      </c>
      <c r="J90" s="277" t="n">
        <f aca="false">SUMIFS($K$106:$K$255,$P$106:$P$255,"General &amp; Administrative")</f>
        <v>0</v>
      </c>
      <c r="K90" s="277" t="n">
        <f aca="false">SUMIFS($L$106:$L$255,$P$106:$P$255,"General &amp; Administrative")</f>
        <v>0</v>
      </c>
      <c r="L90" s="277" t="n">
        <f aca="false">SUMIFS($M$106:$M$255,$P$106:$P$255,"General &amp; Administrative")</f>
        <v>0</v>
      </c>
      <c r="M90" s="277" t="n">
        <f aca="false">SUMIFS($N$106:$N$255,$P$106:$P$255,"General &amp; Administrative")</f>
        <v>0</v>
      </c>
      <c r="N90" s="309" t="n">
        <f aca="false">SUMIFS($O$106:$O$255,$P$106:$P$255,"General &amp; Administrative")</f>
        <v>0</v>
      </c>
      <c r="O90" s="277" t="n">
        <f aca="false">SUM(K90:M90)*4</f>
        <v>0</v>
      </c>
      <c r="P90" s="312" t="n">
        <f aca="false">IFERROR(N90/12/'Prop Info'!$B$6,0)</f>
        <v>0</v>
      </c>
      <c r="Q90" s="273" t="n">
        <f aca="false">IFERROR(N90/N$80,0)</f>
        <v>0</v>
      </c>
      <c r="R90" s="319" t="str">
        <f aca="false">IFERROR(IF(OR(VLOOKUP(A90,_StdCOA!$A$4:$E$56,4,0)=0,VLOOKUP(A90,_StdCOA!$A$4:$E$56,5,0)=0),"",IF(ABS(P90)&gt;VLOOKUP(A90,_StdCOA!$A$4:$E$56,5,0),"🔴 high",IF(ABS(P90)&lt;VLOOKUP(A90,_StdCOA!$A$4:$E$56,4,0),"🟢 low","🟡 in range"))),"")</f>
        <v>🟢 low</v>
      </c>
    </row>
    <row r="91" customFormat="false" ht="15" hidden="false" customHeight="true" outlineLevel="0" collapsed="false">
      <c r="A91" s="111" t="s">
        <v>960</v>
      </c>
      <c r="B91" s="277" t="n">
        <f aca="false">SUMIFS($C$106:$C$255,$P$106:$P$255,"Legal / Eviction")</f>
        <v>0</v>
      </c>
      <c r="C91" s="277" t="n">
        <f aca="false">SUMIFS($D$106:$D$255,$P$106:$P$255,"Legal / Eviction")</f>
        <v>0</v>
      </c>
      <c r="D91" s="277" t="n">
        <f aca="false">SUMIFS($E$106:$E$255,$P$106:$P$255,"Legal / Eviction")</f>
        <v>0</v>
      </c>
      <c r="E91" s="277" t="n">
        <f aca="false">SUMIFS($F$106:$F$255,$P$106:$P$255,"Legal / Eviction")</f>
        <v>0</v>
      </c>
      <c r="F91" s="277" t="n">
        <f aca="false">SUMIFS($G$106:$G$255,$P$106:$P$255,"Legal / Eviction")</f>
        <v>0</v>
      </c>
      <c r="G91" s="277" t="n">
        <f aca="false">SUMIFS($H$106:$H$255,$P$106:$P$255,"Legal / Eviction")</f>
        <v>0</v>
      </c>
      <c r="H91" s="277" t="n">
        <f aca="false">SUMIFS($I$106:$I$255,$P$106:$P$255,"Legal / Eviction")</f>
        <v>0</v>
      </c>
      <c r="I91" s="277" t="n">
        <f aca="false">SUMIFS($J$106:$J$255,$P$106:$P$255,"Legal / Eviction")</f>
        <v>0</v>
      </c>
      <c r="J91" s="277" t="n">
        <f aca="false">SUMIFS($K$106:$K$255,$P$106:$P$255,"Legal / Eviction")</f>
        <v>0</v>
      </c>
      <c r="K91" s="277" t="n">
        <f aca="false">SUMIFS($L$106:$L$255,$P$106:$P$255,"Legal / Eviction")</f>
        <v>0</v>
      </c>
      <c r="L91" s="277" t="n">
        <f aca="false">SUMIFS($M$106:$M$255,$P$106:$P$255,"Legal / Eviction")</f>
        <v>0</v>
      </c>
      <c r="M91" s="277" t="n">
        <f aca="false">SUMIFS($N$106:$N$255,$P$106:$P$255,"Legal / Eviction")</f>
        <v>0</v>
      </c>
      <c r="N91" s="309" t="n">
        <f aca="false">SUMIFS($O$106:$O$255,$P$106:$P$255,"Legal / Eviction")</f>
        <v>0</v>
      </c>
      <c r="O91" s="277" t="n">
        <f aca="false">SUM(K91:M91)*4</f>
        <v>0</v>
      </c>
      <c r="P91" s="312" t="n">
        <f aca="false">IFERROR(N91/12/'Prop Info'!$B$6,0)</f>
        <v>0</v>
      </c>
      <c r="Q91" s="273" t="n">
        <f aca="false">IFERROR(N91/N$80,0)</f>
        <v>0</v>
      </c>
      <c r="R91" s="319" t="str">
        <f aca="false">IFERROR(IF(OR(VLOOKUP(A91,_StdCOA!$A$4:$E$56,4,0)=0,VLOOKUP(A91,_StdCOA!$A$4:$E$56,5,0)=0),"",IF(ABS(P91)&gt;VLOOKUP(A91,_StdCOA!$A$4:$E$56,5,0),"🔴 high",IF(ABS(P91)&lt;VLOOKUP(A91,_StdCOA!$A$4:$E$56,4,0),"🟢 low","🟡 in range"))),"")</f>
        <v>🟢 low</v>
      </c>
    </row>
    <row r="92" customFormat="false" ht="15" hidden="false" customHeight="true" outlineLevel="0" collapsed="false">
      <c r="A92" s="111" t="s">
        <v>710</v>
      </c>
      <c r="B92" s="277" t="n">
        <f aca="false">SUMIFS($C$106:$C$255,$P$106:$P$255,"Insurance")</f>
        <v>0</v>
      </c>
      <c r="C92" s="277" t="n">
        <f aca="false">SUMIFS($D$106:$D$255,$P$106:$P$255,"Insurance")</f>
        <v>0</v>
      </c>
      <c r="D92" s="277" t="n">
        <f aca="false">SUMIFS($E$106:$E$255,$P$106:$P$255,"Insurance")</f>
        <v>0</v>
      </c>
      <c r="E92" s="277" t="n">
        <f aca="false">SUMIFS($F$106:$F$255,$P$106:$P$255,"Insurance")</f>
        <v>0</v>
      </c>
      <c r="F92" s="277" t="n">
        <f aca="false">SUMIFS($G$106:$G$255,$P$106:$P$255,"Insurance")</f>
        <v>0</v>
      </c>
      <c r="G92" s="277" t="n">
        <f aca="false">SUMIFS($H$106:$H$255,$P$106:$P$255,"Insurance")</f>
        <v>0</v>
      </c>
      <c r="H92" s="277" t="n">
        <f aca="false">SUMIFS($I$106:$I$255,$P$106:$P$255,"Insurance")</f>
        <v>0</v>
      </c>
      <c r="I92" s="277" t="n">
        <f aca="false">SUMIFS($J$106:$J$255,$P$106:$P$255,"Insurance")</f>
        <v>0</v>
      </c>
      <c r="J92" s="277" t="n">
        <f aca="false">SUMIFS($K$106:$K$255,$P$106:$P$255,"Insurance")</f>
        <v>0</v>
      </c>
      <c r="K92" s="277" t="n">
        <f aca="false">SUMIFS($L$106:$L$255,$P$106:$P$255,"Insurance")</f>
        <v>0</v>
      </c>
      <c r="L92" s="277" t="n">
        <f aca="false">SUMIFS($M$106:$M$255,$P$106:$P$255,"Insurance")</f>
        <v>0</v>
      </c>
      <c r="M92" s="277" t="n">
        <f aca="false">SUMIFS($N$106:$N$255,$P$106:$P$255,"Insurance")</f>
        <v>0</v>
      </c>
      <c r="N92" s="309" t="n">
        <f aca="false">SUMIFS($O$106:$O$255,$P$106:$P$255,"Insurance")</f>
        <v>0</v>
      </c>
      <c r="O92" s="277" t="n">
        <f aca="false">SUM(K92:M92)*4</f>
        <v>0</v>
      </c>
      <c r="P92" s="312" t="n">
        <f aca="false">IFERROR(N92/12/'Prop Info'!$B$6,0)</f>
        <v>0</v>
      </c>
      <c r="Q92" s="273" t="n">
        <f aca="false">IFERROR(N92/N$80,0)</f>
        <v>0</v>
      </c>
      <c r="R92" s="319" t="str">
        <f aca="false">IFERROR(IF(OR(VLOOKUP(A92,_StdCOA!$A$4:$E$56,4,0)=0,VLOOKUP(A92,_StdCOA!$A$4:$E$56,5,0)=0),"",IF(ABS(P92)&gt;VLOOKUP(A92,_StdCOA!$A$4:$E$56,5,0),"🔴 high",IF(ABS(P92)&lt;VLOOKUP(A92,_StdCOA!$A$4:$E$56,4,0),"🟢 low","🟡 in range"))),"")</f>
        <v>🟢 low</v>
      </c>
    </row>
    <row r="93" customFormat="false" ht="15" hidden="false" customHeight="true" outlineLevel="0" collapsed="false">
      <c r="A93" s="111" t="s">
        <v>714</v>
      </c>
      <c r="B93" s="277" t="n">
        <f aca="false">SUMIFS($C$106:$C$255,$P$106:$P$255,"Real Estate Taxes")</f>
        <v>0</v>
      </c>
      <c r="C93" s="277" t="n">
        <f aca="false">SUMIFS($D$106:$D$255,$P$106:$P$255,"Real Estate Taxes")</f>
        <v>0</v>
      </c>
      <c r="D93" s="277" t="n">
        <f aca="false">SUMIFS($E$106:$E$255,$P$106:$P$255,"Real Estate Taxes")</f>
        <v>0</v>
      </c>
      <c r="E93" s="277" t="n">
        <f aca="false">SUMIFS($F$106:$F$255,$P$106:$P$255,"Real Estate Taxes")</f>
        <v>0</v>
      </c>
      <c r="F93" s="277" t="n">
        <f aca="false">SUMIFS($G$106:$G$255,$P$106:$P$255,"Real Estate Taxes")</f>
        <v>0</v>
      </c>
      <c r="G93" s="277" t="n">
        <f aca="false">SUMIFS($H$106:$H$255,$P$106:$P$255,"Real Estate Taxes")</f>
        <v>0</v>
      </c>
      <c r="H93" s="277" t="n">
        <f aca="false">SUMIFS($I$106:$I$255,$P$106:$P$255,"Real Estate Taxes")</f>
        <v>0</v>
      </c>
      <c r="I93" s="277" t="n">
        <f aca="false">SUMIFS($J$106:$J$255,$P$106:$P$255,"Real Estate Taxes")</f>
        <v>0</v>
      </c>
      <c r="J93" s="277" t="n">
        <f aca="false">SUMIFS($K$106:$K$255,$P$106:$P$255,"Real Estate Taxes")</f>
        <v>0</v>
      </c>
      <c r="K93" s="277" t="n">
        <f aca="false">SUMIFS($L$106:$L$255,$P$106:$P$255,"Real Estate Taxes")</f>
        <v>0</v>
      </c>
      <c r="L93" s="277" t="n">
        <f aca="false">SUMIFS($M$106:$M$255,$P$106:$P$255,"Real Estate Taxes")</f>
        <v>0</v>
      </c>
      <c r="M93" s="277" t="n">
        <f aca="false">SUMIFS($N$106:$N$255,$P$106:$P$255,"Real Estate Taxes")</f>
        <v>0</v>
      </c>
      <c r="N93" s="309" t="n">
        <f aca="false">SUMIFS($O$106:$O$255,$P$106:$P$255,"Real Estate Taxes")</f>
        <v>0</v>
      </c>
      <c r="O93" s="277" t="n">
        <f aca="false">SUM(K93:M93)*4</f>
        <v>0</v>
      </c>
      <c r="P93" s="312" t="n">
        <f aca="false">IFERROR(N93/12/'Prop Info'!$B$6,0)</f>
        <v>0</v>
      </c>
      <c r="Q93" s="273" t="n">
        <f aca="false">IFERROR(N93/N$80,0)</f>
        <v>0</v>
      </c>
      <c r="R93" s="319" t="str">
        <f aca="false">IFERROR(IF(OR(VLOOKUP(A93,_StdCOA!$A$4:$E$56,4,0)=0,VLOOKUP(A93,_StdCOA!$A$4:$E$56,5,0)=0),"",IF(ABS(P93)&gt;VLOOKUP(A93,_StdCOA!$A$4:$E$56,5,0),"🔴 high",IF(ABS(P93)&lt;VLOOKUP(A93,_StdCOA!$A$4:$E$56,4,0),"🟢 low","🟡 in range"))),"")</f>
        <v>🟢 low</v>
      </c>
    </row>
    <row r="94" customFormat="false" ht="15" hidden="false" customHeight="true" outlineLevel="0" collapsed="false">
      <c r="A94" s="111" t="s">
        <v>961</v>
      </c>
      <c r="B94" s="277" t="n">
        <f aca="false">SUMIFS($C$106:$C$255,$P$106:$P$255,"Utilities — Electric")</f>
        <v>0</v>
      </c>
      <c r="C94" s="277" t="n">
        <f aca="false">SUMIFS($D$106:$D$255,$P$106:$P$255,"Utilities — Electric")</f>
        <v>0</v>
      </c>
      <c r="D94" s="277" t="n">
        <f aca="false">SUMIFS($E$106:$E$255,$P$106:$P$255,"Utilities — Electric")</f>
        <v>0</v>
      </c>
      <c r="E94" s="277" t="n">
        <f aca="false">SUMIFS($F$106:$F$255,$P$106:$P$255,"Utilities — Electric")</f>
        <v>0</v>
      </c>
      <c r="F94" s="277" t="n">
        <f aca="false">SUMIFS($G$106:$G$255,$P$106:$P$255,"Utilities — Electric")</f>
        <v>0</v>
      </c>
      <c r="G94" s="277" t="n">
        <f aca="false">SUMIFS($H$106:$H$255,$P$106:$P$255,"Utilities — Electric")</f>
        <v>0</v>
      </c>
      <c r="H94" s="277" t="n">
        <f aca="false">SUMIFS($I$106:$I$255,$P$106:$P$255,"Utilities — Electric")</f>
        <v>0</v>
      </c>
      <c r="I94" s="277" t="n">
        <f aca="false">SUMIFS($J$106:$J$255,$P$106:$P$255,"Utilities — Electric")</f>
        <v>0</v>
      </c>
      <c r="J94" s="277" t="n">
        <f aca="false">SUMIFS($K$106:$K$255,$P$106:$P$255,"Utilities — Electric")</f>
        <v>0</v>
      </c>
      <c r="K94" s="277" t="n">
        <f aca="false">SUMIFS($L$106:$L$255,$P$106:$P$255,"Utilities — Electric")</f>
        <v>0</v>
      </c>
      <c r="L94" s="277" t="n">
        <f aca="false">SUMIFS($M$106:$M$255,$P$106:$P$255,"Utilities — Electric")</f>
        <v>0</v>
      </c>
      <c r="M94" s="277" t="n">
        <f aca="false">SUMIFS($N$106:$N$255,$P$106:$P$255,"Utilities — Electric")</f>
        <v>0</v>
      </c>
      <c r="N94" s="309" t="n">
        <f aca="false">SUMIFS($O$106:$O$255,$P$106:$P$255,"Utilities — Electric")</f>
        <v>0</v>
      </c>
      <c r="O94" s="277" t="n">
        <f aca="false">SUM(K94:M94)*4</f>
        <v>0</v>
      </c>
      <c r="P94" s="312" t="n">
        <f aca="false">IFERROR(N94/12/'Prop Info'!$B$6,0)</f>
        <v>0</v>
      </c>
      <c r="Q94" s="273" t="n">
        <f aca="false">IFERROR(N94/N$80,0)</f>
        <v>0</v>
      </c>
      <c r="R94" s="319" t="str">
        <f aca="false">IFERROR(IF(OR(VLOOKUP(A94,_StdCOA!$A$4:$E$56,4,0)=0,VLOOKUP(A94,_StdCOA!$A$4:$E$56,5,0)=0),"",IF(ABS(P94)&gt;VLOOKUP(A94,_StdCOA!$A$4:$E$56,5,0),"🔴 high",IF(ABS(P94)&lt;VLOOKUP(A94,_StdCOA!$A$4:$E$56,4,0),"🟢 low","🟡 in range"))),"")</f>
        <v>🟢 low</v>
      </c>
    </row>
    <row r="95" customFormat="false" ht="15" hidden="false" customHeight="true" outlineLevel="0" collapsed="false">
      <c r="A95" s="111" t="s">
        <v>962</v>
      </c>
      <c r="B95" s="277" t="n">
        <f aca="false">SUMIFS($C$106:$C$255,$P$106:$P$255,"Utilities — Gas")</f>
        <v>0</v>
      </c>
      <c r="C95" s="277" t="n">
        <f aca="false">SUMIFS($D$106:$D$255,$P$106:$P$255,"Utilities — Gas")</f>
        <v>0</v>
      </c>
      <c r="D95" s="277" t="n">
        <f aca="false">SUMIFS($E$106:$E$255,$P$106:$P$255,"Utilities — Gas")</f>
        <v>0</v>
      </c>
      <c r="E95" s="277" t="n">
        <f aca="false">SUMIFS($F$106:$F$255,$P$106:$P$255,"Utilities — Gas")</f>
        <v>0</v>
      </c>
      <c r="F95" s="277" t="n">
        <f aca="false">SUMIFS($G$106:$G$255,$P$106:$P$255,"Utilities — Gas")</f>
        <v>0</v>
      </c>
      <c r="G95" s="277" t="n">
        <f aca="false">SUMIFS($H$106:$H$255,$P$106:$P$255,"Utilities — Gas")</f>
        <v>0</v>
      </c>
      <c r="H95" s="277" t="n">
        <f aca="false">SUMIFS($I$106:$I$255,$P$106:$P$255,"Utilities — Gas")</f>
        <v>0</v>
      </c>
      <c r="I95" s="277" t="n">
        <f aca="false">SUMIFS($J$106:$J$255,$P$106:$P$255,"Utilities — Gas")</f>
        <v>0</v>
      </c>
      <c r="J95" s="277" t="n">
        <f aca="false">SUMIFS($K$106:$K$255,$P$106:$P$255,"Utilities — Gas")</f>
        <v>0</v>
      </c>
      <c r="K95" s="277" t="n">
        <f aca="false">SUMIFS($L$106:$L$255,$P$106:$P$255,"Utilities — Gas")</f>
        <v>0</v>
      </c>
      <c r="L95" s="277" t="n">
        <f aca="false">SUMIFS($M$106:$M$255,$P$106:$P$255,"Utilities — Gas")</f>
        <v>0</v>
      </c>
      <c r="M95" s="277" t="n">
        <f aca="false">SUMIFS($N$106:$N$255,$P$106:$P$255,"Utilities — Gas")</f>
        <v>0</v>
      </c>
      <c r="N95" s="309" t="n">
        <f aca="false">SUMIFS($O$106:$O$255,$P$106:$P$255,"Utilities — Gas")</f>
        <v>0</v>
      </c>
      <c r="O95" s="277" t="n">
        <f aca="false">SUM(K95:M95)*4</f>
        <v>0</v>
      </c>
      <c r="P95" s="312" t="n">
        <f aca="false">IFERROR(N95/12/'Prop Info'!$B$6,0)</f>
        <v>0</v>
      </c>
      <c r="Q95" s="273" t="n">
        <f aca="false">IFERROR(N95/N$80,0)</f>
        <v>0</v>
      </c>
      <c r="R95" s="319" t="str">
        <f aca="false">IFERROR(IF(OR(VLOOKUP(A95,_StdCOA!$A$4:$E$56,4,0)=0,VLOOKUP(A95,_StdCOA!$A$4:$E$56,5,0)=0),"",IF(ABS(P95)&gt;VLOOKUP(A95,_StdCOA!$A$4:$E$56,5,0),"🔴 high",IF(ABS(P95)&lt;VLOOKUP(A95,_StdCOA!$A$4:$E$56,4,0),"🟢 low","🟡 in range"))),"")</f>
        <v/>
      </c>
    </row>
    <row r="96" customFormat="false" ht="15" hidden="false" customHeight="true" outlineLevel="0" collapsed="false">
      <c r="A96" s="111" t="s">
        <v>963</v>
      </c>
      <c r="B96" s="277" t="n">
        <f aca="false">SUMIFS($C$106:$C$255,$P$106:$P$255,"Utilities — Water/Sewer")</f>
        <v>0</v>
      </c>
      <c r="C96" s="277" t="n">
        <f aca="false">SUMIFS($D$106:$D$255,$P$106:$P$255,"Utilities — Water/Sewer")</f>
        <v>0</v>
      </c>
      <c r="D96" s="277" t="n">
        <f aca="false">SUMIFS($E$106:$E$255,$P$106:$P$255,"Utilities — Water/Sewer")</f>
        <v>0</v>
      </c>
      <c r="E96" s="277" t="n">
        <f aca="false">SUMIFS($F$106:$F$255,$P$106:$P$255,"Utilities — Water/Sewer")</f>
        <v>0</v>
      </c>
      <c r="F96" s="277" t="n">
        <f aca="false">SUMIFS($G$106:$G$255,$P$106:$P$255,"Utilities — Water/Sewer")</f>
        <v>0</v>
      </c>
      <c r="G96" s="277" t="n">
        <f aca="false">SUMIFS($H$106:$H$255,$P$106:$P$255,"Utilities — Water/Sewer")</f>
        <v>0</v>
      </c>
      <c r="H96" s="277" t="n">
        <f aca="false">SUMIFS($I$106:$I$255,$P$106:$P$255,"Utilities — Water/Sewer")</f>
        <v>0</v>
      </c>
      <c r="I96" s="277" t="n">
        <f aca="false">SUMIFS($J$106:$J$255,$P$106:$P$255,"Utilities — Water/Sewer")</f>
        <v>0</v>
      </c>
      <c r="J96" s="277" t="n">
        <f aca="false">SUMIFS($K$106:$K$255,$P$106:$P$255,"Utilities — Water/Sewer")</f>
        <v>0</v>
      </c>
      <c r="K96" s="277" t="n">
        <f aca="false">SUMIFS($L$106:$L$255,$P$106:$P$255,"Utilities — Water/Sewer")</f>
        <v>0</v>
      </c>
      <c r="L96" s="277" t="n">
        <f aca="false">SUMIFS($M$106:$M$255,$P$106:$P$255,"Utilities — Water/Sewer")</f>
        <v>0</v>
      </c>
      <c r="M96" s="277" t="n">
        <f aca="false">SUMIFS($N$106:$N$255,$P$106:$P$255,"Utilities — Water/Sewer")</f>
        <v>0</v>
      </c>
      <c r="N96" s="309" t="n">
        <f aca="false">SUMIFS($O$106:$O$255,$P$106:$P$255,"Utilities — Water/Sewer")</f>
        <v>0</v>
      </c>
      <c r="O96" s="277" t="n">
        <f aca="false">SUM(K96:M96)*4</f>
        <v>0</v>
      </c>
      <c r="P96" s="312" t="n">
        <f aca="false">IFERROR(N96/12/'Prop Info'!$B$6,0)</f>
        <v>0</v>
      </c>
      <c r="Q96" s="273" t="n">
        <f aca="false">IFERROR(N96/N$80,0)</f>
        <v>0</v>
      </c>
      <c r="R96" s="319" t="str">
        <f aca="false">IFERROR(IF(OR(VLOOKUP(A96,_StdCOA!$A$4:$E$56,4,0)=0,VLOOKUP(A96,_StdCOA!$A$4:$E$56,5,0)=0),"",IF(ABS(P96)&gt;VLOOKUP(A96,_StdCOA!$A$4:$E$56,5,0),"🔴 high",IF(ABS(P96)&lt;VLOOKUP(A96,_StdCOA!$A$4:$E$56,4,0),"🟢 low","🟡 in range"))),"")</f>
        <v>🟢 low</v>
      </c>
    </row>
    <row r="97" customFormat="false" ht="15" hidden="false" customHeight="true" outlineLevel="0" collapsed="false">
      <c r="A97" s="111" t="s">
        <v>964</v>
      </c>
      <c r="B97" s="277" t="n">
        <f aca="false">SUMIFS($C$106:$C$255,$P$106:$P$255,"Utilities — Trash")</f>
        <v>0</v>
      </c>
      <c r="C97" s="277" t="n">
        <f aca="false">SUMIFS($D$106:$D$255,$P$106:$P$255,"Utilities — Trash")</f>
        <v>0</v>
      </c>
      <c r="D97" s="277" t="n">
        <f aca="false">SUMIFS($E$106:$E$255,$P$106:$P$255,"Utilities — Trash")</f>
        <v>0</v>
      </c>
      <c r="E97" s="277" t="n">
        <f aca="false">SUMIFS($F$106:$F$255,$P$106:$P$255,"Utilities — Trash")</f>
        <v>0</v>
      </c>
      <c r="F97" s="277" t="n">
        <f aca="false">SUMIFS($G$106:$G$255,$P$106:$P$255,"Utilities — Trash")</f>
        <v>0</v>
      </c>
      <c r="G97" s="277" t="n">
        <f aca="false">SUMIFS($H$106:$H$255,$P$106:$P$255,"Utilities — Trash")</f>
        <v>0</v>
      </c>
      <c r="H97" s="277" t="n">
        <f aca="false">SUMIFS($I$106:$I$255,$P$106:$P$255,"Utilities — Trash")</f>
        <v>0</v>
      </c>
      <c r="I97" s="277" t="n">
        <f aca="false">SUMIFS($J$106:$J$255,$P$106:$P$255,"Utilities — Trash")</f>
        <v>0</v>
      </c>
      <c r="J97" s="277" t="n">
        <f aca="false">SUMIFS($K$106:$K$255,$P$106:$P$255,"Utilities — Trash")</f>
        <v>0</v>
      </c>
      <c r="K97" s="277" t="n">
        <f aca="false">SUMIFS($L$106:$L$255,$P$106:$P$255,"Utilities — Trash")</f>
        <v>0</v>
      </c>
      <c r="L97" s="277" t="n">
        <f aca="false">SUMIFS($M$106:$M$255,$P$106:$P$255,"Utilities — Trash")</f>
        <v>0</v>
      </c>
      <c r="M97" s="277" t="n">
        <f aca="false">SUMIFS($N$106:$N$255,$P$106:$P$255,"Utilities — Trash")</f>
        <v>0</v>
      </c>
      <c r="N97" s="309" t="n">
        <f aca="false">SUMIFS($O$106:$O$255,$P$106:$P$255,"Utilities — Trash")</f>
        <v>0</v>
      </c>
      <c r="O97" s="277" t="n">
        <f aca="false">SUM(K97:M97)*4</f>
        <v>0</v>
      </c>
      <c r="P97" s="312" t="n">
        <f aca="false">IFERROR(N97/12/'Prop Info'!$B$6,0)</f>
        <v>0</v>
      </c>
      <c r="Q97" s="273" t="n">
        <f aca="false">IFERROR(N97/N$80,0)</f>
        <v>0</v>
      </c>
      <c r="R97" s="319" t="str">
        <f aca="false">IFERROR(IF(OR(VLOOKUP(A97,_StdCOA!$A$4:$E$56,4,0)=0,VLOOKUP(A97,_StdCOA!$A$4:$E$56,5,0)=0),"",IF(ABS(P97)&gt;VLOOKUP(A97,_StdCOA!$A$4:$E$56,5,0),"🔴 high",IF(ABS(P97)&lt;VLOOKUP(A97,_StdCOA!$A$4:$E$56,4,0),"🟢 low","🟡 in range"))),"")</f>
        <v>🟢 low</v>
      </c>
    </row>
    <row r="98" customFormat="false" ht="15" hidden="false" customHeight="true" outlineLevel="0" collapsed="false">
      <c r="A98" s="111" t="s">
        <v>965</v>
      </c>
      <c r="B98" s="277" t="n">
        <f aca="false">SUMIFS($C$106:$C$255,$P$106:$P$255,"Utilities — Internet/Cable")</f>
        <v>0</v>
      </c>
      <c r="C98" s="277" t="n">
        <f aca="false">SUMIFS($D$106:$D$255,$P$106:$P$255,"Utilities — Internet/Cable")</f>
        <v>0</v>
      </c>
      <c r="D98" s="277" t="n">
        <f aca="false">SUMIFS($E$106:$E$255,$P$106:$P$255,"Utilities — Internet/Cable")</f>
        <v>0</v>
      </c>
      <c r="E98" s="277" t="n">
        <f aca="false">SUMIFS($F$106:$F$255,$P$106:$P$255,"Utilities — Internet/Cable")</f>
        <v>0</v>
      </c>
      <c r="F98" s="277" t="n">
        <f aca="false">SUMIFS($G$106:$G$255,$P$106:$P$255,"Utilities — Internet/Cable")</f>
        <v>0</v>
      </c>
      <c r="G98" s="277" t="n">
        <f aca="false">SUMIFS($H$106:$H$255,$P$106:$P$255,"Utilities — Internet/Cable")</f>
        <v>0</v>
      </c>
      <c r="H98" s="277" t="n">
        <f aca="false">SUMIFS($I$106:$I$255,$P$106:$P$255,"Utilities — Internet/Cable")</f>
        <v>0</v>
      </c>
      <c r="I98" s="277" t="n">
        <f aca="false">SUMIFS($J$106:$J$255,$P$106:$P$255,"Utilities — Internet/Cable")</f>
        <v>0</v>
      </c>
      <c r="J98" s="277" t="n">
        <f aca="false">SUMIFS($K$106:$K$255,$P$106:$P$255,"Utilities — Internet/Cable")</f>
        <v>0</v>
      </c>
      <c r="K98" s="277" t="n">
        <f aca="false">SUMIFS($L$106:$L$255,$P$106:$P$255,"Utilities — Internet/Cable")</f>
        <v>0</v>
      </c>
      <c r="L98" s="277" t="n">
        <f aca="false">SUMIFS($M$106:$M$255,$P$106:$P$255,"Utilities — Internet/Cable")</f>
        <v>0</v>
      </c>
      <c r="M98" s="277" t="n">
        <f aca="false">SUMIFS($N$106:$N$255,$P$106:$P$255,"Utilities — Internet/Cable")</f>
        <v>0</v>
      </c>
      <c r="N98" s="309" t="n">
        <f aca="false">SUMIFS($O$106:$O$255,$P$106:$P$255,"Utilities — Internet/Cable")</f>
        <v>0</v>
      </c>
      <c r="O98" s="277" t="n">
        <f aca="false">SUM(K98:M98)*4</f>
        <v>0</v>
      </c>
      <c r="P98" s="312" t="n">
        <f aca="false">IFERROR(N98/12/'Prop Info'!$B$6,0)</f>
        <v>0</v>
      </c>
      <c r="Q98" s="273" t="n">
        <f aca="false">IFERROR(N98/N$80,0)</f>
        <v>0</v>
      </c>
      <c r="R98" s="319" t="str">
        <f aca="false">IFERROR(IF(OR(VLOOKUP(A98,_StdCOA!$A$4:$E$56,4,0)=0,VLOOKUP(A98,_StdCOA!$A$4:$E$56,5,0)=0),"",IF(ABS(P98)&gt;VLOOKUP(A98,_StdCOA!$A$4:$E$56,5,0),"🔴 high",IF(ABS(P98)&lt;VLOOKUP(A98,_StdCOA!$A$4:$E$56,4,0),"🟢 low","🟡 in range"))),"")</f>
        <v>🟢 low</v>
      </c>
    </row>
    <row r="99" customFormat="false" ht="15" hidden="false" customHeight="true" outlineLevel="0" collapsed="false">
      <c r="A99" s="111" t="s">
        <v>966</v>
      </c>
      <c r="B99" s="277" t="n">
        <f aca="false">SUMIFS($C$106:$C$255,$P$106:$P$255,"Management Fee")</f>
        <v>0</v>
      </c>
      <c r="C99" s="277" t="n">
        <f aca="false">SUMIFS($D$106:$D$255,$P$106:$P$255,"Management Fee")</f>
        <v>0</v>
      </c>
      <c r="D99" s="277" t="n">
        <f aca="false">SUMIFS($E$106:$E$255,$P$106:$P$255,"Management Fee")</f>
        <v>0</v>
      </c>
      <c r="E99" s="277" t="n">
        <f aca="false">SUMIFS($F$106:$F$255,$P$106:$P$255,"Management Fee")</f>
        <v>0</v>
      </c>
      <c r="F99" s="277" t="n">
        <f aca="false">SUMIFS($G$106:$G$255,$P$106:$P$255,"Management Fee")</f>
        <v>0</v>
      </c>
      <c r="G99" s="277" t="n">
        <f aca="false">SUMIFS($H$106:$H$255,$P$106:$P$255,"Management Fee")</f>
        <v>0</v>
      </c>
      <c r="H99" s="277" t="n">
        <f aca="false">SUMIFS($I$106:$I$255,$P$106:$P$255,"Management Fee")</f>
        <v>0</v>
      </c>
      <c r="I99" s="277" t="n">
        <f aca="false">SUMIFS($J$106:$J$255,$P$106:$P$255,"Management Fee")</f>
        <v>0</v>
      </c>
      <c r="J99" s="277" t="n">
        <f aca="false">SUMIFS($K$106:$K$255,$P$106:$P$255,"Management Fee")</f>
        <v>0</v>
      </c>
      <c r="K99" s="277" t="n">
        <f aca="false">SUMIFS($L$106:$L$255,$P$106:$P$255,"Management Fee")</f>
        <v>0</v>
      </c>
      <c r="L99" s="277" t="n">
        <f aca="false">SUMIFS($M$106:$M$255,$P$106:$P$255,"Management Fee")</f>
        <v>0</v>
      </c>
      <c r="M99" s="277" t="n">
        <f aca="false">SUMIFS($N$106:$N$255,$P$106:$P$255,"Management Fee")</f>
        <v>0</v>
      </c>
      <c r="N99" s="309" t="n">
        <f aca="false">SUMIFS($O$106:$O$255,$P$106:$P$255,"Management Fee")</f>
        <v>0</v>
      </c>
      <c r="O99" s="277" t="n">
        <f aca="false">SUM(K99:M99)*4</f>
        <v>0</v>
      </c>
      <c r="P99" s="312" t="n">
        <f aca="false">IFERROR(N99/12/'Prop Info'!$B$6,0)</f>
        <v>0</v>
      </c>
      <c r="Q99" s="273" t="n">
        <f aca="false">IFERROR(N99/N$80,0)</f>
        <v>0</v>
      </c>
      <c r="R99" s="319" t="str">
        <f aca="false">IFERROR(IF(OR(VLOOKUP(A99,_StdCOA!$A$4:$E$56,4,0)=0,VLOOKUP(A99,_StdCOA!$A$4:$E$56,5,0)=0),"",IF(ABS(P99)&gt;VLOOKUP(A99,_StdCOA!$A$4:$E$56,5,0),"🔴 high",IF(ABS(P99)&lt;VLOOKUP(A99,_StdCOA!$A$4:$E$56,4,0),"🟢 low","🟡 in range"))),"")</f>
        <v>🟢 low</v>
      </c>
    </row>
    <row r="100" customFormat="false" ht="15" hidden="false" customHeight="true" outlineLevel="0" collapsed="false">
      <c r="A100" s="313" t="s">
        <v>967</v>
      </c>
      <c r="B100" s="314" t="n">
        <f aca="false">SUM(B82:B99)</f>
        <v>0</v>
      </c>
      <c r="C100" s="314" t="n">
        <f aca="false">SUM(C82:C99)</f>
        <v>0</v>
      </c>
      <c r="D100" s="314" t="n">
        <f aca="false">SUM(D82:D99)</f>
        <v>0</v>
      </c>
      <c r="E100" s="314" t="n">
        <f aca="false">SUM(E82:E99)</f>
        <v>0</v>
      </c>
      <c r="F100" s="314" t="n">
        <f aca="false">SUM(F82:F99)</f>
        <v>0</v>
      </c>
      <c r="G100" s="314" t="n">
        <f aca="false">SUM(G82:G99)</f>
        <v>0</v>
      </c>
      <c r="H100" s="314" t="n">
        <f aca="false">SUM(H82:H99)</f>
        <v>0</v>
      </c>
      <c r="I100" s="314" t="n">
        <f aca="false">SUM(I82:I99)</f>
        <v>0</v>
      </c>
      <c r="J100" s="314" t="n">
        <f aca="false">SUM(J82:J99)</f>
        <v>0</v>
      </c>
      <c r="K100" s="314" t="n">
        <f aca="false">SUM(K82:K99)</f>
        <v>0</v>
      </c>
      <c r="L100" s="314" t="n">
        <f aca="false">SUM(L82:L99)</f>
        <v>0</v>
      </c>
      <c r="M100" s="314" t="n">
        <f aca="false">SUM(M82:M99)</f>
        <v>0</v>
      </c>
      <c r="N100" s="314" t="n">
        <f aca="false">SUM(N82:N99)</f>
        <v>0</v>
      </c>
      <c r="O100" s="314" t="n">
        <f aca="false">SUM(K100:M100)*4</f>
        <v>0</v>
      </c>
      <c r="P100" s="320" t="n">
        <f aca="false">IFERROR(N100/12/'Prop Info'!$B$6,0)</f>
        <v>0</v>
      </c>
      <c r="Q100" s="315" t="n">
        <f aca="false">IFERROR(N100/N$80,0)</f>
        <v>0</v>
      </c>
    </row>
    <row r="101" customFormat="false" ht="15" hidden="false" customHeight="true" outlineLevel="0" collapsed="false">
      <c r="A101" s="321" t="s">
        <v>734</v>
      </c>
      <c r="B101" s="322" t="n">
        <f aca="false">B80-B100</f>
        <v>0</v>
      </c>
      <c r="C101" s="322" t="n">
        <f aca="false">C80-C100</f>
        <v>0</v>
      </c>
      <c r="D101" s="322" t="n">
        <f aca="false">D80-D100</f>
        <v>0</v>
      </c>
      <c r="E101" s="322" t="n">
        <f aca="false">E80-E100</f>
        <v>0</v>
      </c>
      <c r="F101" s="322" t="n">
        <f aca="false">F80-F100</f>
        <v>0</v>
      </c>
      <c r="G101" s="322" t="n">
        <f aca="false">G80-G100</f>
        <v>0</v>
      </c>
      <c r="H101" s="322" t="n">
        <f aca="false">H80-H100</f>
        <v>0</v>
      </c>
      <c r="I101" s="322" t="n">
        <f aca="false">I80-I100</f>
        <v>0</v>
      </c>
      <c r="J101" s="322" t="n">
        <f aca="false">J80-J100</f>
        <v>0</v>
      </c>
      <c r="K101" s="322" t="n">
        <f aca="false">K80-K100</f>
        <v>0</v>
      </c>
      <c r="L101" s="322" t="n">
        <f aca="false">L80-L100</f>
        <v>0</v>
      </c>
      <c r="M101" s="322" t="n">
        <f aca="false">M80-M100</f>
        <v>0</v>
      </c>
      <c r="N101" s="322" t="n">
        <f aca="false">N80-N100</f>
        <v>0</v>
      </c>
      <c r="O101" s="322" t="n">
        <f aca="false">SUM(K101:M101)*4</f>
        <v>0</v>
      </c>
      <c r="P101" s="323" t="n">
        <f aca="false">IFERROR(N101/12/'Prop Info'!$B$6,0)</f>
        <v>0</v>
      </c>
      <c r="Q101" s="324" t="n">
        <f aca="false">IFERROR(N101/N$80,0)</f>
        <v>0</v>
      </c>
      <c r="R101" s="325"/>
    </row>
    <row r="104" customFormat="false" ht="21.75" hidden="false" customHeight="true" outlineLevel="0" collapsed="false">
      <c r="A104" s="17" t="s">
        <v>968</v>
      </c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</row>
    <row r="105" customFormat="false" ht="27.75" hidden="false" customHeight="true" outlineLevel="0" collapsed="false">
      <c r="A105" s="109" t="s">
        <v>969</v>
      </c>
      <c r="B105" s="109" t="s">
        <v>970</v>
      </c>
      <c r="C105" s="109" t="s">
        <v>922</v>
      </c>
      <c r="D105" s="109" t="s">
        <v>923</v>
      </c>
      <c r="E105" s="109" t="s">
        <v>924</v>
      </c>
      <c r="F105" s="109" t="s">
        <v>925</v>
      </c>
      <c r="G105" s="109" t="s">
        <v>926</v>
      </c>
      <c r="H105" s="109" t="s">
        <v>927</v>
      </c>
      <c r="I105" s="109" t="s">
        <v>928</v>
      </c>
      <c r="J105" s="109" t="s">
        <v>929</v>
      </c>
      <c r="K105" s="109" t="s">
        <v>930</v>
      </c>
      <c r="L105" s="109" t="s">
        <v>931</v>
      </c>
      <c r="M105" s="109" t="s">
        <v>932</v>
      </c>
      <c r="N105" s="109" t="s">
        <v>933</v>
      </c>
      <c r="O105" s="109" t="s">
        <v>934</v>
      </c>
      <c r="P105" s="109" t="s">
        <v>971</v>
      </c>
      <c r="Q105" s="109" t="s">
        <v>802</v>
      </c>
      <c r="R105" s="109" t="s">
        <v>55</v>
      </c>
    </row>
    <row r="106" customFormat="false" ht="15" hidden="false" customHeight="true" outlineLevel="0" collapsed="false">
      <c r="A106" s="129"/>
      <c r="B106" s="326"/>
      <c r="C106" s="327"/>
      <c r="D106" s="327"/>
      <c r="E106" s="327"/>
      <c r="F106" s="327"/>
      <c r="G106" s="327"/>
      <c r="H106" s="327"/>
      <c r="I106" s="327"/>
      <c r="J106" s="327"/>
      <c r="K106" s="327"/>
      <c r="L106" s="327"/>
      <c r="M106" s="327"/>
      <c r="N106" s="327"/>
      <c r="O106" s="277" t="n">
        <f aca="false">SUM(C106:N106)</f>
        <v>0</v>
      </c>
      <c r="P106" s="130" t="s">
        <v>938</v>
      </c>
      <c r="Q106" s="311" t="str">
        <f aca="false">IF(O106=0,"",IF(ABS(O106-SUM(C106:N106))&lt;0.01,"✓","⚠"))</f>
        <v/>
      </c>
    </row>
    <row r="107" customFormat="false" ht="15" hidden="false" customHeight="true" outlineLevel="0" collapsed="false">
      <c r="A107" s="129"/>
      <c r="B107" s="326"/>
      <c r="C107" s="327"/>
      <c r="D107" s="327"/>
      <c r="E107" s="327"/>
      <c r="F107" s="327"/>
      <c r="G107" s="327"/>
      <c r="H107" s="327"/>
      <c r="I107" s="327"/>
      <c r="J107" s="327"/>
      <c r="K107" s="327"/>
      <c r="L107" s="327"/>
      <c r="M107" s="327"/>
      <c r="N107" s="327"/>
      <c r="O107" s="277" t="n">
        <f aca="false">SUM(C107:N107)</f>
        <v>0</v>
      </c>
      <c r="P107" s="130" t="s">
        <v>939</v>
      </c>
      <c r="Q107" s="311" t="str">
        <f aca="false">IF(O107=0,"",IF(ABS(O107-SUM(C107:N107))&lt;0.01,"✓","⚠"))</f>
        <v/>
      </c>
    </row>
    <row r="108" customFormat="false" ht="15" hidden="false" customHeight="true" outlineLevel="0" collapsed="false">
      <c r="A108" s="129"/>
      <c r="B108" s="326"/>
      <c r="C108" s="327"/>
      <c r="D108" s="327"/>
      <c r="E108" s="327"/>
      <c r="F108" s="327"/>
      <c r="G108" s="327"/>
      <c r="H108" s="327"/>
      <c r="I108" s="327"/>
      <c r="J108" s="327"/>
      <c r="K108" s="327"/>
      <c r="L108" s="327"/>
      <c r="M108" s="327"/>
      <c r="N108" s="327"/>
      <c r="O108" s="277" t="n">
        <f aca="false">SUM(C108:N108)</f>
        <v>0</v>
      </c>
      <c r="P108" s="130" t="s">
        <v>900</v>
      </c>
      <c r="Q108" s="311" t="str">
        <f aca="false">IF(O108=0,"",IF(ABS(O108-SUM(C108:N108))&lt;0.01,"✓","⚠"))</f>
        <v/>
      </c>
    </row>
    <row r="109" customFormat="false" ht="15" hidden="false" customHeight="true" outlineLevel="0" collapsed="false">
      <c r="A109" s="129"/>
      <c r="B109" s="326"/>
      <c r="C109" s="327"/>
      <c r="D109" s="327"/>
      <c r="E109" s="327"/>
      <c r="F109" s="327"/>
      <c r="G109" s="327"/>
      <c r="H109" s="327"/>
      <c r="I109" s="327"/>
      <c r="J109" s="327"/>
      <c r="K109" s="327"/>
      <c r="L109" s="327"/>
      <c r="M109" s="327"/>
      <c r="N109" s="327"/>
      <c r="O109" s="277" t="n">
        <f aca="false">SUM(C109:N109)</f>
        <v>0</v>
      </c>
      <c r="P109" s="130" t="s">
        <v>908</v>
      </c>
      <c r="Q109" s="311" t="str">
        <f aca="false">IF(O109=0,"",IF(ABS(O109-SUM(C109:N109))&lt;0.01,"✓","⚠"))</f>
        <v/>
      </c>
    </row>
    <row r="110" customFormat="false" ht="15" hidden="false" customHeight="true" outlineLevel="0" collapsed="false">
      <c r="A110" s="129"/>
      <c r="B110" s="326"/>
      <c r="C110" s="327"/>
      <c r="D110" s="327"/>
      <c r="E110" s="327"/>
      <c r="F110" s="327"/>
      <c r="G110" s="327"/>
      <c r="H110" s="327"/>
      <c r="I110" s="327"/>
      <c r="J110" s="327"/>
      <c r="K110" s="327"/>
      <c r="L110" s="327"/>
      <c r="M110" s="327"/>
      <c r="N110" s="327"/>
      <c r="O110" s="277" t="n">
        <f aca="false">SUM(C110:N110)</f>
        <v>0</v>
      </c>
      <c r="P110" s="130" t="s">
        <v>910</v>
      </c>
      <c r="Q110" s="311" t="str">
        <f aca="false">IF(O110=0,"",IF(ABS(O110-SUM(C110:N110))&lt;0.01,"✓","⚠"))</f>
        <v/>
      </c>
    </row>
    <row r="111" customFormat="false" ht="15" hidden="false" customHeight="true" outlineLevel="0" collapsed="false">
      <c r="A111" s="129"/>
      <c r="B111" s="326"/>
      <c r="C111" s="327"/>
      <c r="D111" s="327"/>
      <c r="E111" s="327"/>
      <c r="F111" s="327"/>
      <c r="G111" s="327"/>
      <c r="H111" s="327"/>
      <c r="I111" s="327"/>
      <c r="J111" s="327"/>
      <c r="K111" s="327"/>
      <c r="L111" s="327"/>
      <c r="M111" s="327"/>
      <c r="N111" s="327"/>
      <c r="O111" s="277" t="n">
        <f aca="false">SUM(C111:N111)</f>
        <v>0</v>
      </c>
      <c r="P111" s="130" t="s">
        <v>904</v>
      </c>
      <c r="Q111" s="311" t="str">
        <f aca="false">IF(O111=0,"",IF(ABS(O111-SUM(C111:N111))&lt;0.01,"✓","⚠"))</f>
        <v/>
      </c>
    </row>
    <row r="112" customFormat="false" ht="15" hidden="false" customHeight="true" outlineLevel="0" collapsed="false">
      <c r="A112" s="129"/>
      <c r="B112" s="326"/>
      <c r="C112" s="327"/>
      <c r="D112" s="327"/>
      <c r="E112" s="327"/>
      <c r="F112" s="327"/>
      <c r="G112" s="327"/>
      <c r="H112" s="327"/>
      <c r="I112" s="327"/>
      <c r="J112" s="327"/>
      <c r="K112" s="327"/>
      <c r="L112" s="327"/>
      <c r="M112" s="327"/>
      <c r="N112" s="327"/>
      <c r="O112" s="277" t="n">
        <f aca="false">SUM(C112:N112)</f>
        <v>0</v>
      </c>
      <c r="P112" s="130" t="s">
        <v>904</v>
      </c>
      <c r="Q112" s="311" t="str">
        <f aca="false">IF(O112=0,"",IF(ABS(O112-SUM(C112:N112))&lt;0.01,"✓","⚠"))</f>
        <v/>
      </c>
    </row>
    <row r="113" customFormat="false" ht="15" hidden="false" customHeight="true" outlineLevel="0" collapsed="false">
      <c r="A113" s="129"/>
      <c r="B113" s="326"/>
      <c r="C113" s="327"/>
      <c r="D113" s="327"/>
      <c r="E113" s="327"/>
      <c r="F113" s="327"/>
      <c r="G113" s="327"/>
      <c r="H113" s="327"/>
      <c r="I113" s="327"/>
      <c r="J113" s="327"/>
      <c r="K113" s="327"/>
      <c r="L113" s="327"/>
      <c r="M113" s="327"/>
      <c r="N113" s="327"/>
      <c r="O113" s="277" t="n">
        <f aca="false">SUM(C113:N113)</f>
        <v>0</v>
      </c>
      <c r="P113" s="130" t="s">
        <v>904</v>
      </c>
      <c r="Q113" s="311" t="str">
        <f aca="false">IF(O113=0,"",IF(ABS(O113-SUM(C113:N113))&lt;0.01,"✓","⚠"))</f>
        <v/>
      </c>
    </row>
    <row r="114" customFormat="false" ht="15" hidden="false" customHeight="true" outlineLevel="0" collapsed="false">
      <c r="A114" s="129"/>
      <c r="B114" s="326"/>
      <c r="C114" s="327"/>
      <c r="D114" s="327"/>
      <c r="E114" s="327"/>
      <c r="F114" s="327"/>
      <c r="G114" s="327"/>
      <c r="H114" s="327"/>
      <c r="I114" s="327"/>
      <c r="J114" s="327"/>
      <c r="K114" s="327"/>
      <c r="L114" s="327"/>
      <c r="M114" s="327"/>
      <c r="N114" s="327"/>
      <c r="O114" s="277" t="n">
        <f aca="false">SUM(C114:N114)</f>
        <v>0</v>
      </c>
      <c r="P114" s="130" t="s">
        <v>904</v>
      </c>
      <c r="Q114" s="311" t="str">
        <f aca="false">IF(O114=0,"",IF(ABS(O114-SUM(C114:N114))&lt;0.01,"✓","⚠"))</f>
        <v/>
      </c>
    </row>
    <row r="115" customFormat="false" ht="15" hidden="false" customHeight="true" outlineLevel="0" collapsed="false">
      <c r="A115" s="129"/>
      <c r="B115" s="326"/>
      <c r="C115" s="327"/>
      <c r="D115" s="327"/>
      <c r="E115" s="327"/>
      <c r="F115" s="327"/>
      <c r="G115" s="327"/>
      <c r="H115" s="327"/>
      <c r="I115" s="327"/>
      <c r="J115" s="327"/>
      <c r="K115" s="327"/>
      <c r="L115" s="327"/>
      <c r="M115" s="327"/>
      <c r="N115" s="327"/>
      <c r="O115" s="277" t="n">
        <f aca="false">SUM(C115:N115)</f>
        <v>0</v>
      </c>
      <c r="P115" s="130" t="s">
        <v>906</v>
      </c>
      <c r="Q115" s="311" t="str">
        <f aca="false">IF(O115=0,"",IF(ABS(O115-SUM(C115:N115))&lt;0.01,"✓","⚠"))</f>
        <v/>
      </c>
    </row>
    <row r="116" customFormat="false" ht="15" hidden="false" customHeight="true" outlineLevel="0" collapsed="false">
      <c r="A116" s="129"/>
      <c r="B116" s="326"/>
      <c r="C116" s="327"/>
      <c r="D116" s="327"/>
      <c r="E116" s="327"/>
      <c r="F116" s="327"/>
      <c r="G116" s="327"/>
      <c r="H116" s="327"/>
      <c r="I116" s="327"/>
      <c r="J116" s="327"/>
      <c r="K116" s="327"/>
      <c r="L116" s="327"/>
      <c r="M116" s="327"/>
      <c r="N116" s="327"/>
      <c r="O116" s="277" t="n">
        <f aca="false">SUM(C116:N116)</f>
        <v>0</v>
      </c>
      <c r="P116" s="130" t="s">
        <v>940</v>
      </c>
      <c r="Q116" s="311" t="str">
        <f aca="false">IF(O116=0,"",IF(ABS(O116-SUM(C116:N116))&lt;0.01,"✓","⚠"))</f>
        <v/>
      </c>
    </row>
    <row r="117" customFormat="false" ht="15" hidden="false" customHeight="true" outlineLevel="0" collapsed="false">
      <c r="A117" s="129"/>
      <c r="B117" s="326"/>
      <c r="C117" s="327"/>
      <c r="D117" s="327"/>
      <c r="E117" s="327"/>
      <c r="F117" s="327"/>
      <c r="G117" s="327"/>
      <c r="H117" s="327"/>
      <c r="I117" s="327"/>
      <c r="J117" s="327"/>
      <c r="K117" s="327"/>
      <c r="L117" s="327"/>
      <c r="M117" s="327"/>
      <c r="N117" s="327"/>
      <c r="O117" s="277" t="n">
        <f aca="false">SUM(C117:N117)</f>
        <v>0</v>
      </c>
      <c r="P117" s="130" t="s">
        <v>941</v>
      </c>
      <c r="Q117" s="311" t="str">
        <f aca="false">IF(O117=0,"",IF(ABS(O117-SUM(C117:N117))&lt;0.01,"✓","⚠"))</f>
        <v/>
      </c>
    </row>
    <row r="118" customFormat="false" ht="15" hidden="false" customHeight="true" outlineLevel="0" collapsed="false">
      <c r="A118" s="129"/>
      <c r="B118" s="326"/>
      <c r="C118" s="327"/>
      <c r="D118" s="327"/>
      <c r="E118" s="327"/>
      <c r="F118" s="327"/>
      <c r="G118" s="327"/>
      <c r="H118" s="327"/>
      <c r="I118" s="327"/>
      <c r="J118" s="327"/>
      <c r="K118" s="327"/>
      <c r="L118" s="327"/>
      <c r="M118" s="327"/>
      <c r="N118" s="327"/>
      <c r="O118" s="277" t="n">
        <f aca="false">SUM(C118:N118)</f>
        <v>0</v>
      </c>
      <c r="P118" s="130" t="s">
        <v>943</v>
      </c>
      <c r="Q118" s="311" t="str">
        <f aca="false">IF(O118=0,"",IF(ABS(O118-SUM(C118:N118))&lt;0.01,"✓","⚠"))</f>
        <v/>
      </c>
    </row>
    <row r="119" customFormat="false" ht="15" hidden="false" customHeight="true" outlineLevel="0" collapsed="false">
      <c r="A119" s="129"/>
      <c r="B119" s="326"/>
      <c r="C119" s="327"/>
      <c r="D119" s="327"/>
      <c r="E119" s="327"/>
      <c r="F119" s="327"/>
      <c r="G119" s="327"/>
      <c r="H119" s="327"/>
      <c r="I119" s="327"/>
      <c r="J119" s="327"/>
      <c r="K119" s="327"/>
      <c r="L119" s="327"/>
      <c r="M119" s="327"/>
      <c r="N119" s="327"/>
      <c r="O119" s="277" t="n">
        <f aca="false">SUM(C119:N119)</f>
        <v>0</v>
      </c>
      <c r="P119" s="130" t="s">
        <v>944</v>
      </c>
      <c r="Q119" s="311" t="str">
        <f aca="false">IF(O119=0,"",IF(ABS(O119-SUM(C119:N119))&lt;0.01,"✓","⚠"))</f>
        <v/>
      </c>
    </row>
    <row r="120" customFormat="false" ht="15" hidden="false" customHeight="true" outlineLevel="0" collapsed="false">
      <c r="A120" s="129"/>
      <c r="B120" s="326"/>
      <c r="C120" s="327"/>
      <c r="D120" s="327"/>
      <c r="E120" s="327"/>
      <c r="F120" s="327"/>
      <c r="G120" s="327"/>
      <c r="H120" s="327"/>
      <c r="I120" s="327"/>
      <c r="J120" s="327"/>
      <c r="K120" s="327"/>
      <c r="L120" s="327"/>
      <c r="M120" s="327"/>
      <c r="N120" s="327"/>
      <c r="O120" s="277" t="n">
        <f aca="false">SUM(C120:N120)</f>
        <v>0</v>
      </c>
      <c r="P120" s="130" t="s">
        <v>945</v>
      </c>
      <c r="Q120" s="311" t="str">
        <f aca="false">IF(O120=0,"",IF(ABS(O120-SUM(C120:N120))&lt;0.01,"✓","⚠"))</f>
        <v/>
      </c>
    </row>
    <row r="121" customFormat="false" ht="15" hidden="false" customHeight="true" outlineLevel="0" collapsed="false">
      <c r="A121" s="129"/>
      <c r="B121" s="326"/>
      <c r="C121" s="327"/>
      <c r="D121" s="327"/>
      <c r="E121" s="327"/>
      <c r="F121" s="327"/>
      <c r="G121" s="327"/>
      <c r="H121" s="327"/>
      <c r="I121" s="327"/>
      <c r="J121" s="327"/>
      <c r="K121" s="327"/>
      <c r="L121" s="327"/>
      <c r="M121" s="327"/>
      <c r="N121" s="327"/>
      <c r="O121" s="277" t="n">
        <f aca="false">SUM(C121:N121)</f>
        <v>0</v>
      </c>
      <c r="P121" s="130" t="s">
        <v>945</v>
      </c>
      <c r="Q121" s="311" t="str">
        <f aca="false">IF(O121=0,"",IF(ABS(O121-SUM(C121:N121))&lt;0.01,"✓","⚠"))</f>
        <v/>
      </c>
    </row>
    <row r="122" customFormat="false" ht="15" hidden="false" customHeight="true" outlineLevel="0" collapsed="false">
      <c r="A122" s="129"/>
      <c r="B122" s="326"/>
      <c r="C122" s="327"/>
      <c r="D122" s="327"/>
      <c r="E122" s="327"/>
      <c r="F122" s="327"/>
      <c r="G122" s="327"/>
      <c r="H122" s="327"/>
      <c r="I122" s="327"/>
      <c r="J122" s="327"/>
      <c r="K122" s="327"/>
      <c r="L122" s="327"/>
      <c r="M122" s="327"/>
      <c r="N122" s="327"/>
      <c r="O122" s="277" t="n">
        <f aca="false">SUM(C122:N122)</f>
        <v>0</v>
      </c>
      <c r="P122" s="130" t="s">
        <v>946</v>
      </c>
      <c r="Q122" s="311" t="str">
        <f aca="false">IF(O122=0,"",IF(ABS(O122-SUM(C122:N122))&lt;0.01,"✓","⚠"))</f>
        <v/>
      </c>
    </row>
    <row r="123" customFormat="false" ht="15" hidden="false" customHeight="true" outlineLevel="0" collapsed="false">
      <c r="A123" s="129"/>
      <c r="B123" s="326"/>
      <c r="C123" s="327"/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277" t="n">
        <f aca="false">SUM(C123:N123)</f>
        <v>0</v>
      </c>
      <c r="P123" s="130" t="s">
        <v>946</v>
      </c>
      <c r="Q123" s="311" t="str">
        <f aca="false">IF(O123=0,"",IF(ABS(O123-SUM(C123:N123))&lt;0.01,"✓","⚠"))</f>
        <v/>
      </c>
    </row>
    <row r="124" customFormat="false" ht="15" hidden="false" customHeight="true" outlineLevel="0" collapsed="false">
      <c r="A124" s="129"/>
      <c r="B124" s="326"/>
      <c r="C124" s="327"/>
      <c r="D124" s="327"/>
      <c r="E124" s="327"/>
      <c r="F124" s="327"/>
      <c r="G124" s="327"/>
      <c r="H124" s="327"/>
      <c r="I124" s="327"/>
      <c r="J124" s="327"/>
      <c r="K124" s="327"/>
      <c r="L124" s="327"/>
      <c r="M124" s="327"/>
      <c r="N124" s="327"/>
      <c r="O124" s="277" t="n">
        <f aca="false">SUM(C124:N124)</f>
        <v>0</v>
      </c>
      <c r="P124" s="130" t="s">
        <v>946</v>
      </c>
      <c r="Q124" s="311" t="str">
        <f aca="false">IF(O124=0,"",IF(ABS(O124-SUM(C124:N124))&lt;0.01,"✓","⚠"))</f>
        <v/>
      </c>
    </row>
    <row r="125" customFormat="false" ht="15" hidden="false" customHeight="true" outlineLevel="0" collapsed="false">
      <c r="A125" s="129"/>
      <c r="B125" s="326"/>
      <c r="C125" s="327"/>
      <c r="D125" s="327"/>
      <c r="E125" s="327"/>
      <c r="F125" s="327"/>
      <c r="G125" s="327"/>
      <c r="H125" s="327"/>
      <c r="I125" s="327"/>
      <c r="J125" s="327"/>
      <c r="K125" s="327"/>
      <c r="L125" s="327"/>
      <c r="M125" s="327"/>
      <c r="N125" s="327"/>
      <c r="O125" s="277" t="n">
        <f aca="false">SUM(C125:N125)</f>
        <v>0</v>
      </c>
      <c r="P125" s="130" t="s">
        <v>949</v>
      </c>
      <c r="Q125" s="311" t="str">
        <f aca="false">IF(O125=0,"",IF(ABS(O125-SUM(C125:N125))&lt;0.01,"✓","⚠"))</f>
        <v/>
      </c>
    </row>
    <row r="126" customFormat="false" ht="15" hidden="false" customHeight="true" outlineLevel="0" collapsed="false">
      <c r="A126" s="129"/>
      <c r="B126" s="326"/>
      <c r="C126" s="327"/>
      <c r="D126" s="327"/>
      <c r="E126" s="327"/>
      <c r="F126" s="327"/>
      <c r="G126" s="327"/>
      <c r="H126" s="327"/>
      <c r="I126" s="327"/>
      <c r="J126" s="327"/>
      <c r="K126" s="327"/>
      <c r="L126" s="327"/>
      <c r="M126" s="327"/>
      <c r="N126" s="327"/>
      <c r="O126" s="277" t="n">
        <f aca="false">SUM(C126:N126)</f>
        <v>0</v>
      </c>
      <c r="P126" s="130" t="s">
        <v>946</v>
      </c>
      <c r="Q126" s="311" t="str">
        <f aca="false">IF(O126=0,"",IF(ABS(O126-SUM(C126:N126))&lt;0.01,"✓","⚠"))</f>
        <v/>
      </c>
    </row>
    <row r="127" customFormat="false" ht="15" hidden="false" customHeight="true" outlineLevel="0" collapsed="false">
      <c r="A127" s="129"/>
      <c r="B127" s="326"/>
      <c r="C127" s="327"/>
      <c r="D127" s="327"/>
      <c r="E127" s="327"/>
      <c r="F127" s="327"/>
      <c r="G127" s="327"/>
      <c r="H127" s="327"/>
      <c r="I127" s="327"/>
      <c r="J127" s="327"/>
      <c r="K127" s="327"/>
      <c r="L127" s="327"/>
      <c r="M127" s="327"/>
      <c r="N127" s="327"/>
      <c r="O127" s="277" t="n">
        <f aca="false">SUM(C127:N127)</f>
        <v>0</v>
      </c>
      <c r="P127" s="130" t="s">
        <v>952</v>
      </c>
      <c r="Q127" s="311" t="str">
        <f aca="false">IF(O127=0,"",IF(ABS(O127-SUM(C127:N127))&lt;0.01,"✓","⚠"))</f>
        <v/>
      </c>
    </row>
    <row r="128" customFormat="false" ht="15" hidden="false" customHeight="true" outlineLevel="0" collapsed="false">
      <c r="A128" s="129"/>
      <c r="B128" s="326"/>
      <c r="C128" s="327"/>
      <c r="D128" s="327"/>
      <c r="E128" s="327"/>
      <c r="F128" s="327"/>
      <c r="G128" s="327"/>
      <c r="H128" s="327"/>
      <c r="I128" s="327"/>
      <c r="J128" s="327"/>
      <c r="K128" s="327"/>
      <c r="L128" s="327"/>
      <c r="M128" s="327"/>
      <c r="N128" s="327"/>
      <c r="O128" s="277" t="n">
        <f aca="false">SUM(C128:N128)</f>
        <v>0</v>
      </c>
      <c r="P128" s="130" t="s">
        <v>950</v>
      </c>
      <c r="Q128" s="311" t="str">
        <f aca="false">IF(O128=0,"",IF(ABS(O128-SUM(C128:N128))&lt;0.01,"✓","⚠"))</f>
        <v/>
      </c>
    </row>
    <row r="129" customFormat="false" ht="15" hidden="false" customHeight="true" outlineLevel="0" collapsed="false">
      <c r="A129" s="129"/>
      <c r="B129" s="326"/>
      <c r="C129" s="327"/>
      <c r="D129" s="327"/>
      <c r="E129" s="327"/>
      <c r="F129" s="327"/>
      <c r="G129" s="327"/>
      <c r="H129" s="327"/>
      <c r="I129" s="327"/>
      <c r="J129" s="327"/>
      <c r="K129" s="327"/>
      <c r="L129" s="327"/>
      <c r="M129" s="327"/>
      <c r="N129" s="327"/>
      <c r="O129" s="277" t="n">
        <f aca="false">SUM(C129:N129)</f>
        <v>0</v>
      </c>
      <c r="P129" s="130" t="s">
        <v>950</v>
      </c>
      <c r="Q129" s="311" t="str">
        <f aca="false">IF(O129=0,"",IF(ABS(O129-SUM(C129:N129))&lt;0.01,"✓","⚠"))</f>
        <v/>
      </c>
    </row>
    <row r="130" customFormat="false" ht="15" hidden="false" customHeight="true" outlineLevel="0" collapsed="false">
      <c r="A130" s="129"/>
      <c r="B130" s="326"/>
      <c r="C130" s="327"/>
      <c r="D130" s="327"/>
      <c r="E130" s="327"/>
      <c r="F130" s="327"/>
      <c r="G130" s="327"/>
      <c r="H130" s="327"/>
      <c r="I130" s="327"/>
      <c r="J130" s="327"/>
      <c r="K130" s="327"/>
      <c r="L130" s="327"/>
      <c r="M130" s="327"/>
      <c r="N130" s="327"/>
      <c r="O130" s="277" t="n">
        <f aca="false">SUM(C130:N130)</f>
        <v>0</v>
      </c>
      <c r="P130" s="130" t="s">
        <v>952</v>
      </c>
      <c r="Q130" s="311" t="str">
        <f aca="false">IF(O130=0,"",IF(ABS(O130-SUM(C130:N130))&lt;0.01,"✓","⚠"))</f>
        <v/>
      </c>
    </row>
    <row r="131" customFormat="false" ht="15" hidden="false" customHeight="true" outlineLevel="0" collapsed="false">
      <c r="A131" s="129"/>
      <c r="B131" s="326"/>
      <c r="C131" s="327"/>
      <c r="D131" s="327"/>
      <c r="E131" s="327"/>
      <c r="F131" s="327"/>
      <c r="G131" s="327"/>
      <c r="H131" s="327"/>
      <c r="I131" s="327"/>
      <c r="J131" s="327"/>
      <c r="K131" s="327"/>
      <c r="L131" s="327"/>
      <c r="M131" s="327"/>
      <c r="N131" s="327"/>
      <c r="O131" s="277" t="n">
        <f aca="false">SUM(C131:N131)</f>
        <v>0</v>
      </c>
      <c r="P131" s="130" t="s">
        <v>951</v>
      </c>
      <c r="Q131" s="311" t="str">
        <f aca="false">IF(O131=0,"",IF(ABS(O131-SUM(C131:N131))&lt;0.01,"✓","⚠"))</f>
        <v/>
      </c>
    </row>
    <row r="132" customFormat="false" ht="15" hidden="false" customHeight="true" outlineLevel="0" collapsed="false">
      <c r="A132" s="129"/>
      <c r="B132" s="326"/>
      <c r="C132" s="327"/>
      <c r="D132" s="327"/>
      <c r="E132" s="327"/>
      <c r="F132" s="327"/>
      <c r="G132" s="327"/>
      <c r="H132" s="327"/>
      <c r="I132" s="327"/>
      <c r="J132" s="327"/>
      <c r="K132" s="327"/>
      <c r="L132" s="327"/>
      <c r="M132" s="327"/>
      <c r="N132" s="327"/>
      <c r="O132" s="277" t="n">
        <f aca="false">SUM(C132:N132)</f>
        <v>0</v>
      </c>
      <c r="P132" s="130" t="s">
        <v>951</v>
      </c>
      <c r="Q132" s="311" t="str">
        <f aca="false">IF(O132=0,"",IF(ABS(O132-SUM(C132:N132))&lt;0.01,"✓","⚠"))</f>
        <v/>
      </c>
    </row>
    <row r="133" customFormat="false" ht="15" hidden="false" customHeight="true" outlineLevel="0" collapsed="false">
      <c r="A133" s="129"/>
      <c r="B133" s="326"/>
      <c r="C133" s="327"/>
      <c r="D133" s="327"/>
      <c r="E133" s="327"/>
      <c r="F133" s="327"/>
      <c r="G133" s="327"/>
      <c r="H133" s="327"/>
      <c r="I133" s="327"/>
      <c r="J133" s="327"/>
      <c r="K133" s="327"/>
      <c r="L133" s="327"/>
      <c r="M133" s="327"/>
      <c r="N133" s="327"/>
      <c r="O133" s="277" t="n">
        <f aca="false">SUM(C133:N133)</f>
        <v>0</v>
      </c>
      <c r="P133" s="130" t="s">
        <v>951</v>
      </c>
      <c r="Q133" s="311" t="str">
        <f aca="false">IF(O133=0,"",IF(ABS(O133-SUM(C133:N133))&lt;0.01,"✓","⚠"))</f>
        <v/>
      </c>
    </row>
    <row r="134" customFormat="false" ht="15" hidden="false" customHeight="true" outlineLevel="0" collapsed="false">
      <c r="A134" s="129"/>
      <c r="B134" s="326"/>
      <c r="C134" s="327"/>
      <c r="D134" s="327"/>
      <c r="E134" s="327"/>
      <c r="F134" s="327"/>
      <c r="G134" s="327"/>
      <c r="H134" s="327"/>
      <c r="I134" s="327"/>
      <c r="J134" s="327"/>
      <c r="K134" s="327"/>
      <c r="L134" s="327"/>
      <c r="M134" s="327"/>
      <c r="N134" s="327"/>
      <c r="O134" s="277" t="n">
        <f aca="false">SUM(C134:N134)</f>
        <v>0</v>
      </c>
      <c r="P134" s="130" t="s">
        <v>951</v>
      </c>
      <c r="Q134" s="311" t="str">
        <f aca="false">IF(O134=0,"",IF(ABS(O134-SUM(C134:N134))&lt;0.01,"✓","⚠"))</f>
        <v/>
      </c>
    </row>
    <row r="135" customFormat="false" ht="15" hidden="false" customHeight="true" outlineLevel="0" collapsed="false">
      <c r="A135" s="129"/>
      <c r="B135" s="326"/>
      <c r="C135" s="327"/>
      <c r="D135" s="327"/>
      <c r="E135" s="327"/>
      <c r="F135" s="327"/>
      <c r="G135" s="327"/>
      <c r="H135" s="327"/>
      <c r="I135" s="327"/>
      <c r="J135" s="327"/>
      <c r="K135" s="327"/>
      <c r="L135" s="327"/>
      <c r="M135" s="327"/>
      <c r="N135" s="327"/>
      <c r="O135" s="277" t="n">
        <f aca="false">SUM(C135:N135)</f>
        <v>0</v>
      </c>
      <c r="P135" s="130" t="s">
        <v>952</v>
      </c>
      <c r="Q135" s="311" t="str">
        <f aca="false">IF(O135=0,"",IF(ABS(O135-SUM(C135:N135))&lt;0.01,"✓","⚠"))</f>
        <v/>
      </c>
    </row>
    <row r="136" customFormat="false" ht="15" hidden="false" customHeight="true" outlineLevel="0" collapsed="false">
      <c r="A136" s="129"/>
      <c r="B136" s="326"/>
      <c r="C136" s="327"/>
      <c r="D136" s="327"/>
      <c r="E136" s="327"/>
      <c r="F136" s="327"/>
      <c r="G136" s="327"/>
      <c r="H136" s="327"/>
      <c r="I136" s="327"/>
      <c r="J136" s="327"/>
      <c r="K136" s="327"/>
      <c r="L136" s="327"/>
      <c r="M136" s="327"/>
      <c r="N136" s="327"/>
      <c r="O136" s="277" t="n">
        <f aca="false">SUM(C136:N136)</f>
        <v>0</v>
      </c>
      <c r="P136" s="130" t="s">
        <v>952</v>
      </c>
      <c r="Q136" s="311" t="str">
        <f aca="false">IF(O136=0,"",IF(ABS(O136-SUM(C136:N136))&lt;0.01,"✓","⚠"))</f>
        <v/>
      </c>
    </row>
    <row r="137" customFormat="false" ht="15" hidden="false" customHeight="true" outlineLevel="0" collapsed="false">
      <c r="A137" s="129"/>
      <c r="B137" s="326"/>
      <c r="C137" s="327"/>
      <c r="D137" s="327"/>
      <c r="E137" s="327"/>
      <c r="F137" s="327"/>
      <c r="G137" s="327"/>
      <c r="H137" s="327"/>
      <c r="I137" s="327"/>
      <c r="J137" s="327"/>
      <c r="K137" s="327"/>
      <c r="L137" s="327"/>
      <c r="M137" s="327"/>
      <c r="N137" s="327"/>
      <c r="O137" s="277" t="n">
        <f aca="false">SUM(C137:N137)</f>
        <v>0</v>
      </c>
      <c r="P137" s="130" t="s">
        <v>722</v>
      </c>
      <c r="Q137" s="311" t="str">
        <f aca="false">IF(O137=0,"",IF(ABS(O137-SUM(C137:N137))&lt;0.01,"✓","⚠"))</f>
        <v/>
      </c>
    </row>
    <row r="138" customFormat="false" ht="15" hidden="false" customHeight="true" outlineLevel="0" collapsed="false">
      <c r="A138" s="129"/>
      <c r="B138" s="326"/>
      <c r="C138" s="327"/>
      <c r="D138" s="327"/>
      <c r="E138" s="327"/>
      <c r="F138" s="327"/>
      <c r="G138" s="327"/>
      <c r="H138" s="327"/>
      <c r="I138" s="327"/>
      <c r="J138" s="327"/>
      <c r="K138" s="327"/>
      <c r="L138" s="327"/>
      <c r="M138" s="327"/>
      <c r="N138" s="327"/>
      <c r="O138" s="277" t="n">
        <f aca="false">SUM(C138:N138)</f>
        <v>0</v>
      </c>
      <c r="P138" s="130" t="s">
        <v>722</v>
      </c>
      <c r="Q138" s="311" t="str">
        <f aca="false">IF(O138=0,"",IF(ABS(O138-SUM(C138:N138))&lt;0.01,"✓","⚠"))</f>
        <v/>
      </c>
    </row>
    <row r="139" customFormat="false" ht="15" hidden="false" customHeight="true" outlineLevel="0" collapsed="false">
      <c r="A139" s="129"/>
      <c r="B139" s="326"/>
      <c r="C139" s="327"/>
      <c r="D139" s="327"/>
      <c r="E139" s="327"/>
      <c r="F139" s="327"/>
      <c r="G139" s="327"/>
      <c r="H139" s="327"/>
      <c r="I139" s="327"/>
      <c r="J139" s="327"/>
      <c r="K139" s="327"/>
      <c r="L139" s="327"/>
      <c r="M139" s="327"/>
      <c r="N139" s="327"/>
      <c r="O139" s="277" t="n">
        <f aca="false">SUM(C139:N139)</f>
        <v>0</v>
      </c>
      <c r="P139" s="130" t="s">
        <v>722</v>
      </c>
      <c r="Q139" s="311" t="str">
        <f aca="false">IF(O139=0,"",IF(ABS(O139-SUM(C139:N139))&lt;0.01,"✓","⚠"))</f>
        <v/>
      </c>
    </row>
    <row r="140" customFormat="false" ht="15" hidden="false" customHeight="true" outlineLevel="0" collapsed="false">
      <c r="A140" s="129"/>
      <c r="B140" s="326"/>
      <c r="C140" s="327"/>
      <c r="D140" s="327"/>
      <c r="E140" s="327"/>
      <c r="F140" s="327"/>
      <c r="G140" s="327"/>
      <c r="H140" s="327"/>
      <c r="I140" s="327"/>
      <c r="J140" s="327"/>
      <c r="K140" s="327"/>
      <c r="L140" s="327"/>
      <c r="M140" s="327"/>
      <c r="N140" s="327"/>
      <c r="O140" s="277" t="n">
        <f aca="false">SUM(C140:N140)</f>
        <v>0</v>
      </c>
      <c r="P140" s="130" t="s">
        <v>722</v>
      </c>
      <c r="Q140" s="311" t="str">
        <f aca="false">IF(O140=0,"",IF(ABS(O140-SUM(C140:N140))&lt;0.01,"✓","⚠"))</f>
        <v/>
      </c>
    </row>
    <row r="141" customFormat="false" ht="15" hidden="false" customHeight="true" outlineLevel="0" collapsed="false">
      <c r="A141" s="129"/>
      <c r="B141" s="326"/>
      <c r="C141" s="327"/>
      <c r="D141" s="327"/>
      <c r="E141" s="327"/>
      <c r="F141" s="327"/>
      <c r="G141" s="327"/>
      <c r="H141" s="327"/>
      <c r="I141" s="327"/>
      <c r="J141" s="327"/>
      <c r="K141" s="327"/>
      <c r="L141" s="327"/>
      <c r="M141" s="327"/>
      <c r="N141" s="327"/>
      <c r="O141" s="277" t="n">
        <f aca="false">SUM(C141:N141)</f>
        <v>0</v>
      </c>
      <c r="P141" s="130" t="s">
        <v>722</v>
      </c>
      <c r="Q141" s="311" t="str">
        <f aca="false">IF(O141=0,"",IF(ABS(O141-SUM(C141:N141))&lt;0.01,"✓","⚠"))</f>
        <v/>
      </c>
    </row>
    <row r="142" customFormat="false" ht="15" hidden="false" customHeight="true" outlineLevel="0" collapsed="false">
      <c r="A142" s="129"/>
      <c r="B142" s="326"/>
      <c r="C142" s="327"/>
      <c r="D142" s="327"/>
      <c r="E142" s="327"/>
      <c r="F142" s="327"/>
      <c r="G142" s="327"/>
      <c r="H142" s="327"/>
      <c r="I142" s="327"/>
      <c r="J142" s="327"/>
      <c r="K142" s="327"/>
      <c r="L142" s="327"/>
      <c r="M142" s="327"/>
      <c r="N142" s="327"/>
      <c r="O142" s="277" t="n">
        <f aca="false">SUM(C142:N142)</f>
        <v>0</v>
      </c>
      <c r="P142" s="130" t="s">
        <v>957</v>
      </c>
      <c r="Q142" s="311" t="str">
        <f aca="false">IF(O142=0,"",IF(ABS(O142-SUM(C142:N142))&lt;0.01,"✓","⚠"))</f>
        <v/>
      </c>
    </row>
    <row r="143" customFormat="false" ht="15" hidden="false" customHeight="true" outlineLevel="0" collapsed="false">
      <c r="A143" s="129"/>
      <c r="B143" s="326"/>
      <c r="C143" s="327"/>
      <c r="D143" s="327"/>
      <c r="E143" s="327"/>
      <c r="F143" s="327"/>
      <c r="G143" s="327"/>
      <c r="H143" s="327"/>
      <c r="I143" s="327"/>
      <c r="J143" s="327"/>
      <c r="K143" s="327"/>
      <c r="L143" s="327"/>
      <c r="M143" s="327"/>
      <c r="N143" s="327"/>
      <c r="O143" s="277" t="n">
        <f aca="false">SUM(C143:N143)</f>
        <v>0</v>
      </c>
      <c r="P143" s="130" t="s">
        <v>722</v>
      </c>
      <c r="Q143" s="311" t="str">
        <f aca="false">IF(O143=0,"",IF(ABS(O143-SUM(C143:N143))&lt;0.01,"✓","⚠"))</f>
        <v/>
      </c>
    </row>
    <row r="144" customFormat="false" ht="15" hidden="false" customHeight="true" outlineLevel="0" collapsed="false">
      <c r="A144" s="129"/>
      <c r="B144" s="326"/>
      <c r="C144" s="327"/>
      <c r="D144" s="327"/>
      <c r="E144" s="327"/>
      <c r="F144" s="327"/>
      <c r="G144" s="327"/>
      <c r="H144" s="327"/>
      <c r="I144" s="327"/>
      <c r="J144" s="327"/>
      <c r="K144" s="327"/>
      <c r="L144" s="327"/>
      <c r="M144" s="327"/>
      <c r="N144" s="327"/>
      <c r="O144" s="277" t="n">
        <f aca="false">SUM(C144:N144)</f>
        <v>0</v>
      </c>
      <c r="P144" s="130" t="s">
        <v>956</v>
      </c>
      <c r="Q144" s="311" t="str">
        <f aca="false">IF(O144=0,"",IF(ABS(O144-SUM(C144:N144))&lt;0.01,"✓","⚠"))</f>
        <v/>
      </c>
    </row>
    <row r="145" customFormat="false" ht="15" hidden="false" customHeight="true" outlineLevel="0" collapsed="false">
      <c r="A145" s="129"/>
      <c r="B145" s="326"/>
      <c r="C145" s="327"/>
      <c r="D145" s="327"/>
      <c r="E145" s="327"/>
      <c r="F145" s="327"/>
      <c r="G145" s="327"/>
      <c r="H145" s="327"/>
      <c r="I145" s="327"/>
      <c r="J145" s="327"/>
      <c r="K145" s="327"/>
      <c r="L145" s="327"/>
      <c r="M145" s="327"/>
      <c r="N145" s="327"/>
      <c r="O145" s="277" t="n">
        <f aca="false">SUM(C145:N145)</f>
        <v>0</v>
      </c>
      <c r="P145" s="130" t="s">
        <v>956</v>
      </c>
      <c r="Q145" s="311" t="str">
        <f aca="false">IF(O145=0,"",IF(ABS(O145-SUM(C145:N145))&lt;0.01,"✓","⚠"))</f>
        <v/>
      </c>
    </row>
    <row r="146" customFormat="false" ht="15" hidden="false" customHeight="true" outlineLevel="0" collapsed="false">
      <c r="A146" s="129"/>
      <c r="B146" s="326"/>
      <c r="C146" s="327"/>
      <c r="D146" s="327"/>
      <c r="E146" s="327"/>
      <c r="F146" s="327"/>
      <c r="G146" s="327"/>
      <c r="H146" s="327"/>
      <c r="I146" s="327"/>
      <c r="J146" s="327"/>
      <c r="K146" s="327"/>
      <c r="L146" s="327"/>
      <c r="M146" s="327"/>
      <c r="N146" s="327"/>
      <c r="O146" s="277" t="n">
        <f aca="false">SUM(C146:N146)</f>
        <v>0</v>
      </c>
      <c r="P146" s="130" t="s">
        <v>722</v>
      </c>
      <c r="Q146" s="311" t="str">
        <f aca="false">IF(O146=0,"",IF(ABS(O146-SUM(C146:N146))&lt;0.01,"✓","⚠"))</f>
        <v/>
      </c>
    </row>
    <row r="147" customFormat="false" ht="15" hidden="false" customHeight="true" outlineLevel="0" collapsed="false">
      <c r="A147" s="129"/>
      <c r="B147" s="326"/>
      <c r="C147" s="327"/>
      <c r="D147" s="327"/>
      <c r="E147" s="327"/>
      <c r="F147" s="327"/>
      <c r="G147" s="327"/>
      <c r="H147" s="327"/>
      <c r="I147" s="327"/>
      <c r="J147" s="327"/>
      <c r="K147" s="327"/>
      <c r="L147" s="327"/>
      <c r="M147" s="327"/>
      <c r="N147" s="327"/>
      <c r="O147" s="277" t="n">
        <f aca="false">SUM(C147:N147)</f>
        <v>0</v>
      </c>
      <c r="P147" s="130" t="s">
        <v>308</v>
      </c>
      <c r="Q147" s="311" t="str">
        <f aca="false">IF(O147=0,"",IF(ABS(O147-SUM(C147:N147))&lt;0.01,"✓","⚠"))</f>
        <v/>
      </c>
    </row>
    <row r="148" customFormat="false" ht="15" hidden="false" customHeight="true" outlineLevel="0" collapsed="false">
      <c r="A148" s="129"/>
      <c r="B148" s="326"/>
      <c r="C148" s="327"/>
      <c r="D148" s="327"/>
      <c r="E148" s="327"/>
      <c r="F148" s="327"/>
      <c r="G148" s="327"/>
      <c r="H148" s="327"/>
      <c r="I148" s="327"/>
      <c r="J148" s="327"/>
      <c r="K148" s="327"/>
      <c r="L148" s="327"/>
      <c r="M148" s="327"/>
      <c r="N148" s="327"/>
      <c r="O148" s="277" t="n">
        <f aca="false">SUM(C148:N148)</f>
        <v>0</v>
      </c>
      <c r="P148" s="130" t="s">
        <v>964</v>
      </c>
      <c r="Q148" s="311" t="str">
        <f aca="false">IF(O148=0,"",IF(ABS(O148-SUM(C148:N148))&lt;0.01,"✓","⚠"))</f>
        <v/>
      </c>
    </row>
    <row r="149" customFormat="false" ht="15" hidden="false" customHeight="true" outlineLevel="0" collapsed="false">
      <c r="A149" s="129"/>
      <c r="B149" s="326"/>
      <c r="C149" s="327"/>
      <c r="D149" s="327"/>
      <c r="E149" s="327"/>
      <c r="F149" s="327"/>
      <c r="G149" s="327"/>
      <c r="H149" s="327"/>
      <c r="I149" s="327"/>
      <c r="J149" s="327"/>
      <c r="K149" s="327"/>
      <c r="L149" s="327"/>
      <c r="M149" s="327"/>
      <c r="N149" s="327"/>
      <c r="O149" s="277" t="n">
        <f aca="false">SUM(C149:N149)</f>
        <v>0</v>
      </c>
      <c r="P149" s="130" t="s">
        <v>722</v>
      </c>
      <c r="Q149" s="311" t="str">
        <f aca="false">IF(O149=0,"",IF(ABS(O149-SUM(C149:N149))&lt;0.01,"✓","⚠"))</f>
        <v/>
      </c>
    </row>
    <row r="150" customFormat="false" ht="15" hidden="false" customHeight="true" outlineLevel="0" collapsed="false">
      <c r="A150" s="129"/>
      <c r="B150" s="326"/>
      <c r="C150" s="327"/>
      <c r="D150" s="327"/>
      <c r="E150" s="327"/>
      <c r="F150" s="327"/>
      <c r="G150" s="327"/>
      <c r="H150" s="327"/>
      <c r="I150" s="327"/>
      <c r="J150" s="327"/>
      <c r="K150" s="327"/>
      <c r="L150" s="327"/>
      <c r="M150" s="327"/>
      <c r="N150" s="327"/>
      <c r="O150" s="277" t="n">
        <f aca="false">SUM(C150:N150)</f>
        <v>0</v>
      </c>
      <c r="P150" s="130" t="s">
        <v>958</v>
      </c>
      <c r="Q150" s="311" t="str">
        <f aca="false">IF(O150=0,"",IF(ABS(O150-SUM(C150:N150))&lt;0.01,"✓","⚠"))</f>
        <v/>
      </c>
    </row>
    <row r="151" customFormat="false" ht="15" hidden="false" customHeight="true" outlineLevel="0" collapsed="false">
      <c r="A151" s="129"/>
      <c r="B151" s="326"/>
      <c r="C151" s="327"/>
      <c r="D151" s="327"/>
      <c r="E151" s="327"/>
      <c r="F151" s="327"/>
      <c r="G151" s="327"/>
      <c r="H151" s="327"/>
      <c r="I151" s="327"/>
      <c r="J151" s="327"/>
      <c r="K151" s="327"/>
      <c r="L151" s="327"/>
      <c r="M151" s="327"/>
      <c r="N151" s="327"/>
      <c r="O151" s="277" t="n">
        <f aca="false">SUM(C151:N151)</f>
        <v>0</v>
      </c>
      <c r="P151" s="130" t="s">
        <v>958</v>
      </c>
      <c r="Q151" s="311" t="str">
        <f aca="false">IF(O151=0,"",IF(ABS(O151-SUM(C151:N151))&lt;0.01,"✓","⚠"))</f>
        <v/>
      </c>
    </row>
    <row r="152" customFormat="false" ht="15" hidden="false" customHeight="true" outlineLevel="0" collapsed="false">
      <c r="A152" s="129"/>
      <c r="B152" s="326"/>
      <c r="C152" s="327"/>
      <c r="D152" s="327"/>
      <c r="E152" s="327"/>
      <c r="F152" s="327"/>
      <c r="G152" s="327"/>
      <c r="H152" s="327"/>
      <c r="I152" s="327"/>
      <c r="J152" s="327"/>
      <c r="K152" s="327"/>
      <c r="L152" s="327"/>
      <c r="M152" s="327"/>
      <c r="N152" s="327"/>
      <c r="O152" s="277" t="n">
        <f aca="false">SUM(C152:N152)</f>
        <v>0</v>
      </c>
      <c r="P152" s="130" t="s">
        <v>964</v>
      </c>
      <c r="Q152" s="311" t="str">
        <f aca="false">IF(O152=0,"",IF(ABS(O152-SUM(C152:N152))&lt;0.01,"✓","⚠"))</f>
        <v/>
      </c>
    </row>
    <row r="153" customFormat="false" ht="15" hidden="false" customHeight="true" outlineLevel="0" collapsed="false">
      <c r="A153" s="129"/>
      <c r="B153" s="326"/>
      <c r="C153" s="327"/>
      <c r="D153" s="327"/>
      <c r="E153" s="327"/>
      <c r="F153" s="327"/>
      <c r="G153" s="327"/>
      <c r="H153" s="327"/>
      <c r="I153" s="327"/>
      <c r="J153" s="327"/>
      <c r="K153" s="327"/>
      <c r="L153" s="327"/>
      <c r="M153" s="327"/>
      <c r="N153" s="327"/>
      <c r="O153" s="277" t="n">
        <f aca="false">SUM(C153:N153)</f>
        <v>0</v>
      </c>
      <c r="P153" s="130" t="s">
        <v>961</v>
      </c>
      <c r="Q153" s="311" t="str">
        <f aca="false">IF(O153=0,"",IF(ABS(O153-SUM(C153:N153))&lt;0.01,"✓","⚠"))</f>
        <v/>
      </c>
    </row>
    <row r="154" customFormat="false" ht="15" hidden="false" customHeight="true" outlineLevel="0" collapsed="false">
      <c r="A154" s="129"/>
      <c r="B154" s="326"/>
      <c r="C154" s="327"/>
      <c r="D154" s="327"/>
      <c r="E154" s="327"/>
      <c r="F154" s="327"/>
      <c r="G154" s="327"/>
      <c r="H154" s="327"/>
      <c r="I154" s="327"/>
      <c r="J154" s="327"/>
      <c r="K154" s="327"/>
      <c r="L154" s="327"/>
      <c r="M154" s="327"/>
      <c r="N154" s="327"/>
      <c r="O154" s="277" t="n">
        <f aca="false">SUM(C154:N154)</f>
        <v>0</v>
      </c>
      <c r="P154" s="130" t="s">
        <v>961</v>
      </c>
      <c r="Q154" s="311" t="str">
        <f aca="false">IF(O154=0,"",IF(ABS(O154-SUM(C154:N154))&lt;0.01,"✓","⚠"))</f>
        <v/>
      </c>
    </row>
    <row r="155" customFormat="false" ht="15" hidden="false" customHeight="true" outlineLevel="0" collapsed="false">
      <c r="A155" s="129"/>
      <c r="B155" s="326"/>
      <c r="C155" s="327"/>
      <c r="D155" s="327"/>
      <c r="E155" s="327"/>
      <c r="F155" s="327"/>
      <c r="G155" s="327"/>
      <c r="H155" s="327"/>
      <c r="I155" s="327"/>
      <c r="J155" s="327"/>
      <c r="K155" s="327"/>
      <c r="L155" s="327"/>
      <c r="M155" s="327"/>
      <c r="N155" s="327"/>
      <c r="O155" s="277" t="n">
        <f aca="false">SUM(C155:N155)</f>
        <v>0</v>
      </c>
      <c r="P155" s="130" t="s">
        <v>963</v>
      </c>
      <c r="Q155" s="311" t="str">
        <f aca="false">IF(O155=0,"",IF(ABS(O155-SUM(C155:N155))&lt;0.01,"✓","⚠"))</f>
        <v/>
      </c>
    </row>
    <row r="156" customFormat="false" ht="15" hidden="false" customHeight="true" outlineLevel="0" collapsed="false">
      <c r="A156" s="129"/>
      <c r="B156" s="326"/>
      <c r="C156" s="327"/>
      <c r="D156" s="327"/>
      <c r="E156" s="327"/>
      <c r="F156" s="327"/>
      <c r="G156" s="327"/>
      <c r="H156" s="327"/>
      <c r="I156" s="327"/>
      <c r="J156" s="327"/>
      <c r="K156" s="327"/>
      <c r="L156" s="327"/>
      <c r="M156" s="327"/>
      <c r="N156" s="327"/>
      <c r="O156" s="277" t="n">
        <f aca="false">SUM(C156:N156)</f>
        <v>0</v>
      </c>
      <c r="P156" s="130" t="s">
        <v>965</v>
      </c>
      <c r="Q156" s="311" t="str">
        <f aca="false">IF(O156=0,"",IF(ABS(O156-SUM(C156:N156))&lt;0.01,"✓","⚠"))</f>
        <v/>
      </c>
    </row>
    <row r="157" customFormat="false" ht="15" hidden="false" customHeight="true" outlineLevel="0" collapsed="false">
      <c r="A157" s="129"/>
      <c r="B157" s="326"/>
      <c r="C157" s="327"/>
      <c r="D157" s="327"/>
      <c r="E157" s="327"/>
      <c r="F157" s="327"/>
      <c r="G157" s="327"/>
      <c r="H157" s="327"/>
      <c r="I157" s="327"/>
      <c r="J157" s="327"/>
      <c r="K157" s="327"/>
      <c r="L157" s="327"/>
      <c r="M157" s="327"/>
      <c r="N157" s="327"/>
      <c r="O157" s="277" t="n">
        <f aca="false">SUM(C157:N157)</f>
        <v>0</v>
      </c>
      <c r="P157" s="130" t="s">
        <v>725</v>
      </c>
      <c r="Q157" s="311" t="str">
        <f aca="false">IF(O157=0,"",IF(ABS(O157-SUM(C157:N157))&lt;0.01,"✓","⚠"))</f>
        <v/>
      </c>
    </row>
    <row r="158" customFormat="false" ht="15" hidden="false" customHeight="true" outlineLevel="0" collapsed="false">
      <c r="A158" s="129"/>
      <c r="B158" s="326"/>
      <c r="C158" s="327"/>
      <c r="D158" s="327"/>
      <c r="E158" s="327"/>
      <c r="F158" s="327"/>
      <c r="G158" s="327"/>
      <c r="H158" s="327"/>
      <c r="I158" s="327"/>
      <c r="J158" s="327"/>
      <c r="K158" s="327"/>
      <c r="L158" s="327"/>
      <c r="M158" s="327"/>
      <c r="N158" s="327"/>
      <c r="O158" s="277" t="n">
        <f aca="false">SUM(C158:N158)</f>
        <v>0</v>
      </c>
      <c r="P158" s="130" t="s">
        <v>725</v>
      </c>
      <c r="Q158" s="311" t="str">
        <f aca="false">IF(O158=0,"",IF(ABS(O158-SUM(C158:N158))&lt;0.01,"✓","⚠"))</f>
        <v/>
      </c>
    </row>
    <row r="159" customFormat="false" ht="15" hidden="false" customHeight="true" outlineLevel="0" collapsed="false">
      <c r="A159" s="129"/>
      <c r="B159" s="326"/>
      <c r="C159" s="327"/>
      <c r="D159" s="327"/>
      <c r="E159" s="327"/>
      <c r="F159" s="327"/>
      <c r="G159" s="327"/>
      <c r="H159" s="327"/>
      <c r="I159" s="327"/>
      <c r="J159" s="327"/>
      <c r="K159" s="327"/>
      <c r="L159" s="327"/>
      <c r="M159" s="327"/>
      <c r="N159" s="327"/>
      <c r="O159" s="277" t="n">
        <f aca="false">SUM(C159:N159)</f>
        <v>0</v>
      </c>
      <c r="P159" s="130" t="s">
        <v>725</v>
      </c>
      <c r="Q159" s="311" t="str">
        <f aca="false">IF(O159=0,"",IF(ABS(O159-SUM(C159:N159))&lt;0.01,"✓","⚠"))</f>
        <v/>
      </c>
    </row>
    <row r="160" customFormat="false" ht="15" hidden="false" customHeight="true" outlineLevel="0" collapsed="false">
      <c r="A160" s="129"/>
      <c r="B160" s="326"/>
      <c r="C160" s="327"/>
      <c r="D160" s="327"/>
      <c r="E160" s="327"/>
      <c r="F160" s="327"/>
      <c r="G160" s="327"/>
      <c r="H160" s="327"/>
      <c r="I160" s="327"/>
      <c r="J160" s="327"/>
      <c r="K160" s="327"/>
      <c r="L160" s="327"/>
      <c r="M160" s="327"/>
      <c r="N160" s="327"/>
      <c r="O160" s="277" t="n">
        <f aca="false">SUM(C160:N160)</f>
        <v>0</v>
      </c>
      <c r="P160" s="130" t="s">
        <v>725</v>
      </c>
      <c r="Q160" s="311" t="str">
        <f aca="false">IF(O160=0,"",IF(ABS(O160-SUM(C160:N160))&lt;0.01,"✓","⚠"))</f>
        <v/>
      </c>
    </row>
    <row r="161" customFormat="false" ht="15" hidden="false" customHeight="true" outlineLevel="0" collapsed="false">
      <c r="A161" s="129"/>
      <c r="B161" s="326"/>
      <c r="C161" s="327"/>
      <c r="D161" s="327"/>
      <c r="E161" s="327"/>
      <c r="F161" s="327"/>
      <c r="G161" s="327"/>
      <c r="H161" s="327"/>
      <c r="I161" s="327"/>
      <c r="J161" s="327"/>
      <c r="K161" s="327"/>
      <c r="L161" s="327"/>
      <c r="M161" s="327"/>
      <c r="N161" s="327"/>
      <c r="O161" s="277" t="n">
        <f aca="false">SUM(C161:N161)</f>
        <v>0</v>
      </c>
      <c r="P161" s="130" t="s">
        <v>725</v>
      </c>
      <c r="Q161" s="311" t="str">
        <f aca="false">IF(O161=0,"",IF(ABS(O161-SUM(C161:N161))&lt;0.01,"✓","⚠"))</f>
        <v/>
      </c>
    </row>
    <row r="162" customFormat="false" ht="15" hidden="false" customHeight="true" outlineLevel="0" collapsed="false">
      <c r="A162" s="129"/>
      <c r="B162" s="326"/>
      <c r="C162" s="327"/>
      <c r="D162" s="327"/>
      <c r="E162" s="327"/>
      <c r="F162" s="327"/>
      <c r="G162" s="327"/>
      <c r="H162" s="327"/>
      <c r="I162" s="327"/>
      <c r="J162" s="327"/>
      <c r="K162" s="327"/>
      <c r="L162" s="327"/>
      <c r="M162" s="327"/>
      <c r="N162" s="327"/>
      <c r="O162" s="277" t="n">
        <f aca="false">SUM(C162:N162)</f>
        <v>0</v>
      </c>
      <c r="P162" s="130" t="s">
        <v>725</v>
      </c>
      <c r="Q162" s="311" t="str">
        <f aca="false">IF(O162=0,"",IF(ABS(O162-SUM(C162:N162))&lt;0.01,"✓","⚠"))</f>
        <v/>
      </c>
    </row>
    <row r="163" customFormat="false" ht="15" hidden="false" customHeight="true" outlineLevel="0" collapsed="false">
      <c r="A163" s="129"/>
      <c r="B163" s="326"/>
      <c r="C163" s="327"/>
      <c r="D163" s="327"/>
      <c r="E163" s="327"/>
      <c r="F163" s="327"/>
      <c r="G163" s="327"/>
      <c r="H163" s="327"/>
      <c r="I163" s="327"/>
      <c r="J163" s="327"/>
      <c r="K163" s="327"/>
      <c r="L163" s="327"/>
      <c r="M163" s="327"/>
      <c r="N163" s="327"/>
      <c r="O163" s="277" t="n">
        <f aca="false">SUM(C163:N163)</f>
        <v>0</v>
      </c>
      <c r="P163" s="130" t="s">
        <v>701</v>
      </c>
      <c r="Q163" s="311" t="str">
        <f aca="false">IF(O163=0,"",IF(ABS(O163-SUM(C163:N163))&lt;0.01,"✓","⚠"))</f>
        <v/>
      </c>
    </row>
    <row r="164" customFormat="false" ht="15" hidden="false" customHeight="true" outlineLevel="0" collapsed="false">
      <c r="A164" s="129"/>
      <c r="B164" s="326"/>
      <c r="C164" s="327"/>
      <c r="D164" s="327"/>
      <c r="E164" s="327"/>
      <c r="F164" s="327"/>
      <c r="G164" s="327"/>
      <c r="H164" s="327"/>
      <c r="I164" s="327"/>
      <c r="J164" s="327"/>
      <c r="K164" s="327"/>
      <c r="L164" s="327"/>
      <c r="M164" s="327"/>
      <c r="N164" s="327"/>
      <c r="O164" s="277" t="n">
        <f aca="false">SUM(C164:N164)</f>
        <v>0</v>
      </c>
      <c r="P164" s="130" t="s">
        <v>701</v>
      </c>
      <c r="Q164" s="311" t="str">
        <f aca="false">IF(O164=0,"",IF(ABS(O164-SUM(C164:N164))&lt;0.01,"✓","⚠"))</f>
        <v/>
      </c>
    </row>
    <row r="165" customFormat="false" ht="15" hidden="false" customHeight="true" outlineLevel="0" collapsed="false">
      <c r="A165" s="129"/>
      <c r="B165" s="326"/>
      <c r="C165" s="327"/>
      <c r="D165" s="327"/>
      <c r="E165" s="327"/>
      <c r="F165" s="327"/>
      <c r="G165" s="327"/>
      <c r="H165" s="327"/>
      <c r="I165" s="327"/>
      <c r="J165" s="327"/>
      <c r="K165" s="327"/>
      <c r="L165" s="327"/>
      <c r="M165" s="327"/>
      <c r="N165" s="327"/>
      <c r="O165" s="277" t="n">
        <f aca="false">SUM(C165:N165)</f>
        <v>0</v>
      </c>
      <c r="P165" s="130" t="s">
        <v>701</v>
      </c>
      <c r="Q165" s="311" t="str">
        <f aca="false">IF(O165=0,"",IF(ABS(O165-SUM(C165:N165))&lt;0.01,"✓","⚠"))</f>
        <v/>
      </c>
    </row>
    <row r="166" customFormat="false" ht="15" hidden="false" customHeight="true" outlineLevel="0" collapsed="false">
      <c r="A166" s="129"/>
      <c r="B166" s="326"/>
      <c r="C166" s="327"/>
      <c r="D166" s="327"/>
      <c r="E166" s="327"/>
      <c r="F166" s="327"/>
      <c r="G166" s="327"/>
      <c r="H166" s="327"/>
      <c r="I166" s="327"/>
      <c r="J166" s="327"/>
      <c r="K166" s="327"/>
      <c r="L166" s="327"/>
      <c r="M166" s="327"/>
      <c r="N166" s="327"/>
      <c r="O166" s="277" t="n">
        <f aca="false">SUM(C166:N166)</f>
        <v>0</v>
      </c>
      <c r="P166" s="130" t="s">
        <v>701</v>
      </c>
      <c r="Q166" s="311" t="str">
        <f aca="false">IF(O166=0,"",IF(ABS(O166-SUM(C166:N166))&lt;0.01,"✓","⚠"))</f>
        <v/>
      </c>
    </row>
    <row r="167" customFormat="false" ht="15" hidden="false" customHeight="true" outlineLevel="0" collapsed="false">
      <c r="A167" s="129"/>
      <c r="B167" s="326"/>
      <c r="C167" s="327"/>
      <c r="D167" s="327"/>
      <c r="E167" s="327"/>
      <c r="F167" s="327"/>
      <c r="G167" s="327"/>
      <c r="H167" s="327"/>
      <c r="I167" s="327"/>
      <c r="J167" s="327"/>
      <c r="K167" s="327"/>
      <c r="L167" s="327"/>
      <c r="M167" s="327"/>
      <c r="N167" s="327"/>
      <c r="O167" s="277" t="n">
        <f aca="false">SUM(C167:N167)</f>
        <v>0</v>
      </c>
      <c r="P167" s="130" t="s">
        <v>959</v>
      </c>
      <c r="Q167" s="311" t="str">
        <f aca="false">IF(O167=0,"",IF(ABS(O167-SUM(C167:N167))&lt;0.01,"✓","⚠"))</f>
        <v/>
      </c>
    </row>
    <row r="168" customFormat="false" ht="15" hidden="false" customHeight="true" outlineLevel="0" collapsed="false">
      <c r="A168" s="129"/>
      <c r="B168" s="326"/>
      <c r="C168" s="327"/>
      <c r="D168" s="327"/>
      <c r="E168" s="327"/>
      <c r="F168" s="327"/>
      <c r="G168" s="327"/>
      <c r="H168" s="327"/>
      <c r="I168" s="327"/>
      <c r="J168" s="327"/>
      <c r="K168" s="327"/>
      <c r="L168" s="327"/>
      <c r="M168" s="327"/>
      <c r="N168" s="327"/>
      <c r="O168" s="277" t="n">
        <f aca="false">SUM(C168:N168)</f>
        <v>0</v>
      </c>
      <c r="P168" s="130" t="s">
        <v>959</v>
      </c>
      <c r="Q168" s="311" t="str">
        <f aca="false">IF(O168=0,"",IF(ABS(O168-SUM(C168:N168))&lt;0.01,"✓","⚠"))</f>
        <v/>
      </c>
    </row>
    <row r="169" customFormat="false" ht="15" hidden="false" customHeight="true" outlineLevel="0" collapsed="false">
      <c r="A169" s="129"/>
      <c r="B169" s="326"/>
      <c r="C169" s="327"/>
      <c r="D169" s="327"/>
      <c r="E169" s="327"/>
      <c r="F169" s="327"/>
      <c r="G169" s="327"/>
      <c r="H169" s="327"/>
      <c r="I169" s="327"/>
      <c r="J169" s="327"/>
      <c r="K169" s="327"/>
      <c r="L169" s="327"/>
      <c r="M169" s="327"/>
      <c r="N169" s="327"/>
      <c r="O169" s="277" t="n">
        <f aca="false">SUM(C169:N169)</f>
        <v>0</v>
      </c>
      <c r="P169" s="130" t="s">
        <v>959</v>
      </c>
      <c r="Q169" s="311" t="str">
        <f aca="false">IF(O169=0,"",IF(ABS(O169-SUM(C169:N169))&lt;0.01,"✓","⚠"))</f>
        <v/>
      </c>
    </row>
    <row r="170" customFormat="false" ht="15" hidden="false" customHeight="true" outlineLevel="0" collapsed="false">
      <c r="A170" s="129"/>
      <c r="B170" s="326"/>
      <c r="C170" s="327"/>
      <c r="D170" s="327"/>
      <c r="E170" s="327"/>
      <c r="F170" s="327"/>
      <c r="G170" s="327"/>
      <c r="H170" s="327"/>
      <c r="I170" s="327"/>
      <c r="J170" s="327"/>
      <c r="K170" s="327"/>
      <c r="L170" s="327"/>
      <c r="M170" s="327"/>
      <c r="N170" s="327"/>
      <c r="O170" s="277" t="n">
        <f aca="false">SUM(C170:N170)</f>
        <v>0</v>
      </c>
      <c r="P170" s="130" t="s">
        <v>959</v>
      </c>
      <c r="Q170" s="311" t="str">
        <f aca="false">IF(O170=0,"",IF(ABS(O170-SUM(C170:N170))&lt;0.01,"✓","⚠"))</f>
        <v/>
      </c>
    </row>
    <row r="171" customFormat="false" ht="15" hidden="false" customHeight="true" outlineLevel="0" collapsed="false">
      <c r="A171" s="129"/>
      <c r="B171" s="326"/>
      <c r="C171" s="327"/>
      <c r="D171" s="327"/>
      <c r="E171" s="327"/>
      <c r="F171" s="327"/>
      <c r="G171" s="327"/>
      <c r="H171" s="327"/>
      <c r="I171" s="327"/>
      <c r="J171" s="327"/>
      <c r="K171" s="327"/>
      <c r="L171" s="327"/>
      <c r="M171" s="327"/>
      <c r="N171" s="327"/>
      <c r="O171" s="277" t="n">
        <f aca="false">SUM(C171:N171)</f>
        <v>0</v>
      </c>
      <c r="P171" s="130" t="s">
        <v>959</v>
      </c>
      <c r="Q171" s="311" t="str">
        <f aca="false">IF(O171=0,"",IF(ABS(O171-SUM(C171:N171))&lt;0.01,"✓","⚠"))</f>
        <v/>
      </c>
    </row>
    <row r="172" customFormat="false" ht="15" hidden="false" customHeight="true" outlineLevel="0" collapsed="false">
      <c r="A172" s="129"/>
      <c r="B172" s="326"/>
      <c r="C172" s="327"/>
      <c r="D172" s="327"/>
      <c r="E172" s="327"/>
      <c r="F172" s="327"/>
      <c r="G172" s="327"/>
      <c r="H172" s="327"/>
      <c r="I172" s="327"/>
      <c r="J172" s="327"/>
      <c r="K172" s="327"/>
      <c r="L172" s="327"/>
      <c r="M172" s="327"/>
      <c r="N172" s="327"/>
      <c r="O172" s="277" t="n">
        <f aca="false">SUM(C172:N172)</f>
        <v>0</v>
      </c>
      <c r="P172" s="130" t="s">
        <v>959</v>
      </c>
      <c r="Q172" s="311" t="str">
        <f aca="false">IF(O172=0,"",IF(ABS(O172-SUM(C172:N172))&lt;0.01,"✓","⚠"))</f>
        <v/>
      </c>
    </row>
    <row r="173" customFormat="false" ht="15" hidden="false" customHeight="true" outlineLevel="0" collapsed="false">
      <c r="A173" s="129"/>
      <c r="B173" s="326"/>
      <c r="C173" s="327"/>
      <c r="D173" s="327"/>
      <c r="E173" s="327"/>
      <c r="F173" s="327"/>
      <c r="G173" s="327"/>
      <c r="H173" s="327"/>
      <c r="I173" s="327"/>
      <c r="J173" s="327"/>
      <c r="K173" s="327"/>
      <c r="L173" s="327"/>
      <c r="M173" s="327"/>
      <c r="N173" s="327"/>
      <c r="O173" s="277" t="n">
        <f aca="false">SUM(C173:N173)</f>
        <v>0</v>
      </c>
      <c r="P173" s="130" t="s">
        <v>959</v>
      </c>
      <c r="Q173" s="311" t="str">
        <f aca="false">IF(O173=0,"",IF(ABS(O173-SUM(C173:N173))&lt;0.01,"✓","⚠"))</f>
        <v/>
      </c>
    </row>
    <row r="174" customFormat="false" ht="15" hidden="false" customHeight="true" outlineLevel="0" collapsed="false">
      <c r="A174" s="129"/>
      <c r="B174" s="326"/>
      <c r="C174" s="327"/>
      <c r="D174" s="327"/>
      <c r="E174" s="327"/>
      <c r="F174" s="327"/>
      <c r="G174" s="327"/>
      <c r="H174" s="327"/>
      <c r="I174" s="327"/>
      <c r="J174" s="327"/>
      <c r="K174" s="327"/>
      <c r="L174" s="327"/>
      <c r="M174" s="327"/>
      <c r="N174" s="327"/>
      <c r="O174" s="277" t="n">
        <f aca="false">SUM(C174:N174)</f>
        <v>0</v>
      </c>
      <c r="P174" s="130" t="s">
        <v>959</v>
      </c>
      <c r="Q174" s="311" t="str">
        <f aca="false">IF(O174=0,"",IF(ABS(O174-SUM(C174:N174))&lt;0.01,"✓","⚠"))</f>
        <v/>
      </c>
    </row>
    <row r="175" customFormat="false" ht="15" hidden="false" customHeight="true" outlineLevel="0" collapsed="false">
      <c r="A175" s="129"/>
      <c r="B175" s="326"/>
      <c r="C175" s="327"/>
      <c r="D175" s="327"/>
      <c r="E175" s="327"/>
      <c r="F175" s="327"/>
      <c r="G175" s="327"/>
      <c r="H175" s="327"/>
      <c r="I175" s="327"/>
      <c r="J175" s="327"/>
      <c r="K175" s="327"/>
      <c r="L175" s="327"/>
      <c r="M175" s="327"/>
      <c r="N175" s="327"/>
      <c r="O175" s="277" t="n">
        <f aca="false">SUM(C175:N175)</f>
        <v>0</v>
      </c>
      <c r="P175" s="130" t="s">
        <v>960</v>
      </c>
      <c r="Q175" s="311" t="str">
        <f aca="false">IF(O175=0,"",IF(ABS(O175-SUM(C175:N175))&lt;0.01,"✓","⚠"))</f>
        <v/>
      </c>
    </row>
    <row r="176" customFormat="false" ht="15" hidden="false" customHeight="true" outlineLevel="0" collapsed="false">
      <c r="A176" s="129"/>
      <c r="B176" s="326"/>
      <c r="C176" s="327"/>
      <c r="D176" s="327"/>
      <c r="E176" s="327"/>
      <c r="F176" s="327"/>
      <c r="G176" s="327"/>
      <c r="H176" s="327"/>
      <c r="I176" s="327"/>
      <c r="J176" s="327"/>
      <c r="K176" s="327"/>
      <c r="L176" s="327"/>
      <c r="M176" s="327"/>
      <c r="N176" s="327"/>
      <c r="O176" s="277" t="n">
        <f aca="false">SUM(C176:N176)</f>
        <v>0</v>
      </c>
      <c r="P176" s="130" t="s">
        <v>959</v>
      </c>
      <c r="Q176" s="311" t="str">
        <f aca="false">IF(O176=0,"",IF(ABS(O176-SUM(C176:N176))&lt;0.01,"✓","⚠"))</f>
        <v/>
      </c>
    </row>
    <row r="177" customFormat="false" ht="15" hidden="false" customHeight="true" outlineLevel="0" collapsed="false">
      <c r="A177" s="129"/>
      <c r="B177" s="326"/>
      <c r="C177" s="327"/>
      <c r="D177" s="327"/>
      <c r="E177" s="327"/>
      <c r="F177" s="327"/>
      <c r="G177" s="327"/>
      <c r="H177" s="327"/>
      <c r="I177" s="327"/>
      <c r="J177" s="327"/>
      <c r="K177" s="327"/>
      <c r="L177" s="327"/>
      <c r="M177" s="327"/>
      <c r="N177" s="327"/>
      <c r="O177" s="277" t="n">
        <f aca="false">SUM(C177:N177)</f>
        <v>0</v>
      </c>
      <c r="P177" s="130" t="s">
        <v>959</v>
      </c>
      <c r="Q177" s="311" t="str">
        <f aca="false">IF(O177=0,"",IF(ABS(O177-SUM(C177:N177))&lt;0.01,"✓","⚠"))</f>
        <v/>
      </c>
    </row>
    <row r="178" customFormat="false" ht="15" hidden="false" customHeight="true" outlineLevel="0" collapsed="false">
      <c r="A178" s="129"/>
      <c r="B178" s="326"/>
      <c r="C178" s="327"/>
      <c r="D178" s="327"/>
      <c r="E178" s="327"/>
      <c r="F178" s="327"/>
      <c r="G178" s="327"/>
      <c r="H178" s="327"/>
      <c r="I178" s="327"/>
      <c r="J178" s="327"/>
      <c r="K178" s="327"/>
      <c r="L178" s="327"/>
      <c r="M178" s="327"/>
      <c r="N178" s="327"/>
      <c r="O178" s="277" t="n">
        <f aca="false">SUM(C178:N178)</f>
        <v>0</v>
      </c>
      <c r="P178" s="130" t="s">
        <v>959</v>
      </c>
      <c r="Q178" s="311" t="str">
        <f aca="false">IF(O178=0,"",IF(ABS(O178-SUM(C178:N178))&lt;0.01,"✓","⚠"))</f>
        <v/>
      </c>
    </row>
    <row r="179" customFormat="false" ht="15" hidden="false" customHeight="true" outlineLevel="0" collapsed="false">
      <c r="A179" s="129"/>
      <c r="B179" s="326"/>
      <c r="C179" s="327"/>
      <c r="D179" s="327"/>
      <c r="E179" s="327"/>
      <c r="F179" s="327"/>
      <c r="G179" s="327"/>
      <c r="H179" s="327"/>
      <c r="I179" s="327"/>
      <c r="J179" s="327"/>
      <c r="K179" s="327"/>
      <c r="L179" s="327"/>
      <c r="M179" s="327"/>
      <c r="N179" s="327"/>
      <c r="O179" s="277" t="n">
        <f aca="false">SUM(C179:N179)</f>
        <v>0</v>
      </c>
      <c r="P179" s="130" t="s">
        <v>959</v>
      </c>
      <c r="Q179" s="311" t="str">
        <f aca="false">IF(O179=0,"",IF(ABS(O179-SUM(C179:N179))&lt;0.01,"✓","⚠"))</f>
        <v/>
      </c>
    </row>
    <row r="180" customFormat="false" ht="15" hidden="false" customHeight="true" outlineLevel="0" collapsed="false">
      <c r="A180" s="129"/>
      <c r="B180" s="326"/>
      <c r="C180" s="327"/>
      <c r="D180" s="327"/>
      <c r="E180" s="327"/>
      <c r="F180" s="327"/>
      <c r="G180" s="327"/>
      <c r="H180" s="327"/>
      <c r="I180" s="327"/>
      <c r="J180" s="327"/>
      <c r="K180" s="327"/>
      <c r="L180" s="327"/>
      <c r="M180" s="327"/>
      <c r="N180" s="327"/>
      <c r="O180" s="277" t="n">
        <f aca="false">SUM(C180:N180)</f>
        <v>0</v>
      </c>
      <c r="P180" s="130" t="s">
        <v>959</v>
      </c>
      <c r="Q180" s="311" t="str">
        <f aca="false">IF(O180=0,"",IF(ABS(O180-SUM(C180:N180))&lt;0.01,"✓","⚠"))</f>
        <v/>
      </c>
    </row>
    <row r="181" customFormat="false" ht="15" hidden="false" customHeight="true" outlineLevel="0" collapsed="false">
      <c r="A181" s="129"/>
      <c r="B181" s="326"/>
      <c r="C181" s="327"/>
      <c r="D181" s="327"/>
      <c r="E181" s="327"/>
      <c r="F181" s="327"/>
      <c r="G181" s="327"/>
      <c r="H181" s="327"/>
      <c r="I181" s="327"/>
      <c r="J181" s="327"/>
      <c r="K181" s="327"/>
      <c r="L181" s="327"/>
      <c r="M181" s="327"/>
      <c r="N181" s="327"/>
      <c r="O181" s="277" t="n">
        <f aca="false">SUM(C181:N181)</f>
        <v>0</v>
      </c>
      <c r="P181" s="130" t="s">
        <v>959</v>
      </c>
      <c r="Q181" s="311" t="str">
        <f aca="false">IF(O181=0,"",IF(ABS(O181-SUM(C181:N181))&lt;0.01,"✓","⚠"))</f>
        <v/>
      </c>
    </row>
    <row r="182" customFormat="false" ht="15" hidden="false" customHeight="true" outlineLevel="0" collapsed="false">
      <c r="A182" s="129"/>
      <c r="B182" s="326"/>
      <c r="C182" s="327"/>
      <c r="D182" s="327"/>
      <c r="E182" s="327"/>
      <c r="F182" s="327"/>
      <c r="G182" s="327"/>
      <c r="H182" s="327"/>
      <c r="I182" s="327"/>
      <c r="J182" s="327"/>
      <c r="K182" s="327"/>
      <c r="L182" s="327"/>
      <c r="M182" s="327"/>
      <c r="N182" s="327"/>
      <c r="O182" s="277" t="n">
        <f aca="false">SUM(C182:N182)</f>
        <v>0</v>
      </c>
      <c r="P182" s="130" t="s">
        <v>959</v>
      </c>
      <c r="Q182" s="311" t="str">
        <f aca="false">IF(O182=0,"",IF(ABS(O182-SUM(C182:N182))&lt;0.01,"✓","⚠"))</f>
        <v/>
      </c>
    </row>
    <row r="183" customFormat="false" ht="15" hidden="false" customHeight="true" outlineLevel="0" collapsed="false">
      <c r="A183" s="129"/>
      <c r="B183" s="326"/>
      <c r="C183" s="327"/>
      <c r="D183" s="327"/>
      <c r="E183" s="327"/>
      <c r="F183" s="327"/>
      <c r="G183" s="327"/>
      <c r="H183" s="327"/>
      <c r="I183" s="327"/>
      <c r="J183" s="327"/>
      <c r="K183" s="327"/>
      <c r="L183" s="327"/>
      <c r="M183" s="327"/>
      <c r="N183" s="327"/>
      <c r="O183" s="277" t="n">
        <f aca="false">SUM(C183:N183)</f>
        <v>0</v>
      </c>
      <c r="P183" s="130" t="s">
        <v>959</v>
      </c>
      <c r="Q183" s="311" t="str">
        <f aca="false">IF(O183=0,"",IF(ABS(O183-SUM(C183:N183))&lt;0.01,"✓","⚠"))</f>
        <v/>
      </c>
    </row>
    <row r="184" customFormat="false" ht="15" hidden="false" customHeight="true" outlineLevel="0" collapsed="false">
      <c r="A184" s="129"/>
      <c r="B184" s="326"/>
      <c r="C184" s="327"/>
      <c r="D184" s="327"/>
      <c r="E184" s="327"/>
      <c r="F184" s="327"/>
      <c r="G184" s="327"/>
      <c r="H184" s="327"/>
      <c r="I184" s="327"/>
      <c r="J184" s="327"/>
      <c r="K184" s="327"/>
      <c r="L184" s="327"/>
      <c r="M184" s="327"/>
      <c r="N184" s="327"/>
      <c r="O184" s="277" t="n">
        <f aca="false">SUM(C184:N184)</f>
        <v>0</v>
      </c>
      <c r="P184" s="130" t="s">
        <v>959</v>
      </c>
      <c r="Q184" s="311" t="str">
        <f aca="false">IF(O184=0,"",IF(ABS(O184-SUM(C184:N184))&lt;0.01,"✓","⚠"))</f>
        <v/>
      </c>
    </row>
    <row r="185" customFormat="false" ht="15" hidden="false" customHeight="true" outlineLevel="0" collapsed="false">
      <c r="A185" s="129"/>
      <c r="B185" s="326"/>
      <c r="C185" s="327"/>
      <c r="D185" s="327"/>
      <c r="E185" s="327"/>
      <c r="F185" s="327"/>
      <c r="G185" s="327"/>
      <c r="H185" s="327"/>
      <c r="I185" s="327"/>
      <c r="J185" s="327"/>
      <c r="K185" s="327"/>
      <c r="L185" s="327"/>
      <c r="M185" s="327"/>
      <c r="N185" s="327"/>
      <c r="O185" s="277" t="n">
        <f aca="false">SUM(C185:N185)</f>
        <v>0</v>
      </c>
      <c r="P185" s="130" t="s">
        <v>966</v>
      </c>
      <c r="Q185" s="311" t="str">
        <f aca="false">IF(O185=0,"",IF(ABS(O185-SUM(C185:N185))&lt;0.01,"✓","⚠"))</f>
        <v/>
      </c>
    </row>
    <row r="186" customFormat="false" ht="15" hidden="false" customHeight="true" outlineLevel="0" collapsed="false">
      <c r="A186" s="328"/>
      <c r="B186" s="328"/>
      <c r="C186" s="329"/>
      <c r="D186" s="329"/>
      <c r="E186" s="329"/>
      <c r="F186" s="329"/>
      <c r="G186" s="329"/>
      <c r="H186" s="329"/>
      <c r="I186" s="329"/>
      <c r="J186" s="329"/>
      <c r="K186" s="329"/>
      <c r="L186" s="329"/>
      <c r="M186" s="329"/>
      <c r="N186" s="329"/>
      <c r="O186" s="329"/>
      <c r="P186" s="328"/>
      <c r="Q186" s="330" t="str">
        <f aca="false">IF(O186=0,"",IF(ABS(O186-SUM(C186:N186))&lt;0.01,"✓","⚠"))</f>
        <v/>
      </c>
      <c r="R186" s="328"/>
    </row>
    <row r="187" customFormat="false" ht="15" hidden="false" customHeight="true" outlineLevel="0" collapsed="false">
      <c r="A187" s="328"/>
      <c r="B187" s="328"/>
      <c r="C187" s="329"/>
      <c r="D187" s="329"/>
      <c r="E187" s="329"/>
      <c r="F187" s="329"/>
      <c r="G187" s="329"/>
      <c r="H187" s="329"/>
      <c r="I187" s="329"/>
      <c r="J187" s="329"/>
      <c r="K187" s="329"/>
      <c r="L187" s="329"/>
      <c r="M187" s="329"/>
      <c r="N187" s="329"/>
      <c r="O187" s="329"/>
      <c r="P187" s="328"/>
      <c r="Q187" s="330" t="str">
        <f aca="false">IF(O187=0,"",IF(ABS(O187-SUM(C187:N187))&lt;0.01,"✓","⚠"))</f>
        <v/>
      </c>
      <c r="R187" s="328"/>
    </row>
    <row r="188" customFormat="false" ht="15" hidden="false" customHeight="true" outlineLevel="0" collapsed="false">
      <c r="A188" s="328"/>
      <c r="B188" s="328"/>
      <c r="C188" s="329"/>
      <c r="D188" s="329"/>
      <c r="E188" s="329"/>
      <c r="F188" s="329"/>
      <c r="G188" s="329"/>
      <c r="H188" s="329"/>
      <c r="I188" s="329"/>
      <c r="J188" s="329"/>
      <c r="K188" s="329"/>
      <c r="L188" s="329"/>
      <c r="M188" s="329"/>
      <c r="N188" s="329"/>
      <c r="O188" s="329"/>
      <c r="P188" s="328"/>
      <c r="Q188" s="330" t="str">
        <f aca="false">IF(O188=0,"",IF(ABS(O188-SUM(C188:N188))&lt;0.01,"✓","⚠"))</f>
        <v/>
      </c>
      <c r="R188" s="328"/>
    </row>
    <row r="189" customFormat="false" ht="15" hidden="false" customHeight="true" outlineLevel="0" collapsed="false">
      <c r="A189" s="328"/>
      <c r="B189" s="328"/>
      <c r="C189" s="329"/>
      <c r="D189" s="329"/>
      <c r="E189" s="329"/>
      <c r="F189" s="329"/>
      <c r="G189" s="329"/>
      <c r="H189" s="329"/>
      <c r="I189" s="329"/>
      <c r="J189" s="329"/>
      <c r="K189" s="329"/>
      <c r="L189" s="329"/>
      <c r="M189" s="329"/>
      <c r="N189" s="329"/>
      <c r="O189" s="329"/>
      <c r="P189" s="328"/>
      <c r="Q189" s="330" t="str">
        <f aca="false">IF(O189=0,"",IF(ABS(O189-SUM(C189:N189))&lt;0.01,"✓","⚠"))</f>
        <v/>
      </c>
      <c r="R189" s="328"/>
    </row>
    <row r="190" customFormat="false" ht="15" hidden="false" customHeight="true" outlineLevel="0" collapsed="false">
      <c r="A190" s="328"/>
      <c r="B190" s="328"/>
      <c r="C190" s="329"/>
      <c r="D190" s="329"/>
      <c r="E190" s="329"/>
      <c r="F190" s="329"/>
      <c r="G190" s="329"/>
      <c r="H190" s="329"/>
      <c r="I190" s="329"/>
      <c r="J190" s="329"/>
      <c r="K190" s="329"/>
      <c r="L190" s="329"/>
      <c r="M190" s="329"/>
      <c r="N190" s="329"/>
      <c r="O190" s="329"/>
      <c r="P190" s="328"/>
      <c r="Q190" s="330" t="str">
        <f aca="false">IF(O190=0,"",IF(ABS(O190-SUM(C190:N190))&lt;0.01,"✓","⚠"))</f>
        <v/>
      </c>
      <c r="R190" s="328"/>
    </row>
    <row r="191" customFormat="false" ht="15" hidden="false" customHeight="true" outlineLevel="0" collapsed="false">
      <c r="A191" s="328"/>
      <c r="B191" s="328"/>
      <c r="C191" s="329"/>
      <c r="D191" s="329"/>
      <c r="E191" s="329"/>
      <c r="F191" s="329"/>
      <c r="G191" s="329"/>
      <c r="H191" s="329"/>
      <c r="I191" s="329"/>
      <c r="J191" s="329"/>
      <c r="K191" s="329"/>
      <c r="L191" s="329"/>
      <c r="M191" s="329"/>
      <c r="N191" s="329"/>
      <c r="O191" s="329"/>
      <c r="P191" s="328"/>
      <c r="Q191" s="330" t="str">
        <f aca="false">IF(O191=0,"",IF(ABS(O191-SUM(C191:N191))&lt;0.01,"✓","⚠"))</f>
        <v/>
      </c>
      <c r="R191" s="328"/>
    </row>
    <row r="192" customFormat="false" ht="15" hidden="false" customHeight="true" outlineLevel="0" collapsed="false">
      <c r="A192" s="328"/>
      <c r="B192" s="328"/>
      <c r="C192" s="329"/>
      <c r="D192" s="329"/>
      <c r="E192" s="329"/>
      <c r="F192" s="329"/>
      <c r="G192" s="329"/>
      <c r="H192" s="329"/>
      <c r="I192" s="329"/>
      <c r="J192" s="329"/>
      <c r="K192" s="329"/>
      <c r="L192" s="329"/>
      <c r="M192" s="329"/>
      <c r="N192" s="329"/>
      <c r="O192" s="329"/>
      <c r="P192" s="328"/>
      <c r="Q192" s="330" t="str">
        <f aca="false">IF(O192=0,"",IF(ABS(O192-SUM(C192:N192))&lt;0.01,"✓","⚠"))</f>
        <v/>
      </c>
      <c r="R192" s="328"/>
    </row>
    <row r="193" customFormat="false" ht="15" hidden="false" customHeight="true" outlineLevel="0" collapsed="false">
      <c r="A193" s="328"/>
      <c r="B193" s="328"/>
      <c r="C193" s="329"/>
      <c r="D193" s="329"/>
      <c r="E193" s="329"/>
      <c r="F193" s="329"/>
      <c r="G193" s="329"/>
      <c r="H193" s="329"/>
      <c r="I193" s="329"/>
      <c r="J193" s="329"/>
      <c r="K193" s="329"/>
      <c r="L193" s="329"/>
      <c r="M193" s="329"/>
      <c r="N193" s="329"/>
      <c r="O193" s="329"/>
      <c r="P193" s="328"/>
      <c r="Q193" s="330" t="str">
        <f aca="false">IF(O193=0,"",IF(ABS(O193-SUM(C193:N193))&lt;0.01,"✓","⚠"))</f>
        <v/>
      </c>
      <c r="R193" s="328"/>
    </row>
    <row r="194" customFormat="false" ht="15" hidden="false" customHeight="true" outlineLevel="0" collapsed="false">
      <c r="A194" s="328"/>
      <c r="B194" s="328"/>
      <c r="C194" s="329"/>
      <c r="D194" s="329"/>
      <c r="E194" s="329"/>
      <c r="F194" s="329"/>
      <c r="G194" s="329"/>
      <c r="H194" s="329"/>
      <c r="I194" s="329"/>
      <c r="J194" s="329"/>
      <c r="K194" s="329"/>
      <c r="L194" s="329"/>
      <c r="M194" s="329"/>
      <c r="N194" s="329"/>
      <c r="O194" s="329"/>
      <c r="P194" s="328"/>
      <c r="Q194" s="330" t="str">
        <f aca="false">IF(O194=0,"",IF(ABS(O194-SUM(C194:N194))&lt;0.01,"✓","⚠"))</f>
        <v/>
      </c>
      <c r="R194" s="328"/>
    </row>
    <row r="195" customFormat="false" ht="15" hidden="false" customHeight="true" outlineLevel="0" collapsed="false">
      <c r="A195" s="328"/>
      <c r="B195" s="328"/>
      <c r="C195" s="329"/>
      <c r="D195" s="329"/>
      <c r="E195" s="329"/>
      <c r="F195" s="329"/>
      <c r="G195" s="329"/>
      <c r="H195" s="329"/>
      <c r="I195" s="329"/>
      <c r="J195" s="329"/>
      <c r="K195" s="329"/>
      <c r="L195" s="329"/>
      <c r="M195" s="329"/>
      <c r="N195" s="329"/>
      <c r="O195" s="329"/>
      <c r="P195" s="328"/>
      <c r="Q195" s="330" t="str">
        <f aca="false">IF(O195=0,"",IF(ABS(O195-SUM(C195:N195))&lt;0.01,"✓","⚠"))</f>
        <v/>
      </c>
      <c r="R195" s="328"/>
    </row>
    <row r="196" customFormat="false" ht="15" hidden="false" customHeight="true" outlineLevel="0" collapsed="false">
      <c r="A196" s="328"/>
      <c r="B196" s="328"/>
      <c r="C196" s="329"/>
      <c r="D196" s="329"/>
      <c r="E196" s="329"/>
      <c r="F196" s="329"/>
      <c r="G196" s="329"/>
      <c r="H196" s="329"/>
      <c r="I196" s="329"/>
      <c r="J196" s="329"/>
      <c r="K196" s="329"/>
      <c r="L196" s="329"/>
      <c r="M196" s="329"/>
      <c r="N196" s="329"/>
      <c r="O196" s="329"/>
      <c r="P196" s="328"/>
      <c r="Q196" s="330" t="str">
        <f aca="false">IF(O196=0,"",IF(ABS(O196-SUM(C196:N196))&lt;0.01,"✓","⚠"))</f>
        <v/>
      </c>
      <c r="R196" s="328"/>
    </row>
    <row r="197" customFormat="false" ht="15" hidden="false" customHeight="true" outlineLevel="0" collapsed="false">
      <c r="A197" s="328"/>
      <c r="B197" s="328"/>
      <c r="C197" s="329"/>
      <c r="D197" s="329"/>
      <c r="E197" s="329"/>
      <c r="F197" s="329"/>
      <c r="G197" s="329"/>
      <c r="H197" s="329"/>
      <c r="I197" s="329"/>
      <c r="J197" s="329"/>
      <c r="K197" s="329"/>
      <c r="L197" s="329"/>
      <c r="M197" s="329"/>
      <c r="N197" s="329"/>
      <c r="O197" s="329"/>
      <c r="P197" s="328"/>
      <c r="Q197" s="330" t="str">
        <f aca="false">IF(O197=0,"",IF(ABS(O197-SUM(C197:N197))&lt;0.01,"✓","⚠"))</f>
        <v/>
      </c>
      <c r="R197" s="328"/>
    </row>
    <row r="198" customFormat="false" ht="15" hidden="false" customHeight="true" outlineLevel="0" collapsed="false">
      <c r="A198" s="328"/>
      <c r="B198" s="328"/>
      <c r="C198" s="329"/>
      <c r="D198" s="329"/>
      <c r="E198" s="329"/>
      <c r="F198" s="329"/>
      <c r="G198" s="329"/>
      <c r="H198" s="329"/>
      <c r="I198" s="329"/>
      <c r="J198" s="329"/>
      <c r="K198" s="329"/>
      <c r="L198" s="329"/>
      <c r="M198" s="329"/>
      <c r="N198" s="329"/>
      <c r="O198" s="329"/>
      <c r="P198" s="328"/>
      <c r="Q198" s="330" t="str">
        <f aca="false">IF(O198=0,"",IF(ABS(O198-SUM(C198:N198))&lt;0.01,"✓","⚠"))</f>
        <v/>
      </c>
      <c r="R198" s="328"/>
    </row>
    <row r="199" customFormat="false" ht="15" hidden="false" customHeight="true" outlineLevel="0" collapsed="false">
      <c r="A199" s="328"/>
      <c r="B199" s="328"/>
      <c r="C199" s="329"/>
      <c r="D199" s="329"/>
      <c r="E199" s="329"/>
      <c r="F199" s="329"/>
      <c r="G199" s="329"/>
      <c r="H199" s="329"/>
      <c r="I199" s="329"/>
      <c r="J199" s="329"/>
      <c r="K199" s="329"/>
      <c r="L199" s="329"/>
      <c r="M199" s="329"/>
      <c r="N199" s="329"/>
      <c r="O199" s="329"/>
      <c r="P199" s="328"/>
      <c r="Q199" s="330" t="str">
        <f aca="false">IF(O199=0,"",IF(ABS(O199-SUM(C199:N199))&lt;0.01,"✓","⚠"))</f>
        <v/>
      </c>
      <c r="R199" s="328"/>
    </row>
    <row r="200" customFormat="false" ht="15" hidden="false" customHeight="true" outlineLevel="0" collapsed="false">
      <c r="A200" s="328"/>
      <c r="B200" s="328"/>
      <c r="C200" s="329"/>
      <c r="D200" s="329"/>
      <c r="E200" s="329"/>
      <c r="F200" s="329"/>
      <c r="G200" s="329"/>
      <c r="H200" s="329"/>
      <c r="I200" s="329"/>
      <c r="J200" s="329"/>
      <c r="K200" s="329"/>
      <c r="L200" s="329"/>
      <c r="M200" s="329"/>
      <c r="N200" s="329"/>
      <c r="O200" s="329"/>
      <c r="P200" s="328"/>
      <c r="Q200" s="330" t="str">
        <f aca="false">IF(O200=0,"",IF(ABS(O200-SUM(C200:N200))&lt;0.01,"✓","⚠"))</f>
        <v/>
      </c>
      <c r="R200" s="328"/>
    </row>
    <row r="201" customFormat="false" ht="15" hidden="false" customHeight="true" outlineLevel="0" collapsed="false">
      <c r="A201" s="328"/>
      <c r="B201" s="328"/>
      <c r="C201" s="329"/>
      <c r="D201" s="329"/>
      <c r="E201" s="329"/>
      <c r="F201" s="329"/>
      <c r="G201" s="329"/>
      <c r="H201" s="329"/>
      <c r="I201" s="329"/>
      <c r="J201" s="329"/>
      <c r="K201" s="329"/>
      <c r="L201" s="329"/>
      <c r="M201" s="329"/>
      <c r="N201" s="329"/>
      <c r="O201" s="329"/>
      <c r="P201" s="328"/>
      <c r="Q201" s="330" t="str">
        <f aca="false">IF(O201=0,"",IF(ABS(O201-SUM(C201:N201))&lt;0.01,"✓","⚠"))</f>
        <v/>
      </c>
      <c r="R201" s="328"/>
    </row>
    <row r="202" customFormat="false" ht="15" hidden="false" customHeight="true" outlineLevel="0" collapsed="false">
      <c r="A202" s="328"/>
      <c r="B202" s="328"/>
      <c r="C202" s="329"/>
      <c r="D202" s="329"/>
      <c r="E202" s="329"/>
      <c r="F202" s="329"/>
      <c r="G202" s="329"/>
      <c r="H202" s="329"/>
      <c r="I202" s="329"/>
      <c r="J202" s="329"/>
      <c r="K202" s="329"/>
      <c r="L202" s="329"/>
      <c r="M202" s="329"/>
      <c r="N202" s="329"/>
      <c r="O202" s="329"/>
      <c r="P202" s="328"/>
      <c r="Q202" s="330" t="str">
        <f aca="false">IF(O202=0,"",IF(ABS(O202-SUM(C202:N202))&lt;0.01,"✓","⚠"))</f>
        <v/>
      </c>
      <c r="R202" s="328"/>
    </row>
    <row r="203" customFormat="false" ht="15" hidden="false" customHeight="true" outlineLevel="0" collapsed="false">
      <c r="A203" s="328"/>
      <c r="B203" s="328"/>
      <c r="C203" s="329"/>
      <c r="D203" s="329"/>
      <c r="E203" s="329"/>
      <c r="F203" s="329"/>
      <c r="G203" s="329"/>
      <c r="H203" s="329"/>
      <c r="I203" s="329"/>
      <c r="J203" s="329"/>
      <c r="K203" s="329"/>
      <c r="L203" s="329"/>
      <c r="M203" s="329"/>
      <c r="N203" s="329"/>
      <c r="O203" s="329"/>
      <c r="P203" s="328"/>
      <c r="Q203" s="330" t="str">
        <f aca="false">IF(O203=0,"",IF(ABS(O203-SUM(C203:N203))&lt;0.01,"✓","⚠"))</f>
        <v/>
      </c>
      <c r="R203" s="328"/>
    </row>
    <row r="204" customFormat="false" ht="15" hidden="false" customHeight="true" outlineLevel="0" collapsed="false">
      <c r="A204" s="328"/>
      <c r="B204" s="328"/>
      <c r="C204" s="329"/>
      <c r="D204" s="329"/>
      <c r="E204" s="329"/>
      <c r="F204" s="329"/>
      <c r="G204" s="329"/>
      <c r="H204" s="329"/>
      <c r="I204" s="329"/>
      <c r="J204" s="329"/>
      <c r="K204" s="329"/>
      <c r="L204" s="329"/>
      <c r="M204" s="329"/>
      <c r="N204" s="329"/>
      <c r="O204" s="329"/>
      <c r="P204" s="328"/>
      <c r="Q204" s="330" t="str">
        <f aca="false">IF(O204=0,"",IF(ABS(O204-SUM(C204:N204))&lt;0.01,"✓","⚠"))</f>
        <v/>
      </c>
      <c r="R204" s="328"/>
    </row>
    <row r="205" customFormat="false" ht="15" hidden="false" customHeight="true" outlineLevel="0" collapsed="false">
      <c r="A205" s="328"/>
      <c r="B205" s="328"/>
      <c r="C205" s="329"/>
      <c r="D205" s="329"/>
      <c r="E205" s="329"/>
      <c r="F205" s="329"/>
      <c r="G205" s="329"/>
      <c r="H205" s="329"/>
      <c r="I205" s="329"/>
      <c r="J205" s="329"/>
      <c r="K205" s="329"/>
      <c r="L205" s="329"/>
      <c r="M205" s="329"/>
      <c r="N205" s="329"/>
      <c r="O205" s="329"/>
      <c r="P205" s="328"/>
      <c r="Q205" s="330" t="str">
        <f aca="false">IF(O205=0,"",IF(ABS(O205-SUM(C205:N205))&lt;0.01,"✓","⚠"))</f>
        <v/>
      </c>
      <c r="R205" s="328"/>
    </row>
    <row r="206" customFormat="false" ht="15" hidden="false" customHeight="true" outlineLevel="0" collapsed="false">
      <c r="A206" s="328"/>
      <c r="B206" s="328"/>
      <c r="C206" s="329"/>
      <c r="D206" s="329"/>
      <c r="E206" s="329"/>
      <c r="F206" s="329"/>
      <c r="G206" s="329"/>
      <c r="H206" s="329"/>
      <c r="I206" s="329"/>
      <c r="J206" s="329"/>
      <c r="K206" s="329"/>
      <c r="L206" s="329"/>
      <c r="M206" s="329"/>
      <c r="N206" s="329"/>
      <c r="O206" s="329"/>
      <c r="P206" s="328"/>
      <c r="Q206" s="330" t="str">
        <f aca="false">IF(O206=0,"",IF(ABS(O206-SUM(C206:N206))&lt;0.01,"✓","⚠"))</f>
        <v/>
      </c>
      <c r="R206" s="328"/>
    </row>
    <row r="207" customFormat="false" ht="15" hidden="false" customHeight="true" outlineLevel="0" collapsed="false">
      <c r="A207" s="328"/>
      <c r="B207" s="328"/>
      <c r="C207" s="329"/>
      <c r="D207" s="329"/>
      <c r="E207" s="329"/>
      <c r="F207" s="329"/>
      <c r="G207" s="329"/>
      <c r="H207" s="329"/>
      <c r="I207" s="329"/>
      <c r="J207" s="329"/>
      <c r="K207" s="329"/>
      <c r="L207" s="329"/>
      <c r="M207" s="329"/>
      <c r="N207" s="329"/>
      <c r="O207" s="329"/>
      <c r="P207" s="328"/>
      <c r="Q207" s="330" t="str">
        <f aca="false">IF(O207=0,"",IF(ABS(O207-SUM(C207:N207))&lt;0.01,"✓","⚠"))</f>
        <v/>
      </c>
      <c r="R207" s="328"/>
    </row>
    <row r="208" customFormat="false" ht="15" hidden="false" customHeight="true" outlineLevel="0" collapsed="false">
      <c r="A208" s="328"/>
      <c r="B208" s="328"/>
      <c r="C208" s="329"/>
      <c r="D208" s="329"/>
      <c r="E208" s="329"/>
      <c r="F208" s="329"/>
      <c r="G208" s="329"/>
      <c r="H208" s="329"/>
      <c r="I208" s="329"/>
      <c r="J208" s="329"/>
      <c r="K208" s="329"/>
      <c r="L208" s="329"/>
      <c r="M208" s="329"/>
      <c r="N208" s="329"/>
      <c r="O208" s="329"/>
      <c r="P208" s="328"/>
      <c r="Q208" s="330" t="str">
        <f aca="false">IF(O208=0,"",IF(ABS(O208-SUM(C208:N208))&lt;0.01,"✓","⚠"))</f>
        <v/>
      </c>
      <c r="R208" s="328"/>
    </row>
    <row r="209" customFormat="false" ht="15" hidden="false" customHeight="true" outlineLevel="0" collapsed="false">
      <c r="A209" s="328"/>
      <c r="B209" s="328"/>
      <c r="C209" s="329"/>
      <c r="D209" s="329"/>
      <c r="E209" s="329"/>
      <c r="F209" s="329"/>
      <c r="G209" s="329"/>
      <c r="H209" s="329"/>
      <c r="I209" s="329"/>
      <c r="J209" s="329"/>
      <c r="K209" s="329"/>
      <c r="L209" s="329"/>
      <c r="M209" s="329"/>
      <c r="N209" s="329"/>
      <c r="O209" s="329"/>
      <c r="P209" s="328"/>
      <c r="Q209" s="330" t="str">
        <f aca="false">IF(O209=0,"",IF(ABS(O209-SUM(C209:N209))&lt;0.01,"✓","⚠"))</f>
        <v/>
      </c>
      <c r="R209" s="328"/>
    </row>
    <row r="210" customFormat="false" ht="15" hidden="false" customHeight="true" outlineLevel="0" collapsed="false">
      <c r="A210" s="328"/>
      <c r="B210" s="328"/>
      <c r="C210" s="329"/>
      <c r="D210" s="329"/>
      <c r="E210" s="329"/>
      <c r="F210" s="329"/>
      <c r="G210" s="329"/>
      <c r="H210" s="329"/>
      <c r="I210" s="329"/>
      <c r="J210" s="329"/>
      <c r="K210" s="329"/>
      <c r="L210" s="329"/>
      <c r="M210" s="329"/>
      <c r="N210" s="329"/>
      <c r="O210" s="329"/>
      <c r="P210" s="328"/>
      <c r="Q210" s="330" t="str">
        <f aca="false">IF(O210=0,"",IF(ABS(O210-SUM(C210:N210))&lt;0.01,"✓","⚠"))</f>
        <v/>
      </c>
      <c r="R210" s="328"/>
    </row>
    <row r="211" customFormat="false" ht="15" hidden="false" customHeight="true" outlineLevel="0" collapsed="false">
      <c r="A211" s="328"/>
      <c r="B211" s="328"/>
      <c r="C211" s="329"/>
      <c r="D211" s="329"/>
      <c r="E211" s="329"/>
      <c r="F211" s="329"/>
      <c r="G211" s="329"/>
      <c r="H211" s="329"/>
      <c r="I211" s="329"/>
      <c r="J211" s="329"/>
      <c r="K211" s="329"/>
      <c r="L211" s="329"/>
      <c r="M211" s="329"/>
      <c r="N211" s="329"/>
      <c r="O211" s="329"/>
      <c r="P211" s="328"/>
      <c r="Q211" s="330" t="str">
        <f aca="false">IF(O211=0,"",IF(ABS(O211-SUM(C211:N211))&lt;0.01,"✓","⚠"))</f>
        <v/>
      </c>
      <c r="R211" s="328"/>
    </row>
    <row r="212" customFormat="false" ht="15" hidden="false" customHeight="true" outlineLevel="0" collapsed="false">
      <c r="A212" s="328"/>
      <c r="B212" s="328"/>
      <c r="C212" s="329"/>
      <c r="D212" s="329"/>
      <c r="E212" s="329"/>
      <c r="F212" s="329"/>
      <c r="G212" s="329"/>
      <c r="H212" s="329"/>
      <c r="I212" s="329"/>
      <c r="J212" s="329"/>
      <c r="K212" s="329"/>
      <c r="L212" s="329"/>
      <c r="M212" s="329"/>
      <c r="N212" s="329"/>
      <c r="O212" s="329"/>
      <c r="P212" s="328"/>
      <c r="Q212" s="330" t="str">
        <f aca="false">IF(O212=0,"",IF(ABS(O212-SUM(C212:N212))&lt;0.01,"✓","⚠"))</f>
        <v/>
      </c>
      <c r="R212" s="328"/>
    </row>
    <row r="213" customFormat="false" ht="15" hidden="false" customHeight="true" outlineLevel="0" collapsed="false">
      <c r="A213" s="328"/>
      <c r="B213" s="328"/>
      <c r="C213" s="329"/>
      <c r="D213" s="329"/>
      <c r="E213" s="329"/>
      <c r="F213" s="329"/>
      <c r="G213" s="329"/>
      <c r="H213" s="329"/>
      <c r="I213" s="329"/>
      <c r="J213" s="329"/>
      <c r="K213" s="329"/>
      <c r="L213" s="329"/>
      <c r="M213" s="329"/>
      <c r="N213" s="329"/>
      <c r="O213" s="329"/>
      <c r="P213" s="328"/>
      <c r="Q213" s="330" t="str">
        <f aca="false">IF(O213=0,"",IF(ABS(O213-SUM(C213:N213))&lt;0.01,"✓","⚠"))</f>
        <v/>
      </c>
      <c r="R213" s="328"/>
    </row>
    <row r="214" customFormat="false" ht="15" hidden="false" customHeight="true" outlineLevel="0" collapsed="false">
      <c r="A214" s="328"/>
      <c r="B214" s="328"/>
      <c r="C214" s="329"/>
      <c r="D214" s="329"/>
      <c r="E214" s="329"/>
      <c r="F214" s="329"/>
      <c r="G214" s="329"/>
      <c r="H214" s="329"/>
      <c r="I214" s="329"/>
      <c r="J214" s="329"/>
      <c r="K214" s="329"/>
      <c r="L214" s="329"/>
      <c r="M214" s="329"/>
      <c r="N214" s="329"/>
      <c r="O214" s="329"/>
      <c r="P214" s="328"/>
      <c r="Q214" s="330" t="str">
        <f aca="false">IF(O214=0,"",IF(ABS(O214-SUM(C214:N214))&lt;0.01,"✓","⚠"))</f>
        <v/>
      </c>
      <c r="R214" s="328"/>
    </row>
    <row r="215" customFormat="false" ht="15" hidden="false" customHeight="true" outlineLevel="0" collapsed="false">
      <c r="A215" s="328"/>
      <c r="B215" s="328"/>
      <c r="C215" s="329"/>
      <c r="D215" s="329"/>
      <c r="E215" s="329"/>
      <c r="F215" s="329"/>
      <c r="G215" s="329"/>
      <c r="H215" s="329"/>
      <c r="I215" s="329"/>
      <c r="J215" s="329"/>
      <c r="K215" s="329"/>
      <c r="L215" s="329"/>
      <c r="M215" s="329"/>
      <c r="N215" s="329"/>
      <c r="O215" s="329"/>
      <c r="P215" s="328"/>
      <c r="Q215" s="330" t="str">
        <f aca="false">IF(O215=0,"",IF(ABS(O215-SUM(C215:N215))&lt;0.01,"✓","⚠"))</f>
        <v/>
      </c>
      <c r="R215" s="328"/>
    </row>
    <row r="216" customFormat="false" ht="15" hidden="false" customHeight="true" outlineLevel="0" collapsed="false">
      <c r="A216" s="328"/>
      <c r="B216" s="328"/>
      <c r="C216" s="329"/>
      <c r="D216" s="329"/>
      <c r="E216" s="329"/>
      <c r="F216" s="329"/>
      <c r="G216" s="329"/>
      <c r="H216" s="329"/>
      <c r="I216" s="329"/>
      <c r="J216" s="329"/>
      <c r="K216" s="329"/>
      <c r="L216" s="329"/>
      <c r="M216" s="329"/>
      <c r="N216" s="329"/>
      <c r="O216" s="329"/>
      <c r="P216" s="328"/>
      <c r="Q216" s="330" t="str">
        <f aca="false">IF(O216=0,"",IF(ABS(O216-SUM(C216:N216))&lt;0.01,"✓","⚠"))</f>
        <v/>
      </c>
      <c r="R216" s="328"/>
    </row>
    <row r="217" customFormat="false" ht="15" hidden="false" customHeight="true" outlineLevel="0" collapsed="false">
      <c r="A217" s="328"/>
      <c r="B217" s="328"/>
      <c r="C217" s="329"/>
      <c r="D217" s="329"/>
      <c r="E217" s="329"/>
      <c r="F217" s="329"/>
      <c r="G217" s="329"/>
      <c r="H217" s="329"/>
      <c r="I217" s="329"/>
      <c r="J217" s="329"/>
      <c r="K217" s="329"/>
      <c r="L217" s="329"/>
      <c r="M217" s="329"/>
      <c r="N217" s="329"/>
      <c r="O217" s="329"/>
      <c r="P217" s="328"/>
      <c r="Q217" s="330" t="str">
        <f aca="false">IF(O217=0,"",IF(ABS(O217-SUM(C217:N217))&lt;0.01,"✓","⚠"))</f>
        <v/>
      </c>
      <c r="R217" s="328"/>
    </row>
    <row r="218" customFormat="false" ht="15" hidden="false" customHeight="true" outlineLevel="0" collapsed="false">
      <c r="A218" s="328"/>
      <c r="B218" s="328"/>
      <c r="C218" s="329"/>
      <c r="D218" s="329"/>
      <c r="E218" s="329"/>
      <c r="F218" s="329"/>
      <c r="G218" s="329"/>
      <c r="H218" s="329"/>
      <c r="I218" s="329"/>
      <c r="J218" s="329"/>
      <c r="K218" s="329"/>
      <c r="L218" s="329"/>
      <c r="M218" s="329"/>
      <c r="N218" s="329"/>
      <c r="O218" s="329"/>
      <c r="P218" s="328"/>
      <c r="Q218" s="330" t="str">
        <f aca="false">IF(O218=0,"",IF(ABS(O218-SUM(C218:N218))&lt;0.01,"✓","⚠"))</f>
        <v/>
      </c>
      <c r="R218" s="328"/>
    </row>
    <row r="219" customFormat="false" ht="15" hidden="false" customHeight="true" outlineLevel="0" collapsed="false">
      <c r="A219" s="328"/>
      <c r="B219" s="328"/>
      <c r="C219" s="329"/>
      <c r="D219" s="329"/>
      <c r="E219" s="329"/>
      <c r="F219" s="329"/>
      <c r="G219" s="329"/>
      <c r="H219" s="329"/>
      <c r="I219" s="329"/>
      <c r="J219" s="329"/>
      <c r="K219" s="329"/>
      <c r="L219" s="329"/>
      <c r="M219" s="329"/>
      <c r="N219" s="329"/>
      <c r="O219" s="329"/>
      <c r="P219" s="328"/>
      <c r="Q219" s="330" t="str">
        <f aca="false">IF(O219=0,"",IF(ABS(O219-SUM(C219:N219))&lt;0.01,"✓","⚠"))</f>
        <v/>
      </c>
      <c r="R219" s="328"/>
    </row>
    <row r="220" customFormat="false" ht="15" hidden="false" customHeight="true" outlineLevel="0" collapsed="false">
      <c r="A220" s="328"/>
      <c r="B220" s="328"/>
      <c r="C220" s="329"/>
      <c r="D220" s="329"/>
      <c r="E220" s="329"/>
      <c r="F220" s="329"/>
      <c r="G220" s="329"/>
      <c r="H220" s="329"/>
      <c r="I220" s="329"/>
      <c r="J220" s="329"/>
      <c r="K220" s="329"/>
      <c r="L220" s="329"/>
      <c r="M220" s="329"/>
      <c r="N220" s="329"/>
      <c r="O220" s="329"/>
      <c r="P220" s="328"/>
      <c r="Q220" s="330" t="str">
        <f aca="false">IF(O220=0,"",IF(ABS(O220-SUM(C220:N220))&lt;0.01,"✓","⚠"))</f>
        <v/>
      </c>
      <c r="R220" s="328"/>
    </row>
    <row r="221" customFormat="false" ht="15" hidden="false" customHeight="true" outlineLevel="0" collapsed="false">
      <c r="A221" s="328"/>
      <c r="B221" s="328"/>
      <c r="C221" s="329"/>
      <c r="D221" s="329"/>
      <c r="E221" s="329"/>
      <c r="F221" s="329"/>
      <c r="G221" s="329"/>
      <c r="H221" s="329"/>
      <c r="I221" s="329"/>
      <c r="J221" s="329"/>
      <c r="K221" s="329"/>
      <c r="L221" s="329"/>
      <c r="M221" s="329"/>
      <c r="N221" s="329"/>
      <c r="O221" s="329"/>
      <c r="P221" s="328"/>
      <c r="Q221" s="330" t="str">
        <f aca="false">IF(O221=0,"",IF(ABS(O221-SUM(C221:N221))&lt;0.01,"✓","⚠"))</f>
        <v/>
      </c>
      <c r="R221" s="328"/>
    </row>
    <row r="222" customFormat="false" ht="15" hidden="false" customHeight="true" outlineLevel="0" collapsed="false">
      <c r="A222" s="328"/>
      <c r="B222" s="328"/>
      <c r="C222" s="329"/>
      <c r="D222" s="329"/>
      <c r="E222" s="329"/>
      <c r="F222" s="329"/>
      <c r="G222" s="329"/>
      <c r="H222" s="329"/>
      <c r="I222" s="329"/>
      <c r="J222" s="329"/>
      <c r="K222" s="329"/>
      <c r="L222" s="329"/>
      <c r="M222" s="329"/>
      <c r="N222" s="329"/>
      <c r="O222" s="329"/>
      <c r="P222" s="328"/>
      <c r="Q222" s="330" t="str">
        <f aca="false">IF(O222=0,"",IF(ABS(O222-SUM(C222:N222))&lt;0.01,"✓","⚠"))</f>
        <v/>
      </c>
      <c r="R222" s="328"/>
    </row>
    <row r="223" customFormat="false" ht="15" hidden="false" customHeight="true" outlineLevel="0" collapsed="false">
      <c r="A223" s="328"/>
      <c r="B223" s="328"/>
      <c r="C223" s="329"/>
      <c r="D223" s="329"/>
      <c r="E223" s="329"/>
      <c r="F223" s="329"/>
      <c r="G223" s="329"/>
      <c r="H223" s="329"/>
      <c r="I223" s="329"/>
      <c r="J223" s="329"/>
      <c r="K223" s="329"/>
      <c r="L223" s="329"/>
      <c r="M223" s="329"/>
      <c r="N223" s="329"/>
      <c r="O223" s="329"/>
      <c r="P223" s="328"/>
      <c r="Q223" s="330" t="str">
        <f aca="false">IF(O223=0,"",IF(ABS(O223-SUM(C223:N223))&lt;0.01,"✓","⚠"))</f>
        <v/>
      </c>
      <c r="R223" s="328"/>
    </row>
    <row r="224" customFormat="false" ht="15" hidden="false" customHeight="true" outlineLevel="0" collapsed="false">
      <c r="A224" s="328"/>
      <c r="B224" s="328"/>
      <c r="C224" s="329"/>
      <c r="D224" s="329"/>
      <c r="E224" s="329"/>
      <c r="F224" s="329"/>
      <c r="G224" s="329"/>
      <c r="H224" s="329"/>
      <c r="I224" s="329"/>
      <c r="J224" s="329"/>
      <c r="K224" s="329"/>
      <c r="L224" s="329"/>
      <c r="M224" s="329"/>
      <c r="N224" s="329"/>
      <c r="O224" s="329"/>
      <c r="P224" s="328"/>
      <c r="Q224" s="330" t="str">
        <f aca="false">IF(O224=0,"",IF(ABS(O224-SUM(C224:N224))&lt;0.01,"✓","⚠"))</f>
        <v/>
      </c>
      <c r="R224" s="328"/>
    </row>
    <row r="225" customFormat="false" ht="15" hidden="false" customHeight="true" outlineLevel="0" collapsed="false">
      <c r="A225" s="328"/>
      <c r="B225" s="328"/>
      <c r="C225" s="329"/>
      <c r="D225" s="329"/>
      <c r="E225" s="329"/>
      <c r="F225" s="329"/>
      <c r="G225" s="329"/>
      <c r="H225" s="329"/>
      <c r="I225" s="329"/>
      <c r="J225" s="329"/>
      <c r="K225" s="329"/>
      <c r="L225" s="329"/>
      <c r="M225" s="329"/>
      <c r="N225" s="329"/>
      <c r="O225" s="329"/>
      <c r="P225" s="328"/>
      <c r="Q225" s="330" t="str">
        <f aca="false">IF(O225=0,"",IF(ABS(O225-SUM(C225:N225))&lt;0.01,"✓","⚠"))</f>
        <v/>
      </c>
      <c r="R225" s="328"/>
    </row>
    <row r="226" customFormat="false" ht="15" hidden="false" customHeight="true" outlineLevel="0" collapsed="false">
      <c r="A226" s="328"/>
      <c r="B226" s="328"/>
      <c r="C226" s="329"/>
      <c r="D226" s="329"/>
      <c r="E226" s="329"/>
      <c r="F226" s="329"/>
      <c r="G226" s="329"/>
      <c r="H226" s="329"/>
      <c r="I226" s="329"/>
      <c r="J226" s="329"/>
      <c r="K226" s="329"/>
      <c r="L226" s="329"/>
      <c r="M226" s="329"/>
      <c r="N226" s="329"/>
      <c r="O226" s="329"/>
      <c r="P226" s="328"/>
      <c r="Q226" s="330" t="str">
        <f aca="false">IF(O226=0,"",IF(ABS(O226-SUM(C226:N226))&lt;0.01,"✓","⚠"))</f>
        <v/>
      </c>
      <c r="R226" s="328"/>
    </row>
    <row r="227" customFormat="false" ht="15" hidden="false" customHeight="true" outlineLevel="0" collapsed="false">
      <c r="A227" s="328"/>
      <c r="B227" s="328"/>
      <c r="C227" s="329"/>
      <c r="D227" s="329"/>
      <c r="E227" s="329"/>
      <c r="F227" s="329"/>
      <c r="G227" s="329"/>
      <c r="H227" s="329"/>
      <c r="I227" s="329"/>
      <c r="J227" s="329"/>
      <c r="K227" s="329"/>
      <c r="L227" s="329"/>
      <c r="M227" s="329"/>
      <c r="N227" s="329"/>
      <c r="O227" s="329"/>
      <c r="P227" s="328"/>
      <c r="Q227" s="330" t="str">
        <f aca="false">IF(O227=0,"",IF(ABS(O227-SUM(C227:N227))&lt;0.01,"✓","⚠"))</f>
        <v/>
      </c>
      <c r="R227" s="328"/>
    </row>
    <row r="228" customFormat="false" ht="15" hidden="false" customHeight="true" outlineLevel="0" collapsed="false">
      <c r="A228" s="328"/>
      <c r="B228" s="328"/>
      <c r="C228" s="329"/>
      <c r="D228" s="329"/>
      <c r="E228" s="329"/>
      <c r="F228" s="329"/>
      <c r="G228" s="329"/>
      <c r="H228" s="329"/>
      <c r="I228" s="329"/>
      <c r="J228" s="329"/>
      <c r="K228" s="329"/>
      <c r="L228" s="329"/>
      <c r="M228" s="329"/>
      <c r="N228" s="329"/>
      <c r="O228" s="329"/>
      <c r="P228" s="328"/>
      <c r="Q228" s="330" t="str">
        <f aca="false">IF(O228=0,"",IF(ABS(O228-SUM(C228:N228))&lt;0.01,"✓","⚠"))</f>
        <v/>
      </c>
      <c r="R228" s="328"/>
    </row>
    <row r="229" customFormat="false" ht="15" hidden="false" customHeight="true" outlineLevel="0" collapsed="false">
      <c r="A229" s="328"/>
      <c r="B229" s="328"/>
      <c r="C229" s="329"/>
      <c r="D229" s="329"/>
      <c r="E229" s="329"/>
      <c r="F229" s="329"/>
      <c r="G229" s="329"/>
      <c r="H229" s="329"/>
      <c r="I229" s="329"/>
      <c r="J229" s="329"/>
      <c r="K229" s="329"/>
      <c r="L229" s="329"/>
      <c r="M229" s="329"/>
      <c r="N229" s="329"/>
      <c r="O229" s="329"/>
      <c r="P229" s="328"/>
      <c r="Q229" s="330" t="str">
        <f aca="false">IF(O229=0,"",IF(ABS(O229-SUM(C229:N229))&lt;0.01,"✓","⚠"))</f>
        <v/>
      </c>
      <c r="R229" s="328"/>
    </row>
    <row r="230" customFormat="false" ht="15" hidden="false" customHeight="true" outlineLevel="0" collapsed="false">
      <c r="A230" s="328"/>
      <c r="B230" s="328"/>
      <c r="C230" s="329"/>
      <c r="D230" s="329"/>
      <c r="E230" s="329"/>
      <c r="F230" s="329"/>
      <c r="G230" s="329"/>
      <c r="H230" s="329"/>
      <c r="I230" s="329"/>
      <c r="J230" s="329"/>
      <c r="K230" s="329"/>
      <c r="L230" s="329"/>
      <c r="M230" s="329"/>
      <c r="N230" s="329"/>
      <c r="O230" s="329"/>
      <c r="P230" s="328"/>
      <c r="Q230" s="330" t="str">
        <f aca="false">IF(O230=0,"",IF(ABS(O230-SUM(C230:N230))&lt;0.01,"✓","⚠"))</f>
        <v/>
      </c>
      <c r="R230" s="328"/>
    </row>
    <row r="231" customFormat="false" ht="15" hidden="false" customHeight="true" outlineLevel="0" collapsed="false">
      <c r="A231" s="328"/>
      <c r="B231" s="328"/>
      <c r="C231" s="329"/>
      <c r="D231" s="329"/>
      <c r="E231" s="329"/>
      <c r="F231" s="329"/>
      <c r="G231" s="329"/>
      <c r="H231" s="329"/>
      <c r="I231" s="329"/>
      <c r="J231" s="329"/>
      <c r="K231" s="329"/>
      <c r="L231" s="329"/>
      <c r="M231" s="329"/>
      <c r="N231" s="329"/>
      <c r="O231" s="329"/>
      <c r="P231" s="328"/>
      <c r="Q231" s="330" t="str">
        <f aca="false">IF(O231=0,"",IF(ABS(O231-SUM(C231:N231))&lt;0.01,"✓","⚠"))</f>
        <v/>
      </c>
      <c r="R231" s="328"/>
    </row>
    <row r="232" customFormat="false" ht="15" hidden="false" customHeight="true" outlineLevel="0" collapsed="false">
      <c r="A232" s="328"/>
      <c r="B232" s="328"/>
      <c r="C232" s="329"/>
      <c r="D232" s="329"/>
      <c r="E232" s="329"/>
      <c r="F232" s="329"/>
      <c r="G232" s="329"/>
      <c r="H232" s="329"/>
      <c r="I232" s="329"/>
      <c r="J232" s="329"/>
      <c r="K232" s="329"/>
      <c r="L232" s="329"/>
      <c r="M232" s="329"/>
      <c r="N232" s="329"/>
      <c r="O232" s="329"/>
      <c r="P232" s="328"/>
      <c r="Q232" s="330" t="str">
        <f aca="false">IF(O232=0,"",IF(ABS(O232-SUM(C232:N232))&lt;0.01,"✓","⚠"))</f>
        <v/>
      </c>
      <c r="R232" s="328"/>
    </row>
    <row r="233" customFormat="false" ht="15" hidden="false" customHeight="true" outlineLevel="0" collapsed="false">
      <c r="A233" s="328"/>
      <c r="B233" s="328"/>
      <c r="C233" s="329"/>
      <c r="D233" s="329"/>
      <c r="E233" s="329"/>
      <c r="F233" s="329"/>
      <c r="G233" s="329"/>
      <c r="H233" s="329"/>
      <c r="I233" s="329"/>
      <c r="J233" s="329"/>
      <c r="K233" s="329"/>
      <c r="L233" s="329"/>
      <c r="M233" s="329"/>
      <c r="N233" s="329"/>
      <c r="O233" s="329"/>
      <c r="P233" s="328"/>
      <c r="Q233" s="330" t="str">
        <f aca="false">IF(O233=0,"",IF(ABS(O233-SUM(C233:N233))&lt;0.01,"✓","⚠"))</f>
        <v/>
      </c>
      <c r="R233" s="328"/>
    </row>
    <row r="234" customFormat="false" ht="15" hidden="false" customHeight="true" outlineLevel="0" collapsed="false">
      <c r="A234" s="328"/>
      <c r="B234" s="328"/>
      <c r="C234" s="329"/>
      <c r="D234" s="329"/>
      <c r="E234" s="329"/>
      <c r="F234" s="329"/>
      <c r="G234" s="329"/>
      <c r="H234" s="329"/>
      <c r="I234" s="329"/>
      <c r="J234" s="329"/>
      <c r="K234" s="329"/>
      <c r="L234" s="329"/>
      <c r="M234" s="329"/>
      <c r="N234" s="329"/>
      <c r="O234" s="329"/>
      <c r="P234" s="328"/>
      <c r="Q234" s="330" t="str">
        <f aca="false">IF(O234=0,"",IF(ABS(O234-SUM(C234:N234))&lt;0.01,"✓","⚠"))</f>
        <v/>
      </c>
      <c r="R234" s="328"/>
    </row>
    <row r="235" customFormat="false" ht="15" hidden="false" customHeight="true" outlineLevel="0" collapsed="false">
      <c r="A235" s="328"/>
      <c r="B235" s="328"/>
      <c r="C235" s="329"/>
      <c r="D235" s="329"/>
      <c r="E235" s="329"/>
      <c r="F235" s="329"/>
      <c r="G235" s="329"/>
      <c r="H235" s="329"/>
      <c r="I235" s="329"/>
      <c r="J235" s="329"/>
      <c r="K235" s="329"/>
      <c r="L235" s="329"/>
      <c r="M235" s="329"/>
      <c r="N235" s="329"/>
      <c r="O235" s="329"/>
      <c r="P235" s="328"/>
      <c r="Q235" s="330" t="str">
        <f aca="false">IF(O235=0,"",IF(ABS(O235-SUM(C235:N235))&lt;0.01,"✓","⚠"))</f>
        <v/>
      </c>
      <c r="R235" s="328"/>
    </row>
    <row r="236" customFormat="false" ht="15" hidden="false" customHeight="true" outlineLevel="0" collapsed="false">
      <c r="A236" s="328"/>
      <c r="B236" s="328"/>
      <c r="C236" s="329"/>
      <c r="D236" s="329"/>
      <c r="E236" s="329"/>
      <c r="F236" s="329"/>
      <c r="G236" s="329"/>
      <c r="H236" s="329"/>
      <c r="I236" s="329"/>
      <c r="J236" s="329"/>
      <c r="K236" s="329"/>
      <c r="L236" s="329"/>
      <c r="M236" s="329"/>
      <c r="N236" s="329"/>
      <c r="O236" s="329"/>
      <c r="P236" s="328"/>
      <c r="Q236" s="330" t="str">
        <f aca="false">IF(O236=0,"",IF(ABS(O236-SUM(C236:N236))&lt;0.01,"✓","⚠"))</f>
        <v/>
      </c>
      <c r="R236" s="328"/>
    </row>
    <row r="237" customFormat="false" ht="15" hidden="false" customHeight="true" outlineLevel="0" collapsed="false">
      <c r="A237" s="328"/>
      <c r="B237" s="328"/>
      <c r="C237" s="329"/>
      <c r="D237" s="329"/>
      <c r="E237" s="329"/>
      <c r="F237" s="329"/>
      <c r="G237" s="329"/>
      <c r="H237" s="329"/>
      <c r="I237" s="329"/>
      <c r="J237" s="329"/>
      <c r="K237" s="329"/>
      <c r="L237" s="329"/>
      <c r="M237" s="329"/>
      <c r="N237" s="329"/>
      <c r="O237" s="329"/>
      <c r="P237" s="328"/>
      <c r="Q237" s="330" t="str">
        <f aca="false">IF(O237=0,"",IF(ABS(O237-SUM(C237:N237))&lt;0.01,"✓","⚠"))</f>
        <v/>
      </c>
      <c r="R237" s="328"/>
    </row>
    <row r="238" customFormat="false" ht="15" hidden="false" customHeight="true" outlineLevel="0" collapsed="false">
      <c r="A238" s="328"/>
      <c r="B238" s="328"/>
      <c r="C238" s="329"/>
      <c r="D238" s="329"/>
      <c r="E238" s="329"/>
      <c r="F238" s="329"/>
      <c r="G238" s="329"/>
      <c r="H238" s="329"/>
      <c r="I238" s="329"/>
      <c r="J238" s="329"/>
      <c r="K238" s="329"/>
      <c r="L238" s="329"/>
      <c r="M238" s="329"/>
      <c r="N238" s="329"/>
      <c r="O238" s="329"/>
      <c r="P238" s="328"/>
      <c r="Q238" s="330" t="str">
        <f aca="false">IF(O238=0,"",IF(ABS(O238-SUM(C238:N238))&lt;0.01,"✓","⚠"))</f>
        <v/>
      </c>
      <c r="R238" s="328"/>
    </row>
    <row r="239" customFormat="false" ht="15" hidden="false" customHeight="true" outlineLevel="0" collapsed="false">
      <c r="A239" s="328"/>
      <c r="B239" s="328"/>
      <c r="C239" s="329"/>
      <c r="D239" s="329"/>
      <c r="E239" s="329"/>
      <c r="F239" s="329"/>
      <c r="G239" s="329"/>
      <c r="H239" s="329"/>
      <c r="I239" s="329"/>
      <c r="J239" s="329"/>
      <c r="K239" s="329"/>
      <c r="L239" s="329"/>
      <c r="M239" s="329"/>
      <c r="N239" s="329"/>
      <c r="O239" s="329"/>
      <c r="P239" s="328"/>
      <c r="Q239" s="330" t="str">
        <f aca="false">IF(O239=0,"",IF(ABS(O239-SUM(C239:N239))&lt;0.01,"✓","⚠"))</f>
        <v/>
      </c>
      <c r="R239" s="328"/>
    </row>
    <row r="240" customFormat="false" ht="15" hidden="false" customHeight="true" outlineLevel="0" collapsed="false">
      <c r="A240" s="328"/>
      <c r="B240" s="328"/>
      <c r="C240" s="329"/>
      <c r="D240" s="329"/>
      <c r="E240" s="329"/>
      <c r="F240" s="329"/>
      <c r="G240" s="329"/>
      <c r="H240" s="329"/>
      <c r="I240" s="329"/>
      <c r="J240" s="329"/>
      <c r="K240" s="329"/>
      <c r="L240" s="329"/>
      <c r="M240" s="329"/>
      <c r="N240" s="329"/>
      <c r="O240" s="329"/>
      <c r="P240" s="328"/>
      <c r="Q240" s="330" t="str">
        <f aca="false">IF(O240=0,"",IF(ABS(O240-SUM(C240:N240))&lt;0.01,"✓","⚠"))</f>
        <v/>
      </c>
      <c r="R240" s="328"/>
    </row>
    <row r="241" customFormat="false" ht="15" hidden="false" customHeight="true" outlineLevel="0" collapsed="false">
      <c r="A241" s="328"/>
      <c r="B241" s="328"/>
      <c r="C241" s="329"/>
      <c r="D241" s="329"/>
      <c r="E241" s="329"/>
      <c r="F241" s="329"/>
      <c r="G241" s="329"/>
      <c r="H241" s="329"/>
      <c r="I241" s="329"/>
      <c r="J241" s="329"/>
      <c r="K241" s="329"/>
      <c r="L241" s="329"/>
      <c r="M241" s="329"/>
      <c r="N241" s="329"/>
      <c r="O241" s="329"/>
      <c r="P241" s="328"/>
      <c r="Q241" s="330" t="str">
        <f aca="false">IF(O241=0,"",IF(ABS(O241-SUM(C241:N241))&lt;0.01,"✓","⚠"))</f>
        <v/>
      </c>
      <c r="R241" s="328"/>
    </row>
    <row r="242" customFormat="false" ht="15" hidden="false" customHeight="true" outlineLevel="0" collapsed="false">
      <c r="A242" s="328"/>
      <c r="B242" s="328"/>
      <c r="C242" s="329"/>
      <c r="D242" s="329"/>
      <c r="E242" s="329"/>
      <c r="F242" s="329"/>
      <c r="G242" s="329"/>
      <c r="H242" s="329"/>
      <c r="I242" s="329"/>
      <c r="J242" s="329"/>
      <c r="K242" s="329"/>
      <c r="L242" s="329"/>
      <c r="M242" s="329"/>
      <c r="N242" s="329"/>
      <c r="O242" s="329"/>
      <c r="P242" s="328"/>
      <c r="Q242" s="330" t="str">
        <f aca="false">IF(O242=0,"",IF(ABS(O242-SUM(C242:N242))&lt;0.01,"✓","⚠"))</f>
        <v/>
      </c>
      <c r="R242" s="328"/>
    </row>
    <row r="243" customFormat="false" ht="15" hidden="false" customHeight="true" outlineLevel="0" collapsed="false">
      <c r="A243" s="328"/>
      <c r="B243" s="328"/>
      <c r="C243" s="329"/>
      <c r="D243" s="329"/>
      <c r="E243" s="329"/>
      <c r="F243" s="329"/>
      <c r="G243" s="329"/>
      <c r="H243" s="329"/>
      <c r="I243" s="329"/>
      <c r="J243" s="329"/>
      <c r="K243" s="329"/>
      <c r="L243" s="329"/>
      <c r="M243" s="329"/>
      <c r="N243" s="329"/>
      <c r="O243" s="329"/>
      <c r="P243" s="328"/>
      <c r="Q243" s="330" t="str">
        <f aca="false">IF(O243=0,"",IF(ABS(O243-SUM(C243:N243))&lt;0.01,"✓","⚠"))</f>
        <v/>
      </c>
      <c r="R243" s="328"/>
    </row>
    <row r="244" customFormat="false" ht="15" hidden="false" customHeight="true" outlineLevel="0" collapsed="false">
      <c r="A244" s="328"/>
      <c r="B244" s="328"/>
      <c r="C244" s="329"/>
      <c r="D244" s="329"/>
      <c r="E244" s="329"/>
      <c r="F244" s="329"/>
      <c r="G244" s="329"/>
      <c r="H244" s="329"/>
      <c r="I244" s="329"/>
      <c r="J244" s="329"/>
      <c r="K244" s="329"/>
      <c r="L244" s="329"/>
      <c r="M244" s="329"/>
      <c r="N244" s="329"/>
      <c r="O244" s="329"/>
      <c r="P244" s="328"/>
      <c r="Q244" s="330" t="str">
        <f aca="false">IF(O244=0,"",IF(ABS(O244-SUM(C244:N244))&lt;0.01,"✓","⚠"))</f>
        <v/>
      </c>
      <c r="R244" s="328"/>
    </row>
    <row r="245" customFormat="false" ht="15" hidden="false" customHeight="true" outlineLevel="0" collapsed="false">
      <c r="A245" s="328"/>
      <c r="B245" s="328"/>
      <c r="C245" s="329"/>
      <c r="D245" s="329"/>
      <c r="E245" s="329"/>
      <c r="F245" s="329"/>
      <c r="G245" s="329"/>
      <c r="H245" s="329"/>
      <c r="I245" s="329"/>
      <c r="J245" s="329"/>
      <c r="K245" s="329"/>
      <c r="L245" s="329"/>
      <c r="M245" s="329"/>
      <c r="N245" s="329"/>
      <c r="O245" s="329"/>
      <c r="P245" s="328"/>
      <c r="Q245" s="330" t="str">
        <f aca="false">IF(O245=0,"",IF(ABS(O245-SUM(C245:N245))&lt;0.01,"✓","⚠"))</f>
        <v/>
      </c>
      <c r="R245" s="328"/>
    </row>
    <row r="246" customFormat="false" ht="15" hidden="false" customHeight="true" outlineLevel="0" collapsed="false">
      <c r="A246" s="328"/>
      <c r="B246" s="328"/>
      <c r="C246" s="329"/>
      <c r="D246" s="329"/>
      <c r="E246" s="329"/>
      <c r="F246" s="329"/>
      <c r="G246" s="329"/>
      <c r="H246" s="329"/>
      <c r="I246" s="329"/>
      <c r="J246" s="329"/>
      <c r="K246" s="329"/>
      <c r="L246" s="329"/>
      <c r="M246" s="329"/>
      <c r="N246" s="329"/>
      <c r="O246" s="329"/>
      <c r="P246" s="328"/>
      <c r="Q246" s="330" t="str">
        <f aca="false">IF(O246=0,"",IF(ABS(O246-SUM(C246:N246))&lt;0.01,"✓","⚠"))</f>
        <v/>
      </c>
      <c r="R246" s="328"/>
    </row>
    <row r="247" customFormat="false" ht="15" hidden="false" customHeight="true" outlineLevel="0" collapsed="false">
      <c r="A247" s="328"/>
      <c r="B247" s="328"/>
      <c r="C247" s="329"/>
      <c r="D247" s="329"/>
      <c r="E247" s="329"/>
      <c r="F247" s="329"/>
      <c r="G247" s="329"/>
      <c r="H247" s="329"/>
      <c r="I247" s="329"/>
      <c r="J247" s="329"/>
      <c r="K247" s="329"/>
      <c r="L247" s="329"/>
      <c r="M247" s="329"/>
      <c r="N247" s="329"/>
      <c r="O247" s="329"/>
      <c r="P247" s="328"/>
      <c r="Q247" s="330" t="str">
        <f aca="false">IF(O247=0,"",IF(ABS(O247-SUM(C247:N247))&lt;0.01,"✓","⚠"))</f>
        <v/>
      </c>
      <c r="R247" s="328"/>
    </row>
    <row r="248" customFormat="false" ht="15" hidden="false" customHeight="true" outlineLevel="0" collapsed="false">
      <c r="A248" s="328"/>
      <c r="B248" s="328"/>
      <c r="C248" s="329"/>
      <c r="D248" s="329"/>
      <c r="E248" s="329"/>
      <c r="F248" s="329"/>
      <c r="G248" s="329"/>
      <c r="H248" s="329"/>
      <c r="I248" s="329"/>
      <c r="J248" s="329"/>
      <c r="K248" s="329"/>
      <c r="L248" s="329"/>
      <c r="M248" s="329"/>
      <c r="N248" s="329"/>
      <c r="O248" s="329"/>
      <c r="P248" s="328"/>
      <c r="Q248" s="330" t="str">
        <f aca="false">IF(O248=0,"",IF(ABS(O248-SUM(C248:N248))&lt;0.01,"✓","⚠"))</f>
        <v/>
      </c>
      <c r="R248" s="328"/>
    </row>
    <row r="249" customFormat="false" ht="15" hidden="false" customHeight="true" outlineLevel="0" collapsed="false">
      <c r="A249" s="328"/>
      <c r="B249" s="328"/>
      <c r="C249" s="329"/>
      <c r="D249" s="329"/>
      <c r="E249" s="329"/>
      <c r="F249" s="329"/>
      <c r="G249" s="329"/>
      <c r="H249" s="329"/>
      <c r="I249" s="329"/>
      <c r="J249" s="329"/>
      <c r="K249" s="329"/>
      <c r="L249" s="329"/>
      <c r="M249" s="329"/>
      <c r="N249" s="329"/>
      <c r="O249" s="329"/>
      <c r="P249" s="328"/>
      <c r="Q249" s="330" t="str">
        <f aca="false">IF(O249=0,"",IF(ABS(O249-SUM(C249:N249))&lt;0.01,"✓","⚠"))</f>
        <v/>
      </c>
      <c r="R249" s="328"/>
    </row>
    <row r="250" customFormat="false" ht="15" hidden="false" customHeight="true" outlineLevel="0" collapsed="false">
      <c r="A250" s="328"/>
      <c r="B250" s="328"/>
      <c r="C250" s="329"/>
      <c r="D250" s="329"/>
      <c r="E250" s="329"/>
      <c r="F250" s="329"/>
      <c r="G250" s="329"/>
      <c r="H250" s="329"/>
      <c r="I250" s="329"/>
      <c r="J250" s="329"/>
      <c r="K250" s="329"/>
      <c r="L250" s="329"/>
      <c r="M250" s="329"/>
      <c r="N250" s="329"/>
      <c r="O250" s="329"/>
      <c r="P250" s="328"/>
      <c r="Q250" s="330" t="str">
        <f aca="false">IF(O250=0,"",IF(ABS(O250-SUM(C250:N250))&lt;0.01,"✓","⚠"))</f>
        <v/>
      </c>
      <c r="R250" s="328"/>
    </row>
    <row r="251" customFormat="false" ht="15" hidden="false" customHeight="true" outlineLevel="0" collapsed="false">
      <c r="A251" s="328"/>
      <c r="B251" s="328"/>
      <c r="C251" s="329"/>
      <c r="D251" s="329"/>
      <c r="E251" s="329"/>
      <c r="F251" s="329"/>
      <c r="G251" s="329"/>
      <c r="H251" s="329"/>
      <c r="I251" s="329"/>
      <c r="J251" s="329"/>
      <c r="K251" s="329"/>
      <c r="L251" s="329"/>
      <c r="M251" s="329"/>
      <c r="N251" s="329"/>
      <c r="O251" s="329"/>
      <c r="P251" s="328"/>
      <c r="Q251" s="330" t="str">
        <f aca="false">IF(O251=0,"",IF(ABS(O251-SUM(C251:N251))&lt;0.01,"✓","⚠"))</f>
        <v/>
      </c>
      <c r="R251" s="328"/>
    </row>
    <row r="252" customFormat="false" ht="15" hidden="false" customHeight="true" outlineLevel="0" collapsed="false">
      <c r="A252" s="328"/>
      <c r="B252" s="328"/>
      <c r="C252" s="329"/>
      <c r="D252" s="329"/>
      <c r="E252" s="329"/>
      <c r="F252" s="329"/>
      <c r="G252" s="329"/>
      <c r="H252" s="329"/>
      <c r="I252" s="329"/>
      <c r="J252" s="329"/>
      <c r="K252" s="329"/>
      <c r="L252" s="329"/>
      <c r="M252" s="329"/>
      <c r="N252" s="329"/>
      <c r="O252" s="329"/>
      <c r="P252" s="328"/>
      <c r="Q252" s="330" t="str">
        <f aca="false">IF(O252=0,"",IF(ABS(O252-SUM(C252:N252))&lt;0.01,"✓","⚠"))</f>
        <v/>
      </c>
      <c r="R252" s="328"/>
    </row>
    <row r="253" customFormat="false" ht="15" hidden="false" customHeight="true" outlineLevel="0" collapsed="false">
      <c r="A253" s="328"/>
      <c r="B253" s="328"/>
      <c r="C253" s="329"/>
      <c r="D253" s="329"/>
      <c r="E253" s="329"/>
      <c r="F253" s="329"/>
      <c r="G253" s="329"/>
      <c r="H253" s="329"/>
      <c r="I253" s="329"/>
      <c r="J253" s="329"/>
      <c r="K253" s="329"/>
      <c r="L253" s="329"/>
      <c r="M253" s="329"/>
      <c r="N253" s="329"/>
      <c r="O253" s="329"/>
      <c r="P253" s="328"/>
      <c r="Q253" s="330" t="str">
        <f aca="false">IF(O253=0,"",IF(ABS(O253-SUM(C253:N253))&lt;0.01,"✓","⚠"))</f>
        <v/>
      </c>
      <c r="R253" s="328"/>
    </row>
    <row r="254" customFormat="false" ht="15" hidden="false" customHeight="true" outlineLevel="0" collapsed="false">
      <c r="A254" s="328"/>
      <c r="B254" s="328"/>
      <c r="C254" s="329"/>
      <c r="D254" s="329"/>
      <c r="E254" s="329"/>
      <c r="F254" s="329"/>
      <c r="G254" s="329"/>
      <c r="H254" s="329"/>
      <c r="I254" s="329"/>
      <c r="J254" s="329"/>
      <c r="K254" s="329"/>
      <c r="L254" s="329"/>
      <c r="M254" s="329"/>
      <c r="N254" s="329"/>
      <c r="O254" s="329"/>
      <c r="P254" s="328"/>
      <c r="Q254" s="330" t="str">
        <f aca="false">IF(O254=0,"",IF(ABS(O254-SUM(C254:N254))&lt;0.01,"✓","⚠"))</f>
        <v/>
      </c>
      <c r="R254" s="328"/>
    </row>
    <row r="255" customFormat="false" ht="15" hidden="false" customHeight="true" outlineLevel="0" collapsed="false">
      <c r="A255" s="328"/>
      <c r="B255" s="328"/>
      <c r="C255" s="329"/>
      <c r="D255" s="329"/>
      <c r="E255" s="329"/>
      <c r="F255" s="329"/>
      <c r="G255" s="329"/>
      <c r="H255" s="329"/>
      <c r="I255" s="329"/>
      <c r="J255" s="329"/>
      <c r="K255" s="329"/>
      <c r="L255" s="329"/>
      <c r="M255" s="329"/>
      <c r="N255" s="329"/>
      <c r="O255" s="329"/>
      <c r="P255" s="328"/>
      <c r="Q255" s="330" t="str">
        <f aca="false">IF(O255=0,"",IF(ABS(O255-SUM(C255:N255))&lt;0.01,"✓","⚠"))</f>
        <v/>
      </c>
      <c r="R255" s="328"/>
    </row>
    <row r="257" customFormat="false" ht="21.75" hidden="false" customHeight="true" outlineLevel="0" collapsed="false">
      <c r="A257" s="17" t="s">
        <v>972</v>
      </c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</row>
    <row r="258" customFormat="false" ht="15" hidden="false" customHeight="true" outlineLevel="0" collapsed="false">
      <c r="A258" s="126" t="s">
        <v>973</v>
      </c>
      <c r="O258" s="314" t="n">
        <f aca="false">SUMIF($P$106:$P$255,"Gross Potential Rent",$O$106:$O$255)+SUMIF($P$106:$P$255,"Gain/Loss on Market Rent",$O$106:$O$255)+SUMIF($P$106:$P$255,"Vacancy Loss",$O$106:$O$255)+SUMIF($P$106:$P$255,"Down Units Loss",$O$106:$O$255)+SUMIF($P$106:$P$255,"Employee Units",$O$106:$O$255)+SUMIF($P$106:$P$255,"Concessions",$O$106:$O$255)+SUMIF($P$106:$P$255,"Delinquency Change",$O$106:$O$255)+SUMIF($P$106:$P$255,"Write-offs / Bad Debt",$O$106:$O$255)+SUMIF($P$106:$P$255,"Prepaid Rent Change",$O$106:$O$255)+SUMIF($P$106:$P$255,"MTM Fees",$O$106:$O$255)+SUMIF($P$106:$P$255,"Application Fees",$O$106:$O$255)+SUMIF($P$106:$P$255,"Late Fees",$O$106:$O$255)+SUMIF($P$106:$P$255,"Utility Reimbursement",$O$106:$O$255)+SUMIF($P$106:$P$255,"Pet Fees",$O$106:$O$255)+SUMIF($P$106:$P$255,"Parking Income",$O$106:$O$255)+SUMIF($P$106:$P$255,"Amenity Fees",$O$106:$O$255)+SUMIF($P$106:$P$255,"Admin Fees",$O$106:$O$255)+SUMIF($P$106:$P$255,"Insurance Pass-Thru",$O$106:$O$255)+SUMIF($P$106:$P$255,"Misc Other Income",$O$106:$O$255)</f>
        <v>0</v>
      </c>
      <c r="P258" s="277" t="n">
        <f aca="false">O258-N80</f>
        <v>0</v>
      </c>
      <c r="Q258" s="311" t="str">
        <f aca="false">IF(ABS(P258)&lt;0.5,"✓","⚠")</f>
        <v>✓</v>
      </c>
    </row>
    <row r="259" customFormat="false" ht="15" hidden="false" customHeight="true" outlineLevel="0" collapsed="false">
      <c r="A259" s="126" t="s">
        <v>974</v>
      </c>
      <c r="O259" s="309" t="n">
        <f aca="false">SUMIF($P$106:$P$255,"Repairs &amp; Maintenance",$O$106:$O$255)+SUMIF($P$106:$P$255,"Landscaping",$O$106:$O$255)+SUMIF($P$106:$P$255,"Pest Control",$O$106:$O$255)+SUMIF($P$106:$P$255,"Pool / Amenity Maintenance",$O$106:$O$255)+SUMIF($P$106:$P$255,"Make-Ready / Turnover",$O$106:$O$255)+SUMIF($P$106:$P$255,"Payroll — On-Site",$O$106:$O$255)+SUMIF($P$106:$P$255,"Leasing &amp; Marketing",$O$106:$O$255)+SUMIF($P$106:$P$255,"General &amp; Administrative",$O$106:$O$255)+SUMIF($P$106:$P$255,"Legal / Eviction",$O$106:$O$255)+SUMIF($P$106:$P$255,"Insurance",$O$106:$O$255)+SUMIF($P$106:$P$255,"Real Estate Taxes",$O$106:$O$255)+SUMIF($P$106:$P$255,"Utilities — Electric",$O$106:$O$255)+SUMIF($P$106:$P$255,"Utilities — Gas",$O$106:$O$255)+SUMIF($P$106:$P$255,"Utilities — Water/Sewer",$O$106:$O$255)+SUMIF($P$106:$P$255,"Utilities — Trash",$O$106:$O$255)+SUMIF($P$106:$P$255,"Utilities — Internet/Cable",$O$106:$O$255)+SUMIF($P$106:$P$255,"Management Fee",$O$106:$O$255)</f>
        <v>0</v>
      </c>
      <c r="P259" s="277" t="n">
        <f aca="false">O259-N100</f>
        <v>0</v>
      </c>
      <c r="Q259" s="311" t="str">
        <f aca="false">IF(ABS(P259)&lt;0.5,"✓","⚠")</f>
        <v>✓</v>
      </c>
    </row>
    <row r="260" customFormat="false" ht="15" hidden="false" customHeight="true" outlineLevel="0" collapsed="false">
      <c r="A260" s="126" t="s">
        <v>883</v>
      </c>
      <c r="O260" s="314" t="n">
        <f aca="false">O258-O259</f>
        <v>0</v>
      </c>
    </row>
    <row r="262" customFormat="false" ht="15" hidden="false" customHeight="true" outlineLevel="0" collapsed="false">
      <c r="A262" s="111" t="s">
        <v>975</v>
      </c>
      <c r="C262" s="309" t="n">
        <f aca="false">SUMIF(P106:P255,"",O106:O255)+SUMIF(P106:P255,"— UNMAPPED —",O106:O255)</f>
        <v>0</v>
      </c>
      <c r="D262" s="126" t="str">
        <f aca="false">IF(ABS(C262)&lt;1,"🟢 all mapped","🔴 unmapped lines exist")</f>
        <v>🟢 all mapped</v>
      </c>
      <c r="F262" s="111" t="s">
        <v>976</v>
      </c>
      <c r="G262" s="277" t="n">
        <f aca="false">SUMIF(P106:P255,"— EXCLUDED (non-OpEx) —",O106:O255)</f>
        <v>0</v>
      </c>
    </row>
  </sheetData>
  <autoFilter ref="A105:R255"/>
  <mergeCells count="12">
    <mergeCell ref="A1:R1"/>
    <mergeCell ref="A4:R4"/>
    <mergeCell ref="A7:R7"/>
    <mergeCell ref="A18:R18"/>
    <mergeCell ref="A29:R29"/>
    <mergeCell ref="A39:R39"/>
    <mergeCell ref="A54:R54"/>
    <mergeCell ref="A55:R55"/>
    <mergeCell ref="A57:R57"/>
    <mergeCell ref="A81:R81"/>
    <mergeCell ref="A104:R104"/>
    <mergeCell ref="A257:R257"/>
  </mergeCells>
  <dataValidations count="1">
    <dataValidation allowBlank="true" errorStyle="stop" operator="between" showDropDown="false" showErrorMessage="false" showInputMessage="false" sqref="P106:P255" type="list">
      <formula1>StdBuckets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1" ySplit="9" topLeftCell="B68" activePane="bottomRight" state="frozen"/>
      <selection pane="topLeft" activeCell="A1" activeCellId="0" sqref="A1"/>
      <selection pane="topRight" activeCell="B1" activeCellId="0" sqref="B1"/>
      <selection pane="bottomLeft" activeCell="A68" activeCellId="0" sqref="A68"/>
      <selection pane="bottomRight" activeCell="C89" activeCellId="0" sqref="C89"/>
    </sheetView>
  </sheetViews>
  <sheetFormatPr defaultColWidth="8.71484375" defaultRowHeight="15" customHeight="false" zeroHeight="false" outlineLevelRow="1" outlineLevelCol="0"/>
  <cols>
    <col collapsed="false" customWidth="true" hidden="false" outlineLevel="0" max="1" min="1" style="0" width="4"/>
    <col collapsed="false" customWidth="true" hidden="false" outlineLevel="0" max="2" min="2" style="0" width="39"/>
    <col collapsed="false" customWidth="true" hidden="false" outlineLevel="0" max="4" min="3" style="0" width="13"/>
    <col collapsed="false" customWidth="true" hidden="false" outlineLevel="0" max="5" min="5" style="0" width="15.42"/>
    <col collapsed="false" customWidth="true" hidden="false" outlineLevel="0" max="6" min="6" style="0" width="14.42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7"/>
    <col collapsed="false" customWidth="true" hidden="false" outlineLevel="0" max="11" min="10" style="0" width="13"/>
    <col collapsed="false" customWidth="true" hidden="false" outlineLevel="0" max="13" min="12" style="0" width="14"/>
    <col collapsed="false" customWidth="true" hidden="false" outlineLevel="0" max="14" min="14" style="0" width="32"/>
  </cols>
  <sheetData>
    <row r="1" customFormat="false" ht="25.5" hidden="false" customHeight="true" outlineLevel="0" collapsed="false">
      <c r="A1" s="331" t="str">
        <f aca="false">HYPERLINK("#Inputs!A1","← Inputs")</f>
        <v>← Inputs</v>
      </c>
      <c r="B1" s="332" t="str">
        <f aca="false">IF('Prop Info'!B4="","RECAPTURE &amp; UPSIDE ANALYSIS  —  How much money is being left on the table?","RECAPTURE &amp; UPSIDE ANALYSIS  —  How much money is being left on the table?"&amp;" — "&amp;'Prop Info'!B4)</f>
        <v>RECAPTURE &amp; UPSIDE ANALYSIS  —  How much money is being left on the table?</v>
      </c>
    </row>
    <row r="2" customFormat="false" ht="15" hidden="false" customHeight="true" outlineLevel="0" collapsed="false">
      <c r="B2" s="333" t="s">
        <v>977</v>
      </c>
    </row>
    <row r="3" customFormat="false" ht="15" hidden="false" customHeight="true" outlineLevel="0" collapsed="false">
      <c r="B3" s="334" t="s">
        <v>978</v>
      </c>
      <c r="C3" s="335" t="s">
        <v>616</v>
      </c>
      <c r="E3" s="333" t="s">
        <v>979</v>
      </c>
    </row>
    <row r="4" customFormat="false" ht="15" hidden="false" customHeight="true" outlineLevel="0" collapsed="false">
      <c r="B4" s="336" t="s">
        <v>980</v>
      </c>
      <c r="C4" s="337"/>
      <c r="D4" s="337"/>
      <c r="E4" s="336" t="s">
        <v>981</v>
      </c>
      <c r="F4" s="337"/>
      <c r="G4" s="337"/>
      <c r="H4" s="337"/>
      <c r="I4" s="336" t="s">
        <v>982</v>
      </c>
      <c r="J4" s="337"/>
      <c r="K4" s="337"/>
      <c r="L4" s="337"/>
      <c r="M4" s="337"/>
    </row>
    <row r="5" customFormat="false" ht="15" hidden="false" customHeight="true" outlineLevel="0" collapsed="false">
      <c r="B5" s="338" t="s">
        <v>5</v>
      </c>
      <c r="C5" s="339" t="n">
        <f aca="false">'Prop Info'!$B$6</f>
        <v>0</v>
      </c>
      <c r="D5" s="337"/>
      <c r="E5" s="338" t="s">
        <v>983</v>
      </c>
      <c r="F5" s="340" t="str">
        <f aca="false">C3</f>
        <v>1. T-12 Actuals</v>
      </c>
      <c r="G5" s="337"/>
      <c r="H5" s="337"/>
      <c r="I5" s="338" t="s">
        <v>984</v>
      </c>
      <c r="J5" s="337"/>
      <c r="K5" s="337"/>
      <c r="L5" s="341" t="n">
        <f aca="false">L84</f>
        <v>0</v>
      </c>
      <c r="M5" s="342" t="s">
        <v>985</v>
      </c>
    </row>
    <row r="6" customFormat="false" ht="15" hidden="false" customHeight="true" outlineLevel="0" collapsed="false">
      <c r="B6" s="338" t="s">
        <v>986</v>
      </c>
      <c r="C6" s="343" t="n">
        <f aca="false">IFERROR(COUNTIF('Rent Roll Analysis'!E273:E1772,"Occupied*")/'Prop Info'!$B$6,0)</f>
        <v>0</v>
      </c>
      <c r="D6" s="337"/>
      <c r="E6" s="338" t="s">
        <v>987</v>
      </c>
      <c r="F6" s="344" t="str">
        <f aca="false">IFERROR(CHOOSE(MATCH(C3,{"1. T-12 Actuals","2. My Version","3. Projected","4. Offer"},0),Scenarios!B39,Scenarios!C39,Scenarios!D39,Scenarios!E39),0)</f>
        <v/>
      </c>
      <c r="G6" s="337"/>
      <c r="H6" s="337"/>
      <c r="I6" s="338" t="s">
        <v>988</v>
      </c>
      <c r="J6" s="337"/>
      <c r="K6" s="337"/>
      <c r="L6" s="341" t="n">
        <f aca="false">M84</f>
        <v>0</v>
      </c>
      <c r="M6" s="342" t="s">
        <v>989</v>
      </c>
    </row>
    <row r="7" customFormat="false" ht="15" hidden="false" customHeight="true" outlineLevel="0" collapsed="false">
      <c r="B7" s="338" t="s">
        <v>990</v>
      </c>
      <c r="C7" s="339" t="n">
        <f aca="false">IFERROR(COUNTIF('Rent Roll Analysis'!E273:E1772,"Occupied*"),0)</f>
        <v>0</v>
      </c>
      <c r="D7" s="337"/>
      <c r="E7" s="338" t="s">
        <v>991</v>
      </c>
      <c r="F7" s="343" t="str">
        <f aca="false">IFERROR(CHOOSE(MATCH(C3,{"1. T-12 Actuals","2. My Version","3. Projected","4. Offer"},0),Scenarios!B41,Scenarios!C41,Scenarios!D41,Scenarios!E41),0)</f>
        <v/>
      </c>
      <c r="G7" s="337"/>
      <c r="H7" s="337"/>
      <c r="I7" s="338" t="s">
        <v>992</v>
      </c>
      <c r="J7" s="337"/>
      <c r="K7" s="337"/>
      <c r="L7" s="345" t="n">
        <f aca="false">J84</f>
        <v>18750</v>
      </c>
      <c r="M7" s="342" t="s">
        <v>993</v>
      </c>
    </row>
    <row r="8" customFormat="false" ht="15" hidden="false" customHeight="true" outlineLevel="0" collapsed="false">
      <c r="B8" s="338" t="s">
        <v>126</v>
      </c>
      <c r="C8" s="346" t="n">
        <f aca="false">IFERROR(1-C6,0)</f>
        <v>1</v>
      </c>
      <c r="D8" s="342" t="s">
        <v>994</v>
      </c>
      <c r="E8" s="338" t="s">
        <v>995</v>
      </c>
      <c r="F8" s="339" t="n">
        <f aca="false">'Prop Info'!$B$6*C6*12</f>
        <v>0</v>
      </c>
      <c r="G8" s="337"/>
      <c r="H8" s="337"/>
      <c r="I8" s="338" t="s">
        <v>996</v>
      </c>
      <c r="J8" s="337"/>
      <c r="K8" s="337"/>
      <c r="L8" s="345" t="n">
        <f aca="false">K84</f>
        <v>37500</v>
      </c>
      <c r="M8" s="342" t="s">
        <v>997</v>
      </c>
    </row>
    <row r="9" customFormat="false" ht="15.75" hidden="false" customHeight="true" outlineLevel="0" collapsed="false"/>
    <row r="10" customFormat="false" ht="18" hidden="false" customHeight="true" outlineLevel="0" collapsed="false">
      <c r="B10" s="347" t="s">
        <v>998</v>
      </c>
      <c r="C10" s="348"/>
      <c r="D10" s="348"/>
      <c r="E10" s="348"/>
      <c r="F10" s="348"/>
      <c r="G10" s="348"/>
      <c r="H10" s="348"/>
      <c r="I10" s="348"/>
      <c r="J10" s="348"/>
      <c r="K10" s="348"/>
      <c r="L10" s="348"/>
      <c r="M10" s="348"/>
      <c r="N10" s="348"/>
    </row>
    <row r="11" customFormat="false" ht="15" hidden="false" customHeight="true" outlineLevel="1" collapsed="false">
      <c r="B11" s="349" t="s">
        <v>999</v>
      </c>
      <c r="C11" s="350"/>
      <c r="D11" s="350"/>
      <c r="E11" s="350"/>
      <c r="F11" s="350"/>
      <c r="G11" s="350"/>
      <c r="H11" s="350"/>
      <c r="I11" s="350"/>
      <c r="J11" s="350"/>
      <c r="K11" s="350"/>
      <c r="L11" s="350"/>
      <c r="M11" s="350"/>
      <c r="N11" s="350"/>
    </row>
    <row r="12" customFormat="false" ht="27.75" hidden="false" customHeight="true" outlineLevel="1" collapsed="false">
      <c r="A12" s="351" t="s">
        <v>356</v>
      </c>
      <c r="B12" s="352" t="s">
        <v>1000</v>
      </c>
      <c r="C12" s="352" t="s">
        <v>1001</v>
      </c>
      <c r="D12" s="352" t="s">
        <v>1002</v>
      </c>
      <c r="E12" s="352" t="s">
        <v>1003</v>
      </c>
      <c r="F12" s="352" t="s">
        <v>1004</v>
      </c>
      <c r="G12" s="352" t="s">
        <v>1005</v>
      </c>
      <c r="H12" s="352" t="s">
        <v>1006</v>
      </c>
      <c r="I12" s="352" t="s">
        <v>1007</v>
      </c>
      <c r="J12" s="352" t="s">
        <v>1008</v>
      </c>
      <c r="K12" s="352" t="s">
        <v>1009</v>
      </c>
      <c r="L12" s="352" t="s">
        <v>1010</v>
      </c>
      <c r="M12" s="352" t="s">
        <v>1011</v>
      </c>
      <c r="N12" s="352" t="s">
        <v>55</v>
      </c>
    </row>
    <row r="13" customFormat="false" ht="20.25" hidden="false" customHeight="true" outlineLevel="1" collapsed="false">
      <c r="A13" s="353" t="n">
        <v>1</v>
      </c>
      <c r="B13" s="334" t="s">
        <v>303</v>
      </c>
      <c r="C13" s="339" t="n">
        <f aca="false">'T-12 Analysis'!N96</f>
        <v>0</v>
      </c>
      <c r="D13" s="354" t="n">
        <f aca="false">SUMIFS('T-12 Analysis'!$O$106:$O$255,'T-12 Analysis'!$P$106:$P$255,_StdCOA!$A$42)</f>
        <v>0</v>
      </c>
      <c r="E13" s="346" t="n">
        <f aca="false">IFERROR(D13/C13,0)</f>
        <v>0</v>
      </c>
      <c r="F13" s="355" t="n">
        <v>0.7</v>
      </c>
      <c r="G13" s="356" t="s">
        <v>46</v>
      </c>
      <c r="H13" s="354" t="n">
        <f aca="false">MAX(C13*F13-D13,0)</f>
        <v>0</v>
      </c>
      <c r="I13" s="357"/>
      <c r="J13" s="354" t="n">
        <f aca="false">0</f>
        <v>0</v>
      </c>
      <c r="K13" s="354" t="n">
        <f aca="false">H13</f>
        <v>0</v>
      </c>
      <c r="L13" s="354" t="n">
        <f aca="false">D13+J13</f>
        <v>0</v>
      </c>
      <c r="M13" s="354" t="n">
        <f aca="false">D13+K13</f>
        <v>0</v>
      </c>
      <c r="N13" s="333" t="s">
        <v>1012</v>
      </c>
    </row>
    <row r="14" customFormat="false" ht="20.25" hidden="false" customHeight="true" outlineLevel="1" collapsed="false">
      <c r="A14" s="353" t="n">
        <v>2</v>
      </c>
      <c r="B14" s="334" t="s">
        <v>304</v>
      </c>
      <c r="C14" s="339" t="n">
        <f aca="false">'T-12 Analysis'!N94</f>
        <v>0</v>
      </c>
      <c r="D14" s="339" t="n">
        <f aca="false">SUMIFS('T-12 Analysis'!$O$106:$O$255,'T-12 Analysis'!$P$106:$P$255,_StdCOA!$A$43)</f>
        <v>0</v>
      </c>
      <c r="E14" s="346" t="n">
        <f aca="false">IFERROR(D14/C14,0)</f>
        <v>0</v>
      </c>
      <c r="F14" s="355" t="n">
        <v>0</v>
      </c>
      <c r="G14" s="356" t="s">
        <v>46</v>
      </c>
      <c r="H14" s="354" t="n">
        <f aca="false">MAX(C14*F14-D14,0)</f>
        <v>0</v>
      </c>
      <c r="I14" s="357"/>
      <c r="J14" s="354" t="n">
        <f aca="false">0</f>
        <v>0</v>
      </c>
      <c r="K14" s="354" t="n">
        <f aca="false">H14</f>
        <v>0</v>
      </c>
      <c r="L14" s="354" t="n">
        <f aca="false">D14+J14</f>
        <v>0</v>
      </c>
      <c r="M14" s="354" t="n">
        <f aca="false">D14+K14</f>
        <v>0</v>
      </c>
      <c r="N14" s="333" t="s">
        <v>1013</v>
      </c>
    </row>
    <row r="15" customFormat="false" ht="15" hidden="false" customHeight="true" outlineLevel="1" collapsed="false">
      <c r="A15" s="353" t="n">
        <v>3</v>
      </c>
      <c r="B15" s="334" t="s">
        <v>305</v>
      </c>
      <c r="C15" s="339" t="n">
        <f aca="false">'T-12 Analysis'!N95</f>
        <v>0</v>
      </c>
      <c r="D15" s="354" t="n">
        <f aca="false">SUMIFS('T-12 Analysis'!$O$106:$O$255,'T-12 Analysis'!$P$106:$P$255,_StdCOA!$A$47)</f>
        <v>0</v>
      </c>
      <c r="E15" s="346" t="n">
        <f aca="false">IFERROR(D15/C15,0)</f>
        <v>0</v>
      </c>
      <c r="F15" s="355" t="n">
        <v>0</v>
      </c>
      <c r="G15" s="356" t="s">
        <v>46</v>
      </c>
      <c r="H15" s="354" t="n">
        <f aca="false">MAX(C15*F15-D15,0)</f>
        <v>0</v>
      </c>
      <c r="I15" s="357"/>
      <c r="J15" s="354" t="n">
        <f aca="false">0</f>
        <v>0</v>
      </c>
      <c r="K15" s="354" t="n">
        <f aca="false">H15</f>
        <v>0</v>
      </c>
      <c r="L15" s="354" t="n">
        <f aca="false">D15+J15</f>
        <v>0</v>
      </c>
      <c r="M15" s="354" t="n">
        <f aca="false">D15+K15</f>
        <v>0</v>
      </c>
      <c r="N15" s="333" t="s">
        <v>1014</v>
      </c>
    </row>
    <row r="16" customFormat="false" ht="20.25" hidden="false" customHeight="true" outlineLevel="1" collapsed="false">
      <c r="A16" s="353" t="n">
        <v>4</v>
      </c>
      <c r="B16" s="334" t="s">
        <v>306</v>
      </c>
      <c r="C16" s="339" t="n">
        <f aca="false">'T-12 Analysis'!N97</f>
        <v>0</v>
      </c>
      <c r="D16" s="354" t="n">
        <f aca="false">SUMIFS('T-12 Analysis'!$O$106:$O$255,'T-12 Analysis'!$P$106:$P$255,_StdCOA!$A$44)</f>
        <v>0</v>
      </c>
      <c r="E16" s="346" t="n">
        <f aca="false">IFERROR(D16/C16,0)</f>
        <v>0</v>
      </c>
      <c r="F16" s="355" t="n">
        <v>0.5</v>
      </c>
      <c r="G16" s="356" t="s">
        <v>46</v>
      </c>
      <c r="H16" s="354" t="n">
        <f aca="false">MAX(C16*F16-D16,0)</f>
        <v>0</v>
      </c>
      <c r="I16" s="357"/>
      <c r="J16" s="354" t="n">
        <f aca="false">0</f>
        <v>0</v>
      </c>
      <c r="K16" s="354" t="n">
        <f aca="false">H16</f>
        <v>0</v>
      </c>
      <c r="L16" s="354" t="n">
        <f aca="false">D16+J16</f>
        <v>0</v>
      </c>
      <c r="M16" s="354" t="n">
        <f aca="false">D16+K16</f>
        <v>0</v>
      </c>
      <c r="N16" s="333" t="s">
        <v>1015</v>
      </c>
    </row>
    <row r="17" customFormat="false" ht="15" hidden="false" customHeight="true" outlineLevel="1" collapsed="false">
      <c r="A17" s="353" t="n">
        <v>5</v>
      </c>
      <c r="B17" s="334" t="s">
        <v>307</v>
      </c>
      <c r="C17" s="339" t="n">
        <f aca="false">'T-12 Analysis'!N98</f>
        <v>0</v>
      </c>
      <c r="D17" s="354" t="n">
        <f aca="false">SUMIFS('T-12 Analysis'!$O$106:$O$255,'T-12 Analysis'!$P$106:$P$255,_StdCOA!$A$48)</f>
        <v>0</v>
      </c>
      <c r="E17" s="346" t="n">
        <f aca="false">IFERROR(D17/C17,0)</f>
        <v>0</v>
      </c>
      <c r="F17" s="355" t="n">
        <v>1</v>
      </c>
      <c r="G17" s="356" t="s">
        <v>46</v>
      </c>
      <c r="H17" s="354" t="n">
        <f aca="false">MAX(C17*F17-D17,0)</f>
        <v>0</v>
      </c>
      <c r="I17" s="357"/>
      <c r="J17" s="354" t="n">
        <f aca="false">0</f>
        <v>0</v>
      </c>
      <c r="K17" s="354" t="n">
        <f aca="false">H17</f>
        <v>0</v>
      </c>
      <c r="L17" s="354" t="n">
        <f aca="false">D17+J17</f>
        <v>0</v>
      </c>
      <c r="M17" s="354" t="n">
        <f aca="false">D17+K17</f>
        <v>0</v>
      </c>
      <c r="N17" s="333" t="s">
        <v>1016</v>
      </c>
    </row>
    <row r="18" customFormat="false" ht="20.25" hidden="false" customHeight="true" outlineLevel="1" collapsed="false">
      <c r="A18" s="353" t="n">
        <v>6</v>
      </c>
      <c r="B18" s="334" t="s">
        <v>308</v>
      </c>
      <c r="C18" s="339" t="n">
        <f aca="false">'T-12 Analysis'!N85</f>
        <v>0</v>
      </c>
      <c r="D18" s="339" t="n">
        <f aca="false">SUMIFS('T-12 Analysis'!$O$106:$O$255,'T-12 Analysis'!$P$106:$P$255,_StdCOA!$A$46)</f>
        <v>0</v>
      </c>
      <c r="E18" s="346" t="n">
        <f aca="false">IFERROR(D18/C18,0)</f>
        <v>0</v>
      </c>
      <c r="F18" s="355" t="n">
        <v>0.5</v>
      </c>
      <c r="G18" s="356" t="s">
        <v>46</v>
      </c>
      <c r="H18" s="354" t="n">
        <f aca="false">MAX(C18*F18-D18,0)</f>
        <v>0</v>
      </c>
      <c r="I18" s="357"/>
      <c r="J18" s="354" t="n">
        <f aca="false">0</f>
        <v>0</v>
      </c>
      <c r="K18" s="354" t="n">
        <f aca="false">H18</f>
        <v>0</v>
      </c>
      <c r="L18" s="354" t="n">
        <f aca="false">D18+J18</f>
        <v>0</v>
      </c>
      <c r="M18" s="354" t="n">
        <f aca="false">D18+K18</f>
        <v>0</v>
      </c>
      <c r="N18" s="333" t="s">
        <v>1017</v>
      </c>
    </row>
    <row r="19" customFormat="false" ht="20.25" hidden="false" customHeight="true" outlineLevel="1" collapsed="false">
      <c r="A19" s="353" t="n">
        <v>7</v>
      </c>
      <c r="B19" s="334" t="s">
        <v>309</v>
      </c>
      <c r="C19" s="354" t="n">
        <f aca="false">0</f>
        <v>0</v>
      </c>
      <c r="D19" s="339" t="n">
        <f aca="false">SUMIFS('T-12 Analysis'!$O$106:$O$255,'T-12 Analysis'!$P$106:$P$255,_StdCOA!$A$45)</f>
        <v>0</v>
      </c>
      <c r="E19" s="358" t="s">
        <v>1005</v>
      </c>
      <c r="F19" s="356" t="s">
        <v>1005</v>
      </c>
      <c r="G19" s="356" t="s">
        <v>1005</v>
      </c>
      <c r="H19" s="354" t="n">
        <f aca="false">0</f>
        <v>0</v>
      </c>
      <c r="I19" s="357"/>
      <c r="J19" s="354" t="n">
        <f aca="false">0</f>
        <v>0</v>
      </c>
      <c r="K19" s="354" t="n">
        <f aca="false">0</f>
        <v>0</v>
      </c>
      <c r="L19" s="354" t="n">
        <f aca="false">D19</f>
        <v>0</v>
      </c>
      <c r="M19" s="354" t="n">
        <f aca="false">D19</f>
        <v>0</v>
      </c>
      <c r="N19" s="333" t="s">
        <v>1018</v>
      </c>
    </row>
    <row r="20" customFormat="false" ht="15" hidden="false" customHeight="true" outlineLevel="1" collapsed="false">
      <c r="A20" s="359"/>
      <c r="B20" s="360" t="s">
        <v>49</v>
      </c>
      <c r="C20" s="361" t="n">
        <f aca="false">SUM(C13:C19)</f>
        <v>0</v>
      </c>
      <c r="D20" s="361" t="n">
        <f aca="false">SUM(D13:D19)</f>
        <v>0</v>
      </c>
      <c r="E20" s="362" t="n">
        <f aca="false">IFERROR(D20/C20,0)</f>
        <v>0</v>
      </c>
      <c r="F20" s="359"/>
      <c r="G20" s="363"/>
      <c r="H20" s="361" t="n">
        <f aca="false">SUM(H13:H19)</f>
        <v>0</v>
      </c>
      <c r="I20" s="359"/>
      <c r="J20" s="361" t="n">
        <f aca="false">SUM(J13:J19)</f>
        <v>0</v>
      </c>
      <c r="K20" s="361" t="n">
        <f aca="false">SUM(K13:K19)</f>
        <v>0</v>
      </c>
      <c r="L20" s="361" t="n">
        <f aca="false">SUM(L13:L19)</f>
        <v>0</v>
      </c>
      <c r="M20" s="361" t="n">
        <f aca="false">SUM(M13:M19)</f>
        <v>0</v>
      </c>
      <c r="N20" s="359"/>
    </row>
    <row r="21" customFormat="false" ht="20.25" hidden="false" customHeight="true" outlineLevel="1" collapsed="false">
      <c r="B21" s="333" t="s">
        <v>1019</v>
      </c>
      <c r="D21" s="364" t="str">
        <f aca="false">IF(ABS(D20-'T-12 Analysis'!N71)&lt;1,"✓ ties to T-12!N71","⚠ off by $"&amp;TEXT(D20-'T-12 Analysis'!N71,"#,##0"))</f>
        <v>✓ ties to T-12!N71</v>
      </c>
      <c r="E21" s="333" t="s">
        <v>1020</v>
      </c>
    </row>
    <row r="22" customFormat="false" ht="15" hidden="false" customHeight="true" outlineLevel="1" collapsed="false"/>
    <row r="23" customFormat="false" ht="18" hidden="false" customHeight="true" outlineLevel="0" collapsed="false">
      <c r="B23" s="347" t="s">
        <v>1021</v>
      </c>
      <c r="C23" s="348"/>
      <c r="D23" s="348"/>
      <c r="E23" s="348"/>
      <c r="F23" s="348"/>
      <c r="G23" s="348"/>
      <c r="H23" s="348"/>
      <c r="I23" s="348"/>
      <c r="J23" s="348"/>
      <c r="K23" s="348"/>
      <c r="L23" s="348"/>
      <c r="M23" s="348"/>
      <c r="N23" s="348"/>
    </row>
    <row r="24" customFormat="false" ht="39.75" hidden="false" customHeight="true" outlineLevel="1" collapsed="false">
      <c r="B24" s="349" t="s">
        <v>1022</v>
      </c>
      <c r="C24" s="350"/>
      <c r="D24" s="350"/>
      <c r="E24" s="350"/>
      <c r="F24" s="350"/>
      <c r="G24" s="350"/>
      <c r="H24" s="350"/>
      <c r="I24" s="350"/>
      <c r="J24" s="350"/>
      <c r="K24" s="350"/>
      <c r="L24" s="350"/>
      <c r="M24" s="350"/>
      <c r="N24" s="350"/>
    </row>
    <row r="25" customFormat="false" ht="27.75" hidden="false" customHeight="true" outlineLevel="1" collapsed="false">
      <c r="A25" s="351" t="s">
        <v>356</v>
      </c>
      <c r="B25" s="352" t="s">
        <v>11</v>
      </c>
      <c r="C25" s="352" t="s">
        <v>1023</v>
      </c>
      <c r="D25" s="352" t="s">
        <v>1024</v>
      </c>
      <c r="E25" s="352" t="s">
        <v>1025</v>
      </c>
      <c r="F25" s="352" t="s">
        <v>1026</v>
      </c>
      <c r="G25" s="352" t="s">
        <v>46</v>
      </c>
      <c r="H25" s="352" t="s">
        <v>1027</v>
      </c>
      <c r="I25" s="352" t="s">
        <v>1007</v>
      </c>
      <c r="J25" s="352" t="s">
        <v>1008</v>
      </c>
      <c r="K25" s="352" t="s">
        <v>1009</v>
      </c>
      <c r="L25" s="352" t="s">
        <v>1028</v>
      </c>
      <c r="M25" s="352" t="s">
        <v>1029</v>
      </c>
      <c r="N25" s="352" t="s">
        <v>55</v>
      </c>
    </row>
    <row r="26" customFormat="false" ht="15" hidden="false" customHeight="true" outlineLevel="1" collapsed="false">
      <c r="A26" s="353" t="n">
        <v>1</v>
      </c>
      <c r="B26" s="334" t="s">
        <v>310</v>
      </c>
      <c r="C26" s="339" t="n">
        <f aca="false">IF(C3="1. T-12 Actuals",'Rent Roll Analysis'!B28,CHOOSE(MATCH(C3,{"1. T-12 Actuals","2. My Version","3. Projected","4. Offer"},0),Scenarios!B39,Scenarios!C39,Scenarios!D39,Scenarios!E39)*'Prop Info'!$B$6*12-'Rent Roll Analysis'!B27)</f>
        <v>0</v>
      </c>
      <c r="D26" s="354" t="n">
        <f aca="false">ABS(C26)</f>
        <v>0</v>
      </c>
      <c r="E26" s="355" t="n">
        <v>0.3</v>
      </c>
      <c r="F26" s="355" t="n">
        <v>0.7</v>
      </c>
      <c r="G26" s="358" t="s">
        <v>46</v>
      </c>
      <c r="H26" s="354" t="n">
        <f aca="false">D26</f>
        <v>0</v>
      </c>
      <c r="I26" s="365"/>
      <c r="J26" s="354" t="n">
        <f aca="false">D26*E26</f>
        <v>0</v>
      </c>
      <c r="K26" s="354" t="n">
        <f aca="false">D26*F26</f>
        <v>0</v>
      </c>
      <c r="L26" s="366" t="n">
        <f aca="false">J26</f>
        <v>0</v>
      </c>
      <c r="M26" s="366" t="n">
        <f aca="false">K26</f>
        <v>0</v>
      </c>
      <c r="N26" s="333" t="s">
        <v>1030</v>
      </c>
    </row>
    <row r="27" customFormat="false" ht="15" hidden="false" customHeight="true" outlineLevel="1" collapsed="false">
      <c r="A27" s="353" t="n">
        <v>2</v>
      </c>
      <c r="B27" s="334" t="s">
        <v>311</v>
      </c>
      <c r="C27" s="339" t="n">
        <f aca="false">IF(C3="1. T-12 Actuals",'Rent Roll Analysis'!B30,-CHOOSE(MATCH(C3,{"1. T-12 Actuals","2. My Version","3. Projected","4. Offer"},0),Scenarios!B39,Scenarios!C39,Scenarios!D39,Scenarios!E39)*'Prop Info'!$B$6*12*CHOOSE(MATCH(C3,{"1. T-12 Actuals","2. My Version","3. Projected","4. Offer"},0),Scenarios!B41,Scenarios!C41,Scenarios!D41,Scenarios!E41))</f>
        <v>-0</v>
      </c>
      <c r="D27" s="354" t="n">
        <f aca="false">ABS(C27)</f>
        <v>0</v>
      </c>
      <c r="E27" s="355" t="n">
        <v>0.4</v>
      </c>
      <c r="F27" s="355" t="n">
        <v>0.85</v>
      </c>
      <c r="G27" s="358" t="s">
        <v>46</v>
      </c>
      <c r="H27" s="354" t="n">
        <f aca="false">D27</f>
        <v>0</v>
      </c>
      <c r="I27" s="365"/>
      <c r="J27" s="354" t="n">
        <f aca="false">D27*E27</f>
        <v>0</v>
      </c>
      <c r="K27" s="354" t="n">
        <f aca="false">D27*F27</f>
        <v>0</v>
      </c>
      <c r="L27" s="366" t="n">
        <f aca="false">J27</f>
        <v>0</v>
      </c>
      <c r="M27" s="366" t="n">
        <f aca="false">K27</f>
        <v>0</v>
      </c>
      <c r="N27" s="333" t="s">
        <v>1031</v>
      </c>
    </row>
    <row r="28" customFormat="false" ht="15" hidden="false" customHeight="true" outlineLevel="1" collapsed="false">
      <c r="A28" s="353" t="n">
        <v>3</v>
      </c>
      <c r="B28" s="334" t="s">
        <v>312</v>
      </c>
      <c r="C28" s="339" t="n">
        <f aca="false">'Rent Roll Analysis'!B31</f>
        <v>0</v>
      </c>
      <c r="D28" s="354" t="n">
        <f aca="false">ABS(C28)</f>
        <v>0</v>
      </c>
      <c r="E28" s="355" t="n">
        <v>0.5</v>
      </c>
      <c r="F28" s="355" t="n">
        <v>0.8</v>
      </c>
      <c r="G28" s="358" t="s">
        <v>46</v>
      </c>
      <c r="H28" s="354" t="n">
        <f aca="false">D28</f>
        <v>0</v>
      </c>
      <c r="I28" s="365"/>
      <c r="J28" s="354" t="n">
        <f aca="false">D28*E28</f>
        <v>0</v>
      </c>
      <c r="K28" s="354" t="n">
        <f aca="false">D28*F28</f>
        <v>0</v>
      </c>
      <c r="L28" s="366" t="n">
        <f aca="false">J28</f>
        <v>0</v>
      </c>
      <c r="M28" s="366" t="n">
        <f aca="false">K28</f>
        <v>0</v>
      </c>
      <c r="N28" s="333" t="s">
        <v>1032</v>
      </c>
    </row>
    <row r="29" customFormat="false" ht="15" hidden="false" customHeight="true" outlineLevel="1" collapsed="false">
      <c r="A29" s="353" t="n">
        <v>4</v>
      </c>
      <c r="B29" s="334" t="s">
        <v>313</v>
      </c>
      <c r="C29" s="339" t="n">
        <f aca="false">IFERROR(Capex!$D$51,0)</f>
        <v>0</v>
      </c>
      <c r="D29" s="354" t="n">
        <f aca="false">ABS(C29)</f>
        <v>0</v>
      </c>
      <c r="E29" s="355" t="n">
        <v>0</v>
      </c>
      <c r="F29" s="355" t="n">
        <v>1</v>
      </c>
      <c r="G29" s="358" t="s">
        <v>46</v>
      </c>
      <c r="H29" s="354" t="n">
        <f aca="false">D29</f>
        <v>0</v>
      </c>
      <c r="I29" s="365"/>
      <c r="J29" s="354" t="n">
        <f aca="false">D29*E29</f>
        <v>0</v>
      </c>
      <c r="K29" s="354" t="n">
        <f aca="false">D29*F29</f>
        <v>0</v>
      </c>
      <c r="L29" s="366" t="n">
        <f aca="false">J29</f>
        <v>0</v>
      </c>
      <c r="M29" s="366" t="n">
        <f aca="false">K29</f>
        <v>0</v>
      </c>
      <c r="N29" s="333" t="s">
        <v>1033</v>
      </c>
    </row>
    <row r="30" customFormat="false" ht="15" hidden="false" customHeight="true" outlineLevel="1" collapsed="false">
      <c r="A30" s="359"/>
      <c r="B30" s="360" t="s">
        <v>49</v>
      </c>
      <c r="C30" s="359"/>
      <c r="D30" s="361" t="n">
        <f aca="false">SUM(D26:D29)</f>
        <v>0</v>
      </c>
      <c r="E30" s="359"/>
      <c r="F30" s="359"/>
      <c r="G30" s="359"/>
      <c r="H30" s="359"/>
      <c r="I30" s="359"/>
      <c r="J30" s="361" t="n">
        <f aca="false">SUM(J26:J29)</f>
        <v>0</v>
      </c>
      <c r="K30" s="361" t="n">
        <f aca="false">SUM(K26:K29)</f>
        <v>0</v>
      </c>
      <c r="L30" s="341" t="n">
        <f aca="false">SUM(L26:L29)</f>
        <v>0</v>
      </c>
      <c r="M30" s="341" t="n">
        <f aca="false">SUM(M26:M29)</f>
        <v>0</v>
      </c>
      <c r="N30" s="359"/>
    </row>
    <row r="31" customFormat="false" ht="15" hidden="false" customHeight="true" outlineLevel="1" collapsed="false"/>
    <row r="32" customFormat="false" ht="18" hidden="false" customHeight="true" outlineLevel="0" collapsed="false">
      <c r="B32" s="347" t="s">
        <v>1034</v>
      </c>
      <c r="C32" s="348"/>
      <c r="D32" s="348"/>
      <c r="E32" s="348"/>
      <c r="F32" s="348"/>
      <c r="G32" s="348"/>
      <c r="H32" s="348"/>
      <c r="I32" s="348"/>
      <c r="J32" s="348"/>
      <c r="K32" s="348"/>
      <c r="L32" s="348"/>
      <c r="M32" s="348"/>
      <c r="N32" s="348"/>
    </row>
    <row r="33" customFormat="false" ht="49.5" hidden="false" customHeight="true" outlineLevel="1" collapsed="false">
      <c r="B33" s="349" t="s">
        <v>1035</v>
      </c>
      <c r="C33" s="350"/>
      <c r="D33" s="350"/>
      <c r="E33" s="350"/>
      <c r="F33" s="350"/>
      <c r="G33" s="350"/>
      <c r="H33" s="350"/>
      <c r="I33" s="350"/>
      <c r="J33" s="350"/>
      <c r="K33" s="350"/>
      <c r="L33" s="350"/>
      <c r="M33" s="350"/>
      <c r="N33" s="350"/>
    </row>
    <row r="34" customFormat="false" ht="27.75" hidden="false" customHeight="true" outlineLevel="1" collapsed="false">
      <c r="A34" s="351" t="s">
        <v>356</v>
      </c>
      <c r="B34" s="352" t="s">
        <v>1036</v>
      </c>
      <c r="C34" s="352" t="s">
        <v>1037</v>
      </c>
      <c r="D34" s="352" t="s">
        <v>1038</v>
      </c>
      <c r="E34" s="352" t="s">
        <v>1039</v>
      </c>
      <c r="F34" s="352" t="s">
        <v>1040</v>
      </c>
      <c r="G34" s="352" t="s">
        <v>1041</v>
      </c>
      <c r="H34" s="352" t="s">
        <v>1006</v>
      </c>
      <c r="I34" s="352" t="s">
        <v>1007</v>
      </c>
      <c r="J34" s="352" t="s">
        <v>1008</v>
      </c>
      <c r="K34" s="352" t="s">
        <v>1009</v>
      </c>
      <c r="L34" s="352" t="s">
        <v>1028</v>
      </c>
      <c r="M34" s="352" t="s">
        <v>1029</v>
      </c>
      <c r="N34" s="352" t="s">
        <v>55</v>
      </c>
    </row>
    <row r="35" customFormat="false" ht="20.25" hidden="false" customHeight="true" outlineLevel="1" collapsed="false">
      <c r="A35" s="353" t="n">
        <v>1</v>
      </c>
      <c r="B35" s="334" t="s">
        <v>314</v>
      </c>
      <c r="C35" s="339" t="n">
        <f aca="false">'T-12 Analysis'!N72</f>
        <v>0</v>
      </c>
      <c r="D35" s="344" t="n">
        <f aca="false">IFERROR(C35/'Prop Info'!$B$6/12,0)</f>
        <v>0</v>
      </c>
      <c r="E35" s="367" t="n">
        <v>35</v>
      </c>
      <c r="F35" s="355" t="n">
        <v>0.2</v>
      </c>
      <c r="G35" s="346" t="n">
        <f aca="false">IFERROR(D35/E35,0)</f>
        <v>0</v>
      </c>
      <c r="H35" s="339" t="n">
        <f aca="false">MAX(E35*F35*'Prop Info'!$B$6*12-C35,0)</f>
        <v>0</v>
      </c>
      <c r="I35" s="365" t="s">
        <v>1042</v>
      </c>
      <c r="J35" s="339" t="n">
        <f aca="false">MAX(E35*F35*'Prop Info'!$B$6*12*0.5-C35,0)</f>
        <v>0</v>
      </c>
      <c r="K35" s="339" t="n">
        <f aca="false">MAX(E35*F35*'Prop Info'!$B$6*12-C35,0)</f>
        <v>0</v>
      </c>
      <c r="L35" s="366" t="n">
        <f aca="false">C35+J35</f>
        <v>0</v>
      </c>
      <c r="M35" s="366" t="n">
        <f aca="false">C35+K35</f>
        <v>0</v>
      </c>
      <c r="N35" s="333" t="s">
        <v>1043</v>
      </c>
    </row>
    <row r="36" customFormat="false" ht="20.25" hidden="false" customHeight="true" outlineLevel="1" collapsed="false">
      <c r="A36" s="353" t="n">
        <v>2</v>
      </c>
      <c r="B36" s="334" t="s">
        <v>315</v>
      </c>
      <c r="C36" s="354" t="n">
        <f aca="false">0</f>
        <v>0</v>
      </c>
      <c r="D36" s="344" t="n">
        <f aca="false">IFERROR(C36/'Prop Info'!$B$6/12,0)</f>
        <v>0</v>
      </c>
      <c r="E36" s="367" t="n">
        <v>25</v>
      </c>
      <c r="F36" s="368"/>
      <c r="G36" s="346" t="n">
        <f aca="false">IFERROR(D36/E36,0)</f>
        <v>0</v>
      </c>
      <c r="H36" s="339" t="n">
        <f aca="false">MAX(E36*F36*'Prop Info'!$B$6*12-C36,0)</f>
        <v>0</v>
      </c>
      <c r="I36" s="365"/>
      <c r="J36" s="339" t="n">
        <f aca="false">MAX(E36*F36*'Prop Info'!$B$6*12*0.5-C36,0)</f>
        <v>0</v>
      </c>
      <c r="K36" s="339" t="n">
        <f aca="false">MAX(E36*F36*'Prop Info'!$B$6*12-C36,0)</f>
        <v>0</v>
      </c>
      <c r="L36" s="366" t="n">
        <f aca="false">C36+J36</f>
        <v>0</v>
      </c>
      <c r="M36" s="366" t="n">
        <f aca="false">C36+K36</f>
        <v>0</v>
      </c>
      <c r="N36" s="333" t="s">
        <v>1044</v>
      </c>
    </row>
    <row r="37" customFormat="false" ht="15" hidden="false" customHeight="true" outlineLevel="1" collapsed="false">
      <c r="A37" s="353" t="n">
        <v>3</v>
      </c>
      <c r="B37" s="334" t="s">
        <v>316</v>
      </c>
      <c r="C37" s="354" t="n">
        <f aca="false">0</f>
        <v>0</v>
      </c>
      <c r="D37" s="344" t="n">
        <f aca="false">IFERROR(C37/'Prop Info'!$B$6/12,0)</f>
        <v>0</v>
      </c>
      <c r="E37" s="367" t="n">
        <v>50</v>
      </c>
      <c r="F37" s="368"/>
      <c r="G37" s="346" t="n">
        <f aca="false">IFERROR(D37/E37,0)</f>
        <v>0</v>
      </c>
      <c r="H37" s="339" t="n">
        <f aca="false">MAX(E37*F37*'Prop Info'!$B$6*12-C37,0)</f>
        <v>0</v>
      </c>
      <c r="I37" s="365"/>
      <c r="J37" s="339" t="n">
        <f aca="false">MAX(E37*F37*'Prop Info'!$B$6*12*0.5-C37,0)</f>
        <v>0</v>
      </c>
      <c r="K37" s="339" t="n">
        <f aca="false">MAX(E37*F37*'Prop Info'!$B$6*12-C37,0)</f>
        <v>0</v>
      </c>
      <c r="L37" s="366" t="n">
        <f aca="false">C37+J37</f>
        <v>0</v>
      </c>
      <c r="M37" s="366" t="n">
        <f aca="false">C37+K37</f>
        <v>0</v>
      </c>
      <c r="N37" s="333" t="s">
        <v>1045</v>
      </c>
    </row>
    <row r="38" customFormat="false" ht="20.25" hidden="false" customHeight="true" outlineLevel="1" collapsed="false">
      <c r="A38" s="353" t="n">
        <v>4</v>
      </c>
      <c r="B38" s="334" t="s">
        <v>317</v>
      </c>
      <c r="C38" s="354" t="n">
        <f aca="false">0</f>
        <v>0</v>
      </c>
      <c r="D38" s="344" t="n">
        <f aca="false">IFERROR(C38/'Prop Info'!$B$6/12,0)</f>
        <v>0</v>
      </c>
      <c r="E38" s="367" t="n">
        <v>75</v>
      </c>
      <c r="F38" s="368"/>
      <c r="G38" s="346" t="n">
        <f aca="false">IFERROR(D38/E38,0)</f>
        <v>0</v>
      </c>
      <c r="H38" s="339" t="n">
        <f aca="false">MAX(E38*F38*'Prop Info'!$B$6*12-C38,0)</f>
        <v>0</v>
      </c>
      <c r="I38" s="365"/>
      <c r="J38" s="339" t="n">
        <f aca="false">MAX(E38*F38*'Prop Info'!$B$6*12*0.5-C38,0)</f>
        <v>0</v>
      </c>
      <c r="K38" s="339" t="n">
        <f aca="false">MAX(E38*F38*'Prop Info'!$B$6*12-C38,0)</f>
        <v>0</v>
      </c>
      <c r="L38" s="366" t="n">
        <f aca="false">C38+J38</f>
        <v>0</v>
      </c>
      <c r="M38" s="366" t="n">
        <f aca="false">C38+K38</f>
        <v>0</v>
      </c>
      <c r="N38" s="333" t="s">
        <v>1046</v>
      </c>
    </row>
    <row r="39" customFormat="false" ht="20.25" hidden="false" customHeight="true" outlineLevel="1" collapsed="false">
      <c r="A39" s="353" t="n">
        <v>5</v>
      </c>
      <c r="B39" s="334" t="s">
        <v>318</v>
      </c>
      <c r="C39" s="339" t="n">
        <f aca="false">'T-12 Analysis'!N70</f>
        <v>0</v>
      </c>
      <c r="D39" s="344" t="n">
        <f aca="false">IFERROR(C39/'Prop Info'!$B$6/12,0)</f>
        <v>0</v>
      </c>
      <c r="E39" s="367" t="n">
        <v>75</v>
      </c>
      <c r="F39" s="355" t="n">
        <v>0.1</v>
      </c>
      <c r="G39" s="346" t="n">
        <f aca="false">IFERROR(D39/E39,0)</f>
        <v>0</v>
      </c>
      <c r="H39" s="339" t="n">
        <f aca="false">MAX(E39*F39*'Prop Info'!$B$6*12-C39,0)</f>
        <v>0</v>
      </c>
      <c r="I39" s="365"/>
      <c r="J39" s="339" t="n">
        <f aca="false">MAX(E39*F39*'Prop Info'!$B$6*12*0.5-C39,0)</f>
        <v>0</v>
      </c>
      <c r="K39" s="339" t="n">
        <f aca="false">MAX(E39*F39*'Prop Info'!$B$6*12-C39,0)</f>
        <v>0</v>
      </c>
      <c r="L39" s="366" t="n">
        <f aca="false">C39+J39</f>
        <v>0</v>
      </c>
      <c r="M39" s="366" t="n">
        <f aca="false">C39+K39</f>
        <v>0</v>
      </c>
      <c r="N39" s="333" t="s">
        <v>1047</v>
      </c>
    </row>
    <row r="40" customFormat="false" ht="20.25" hidden="false" customHeight="true" outlineLevel="1" collapsed="false">
      <c r="A40" s="353" t="n">
        <v>6</v>
      </c>
      <c r="B40" s="334" t="s">
        <v>319</v>
      </c>
      <c r="C40" s="339" t="n">
        <f aca="false">'T-12 Analysis'!N74</f>
        <v>0</v>
      </c>
      <c r="D40" s="344" t="n">
        <f aca="false">IFERROR(C40/'Prop Info'!$B$6/12,0)</f>
        <v>0</v>
      </c>
      <c r="E40" s="367" t="n">
        <v>15</v>
      </c>
      <c r="F40" s="355" t="n">
        <v>1</v>
      </c>
      <c r="G40" s="346" t="n">
        <f aca="false">IFERROR(D40/E40,0)</f>
        <v>0</v>
      </c>
      <c r="H40" s="339" t="n">
        <f aca="false">MAX(E40*F40*'Prop Info'!$B$6*12-C40,0)</f>
        <v>0</v>
      </c>
      <c r="I40" s="365"/>
      <c r="J40" s="339" t="n">
        <f aca="false">MAX(E40*F40*'Prop Info'!$B$6*12*0.5-C40,0)</f>
        <v>0</v>
      </c>
      <c r="K40" s="339" t="n">
        <f aca="false">MAX(E40*F40*'Prop Info'!$B$6*12-C40,0)</f>
        <v>0</v>
      </c>
      <c r="L40" s="366" t="n">
        <f aca="false">C40+J40</f>
        <v>0</v>
      </c>
      <c r="M40" s="366" t="n">
        <f aca="false">C40+K40</f>
        <v>0</v>
      </c>
      <c r="N40" s="333" t="s">
        <v>1048</v>
      </c>
    </row>
    <row r="41" customFormat="false" ht="15" hidden="false" customHeight="true" outlineLevel="1" collapsed="false">
      <c r="A41" s="353" t="n">
        <v>7</v>
      </c>
      <c r="B41" s="334" t="s">
        <v>320</v>
      </c>
      <c r="C41" s="354" t="n">
        <f aca="false">0</f>
        <v>0</v>
      </c>
      <c r="D41" s="344" t="n">
        <f aca="false">IFERROR(C41/'Prop Info'!$B$6/12,0)</f>
        <v>0</v>
      </c>
      <c r="E41" s="367" t="n">
        <v>10</v>
      </c>
      <c r="F41" s="368"/>
      <c r="G41" s="346" t="n">
        <f aca="false">IFERROR(D41/E41,0)</f>
        <v>0</v>
      </c>
      <c r="H41" s="339" t="n">
        <f aca="false">MAX(E41*F41*'Prop Info'!$B$6*12-C41,0)</f>
        <v>0</v>
      </c>
      <c r="I41" s="365"/>
      <c r="J41" s="339" t="n">
        <f aca="false">MAX(E41*F41*'Prop Info'!$B$6*12*0.5-C41,0)</f>
        <v>0</v>
      </c>
      <c r="K41" s="339" t="n">
        <f aca="false">MAX(E41*F41*'Prop Info'!$B$6*12-C41,0)</f>
        <v>0</v>
      </c>
      <c r="L41" s="366" t="n">
        <f aca="false">C41+J41</f>
        <v>0</v>
      </c>
      <c r="M41" s="366" t="n">
        <f aca="false">C41+K41</f>
        <v>0</v>
      </c>
      <c r="N41" s="333" t="s">
        <v>1049</v>
      </c>
    </row>
    <row r="42" customFormat="false" ht="20.25" hidden="false" customHeight="true" outlineLevel="1" collapsed="false">
      <c r="A42" s="353" t="n">
        <v>8</v>
      </c>
      <c r="B42" s="334" t="s">
        <v>321</v>
      </c>
      <c r="C42" s="354" t="n">
        <f aca="false">'T-12 Analysis'!N78</f>
        <v>0</v>
      </c>
      <c r="D42" s="344" t="n">
        <f aca="false">IFERROR(C42/'Prop Info'!$B$6/12,0)</f>
        <v>0</v>
      </c>
      <c r="E42" s="367" t="n">
        <v>12</v>
      </c>
      <c r="F42" s="368"/>
      <c r="G42" s="346" t="n">
        <f aca="false">IFERROR(D42/E42,0)</f>
        <v>0</v>
      </c>
      <c r="H42" s="339" t="n">
        <f aca="false">MAX(E42*F42*'Prop Info'!$B$6*12-C42,0)</f>
        <v>0</v>
      </c>
      <c r="I42" s="365"/>
      <c r="J42" s="339" t="n">
        <f aca="false">MAX(E42*F42*'Prop Info'!$B$6*12*0.5-C42,0)</f>
        <v>0</v>
      </c>
      <c r="K42" s="339" t="n">
        <f aca="false">MAX(E42*F42*'Prop Info'!$B$6*12-C42,0)</f>
        <v>0</v>
      </c>
      <c r="L42" s="366" t="n">
        <f aca="false">C42+J42</f>
        <v>0</v>
      </c>
      <c r="M42" s="366" t="n">
        <f aca="false">C42+K42</f>
        <v>0</v>
      </c>
      <c r="N42" s="333" t="s">
        <v>1050</v>
      </c>
    </row>
    <row r="43" customFormat="false" ht="20.25" hidden="false" customHeight="true" outlineLevel="1" collapsed="false">
      <c r="A43" s="353" t="n">
        <v>9</v>
      </c>
      <c r="B43" s="334" t="s">
        <v>322</v>
      </c>
      <c r="C43" s="354" t="n">
        <f aca="false">0</f>
        <v>0</v>
      </c>
      <c r="D43" s="344" t="n">
        <f aca="false">IFERROR(C43/'Prop Info'!$B$6/12,0)</f>
        <v>0</v>
      </c>
      <c r="E43" s="367" t="n">
        <v>25</v>
      </c>
      <c r="F43" s="355" t="n">
        <v>0.9</v>
      </c>
      <c r="G43" s="346" t="n">
        <f aca="false">IFERROR(D43/E43,0)</f>
        <v>0</v>
      </c>
      <c r="H43" s="339" t="n">
        <f aca="false">MAX(E43*F43*'Prop Info'!$B$6*12-C43,0)</f>
        <v>0</v>
      </c>
      <c r="I43" s="365" t="s">
        <v>1042</v>
      </c>
      <c r="J43" s="339" t="n">
        <f aca="false">MAX(E43*F43*'Prop Info'!$B$6*12*0.5-C43,0)</f>
        <v>0</v>
      </c>
      <c r="K43" s="339" t="n">
        <f aca="false">MAX(E43*F43*'Prop Info'!$B$6*12-C43,0)</f>
        <v>0</v>
      </c>
      <c r="L43" s="366" t="n">
        <f aca="false">C43+J43</f>
        <v>0</v>
      </c>
      <c r="M43" s="366" t="n">
        <f aca="false">C43+K43</f>
        <v>0</v>
      </c>
      <c r="N43" s="333" t="s">
        <v>1051</v>
      </c>
    </row>
    <row r="44" customFormat="false" ht="15" hidden="false" customHeight="true" outlineLevel="1" collapsed="false">
      <c r="A44" s="353" t="n">
        <v>10</v>
      </c>
      <c r="B44" s="334" t="s">
        <v>323</v>
      </c>
      <c r="C44" s="354" t="n">
        <f aca="false">0</f>
        <v>0</v>
      </c>
      <c r="D44" s="344" t="n">
        <f aca="false">IFERROR(C44/'Prop Info'!$B$6/12,0)</f>
        <v>0</v>
      </c>
      <c r="E44" s="367" t="n">
        <v>5</v>
      </c>
      <c r="F44" s="368"/>
      <c r="G44" s="346" t="n">
        <f aca="false">IFERROR(D44/E44,0)</f>
        <v>0</v>
      </c>
      <c r="H44" s="339" t="n">
        <f aca="false">MAX(E44*F44*'Prop Info'!$B$6*12-C44,0)</f>
        <v>0</v>
      </c>
      <c r="I44" s="365"/>
      <c r="J44" s="339" t="n">
        <f aca="false">MAX(E44*F44*'Prop Info'!$B$6*12*0.5-C44,0)</f>
        <v>0</v>
      </c>
      <c r="K44" s="339" t="n">
        <f aca="false">MAX(E44*F44*'Prop Info'!$B$6*12-C44,0)</f>
        <v>0</v>
      </c>
      <c r="L44" s="366" t="n">
        <f aca="false">C44+J44</f>
        <v>0</v>
      </c>
      <c r="M44" s="366" t="n">
        <f aca="false">C44+K44</f>
        <v>0</v>
      </c>
      <c r="N44" s="333" t="s">
        <v>1052</v>
      </c>
    </row>
    <row r="45" customFormat="false" ht="15" hidden="false" customHeight="true" outlineLevel="1" collapsed="false">
      <c r="A45" s="353" t="n">
        <v>11</v>
      </c>
      <c r="B45" s="334" t="s">
        <v>324</v>
      </c>
      <c r="C45" s="354" t="n">
        <f aca="false">0</f>
        <v>0</v>
      </c>
      <c r="D45" s="344" t="n">
        <f aca="false">IFERROR(C45/'Prop Info'!$B$6/12,0)</f>
        <v>0</v>
      </c>
      <c r="E45" s="367" t="n">
        <v>15</v>
      </c>
      <c r="F45" s="368"/>
      <c r="G45" s="346" t="n">
        <f aca="false">IFERROR(D45/E45,0)</f>
        <v>0</v>
      </c>
      <c r="H45" s="339" t="n">
        <f aca="false">MAX(E45*F45*'Prop Info'!$B$6*12-C45,0)</f>
        <v>0</v>
      </c>
      <c r="I45" s="365"/>
      <c r="J45" s="339" t="n">
        <f aca="false">MAX(E45*F45*'Prop Info'!$B$6*12*0.5-C45,0)</f>
        <v>0</v>
      </c>
      <c r="K45" s="339" t="n">
        <f aca="false">MAX(E45*F45*'Prop Info'!$B$6*12-C45,0)</f>
        <v>0</v>
      </c>
      <c r="L45" s="366" t="n">
        <f aca="false">C45+J45</f>
        <v>0</v>
      </c>
      <c r="M45" s="366" t="n">
        <f aca="false">C45+K45</f>
        <v>0</v>
      </c>
      <c r="N45" s="333" t="s">
        <v>1053</v>
      </c>
    </row>
    <row r="46" customFormat="false" ht="20.25" hidden="false" customHeight="true" outlineLevel="1" collapsed="false">
      <c r="A46" s="353" t="n">
        <v>12</v>
      </c>
      <c r="B46" s="334" t="s">
        <v>325</v>
      </c>
      <c r="C46" s="354" t="n">
        <f aca="false">0</f>
        <v>0</v>
      </c>
      <c r="D46" s="344" t="n">
        <f aca="false">IFERROR(C46/'Prop Info'!$B$6/12,0)</f>
        <v>0</v>
      </c>
      <c r="E46" s="367" t="n">
        <v>12</v>
      </c>
      <c r="F46" s="368"/>
      <c r="G46" s="346" t="n">
        <f aca="false">IFERROR(D46/E46,0)</f>
        <v>0</v>
      </c>
      <c r="H46" s="339" t="n">
        <f aca="false">MAX(E46*F46*'Prop Info'!$B$6*12-C46,0)</f>
        <v>0</v>
      </c>
      <c r="I46" s="365"/>
      <c r="J46" s="339" t="n">
        <f aca="false">MAX(E46*F46*'Prop Info'!$B$6*12*0.5-C46,0)</f>
        <v>0</v>
      </c>
      <c r="K46" s="339" t="n">
        <f aca="false">MAX(E46*F46*'Prop Info'!$B$6*12-C46,0)</f>
        <v>0</v>
      </c>
      <c r="L46" s="366" t="n">
        <f aca="false">C46+J46</f>
        <v>0</v>
      </c>
      <c r="M46" s="366" t="n">
        <f aca="false">C46+K46</f>
        <v>0</v>
      </c>
      <c r="N46" s="333" t="s">
        <v>1054</v>
      </c>
    </row>
    <row r="47" customFormat="false" ht="20.25" hidden="false" customHeight="true" outlineLevel="1" collapsed="false">
      <c r="A47" s="353" t="n">
        <v>13</v>
      </c>
      <c r="B47" s="334" t="s">
        <v>326</v>
      </c>
      <c r="C47" s="354" t="n">
        <f aca="false">0</f>
        <v>0</v>
      </c>
      <c r="D47" s="344" t="n">
        <f aca="false">IFERROR(C47/'Prop Info'!$B$6/12,0)</f>
        <v>0</v>
      </c>
      <c r="E47" s="367" t="n">
        <v>8</v>
      </c>
      <c r="F47" s="368"/>
      <c r="G47" s="346" t="n">
        <f aca="false">IFERROR(D47/E47,0)</f>
        <v>0</v>
      </c>
      <c r="H47" s="339" t="n">
        <f aca="false">MAX(E47*F47*'Prop Info'!$B$6*12-C47,0)</f>
        <v>0</v>
      </c>
      <c r="I47" s="365"/>
      <c r="J47" s="339" t="n">
        <f aca="false">MAX(E47*F47*'Prop Info'!$B$6*12*0.5-C47,0)</f>
        <v>0</v>
      </c>
      <c r="K47" s="339" t="n">
        <f aca="false">MAX(E47*F47*'Prop Info'!$B$6*12-C47,0)</f>
        <v>0</v>
      </c>
      <c r="L47" s="366" t="n">
        <f aca="false">C47+J47</f>
        <v>0</v>
      </c>
      <c r="M47" s="366" t="n">
        <f aca="false">C47+K47</f>
        <v>0</v>
      </c>
      <c r="N47" s="333" t="s">
        <v>1055</v>
      </c>
    </row>
    <row r="48" customFormat="false" ht="20.25" hidden="false" customHeight="true" outlineLevel="1" collapsed="false">
      <c r="A48" s="353" t="n">
        <v>14</v>
      </c>
      <c r="B48" s="334" t="s">
        <v>327</v>
      </c>
      <c r="C48" s="354" t="n">
        <f aca="false">0</f>
        <v>0</v>
      </c>
      <c r="D48" s="344" t="n">
        <f aca="false">IFERROR(C48/'Prop Info'!$B$6/12,0)</f>
        <v>0</v>
      </c>
      <c r="E48" s="367" t="n">
        <v>10</v>
      </c>
      <c r="F48" s="368"/>
      <c r="G48" s="346" t="n">
        <f aca="false">IFERROR(D48/E48,0)</f>
        <v>0</v>
      </c>
      <c r="H48" s="339" t="n">
        <f aca="false">MAX(E48*F48*'Prop Info'!$B$6*12-C48,0)</f>
        <v>0</v>
      </c>
      <c r="I48" s="365"/>
      <c r="J48" s="339" t="n">
        <f aca="false">MAX(E48*F48*'Prop Info'!$B$6*12*0.5-C48,0)</f>
        <v>0</v>
      </c>
      <c r="K48" s="339" t="n">
        <f aca="false">MAX(E48*F48*'Prop Info'!$B$6*12-C48,0)</f>
        <v>0</v>
      </c>
      <c r="L48" s="366" t="n">
        <f aca="false">C48+J48</f>
        <v>0</v>
      </c>
      <c r="M48" s="366" t="n">
        <f aca="false">C48+K48</f>
        <v>0</v>
      </c>
      <c r="N48" s="333" t="s">
        <v>1056</v>
      </c>
    </row>
    <row r="49" customFormat="false" ht="20.25" hidden="false" customHeight="true" outlineLevel="1" collapsed="false">
      <c r="A49" s="353" t="n">
        <v>15</v>
      </c>
      <c r="B49" s="334" t="s">
        <v>328</v>
      </c>
      <c r="C49" s="354" t="n">
        <f aca="false">0</f>
        <v>0</v>
      </c>
      <c r="D49" s="344" t="n">
        <f aca="false">IFERROR(C49/'Prop Info'!$B$6/12,0)</f>
        <v>0</v>
      </c>
      <c r="E49" s="367" t="n">
        <v>25</v>
      </c>
      <c r="F49" s="368"/>
      <c r="G49" s="346" t="n">
        <f aca="false">IFERROR(D49/E49,0)</f>
        <v>0</v>
      </c>
      <c r="H49" s="339" t="n">
        <f aca="false">MAX(E49*F49*'Prop Info'!$B$6*12-C49,0)</f>
        <v>0</v>
      </c>
      <c r="I49" s="365"/>
      <c r="J49" s="339" t="n">
        <f aca="false">MAX(E49*F49*'Prop Info'!$B$6*12*0.5-C49,0)</f>
        <v>0</v>
      </c>
      <c r="K49" s="339" t="n">
        <f aca="false">MAX(E49*F49*'Prop Info'!$B$6*12-C49,0)</f>
        <v>0</v>
      </c>
      <c r="L49" s="366" t="n">
        <f aca="false">C49+J49</f>
        <v>0</v>
      </c>
      <c r="M49" s="366" t="n">
        <f aca="false">C49+K49</f>
        <v>0</v>
      </c>
      <c r="N49" s="333" t="s">
        <v>1057</v>
      </c>
    </row>
    <row r="50" customFormat="false" ht="20.25" hidden="false" customHeight="true" outlineLevel="1" collapsed="false">
      <c r="A50" s="353" t="n">
        <v>16</v>
      </c>
      <c r="B50" s="334" t="s">
        <v>329</v>
      </c>
      <c r="C50" s="339" t="n">
        <f aca="false">'T-12 Analysis'!N98</f>
        <v>0</v>
      </c>
      <c r="D50" s="344" t="n">
        <f aca="false">IFERROR(C50/'Prop Info'!$B$6/12,0)</f>
        <v>0</v>
      </c>
      <c r="E50" s="367" t="n">
        <v>30</v>
      </c>
      <c r="F50" s="355" t="n">
        <v>0.8</v>
      </c>
      <c r="G50" s="346" t="n">
        <f aca="false">IFERROR(D50/E50,0)</f>
        <v>0</v>
      </c>
      <c r="H50" s="339" t="n">
        <f aca="false">MAX(E50*F50*'Prop Info'!$B$6*12-C50,0)</f>
        <v>0</v>
      </c>
      <c r="I50" s="365"/>
      <c r="J50" s="339" t="n">
        <f aca="false">MAX(E50*F50*'Prop Info'!$B$6*12*0.5-C50,0)</f>
        <v>0</v>
      </c>
      <c r="K50" s="339" t="n">
        <f aca="false">MAX(E50*F50*'Prop Info'!$B$6*12-C50,0)</f>
        <v>0</v>
      </c>
      <c r="L50" s="366" t="n">
        <f aca="false">C50+J50</f>
        <v>0</v>
      </c>
      <c r="M50" s="366" t="n">
        <f aca="false">C50+K50</f>
        <v>0</v>
      </c>
      <c r="N50" s="333" t="s">
        <v>1058</v>
      </c>
    </row>
    <row r="51" customFormat="false" ht="15" hidden="false" customHeight="true" outlineLevel="1" collapsed="false">
      <c r="A51" s="353" t="n">
        <v>17</v>
      </c>
      <c r="B51" s="334" t="s">
        <v>330</v>
      </c>
      <c r="C51" s="354" t="n">
        <f aca="false">0</f>
        <v>0</v>
      </c>
      <c r="D51" s="344" t="n">
        <f aca="false">IFERROR(C51/'Prop Info'!$B$6/12,0)</f>
        <v>0</v>
      </c>
      <c r="E51" s="367" t="n">
        <v>3</v>
      </c>
      <c r="F51" s="368"/>
      <c r="G51" s="346" t="n">
        <f aca="false">IFERROR(D51/E51,0)</f>
        <v>0</v>
      </c>
      <c r="H51" s="339" t="n">
        <f aca="false">MAX(E51*F51*'Prop Info'!$B$6*12-C51,0)</f>
        <v>0</v>
      </c>
      <c r="I51" s="365"/>
      <c r="J51" s="339" t="n">
        <f aca="false">MAX(E51*F51*'Prop Info'!$B$6*12*0.5-C51,0)</f>
        <v>0</v>
      </c>
      <c r="K51" s="339" t="n">
        <f aca="false">MAX(E51*F51*'Prop Info'!$B$6*12-C51,0)</f>
        <v>0</v>
      </c>
      <c r="L51" s="366" t="n">
        <f aca="false">C51+J51</f>
        <v>0</v>
      </c>
      <c r="M51" s="366" t="n">
        <f aca="false">C51+K51</f>
        <v>0</v>
      </c>
      <c r="N51" s="333" t="s">
        <v>1059</v>
      </c>
    </row>
    <row r="52" customFormat="false" ht="15" hidden="false" customHeight="true" outlineLevel="1" collapsed="false">
      <c r="A52" s="353" t="n">
        <v>18</v>
      </c>
      <c r="B52" s="334" t="s">
        <v>331</v>
      </c>
      <c r="C52" s="339" t="n">
        <f aca="false">'T-12 Analysis'!N77</f>
        <v>0</v>
      </c>
      <c r="D52" s="344" t="n">
        <f aca="false">IFERROR(C52/'Prop Info'!$B$6/12,0)</f>
        <v>0</v>
      </c>
      <c r="E52" s="367" t="n">
        <v>2</v>
      </c>
      <c r="F52" s="355" t="n">
        <v>1</v>
      </c>
      <c r="G52" s="346" t="n">
        <f aca="false">IFERROR(D52/E52,0)</f>
        <v>0</v>
      </c>
      <c r="H52" s="339" t="n">
        <f aca="false">MAX(E52*F52*'Prop Info'!$B$6*12-C52,0)</f>
        <v>0</v>
      </c>
      <c r="I52" s="365"/>
      <c r="J52" s="339" t="n">
        <f aca="false">MAX(E52*F52*'Prop Info'!$B$6*12*0.5-C52,0)</f>
        <v>0</v>
      </c>
      <c r="K52" s="339" t="n">
        <f aca="false">MAX(E52*F52*'Prop Info'!$B$6*12-C52,0)</f>
        <v>0</v>
      </c>
      <c r="L52" s="366" t="n">
        <f aca="false">C52+J52</f>
        <v>0</v>
      </c>
      <c r="M52" s="366" t="n">
        <f aca="false">C52+K52</f>
        <v>0</v>
      </c>
      <c r="N52" s="333" t="s">
        <v>1060</v>
      </c>
    </row>
    <row r="53" customFormat="false" ht="15" hidden="false" customHeight="true" outlineLevel="1" collapsed="false">
      <c r="A53" s="359"/>
      <c r="B53" s="360" t="s">
        <v>1061</v>
      </c>
      <c r="C53" s="361" t="n">
        <f aca="false">SUM(C35:C52)</f>
        <v>0</v>
      </c>
      <c r="D53" s="359"/>
      <c r="E53" s="359"/>
      <c r="F53" s="359"/>
      <c r="G53" s="359"/>
      <c r="H53" s="359"/>
      <c r="I53" s="359"/>
      <c r="J53" s="361" t="n">
        <f aca="false">SUM(J35:J52)</f>
        <v>0</v>
      </c>
      <c r="K53" s="361" t="n">
        <f aca="false">SUM(K35:K52)</f>
        <v>0</v>
      </c>
      <c r="L53" s="341" t="n">
        <f aca="false">SUM(L35:L52)</f>
        <v>0</v>
      </c>
      <c r="M53" s="341" t="n">
        <f aca="false">SUM(M35:M52)</f>
        <v>0</v>
      </c>
      <c r="N53" s="359"/>
    </row>
    <row r="54" customFormat="false" ht="15" hidden="false" customHeight="true" outlineLevel="1" collapsed="false"/>
    <row r="55" customFormat="false" ht="18" hidden="false" customHeight="true" outlineLevel="0" collapsed="false">
      <c r="B55" s="347" t="s">
        <v>1062</v>
      </c>
      <c r="C55" s="348"/>
      <c r="D55" s="348"/>
      <c r="E55" s="348"/>
      <c r="F55" s="348"/>
      <c r="G55" s="348"/>
      <c r="H55" s="348"/>
      <c r="I55" s="348"/>
      <c r="J55" s="348"/>
      <c r="K55" s="348"/>
      <c r="L55" s="348"/>
      <c r="M55" s="348"/>
      <c r="N55" s="348"/>
    </row>
    <row r="56" customFormat="false" ht="39.75" hidden="false" customHeight="true" outlineLevel="1" collapsed="false">
      <c r="B56" s="349" t="s">
        <v>1063</v>
      </c>
      <c r="C56" s="350"/>
      <c r="D56" s="350"/>
      <c r="E56" s="350"/>
      <c r="F56" s="350"/>
      <c r="G56" s="350"/>
      <c r="H56" s="350"/>
      <c r="I56" s="350"/>
      <c r="J56" s="369" t="s">
        <v>332</v>
      </c>
      <c r="K56" s="370" t="n">
        <v>0.5</v>
      </c>
      <c r="L56" s="371" t="s">
        <v>1064</v>
      </c>
      <c r="M56" s="350"/>
      <c r="N56" s="350"/>
    </row>
    <row r="57" customFormat="false" ht="27.75" hidden="false" customHeight="true" outlineLevel="1" collapsed="false">
      <c r="A57" s="351" t="s">
        <v>356</v>
      </c>
      <c r="B57" s="352" t="s">
        <v>1036</v>
      </c>
      <c r="C57" s="352" t="s">
        <v>1037</v>
      </c>
      <c r="D57" s="352" t="s">
        <v>1065</v>
      </c>
      <c r="E57" s="352" t="s">
        <v>1066</v>
      </c>
      <c r="F57" s="352" t="s">
        <v>1067</v>
      </c>
      <c r="G57" s="352" t="s">
        <v>1041</v>
      </c>
      <c r="H57" s="352" t="s">
        <v>1006</v>
      </c>
      <c r="I57" s="352" t="s">
        <v>1007</v>
      </c>
      <c r="J57" s="352" t="s">
        <v>1008</v>
      </c>
      <c r="K57" s="352" t="s">
        <v>1009</v>
      </c>
      <c r="L57" s="352" t="s">
        <v>1028</v>
      </c>
      <c r="M57" s="352" t="s">
        <v>1029</v>
      </c>
      <c r="N57" s="352" t="s">
        <v>55</v>
      </c>
    </row>
    <row r="58" customFormat="false" ht="20.25" hidden="false" customHeight="true" outlineLevel="1" collapsed="false">
      <c r="A58" s="353" t="n">
        <v>1</v>
      </c>
      <c r="B58" s="334" t="s">
        <v>333</v>
      </c>
      <c r="C58" s="339" t="n">
        <f aca="false">'T-12 Analysis'!N69</f>
        <v>0</v>
      </c>
      <c r="D58" s="372" t="n">
        <f aca="false">IFERROR(C58/F58,0)</f>
        <v>0</v>
      </c>
      <c r="E58" s="367" t="n">
        <v>75</v>
      </c>
      <c r="F58" s="373" t="n">
        <v>72</v>
      </c>
      <c r="G58" s="346" t="n">
        <f aca="false">IFERROR(D58/E58,0)</f>
        <v>0</v>
      </c>
      <c r="H58" s="354" t="n">
        <f aca="false">MAX(E58*F58-C58,0)</f>
        <v>5400</v>
      </c>
      <c r="I58" s="365"/>
      <c r="J58" s="354" t="n">
        <f aca="false">MAX(E58*F58*$K$56-C58,0)</f>
        <v>2700</v>
      </c>
      <c r="K58" s="354" t="n">
        <f aca="false">MAX(E58*F58-C58,0)</f>
        <v>5400</v>
      </c>
      <c r="L58" s="366" t="n">
        <f aca="false">C58+J58</f>
        <v>2700</v>
      </c>
      <c r="M58" s="366" t="n">
        <f aca="false">C58+K58</f>
        <v>5400</v>
      </c>
      <c r="N58" s="333" t="s">
        <v>1068</v>
      </c>
    </row>
    <row r="59" customFormat="false" ht="20.25" hidden="false" customHeight="true" outlineLevel="1" collapsed="false">
      <c r="A59" s="353" t="n">
        <v>2</v>
      </c>
      <c r="B59" s="334" t="s">
        <v>334</v>
      </c>
      <c r="C59" s="354" t="n">
        <f aca="false">0</f>
        <v>0</v>
      </c>
      <c r="D59" s="372" t="n">
        <f aca="false">IFERROR(C59/F59,0)</f>
        <v>0</v>
      </c>
      <c r="E59" s="367" t="n">
        <v>250</v>
      </c>
      <c r="F59" s="373" t="n">
        <v>21</v>
      </c>
      <c r="G59" s="346" t="n">
        <f aca="false">IFERROR(D59/E59,0)</f>
        <v>0</v>
      </c>
      <c r="H59" s="354" t="n">
        <f aca="false">MAX(E59*F59-C59,0)</f>
        <v>5250</v>
      </c>
      <c r="I59" s="365"/>
      <c r="J59" s="354" t="n">
        <f aca="false">MAX(E59*F59*$K$56-C59,0)</f>
        <v>2625</v>
      </c>
      <c r="K59" s="354" t="n">
        <f aca="false">MAX(E59*F59-C59,0)</f>
        <v>5250</v>
      </c>
      <c r="L59" s="366" t="n">
        <f aca="false">C59+J59</f>
        <v>2625</v>
      </c>
      <c r="M59" s="366" t="n">
        <f aca="false">C59+K59</f>
        <v>5250</v>
      </c>
      <c r="N59" s="333" t="s">
        <v>1069</v>
      </c>
    </row>
    <row r="60" customFormat="false" ht="20.25" hidden="false" customHeight="true" outlineLevel="1" collapsed="false">
      <c r="A60" s="353" t="n">
        <v>3</v>
      </c>
      <c r="B60" s="334" t="s">
        <v>335</v>
      </c>
      <c r="C60" s="339" t="n">
        <f aca="false">'T-12 Analysis'!N68</f>
        <v>0</v>
      </c>
      <c r="D60" s="372" t="n">
        <f aca="false">IFERROR(C60/F60,0)</f>
        <v>0</v>
      </c>
      <c r="E60" s="367" t="n">
        <v>150</v>
      </c>
      <c r="F60" s="373" t="n">
        <v>7</v>
      </c>
      <c r="G60" s="346" t="n">
        <f aca="false">IFERROR(D60/E60,0)</f>
        <v>0</v>
      </c>
      <c r="H60" s="354" t="n">
        <f aca="false">MAX(E60*F60-C60,0)</f>
        <v>1050</v>
      </c>
      <c r="I60" s="365"/>
      <c r="J60" s="354" t="n">
        <f aca="false">MAX(E60*F60*$K$56-C60,0)</f>
        <v>525</v>
      </c>
      <c r="K60" s="354" t="n">
        <f aca="false">MAX(E60*F60-C60,0)</f>
        <v>1050</v>
      </c>
      <c r="L60" s="366" t="n">
        <f aca="false">C60+J60</f>
        <v>525</v>
      </c>
      <c r="M60" s="366" t="n">
        <f aca="false">C60+K60</f>
        <v>1050</v>
      </c>
      <c r="N60" s="333" t="s">
        <v>1070</v>
      </c>
    </row>
    <row r="61" customFormat="false" ht="15" hidden="false" customHeight="true" outlineLevel="1" collapsed="false">
      <c r="A61" s="353" t="n">
        <v>4</v>
      </c>
      <c r="B61" s="334" t="s">
        <v>336</v>
      </c>
      <c r="C61" s="354" t="n">
        <f aca="false">0</f>
        <v>0</v>
      </c>
      <c r="D61" s="372" t="n">
        <f aca="false">IFERROR(C61/F61,0)</f>
        <v>0</v>
      </c>
      <c r="E61" s="367" t="n">
        <v>1500</v>
      </c>
      <c r="F61" s="373" t="n">
        <v>4</v>
      </c>
      <c r="G61" s="346" t="n">
        <f aca="false">IFERROR(D61/E61,0)</f>
        <v>0</v>
      </c>
      <c r="H61" s="354" t="n">
        <f aca="false">MAX(E61*F61-C61,0)</f>
        <v>6000</v>
      </c>
      <c r="I61" s="365"/>
      <c r="J61" s="354" t="n">
        <f aca="false">MAX(E61*F61*$K$56-C61,0)</f>
        <v>3000</v>
      </c>
      <c r="K61" s="354" t="n">
        <f aca="false">MAX(E61*F61-C61,0)</f>
        <v>6000</v>
      </c>
      <c r="L61" s="366" t="n">
        <f aca="false">C61+J61</f>
        <v>3000</v>
      </c>
      <c r="M61" s="366" t="n">
        <f aca="false">C61+K61</f>
        <v>6000</v>
      </c>
      <c r="N61" s="333" t="s">
        <v>1071</v>
      </c>
    </row>
    <row r="62" customFormat="false" ht="20.25" hidden="false" customHeight="true" outlineLevel="1" collapsed="false">
      <c r="A62" s="353" t="n">
        <v>5</v>
      </c>
      <c r="B62" s="334" t="s">
        <v>337</v>
      </c>
      <c r="C62" s="354" t="n">
        <f aca="false">0</f>
        <v>0</v>
      </c>
      <c r="D62" s="372" t="n">
        <f aca="false">IFERROR(C62/F62,0)</f>
        <v>0</v>
      </c>
      <c r="E62" s="367" t="n">
        <v>75</v>
      </c>
      <c r="F62" s="373" t="n">
        <v>72</v>
      </c>
      <c r="G62" s="346" t="n">
        <f aca="false">IFERROR(D62/E62,0)</f>
        <v>0</v>
      </c>
      <c r="H62" s="354" t="n">
        <f aca="false">MAX(E62*F62-C62,0)</f>
        <v>5400</v>
      </c>
      <c r="I62" s="365"/>
      <c r="J62" s="354" t="n">
        <f aca="false">MAX(E62*F62*$K$56-C62,0)</f>
        <v>2700</v>
      </c>
      <c r="K62" s="354" t="n">
        <f aca="false">MAX(E62*F62-C62,0)</f>
        <v>5400</v>
      </c>
      <c r="L62" s="366" t="n">
        <f aca="false">C62+J62</f>
        <v>2700</v>
      </c>
      <c r="M62" s="366" t="n">
        <f aca="false">C62+K62</f>
        <v>5400</v>
      </c>
      <c r="N62" s="333" t="s">
        <v>1072</v>
      </c>
    </row>
    <row r="63" customFormat="false" ht="15" hidden="false" customHeight="true" outlineLevel="1" collapsed="false">
      <c r="A63" s="353" t="n">
        <v>6</v>
      </c>
      <c r="B63" s="334" t="s">
        <v>338</v>
      </c>
      <c r="C63" s="339" t="n">
        <f aca="false">'T-12 Analysis'!N75</f>
        <v>0</v>
      </c>
      <c r="D63" s="372" t="n">
        <f aca="false">IFERROR(C63/F63,0)</f>
        <v>0</v>
      </c>
      <c r="E63" s="367" t="n">
        <v>200</v>
      </c>
      <c r="F63" s="373" t="n">
        <v>72</v>
      </c>
      <c r="G63" s="346" t="n">
        <f aca="false">IFERROR(D63/E63,0)</f>
        <v>0</v>
      </c>
      <c r="H63" s="354" t="n">
        <f aca="false">MAX(E63*F63-C63,0)</f>
        <v>14400</v>
      </c>
      <c r="I63" s="365"/>
      <c r="J63" s="354" t="n">
        <f aca="false">MAX(E63*F63*$K$56-C63,0)</f>
        <v>7200</v>
      </c>
      <c r="K63" s="354" t="n">
        <f aca="false">MAX(E63*F63-C63,0)</f>
        <v>14400</v>
      </c>
      <c r="L63" s="366" t="n">
        <f aca="false">C63+J63</f>
        <v>7200</v>
      </c>
      <c r="M63" s="366" t="n">
        <f aca="false">C63+K63</f>
        <v>14400</v>
      </c>
      <c r="N63" s="333" t="s">
        <v>1073</v>
      </c>
    </row>
    <row r="64" customFormat="false" ht="15" hidden="false" customHeight="true" outlineLevel="1" collapsed="false">
      <c r="B64" s="333" t="s">
        <v>1074</v>
      </c>
    </row>
    <row r="65" customFormat="false" ht="15" hidden="false" customHeight="true" outlineLevel="1" collapsed="false">
      <c r="A65" s="359"/>
      <c r="B65" s="360" t="s">
        <v>1075</v>
      </c>
      <c r="C65" s="361" t="n">
        <f aca="false">SUM(C58:C63)</f>
        <v>0</v>
      </c>
      <c r="D65" s="359"/>
      <c r="E65" s="359"/>
      <c r="F65" s="359"/>
      <c r="G65" s="359"/>
      <c r="H65" s="359"/>
      <c r="I65" s="359"/>
      <c r="J65" s="361" t="n">
        <f aca="false">SUM(J58:J63)</f>
        <v>18750</v>
      </c>
      <c r="K65" s="361" t="n">
        <f aca="false">SUM(K58:K63)</f>
        <v>37500</v>
      </c>
      <c r="L65" s="341" t="n">
        <f aca="false">SUM(L58:L63)</f>
        <v>18750</v>
      </c>
      <c r="M65" s="341" t="n">
        <f aca="false">SUM(M58:M63)</f>
        <v>37500</v>
      </c>
      <c r="N65" s="359"/>
    </row>
    <row r="66" customFormat="false" ht="15" hidden="false" customHeight="true" outlineLevel="1" collapsed="false"/>
    <row r="67" customFormat="false" ht="18" hidden="false" customHeight="true" outlineLevel="0" collapsed="false">
      <c r="B67" s="347" t="s">
        <v>1076</v>
      </c>
      <c r="C67" s="348"/>
      <c r="D67" s="348"/>
      <c r="E67" s="348"/>
      <c r="F67" s="348"/>
      <c r="G67" s="348"/>
      <c r="H67" s="348"/>
      <c r="I67" s="348"/>
      <c r="J67" s="348"/>
      <c r="K67" s="348"/>
      <c r="L67" s="348"/>
      <c r="M67" s="348"/>
      <c r="N67" s="348"/>
    </row>
    <row r="68" customFormat="false" ht="39.75" hidden="false" customHeight="true" outlineLevel="1" collapsed="false">
      <c r="B68" s="349" t="s">
        <v>1077</v>
      </c>
      <c r="C68" s="350"/>
      <c r="D68" s="350"/>
      <c r="E68" s="350"/>
      <c r="F68" s="350"/>
      <c r="G68" s="350"/>
      <c r="H68" s="350"/>
      <c r="I68" s="350"/>
      <c r="J68" s="350"/>
      <c r="K68" s="350"/>
      <c r="L68" s="350"/>
      <c r="M68" s="350"/>
      <c r="N68" s="350"/>
    </row>
    <row r="69" customFormat="false" ht="27.75" hidden="false" customHeight="true" outlineLevel="1" collapsed="false">
      <c r="A69" s="351" t="s">
        <v>356</v>
      </c>
      <c r="B69" s="352" t="s">
        <v>547</v>
      </c>
      <c r="C69" s="352" t="s">
        <v>1037</v>
      </c>
      <c r="D69" s="352" t="s">
        <v>1038</v>
      </c>
      <c r="E69" s="352" t="s">
        <v>1039</v>
      </c>
      <c r="F69" s="352" t="s">
        <v>1040</v>
      </c>
      <c r="G69" s="352" t="s">
        <v>1041</v>
      </c>
      <c r="H69" s="352" t="s">
        <v>1027</v>
      </c>
      <c r="I69" s="352" t="s">
        <v>1007</v>
      </c>
      <c r="J69" s="352" t="s">
        <v>1008</v>
      </c>
      <c r="K69" s="352" t="s">
        <v>1009</v>
      </c>
      <c r="L69" s="352" t="s">
        <v>1028</v>
      </c>
      <c r="M69" s="352" t="s">
        <v>1029</v>
      </c>
      <c r="N69" s="352" t="s">
        <v>55</v>
      </c>
    </row>
    <row r="70" customFormat="false" ht="20.25" hidden="false" customHeight="true" outlineLevel="1" collapsed="false">
      <c r="A70" s="353" t="n">
        <v>1</v>
      </c>
      <c r="B70" s="334" t="s">
        <v>339</v>
      </c>
      <c r="C70" s="354" t="n">
        <f aca="false">0</f>
        <v>0</v>
      </c>
      <c r="D70" s="372" t="n">
        <f aca="false">0</f>
        <v>0</v>
      </c>
      <c r="E70" s="367" t="n">
        <v>25</v>
      </c>
      <c r="F70" s="355" t="n">
        <v>0.5</v>
      </c>
      <c r="G70" s="346" t="n">
        <f aca="false">0</f>
        <v>0</v>
      </c>
      <c r="H70" s="339" t="n">
        <f aca="false">E70*F70*'Prop Info'!$B$6*12</f>
        <v>0</v>
      </c>
      <c r="I70" s="365"/>
      <c r="J70" s="339" t="n">
        <f aca="false">E70*F70*'Prop Info'!$B$6*12*0.5</f>
        <v>0</v>
      </c>
      <c r="K70" s="339" t="n">
        <f aca="false">E70*F70*'Prop Info'!$B$6*12</f>
        <v>0</v>
      </c>
      <c r="L70" s="366" t="n">
        <f aca="false">J70</f>
        <v>0</v>
      </c>
      <c r="M70" s="366" t="n">
        <f aca="false">K70</f>
        <v>0</v>
      </c>
      <c r="N70" s="333" t="s">
        <v>1078</v>
      </c>
    </row>
    <row r="71" customFormat="false" ht="20.25" hidden="false" customHeight="true" outlineLevel="1" collapsed="false">
      <c r="A71" s="353" t="n">
        <v>2</v>
      </c>
      <c r="B71" s="334" t="s">
        <v>340</v>
      </c>
      <c r="C71" s="354" t="n">
        <f aca="false">0</f>
        <v>0</v>
      </c>
      <c r="D71" s="372" t="n">
        <f aca="false">0</f>
        <v>0</v>
      </c>
      <c r="E71" s="367" t="n">
        <v>200</v>
      </c>
      <c r="F71" s="355" t="n">
        <v>0.05</v>
      </c>
      <c r="G71" s="346" t="n">
        <f aca="false">0</f>
        <v>0</v>
      </c>
      <c r="H71" s="339" t="n">
        <f aca="false">E71*F71*'Prop Info'!$B$6*12</f>
        <v>0</v>
      </c>
      <c r="I71" s="365"/>
      <c r="J71" s="339" t="n">
        <f aca="false">E71*F71*'Prop Info'!$B$6*12*0.5</f>
        <v>0</v>
      </c>
      <c r="K71" s="339" t="n">
        <f aca="false">E71*F71*'Prop Info'!$B$6*12</f>
        <v>0</v>
      </c>
      <c r="L71" s="366" t="n">
        <f aca="false">J71</f>
        <v>0</v>
      </c>
      <c r="M71" s="366" t="n">
        <f aca="false">K71</f>
        <v>0</v>
      </c>
      <c r="N71" s="333" t="s">
        <v>1079</v>
      </c>
    </row>
    <row r="72" customFormat="false" ht="15" hidden="false" customHeight="true" outlineLevel="1" collapsed="false">
      <c r="A72" s="353" t="n">
        <v>3</v>
      </c>
      <c r="B72" s="334" t="s">
        <v>341</v>
      </c>
      <c r="C72" s="354" t="n">
        <f aca="false">0</f>
        <v>0</v>
      </c>
      <c r="D72" s="372" t="n">
        <f aca="false">0</f>
        <v>0</v>
      </c>
      <c r="E72" s="367" t="n">
        <v>400</v>
      </c>
      <c r="F72" s="355" t="n">
        <v>0.03</v>
      </c>
      <c r="G72" s="346" t="n">
        <f aca="false">0</f>
        <v>0</v>
      </c>
      <c r="H72" s="339" t="n">
        <f aca="false">E72*F72*'Prop Info'!$B$6*12</f>
        <v>0</v>
      </c>
      <c r="I72" s="365"/>
      <c r="J72" s="339" t="n">
        <f aca="false">E72*F72*'Prop Info'!$B$6*12*0.5</f>
        <v>0</v>
      </c>
      <c r="K72" s="339" t="n">
        <f aca="false">E72*F72*'Prop Info'!$B$6*12</f>
        <v>0</v>
      </c>
      <c r="L72" s="366" t="n">
        <f aca="false">J72</f>
        <v>0</v>
      </c>
      <c r="M72" s="366" t="n">
        <f aca="false">K72</f>
        <v>0</v>
      </c>
      <c r="N72" s="333" t="s">
        <v>1080</v>
      </c>
    </row>
    <row r="73" customFormat="false" ht="15" hidden="false" customHeight="true" outlineLevel="1" collapsed="false">
      <c r="A73" s="353" t="n">
        <v>4</v>
      </c>
      <c r="B73" s="334" t="s">
        <v>342</v>
      </c>
      <c r="C73" s="354" t="n">
        <f aca="false">0</f>
        <v>0</v>
      </c>
      <c r="D73" s="372" t="n">
        <f aca="false">0</f>
        <v>0</v>
      </c>
      <c r="E73" s="367" t="n">
        <v>15</v>
      </c>
      <c r="F73" s="355" t="n">
        <v>0.3</v>
      </c>
      <c r="G73" s="346" t="n">
        <f aca="false">0</f>
        <v>0</v>
      </c>
      <c r="H73" s="339" t="n">
        <f aca="false">E73*F73*'Prop Info'!$B$6*12</f>
        <v>0</v>
      </c>
      <c r="I73" s="365"/>
      <c r="J73" s="339" t="n">
        <f aca="false">E73*F73*'Prop Info'!$B$6*12*0.5</f>
        <v>0</v>
      </c>
      <c r="K73" s="339" t="n">
        <f aca="false">E73*F73*'Prop Info'!$B$6*12</f>
        <v>0</v>
      </c>
      <c r="L73" s="366" t="n">
        <f aca="false">J73</f>
        <v>0</v>
      </c>
      <c r="M73" s="366" t="n">
        <f aca="false">K73</f>
        <v>0</v>
      </c>
      <c r="N73" s="333" t="s">
        <v>1081</v>
      </c>
    </row>
    <row r="74" customFormat="false" ht="15" hidden="false" customHeight="true" outlineLevel="1" collapsed="false"/>
    <row r="75" customFormat="false" ht="15" hidden="false" customHeight="true" outlineLevel="1" collapsed="false">
      <c r="A75" s="359"/>
      <c r="B75" s="360" t="s">
        <v>1082</v>
      </c>
      <c r="C75" s="361" t="n">
        <f aca="false">0</f>
        <v>0</v>
      </c>
      <c r="D75" s="359"/>
      <c r="E75" s="359"/>
      <c r="F75" s="359"/>
      <c r="G75" s="359"/>
      <c r="H75" s="359"/>
      <c r="I75" s="359"/>
      <c r="J75" s="361" t="n">
        <f aca="false">SUM(J70:J73)</f>
        <v>0</v>
      </c>
      <c r="K75" s="361" t="n">
        <f aca="false">SUM(K70:K73)</f>
        <v>0</v>
      </c>
      <c r="L75" s="341" t="n">
        <f aca="false">SUM(L70:L73)</f>
        <v>0</v>
      </c>
      <c r="M75" s="341" t="n">
        <f aca="false">SUM(M70:M73)</f>
        <v>0</v>
      </c>
      <c r="N75" s="359"/>
    </row>
    <row r="76" customFormat="false" ht="15" hidden="false" customHeight="true" outlineLevel="1" collapsed="false"/>
    <row r="77" customFormat="false" ht="18" hidden="false" customHeight="true" outlineLevel="0" collapsed="false">
      <c r="B77" s="347" t="s">
        <v>1083</v>
      </c>
      <c r="C77" s="348"/>
      <c r="D77" s="348"/>
      <c r="E77" s="348"/>
      <c r="F77" s="348"/>
      <c r="G77" s="348"/>
      <c r="H77" s="348"/>
      <c r="I77" s="348"/>
      <c r="J77" s="348"/>
      <c r="K77" s="348"/>
      <c r="L77" s="348"/>
      <c r="M77" s="348"/>
      <c r="N77" s="348"/>
    </row>
    <row r="78" customFormat="false" ht="27.75" hidden="false" customHeight="true" outlineLevel="1" collapsed="false">
      <c r="B78" s="352" t="s">
        <v>1084</v>
      </c>
      <c r="C78" s="352" t="s">
        <v>1085</v>
      </c>
      <c r="D78" s="350"/>
      <c r="E78" s="350"/>
      <c r="F78" s="350"/>
      <c r="G78" s="350"/>
      <c r="H78" s="350"/>
      <c r="I78" s="350"/>
      <c r="J78" s="352" t="s">
        <v>992</v>
      </c>
      <c r="K78" s="352" t="s">
        <v>996</v>
      </c>
      <c r="L78" s="352" t="s">
        <v>984</v>
      </c>
      <c r="M78" s="352" t="s">
        <v>988</v>
      </c>
      <c r="N78" s="352" t="s">
        <v>55</v>
      </c>
    </row>
    <row r="79" customFormat="false" ht="15" hidden="false" customHeight="true" outlineLevel="1" collapsed="false">
      <c r="B79" s="374" t="s">
        <v>1086</v>
      </c>
      <c r="C79" s="354" t="n">
        <f aca="false">D20</f>
        <v>0</v>
      </c>
      <c r="J79" s="354" t="n">
        <f aca="false">J20</f>
        <v>0</v>
      </c>
      <c r="K79" s="354" t="n">
        <f aca="false">K20</f>
        <v>0</v>
      </c>
      <c r="L79" s="366" t="n">
        <f aca="false">SUMIF(I13:I19,"Y",J13:J19)</f>
        <v>0</v>
      </c>
      <c r="M79" s="366" t="n">
        <f aca="false">SUMIF(I13:I19,"Y",K13:K19)</f>
        <v>0</v>
      </c>
      <c r="N79" s="333" t="s">
        <v>1087</v>
      </c>
    </row>
    <row r="80" customFormat="false" ht="15" hidden="false" customHeight="true" outlineLevel="1" collapsed="false">
      <c r="B80" s="374" t="s">
        <v>1088</v>
      </c>
      <c r="C80" s="354" t="n">
        <f aca="false">0</f>
        <v>0</v>
      </c>
      <c r="J80" s="354" t="n">
        <f aca="false">J30</f>
        <v>0</v>
      </c>
      <c r="K80" s="354" t="n">
        <f aca="false">K30</f>
        <v>0</v>
      </c>
      <c r="L80" s="366" t="n">
        <f aca="false">SUMIF(I26:I29,"Y",J26:J29)</f>
        <v>0</v>
      </c>
      <c r="M80" s="366" t="n">
        <f aca="false">SUMIF(I26:I29,"Y",K26:K29)</f>
        <v>0</v>
      </c>
      <c r="N80" s="333" t="s">
        <v>1089</v>
      </c>
    </row>
    <row r="81" customFormat="false" ht="15" hidden="false" customHeight="true" outlineLevel="1" collapsed="false">
      <c r="B81" s="374" t="s">
        <v>1090</v>
      </c>
      <c r="C81" s="354" t="n">
        <f aca="false">C53</f>
        <v>0</v>
      </c>
      <c r="J81" s="354" t="n">
        <f aca="false">J53</f>
        <v>0</v>
      </c>
      <c r="K81" s="354" t="n">
        <f aca="false">K53</f>
        <v>0</v>
      </c>
      <c r="L81" s="366" t="n">
        <f aca="false">SUMIF(I35:I52,"Y",J35:J52)</f>
        <v>0</v>
      </c>
      <c r="M81" s="366" t="n">
        <f aca="false">SUMIF(I35:I52,"Y",K35:K52)</f>
        <v>0</v>
      </c>
      <c r="N81" s="333" t="s">
        <v>1091</v>
      </c>
    </row>
    <row r="82" customFormat="false" ht="15" hidden="false" customHeight="true" outlineLevel="1" collapsed="false">
      <c r="B82" s="374" t="s">
        <v>1092</v>
      </c>
      <c r="C82" s="354" t="n">
        <f aca="false">C65</f>
        <v>0</v>
      </c>
      <c r="J82" s="354" t="n">
        <f aca="false">J65</f>
        <v>18750</v>
      </c>
      <c r="K82" s="354" t="n">
        <f aca="false">K65</f>
        <v>37500</v>
      </c>
      <c r="L82" s="366" t="n">
        <f aca="false">SUMIF(I58:I63,"Y",J58:J63)</f>
        <v>0</v>
      </c>
      <c r="M82" s="366" t="n">
        <f aca="false">SUMIF(I58:I63,"Y",K58:K63)</f>
        <v>0</v>
      </c>
      <c r="N82" s="333" t="s">
        <v>1093</v>
      </c>
    </row>
    <row r="83" customFormat="false" ht="15" hidden="false" customHeight="true" outlineLevel="1" collapsed="false">
      <c r="B83" s="374" t="s">
        <v>1094</v>
      </c>
      <c r="C83" s="354" t="n">
        <f aca="false">0</f>
        <v>0</v>
      </c>
      <c r="J83" s="354" t="n">
        <f aca="false">J75</f>
        <v>0</v>
      </c>
      <c r="K83" s="354" t="n">
        <f aca="false">K75</f>
        <v>0</v>
      </c>
      <c r="L83" s="366" t="n">
        <f aca="false">SUMIF(I70:I73,"Y",J70:J73)</f>
        <v>0</v>
      </c>
      <c r="M83" s="366" t="n">
        <f aca="false">SUMIF(I70:I73,"Y",K70:K73)</f>
        <v>0</v>
      </c>
      <c r="N83" s="333" t="s">
        <v>1095</v>
      </c>
    </row>
    <row r="84" customFormat="false" ht="15" hidden="false" customHeight="true" outlineLevel="1" collapsed="false">
      <c r="B84" s="360" t="s">
        <v>1096</v>
      </c>
      <c r="C84" s="361" t="n">
        <f aca="false">SUM(C79:C83)</f>
        <v>0</v>
      </c>
      <c r="D84" s="359"/>
      <c r="E84" s="359"/>
      <c r="F84" s="359"/>
      <c r="G84" s="359"/>
      <c r="H84" s="359"/>
      <c r="I84" s="359"/>
      <c r="J84" s="361" t="n">
        <f aca="false">SUM(J79:J83)</f>
        <v>18750</v>
      </c>
      <c r="K84" s="361" t="n">
        <f aca="false">SUM(K79:K83)</f>
        <v>37500</v>
      </c>
      <c r="L84" s="341" t="n">
        <f aca="false">SUM(L79:L83)</f>
        <v>0</v>
      </c>
      <c r="M84" s="341" t="n">
        <f aca="false">SUM(M79:M83)</f>
        <v>0</v>
      </c>
      <c r="N84" s="359"/>
    </row>
    <row r="85" customFormat="false" ht="20.25" hidden="false" customHeight="true" outlineLevel="0" collapsed="false">
      <c r="L85" s="333" t="s">
        <v>1097</v>
      </c>
      <c r="M85" s="333" t="s">
        <v>1098</v>
      </c>
    </row>
    <row r="87" customFormat="false" ht="15" hidden="false" customHeight="true" outlineLevel="0" collapsed="false">
      <c r="B87" s="375" t="s">
        <v>1099</v>
      </c>
      <c r="C87" s="376"/>
      <c r="D87" s="376"/>
      <c r="E87" s="376"/>
      <c r="F87" s="376"/>
      <c r="G87" s="376"/>
      <c r="H87" s="376"/>
      <c r="I87" s="376"/>
    </row>
    <row r="88" customFormat="false" ht="15" hidden="false" customHeight="true" outlineLevel="0" collapsed="false">
      <c r="B88" s="334" t="s">
        <v>1100</v>
      </c>
      <c r="C88" s="354" t="n">
        <f aca="false">M84</f>
        <v>0</v>
      </c>
    </row>
    <row r="89" customFormat="false" ht="15" hidden="false" customHeight="true" outlineLevel="0" collapsed="false">
      <c r="B89" s="334" t="s">
        <v>1101</v>
      </c>
      <c r="C89" s="343" t="str">
        <f aca="false">Scenarios!C79</f>
        <v/>
      </c>
    </row>
    <row r="90" customFormat="false" ht="49.5" hidden="false" customHeight="true" outlineLevel="0" collapsed="false">
      <c r="B90" s="334" t="s">
        <v>1102</v>
      </c>
      <c r="C90" s="345" t="n">
        <f aca="false">IFERROR(C88/C89,0)</f>
        <v>0</v>
      </c>
      <c r="E90" s="333" t="s">
        <v>1103</v>
      </c>
    </row>
  </sheetData>
  <dataValidations count="2">
    <dataValidation allowBlank="false" errorStyle="stop" operator="between" showDropDown="false" showErrorMessage="false" showInputMessage="false" sqref="C3" type="list">
      <formula1>"1. T-12 Actuals,2. My Version,3. Projected,4. Offer"</formula1>
      <formula2>0</formula2>
    </dataValidation>
    <dataValidation allowBlank="true" errorStyle="stop" operator="between" showDropDown="false" showErrorMessage="false" showInputMessage="false" sqref="I13:I19 I26:I29 I35:I52 I58:I63 I70:I73" type="list">
      <formula1>"Y,"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797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3" topLeftCell="A244" activePane="bottomLeft" state="frozen"/>
      <selection pane="topLeft" activeCell="C1" activeCellId="0" sqref="C1"/>
      <selection pane="bottomLeft" activeCell="Q254" activeCellId="0" sqref="Q254"/>
    </sheetView>
  </sheetViews>
  <sheetFormatPr defaultColWidth="8.71484375" defaultRowHeight="15" customHeight="false" zeroHeight="false" outlineLevelRow="1" outlineLevelCol="0"/>
  <cols>
    <col collapsed="false" customWidth="true" hidden="false" outlineLevel="0" max="1" min="1" style="0" width="54.14"/>
    <col collapsed="false" customWidth="true" hidden="false" outlineLevel="0" max="7" min="2" style="0" width="21.29"/>
    <col collapsed="false" customWidth="true" hidden="false" outlineLevel="0" max="14" min="8" style="0" width="11"/>
    <col collapsed="false" customWidth="true" hidden="false" outlineLevel="0" max="15" min="15" style="0" width="13"/>
    <col collapsed="false" customWidth="true" hidden="false" outlineLevel="0" max="20" min="16" style="0" width="9"/>
    <col collapsed="false" customWidth="true" hidden="false" outlineLevel="0" max="21" min="21" style="0" width="16"/>
    <col collapsed="false" customWidth="true" hidden="false" outlineLevel="0" max="22" min="22" style="0" width="26"/>
  </cols>
  <sheetData>
    <row r="1" customFormat="false" ht="21.75" hidden="false" customHeight="true" outlineLevel="0" collapsed="false">
      <c r="A1" s="106" t="str">
        <f aca="false">IF('Prop Info'!B4="","RENT ROLL ANALYSIS  —  Diagnostic Layer","RENT ROLL ANALYSIS  —  Diagnostic Layer"&amp;" — "&amp;'Prop Info'!B4)</f>
        <v>RENT ROLL ANALYSIS  —  Diagnostic Layer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</row>
    <row r="2" customFormat="false" ht="21.75" hidden="false" customHeight="true" outlineLevel="0" collapsed="false">
      <c r="A2" s="113" t="s">
        <v>1104</v>
      </c>
    </row>
    <row r="4" customFormat="false" ht="21.75" hidden="false" customHeight="true" outlineLevel="0" collapsed="false">
      <c r="A4" s="17" t="s">
        <v>1105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</row>
    <row r="5" customFormat="false" ht="15" hidden="false" customHeight="true" outlineLevel="1" collapsed="false">
      <c r="A5" s="126" t="s">
        <v>1106</v>
      </c>
      <c r="B5" s="326"/>
      <c r="C5" s="126" t="s">
        <v>1107</v>
      </c>
      <c r="D5" s="377" t="n">
        <f aca="false">'Prop Info'!B4</f>
        <v>0</v>
      </c>
      <c r="F5" s="126" t="s">
        <v>1108</v>
      </c>
      <c r="G5" s="118" t="n">
        <f aca="false">'Prop Info'!B6</f>
        <v>0</v>
      </c>
      <c r="H5" s="126" t="s">
        <v>1109</v>
      </c>
      <c r="I5" s="124" t="n">
        <f aca="false">COUNTA(B273:B1772)</f>
        <v>0</v>
      </c>
      <c r="J5" s="126" t="s">
        <v>1110</v>
      </c>
      <c r="K5" s="126" t="str">
        <f aca="false">IF(I5=G5,"✓ match",IF(I5=0,"⚠ no data","⚠ mismatch"))</f>
        <v>✓ match</v>
      </c>
      <c r="M5" s="126" t="s">
        <v>1111</v>
      </c>
      <c r="N5" s="309" t="n">
        <f aca="false">SUM(O273:O1772)</f>
        <v>0</v>
      </c>
      <c r="P5" s="126" t="s">
        <v>1112</v>
      </c>
      <c r="Q5" s="124" t="n">
        <f aca="false">COUNTIF(G273:G1772,TRUE())</f>
        <v>0</v>
      </c>
      <c r="S5" s="126" t="s">
        <v>1113</v>
      </c>
      <c r="T5" s="124" t="n">
        <f aca="false">COUNTIF(E273:E1772,"Occupied*")</f>
        <v>0</v>
      </c>
    </row>
    <row r="6" customFormat="false" ht="15" hidden="false" customHeight="true" outlineLevel="1" collapsed="false"/>
    <row r="7" customFormat="false" ht="21.75" hidden="false" customHeight="true" outlineLevel="0" collapsed="false">
      <c r="A7" s="17" t="s">
        <v>1114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</row>
    <row r="8" customFormat="false" ht="27.75" hidden="false" customHeight="true" outlineLevel="1" collapsed="false">
      <c r="A8" s="109" t="s">
        <v>1115</v>
      </c>
      <c r="B8" s="109" t="s">
        <v>369</v>
      </c>
      <c r="C8" s="109" t="s">
        <v>1116</v>
      </c>
      <c r="D8" s="127" t="s">
        <v>1117</v>
      </c>
      <c r="E8" s="127" t="s">
        <v>1118</v>
      </c>
      <c r="F8" s="127" t="s">
        <v>1119</v>
      </c>
      <c r="G8" s="109" t="s">
        <v>1120</v>
      </c>
    </row>
    <row r="9" customFormat="false" ht="15" hidden="false" customHeight="true" outlineLevel="1" collapsed="false">
      <c r="A9" s="111" t="s">
        <v>1121</v>
      </c>
      <c r="B9" s="378" t="n">
        <f aca="false">COUNTIFS(E273:E1772,"Occupied*",G273:G1772,FALSE(),O273:O1772,"&lt;500")</f>
        <v>0</v>
      </c>
      <c r="C9" s="119" t="n">
        <f aca="false">IFERROR(B9/'Prop Info'!$B$6,0)</f>
        <v>0</v>
      </c>
      <c r="D9" s="277" t="n">
        <f aca="false">SUMIFS(N273:N1772,E273:E1772,"Occupied*",G273:G1772,FALSE(),O273:O1772,"&lt;500")</f>
        <v>0</v>
      </c>
      <c r="E9" s="277" t="n">
        <f aca="false">SUMIFS(L273:L1772,E273:E1772,"Occupied*",G273:G1772,FALSE(),O273:O1772,"&lt;500")</f>
        <v>0</v>
      </c>
      <c r="F9" s="379" t="n">
        <f aca="false">IFERROR(D9/B9,0)</f>
        <v>0</v>
      </c>
      <c r="G9" s="277" t="n">
        <f aca="false">SUMIFS(O273:O1772,E273:E1772,"Occupied*",G273:G1772,FALSE(),O273:O1772,"&lt;500")</f>
        <v>0</v>
      </c>
    </row>
    <row r="10" customFormat="false" ht="15" hidden="false" customHeight="true" outlineLevel="1" collapsed="false">
      <c r="A10" s="111" t="s">
        <v>1122</v>
      </c>
      <c r="B10" s="378" t="n">
        <f aca="false">COUNTIFS(E273:E1772,"Occupied*",G273:G1772,FALSE(),O273:O1772,"&gt;=500")</f>
        <v>0</v>
      </c>
      <c r="C10" s="119" t="n">
        <f aca="false">IFERROR(B10/'Prop Info'!$B$6,0)</f>
        <v>0</v>
      </c>
      <c r="D10" s="277" t="n">
        <f aca="false">SUMIFS(N273:N1772,E273:E1772,"Occupied*",G273:G1772,FALSE(),O273:O1772,"&gt;=500")</f>
        <v>0</v>
      </c>
      <c r="E10" s="277" t="n">
        <f aca="false">SUMIFS(L273:L1772,E273:E1772,"Occupied*",G273:G1772,FALSE(),O273:O1772,"&gt;=500")</f>
        <v>0</v>
      </c>
      <c r="F10" s="379" t="n">
        <f aca="false">IFERROR(D10/B10,0)</f>
        <v>0</v>
      </c>
      <c r="G10" s="277" t="n">
        <f aca="false">SUMIFS(O273:O1772,E273:E1772,"Occupied*",G273:G1772,FALSE(),O273:O1772,"&gt;=500")</f>
        <v>0</v>
      </c>
    </row>
    <row r="11" customFormat="false" ht="15" hidden="false" customHeight="true" outlineLevel="1" collapsed="false">
      <c r="A11" s="111" t="s">
        <v>1123</v>
      </c>
      <c r="B11" s="378" t="n">
        <f aca="false">COUNTIFS(E273:E1772,"Occupied*",G273:G1772,TRUE())</f>
        <v>0</v>
      </c>
      <c r="C11" s="119" t="n">
        <f aca="false">IFERROR(B11/'Prop Info'!$B$6,0)</f>
        <v>0</v>
      </c>
      <c r="D11" s="277" t="n">
        <f aca="false">SUMIFS(N273:N1772,E273:E1772,"Occupied*",G273:G1772,TRUE())</f>
        <v>0</v>
      </c>
      <c r="E11" s="277" t="n">
        <f aca="false">SUMIFS(L273:L1772,E273:E1772,"Occupied*",G273:G1772,TRUE())</f>
        <v>0</v>
      </c>
      <c r="F11" s="379" t="n">
        <f aca="false">IFERROR(D11/B11,0)</f>
        <v>0</v>
      </c>
      <c r="G11" s="277" t="n">
        <f aca="false">SUMIFS(O273:O1772,E273:E1772,"Occupied*",G273:G1772,TRUE())</f>
        <v>0</v>
      </c>
    </row>
    <row r="12" customFormat="false" ht="15" hidden="false" customHeight="true" outlineLevel="1" collapsed="false">
      <c r="A12" s="111"/>
      <c r="B12" s="378"/>
      <c r="C12" s="119"/>
      <c r="D12" s="277"/>
      <c r="E12" s="277"/>
      <c r="F12" s="379"/>
      <c r="G12" s="277"/>
    </row>
    <row r="13" customFormat="false" ht="15" hidden="false" customHeight="true" outlineLevel="1" collapsed="false">
      <c r="A13" s="111" t="s">
        <v>346</v>
      </c>
      <c r="B13" s="378" t="n">
        <f aca="false">COUNTIF(E273:E1772,"Vacant Unrented Ready")</f>
        <v>0</v>
      </c>
      <c r="C13" s="119" t="n">
        <f aca="false">IFERROR(B13/'Prop Info'!$B$6,0)</f>
        <v>0</v>
      </c>
      <c r="D13" s="327" t="n">
        <f aca="false">SUMIF(E273:E1772,"Vacant Unrented Ready",N273:N1772)</f>
        <v>0</v>
      </c>
      <c r="E13" s="327" t="n">
        <f aca="false">SUMIF(E273:E1772,"Vacant Unrented Ready",L273:L1772)</f>
        <v>0</v>
      </c>
      <c r="F13" s="327" t="n">
        <v>0</v>
      </c>
      <c r="G13" s="327" t="n">
        <f aca="false">SUMIF(E273:E1772,"Vacant Unrented Ready",O273:O1772)</f>
        <v>0</v>
      </c>
    </row>
    <row r="14" customFormat="false" ht="15" hidden="false" customHeight="true" outlineLevel="1" collapsed="false">
      <c r="A14" s="111" t="s">
        <v>347</v>
      </c>
      <c r="B14" s="378" t="n">
        <f aca="false">COUNTIF(E273:E1772,"Vacant Unrented Not Ready")</f>
        <v>0</v>
      </c>
      <c r="C14" s="119" t="n">
        <f aca="false">IFERROR(B14/'Prop Info'!$B$6,0)</f>
        <v>0</v>
      </c>
      <c r="D14" s="327" t="n">
        <f aca="false">SUMIF(E273:E1772,"Vacant Unrented Not Ready",N273:N1772)</f>
        <v>0</v>
      </c>
      <c r="E14" s="327" t="n">
        <f aca="false">SUMIF(E273:E1772,"Vacant Unrented Not Ready",L273:L1772)</f>
        <v>0</v>
      </c>
      <c r="F14" s="327" t="n">
        <v>0</v>
      </c>
      <c r="G14" s="327" t="n">
        <f aca="false">SUMIF(E273:E1772,"Vacant Unrented Not Ready",O273:O1772)</f>
        <v>0</v>
      </c>
    </row>
    <row r="15" customFormat="false" ht="15" hidden="false" customHeight="true" outlineLevel="1" collapsed="false">
      <c r="A15" s="111" t="s">
        <v>348</v>
      </c>
      <c r="B15" s="378" t="n">
        <f aca="false">COUNTIF(E273:E1772,"Down*")</f>
        <v>0</v>
      </c>
      <c r="C15" s="119" t="n">
        <f aca="false">IFERROR(B15/'Prop Info'!$B$6,0)</f>
        <v>0</v>
      </c>
      <c r="D15" s="327" t="n">
        <f aca="false">SUMIF(E273:E1772,"Down*",N273:N1772)</f>
        <v>0</v>
      </c>
      <c r="E15" s="327" t="n">
        <f aca="false">SUMIF(E273:E1772,"Down*",L273:L1772)</f>
        <v>0</v>
      </c>
      <c r="F15" s="327" t="n">
        <v>0</v>
      </c>
      <c r="G15" s="327" t="n">
        <f aca="false">SUMIF(E273:E1772,"Down*",O273:O1772)</f>
        <v>0</v>
      </c>
    </row>
    <row r="16" customFormat="false" ht="15" hidden="false" customHeight="true" outlineLevel="1" collapsed="false">
      <c r="A16" s="111" t="s">
        <v>1124</v>
      </c>
      <c r="B16" s="378" t="n">
        <f aca="false">COUNTIF(E273:E1772,"Vacant*Leased*")+COUNTIF(E273:E1772,"Vacant Rented*")</f>
        <v>0</v>
      </c>
      <c r="C16" s="119" t="n">
        <f aca="false">IFERROR(B16/'Prop Info'!$B$6,0)</f>
        <v>0</v>
      </c>
      <c r="D16" s="327" t="n">
        <f aca="false">SUMIF(E273:E1772,"Vacant*Leased*",N273:N1772)+SUMIF(E273:E1772,"Vacant Rented*",N273:N1772)</f>
        <v>0</v>
      </c>
      <c r="E16" s="327" t="n">
        <f aca="false">SUMIF(E273:E1772,"Vacant*Leased*",L273:L1772)+SUMIF(E273:E1772,"Vacant Rented*",L273:L1772)</f>
        <v>0</v>
      </c>
      <c r="F16" s="327" t="n">
        <v>0</v>
      </c>
      <c r="G16" s="327" t="n">
        <f aca="false">SUMIF(E273:E1772,"Vacant*Leased*",O273:O1772)+SUMIF(E273:E1772,"Vacant Rented*",O273:O1772)</f>
        <v>0</v>
      </c>
    </row>
    <row r="17" customFormat="false" ht="15" hidden="false" customHeight="true" outlineLevel="1" collapsed="false">
      <c r="A17" s="111" t="s">
        <v>350</v>
      </c>
      <c r="B17" s="378" t="n">
        <f aca="false">COUNTIF(E273:E1772,"Model")+COUNTIF(E273:E1772,"Employee")+COUNTIF(E273:E1772,"Office")</f>
        <v>0</v>
      </c>
      <c r="C17" s="119" t="n">
        <f aca="false">IFERROR(B17/'Prop Info'!$B$6,0)</f>
        <v>0</v>
      </c>
      <c r="D17" s="327" t="n">
        <f aca="false">SUMIF(E273:E1772,"Model",N273:N1772)+SUMIF(E273:E1772,"Employee",N273:N1772)+SUMIF(E273:E1772,"Office",N273:N1772)</f>
        <v>0</v>
      </c>
      <c r="E17" s="327" t="n">
        <f aca="false">SUMIF(E273:E1772,"Model",L273:L1772)+SUMIF(E273:E1772,"Employee",L273:L1772)+SUMIF(E273:E1772,"Office",L273:L1772)</f>
        <v>0</v>
      </c>
      <c r="F17" s="327" t="n">
        <v>0</v>
      </c>
      <c r="G17" s="327" t="n">
        <f aca="false">SUMIF(E273:E1772,"Model",O273:O1772)+SUMIF(E273:E1772,"Employee",O273:O1772)+SUMIF(E273:E1772,"Office",O273:O1772)</f>
        <v>0</v>
      </c>
    </row>
    <row r="18" customFormat="false" ht="15" hidden="false" customHeight="true" outlineLevel="1" collapsed="false">
      <c r="A18" s="111" t="s">
        <v>1125</v>
      </c>
      <c r="B18" s="378" t="n">
        <f aca="false">MAX(0,COUNTA(E273:E1772)-SUM(B9:B17))</f>
        <v>0</v>
      </c>
      <c r="C18" s="273" t="n">
        <f aca="false">IFERROR(B18/'Prop Info'!$B$6,0)</f>
        <v>0</v>
      </c>
      <c r="D18" s="277" t="n">
        <f aca="false">MAX(0,SUM(N273:N1772)-SUM(D9:D17))</f>
        <v>0</v>
      </c>
      <c r="E18" s="277" t="n">
        <f aca="false">MAX(0,SUM(L273:L1772)-SUM(E9:E17))</f>
        <v>0</v>
      </c>
      <c r="F18" s="277"/>
      <c r="G18" s="277" t="n">
        <f aca="false">MAX(0,SUM(O273:O1772)-SUM(G9:G17))</f>
        <v>0</v>
      </c>
    </row>
    <row r="19" customFormat="false" ht="15" hidden="false" customHeight="true" outlineLevel="1" collapsed="false">
      <c r="A19" s="268" t="s">
        <v>1126</v>
      </c>
      <c r="B19" s="380" t="n">
        <f aca="false" t="array" ref="B19:B19">SUMPRODUCT((ISNUMBER(SEARCH("Occupied",E273:E1772)))*(((ISNUMBER(SEARCH("NTV",E273:E1772)))+(ISNUMBER(SEARCH("Notice",E273:E1772)))*(1-ISNUMBER(SEARCH("No Notice",E273:E1772)))+(K273:K1772&lt;&gt;""))&gt;0))</f>
        <v>0</v>
      </c>
      <c r="C19" s="381" t="n">
        <f aca="false">IFERROR(B19/'Prop Info'!$B$6,0)</f>
        <v>0</v>
      </c>
      <c r="D19" s="382"/>
      <c r="E19" s="382"/>
      <c r="F19" s="382"/>
      <c r="G19" s="382"/>
    </row>
    <row r="20" customFormat="false" ht="15" hidden="false" customHeight="true" outlineLevel="1" collapsed="false">
      <c r="A20" s="268" t="s">
        <v>1127</v>
      </c>
      <c r="B20" s="380" t="str">
        <f aca="false">IF(B21='Prop Info'!$B$6,"✓ ties","⚠ off by "&amp;TEXT(B21-'Prop Info'!$B$6,"#,##0"))</f>
        <v>✓ ties</v>
      </c>
      <c r="C20" s="381"/>
      <c r="D20" s="382"/>
      <c r="E20" s="382"/>
      <c r="F20" s="382"/>
      <c r="G20" s="382"/>
    </row>
    <row r="21" customFormat="false" ht="15" hidden="false" customHeight="true" outlineLevel="1" collapsed="false">
      <c r="A21" s="313" t="s">
        <v>49</v>
      </c>
      <c r="B21" s="383" t="n">
        <f aca="false">SUM(B9:B18)</f>
        <v>0</v>
      </c>
      <c r="C21" s="384" t="n">
        <f aca="false">IFERROR(B21/'Prop Info'!$B$6,0)</f>
        <v>0</v>
      </c>
      <c r="D21" s="314" t="n">
        <f aca="false">SUM(D9:D18)</f>
        <v>0</v>
      </c>
      <c r="E21" s="314" t="n">
        <f aca="false">SUM(E9:E18)</f>
        <v>0</v>
      </c>
      <c r="F21" s="385" t="n">
        <f aca="false">IFERROR(SUM(D9:D11)/SUM(B9:B11),0)</f>
        <v>0</v>
      </c>
      <c r="G21" s="314" t="n">
        <f aca="false">SUM(G9:G18)</f>
        <v>0</v>
      </c>
      <c r="H21" s="386" t="s">
        <v>1128</v>
      </c>
    </row>
    <row r="22" customFormat="false" ht="15" hidden="false" customHeight="true" outlineLevel="1" collapsed="false">
      <c r="A22" s="387" t="s">
        <v>1129</v>
      </c>
      <c r="B22" s="388" t="str">
        <f aca="false">IF(ABS(E21*12+ABS(B30)-B26)&lt;1,"✓ Occ Mkt + Vac Loss ties to Section D GPR","⚠ Off by $"&amp;TEXT(B26-E21*12-ABS(B30),"#,##0"))</f>
        <v>✓ Occ Mkt + Vac Loss ties to Section D GPR</v>
      </c>
    </row>
    <row r="23" customFormat="false" ht="15" hidden="false" customHeight="true" outlineLevel="1" collapsed="false"/>
    <row r="24" customFormat="false" ht="21.75" hidden="false" customHeight="true" outlineLevel="0" collapsed="false">
      <c r="A24" s="17" t="s">
        <v>1130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</row>
    <row r="25" customFormat="false" ht="15" hidden="false" customHeight="true" outlineLevel="1" collapsed="false">
      <c r="A25" s="109" t="s">
        <v>11</v>
      </c>
      <c r="B25" s="109" t="s">
        <v>1131</v>
      </c>
      <c r="C25" s="109" t="s">
        <v>899</v>
      </c>
      <c r="D25" s="116" t="s">
        <v>55</v>
      </c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</row>
    <row r="26" customFormat="false" ht="15" hidden="false" customHeight="true" outlineLevel="1" collapsed="false">
      <c r="A26" s="111" t="s">
        <v>1132</v>
      </c>
      <c r="B26" s="277" t="n">
        <f aca="false">SUMPRODUCT((L273:L1772)*1)*12</f>
        <v>0</v>
      </c>
      <c r="C26" s="312" t="n">
        <f aca="false">IFERROR(B26/'Prop Info'!$B$6/12,0)</f>
        <v>0</v>
      </c>
      <c r="D26" s="107" t="s">
        <v>1133</v>
      </c>
      <c r="E26" s="107"/>
      <c r="F26" s="107"/>
      <c r="G26" s="107"/>
      <c r="H26" s="107"/>
      <c r="I26" s="107"/>
      <c r="J26" s="107"/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</row>
    <row r="27" customFormat="false" ht="15" hidden="false" customHeight="true" outlineLevel="1" collapsed="false">
      <c r="A27" s="111" t="s">
        <v>1134</v>
      </c>
      <c r="B27" s="277" t="n">
        <f aca="false">SUMPRODUCT((N273:N1772)*1)*12</f>
        <v>0</v>
      </c>
      <c r="C27" s="379" t="n">
        <f aca="false">IFERROR(B27/COUNTIF(E273:E1772,"Occupied*")/12,0)</f>
        <v>0</v>
      </c>
      <c r="D27" s="107" t="s">
        <v>1135</v>
      </c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</row>
    <row r="28" customFormat="false" ht="15" hidden="false" customHeight="true" outlineLevel="1" collapsed="false">
      <c r="A28" s="111" t="s">
        <v>1136</v>
      </c>
      <c r="B28" s="277" t="n">
        <f aca="false">SUMIFS(L273:L1772,E273:E1772,"Occupied*")*12 - B27</f>
        <v>0</v>
      </c>
      <c r="D28" s="107" t="s">
        <v>1137</v>
      </c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</row>
    <row r="29" customFormat="false" ht="15" hidden="false" customHeight="true" outlineLevel="1" collapsed="false">
      <c r="A29" s="111" t="s">
        <v>128</v>
      </c>
      <c r="B29" s="273" t="n">
        <f aca="false">IFERROR(B28/(SUMIFS(L273:L1772,E273:E1772,"Occupied*")*12),0)</f>
        <v>0</v>
      </c>
    </row>
    <row r="30" customFormat="false" ht="15" hidden="false" customHeight="true" outlineLevel="1" collapsed="false">
      <c r="A30" s="111" t="s">
        <v>1138</v>
      </c>
      <c r="B30" s="277" t="n">
        <f aca="false">-SUMIFS(L273:L1772,E273:E1772,"Vacant*")*12</f>
        <v>-0</v>
      </c>
      <c r="D30" s="107" t="s">
        <v>1139</v>
      </c>
      <c r="E30" s="107"/>
      <c r="F30" s="107"/>
      <c r="G30" s="107"/>
      <c r="H30" s="107"/>
      <c r="I30" s="107"/>
      <c r="J30" s="107"/>
      <c r="K30" s="107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07"/>
    </row>
    <row r="31" customFormat="false" ht="15" hidden="false" customHeight="true" outlineLevel="1" collapsed="false">
      <c r="A31" s="111" t="s">
        <v>1140</v>
      </c>
      <c r="B31" s="277" t="n">
        <f aca="false">SUMIFS(N273:N1772,G273:G1772,TRUE())*12</f>
        <v>0</v>
      </c>
      <c r="D31" s="107" t="s">
        <v>1141</v>
      </c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</row>
    <row r="32" customFormat="false" ht="15" hidden="false" customHeight="true" outlineLevel="1" collapsed="false">
      <c r="A32" s="126" t="s">
        <v>1142</v>
      </c>
      <c r="B32" s="314" t="n">
        <f aca="false">B26-IF(B28&gt;0,B28,0)+B30-B31</f>
        <v>0</v>
      </c>
      <c r="C32" s="320" t="n">
        <f aca="false">IFERROR(B32/'Prop Info'!$B$6/12,0)</f>
        <v>0</v>
      </c>
      <c r="D32" s="107" t="s">
        <v>1143</v>
      </c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</row>
    <row r="33" customFormat="false" ht="15" hidden="false" customHeight="true" outlineLevel="1" collapsed="false">
      <c r="A33" s="126" t="s">
        <v>1144</v>
      </c>
      <c r="B33" s="389" t="n">
        <f aca="false">IFERROR(B32/B26,0)</f>
        <v>0</v>
      </c>
      <c r="D33" s="107" t="s">
        <v>1145</v>
      </c>
      <c r="E33" s="107"/>
      <c r="F33" s="107"/>
      <c r="G33" s="107"/>
      <c r="H33" s="107"/>
      <c r="I33" s="107"/>
      <c r="J33" s="107"/>
      <c r="K33" s="107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</row>
    <row r="34" customFormat="false" ht="15" hidden="false" customHeight="true" outlineLevel="1" collapsed="false">
      <c r="A34" s="111" t="s">
        <v>1146</v>
      </c>
      <c r="B34" s="390" t="n">
        <f aca="false">SUMIFS(N273:N1772,E273:E1772,"Occupied*")*12</f>
        <v>0</v>
      </c>
      <c r="C34" s="390" t="n">
        <f aca="false">IFERROR(B34/COUNTIF(E273:E1772,"Occupied*")/12,0)</f>
        <v>0</v>
      </c>
      <c r="D34" s="268" t="s">
        <v>1147</v>
      </c>
    </row>
    <row r="35" customFormat="false" ht="15" hidden="false" customHeight="true" outlineLevel="1" collapsed="false">
      <c r="A35" s="111" t="s">
        <v>1148</v>
      </c>
      <c r="B35" s="391" t="n">
        <f aca="false">'T-12 Analysis'!O58</f>
        <v>0</v>
      </c>
      <c r="C35" s="391" t="n">
        <f aca="false">IFERROR(B35/'Prop Info'!$B$6/12,0)</f>
        <v>0</v>
      </c>
      <c r="D35" s="268" t="s">
        <v>1149</v>
      </c>
    </row>
    <row r="36" customFormat="false" ht="21.75" hidden="false" customHeight="true" outlineLevel="0" collapsed="false">
      <c r="A36" s="17" t="s">
        <v>1150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</row>
    <row r="37" customFormat="false" ht="15" hidden="false" customHeight="true" outlineLevel="1" collapsed="false">
      <c r="A37" s="107" t="s">
        <v>1151</v>
      </c>
      <c r="B37" s="107"/>
      <c r="C37" s="107"/>
      <c r="D37" s="107"/>
      <c r="E37" s="107"/>
      <c r="F37" s="107"/>
      <c r="G37" s="107"/>
      <c r="H37" s="107"/>
      <c r="I37" s="107"/>
      <c r="J37" s="107"/>
      <c r="K37" s="107"/>
      <c r="L37" s="107"/>
      <c r="M37" s="107"/>
      <c r="N37" s="107"/>
      <c r="O37" s="107"/>
      <c r="P37" s="107"/>
      <c r="Q37" s="107"/>
      <c r="R37" s="107"/>
      <c r="S37" s="107"/>
      <c r="T37" s="107"/>
      <c r="U37" s="107"/>
      <c r="V37" s="107"/>
    </row>
    <row r="38" customFormat="false" ht="27.75" hidden="false" customHeight="true" outlineLevel="1" collapsed="false">
      <c r="A38" s="127" t="s">
        <v>1152</v>
      </c>
      <c r="B38" s="127" t="s">
        <v>1153</v>
      </c>
      <c r="C38" s="127" t="s">
        <v>1154</v>
      </c>
      <c r="D38" s="127" t="s">
        <v>1155</v>
      </c>
      <c r="E38" s="127" t="s">
        <v>1156</v>
      </c>
      <c r="F38" s="127" t="s">
        <v>1157</v>
      </c>
      <c r="G38" s="127" t="s">
        <v>1158</v>
      </c>
    </row>
    <row r="39" customFormat="false" ht="15" hidden="false" customHeight="true" outlineLevel="1" collapsed="false">
      <c r="A39" s="311" t="str">
        <f aca="true">TEXT(EDATE(TODAY(),0),"mmm yyyy")</f>
        <v>Jun 2026</v>
      </c>
      <c r="B39" s="378" t="n">
        <f aca="true">SUMPRODUCT((J273:J1772&gt;=DATE(YEAR(EDATE(TODAY(),0)),MONTH(EDATE(TODAY(),0)),1))*(J273:J1772&lt;DATE(YEAR(EDATE(TODAY(),1)),MONTH(EDATE(TODAY(),1)),1))*1)</f>
        <v>0</v>
      </c>
      <c r="C39" s="273" t="n">
        <f aca="false">IFERROR(B39/COUNTIF(E273:E1772,"Occupied*"),0)</f>
        <v>0</v>
      </c>
      <c r="D39" s="277" t="n">
        <f aca="true">SUMPRODUCT((J273:J1772&gt;=DATE(YEAR(EDATE(TODAY(),0)),MONTH(EDATE(TODAY(),0)),1))*(J273:J1772&lt;DATE(YEAR(EDATE(TODAY(),1)),MONTH(EDATE(TODAY(),1)),1))*(N273:N1772))</f>
        <v>0</v>
      </c>
      <c r="E39" s="277" t="n">
        <f aca="true">SUMPRODUCT((J273:J1772&gt;=DATE(YEAR(EDATE(TODAY(),0)),MONTH(EDATE(TODAY(),0)),1))*(J273:J1772&lt;DATE(YEAR(EDATE(TODAY(),1)),MONTH(EDATE(TODAY(),1)),1))*(L273:L1772))</f>
        <v>0</v>
      </c>
      <c r="F39" s="277" t="n">
        <f aca="false">E39-D39</f>
        <v>0</v>
      </c>
      <c r="G39" s="273" t="n">
        <f aca="false">C39</f>
        <v>0</v>
      </c>
    </row>
    <row r="40" customFormat="false" ht="15" hidden="false" customHeight="true" outlineLevel="1" collapsed="false">
      <c r="A40" s="311" t="str">
        <f aca="true">TEXT(EDATE(TODAY(),1),"mmm yyyy")</f>
        <v>Jul 2026</v>
      </c>
      <c r="B40" s="378" t="n">
        <f aca="true">SUMPRODUCT((J273:J1772&gt;=DATE(YEAR(EDATE(TODAY(),1)),MONTH(EDATE(TODAY(),1)),1))*(J273:J1772&lt;DATE(YEAR(EDATE(TODAY(),2)),MONTH(EDATE(TODAY(),2)),1))*1)</f>
        <v>0</v>
      </c>
      <c r="C40" s="273" t="n">
        <f aca="false">IFERROR(B40/COUNTIF(E273:E1772,"Occupied*"),0)</f>
        <v>0</v>
      </c>
      <c r="D40" s="277" t="n">
        <f aca="true">SUMPRODUCT((J273:J1772&gt;=DATE(YEAR(EDATE(TODAY(),1)),MONTH(EDATE(TODAY(),1)),1))*(J273:J1772&lt;DATE(YEAR(EDATE(TODAY(),2)),MONTH(EDATE(TODAY(),2)),1))*(N273:N1772))</f>
        <v>0</v>
      </c>
      <c r="E40" s="277" t="n">
        <f aca="true">SUMPRODUCT((J273:J1772&gt;=DATE(YEAR(EDATE(TODAY(),1)),MONTH(EDATE(TODAY(),1)),1))*(J273:J1772&lt;DATE(YEAR(EDATE(TODAY(),2)),MONTH(EDATE(TODAY(),2)),1))*(L273:L1772))</f>
        <v>0</v>
      </c>
      <c r="F40" s="277" t="n">
        <f aca="false">E40-D40</f>
        <v>0</v>
      </c>
      <c r="G40" s="273" t="n">
        <f aca="false">G39+C40</f>
        <v>0</v>
      </c>
    </row>
    <row r="41" customFormat="false" ht="15" hidden="false" customHeight="true" outlineLevel="1" collapsed="false">
      <c r="A41" s="311" t="str">
        <f aca="true">TEXT(EDATE(TODAY(),2),"mmm yyyy")</f>
        <v>Aug 2026</v>
      </c>
      <c r="B41" s="378" t="n">
        <f aca="true">SUMPRODUCT((J273:J1772&gt;=DATE(YEAR(EDATE(TODAY(),2)),MONTH(EDATE(TODAY(),2)),1))*(J273:J1772&lt;DATE(YEAR(EDATE(TODAY(),3)),MONTH(EDATE(TODAY(),3)),1))*1)</f>
        <v>0</v>
      </c>
      <c r="C41" s="273" t="n">
        <f aca="false">IFERROR(B41/COUNTIF(E273:E1772,"Occupied*"),0)</f>
        <v>0</v>
      </c>
      <c r="D41" s="277" t="n">
        <f aca="true">SUMPRODUCT((J273:J1772&gt;=DATE(YEAR(EDATE(TODAY(),2)),MONTH(EDATE(TODAY(),2)),1))*(J273:J1772&lt;DATE(YEAR(EDATE(TODAY(),3)),MONTH(EDATE(TODAY(),3)),1))*(N273:N1772))</f>
        <v>0</v>
      </c>
      <c r="E41" s="277" t="n">
        <f aca="true">SUMPRODUCT((J273:J1772&gt;=DATE(YEAR(EDATE(TODAY(),2)),MONTH(EDATE(TODAY(),2)),1))*(J273:J1772&lt;DATE(YEAR(EDATE(TODAY(),3)),MONTH(EDATE(TODAY(),3)),1))*(L273:L1772))</f>
        <v>0</v>
      </c>
      <c r="F41" s="277" t="n">
        <f aca="false">E41-D41</f>
        <v>0</v>
      </c>
      <c r="G41" s="273" t="n">
        <f aca="false">G40+C41</f>
        <v>0</v>
      </c>
    </row>
    <row r="42" customFormat="false" ht="15" hidden="false" customHeight="true" outlineLevel="1" collapsed="false">
      <c r="A42" s="311" t="str">
        <f aca="true">TEXT(EDATE(TODAY(),3),"mmm yyyy")</f>
        <v>Sep 2026</v>
      </c>
      <c r="B42" s="378" t="n">
        <f aca="true">SUMPRODUCT((J273:J1772&gt;=DATE(YEAR(EDATE(TODAY(),3)),MONTH(EDATE(TODAY(),3)),1))*(J273:J1772&lt;DATE(YEAR(EDATE(TODAY(),4)),MONTH(EDATE(TODAY(),4)),1))*1)</f>
        <v>0</v>
      </c>
      <c r="C42" s="273" t="n">
        <f aca="false">IFERROR(B42/COUNTIF(E273:E1772,"Occupied*"),0)</f>
        <v>0</v>
      </c>
      <c r="D42" s="277" t="n">
        <f aca="true">SUMPRODUCT((J273:J1772&gt;=DATE(YEAR(EDATE(TODAY(),3)),MONTH(EDATE(TODAY(),3)),1))*(J273:J1772&lt;DATE(YEAR(EDATE(TODAY(),4)),MONTH(EDATE(TODAY(),4)),1))*(N273:N1772))</f>
        <v>0</v>
      </c>
      <c r="E42" s="277" t="n">
        <f aca="true">SUMPRODUCT((J273:J1772&gt;=DATE(YEAR(EDATE(TODAY(),3)),MONTH(EDATE(TODAY(),3)),1))*(J273:J1772&lt;DATE(YEAR(EDATE(TODAY(),4)),MONTH(EDATE(TODAY(),4)),1))*(L273:L1772))</f>
        <v>0</v>
      </c>
      <c r="F42" s="277" t="n">
        <f aca="false">E42-D42</f>
        <v>0</v>
      </c>
      <c r="G42" s="273" t="n">
        <f aca="false">G41+C42</f>
        <v>0</v>
      </c>
    </row>
    <row r="43" customFormat="false" ht="15" hidden="false" customHeight="true" outlineLevel="1" collapsed="false">
      <c r="A43" s="311" t="str">
        <f aca="true">TEXT(EDATE(TODAY(),4),"mmm yyyy")</f>
        <v>Oct 2026</v>
      </c>
      <c r="B43" s="378" t="n">
        <f aca="true">SUMPRODUCT((J273:J1772&gt;=DATE(YEAR(EDATE(TODAY(),4)),MONTH(EDATE(TODAY(),4)),1))*(J273:J1772&lt;DATE(YEAR(EDATE(TODAY(),5)),MONTH(EDATE(TODAY(),5)),1))*1)</f>
        <v>0</v>
      </c>
      <c r="C43" s="273" t="n">
        <f aca="false">IFERROR(B43/COUNTIF(E273:E1772,"Occupied*"),0)</f>
        <v>0</v>
      </c>
      <c r="D43" s="277" t="n">
        <f aca="true">SUMPRODUCT((J273:J1772&gt;=DATE(YEAR(EDATE(TODAY(),4)),MONTH(EDATE(TODAY(),4)),1))*(J273:J1772&lt;DATE(YEAR(EDATE(TODAY(),5)),MONTH(EDATE(TODAY(),5)),1))*(N273:N1772))</f>
        <v>0</v>
      </c>
      <c r="E43" s="277" t="n">
        <f aca="true">SUMPRODUCT((J273:J1772&gt;=DATE(YEAR(EDATE(TODAY(),4)),MONTH(EDATE(TODAY(),4)),1))*(J273:J1772&lt;DATE(YEAR(EDATE(TODAY(),5)),MONTH(EDATE(TODAY(),5)),1))*(L273:L1772))</f>
        <v>0</v>
      </c>
      <c r="F43" s="277" t="n">
        <f aca="false">E43-D43</f>
        <v>0</v>
      </c>
      <c r="G43" s="273" t="n">
        <f aca="false">G42+C43</f>
        <v>0</v>
      </c>
    </row>
    <row r="44" customFormat="false" ht="15" hidden="false" customHeight="true" outlineLevel="1" collapsed="false">
      <c r="A44" s="311" t="str">
        <f aca="true">TEXT(EDATE(TODAY(),5),"mmm yyyy")</f>
        <v>Nov 2026</v>
      </c>
      <c r="B44" s="378" t="n">
        <f aca="true">SUMPRODUCT((J273:J1772&gt;=DATE(YEAR(EDATE(TODAY(),5)),MONTH(EDATE(TODAY(),5)),1))*(J273:J1772&lt;DATE(YEAR(EDATE(TODAY(),6)),MONTH(EDATE(TODAY(),6)),1))*1)</f>
        <v>0</v>
      </c>
      <c r="C44" s="273" t="n">
        <f aca="false">IFERROR(B44/COUNTIF(E273:E1772,"Occupied*"),0)</f>
        <v>0</v>
      </c>
      <c r="D44" s="277" t="n">
        <f aca="true">SUMPRODUCT((J273:J1772&gt;=DATE(YEAR(EDATE(TODAY(),5)),MONTH(EDATE(TODAY(),5)),1))*(J273:J1772&lt;DATE(YEAR(EDATE(TODAY(),6)),MONTH(EDATE(TODAY(),6)),1))*(N273:N1772))</f>
        <v>0</v>
      </c>
      <c r="E44" s="277" t="n">
        <f aca="true">SUMPRODUCT((J273:J1772&gt;=DATE(YEAR(EDATE(TODAY(),5)),MONTH(EDATE(TODAY(),5)),1))*(J273:J1772&lt;DATE(YEAR(EDATE(TODAY(),6)),MONTH(EDATE(TODAY(),6)),1))*(L273:L1772))</f>
        <v>0</v>
      </c>
      <c r="F44" s="277" t="n">
        <f aca="false">E44-D44</f>
        <v>0</v>
      </c>
      <c r="G44" s="273" t="n">
        <f aca="false">G43+C44</f>
        <v>0</v>
      </c>
    </row>
    <row r="45" customFormat="false" ht="15" hidden="false" customHeight="true" outlineLevel="1" collapsed="false">
      <c r="A45" s="311" t="str">
        <f aca="true">TEXT(EDATE(TODAY(),6),"mmm yyyy")</f>
        <v>Dec 2026</v>
      </c>
      <c r="B45" s="378" t="n">
        <f aca="true">SUMPRODUCT((J273:J1772&gt;=DATE(YEAR(EDATE(TODAY(),6)),MONTH(EDATE(TODAY(),6)),1))*(J273:J1772&lt;DATE(YEAR(EDATE(TODAY(),7)),MONTH(EDATE(TODAY(),7)),1))*1)</f>
        <v>0</v>
      </c>
      <c r="C45" s="273" t="n">
        <f aca="false">IFERROR(B45/COUNTIF(E273:E1772,"Occupied*"),0)</f>
        <v>0</v>
      </c>
      <c r="D45" s="277" t="n">
        <f aca="true">SUMPRODUCT((J273:J1772&gt;=DATE(YEAR(EDATE(TODAY(),6)),MONTH(EDATE(TODAY(),6)),1))*(J273:J1772&lt;DATE(YEAR(EDATE(TODAY(),7)),MONTH(EDATE(TODAY(),7)),1))*(N273:N1772))</f>
        <v>0</v>
      </c>
      <c r="E45" s="277" t="n">
        <f aca="true">SUMPRODUCT((J273:J1772&gt;=DATE(YEAR(EDATE(TODAY(),6)),MONTH(EDATE(TODAY(),6)),1))*(J273:J1772&lt;DATE(YEAR(EDATE(TODAY(),7)),MONTH(EDATE(TODAY(),7)),1))*(L273:L1772))</f>
        <v>0</v>
      </c>
      <c r="F45" s="277" t="n">
        <f aca="false">E45-D45</f>
        <v>0</v>
      </c>
      <c r="G45" s="273" t="n">
        <f aca="false">G44+C45</f>
        <v>0</v>
      </c>
    </row>
    <row r="46" customFormat="false" ht="15" hidden="false" customHeight="true" outlineLevel="1" collapsed="false">
      <c r="A46" s="311" t="str">
        <f aca="true">TEXT(EDATE(TODAY(),7),"mmm yyyy")</f>
        <v>Jan 2027</v>
      </c>
      <c r="B46" s="378" t="n">
        <f aca="true">SUMPRODUCT((J273:J1772&gt;=DATE(YEAR(EDATE(TODAY(),7)),MONTH(EDATE(TODAY(),7)),1))*(J273:J1772&lt;DATE(YEAR(EDATE(TODAY(),8)),MONTH(EDATE(TODAY(),8)),1))*1)</f>
        <v>0</v>
      </c>
      <c r="C46" s="273" t="n">
        <f aca="false">IFERROR(B46/COUNTIF(E273:E1772,"Occupied*"),0)</f>
        <v>0</v>
      </c>
      <c r="D46" s="277" t="n">
        <f aca="true">SUMPRODUCT((J273:J1772&gt;=DATE(YEAR(EDATE(TODAY(),7)),MONTH(EDATE(TODAY(),7)),1))*(J273:J1772&lt;DATE(YEAR(EDATE(TODAY(),8)),MONTH(EDATE(TODAY(),8)),1))*(N273:N1772))</f>
        <v>0</v>
      </c>
      <c r="E46" s="277" t="n">
        <f aca="true">SUMPRODUCT((J273:J1772&gt;=DATE(YEAR(EDATE(TODAY(),7)),MONTH(EDATE(TODAY(),7)),1))*(J273:J1772&lt;DATE(YEAR(EDATE(TODAY(),8)),MONTH(EDATE(TODAY(),8)),1))*(L273:L1772))</f>
        <v>0</v>
      </c>
      <c r="F46" s="277" t="n">
        <f aca="false">E46-D46</f>
        <v>0</v>
      </c>
      <c r="G46" s="273" t="n">
        <f aca="false">G45+C46</f>
        <v>0</v>
      </c>
    </row>
    <row r="47" customFormat="false" ht="15" hidden="false" customHeight="true" outlineLevel="1" collapsed="false">
      <c r="A47" s="311" t="str">
        <f aca="true">TEXT(EDATE(TODAY(),8),"mmm yyyy")</f>
        <v>Feb 2027</v>
      </c>
      <c r="B47" s="378" t="n">
        <f aca="true">SUMPRODUCT((J273:J1772&gt;=DATE(YEAR(EDATE(TODAY(),8)),MONTH(EDATE(TODAY(),8)),1))*(J273:J1772&lt;DATE(YEAR(EDATE(TODAY(),9)),MONTH(EDATE(TODAY(),9)),1))*1)</f>
        <v>0</v>
      </c>
      <c r="C47" s="273" t="n">
        <f aca="false">IFERROR(B47/COUNTIF(E273:E1772,"Occupied*"),0)</f>
        <v>0</v>
      </c>
      <c r="D47" s="277" t="n">
        <f aca="true">SUMPRODUCT((J273:J1772&gt;=DATE(YEAR(EDATE(TODAY(),8)),MONTH(EDATE(TODAY(),8)),1))*(J273:J1772&lt;DATE(YEAR(EDATE(TODAY(),9)),MONTH(EDATE(TODAY(),9)),1))*(N273:N1772))</f>
        <v>0</v>
      </c>
      <c r="E47" s="277" t="n">
        <f aca="true">SUMPRODUCT((J273:J1772&gt;=DATE(YEAR(EDATE(TODAY(),8)),MONTH(EDATE(TODAY(),8)),1))*(J273:J1772&lt;DATE(YEAR(EDATE(TODAY(),9)),MONTH(EDATE(TODAY(),9)),1))*(L273:L1772))</f>
        <v>0</v>
      </c>
      <c r="F47" s="277" t="n">
        <f aca="false">E47-D47</f>
        <v>0</v>
      </c>
      <c r="G47" s="273" t="n">
        <f aca="false">G46+C47</f>
        <v>0</v>
      </c>
    </row>
    <row r="48" customFormat="false" ht="15" hidden="false" customHeight="true" outlineLevel="1" collapsed="false">
      <c r="A48" s="311" t="str">
        <f aca="true">TEXT(EDATE(TODAY(),9),"mmm yyyy")</f>
        <v>Mar 2027</v>
      </c>
      <c r="B48" s="378" t="n">
        <f aca="true">SUMPRODUCT((J273:J1772&gt;=DATE(YEAR(EDATE(TODAY(),9)),MONTH(EDATE(TODAY(),9)),1))*(J273:J1772&lt;DATE(YEAR(EDATE(TODAY(),10)),MONTH(EDATE(TODAY(),10)),1))*1)</f>
        <v>0</v>
      </c>
      <c r="C48" s="273" t="n">
        <f aca="false">IFERROR(B48/COUNTIF(E273:E1772,"Occupied*"),0)</f>
        <v>0</v>
      </c>
      <c r="D48" s="277" t="n">
        <f aca="true">SUMPRODUCT((J273:J1772&gt;=DATE(YEAR(EDATE(TODAY(),9)),MONTH(EDATE(TODAY(),9)),1))*(J273:J1772&lt;DATE(YEAR(EDATE(TODAY(),10)),MONTH(EDATE(TODAY(),10)),1))*(N273:N1772))</f>
        <v>0</v>
      </c>
      <c r="E48" s="277" t="n">
        <f aca="true">SUMPRODUCT((J273:J1772&gt;=DATE(YEAR(EDATE(TODAY(),9)),MONTH(EDATE(TODAY(),9)),1))*(J273:J1772&lt;DATE(YEAR(EDATE(TODAY(),10)),MONTH(EDATE(TODAY(),10)),1))*(L273:L1772))</f>
        <v>0</v>
      </c>
      <c r="F48" s="277" t="n">
        <f aca="false">E48-D48</f>
        <v>0</v>
      </c>
      <c r="G48" s="273" t="n">
        <f aca="false">G47+C48</f>
        <v>0</v>
      </c>
    </row>
    <row r="49" customFormat="false" ht="15" hidden="false" customHeight="true" outlineLevel="1" collapsed="false">
      <c r="A49" s="311" t="str">
        <f aca="true">TEXT(EDATE(TODAY(),10),"mmm yyyy")</f>
        <v>Apr 2027</v>
      </c>
      <c r="B49" s="378" t="n">
        <f aca="true">SUMPRODUCT((J273:J1772&gt;=DATE(YEAR(EDATE(TODAY(),10)),MONTH(EDATE(TODAY(),10)),1))*(J273:J1772&lt;DATE(YEAR(EDATE(TODAY(),11)),MONTH(EDATE(TODAY(),11)),1))*1)</f>
        <v>0</v>
      </c>
      <c r="C49" s="273" t="n">
        <f aca="false">IFERROR(B49/COUNTIF(E273:E1772,"Occupied*"),0)</f>
        <v>0</v>
      </c>
      <c r="D49" s="277" t="n">
        <f aca="true">SUMPRODUCT((J273:J1772&gt;=DATE(YEAR(EDATE(TODAY(),10)),MONTH(EDATE(TODAY(),10)),1))*(J273:J1772&lt;DATE(YEAR(EDATE(TODAY(),11)),MONTH(EDATE(TODAY(),11)),1))*(N273:N1772))</f>
        <v>0</v>
      </c>
      <c r="E49" s="277" t="n">
        <f aca="true">SUMPRODUCT((J273:J1772&gt;=DATE(YEAR(EDATE(TODAY(),10)),MONTH(EDATE(TODAY(),10)),1))*(J273:J1772&lt;DATE(YEAR(EDATE(TODAY(),11)),MONTH(EDATE(TODAY(),11)),1))*(L273:L1772))</f>
        <v>0</v>
      </c>
      <c r="F49" s="277" t="n">
        <f aca="false">E49-D49</f>
        <v>0</v>
      </c>
      <c r="G49" s="273" t="n">
        <f aca="false">G48+C49</f>
        <v>0</v>
      </c>
    </row>
    <row r="50" customFormat="false" ht="15" hidden="false" customHeight="true" outlineLevel="1" collapsed="false">
      <c r="A50" s="311" t="str">
        <f aca="true">TEXT(EDATE(TODAY(),11),"mmm yyyy")</f>
        <v>May 2027</v>
      </c>
      <c r="B50" s="378" t="n">
        <f aca="true">SUMPRODUCT((J273:J1772&gt;=DATE(YEAR(EDATE(TODAY(),11)),MONTH(EDATE(TODAY(),11)),1))*(J273:J1772&lt;DATE(YEAR(EDATE(TODAY(),12)),MONTH(EDATE(TODAY(),12)),1))*1)</f>
        <v>0</v>
      </c>
      <c r="C50" s="273" t="n">
        <f aca="false">IFERROR(B50/COUNTIF(E273:E1772,"Occupied*"),0)</f>
        <v>0</v>
      </c>
      <c r="D50" s="277" t="n">
        <f aca="true">SUMPRODUCT((J273:J1772&gt;=DATE(YEAR(EDATE(TODAY(),11)),MONTH(EDATE(TODAY(),11)),1))*(J273:J1772&lt;DATE(YEAR(EDATE(TODAY(),12)),MONTH(EDATE(TODAY(),12)),1))*(N273:N1772))</f>
        <v>0</v>
      </c>
      <c r="E50" s="277" t="n">
        <f aca="true">SUMPRODUCT((J273:J1772&gt;=DATE(YEAR(EDATE(TODAY(),11)),MONTH(EDATE(TODAY(),11)),1))*(J273:J1772&lt;DATE(YEAR(EDATE(TODAY(),12)),MONTH(EDATE(TODAY(),12)),1))*(L273:L1772))</f>
        <v>0</v>
      </c>
      <c r="F50" s="277" t="n">
        <f aca="false">E50-D50</f>
        <v>0</v>
      </c>
      <c r="G50" s="273" t="n">
        <f aca="false">G49+C50</f>
        <v>0</v>
      </c>
    </row>
    <row r="51" customFormat="false" ht="15" hidden="false" customHeight="true" outlineLevel="1" collapsed="false">
      <c r="A51" s="311" t="str">
        <f aca="true">TEXT(EDATE(TODAY(),12),"mmm yyyy")</f>
        <v>Jun 2027</v>
      </c>
      <c r="B51" s="378" t="n">
        <f aca="true">SUMPRODUCT((J273:J1772&gt;=DATE(YEAR(EDATE(TODAY(),12)),MONTH(EDATE(TODAY(),12)),1))*(J273:J1772&lt;DATE(YEAR(EDATE(TODAY(),13)),MONTH(EDATE(TODAY(),13)),1))*1)</f>
        <v>0</v>
      </c>
      <c r="C51" s="273" t="n">
        <f aca="false">IFERROR(B51/COUNTIF(E273:E1772,"Occupied*"),0)</f>
        <v>0</v>
      </c>
      <c r="D51" s="277" t="n">
        <f aca="true">SUMPRODUCT((J273:J1772&gt;=DATE(YEAR(EDATE(TODAY(),12)),MONTH(EDATE(TODAY(),12)),1))*(J273:J1772&lt;DATE(YEAR(EDATE(TODAY(),13)),MONTH(EDATE(TODAY(),13)),1))*(N273:N1772))</f>
        <v>0</v>
      </c>
      <c r="E51" s="277" t="n">
        <f aca="true">SUMPRODUCT((J273:J1772&gt;=DATE(YEAR(EDATE(TODAY(),12)),MONTH(EDATE(TODAY(),12)),1))*(J273:J1772&lt;DATE(YEAR(EDATE(TODAY(),13)),MONTH(EDATE(TODAY(),13)),1))*(L273:L1772))</f>
        <v>0</v>
      </c>
      <c r="F51" s="277" t="n">
        <f aca="false">E51-D51</f>
        <v>0</v>
      </c>
      <c r="G51" s="273" t="n">
        <f aca="false">G50+C51</f>
        <v>0</v>
      </c>
    </row>
    <row r="52" customFormat="false" ht="15" hidden="false" customHeight="true" outlineLevel="1" collapsed="false">
      <c r="A52" s="311" t="str">
        <f aca="true">TEXT(EDATE(TODAY(),13),"mmm yyyy")</f>
        <v>Jul 2027</v>
      </c>
      <c r="B52" s="378" t="n">
        <f aca="true">SUMPRODUCT((J273:J1772&gt;=DATE(YEAR(EDATE(TODAY(),13)),MONTH(EDATE(TODAY(),13)),1))*(J273:J1772&lt;DATE(YEAR(EDATE(TODAY(),14)),MONTH(EDATE(TODAY(),14)),1))*1)</f>
        <v>0</v>
      </c>
      <c r="C52" s="273" t="n">
        <f aca="false">IFERROR(B52/COUNTIF(E273:E1772,"Occupied*"),0)</f>
        <v>0</v>
      </c>
      <c r="D52" s="277" t="n">
        <f aca="true">SUMPRODUCT((J273:J1772&gt;=DATE(YEAR(EDATE(TODAY(),13)),MONTH(EDATE(TODAY(),13)),1))*(J273:J1772&lt;DATE(YEAR(EDATE(TODAY(),14)),MONTH(EDATE(TODAY(),14)),1))*(N273:N1772))</f>
        <v>0</v>
      </c>
      <c r="E52" s="277" t="n">
        <f aca="true">SUMPRODUCT((J273:J1772&gt;=DATE(YEAR(EDATE(TODAY(),13)),MONTH(EDATE(TODAY(),13)),1))*(J273:J1772&lt;DATE(YEAR(EDATE(TODAY(),14)),MONTH(EDATE(TODAY(),14)),1))*(L273:L1772))</f>
        <v>0</v>
      </c>
      <c r="F52" s="277" t="n">
        <f aca="false">E52-D52</f>
        <v>0</v>
      </c>
      <c r="G52" s="273" t="n">
        <f aca="false">G51+C52</f>
        <v>0</v>
      </c>
    </row>
    <row r="53" customFormat="false" ht="15" hidden="false" customHeight="true" outlineLevel="1" collapsed="false">
      <c r="A53" s="311" t="str">
        <f aca="true">TEXT(EDATE(TODAY(),14),"mmm yyyy")</f>
        <v>Aug 2027</v>
      </c>
      <c r="B53" s="378" t="n">
        <f aca="true">SUMPRODUCT((J273:J1772&gt;=DATE(YEAR(EDATE(TODAY(),14)),MONTH(EDATE(TODAY(),14)),1))*(J273:J1772&lt;DATE(YEAR(EDATE(TODAY(),15)),MONTH(EDATE(TODAY(),15)),1))*1)</f>
        <v>0</v>
      </c>
      <c r="C53" s="273" t="n">
        <f aca="false">IFERROR(B53/COUNTIF(E273:E1772,"Occupied*"),0)</f>
        <v>0</v>
      </c>
      <c r="D53" s="277" t="n">
        <f aca="true">SUMPRODUCT((J273:J1772&gt;=DATE(YEAR(EDATE(TODAY(),14)),MONTH(EDATE(TODAY(),14)),1))*(J273:J1772&lt;DATE(YEAR(EDATE(TODAY(),15)),MONTH(EDATE(TODAY(),15)),1))*(N273:N1772))</f>
        <v>0</v>
      </c>
      <c r="E53" s="277" t="n">
        <f aca="true">SUMPRODUCT((J273:J1772&gt;=DATE(YEAR(EDATE(TODAY(),14)),MONTH(EDATE(TODAY(),14)),1))*(J273:J1772&lt;DATE(YEAR(EDATE(TODAY(),15)),MONTH(EDATE(TODAY(),15)),1))*(L273:L1772))</f>
        <v>0</v>
      </c>
      <c r="F53" s="277" t="n">
        <f aca="false">E53-D53</f>
        <v>0</v>
      </c>
      <c r="G53" s="273" t="n">
        <f aca="false">G52+C53</f>
        <v>0</v>
      </c>
    </row>
    <row r="54" customFormat="false" ht="15" hidden="false" customHeight="true" outlineLevel="1" collapsed="false">
      <c r="A54" s="311" t="str">
        <f aca="true">TEXT(EDATE(TODAY(),15),"mmm yyyy")</f>
        <v>Sep 2027</v>
      </c>
      <c r="B54" s="378" t="n">
        <f aca="true">SUMPRODUCT((J273:J1772&gt;=DATE(YEAR(EDATE(TODAY(),15)),MONTH(EDATE(TODAY(),15)),1))*(J273:J1772&lt;DATE(YEAR(EDATE(TODAY(),16)),MONTH(EDATE(TODAY(),16)),1))*1)</f>
        <v>0</v>
      </c>
      <c r="C54" s="273" t="n">
        <f aca="false">IFERROR(B54/COUNTIF(E273:E1772,"Occupied*"),0)</f>
        <v>0</v>
      </c>
      <c r="D54" s="277" t="n">
        <f aca="true">SUMPRODUCT((J273:J1772&gt;=DATE(YEAR(EDATE(TODAY(),15)),MONTH(EDATE(TODAY(),15)),1))*(J273:J1772&lt;DATE(YEAR(EDATE(TODAY(),16)),MONTH(EDATE(TODAY(),16)),1))*(N273:N1772))</f>
        <v>0</v>
      </c>
      <c r="E54" s="277" t="n">
        <f aca="true">SUMPRODUCT((J273:J1772&gt;=DATE(YEAR(EDATE(TODAY(),15)),MONTH(EDATE(TODAY(),15)),1))*(J273:J1772&lt;DATE(YEAR(EDATE(TODAY(),16)),MONTH(EDATE(TODAY(),16)),1))*(L273:L1772))</f>
        <v>0</v>
      </c>
      <c r="F54" s="277" t="n">
        <f aca="false">E54-D54</f>
        <v>0</v>
      </c>
      <c r="G54" s="273" t="n">
        <f aca="false">G53+C54</f>
        <v>0</v>
      </c>
    </row>
    <row r="55" customFormat="false" ht="15" hidden="false" customHeight="true" outlineLevel="1" collapsed="false">
      <c r="A55" s="311" t="str">
        <f aca="true">TEXT(EDATE(TODAY(),16),"mmm yyyy")</f>
        <v>Oct 2027</v>
      </c>
      <c r="B55" s="378" t="n">
        <f aca="true">SUMPRODUCT((J273:J1772&gt;=DATE(YEAR(EDATE(TODAY(),16)),MONTH(EDATE(TODAY(),16)),1))*(J273:J1772&lt;DATE(YEAR(EDATE(TODAY(),17)),MONTH(EDATE(TODAY(),17)),1))*1)</f>
        <v>0</v>
      </c>
      <c r="C55" s="273" t="n">
        <f aca="false">IFERROR(B55/COUNTIF(E273:E1772,"Occupied*"),0)</f>
        <v>0</v>
      </c>
      <c r="D55" s="277" t="n">
        <f aca="true">SUMPRODUCT((J273:J1772&gt;=DATE(YEAR(EDATE(TODAY(),16)),MONTH(EDATE(TODAY(),16)),1))*(J273:J1772&lt;DATE(YEAR(EDATE(TODAY(),17)),MONTH(EDATE(TODAY(),17)),1))*(N273:N1772))</f>
        <v>0</v>
      </c>
      <c r="E55" s="277" t="n">
        <f aca="true">SUMPRODUCT((J273:J1772&gt;=DATE(YEAR(EDATE(TODAY(),16)),MONTH(EDATE(TODAY(),16)),1))*(J273:J1772&lt;DATE(YEAR(EDATE(TODAY(),17)),MONTH(EDATE(TODAY(),17)),1))*(L273:L1772))</f>
        <v>0</v>
      </c>
      <c r="F55" s="277" t="n">
        <f aca="false">E55-D55</f>
        <v>0</v>
      </c>
      <c r="G55" s="273" t="n">
        <f aca="false">G54+C55</f>
        <v>0</v>
      </c>
    </row>
    <row r="56" customFormat="false" ht="15" hidden="false" customHeight="true" outlineLevel="1" collapsed="false">
      <c r="A56" s="311" t="str">
        <f aca="true">TEXT(EDATE(TODAY(),17),"mmm yyyy")</f>
        <v>Nov 2027</v>
      </c>
      <c r="B56" s="378" t="n">
        <f aca="true">SUMPRODUCT((J273:J1772&gt;=DATE(YEAR(EDATE(TODAY(),17)),MONTH(EDATE(TODAY(),17)),1))*(J273:J1772&lt;DATE(YEAR(EDATE(TODAY(),18)),MONTH(EDATE(TODAY(),18)),1))*1)</f>
        <v>0</v>
      </c>
      <c r="C56" s="273" t="n">
        <f aca="false">IFERROR(B56/COUNTIF(E273:E1772,"Occupied*"),0)</f>
        <v>0</v>
      </c>
      <c r="D56" s="277" t="n">
        <f aca="true">SUMPRODUCT((J273:J1772&gt;=DATE(YEAR(EDATE(TODAY(),17)),MONTH(EDATE(TODAY(),17)),1))*(J273:J1772&lt;DATE(YEAR(EDATE(TODAY(),18)),MONTH(EDATE(TODAY(),18)),1))*(N273:N1772))</f>
        <v>0</v>
      </c>
      <c r="E56" s="277" t="n">
        <f aca="true">SUMPRODUCT((J273:J1772&gt;=DATE(YEAR(EDATE(TODAY(),17)),MONTH(EDATE(TODAY(),17)),1))*(J273:J1772&lt;DATE(YEAR(EDATE(TODAY(),18)),MONTH(EDATE(TODAY(),18)),1))*(L273:L1772))</f>
        <v>0</v>
      </c>
      <c r="F56" s="277" t="n">
        <f aca="false">E56-D56</f>
        <v>0</v>
      </c>
      <c r="G56" s="273" t="n">
        <f aca="false">G55+C56</f>
        <v>0</v>
      </c>
    </row>
    <row r="57" customFormat="false" ht="15" hidden="false" customHeight="true" outlineLevel="1" collapsed="false">
      <c r="A57" s="311" t="str">
        <f aca="true">TEXT(EDATE(TODAY(),18),"mmm yyyy")</f>
        <v>Dec 2027</v>
      </c>
      <c r="B57" s="378" t="n">
        <f aca="true">SUMPRODUCT((J273:J1772&gt;=DATE(YEAR(EDATE(TODAY(),18)),MONTH(EDATE(TODAY(),18)),1))*(J273:J1772&lt;DATE(YEAR(EDATE(TODAY(),19)),MONTH(EDATE(TODAY(),19)),1))*1)</f>
        <v>0</v>
      </c>
      <c r="C57" s="273" t="n">
        <f aca="false">IFERROR(B57/COUNTIF(E273:E1772,"Occupied*"),0)</f>
        <v>0</v>
      </c>
      <c r="D57" s="277" t="n">
        <f aca="true">SUMPRODUCT((J273:J1772&gt;=DATE(YEAR(EDATE(TODAY(),18)),MONTH(EDATE(TODAY(),18)),1))*(J273:J1772&lt;DATE(YEAR(EDATE(TODAY(),19)),MONTH(EDATE(TODAY(),19)),1))*(N273:N1772))</f>
        <v>0</v>
      </c>
      <c r="E57" s="277" t="n">
        <f aca="true">SUMPRODUCT((J273:J1772&gt;=DATE(YEAR(EDATE(TODAY(),18)),MONTH(EDATE(TODAY(),18)),1))*(J273:J1772&lt;DATE(YEAR(EDATE(TODAY(),19)),MONTH(EDATE(TODAY(),19)),1))*(L273:L1772))</f>
        <v>0</v>
      </c>
      <c r="F57" s="277" t="n">
        <f aca="false">E57-D57</f>
        <v>0</v>
      </c>
      <c r="G57" s="273" t="n">
        <f aca="false">G56+C57</f>
        <v>0</v>
      </c>
    </row>
    <row r="58" customFormat="false" ht="15" hidden="false" customHeight="true" outlineLevel="1" collapsed="false">
      <c r="A58" s="311" t="str">
        <f aca="true">TEXT(EDATE(TODAY(),19),"mmm yyyy")</f>
        <v>Jan 2028</v>
      </c>
      <c r="B58" s="378" t="n">
        <f aca="true">SUMPRODUCT((J273:J1772&gt;=DATE(YEAR(EDATE(TODAY(),19)),MONTH(EDATE(TODAY(),19)),1))*(J273:J1772&lt;DATE(YEAR(EDATE(TODAY(),20)),MONTH(EDATE(TODAY(),20)),1))*1)</f>
        <v>0</v>
      </c>
      <c r="C58" s="273" t="n">
        <f aca="false">IFERROR(B58/COUNTIF(E273:E1772,"Occupied*"),0)</f>
        <v>0</v>
      </c>
      <c r="D58" s="277" t="n">
        <f aca="true">SUMPRODUCT((J273:J1772&gt;=DATE(YEAR(EDATE(TODAY(),19)),MONTH(EDATE(TODAY(),19)),1))*(J273:J1772&lt;DATE(YEAR(EDATE(TODAY(),20)),MONTH(EDATE(TODAY(),20)),1))*(N273:N1772))</f>
        <v>0</v>
      </c>
      <c r="E58" s="277" t="n">
        <f aca="true">SUMPRODUCT((J273:J1772&gt;=DATE(YEAR(EDATE(TODAY(),19)),MONTH(EDATE(TODAY(),19)),1))*(J273:J1772&lt;DATE(YEAR(EDATE(TODAY(),20)),MONTH(EDATE(TODAY(),20)),1))*(L273:L1772))</f>
        <v>0</v>
      </c>
      <c r="F58" s="277" t="n">
        <f aca="false">E58-D58</f>
        <v>0</v>
      </c>
      <c r="G58" s="273" t="n">
        <f aca="false">G57+C58</f>
        <v>0</v>
      </c>
    </row>
    <row r="59" customFormat="false" ht="15" hidden="false" customHeight="true" outlineLevel="1" collapsed="false">
      <c r="A59" s="311" t="str">
        <f aca="true">TEXT(EDATE(TODAY(),20),"mmm yyyy")</f>
        <v>Feb 2028</v>
      </c>
      <c r="B59" s="378" t="n">
        <f aca="true">SUMPRODUCT((J273:J1772&gt;=DATE(YEAR(EDATE(TODAY(),20)),MONTH(EDATE(TODAY(),20)),1))*(J273:J1772&lt;DATE(YEAR(EDATE(TODAY(),21)),MONTH(EDATE(TODAY(),21)),1))*1)</f>
        <v>0</v>
      </c>
      <c r="C59" s="273" t="n">
        <f aca="false">IFERROR(B59/COUNTIF(E273:E1772,"Occupied*"),0)</f>
        <v>0</v>
      </c>
      <c r="D59" s="277" t="n">
        <f aca="true">SUMPRODUCT((J273:J1772&gt;=DATE(YEAR(EDATE(TODAY(),20)),MONTH(EDATE(TODAY(),20)),1))*(J273:J1772&lt;DATE(YEAR(EDATE(TODAY(),21)),MONTH(EDATE(TODAY(),21)),1))*(N273:N1772))</f>
        <v>0</v>
      </c>
      <c r="E59" s="277" t="n">
        <f aca="true">SUMPRODUCT((J273:J1772&gt;=DATE(YEAR(EDATE(TODAY(),20)),MONTH(EDATE(TODAY(),20)),1))*(J273:J1772&lt;DATE(YEAR(EDATE(TODAY(),21)),MONTH(EDATE(TODAY(),21)),1))*(L273:L1772))</f>
        <v>0</v>
      </c>
      <c r="F59" s="277" t="n">
        <f aca="false">E59-D59</f>
        <v>0</v>
      </c>
      <c r="G59" s="273" t="n">
        <f aca="false">G58+C59</f>
        <v>0</v>
      </c>
    </row>
    <row r="60" customFormat="false" ht="15" hidden="false" customHeight="true" outlineLevel="1" collapsed="false">
      <c r="A60" s="311" t="str">
        <f aca="true">TEXT(EDATE(TODAY(),21),"mmm yyyy")</f>
        <v>Mar 2028</v>
      </c>
      <c r="B60" s="378" t="n">
        <f aca="true">SUMPRODUCT((J273:J1772&gt;=DATE(YEAR(EDATE(TODAY(),21)),MONTH(EDATE(TODAY(),21)),1))*(J273:J1772&lt;DATE(YEAR(EDATE(TODAY(),22)),MONTH(EDATE(TODAY(),22)),1))*1)</f>
        <v>0</v>
      </c>
      <c r="C60" s="273" t="n">
        <f aca="false">IFERROR(B60/COUNTIF(E273:E1772,"Occupied*"),0)</f>
        <v>0</v>
      </c>
      <c r="D60" s="277" t="n">
        <f aca="true">SUMPRODUCT((J273:J1772&gt;=DATE(YEAR(EDATE(TODAY(),21)),MONTH(EDATE(TODAY(),21)),1))*(J273:J1772&lt;DATE(YEAR(EDATE(TODAY(),22)),MONTH(EDATE(TODAY(),22)),1))*(N273:N1772))</f>
        <v>0</v>
      </c>
      <c r="E60" s="277" t="n">
        <f aca="true">SUMPRODUCT((J273:J1772&gt;=DATE(YEAR(EDATE(TODAY(),21)),MONTH(EDATE(TODAY(),21)),1))*(J273:J1772&lt;DATE(YEAR(EDATE(TODAY(),22)),MONTH(EDATE(TODAY(),22)),1))*(L273:L1772))</f>
        <v>0</v>
      </c>
      <c r="F60" s="277" t="n">
        <f aca="false">E60-D60</f>
        <v>0</v>
      </c>
      <c r="G60" s="273" t="n">
        <f aca="false">G59+C60</f>
        <v>0</v>
      </c>
    </row>
    <row r="61" customFormat="false" ht="15" hidden="false" customHeight="true" outlineLevel="1" collapsed="false">
      <c r="A61" s="311" t="str">
        <f aca="true">TEXT(EDATE(TODAY(),22),"mmm yyyy")</f>
        <v>Apr 2028</v>
      </c>
      <c r="B61" s="378" t="n">
        <f aca="true">SUMPRODUCT((J273:J1772&gt;=DATE(YEAR(EDATE(TODAY(),22)),MONTH(EDATE(TODAY(),22)),1))*(J273:J1772&lt;DATE(YEAR(EDATE(TODAY(),23)),MONTH(EDATE(TODAY(),23)),1))*1)</f>
        <v>0</v>
      </c>
      <c r="C61" s="273" t="n">
        <f aca="false">IFERROR(B61/COUNTIF(E273:E1772,"Occupied*"),0)</f>
        <v>0</v>
      </c>
      <c r="D61" s="277" t="n">
        <f aca="true">SUMPRODUCT((J273:J1772&gt;=DATE(YEAR(EDATE(TODAY(),22)),MONTH(EDATE(TODAY(),22)),1))*(J273:J1772&lt;DATE(YEAR(EDATE(TODAY(),23)),MONTH(EDATE(TODAY(),23)),1))*(N273:N1772))</f>
        <v>0</v>
      </c>
      <c r="E61" s="277" t="n">
        <f aca="true">SUMPRODUCT((J273:J1772&gt;=DATE(YEAR(EDATE(TODAY(),22)),MONTH(EDATE(TODAY(),22)),1))*(J273:J1772&lt;DATE(YEAR(EDATE(TODAY(),23)),MONTH(EDATE(TODAY(),23)),1))*(L273:L1772))</f>
        <v>0</v>
      </c>
      <c r="F61" s="277" t="n">
        <f aca="false">E61-D61</f>
        <v>0</v>
      </c>
      <c r="G61" s="273" t="n">
        <f aca="false">G60+C61</f>
        <v>0</v>
      </c>
    </row>
    <row r="62" customFormat="false" ht="15" hidden="false" customHeight="true" outlineLevel="1" collapsed="false">
      <c r="A62" s="311" t="str">
        <f aca="true">TEXT(EDATE(TODAY(),23),"mmm yyyy")</f>
        <v>May 2028</v>
      </c>
      <c r="B62" s="378" t="n">
        <f aca="true">SUMPRODUCT((J273:J1772&gt;=DATE(YEAR(EDATE(TODAY(),23)),MONTH(EDATE(TODAY(),23)),1))*(J273:J1772&lt;DATE(YEAR(EDATE(TODAY(),24)),MONTH(EDATE(TODAY(),24)),1))*1)</f>
        <v>0</v>
      </c>
      <c r="C62" s="273" t="n">
        <f aca="false">IFERROR(B62/COUNTIF(E273:E1772,"Occupied*"),0)</f>
        <v>0</v>
      </c>
      <c r="D62" s="277" t="n">
        <f aca="true">SUMPRODUCT((J273:J1772&gt;=DATE(YEAR(EDATE(TODAY(),23)),MONTH(EDATE(TODAY(),23)),1))*(J273:J1772&lt;DATE(YEAR(EDATE(TODAY(),24)),MONTH(EDATE(TODAY(),24)),1))*(N273:N1772))</f>
        <v>0</v>
      </c>
      <c r="E62" s="277" t="n">
        <f aca="true">SUMPRODUCT((J273:J1772&gt;=DATE(YEAR(EDATE(TODAY(),23)),MONTH(EDATE(TODAY(),23)),1))*(J273:J1772&lt;DATE(YEAR(EDATE(TODAY(),24)),MONTH(EDATE(TODAY(),24)),1))*(L273:L1772))</f>
        <v>0</v>
      </c>
      <c r="F62" s="277" t="n">
        <f aca="false">E62-D62</f>
        <v>0</v>
      </c>
      <c r="G62" s="273" t="n">
        <f aca="false">G61+C62</f>
        <v>0</v>
      </c>
    </row>
    <row r="63" customFormat="false" ht="15" hidden="false" customHeight="true" outlineLevel="1" collapsed="false">
      <c r="A63" s="110" t="s">
        <v>1159</v>
      </c>
      <c r="B63" s="124" t="n">
        <f aca="true">SUMPRODUCT((E273:E1772="Occupied No Notice")*((J273:J1772&lt;TODAY())+(J273:J1772=""))*1)</f>
        <v>0</v>
      </c>
      <c r="C63" s="125" t="n">
        <f aca="false">IFERROR(B63/COUNTIF(E273:E1772,"Occupied*"),0)</f>
        <v>0</v>
      </c>
    </row>
    <row r="64" customFormat="false" ht="15" hidden="false" customHeight="true" outlineLevel="1" collapsed="false"/>
    <row r="65" customFormat="false" ht="15" hidden="false" customHeight="true" outlineLevel="1" collapsed="false">
      <c r="A65" s="126" t="s">
        <v>1160</v>
      </c>
      <c r="B65" s="378" t="n">
        <f aca="false">MAX(B39:B62)</f>
        <v>0</v>
      </c>
      <c r="C65" s="273" t="n">
        <f aca="false">IFERROR(B65/COUNTIF(E273:E1772,"Occupied*"),0)</f>
        <v>0</v>
      </c>
      <c r="D65" s="111" t="str">
        <f aca="false">IF(C65&gt;0.15,"⚠ heavy stack — diversify",IF(C65&gt;0.1,"caution","ok"))</f>
        <v>ok</v>
      </c>
    </row>
    <row r="66" customFormat="false" ht="15" hidden="false" customHeight="true" outlineLevel="1" collapsed="false"/>
    <row r="67" customFormat="false" ht="15" hidden="false" customHeight="true" outlineLevel="1" collapsed="false"/>
    <row r="68" customFormat="false" ht="21.75" hidden="false" customHeight="true" outlineLevel="0" collapsed="false">
      <c r="A68" s="17" t="s">
        <v>1161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</row>
    <row r="69" customFormat="false" ht="15" hidden="false" customHeight="true" outlineLevel="1" collapsed="false">
      <c r="A69" s="113" t="s">
        <v>1162</v>
      </c>
    </row>
    <row r="70" customFormat="false" ht="27.75" hidden="false" customHeight="true" outlineLevel="1" collapsed="false">
      <c r="A70" s="127" t="s">
        <v>1163</v>
      </c>
      <c r="B70" s="127" t="s">
        <v>369</v>
      </c>
      <c r="C70" s="127" t="s">
        <v>1164</v>
      </c>
      <c r="D70" s="127" t="s">
        <v>1165</v>
      </c>
      <c r="E70" s="127" t="s">
        <v>1166</v>
      </c>
    </row>
    <row r="71" customFormat="false" ht="15" hidden="false" customHeight="true" outlineLevel="1" collapsed="false">
      <c r="A71" s="111" t="s">
        <v>1167</v>
      </c>
      <c r="B71" s="378" t="n">
        <f aca="false">COUNTIF(E273:E1772,"Vacant Unrented Ready")</f>
        <v>0</v>
      </c>
      <c r="C71" s="273" t="n">
        <f aca="false">IFERROR(B71/COUNTIF(E273:E1772,"Vacant*"),0)</f>
        <v>0</v>
      </c>
      <c r="D71" s="120" t="e">
        <f aca="false">B71*Scenarios!F39*12</f>
        <v>#VALUE!</v>
      </c>
      <c r="E71" s="113" t="s">
        <v>1168</v>
      </c>
    </row>
    <row r="72" customFormat="false" ht="15" hidden="false" customHeight="true" outlineLevel="1" collapsed="false">
      <c r="A72" s="111" t="s">
        <v>1169</v>
      </c>
      <c r="B72" s="378" t="n">
        <f aca="true">SUMPRODUCT((E273:E1772="Vacant Unrented Not Ready")*((TODAY()-J273:J1772)&lt;=90)*(J273:J1772&gt;0))</f>
        <v>0</v>
      </c>
      <c r="C72" s="273" t="n">
        <f aca="false">IFERROR(B72/COUNTIF(E273:E1772,"Vacant*"),0)</f>
        <v>0</v>
      </c>
      <c r="D72" s="120" t="e">
        <f aca="false">B72*Scenarios!F39*12</f>
        <v>#VALUE!</v>
      </c>
      <c r="E72" s="113" t="s">
        <v>1170</v>
      </c>
    </row>
    <row r="73" customFormat="false" ht="15" hidden="false" customHeight="true" outlineLevel="1" collapsed="false">
      <c r="A73" s="111" t="s">
        <v>1171</v>
      </c>
      <c r="B73" s="378" t="n">
        <f aca="true">SUMPRODUCT((E273:E1772="Vacant Unrented Not Ready")*((TODAY()-J273:J1772)&gt;90)*((TODAY()-J273:J1772)&lt;=180)*(J273:J1772&gt;0))</f>
        <v>0</v>
      </c>
      <c r="C73" s="273" t="n">
        <f aca="false">IFERROR(B73/COUNTIF(E273:E1772,"Vacant*"),0)</f>
        <v>0</v>
      </c>
      <c r="D73" s="120" t="e">
        <f aca="false">B73*Scenarios!F39*12</f>
        <v>#VALUE!</v>
      </c>
      <c r="E73" s="113" t="s">
        <v>1172</v>
      </c>
    </row>
    <row r="74" customFormat="false" ht="15" hidden="false" customHeight="true" outlineLevel="1" collapsed="false">
      <c r="A74" s="111" t="s">
        <v>1173</v>
      </c>
      <c r="B74" s="378" t="n">
        <f aca="true">SUMPRODUCT((E273:E1772="Vacant Unrented Not Ready")*((TODAY()-J273:J1772)&gt;180)*((TODAY()-J273:J1772)&lt;=365)*(J273:J1772&gt;0))</f>
        <v>0</v>
      </c>
      <c r="C74" s="273" t="n">
        <f aca="false">IFERROR(B74/COUNTIF(E273:E1772,"Vacant*"),0)</f>
        <v>0</v>
      </c>
      <c r="D74" s="120" t="e">
        <f aca="false">B74*Scenarios!F39*12</f>
        <v>#VALUE!</v>
      </c>
      <c r="E74" s="113" t="s">
        <v>1174</v>
      </c>
    </row>
    <row r="75" customFormat="false" ht="15" hidden="false" customHeight="true" outlineLevel="1" collapsed="false">
      <c r="A75" s="111" t="s">
        <v>1175</v>
      </c>
      <c r="B75" s="378" t="n">
        <f aca="true">SUMPRODUCT((E273:E1772="Vacant Unrented Not Ready")*((TODAY()-J273:J1772)&gt;365)*(J273:J1772&gt;0))</f>
        <v>0</v>
      </c>
      <c r="C75" s="273" t="n">
        <f aca="false">IFERROR(B75/COUNTIF(E273:E1772,"Vacant*"),0)</f>
        <v>0</v>
      </c>
      <c r="D75" s="120" t="e">
        <f aca="false">B75*Scenarios!F39*12</f>
        <v>#VALUE!</v>
      </c>
      <c r="E75" s="113" t="s">
        <v>1176</v>
      </c>
    </row>
    <row r="76" customFormat="false" ht="15" hidden="false" customHeight="true" outlineLevel="1" collapsed="false">
      <c r="A76" s="111" t="s">
        <v>1177</v>
      </c>
      <c r="B76" s="378" t="n">
        <f aca="false">COUNTIFS(E273:E1772,"Vacant Unrented Not Ready",J273:J1772,"")</f>
        <v>0</v>
      </c>
      <c r="C76" s="273" t="n">
        <f aca="false">IFERROR(B76/COUNTIF(E273:E1772,"Vacant*"),0)</f>
        <v>0</v>
      </c>
      <c r="D76" s="120" t="e">
        <f aca="false">B76*Scenarios!F39*12</f>
        <v>#VALUE!</v>
      </c>
      <c r="E76" s="113" t="s">
        <v>1178</v>
      </c>
    </row>
    <row r="77" customFormat="false" ht="15" hidden="false" customHeight="true" outlineLevel="1" collapsed="false">
      <c r="A77" s="313" t="s">
        <v>1179</v>
      </c>
      <c r="D77" s="314" t="e">
        <f aca="false">SUM(D71:D76)</f>
        <v>#VALUE!</v>
      </c>
    </row>
    <row r="78" customFormat="false" ht="15" hidden="false" customHeight="true" outlineLevel="1" collapsed="false"/>
    <row r="79" customFormat="false" ht="15" hidden="false" customHeight="true" outlineLevel="1" collapsed="false"/>
    <row r="80" customFormat="false" ht="21.75" hidden="false" customHeight="true" outlineLevel="0" collapsed="false">
      <c r="A80" s="17" t="s">
        <v>1180</v>
      </c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</row>
    <row r="81" customFormat="false" ht="27.75" hidden="false" customHeight="true" outlineLevel="1" collapsed="false">
      <c r="A81" s="127" t="s">
        <v>1181</v>
      </c>
      <c r="B81" s="127" t="s">
        <v>1182</v>
      </c>
      <c r="C81" s="127" t="s">
        <v>1154</v>
      </c>
      <c r="D81" s="127" t="s">
        <v>1183</v>
      </c>
      <c r="E81" s="127" t="s">
        <v>1184</v>
      </c>
      <c r="F81" s="127" t="s">
        <v>1185</v>
      </c>
      <c r="G81" s="127" t="s">
        <v>880</v>
      </c>
    </row>
    <row r="82" customFormat="false" ht="15" hidden="false" customHeight="true" outlineLevel="1" collapsed="false">
      <c r="A82" s="111" t="s">
        <v>1186</v>
      </c>
      <c r="B82" s="378" t="n">
        <f aca="true">SUMPRODUCT(((E273:E1772="Occupied No Notice")*((TODAY()-H273:H1772)&gt;=0)*((TODAY()-H273:H1772)&lt;180)*(H273:H1772&gt;0))*1)</f>
        <v>0</v>
      </c>
      <c r="C82" s="273" t="n">
        <f aca="false">IFERROR(B82/COUNTIF(E273:E1772,"Occupied*"),0)</f>
        <v>0</v>
      </c>
      <c r="D82" s="277" t="n">
        <f aca="true">IFERROR(SUMPRODUCT(((E273:E1772="Occupied No Notice")*((TODAY()-H273:H1772)&gt;=0)*((TODAY()-H273:H1772)&lt;180)*(H273:H1772&gt;0))*(N273:N1772))/B82,0)</f>
        <v>0</v>
      </c>
      <c r="E82" s="277" t="n">
        <f aca="true">IFERROR(SUMPRODUCT(((E273:E1772="Occupied No Notice")*((TODAY()-H273:H1772)&gt;=0)*((TODAY()-H273:H1772)&lt;180)*(H273:H1772&gt;0))*(L273:L1772))/B82,0)</f>
        <v>0</v>
      </c>
      <c r="F82" s="277" t="n">
        <f aca="false">E82-D82</f>
        <v>0</v>
      </c>
      <c r="G82" s="113" t="s">
        <v>1187</v>
      </c>
    </row>
    <row r="83" customFormat="false" ht="15" hidden="false" customHeight="true" outlineLevel="1" collapsed="false">
      <c r="A83" s="111" t="s">
        <v>1188</v>
      </c>
      <c r="B83" s="378" t="n">
        <f aca="true">SUMPRODUCT(((E273:E1772="Occupied No Notice")*((TODAY()-H273:H1772)&gt;=180)*((TODAY()-H273:H1772)&lt;365)*(H273:H1772&gt;0))*1)</f>
        <v>0</v>
      </c>
      <c r="C83" s="273" t="n">
        <f aca="false">IFERROR(B83/COUNTIF(E273:E1772,"Occupied*"),0)</f>
        <v>0</v>
      </c>
      <c r="D83" s="277" t="n">
        <f aca="true">IFERROR(SUMPRODUCT(((E273:E1772="Occupied No Notice")*((TODAY()-H273:H1772)&gt;=180)*((TODAY()-H273:H1772)&lt;365)*(H273:H1772&gt;0))*(N273:N1772))/B83,0)</f>
        <v>0</v>
      </c>
      <c r="E83" s="277" t="n">
        <f aca="true">IFERROR(SUMPRODUCT(((E273:E1772="Occupied No Notice")*((TODAY()-H273:H1772)&gt;=180)*((TODAY()-H273:H1772)&lt;365)*(H273:H1772&gt;0))*(L273:L1772))/B83,0)</f>
        <v>0</v>
      </c>
      <c r="F83" s="277" t="n">
        <f aca="false">E83-D83</f>
        <v>0</v>
      </c>
      <c r="G83" s="113" t="s">
        <v>1189</v>
      </c>
    </row>
    <row r="84" customFormat="false" ht="15" hidden="false" customHeight="true" outlineLevel="1" collapsed="false">
      <c r="A84" s="111" t="s">
        <v>1190</v>
      </c>
      <c r="B84" s="378" t="n">
        <f aca="true">SUMPRODUCT(((E273:E1772="Occupied No Notice")*((TODAY()-H273:H1772)&gt;=365)*((TODAY()-H273:H1772)&lt;730)*(H273:H1772&gt;0))*1)</f>
        <v>0</v>
      </c>
      <c r="C84" s="273" t="n">
        <f aca="false">IFERROR(B84/COUNTIF(E273:E1772,"Occupied*"),0)</f>
        <v>0</v>
      </c>
      <c r="D84" s="277" t="n">
        <f aca="true">IFERROR(SUMPRODUCT(((E273:E1772="Occupied No Notice")*((TODAY()-H273:H1772)&gt;=365)*((TODAY()-H273:H1772)&lt;730)*(H273:H1772&gt;0))*(N273:N1772))/B84,0)</f>
        <v>0</v>
      </c>
      <c r="E84" s="277" t="n">
        <f aca="true">IFERROR(SUMPRODUCT(((E273:E1772="Occupied No Notice")*((TODAY()-H273:H1772)&gt;=365)*((TODAY()-H273:H1772)&lt;730)*(H273:H1772&gt;0))*(L273:L1772))/B84,0)</f>
        <v>0</v>
      </c>
      <c r="F84" s="277" t="n">
        <f aca="false">E84-D84</f>
        <v>0</v>
      </c>
      <c r="G84" s="113" t="s">
        <v>1191</v>
      </c>
    </row>
    <row r="85" customFormat="false" ht="15" hidden="false" customHeight="true" outlineLevel="1" collapsed="false">
      <c r="A85" s="111" t="s">
        <v>1192</v>
      </c>
      <c r="B85" s="378" t="n">
        <f aca="true">SUMPRODUCT(((E273:E1772="Occupied No Notice")*((TODAY()-H273:H1772)&gt;=730)*((TODAY()-H273:H1772)&lt;1095)*(H273:H1772&gt;0))*1)</f>
        <v>0</v>
      </c>
      <c r="C85" s="273" t="n">
        <f aca="false">IFERROR(B85/COUNTIF(E273:E1772,"Occupied*"),0)</f>
        <v>0</v>
      </c>
      <c r="D85" s="277" t="n">
        <f aca="true">IFERROR(SUMPRODUCT(((E273:E1772="Occupied No Notice")*((TODAY()-H273:H1772)&gt;=730)*((TODAY()-H273:H1772)&lt;1095)*(H273:H1772&gt;0))*(N273:N1772))/B85,0)</f>
        <v>0</v>
      </c>
      <c r="E85" s="277" t="n">
        <f aca="true">IFERROR(SUMPRODUCT(((E273:E1772="Occupied No Notice")*((TODAY()-H273:H1772)&gt;=730)*((TODAY()-H273:H1772)&lt;1095)*(H273:H1772&gt;0))*(L273:L1772))/B85,0)</f>
        <v>0</v>
      </c>
      <c r="F85" s="277" t="n">
        <f aca="false">E85-D85</f>
        <v>0</v>
      </c>
      <c r="G85" s="113" t="s">
        <v>1193</v>
      </c>
    </row>
    <row r="86" customFormat="false" ht="15" hidden="false" customHeight="true" outlineLevel="1" collapsed="false">
      <c r="A86" s="111" t="s">
        <v>1194</v>
      </c>
      <c r="B86" s="378" t="n">
        <f aca="true">SUMPRODUCT(((E273:E1772="Occupied No Notice")*((TODAY()-H273:H1772)&gt;=1095)*((TODAY()-H273:H1772)&lt;99999)*(H273:H1772&gt;0))*1)</f>
        <v>0</v>
      </c>
      <c r="C86" s="273" t="n">
        <f aca="false">IFERROR(B86/COUNTIF(E273:E1772,"Occupied*"),0)</f>
        <v>0</v>
      </c>
      <c r="D86" s="277" t="n">
        <f aca="true">IFERROR(SUMPRODUCT(((E273:E1772="Occupied No Notice")*((TODAY()-H273:H1772)&gt;=1095)*((TODAY()-H273:H1772)&lt;99999)*(H273:H1772&gt;0))*(N273:N1772))/B86,0)</f>
        <v>0</v>
      </c>
      <c r="E86" s="277" t="n">
        <f aca="true">IFERROR(SUMPRODUCT(((E273:E1772="Occupied No Notice")*((TODAY()-H273:H1772)&gt;=1095)*((TODAY()-H273:H1772)&lt;99999)*(H273:H1772&gt;0))*(L273:L1772))/B86,0)</f>
        <v>0</v>
      </c>
      <c r="F86" s="277" t="n">
        <f aca="false">E86-D86</f>
        <v>0</v>
      </c>
      <c r="G86" s="113" t="s">
        <v>1195</v>
      </c>
    </row>
    <row r="87" customFormat="false" ht="15" hidden="false" customHeight="true" outlineLevel="1" collapsed="false"/>
    <row r="88" customFormat="false" ht="21.75" hidden="false" customHeight="true" outlineLevel="0" collapsed="false">
      <c r="A88" s="17" t="s">
        <v>1196</v>
      </c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</row>
    <row r="89" customFormat="false" ht="15" hidden="false" customHeight="true" outlineLevel="1" collapsed="false">
      <c r="A89" s="109" t="s">
        <v>1197</v>
      </c>
      <c r="B89" s="109" t="s">
        <v>369</v>
      </c>
      <c r="C89" s="109" t="s">
        <v>1198</v>
      </c>
      <c r="D89" s="109" t="s">
        <v>1199</v>
      </c>
      <c r="E89" s="109" t="s">
        <v>1200</v>
      </c>
    </row>
    <row r="90" customFormat="false" ht="15" hidden="false" customHeight="true" outlineLevel="1" collapsed="false">
      <c r="A90" s="111" t="s">
        <v>1201</v>
      </c>
      <c r="B90" s="378" t="n">
        <f aca="false">COUNTIF(Q273:Q1772,"&gt;0")</f>
        <v>0</v>
      </c>
      <c r="C90" s="277" t="n">
        <f aca="false">SUM(Q273:Q1772)</f>
        <v>0</v>
      </c>
      <c r="D90" s="273" t="n">
        <f aca="false">IFERROR(C90/SUM(O273:O1772),0)</f>
        <v>0</v>
      </c>
      <c r="E90" s="277" t="n">
        <f aca="false">IFERROR(C90/B90,0)</f>
        <v>0</v>
      </c>
    </row>
    <row r="91" customFormat="false" ht="15" hidden="false" customHeight="true" outlineLevel="1" collapsed="false">
      <c r="A91" s="111" t="s">
        <v>1202</v>
      </c>
      <c r="B91" s="378" t="n">
        <f aca="false">COUNTIF(R273:R1772,"&gt;0")</f>
        <v>0</v>
      </c>
      <c r="C91" s="277" t="n">
        <f aca="false">SUM(R273:R1772)</f>
        <v>0</v>
      </c>
      <c r="D91" s="273" t="n">
        <f aca="false">IFERROR(C91/SUM(O273:O1772),0)</f>
        <v>0</v>
      </c>
      <c r="E91" s="277" t="n">
        <f aca="false">IFERROR(C91/B91,0)</f>
        <v>0</v>
      </c>
    </row>
    <row r="92" customFormat="false" ht="15" hidden="false" customHeight="true" outlineLevel="1" collapsed="false">
      <c r="A92" s="111" t="s">
        <v>1203</v>
      </c>
      <c r="B92" s="378" t="n">
        <f aca="false">COUNTIF(S273:S1772,"&gt;0")</f>
        <v>0</v>
      </c>
      <c r="C92" s="277" t="n">
        <f aca="false">SUM(S273:S1772)</f>
        <v>0</v>
      </c>
      <c r="D92" s="273" t="n">
        <f aca="false">IFERROR(C92/SUM(O273:O1772),0)</f>
        <v>0</v>
      </c>
      <c r="E92" s="277" t="n">
        <f aca="false">IFERROR(C92/B92,0)</f>
        <v>0</v>
      </c>
    </row>
    <row r="93" customFormat="false" ht="15" hidden="false" customHeight="true" outlineLevel="1" collapsed="false">
      <c r="A93" s="111" t="s">
        <v>1204</v>
      </c>
      <c r="B93" s="378" t="n">
        <f aca="false">COUNTIF(T273:T1772,"&gt;0")</f>
        <v>0</v>
      </c>
      <c r="C93" s="277" t="n">
        <f aca="false">SUM(T273:T1772)</f>
        <v>0</v>
      </c>
      <c r="D93" s="273" t="n">
        <f aca="false">IFERROR(C93/SUM(O273:O1772),0)</f>
        <v>0</v>
      </c>
      <c r="E93" s="277" t="n">
        <f aca="false">IFERROR(C93/B93,0)</f>
        <v>0</v>
      </c>
    </row>
    <row r="94" customFormat="false" ht="15" hidden="false" customHeight="true" outlineLevel="1" collapsed="false">
      <c r="A94" s="313" t="s">
        <v>1205</v>
      </c>
      <c r="C94" s="314" t="n">
        <f aca="false">SUM(O273:O1772)</f>
        <v>0</v>
      </c>
      <c r="D94" s="313" t="str">
        <f aca="false">IF(SUM(C90:C93)=0,"⚠ aging not loaded — paste aging report into Q-T",IF(ABS(SUM(C90:C93)-C94)&lt;1,"✓ aging ties","⚠ aging mismatch"))</f>
        <v>⚠ aging not loaded — paste aging report into Q-T</v>
      </c>
    </row>
    <row r="95" customFormat="false" ht="15" hidden="false" customHeight="true" outlineLevel="1" collapsed="false"/>
    <row r="96" customFormat="false" ht="15" hidden="false" customHeight="true" outlineLevel="1" collapsed="false"/>
    <row r="97" customFormat="false" ht="21.75" hidden="false" customHeight="true" outlineLevel="0" collapsed="false">
      <c r="A97" s="17" t="s">
        <v>1206</v>
      </c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</row>
    <row r="98" customFormat="false" ht="15" hidden="false" customHeight="true" outlineLevel="1" collapsed="false">
      <c r="A98" s="113" t="s">
        <v>1207</v>
      </c>
    </row>
    <row r="99" customFormat="false" ht="25.5" hidden="false" customHeight="true" outlineLevel="1" collapsed="false">
      <c r="A99" s="127" t="s">
        <v>351</v>
      </c>
      <c r="B99" s="127" t="s">
        <v>1208</v>
      </c>
      <c r="C99" s="127" t="s">
        <v>1209</v>
      </c>
      <c r="D99" s="127" t="s">
        <v>1210</v>
      </c>
      <c r="E99" s="127" t="s">
        <v>546</v>
      </c>
      <c r="F99" s="127" t="s">
        <v>712</v>
      </c>
      <c r="G99" s="127" t="s">
        <v>1155</v>
      </c>
      <c r="H99" s="127" t="s">
        <v>1211</v>
      </c>
      <c r="I99" s="127" t="s">
        <v>1212</v>
      </c>
      <c r="J99" s="127" t="s">
        <v>1213</v>
      </c>
      <c r="K99" s="127" t="s">
        <v>1214</v>
      </c>
      <c r="L99" s="127" t="s">
        <v>55</v>
      </c>
    </row>
    <row r="100" customFormat="false" ht="15" hidden="false" customHeight="true" outlineLevel="1" collapsed="false">
      <c r="A100" s="129" t="n">
        <v>1</v>
      </c>
      <c r="B100" s="311" t="str">
        <f aca="false">IFERROR(INDEX(A:A,MATCH(I100,O273:O1772,0)+273-1),"")</f>
        <v/>
      </c>
      <c r="C100" s="311" t="str">
        <f aca="false">IFERROR(INDEX(B:B,MATCH(I100,O273:O1772,0)+273-1),"")</f>
        <v/>
      </c>
      <c r="D100" s="111" t="str">
        <f aca="false">IFERROR(INDEX(F:F,MATCH(I100,O273:O1772,0)+273-1),"")</f>
        <v/>
      </c>
      <c r="E100" s="111" t="str">
        <f aca="false">IFERROR(INDEX(E:E,MATCH(I100,O273:O1772,0)+273-1),"")</f>
        <v/>
      </c>
      <c r="F100" s="311" t="str">
        <f aca="false">IFERROR(IF(INDEX(G:G,MATCH(I100,O273:O1772,0)+273-1),"⚠ legal",""),"")</f>
        <v/>
      </c>
      <c r="G100" s="277" t="n">
        <f aca="false">IFERROR(INDEX(N:N,MATCH(I100,O273:O1772,0)+273-1),0)</f>
        <v>0</v>
      </c>
      <c r="H100" s="277" t="n">
        <f aca="false">IFERROR(INDEX(L:L,MATCH(I100,O273:O1772,0)+273-1),0)</f>
        <v>0</v>
      </c>
      <c r="I100" s="277" t="n">
        <f aca="false">IFERROR(LARGE(O273:O1772,1),0)</f>
        <v>0</v>
      </c>
      <c r="J100" s="277" t="n">
        <f aca="false">IFERROR(INDEX(P:P,MATCH(I100,O273:O1772,0)+273-1),0)</f>
        <v>0</v>
      </c>
      <c r="K100" s="277" t="n">
        <f aca="false">I100-J100</f>
        <v>0</v>
      </c>
      <c r="L100" s="111" t="str">
        <f aca="false">IFERROR(INDEX(V:V,MATCH(I100,O273:O1772,0)+273-1),"")</f>
        <v/>
      </c>
    </row>
    <row r="101" customFormat="false" ht="15" hidden="false" customHeight="true" outlineLevel="1" collapsed="false">
      <c r="A101" s="129" t="n">
        <v>2</v>
      </c>
      <c r="B101" s="311" t="str">
        <f aca="false">IFERROR(INDEX(A:A,MATCH(I101,O273:O1772,0)+273-1),"")</f>
        <v/>
      </c>
      <c r="C101" s="311" t="str">
        <f aca="false">IFERROR(INDEX(B:B,MATCH(I101,O273:O1772,0)+273-1),"")</f>
        <v/>
      </c>
      <c r="D101" s="111" t="str">
        <f aca="false">IFERROR(INDEX(F:F,MATCH(I101,O273:O1772,0)+273-1),"")</f>
        <v/>
      </c>
      <c r="E101" s="111" t="str">
        <f aca="false">IFERROR(INDEX(E:E,MATCH(I101,O273:O1772,0)+273-1),"")</f>
        <v/>
      </c>
      <c r="F101" s="311" t="str">
        <f aca="false">IFERROR(IF(INDEX(G:G,MATCH(I101,O273:O1772,0)+273-1),"⚠ legal",""),"")</f>
        <v/>
      </c>
      <c r="G101" s="277" t="n">
        <f aca="false">IFERROR(INDEX(N:N,MATCH(I101,O273:O1772,0)+273-1),0)</f>
        <v>0</v>
      </c>
      <c r="H101" s="277" t="n">
        <f aca="false">IFERROR(INDEX(L:L,MATCH(I101,O273:O1772,0)+273-1),0)</f>
        <v>0</v>
      </c>
      <c r="I101" s="277" t="n">
        <f aca="false">IFERROR(LARGE(O273:O1772,2),0)</f>
        <v>0</v>
      </c>
      <c r="J101" s="277" t="n">
        <f aca="false">IFERROR(INDEX(P:P,MATCH(I101,O273:O1772,0)+273-1),0)</f>
        <v>0</v>
      </c>
      <c r="K101" s="277" t="n">
        <f aca="false">I101-J101</f>
        <v>0</v>
      </c>
      <c r="L101" s="111" t="str">
        <f aca="false">IFERROR(INDEX(V:V,MATCH(I101,O273:O1772,0)+273-1),"")</f>
        <v/>
      </c>
    </row>
    <row r="102" customFormat="false" ht="15" hidden="false" customHeight="true" outlineLevel="1" collapsed="false">
      <c r="A102" s="129" t="n">
        <v>3</v>
      </c>
      <c r="B102" s="311" t="str">
        <f aca="false">IFERROR(INDEX(A:A,MATCH(I102,O273:O1772,0)+273-1),"")</f>
        <v/>
      </c>
      <c r="C102" s="311" t="str">
        <f aca="false">IFERROR(INDEX(B:B,MATCH(I102,O273:O1772,0)+273-1),"")</f>
        <v/>
      </c>
      <c r="D102" s="111" t="str">
        <f aca="false">IFERROR(INDEX(F:F,MATCH(I102,O273:O1772,0)+273-1),"")</f>
        <v/>
      </c>
      <c r="E102" s="111" t="str">
        <f aca="false">IFERROR(INDEX(E:E,MATCH(I102,O273:O1772,0)+273-1),"")</f>
        <v/>
      </c>
      <c r="F102" s="311" t="str">
        <f aca="false">IFERROR(IF(INDEX(G:G,MATCH(I102,O273:O1772,0)+273-1),"⚠ legal",""),"")</f>
        <v/>
      </c>
      <c r="G102" s="277" t="n">
        <f aca="false">IFERROR(INDEX(N:N,MATCH(I102,O273:O1772,0)+273-1),0)</f>
        <v>0</v>
      </c>
      <c r="H102" s="277" t="n">
        <f aca="false">IFERROR(INDEX(L:L,MATCH(I102,O273:O1772,0)+273-1),0)</f>
        <v>0</v>
      </c>
      <c r="I102" s="277" t="n">
        <f aca="false">IFERROR(LARGE(O273:O1772,3),0)</f>
        <v>0</v>
      </c>
      <c r="J102" s="277" t="n">
        <f aca="false">IFERROR(INDEX(P:P,MATCH(I102,O273:O1772,0)+273-1),0)</f>
        <v>0</v>
      </c>
      <c r="K102" s="277" t="n">
        <f aca="false">I102-J102</f>
        <v>0</v>
      </c>
      <c r="L102" s="111" t="str">
        <f aca="false">IFERROR(INDEX(V:V,MATCH(I102,O273:O1772,0)+273-1),"")</f>
        <v/>
      </c>
    </row>
    <row r="103" customFormat="false" ht="15" hidden="false" customHeight="true" outlineLevel="1" collapsed="false">
      <c r="A103" s="129" t="n">
        <v>4</v>
      </c>
      <c r="B103" s="311" t="str">
        <f aca="false">IFERROR(INDEX(A:A,MATCH(I103,O273:O1772,0)+273-1),"")</f>
        <v/>
      </c>
      <c r="C103" s="311" t="str">
        <f aca="false">IFERROR(INDEX(B:B,MATCH(I103,O273:O1772,0)+273-1),"")</f>
        <v/>
      </c>
      <c r="D103" s="111" t="str">
        <f aca="false">IFERROR(INDEX(F:F,MATCH(I103,O273:O1772,0)+273-1),"")</f>
        <v/>
      </c>
      <c r="E103" s="111" t="str">
        <f aca="false">IFERROR(INDEX(E:E,MATCH(I103,O273:O1772,0)+273-1),"")</f>
        <v/>
      </c>
      <c r="F103" s="311" t="str">
        <f aca="false">IFERROR(IF(INDEX(G:G,MATCH(I103,O273:O1772,0)+273-1),"⚠ legal",""),"")</f>
        <v/>
      </c>
      <c r="G103" s="277" t="n">
        <f aca="false">IFERROR(INDEX(N:N,MATCH(I103,O273:O1772,0)+273-1),0)</f>
        <v>0</v>
      </c>
      <c r="H103" s="277" t="n">
        <f aca="false">IFERROR(INDEX(L:L,MATCH(I103,O273:O1772,0)+273-1),0)</f>
        <v>0</v>
      </c>
      <c r="I103" s="277" t="n">
        <f aca="false">IFERROR(LARGE(O273:O1772,4),0)</f>
        <v>0</v>
      </c>
      <c r="J103" s="277" t="n">
        <f aca="false">IFERROR(INDEX(P:P,MATCH(I103,O273:O1772,0)+273-1),0)</f>
        <v>0</v>
      </c>
      <c r="K103" s="277" t="n">
        <f aca="false">I103-J103</f>
        <v>0</v>
      </c>
      <c r="L103" s="111" t="str">
        <f aca="false">IFERROR(INDEX(V:V,MATCH(I103,O273:O1772,0)+273-1),"")</f>
        <v/>
      </c>
    </row>
    <row r="104" customFormat="false" ht="15" hidden="false" customHeight="true" outlineLevel="1" collapsed="false">
      <c r="A104" s="129" t="n">
        <v>5</v>
      </c>
      <c r="B104" s="311" t="str">
        <f aca="false">IFERROR(INDEX(A:A,MATCH(I104,O273:O1772,0)+273-1),"")</f>
        <v/>
      </c>
      <c r="C104" s="311" t="str">
        <f aca="false">IFERROR(INDEX(B:B,MATCH(I104,O273:O1772,0)+273-1),"")</f>
        <v/>
      </c>
      <c r="D104" s="111" t="str">
        <f aca="false">IFERROR(INDEX(F:F,MATCH(I104,O273:O1772,0)+273-1),"")</f>
        <v/>
      </c>
      <c r="E104" s="111" t="str">
        <f aca="false">IFERROR(INDEX(E:E,MATCH(I104,O273:O1772,0)+273-1),"")</f>
        <v/>
      </c>
      <c r="F104" s="311" t="str">
        <f aca="false">IFERROR(IF(INDEX(G:G,MATCH(I104,O273:O1772,0)+273-1),"⚠ legal",""),"")</f>
        <v/>
      </c>
      <c r="G104" s="277" t="n">
        <f aca="false">IFERROR(INDEX(N:N,MATCH(I104,O273:O1772,0)+273-1),0)</f>
        <v>0</v>
      </c>
      <c r="H104" s="277" t="n">
        <f aca="false">IFERROR(INDEX(L:L,MATCH(I104,O273:O1772,0)+273-1),0)</f>
        <v>0</v>
      </c>
      <c r="I104" s="277" t="n">
        <f aca="false">IFERROR(LARGE(O273:O1772,5),0)</f>
        <v>0</v>
      </c>
      <c r="J104" s="277" t="n">
        <f aca="false">IFERROR(INDEX(P:P,MATCH(I104,O273:O1772,0)+273-1),0)</f>
        <v>0</v>
      </c>
      <c r="K104" s="277" t="n">
        <f aca="false">I104-J104</f>
        <v>0</v>
      </c>
      <c r="L104" s="111" t="str">
        <f aca="false">IFERROR(INDEX(V:V,MATCH(I104,O273:O1772,0)+273-1),"")</f>
        <v/>
      </c>
    </row>
    <row r="105" customFormat="false" ht="15" hidden="false" customHeight="true" outlineLevel="1" collapsed="false">
      <c r="A105" s="129" t="n">
        <v>6</v>
      </c>
      <c r="B105" s="311" t="str">
        <f aca="false">IFERROR(INDEX(A:A,MATCH(I105,O273:O1772,0)+273-1),"")</f>
        <v/>
      </c>
      <c r="C105" s="311" t="str">
        <f aca="false">IFERROR(INDEX(B:B,MATCH(I105,O273:O1772,0)+273-1),"")</f>
        <v/>
      </c>
      <c r="D105" s="111" t="str">
        <f aca="false">IFERROR(INDEX(F:F,MATCH(I105,O273:O1772,0)+273-1),"")</f>
        <v/>
      </c>
      <c r="E105" s="111" t="str">
        <f aca="false">IFERROR(INDEX(E:E,MATCH(I105,O273:O1772,0)+273-1),"")</f>
        <v/>
      </c>
      <c r="F105" s="311" t="str">
        <f aca="false">IFERROR(IF(INDEX(G:G,MATCH(I105,O273:O1772,0)+273-1),"⚠ legal",""),"")</f>
        <v/>
      </c>
      <c r="G105" s="277" t="n">
        <f aca="false">IFERROR(INDEX(N:N,MATCH(I105,O273:O1772,0)+273-1),0)</f>
        <v>0</v>
      </c>
      <c r="H105" s="277" t="n">
        <f aca="false">IFERROR(INDEX(L:L,MATCH(I105,O273:O1772,0)+273-1),0)</f>
        <v>0</v>
      </c>
      <c r="I105" s="277" t="n">
        <f aca="false">IFERROR(LARGE(O273:O1772,6),0)</f>
        <v>0</v>
      </c>
      <c r="J105" s="277" t="n">
        <f aca="false">IFERROR(INDEX(P:P,MATCH(I105,O273:O1772,0)+273-1),0)</f>
        <v>0</v>
      </c>
      <c r="K105" s="277" t="n">
        <f aca="false">I105-J105</f>
        <v>0</v>
      </c>
      <c r="L105" s="111" t="str">
        <f aca="false">IFERROR(INDEX(V:V,MATCH(I105,O273:O1772,0)+273-1),"")</f>
        <v/>
      </c>
    </row>
    <row r="106" customFormat="false" ht="15" hidden="false" customHeight="true" outlineLevel="1" collapsed="false">
      <c r="A106" s="129" t="n">
        <v>7</v>
      </c>
      <c r="B106" s="311" t="str">
        <f aca="false">IFERROR(INDEX(A:A,MATCH(I106,O273:O1772,0)+273-1),"")</f>
        <v/>
      </c>
      <c r="C106" s="311" t="str">
        <f aca="false">IFERROR(INDEX(B:B,MATCH(I106,O273:O1772,0)+273-1),"")</f>
        <v/>
      </c>
      <c r="D106" s="111" t="str">
        <f aca="false">IFERROR(INDEX(F:F,MATCH(I106,O273:O1772,0)+273-1),"")</f>
        <v/>
      </c>
      <c r="E106" s="111" t="str">
        <f aca="false">IFERROR(INDEX(E:E,MATCH(I106,O273:O1772,0)+273-1),"")</f>
        <v/>
      </c>
      <c r="F106" s="311" t="str">
        <f aca="false">IFERROR(IF(INDEX(G:G,MATCH(I106,O273:O1772,0)+273-1),"⚠ legal",""),"")</f>
        <v/>
      </c>
      <c r="G106" s="277" t="n">
        <f aca="false">IFERROR(INDEX(N:N,MATCH(I106,O273:O1772,0)+273-1),0)</f>
        <v>0</v>
      </c>
      <c r="H106" s="277" t="n">
        <f aca="false">IFERROR(INDEX(L:L,MATCH(I106,O273:O1772,0)+273-1),0)</f>
        <v>0</v>
      </c>
      <c r="I106" s="277" t="n">
        <f aca="false">IFERROR(LARGE(O273:O1772,7),0)</f>
        <v>0</v>
      </c>
      <c r="J106" s="277" t="n">
        <f aca="false">IFERROR(INDEX(P:P,MATCH(I106,O273:O1772,0)+273-1),0)</f>
        <v>0</v>
      </c>
      <c r="K106" s="277" t="n">
        <f aca="false">I106-J106</f>
        <v>0</v>
      </c>
      <c r="L106" s="111" t="str">
        <f aca="false">IFERROR(INDEX(V:V,MATCH(I106,O273:O1772,0)+273-1),"")</f>
        <v/>
      </c>
    </row>
    <row r="107" customFormat="false" ht="15" hidden="false" customHeight="true" outlineLevel="1" collapsed="false">
      <c r="A107" s="129" t="n">
        <v>8</v>
      </c>
      <c r="B107" s="311" t="str">
        <f aca="false">IFERROR(INDEX(A:A,MATCH(I107,O273:O1772,0)+273-1),"")</f>
        <v/>
      </c>
      <c r="C107" s="311" t="str">
        <f aca="false">IFERROR(INDEX(B:B,MATCH(I107,O273:O1772,0)+273-1),"")</f>
        <v/>
      </c>
      <c r="D107" s="111" t="str">
        <f aca="false">IFERROR(INDEX(F:F,MATCH(I107,O273:O1772,0)+273-1),"")</f>
        <v/>
      </c>
      <c r="E107" s="111" t="str">
        <f aca="false">IFERROR(INDEX(E:E,MATCH(I107,O273:O1772,0)+273-1),"")</f>
        <v/>
      </c>
      <c r="F107" s="311" t="str">
        <f aca="false">IFERROR(IF(INDEX(G:G,MATCH(I107,O273:O1772,0)+273-1),"⚠ legal",""),"")</f>
        <v/>
      </c>
      <c r="G107" s="277" t="n">
        <f aca="false">IFERROR(INDEX(N:N,MATCH(I107,O273:O1772,0)+273-1),0)</f>
        <v>0</v>
      </c>
      <c r="H107" s="277" t="n">
        <f aca="false">IFERROR(INDEX(L:L,MATCH(I107,O273:O1772,0)+273-1),0)</f>
        <v>0</v>
      </c>
      <c r="I107" s="277" t="n">
        <f aca="false">IFERROR(LARGE(O273:O1772,8),0)</f>
        <v>0</v>
      </c>
      <c r="J107" s="277" t="n">
        <f aca="false">IFERROR(INDEX(P:P,MATCH(I107,O273:O1772,0)+273-1),0)</f>
        <v>0</v>
      </c>
      <c r="K107" s="277" t="n">
        <f aca="false">I107-J107</f>
        <v>0</v>
      </c>
      <c r="L107" s="111" t="str">
        <f aca="false">IFERROR(INDEX(V:V,MATCH(I107,O273:O1772,0)+273-1),"")</f>
        <v/>
      </c>
    </row>
    <row r="108" customFormat="false" ht="15" hidden="false" customHeight="true" outlineLevel="1" collapsed="false">
      <c r="A108" s="129" t="n">
        <v>9</v>
      </c>
      <c r="B108" s="311" t="str">
        <f aca="false">IFERROR(INDEX(A:A,MATCH(I108,O273:O1772,0)+273-1),"")</f>
        <v/>
      </c>
      <c r="C108" s="311" t="str">
        <f aca="false">IFERROR(INDEX(B:B,MATCH(I108,O273:O1772,0)+273-1),"")</f>
        <v/>
      </c>
      <c r="D108" s="111" t="str">
        <f aca="false">IFERROR(INDEX(F:F,MATCH(I108,O273:O1772,0)+273-1),"")</f>
        <v/>
      </c>
      <c r="E108" s="111" t="str">
        <f aca="false">IFERROR(INDEX(E:E,MATCH(I108,O273:O1772,0)+273-1),"")</f>
        <v/>
      </c>
      <c r="F108" s="311" t="str">
        <f aca="false">IFERROR(IF(INDEX(G:G,MATCH(I108,O273:O1772,0)+273-1),"⚠ legal",""),"")</f>
        <v/>
      </c>
      <c r="G108" s="277" t="n">
        <f aca="false">IFERROR(INDEX(N:N,MATCH(I108,O273:O1772,0)+273-1),0)</f>
        <v>0</v>
      </c>
      <c r="H108" s="277" t="n">
        <f aca="false">IFERROR(INDEX(L:L,MATCH(I108,O273:O1772,0)+273-1),0)</f>
        <v>0</v>
      </c>
      <c r="I108" s="277" t="n">
        <f aca="false">IFERROR(LARGE(O273:O1772,9),0)</f>
        <v>0</v>
      </c>
      <c r="J108" s="277" t="n">
        <f aca="false">IFERROR(INDEX(P:P,MATCH(I108,O273:O1772,0)+273-1),0)</f>
        <v>0</v>
      </c>
      <c r="K108" s="277" t="n">
        <f aca="false">I108-J108</f>
        <v>0</v>
      </c>
      <c r="L108" s="111" t="str">
        <f aca="false">IFERROR(INDEX(V:V,MATCH(I108,O273:O1772,0)+273-1),"")</f>
        <v/>
      </c>
    </row>
    <row r="109" customFormat="false" ht="15" hidden="false" customHeight="true" outlineLevel="1" collapsed="false">
      <c r="A109" s="129" t="n">
        <v>10</v>
      </c>
      <c r="B109" s="311" t="str">
        <f aca="false">IFERROR(INDEX(A:A,MATCH(I109,O273:O1772,0)+273-1),"")</f>
        <v/>
      </c>
      <c r="C109" s="311" t="str">
        <f aca="false">IFERROR(INDEX(B:B,MATCH(I109,O273:O1772,0)+273-1),"")</f>
        <v/>
      </c>
      <c r="D109" s="111" t="str">
        <f aca="false">IFERROR(INDEX(F:F,MATCH(I109,O273:O1772,0)+273-1),"")</f>
        <v/>
      </c>
      <c r="E109" s="111" t="str">
        <f aca="false">IFERROR(INDEX(E:E,MATCH(I109,O273:O1772,0)+273-1),"")</f>
        <v/>
      </c>
      <c r="F109" s="311" t="str">
        <f aca="false">IFERROR(IF(INDEX(G:G,MATCH(I109,O273:O1772,0)+273-1),"⚠ legal",""),"")</f>
        <v/>
      </c>
      <c r="G109" s="277" t="n">
        <f aca="false">IFERROR(INDEX(N:N,MATCH(I109,O273:O1772,0)+273-1),0)</f>
        <v>0</v>
      </c>
      <c r="H109" s="277" t="n">
        <f aca="false">IFERROR(INDEX(L:L,MATCH(I109,O273:O1772,0)+273-1),0)</f>
        <v>0</v>
      </c>
      <c r="I109" s="277" t="n">
        <f aca="false">IFERROR(LARGE(O273:O1772,10),0)</f>
        <v>0</v>
      </c>
      <c r="J109" s="277" t="n">
        <f aca="false">IFERROR(INDEX(P:P,MATCH(I109,O273:O1772,0)+273-1),0)</f>
        <v>0</v>
      </c>
      <c r="K109" s="277" t="n">
        <f aca="false">I109-J109</f>
        <v>0</v>
      </c>
      <c r="L109" s="111" t="str">
        <f aca="false">IFERROR(INDEX(V:V,MATCH(I109,O273:O1772,0)+273-1),"")</f>
        <v/>
      </c>
    </row>
    <row r="110" customFormat="false" ht="15" hidden="false" customHeight="true" outlineLevel="1" collapsed="false">
      <c r="A110" s="313" t="s">
        <v>1215</v>
      </c>
      <c r="I110" s="314" t="n">
        <f aca="false">SUM(I100:I109)</f>
        <v>0</v>
      </c>
      <c r="J110" s="314" t="n">
        <f aca="false">SUM(J100:J109)</f>
        <v>0</v>
      </c>
      <c r="K110" s="314" t="n">
        <f aca="false">SUM(K100:K109)</f>
        <v>0</v>
      </c>
    </row>
    <row r="111" customFormat="false" ht="15" hidden="false" customHeight="true" outlineLevel="1" collapsed="false">
      <c r="A111" s="111" t="s">
        <v>1216</v>
      </c>
      <c r="I111" s="273" t="n">
        <f aca="false">IFERROR(I110/SUM(O273:O1772),0)</f>
        <v>0</v>
      </c>
    </row>
    <row r="112" customFormat="false" ht="15" hidden="false" customHeight="true" outlineLevel="1" collapsed="false"/>
    <row r="113" customFormat="false" ht="15" hidden="false" customHeight="true" outlineLevel="1" collapsed="false">
      <c r="A113" s="126" t="s">
        <v>1217</v>
      </c>
      <c r="B113" s="124" t="n">
        <f aca="false">COUNTIF(G273:G1772,TRUE())</f>
        <v>0</v>
      </c>
      <c r="C113" s="126" t="s">
        <v>1218</v>
      </c>
      <c r="D113" s="309" t="n">
        <f aca="false">SUMIFS(O273:O1772,G273:G1772,TRUE())</f>
        <v>0</v>
      </c>
      <c r="F113" s="126" t="s">
        <v>1199</v>
      </c>
      <c r="G113" s="125" t="n">
        <f aca="false">IFERROR(D113/SUM(O273:O1772),0)</f>
        <v>0</v>
      </c>
    </row>
    <row r="114" customFormat="false" ht="15" hidden="false" customHeight="true" outlineLevel="1" collapsed="false"/>
    <row r="115" customFormat="false" ht="15" hidden="false" customHeight="true" outlineLevel="1" collapsed="false"/>
    <row r="116" customFormat="false" ht="21.75" hidden="false" customHeight="true" outlineLevel="0" collapsed="false">
      <c r="A116" s="17" t="s">
        <v>1219</v>
      </c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</row>
    <row r="117" customFormat="false" ht="15" hidden="false" customHeight="true" outlineLevel="1" collapsed="false">
      <c r="A117" s="113" t="s">
        <v>1220</v>
      </c>
      <c r="G117" s="127" t="s">
        <v>1221</v>
      </c>
    </row>
    <row r="118" customFormat="false" ht="27.75" hidden="false" customHeight="true" outlineLevel="1" collapsed="false">
      <c r="A118" s="127" t="s">
        <v>1222</v>
      </c>
      <c r="B118" s="127" t="s">
        <v>1223</v>
      </c>
      <c r="C118" s="127" t="s">
        <v>1224</v>
      </c>
      <c r="D118" s="127" t="s">
        <v>1225</v>
      </c>
      <c r="E118" s="127" t="s">
        <v>1226</v>
      </c>
      <c r="G118" s="127" t="s">
        <v>1227</v>
      </c>
      <c r="H118" s="127" t="s">
        <v>1223</v>
      </c>
      <c r="I118" s="127" t="s">
        <v>1228</v>
      </c>
      <c r="J118" s="127" t="s">
        <v>1229</v>
      </c>
      <c r="K118" s="127" t="s">
        <v>1230</v>
      </c>
      <c r="L118" s="127" t="s">
        <v>879</v>
      </c>
    </row>
    <row r="119" customFormat="false" ht="15" hidden="false" customHeight="true" outlineLevel="1" collapsed="false">
      <c r="A119" s="111" t="s">
        <v>1231</v>
      </c>
      <c r="B119" s="378" t="n">
        <f aca="true">SUMPRODUCT(((E273:E1772="Occupied No Notice")*((TODAY()-H273:H1772)&lt;=30)*(H273:H1772&gt;0))*1)</f>
        <v>0</v>
      </c>
      <c r="C119" s="277" t="n">
        <f aca="true">IFERROR(SUMPRODUCT(((E273:E1772="Occupied No Notice")*((TODAY()-H273:H1772)&lt;=30)*(H273:H1772&gt;0))*(N273:N1772))/B119,0)</f>
        <v>0</v>
      </c>
      <c r="D119" s="378" t="n">
        <f aca="false">B119*(365/30)</f>
        <v>0</v>
      </c>
      <c r="E119" s="392" t="n">
        <f aca="false">IFERROR(MAX(('Prop Info'!$B$6*0.95-COUNTIF(E273:E1772,"Occupied*"))/B119*(30/30),0),0)</f>
        <v>0</v>
      </c>
      <c r="G119" s="127" t="s">
        <v>1232</v>
      </c>
      <c r="H119" s="393" t="n">
        <f aca="true">SUMPRODUCT(($C$273:$C$1772="1x1")*($I$273:$I$1772&lt;&gt;"")*($I$273:$I$1772&gt;=TODAY()-$H$123)*($N$273:$N$1772&gt;0))</f>
        <v>0</v>
      </c>
      <c r="I119" s="277" t="n">
        <f aca="true">IFERROR(SUMPRODUCT(($C$273:$C$1772="1x1")*($I$273:$I$1772&lt;&gt;"")*($I$273:$I$1772&gt;=TODAY()-$H$123)*$N$273:$N$1772)/H119,0)</f>
        <v>0</v>
      </c>
      <c r="J119" s="277" t="n">
        <f aca="false">IFERROR(AVERAGEIFS($N$273:$N$1772,$C$273:$C$1772,"1x1",$E$273:$E$1772,"Occupied*"),0)</f>
        <v>0</v>
      </c>
      <c r="K119" s="394" t="n">
        <f aca="false">IFERROR((I119-J119)/J119,0)</f>
        <v>0</v>
      </c>
      <c r="L119" s="127" t="str">
        <f aca="false">IF(I119=0,"",IF(K119&gt;0.001,"▲ up",IF(K119&lt;-0.001,"▼ down","flat")))</f>
        <v/>
      </c>
    </row>
    <row r="120" customFormat="false" ht="15" hidden="false" customHeight="true" outlineLevel="1" collapsed="false">
      <c r="A120" s="111" t="s">
        <v>1233</v>
      </c>
      <c r="B120" s="378" t="n">
        <f aca="true">SUMPRODUCT(((E273:E1772="Occupied No Notice")*((TODAY()-H273:H1772)&lt;=60)*(H273:H1772&gt;0))*1)</f>
        <v>0</v>
      </c>
      <c r="C120" s="277" t="n">
        <f aca="true">IFERROR(SUMPRODUCT(((E273:E1772="Occupied No Notice")*((TODAY()-H273:H1772)&lt;=60)*(H273:H1772&gt;0))*(N273:N1772))/B120,0)</f>
        <v>0</v>
      </c>
      <c r="D120" s="378" t="n">
        <f aca="false">B120*(365/60)</f>
        <v>0</v>
      </c>
      <c r="E120" s="392" t="n">
        <f aca="false">IFERROR(MAX(('Prop Info'!$B$6*0.95-COUNTIF(E273:E1772,"Occupied*"))/B120*(60/30),0),0)</f>
        <v>0</v>
      </c>
      <c r="G120" s="127" t="s">
        <v>1234</v>
      </c>
      <c r="H120" s="393" t="n">
        <f aca="true">SUMPRODUCT(($C$273:$C$1772="2x2")*($I$273:$I$1772&lt;&gt;"")*($I$273:$I$1772&gt;=TODAY()-$H$123)*($N$273:$N$1772&gt;0))</f>
        <v>0</v>
      </c>
      <c r="I120" s="277" t="n">
        <f aca="true">IFERROR(SUMPRODUCT(($C$273:$C$1772="2x2")*($I$273:$I$1772&lt;&gt;"")*($I$273:$I$1772&gt;=TODAY()-$H$123)*$N$273:$N$1772)/H120,0)</f>
        <v>0</v>
      </c>
      <c r="J120" s="277" t="n">
        <f aca="false">IFERROR(AVERAGEIFS($N$273:$N$1772,$C$273:$C$1772,"2x2",$E$273:$E$1772,"Occupied*"),0)</f>
        <v>0</v>
      </c>
      <c r="K120" s="394" t="n">
        <f aca="false">IFERROR((I120-J120)/J120,0)</f>
        <v>0</v>
      </c>
      <c r="L120" s="127" t="str">
        <f aca="false">IF(I120=0,"",IF(K120&gt;0.001,"▲ up",IF(K120&lt;-0.001,"▼ down","flat")))</f>
        <v/>
      </c>
    </row>
    <row r="121" customFormat="false" ht="15" hidden="false" customHeight="true" outlineLevel="1" collapsed="false">
      <c r="A121" s="111" t="s">
        <v>1235</v>
      </c>
      <c r="B121" s="378" t="n">
        <f aca="true">SUMPRODUCT(((E273:E1772="Occupied No Notice")*((TODAY()-H273:H1772)&lt;=90)*(H273:H1772&gt;0))*1)</f>
        <v>0</v>
      </c>
      <c r="C121" s="277" t="n">
        <f aca="true">IFERROR(SUMPRODUCT(((E273:E1772="Occupied No Notice")*((TODAY()-H273:H1772)&lt;=90)*(H273:H1772&gt;0))*(N273:N1772))/B121,0)</f>
        <v>0</v>
      </c>
      <c r="D121" s="378" t="n">
        <f aca="false">B121*(365/90)</f>
        <v>0</v>
      </c>
      <c r="E121" s="392" t="n">
        <f aca="false">IFERROR(MAX(('Prop Info'!$B$6*0.95-COUNTIF(E273:E1772,"Occupied*"))/B121*(90/30),0),0)</f>
        <v>0</v>
      </c>
      <c r="G121" s="127" t="s">
        <v>1236</v>
      </c>
      <c r="H121" s="393" t="n">
        <f aca="true">SUMPRODUCT(($C$273:$C$1772="3x2")*($I$273:$I$1772&lt;&gt;"")*($I$273:$I$1772&gt;=TODAY()-$H$123)*($N$273:$N$1772&gt;0))</f>
        <v>0</v>
      </c>
      <c r="I121" s="277" t="n">
        <f aca="true">IFERROR(SUMPRODUCT(($C$273:$C$1772="3x2")*($I$273:$I$1772&lt;&gt;"")*($I$273:$I$1772&gt;=TODAY()-$H$123)*$N$273:$N$1772)/H121,0)</f>
        <v>0</v>
      </c>
      <c r="J121" s="277" t="n">
        <f aca="false">IFERROR(AVERAGEIFS($N$273:$N$1772,$C$273:$C$1772,"3x2",$E$273:$E$1772,"Occupied*"),0)</f>
        <v>0</v>
      </c>
      <c r="K121" s="394" t="n">
        <f aca="false">IFERROR((I121-J121)/J121,0)</f>
        <v>0</v>
      </c>
      <c r="L121" s="127" t="str">
        <f aca="false">IF(I121=0,"",IF(K121&gt;0.001,"▲ up",IF(K121&lt;-0.001,"▼ down","flat")))</f>
        <v/>
      </c>
    </row>
    <row r="122" customFormat="false" ht="15" hidden="false" customHeight="true" outlineLevel="1" collapsed="false">
      <c r="A122" s="111" t="s">
        <v>1237</v>
      </c>
      <c r="B122" s="378" t="n">
        <f aca="true">SUMPRODUCT(((E273:E1772="Occupied No Notice")*((TODAY()-H273:H1772)&lt;=180)*(H273:H1772&gt;0))*1)</f>
        <v>0</v>
      </c>
      <c r="C122" s="277" t="n">
        <f aca="true">IFERROR(SUMPRODUCT(((E273:E1772="Occupied No Notice")*((TODAY()-H273:H1772)&lt;=180)*(H273:H1772&gt;0))*(N273:N1772))/B122,0)</f>
        <v>0</v>
      </c>
      <c r="D122" s="378" t="n">
        <f aca="false">B122*(365/180)</f>
        <v>0</v>
      </c>
      <c r="E122" s="392" t="n">
        <f aca="false">IFERROR(MAX(('Prop Info'!$B$6*0.95-COUNTIF(E273:E1772,"Occupied*"))/B122*(180/30),0),0)</f>
        <v>0</v>
      </c>
      <c r="G122" s="127" t="s">
        <v>1238</v>
      </c>
      <c r="H122" s="393" t="n">
        <f aca="false">SUM(H119:H121)</f>
        <v>0</v>
      </c>
      <c r="I122" s="277" t="n">
        <f aca="false">IFERROR(SUMPRODUCT(I119:I121,H119:H121)/H122,0)</f>
        <v>0</v>
      </c>
      <c r="J122" s="277" t="n">
        <f aca="false">IFERROR(AVERAGEIFS($N$273:$N$1772,$E$273:$E$1772,"Occupied*"),0)</f>
        <v>0</v>
      </c>
      <c r="K122" s="394" t="n">
        <f aca="false">IFERROR((I122-J122)/J122,0)</f>
        <v>0</v>
      </c>
      <c r="L122" s="127" t="str">
        <f aca="false">IF(I122=0,"",IF(K122&gt;0.001,"▲ up",IF(K122&lt;-0.001,"▼ down","flat")))</f>
        <v/>
      </c>
    </row>
    <row r="123" customFormat="false" ht="23.25" hidden="false" customHeight="true" outlineLevel="1" collapsed="false">
      <c r="G123" s="127" t="s">
        <v>1239</v>
      </c>
      <c r="H123" s="134" t="n">
        <v>90</v>
      </c>
    </row>
    <row r="124" customFormat="false" ht="21.75" hidden="false" customHeight="true" outlineLevel="0" collapsed="false">
      <c r="A124" s="17" t="s">
        <v>1240</v>
      </c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</row>
    <row r="125" customFormat="false" ht="15" hidden="false" customHeight="true" outlineLevel="1" collapsed="false">
      <c r="A125" s="107" t="s">
        <v>1241</v>
      </c>
      <c r="B125" s="107"/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7"/>
      <c r="P125" s="107"/>
      <c r="Q125" s="107"/>
      <c r="R125" s="107"/>
      <c r="S125" s="107"/>
      <c r="T125" s="107"/>
      <c r="U125" s="107"/>
      <c r="V125" s="107"/>
    </row>
    <row r="126" customFormat="false" ht="27.75" hidden="false" customHeight="true" outlineLevel="1" collapsed="false">
      <c r="A126" s="127" t="s">
        <v>1242</v>
      </c>
      <c r="B126" s="127" t="s">
        <v>369</v>
      </c>
      <c r="C126" s="127" t="s">
        <v>1243</v>
      </c>
      <c r="D126" s="127" t="s">
        <v>1244</v>
      </c>
      <c r="E126" s="127" t="s">
        <v>1245</v>
      </c>
    </row>
    <row r="127" customFormat="false" ht="15" hidden="false" customHeight="true" outlineLevel="1" collapsed="false">
      <c r="A127" s="111" t="s">
        <v>1246</v>
      </c>
      <c r="B127" s="378" t="n">
        <f aca="false">SUMPRODUCT((E273:E1772="Occupied No Notice")*((M273:M1772)&gt;(N273:N1772))*1)</f>
        <v>0</v>
      </c>
      <c r="C127" s="273" t="n">
        <f aca="false">IFERROR(B127/COUNTIF(E273:E1772,"Occupied*"),0)</f>
        <v>0</v>
      </c>
      <c r="D127" s="277" t="n">
        <f aca="false">SUMPRODUCT((E273:E1772="Occupied No Notice")*((M273:M1772)&gt;(N273:N1772))*((M273:M1772)-(N273:N1772)))</f>
        <v>0</v>
      </c>
      <c r="E127" s="277" t="n">
        <f aca="false">D127*12</f>
        <v>0</v>
      </c>
    </row>
    <row r="128" customFormat="false" ht="15" hidden="false" customHeight="true" outlineLevel="1" collapsed="false">
      <c r="A128" s="111" t="s">
        <v>352</v>
      </c>
      <c r="B128" s="378" t="n">
        <f aca="false">SUMPRODUCT((E273:E1772="Occupied No Notice")*((M273:M1772)=(N273:N1772))*1)</f>
        <v>0</v>
      </c>
      <c r="C128" s="273" t="n">
        <f aca="false">IFERROR(B128/COUNTIF(E273:E1772,"Occupied*"),0)</f>
        <v>0</v>
      </c>
      <c r="D128" s="327" t="n">
        <v>0</v>
      </c>
      <c r="E128" s="327" t="n">
        <v>0</v>
      </c>
    </row>
    <row r="129" customFormat="false" ht="15" hidden="false" customHeight="true" outlineLevel="1" collapsed="false">
      <c r="A129" s="111" t="s">
        <v>1247</v>
      </c>
      <c r="B129" s="378" t="n">
        <f aca="false">SUMPRODUCT((E273:E1772="Occupied No Notice")*((M273:M1772)&lt;(N273:N1772))*1)</f>
        <v>0</v>
      </c>
      <c r="C129" s="273" t="n">
        <f aca="false">IFERROR(B129/COUNTIF(E273:E1772,"Occupied*"),0)</f>
        <v>0</v>
      </c>
      <c r="D129" s="277" t="n">
        <f aca="false">SUMPRODUCT((E273:E1772="Occupied No Notice")*((M273:M1772)&lt;(N273:N1772))*((M273:M1772)-(N273:N1772)))</f>
        <v>0</v>
      </c>
      <c r="E129" s="277" t="n">
        <f aca="false">D129*12</f>
        <v>0</v>
      </c>
    </row>
    <row r="130" customFormat="false" ht="15" hidden="false" customHeight="true" outlineLevel="1" collapsed="false">
      <c r="A130" s="313" t="s">
        <v>1248</v>
      </c>
      <c r="D130" s="314" t="n">
        <f aca="false">SUMIFS(M273:M1772,E273:E1772,"Occupied*")-SUMIFS(N273:N1772,E273:E1772,"Occupied*")</f>
        <v>0</v>
      </c>
      <c r="E130" s="314" t="n">
        <f aca="false">D130*12</f>
        <v>0</v>
      </c>
      <c r="F130" s="313" t="str">
        <f aca="false">IF(ABS(D130)&lt;100,"🟢 minimal variance",IF(D130&lt;-1000,"⚠ material under-billing — investigate","ok"))</f>
        <v>🟢 minimal variance</v>
      </c>
    </row>
    <row r="131" customFormat="false" ht="15" hidden="false" customHeight="true" outlineLevel="1" collapsed="false"/>
    <row r="132" customFormat="false" ht="21.75" hidden="false" customHeight="true" outlineLevel="0" collapsed="false">
      <c r="A132" s="17" t="s">
        <v>1249</v>
      </c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</row>
    <row r="133" customFormat="false" ht="27.75" hidden="false" customHeight="true" outlineLevel="1" collapsed="false">
      <c r="A133" s="127" t="s">
        <v>1227</v>
      </c>
      <c r="B133" s="127" t="s">
        <v>5</v>
      </c>
      <c r="C133" s="127" t="s">
        <v>1250</v>
      </c>
      <c r="D133" s="127" t="s">
        <v>1251</v>
      </c>
      <c r="E133" s="127" t="s">
        <v>1183</v>
      </c>
      <c r="F133" s="127" t="s">
        <v>1252</v>
      </c>
      <c r="G133" s="127" t="s">
        <v>1253</v>
      </c>
      <c r="H133" s="127" t="s">
        <v>1254</v>
      </c>
    </row>
    <row r="134" customFormat="false" ht="15" hidden="false" customHeight="true" outlineLevel="1" collapsed="false">
      <c r="A134" s="110" t="s">
        <v>1232</v>
      </c>
      <c r="B134" s="378" t="n">
        <f aca="false">COUNTIF(C273:C1772,"1x1")</f>
        <v>0</v>
      </c>
      <c r="C134" s="378" t="n">
        <f aca="false">COUNTIFS(C273:C1772,"1x1",E273:E1772,"Occupied*")</f>
        <v>0</v>
      </c>
      <c r="D134" s="277" t="n">
        <f aca="false">IFERROR(SUMIFS(L273:L1772,C273:C1772,"1x1")/B134,0)</f>
        <v>0</v>
      </c>
      <c r="E134" s="277" t="n">
        <f aca="false">IFERROR(SUMIFS(N273:N1772,C273:C1772,"1x1",E273:E1772,"Occupied*")/C134,0)</f>
        <v>0</v>
      </c>
      <c r="F134" s="277" t="n">
        <f aca="false">D134-E134</f>
        <v>0</v>
      </c>
      <c r="G134" s="273" t="n">
        <f aca="false">IFERROR(F134/D134,0)</f>
        <v>0</v>
      </c>
      <c r="H134" s="277" t="n">
        <f aca="false">F134*C134*12</f>
        <v>0</v>
      </c>
    </row>
    <row r="135" customFormat="false" ht="15" hidden="false" customHeight="true" outlineLevel="1" collapsed="false">
      <c r="A135" s="110" t="s">
        <v>1234</v>
      </c>
      <c r="B135" s="378" t="n">
        <f aca="false">COUNTIF(C273:C1772,"2x2")</f>
        <v>0</v>
      </c>
      <c r="C135" s="378" t="n">
        <f aca="false">COUNTIFS(C273:C1772,"2x2",E273:E1772,"Occupied*")</f>
        <v>0</v>
      </c>
      <c r="D135" s="277" t="n">
        <f aca="false">IFERROR(SUMIFS(L273:L1772,C273:C1772,"2x2")/B135,0)</f>
        <v>0</v>
      </c>
      <c r="E135" s="277" t="n">
        <f aca="false">IFERROR(SUMIFS(N273:N1772,C273:C1772,"2x2",E273:E1772,"Occupied*")/C135,0)</f>
        <v>0</v>
      </c>
      <c r="F135" s="277" t="n">
        <f aca="false">D135-E135</f>
        <v>0</v>
      </c>
      <c r="G135" s="273" t="n">
        <f aca="false">IFERROR(F135/D135,0)</f>
        <v>0</v>
      </c>
      <c r="H135" s="277" t="n">
        <f aca="false">F135*C135*12</f>
        <v>0</v>
      </c>
    </row>
    <row r="136" customFormat="false" ht="15" hidden="false" customHeight="true" outlineLevel="1" collapsed="false">
      <c r="A136" s="110" t="s">
        <v>1236</v>
      </c>
      <c r="B136" s="378" t="n">
        <f aca="false">COUNTIF(C273:C1772,"3x2")</f>
        <v>0</v>
      </c>
      <c r="C136" s="378" t="n">
        <f aca="false">COUNTIFS(C273:C1772,"3x2",E273:E1772,"Occupied*")</f>
        <v>0</v>
      </c>
      <c r="D136" s="277" t="n">
        <f aca="false">IFERROR(SUMIFS(L273:L1772,C273:C1772,"3x2")/B136,0)</f>
        <v>0</v>
      </c>
      <c r="E136" s="277" t="n">
        <f aca="false">IFERROR(SUMIFS(N273:N1772,C273:C1772,"3x2",E273:E1772,"Occupied*")/C136,0)</f>
        <v>0</v>
      </c>
      <c r="F136" s="277" t="n">
        <f aca="false">D136-E136</f>
        <v>0</v>
      </c>
      <c r="G136" s="273" t="n">
        <f aca="false">IFERROR(F136/D136,0)</f>
        <v>0</v>
      </c>
      <c r="H136" s="277" t="n">
        <f aca="false">F136*C136*12</f>
        <v>0</v>
      </c>
    </row>
    <row r="137" customFormat="false" ht="15" hidden="false" customHeight="true" outlineLevel="1" collapsed="false">
      <c r="A137" s="313" t="s">
        <v>49</v>
      </c>
      <c r="B137" s="383" t="n">
        <f aca="false">SUM(B134:B136)</f>
        <v>0</v>
      </c>
      <c r="C137" s="383" t="n">
        <f aca="false">SUM(C134:C136)</f>
        <v>0</v>
      </c>
      <c r="H137" s="314" t="n">
        <f aca="false">SUM(H134:H136)</f>
        <v>0</v>
      </c>
    </row>
    <row r="138" customFormat="false" ht="15" hidden="false" customHeight="true" outlineLevel="1" collapsed="false"/>
    <row r="139" customFormat="false" ht="21.75" hidden="false" customHeight="true" outlineLevel="0" collapsed="false">
      <c r="A139" s="17" t="s">
        <v>1255</v>
      </c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</row>
    <row r="140" customFormat="false" ht="15" hidden="false" customHeight="true" outlineLevel="1" collapsed="false">
      <c r="A140" s="107" t="s">
        <v>1256</v>
      </c>
      <c r="B140" s="107"/>
      <c r="C140" s="107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  <c r="O140" s="107"/>
      <c r="P140" s="107"/>
      <c r="Q140" s="107"/>
      <c r="R140" s="107"/>
      <c r="S140" s="107"/>
      <c r="T140" s="107"/>
      <c r="U140" s="107"/>
      <c r="V140" s="107"/>
    </row>
    <row r="141" customFormat="false" ht="27.75" hidden="false" customHeight="true" outlineLevel="1" collapsed="false">
      <c r="A141" s="127" t="s">
        <v>1222</v>
      </c>
      <c r="B141" s="127" t="s">
        <v>1153</v>
      </c>
      <c r="C141" s="127" t="s">
        <v>1257</v>
      </c>
      <c r="D141" s="127" t="s">
        <v>1258</v>
      </c>
      <c r="E141" s="127" t="s">
        <v>1259</v>
      </c>
      <c r="F141" s="127" t="s">
        <v>1260</v>
      </c>
    </row>
    <row r="142" customFormat="false" ht="15" hidden="false" customHeight="true" outlineLevel="1" collapsed="false">
      <c r="A142" s="111" t="s">
        <v>1261</v>
      </c>
      <c r="B142" s="378" t="n">
        <f aca="true">SUMPRODUCT(((J273:J1772)&gt;=TODAY())*((J273:J1772)&lt;EDATE(TODAY(),3))*(E273:E1772="Occupied No Notice")*1)</f>
        <v>0</v>
      </c>
      <c r="C142" s="277" t="n">
        <f aca="true">SUMPRODUCT(((J273:J1772)&gt;=TODAY())*((J273:J1772)&lt;EDATE(TODAY(),3))*(E273:E1772="Occupied No Notice")*((L273:L1772)-(N273:N1772)))</f>
        <v>0</v>
      </c>
      <c r="D142" s="277" t="n">
        <f aca="false">C142*12</f>
        <v>0</v>
      </c>
      <c r="E142" s="277" t="n">
        <f aca="false">D142*0.7</f>
        <v>0</v>
      </c>
      <c r="F142" s="277" t="n">
        <f aca="false">D142*0.5</f>
        <v>0</v>
      </c>
    </row>
    <row r="143" customFormat="false" ht="15" hidden="false" customHeight="true" outlineLevel="1" collapsed="false">
      <c r="A143" s="111" t="s">
        <v>1262</v>
      </c>
      <c r="B143" s="378" t="n">
        <f aca="true">SUMPRODUCT(((J273:J1772)&gt;=TODAY())*((J273:J1772)&lt;EDATE(TODAY(),6))*(E273:E1772="Occupied No Notice")*1)</f>
        <v>0</v>
      </c>
      <c r="C143" s="277" t="n">
        <f aca="true">SUMPRODUCT(((J273:J1772)&gt;=TODAY())*((J273:J1772)&lt;EDATE(TODAY(),6))*(E273:E1772="Occupied No Notice")*((L273:L1772)-(N273:N1772)))</f>
        <v>0</v>
      </c>
      <c r="D143" s="277" t="n">
        <f aca="false">C143*12</f>
        <v>0</v>
      </c>
      <c r="E143" s="277" t="n">
        <f aca="false">D143*0.7</f>
        <v>0</v>
      </c>
      <c r="F143" s="277" t="n">
        <f aca="false">D143*0.5</f>
        <v>0</v>
      </c>
    </row>
    <row r="144" customFormat="false" ht="15" hidden="false" customHeight="true" outlineLevel="1" collapsed="false">
      <c r="A144" s="111" t="s">
        <v>1263</v>
      </c>
      <c r="B144" s="378" t="n">
        <f aca="true">SUMPRODUCT(((J273:J1772)&gt;=TODAY())*((J273:J1772)&lt;EDATE(TODAY(),12))*(E273:E1772="Occupied No Notice")*1)</f>
        <v>0</v>
      </c>
      <c r="C144" s="277" t="n">
        <f aca="true">SUMPRODUCT(((J273:J1772)&gt;=TODAY())*((J273:J1772)&lt;EDATE(TODAY(),12))*(E273:E1772="Occupied No Notice")*((L273:L1772)-(N273:N1772)))</f>
        <v>0</v>
      </c>
      <c r="D144" s="277" t="n">
        <f aca="false">C144*12</f>
        <v>0</v>
      </c>
      <c r="E144" s="277" t="n">
        <f aca="false">D144*0.7</f>
        <v>0</v>
      </c>
      <c r="F144" s="277" t="n">
        <f aca="false">D144*0.5</f>
        <v>0</v>
      </c>
    </row>
    <row r="145" customFormat="false" ht="15" hidden="false" customHeight="true" outlineLevel="1" collapsed="false">
      <c r="A145" s="111" t="s">
        <v>1264</v>
      </c>
      <c r="B145" s="378" t="n">
        <f aca="true">SUMPRODUCT(((J273:J1772)&gt;=TODAY())*((J273:J1772)&lt;EDATE(TODAY(),24))*(E273:E1772="Occupied No Notice")*1)</f>
        <v>0</v>
      </c>
      <c r="C145" s="277" t="n">
        <f aca="true">SUMPRODUCT(((J273:J1772)&gt;=TODAY())*((J273:J1772)&lt;EDATE(TODAY(),24))*(E273:E1772="Occupied No Notice")*((L273:L1772)-(N273:N1772)))</f>
        <v>0</v>
      </c>
      <c r="D145" s="277" t="n">
        <f aca="false">C145*12</f>
        <v>0</v>
      </c>
      <c r="E145" s="277" t="n">
        <f aca="false">D145*0.7</f>
        <v>0</v>
      </c>
      <c r="F145" s="277" t="n">
        <f aca="false">D145*0.5</f>
        <v>0</v>
      </c>
    </row>
    <row r="146" customFormat="false" ht="15" hidden="false" customHeight="true" outlineLevel="1" collapsed="false"/>
    <row r="147" customFormat="false" ht="15" hidden="false" customHeight="true" outlineLevel="1" collapsed="false"/>
    <row r="148" customFormat="false" ht="21.75" hidden="false" customHeight="true" outlineLevel="0" collapsed="false">
      <c r="A148" s="17" t="s">
        <v>1265</v>
      </c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</row>
    <row r="149" customFormat="false" ht="15" hidden="false" customHeight="true" outlineLevel="1" collapsed="false">
      <c r="A149" s="107" t="s">
        <v>1266</v>
      </c>
      <c r="B149" s="107"/>
      <c r="C149" s="107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  <c r="O149" s="107"/>
      <c r="P149" s="107"/>
      <c r="Q149" s="107"/>
      <c r="R149" s="107"/>
      <c r="S149" s="107"/>
      <c r="T149" s="107"/>
      <c r="U149" s="107"/>
      <c r="V149" s="107"/>
    </row>
    <row r="150" customFormat="false" ht="15" hidden="false" customHeight="true" outlineLevel="1" collapsed="false">
      <c r="A150" s="109" t="s">
        <v>11</v>
      </c>
      <c r="B150" s="109" t="s">
        <v>12</v>
      </c>
      <c r="C150" s="109" t="s">
        <v>1267</v>
      </c>
      <c r="D150" s="109" t="s">
        <v>880</v>
      </c>
    </row>
    <row r="151" customFormat="false" ht="15" hidden="false" customHeight="true" outlineLevel="1" collapsed="false">
      <c r="A151" s="111" t="s">
        <v>1268</v>
      </c>
      <c r="B151" s="378" t="n">
        <f aca="false">COUNTIF(G273:G1772,TRUE())</f>
        <v>0</v>
      </c>
      <c r="C151" s="273" t="n">
        <f aca="false">IFERROR(B151/COUNTIF(E273:E1772,"Occupied*"),0)</f>
        <v>0</v>
      </c>
      <c r="D151" s="113" t="s">
        <v>1269</v>
      </c>
    </row>
    <row r="152" customFormat="false" ht="15" hidden="false" customHeight="true" outlineLevel="1" collapsed="false">
      <c r="A152" s="111" t="s">
        <v>1270</v>
      </c>
      <c r="B152" s="277" t="n">
        <f aca="false">SUMIFS(O273:O1772,G273:G1772,TRUE())</f>
        <v>0</v>
      </c>
      <c r="C152" s="273" t="n">
        <f aca="false">IFERROR(B152/SUM(O273:O1772),0)</f>
        <v>0</v>
      </c>
      <c r="D152" s="113" t="s">
        <v>1271</v>
      </c>
    </row>
    <row r="153" customFormat="false" ht="15" hidden="false" customHeight="true" outlineLevel="1" collapsed="false">
      <c r="A153" s="111" t="s">
        <v>1272</v>
      </c>
      <c r="B153" s="277" t="n">
        <f aca="false">IFERROR(B152/B151,0)</f>
        <v>0</v>
      </c>
      <c r="D153" s="113"/>
    </row>
    <row r="154" customFormat="false" ht="15" hidden="false" customHeight="true" outlineLevel="1" collapsed="false">
      <c r="A154" s="111" t="s">
        <v>1273</v>
      </c>
      <c r="B154" s="277" t="n">
        <f aca="false">IFERROR(SUMIFS(N273:N1772,G273:G1772,TRUE())/B151,0)</f>
        <v>0</v>
      </c>
      <c r="D154" s="113"/>
    </row>
    <row r="155" customFormat="false" ht="15" hidden="false" customHeight="true" outlineLevel="1" collapsed="false">
      <c r="A155" s="111" t="s">
        <v>1274</v>
      </c>
      <c r="B155" s="395" t="n">
        <f aca="false">IFERROR(B153/B154,0)</f>
        <v>0</v>
      </c>
      <c r="D155" s="113" t="s">
        <v>1275</v>
      </c>
    </row>
    <row r="156" customFormat="false" ht="15" hidden="false" customHeight="true" outlineLevel="1" collapsed="false">
      <c r="A156" s="111" t="s">
        <v>1276</v>
      </c>
      <c r="B156" s="277" t="n">
        <f aca="false">SUMIFS(N273:N1772,G273:G1772,TRUE())*12</f>
        <v>0</v>
      </c>
      <c r="C156" s="119" t="n">
        <f aca="false">IFERROR(B156/Scenarios!F40,0)</f>
        <v>0</v>
      </c>
      <c r="D156" s="113" t="s">
        <v>898</v>
      </c>
    </row>
    <row r="157" customFormat="false" ht="15" hidden="false" customHeight="true" outlineLevel="1" collapsed="false">
      <c r="A157" s="111" t="s">
        <v>1277</v>
      </c>
      <c r="B157" s="277" t="n">
        <f aca="false">SUMIFS(P273:P1772,G273:G1772,TRUE())</f>
        <v>0</v>
      </c>
      <c r="C157" s="273" t="n">
        <f aca="false">IFERROR(B157/B152,0)</f>
        <v>0</v>
      </c>
      <c r="D157" s="113" t="s">
        <v>1278</v>
      </c>
    </row>
    <row r="158" customFormat="false" ht="15" hidden="false" customHeight="true" outlineLevel="1" collapsed="false"/>
    <row r="159" customFormat="false" ht="15" hidden="false" customHeight="true" outlineLevel="1" collapsed="false"/>
    <row r="160" customFormat="false" ht="21.75" hidden="false" customHeight="true" outlineLevel="0" collapsed="false">
      <c r="A160" s="17" t="s">
        <v>1279</v>
      </c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</row>
    <row r="161" customFormat="false" ht="15" hidden="false" customHeight="true" outlineLevel="1" collapsed="false">
      <c r="A161" s="107" t="s">
        <v>1280</v>
      </c>
      <c r="B161" s="107"/>
      <c r="C161" s="107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  <c r="O161" s="107"/>
      <c r="P161" s="107"/>
      <c r="Q161" s="107"/>
      <c r="R161" s="107"/>
      <c r="S161" s="107"/>
      <c r="T161" s="107"/>
      <c r="U161" s="107"/>
      <c r="V161" s="107"/>
    </row>
    <row r="162" customFormat="false" ht="27.75" hidden="false" customHeight="true" outlineLevel="1" collapsed="false">
      <c r="A162" s="127" t="s">
        <v>1208</v>
      </c>
      <c r="B162" s="127" t="s">
        <v>5</v>
      </c>
      <c r="C162" s="127" t="s">
        <v>1250</v>
      </c>
      <c r="D162" s="127" t="s">
        <v>1281</v>
      </c>
      <c r="E162" s="127" t="s">
        <v>1282</v>
      </c>
      <c r="F162" s="127" t="s">
        <v>1283</v>
      </c>
      <c r="G162" s="127" t="s">
        <v>1284</v>
      </c>
      <c r="H162" s="127" t="s">
        <v>1120</v>
      </c>
      <c r="I162" s="127" t="s">
        <v>880</v>
      </c>
    </row>
    <row r="163" customFormat="false" ht="15" hidden="false" customHeight="true" outlineLevel="1" collapsed="false">
      <c r="A163" s="110" t="s">
        <v>1285</v>
      </c>
      <c r="B163" s="378" t="n">
        <f aca="false">COUNTIF(A273:A1772,"A")</f>
        <v>0</v>
      </c>
      <c r="C163" s="378" t="n">
        <f aca="false">COUNTIFS(A273:A1772,"A",E273:E1772,"Occupied*")</f>
        <v>0</v>
      </c>
      <c r="D163" s="378" t="n">
        <f aca="false">COUNTIFS(A273:A1772,"A",E273:E1772,"Vacant*")</f>
        <v>0</v>
      </c>
      <c r="E163" s="273" t="n">
        <f aca="false">IFERROR(D163/B163,0)</f>
        <v>0</v>
      </c>
      <c r="F163" s="378" t="n">
        <f aca="false">COUNTIFS(A273:A1772,"A",E273:E1772,"Down*")</f>
        <v>0</v>
      </c>
      <c r="G163" s="378" t="n">
        <f aca="false">COUNTIFS(A273:A1772,"A",G273:G1772,TRUE())</f>
        <v>0</v>
      </c>
      <c r="H163" s="277" t="n">
        <f aca="false">SUMIFS(O273:O1772,A273:A1772,"A")</f>
        <v>0</v>
      </c>
      <c r="I163" s="311" t="str">
        <f aca="false">IF(E163&gt;0.75,"🔴 critical concentration",IF(E163&gt;0.6,"⚠ high vacancy","ok"))</f>
        <v>ok</v>
      </c>
    </row>
    <row r="164" customFormat="false" ht="15" hidden="false" customHeight="true" outlineLevel="1" collapsed="false">
      <c r="A164" s="110" t="s">
        <v>1286</v>
      </c>
      <c r="B164" s="378" t="n">
        <f aca="false">COUNTIF(A273:A1772,"B")</f>
        <v>0</v>
      </c>
      <c r="C164" s="378" t="n">
        <f aca="false">COUNTIFS(A273:A1772,"B",E273:E1772,"Occupied*")</f>
        <v>0</v>
      </c>
      <c r="D164" s="378" t="n">
        <f aca="false">COUNTIFS(A273:A1772,"B",E273:E1772,"Vacant*")</f>
        <v>0</v>
      </c>
      <c r="E164" s="273" t="n">
        <f aca="false">IFERROR(D164/B164,0)</f>
        <v>0</v>
      </c>
      <c r="F164" s="378" t="n">
        <f aca="false">COUNTIFS(A273:A1772,"B",E273:E1772,"Down*")</f>
        <v>0</v>
      </c>
      <c r="G164" s="378" t="n">
        <f aca="false">COUNTIFS(A273:A1772,"B",G273:G1772,TRUE())</f>
        <v>0</v>
      </c>
      <c r="H164" s="277" t="n">
        <f aca="false">SUMIFS(O273:O1772,A273:A1772,"B")</f>
        <v>0</v>
      </c>
      <c r="I164" s="311" t="str">
        <f aca="false">IF(E164&gt;0.75,"🔴 critical concentration",IF(E164&gt;0.6,"⚠ high vacancy","ok"))</f>
        <v>ok</v>
      </c>
    </row>
    <row r="165" customFormat="false" ht="15" hidden="false" customHeight="true" outlineLevel="1" collapsed="false">
      <c r="A165" s="110" t="s">
        <v>1287</v>
      </c>
      <c r="B165" s="378" t="n">
        <f aca="false">COUNTIF(A273:A1772,"C")</f>
        <v>0</v>
      </c>
      <c r="C165" s="378" t="n">
        <f aca="false">COUNTIFS(A273:A1772,"C",E273:E1772,"Occupied*")</f>
        <v>0</v>
      </c>
      <c r="D165" s="378" t="n">
        <f aca="false">COUNTIFS(A273:A1772,"C",E273:E1772,"Vacant*")</f>
        <v>0</v>
      </c>
      <c r="E165" s="273" t="n">
        <f aca="false">IFERROR(D165/B165,0)</f>
        <v>0</v>
      </c>
      <c r="F165" s="378" t="n">
        <f aca="false">COUNTIFS(A273:A1772,"C",E273:E1772,"Down*")</f>
        <v>0</v>
      </c>
      <c r="G165" s="378" t="n">
        <f aca="false">COUNTIFS(A273:A1772,"C",G273:G1772,TRUE())</f>
        <v>0</v>
      </c>
      <c r="H165" s="277" t="n">
        <f aca="false">SUMIFS(O273:O1772,A273:A1772,"C")</f>
        <v>0</v>
      </c>
      <c r="I165" s="311" t="str">
        <f aca="false">IF(E165&gt;0.75,"🔴 critical concentration",IF(E165&gt;0.6,"⚠ high vacancy","ok"))</f>
        <v>ok</v>
      </c>
    </row>
    <row r="166" customFormat="false" ht="15" hidden="false" customHeight="true" outlineLevel="1" collapsed="false">
      <c r="A166" s="110" t="s">
        <v>1288</v>
      </c>
      <c r="B166" s="378" t="n">
        <f aca="false">COUNTIF(A273:A1772,"D")</f>
        <v>0</v>
      </c>
      <c r="C166" s="378" t="n">
        <f aca="false">COUNTIFS(A273:A1772,"D",E273:E1772,"Occupied*")</f>
        <v>0</v>
      </c>
      <c r="D166" s="378" t="n">
        <f aca="false">COUNTIFS(A273:A1772,"D",E273:E1772,"Vacant*")</f>
        <v>0</v>
      </c>
      <c r="E166" s="273" t="n">
        <f aca="false">IFERROR(D166/B166,0)</f>
        <v>0</v>
      </c>
      <c r="F166" s="378" t="n">
        <f aca="false">COUNTIFS(A273:A1772,"D",E273:E1772,"Down*")</f>
        <v>0</v>
      </c>
      <c r="G166" s="378" t="n">
        <f aca="false">COUNTIFS(A273:A1772,"D",G273:G1772,TRUE())</f>
        <v>0</v>
      </c>
      <c r="H166" s="277" t="n">
        <f aca="false">SUMIFS(O273:O1772,A273:A1772,"D")</f>
        <v>0</v>
      </c>
      <c r="I166" s="311" t="str">
        <f aca="false">IF(E166&gt;0.75,"🔴 critical concentration",IF(E166&gt;0.6,"⚠ high vacancy","ok"))</f>
        <v>ok</v>
      </c>
    </row>
    <row r="167" customFormat="false" ht="15" hidden="false" customHeight="true" outlineLevel="1" collapsed="false">
      <c r="A167" s="110" t="s">
        <v>1289</v>
      </c>
      <c r="B167" s="378" t="n">
        <f aca="false">COUNTIF(A273:A1772,"E")</f>
        <v>0</v>
      </c>
      <c r="C167" s="378" t="n">
        <f aca="false">COUNTIFS(A273:A1772,"E",E273:E1772,"Occupied*")</f>
        <v>0</v>
      </c>
      <c r="D167" s="378" t="n">
        <f aca="false">COUNTIFS(A273:A1772,"E",E273:E1772,"Vacant*")</f>
        <v>0</v>
      </c>
      <c r="E167" s="273" t="n">
        <f aca="false">IFERROR(D167/B167,0)</f>
        <v>0</v>
      </c>
      <c r="F167" s="378" t="n">
        <f aca="false">COUNTIFS(A273:A1772,"E",E273:E1772,"Down*")</f>
        <v>0</v>
      </c>
      <c r="G167" s="378" t="n">
        <f aca="false">COUNTIFS(A273:A1772,"E",G273:G1772,TRUE())</f>
        <v>0</v>
      </c>
      <c r="H167" s="277" t="n">
        <f aca="false">SUMIFS(O273:O1772,A273:A1772,"E")</f>
        <v>0</v>
      </c>
      <c r="I167" s="311" t="str">
        <f aca="false">IF(E167&gt;0.75,"🔴 critical concentration",IF(E167&gt;0.6,"⚠ high vacancy","ok"))</f>
        <v>ok</v>
      </c>
    </row>
    <row r="168" customFormat="false" ht="15" hidden="false" customHeight="true" outlineLevel="1" collapsed="false">
      <c r="A168" s="110" t="s">
        <v>1290</v>
      </c>
      <c r="B168" s="378" t="n">
        <f aca="false">COUNTIF(A273:A1772,"F")</f>
        <v>0</v>
      </c>
      <c r="C168" s="378" t="n">
        <f aca="false">COUNTIFS(A273:A1772,"F",E273:E1772,"Occupied*")</f>
        <v>0</v>
      </c>
      <c r="D168" s="378" t="n">
        <f aca="false">COUNTIFS(A273:A1772,"F",E273:E1772,"Vacant*")</f>
        <v>0</v>
      </c>
      <c r="E168" s="273" t="n">
        <f aca="false">IFERROR(D168/B168,0)</f>
        <v>0</v>
      </c>
      <c r="F168" s="378" t="n">
        <f aca="false">COUNTIFS(A273:A1772,"F",E273:E1772,"Down*")</f>
        <v>0</v>
      </c>
      <c r="G168" s="378" t="n">
        <f aca="false">COUNTIFS(A273:A1772,"F",G273:G1772,TRUE())</f>
        <v>0</v>
      </c>
      <c r="H168" s="277" t="n">
        <f aca="false">SUMIFS(O273:O1772,A273:A1772,"F")</f>
        <v>0</v>
      </c>
      <c r="I168" s="311" t="str">
        <f aca="false">IF(E168&gt;0.75,"🔴 critical concentration",IF(E168&gt;0.6,"⚠ high vacancy","ok"))</f>
        <v>ok</v>
      </c>
    </row>
    <row r="169" customFormat="false" ht="15" hidden="false" customHeight="true" outlineLevel="1" collapsed="false">
      <c r="A169" s="110" t="s">
        <v>1291</v>
      </c>
      <c r="B169" s="378" t="n">
        <f aca="false">COUNTIF(A273:A1772,"H")</f>
        <v>0</v>
      </c>
      <c r="C169" s="378" t="n">
        <f aca="false">COUNTIFS(A273:A1772,"H",E273:E1772,"Occupied*")</f>
        <v>0</v>
      </c>
      <c r="D169" s="378" t="n">
        <f aca="false">COUNTIFS(A273:A1772,"H",E273:E1772,"Vacant*")</f>
        <v>0</v>
      </c>
      <c r="E169" s="273" t="n">
        <f aca="false">IFERROR(D169/B169,0)</f>
        <v>0</v>
      </c>
      <c r="F169" s="378" t="n">
        <f aca="false">COUNTIFS(A273:A1772,"H",E273:E1772,"Down*")</f>
        <v>0</v>
      </c>
      <c r="G169" s="378" t="n">
        <f aca="false">COUNTIFS(A273:A1772,"H",G273:G1772,TRUE())</f>
        <v>0</v>
      </c>
      <c r="H169" s="277" t="n">
        <f aca="false">SUMIFS(O273:O1772,A273:A1772,"H")</f>
        <v>0</v>
      </c>
      <c r="I169" s="311" t="str">
        <f aca="false">IF(E169&gt;0.75,"🔴 critical concentration",IF(E169&gt;0.6,"⚠ high vacancy","ok"))</f>
        <v>ok</v>
      </c>
    </row>
    <row r="170" customFormat="false" ht="15" hidden="false" customHeight="true" outlineLevel="1" collapsed="false">
      <c r="A170" s="110" t="s">
        <v>1292</v>
      </c>
      <c r="B170" s="378" t="n">
        <f aca="false">COUNTIF(A273:A1772,"I")</f>
        <v>0</v>
      </c>
      <c r="C170" s="378" t="n">
        <f aca="false">COUNTIFS(A273:A1772,"I",E273:E1772,"Occupied*")</f>
        <v>0</v>
      </c>
      <c r="D170" s="378" t="n">
        <f aca="false">COUNTIFS(A273:A1772,"I",E273:E1772,"Vacant*")</f>
        <v>0</v>
      </c>
      <c r="E170" s="273" t="n">
        <f aca="false">IFERROR(D170/B170,0)</f>
        <v>0</v>
      </c>
      <c r="F170" s="378" t="n">
        <f aca="false">COUNTIFS(A273:A1772,"I",E273:E1772,"Down*")</f>
        <v>0</v>
      </c>
      <c r="G170" s="378" t="n">
        <f aca="false">COUNTIFS(A273:A1772,"I",G273:G1772,TRUE())</f>
        <v>0</v>
      </c>
      <c r="H170" s="277" t="n">
        <f aca="false">SUMIFS(O273:O1772,A273:A1772,"I")</f>
        <v>0</v>
      </c>
      <c r="I170" s="311" t="str">
        <f aca="false">IF(E170&gt;0.75,"🔴 critical concentration",IF(E170&gt;0.6,"⚠ high vacancy","ok"))</f>
        <v>ok</v>
      </c>
    </row>
    <row r="171" customFormat="false" ht="15" hidden="false" customHeight="true" outlineLevel="1" collapsed="false">
      <c r="A171" s="110" t="s">
        <v>1293</v>
      </c>
      <c r="B171" s="378" t="n">
        <f aca="false">COUNTIF(A273:A1772,"J")</f>
        <v>0</v>
      </c>
      <c r="C171" s="378" t="n">
        <f aca="false">COUNTIFS(A273:A1772,"J",E273:E1772,"Occupied*")</f>
        <v>0</v>
      </c>
      <c r="D171" s="378" t="n">
        <f aca="false">COUNTIFS(A273:A1772,"J",E273:E1772,"Vacant*")</f>
        <v>0</v>
      </c>
      <c r="E171" s="273" t="n">
        <f aca="false">IFERROR(D171/B171,0)</f>
        <v>0</v>
      </c>
      <c r="F171" s="378" t="n">
        <f aca="false">COUNTIFS(A273:A1772,"J",E273:E1772,"Down*")</f>
        <v>0</v>
      </c>
      <c r="G171" s="378" t="n">
        <f aca="false">COUNTIFS(A273:A1772,"J",G273:G1772,TRUE())</f>
        <v>0</v>
      </c>
      <c r="H171" s="277" t="n">
        <f aca="false">SUMIFS(O273:O1772,A273:A1772,"J")</f>
        <v>0</v>
      </c>
      <c r="I171" s="311" t="str">
        <f aca="false">IF(E171&gt;0.75,"🔴 critical concentration",IF(E171&gt;0.6,"⚠ high vacancy","ok"))</f>
        <v>ok</v>
      </c>
    </row>
    <row r="172" customFormat="false" ht="15" hidden="false" customHeight="true" outlineLevel="1" collapsed="false">
      <c r="A172" s="110" t="s">
        <v>1294</v>
      </c>
      <c r="B172" s="378" t="n">
        <f aca="false">COUNTIF(A273:A1772,"K")</f>
        <v>0</v>
      </c>
      <c r="C172" s="378" t="n">
        <f aca="false">COUNTIFS(A273:A1772,"K",E273:E1772,"Occupied*")</f>
        <v>0</v>
      </c>
      <c r="D172" s="378" t="n">
        <f aca="false">COUNTIFS(A273:A1772,"K",E273:E1772,"Vacant*")</f>
        <v>0</v>
      </c>
      <c r="E172" s="273" t="n">
        <f aca="false">IFERROR(D172/B172,0)</f>
        <v>0</v>
      </c>
      <c r="F172" s="378" t="n">
        <f aca="false">COUNTIFS(A273:A1772,"K",E273:E1772,"Down*")</f>
        <v>0</v>
      </c>
      <c r="G172" s="378" t="n">
        <f aca="false">COUNTIFS(A273:A1772,"K",G273:G1772,TRUE())</f>
        <v>0</v>
      </c>
      <c r="H172" s="277" t="n">
        <f aca="false">SUMIFS(O273:O1772,A273:A1772,"K")</f>
        <v>0</v>
      </c>
      <c r="I172" s="311" t="str">
        <f aca="false">IF(E172&gt;0.75,"🔴 critical concentration",IF(E172&gt;0.6,"⚠ high vacancy","ok"))</f>
        <v>ok</v>
      </c>
    </row>
    <row r="173" customFormat="false" ht="15" hidden="false" customHeight="true" outlineLevel="1" collapsed="false">
      <c r="A173" s="110" t="s">
        <v>1295</v>
      </c>
      <c r="B173" s="378" t="n">
        <f aca="false">COUNTIF(A273:A1772,"L")</f>
        <v>0</v>
      </c>
      <c r="C173" s="378" t="n">
        <f aca="false">COUNTIFS(A273:A1772,"L",E273:E1772,"Occupied*")</f>
        <v>0</v>
      </c>
      <c r="D173" s="378" t="n">
        <f aca="false">COUNTIFS(A273:A1772,"L",E273:E1772,"Vacant*")</f>
        <v>0</v>
      </c>
      <c r="E173" s="273" t="n">
        <f aca="false">IFERROR(D173/B173,0)</f>
        <v>0</v>
      </c>
      <c r="F173" s="378" t="n">
        <f aca="false">COUNTIFS(A273:A1772,"L",E273:E1772,"Down*")</f>
        <v>0</v>
      </c>
      <c r="G173" s="378" t="n">
        <f aca="false">COUNTIFS(A273:A1772,"L",G273:G1772,TRUE())</f>
        <v>0</v>
      </c>
      <c r="H173" s="277" t="n">
        <f aca="false">SUMIFS(O273:O1772,A273:A1772,"L")</f>
        <v>0</v>
      </c>
      <c r="I173" s="311" t="str">
        <f aca="false">IF(E173&gt;0.75,"🔴 critical concentration",IF(E173&gt;0.6,"⚠ high vacancy","ok"))</f>
        <v>ok</v>
      </c>
    </row>
    <row r="174" customFormat="false" ht="15" hidden="false" customHeight="true" outlineLevel="1" collapsed="false">
      <c r="A174" s="110" t="s">
        <v>1296</v>
      </c>
      <c r="B174" s="378" t="n">
        <f aca="false">COUNTIF(A273:A1772,"M")</f>
        <v>0</v>
      </c>
      <c r="C174" s="378" t="n">
        <f aca="false">COUNTIFS(A273:A1772,"M",E273:E1772,"Occupied*")</f>
        <v>0</v>
      </c>
      <c r="D174" s="378" t="n">
        <f aca="false">COUNTIFS(A273:A1772,"M",E273:E1772,"Vacant*")</f>
        <v>0</v>
      </c>
      <c r="E174" s="273" t="n">
        <f aca="false">IFERROR(D174/B174,0)</f>
        <v>0</v>
      </c>
      <c r="F174" s="378" t="n">
        <f aca="false">COUNTIFS(A273:A1772,"M",E273:E1772,"Down*")</f>
        <v>0</v>
      </c>
      <c r="G174" s="378" t="n">
        <f aca="false">COUNTIFS(A273:A1772,"M",G273:G1772,TRUE())</f>
        <v>0</v>
      </c>
      <c r="H174" s="277" t="n">
        <f aca="false">SUMIFS(O273:O1772,A273:A1772,"M")</f>
        <v>0</v>
      </c>
      <c r="I174" s="311" t="str">
        <f aca="false">IF(E174&gt;0.75,"🔴 critical concentration",IF(E174&gt;0.6,"⚠ high vacancy","ok"))</f>
        <v>ok</v>
      </c>
    </row>
    <row r="175" customFormat="false" ht="15" hidden="false" customHeight="true" outlineLevel="1" collapsed="false">
      <c r="A175" s="110" t="s">
        <v>1297</v>
      </c>
      <c r="B175" s="378" t="n">
        <f aca="false">COUNTIF(A273:A1772,"N")</f>
        <v>0</v>
      </c>
      <c r="C175" s="378" t="n">
        <f aca="false">COUNTIFS(A273:A1772,"N",E273:E1772,"Occupied*")</f>
        <v>0</v>
      </c>
      <c r="D175" s="378" t="n">
        <f aca="false">COUNTIFS(A273:A1772,"N",E273:E1772,"Vacant*")</f>
        <v>0</v>
      </c>
      <c r="E175" s="273" t="n">
        <f aca="false">IFERROR(D175/B175,0)</f>
        <v>0</v>
      </c>
      <c r="F175" s="378" t="n">
        <f aca="false">COUNTIFS(A273:A1772,"N",E273:E1772,"Down*")</f>
        <v>0</v>
      </c>
      <c r="G175" s="378" t="n">
        <f aca="false">COUNTIFS(A273:A1772,"N",G273:G1772,TRUE())</f>
        <v>0</v>
      </c>
      <c r="H175" s="277" t="n">
        <f aca="false">SUMIFS(O273:O1772,A273:A1772,"N")</f>
        <v>0</v>
      </c>
      <c r="I175" s="311" t="str">
        <f aca="false">IF(E175&gt;0.75,"🔴 critical concentration",IF(E175&gt;0.6,"⚠ high vacancy","ok"))</f>
        <v>ok</v>
      </c>
    </row>
    <row r="176" customFormat="false" ht="15" hidden="false" customHeight="true" outlineLevel="1" collapsed="false">
      <c r="A176" s="110" t="s">
        <v>1298</v>
      </c>
      <c r="B176" s="378" t="n">
        <f aca="false">COUNTIF(A273:A1772,"O")</f>
        <v>0</v>
      </c>
      <c r="C176" s="378" t="n">
        <f aca="false">COUNTIFS(A273:A1772,"O",E273:E1772,"Occupied*")</f>
        <v>0</v>
      </c>
      <c r="D176" s="378" t="n">
        <f aca="false">COUNTIFS(A273:A1772,"O",E273:E1772,"Vacant*")</f>
        <v>0</v>
      </c>
      <c r="E176" s="273" t="n">
        <f aca="false">IFERROR(D176/B176,0)</f>
        <v>0</v>
      </c>
      <c r="F176" s="378" t="n">
        <f aca="false">COUNTIFS(A273:A1772,"O",E273:E1772,"Down*")</f>
        <v>0</v>
      </c>
      <c r="G176" s="378" t="n">
        <f aca="false">COUNTIFS(A273:A1772,"O",G273:G1772,TRUE())</f>
        <v>0</v>
      </c>
      <c r="H176" s="277" t="n">
        <f aca="false">SUMIFS(O273:O1772,A273:A1772,"O")</f>
        <v>0</v>
      </c>
      <c r="I176" s="311" t="str">
        <f aca="false">IF(E176&gt;0.75,"🔴 critical concentration",IF(E176&gt;0.6,"⚠ high vacancy","ok"))</f>
        <v>ok</v>
      </c>
    </row>
    <row r="177" customFormat="false" ht="15" hidden="false" customHeight="true" outlineLevel="1" collapsed="false">
      <c r="A177" s="110" t="s">
        <v>1299</v>
      </c>
      <c r="B177" s="378" t="n">
        <f aca="false">COUNTIF(A273:A1772,"P")</f>
        <v>0</v>
      </c>
      <c r="C177" s="378" t="n">
        <f aca="false">COUNTIFS(A273:A1772,"P",E273:E1772,"Occupied*")</f>
        <v>0</v>
      </c>
      <c r="D177" s="378" t="n">
        <f aca="false">COUNTIFS(A273:A1772,"P",E273:E1772,"Vacant*")</f>
        <v>0</v>
      </c>
      <c r="E177" s="273" t="n">
        <f aca="false">IFERROR(D177/B177,0)</f>
        <v>0</v>
      </c>
      <c r="F177" s="378" t="n">
        <f aca="false">COUNTIFS(A273:A1772,"P",E273:E1772,"Down*")</f>
        <v>0</v>
      </c>
      <c r="G177" s="378" t="n">
        <f aca="false">COUNTIFS(A273:A1772,"P",G273:G1772,TRUE())</f>
        <v>0</v>
      </c>
      <c r="H177" s="277" t="n">
        <f aca="false">SUMIFS(O273:O1772,A273:A1772,"P")</f>
        <v>0</v>
      </c>
      <c r="I177" s="311" t="str">
        <f aca="false">IF(E177&gt;0.75,"🔴 critical concentration",IF(E177&gt;0.6,"⚠ high vacancy","ok"))</f>
        <v>ok</v>
      </c>
    </row>
    <row r="178" customFormat="false" ht="15" hidden="false" customHeight="true" outlineLevel="1" collapsed="false">
      <c r="A178" s="110" t="s">
        <v>1300</v>
      </c>
      <c r="B178" s="378" t="n">
        <f aca="false">COUNTIF(A273:A1772,"Q")</f>
        <v>0</v>
      </c>
      <c r="C178" s="378" t="n">
        <f aca="false">COUNTIFS(A273:A1772,"Q",E273:E1772,"Occupied*")</f>
        <v>0</v>
      </c>
      <c r="D178" s="378" t="n">
        <f aca="false">COUNTIFS(A273:A1772,"Q",E273:E1772,"Vacant*")</f>
        <v>0</v>
      </c>
      <c r="E178" s="273" t="n">
        <f aca="false">IFERROR(D178/B178,0)</f>
        <v>0</v>
      </c>
      <c r="F178" s="378" t="n">
        <f aca="false">COUNTIFS(A273:A1772,"Q",E273:E1772,"Down*")</f>
        <v>0</v>
      </c>
      <c r="G178" s="378" t="n">
        <f aca="false">COUNTIFS(A273:A1772,"Q",G273:G1772,TRUE())</f>
        <v>0</v>
      </c>
      <c r="H178" s="277" t="n">
        <f aca="false">SUMIFS(O273:O1772,A273:A1772,"Q")</f>
        <v>0</v>
      </c>
      <c r="I178" s="311" t="str">
        <f aca="false">IF(E178&gt;0.75,"🔴 critical concentration",IF(E178&gt;0.6,"⚠ high vacancy","ok"))</f>
        <v>ok</v>
      </c>
    </row>
    <row r="179" customFormat="false" ht="15" hidden="false" customHeight="true" outlineLevel="1" collapsed="false">
      <c r="A179" s="110" t="s">
        <v>1301</v>
      </c>
      <c r="B179" s="378" t="n">
        <f aca="false">COUNTIF(A273:A1772,"R")</f>
        <v>0</v>
      </c>
      <c r="C179" s="378" t="n">
        <f aca="false">COUNTIFS(A273:A1772,"R",E273:E1772,"Occupied*")</f>
        <v>0</v>
      </c>
      <c r="D179" s="378" t="n">
        <f aca="false">COUNTIFS(A273:A1772,"R",E273:E1772,"Vacant*")</f>
        <v>0</v>
      </c>
      <c r="E179" s="273" t="n">
        <f aca="false">IFERROR(D179/B179,0)</f>
        <v>0</v>
      </c>
      <c r="F179" s="378" t="n">
        <f aca="false">COUNTIFS(A273:A1772,"R",E273:E1772,"Down*")</f>
        <v>0</v>
      </c>
      <c r="G179" s="378" t="n">
        <f aca="false">COUNTIFS(A273:A1772,"R",G273:G1772,TRUE())</f>
        <v>0</v>
      </c>
      <c r="H179" s="277" t="n">
        <f aca="false">SUMIFS(O273:O1772,A273:A1772,"R")</f>
        <v>0</v>
      </c>
      <c r="I179" s="311" t="str">
        <f aca="false">IF(E179&gt;0.75,"🔴 critical concentration",IF(E179&gt;0.6,"⚠ high vacancy","ok"))</f>
        <v>ok</v>
      </c>
    </row>
    <row r="180" customFormat="false" ht="15" hidden="false" customHeight="true" outlineLevel="1" collapsed="false">
      <c r="A180" s="110" t="s">
        <v>1302</v>
      </c>
      <c r="B180" s="378" t="n">
        <f aca="false">COUNTIF(A273:A1772,"S")</f>
        <v>0</v>
      </c>
      <c r="C180" s="378" t="n">
        <f aca="false">COUNTIFS(A273:A1772,"S",E273:E1772,"Occupied*")</f>
        <v>0</v>
      </c>
      <c r="D180" s="378" t="n">
        <f aca="false">COUNTIFS(A273:A1772,"S",E273:E1772,"Vacant*")</f>
        <v>0</v>
      </c>
      <c r="E180" s="273" t="n">
        <f aca="false">IFERROR(D180/B180,0)</f>
        <v>0</v>
      </c>
      <c r="F180" s="378" t="n">
        <f aca="false">COUNTIFS(A273:A1772,"S",E273:E1772,"Down*")</f>
        <v>0</v>
      </c>
      <c r="G180" s="378" t="n">
        <f aca="false">COUNTIFS(A273:A1772,"S",G273:G1772,TRUE())</f>
        <v>0</v>
      </c>
      <c r="H180" s="277" t="n">
        <f aca="false">SUMIFS(O273:O1772,A273:A1772,"S")</f>
        <v>0</v>
      </c>
      <c r="I180" s="311" t="str">
        <f aca="false">IF(E180&gt;0.75,"🔴 critical concentration",IF(E180&gt;0.6,"⚠ high vacancy","ok"))</f>
        <v>ok</v>
      </c>
    </row>
    <row r="181" customFormat="false" ht="15" hidden="false" customHeight="true" outlineLevel="1" collapsed="false">
      <c r="A181" s="313" t="s">
        <v>49</v>
      </c>
      <c r="B181" s="383" t="n">
        <f aca="false">SUM(B163:B180)</f>
        <v>0</v>
      </c>
      <c r="C181" s="383" t="n">
        <f aca="false">SUM(C163:C180)</f>
        <v>0</v>
      </c>
      <c r="D181" s="383" t="n">
        <f aca="false">SUM(D163:D180)</f>
        <v>0</v>
      </c>
      <c r="E181" s="315" t="n">
        <f aca="false">IFERROR(D181/B181,0)</f>
        <v>0</v>
      </c>
      <c r="F181" s="383" t="n">
        <f aca="false">SUM(F163:F180)</f>
        <v>0</v>
      </c>
      <c r="G181" s="383" t="n">
        <f aca="false">SUM(G163:G180)</f>
        <v>0</v>
      </c>
      <c r="H181" s="314" t="n">
        <f aca="false">SUM(H163:H180)</f>
        <v>0</v>
      </c>
    </row>
    <row r="182" customFormat="false" ht="15" hidden="false" customHeight="true" outlineLevel="1" collapsed="false"/>
    <row r="183" customFormat="false" ht="21.75" hidden="false" customHeight="true" outlineLevel="0" collapsed="false">
      <c r="A183" s="17" t="s">
        <v>1303</v>
      </c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</row>
    <row r="184" customFormat="false" ht="15" hidden="false" customHeight="true" outlineLevel="1" collapsed="false">
      <c r="A184" s="107" t="s">
        <v>1304</v>
      </c>
      <c r="B184" s="107"/>
      <c r="C184" s="107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  <c r="O184" s="107"/>
      <c r="P184" s="107"/>
      <c r="Q184" s="107"/>
      <c r="R184" s="107"/>
      <c r="S184" s="107"/>
      <c r="T184" s="107"/>
      <c r="U184" s="107"/>
      <c r="V184" s="107"/>
    </row>
    <row r="185" customFormat="false" ht="45.75" hidden="false" customHeight="true" outlineLevel="1" collapsed="false">
      <c r="A185" s="127" t="s">
        <v>1305</v>
      </c>
      <c r="B185" s="127" t="s">
        <v>369</v>
      </c>
      <c r="C185" s="127" t="s">
        <v>1306</v>
      </c>
      <c r="D185" s="127" t="s">
        <v>1307</v>
      </c>
      <c r="E185" s="127" t="s">
        <v>1308</v>
      </c>
      <c r="F185" s="127" t="s">
        <v>1309</v>
      </c>
    </row>
    <row r="186" customFormat="false" ht="15" hidden="false" customHeight="true" outlineLevel="1" collapsed="false">
      <c r="A186" s="111" t="s">
        <v>1310</v>
      </c>
      <c r="B186" s="378" t="n">
        <f aca="false">SUMPRODUCT((E273:E1772="Occupied No Notice")*(O273:O1772&gt;0)*(P273:P1772&gt;=O273:O1772)*1)</f>
        <v>0</v>
      </c>
      <c r="C186" s="277" t="n">
        <f aca="false">SUMPRODUCT((E273:E1772="Occupied No Notice")*(O273:O1772&gt;0)*(P273:P1772&gt;=O273:O1772)*(O273:O1772))</f>
        <v>0</v>
      </c>
    </row>
    <row r="187" customFormat="false" ht="15" hidden="false" customHeight="true" outlineLevel="1" collapsed="false">
      <c r="A187" s="111" t="s">
        <v>1311</v>
      </c>
      <c r="B187" s="378" t="n">
        <f aca="false">SUMPRODUCT((E273:E1772="Occupied No Notice")*(O273:O1772&gt;0)*(P273:P1772&gt;0)*(P273:P1772&lt;O273:O1772)*1)</f>
        <v>0</v>
      </c>
      <c r="C187" s="277" t="n">
        <f aca="false">SUMPRODUCT((E273:E1772="Occupied No Notice")*(O273:O1772&gt;0)*(P273:P1772&gt;0)*(P273:P1772&lt;O273:O1772)*(O273:O1772))</f>
        <v>0</v>
      </c>
    </row>
    <row r="188" customFormat="false" ht="15" hidden="false" customHeight="true" outlineLevel="1" collapsed="false">
      <c r="A188" s="111" t="s">
        <v>1312</v>
      </c>
      <c r="B188" s="378" t="n">
        <f aca="false">SUMPRODUCT((E273:E1772="Occupied No Notice")*(O273:O1772&gt;0)*(P273:P1772=0)*1)</f>
        <v>0</v>
      </c>
      <c r="C188" s="277" t="n">
        <f aca="false">SUMPRODUCT((E273:E1772="Occupied No Notice")*(O273:O1772&gt;0)*(P273:P1772=0)*(O273:O1772))</f>
        <v>0</v>
      </c>
    </row>
    <row r="189" customFormat="false" ht="15" hidden="false" customHeight="true" outlineLevel="1" collapsed="false">
      <c r="A189" s="313" t="s">
        <v>1313</v>
      </c>
      <c r="B189" s="383" t="n">
        <f aca="false">SUMPRODUCT((E273:E1772="Occupied No Notice")*(O273:O1772&gt;0)*1)</f>
        <v>0</v>
      </c>
      <c r="C189" s="314" t="n">
        <f aca="false">SUMPRODUCT((E273:E1772="Occupied No Notice")*(O273:O1772&gt;0)*(O273:O1772))</f>
        <v>0</v>
      </c>
      <c r="D189" s="314" t="n">
        <f aca="false">SUMPRODUCT((E273:E1772="Occupied No Notice")*(O273:O1772&gt;0)*(P273:P1772))</f>
        <v>0</v>
      </c>
      <c r="E189" s="315" t="n">
        <f aca="false">IFERROR(D189/C189,0)</f>
        <v>0</v>
      </c>
      <c r="F189" s="314" t="n">
        <f aca="false">C189-D189</f>
        <v>0</v>
      </c>
    </row>
    <row r="190" customFormat="false" ht="15" hidden="false" customHeight="true" outlineLevel="1" collapsed="false"/>
    <row r="191" customFormat="false" ht="21.75" hidden="false" customHeight="true" outlineLevel="0" collapsed="false">
      <c r="A191" s="17" t="s">
        <v>1314</v>
      </c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</row>
    <row r="192" customFormat="false" ht="15" hidden="false" customHeight="true" outlineLevel="1" collapsed="false">
      <c r="A192" s="107" t="s">
        <v>1315</v>
      </c>
      <c r="B192" s="107"/>
      <c r="C192" s="107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  <c r="O192" s="107"/>
      <c r="P192" s="107"/>
      <c r="Q192" s="107"/>
      <c r="R192" s="107"/>
      <c r="S192" s="107"/>
      <c r="T192" s="107"/>
      <c r="U192" s="107"/>
      <c r="V192" s="107"/>
    </row>
    <row r="193" customFormat="false" ht="45.75" hidden="false" customHeight="true" outlineLevel="1" collapsed="false">
      <c r="A193" s="127" t="s">
        <v>1316</v>
      </c>
      <c r="B193" s="127" t="s">
        <v>1317</v>
      </c>
      <c r="C193" s="127" t="s">
        <v>1318</v>
      </c>
      <c r="D193" s="127" t="s">
        <v>1319</v>
      </c>
      <c r="E193" s="127" t="s">
        <v>1320</v>
      </c>
    </row>
    <row r="194" customFormat="false" ht="15" hidden="false" customHeight="true" outlineLevel="1" collapsed="false">
      <c r="A194" s="111" t="s">
        <v>353</v>
      </c>
      <c r="B194" s="396" t="n">
        <v>50911</v>
      </c>
      <c r="C194" s="277" t="n">
        <f aca="false">B194*12</f>
        <v>610932</v>
      </c>
      <c r="D194" s="273" t="n">
        <f aca="false">IFERROR(B194/B197,0)</f>
        <v>0.814536902228693</v>
      </c>
      <c r="E194" s="113" t="s">
        <v>1321</v>
      </c>
    </row>
    <row r="195" customFormat="false" ht="15" hidden="false" customHeight="true" outlineLevel="1" collapsed="false">
      <c r="A195" s="111" t="s">
        <v>354</v>
      </c>
      <c r="B195" s="396" t="n">
        <v>4487</v>
      </c>
      <c r="C195" s="277" t="n">
        <f aca="false">B195*12</f>
        <v>53844</v>
      </c>
      <c r="D195" s="273" t="n">
        <f aca="false">IFERROR(B195/B197,0)</f>
        <v>0.0717885541494008</v>
      </c>
      <c r="E195" s="113" t="s">
        <v>1322</v>
      </c>
    </row>
    <row r="196" customFormat="false" ht="15" hidden="false" customHeight="true" outlineLevel="1" collapsed="false">
      <c r="A196" s="111" t="s">
        <v>355</v>
      </c>
      <c r="B196" s="396" t="n">
        <v>7105</v>
      </c>
      <c r="C196" s="277" t="n">
        <f aca="false">B196*12</f>
        <v>85260</v>
      </c>
      <c r="D196" s="273" t="n">
        <f aca="false">IFERROR(B196/B197,0)</f>
        <v>0.113674543621906</v>
      </c>
      <c r="E196" s="113" t="s">
        <v>1323</v>
      </c>
    </row>
    <row r="197" customFormat="false" ht="15" hidden="false" customHeight="true" outlineLevel="1" collapsed="false">
      <c r="A197" s="313" t="s">
        <v>1324</v>
      </c>
      <c r="B197" s="314" t="n">
        <f aca="false">SUM(B194:B196)</f>
        <v>62503</v>
      </c>
      <c r="C197" s="314" t="n">
        <f aca="false">B197*12</f>
        <v>750036</v>
      </c>
    </row>
    <row r="198" customFormat="false" ht="15" hidden="false" customHeight="true" outlineLevel="1" collapsed="false"/>
    <row r="199" customFormat="false" ht="15" hidden="false" customHeight="true" outlineLevel="1" collapsed="false">
      <c r="A199" s="126" t="s">
        <v>1325</v>
      </c>
    </row>
    <row r="200" customFormat="false" ht="15" hidden="false" customHeight="true" outlineLevel="1" collapsed="false">
      <c r="A200" s="111" t="s">
        <v>1326</v>
      </c>
      <c r="B200" s="273" t="n">
        <f aca="false">IFERROR(B196/B197,0)</f>
        <v>0.113674543621906</v>
      </c>
      <c r="C200" s="107" t="s">
        <v>1327</v>
      </c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107"/>
      <c r="P200" s="107"/>
      <c r="Q200" s="107"/>
      <c r="R200" s="107"/>
      <c r="S200" s="107"/>
      <c r="T200" s="107"/>
      <c r="U200" s="107"/>
      <c r="V200" s="107"/>
    </row>
    <row r="201" customFormat="false" ht="15" hidden="false" customHeight="true" outlineLevel="1" collapsed="false">
      <c r="A201" s="111" t="s">
        <v>1328</v>
      </c>
      <c r="B201" s="277" t="n">
        <f aca="false">C196</f>
        <v>85260</v>
      </c>
      <c r="C201" s="107" t="s">
        <v>1329</v>
      </c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  <c r="Q201" s="107"/>
      <c r="R201" s="107"/>
      <c r="S201" s="107"/>
      <c r="T201" s="107"/>
      <c r="U201" s="107"/>
      <c r="V201" s="107"/>
    </row>
    <row r="202" customFormat="false" ht="15" hidden="false" customHeight="true" outlineLevel="1" collapsed="false">
      <c r="A202" s="111" t="s">
        <v>1330</v>
      </c>
      <c r="B202" s="277" t="n">
        <f aca="false">C194+C195</f>
        <v>664776</v>
      </c>
      <c r="C202" s="107" t="s">
        <v>1331</v>
      </c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  <c r="Q202" s="107"/>
      <c r="R202" s="107"/>
      <c r="S202" s="107"/>
      <c r="T202" s="107"/>
      <c r="U202" s="107"/>
      <c r="V202" s="107"/>
    </row>
    <row r="203" customFormat="false" ht="15" hidden="false" customHeight="true" outlineLevel="1" collapsed="false">
      <c r="A203" s="111" t="s">
        <v>1332</v>
      </c>
      <c r="B203" s="273" t="e">
        <f aca="false">B197*12/'Rent Roll Analysis'!B27</f>
        <v>#DIV/0!</v>
      </c>
      <c r="C203" s="107" t="s">
        <v>1333</v>
      </c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107"/>
      <c r="P203" s="107"/>
      <c r="Q203" s="107"/>
      <c r="R203" s="107"/>
      <c r="S203" s="107"/>
      <c r="T203" s="107"/>
      <c r="U203" s="107"/>
      <c r="V203" s="107"/>
    </row>
    <row r="204" customFormat="false" ht="15" hidden="false" customHeight="true" outlineLevel="1" collapsed="false"/>
    <row r="205" customFormat="false" ht="21.75" hidden="false" customHeight="true" outlineLevel="0" collapsed="false">
      <c r="A205" s="17" t="s">
        <v>1334</v>
      </c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</row>
    <row r="206" customFormat="false" ht="15" hidden="false" customHeight="true" outlineLevel="1" collapsed="false">
      <c r="A206" s="107" t="s">
        <v>1335</v>
      </c>
      <c r="B206" s="107"/>
      <c r="C206" s="107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107"/>
      <c r="R206" s="107"/>
      <c r="S206" s="107"/>
      <c r="T206" s="107"/>
      <c r="U206" s="107"/>
      <c r="V206" s="107"/>
    </row>
    <row r="207" customFormat="false" ht="27.75" hidden="false" customHeight="true" outlineLevel="1" collapsed="false">
      <c r="A207" s="127" t="s">
        <v>1227</v>
      </c>
      <c r="B207" s="127" t="s">
        <v>1336</v>
      </c>
      <c r="C207" s="127" t="s">
        <v>1337</v>
      </c>
      <c r="D207" s="127" t="s">
        <v>1338</v>
      </c>
      <c r="E207" s="127" t="s">
        <v>1339</v>
      </c>
      <c r="F207" s="127" t="s">
        <v>1340</v>
      </c>
      <c r="G207" s="127" t="s">
        <v>1341</v>
      </c>
      <c r="H207" s="127" t="s">
        <v>1342</v>
      </c>
    </row>
    <row r="208" customFormat="false" ht="15" hidden="false" customHeight="true" outlineLevel="1" collapsed="false">
      <c r="A208" s="110" t="s">
        <v>1232</v>
      </c>
      <c r="B208" s="378" t="n">
        <f aca="false">IFERROR(AVERAGEIF(C273:C1772,"1x1",D273:D1772),0)</f>
        <v>0</v>
      </c>
      <c r="C208" s="378" t="n">
        <f aca="false">SUMIFS(D273:D1772,C273:C1772,"1x1")</f>
        <v>0</v>
      </c>
      <c r="D208" s="379" t="n">
        <f aca="false">IFERROR(AVERAGEIF(C273:C1772,"1x1",L273:L1772)/B208,0)</f>
        <v>0</v>
      </c>
      <c r="E208" s="379" t="n">
        <f aca="false">IFERROR(SUMIFS(N273:N1772,C273:C1772,"1x1",E273:E1772,"Occupied*")/SUMIFS(D273:D1772,C273:C1772,"1x1",E273:E1772,"Occupied*"),0)</f>
        <v>0</v>
      </c>
      <c r="F208" s="379" t="n">
        <f aca="false">E208-D208</f>
        <v>0</v>
      </c>
      <c r="G208" s="379" t="n">
        <f aca="false">E208*12</f>
        <v>0</v>
      </c>
      <c r="H208" s="113" t="s">
        <v>1343</v>
      </c>
    </row>
    <row r="209" customFormat="false" ht="15" hidden="false" customHeight="true" outlineLevel="1" collapsed="false">
      <c r="A209" s="110" t="s">
        <v>1234</v>
      </c>
      <c r="B209" s="378" t="n">
        <f aca="false">IFERROR(AVERAGEIF(C273:C1772,"2x2",D273:D1772),0)</f>
        <v>0</v>
      </c>
      <c r="C209" s="378" t="n">
        <f aca="false">SUMIFS(D273:D1772,C273:C1772,"2x2")</f>
        <v>0</v>
      </c>
      <c r="D209" s="379" t="n">
        <f aca="false">IFERROR(AVERAGEIF(C273:C1772,"2x2",L273:L1772)/B209,0)</f>
        <v>0</v>
      </c>
      <c r="E209" s="379" t="n">
        <f aca="false">IFERROR(SUMIFS(N273:N1772,C273:C1772,"2x2",E273:E1772,"Occupied*")/SUMIFS(D273:D1772,C273:C1772,"2x2",E273:E1772,"Occupied*"),0)</f>
        <v>0</v>
      </c>
      <c r="F209" s="379" t="n">
        <f aca="false">E209-D209</f>
        <v>0</v>
      </c>
      <c r="G209" s="379" t="n">
        <f aca="false">E209*12</f>
        <v>0</v>
      </c>
      <c r="H209" s="113" t="s">
        <v>1343</v>
      </c>
    </row>
    <row r="210" customFormat="false" ht="15" hidden="false" customHeight="true" outlineLevel="1" collapsed="false">
      <c r="A210" s="110" t="s">
        <v>1236</v>
      </c>
      <c r="B210" s="378" t="n">
        <f aca="false">IFERROR(AVERAGEIF(C273:C1772,"3x2",D273:D1772),0)</f>
        <v>0</v>
      </c>
      <c r="C210" s="378" t="n">
        <f aca="false">SUMIFS(D273:D1772,C273:C1772,"3x2")</f>
        <v>0</v>
      </c>
      <c r="D210" s="379" t="n">
        <f aca="false">IFERROR(AVERAGEIF(C273:C1772,"3x2",L273:L1772)/B210,0)</f>
        <v>0</v>
      </c>
      <c r="E210" s="379" t="n">
        <f aca="false">IFERROR(SUMIFS(N273:N1772,C273:C1772,"3x2",E273:E1772,"Occupied*")/SUMIFS(D273:D1772,C273:C1772,"3x2",E273:E1772,"Occupied*"),0)</f>
        <v>0</v>
      </c>
      <c r="F210" s="379" t="n">
        <f aca="false">E210-D210</f>
        <v>0</v>
      </c>
      <c r="G210" s="379" t="n">
        <f aca="false">E210*12</f>
        <v>0</v>
      </c>
      <c r="H210" s="113" t="s">
        <v>1343</v>
      </c>
    </row>
    <row r="211" customFormat="false" ht="15" hidden="false" customHeight="true" outlineLevel="1" collapsed="false">
      <c r="A211" s="313" t="s">
        <v>1344</v>
      </c>
      <c r="B211" s="383" t="n">
        <f aca="false">IFERROR(SUMPRODUCT((D273:D1772))/COUNTA(C273:C1772),0)</f>
        <v>0</v>
      </c>
      <c r="C211" s="383" t="n">
        <f aca="false">SUM(D273:D1772)</f>
        <v>0</v>
      </c>
      <c r="D211" s="397" t="n">
        <f aca="false">IFERROR(SUMPRODUCT((L273:L1772))/SUM(D273:D1772),0)</f>
        <v>0</v>
      </c>
      <c r="E211" s="397" t="n">
        <f aca="false">IFERROR(SUMIFS(N273:N1772,E273:E1772,"Occupied*")/SUMIFS(D273:D1772,E273:E1772,"Occupied*"),0)</f>
        <v>0</v>
      </c>
    </row>
    <row r="212" customFormat="false" ht="15" hidden="false" customHeight="true" outlineLevel="1" collapsed="false"/>
    <row r="213" customFormat="false" ht="21.75" hidden="false" customHeight="true" outlineLevel="0" collapsed="false">
      <c r="A213" s="17" t="s">
        <v>1345</v>
      </c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</row>
    <row r="214" customFormat="false" ht="15" hidden="false" customHeight="true" outlineLevel="1" collapsed="false">
      <c r="A214" s="107" t="s">
        <v>1346</v>
      </c>
      <c r="B214" s="107"/>
      <c r="C214" s="107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  <c r="Q214" s="107"/>
      <c r="R214" s="107"/>
      <c r="S214" s="107"/>
      <c r="T214" s="107"/>
      <c r="U214" s="107"/>
      <c r="V214" s="107"/>
    </row>
    <row r="215" customFormat="false" ht="27.75" hidden="false" customHeight="true" outlineLevel="1" collapsed="false">
      <c r="A215" s="127" t="s">
        <v>1347</v>
      </c>
      <c r="B215" s="127" t="s">
        <v>369</v>
      </c>
      <c r="C215" s="127" t="s">
        <v>1243</v>
      </c>
      <c r="D215" s="127" t="s">
        <v>1348</v>
      </c>
      <c r="E215" s="127" t="s">
        <v>1349</v>
      </c>
      <c r="F215" s="127" t="s">
        <v>1350</v>
      </c>
      <c r="G215" s="127" t="s">
        <v>1351</v>
      </c>
    </row>
    <row r="216" customFormat="false" ht="15" hidden="false" customHeight="true" outlineLevel="1" collapsed="false">
      <c r="A216" s="111" t="s">
        <v>1352</v>
      </c>
      <c r="B216" s="378" t="n">
        <f aca="false">SUMPRODUCT((E273:E1772="Occupied No Notice")*(L273:L1772&gt;0)*(N273:N1772&lt;0.95*L273:L1772)*1)</f>
        <v>0</v>
      </c>
      <c r="C216" s="273" t="n">
        <f aca="false">IFERROR(B216/COUNTIF(E273:E1772,"Occupied*"),0)</f>
        <v>0</v>
      </c>
      <c r="D216" s="277" t="n">
        <f aca="false">SUMPRODUCT((E273:E1772="Occupied No Notice")*(L273:L1772&gt;0)*(N273:N1772&lt;0.95*L273:L1772)*(N273:N1772))</f>
        <v>0</v>
      </c>
      <c r="E216" s="277" t="n">
        <f aca="false">SUMPRODUCT((E273:E1772="Occupied No Notice")*(L273:L1772&gt;0)*(N273:N1772&lt;0.95*L273:L1772)*(L273:L1772))</f>
        <v>0</v>
      </c>
      <c r="F216" s="277" t="n">
        <f aca="false">E216-D216</f>
        <v>0</v>
      </c>
      <c r="G216" s="277" t="n">
        <f aca="false">IFERROR(F216/B216,0)</f>
        <v>0</v>
      </c>
    </row>
    <row r="217" customFormat="false" ht="15" hidden="false" customHeight="true" outlineLevel="1" collapsed="false">
      <c r="A217" s="111" t="s">
        <v>1353</v>
      </c>
      <c r="B217" s="378" t="n">
        <f aca="false">SUMPRODUCT((E273:E1772="Occupied No Notice")*(L273:L1772&gt;0)*(N273:N1772&gt;=0.95*L273:L1772)*(N273:N1772&lt;=1.05*L273:L1772)*1)</f>
        <v>0</v>
      </c>
      <c r="C217" s="273" t="n">
        <f aca="false">IFERROR(B217/COUNTIF(E273:E1772,"Occupied*"),0)</f>
        <v>0</v>
      </c>
      <c r="D217" s="277" t="n">
        <f aca="false">SUMPRODUCT((E273:E1772="Occupied No Notice")*(L273:L1772&gt;0)*(N273:N1772&gt;=0.95*L273:L1772)*(N273:N1772&lt;=1.05*L273:L1772)*(N273:N1772))</f>
        <v>0</v>
      </c>
      <c r="E217" s="277" t="n">
        <f aca="false">SUMPRODUCT((E273:E1772="Occupied No Notice")*(L273:L1772&gt;0)*(N273:N1772&gt;=0.95*L273:L1772)*(N273:N1772&lt;=1.05*L273:L1772)*(L273:L1772))</f>
        <v>0</v>
      </c>
      <c r="F217" s="277" t="n">
        <f aca="false">E217-D217</f>
        <v>0</v>
      </c>
      <c r="G217" s="277" t="n">
        <f aca="false">IFERROR(F217/B217,0)</f>
        <v>0</v>
      </c>
    </row>
    <row r="218" customFormat="false" ht="15" hidden="false" customHeight="true" outlineLevel="1" collapsed="false">
      <c r="A218" s="111" t="s">
        <v>1354</v>
      </c>
      <c r="B218" s="378" t="n">
        <f aca="false">SUMPRODUCT((E273:E1772="Occupied No Notice")*(L273:L1772&gt;0)*(N273:N1772&gt;1.05*L273:L1772)*1)</f>
        <v>0</v>
      </c>
      <c r="C218" s="273" t="n">
        <f aca="false">IFERROR(B218/COUNTIF(E273:E1772,"Occupied*"),0)</f>
        <v>0</v>
      </c>
      <c r="D218" s="277" t="n">
        <f aca="false">SUMPRODUCT((E273:E1772="Occupied No Notice")*(L273:L1772&gt;0)*(N273:N1772&gt;1.05*L273:L1772)*(N273:N1772))</f>
        <v>0</v>
      </c>
      <c r="E218" s="277" t="n">
        <f aca="false">SUMPRODUCT((E273:E1772="Occupied No Notice")*(L273:L1772&gt;0)*(N273:N1772&gt;1.05*L273:L1772)*(L273:L1772))</f>
        <v>0</v>
      </c>
      <c r="F218" s="277" t="n">
        <f aca="false">E218-D218</f>
        <v>0</v>
      </c>
      <c r="G218" s="277" t="n">
        <f aca="false">IFERROR(F218/B218,0)</f>
        <v>0</v>
      </c>
    </row>
    <row r="219" customFormat="false" ht="15" hidden="false" customHeight="true" outlineLevel="1" collapsed="false">
      <c r="A219" s="313" t="s">
        <v>1355</v>
      </c>
      <c r="B219" s="383" t="n">
        <f aca="false">SUM(B216:B218)</f>
        <v>0</v>
      </c>
      <c r="C219" s="315" t="n">
        <f aca="false">IFERROR(B219/COUNTIF(E273:E1772,"Occupied*"),0)</f>
        <v>0</v>
      </c>
      <c r="D219" s="314" t="n">
        <f aca="false">SUM(D216:D218)</f>
        <v>0</v>
      </c>
      <c r="E219" s="314" t="n">
        <f aca="false">SUM(E216:E218)</f>
        <v>0</v>
      </c>
      <c r="F219" s="314" t="n">
        <f aca="false">SUM(F216:F218)</f>
        <v>0</v>
      </c>
    </row>
    <row r="220" customFormat="false" ht="15" hidden="false" customHeight="true" outlineLevel="1" collapsed="false"/>
    <row r="221" customFormat="false" ht="21.75" hidden="false" customHeight="true" outlineLevel="0" collapsed="false">
      <c r="A221" s="17" t="s">
        <v>1356</v>
      </c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</row>
    <row r="222" customFormat="false" ht="15" hidden="false" customHeight="true" outlineLevel="1" collapsed="false">
      <c r="A222" s="107" t="s">
        <v>1357</v>
      </c>
      <c r="B222" s="107"/>
      <c r="C222" s="107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  <c r="O222" s="107"/>
      <c r="P222" s="107"/>
      <c r="Q222" s="107"/>
      <c r="R222" s="107"/>
      <c r="S222" s="107"/>
      <c r="T222" s="107"/>
      <c r="U222" s="107"/>
      <c r="V222" s="107"/>
    </row>
    <row r="223" customFormat="false" ht="27.75" hidden="false" customHeight="true" outlineLevel="1" collapsed="false">
      <c r="A223" s="127" t="s">
        <v>1358</v>
      </c>
      <c r="B223" s="127" t="s">
        <v>1182</v>
      </c>
      <c r="C223" s="127" t="s">
        <v>1243</v>
      </c>
      <c r="D223" s="127" t="s">
        <v>1359</v>
      </c>
    </row>
    <row r="224" customFormat="false" ht="15" hidden="false" customHeight="true" outlineLevel="1" collapsed="false">
      <c r="A224" s="311" t="s">
        <v>1360</v>
      </c>
      <c r="B224" s="378" t="n">
        <f aca="false">SUMPRODUCT(((E273:E1772="Occupied No Notice")*(MONTH(H273:H1772)=1)*(H273:H1772&gt;0))*1)</f>
        <v>0</v>
      </c>
      <c r="C224" s="273" t="n">
        <f aca="false">IFERROR(B224/COUNTIF(E273:E1772,"Occupied*"),0)</f>
        <v>0</v>
      </c>
      <c r="D224" s="398" t="str">
        <f aca="false">REPT("█",B224)</f>
        <v/>
      </c>
    </row>
    <row r="225" customFormat="false" ht="15" hidden="false" customHeight="true" outlineLevel="1" collapsed="false">
      <c r="A225" s="311" t="s">
        <v>1361</v>
      </c>
      <c r="B225" s="378" t="n">
        <f aca="false">SUMPRODUCT(((E273:E1772="Occupied No Notice")*(MONTH(H273:H1772)=2)*(H273:H1772&gt;0))*1)</f>
        <v>0</v>
      </c>
      <c r="C225" s="273" t="n">
        <f aca="false">IFERROR(B225/COUNTIF(E273:E1772,"Occupied*"),0)</f>
        <v>0</v>
      </c>
      <c r="D225" s="398" t="str">
        <f aca="false">REPT("█",B225)</f>
        <v/>
      </c>
    </row>
    <row r="226" customFormat="false" ht="15" hidden="false" customHeight="true" outlineLevel="1" collapsed="false">
      <c r="A226" s="311" t="s">
        <v>1362</v>
      </c>
      <c r="B226" s="378" t="n">
        <f aca="false">SUMPRODUCT(((E273:E1772="Occupied No Notice")*(MONTH(H273:H1772)=3)*(H273:H1772&gt;0))*1)</f>
        <v>0</v>
      </c>
      <c r="C226" s="273" t="n">
        <f aca="false">IFERROR(B226/COUNTIF(E273:E1772,"Occupied*"),0)</f>
        <v>0</v>
      </c>
      <c r="D226" s="398" t="str">
        <f aca="false">REPT("█",B226)</f>
        <v/>
      </c>
    </row>
    <row r="227" customFormat="false" ht="15" hidden="false" customHeight="true" outlineLevel="1" collapsed="false">
      <c r="A227" s="311" t="s">
        <v>1363</v>
      </c>
      <c r="B227" s="378" t="n">
        <f aca="false">SUMPRODUCT(((E273:E1772="Occupied No Notice")*(MONTH(H273:H1772)=4)*(H273:H1772&gt;0))*1)</f>
        <v>0</v>
      </c>
      <c r="C227" s="273" t="n">
        <f aca="false">IFERROR(B227/COUNTIF(E273:E1772,"Occupied*"),0)</f>
        <v>0</v>
      </c>
      <c r="D227" s="398" t="str">
        <f aca="false">REPT("█",B227)</f>
        <v/>
      </c>
    </row>
    <row r="228" customFormat="false" ht="15" hidden="false" customHeight="true" outlineLevel="1" collapsed="false">
      <c r="A228" s="311" t="s">
        <v>1364</v>
      </c>
      <c r="B228" s="378" t="n">
        <f aca="false">SUMPRODUCT(((E273:E1772="Occupied No Notice")*(MONTH(H273:H1772)=5)*(H273:H1772&gt;0))*1)</f>
        <v>0</v>
      </c>
      <c r="C228" s="273" t="n">
        <f aca="false">IFERROR(B228/COUNTIF(E273:E1772,"Occupied*"),0)</f>
        <v>0</v>
      </c>
      <c r="D228" s="398" t="str">
        <f aca="false">REPT("█",B228)</f>
        <v/>
      </c>
    </row>
    <row r="229" customFormat="false" ht="15" hidden="false" customHeight="true" outlineLevel="1" collapsed="false">
      <c r="A229" s="311" t="s">
        <v>1365</v>
      </c>
      <c r="B229" s="378" t="n">
        <f aca="false">SUMPRODUCT(((E273:E1772="Occupied No Notice")*(MONTH(H273:H1772)=6)*(H273:H1772&gt;0))*1)</f>
        <v>0</v>
      </c>
      <c r="C229" s="273" t="n">
        <f aca="false">IFERROR(B229/COUNTIF(E273:E1772,"Occupied*"),0)</f>
        <v>0</v>
      </c>
      <c r="D229" s="398" t="str">
        <f aca="false">REPT("█",B229)</f>
        <v/>
      </c>
    </row>
    <row r="230" customFormat="false" ht="15" hidden="false" customHeight="true" outlineLevel="1" collapsed="false">
      <c r="A230" s="311" t="s">
        <v>1366</v>
      </c>
      <c r="B230" s="378" t="n">
        <f aca="false">SUMPRODUCT(((E273:E1772="Occupied No Notice")*(MONTH(H273:H1772)=7)*(H273:H1772&gt;0))*1)</f>
        <v>0</v>
      </c>
      <c r="C230" s="273" t="n">
        <f aca="false">IFERROR(B230/COUNTIF(E273:E1772,"Occupied*"),0)</f>
        <v>0</v>
      </c>
      <c r="D230" s="398" t="str">
        <f aca="false">REPT("█",B230)</f>
        <v/>
      </c>
    </row>
    <row r="231" customFormat="false" ht="15" hidden="false" customHeight="true" outlineLevel="1" collapsed="false">
      <c r="A231" s="311" t="s">
        <v>1367</v>
      </c>
      <c r="B231" s="378" t="n">
        <f aca="false">SUMPRODUCT(((E273:E1772="Occupied No Notice")*(MONTH(H273:H1772)=8)*(H273:H1772&gt;0))*1)</f>
        <v>0</v>
      </c>
      <c r="C231" s="273" t="n">
        <f aca="false">IFERROR(B231/COUNTIF(E273:E1772,"Occupied*"),0)</f>
        <v>0</v>
      </c>
      <c r="D231" s="398" t="str">
        <f aca="false">REPT("█",B231)</f>
        <v/>
      </c>
    </row>
    <row r="232" customFormat="false" ht="15" hidden="false" customHeight="true" outlineLevel="1" collapsed="false">
      <c r="A232" s="311" t="s">
        <v>1368</v>
      </c>
      <c r="B232" s="378" t="n">
        <f aca="false">SUMPRODUCT(((E273:E1772="Occupied No Notice")*(MONTH(H273:H1772)=9)*(H273:H1772&gt;0))*1)</f>
        <v>0</v>
      </c>
      <c r="C232" s="273" t="n">
        <f aca="false">IFERROR(B232/COUNTIF(E273:E1772,"Occupied*"),0)</f>
        <v>0</v>
      </c>
      <c r="D232" s="398" t="str">
        <f aca="false">REPT("█",B232)</f>
        <v/>
      </c>
    </row>
    <row r="233" customFormat="false" ht="15" hidden="false" customHeight="true" outlineLevel="1" collapsed="false">
      <c r="A233" s="311" t="s">
        <v>1369</v>
      </c>
      <c r="B233" s="378" t="n">
        <f aca="false">SUMPRODUCT(((E273:E1772="Occupied No Notice")*(MONTH(H273:H1772)=10)*(H273:H1772&gt;0))*1)</f>
        <v>0</v>
      </c>
      <c r="C233" s="273" t="n">
        <f aca="false">IFERROR(B233/COUNTIF(E273:E1772,"Occupied*"),0)</f>
        <v>0</v>
      </c>
      <c r="D233" s="398" t="str">
        <f aca="false">REPT("█",B233)</f>
        <v/>
      </c>
    </row>
    <row r="234" customFormat="false" ht="15" hidden="false" customHeight="true" outlineLevel="1" collapsed="false">
      <c r="A234" s="311" t="s">
        <v>1370</v>
      </c>
      <c r="B234" s="378" t="n">
        <f aca="false">SUMPRODUCT(((E273:E1772="Occupied No Notice")*(MONTH(H273:H1772)=11)*(H273:H1772&gt;0))*1)</f>
        <v>0</v>
      </c>
      <c r="C234" s="273" t="n">
        <f aca="false">IFERROR(B234/COUNTIF(E273:E1772,"Occupied*"),0)</f>
        <v>0</v>
      </c>
      <c r="D234" s="398" t="str">
        <f aca="false">REPT("█",B234)</f>
        <v/>
      </c>
    </row>
    <row r="235" customFormat="false" ht="15" hidden="false" customHeight="true" outlineLevel="1" collapsed="false">
      <c r="A235" s="311" t="s">
        <v>1371</v>
      </c>
      <c r="B235" s="378" t="n">
        <f aca="false">SUMPRODUCT(((E273:E1772="Occupied No Notice")*(MONTH(H273:H1772)=12)*(H273:H1772&gt;0))*1)</f>
        <v>0</v>
      </c>
      <c r="C235" s="273" t="n">
        <f aca="false">IFERROR(B235/COUNTIF(E273:E1772,"Occupied*"),0)</f>
        <v>0</v>
      </c>
      <c r="D235" s="398" t="str">
        <f aca="false">REPT("█",B235)</f>
        <v/>
      </c>
    </row>
    <row r="236" customFormat="false" ht="15" hidden="false" customHeight="true" outlineLevel="1" collapsed="false">
      <c r="A236" s="313" t="s">
        <v>1372</v>
      </c>
      <c r="B236" s="316" t="str">
        <f aca="false">INDEX(A224:A235,MATCH(MAX(B224:B235),B224:B235,0))</f>
        <v>Jan</v>
      </c>
      <c r="C236" s="383" t="n">
        <f aca="false">MAX(B224:B235)</f>
        <v>0</v>
      </c>
    </row>
    <row r="237" customFormat="false" ht="15" hidden="false" customHeight="true" outlineLevel="1" collapsed="false">
      <c r="A237" s="126" t="s">
        <v>1373</v>
      </c>
      <c r="B237" s="110" t="str">
        <f aca="false">INDEX(A224:A235,MATCH(MIN(B224:B235),B224:B235,0))</f>
        <v>Jan</v>
      </c>
      <c r="C237" s="124" t="n">
        <f aca="false">MIN(B224:B235)</f>
        <v>0</v>
      </c>
    </row>
    <row r="238" customFormat="false" ht="15" hidden="false" customHeight="true" outlineLevel="1" collapsed="false">
      <c r="A238" s="126" t="s">
        <v>1374</v>
      </c>
      <c r="B238" s="124" t="n">
        <f aca="false">SUM(B227:B232)</f>
        <v>0</v>
      </c>
      <c r="C238" s="125" t="n">
        <f aca="false">IFERROR(B238/COUNTIF(E273:E1772,"Occupied*"),0)</f>
        <v>0</v>
      </c>
    </row>
    <row r="239" customFormat="false" ht="15" hidden="false" customHeight="true" outlineLevel="1" collapsed="false"/>
    <row r="240" customFormat="false" ht="21.75" hidden="false" customHeight="true" outlineLevel="0" collapsed="false">
      <c r="A240" s="17" t="s">
        <v>1375</v>
      </c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</row>
    <row r="241" customFormat="false" ht="15" hidden="false" customHeight="true" outlineLevel="1" collapsed="false">
      <c r="A241" s="107" t="s">
        <v>1376</v>
      </c>
      <c r="B241" s="107"/>
      <c r="C241" s="107"/>
      <c r="D241" s="107"/>
      <c r="E241" s="107"/>
      <c r="F241" s="107"/>
      <c r="G241" s="107"/>
      <c r="H241" s="107"/>
      <c r="I241" s="107"/>
      <c r="J241" s="107"/>
      <c r="K241" s="107"/>
      <c r="L241" s="107"/>
      <c r="M241" s="107"/>
      <c r="N241" s="107"/>
      <c r="O241" s="107"/>
      <c r="P241" s="107"/>
      <c r="Q241" s="107"/>
      <c r="R241" s="107"/>
      <c r="S241" s="107"/>
      <c r="T241" s="107"/>
      <c r="U241" s="107"/>
      <c r="V241" s="107"/>
    </row>
    <row r="242" customFormat="false" ht="15" hidden="false" customHeight="true" outlineLevel="1" collapsed="false">
      <c r="A242" s="109" t="s">
        <v>1377</v>
      </c>
      <c r="B242" s="109" t="s">
        <v>12</v>
      </c>
      <c r="C242" s="109" t="s">
        <v>1378</v>
      </c>
    </row>
    <row r="243" customFormat="false" ht="15" hidden="false" customHeight="true" outlineLevel="1" collapsed="false">
      <c r="A243" s="111" t="s">
        <v>1379</v>
      </c>
      <c r="B243" s="378" t="n">
        <f aca="true">SUMPRODUCT((I273:I1772&gt;TODAY())*(I273:I1772&gt;0)*1)</f>
        <v>0</v>
      </c>
      <c r="C243" s="107" t="s">
        <v>1380</v>
      </c>
      <c r="D243" s="107"/>
      <c r="E243" s="107"/>
      <c r="F243" s="107"/>
      <c r="G243" s="107"/>
      <c r="H243" s="107"/>
      <c r="I243" s="107"/>
      <c r="J243" s="107"/>
      <c r="K243" s="107"/>
      <c r="L243" s="107"/>
      <c r="M243" s="107"/>
      <c r="N243" s="107"/>
      <c r="O243" s="107"/>
      <c r="P243" s="107"/>
      <c r="Q243" s="107"/>
      <c r="R243" s="107"/>
      <c r="S243" s="107"/>
      <c r="T243" s="107"/>
      <c r="U243" s="107"/>
      <c r="V243" s="107"/>
    </row>
    <row r="244" customFormat="false" ht="15" hidden="false" customHeight="true" outlineLevel="1" collapsed="false">
      <c r="A244" s="111" t="s">
        <v>1381</v>
      </c>
      <c r="B244" s="378" t="n">
        <f aca="true">SUMPRODUCT((I273:I1772&gt;TODAY())*(I273:I1772&gt;0)*(E273:E1772="Vacant*")*1)</f>
        <v>0</v>
      </c>
      <c r="C244" s="107" t="s">
        <v>1382</v>
      </c>
      <c r="D244" s="107"/>
      <c r="E244" s="107"/>
      <c r="F244" s="107"/>
      <c r="G244" s="107"/>
      <c r="H244" s="107"/>
      <c r="I244" s="107"/>
      <c r="J244" s="107"/>
      <c r="K244" s="107"/>
      <c r="L244" s="107"/>
      <c r="M244" s="107"/>
      <c r="N244" s="107"/>
      <c r="O244" s="107"/>
      <c r="P244" s="107"/>
      <c r="Q244" s="107"/>
      <c r="R244" s="107"/>
      <c r="S244" s="107"/>
      <c r="T244" s="107"/>
      <c r="U244" s="107"/>
      <c r="V244" s="107"/>
    </row>
    <row r="245" customFormat="false" ht="15" hidden="false" customHeight="true" outlineLevel="1" collapsed="false">
      <c r="A245" s="111" t="s">
        <v>1383</v>
      </c>
      <c r="B245" s="277" t="n">
        <f aca="true">SUMPRODUCT((I273:I1772&gt;TODAY())*(I273:I1772&gt;0)*(N273:N1772))*12</f>
        <v>0</v>
      </c>
      <c r="C245" s="107" t="s">
        <v>1384</v>
      </c>
      <c r="D245" s="107"/>
      <c r="E245" s="107"/>
      <c r="F245" s="107"/>
      <c r="G245" s="107"/>
      <c r="H245" s="107"/>
      <c r="I245" s="107"/>
      <c r="J245" s="107"/>
      <c r="K245" s="107"/>
      <c r="L245" s="107"/>
      <c r="M245" s="107"/>
      <c r="N245" s="107"/>
      <c r="O245" s="107"/>
      <c r="P245" s="107"/>
      <c r="Q245" s="107"/>
      <c r="R245" s="107"/>
      <c r="S245" s="107"/>
      <c r="T245" s="107"/>
      <c r="U245" s="107"/>
      <c r="V245" s="107"/>
    </row>
    <row r="246" customFormat="false" ht="15" hidden="false" customHeight="true" outlineLevel="1" collapsed="false">
      <c r="A246" s="111" t="s">
        <v>1385</v>
      </c>
      <c r="B246" s="378" t="str">
        <f aca="true">IFERROR(MIN(IF((I273:I1772&gt;TODAY())*(I273:I1772&gt;0),I273:I1772))-TODAY(),"none")</f>
        <v>none</v>
      </c>
      <c r="C246" s="107" t="s">
        <v>1386</v>
      </c>
      <c r="D246" s="107"/>
      <c r="E246" s="107"/>
      <c r="F246" s="107"/>
      <c r="G246" s="107"/>
      <c r="H246" s="107"/>
      <c r="I246" s="107"/>
      <c r="J246" s="107"/>
      <c r="K246" s="107"/>
      <c r="L246" s="107"/>
      <c r="M246" s="107"/>
      <c r="N246" s="107"/>
      <c r="O246" s="107"/>
      <c r="P246" s="107"/>
      <c r="Q246" s="107"/>
      <c r="R246" s="107"/>
      <c r="S246" s="107"/>
      <c r="T246" s="107"/>
      <c r="U246" s="107"/>
      <c r="V246" s="107"/>
    </row>
    <row r="247" customFormat="false" ht="15" hidden="false" customHeight="true" outlineLevel="1" collapsed="false">
      <c r="A247" s="111" t="s">
        <v>1387</v>
      </c>
      <c r="B247" s="378" t="str">
        <f aca="true">IFERROR(AVERAGEIFS(I273:I1772,I273:I1772,"&gt;"&amp;TODAY())-TODAY(),"none")</f>
        <v>none</v>
      </c>
      <c r="C247" s="107" t="s">
        <v>1388</v>
      </c>
      <c r="D247" s="107"/>
      <c r="E247" s="107"/>
      <c r="F247" s="107"/>
      <c r="G247" s="107"/>
      <c r="H247" s="107"/>
      <c r="I247" s="107"/>
      <c r="J247" s="107"/>
      <c r="K247" s="107"/>
      <c r="L247" s="107"/>
      <c r="M247" s="107"/>
      <c r="N247" s="107"/>
      <c r="O247" s="107"/>
      <c r="P247" s="107"/>
      <c r="Q247" s="107"/>
      <c r="R247" s="107"/>
      <c r="S247" s="107"/>
      <c r="T247" s="107"/>
      <c r="U247" s="107"/>
      <c r="V247" s="107"/>
    </row>
    <row r="248" customFormat="false" ht="15" hidden="false" customHeight="true" outlineLevel="1" collapsed="false"/>
    <row r="249" customFormat="false" ht="19.5" hidden="false" customHeight="true" outlineLevel="0" collapsed="false">
      <c r="A249" s="265" t="s">
        <v>1389</v>
      </c>
      <c r="B249" s="265"/>
      <c r="C249" s="265"/>
      <c r="D249" s="265"/>
      <c r="E249" s="265"/>
      <c r="F249" s="265"/>
      <c r="G249" s="265"/>
      <c r="H249" s="265"/>
      <c r="I249" s="265"/>
      <c r="J249" s="265"/>
      <c r="K249" s="265"/>
      <c r="L249" s="265"/>
      <c r="M249" s="265"/>
      <c r="N249" s="265"/>
      <c r="O249" s="265"/>
      <c r="P249" s="265"/>
      <c r="Q249" s="265"/>
      <c r="R249" s="265"/>
    </row>
    <row r="250" customFormat="false" ht="21.75" hidden="false" customHeight="true" outlineLevel="1" collapsed="false">
      <c r="A250" s="399" t="s">
        <v>1390</v>
      </c>
      <c r="M250" s="400"/>
      <c r="N250" s="400"/>
      <c r="O250" s="400"/>
      <c r="P250" s="400"/>
      <c r="Q250" s="400"/>
      <c r="R250" s="400"/>
      <c r="S250" s="401" t="s">
        <v>1391</v>
      </c>
      <c r="T250" s="402" t="n">
        <v>25</v>
      </c>
    </row>
    <row r="251" customFormat="false" ht="15.75" hidden="false" customHeight="true" outlineLevel="1" collapsed="false">
      <c r="A251" s="403" t="s">
        <v>1392</v>
      </c>
      <c r="B251" s="403"/>
      <c r="C251" s="403" t="s">
        <v>1393</v>
      </c>
      <c r="D251" s="403"/>
      <c r="E251" s="403"/>
      <c r="F251" s="403" t="s">
        <v>1394</v>
      </c>
      <c r="G251" s="403"/>
      <c r="H251" s="403"/>
      <c r="I251" s="403" t="s">
        <v>1395</v>
      </c>
      <c r="J251" s="403"/>
      <c r="K251" s="403"/>
      <c r="L251" s="403" t="s">
        <v>1396</v>
      </c>
      <c r="M251" s="403"/>
      <c r="N251" s="403"/>
      <c r="O251" s="403" t="s">
        <v>1397</v>
      </c>
      <c r="P251" s="403"/>
      <c r="Q251" s="403" t="s">
        <v>1398</v>
      </c>
      <c r="R251" s="403"/>
      <c r="S251" s="404" t="s">
        <v>1399</v>
      </c>
      <c r="T251" s="405"/>
      <c r="U251" s="405"/>
      <c r="V251" s="405"/>
      <c r="W251" s="405"/>
      <c r="X251" s="405"/>
    </row>
    <row r="252" customFormat="false" ht="30" hidden="false" customHeight="true" outlineLevel="1" collapsed="false">
      <c r="A252" s="406" t="s">
        <v>356</v>
      </c>
      <c r="B252" s="406" t="s">
        <v>1227</v>
      </c>
      <c r="C252" s="406" t="s">
        <v>5</v>
      </c>
      <c r="D252" s="406" t="s">
        <v>1336</v>
      </c>
      <c r="E252" s="406" t="s">
        <v>1337</v>
      </c>
      <c r="F252" s="406" t="s">
        <v>1250</v>
      </c>
      <c r="G252" s="406" t="s">
        <v>1281</v>
      </c>
      <c r="H252" s="406" t="s">
        <v>1282</v>
      </c>
      <c r="I252" s="406" t="s">
        <v>1400</v>
      </c>
      <c r="J252" s="406" t="s">
        <v>1184</v>
      </c>
      <c r="K252" s="406" t="s">
        <v>1401</v>
      </c>
      <c r="L252" s="406" t="s">
        <v>1402</v>
      </c>
      <c r="M252" s="406" t="s">
        <v>1403</v>
      </c>
      <c r="N252" s="406" t="s">
        <v>1404</v>
      </c>
      <c r="O252" s="406" t="s">
        <v>1405</v>
      </c>
      <c r="P252" s="406" t="s">
        <v>1406</v>
      </c>
      <c r="Q252" s="406" t="s">
        <v>1407</v>
      </c>
      <c r="R252" s="406" t="s">
        <v>1408</v>
      </c>
      <c r="S252" s="406" t="s">
        <v>1409</v>
      </c>
      <c r="T252" s="406" t="s">
        <v>1410</v>
      </c>
      <c r="U252" s="406" t="s">
        <v>1411</v>
      </c>
      <c r="V252" s="406" t="s">
        <v>1412</v>
      </c>
      <c r="W252" s="406" t="s">
        <v>1413</v>
      </c>
      <c r="X252" s="406" t="s">
        <v>1414</v>
      </c>
    </row>
    <row r="253" customFormat="false" ht="15" hidden="false" customHeight="true" outlineLevel="1" collapsed="false">
      <c r="A253" s="407" t="n">
        <v>1</v>
      </c>
      <c r="B253" s="408" t="str">
        <f aca="false">IFERROR(IF('Rental Comps'!$A$7=0,"",'Rental Comps'!$A$7),"")</f>
        <v/>
      </c>
      <c r="C253" s="393" t="str">
        <f aca="false">IF($B253="","",COUNTIF($C$273:$C$1772,$B253))</f>
        <v/>
      </c>
      <c r="D253" s="393" t="str">
        <f aca="false">IF($B253="","",IFERROR(AVERAGEIF($C$273:$C$1772,$B253,$D$273:$D$1772),0))</f>
        <v/>
      </c>
      <c r="E253" s="409" t="str">
        <f aca="false">IF($B253="","",SUMIFS($D$273:$D$1772,$C$273:$C$1772,$B253))</f>
        <v/>
      </c>
      <c r="F253" s="393" t="str">
        <f aca="false">IF($B253="","",COUNTIFS($C$273:$C$1772,$B253,$E$273:$E$1772,"Occupied*"))</f>
        <v/>
      </c>
      <c r="G253" s="393" t="str">
        <f aca="false">IF($B253="","",COUNTIFS($C$273:$C$1772,$B253,$E$273:$E$1772,"Vacant*"))</f>
        <v/>
      </c>
      <c r="H253" s="394" t="str">
        <f aca="false">IF($B253="","",IFERROR(G253/C253,0))</f>
        <v/>
      </c>
      <c r="I253" s="410" t="str">
        <f aca="false">IF($B253="","",IFERROR(AVERAGEIFS($N$273:$N$1772,$C$273:$C$1772,$B253,$E$273:$E$1772,"Occupied*"),0))</f>
        <v/>
      </c>
      <c r="J253" s="410" t="str">
        <f aca="false">IF($B253="","",IFERROR(AVERAGEIFS($L$273:$L$1772,$C$273:$C$1772,$B253,$L$273:$L$1772,"&gt;0"),0))</f>
        <v/>
      </c>
      <c r="K253" s="410" t="str">
        <f aca="false">IF($B253="","",J253-I253)</f>
        <v/>
      </c>
      <c r="L253" s="411" t="str">
        <f aca="false">IF($B253="","",IFERROR(I253/D253,0))</f>
        <v/>
      </c>
      <c r="M253" s="411" t="str">
        <f aca="false">IF($B253="","",IFERROR(J253/D253,0))</f>
        <v/>
      </c>
      <c r="N253" s="412" t="str">
        <f aca="false">IF($B253="","",IFERROR('Rental Comps'!I7,0))</f>
        <v/>
      </c>
      <c r="O253" s="410" t="str">
        <f aca="false">IF($B253="","",K253*F253*12)</f>
        <v/>
      </c>
      <c r="P253" s="394" t="str">
        <f aca="false">IF($B253="","",IFERROR(K253/J253,0))</f>
        <v/>
      </c>
      <c r="Q253" s="393" t="str">
        <f aca="true">IF($B253="","",SUMPRODUCT(($C$273:$C$1772=$B253)*($E$273:$E$1772="Occupied No Notice")*($J$273:$J$1772&gt;=TODAY())*($J$273:$J$1772&lt;EDATE(TODAY(),12))))</f>
        <v/>
      </c>
      <c r="R253" s="410" t="str">
        <f aca="false">IF($B253="","",K253*Q253*12)</f>
        <v/>
      </c>
      <c r="S253" s="410" t="str">
        <f aca="false">IF($B253="","",IFERROR(_xlfn.AGGREGATE(15,6,$N$273:$N$1772/(($C$273:$C$1772=$B253)*(ISNUMBER(SEARCH("Occupied",$E$273:$E$1772)))),1),0))</f>
        <v/>
      </c>
      <c r="T253" s="410" t="str">
        <f aca="false">IF($B253="","",IFERROR(_xlfn.AGGREGATE(14,6,$N$273:$N$1772/(($C$273:$C$1772=$B253)*(ISNUMBER(SEARCH("Occupied",$E$273:$E$1772)))),1),0))</f>
        <v/>
      </c>
      <c r="U253" s="410" t="str">
        <f aca="false">IF($B253="","",IFERROR(AVERAGEIFS($N$273:$N$1772,$C$273:$C$1772,$B253,$E$273:$E$1772,"Occupied*",$N$273:$N$1772,"&gt;="&amp;X253),0))</f>
        <v/>
      </c>
      <c r="V253" s="410" t="str">
        <f aca="false">IF($B253="","",U253-I253)</f>
        <v/>
      </c>
      <c r="W253" s="410" t="str">
        <f aca="false">IF($B253="","",V253*F253*12)</f>
        <v/>
      </c>
      <c r="X253" s="410" t="str">
        <f aca="false">IF($B253="","",IFERROR(_xlfn.AGGREGATE(14,6,$N$273:$N$1772/(($C$273:$C$1772=$B253)*(ISNUMBER(SEARCH("Occupied",$E$273:$E$1772)))),MAX(1,ROUNDUP(F253*$T$250/100,0))),0))</f>
        <v/>
      </c>
    </row>
    <row r="254" customFormat="false" ht="15" hidden="false" customHeight="true" outlineLevel="1" collapsed="false">
      <c r="A254" s="413" t="n">
        <v>2</v>
      </c>
      <c r="B254" s="414" t="str">
        <f aca="false">IFERROR(IF('Rental Comps'!$A$8=0,"",'Rental Comps'!$A$8),"")</f>
        <v/>
      </c>
      <c r="C254" s="415" t="str">
        <f aca="false">IF($B254="","",COUNTIF($C$273:$C$1772,$B254))</f>
        <v/>
      </c>
      <c r="D254" s="415" t="str">
        <f aca="false">IF($B254="","",IFERROR(AVERAGEIF($C$273:$C$1772,$B254,$D$273:$D$1772),0))</f>
        <v/>
      </c>
      <c r="E254" s="416" t="str">
        <f aca="false">IF($B254="","",SUMIFS($D$273:$D$1772,$C$273:$C$1772,$B254))</f>
        <v/>
      </c>
      <c r="F254" s="415" t="str">
        <f aca="false">IF($B254="","",COUNTIFS($C$273:$C$1772,$B254,$E$273:$E$1772,"Occupied*"))</f>
        <v/>
      </c>
      <c r="G254" s="415" t="str">
        <f aca="false">IF($B254="","",COUNTIFS($C$273:$C$1772,$B254,$E$273:$E$1772,"Vacant*"))</f>
        <v/>
      </c>
      <c r="H254" s="417" t="str">
        <f aca="false">IF($B254="","",IFERROR(G254/C254,0))</f>
        <v/>
      </c>
      <c r="I254" s="418" t="str">
        <f aca="false">IF($B254="","",IFERROR(AVERAGEIFS($N$273:$N$1772,$C$273:$C$1772,$B254,$E$273:$E$1772,"Occupied*"),0))</f>
        <v/>
      </c>
      <c r="J254" s="418" t="str">
        <f aca="false">IF($B254="","",IFERROR(AVERAGEIFS($L$273:$L$1772,$C$273:$C$1772,$B254,$L$273:$L$1772,"&gt;0"),0))</f>
        <v/>
      </c>
      <c r="K254" s="418" t="str">
        <f aca="false">IF($B254="","",J254-I254)</f>
        <v/>
      </c>
      <c r="L254" s="419" t="str">
        <f aca="false">IF($B254="","",IFERROR(I254/D254,0))</f>
        <v/>
      </c>
      <c r="M254" s="419" t="str">
        <f aca="false">IF($B254="","",IFERROR(J254/D254,0))</f>
        <v/>
      </c>
      <c r="N254" s="420" t="str">
        <f aca="false">IF($B254="","",IFERROR('Rental Comps'!I8,0))</f>
        <v/>
      </c>
      <c r="O254" s="418" t="str">
        <f aca="false">IF($B254="","",K254*F254*12)</f>
        <v/>
      </c>
      <c r="P254" s="417" t="str">
        <f aca="false">IF($B254="","",IFERROR(K254/J254,0))</f>
        <v/>
      </c>
      <c r="Q254" s="415" t="str">
        <f aca="true">IF($B254="","",SUMPRODUCT(($C$273:$C$1772=$B254)*($E$273:$E$1772="Occupied No Notice")*($J$273:$J$1772&gt;=TODAY())*($J$273:$J$1772&lt;EDATE(TODAY(),12))))</f>
        <v/>
      </c>
      <c r="R254" s="418" t="str">
        <f aca="false">IF($B254="","",K254*Q254*12)</f>
        <v/>
      </c>
      <c r="S254" s="410" t="str">
        <f aca="false">IF($B254="","",IFERROR(_xlfn.AGGREGATE(15,6,$N$273:$N$1772/(($C$273:$C$1772=$B254)*(ISNUMBER(SEARCH("Occupied",$E$273:$E$1772)))),1),0))</f>
        <v/>
      </c>
      <c r="T254" s="410" t="str">
        <f aca="false">IF($B254="","",IFERROR(_xlfn.AGGREGATE(14,6,$N$273:$N$1772/(($C$273:$C$1772=$B254)*(ISNUMBER(SEARCH("Occupied",$E$273:$E$1772)))),1),0))</f>
        <v/>
      </c>
      <c r="U254" s="410" t="str">
        <f aca="false">IF($B254="","",IFERROR(AVERAGEIFS($N$273:$N$1772,$C$273:$C$1772,$B254,$E$273:$E$1772,"Occupied*",$N$273:$N$1772,"&gt;="&amp;X254),0))</f>
        <v/>
      </c>
      <c r="V254" s="410" t="str">
        <f aca="false">IF($B254="","",U254-I254)</f>
        <v/>
      </c>
      <c r="W254" s="410" t="str">
        <f aca="false">IF($B254="","",V254*F254*12)</f>
        <v/>
      </c>
      <c r="X254" s="410" t="str">
        <f aca="false">IF($B254="","",IFERROR(_xlfn.AGGREGATE(14,6,$N$273:$N$1772/(($C$273:$C$1772=$B254)*(ISNUMBER(SEARCH("Occupied",$E$273:$E$1772)))),MAX(1,ROUNDUP(F254*$T$250/100,0))),0))</f>
        <v/>
      </c>
    </row>
    <row r="255" customFormat="false" ht="15" hidden="false" customHeight="true" outlineLevel="1" collapsed="false">
      <c r="A255" s="407" t="n">
        <v>3</v>
      </c>
      <c r="B255" s="408" t="str">
        <f aca="false">IFERROR(IF('Rental Comps'!$A$9=0,"",'Rental Comps'!$A$9),"")</f>
        <v/>
      </c>
      <c r="C255" s="393" t="str">
        <f aca="false">IF($B255="","",COUNTIF($C$273:$C$1772,$B255))</f>
        <v/>
      </c>
      <c r="D255" s="393" t="str">
        <f aca="false">IF($B255="","",IFERROR(AVERAGEIF($C$273:$C$1772,$B255,$D$273:$D$1772),0))</f>
        <v/>
      </c>
      <c r="E255" s="409" t="str">
        <f aca="false">IF($B255="","",SUMIFS($D$273:$D$1772,$C$273:$C$1772,$B255))</f>
        <v/>
      </c>
      <c r="F255" s="393" t="str">
        <f aca="false">IF($B255="","",COUNTIFS($C$273:$C$1772,$B255,$E$273:$E$1772,"Occupied*"))</f>
        <v/>
      </c>
      <c r="G255" s="393" t="str">
        <f aca="false">IF($B255="","",COUNTIFS($C$273:$C$1772,$B255,$E$273:$E$1772,"Vacant*"))</f>
        <v/>
      </c>
      <c r="H255" s="394" t="str">
        <f aca="false">IF($B255="","",IFERROR(G255/C255,0))</f>
        <v/>
      </c>
      <c r="I255" s="410" t="str">
        <f aca="false">IF($B255="","",IFERROR(AVERAGEIFS($N$273:$N$1772,$C$273:$C$1772,$B255,$E$273:$E$1772,"Occupied*"),0))</f>
        <v/>
      </c>
      <c r="J255" s="410" t="str">
        <f aca="false">IF($B255="","",IFERROR(AVERAGEIFS($L$273:$L$1772,$C$273:$C$1772,$B255,$L$273:$L$1772,"&gt;0"),0))</f>
        <v/>
      </c>
      <c r="K255" s="410" t="str">
        <f aca="false">IF($B255="","",J255-I255)</f>
        <v/>
      </c>
      <c r="L255" s="411" t="str">
        <f aca="false">IF($B255="","",IFERROR(I255/D255,0))</f>
        <v/>
      </c>
      <c r="M255" s="411" t="str">
        <f aca="false">IF($B255="","",IFERROR(J255/D255,0))</f>
        <v/>
      </c>
      <c r="N255" s="412" t="str">
        <f aca="false">IF($B255="","",IFERROR('Rental Comps'!I9,0))</f>
        <v/>
      </c>
      <c r="O255" s="410" t="str">
        <f aca="false">IF($B255="","",K255*F255*12)</f>
        <v/>
      </c>
      <c r="P255" s="394" t="str">
        <f aca="false">IF($B255="","",IFERROR(K255/J255,0))</f>
        <v/>
      </c>
      <c r="Q255" s="393" t="str">
        <f aca="true">IF($B255="","",SUMPRODUCT(($C$273:$C$1772=$B255)*($E$273:$E$1772="Occupied No Notice")*($J$273:$J$1772&gt;=TODAY())*($J$273:$J$1772&lt;EDATE(TODAY(),12))))</f>
        <v/>
      </c>
      <c r="R255" s="410" t="str">
        <f aca="false">IF($B255="","",K255*Q255*12)</f>
        <v/>
      </c>
      <c r="S255" s="410" t="str">
        <f aca="false">IF($B255="","",IFERROR(_xlfn.AGGREGATE(15,6,$N$273:$N$1772/(($C$273:$C$1772=$B255)*(ISNUMBER(SEARCH("Occupied",$E$273:$E$1772)))),1),0))</f>
        <v/>
      </c>
      <c r="T255" s="410" t="str">
        <f aca="false">IF($B255="","",IFERROR(_xlfn.AGGREGATE(14,6,$N$273:$N$1772/(($C$273:$C$1772=$B255)*(ISNUMBER(SEARCH("Occupied",$E$273:$E$1772)))),1),0))</f>
        <v/>
      </c>
      <c r="U255" s="410" t="str">
        <f aca="false">IF($B255="","",IFERROR(AVERAGEIFS($N$273:$N$1772,$C$273:$C$1772,$B255,$E$273:$E$1772,"Occupied*",$N$273:$N$1772,"&gt;="&amp;X255),0))</f>
        <v/>
      </c>
      <c r="V255" s="410" t="str">
        <f aca="false">IF($B255="","",U255-I255)</f>
        <v/>
      </c>
      <c r="W255" s="410" t="str">
        <f aca="false">IF($B255="","",V255*F255*12)</f>
        <v/>
      </c>
      <c r="X255" s="410" t="str">
        <f aca="false">IF($B255="","",IFERROR(_xlfn.AGGREGATE(14,6,$N$273:$N$1772/(($C$273:$C$1772=$B255)*(ISNUMBER(SEARCH("Occupied",$E$273:$E$1772)))),MAX(1,ROUNDUP(F255*$T$250/100,0))),0))</f>
        <v/>
      </c>
    </row>
    <row r="256" customFormat="false" ht="15" hidden="false" customHeight="true" outlineLevel="1" collapsed="false">
      <c r="A256" s="413" t="n">
        <v>4</v>
      </c>
      <c r="B256" s="414" t="str">
        <f aca="false">IFERROR(IF('Rental Comps'!$A$10=0,"",'Rental Comps'!$A$10),"")</f>
        <v/>
      </c>
      <c r="C256" s="415" t="str">
        <f aca="false">IF($B256="","",COUNTIF($C$273:$C$1772,$B256))</f>
        <v/>
      </c>
      <c r="D256" s="415" t="str">
        <f aca="false">IF($B256="","",IFERROR(AVERAGEIF($C$273:$C$1772,$B256,$D$273:$D$1772),0))</f>
        <v/>
      </c>
      <c r="E256" s="416" t="str">
        <f aca="false">IF($B256="","",SUMIFS($D$273:$D$1772,$C$273:$C$1772,$B256))</f>
        <v/>
      </c>
      <c r="F256" s="415" t="str">
        <f aca="false">IF($B256="","",COUNTIFS($C$273:$C$1772,$B256,$E$273:$E$1772,"Occupied*"))</f>
        <v/>
      </c>
      <c r="G256" s="415" t="str">
        <f aca="false">IF($B256="","",COUNTIFS($C$273:$C$1772,$B256,$E$273:$E$1772,"Vacant*"))</f>
        <v/>
      </c>
      <c r="H256" s="417" t="str">
        <f aca="false">IF($B256="","",IFERROR(G256/C256,0))</f>
        <v/>
      </c>
      <c r="I256" s="418" t="str">
        <f aca="false">IF($B256="","",IFERROR(AVERAGEIFS($N$273:$N$1772,$C$273:$C$1772,$B256,$E$273:$E$1772,"Occupied*"),0))</f>
        <v/>
      </c>
      <c r="J256" s="418" t="str">
        <f aca="false">IF($B256="","",IFERROR(AVERAGEIFS($L$273:$L$1772,$C$273:$C$1772,$B256,$L$273:$L$1772,"&gt;0"),0))</f>
        <v/>
      </c>
      <c r="K256" s="418" t="str">
        <f aca="false">IF($B256="","",J256-I256)</f>
        <v/>
      </c>
      <c r="L256" s="419" t="str">
        <f aca="false">IF($B256="","",IFERROR(I256/D256,0))</f>
        <v/>
      </c>
      <c r="M256" s="419" t="str">
        <f aca="false">IF($B256="","",IFERROR(J256/D256,0))</f>
        <v/>
      </c>
      <c r="N256" s="420" t="str">
        <f aca="false">IF($B256="","",IFERROR('Rental Comps'!I10,0))</f>
        <v/>
      </c>
      <c r="O256" s="418" t="str">
        <f aca="false">IF($B256="","",K256*F256*12)</f>
        <v/>
      </c>
      <c r="P256" s="417" t="str">
        <f aca="false">IF($B256="","",IFERROR(K256/J256,0))</f>
        <v/>
      </c>
      <c r="Q256" s="415" t="str">
        <f aca="true">IF($B256="","",SUMPRODUCT(($C$273:$C$1772=$B256)*($E$273:$E$1772="Occupied No Notice")*($J$273:$J$1772&gt;=TODAY())*($J$273:$J$1772&lt;EDATE(TODAY(),12))))</f>
        <v/>
      </c>
      <c r="R256" s="418" t="str">
        <f aca="false">IF($B256="","",K256*Q256*12)</f>
        <v/>
      </c>
      <c r="S256" s="410" t="str">
        <f aca="false">IF($B256="","",IFERROR(_xlfn.AGGREGATE(15,6,$N$273:$N$1772/(($C$273:$C$1772=$B256)*(ISNUMBER(SEARCH("Occupied",$E$273:$E$1772)))),1),0))</f>
        <v/>
      </c>
      <c r="T256" s="410" t="str">
        <f aca="false">IF($B256="","",IFERROR(_xlfn.AGGREGATE(14,6,$N$273:$N$1772/(($C$273:$C$1772=$B256)*(ISNUMBER(SEARCH("Occupied",$E$273:$E$1772)))),1),0))</f>
        <v/>
      </c>
      <c r="U256" s="410" t="str">
        <f aca="false">IF($B256="","",IFERROR(AVERAGEIFS($N$273:$N$1772,$C$273:$C$1772,$B256,$E$273:$E$1772,"Occupied*",$N$273:$N$1772,"&gt;="&amp;X256),0))</f>
        <v/>
      </c>
      <c r="V256" s="410" t="str">
        <f aca="false">IF($B256="","",U256-I256)</f>
        <v/>
      </c>
      <c r="W256" s="410" t="str">
        <f aca="false">IF($B256="","",V256*F256*12)</f>
        <v/>
      </c>
      <c r="X256" s="410" t="str">
        <f aca="false">IF($B256="","",IFERROR(_xlfn.AGGREGATE(14,6,$N$273:$N$1772/(($C$273:$C$1772=$B256)*(ISNUMBER(SEARCH("Occupied",$E$273:$E$1772)))),MAX(1,ROUNDUP(F256*$T$250/100,0))),0))</f>
        <v/>
      </c>
    </row>
    <row r="257" customFormat="false" ht="15" hidden="false" customHeight="true" outlineLevel="1" collapsed="false">
      <c r="A257" s="407" t="n">
        <v>5</v>
      </c>
      <c r="B257" s="408" t="str">
        <f aca="false">IFERROR(IF('Rental Comps'!$A$11=0,"",'Rental Comps'!$A$11),"")</f>
        <v/>
      </c>
      <c r="C257" s="393" t="str">
        <f aca="false">IF($B257="","",COUNTIF($C$273:$C$1772,$B257))</f>
        <v/>
      </c>
      <c r="D257" s="393" t="str">
        <f aca="false">IF($B257="","",IFERROR(AVERAGEIF($C$273:$C$1772,$B257,$D$273:$D$1772),0))</f>
        <v/>
      </c>
      <c r="E257" s="409" t="str">
        <f aca="false">IF($B257="","",SUMIFS($D$273:$D$1772,$C$273:$C$1772,$B257))</f>
        <v/>
      </c>
      <c r="F257" s="393" t="str">
        <f aca="false">IF($B257="","",COUNTIFS($C$273:$C$1772,$B257,$E$273:$E$1772,"Occupied*"))</f>
        <v/>
      </c>
      <c r="G257" s="393" t="str">
        <f aca="false">IF($B257="","",COUNTIFS($C$273:$C$1772,$B257,$E$273:$E$1772,"Vacant*"))</f>
        <v/>
      </c>
      <c r="H257" s="394" t="str">
        <f aca="false">IF($B257="","",IFERROR(G257/C257,0))</f>
        <v/>
      </c>
      <c r="I257" s="410" t="str">
        <f aca="false">IF($B257="","",IFERROR(AVERAGEIFS($N$273:$N$1772,$C$273:$C$1772,$B257,$E$273:$E$1772,"Occupied*"),0))</f>
        <v/>
      </c>
      <c r="J257" s="410" t="str">
        <f aca="false">IF($B257="","",IFERROR(AVERAGEIFS($L$273:$L$1772,$C$273:$C$1772,$B257,$L$273:$L$1772,"&gt;0"),0))</f>
        <v/>
      </c>
      <c r="K257" s="410" t="str">
        <f aca="false">IF($B257="","",J257-I257)</f>
        <v/>
      </c>
      <c r="L257" s="411" t="str">
        <f aca="false">IF($B257="","",IFERROR(I257/D257,0))</f>
        <v/>
      </c>
      <c r="M257" s="411" t="str">
        <f aca="false">IF($B257="","",IFERROR(J257/D257,0))</f>
        <v/>
      </c>
      <c r="N257" s="412" t="str">
        <f aca="false">IF($B257="","",IFERROR('Rental Comps'!I11,0))</f>
        <v/>
      </c>
      <c r="O257" s="410" t="str">
        <f aca="false">IF($B257="","",K257*F257*12)</f>
        <v/>
      </c>
      <c r="P257" s="394" t="str">
        <f aca="false">IF($B257="","",IFERROR(K257/J257,0))</f>
        <v/>
      </c>
      <c r="Q257" s="393" t="str">
        <f aca="true">IF($B257="","",SUMPRODUCT(($C$273:$C$1772=$B257)*($E$273:$E$1772="Occupied No Notice")*($J$273:$J$1772&gt;=TODAY())*($J$273:$J$1772&lt;EDATE(TODAY(),12))))</f>
        <v/>
      </c>
      <c r="R257" s="410" t="str">
        <f aca="false">IF($B257="","",K257*Q257*12)</f>
        <v/>
      </c>
      <c r="S257" s="410" t="str">
        <f aca="false">IF($B257="","",IFERROR(_xlfn.AGGREGATE(15,6,$N$273:$N$1772/(($C$273:$C$1772=$B257)*(ISNUMBER(SEARCH("Occupied",$E$273:$E$1772)))),1),0))</f>
        <v/>
      </c>
      <c r="T257" s="410" t="str">
        <f aca="false">IF($B257="","",IFERROR(_xlfn.AGGREGATE(14,6,$N$273:$N$1772/(($C$273:$C$1772=$B257)*(ISNUMBER(SEARCH("Occupied",$E$273:$E$1772)))),1),0))</f>
        <v/>
      </c>
      <c r="U257" s="410" t="str">
        <f aca="false">IF($B257="","",IFERROR(AVERAGEIFS($N$273:$N$1772,$C$273:$C$1772,$B257,$E$273:$E$1772,"Occupied*",$N$273:$N$1772,"&gt;="&amp;X257),0))</f>
        <v/>
      </c>
      <c r="V257" s="410" t="str">
        <f aca="false">IF($B257="","",U257-I257)</f>
        <v/>
      </c>
      <c r="W257" s="410" t="str">
        <f aca="false">IF($B257="","",V257*F257*12)</f>
        <v/>
      </c>
      <c r="X257" s="410" t="str">
        <f aca="false">IF($B257="","",IFERROR(_xlfn.AGGREGATE(14,6,$N$273:$N$1772/(($C$273:$C$1772=$B257)*(ISNUMBER(SEARCH("Occupied",$E$273:$E$1772)))),MAX(1,ROUNDUP(F257*$T$250/100,0))),0))</f>
        <v/>
      </c>
    </row>
    <row r="258" customFormat="false" ht="15" hidden="false" customHeight="true" outlineLevel="1" collapsed="false">
      <c r="A258" s="413" t="n">
        <v>6</v>
      </c>
      <c r="B258" s="414" t="str">
        <f aca="false">IFERROR(IF('Rental Comps'!$A$12=0,"",'Rental Comps'!$A$12),"")</f>
        <v/>
      </c>
      <c r="C258" s="415" t="str">
        <f aca="false">IF($B258="","",COUNTIF($C$273:$C$1772,$B258))</f>
        <v/>
      </c>
      <c r="D258" s="415" t="str">
        <f aca="false">IF($B258="","",IFERROR(AVERAGEIF($C$273:$C$1772,$B258,$D$273:$D$1772),0))</f>
        <v/>
      </c>
      <c r="E258" s="416" t="str">
        <f aca="false">IF($B258="","",SUMIFS($D$273:$D$1772,$C$273:$C$1772,$B258))</f>
        <v/>
      </c>
      <c r="F258" s="415" t="str">
        <f aca="false">IF($B258="","",COUNTIFS($C$273:$C$1772,$B258,$E$273:$E$1772,"Occupied*"))</f>
        <v/>
      </c>
      <c r="G258" s="415" t="str">
        <f aca="false">IF($B258="","",COUNTIFS($C$273:$C$1772,$B258,$E$273:$E$1772,"Vacant*"))</f>
        <v/>
      </c>
      <c r="H258" s="417" t="str">
        <f aca="false">IF($B258="","",IFERROR(G258/C258,0))</f>
        <v/>
      </c>
      <c r="I258" s="418" t="str">
        <f aca="false">IF($B258="","",IFERROR(AVERAGEIFS($N$273:$N$1772,$C$273:$C$1772,$B258,$E$273:$E$1772,"Occupied*"),0))</f>
        <v/>
      </c>
      <c r="J258" s="418" t="str">
        <f aca="false">IF($B258="","",IFERROR(AVERAGEIFS($L$273:$L$1772,$C$273:$C$1772,$B258,$L$273:$L$1772,"&gt;0"),0))</f>
        <v/>
      </c>
      <c r="K258" s="418" t="str">
        <f aca="false">IF($B258="","",J258-I258)</f>
        <v/>
      </c>
      <c r="L258" s="419" t="str">
        <f aca="false">IF($B258="","",IFERROR(I258/D258,0))</f>
        <v/>
      </c>
      <c r="M258" s="419" t="str">
        <f aca="false">IF($B258="","",IFERROR(J258/D258,0))</f>
        <v/>
      </c>
      <c r="N258" s="420" t="str">
        <f aca="false">IF($B258="","",IFERROR('Rental Comps'!I12,0))</f>
        <v/>
      </c>
      <c r="O258" s="418" t="str">
        <f aca="false">IF($B258="","",K258*F258*12)</f>
        <v/>
      </c>
      <c r="P258" s="417" t="str">
        <f aca="false">IF($B258="","",IFERROR(K258/J258,0))</f>
        <v/>
      </c>
      <c r="Q258" s="415" t="str">
        <f aca="true">IF($B258="","",SUMPRODUCT(($C$273:$C$1772=$B258)*($E$273:$E$1772="Occupied No Notice")*($J$273:$J$1772&gt;=TODAY())*($J$273:$J$1772&lt;EDATE(TODAY(),12))))</f>
        <v/>
      </c>
      <c r="R258" s="418" t="str">
        <f aca="false">IF($B258="","",K258*Q258*12)</f>
        <v/>
      </c>
      <c r="S258" s="410" t="str">
        <f aca="false">IF($B258="","",IFERROR(_xlfn.AGGREGATE(15,6,$N$273:$N$1772/(($C$273:$C$1772=$B258)*(ISNUMBER(SEARCH("Occupied",$E$273:$E$1772)))),1),0))</f>
        <v/>
      </c>
      <c r="T258" s="410" t="str">
        <f aca="false">IF($B258="","",IFERROR(_xlfn.AGGREGATE(14,6,$N$273:$N$1772/(($C$273:$C$1772=$B258)*(ISNUMBER(SEARCH("Occupied",$E$273:$E$1772)))),1),0))</f>
        <v/>
      </c>
      <c r="U258" s="410" t="str">
        <f aca="false">IF($B258="","",IFERROR(AVERAGEIFS($N$273:$N$1772,$C$273:$C$1772,$B258,$E$273:$E$1772,"Occupied*",$N$273:$N$1772,"&gt;="&amp;X258),0))</f>
        <v/>
      </c>
      <c r="V258" s="410" t="str">
        <f aca="false">IF($B258="","",U258-I258)</f>
        <v/>
      </c>
      <c r="W258" s="410" t="str">
        <f aca="false">IF($B258="","",V258*F258*12)</f>
        <v/>
      </c>
      <c r="X258" s="410" t="str">
        <f aca="false">IF($B258="","",IFERROR(_xlfn.AGGREGATE(14,6,$N$273:$N$1772/(($C$273:$C$1772=$B258)*(ISNUMBER(SEARCH("Occupied",$E$273:$E$1772)))),MAX(1,ROUNDUP(F258*$T$250/100,0))),0))</f>
        <v/>
      </c>
    </row>
    <row r="259" customFormat="false" ht="15" hidden="false" customHeight="true" outlineLevel="1" collapsed="false">
      <c r="A259" s="407" t="n">
        <v>7</v>
      </c>
      <c r="B259" s="408" t="str">
        <f aca="false">IFERROR(IF('Rental Comps'!$A$13=0,"",'Rental Comps'!$A$13),"")</f>
        <v/>
      </c>
      <c r="C259" s="393" t="str">
        <f aca="false">IF($B259="","",COUNTIF($C$273:$C$1772,$B259))</f>
        <v/>
      </c>
      <c r="D259" s="393" t="str">
        <f aca="false">IF($B259="","",IFERROR(AVERAGEIF($C$273:$C$1772,$B259,$D$273:$D$1772),0))</f>
        <v/>
      </c>
      <c r="E259" s="409" t="str">
        <f aca="false">IF($B259="","",SUMIFS($D$273:$D$1772,$C$273:$C$1772,$B259))</f>
        <v/>
      </c>
      <c r="F259" s="393" t="str">
        <f aca="false">IF($B259="","",COUNTIFS($C$273:$C$1772,$B259,$E$273:$E$1772,"Occupied*"))</f>
        <v/>
      </c>
      <c r="G259" s="393" t="str">
        <f aca="false">IF($B259="","",COUNTIFS($C$273:$C$1772,$B259,$E$273:$E$1772,"Vacant*"))</f>
        <v/>
      </c>
      <c r="H259" s="394" t="str">
        <f aca="false">IF($B259="","",IFERROR(G259/C259,0))</f>
        <v/>
      </c>
      <c r="I259" s="410" t="str">
        <f aca="false">IF($B259="","",IFERROR(AVERAGEIFS($N$273:$N$1772,$C$273:$C$1772,$B259,$E$273:$E$1772,"Occupied*"),0))</f>
        <v/>
      </c>
      <c r="J259" s="410" t="str">
        <f aca="false">IF($B259="","",IFERROR(AVERAGEIFS($L$273:$L$1772,$C$273:$C$1772,$B259,$L$273:$L$1772,"&gt;0"),0))</f>
        <v/>
      </c>
      <c r="K259" s="410" t="str">
        <f aca="false">IF($B259="","",J259-I259)</f>
        <v/>
      </c>
      <c r="L259" s="411" t="str">
        <f aca="false">IF($B259="","",IFERROR(I259/D259,0))</f>
        <v/>
      </c>
      <c r="M259" s="411" t="str">
        <f aca="false">IF($B259="","",IFERROR(J259/D259,0))</f>
        <v/>
      </c>
      <c r="N259" s="412" t="str">
        <f aca="false">IF($B259="","",IFERROR('Rental Comps'!I13,0))</f>
        <v/>
      </c>
      <c r="O259" s="410" t="str">
        <f aca="false">IF($B259="","",K259*F259*12)</f>
        <v/>
      </c>
      <c r="P259" s="394" t="str">
        <f aca="false">IF($B259="","",IFERROR(K259/J259,0))</f>
        <v/>
      </c>
      <c r="Q259" s="393" t="str">
        <f aca="true">IF($B259="","",SUMPRODUCT(($C$273:$C$1772=$B259)*($E$273:$E$1772="Occupied No Notice")*($J$273:$J$1772&gt;=TODAY())*($J$273:$J$1772&lt;EDATE(TODAY(),12))))</f>
        <v/>
      </c>
      <c r="R259" s="410" t="str">
        <f aca="false">IF($B259="","",K259*Q259*12)</f>
        <v/>
      </c>
      <c r="S259" s="410" t="str">
        <f aca="false">IF($B259="","",IFERROR(_xlfn.AGGREGATE(15,6,$N$273:$N$1772/(($C$273:$C$1772=$B259)*(ISNUMBER(SEARCH("Occupied",$E$273:$E$1772)))),1),0))</f>
        <v/>
      </c>
      <c r="T259" s="410" t="str">
        <f aca="false">IF($B259="","",IFERROR(_xlfn.AGGREGATE(14,6,$N$273:$N$1772/(($C$273:$C$1772=$B259)*(ISNUMBER(SEARCH("Occupied",$E$273:$E$1772)))),1),0))</f>
        <v/>
      </c>
      <c r="U259" s="410" t="str">
        <f aca="false">IF($B259="","",IFERROR(AVERAGEIFS($N$273:$N$1772,$C$273:$C$1772,$B259,$E$273:$E$1772,"Occupied*",$N$273:$N$1772,"&gt;="&amp;X259),0))</f>
        <v/>
      </c>
      <c r="V259" s="410" t="str">
        <f aca="false">IF($B259="","",U259-I259)</f>
        <v/>
      </c>
      <c r="W259" s="410" t="str">
        <f aca="false">IF($B259="","",V259*F259*12)</f>
        <v/>
      </c>
      <c r="X259" s="410" t="str">
        <f aca="false">IF($B259="","",IFERROR(_xlfn.AGGREGATE(14,6,$N$273:$N$1772/(($C$273:$C$1772=$B259)*(ISNUMBER(SEARCH("Occupied",$E$273:$E$1772)))),MAX(1,ROUNDUP(F259*$T$250/100,0))),0))</f>
        <v/>
      </c>
    </row>
    <row r="260" customFormat="false" ht="15" hidden="false" customHeight="true" outlineLevel="1" collapsed="false">
      <c r="A260" s="413" t="n">
        <v>8</v>
      </c>
      <c r="B260" s="414" t="str">
        <f aca="false">IFERROR(IF('Rental Comps'!$A$14=0,"",'Rental Comps'!$A$14),"")</f>
        <v/>
      </c>
      <c r="C260" s="415" t="str">
        <f aca="false">IF($B260="","",COUNTIF($C$273:$C$1772,$B260))</f>
        <v/>
      </c>
      <c r="D260" s="415" t="str">
        <f aca="false">IF($B260="","",IFERROR(AVERAGEIF($C$273:$C$1772,$B260,$D$273:$D$1772),0))</f>
        <v/>
      </c>
      <c r="E260" s="416" t="str">
        <f aca="false">IF($B260="","",SUMIFS($D$273:$D$1772,$C$273:$C$1772,$B260))</f>
        <v/>
      </c>
      <c r="F260" s="415" t="str">
        <f aca="false">IF($B260="","",COUNTIFS($C$273:$C$1772,$B260,$E$273:$E$1772,"Occupied*"))</f>
        <v/>
      </c>
      <c r="G260" s="415" t="str">
        <f aca="false">IF($B260="","",COUNTIFS($C$273:$C$1772,$B260,$E$273:$E$1772,"Vacant*"))</f>
        <v/>
      </c>
      <c r="H260" s="417" t="str">
        <f aca="false">IF($B260="","",IFERROR(G260/C260,0))</f>
        <v/>
      </c>
      <c r="I260" s="418" t="str">
        <f aca="false">IF($B260="","",IFERROR(AVERAGEIFS($N$273:$N$1772,$C$273:$C$1772,$B260,$E$273:$E$1772,"Occupied*"),0))</f>
        <v/>
      </c>
      <c r="J260" s="418" t="str">
        <f aca="false">IF($B260="","",IFERROR(AVERAGEIFS($L$273:$L$1772,$C$273:$C$1772,$B260,$L$273:$L$1772,"&gt;0"),0))</f>
        <v/>
      </c>
      <c r="K260" s="418" t="str">
        <f aca="false">IF($B260="","",J260-I260)</f>
        <v/>
      </c>
      <c r="L260" s="419" t="str">
        <f aca="false">IF($B260="","",IFERROR(I260/D260,0))</f>
        <v/>
      </c>
      <c r="M260" s="419" t="str">
        <f aca="false">IF($B260="","",IFERROR(J260/D260,0))</f>
        <v/>
      </c>
      <c r="N260" s="420" t="str">
        <f aca="false">IF($B260="","",IFERROR('Rental Comps'!I14,0))</f>
        <v/>
      </c>
      <c r="O260" s="418" t="str">
        <f aca="false">IF($B260="","",K260*F260*12)</f>
        <v/>
      </c>
      <c r="P260" s="417" t="str">
        <f aca="false">IF($B260="","",IFERROR(K260/J260,0))</f>
        <v/>
      </c>
      <c r="Q260" s="415" t="str">
        <f aca="true">IF($B260="","",SUMPRODUCT(($C$273:$C$1772=$B260)*($E$273:$E$1772="Occupied No Notice")*($J$273:$J$1772&gt;=TODAY())*($J$273:$J$1772&lt;EDATE(TODAY(),12))))</f>
        <v/>
      </c>
      <c r="R260" s="418" t="str">
        <f aca="false">IF($B260="","",K260*Q260*12)</f>
        <v/>
      </c>
      <c r="S260" s="410" t="str">
        <f aca="false">IF($B260="","",IFERROR(_xlfn.AGGREGATE(15,6,$N$273:$N$1772/(($C$273:$C$1772=$B260)*(ISNUMBER(SEARCH("Occupied",$E$273:$E$1772)))),1),0))</f>
        <v/>
      </c>
      <c r="T260" s="410" t="str">
        <f aca="false">IF($B260="","",IFERROR(_xlfn.AGGREGATE(14,6,$N$273:$N$1772/(($C$273:$C$1772=$B260)*(ISNUMBER(SEARCH("Occupied",$E$273:$E$1772)))),1),0))</f>
        <v/>
      </c>
      <c r="U260" s="410" t="str">
        <f aca="false">IF($B260="","",IFERROR(AVERAGEIFS($N$273:$N$1772,$C$273:$C$1772,$B260,$E$273:$E$1772,"Occupied*",$N$273:$N$1772,"&gt;="&amp;X260),0))</f>
        <v/>
      </c>
      <c r="V260" s="410" t="str">
        <f aca="false">IF($B260="","",U260-I260)</f>
        <v/>
      </c>
      <c r="W260" s="410" t="str">
        <f aca="false">IF($B260="","",V260*F260*12)</f>
        <v/>
      </c>
      <c r="X260" s="410" t="str">
        <f aca="false">IF($B260="","",IFERROR(_xlfn.AGGREGATE(14,6,$N$273:$N$1772/(($C$273:$C$1772=$B260)*(ISNUMBER(SEARCH("Occupied",$E$273:$E$1772)))),MAX(1,ROUNDUP(F260*$T$250/100,0))),0))</f>
        <v/>
      </c>
    </row>
    <row r="261" customFormat="false" ht="15" hidden="false" customHeight="true" outlineLevel="1" collapsed="false">
      <c r="A261" s="407" t="n">
        <v>9</v>
      </c>
      <c r="B261" s="408" t="str">
        <f aca="false">IFERROR(IF('Rental Comps'!$A$15=0,"",'Rental Comps'!$A$15),"")</f>
        <v/>
      </c>
      <c r="C261" s="393" t="str">
        <f aca="false">IF($B261="","",COUNTIF($C$273:$C$1772,$B261))</f>
        <v/>
      </c>
      <c r="D261" s="393" t="str">
        <f aca="false">IF($B261="","",IFERROR(AVERAGEIF($C$273:$C$1772,$B261,$D$273:$D$1772),0))</f>
        <v/>
      </c>
      <c r="E261" s="409" t="str">
        <f aca="false">IF($B261="","",SUMIFS($D$273:$D$1772,$C$273:$C$1772,$B261))</f>
        <v/>
      </c>
      <c r="F261" s="393" t="str">
        <f aca="false">IF($B261="","",COUNTIFS($C$273:$C$1772,$B261,$E$273:$E$1772,"Occupied*"))</f>
        <v/>
      </c>
      <c r="G261" s="393" t="str">
        <f aca="false">IF($B261="","",COUNTIFS($C$273:$C$1772,$B261,$E$273:$E$1772,"Vacant*"))</f>
        <v/>
      </c>
      <c r="H261" s="394" t="str">
        <f aca="false">IF($B261="","",IFERROR(G261/C261,0))</f>
        <v/>
      </c>
      <c r="I261" s="410" t="str">
        <f aca="false">IF($B261="","",IFERROR(AVERAGEIFS($N$273:$N$1772,$C$273:$C$1772,$B261,$E$273:$E$1772,"Occupied*"),0))</f>
        <v/>
      </c>
      <c r="J261" s="410" t="str">
        <f aca="false">IF($B261="","",IFERROR(AVERAGEIFS($L$273:$L$1772,$C$273:$C$1772,$B261,$L$273:$L$1772,"&gt;0"),0))</f>
        <v/>
      </c>
      <c r="K261" s="410" t="str">
        <f aca="false">IF($B261="","",J261-I261)</f>
        <v/>
      </c>
      <c r="L261" s="411" t="str">
        <f aca="false">IF($B261="","",IFERROR(I261/D261,0))</f>
        <v/>
      </c>
      <c r="M261" s="411" t="str">
        <f aca="false">IF($B261="","",IFERROR(J261/D261,0))</f>
        <v/>
      </c>
      <c r="N261" s="412" t="str">
        <f aca="false">IF($B261="","",IFERROR('Rental Comps'!I15,0))</f>
        <v/>
      </c>
      <c r="O261" s="410" t="str">
        <f aca="false">IF($B261="","",K261*F261*12)</f>
        <v/>
      </c>
      <c r="P261" s="394" t="str">
        <f aca="false">IF($B261="","",IFERROR(K261/J261,0))</f>
        <v/>
      </c>
      <c r="Q261" s="393" t="str">
        <f aca="true">IF($B261="","",SUMPRODUCT(($C$273:$C$1772=$B261)*($E$273:$E$1772="Occupied No Notice")*($J$273:$J$1772&gt;=TODAY())*($J$273:$J$1772&lt;EDATE(TODAY(),12))))</f>
        <v/>
      </c>
      <c r="R261" s="410" t="str">
        <f aca="false">IF($B261="","",K261*Q261*12)</f>
        <v/>
      </c>
      <c r="S261" s="410" t="str">
        <f aca="false">IF($B261="","",IFERROR(_xlfn.AGGREGATE(15,6,$N$273:$N$1772/(($C$273:$C$1772=$B261)*(ISNUMBER(SEARCH("Occupied",$E$273:$E$1772)))),1),0))</f>
        <v/>
      </c>
      <c r="T261" s="410" t="str">
        <f aca="false">IF($B261="","",IFERROR(_xlfn.AGGREGATE(14,6,$N$273:$N$1772/(($C$273:$C$1772=$B261)*(ISNUMBER(SEARCH("Occupied",$E$273:$E$1772)))),1),0))</f>
        <v/>
      </c>
      <c r="U261" s="410" t="str">
        <f aca="false">IF($B261="","",IFERROR(AVERAGEIFS($N$273:$N$1772,$C$273:$C$1772,$B261,$E$273:$E$1772,"Occupied*",$N$273:$N$1772,"&gt;="&amp;X261),0))</f>
        <v/>
      </c>
      <c r="V261" s="410" t="str">
        <f aca="false">IF($B261="","",U261-I261)</f>
        <v/>
      </c>
      <c r="W261" s="410" t="str">
        <f aca="false">IF($B261="","",V261*F261*12)</f>
        <v/>
      </c>
      <c r="X261" s="410" t="str">
        <f aca="false">IF($B261="","",IFERROR(_xlfn.AGGREGATE(14,6,$N$273:$N$1772/(($C$273:$C$1772=$B261)*(ISNUMBER(SEARCH("Occupied",$E$273:$E$1772)))),MAX(1,ROUNDUP(F261*$T$250/100,0))),0))</f>
        <v/>
      </c>
    </row>
    <row r="262" customFormat="false" ht="15" hidden="false" customHeight="true" outlineLevel="1" collapsed="false">
      <c r="A262" s="413" t="n">
        <v>10</v>
      </c>
      <c r="B262" s="414" t="str">
        <f aca="false">IFERROR(IF('Rental Comps'!$A$16=0,"",'Rental Comps'!$A$16),"")</f>
        <v/>
      </c>
      <c r="C262" s="415" t="str">
        <f aca="false">IF($B262="","",COUNTIF($C$273:$C$1772,$B262))</f>
        <v/>
      </c>
      <c r="D262" s="415" t="str">
        <f aca="false">IF($B262="","",IFERROR(AVERAGEIF($C$273:$C$1772,$B262,$D$273:$D$1772),0))</f>
        <v/>
      </c>
      <c r="E262" s="416" t="str">
        <f aca="false">IF($B262="","",SUMIFS($D$273:$D$1772,$C$273:$C$1772,$B262))</f>
        <v/>
      </c>
      <c r="F262" s="415" t="str">
        <f aca="false">IF($B262="","",COUNTIFS($C$273:$C$1772,$B262,$E$273:$E$1772,"Occupied*"))</f>
        <v/>
      </c>
      <c r="G262" s="415" t="str">
        <f aca="false">IF($B262="","",COUNTIFS($C$273:$C$1772,$B262,$E$273:$E$1772,"Vacant*"))</f>
        <v/>
      </c>
      <c r="H262" s="417" t="str">
        <f aca="false">IF($B262="","",IFERROR(G262/C262,0))</f>
        <v/>
      </c>
      <c r="I262" s="418" t="str">
        <f aca="false">IF($B262="","",IFERROR(AVERAGEIFS($N$273:$N$1772,$C$273:$C$1772,$B262,$E$273:$E$1772,"Occupied*"),0))</f>
        <v/>
      </c>
      <c r="J262" s="418" t="str">
        <f aca="false">IF($B262="","",IFERROR(AVERAGEIFS($L$273:$L$1772,$C$273:$C$1772,$B262,$L$273:$L$1772,"&gt;0"),0))</f>
        <v/>
      </c>
      <c r="K262" s="418" t="str">
        <f aca="false">IF($B262="","",J262-I262)</f>
        <v/>
      </c>
      <c r="L262" s="419" t="str">
        <f aca="false">IF($B262="","",IFERROR(I262/D262,0))</f>
        <v/>
      </c>
      <c r="M262" s="419" t="str">
        <f aca="false">IF($B262="","",IFERROR(J262/D262,0))</f>
        <v/>
      </c>
      <c r="N262" s="420" t="str">
        <f aca="false">IF($B262="","",IFERROR('Rental Comps'!I16,0))</f>
        <v/>
      </c>
      <c r="O262" s="418" t="str">
        <f aca="false">IF($B262="","",K262*F262*12)</f>
        <v/>
      </c>
      <c r="P262" s="417" t="str">
        <f aca="false">IF($B262="","",IFERROR(K262/J262,0))</f>
        <v/>
      </c>
      <c r="Q262" s="415" t="str">
        <f aca="true">IF($B262="","",SUMPRODUCT(($C$273:$C$1772=$B262)*($E$273:$E$1772="Occupied No Notice")*($J$273:$J$1772&gt;=TODAY())*($J$273:$J$1772&lt;EDATE(TODAY(),12))))</f>
        <v/>
      </c>
      <c r="R262" s="418" t="str">
        <f aca="false">IF($B262="","",K262*Q262*12)</f>
        <v/>
      </c>
      <c r="S262" s="410" t="str">
        <f aca="false">IF($B262="","",IFERROR(_xlfn.AGGREGATE(15,6,$N$273:$N$1772/(($C$273:$C$1772=$B262)*(ISNUMBER(SEARCH("Occupied",$E$273:$E$1772)))),1),0))</f>
        <v/>
      </c>
      <c r="T262" s="410" t="str">
        <f aca="false">IF($B262="","",IFERROR(_xlfn.AGGREGATE(14,6,$N$273:$N$1772/(($C$273:$C$1772=$B262)*(ISNUMBER(SEARCH("Occupied",$E$273:$E$1772)))),1),0))</f>
        <v/>
      </c>
      <c r="U262" s="410" t="str">
        <f aca="false">IF($B262="","",IFERROR(AVERAGEIFS($N$273:$N$1772,$C$273:$C$1772,$B262,$E$273:$E$1772,"Occupied*",$N$273:$N$1772,"&gt;="&amp;X262),0))</f>
        <v/>
      </c>
      <c r="V262" s="410" t="str">
        <f aca="false">IF($B262="","",U262-I262)</f>
        <v/>
      </c>
      <c r="W262" s="410" t="str">
        <f aca="false">IF($B262="","",V262*F262*12)</f>
        <v/>
      </c>
      <c r="X262" s="410" t="str">
        <f aca="false">IF($B262="","",IFERROR(_xlfn.AGGREGATE(14,6,$N$273:$N$1772/(($C$273:$C$1772=$B262)*(ISNUMBER(SEARCH("Occupied",$E$273:$E$1772)))),MAX(1,ROUNDUP(F262*$T$250/100,0))),0))</f>
        <v/>
      </c>
    </row>
    <row r="263" customFormat="false" ht="15.75" hidden="false" customHeight="true" outlineLevel="1" collapsed="false">
      <c r="A263" s="421"/>
      <c r="B263" s="422" t="s">
        <v>1415</v>
      </c>
      <c r="C263" s="423" t="n">
        <f aca="false">SUM(C253:C262)</f>
        <v>0</v>
      </c>
      <c r="D263" s="423" t="n">
        <f aca="false">IFERROR(SUMPRODUCT(D253:D262,C253:C262)/C263,0)</f>
        <v>0</v>
      </c>
      <c r="E263" s="424" t="n">
        <f aca="false">SUM(E253:E262)</f>
        <v>0</v>
      </c>
      <c r="F263" s="423" t="n">
        <f aca="false">SUM(F253:F262)</f>
        <v>0</v>
      </c>
      <c r="G263" s="423" t="n">
        <f aca="false">SUM(G253:G262)</f>
        <v>0</v>
      </c>
      <c r="H263" s="425" t="n">
        <f aca="false">IFERROR(G263/C263,0)</f>
        <v>0</v>
      </c>
      <c r="I263" s="426" t="n">
        <f aca="false">IFERROR(SUMPRODUCT(I253:I262,F253:F262)/F263,0)</f>
        <v>0</v>
      </c>
      <c r="J263" s="426" t="n">
        <f aca="false">IFERROR(SUMPRODUCT(J253:J262,C253:C262)/C263,0)</f>
        <v>0</v>
      </c>
      <c r="K263" s="426" t="n">
        <f aca="false">J263-I263</f>
        <v>0</v>
      </c>
      <c r="L263" s="427" t="n">
        <f aca="false">IFERROR(I263/D263,0)</f>
        <v>0</v>
      </c>
      <c r="M263" s="427" t="n">
        <f aca="false">IFERROR(J263/D263,0)</f>
        <v>0</v>
      </c>
      <c r="N263" s="427" t="n">
        <f aca="false">IFERROR(SUMPRODUCT(N253:N262,C253:C262)/C263,0)</f>
        <v>0</v>
      </c>
      <c r="O263" s="426" t="n">
        <f aca="false">SUM(O253:O262)</f>
        <v>0</v>
      </c>
      <c r="P263" s="425" t="n">
        <f aca="false">IFERROR(K263/J263,0)</f>
        <v>0</v>
      </c>
      <c r="Q263" s="423" t="n">
        <f aca="false">SUM(Q253:Q262)</f>
        <v>0</v>
      </c>
      <c r="R263" s="426" t="n">
        <f aca="false">SUM(R253:R262)</f>
        <v>0</v>
      </c>
      <c r="S263" s="410" t="n">
        <f aca="false">IFERROR(_xlfn.AGGREGATE(15,6,$N$273:$N$1772/(ISNUMBER(SEARCH("Occupied",$E$273:$E$1772))),1),0)</f>
        <v>0</v>
      </c>
      <c r="T263" s="410" t="n">
        <f aca="false">IFERROR(_xlfn.AGGREGATE(14,6,$N$273:$N$1772/(ISNUMBER(SEARCH("Occupied",$E$273:$E$1772))),1),0)</f>
        <v>0</v>
      </c>
      <c r="U263" s="410" t="n">
        <f aca="false">IFERROR(AVERAGEIFS($N$273:$N$1772,$E$273:$E$1772,"Occupied*",$N$273:$N$1772,"&gt;="&amp;X263),0)</f>
        <v>0</v>
      </c>
      <c r="V263" s="410" t="n">
        <f aca="false">U263-I263</f>
        <v>0</v>
      </c>
      <c r="W263" s="410" t="n">
        <f aca="false">SUM(W253:W262)</f>
        <v>0</v>
      </c>
      <c r="X263" s="410" t="n">
        <f aca="false">IFERROR(_xlfn.AGGREGATE(14,6,$N$273:$N$1772/(ISNUMBER(SEARCH("Occupied",$E$273:$E$1772))),MAX(1,ROUNDUP(F263*$T$250/100,0))),0)</f>
        <v>0</v>
      </c>
    </row>
    <row r="264" customFormat="false" ht="24" hidden="false" customHeight="true" outlineLevel="1" collapsed="false">
      <c r="A264" s="428" t="s">
        <v>1416</v>
      </c>
      <c r="B264" s="428"/>
      <c r="C264" s="428"/>
      <c r="D264" s="428"/>
      <c r="E264" s="428"/>
      <c r="F264" s="428"/>
      <c r="G264" s="428"/>
      <c r="H264" s="428"/>
      <c r="I264" s="428"/>
      <c r="J264" s="428"/>
      <c r="K264" s="428"/>
      <c r="L264" s="428"/>
      <c r="M264" s="428"/>
      <c r="N264" s="428"/>
      <c r="O264" s="428"/>
      <c r="P264" s="428"/>
      <c r="Q264" s="428"/>
      <c r="R264" s="428"/>
    </row>
    <row r="265" customFormat="false" ht="15" hidden="false" customHeight="true" outlineLevel="0" collapsed="false">
      <c r="A265" s="317" t="s">
        <v>1417</v>
      </c>
      <c r="B265" s="317"/>
      <c r="C265" s="317"/>
      <c r="D265" s="317"/>
      <c r="E265" s="317"/>
      <c r="F265" s="317"/>
      <c r="G265" s="317"/>
      <c r="H265" s="317"/>
      <c r="I265" s="317"/>
      <c r="J265" s="317"/>
      <c r="K265" s="317"/>
      <c r="L265" s="317"/>
      <c r="M265" s="317"/>
      <c r="N265" s="317"/>
      <c r="O265" s="317"/>
      <c r="P265" s="317"/>
      <c r="Q265" s="317"/>
      <c r="R265" s="317"/>
      <c r="S265" s="317"/>
      <c r="T265" s="317"/>
      <c r="U265" s="317"/>
      <c r="V265" s="317"/>
    </row>
    <row r="266" customFormat="false" ht="15" hidden="false" customHeight="true" outlineLevel="0" collapsed="false"/>
    <row r="267" customFormat="false" ht="15" hidden="false" customHeight="true" outlineLevel="0" collapsed="false"/>
    <row r="268" customFormat="false" ht="15" hidden="false" customHeight="true" outlineLevel="0" collapsed="false"/>
    <row r="269" customFormat="false" ht="15" hidden="false" customHeight="true" outlineLevel="0" collapsed="false"/>
    <row r="270" customFormat="false" ht="15" hidden="false" customHeight="true" outlineLevel="0" collapsed="false">
      <c r="A270" s="107" t="s">
        <v>1418</v>
      </c>
      <c r="B270" s="107"/>
      <c r="C270" s="107"/>
      <c r="D270" s="107"/>
      <c r="E270" s="107"/>
      <c r="F270" s="107"/>
      <c r="G270" s="107"/>
      <c r="H270" s="107"/>
      <c r="I270" s="107"/>
      <c r="J270" s="107"/>
      <c r="K270" s="107"/>
      <c r="L270" s="107"/>
      <c r="M270" s="107"/>
      <c r="N270" s="107"/>
      <c r="O270" s="107"/>
      <c r="P270" s="107"/>
      <c r="Q270" s="107"/>
      <c r="R270" s="107"/>
      <c r="S270" s="107"/>
      <c r="T270" s="107"/>
      <c r="U270" s="107"/>
      <c r="V270" s="107"/>
    </row>
    <row r="271" customFormat="false" ht="15" hidden="false" customHeight="true" outlineLevel="0" collapsed="false">
      <c r="A271" s="17" t="s">
        <v>1419</v>
      </c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</row>
    <row r="272" customFormat="false" ht="15" hidden="false" customHeight="true" outlineLevel="0" collapsed="false">
      <c r="A272" s="127" t="s">
        <v>1208</v>
      </c>
      <c r="B272" s="127" t="s">
        <v>1420</v>
      </c>
      <c r="C272" s="127" t="s">
        <v>1421</v>
      </c>
      <c r="D272" s="127" t="s">
        <v>1422</v>
      </c>
      <c r="E272" s="127" t="s">
        <v>546</v>
      </c>
      <c r="F272" s="127" t="s">
        <v>1210</v>
      </c>
      <c r="G272" s="127" t="s">
        <v>712</v>
      </c>
      <c r="H272" s="127" t="s">
        <v>1423</v>
      </c>
      <c r="I272" s="127" t="s">
        <v>1424</v>
      </c>
      <c r="J272" s="127" t="s">
        <v>1425</v>
      </c>
      <c r="K272" s="127" t="s">
        <v>1426</v>
      </c>
      <c r="L272" s="127" t="s">
        <v>1427</v>
      </c>
      <c r="M272" s="127" t="s">
        <v>1428</v>
      </c>
      <c r="N272" s="127" t="s">
        <v>1429</v>
      </c>
      <c r="O272" s="127" t="s">
        <v>1212</v>
      </c>
      <c r="P272" s="127" t="s">
        <v>1213</v>
      </c>
      <c r="Q272" s="127" t="s">
        <v>1201</v>
      </c>
      <c r="R272" s="127" t="s">
        <v>1430</v>
      </c>
      <c r="S272" s="127" t="s">
        <v>1431</v>
      </c>
      <c r="T272" s="127" t="s">
        <v>1432</v>
      </c>
      <c r="U272" s="127" t="s">
        <v>1433</v>
      </c>
      <c r="V272" s="127" t="s">
        <v>55</v>
      </c>
      <c r="W272" s="127" t="s">
        <v>943</v>
      </c>
      <c r="X272" s="127" t="s">
        <v>944</v>
      </c>
      <c r="Y272" s="127" t="s">
        <v>945</v>
      </c>
      <c r="Z272" s="127" t="s">
        <v>946</v>
      </c>
      <c r="AA272" s="127" t="s">
        <v>947</v>
      </c>
      <c r="AB272" s="127" t="s">
        <v>948</v>
      </c>
      <c r="AC272" s="127" t="s">
        <v>949</v>
      </c>
      <c r="AD272" s="127" t="s">
        <v>950</v>
      </c>
      <c r="AE272" s="127" t="s">
        <v>951</v>
      </c>
      <c r="AF272" s="127" t="s">
        <v>952</v>
      </c>
      <c r="AG272" s="127" t="s">
        <v>324</v>
      </c>
      <c r="AH272" s="127" t="s">
        <v>323</v>
      </c>
      <c r="AI272" s="127" t="s">
        <v>325</v>
      </c>
      <c r="AJ272" s="127" t="s">
        <v>1434</v>
      </c>
      <c r="AK272" s="127" t="s">
        <v>336</v>
      </c>
    </row>
    <row r="273" customFormat="false" ht="15" hidden="false" customHeight="true" outlineLevel="1" collapsed="false">
      <c r="A273" s="429"/>
      <c r="B273" s="429"/>
      <c r="C273" s="429"/>
      <c r="D273" s="430"/>
      <c r="E273" s="431"/>
      <c r="F273" s="431"/>
      <c r="G273" s="429"/>
      <c r="H273" s="432"/>
      <c r="I273" s="432"/>
      <c r="J273" s="432"/>
      <c r="K273" s="328"/>
      <c r="L273" s="396"/>
      <c r="M273" s="396"/>
      <c r="N273" s="396"/>
      <c r="O273" s="396"/>
      <c r="P273" s="396"/>
      <c r="Q273" s="328"/>
      <c r="R273" s="328"/>
      <c r="S273" s="328"/>
      <c r="T273" s="328"/>
      <c r="U273" s="328"/>
      <c r="V273" s="328"/>
    </row>
    <row r="274" customFormat="false" ht="15" hidden="false" customHeight="true" outlineLevel="1" collapsed="false">
      <c r="A274" s="429"/>
      <c r="B274" s="429"/>
      <c r="C274" s="429"/>
      <c r="D274" s="430"/>
      <c r="E274" s="431"/>
      <c r="F274" s="431"/>
      <c r="G274" s="429"/>
      <c r="H274" s="432"/>
      <c r="I274" s="432"/>
      <c r="J274" s="432"/>
      <c r="K274" s="328"/>
      <c r="L274" s="396"/>
      <c r="M274" s="396"/>
      <c r="N274" s="396"/>
      <c r="O274" s="396"/>
      <c r="P274" s="396"/>
      <c r="Q274" s="328"/>
      <c r="R274" s="328"/>
      <c r="S274" s="328"/>
      <c r="T274" s="328"/>
      <c r="U274" s="328"/>
      <c r="V274" s="328"/>
    </row>
    <row r="275" customFormat="false" ht="15" hidden="false" customHeight="true" outlineLevel="1" collapsed="false">
      <c r="A275" s="429"/>
      <c r="B275" s="429"/>
      <c r="C275" s="429"/>
      <c r="D275" s="430"/>
      <c r="E275" s="431"/>
      <c r="F275" s="431"/>
      <c r="G275" s="429"/>
      <c r="H275" s="432"/>
      <c r="I275" s="432"/>
      <c r="J275" s="432"/>
      <c r="K275" s="328"/>
      <c r="L275" s="396"/>
      <c r="M275" s="396"/>
      <c r="N275" s="396"/>
      <c r="O275" s="396"/>
      <c r="P275" s="396"/>
      <c r="Q275" s="328"/>
      <c r="R275" s="328"/>
      <c r="S275" s="328"/>
      <c r="T275" s="328"/>
      <c r="U275" s="328"/>
      <c r="V275" s="328"/>
    </row>
    <row r="276" customFormat="false" ht="15" hidden="false" customHeight="true" outlineLevel="1" collapsed="false">
      <c r="A276" s="429"/>
      <c r="B276" s="429"/>
      <c r="C276" s="429"/>
      <c r="D276" s="430"/>
      <c r="E276" s="431"/>
      <c r="F276" s="431"/>
      <c r="G276" s="429"/>
      <c r="H276" s="432"/>
      <c r="I276" s="432"/>
      <c r="J276" s="432"/>
      <c r="K276" s="328"/>
      <c r="L276" s="396"/>
      <c r="M276" s="396"/>
      <c r="N276" s="396"/>
      <c r="O276" s="396"/>
      <c r="P276" s="396"/>
      <c r="Q276" s="328"/>
      <c r="R276" s="328"/>
      <c r="S276" s="328"/>
      <c r="T276" s="328"/>
      <c r="U276" s="328"/>
      <c r="V276" s="328"/>
    </row>
    <row r="277" customFormat="false" ht="15" hidden="false" customHeight="true" outlineLevel="1" collapsed="false">
      <c r="A277" s="429"/>
      <c r="B277" s="429"/>
      <c r="C277" s="429"/>
      <c r="D277" s="430"/>
      <c r="E277" s="431"/>
      <c r="F277" s="431"/>
      <c r="G277" s="429"/>
      <c r="H277" s="432"/>
      <c r="I277" s="432"/>
      <c r="J277" s="432"/>
      <c r="K277" s="328"/>
      <c r="L277" s="396"/>
      <c r="M277" s="396"/>
      <c r="N277" s="396"/>
      <c r="O277" s="396"/>
      <c r="P277" s="396"/>
      <c r="Q277" s="328"/>
      <c r="R277" s="328"/>
      <c r="S277" s="328"/>
      <c r="T277" s="328"/>
      <c r="U277" s="328"/>
      <c r="V277" s="328"/>
    </row>
    <row r="278" customFormat="false" ht="15" hidden="false" customHeight="true" outlineLevel="1" collapsed="false">
      <c r="A278" s="429"/>
      <c r="B278" s="429"/>
      <c r="C278" s="429"/>
      <c r="D278" s="430"/>
      <c r="E278" s="431"/>
      <c r="F278" s="431"/>
      <c r="G278" s="429"/>
      <c r="H278" s="432"/>
      <c r="I278" s="432"/>
      <c r="J278" s="432"/>
      <c r="K278" s="328"/>
      <c r="L278" s="396"/>
      <c r="M278" s="396"/>
      <c r="N278" s="396"/>
      <c r="O278" s="396"/>
      <c r="P278" s="396"/>
      <c r="Q278" s="328"/>
      <c r="R278" s="328"/>
      <c r="S278" s="328"/>
      <c r="T278" s="328"/>
      <c r="U278" s="328"/>
      <c r="V278" s="328"/>
    </row>
    <row r="279" customFormat="false" ht="15" hidden="false" customHeight="true" outlineLevel="1" collapsed="false">
      <c r="A279" s="429"/>
      <c r="B279" s="429"/>
      <c r="C279" s="429"/>
      <c r="D279" s="430"/>
      <c r="E279" s="431"/>
      <c r="F279" s="431"/>
      <c r="G279" s="429"/>
      <c r="H279" s="432"/>
      <c r="I279" s="432"/>
      <c r="J279" s="432"/>
      <c r="K279" s="328"/>
      <c r="L279" s="396"/>
      <c r="M279" s="396"/>
      <c r="N279" s="396"/>
      <c r="O279" s="396"/>
      <c r="P279" s="396"/>
      <c r="Q279" s="328"/>
      <c r="R279" s="328"/>
      <c r="S279" s="328"/>
      <c r="T279" s="328"/>
      <c r="U279" s="328"/>
      <c r="V279" s="328"/>
    </row>
    <row r="280" customFormat="false" ht="15" hidden="false" customHeight="true" outlineLevel="1" collapsed="false">
      <c r="A280" s="429"/>
      <c r="B280" s="429"/>
      <c r="C280" s="429"/>
      <c r="D280" s="430"/>
      <c r="E280" s="431"/>
      <c r="F280" s="431"/>
      <c r="G280" s="429"/>
      <c r="H280" s="432"/>
      <c r="I280" s="432"/>
      <c r="J280" s="432"/>
      <c r="K280" s="328"/>
      <c r="L280" s="396"/>
      <c r="M280" s="396"/>
      <c r="N280" s="396"/>
      <c r="O280" s="396"/>
      <c r="P280" s="396"/>
      <c r="Q280" s="328"/>
      <c r="R280" s="328"/>
      <c r="S280" s="328"/>
      <c r="T280" s="328"/>
      <c r="U280" s="328"/>
      <c r="V280" s="328"/>
    </row>
    <row r="281" customFormat="false" ht="15" hidden="false" customHeight="true" outlineLevel="1" collapsed="false">
      <c r="A281" s="429"/>
      <c r="B281" s="429"/>
      <c r="C281" s="429"/>
      <c r="D281" s="430"/>
      <c r="E281" s="431"/>
      <c r="F281" s="431"/>
      <c r="G281" s="429"/>
      <c r="H281" s="432"/>
      <c r="I281" s="432"/>
      <c r="J281" s="432"/>
      <c r="K281" s="328"/>
      <c r="L281" s="396"/>
      <c r="M281" s="396"/>
      <c r="N281" s="396"/>
      <c r="O281" s="396"/>
      <c r="P281" s="396"/>
      <c r="Q281" s="328"/>
      <c r="R281" s="328"/>
      <c r="S281" s="328"/>
      <c r="T281" s="328"/>
      <c r="U281" s="328"/>
      <c r="V281" s="328"/>
    </row>
    <row r="282" customFormat="false" ht="15" hidden="false" customHeight="true" outlineLevel="1" collapsed="false">
      <c r="A282" s="429"/>
      <c r="B282" s="429"/>
      <c r="C282" s="429"/>
      <c r="D282" s="430"/>
      <c r="E282" s="431"/>
      <c r="F282" s="431"/>
      <c r="G282" s="429"/>
      <c r="H282" s="432"/>
      <c r="I282" s="432"/>
      <c r="J282" s="432"/>
      <c r="K282" s="328"/>
      <c r="L282" s="396"/>
      <c r="M282" s="396"/>
      <c r="N282" s="396"/>
      <c r="O282" s="396"/>
      <c r="P282" s="396"/>
      <c r="Q282" s="328"/>
      <c r="R282" s="328"/>
      <c r="S282" s="328"/>
      <c r="T282" s="328"/>
      <c r="U282" s="328"/>
      <c r="V282" s="328"/>
    </row>
    <row r="283" customFormat="false" ht="15" hidden="false" customHeight="true" outlineLevel="1" collapsed="false">
      <c r="A283" s="429"/>
      <c r="B283" s="429"/>
      <c r="C283" s="429"/>
      <c r="D283" s="430"/>
      <c r="E283" s="431"/>
      <c r="F283" s="431"/>
      <c r="G283" s="429"/>
      <c r="H283" s="432"/>
      <c r="I283" s="432"/>
      <c r="J283" s="432"/>
      <c r="K283" s="328"/>
      <c r="L283" s="396"/>
      <c r="M283" s="396"/>
      <c r="N283" s="396"/>
      <c r="O283" s="396"/>
      <c r="P283" s="396"/>
      <c r="Q283" s="328"/>
      <c r="R283" s="328"/>
      <c r="S283" s="328"/>
      <c r="T283" s="328"/>
      <c r="U283" s="328"/>
      <c r="V283" s="328"/>
    </row>
    <row r="284" customFormat="false" ht="15" hidden="false" customHeight="true" outlineLevel="1" collapsed="false">
      <c r="A284" s="429"/>
      <c r="B284" s="429"/>
      <c r="C284" s="429"/>
      <c r="D284" s="430"/>
      <c r="E284" s="431"/>
      <c r="F284" s="431"/>
      <c r="G284" s="429"/>
      <c r="H284" s="432"/>
      <c r="I284" s="432"/>
      <c r="J284" s="432"/>
      <c r="K284" s="328"/>
      <c r="L284" s="396"/>
      <c r="M284" s="396"/>
      <c r="N284" s="396"/>
      <c r="O284" s="396"/>
      <c r="P284" s="396"/>
      <c r="Q284" s="328"/>
      <c r="R284" s="328"/>
      <c r="S284" s="328"/>
      <c r="T284" s="328"/>
      <c r="U284" s="328"/>
      <c r="V284" s="328"/>
    </row>
    <row r="285" customFormat="false" ht="15" hidden="false" customHeight="true" outlineLevel="1" collapsed="false">
      <c r="A285" s="429"/>
      <c r="B285" s="429"/>
      <c r="C285" s="429"/>
      <c r="D285" s="430"/>
      <c r="E285" s="431"/>
      <c r="F285" s="431"/>
      <c r="G285" s="429"/>
      <c r="H285" s="432"/>
      <c r="I285" s="432"/>
      <c r="J285" s="432"/>
      <c r="K285" s="328"/>
      <c r="L285" s="396"/>
      <c r="M285" s="396"/>
      <c r="N285" s="396"/>
      <c r="O285" s="396"/>
      <c r="P285" s="396"/>
      <c r="Q285" s="328"/>
      <c r="R285" s="328"/>
      <c r="S285" s="328"/>
      <c r="T285" s="328"/>
      <c r="U285" s="328"/>
      <c r="V285" s="328"/>
    </row>
    <row r="286" customFormat="false" ht="15" hidden="false" customHeight="true" outlineLevel="1" collapsed="false">
      <c r="A286" s="429"/>
      <c r="B286" s="429"/>
      <c r="C286" s="429"/>
      <c r="D286" s="430"/>
      <c r="E286" s="431"/>
      <c r="F286" s="431"/>
      <c r="G286" s="429"/>
      <c r="H286" s="432"/>
      <c r="I286" s="432"/>
      <c r="J286" s="432"/>
      <c r="K286" s="328"/>
      <c r="L286" s="396"/>
      <c r="M286" s="396"/>
      <c r="N286" s="396"/>
      <c r="O286" s="396"/>
      <c r="P286" s="396"/>
      <c r="Q286" s="328"/>
      <c r="R286" s="328"/>
      <c r="S286" s="328"/>
      <c r="T286" s="328"/>
      <c r="U286" s="328"/>
      <c r="V286" s="328"/>
    </row>
    <row r="287" customFormat="false" ht="15" hidden="false" customHeight="true" outlineLevel="1" collapsed="false">
      <c r="A287" s="429"/>
      <c r="B287" s="429"/>
      <c r="C287" s="429"/>
      <c r="D287" s="430"/>
      <c r="E287" s="431"/>
      <c r="F287" s="431"/>
      <c r="G287" s="429"/>
      <c r="H287" s="432"/>
      <c r="I287" s="432"/>
      <c r="J287" s="432"/>
      <c r="K287" s="328"/>
      <c r="L287" s="396"/>
      <c r="M287" s="396"/>
      <c r="N287" s="396"/>
      <c r="O287" s="396"/>
      <c r="P287" s="396"/>
      <c r="Q287" s="328"/>
      <c r="R287" s="328"/>
      <c r="S287" s="328"/>
      <c r="T287" s="328"/>
      <c r="U287" s="328"/>
      <c r="V287" s="328"/>
    </row>
    <row r="288" customFormat="false" ht="15" hidden="false" customHeight="true" outlineLevel="1" collapsed="false">
      <c r="A288" s="429"/>
      <c r="B288" s="429"/>
      <c r="C288" s="429"/>
      <c r="D288" s="430"/>
      <c r="E288" s="431"/>
      <c r="F288" s="431"/>
      <c r="G288" s="429"/>
      <c r="H288" s="432"/>
      <c r="I288" s="432"/>
      <c r="J288" s="432"/>
      <c r="K288" s="328"/>
      <c r="L288" s="396"/>
      <c r="M288" s="396"/>
      <c r="N288" s="396"/>
      <c r="O288" s="396"/>
      <c r="P288" s="396"/>
      <c r="Q288" s="328"/>
      <c r="R288" s="328"/>
      <c r="S288" s="328"/>
      <c r="T288" s="328"/>
      <c r="U288" s="328"/>
      <c r="V288" s="328"/>
    </row>
    <row r="289" customFormat="false" ht="15" hidden="false" customHeight="true" outlineLevel="1" collapsed="false">
      <c r="A289" s="429"/>
      <c r="B289" s="429"/>
      <c r="C289" s="429"/>
      <c r="D289" s="430"/>
      <c r="E289" s="431"/>
      <c r="F289" s="431"/>
      <c r="G289" s="429"/>
      <c r="H289" s="432"/>
      <c r="I289" s="432"/>
      <c r="J289" s="432"/>
      <c r="K289" s="328"/>
      <c r="L289" s="396"/>
      <c r="M289" s="396"/>
      <c r="N289" s="396"/>
      <c r="O289" s="396"/>
      <c r="P289" s="396"/>
      <c r="Q289" s="328"/>
      <c r="R289" s="328"/>
      <c r="S289" s="328"/>
      <c r="T289" s="328"/>
      <c r="U289" s="328"/>
      <c r="V289" s="328"/>
    </row>
    <row r="290" customFormat="false" ht="15" hidden="false" customHeight="true" outlineLevel="1" collapsed="false">
      <c r="A290" s="429"/>
      <c r="B290" s="429"/>
      <c r="C290" s="429"/>
      <c r="D290" s="430"/>
      <c r="E290" s="431"/>
      <c r="F290" s="431"/>
      <c r="G290" s="429"/>
      <c r="H290" s="432"/>
      <c r="I290" s="432"/>
      <c r="J290" s="432"/>
      <c r="K290" s="328"/>
      <c r="L290" s="396"/>
      <c r="M290" s="396"/>
      <c r="N290" s="396"/>
      <c r="O290" s="396"/>
      <c r="P290" s="396"/>
      <c r="Q290" s="328"/>
      <c r="R290" s="328"/>
      <c r="S290" s="328"/>
      <c r="T290" s="328"/>
      <c r="U290" s="328"/>
      <c r="V290" s="328"/>
    </row>
    <row r="291" customFormat="false" ht="15" hidden="false" customHeight="true" outlineLevel="1" collapsed="false">
      <c r="A291" s="429"/>
      <c r="B291" s="429"/>
      <c r="C291" s="429"/>
      <c r="D291" s="430"/>
      <c r="E291" s="431"/>
      <c r="F291" s="431"/>
      <c r="G291" s="429"/>
      <c r="H291" s="432"/>
      <c r="I291" s="432"/>
      <c r="J291" s="432"/>
      <c r="K291" s="328"/>
      <c r="L291" s="396"/>
      <c r="M291" s="396"/>
      <c r="N291" s="396"/>
      <c r="O291" s="396"/>
      <c r="P291" s="396"/>
      <c r="Q291" s="328"/>
      <c r="R291" s="328"/>
      <c r="S291" s="328"/>
      <c r="T291" s="328"/>
      <c r="U291" s="328"/>
      <c r="V291" s="328"/>
    </row>
    <row r="292" customFormat="false" ht="15" hidden="false" customHeight="true" outlineLevel="1" collapsed="false">
      <c r="A292" s="429"/>
      <c r="B292" s="429"/>
      <c r="C292" s="429"/>
      <c r="D292" s="430"/>
      <c r="E292" s="431"/>
      <c r="F292" s="431"/>
      <c r="G292" s="429"/>
      <c r="H292" s="432"/>
      <c r="I292" s="432"/>
      <c r="J292" s="432"/>
      <c r="K292" s="328"/>
      <c r="L292" s="396"/>
      <c r="M292" s="396"/>
      <c r="N292" s="396"/>
      <c r="O292" s="396"/>
      <c r="P292" s="396"/>
      <c r="Q292" s="328"/>
      <c r="R292" s="328"/>
      <c r="S292" s="328"/>
      <c r="T292" s="328"/>
      <c r="U292" s="328"/>
      <c r="V292" s="328"/>
    </row>
    <row r="293" customFormat="false" ht="15" hidden="false" customHeight="true" outlineLevel="1" collapsed="false">
      <c r="A293" s="429"/>
      <c r="B293" s="429"/>
      <c r="C293" s="429"/>
      <c r="D293" s="430"/>
      <c r="E293" s="431"/>
      <c r="F293" s="431"/>
      <c r="G293" s="429"/>
      <c r="H293" s="432"/>
      <c r="I293" s="432"/>
      <c r="J293" s="432"/>
      <c r="K293" s="328"/>
      <c r="L293" s="396"/>
      <c r="M293" s="396"/>
      <c r="N293" s="396"/>
      <c r="O293" s="396"/>
      <c r="P293" s="396"/>
      <c r="Q293" s="328"/>
      <c r="R293" s="328"/>
      <c r="S293" s="328"/>
      <c r="T293" s="328"/>
      <c r="U293" s="328"/>
      <c r="V293" s="328"/>
    </row>
    <row r="294" customFormat="false" ht="15" hidden="false" customHeight="true" outlineLevel="1" collapsed="false">
      <c r="A294" s="429"/>
      <c r="B294" s="429"/>
      <c r="C294" s="429"/>
      <c r="D294" s="430"/>
      <c r="E294" s="431"/>
      <c r="F294" s="431"/>
      <c r="G294" s="429"/>
      <c r="H294" s="432"/>
      <c r="I294" s="432"/>
      <c r="J294" s="432"/>
      <c r="K294" s="328"/>
      <c r="L294" s="396"/>
      <c r="M294" s="396"/>
      <c r="N294" s="396"/>
      <c r="O294" s="396"/>
      <c r="P294" s="396"/>
      <c r="Q294" s="328"/>
      <c r="R294" s="328"/>
      <c r="S294" s="328"/>
      <c r="T294" s="328"/>
      <c r="U294" s="328"/>
      <c r="V294" s="328"/>
    </row>
    <row r="295" customFormat="false" ht="15" hidden="false" customHeight="true" outlineLevel="1" collapsed="false">
      <c r="A295" s="429"/>
      <c r="B295" s="429"/>
      <c r="C295" s="429"/>
      <c r="D295" s="430"/>
      <c r="E295" s="431"/>
      <c r="F295" s="431"/>
      <c r="G295" s="429"/>
      <c r="H295" s="432"/>
      <c r="I295" s="432"/>
      <c r="J295" s="432"/>
      <c r="K295" s="328"/>
      <c r="L295" s="396"/>
      <c r="M295" s="396"/>
      <c r="N295" s="396"/>
      <c r="O295" s="396"/>
      <c r="P295" s="396"/>
      <c r="Q295" s="328"/>
      <c r="R295" s="328"/>
      <c r="S295" s="328"/>
      <c r="T295" s="328"/>
      <c r="U295" s="328"/>
      <c r="V295" s="328"/>
    </row>
    <row r="296" customFormat="false" ht="15" hidden="false" customHeight="true" outlineLevel="1" collapsed="false">
      <c r="A296" s="429"/>
      <c r="B296" s="429"/>
      <c r="C296" s="429"/>
      <c r="D296" s="430"/>
      <c r="E296" s="431"/>
      <c r="F296" s="431"/>
      <c r="G296" s="429"/>
      <c r="H296" s="432"/>
      <c r="I296" s="432"/>
      <c r="J296" s="432"/>
      <c r="K296" s="328"/>
      <c r="L296" s="396"/>
      <c r="M296" s="396"/>
      <c r="N296" s="396"/>
      <c r="O296" s="396"/>
      <c r="P296" s="396"/>
      <c r="Q296" s="328"/>
      <c r="R296" s="328"/>
      <c r="S296" s="328"/>
      <c r="T296" s="328"/>
      <c r="U296" s="328"/>
      <c r="V296" s="328"/>
    </row>
    <row r="297" customFormat="false" ht="15" hidden="false" customHeight="true" outlineLevel="1" collapsed="false">
      <c r="A297" s="429"/>
      <c r="B297" s="429"/>
      <c r="C297" s="429"/>
      <c r="D297" s="430"/>
      <c r="E297" s="431"/>
      <c r="F297" s="431"/>
      <c r="G297" s="429"/>
      <c r="H297" s="432"/>
      <c r="I297" s="432"/>
      <c r="J297" s="432"/>
      <c r="K297" s="328"/>
      <c r="L297" s="396"/>
      <c r="M297" s="396"/>
      <c r="N297" s="396"/>
      <c r="O297" s="396"/>
      <c r="P297" s="396"/>
      <c r="Q297" s="328"/>
      <c r="R297" s="328"/>
      <c r="S297" s="328"/>
      <c r="T297" s="328"/>
      <c r="U297" s="328"/>
      <c r="V297" s="328"/>
    </row>
    <row r="298" customFormat="false" ht="15" hidden="false" customHeight="true" outlineLevel="1" collapsed="false">
      <c r="A298" s="429"/>
      <c r="B298" s="429"/>
      <c r="C298" s="429"/>
      <c r="D298" s="430"/>
      <c r="E298" s="431"/>
      <c r="F298" s="431"/>
      <c r="G298" s="429"/>
      <c r="H298" s="432"/>
      <c r="I298" s="432"/>
      <c r="J298" s="432"/>
      <c r="K298" s="328"/>
      <c r="L298" s="396"/>
      <c r="M298" s="396"/>
      <c r="N298" s="396"/>
      <c r="O298" s="396"/>
      <c r="P298" s="396"/>
      <c r="Q298" s="328"/>
      <c r="R298" s="328"/>
      <c r="S298" s="328"/>
      <c r="T298" s="328"/>
      <c r="U298" s="328"/>
      <c r="V298" s="328"/>
    </row>
    <row r="299" customFormat="false" ht="15" hidden="false" customHeight="true" outlineLevel="1" collapsed="false">
      <c r="A299" s="429"/>
      <c r="B299" s="429"/>
      <c r="C299" s="429"/>
      <c r="D299" s="430"/>
      <c r="E299" s="431"/>
      <c r="F299" s="431"/>
      <c r="G299" s="429"/>
      <c r="H299" s="432"/>
      <c r="I299" s="432"/>
      <c r="J299" s="432"/>
      <c r="K299" s="328"/>
      <c r="L299" s="396"/>
      <c r="M299" s="396"/>
      <c r="N299" s="396"/>
      <c r="O299" s="396"/>
      <c r="P299" s="396"/>
      <c r="Q299" s="328"/>
      <c r="R299" s="328"/>
      <c r="S299" s="328"/>
      <c r="T299" s="328"/>
      <c r="U299" s="328"/>
      <c r="V299" s="328"/>
    </row>
    <row r="300" customFormat="false" ht="15" hidden="false" customHeight="true" outlineLevel="1" collapsed="false">
      <c r="A300" s="429"/>
      <c r="B300" s="429"/>
      <c r="C300" s="429"/>
      <c r="D300" s="430"/>
      <c r="E300" s="431"/>
      <c r="F300" s="431"/>
      <c r="G300" s="429"/>
      <c r="H300" s="432"/>
      <c r="I300" s="432"/>
      <c r="J300" s="432"/>
      <c r="K300" s="328"/>
      <c r="L300" s="396"/>
      <c r="M300" s="396"/>
      <c r="N300" s="396"/>
      <c r="O300" s="396"/>
      <c r="P300" s="396"/>
      <c r="Q300" s="328"/>
      <c r="R300" s="328"/>
      <c r="S300" s="328"/>
      <c r="T300" s="328"/>
      <c r="U300" s="328"/>
      <c r="V300" s="328"/>
    </row>
    <row r="301" customFormat="false" ht="15" hidden="false" customHeight="true" outlineLevel="1" collapsed="false">
      <c r="A301" s="429"/>
      <c r="B301" s="429"/>
      <c r="C301" s="429"/>
      <c r="D301" s="430"/>
      <c r="E301" s="431"/>
      <c r="F301" s="431"/>
      <c r="G301" s="429"/>
      <c r="H301" s="432"/>
      <c r="I301" s="432"/>
      <c r="J301" s="432"/>
      <c r="K301" s="328"/>
      <c r="L301" s="396"/>
      <c r="M301" s="396"/>
      <c r="N301" s="396"/>
      <c r="O301" s="396"/>
      <c r="P301" s="396"/>
      <c r="Q301" s="328"/>
      <c r="R301" s="328"/>
      <c r="S301" s="328"/>
      <c r="T301" s="328"/>
      <c r="U301" s="328"/>
      <c r="V301" s="328"/>
    </row>
    <row r="302" customFormat="false" ht="15" hidden="false" customHeight="true" outlineLevel="1" collapsed="false">
      <c r="A302" s="429"/>
      <c r="B302" s="429"/>
      <c r="C302" s="429"/>
      <c r="D302" s="430"/>
      <c r="E302" s="431"/>
      <c r="F302" s="431"/>
      <c r="G302" s="429"/>
      <c r="H302" s="432"/>
      <c r="I302" s="432"/>
      <c r="J302" s="432"/>
      <c r="K302" s="328"/>
      <c r="L302" s="396"/>
      <c r="M302" s="396"/>
      <c r="N302" s="396"/>
      <c r="O302" s="396"/>
      <c r="P302" s="396"/>
      <c r="Q302" s="328"/>
      <c r="R302" s="328"/>
      <c r="S302" s="328"/>
      <c r="T302" s="328"/>
      <c r="U302" s="328"/>
      <c r="V302" s="328"/>
    </row>
    <row r="303" customFormat="false" ht="15" hidden="false" customHeight="true" outlineLevel="1" collapsed="false">
      <c r="A303" s="429"/>
      <c r="B303" s="429"/>
      <c r="C303" s="429"/>
      <c r="D303" s="430"/>
      <c r="E303" s="431"/>
      <c r="F303" s="431"/>
      <c r="G303" s="429"/>
      <c r="H303" s="432"/>
      <c r="I303" s="432"/>
      <c r="J303" s="432"/>
      <c r="K303" s="328"/>
      <c r="L303" s="396"/>
      <c r="M303" s="396"/>
      <c r="N303" s="396"/>
      <c r="O303" s="396"/>
      <c r="P303" s="396"/>
      <c r="Q303" s="328"/>
      <c r="R303" s="328"/>
      <c r="S303" s="328"/>
      <c r="T303" s="328"/>
      <c r="U303" s="328"/>
      <c r="V303" s="328"/>
    </row>
    <row r="304" customFormat="false" ht="15" hidden="false" customHeight="true" outlineLevel="1" collapsed="false">
      <c r="A304" s="429"/>
      <c r="B304" s="429"/>
      <c r="C304" s="429"/>
      <c r="D304" s="430"/>
      <c r="E304" s="431"/>
      <c r="F304" s="431"/>
      <c r="G304" s="429"/>
      <c r="H304" s="432"/>
      <c r="I304" s="432"/>
      <c r="J304" s="432"/>
      <c r="K304" s="328"/>
      <c r="L304" s="396"/>
      <c r="M304" s="396"/>
      <c r="N304" s="396"/>
      <c r="O304" s="396"/>
      <c r="P304" s="396"/>
      <c r="Q304" s="328"/>
      <c r="R304" s="328"/>
      <c r="S304" s="328"/>
      <c r="T304" s="328"/>
      <c r="U304" s="328"/>
      <c r="V304" s="328"/>
    </row>
    <row r="305" customFormat="false" ht="15" hidden="false" customHeight="true" outlineLevel="1" collapsed="false">
      <c r="A305" s="429"/>
      <c r="B305" s="429"/>
      <c r="C305" s="429"/>
      <c r="D305" s="430"/>
      <c r="E305" s="431"/>
      <c r="F305" s="431"/>
      <c r="G305" s="429"/>
      <c r="H305" s="432"/>
      <c r="I305" s="432"/>
      <c r="J305" s="432"/>
      <c r="K305" s="328"/>
      <c r="L305" s="396"/>
      <c r="M305" s="396"/>
      <c r="N305" s="396"/>
      <c r="O305" s="396"/>
      <c r="P305" s="396"/>
      <c r="Q305" s="328"/>
      <c r="R305" s="328"/>
      <c r="S305" s="328"/>
      <c r="T305" s="328"/>
      <c r="U305" s="328"/>
      <c r="V305" s="328"/>
    </row>
    <row r="306" customFormat="false" ht="15" hidden="false" customHeight="true" outlineLevel="1" collapsed="false">
      <c r="A306" s="429"/>
      <c r="B306" s="429"/>
      <c r="C306" s="429"/>
      <c r="D306" s="430"/>
      <c r="E306" s="431"/>
      <c r="F306" s="431"/>
      <c r="G306" s="429"/>
      <c r="H306" s="432"/>
      <c r="I306" s="432"/>
      <c r="J306" s="432"/>
      <c r="K306" s="328"/>
      <c r="L306" s="396"/>
      <c r="M306" s="396"/>
      <c r="N306" s="396"/>
      <c r="O306" s="396"/>
      <c r="P306" s="396"/>
      <c r="Q306" s="328"/>
      <c r="R306" s="328"/>
      <c r="S306" s="328"/>
      <c r="T306" s="328"/>
      <c r="U306" s="328"/>
      <c r="V306" s="328"/>
    </row>
    <row r="307" customFormat="false" ht="15" hidden="false" customHeight="true" outlineLevel="1" collapsed="false">
      <c r="A307" s="429"/>
      <c r="B307" s="429"/>
      <c r="C307" s="429"/>
      <c r="D307" s="430"/>
      <c r="E307" s="431"/>
      <c r="F307" s="431"/>
      <c r="G307" s="429"/>
      <c r="H307" s="432"/>
      <c r="I307" s="432"/>
      <c r="J307" s="432"/>
      <c r="K307" s="328"/>
      <c r="L307" s="396"/>
      <c r="M307" s="396"/>
      <c r="N307" s="396"/>
      <c r="O307" s="396"/>
      <c r="P307" s="396"/>
      <c r="Q307" s="328"/>
      <c r="R307" s="328"/>
      <c r="S307" s="328"/>
      <c r="T307" s="328"/>
      <c r="U307" s="328"/>
      <c r="V307" s="328"/>
    </row>
    <row r="308" customFormat="false" ht="15" hidden="false" customHeight="true" outlineLevel="1" collapsed="false">
      <c r="A308" s="429"/>
      <c r="B308" s="429"/>
      <c r="C308" s="429"/>
      <c r="D308" s="430"/>
      <c r="E308" s="431"/>
      <c r="F308" s="431"/>
      <c r="G308" s="429"/>
      <c r="H308" s="432"/>
      <c r="I308" s="432"/>
      <c r="J308" s="432"/>
      <c r="K308" s="328"/>
      <c r="L308" s="396"/>
      <c r="M308" s="396"/>
      <c r="N308" s="396"/>
      <c r="O308" s="396"/>
      <c r="P308" s="396"/>
      <c r="Q308" s="328"/>
      <c r="R308" s="328"/>
      <c r="S308" s="328"/>
      <c r="T308" s="328"/>
      <c r="U308" s="328"/>
      <c r="V308" s="328"/>
    </row>
    <row r="309" customFormat="false" ht="15" hidden="false" customHeight="true" outlineLevel="1" collapsed="false">
      <c r="A309" s="429"/>
      <c r="B309" s="429"/>
      <c r="C309" s="429"/>
      <c r="D309" s="430"/>
      <c r="E309" s="431"/>
      <c r="F309" s="431"/>
      <c r="G309" s="429"/>
      <c r="H309" s="432"/>
      <c r="I309" s="432"/>
      <c r="J309" s="432"/>
      <c r="K309" s="328"/>
      <c r="L309" s="396"/>
      <c r="M309" s="396"/>
      <c r="N309" s="396"/>
      <c r="O309" s="396"/>
      <c r="P309" s="396"/>
      <c r="Q309" s="328"/>
      <c r="R309" s="328"/>
      <c r="S309" s="328"/>
      <c r="T309" s="328"/>
      <c r="U309" s="328"/>
      <c r="V309" s="328"/>
    </row>
    <row r="310" customFormat="false" ht="15" hidden="false" customHeight="true" outlineLevel="1" collapsed="false">
      <c r="A310" s="429"/>
      <c r="B310" s="429"/>
      <c r="C310" s="429"/>
      <c r="D310" s="430"/>
      <c r="E310" s="431"/>
      <c r="F310" s="431"/>
      <c r="G310" s="429"/>
      <c r="H310" s="432"/>
      <c r="I310" s="432"/>
      <c r="J310" s="432"/>
      <c r="K310" s="328"/>
      <c r="L310" s="396"/>
      <c r="M310" s="396"/>
      <c r="N310" s="396"/>
      <c r="O310" s="396"/>
      <c r="P310" s="396"/>
      <c r="Q310" s="328"/>
      <c r="R310" s="328"/>
      <c r="S310" s="328"/>
      <c r="T310" s="328"/>
      <c r="U310" s="328"/>
      <c r="V310" s="328"/>
    </row>
    <row r="311" customFormat="false" ht="15" hidden="false" customHeight="true" outlineLevel="1" collapsed="false">
      <c r="A311" s="429"/>
      <c r="B311" s="429"/>
      <c r="C311" s="429"/>
      <c r="D311" s="430"/>
      <c r="E311" s="431"/>
      <c r="F311" s="431"/>
      <c r="G311" s="429"/>
      <c r="H311" s="432"/>
      <c r="I311" s="432"/>
      <c r="J311" s="432"/>
      <c r="K311" s="328"/>
      <c r="L311" s="396"/>
      <c r="M311" s="396"/>
      <c r="N311" s="396"/>
      <c r="O311" s="396"/>
      <c r="P311" s="396"/>
      <c r="Q311" s="328"/>
      <c r="R311" s="328"/>
      <c r="S311" s="328"/>
      <c r="T311" s="328"/>
      <c r="U311" s="328"/>
      <c r="V311" s="328"/>
    </row>
    <row r="312" customFormat="false" ht="15" hidden="false" customHeight="true" outlineLevel="1" collapsed="false">
      <c r="A312" s="429"/>
      <c r="B312" s="429"/>
      <c r="C312" s="429"/>
      <c r="D312" s="430"/>
      <c r="E312" s="431"/>
      <c r="F312" s="431"/>
      <c r="G312" s="429"/>
      <c r="H312" s="432"/>
      <c r="I312" s="432"/>
      <c r="J312" s="432"/>
      <c r="K312" s="328"/>
      <c r="L312" s="396"/>
      <c r="M312" s="396"/>
      <c r="N312" s="396"/>
      <c r="O312" s="396"/>
      <c r="P312" s="396"/>
      <c r="Q312" s="328"/>
      <c r="R312" s="328"/>
      <c r="S312" s="328"/>
      <c r="T312" s="328"/>
      <c r="U312" s="328"/>
      <c r="V312" s="328"/>
    </row>
    <row r="313" customFormat="false" ht="15" hidden="false" customHeight="true" outlineLevel="1" collapsed="false">
      <c r="A313" s="429"/>
      <c r="B313" s="429"/>
      <c r="C313" s="429"/>
      <c r="D313" s="430"/>
      <c r="E313" s="431"/>
      <c r="F313" s="431"/>
      <c r="G313" s="429"/>
      <c r="H313" s="432"/>
      <c r="I313" s="432"/>
      <c r="J313" s="432"/>
      <c r="K313" s="328"/>
      <c r="L313" s="396"/>
      <c r="M313" s="396"/>
      <c r="N313" s="396"/>
      <c r="O313" s="396"/>
      <c r="P313" s="396"/>
      <c r="Q313" s="328"/>
      <c r="R313" s="328"/>
      <c r="S313" s="328"/>
      <c r="T313" s="328"/>
      <c r="U313" s="328"/>
      <c r="V313" s="328"/>
    </row>
    <row r="314" customFormat="false" ht="15" hidden="false" customHeight="true" outlineLevel="1" collapsed="false">
      <c r="A314" s="429"/>
      <c r="B314" s="429"/>
      <c r="C314" s="429"/>
      <c r="D314" s="430"/>
      <c r="E314" s="431"/>
      <c r="F314" s="431"/>
      <c r="G314" s="429"/>
      <c r="H314" s="432"/>
      <c r="I314" s="432"/>
      <c r="J314" s="432"/>
      <c r="K314" s="328"/>
      <c r="L314" s="396"/>
      <c r="M314" s="396"/>
      <c r="N314" s="396"/>
      <c r="O314" s="396"/>
      <c r="P314" s="396"/>
      <c r="Q314" s="328"/>
      <c r="R314" s="328"/>
      <c r="S314" s="328"/>
      <c r="T314" s="328"/>
      <c r="U314" s="328"/>
      <c r="V314" s="328"/>
    </row>
    <row r="315" customFormat="false" ht="15" hidden="false" customHeight="true" outlineLevel="1" collapsed="false">
      <c r="A315" s="429"/>
      <c r="B315" s="429"/>
      <c r="C315" s="429"/>
      <c r="D315" s="430"/>
      <c r="E315" s="431"/>
      <c r="F315" s="431"/>
      <c r="G315" s="429"/>
      <c r="H315" s="432"/>
      <c r="I315" s="432"/>
      <c r="J315" s="432"/>
      <c r="K315" s="328"/>
      <c r="L315" s="396"/>
      <c r="M315" s="396"/>
      <c r="N315" s="396"/>
      <c r="O315" s="396"/>
      <c r="P315" s="396"/>
      <c r="Q315" s="328"/>
      <c r="R315" s="328"/>
      <c r="S315" s="328"/>
      <c r="T315" s="328"/>
      <c r="U315" s="328"/>
      <c r="V315" s="328"/>
    </row>
    <row r="316" customFormat="false" ht="15" hidden="false" customHeight="true" outlineLevel="1" collapsed="false">
      <c r="A316" s="429"/>
      <c r="B316" s="429"/>
      <c r="C316" s="429"/>
      <c r="D316" s="430"/>
      <c r="E316" s="431"/>
      <c r="F316" s="431"/>
      <c r="G316" s="429"/>
      <c r="H316" s="432"/>
      <c r="I316" s="432"/>
      <c r="J316" s="432"/>
      <c r="K316" s="328"/>
      <c r="L316" s="396"/>
      <c r="M316" s="396"/>
      <c r="N316" s="396"/>
      <c r="O316" s="396"/>
      <c r="P316" s="396"/>
      <c r="Q316" s="328"/>
      <c r="R316" s="328"/>
      <c r="S316" s="328"/>
      <c r="T316" s="328"/>
      <c r="U316" s="328"/>
      <c r="V316" s="328"/>
    </row>
    <row r="317" customFormat="false" ht="15" hidden="false" customHeight="true" outlineLevel="1" collapsed="false">
      <c r="A317" s="429"/>
      <c r="B317" s="429"/>
      <c r="C317" s="429"/>
      <c r="D317" s="430"/>
      <c r="E317" s="431"/>
      <c r="F317" s="431"/>
      <c r="G317" s="429"/>
      <c r="H317" s="432"/>
      <c r="I317" s="432"/>
      <c r="J317" s="432"/>
      <c r="K317" s="328"/>
      <c r="L317" s="396"/>
      <c r="M317" s="396"/>
      <c r="N317" s="396"/>
      <c r="O317" s="396"/>
      <c r="P317" s="396"/>
      <c r="Q317" s="328"/>
      <c r="R317" s="328"/>
      <c r="S317" s="328"/>
      <c r="T317" s="328"/>
      <c r="U317" s="328"/>
      <c r="V317" s="328"/>
    </row>
    <row r="318" customFormat="false" ht="15" hidden="false" customHeight="true" outlineLevel="1" collapsed="false">
      <c r="A318" s="429"/>
      <c r="B318" s="429"/>
      <c r="C318" s="429"/>
      <c r="D318" s="430"/>
      <c r="E318" s="431"/>
      <c r="F318" s="431"/>
      <c r="G318" s="429"/>
      <c r="H318" s="432"/>
      <c r="I318" s="432"/>
      <c r="J318" s="432"/>
      <c r="K318" s="328"/>
      <c r="L318" s="396"/>
      <c r="M318" s="396"/>
      <c r="N318" s="396"/>
      <c r="O318" s="396"/>
      <c r="P318" s="396"/>
      <c r="Q318" s="328"/>
      <c r="R318" s="328"/>
      <c r="S318" s="328"/>
      <c r="T318" s="328"/>
      <c r="U318" s="328"/>
      <c r="V318" s="328"/>
    </row>
    <row r="319" customFormat="false" ht="15" hidden="false" customHeight="true" outlineLevel="1" collapsed="false">
      <c r="A319" s="429"/>
      <c r="B319" s="429"/>
      <c r="C319" s="429"/>
      <c r="D319" s="430"/>
      <c r="E319" s="431"/>
      <c r="F319" s="431"/>
      <c r="G319" s="429"/>
      <c r="H319" s="432"/>
      <c r="I319" s="432"/>
      <c r="J319" s="432"/>
      <c r="K319" s="328"/>
      <c r="L319" s="396"/>
      <c r="M319" s="396"/>
      <c r="N319" s="396"/>
      <c r="O319" s="396"/>
      <c r="P319" s="396"/>
      <c r="Q319" s="328"/>
      <c r="R319" s="328"/>
      <c r="S319" s="328"/>
      <c r="T319" s="328"/>
      <c r="U319" s="328"/>
      <c r="V319" s="328"/>
    </row>
    <row r="320" customFormat="false" ht="15" hidden="false" customHeight="true" outlineLevel="1" collapsed="false">
      <c r="A320" s="429"/>
      <c r="B320" s="429"/>
      <c r="C320" s="429"/>
      <c r="D320" s="430"/>
      <c r="E320" s="431"/>
      <c r="F320" s="431"/>
      <c r="G320" s="429"/>
      <c r="H320" s="432"/>
      <c r="I320" s="432"/>
      <c r="J320" s="432"/>
      <c r="K320" s="328"/>
      <c r="L320" s="396"/>
      <c r="M320" s="396"/>
      <c r="N320" s="396"/>
      <c r="O320" s="396"/>
      <c r="P320" s="396"/>
      <c r="Q320" s="328"/>
      <c r="R320" s="328"/>
      <c r="S320" s="328"/>
      <c r="T320" s="328"/>
      <c r="U320" s="328"/>
      <c r="V320" s="328"/>
    </row>
    <row r="321" customFormat="false" ht="15" hidden="false" customHeight="true" outlineLevel="1" collapsed="false">
      <c r="A321" s="429"/>
      <c r="B321" s="429"/>
      <c r="C321" s="429"/>
      <c r="D321" s="430"/>
      <c r="E321" s="431"/>
      <c r="F321" s="431"/>
      <c r="G321" s="429"/>
      <c r="H321" s="432"/>
      <c r="I321" s="432"/>
      <c r="J321" s="432"/>
      <c r="K321" s="328"/>
      <c r="L321" s="396"/>
      <c r="M321" s="396"/>
      <c r="N321" s="396"/>
      <c r="O321" s="396"/>
      <c r="P321" s="396"/>
      <c r="Q321" s="328"/>
      <c r="R321" s="328"/>
      <c r="S321" s="328"/>
      <c r="T321" s="328"/>
      <c r="U321" s="328"/>
      <c r="V321" s="328"/>
    </row>
    <row r="322" customFormat="false" ht="15" hidden="false" customHeight="true" outlineLevel="1" collapsed="false">
      <c r="A322" s="429"/>
      <c r="B322" s="429"/>
      <c r="C322" s="429"/>
      <c r="D322" s="430"/>
      <c r="E322" s="431"/>
      <c r="F322" s="431"/>
      <c r="G322" s="429"/>
      <c r="H322" s="432"/>
      <c r="I322" s="432"/>
      <c r="J322" s="432"/>
      <c r="K322" s="328"/>
      <c r="L322" s="396"/>
      <c r="M322" s="396"/>
      <c r="N322" s="396"/>
      <c r="O322" s="396"/>
      <c r="P322" s="396"/>
      <c r="Q322" s="328"/>
      <c r="R322" s="328"/>
      <c r="S322" s="328"/>
      <c r="T322" s="328"/>
      <c r="U322" s="328"/>
      <c r="V322" s="328"/>
    </row>
    <row r="323" customFormat="false" ht="15" hidden="false" customHeight="true" outlineLevel="1" collapsed="false">
      <c r="A323" s="429"/>
      <c r="B323" s="429"/>
      <c r="C323" s="429"/>
      <c r="D323" s="430"/>
      <c r="E323" s="431"/>
      <c r="F323" s="431"/>
      <c r="G323" s="429"/>
      <c r="H323" s="432"/>
      <c r="I323" s="432"/>
      <c r="J323" s="432"/>
      <c r="K323" s="328"/>
      <c r="L323" s="396"/>
      <c r="M323" s="396"/>
      <c r="N323" s="396"/>
      <c r="O323" s="396"/>
      <c r="P323" s="396"/>
      <c r="Q323" s="328"/>
      <c r="R323" s="328"/>
      <c r="S323" s="328"/>
      <c r="T323" s="328"/>
      <c r="U323" s="328"/>
      <c r="V323" s="328"/>
    </row>
    <row r="324" customFormat="false" ht="15" hidden="false" customHeight="true" outlineLevel="1" collapsed="false">
      <c r="A324" s="429"/>
      <c r="B324" s="429"/>
      <c r="C324" s="429"/>
      <c r="D324" s="430"/>
      <c r="E324" s="431"/>
      <c r="F324" s="431"/>
      <c r="G324" s="429"/>
      <c r="H324" s="432"/>
      <c r="I324" s="432"/>
      <c r="J324" s="432"/>
      <c r="K324" s="328"/>
      <c r="L324" s="396"/>
      <c r="M324" s="396"/>
      <c r="N324" s="396"/>
      <c r="O324" s="396"/>
      <c r="P324" s="396"/>
      <c r="Q324" s="328"/>
      <c r="R324" s="328"/>
      <c r="S324" s="328"/>
      <c r="T324" s="328"/>
      <c r="U324" s="328"/>
      <c r="V324" s="328"/>
    </row>
    <row r="325" customFormat="false" ht="15" hidden="false" customHeight="true" outlineLevel="1" collapsed="false">
      <c r="A325" s="429"/>
      <c r="B325" s="429"/>
      <c r="C325" s="429"/>
      <c r="D325" s="430"/>
      <c r="E325" s="431"/>
      <c r="F325" s="431"/>
      <c r="G325" s="429"/>
      <c r="H325" s="432"/>
      <c r="I325" s="432"/>
      <c r="J325" s="432"/>
      <c r="K325" s="328"/>
      <c r="L325" s="396"/>
      <c r="M325" s="396"/>
      <c r="N325" s="396"/>
      <c r="O325" s="396"/>
      <c r="P325" s="396"/>
      <c r="Q325" s="328"/>
      <c r="R325" s="328"/>
      <c r="S325" s="328"/>
      <c r="T325" s="328"/>
      <c r="U325" s="328"/>
      <c r="V325" s="328"/>
    </row>
    <row r="326" customFormat="false" ht="15" hidden="false" customHeight="true" outlineLevel="1" collapsed="false">
      <c r="A326" s="429"/>
      <c r="B326" s="429"/>
      <c r="C326" s="429"/>
      <c r="D326" s="430"/>
      <c r="E326" s="431"/>
      <c r="F326" s="431"/>
      <c r="G326" s="429"/>
      <c r="H326" s="432"/>
      <c r="I326" s="432"/>
      <c r="J326" s="432"/>
      <c r="K326" s="328"/>
      <c r="L326" s="396"/>
      <c r="M326" s="396"/>
      <c r="N326" s="396"/>
      <c r="O326" s="396"/>
      <c r="P326" s="396"/>
      <c r="Q326" s="328"/>
      <c r="R326" s="328"/>
      <c r="S326" s="328"/>
      <c r="T326" s="328"/>
      <c r="U326" s="328"/>
      <c r="V326" s="328"/>
    </row>
    <row r="327" customFormat="false" ht="15" hidden="false" customHeight="true" outlineLevel="1" collapsed="false">
      <c r="A327" s="429"/>
      <c r="B327" s="429"/>
      <c r="C327" s="429"/>
      <c r="D327" s="430"/>
      <c r="E327" s="431"/>
      <c r="F327" s="431"/>
      <c r="G327" s="429"/>
      <c r="H327" s="432"/>
      <c r="I327" s="432"/>
      <c r="J327" s="432"/>
      <c r="K327" s="328"/>
      <c r="L327" s="396"/>
      <c r="M327" s="396"/>
      <c r="N327" s="396"/>
      <c r="O327" s="396"/>
      <c r="P327" s="396"/>
      <c r="Q327" s="328"/>
      <c r="R327" s="328"/>
      <c r="S327" s="328"/>
      <c r="T327" s="328"/>
      <c r="U327" s="328"/>
      <c r="V327" s="328"/>
    </row>
    <row r="328" customFormat="false" ht="15" hidden="false" customHeight="true" outlineLevel="1" collapsed="false">
      <c r="A328" s="429"/>
      <c r="B328" s="429"/>
      <c r="C328" s="429"/>
      <c r="D328" s="430"/>
      <c r="E328" s="431"/>
      <c r="F328" s="431"/>
      <c r="G328" s="429"/>
      <c r="H328" s="432"/>
      <c r="I328" s="432"/>
      <c r="J328" s="432"/>
      <c r="K328" s="328"/>
      <c r="L328" s="396"/>
      <c r="M328" s="396"/>
      <c r="N328" s="396"/>
      <c r="O328" s="396"/>
      <c r="P328" s="396"/>
      <c r="Q328" s="328"/>
      <c r="R328" s="328"/>
      <c r="S328" s="328"/>
      <c r="T328" s="328"/>
      <c r="U328" s="328"/>
      <c r="V328" s="328"/>
    </row>
    <row r="329" customFormat="false" ht="15" hidden="false" customHeight="true" outlineLevel="1" collapsed="false">
      <c r="A329" s="429"/>
      <c r="B329" s="429"/>
      <c r="C329" s="429"/>
      <c r="D329" s="430"/>
      <c r="E329" s="431"/>
      <c r="F329" s="431"/>
      <c r="G329" s="429"/>
      <c r="H329" s="432"/>
      <c r="I329" s="432"/>
      <c r="J329" s="432"/>
      <c r="K329" s="328"/>
      <c r="L329" s="396"/>
      <c r="M329" s="396"/>
      <c r="N329" s="396"/>
      <c r="O329" s="396"/>
      <c r="P329" s="396"/>
      <c r="Q329" s="328"/>
      <c r="R329" s="328"/>
      <c r="S329" s="328"/>
      <c r="T329" s="328"/>
      <c r="U329" s="328"/>
      <c r="V329" s="328"/>
    </row>
    <row r="330" customFormat="false" ht="15" hidden="false" customHeight="true" outlineLevel="1" collapsed="false">
      <c r="A330" s="429"/>
      <c r="B330" s="429"/>
      <c r="C330" s="429"/>
      <c r="D330" s="430"/>
      <c r="E330" s="431"/>
      <c r="F330" s="431"/>
      <c r="G330" s="429"/>
      <c r="H330" s="432"/>
      <c r="I330" s="432"/>
      <c r="J330" s="432"/>
      <c r="K330" s="328"/>
      <c r="L330" s="396"/>
      <c r="M330" s="396"/>
      <c r="N330" s="396"/>
      <c r="O330" s="396"/>
      <c r="P330" s="396"/>
      <c r="Q330" s="328"/>
      <c r="R330" s="328"/>
      <c r="S330" s="328"/>
      <c r="T330" s="328"/>
      <c r="U330" s="328"/>
      <c r="V330" s="328"/>
    </row>
    <row r="331" customFormat="false" ht="15" hidden="false" customHeight="true" outlineLevel="1" collapsed="false">
      <c r="A331" s="429"/>
      <c r="B331" s="429"/>
      <c r="C331" s="429"/>
      <c r="D331" s="430"/>
      <c r="E331" s="431"/>
      <c r="F331" s="431"/>
      <c r="G331" s="429"/>
      <c r="H331" s="432"/>
      <c r="I331" s="432"/>
      <c r="J331" s="432"/>
      <c r="K331" s="328"/>
      <c r="L331" s="396"/>
      <c r="M331" s="396"/>
      <c r="N331" s="396"/>
      <c r="O331" s="396"/>
      <c r="P331" s="396"/>
      <c r="Q331" s="328"/>
      <c r="R331" s="328"/>
      <c r="S331" s="328"/>
      <c r="T331" s="328"/>
      <c r="U331" s="328"/>
      <c r="V331" s="328"/>
    </row>
    <row r="332" customFormat="false" ht="15" hidden="false" customHeight="true" outlineLevel="1" collapsed="false">
      <c r="A332" s="429"/>
      <c r="B332" s="429"/>
      <c r="C332" s="429"/>
      <c r="D332" s="430"/>
      <c r="E332" s="431"/>
      <c r="F332" s="431"/>
      <c r="G332" s="429"/>
      <c r="H332" s="432"/>
      <c r="I332" s="432"/>
      <c r="J332" s="432"/>
      <c r="K332" s="328"/>
      <c r="L332" s="396"/>
      <c r="M332" s="396"/>
      <c r="N332" s="396"/>
      <c r="O332" s="396"/>
      <c r="P332" s="396"/>
      <c r="Q332" s="328"/>
      <c r="R332" s="328"/>
      <c r="S332" s="328"/>
      <c r="T332" s="328"/>
      <c r="U332" s="328"/>
      <c r="V332" s="328"/>
    </row>
    <row r="333" customFormat="false" ht="15" hidden="false" customHeight="true" outlineLevel="1" collapsed="false">
      <c r="A333" s="429"/>
      <c r="B333" s="429"/>
      <c r="C333" s="429"/>
      <c r="D333" s="430"/>
      <c r="E333" s="431"/>
      <c r="F333" s="431"/>
      <c r="G333" s="429"/>
      <c r="H333" s="432"/>
      <c r="I333" s="432"/>
      <c r="J333" s="432"/>
      <c r="K333" s="328"/>
      <c r="L333" s="396"/>
      <c r="M333" s="396"/>
      <c r="N333" s="396"/>
      <c r="O333" s="396"/>
      <c r="P333" s="396"/>
      <c r="Q333" s="328"/>
      <c r="R333" s="328"/>
      <c r="S333" s="328"/>
      <c r="T333" s="328"/>
      <c r="U333" s="328"/>
      <c r="V333" s="328"/>
    </row>
    <row r="334" customFormat="false" ht="15" hidden="false" customHeight="true" outlineLevel="1" collapsed="false">
      <c r="A334" s="429"/>
      <c r="B334" s="429"/>
      <c r="C334" s="429"/>
      <c r="D334" s="430"/>
      <c r="E334" s="431"/>
      <c r="F334" s="431"/>
      <c r="G334" s="429"/>
      <c r="H334" s="432"/>
      <c r="I334" s="432"/>
      <c r="J334" s="432"/>
      <c r="K334" s="328"/>
      <c r="L334" s="396"/>
      <c r="M334" s="396"/>
      <c r="N334" s="396"/>
      <c r="O334" s="396"/>
      <c r="P334" s="396"/>
      <c r="Q334" s="328"/>
      <c r="R334" s="328"/>
      <c r="S334" s="328"/>
      <c r="T334" s="328"/>
      <c r="U334" s="328"/>
      <c r="V334" s="328"/>
    </row>
    <row r="335" customFormat="false" ht="15" hidden="false" customHeight="true" outlineLevel="1" collapsed="false">
      <c r="A335" s="429"/>
      <c r="B335" s="429"/>
      <c r="C335" s="429"/>
      <c r="D335" s="430"/>
      <c r="E335" s="431"/>
      <c r="F335" s="431"/>
      <c r="G335" s="429"/>
      <c r="H335" s="432"/>
      <c r="I335" s="432"/>
      <c r="J335" s="432"/>
      <c r="K335" s="328"/>
      <c r="L335" s="396"/>
      <c r="M335" s="396"/>
      <c r="N335" s="396"/>
      <c r="O335" s="396"/>
      <c r="P335" s="396"/>
      <c r="Q335" s="328"/>
      <c r="R335" s="328"/>
      <c r="S335" s="328"/>
      <c r="T335" s="328"/>
      <c r="U335" s="328"/>
      <c r="V335" s="328"/>
    </row>
    <row r="336" customFormat="false" ht="15" hidden="false" customHeight="true" outlineLevel="1" collapsed="false">
      <c r="A336" s="429"/>
      <c r="B336" s="429"/>
      <c r="C336" s="429"/>
      <c r="D336" s="430"/>
      <c r="E336" s="431"/>
      <c r="F336" s="431"/>
      <c r="G336" s="429"/>
      <c r="H336" s="432"/>
      <c r="I336" s="432"/>
      <c r="J336" s="432"/>
      <c r="K336" s="328"/>
      <c r="L336" s="396"/>
      <c r="M336" s="396"/>
      <c r="N336" s="396"/>
      <c r="O336" s="396"/>
      <c r="P336" s="396"/>
      <c r="Q336" s="328"/>
      <c r="R336" s="328"/>
      <c r="S336" s="328"/>
      <c r="T336" s="328"/>
      <c r="U336" s="328"/>
      <c r="V336" s="328"/>
    </row>
    <row r="337" customFormat="false" ht="15" hidden="false" customHeight="true" outlineLevel="1" collapsed="false">
      <c r="A337" s="429"/>
      <c r="B337" s="429"/>
      <c r="C337" s="429"/>
      <c r="D337" s="430"/>
      <c r="E337" s="431"/>
      <c r="F337" s="431"/>
      <c r="G337" s="429"/>
      <c r="H337" s="432"/>
      <c r="I337" s="432"/>
      <c r="J337" s="432"/>
      <c r="K337" s="328"/>
      <c r="L337" s="396"/>
      <c r="M337" s="396"/>
      <c r="N337" s="396"/>
      <c r="O337" s="396"/>
      <c r="P337" s="396"/>
      <c r="Q337" s="328"/>
      <c r="R337" s="328"/>
      <c r="S337" s="328"/>
      <c r="T337" s="328"/>
      <c r="U337" s="328"/>
      <c r="V337" s="328"/>
    </row>
    <row r="338" customFormat="false" ht="15" hidden="false" customHeight="true" outlineLevel="1" collapsed="false">
      <c r="A338" s="429"/>
      <c r="B338" s="429"/>
      <c r="C338" s="429"/>
      <c r="D338" s="430"/>
      <c r="E338" s="431"/>
      <c r="F338" s="431"/>
      <c r="G338" s="429"/>
      <c r="H338" s="432"/>
      <c r="I338" s="432"/>
      <c r="J338" s="432"/>
      <c r="K338" s="328"/>
      <c r="L338" s="396"/>
      <c r="M338" s="396"/>
      <c r="N338" s="396"/>
      <c r="O338" s="396"/>
      <c r="P338" s="396"/>
      <c r="Q338" s="328"/>
      <c r="R338" s="328"/>
      <c r="S338" s="328"/>
      <c r="T338" s="328"/>
      <c r="U338" s="328"/>
      <c r="V338" s="328"/>
    </row>
    <row r="339" customFormat="false" ht="15" hidden="false" customHeight="true" outlineLevel="1" collapsed="false">
      <c r="A339" s="429"/>
      <c r="B339" s="429"/>
      <c r="C339" s="429"/>
      <c r="D339" s="430"/>
      <c r="E339" s="431"/>
      <c r="F339" s="431"/>
      <c r="G339" s="429"/>
      <c r="H339" s="432"/>
      <c r="I339" s="432"/>
      <c r="J339" s="432"/>
      <c r="K339" s="328"/>
      <c r="L339" s="396"/>
      <c r="M339" s="396"/>
      <c r="N339" s="396"/>
      <c r="O339" s="396"/>
      <c r="P339" s="396"/>
      <c r="Q339" s="328"/>
      <c r="R339" s="328"/>
      <c r="S339" s="328"/>
      <c r="T339" s="328"/>
      <c r="U339" s="328"/>
      <c r="V339" s="328"/>
    </row>
    <row r="340" customFormat="false" ht="15" hidden="false" customHeight="true" outlineLevel="1" collapsed="false">
      <c r="A340" s="429"/>
      <c r="B340" s="429"/>
      <c r="C340" s="429"/>
      <c r="D340" s="430"/>
      <c r="E340" s="431"/>
      <c r="F340" s="431"/>
      <c r="G340" s="429"/>
      <c r="H340" s="432"/>
      <c r="I340" s="432"/>
      <c r="J340" s="432"/>
      <c r="K340" s="328"/>
      <c r="L340" s="396"/>
      <c r="M340" s="396"/>
      <c r="N340" s="396"/>
      <c r="O340" s="396"/>
      <c r="P340" s="396"/>
      <c r="Q340" s="328"/>
      <c r="R340" s="328"/>
      <c r="S340" s="328"/>
      <c r="T340" s="328"/>
      <c r="U340" s="328"/>
      <c r="V340" s="328"/>
    </row>
    <row r="341" customFormat="false" ht="15" hidden="false" customHeight="true" outlineLevel="1" collapsed="false">
      <c r="A341" s="429"/>
      <c r="B341" s="429"/>
      <c r="C341" s="429"/>
      <c r="D341" s="430"/>
      <c r="E341" s="431"/>
      <c r="F341" s="431"/>
      <c r="G341" s="429"/>
      <c r="H341" s="432"/>
      <c r="I341" s="432"/>
      <c r="J341" s="432"/>
      <c r="K341" s="328"/>
      <c r="L341" s="396"/>
      <c r="M341" s="396"/>
      <c r="N341" s="396"/>
      <c r="O341" s="396"/>
      <c r="P341" s="396"/>
      <c r="Q341" s="328"/>
      <c r="R341" s="328"/>
      <c r="S341" s="328"/>
      <c r="T341" s="328"/>
      <c r="U341" s="328"/>
      <c r="V341" s="328"/>
    </row>
    <row r="342" customFormat="false" ht="15" hidden="false" customHeight="true" outlineLevel="1" collapsed="false">
      <c r="A342" s="429"/>
      <c r="B342" s="429"/>
      <c r="C342" s="429"/>
      <c r="D342" s="430"/>
      <c r="E342" s="431"/>
      <c r="F342" s="431"/>
      <c r="G342" s="429"/>
      <c r="H342" s="432"/>
      <c r="I342" s="432"/>
      <c r="J342" s="432"/>
      <c r="K342" s="328"/>
      <c r="L342" s="396"/>
      <c r="M342" s="396"/>
      <c r="N342" s="396"/>
      <c r="O342" s="396"/>
      <c r="P342" s="396"/>
      <c r="Q342" s="328"/>
      <c r="R342" s="328"/>
      <c r="S342" s="328"/>
      <c r="T342" s="328"/>
      <c r="U342" s="328"/>
      <c r="V342" s="328"/>
    </row>
    <row r="343" customFormat="false" ht="15" hidden="false" customHeight="true" outlineLevel="1" collapsed="false">
      <c r="A343" s="429"/>
      <c r="B343" s="429"/>
      <c r="C343" s="429"/>
      <c r="D343" s="430"/>
      <c r="E343" s="431"/>
      <c r="F343" s="431"/>
      <c r="G343" s="429"/>
      <c r="H343" s="432"/>
      <c r="I343" s="432"/>
      <c r="J343" s="432"/>
      <c r="K343" s="328"/>
      <c r="L343" s="396"/>
      <c r="M343" s="396"/>
      <c r="N343" s="396"/>
      <c r="O343" s="396"/>
      <c r="P343" s="396"/>
      <c r="Q343" s="328"/>
      <c r="R343" s="328"/>
      <c r="S343" s="328"/>
      <c r="T343" s="328"/>
      <c r="U343" s="328"/>
      <c r="V343" s="328"/>
    </row>
    <row r="344" customFormat="false" ht="15" hidden="false" customHeight="true" outlineLevel="1" collapsed="false">
      <c r="A344" s="429"/>
      <c r="B344" s="429"/>
      <c r="C344" s="429"/>
      <c r="D344" s="430"/>
      <c r="E344" s="431"/>
      <c r="F344" s="431"/>
      <c r="G344" s="429"/>
      <c r="H344" s="432"/>
      <c r="I344" s="432"/>
      <c r="J344" s="432"/>
      <c r="K344" s="328"/>
      <c r="L344" s="396"/>
      <c r="M344" s="396"/>
      <c r="N344" s="396"/>
      <c r="O344" s="396"/>
      <c r="P344" s="396"/>
      <c r="Q344" s="328"/>
      <c r="R344" s="328"/>
      <c r="S344" s="328"/>
      <c r="T344" s="328"/>
      <c r="U344" s="328"/>
      <c r="V344" s="328"/>
    </row>
    <row r="345" customFormat="false" ht="15" hidden="false" customHeight="true" outlineLevel="1" collapsed="false">
      <c r="A345" s="429"/>
      <c r="B345" s="429"/>
      <c r="C345" s="429"/>
      <c r="D345" s="430"/>
      <c r="E345" s="431"/>
      <c r="F345" s="431"/>
      <c r="G345" s="429"/>
      <c r="H345" s="432"/>
      <c r="I345" s="432"/>
      <c r="J345" s="432"/>
      <c r="K345" s="328"/>
      <c r="L345" s="396"/>
      <c r="M345" s="396"/>
      <c r="N345" s="396"/>
      <c r="O345" s="396"/>
      <c r="P345" s="396"/>
      <c r="Q345" s="328"/>
      <c r="R345" s="328"/>
      <c r="S345" s="328"/>
      <c r="T345" s="328"/>
      <c r="U345" s="328"/>
      <c r="V345" s="328"/>
    </row>
    <row r="346" customFormat="false" ht="15" hidden="false" customHeight="true" outlineLevel="1" collapsed="false">
      <c r="A346" s="429"/>
      <c r="B346" s="429"/>
      <c r="C346" s="429"/>
      <c r="D346" s="430"/>
      <c r="E346" s="431"/>
      <c r="F346" s="431"/>
      <c r="G346" s="429"/>
      <c r="H346" s="432"/>
      <c r="I346" s="432"/>
      <c r="J346" s="432"/>
      <c r="K346" s="328"/>
      <c r="L346" s="396"/>
      <c r="M346" s="396"/>
      <c r="N346" s="396"/>
      <c r="O346" s="396"/>
      <c r="P346" s="396"/>
      <c r="Q346" s="328"/>
      <c r="R346" s="328"/>
      <c r="S346" s="328"/>
      <c r="T346" s="328"/>
      <c r="U346" s="328"/>
      <c r="V346" s="328"/>
    </row>
    <row r="347" customFormat="false" ht="15" hidden="false" customHeight="true" outlineLevel="1" collapsed="false">
      <c r="A347" s="429"/>
      <c r="B347" s="429"/>
      <c r="C347" s="429"/>
      <c r="D347" s="430"/>
      <c r="E347" s="431"/>
      <c r="F347" s="431"/>
      <c r="G347" s="429"/>
      <c r="H347" s="432"/>
      <c r="I347" s="432"/>
      <c r="J347" s="432"/>
      <c r="K347" s="328"/>
      <c r="L347" s="396"/>
      <c r="M347" s="396"/>
      <c r="N347" s="396"/>
      <c r="O347" s="396"/>
      <c r="P347" s="396"/>
      <c r="Q347" s="328"/>
      <c r="R347" s="328"/>
      <c r="S347" s="328"/>
      <c r="T347" s="328"/>
      <c r="U347" s="328"/>
      <c r="V347" s="328"/>
    </row>
    <row r="348" customFormat="false" ht="15" hidden="false" customHeight="true" outlineLevel="1" collapsed="false">
      <c r="A348" s="429"/>
      <c r="B348" s="429"/>
      <c r="C348" s="429"/>
      <c r="D348" s="430"/>
      <c r="E348" s="431"/>
      <c r="F348" s="431"/>
      <c r="G348" s="429"/>
      <c r="H348" s="432"/>
      <c r="I348" s="432"/>
      <c r="J348" s="432"/>
      <c r="K348" s="328"/>
      <c r="L348" s="396"/>
      <c r="M348" s="396"/>
      <c r="N348" s="396"/>
      <c r="O348" s="396"/>
      <c r="P348" s="396"/>
      <c r="Q348" s="328"/>
      <c r="R348" s="328"/>
      <c r="S348" s="328"/>
      <c r="T348" s="328"/>
      <c r="U348" s="328"/>
      <c r="V348" s="328"/>
    </row>
    <row r="349" customFormat="false" ht="15" hidden="false" customHeight="true" outlineLevel="1" collapsed="false">
      <c r="A349" s="429"/>
      <c r="B349" s="429"/>
      <c r="C349" s="429"/>
      <c r="D349" s="430"/>
      <c r="E349" s="431"/>
      <c r="F349" s="431"/>
      <c r="G349" s="429"/>
      <c r="H349" s="432"/>
      <c r="I349" s="432"/>
      <c r="J349" s="432"/>
      <c r="K349" s="328"/>
      <c r="L349" s="396"/>
      <c r="M349" s="396"/>
      <c r="N349" s="396"/>
      <c r="O349" s="396"/>
      <c r="P349" s="396"/>
      <c r="Q349" s="328"/>
      <c r="R349" s="328"/>
      <c r="S349" s="328"/>
      <c r="T349" s="328"/>
      <c r="U349" s="328"/>
      <c r="V349" s="328"/>
    </row>
    <row r="350" customFormat="false" ht="15" hidden="false" customHeight="true" outlineLevel="1" collapsed="false">
      <c r="A350" s="429"/>
      <c r="B350" s="429"/>
      <c r="C350" s="429"/>
      <c r="D350" s="430"/>
      <c r="E350" s="431"/>
      <c r="F350" s="431"/>
      <c r="G350" s="429"/>
      <c r="H350" s="432"/>
      <c r="I350" s="432"/>
      <c r="J350" s="432"/>
      <c r="K350" s="328"/>
      <c r="L350" s="396"/>
      <c r="M350" s="396"/>
      <c r="N350" s="396"/>
      <c r="O350" s="396"/>
      <c r="P350" s="396"/>
      <c r="Q350" s="328"/>
      <c r="R350" s="328"/>
      <c r="S350" s="328"/>
      <c r="T350" s="328"/>
      <c r="U350" s="328"/>
      <c r="V350" s="328"/>
    </row>
    <row r="351" customFormat="false" ht="15" hidden="false" customHeight="true" outlineLevel="1" collapsed="false">
      <c r="A351" s="429"/>
      <c r="B351" s="429"/>
      <c r="C351" s="429"/>
      <c r="D351" s="430"/>
      <c r="E351" s="431"/>
      <c r="F351" s="431"/>
      <c r="G351" s="429"/>
      <c r="H351" s="432"/>
      <c r="I351" s="432"/>
      <c r="J351" s="432"/>
      <c r="K351" s="328"/>
      <c r="L351" s="396"/>
      <c r="M351" s="396"/>
      <c r="N351" s="396"/>
      <c r="O351" s="396"/>
      <c r="P351" s="396"/>
      <c r="Q351" s="328"/>
      <c r="R351" s="328"/>
      <c r="S351" s="328"/>
      <c r="T351" s="328"/>
      <c r="U351" s="328"/>
      <c r="V351" s="328"/>
    </row>
    <row r="352" customFormat="false" ht="15" hidden="false" customHeight="true" outlineLevel="1" collapsed="false">
      <c r="A352" s="429"/>
      <c r="B352" s="429"/>
      <c r="C352" s="429"/>
      <c r="D352" s="430"/>
      <c r="E352" s="431"/>
      <c r="F352" s="431"/>
      <c r="G352" s="429"/>
      <c r="H352" s="432"/>
      <c r="I352" s="432"/>
      <c r="J352" s="432"/>
      <c r="K352" s="328"/>
      <c r="L352" s="396"/>
      <c r="M352" s="396"/>
      <c r="N352" s="396"/>
      <c r="O352" s="396"/>
      <c r="P352" s="396"/>
      <c r="Q352" s="328"/>
      <c r="R352" s="328"/>
      <c r="S352" s="328"/>
      <c r="T352" s="328"/>
      <c r="U352" s="328"/>
      <c r="V352" s="328"/>
    </row>
    <row r="353" customFormat="false" ht="15" hidden="false" customHeight="true" outlineLevel="1" collapsed="false">
      <c r="A353" s="429"/>
      <c r="B353" s="429"/>
      <c r="C353" s="429"/>
      <c r="D353" s="430"/>
      <c r="E353" s="431"/>
      <c r="F353" s="431"/>
      <c r="G353" s="429"/>
      <c r="H353" s="432"/>
      <c r="I353" s="432"/>
      <c r="J353" s="432"/>
      <c r="K353" s="328"/>
      <c r="L353" s="396"/>
      <c r="M353" s="396"/>
      <c r="N353" s="396"/>
      <c r="O353" s="396"/>
      <c r="P353" s="396"/>
      <c r="Q353" s="328"/>
      <c r="R353" s="328"/>
      <c r="S353" s="328"/>
      <c r="T353" s="328"/>
      <c r="U353" s="328"/>
      <c r="V353" s="328"/>
    </row>
    <row r="354" customFormat="false" ht="15" hidden="false" customHeight="true" outlineLevel="1" collapsed="false">
      <c r="A354" s="429"/>
      <c r="B354" s="429"/>
      <c r="C354" s="429"/>
      <c r="D354" s="430"/>
      <c r="E354" s="431"/>
      <c r="F354" s="431"/>
      <c r="G354" s="429"/>
      <c r="H354" s="432"/>
      <c r="I354" s="432"/>
      <c r="J354" s="432"/>
      <c r="K354" s="328"/>
      <c r="L354" s="396"/>
      <c r="M354" s="396"/>
      <c r="N354" s="396"/>
      <c r="O354" s="396"/>
      <c r="P354" s="396"/>
      <c r="Q354" s="328"/>
      <c r="R354" s="328"/>
      <c r="S354" s="328"/>
      <c r="T354" s="328"/>
      <c r="U354" s="328"/>
      <c r="V354" s="328"/>
    </row>
    <row r="355" customFormat="false" ht="15" hidden="false" customHeight="true" outlineLevel="1" collapsed="false">
      <c r="A355" s="429"/>
      <c r="B355" s="429"/>
      <c r="C355" s="429"/>
      <c r="D355" s="430"/>
      <c r="E355" s="431"/>
      <c r="F355" s="431"/>
      <c r="G355" s="429"/>
      <c r="H355" s="432"/>
      <c r="I355" s="432"/>
      <c r="J355" s="432"/>
      <c r="K355" s="328"/>
      <c r="L355" s="396"/>
      <c r="M355" s="396"/>
      <c r="N355" s="396"/>
      <c r="O355" s="396"/>
      <c r="P355" s="396"/>
      <c r="Q355" s="328"/>
      <c r="R355" s="328"/>
      <c r="S355" s="328"/>
      <c r="T355" s="328"/>
      <c r="U355" s="328"/>
      <c r="V355" s="328"/>
    </row>
    <row r="356" customFormat="false" ht="15" hidden="false" customHeight="true" outlineLevel="1" collapsed="false">
      <c r="A356" s="429"/>
      <c r="B356" s="429"/>
      <c r="C356" s="429"/>
      <c r="D356" s="430"/>
      <c r="E356" s="431"/>
      <c r="F356" s="431"/>
      <c r="G356" s="429"/>
      <c r="H356" s="432"/>
      <c r="I356" s="432"/>
      <c r="J356" s="432"/>
      <c r="K356" s="328"/>
      <c r="L356" s="396"/>
      <c r="M356" s="396"/>
      <c r="N356" s="396"/>
      <c r="O356" s="396"/>
      <c r="P356" s="396"/>
      <c r="Q356" s="328"/>
      <c r="R356" s="328"/>
      <c r="S356" s="328"/>
      <c r="T356" s="328"/>
      <c r="U356" s="328"/>
      <c r="V356" s="328"/>
    </row>
    <row r="357" customFormat="false" ht="15" hidden="false" customHeight="true" outlineLevel="1" collapsed="false">
      <c r="A357" s="429"/>
      <c r="B357" s="429"/>
      <c r="C357" s="429"/>
      <c r="D357" s="430"/>
      <c r="E357" s="431"/>
      <c r="F357" s="431"/>
      <c r="G357" s="429"/>
      <c r="H357" s="432"/>
      <c r="I357" s="432"/>
      <c r="J357" s="432"/>
      <c r="K357" s="328"/>
      <c r="L357" s="396"/>
      <c r="M357" s="396"/>
      <c r="N357" s="396"/>
      <c r="O357" s="396"/>
      <c r="P357" s="396"/>
      <c r="Q357" s="328"/>
      <c r="R357" s="328"/>
      <c r="S357" s="328"/>
      <c r="T357" s="328"/>
      <c r="U357" s="328"/>
      <c r="V357" s="328"/>
    </row>
    <row r="358" customFormat="false" ht="15" hidden="false" customHeight="true" outlineLevel="1" collapsed="false">
      <c r="A358" s="429"/>
      <c r="B358" s="429"/>
      <c r="C358" s="429"/>
      <c r="D358" s="430"/>
      <c r="E358" s="431"/>
      <c r="F358" s="431"/>
      <c r="G358" s="429"/>
      <c r="H358" s="432"/>
      <c r="I358" s="432"/>
      <c r="J358" s="432"/>
      <c r="K358" s="328"/>
      <c r="L358" s="396"/>
      <c r="M358" s="396"/>
      <c r="N358" s="396"/>
      <c r="O358" s="396"/>
      <c r="P358" s="396"/>
      <c r="Q358" s="328"/>
      <c r="R358" s="328"/>
      <c r="S358" s="328"/>
      <c r="T358" s="328"/>
      <c r="U358" s="328"/>
      <c r="V358" s="328"/>
    </row>
    <row r="359" customFormat="false" ht="15" hidden="false" customHeight="true" outlineLevel="1" collapsed="false">
      <c r="A359" s="429"/>
      <c r="B359" s="429"/>
      <c r="C359" s="429"/>
      <c r="D359" s="430"/>
      <c r="E359" s="431"/>
      <c r="F359" s="431"/>
      <c r="G359" s="429"/>
      <c r="H359" s="432"/>
      <c r="I359" s="432"/>
      <c r="J359" s="432"/>
      <c r="K359" s="328"/>
      <c r="L359" s="396"/>
      <c r="M359" s="396"/>
      <c r="N359" s="396"/>
      <c r="O359" s="396"/>
      <c r="P359" s="396"/>
      <c r="Q359" s="328"/>
      <c r="R359" s="328"/>
      <c r="S359" s="328"/>
      <c r="T359" s="328"/>
      <c r="U359" s="328"/>
      <c r="V359" s="328"/>
    </row>
    <row r="360" customFormat="false" ht="15" hidden="false" customHeight="true" outlineLevel="1" collapsed="false">
      <c r="A360" s="429"/>
      <c r="B360" s="429"/>
      <c r="C360" s="429"/>
      <c r="D360" s="430"/>
      <c r="E360" s="431"/>
      <c r="F360" s="431"/>
      <c r="G360" s="429"/>
      <c r="H360" s="432"/>
      <c r="I360" s="432"/>
      <c r="J360" s="432"/>
      <c r="K360" s="328"/>
      <c r="L360" s="396"/>
      <c r="M360" s="396"/>
      <c r="N360" s="396"/>
      <c r="O360" s="396"/>
      <c r="P360" s="396"/>
      <c r="Q360" s="328"/>
      <c r="R360" s="328"/>
      <c r="S360" s="328"/>
      <c r="T360" s="328"/>
      <c r="U360" s="328"/>
      <c r="V360" s="328"/>
    </row>
    <row r="361" customFormat="false" ht="15" hidden="false" customHeight="true" outlineLevel="1" collapsed="false">
      <c r="A361" s="429"/>
      <c r="B361" s="429"/>
      <c r="C361" s="429"/>
      <c r="D361" s="430"/>
      <c r="E361" s="431"/>
      <c r="F361" s="431"/>
      <c r="G361" s="429"/>
      <c r="H361" s="432"/>
      <c r="I361" s="432"/>
      <c r="J361" s="432"/>
      <c r="K361" s="328"/>
      <c r="L361" s="396"/>
      <c r="M361" s="396"/>
      <c r="N361" s="396"/>
      <c r="O361" s="396"/>
      <c r="P361" s="396"/>
      <c r="Q361" s="328"/>
      <c r="R361" s="328"/>
      <c r="S361" s="328"/>
      <c r="T361" s="328"/>
      <c r="U361" s="328"/>
      <c r="V361" s="328"/>
    </row>
    <row r="362" customFormat="false" ht="15" hidden="false" customHeight="true" outlineLevel="1" collapsed="false">
      <c r="A362" s="429"/>
      <c r="B362" s="429"/>
      <c r="C362" s="429"/>
      <c r="D362" s="430"/>
      <c r="E362" s="431"/>
      <c r="F362" s="431"/>
      <c r="G362" s="429"/>
      <c r="H362" s="432"/>
      <c r="I362" s="432"/>
      <c r="J362" s="432"/>
      <c r="K362" s="328"/>
      <c r="L362" s="396"/>
      <c r="M362" s="396"/>
      <c r="N362" s="396"/>
      <c r="O362" s="396"/>
      <c r="P362" s="396"/>
      <c r="Q362" s="328"/>
      <c r="R362" s="328"/>
      <c r="S362" s="328"/>
      <c r="T362" s="328"/>
      <c r="U362" s="328"/>
      <c r="V362" s="328"/>
    </row>
    <row r="363" customFormat="false" ht="15" hidden="false" customHeight="true" outlineLevel="1" collapsed="false">
      <c r="A363" s="429"/>
      <c r="B363" s="429"/>
      <c r="C363" s="429"/>
      <c r="D363" s="430"/>
      <c r="E363" s="431"/>
      <c r="F363" s="431"/>
      <c r="G363" s="429"/>
      <c r="H363" s="432"/>
      <c r="I363" s="432"/>
      <c r="J363" s="432"/>
      <c r="K363" s="328"/>
      <c r="L363" s="396"/>
      <c r="M363" s="396"/>
      <c r="N363" s="396"/>
      <c r="O363" s="396"/>
      <c r="P363" s="396"/>
      <c r="Q363" s="328"/>
      <c r="R363" s="328"/>
      <c r="S363" s="328"/>
      <c r="T363" s="328"/>
      <c r="U363" s="328"/>
      <c r="V363" s="328"/>
    </row>
    <row r="364" customFormat="false" ht="15" hidden="false" customHeight="true" outlineLevel="1" collapsed="false">
      <c r="A364" s="429"/>
      <c r="B364" s="429"/>
      <c r="C364" s="429"/>
      <c r="D364" s="430"/>
      <c r="E364" s="431"/>
      <c r="F364" s="431"/>
      <c r="G364" s="429"/>
      <c r="H364" s="432"/>
      <c r="I364" s="432"/>
      <c r="J364" s="432"/>
      <c r="K364" s="328"/>
      <c r="L364" s="396"/>
      <c r="M364" s="396"/>
      <c r="N364" s="396"/>
      <c r="O364" s="396"/>
      <c r="P364" s="396"/>
      <c r="Q364" s="328"/>
      <c r="R364" s="328"/>
      <c r="S364" s="328"/>
      <c r="T364" s="328"/>
      <c r="U364" s="328"/>
      <c r="V364" s="328"/>
    </row>
    <row r="365" customFormat="false" ht="15" hidden="false" customHeight="true" outlineLevel="1" collapsed="false">
      <c r="A365" s="429"/>
      <c r="B365" s="429"/>
      <c r="C365" s="429"/>
      <c r="D365" s="430"/>
      <c r="E365" s="431"/>
      <c r="F365" s="431"/>
      <c r="G365" s="429"/>
      <c r="H365" s="432"/>
      <c r="I365" s="432"/>
      <c r="J365" s="432"/>
      <c r="K365" s="328"/>
      <c r="L365" s="396"/>
      <c r="M365" s="396"/>
      <c r="N365" s="396"/>
      <c r="O365" s="396"/>
      <c r="P365" s="396"/>
      <c r="Q365" s="328"/>
      <c r="R365" s="328"/>
      <c r="S365" s="328"/>
      <c r="T365" s="328"/>
      <c r="U365" s="328"/>
      <c r="V365" s="328"/>
    </row>
    <row r="366" customFormat="false" ht="15" hidden="false" customHeight="true" outlineLevel="1" collapsed="false">
      <c r="A366" s="429"/>
      <c r="B366" s="429"/>
      <c r="C366" s="429"/>
      <c r="D366" s="430"/>
      <c r="E366" s="431"/>
      <c r="F366" s="431"/>
      <c r="G366" s="429"/>
      <c r="H366" s="432"/>
      <c r="I366" s="432"/>
      <c r="J366" s="432"/>
      <c r="K366" s="328"/>
      <c r="L366" s="396"/>
      <c r="M366" s="396"/>
      <c r="N366" s="396"/>
      <c r="O366" s="396"/>
      <c r="P366" s="396"/>
      <c r="Q366" s="328"/>
      <c r="R366" s="328"/>
      <c r="S366" s="328"/>
      <c r="T366" s="328"/>
      <c r="U366" s="328"/>
      <c r="V366" s="328"/>
    </row>
    <row r="367" customFormat="false" ht="15" hidden="false" customHeight="true" outlineLevel="1" collapsed="false">
      <c r="A367" s="429"/>
      <c r="B367" s="429"/>
      <c r="C367" s="429"/>
      <c r="D367" s="430"/>
      <c r="E367" s="431"/>
      <c r="F367" s="431"/>
      <c r="G367" s="429"/>
      <c r="H367" s="432"/>
      <c r="I367" s="432"/>
      <c r="J367" s="432"/>
      <c r="K367" s="328"/>
      <c r="L367" s="396"/>
      <c r="M367" s="396"/>
      <c r="N367" s="396"/>
      <c r="O367" s="396"/>
      <c r="P367" s="396"/>
      <c r="Q367" s="328"/>
      <c r="R367" s="328"/>
      <c r="S367" s="328"/>
      <c r="T367" s="328"/>
      <c r="U367" s="328"/>
      <c r="V367" s="328"/>
    </row>
    <row r="368" customFormat="false" ht="15" hidden="false" customHeight="true" outlineLevel="1" collapsed="false">
      <c r="A368" s="429"/>
      <c r="B368" s="429"/>
      <c r="C368" s="429"/>
      <c r="D368" s="430"/>
      <c r="E368" s="431"/>
      <c r="F368" s="431"/>
      <c r="G368" s="429"/>
      <c r="H368" s="432"/>
      <c r="I368" s="432"/>
      <c r="J368" s="432"/>
      <c r="K368" s="328"/>
      <c r="L368" s="396"/>
      <c r="M368" s="396"/>
      <c r="N368" s="396"/>
      <c r="O368" s="396"/>
      <c r="P368" s="396"/>
      <c r="Q368" s="328"/>
      <c r="R368" s="328"/>
      <c r="S368" s="328"/>
      <c r="T368" s="328"/>
      <c r="U368" s="328"/>
      <c r="V368" s="328"/>
    </row>
    <row r="369" customFormat="false" ht="15" hidden="false" customHeight="true" outlineLevel="1" collapsed="false">
      <c r="A369" s="429"/>
      <c r="B369" s="429"/>
      <c r="C369" s="429"/>
      <c r="D369" s="430"/>
      <c r="E369" s="431"/>
      <c r="F369" s="431"/>
      <c r="G369" s="429"/>
      <c r="H369" s="432"/>
      <c r="I369" s="432"/>
      <c r="J369" s="432"/>
      <c r="K369" s="328"/>
      <c r="L369" s="396"/>
      <c r="M369" s="396"/>
      <c r="N369" s="396"/>
      <c r="O369" s="396"/>
      <c r="P369" s="396"/>
      <c r="Q369" s="328"/>
      <c r="R369" s="328"/>
      <c r="S369" s="328"/>
      <c r="T369" s="328"/>
      <c r="U369" s="328"/>
      <c r="V369" s="328"/>
    </row>
    <row r="370" customFormat="false" ht="15" hidden="false" customHeight="true" outlineLevel="1" collapsed="false">
      <c r="A370" s="429"/>
      <c r="B370" s="429"/>
      <c r="C370" s="429"/>
      <c r="D370" s="430"/>
      <c r="E370" s="431"/>
      <c r="F370" s="431"/>
      <c r="G370" s="429"/>
      <c r="H370" s="432"/>
      <c r="I370" s="432"/>
      <c r="J370" s="432"/>
      <c r="K370" s="328"/>
      <c r="L370" s="396"/>
      <c r="M370" s="396"/>
      <c r="N370" s="396"/>
      <c r="O370" s="396"/>
      <c r="P370" s="396"/>
      <c r="Q370" s="328"/>
      <c r="R370" s="328"/>
      <c r="S370" s="328"/>
      <c r="T370" s="328"/>
      <c r="U370" s="328"/>
      <c r="V370" s="328"/>
    </row>
    <row r="371" customFormat="false" ht="15" hidden="false" customHeight="true" outlineLevel="1" collapsed="false">
      <c r="A371" s="429"/>
      <c r="B371" s="429"/>
      <c r="C371" s="429"/>
      <c r="D371" s="430"/>
      <c r="E371" s="431"/>
      <c r="F371" s="431"/>
      <c r="G371" s="429"/>
      <c r="H371" s="432"/>
      <c r="I371" s="432"/>
      <c r="J371" s="432"/>
      <c r="K371" s="328"/>
      <c r="L371" s="396"/>
      <c r="M371" s="396"/>
      <c r="N371" s="396"/>
      <c r="O371" s="396"/>
      <c r="P371" s="396"/>
      <c r="Q371" s="328"/>
      <c r="R371" s="328"/>
      <c r="S371" s="328"/>
      <c r="T371" s="328"/>
      <c r="U371" s="328"/>
      <c r="V371" s="328"/>
    </row>
    <row r="372" customFormat="false" ht="15" hidden="false" customHeight="true" outlineLevel="1" collapsed="false">
      <c r="A372" s="429"/>
      <c r="B372" s="429"/>
      <c r="C372" s="429"/>
      <c r="D372" s="430"/>
      <c r="E372" s="431"/>
      <c r="F372" s="431"/>
      <c r="G372" s="429"/>
      <c r="H372" s="432"/>
      <c r="I372" s="432"/>
      <c r="J372" s="432"/>
      <c r="K372" s="328"/>
      <c r="L372" s="396"/>
      <c r="M372" s="396"/>
      <c r="N372" s="396"/>
      <c r="O372" s="396"/>
      <c r="P372" s="396"/>
      <c r="Q372" s="328"/>
      <c r="R372" s="328"/>
      <c r="S372" s="328"/>
      <c r="T372" s="328"/>
      <c r="U372" s="328"/>
      <c r="V372" s="328"/>
    </row>
    <row r="373" customFormat="false" ht="15" hidden="false" customHeight="true" outlineLevel="1" collapsed="false">
      <c r="A373" s="429"/>
      <c r="B373" s="429"/>
      <c r="C373" s="429"/>
      <c r="D373" s="430"/>
      <c r="E373" s="431"/>
      <c r="F373" s="431"/>
      <c r="G373" s="429"/>
      <c r="H373" s="432"/>
      <c r="I373" s="432"/>
      <c r="J373" s="432"/>
      <c r="K373" s="328"/>
      <c r="L373" s="396"/>
      <c r="M373" s="396"/>
      <c r="N373" s="396"/>
      <c r="O373" s="396"/>
      <c r="P373" s="396"/>
      <c r="Q373" s="328"/>
      <c r="R373" s="328"/>
      <c r="S373" s="328"/>
      <c r="T373" s="328"/>
      <c r="U373" s="328"/>
      <c r="V373" s="328"/>
    </row>
    <row r="374" customFormat="false" ht="15" hidden="false" customHeight="true" outlineLevel="1" collapsed="false">
      <c r="A374" s="429"/>
      <c r="B374" s="429"/>
      <c r="C374" s="429"/>
      <c r="D374" s="430"/>
      <c r="E374" s="431"/>
      <c r="F374" s="431"/>
      <c r="G374" s="429"/>
      <c r="H374" s="432"/>
      <c r="I374" s="432"/>
      <c r="J374" s="432"/>
      <c r="K374" s="328"/>
      <c r="L374" s="396"/>
      <c r="M374" s="396"/>
      <c r="N374" s="396"/>
      <c r="O374" s="396"/>
      <c r="P374" s="396"/>
      <c r="Q374" s="328"/>
      <c r="R374" s="328"/>
      <c r="S374" s="328"/>
      <c r="T374" s="328"/>
      <c r="U374" s="328"/>
      <c r="V374" s="328"/>
    </row>
    <row r="375" customFormat="false" ht="15" hidden="false" customHeight="true" outlineLevel="1" collapsed="false">
      <c r="A375" s="429"/>
      <c r="B375" s="429"/>
      <c r="C375" s="429"/>
      <c r="D375" s="430"/>
      <c r="E375" s="431"/>
      <c r="F375" s="431"/>
      <c r="G375" s="429"/>
      <c r="H375" s="432"/>
      <c r="I375" s="432"/>
      <c r="J375" s="432"/>
      <c r="K375" s="328"/>
      <c r="L375" s="396"/>
      <c r="M375" s="396"/>
      <c r="N375" s="396"/>
      <c r="O375" s="396"/>
      <c r="P375" s="396"/>
      <c r="Q375" s="328"/>
      <c r="R375" s="328"/>
      <c r="S375" s="328"/>
      <c r="T375" s="328"/>
      <c r="U375" s="328"/>
      <c r="V375" s="328"/>
    </row>
    <row r="376" customFormat="false" ht="15" hidden="false" customHeight="true" outlineLevel="1" collapsed="false">
      <c r="A376" s="429"/>
      <c r="B376" s="429"/>
      <c r="C376" s="429"/>
      <c r="D376" s="430"/>
      <c r="E376" s="431"/>
      <c r="F376" s="431"/>
      <c r="G376" s="429"/>
      <c r="H376" s="432"/>
      <c r="I376" s="432"/>
      <c r="J376" s="432"/>
      <c r="K376" s="328"/>
      <c r="L376" s="396"/>
      <c r="M376" s="396"/>
      <c r="N376" s="396"/>
      <c r="O376" s="396"/>
      <c r="P376" s="396"/>
      <c r="Q376" s="328"/>
      <c r="R376" s="328"/>
      <c r="S376" s="328"/>
      <c r="T376" s="328"/>
      <c r="U376" s="328"/>
      <c r="V376" s="328"/>
    </row>
    <row r="377" customFormat="false" ht="15" hidden="false" customHeight="true" outlineLevel="1" collapsed="false">
      <c r="A377" s="429"/>
      <c r="B377" s="429"/>
      <c r="C377" s="429"/>
      <c r="D377" s="430"/>
      <c r="E377" s="431"/>
      <c r="F377" s="431"/>
      <c r="G377" s="429"/>
      <c r="H377" s="432"/>
      <c r="I377" s="432"/>
      <c r="J377" s="432"/>
      <c r="K377" s="328"/>
      <c r="L377" s="396"/>
      <c r="M377" s="396"/>
      <c r="N377" s="396"/>
      <c r="O377" s="396"/>
      <c r="P377" s="396"/>
      <c r="Q377" s="328"/>
      <c r="R377" s="328"/>
      <c r="S377" s="328"/>
      <c r="T377" s="328"/>
      <c r="U377" s="328"/>
      <c r="V377" s="328"/>
    </row>
    <row r="378" customFormat="false" ht="15" hidden="false" customHeight="true" outlineLevel="1" collapsed="false">
      <c r="A378" s="429"/>
      <c r="B378" s="429"/>
      <c r="C378" s="429"/>
      <c r="D378" s="430"/>
      <c r="E378" s="431"/>
      <c r="F378" s="431"/>
      <c r="G378" s="429"/>
      <c r="H378" s="432"/>
      <c r="I378" s="432"/>
      <c r="J378" s="432"/>
      <c r="K378" s="328"/>
      <c r="L378" s="396"/>
      <c r="M378" s="396"/>
      <c r="N378" s="396"/>
      <c r="O378" s="396"/>
      <c r="P378" s="396"/>
      <c r="Q378" s="328"/>
      <c r="R378" s="328"/>
      <c r="S378" s="328"/>
      <c r="T378" s="328"/>
      <c r="U378" s="328"/>
      <c r="V378" s="328"/>
    </row>
    <row r="379" customFormat="false" ht="15" hidden="false" customHeight="true" outlineLevel="1" collapsed="false">
      <c r="A379" s="429"/>
      <c r="B379" s="429"/>
      <c r="C379" s="429"/>
      <c r="D379" s="430"/>
      <c r="E379" s="431"/>
      <c r="F379" s="431"/>
      <c r="G379" s="429"/>
      <c r="H379" s="432"/>
      <c r="I379" s="432"/>
      <c r="J379" s="432"/>
      <c r="K379" s="328"/>
      <c r="L379" s="396"/>
      <c r="M379" s="396"/>
      <c r="N379" s="396"/>
      <c r="O379" s="396"/>
      <c r="P379" s="396"/>
      <c r="Q379" s="328"/>
      <c r="R379" s="328"/>
      <c r="S379" s="328"/>
      <c r="T379" s="328"/>
      <c r="U379" s="328"/>
      <c r="V379" s="328"/>
    </row>
    <row r="380" customFormat="false" ht="15" hidden="false" customHeight="true" outlineLevel="1" collapsed="false">
      <c r="A380" s="429"/>
      <c r="B380" s="429"/>
      <c r="C380" s="429"/>
      <c r="D380" s="430"/>
      <c r="E380" s="431"/>
      <c r="F380" s="431"/>
      <c r="G380" s="429"/>
      <c r="H380" s="432"/>
      <c r="I380" s="432"/>
      <c r="J380" s="432"/>
      <c r="K380" s="328"/>
      <c r="L380" s="396"/>
      <c r="M380" s="396"/>
      <c r="N380" s="396"/>
      <c r="O380" s="396"/>
      <c r="P380" s="396"/>
      <c r="Q380" s="328"/>
      <c r="R380" s="328"/>
      <c r="S380" s="328"/>
      <c r="T380" s="328"/>
      <c r="U380" s="328"/>
      <c r="V380" s="328"/>
    </row>
    <row r="381" customFormat="false" ht="15" hidden="false" customHeight="true" outlineLevel="1" collapsed="false">
      <c r="A381" s="429"/>
      <c r="B381" s="429"/>
      <c r="C381" s="429"/>
      <c r="D381" s="430"/>
      <c r="E381" s="431"/>
      <c r="F381" s="431"/>
      <c r="G381" s="429"/>
      <c r="H381" s="432"/>
      <c r="I381" s="432"/>
      <c r="J381" s="432"/>
      <c r="K381" s="328"/>
      <c r="L381" s="396"/>
      <c r="M381" s="396"/>
      <c r="N381" s="396"/>
      <c r="O381" s="396"/>
      <c r="P381" s="396"/>
      <c r="Q381" s="328"/>
      <c r="R381" s="328"/>
      <c r="S381" s="328"/>
      <c r="T381" s="328"/>
      <c r="U381" s="328"/>
      <c r="V381" s="328"/>
    </row>
    <row r="382" customFormat="false" ht="15" hidden="false" customHeight="true" outlineLevel="1" collapsed="false">
      <c r="A382" s="429"/>
      <c r="B382" s="429"/>
      <c r="C382" s="429"/>
      <c r="D382" s="430"/>
      <c r="E382" s="431"/>
      <c r="F382" s="431"/>
      <c r="G382" s="429"/>
      <c r="H382" s="432"/>
      <c r="I382" s="432"/>
      <c r="J382" s="432"/>
      <c r="K382" s="328"/>
      <c r="L382" s="396"/>
      <c r="M382" s="396"/>
      <c r="N382" s="396"/>
      <c r="O382" s="396"/>
      <c r="P382" s="396"/>
      <c r="Q382" s="328"/>
      <c r="R382" s="328"/>
      <c r="S382" s="328"/>
      <c r="T382" s="328"/>
      <c r="U382" s="328"/>
      <c r="V382" s="328"/>
    </row>
    <row r="383" customFormat="false" ht="15" hidden="false" customHeight="true" outlineLevel="1" collapsed="false">
      <c r="A383" s="429"/>
      <c r="B383" s="429"/>
      <c r="C383" s="429"/>
      <c r="D383" s="430"/>
      <c r="E383" s="431"/>
      <c r="F383" s="431"/>
      <c r="G383" s="429"/>
      <c r="H383" s="432"/>
      <c r="I383" s="432"/>
      <c r="J383" s="432"/>
      <c r="K383" s="328"/>
      <c r="L383" s="396"/>
      <c r="M383" s="396"/>
      <c r="N383" s="396"/>
      <c r="O383" s="396"/>
      <c r="P383" s="396"/>
      <c r="Q383" s="328"/>
      <c r="R383" s="328"/>
      <c r="S383" s="328"/>
      <c r="T383" s="328"/>
      <c r="U383" s="328"/>
      <c r="V383" s="328"/>
    </row>
    <row r="384" customFormat="false" ht="15" hidden="false" customHeight="true" outlineLevel="1" collapsed="false">
      <c r="A384" s="429"/>
      <c r="B384" s="429"/>
      <c r="C384" s="429"/>
      <c r="D384" s="430"/>
      <c r="E384" s="431"/>
      <c r="F384" s="431"/>
      <c r="G384" s="429"/>
      <c r="H384" s="432"/>
      <c r="I384" s="432"/>
      <c r="J384" s="432"/>
      <c r="K384" s="328"/>
      <c r="L384" s="396"/>
      <c r="M384" s="396"/>
      <c r="N384" s="396"/>
      <c r="O384" s="396"/>
      <c r="P384" s="396"/>
      <c r="Q384" s="328"/>
      <c r="R384" s="328"/>
      <c r="S384" s="328"/>
      <c r="T384" s="328"/>
      <c r="U384" s="328"/>
      <c r="V384" s="328"/>
    </row>
    <row r="385" customFormat="false" ht="15" hidden="false" customHeight="true" outlineLevel="1" collapsed="false">
      <c r="A385" s="429"/>
      <c r="B385" s="429"/>
      <c r="C385" s="429"/>
      <c r="D385" s="430"/>
      <c r="E385" s="431"/>
      <c r="F385" s="431"/>
      <c r="G385" s="429"/>
      <c r="H385" s="432"/>
      <c r="I385" s="432"/>
      <c r="J385" s="432"/>
      <c r="K385" s="328"/>
      <c r="L385" s="396"/>
      <c r="M385" s="396"/>
      <c r="N385" s="396"/>
      <c r="O385" s="396"/>
      <c r="P385" s="396"/>
      <c r="Q385" s="328"/>
      <c r="R385" s="328"/>
      <c r="S385" s="328"/>
      <c r="T385" s="328"/>
      <c r="U385" s="328"/>
      <c r="V385" s="328"/>
    </row>
    <row r="386" customFormat="false" ht="15" hidden="false" customHeight="true" outlineLevel="1" collapsed="false">
      <c r="A386" s="429"/>
      <c r="B386" s="429"/>
      <c r="C386" s="429"/>
      <c r="D386" s="430"/>
      <c r="E386" s="431"/>
      <c r="F386" s="431"/>
      <c r="G386" s="429"/>
      <c r="H386" s="432"/>
      <c r="I386" s="432"/>
      <c r="J386" s="432"/>
      <c r="K386" s="328"/>
      <c r="L386" s="396"/>
      <c r="M386" s="396"/>
      <c r="N386" s="396"/>
      <c r="O386" s="396"/>
      <c r="P386" s="396"/>
      <c r="Q386" s="328"/>
      <c r="R386" s="328"/>
      <c r="S386" s="328"/>
      <c r="T386" s="328"/>
      <c r="U386" s="328"/>
      <c r="V386" s="328"/>
    </row>
    <row r="387" customFormat="false" ht="15" hidden="false" customHeight="true" outlineLevel="1" collapsed="false">
      <c r="A387" s="429"/>
      <c r="B387" s="429"/>
      <c r="C387" s="429"/>
      <c r="D387" s="430"/>
      <c r="E387" s="431"/>
      <c r="F387" s="431"/>
      <c r="G387" s="429"/>
      <c r="H387" s="432"/>
      <c r="I387" s="432"/>
      <c r="J387" s="432"/>
      <c r="K387" s="328"/>
      <c r="L387" s="396"/>
      <c r="M387" s="396"/>
      <c r="N387" s="396"/>
      <c r="O387" s="396"/>
      <c r="P387" s="396"/>
      <c r="Q387" s="328"/>
      <c r="R387" s="328"/>
      <c r="S387" s="328"/>
      <c r="T387" s="328"/>
      <c r="U387" s="328"/>
      <c r="V387" s="328"/>
    </row>
    <row r="388" customFormat="false" ht="15" hidden="false" customHeight="true" outlineLevel="1" collapsed="false">
      <c r="A388" s="429"/>
      <c r="B388" s="429"/>
      <c r="C388" s="429"/>
      <c r="D388" s="430"/>
      <c r="E388" s="431"/>
      <c r="F388" s="431"/>
      <c r="G388" s="429"/>
      <c r="H388" s="432"/>
      <c r="I388" s="432"/>
      <c r="J388" s="432"/>
      <c r="K388" s="328"/>
      <c r="L388" s="396"/>
      <c r="M388" s="396"/>
      <c r="N388" s="396"/>
      <c r="O388" s="396"/>
      <c r="P388" s="396"/>
      <c r="Q388" s="328"/>
      <c r="R388" s="328"/>
      <c r="S388" s="328"/>
      <c r="T388" s="328"/>
      <c r="U388" s="328"/>
      <c r="V388" s="328"/>
    </row>
    <row r="389" customFormat="false" ht="15" hidden="false" customHeight="true" outlineLevel="1" collapsed="false">
      <c r="A389" s="429"/>
      <c r="B389" s="429"/>
      <c r="C389" s="429"/>
      <c r="D389" s="430"/>
      <c r="E389" s="431"/>
      <c r="F389" s="431"/>
      <c r="G389" s="429"/>
      <c r="H389" s="432"/>
      <c r="I389" s="432"/>
      <c r="J389" s="432"/>
      <c r="K389" s="328"/>
      <c r="L389" s="396"/>
      <c r="M389" s="396"/>
      <c r="N389" s="396"/>
      <c r="O389" s="396"/>
      <c r="P389" s="396"/>
      <c r="Q389" s="328"/>
      <c r="R389" s="328"/>
      <c r="S389" s="328"/>
      <c r="T389" s="328"/>
      <c r="U389" s="328"/>
      <c r="V389" s="328"/>
    </row>
    <row r="390" customFormat="false" ht="15" hidden="false" customHeight="true" outlineLevel="1" collapsed="false">
      <c r="A390" s="429"/>
      <c r="B390" s="429"/>
      <c r="C390" s="429"/>
      <c r="D390" s="430"/>
      <c r="E390" s="431"/>
      <c r="F390" s="431"/>
      <c r="G390" s="429"/>
      <c r="H390" s="432"/>
      <c r="I390" s="432"/>
      <c r="J390" s="432"/>
      <c r="K390" s="328"/>
      <c r="L390" s="396"/>
      <c r="M390" s="396"/>
      <c r="N390" s="396"/>
      <c r="O390" s="396"/>
      <c r="P390" s="396"/>
      <c r="Q390" s="328"/>
      <c r="R390" s="328"/>
      <c r="S390" s="328"/>
      <c r="T390" s="328"/>
      <c r="U390" s="328"/>
      <c r="V390" s="328"/>
    </row>
    <row r="391" customFormat="false" ht="15" hidden="false" customHeight="true" outlineLevel="1" collapsed="false">
      <c r="A391" s="429"/>
      <c r="B391" s="429"/>
      <c r="C391" s="429"/>
      <c r="D391" s="430"/>
      <c r="E391" s="431"/>
      <c r="F391" s="431"/>
      <c r="G391" s="429"/>
      <c r="H391" s="432"/>
      <c r="I391" s="432"/>
      <c r="J391" s="432"/>
      <c r="K391" s="328"/>
      <c r="L391" s="396"/>
      <c r="M391" s="396"/>
      <c r="N391" s="396"/>
      <c r="O391" s="396"/>
      <c r="P391" s="396"/>
      <c r="Q391" s="328"/>
      <c r="R391" s="328"/>
      <c r="S391" s="328"/>
      <c r="T391" s="328"/>
      <c r="U391" s="328"/>
      <c r="V391" s="328"/>
    </row>
    <row r="392" customFormat="false" ht="15" hidden="false" customHeight="true" outlineLevel="1" collapsed="false">
      <c r="A392" s="429"/>
      <c r="B392" s="429"/>
      <c r="C392" s="429"/>
      <c r="D392" s="430"/>
      <c r="E392" s="431"/>
      <c r="F392" s="431"/>
      <c r="G392" s="429"/>
      <c r="H392" s="432"/>
      <c r="I392" s="432"/>
      <c r="J392" s="432"/>
      <c r="K392" s="328"/>
      <c r="L392" s="396"/>
      <c r="M392" s="396"/>
      <c r="N392" s="396"/>
      <c r="O392" s="396"/>
      <c r="P392" s="396"/>
      <c r="Q392" s="328"/>
      <c r="R392" s="328"/>
      <c r="S392" s="328"/>
      <c r="T392" s="328"/>
      <c r="U392" s="328"/>
      <c r="V392" s="328"/>
    </row>
    <row r="393" customFormat="false" ht="15" hidden="false" customHeight="true" outlineLevel="1" collapsed="false">
      <c r="A393" s="429"/>
      <c r="B393" s="429"/>
      <c r="C393" s="429"/>
      <c r="D393" s="430"/>
      <c r="E393" s="431"/>
      <c r="F393" s="431"/>
      <c r="G393" s="429"/>
      <c r="H393" s="432"/>
      <c r="I393" s="432"/>
      <c r="J393" s="432"/>
      <c r="K393" s="328"/>
      <c r="L393" s="396"/>
      <c r="M393" s="396"/>
      <c r="N393" s="396"/>
      <c r="O393" s="396"/>
      <c r="P393" s="396"/>
      <c r="Q393" s="328"/>
      <c r="R393" s="328"/>
      <c r="S393" s="328"/>
      <c r="T393" s="328"/>
      <c r="U393" s="328"/>
      <c r="V393" s="328"/>
    </row>
    <row r="394" customFormat="false" ht="15" hidden="false" customHeight="true" outlineLevel="1" collapsed="false">
      <c r="A394" s="429"/>
      <c r="B394" s="429"/>
      <c r="C394" s="429"/>
      <c r="D394" s="430"/>
      <c r="E394" s="431"/>
      <c r="F394" s="431"/>
      <c r="G394" s="429"/>
      <c r="H394" s="432"/>
      <c r="I394" s="432"/>
      <c r="J394" s="432"/>
      <c r="K394" s="328"/>
      <c r="L394" s="396"/>
      <c r="M394" s="396"/>
      <c r="N394" s="396"/>
      <c r="O394" s="396"/>
      <c r="P394" s="396"/>
      <c r="Q394" s="328"/>
      <c r="R394" s="328"/>
      <c r="S394" s="328"/>
      <c r="T394" s="328"/>
      <c r="U394" s="328"/>
      <c r="V394" s="328"/>
    </row>
    <row r="395" customFormat="false" ht="15" hidden="false" customHeight="true" outlineLevel="1" collapsed="false">
      <c r="A395" s="429"/>
      <c r="B395" s="429"/>
      <c r="C395" s="429"/>
      <c r="D395" s="430"/>
      <c r="E395" s="431"/>
      <c r="F395" s="431"/>
      <c r="G395" s="429"/>
      <c r="H395" s="432"/>
      <c r="I395" s="432"/>
      <c r="J395" s="432"/>
      <c r="K395" s="328"/>
      <c r="L395" s="396"/>
      <c r="M395" s="396"/>
      <c r="N395" s="396"/>
      <c r="O395" s="396"/>
      <c r="P395" s="396"/>
      <c r="Q395" s="328"/>
      <c r="R395" s="328"/>
      <c r="S395" s="328"/>
      <c r="T395" s="328"/>
      <c r="U395" s="328"/>
      <c r="V395" s="328"/>
    </row>
    <row r="396" customFormat="false" ht="15" hidden="false" customHeight="true" outlineLevel="1" collapsed="false">
      <c r="A396" s="429"/>
      <c r="B396" s="429"/>
      <c r="C396" s="429"/>
      <c r="D396" s="430"/>
      <c r="E396" s="431"/>
      <c r="F396" s="431"/>
      <c r="G396" s="429"/>
      <c r="H396" s="432"/>
      <c r="I396" s="432"/>
      <c r="J396" s="432"/>
      <c r="K396" s="328"/>
      <c r="L396" s="396"/>
      <c r="M396" s="396"/>
      <c r="N396" s="396"/>
      <c r="O396" s="396"/>
      <c r="P396" s="396"/>
      <c r="Q396" s="328"/>
      <c r="R396" s="328"/>
      <c r="S396" s="328"/>
      <c r="T396" s="328"/>
      <c r="U396" s="328"/>
      <c r="V396" s="328"/>
    </row>
    <row r="397" customFormat="false" ht="15" hidden="false" customHeight="true" outlineLevel="1" collapsed="false">
      <c r="A397" s="429"/>
      <c r="B397" s="429"/>
      <c r="C397" s="429"/>
      <c r="D397" s="430"/>
      <c r="E397" s="431"/>
      <c r="F397" s="431"/>
      <c r="G397" s="429"/>
      <c r="H397" s="432"/>
      <c r="I397" s="432"/>
      <c r="J397" s="432"/>
      <c r="K397" s="328"/>
      <c r="L397" s="396"/>
      <c r="M397" s="396"/>
      <c r="N397" s="396"/>
      <c r="O397" s="396"/>
      <c r="P397" s="396"/>
      <c r="Q397" s="328"/>
      <c r="R397" s="328"/>
      <c r="S397" s="328"/>
      <c r="T397" s="328"/>
      <c r="U397" s="328"/>
      <c r="V397" s="328"/>
    </row>
    <row r="398" customFormat="false" ht="15" hidden="false" customHeight="true" outlineLevel="1" collapsed="false">
      <c r="A398" s="429"/>
      <c r="B398" s="429"/>
      <c r="C398" s="429"/>
      <c r="D398" s="430"/>
      <c r="E398" s="431"/>
      <c r="F398" s="431"/>
      <c r="G398" s="429"/>
      <c r="H398" s="432"/>
      <c r="I398" s="432"/>
      <c r="J398" s="432"/>
      <c r="K398" s="328"/>
      <c r="L398" s="396"/>
      <c r="M398" s="396"/>
      <c r="N398" s="396"/>
      <c r="O398" s="396"/>
      <c r="P398" s="396"/>
      <c r="Q398" s="328"/>
      <c r="R398" s="328"/>
      <c r="S398" s="328"/>
      <c r="T398" s="328"/>
      <c r="U398" s="328"/>
      <c r="V398" s="328"/>
    </row>
    <row r="399" customFormat="false" ht="15" hidden="false" customHeight="true" outlineLevel="1" collapsed="false">
      <c r="A399" s="429"/>
      <c r="B399" s="429"/>
      <c r="C399" s="429"/>
      <c r="D399" s="430"/>
      <c r="E399" s="431"/>
      <c r="F399" s="431"/>
      <c r="G399" s="429"/>
      <c r="H399" s="432"/>
      <c r="I399" s="432"/>
      <c r="J399" s="432"/>
      <c r="K399" s="328"/>
      <c r="L399" s="396"/>
      <c r="M399" s="396"/>
      <c r="N399" s="396"/>
      <c r="O399" s="396"/>
      <c r="P399" s="396"/>
      <c r="Q399" s="328"/>
      <c r="R399" s="328"/>
      <c r="S399" s="328"/>
      <c r="T399" s="328"/>
      <c r="U399" s="328"/>
      <c r="V399" s="328"/>
    </row>
    <row r="400" customFormat="false" ht="15" hidden="false" customHeight="true" outlineLevel="1" collapsed="false">
      <c r="A400" s="429"/>
      <c r="B400" s="429"/>
      <c r="C400" s="429"/>
      <c r="D400" s="430"/>
      <c r="E400" s="431"/>
      <c r="F400" s="431"/>
      <c r="G400" s="429"/>
      <c r="H400" s="432"/>
      <c r="I400" s="432"/>
      <c r="J400" s="432"/>
      <c r="K400" s="328"/>
      <c r="L400" s="396"/>
      <c r="M400" s="396"/>
      <c r="N400" s="396"/>
      <c r="O400" s="396"/>
      <c r="P400" s="396"/>
      <c r="Q400" s="328"/>
      <c r="R400" s="328"/>
      <c r="S400" s="328"/>
      <c r="T400" s="328"/>
      <c r="U400" s="328"/>
      <c r="V400" s="328"/>
    </row>
    <row r="401" customFormat="false" ht="15" hidden="false" customHeight="true" outlineLevel="1" collapsed="false">
      <c r="A401" s="429"/>
      <c r="B401" s="429"/>
      <c r="C401" s="429"/>
      <c r="D401" s="430"/>
      <c r="E401" s="431"/>
      <c r="F401" s="431"/>
      <c r="G401" s="429"/>
      <c r="H401" s="432"/>
      <c r="I401" s="432"/>
      <c r="J401" s="432"/>
      <c r="K401" s="328"/>
      <c r="L401" s="396"/>
      <c r="M401" s="396"/>
      <c r="N401" s="396"/>
      <c r="O401" s="396"/>
      <c r="P401" s="396"/>
      <c r="Q401" s="328"/>
      <c r="R401" s="328"/>
      <c r="S401" s="328"/>
      <c r="T401" s="328"/>
      <c r="U401" s="328"/>
      <c r="V401" s="328"/>
    </row>
    <row r="402" customFormat="false" ht="15" hidden="false" customHeight="true" outlineLevel="1" collapsed="false">
      <c r="A402" s="429"/>
      <c r="B402" s="429"/>
      <c r="C402" s="429"/>
      <c r="D402" s="430"/>
      <c r="E402" s="431"/>
      <c r="F402" s="431"/>
      <c r="G402" s="429"/>
      <c r="H402" s="432"/>
      <c r="I402" s="432"/>
      <c r="J402" s="432"/>
      <c r="K402" s="328"/>
      <c r="L402" s="396"/>
      <c r="M402" s="396"/>
      <c r="N402" s="396"/>
      <c r="O402" s="396"/>
      <c r="P402" s="396"/>
      <c r="Q402" s="328"/>
      <c r="R402" s="328"/>
      <c r="S402" s="328"/>
      <c r="T402" s="328"/>
      <c r="U402" s="328"/>
      <c r="V402" s="328"/>
    </row>
    <row r="403" customFormat="false" ht="15" hidden="false" customHeight="true" outlineLevel="1" collapsed="false">
      <c r="A403" s="429"/>
      <c r="B403" s="429"/>
      <c r="C403" s="429"/>
      <c r="D403" s="430"/>
      <c r="E403" s="431"/>
      <c r="F403" s="431"/>
      <c r="G403" s="429"/>
      <c r="H403" s="432"/>
      <c r="I403" s="432"/>
      <c r="J403" s="432"/>
      <c r="K403" s="328"/>
      <c r="L403" s="396"/>
      <c r="M403" s="396"/>
      <c r="N403" s="396"/>
      <c r="O403" s="396"/>
      <c r="P403" s="396"/>
      <c r="Q403" s="328"/>
      <c r="R403" s="328"/>
      <c r="S403" s="328"/>
      <c r="T403" s="328"/>
      <c r="U403" s="328"/>
      <c r="V403" s="328"/>
    </row>
    <row r="404" customFormat="false" ht="15" hidden="false" customHeight="true" outlineLevel="1" collapsed="false">
      <c r="A404" s="429"/>
      <c r="B404" s="429"/>
      <c r="C404" s="429"/>
      <c r="D404" s="430"/>
      <c r="E404" s="431"/>
      <c r="F404" s="431"/>
      <c r="G404" s="429"/>
      <c r="H404" s="432"/>
      <c r="I404" s="432"/>
      <c r="J404" s="432"/>
      <c r="K404" s="328"/>
      <c r="L404" s="396"/>
      <c r="M404" s="396"/>
      <c r="N404" s="396"/>
      <c r="O404" s="396"/>
      <c r="P404" s="396"/>
      <c r="Q404" s="328"/>
      <c r="R404" s="328"/>
      <c r="S404" s="328"/>
      <c r="T404" s="328"/>
      <c r="U404" s="328"/>
      <c r="V404" s="328"/>
    </row>
    <row r="405" customFormat="false" ht="15" hidden="false" customHeight="true" outlineLevel="1" collapsed="false">
      <c r="A405" s="429"/>
      <c r="B405" s="429"/>
      <c r="C405" s="429"/>
      <c r="D405" s="430"/>
      <c r="E405" s="431"/>
      <c r="F405" s="431"/>
      <c r="G405" s="429"/>
      <c r="H405" s="432"/>
      <c r="I405" s="432"/>
      <c r="J405" s="432"/>
      <c r="K405" s="328"/>
      <c r="L405" s="396"/>
      <c r="M405" s="396"/>
      <c r="N405" s="396"/>
      <c r="O405" s="396"/>
      <c r="P405" s="396"/>
      <c r="Q405" s="328"/>
      <c r="R405" s="328"/>
      <c r="S405" s="328"/>
      <c r="T405" s="328"/>
      <c r="U405" s="328"/>
      <c r="V405" s="328"/>
    </row>
    <row r="406" customFormat="false" ht="15" hidden="false" customHeight="true" outlineLevel="1" collapsed="false">
      <c r="A406" s="429"/>
      <c r="B406" s="429"/>
      <c r="C406" s="429"/>
      <c r="D406" s="430"/>
      <c r="E406" s="431"/>
      <c r="F406" s="431"/>
      <c r="G406" s="429"/>
      <c r="H406" s="432"/>
      <c r="I406" s="432"/>
      <c r="J406" s="432"/>
      <c r="K406" s="328"/>
      <c r="L406" s="396"/>
      <c r="M406" s="396"/>
      <c r="N406" s="396"/>
      <c r="O406" s="396"/>
      <c r="P406" s="396"/>
      <c r="Q406" s="328"/>
      <c r="R406" s="328"/>
      <c r="S406" s="328"/>
      <c r="T406" s="328"/>
      <c r="U406" s="328"/>
      <c r="V406" s="328"/>
    </row>
    <row r="407" customFormat="false" ht="15" hidden="false" customHeight="true" outlineLevel="1" collapsed="false">
      <c r="A407" s="429"/>
      <c r="B407" s="429"/>
      <c r="C407" s="429"/>
      <c r="D407" s="430"/>
      <c r="E407" s="431"/>
      <c r="F407" s="431"/>
      <c r="G407" s="429"/>
      <c r="H407" s="432"/>
      <c r="I407" s="432"/>
      <c r="J407" s="432"/>
      <c r="K407" s="328"/>
      <c r="L407" s="396"/>
      <c r="M407" s="396"/>
      <c r="N407" s="396"/>
      <c r="O407" s="396"/>
      <c r="P407" s="396"/>
      <c r="Q407" s="328"/>
      <c r="R407" s="328"/>
      <c r="S407" s="328"/>
      <c r="T407" s="328"/>
      <c r="U407" s="328"/>
      <c r="V407" s="328"/>
    </row>
    <row r="408" customFormat="false" ht="15" hidden="false" customHeight="true" outlineLevel="1" collapsed="false">
      <c r="A408" s="429"/>
      <c r="B408" s="429"/>
      <c r="C408" s="429"/>
      <c r="D408" s="430"/>
      <c r="E408" s="431"/>
      <c r="F408" s="431"/>
      <c r="G408" s="429"/>
      <c r="H408" s="432"/>
      <c r="I408" s="432"/>
      <c r="J408" s="432"/>
      <c r="K408" s="328"/>
      <c r="L408" s="396"/>
      <c r="M408" s="396"/>
      <c r="N408" s="396"/>
      <c r="O408" s="396"/>
      <c r="P408" s="396"/>
      <c r="Q408" s="328"/>
      <c r="R408" s="328"/>
      <c r="S408" s="328"/>
      <c r="T408" s="328"/>
      <c r="U408" s="328"/>
      <c r="V408" s="328"/>
    </row>
    <row r="409" customFormat="false" ht="15" hidden="false" customHeight="true" outlineLevel="1" collapsed="false">
      <c r="A409" s="429"/>
      <c r="B409" s="429"/>
      <c r="C409" s="429"/>
      <c r="D409" s="430"/>
      <c r="E409" s="431"/>
      <c r="F409" s="431"/>
      <c r="G409" s="429"/>
      <c r="H409" s="432"/>
      <c r="I409" s="432"/>
      <c r="J409" s="432"/>
      <c r="K409" s="328"/>
      <c r="L409" s="396"/>
      <c r="M409" s="396"/>
      <c r="N409" s="396"/>
      <c r="O409" s="396"/>
      <c r="P409" s="396"/>
      <c r="Q409" s="328"/>
      <c r="R409" s="328"/>
      <c r="S409" s="328"/>
      <c r="T409" s="328"/>
      <c r="U409" s="328"/>
      <c r="V409" s="328"/>
    </row>
    <row r="410" customFormat="false" ht="15" hidden="false" customHeight="true" outlineLevel="1" collapsed="false">
      <c r="A410" s="429"/>
      <c r="B410" s="429"/>
      <c r="C410" s="429"/>
      <c r="D410" s="430"/>
      <c r="E410" s="431"/>
      <c r="F410" s="431"/>
      <c r="G410" s="429"/>
      <c r="H410" s="432"/>
      <c r="I410" s="432"/>
      <c r="J410" s="432"/>
      <c r="K410" s="328"/>
      <c r="L410" s="396"/>
      <c r="M410" s="396"/>
      <c r="N410" s="396"/>
      <c r="O410" s="396"/>
      <c r="P410" s="396"/>
      <c r="Q410" s="328"/>
      <c r="R410" s="328"/>
      <c r="S410" s="328"/>
      <c r="T410" s="328"/>
      <c r="U410" s="328"/>
      <c r="V410" s="328"/>
    </row>
    <row r="411" customFormat="false" ht="15" hidden="false" customHeight="true" outlineLevel="1" collapsed="false">
      <c r="A411" s="429"/>
      <c r="B411" s="429"/>
      <c r="C411" s="429"/>
      <c r="D411" s="430"/>
      <c r="E411" s="431"/>
      <c r="F411" s="431"/>
      <c r="G411" s="429"/>
      <c r="H411" s="432"/>
      <c r="I411" s="432"/>
      <c r="J411" s="432"/>
      <c r="K411" s="328"/>
      <c r="L411" s="396"/>
      <c r="M411" s="396"/>
      <c r="N411" s="396"/>
      <c r="O411" s="396"/>
      <c r="P411" s="396"/>
      <c r="Q411" s="328"/>
      <c r="R411" s="328"/>
      <c r="S411" s="328"/>
      <c r="T411" s="328"/>
      <c r="U411" s="328"/>
      <c r="V411" s="328"/>
    </row>
    <row r="412" customFormat="false" ht="15" hidden="false" customHeight="true" outlineLevel="1" collapsed="false">
      <c r="A412" s="429"/>
      <c r="B412" s="429"/>
      <c r="C412" s="429"/>
      <c r="D412" s="430"/>
      <c r="E412" s="431"/>
      <c r="F412" s="431"/>
      <c r="G412" s="429"/>
      <c r="H412" s="432"/>
      <c r="I412" s="432"/>
      <c r="J412" s="432"/>
      <c r="K412" s="328"/>
      <c r="L412" s="396"/>
      <c r="M412" s="396"/>
      <c r="N412" s="396"/>
      <c r="O412" s="396"/>
      <c r="P412" s="396"/>
      <c r="Q412" s="328"/>
      <c r="R412" s="328"/>
      <c r="S412" s="328"/>
      <c r="T412" s="328"/>
      <c r="U412" s="328"/>
      <c r="V412" s="328"/>
    </row>
    <row r="413" customFormat="false" ht="15" hidden="false" customHeight="true" outlineLevel="1" collapsed="false">
      <c r="A413" s="429"/>
      <c r="B413" s="429"/>
      <c r="C413" s="429"/>
      <c r="D413" s="430"/>
      <c r="E413" s="431"/>
      <c r="F413" s="431"/>
      <c r="G413" s="429"/>
      <c r="H413" s="432"/>
      <c r="I413" s="432"/>
      <c r="J413" s="432"/>
      <c r="K413" s="328"/>
      <c r="L413" s="396"/>
      <c r="M413" s="396"/>
      <c r="N413" s="396"/>
      <c r="O413" s="396"/>
      <c r="P413" s="396"/>
      <c r="Q413" s="328"/>
      <c r="R413" s="328"/>
      <c r="S413" s="328"/>
      <c r="T413" s="328"/>
      <c r="U413" s="328"/>
      <c r="V413" s="328"/>
    </row>
    <row r="414" customFormat="false" ht="15" hidden="false" customHeight="true" outlineLevel="1" collapsed="false">
      <c r="A414" s="429"/>
      <c r="B414" s="429"/>
      <c r="C414" s="429"/>
      <c r="D414" s="430"/>
      <c r="E414" s="431"/>
      <c r="F414" s="431"/>
      <c r="G414" s="429"/>
      <c r="H414" s="432"/>
      <c r="I414" s="432"/>
      <c r="J414" s="432"/>
      <c r="K414" s="328"/>
      <c r="L414" s="396"/>
      <c r="M414" s="396"/>
      <c r="N414" s="396"/>
      <c r="O414" s="396"/>
      <c r="P414" s="396"/>
      <c r="Q414" s="328"/>
      <c r="R414" s="328"/>
      <c r="S414" s="328"/>
      <c r="T414" s="328"/>
      <c r="U414" s="328"/>
      <c r="V414" s="328"/>
    </row>
    <row r="415" customFormat="false" ht="15" hidden="false" customHeight="true" outlineLevel="1" collapsed="false">
      <c r="A415" s="429"/>
      <c r="B415" s="429"/>
      <c r="C415" s="429"/>
      <c r="D415" s="430"/>
      <c r="E415" s="431"/>
      <c r="F415" s="431"/>
      <c r="G415" s="429"/>
      <c r="H415" s="432"/>
      <c r="I415" s="432"/>
      <c r="J415" s="432"/>
      <c r="K415" s="328"/>
      <c r="L415" s="396"/>
      <c r="M415" s="396"/>
      <c r="N415" s="396"/>
      <c r="O415" s="396"/>
      <c r="P415" s="396"/>
      <c r="Q415" s="328"/>
      <c r="R415" s="328"/>
      <c r="S415" s="328"/>
      <c r="T415" s="328"/>
      <c r="U415" s="328"/>
      <c r="V415" s="328"/>
    </row>
    <row r="416" customFormat="false" ht="15" hidden="false" customHeight="true" outlineLevel="1" collapsed="false">
      <c r="A416" s="429"/>
      <c r="B416" s="429"/>
      <c r="C416" s="429"/>
      <c r="D416" s="430"/>
      <c r="E416" s="431"/>
      <c r="F416" s="431"/>
      <c r="G416" s="429"/>
      <c r="H416" s="432"/>
      <c r="I416" s="432"/>
      <c r="J416" s="432"/>
      <c r="K416" s="328"/>
      <c r="L416" s="396"/>
      <c r="M416" s="396"/>
      <c r="N416" s="396"/>
      <c r="O416" s="396"/>
      <c r="P416" s="396"/>
      <c r="Q416" s="328"/>
      <c r="R416" s="328"/>
      <c r="S416" s="328"/>
      <c r="T416" s="328"/>
      <c r="U416" s="328"/>
      <c r="V416" s="328"/>
    </row>
    <row r="417" customFormat="false" ht="15" hidden="false" customHeight="true" outlineLevel="1" collapsed="false">
      <c r="A417" s="429"/>
      <c r="B417" s="429"/>
      <c r="C417" s="429"/>
      <c r="D417" s="430"/>
      <c r="E417" s="431"/>
      <c r="F417" s="431"/>
      <c r="G417" s="429"/>
      <c r="H417" s="432"/>
      <c r="I417" s="432"/>
      <c r="J417" s="432"/>
      <c r="K417" s="328"/>
      <c r="L417" s="396"/>
      <c r="M417" s="396"/>
      <c r="N417" s="396"/>
      <c r="O417" s="396"/>
      <c r="P417" s="396"/>
      <c r="Q417" s="328"/>
      <c r="R417" s="328"/>
      <c r="S417" s="328"/>
      <c r="T417" s="328"/>
      <c r="U417" s="328"/>
      <c r="V417" s="328"/>
    </row>
    <row r="418" customFormat="false" ht="15" hidden="false" customHeight="true" outlineLevel="1" collapsed="false">
      <c r="A418" s="429"/>
      <c r="B418" s="429"/>
      <c r="C418" s="429"/>
      <c r="D418" s="430"/>
      <c r="E418" s="431"/>
      <c r="F418" s="431"/>
      <c r="G418" s="429"/>
      <c r="H418" s="432"/>
      <c r="I418" s="432"/>
      <c r="J418" s="432"/>
      <c r="K418" s="328"/>
      <c r="L418" s="396"/>
      <c r="M418" s="396"/>
      <c r="N418" s="396"/>
      <c r="O418" s="396"/>
      <c r="P418" s="396"/>
      <c r="Q418" s="328"/>
      <c r="R418" s="328"/>
      <c r="S418" s="328"/>
      <c r="T418" s="328"/>
      <c r="U418" s="328"/>
      <c r="V418" s="328"/>
    </row>
    <row r="419" customFormat="false" ht="15" hidden="false" customHeight="true" outlineLevel="1" collapsed="false">
      <c r="A419" s="429"/>
      <c r="B419" s="429"/>
      <c r="C419" s="429"/>
      <c r="D419" s="430"/>
      <c r="E419" s="431"/>
      <c r="F419" s="431"/>
      <c r="G419" s="429"/>
      <c r="H419" s="432"/>
      <c r="I419" s="432"/>
      <c r="J419" s="432"/>
      <c r="K419" s="328"/>
      <c r="L419" s="396"/>
      <c r="M419" s="396"/>
      <c r="N419" s="396"/>
      <c r="O419" s="396"/>
      <c r="P419" s="396"/>
      <c r="Q419" s="328"/>
      <c r="R419" s="328"/>
      <c r="S419" s="328"/>
      <c r="T419" s="328"/>
      <c r="U419" s="328"/>
      <c r="V419" s="328"/>
    </row>
    <row r="420" customFormat="false" ht="15" hidden="false" customHeight="true" outlineLevel="1" collapsed="false">
      <c r="A420" s="429"/>
      <c r="B420" s="429"/>
      <c r="C420" s="429"/>
      <c r="D420" s="430"/>
      <c r="E420" s="431"/>
      <c r="F420" s="431"/>
      <c r="G420" s="429"/>
      <c r="H420" s="432"/>
      <c r="I420" s="432"/>
      <c r="J420" s="432"/>
      <c r="K420" s="328"/>
      <c r="L420" s="396"/>
      <c r="M420" s="396"/>
      <c r="N420" s="396"/>
      <c r="O420" s="396"/>
      <c r="P420" s="396"/>
      <c r="Q420" s="328"/>
      <c r="R420" s="328"/>
      <c r="S420" s="328"/>
      <c r="T420" s="328"/>
      <c r="U420" s="328"/>
      <c r="V420" s="328"/>
    </row>
    <row r="421" customFormat="false" ht="15" hidden="false" customHeight="true" outlineLevel="1" collapsed="false">
      <c r="A421" s="429"/>
      <c r="B421" s="429"/>
      <c r="C421" s="429"/>
      <c r="D421" s="430"/>
      <c r="E421" s="431"/>
      <c r="F421" s="431"/>
      <c r="G421" s="429"/>
      <c r="H421" s="432"/>
      <c r="I421" s="432"/>
      <c r="J421" s="432"/>
      <c r="K421" s="328"/>
      <c r="L421" s="396"/>
      <c r="M421" s="396"/>
      <c r="N421" s="396"/>
      <c r="O421" s="396"/>
      <c r="P421" s="396"/>
      <c r="Q421" s="328"/>
      <c r="R421" s="328"/>
      <c r="S421" s="328"/>
      <c r="T421" s="328"/>
      <c r="U421" s="328"/>
      <c r="V421" s="328"/>
    </row>
    <row r="422" customFormat="false" ht="15" hidden="false" customHeight="true" outlineLevel="1" collapsed="false">
      <c r="A422" s="429"/>
      <c r="B422" s="429"/>
      <c r="C422" s="429"/>
      <c r="D422" s="430"/>
      <c r="E422" s="431"/>
      <c r="F422" s="431"/>
      <c r="G422" s="429"/>
      <c r="H422" s="432"/>
      <c r="I422" s="432"/>
      <c r="J422" s="432"/>
      <c r="K422" s="328"/>
      <c r="L422" s="396"/>
      <c r="M422" s="396"/>
      <c r="N422" s="396"/>
      <c r="O422" s="396"/>
      <c r="P422" s="396"/>
      <c r="Q422" s="328"/>
      <c r="R422" s="328"/>
      <c r="S422" s="328"/>
      <c r="T422" s="328"/>
      <c r="U422" s="328"/>
      <c r="V422" s="328"/>
    </row>
    <row r="423" customFormat="false" ht="15" hidden="false" customHeight="true" outlineLevel="1" collapsed="false">
      <c r="A423" s="429"/>
      <c r="B423" s="429"/>
      <c r="C423" s="429"/>
      <c r="D423" s="430"/>
      <c r="E423" s="431"/>
      <c r="F423" s="431"/>
      <c r="G423" s="429"/>
      <c r="H423" s="432"/>
      <c r="I423" s="432"/>
      <c r="J423" s="432"/>
      <c r="K423" s="328"/>
      <c r="L423" s="396"/>
      <c r="M423" s="396"/>
      <c r="N423" s="396"/>
      <c r="O423" s="396"/>
      <c r="P423" s="396"/>
      <c r="Q423" s="328"/>
      <c r="R423" s="328"/>
      <c r="S423" s="328"/>
      <c r="T423" s="328"/>
      <c r="U423" s="328"/>
      <c r="V423" s="328"/>
    </row>
    <row r="424" customFormat="false" ht="15" hidden="false" customHeight="true" outlineLevel="1" collapsed="false">
      <c r="A424" s="429"/>
      <c r="B424" s="429"/>
      <c r="C424" s="429"/>
      <c r="D424" s="430"/>
      <c r="E424" s="431"/>
      <c r="F424" s="431"/>
      <c r="G424" s="429"/>
      <c r="H424" s="432"/>
      <c r="I424" s="432"/>
      <c r="J424" s="432"/>
      <c r="K424" s="328"/>
      <c r="L424" s="396"/>
      <c r="M424" s="396"/>
      <c r="N424" s="396"/>
      <c r="O424" s="396"/>
      <c r="P424" s="396"/>
      <c r="Q424" s="328"/>
      <c r="R424" s="328"/>
      <c r="S424" s="328"/>
      <c r="T424" s="328"/>
      <c r="U424" s="328"/>
      <c r="V424" s="328"/>
    </row>
    <row r="425" customFormat="false" ht="15" hidden="false" customHeight="true" outlineLevel="1" collapsed="false">
      <c r="A425" s="429"/>
      <c r="B425" s="429"/>
      <c r="C425" s="429"/>
      <c r="D425" s="430"/>
      <c r="E425" s="431"/>
      <c r="F425" s="431"/>
      <c r="G425" s="429"/>
      <c r="H425" s="432"/>
      <c r="I425" s="432"/>
      <c r="J425" s="432"/>
      <c r="K425" s="328"/>
      <c r="L425" s="396"/>
      <c r="M425" s="396"/>
      <c r="N425" s="396"/>
      <c r="O425" s="396"/>
      <c r="P425" s="396"/>
      <c r="Q425" s="328"/>
      <c r="R425" s="328"/>
      <c r="S425" s="328"/>
      <c r="T425" s="328"/>
      <c r="U425" s="328"/>
      <c r="V425" s="328"/>
    </row>
    <row r="426" customFormat="false" ht="15" hidden="false" customHeight="true" outlineLevel="1" collapsed="false">
      <c r="A426" s="429"/>
      <c r="B426" s="429"/>
      <c r="C426" s="429"/>
      <c r="D426" s="430"/>
      <c r="E426" s="431"/>
      <c r="F426" s="431"/>
      <c r="G426" s="429"/>
      <c r="H426" s="432"/>
      <c r="I426" s="432"/>
      <c r="J426" s="432"/>
      <c r="K426" s="328"/>
      <c r="L426" s="396"/>
      <c r="M426" s="396"/>
      <c r="N426" s="396"/>
      <c r="O426" s="396"/>
      <c r="P426" s="396"/>
      <c r="Q426" s="328"/>
      <c r="R426" s="328"/>
      <c r="S426" s="328"/>
      <c r="T426" s="328"/>
      <c r="U426" s="328"/>
      <c r="V426" s="328"/>
    </row>
    <row r="427" customFormat="false" ht="15" hidden="false" customHeight="true" outlineLevel="1" collapsed="false">
      <c r="A427" s="429"/>
      <c r="B427" s="429"/>
      <c r="C427" s="429"/>
      <c r="D427" s="430"/>
      <c r="E427" s="431"/>
      <c r="F427" s="431"/>
      <c r="G427" s="429"/>
      <c r="H427" s="432"/>
      <c r="I427" s="432"/>
      <c r="J427" s="432"/>
      <c r="K427" s="328"/>
      <c r="L427" s="396"/>
      <c r="M427" s="396"/>
      <c r="N427" s="396"/>
      <c r="O427" s="396"/>
      <c r="P427" s="396"/>
      <c r="Q427" s="328"/>
      <c r="R427" s="328"/>
      <c r="S427" s="328"/>
      <c r="T427" s="328"/>
      <c r="U427" s="328"/>
      <c r="V427" s="328"/>
    </row>
    <row r="428" customFormat="false" ht="15" hidden="false" customHeight="true" outlineLevel="1" collapsed="false">
      <c r="A428" s="429"/>
      <c r="B428" s="429"/>
      <c r="C428" s="429"/>
      <c r="D428" s="430"/>
      <c r="E428" s="431"/>
      <c r="F428" s="431"/>
      <c r="G428" s="429"/>
      <c r="H428" s="432"/>
      <c r="I428" s="432"/>
      <c r="J428" s="432"/>
      <c r="K428" s="328"/>
      <c r="L428" s="396"/>
      <c r="M428" s="396"/>
      <c r="N428" s="396"/>
      <c r="O428" s="396"/>
      <c r="P428" s="396"/>
      <c r="Q428" s="328"/>
      <c r="R428" s="328"/>
      <c r="S428" s="328"/>
      <c r="T428" s="328"/>
      <c r="U428" s="328"/>
      <c r="V428" s="328"/>
    </row>
    <row r="429" customFormat="false" ht="15" hidden="false" customHeight="true" outlineLevel="1" collapsed="false">
      <c r="A429" s="429"/>
      <c r="B429" s="429"/>
      <c r="C429" s="429"/>
      <c r="D429" s="430"/>
      <c r="E429" s="431"/>
      <c r="F429" s="431"/>
      <c r="G429" s="429"/>
      <c r="H429" s="432"/>
      <c r="I429" s="432"/>
      <c r="J429" s="432"/>
      <c r="K429" s="328"/>
      <c r="L429" s="396"/>
      <c r="M429" s="396"/>
      <c r="N429" s="396"/>
      <c r="O429" s="396"/>
      <c r="P429" s="396"/>
      <c r="Q429" s="328"/>
      <c r="R429" s="328"/>
      <c r="S429" s="328"/>
      <c r="T429" s="328"/>
      <c r="U429" s="328"/>
      <c r="V429" s="328"/>
    </row>
    <row r="430" customFormat="false" ht="15" hidden="false" customHeight="true" outlineLevel="1" collapsed="false">
      <c r="A430" s="429"/>
      <c r="B430" s="429"/>
      <c r="C430" s="429"/>
      <c r="D430" s="430"/>
      <c r="E430" s="431"/>
      <c r="F430" s="431"/>
      <c r="G430" s="429"/>
      <c r="H430" s="432"/>
      <c r="I430" s="432"/>
      <c r="J430" s="432"/>
      <c r="K430" s="328"/>
      <c r="L430" s="396"/>
      <c r="M430" s="396"/>
      <c r="N430" s="396"/>
      <c r="O430" s="396"/>
      <c r="P430" s="396"/>
      <c r="Q430" s="328"/>
      <c r="R430" s="328"/>
      <c r="S430" s="328"/>
      <c r="T430" s="328"/>
      <c r="U430" s="328"/>
      <c r="V430" s="328"/>
    </row>
    <row r="431" customFormat="false" ht="15" hidden="false" customHeight="true" outlineLevel="1" collapsed="false">
      <c r="A431" s="429"/>
      <c r="B431" s="429"/>
      <c r="C431" s="429"/>
      <c r="D431" s="430"/>
      <c r="E431" s="431"/>
      <c r="F431" s="431"/>
      <c r="G431" s="429"/>
      <c r="H431" s="432"/>
      <c r="I431" s="432"/>
      <c r="J431" s="432"/>
      <c r="K431" s="328"/>
      <c r="L431" s="396"/>
      <c r="M431" s="396"/>
      <c r="N431" s="396"/>
      <c r="O431" s="396"/>
      <c r="P431" s="396"/>
      <c r="Q431" s="328"/>
      <c r="R431" s="328"/>
      <c r="S431" s="328"/>
      <c r="T431" s="328"/>
      <c r="U431" s="328"/>
      <c r="V431" s="328"/>
    </row>
    <row r="432" customFormat="false" ht="15" hidden="false" customHeight="true" outlineLevel="1" collapsed="false">
      <c r="A432" s="429"/>
      <c r="B432" s="429"/>
      <c r="C432" s="429"/>
      <c r="D432" s="430"/>
      <c r="E432" s="431"/>
      <c r="F432" s="431"/>
      <c r="G432" s="429"/>
      <c r="H432" s="432"/>
      <c r="I432" s="432"/>
      <c r="J432" s="432"/>
      <c r="K432" s="328"/>
      <c r="L432" s="396"/>
      <c r="M432" s="396"/>
      <c r="N432" s="396"/>
      <c r="O432" s="396"/>
      <c r="P432" s="396"/>
      <c r="Q432" s="328"/>
      <c r="R432" s="328"/>
      <c r="S432" s="328"/>
      <c r="T432" s="328"/>
      <c r="U432" s="328"/>
      <c r="V432" s="328"/>
    </row>
    <row r="433" customFormat="false" ht="15" hidden="false" customHeight="true" outlineLevel="1" collapsed="false">
      <c r="A433" s="429"/>
      <c r="B433" s="429"/>
      <c r="C433" s="429"/>
      <c r="D433" s="430"/>
      <c r="E433" s="431"/>
      <c r="F433" s="431"/>
      <c r="G433" s="429"/>
      <c r="H433" s="432"/>
      <c r="I433" s="432"/>
      <c r="J433" s="432"/>
      <c r="K433" s="328"/>
      <c r="L433" s="396"/>
      <c r="M433" s="396"/>
      <c r="N433" s="396"/>
      <c r="O433" s="396"/>
      <c r="P433" s="396"/>
      <c r="Q433" s="328"/>
      <c r="R433" s="328"/>
      <c r="S433" s="328"/>
      <c r="T433" s="328"/>
      <c r="U433" s="328"/>
      <c r="V433" s="328"/>
    </row>
    <row r="434" customFormat="false" ht="15" hidden="false" customHeight="true" outlineLevel="1" collapsed="false">
      <c r="A434" s="429"/>
      <c r="B434" s="429"/>
      <c r="C434" s="429"/>
      <c r="D434" s="430"/>
      <c r="E434" s="431"/>
      <c r="F434" s="431"/>
      <c r="G434" s="429"/>
      <c r="H434" s="432"/>
      <c r="I434" s="432"/>
      <c r="J434" s="432"/>
      <c r="K434" s="328"/>
      <c r="L434" s="396"/>
      <c r="M434" s="396"/>
      <c r="N434" s="396"/>
      <c r="O434" s="396"/>
      <c r="P434" s="396"/>
      <c r="Q434" s="328"/>
      <c r="R434" s="328"/>
      <c r="S434" s="328"/>
      <c r="T434" s="328"/>
      <c r="U434" s="328"/>
      <c r="V434" s="328"/>
    </row>
    <row r="435" customFormat="false" ht="15" hidden="false" customHeight="true" outlineLevel="1" collapsed="false">
      <c r="A435" s="429"/>
      <c r="B435" s="429"/>
      <c r="C435" s="429"/>
      <c r="D435" s="430"/>
      <c r="E435" s="431"/>
      <c r="F435" s="431"/>
      <c r="G435" s="429"/>
      <c r="H435" s="432"/>
      <c r="I435" s="432"/>
      <c r="J435" s="432"/>
      <c r="K435" s="328"/>
      <c r="L435" s="396"/>
      <c r="M435" s="396"/>
      <c r="N435" s="396"/>
      <c r="O435" s="396"/>
      <c r="P435" s="396"/>
      <c r="Q435" s="328"/>
      <c r="R435" s="328"/>
      <c r="S435" s="328"/>
      <c r="T435" s="328"/>
      <c r="U435" s="328"/>
      <c r="V435" s="328"/>
    </row>
    <row r="436" customFormat="false" ht="15" hidden="false" customHeight="true" outlineLevel="1" collapsed="false">
      <c r="A436" s="429"/>
      <c r="B436" s="429"/>
      <c r="C436" s="429"/>
      <c r="D436" s="430"/>
      <c r="E436" s="431"/>
      <c r="F436" s="431"/>
      <c r="G436" s="429"/>
      <c r="H436" s="432"/>
      <c r="I436" s="432"/>
      <c r="J436" s="432"/>
      <c r="K436" s="328"/>
      <c r="L436" s="396"/>
      <c r="M436" s="396"/>
      <c r="N436" s="396"/>
      <c r="O436" s="396"/>
      <c r="P436" s="396"/>
      <c r="Q436" s="328"/>
      <c r="R436" s="328"/>
      <c r="S436" s="328"/>
      <c r="T436" s="328"/>
      <c r="U436" s="328"/>
      <c r="V436" s="328"/>
    </row>
    <row r="437" customFormat="false" ht="15" hidden="false" customHeight="true" outlineLevel="1" collapsed="false">
      <c r="A437" s="429"/>
      <c r="B437" s="429"/>
      <c r="C437" s="429"/>
      <c r="D437" s="430"/>
      <c r="E437" s="431"/>
      <c r="F437" s="431"/>
      <c r="G437" s="429"/>
      <c r="H437" s="432"/>
      <c r="I437" s="432"/>
      <c r="J437" s="432"/>
      <c r="K437" s="328"/>
      <c r="L437" s="396"/>
      <c r="M437" s="396"/>
      <c r="N437" s="396"/>
      <c r="O437" s="396"/>
      <c r="P437" s="396"/>
      <c r="Q437" s="328"/>
      <c r="R437" s="328"/>
      <c r="S437" s="328"/>
      <c r="T437" s="328"/>
      <c r="U437" s="328"/>
      <c r="V437" s="328"/>
    </row>
    <row r="438" customFormat="false" ht="15" hidden="false" customHeight="true" outlineLevel="1" collapsed="false">
      <c r="A438" s="429"/>
      <c r="B438" s="429"/>
      <c r="C438" s="429"/>
      <c r="D438" s="430"/>
      <c r="E438" s="431"/>
      <c r="F438" s="431"/>
      <c r="G438" s="429"/>
      <c r="H438" s="432"/>
      <c r="I438" s="432"/>
      <c r="J438" s="432"/>
      <c r="K438" s="328"/>
      <c r="L438" s="396"/>
      <c r="M438" s="396"/>
      <c r="N438" s="396"/>
      <c r="O438" s="396"/>
      <c r="P438" s="396"/>
      <c r="Q438" s="328"/>
      <c r="R438" s="328"/>
      <c r="S438" s="328"/>
      <c r="T438" s="328"/>
      <c r="U438" s="328"/>
      <c r="V438" s="328"/>
    </row>
    <row r="439" customFormat="false" ht="15" hidden="false" customHeight="true" outlineLevel="1" collapsed="false">
      <c r="A439" s="429"/>
      <c r="B439" s="429"/>
      <c r="C439" s="429"/>
      <c r="D439" s="430"/>
      <c r="E439" s="431"/>
      <c r="F439" s="431"/>
      <c r="G439" s="429"/>
      <c r="H439" s="432"/>
      <c r="I439" s="432"/>
      <c r="J439" s="432"/>
      <c r="K439" s="328"/>
      <c r="L439" s="396"/>
      <c r="M439" s="396"/>
      <c r="N439" s="396"/>
      <c r="O439" s="396"/>
      <c r="P439" s="396"/>
      <c r="Q439" s="328"/>
      <c r="R439" s="328"/>
      <c r="S439" s="328"/>
      <c r="T439" s="328"/>
      <c r="U439" s="328"/>
      <c r="V439" s="328"/>
    </row>
    <row r="440" customFormat="false" ht="15" hidden="false" customHeight="true" outlineLevel="1" collapsed="false">
      <c r="A440" s="429"/>
      <c r="B440" s="429"/>
      <c r="C440" s="429"/>
      <c r="D440" s="430"/>
      <c r="E440" s="431"/>
      <c r="F440" s="431"/>
      <c r="G440" s="429"/>
      <c r="H440" s="432"/>
      <c r="I440" s="432"/>
      <c r="J440" s="432"/>
      <c r="K440" s="328"/>
      <c r="L440" s="396"/>
      <c r="M440" s="396"/>
      <c r="N440" s="396"/>
      <c r="O440" s="396"/>
      <c r="P440" s="396"/>
      <c r="Q440" s="328"/>
      <c r="R440" s="328"/>
      <c r="S440" s="328"/>
      <c r="T440" s="328"/>
      <c r="U440" s="328"/>
      <c r="V440" s="328"/>
    </row>
    <row r="441" customFormat="false" ht="15" hidden="false" customHeight="true" outlineLevel="1" collapsed="false">
      <c r="A441" s="429"/>
      <c r="B441" s="429"/>
      <c r="C441" s="429"/>
      <c r="D441" s="430"/>
      <c r="E441" s="431"/>
      <c r="F441" s="431"/>
      <c r="G441" s="429"/>
      <c r="H441" s="432"/>
      <c r="I441" s="432"/>
      <c r="J441" s="432"/>
      <c r="K441" s="328"/>
      <c r="L441" s="396"/>
      <c r="M441" s="396"/>
      <c r="N441" s="396"/>
      <c r="O441" s="396"/>
      <c r="P441" s="396"/>
      <c r="Q441" s="328"/>
      <c r="R441" s="328"/>
      <c r="S441" s="328"/>
      <c r="T441" s="328"/>
      <c r="U441" s="328"/>
      <c r="V441" s="328"/>
    </row>
    <row r="442" customFormat="false" ht="15" hidden="false" customHeight="true" outlineLevel="1" collapsed="false">
      <c r="A442" s="429"/>
      <c r="B442" s="429"/>
      <c r="C442" s="429"/>
      <c r="D442" s="430"/>
      <c r="E442" s="431"/>
      <c r="F442" s="431"/>
      <c r="G442" s="429"/>
      <c r="H442" s="432"/>
      <c r="I442" s="432"/>
      <c r="J442" s="432"/>
      <c r="K442" s="328"/>
      <c r="L442" s="396"/>
      <c r="M442" s="396"/>
      <c r="N442" s="396"/>
      <c r="O442" s="396"/>
      <c r="P442" s="396"/>
      <c r="Q442" s="328"/>
      <c r="R442" s="328"/>
      <c r="S442" s="328"/>
      <c r="T442" s="328"/>
      <c r="U442" s="328"/>
      <c r="V442" s="328"/>
    </row>
    <row r="443" customFormat="false" ht="15" hidden="false" customHeight="true" outlineLevel="1" collapsed="false">
      <c r="A443" s="429"/>
      <c r="B443" s="429"/>
      <c r="C443" s="429"/>
      <c r="D443" s="430"/>
      <c r="E443" s="431"/>
      <c r="F443" s="431"/>
      <c r="G443" s="429"/>
      <c r="H443" s="432"/>
      <c r="I443" s="432"/>
      <c r="J443" s="432"/>
      <c r="K443" s="328"/>
      <c r="L443" s="396"/>
      <c r="M443" s="396"/>
      <c r="N443" s="396"/>
      <c r="O443" s="396"/>
      <c r="P443" s="396"/>
      <c r="Q443" s="328"/>
      <c r="R443" s="328"/>
      <c r="S443" s="328"/>
      <c r="T443" s="328"/>
      <c r="U443" s="328"/>
      <c r="V443" s="328"/>
    </row>
    <row r="444" customFormat="false" ht="15" hidden="false" customHeight="true" outlineLevel="1" collapsed="false">
      <c r="A444" s="429"/>
      <c r="B444" s="429"/>
      <c r="C444" s="429"/>
      <c r="D444" s="430"/>
      <c r="E444" s="431"/>
      <c r="F444" s="431"/>
      <c r="G444" s="429"/>
      <c r="H444" s="432"/>
      <c r="I444" s="432"/>
      <c r="J444" s="432"/>
      <c r="K444" s="328"/>
      <c r="L444" s="396"/>
      <c r="M444" s="396"/>
      <c r="N444" s="396"/>
      <c r="O444" s="396"/>
      <c r="P444" s="396"/>
      <c r="Q444" s="328"/>
      <c r="R444" s="328"/>
      <c r="S444" s="328"/>
      <c r="T444" s="328"/>
      <c r="U444" s="328"/>
      <c r="V444" s="328"/>
    </row>
    <row r="445" customFormat="false" ht="15" hidden="false" customHeight="true" outlineLevel="1" collapsed="false">
      <c r="A445" s="429"/>
      <c r="B445" s="429"/>
      <c r="C445" s="429"/>
      <c r="D445" s="430"/>
      <c r="E445" s="431"/>
      <c r="F445" s="431"/>
      <c r="G445" s="429"/>
      <c r="H445" s="432"/>
      <c r="I445" s="432"/>
      <c r="J445" s="432"/>
      <c r="K445" s="328"/>
      <c r="L445" s="396"/>
      <c r="M445" s="396"/>
      <c r="N445" s="396"/>
      <c r="O445" s="396"/>
      <c r="P445" s="396"/>
      <c r="Q445" s="328"/>
      <c r="R445" s="328"/>
      <c r="S445" s="328"/>
      <c r="T445" s="328"/>
      <c r="U445" s="328"/>
      <c r="V445" s="328"/>
    </row>
    <row r="446" customFormat="false" ht="15" hidden="false" customHeight="true" outlineLevel="1" collapsed="false">
      <c r="A446" s="429"/>
      <c r="B446" s="429"/>
      <c r="C446" s="429"/>
      <c r="D446" s="430"/>
      <c r="E446" s="431"/>
      <c r="F446" s="431"/>
      <c r="G446" s="429"/>
      <c r="H446" s="432"/>
      <c r="I446" s="432"/>
      <c r="J446" s="432"/>
      <c r="K446" s="328"/>
      <c r="L446" s="396"/>
      <c r="M446" s="396"/>
      <c r="N446" s="396"/>
      <c r="O446" s="396"/>
      <c r="P446" s="396"/>
      <c r="Q446" s="328"/>
      <c r="R446" s="328"/>
      <c r="S446" s="328"/>
      <c r="T446" s="328"/>
      <c r="U446" s="328"/>
      <c r="V446" s="328"/>
    </row>
    <row r="447" customFormat="false" ht="15" hidden="false" customHeight="true" outlineLevel="1" collapsed="false">
      <c r="A447" s="429"/>
      <c r="B447" s="429"/>
      <c r="C447" s="429"/>
      <c r="D447" s="430"/>
      <c r="E447" s="431"/>
      <c r="F447" s="431"/>
      <c r="G447" s="429"/>
      <c r="H447" s="432"/>
      <c r="I447" s="432"/>
      <c r="J447" s="432"/>
      <c r="K447" s="328"/>
      <c r="L447" s="396"/>
      <c r="M447" s="396"/>
      <c r="N447" s="396"/>
      <c r="O447" s="396"/>
      <c r="P447" s="396"/>
      <c r="Q447" s="328"/>
      <c r="R447" s="328"/>
      <c r="S447" s="328"/>
      <c r="T447" s="328"/>
      <c r="U447" s="328"/>
      <c r="V447" s="328"/>
    </row>
    <row r="448" customFormat="false" ht="15" hidden="false" customHeight="true" outlineLevel="1" collapsed="false">
      <c r="A448" s="429"/>
      <c r="B448" s="429"/>
      <c r="C448" s="429"/>
      <c r="D448" s="430"/>
      <c r="E448" s="431"/>
      <c r="F448" s="431"/>
      <c r="G448" s="429"/>
      <c r="H448" s="432"/>
      <c r="I448" s="432"/>
      <c r="J448" s="432"/>
      <c r="K448" s="328"/>
      <c r="L448" s="396"/>
      <c r="M448" s="396"/>
      <c r="N448" s="396"/>
      <c r="O448" s="396"/>
      <c r="P448" s="396"/>
      <c r="Q448" s="328"/>
      <c r="R448" s="328"/>
      <c r="S448" s="328"/>
      <c r="T448" s="328"/>
      <c r="U448" s="328"/>
      <c r="V448" s="328"/>
    </row>
    <row r="449" customFormat="false" ht="15" hidden="false" customHeight="true" outlineLevel="1" collapsed="false">
      <c r="A449" s="429"/>
      <c r="B449" s="429"/>
      <c r="C449" s="429"/>
      <c r="D449" s="430"/>
      <c r="E449" s="431"/>
      <c r="F449" s="431"/>
      <c r="G449" s="429"/>
      <c r="H449" s="432"/>
      <c r="I449" s="432"/>
      <c r="J449" s="432"/>
      <c r="K449" s="328"/>
      <c r="L449" s="396"/>
      <c r="M449" s="396"/>
      <c r="N449" s="396"/>
      <c r="O449" s="396"/>
      <c r="P449" s="396"/>
      <c r="Q449" s="328"/>
      <c r="R449" s="328"/>
      <c r="S449" s="328"/>
      <c r="T449" s="328"/>
      <c r="U449" s="328"/>
      <c r="V449" s="328"/>
    </row>
    <row r="450" customFormat="false" ht="15" hidden="false" customHeight="true" outlineLevel="1" collapsed="false">
      <c r="A450" s="429"/>
      <c r="B450" s="429"/>
      <c r="C450" s="429"/>
      <c r="D450" s="430"/>
      <c r="E450" s="431"/>
      <c r="F450" s="431"/>
      <c r="G450" s="429"/>
      <c r="H450" s="432"/>
      <c r="I450" s="432"/>
      <c r="J450" s="432"/>
      <c r="K450" s="328"/>
      <c r="L450" s="396"/>
      <c r="M450" s="396"/>
      <c r="N450" s="396"/>
      <c r="O450" s="396"/>
      <c r="P450" s="396"/>
      <c r="Q450" s="328"/>
      <c r="R450" s="328"/>
      <c r="S450" s="328"/>
      <c r="T450" s="328"/>
      <c r="U450" s="328"/>
      <c r="V450" s="328"/>
    </row>
    <row r="451" customFormat="false" ht="15" hidden="false" customHeight="true" outlineLevel="1" collapsed="false">
      <c r="A451" s="429"/>
      <c r="B451" s="429"/>
      <c r="C451" s="429"/>
      <c r="D451" s="430"/>
      <c r="E451" s="431"/>
      <c r="F451" s="431"/>
      <c r="G451" s="429"/>
      <c r="H451" s="432"/>
      <c r="I451" s="432"/>
      <c r="J451" s="432"/>
      <c r="K451" s="328"/>
      <c r="L451" s="396"/>
      <c r="M451" s="396"/>
      <c r="N451" s="396"/>
      <c r="O451" s="396"/>
      <c r="P451" s="396"/>
      <c r="Q451" s="328"/>
      <c r="R451" s="328"/>
      <c r="S451" s="328"/>
      <c r="T451" s="328"/>
      <c r="U451" s="328"/>
      <c r="V451" s="328"/>
    </row>
    <row r="452" customFormat="false" ht="15" hidden="false" customHeight="true" outlineLevel="1" collapsed="false">
      <c r="A452" s="429"/>
      <c r="B452" s="429"/>
      <c r="C452" s="429"/>
      <c r="D452" s="430"/>
      <c r="E452" s="431"/>
      <c r="F452" s="431"/>
      <c r="G452" s="429"/>
      <c r="H452" s="432"/>
      <c r="I452" s="432"/>
      <c r="J452" s="432"/>
      <c r="K452" s="328"/>
      <c r="L452" s="396"/>
      <c r="M452" s="396"/>
      <c r="N452" s="396"/>
      <c r="O452" s="396"/>
      <c r="P452" s="396"/>
      <c r="Q452" s="328"/>
      <c r="R452" s="328"/>
      <c r="S452" s="328"/>
      <c r="T452" s="328"/>
      <c r="U452" s="328"/>
      <c r="V452" s="328"/>
    </row>
    <row r="453" customFormat="false" ht="15" hidden="false" customHeight="true" outlineLevel="1" collapsed="false">
      <c r="A453" s="429"/>
      <c r="B453" s="429"/>
      <c r="C453" s="429"/>
      <c r="D453" s="430"/>
      <c r="E453" s="431"/>
      <c r="F453" s="431"/>
      <c r="G453" s="429"/>
      <c r="H453" s="432"/>
      <c r="I453" s="432"/>
      <c r="J453" s="432"/>
      <c r="K453" s="328"/>
      <c r="L453" s="396"/>
      <c r="M453" s="396"/>
      <c r="N453" s="396"/>
      <c r="O453" s="396"/>
      <c r="P453" s="396"/>
      <c r="Q453" s="328"/>
      <c r="R453" s="328"/>
      <c r="S453" s="328"/>
      <c r="T453" s="328"/>
      <c r="U453" s="328"/>
      <c r="V453" s="328"/>
    </row>
    <row r="454" customFormat="false" ht="15" hidden="false" customHeight="true" outlineLevel="1" collapsed="false">
      <c r="A454" s="429"/>
      <c r="B454" s="429"/>
      <c r="C454" s="429"/>
      <c r="D454" s="430"/>
      <c r="E454" s="431"/>
      <c r="F454" s="431"/>
      <c r="G454" s="429"/>
      <c r="H454" s="432"/>
      <c r="I454" s="432"/>
      <c r="J454" s="432"/>
      <c r="K454" s="328"/>
      <c r="L454" s="396"/>
      <c r="M454" s="396"/>
      <c r="N454" s="396"/>
      <c r="O454" s="396"/>
      <c r="P454" s="396"/>
      <c r="Q454" s="328"/>
      <c r="R454" s="328"/>
      <c r="S454" s="328"/>
      <c r="T454" s="328"/>
      <c r="U454" s="328"/>
      <c r="V454" s="328"/>
    </row>
    <row r="455" customFormat="false" ht="15" hidden="false" customHeight="true" outlineLevel="1" collapsed="false">
      <c r="A455" s="429"/>
      <c r="B455" s="429"/>
      <c r="C455" s="429"/>
      <c r="D455" s="430"/>
      <c r="E455" s="431"/>
      <c r="F455" s="431"/>
      <c r="G455" s="429"/>
      <c r="H455" s="432"/>
      <c r="I455" s="432"/>
      <c r="J455" s="432"/>
      <c r="K455" s="328"/>
      <c r="L455" s="396"/>
      <c r="M455" s="396"/>
      <c r="N455" s="396"/>
      <c r="O455" s="396"/>
      <c r="P455" s="396"/>
      <c r="Q455" s="328"/>
      <c r="R455" s="328"/>
      <c r="S455" s="328"/>
      <c r="T455" s="328"/>
      <c r="U455" s="328"/>
      <c r="V455" s="328"/>
    </row>
    <row r="456" customFormat="false" ht="15" hidden="false" customHeight="true" outlineLevel="1" collapsed="false">
      <c r="A456" s="429"/>
      <c r="B456" s="429"/>
      <c r="C456" s="429"/>
      <c r="D456" s="430"/>
      <c r="E456" s="431"/>
      <c r="F456" s="431"/>
      <c r="G456" s="429"/>
      <c r="H456" s="432"/>
      <c r="I456" s="432"/>
      <c r="J456" s="432"/>
      <c r="K456" s="328"/>
      <c r="L456" s="396"/>
      <c r="M456" s="396"/>
      <c r="N456" s="396"/>
      <c r="O456" s="396"/>
      <c r="P456" s="396"/>
      <c r="Q456" s="328"/>
      <c r="R456" s="328"/>
      <c r="S456" s="328"/>
      <c r="T456" s="328"/>
      <c r="U456" s="328"/>
      <c r="V456" s="328"/>
    </row>
    <row r="457" customFormat="false" ht="15" hidden="false" customHeight="true" outlineLevel="1" collapsed="false">
      <c r="A457" s="429"/>
      <c r="B457" s="429"/>
      <c r="C457" s="429"/>
      <c r="D457" s="430"/>
      <c r="E457" s="431"/>
      <c r="F457" s="431"/>
      <c r="G457" s="429"/>
      <c r="H457" s="432"/>
      <c r="I457" s="432"/>
      <c r="J457" s="432"/>
      <c r="K457" s="328"/>
      <c r="L457" s="396"/>
      <c r="M457" s="396"/>
      <c r="N457" s="396"/>
      <c r="O457" s="396"/>
      <c r="P457" s="396"/>
      <c r="Q457" s="328"/>
      <c r="R457" s="328"/>
      <c r="S457" s="328"/>
      <c r="T457" s="328"/>
      <c r="U457" s="328"/>
      <c r="V457" s="328"/>
    </row>
    <row r="458" customFormat="false" ht="15" hidden="false" customHeight="true" outlineLevel="1" collapsed="false">
      <c r="A458" s="429"/>
      <c r="B458" s="429"/>
      <c r="C458" s="429"/>
      <c r="D458" s="430"/>
      <c r="E458" s="431"/>
      <c r="F458" s="431"/>
      <c r="G458" s="429"/>
      <c r="H458" s="432"/>
      <c r="I458" s="432"/>
      <c r="J458" s="432"/>
      <c r="K458" s="328"/>
      <c r="L458" s="396"/>
      <c r="M458" s="396"/>
      <c r="N458" s="396"/>
      <c r="O458" s="396"/>
      <c r="P458" s="396"/>
      <c r="Q458" s="328"/>
      <c r="R458" s="328"/>
      <c r="S458" s="328"/>
      <c r="T458" s="328"/>
      <c r="U458" s="328"/>
      <c r="V458" s="328"/>
    </row>
    <row r="459" customFormat="false" ht="15" hidden="false" customHeight="true" outlineLevel="1" collapsed="false">
      <c r="A459" s="429"/>
      <c r="B459" s="429"/>
      <c r="C459" s="429"/>
      <c r="D459" s="430"/>
      <c r="E459" s="431"/>
      <c r="F459" s="431"/>
      <c r="G459" s="429"/>
      <c r="H459" s="432"/>
      <c r="I459" s="432"/>
      <c r="J459" s="432"/>
      <c r="K459" s="328"/>
      <c r="L459" s="396"/>
      <c r="M459" s="396"/>
      <c r="N459" s="396"/>
      <c r="O459" s="396"/>
      <c r="P459" s="396"/>
      <c r="Q459" s="328"/>
      <c r="R459" s="328"/>
      <c r="S459" s="328"/>
      <c r="T459" s="328"/>
      <c r="U459" s="328"/>
      <c r="V459" s="328"/>
    </row>
    <row r="460" customFormat="false" ht="15" hidden="false" customHeight="true" outlineLevel="1" collapsed="false">
      <c r="A460" s="429"/>
      <c r="B460" s="429"/>
      <c r="C460" s="429"/>
      <c r="D460" s="430"/>
      <c r="E460" s="431"/>
      <c r="F460" s="431"/>
      <c r="G460" s="429"/>
      <c r="H460" s="432"/>
      <c r="I460" s="432"/>
      <c r="J460" s="432"/>
      <c r="K460" s="328"/>
      <c r="L460" s="396"/>
      <c r="M460" s="396"/>
      <c r="N460" s="396"/>
      <c r="O460" s="396"/>
      <c r="P460" s="396"/>
      <c r="Q460" s="328"/>
      <c r="R460" s="328"/>
      <c r="S460" s="328"/>
      <c r="T460" s="328"/>
      <c r="U460" s="328"/>
      <c r="V460" s="328"/>
    </row>
    <row r="461" customFormat="false" ht="15" hidden="false" customHeight="true" outlineLevel="1" collapsed="false">
      <c r="A461" s="429"/>
      <c r="B461" s="429"/>
      <c r="C461" s="429"/>
      <c r="D461" s="430"/>
      <c r="E461" s="431"/>
      <c r="F461" s="431"/>
      <c r="G461" s="429"/>
      <c r="H461" s="432"/>
      <c r="I461" s="432"/>
      <c r="J461" s="432"/>
      <c r="K461" s="328"/>
      <c r="L461" s="396"/>
      <c r="M461" s="396"/>
      <c r="N461" s="396"/>
      <c r="O461" s="396"/>
      <c r="P461" s="396"/>
      <c r="Q461" s="328"/>
      <c r="R461" s="328"/>
      <c r="S461" s="328"/>
      <c r="T461" s="328"/>
      <c r="U461" s="328"/>
      <c r="V461" s="328"/>
    </row>
    <row r="462" customFormat="false" ht="15" hidden="false" customHeight="true" outlineLevel="1" collapsed="false">
      <c r="A462" s="429"/>
      <c r="B462" s="429"/>
      <c r="C462" s="429"/>
      <c r="D462" s="430"/>
      <c r="E462" s="431"/>
      <c r="F462" s="431"/>
      <c r="G462" s="429"/>
      <c r="H462" s="432"/>
      <c r="I462" s="432"/>
      <c r="J462" s="432"/>
      <c r="K462" s="328"/>
      <c r="L462" s="396"/>
      <c r="M462" s="396"/>
      <c r="N462" s="396"/>
      <c r="O462" s="396"/>
      <c r="P462" s="396"/>
      <c r="Q462" s="328"/>
      <c r="R462" s="328"/>
      <c r="S462" s="328"/>
      <c r="T462" s="328"/>
      <c r="U462" s="328"/>
      <c r="V462" s="328"/>
    </row>
    <row r="463" customFormat="false" ht="15" hidden="false" customHeight="true" outlineLevel="1" collapsed="false">
      <c r="A463" s="429"/>
      <c r="B463" s="429"/>
      <c r="C463" s="429"/>
      <c r="D463" s="430"/>
      <c r="E463" s="431"/>
      <c r="F463" s="431"/>
      <c r="G463" s="429"/>
      <c r="H463" s="432"/>
      <c r="I463" s="432"/>
      <c r="J463" s="432"/>
      <c r="K463" s="328"/>
      <c r="L463" s="396"/>
      <c r="M463" s="396"/>
      <c r="N463" s="396"/>
      <c r="O463" s="396"/>
      <c r="P463" s="396"/>
      <c r="Q463" s="328"/>
      <c r="R463" s="328"/>
      <c r="S463" s="328"/>
      <c r="T463" s="328"/>
      <c r="U463" s="328"/>
      <c r="V463" s="328"/>
    </row>
    <row r="464" customFormat="false" ht="15" hidden="false" customHeight="true" outlineLevel="1" collapsed="false">
      <c r="A464" s="429"/>
      <c r="B464" s="429"/>
      <c r="C464" s="429"/>
      <c r="D464" s="430"/>
      <c r="E464" s="431"/>
      <c r="F464" s="431"/>
      <c r="G464" s="429"/>
      <c r="H464" s="432"/>
      <c r="I464" s="432"/>
      <c r="J464" s="432"/>
      <c r="K464" s="328"/>
      <c r="L464" s="396"/>
      <c r="M464" s="396"/>
      <c r="N464" s="396"/>
      <c r="O464" s="396"/>
      <c r="P464" s="396"/>
      <c r="Q464" s="328"/>
      <c r="R464" s="328"/>
      <c r="S464" s="328"/>
      <c r="T464" s="328"/>
      <c r="U464" s="328"/>
      <c r="V464" s="328"/>
    </row>
    <row r="465" customFormat="false" ht="15" hidden="false" customHeight="true" outlineLevel="1" collapsed="false">
      <c r="A465" s="429"/>
      <c r="B465" s="429"/>
      <c r="C465" s="429"/>
      <c r="D465" s="430"/>
      <c r="E465" s="431"/>
      <c r="F465" s="431"/>
      <c r="G465" s="429"/>
      <c r="H465" s="432"/>
      <c r="I465" s="432"/>
      <c r="J465" s="432"/>
      <c r="K465" s="328"/>
      <c r="L465" s="396"/>
      <c r="M465" s="396"/>
      <c r="N465" s="396"/>
      <c r="O465" s="396"/>
      <c r="P465" s="396"/>
      <c r="Q465" s="328"/>
      <c r="R465" s="328"/>
      <c r="S465" s="328"/>
      <c r="T465" s="328"/>
      <c r="U465" s="328"/>
      <c r="V465" s="328"/>
    </row>
    <row r="466" customFormat="false" ht="15" hidden="false" customHeight="true" outlineLevel="1" collapsed="false">
      <c r="A466" s="429"/>
      <c r="B466" s="429"/>
      <c r="C466" s="429"/>
      <c r="D466" s="430"/>
      <c r="E466" s="431"/>
      <c r="F466" s="431"/>
      <c r="G466" s="429"/>
      <c r="H466" s="432"/>
      <c r="I466" s="432"/>
      <c r="J466" s="432"/>
      <c r="K466" s="328"/>
      <c r="L466" s="396"/>
      <c r="M466" s="396"/>
      <c r="N466" s="396"/>
      <c r="O466" s="396"/>
      <c r="P466" s="396"/>
      <c r="Q466" s="328"/>
      <c r="R466" s="328"/>
      <c r="S466" s="328"/>
      <c r="T466" s="328"/>
      <c r="U466" s="328"/>
      <c r="V466" s="328"/>
    </row>
    <row r="467" customFormat="false" ht="15" hidden="false" customHeight="true" outlineLevel="1" collapsed="false">
      <c r="A467" s="429"/>
      <c r="B467" s="429"/>
      <c r="C467" s="429"/>
      <c r="D467" s="430"/>
      <c r="E467" s="431"/>
      <c r="F467" s="431"/>
      <c r="G467" s="429"/>
      <c r="H467" s="432"/>
      <c r="I467" s="432"/>
      <c r="J467" s="432"/>
      <c r="K467" s="328"/>
      <c r="L467" s="396"/>
      <c r="M467" s="396"/>
      <c r="N467" s="396"/>
      <c r="O467" s="396"/>
      <c r="P467" s="396"/>
      <c r="Q467" s="328"/>
      <c r="R467" s="328"/>
      <c r="S467" s="328"/>
      <c r="T467" s="328"/>
      <c r="U467" s="328"/>
      <c r="V467" s="328"/>
    </row>
    <row r="468" customFormat="false" ht="15" hidden="false" customHeight="true" outlineLevel="1" collapsed="false">
      <c r="A468" s="429"/>
      <c r="B468" s="429"/>
      <c r="C468" s="429"/>
      <c r="D468" s="430"/>
      <c r="E468" s="431"/>
      <c r="F468" s="431"/>
      <c r="G468" s="429"/>
      <c r="H468" s="432"/>
      <c r="I468" s="432"/>
      <c r="J468" s="432"/>
      <c r="K468" s="328"/>
      <c r="L468" s="396"/>
      <c r="M468" s="396"/>
      <c r="N468" s="396"/>
      <c r="O468" s="396"/>
      <c r="P468" s="396"/>
      <c r="Q468" s="328"/>
      <c r="R468" s="328"/>
      <c r="S468" s="328"/>
      <c r="T468" s="328"/>
      <c r="U468" s="328"/>
      <c r="V468" s="328"/>
    </row>
    <row r="469" customFormat="false" ht="15" hidden="false" customHeight="true" outlineLevel="1" collapsed="false">
      <c r="A469" s="429"/>
      <c r="B469" s="429"/>
      <c r="C469" s="429"/>
      <c r="D469" s="430"/>
      <c r="E469" s="431"/>
      <c r="F469" s="431"/>
      <c r="G469" s="429"/>
      <c r="H469" s="432"/>
      <c r="I469" s="432"/>
      <c r="J469" s="432"/>
      <c r="K469" s="328"/>
      <c r="L469" s="396"/>
      <c r="M469" s="396"/>
      <c r="N469" s="396"/>
      <c r="O469" s="396"/>
      <c r="P469" s="396"/>
      <c r="Q469" s="328"/>
      <c r="R469" s="328"/>
      <c r="S469" s="328"/>
      <c r="T469" s="328"/>
      <c r="U469" s="328"/>
      <c r="V469" s="328"/>
    </row>
    <row r="470" customFormat="false" ht="15" hidden="false" customHeight="true" outlineLevel="1" collapsed="false">
      <c r="A470" s="429"/>
      <c r="B470" s="429"/>
      <c r="C470" s="429"/>
      <c r="D470" s="430"/>
      <c r="E470" s="431"/>
      <c r="F470" s="431"/>
      <c r="G470" s="429"/>
      <c r="H470" s="432"/>
      <c r="I470" s="432"/>
      <c r="J470" s="432"/>
      <c r="K470" s="328"/>
      <c r="L470" s="396"/>
      <c r="M470" s="396"/>
      <c r="N470" s="396"/>
      <c r="O470" s="396"/>
      <c r="P470" s="396"/>
      <c r="Q470" s="328"/>
      <c r="R470" s="328"/>
      <c r="S470" s="328"/>
      <c r="T470" s="328"/>
      <c r="U470" s="328"/>
      <c r="V470" s="328"/>
    </row>
    <row r="471" customFormat="false" ht="15" hidden="false" customHeight="true" outlineLevel="1" collapsed="false">
      <c r="A471" s="429"/>
      <c r="B471" s="429"/>
      <c r="C471" s="429"/>
      <c r="D471" s="430"/>
      <c r="E471" s="431"/>
      <c r="F471" s="431"/>
      <c r="G471" s="429"/>
      <c r="H471" s="432"/>
      <c r="I471" s="432"/>
      <c r="J471" s="432"/>
      <c r="K471" s="328"/>
      <c r="L471" s="396"/>
      <c r="M471" s="396"/>
      <c r="N471" s="396"/>
      <c r="O471" s="396"/>
      <c r="P471" s="396"/>
      <c r="Q471" s="328"/>
      <c r="R471" s="328"/>
      <c r="S471" s="328"/>
      <c r="T471" s="328"/>
      <c r="U471" s="328"/>
      <c r="V471" s="328"/>
    </row>
    <row r="472" customFormat="false" ht="15" hidden="false" customHeight="true" outlineLevel="1" collapsed="false">
      <c r="A472" s="429"/>
      <c r="B472" s="429"/>
      <c r="C472" s="429"/>
      <c r="D472" s="430"/>
      <c r="E472" s="431"/>
      <c r="F472" s="431"/>
      <c r="G472" s="429"/>
      <c r="H472" s="432"/>
      <c r="I472" s="432"/>
      <c r="J472" s="432"/>
      <c r="K472" s="328"/>
      <c r="L472" s="396"/>
      <c r="M472" s="396"/>
      <c r="N472" s="396"/>
      <c r="O472" s="396"/>
      <c r="P472" s="396"/>
      <c r="Q472" s="328"/>
      <c r="R472" s="328"/>
      <c r="S472" s="328"/>
      <c r="T472" s="328"/>
      <c r="U472" s="328"/>
      <c r="V472" s="328"/>
    </row>
    <row r="473" customFormat="false" ht="15" hidden="false" customHeight="true" outlineLevel="1" collapsed="false">
      <c r="A473" s="429"/>
      <c r="B473" s="429"/>
      <c r="C473" s="429"/>
      <c r="D473" s="430"/>
      <c r="E473" s="431"/>
      <c r="F473" s="431"/>
      <c r="G473" s="429"/>
      <c r="H473" s="432"/>
      <c r="I473" s="432"/>
      <c r="J473" s="432"/>
      <c r="K473" s="328"/>
      <c r="L473" s="396"/>
      <c r="M473" s="396"/>
      <c r="N473" s="396"/>
      <c r="O473" s="396"/>
      <c r="P473" s="396"/>
      <c r="Q473" s="328"/>
      <c r="R473" s="328"/>
      <c r="S473" s="328"/>
      <c r="T473" s="328"/>
      <c r="U473" s="328"/>
      <c r="V473" s="328"/>
    </row>
    <row r="474" customFormat="false" ht="15" hidden="false" customHeight="true" outlineLevel="1" collapsed="false">
      <c r="A474" s="429"/>
      <c r="B474" s="429"/>
      <c r="C474" s="429"/>
      <c r="D474" s="430"/>
      <c r="E474" s="431"/>
      <c r="F474" s="431"/>
      <c r="G474" s="429"/>
      <c r="H474" s="432"/>
      <c r="I474" s="432"/>
      <c r="J474" s="432"/>
      <c r="K474" s="328"/>
      <c r="L474" s="396"/>
      <c r="M474" s="396"/>
      <c r="N474" s="396"/>
      <c r="O474" s="396"/>
      <c r="P474" s="396"/>
      <c r="Q474" s="328"/>
      <c r="R474" s="328"/>
      <c r="S474" s="328"/>
      <c r="T474" s="328"/>
      <c r="U474" s="328"/>
      <c r="V474" s="328"/>
    </row>
    <row r="475" customFormat="false" ht="15" hidden="false" customHeight="true" outlineLevel="1" collapsed="false">
      <c r="A475" s="429"/>
      <c r="B475" s="429"/>
      <c r="C475" s="429"/>
      <c r="D475" s="430"/>
      <c r="E475" s="431"/>
      <c r="F475" s="431"/>
      <c r="G475" s="429"/>
      <c r="H475" s="432"/>
      <c r="I475" s="432"/>
      <c r="J475" s="432"/>
      <c r="K475" s="328"/>
      <c r="L475" s="396"/>
      <c r="M475" s="396"/>
      <c r="N475" s="396"/>
      <c r="O475" s="396"/>
      <c r="P475" s="396"/>
      <c r="Q475" s="328"/>
      <c r="R475" s="328"/>
      <c r="S475" s="328"/>
      <c r="T475" s="328"/>
      <c r="U475" s="328"/>
      <c r="V475" s="328"/>
    </row>
    <row r="476" customFormat="false" ht="15" hidden="false" customHeight="true" outlineLevel="1" collapsed="false">
      <c r="A476" s="429"/>
      <c r="B476" s="429"/>
      <c r="C476" s="429"/>
      <c r="D476" s="430"/>
      <c r="E476" s="431"/>
      <c r="F476" s="431"/>
      <c r="G476" s="429"/>
      <c r="H476" s="432"/>
      <c r="I476" s="432"/>
      <c r="J476" s="432"/>
      <c r="K476" s="328"/>
      <c r="L476" s="396"/>
      <c r="M476" s="396"/>
      <c r="N476" s="396"/>
      <c r="O476" s="396"/>
      <c r="P476" s="396"/>
      <c r="Q476" s="328"/>
      <c r="R476" s="328"/>
      <c r="S476" s="328"/>
      <c r="T476" s="328"/>
      <c r="U476" s="328"/>
      <c r="V476" s="328"/>
    </row>
    <row r="477" customFormat="false" ht="15" hidden="false" customHeight="true" outlineLevel="1" collapsed="false">
      <c r="A477" s="429"/>
      <c r="B477" s="429"/>
      <c r="C477" s="429"/>
      <c r="D477" s="430"/>
      <c r="E477" s="431"/>
      <c r="F477" s="431"/>
      <c r="G477" s="429"/>
      <c r="H477" s="432"/>
      <c r="I477" s="432"/>
      <c r="J477" s="432"/>
      <c r="K477" s="328"/>
      <c r="L477" s="396"/>
      <c r="M477" s="396"/>
      <c r="N477" s="396"/>
      <c r="O477" s="396"/>
      <c r="P477" s="396"/>
      <c r="Q477" s="328"/>
      <c r="R477" s="328"/>
      <c r="S477" s="328"/>
      <c r="T477" s="328"/>
      <c r="U477" s="328"/>
      <c r="V477" s="328"/>
    </row>
    <row r="478" customFormat="false" ht="15" hidden="false" customHeight="true" outlineLevel="1" collapsed="false">
      <c r="A478" s="429"/>
      <c r="B478" s="429"/>
      <c r="C478" s="429"/>
      <c r="D478" s="430"/>
      <c r="E478" s="431"/>
      <c r="F478" s="431"/>
      <c r="G478" s="429"/>
      <c r="H478" s="432"/>
      <c r="I478" s="432"/>
      <c r="J478" s="432"/>
      <c r="K478" s="328"/>
      <c r="L478" s="396"/>
      <c r="M478" s="396"/>
      <c r="N478" s="396"/>
      <c r="O478" s="396"/>
      <c r="P478" s="396"/>
      <c r="Q478" s="328"/>
      <c r="R478" s="328"/>
      <c r="S478" s="328"/>
      <c r="T478" s="328"/>
      <c r="U478" s="328"/>
      <c r="V478" s="328"/>
    </row>
    <row r="479" customFormat="false" ht="15" hidden="false" customHeight="true" outlineLevel="1" collapsed="false">
      <c r="A479" s="429"/>
      <c r="B479" s="429"/>
      <c r="C479" s="429"/>
      <c r="D479" s="430"/>
      <c r="E479" s="431"/>
      <c r="F479" s="431"/>
      <c r="G479" s="429"/>
      <c r="H479" s="432"/>
      <c r="I479" s="432"/>
      <c r="J479" s="432"/>
      <c r="K479" s="328"/>
      <c r="L479" s="396"/>
      <c r="M479" s="396"/>
      <c r="N479" s="396"/>
      <c r="O479" s="396"/>
      <c r="P479" s="396"/>
      <c r="Q479" s="328"/>
      <c r="R479" s="328"/>
      <c r="S479" s="328"/>
      <c r="T479" s="328"/>
      <c r="U479" s="328"/>
      <c r="V479" s="328"/>
    </row>
    <row r="480" customFormat="false" ht="15" hidden="false" customHeight="true" outlineLevel="1" collapsed="false">
      <c r="A480" s="429"/>
      <c r="B480" s="429"/>
      <c r="C480" s="429"/>
      <c r="D480" s="430"/>
      <c r="E480" s="431"/>
      <c r="F480" s="431"/>
      <c r="G480" s="429"/>
      <c r="H480" s="432"/>
      <c r="I480" s="432"/>
      <c r="J480" s="432"/>
      <c r="K480" s="328"/>
      <c r="L480" s="396"/>
      <c r="M480" s="396"/>
      <c r="N480" s="396"/>
      <c r="O480" s="396"/>
      <c r="P480" s="396"/>
      <c r="Q480" s="328"/>
      <c r="R480" s="328"/>
      <c r="S480" s="328"/>
      <c r="T480" s="328"/>
      <c r="U480" s="328"/>
      <c r="V480" s="328"/>
    </row>
    <row r="481" customFormat="false" ht="15" hidden="false" customHeight="true" outlineLevel="1" collapsed="false">
      <c r="A481" s="429"/>
      <c r="B481" s="429"/>
      <c r="C481" s="429"/>
      <c r="D481" s="430"/>
      <c r="E481" s="431"/>
      <c r="F481" s="431"/>
      <c r="G481" s="429"/>
      <c r="H481" s="432"/>
      <c r="I481" s="432"/>
      <c r="J481" s="432"/>
      <c r="K481" s="328"/>
      <c r="L481" s="396"/>
      <c r="M481" s="396"/>
      <c r="N481" s="396"/>
      <c r="O481" s="396"/>
      <c r="P481" s="396"/>
      <c r="Q481" s="328"/>
      <c r="R481" s="328"/>
      <c r="S481" s="328"/>
      <c r="T481" s="328"/>
      <c r="U481" s="328"/>
      <c r="V481" s="328"/>
    </row>
    <row r="482" customFormat="false" ht="15" hidden="false" customHeight="true" outlineLevel="1" collapsed="false">
      <c r="A482" s="429"/>
      <c r="B482" s="429"/>
      <c r="C482" s="429"/>
      <c r="D482" s="430"/>
      <c r="E482" s="431"/>
      <c r="F482" s="431"/>
      <c r="G482" s="429"/>
      <c r="H482" s="432"/>
      <c r="I482" s="432"/>
      <c r="J482" s="432"/>
      <c r="K482" s="328"/>
      <c r="L482" s="396"/>
      <c r="M482" s="396"/>
      <c r="N482" s="396"/>
      <c r="O482" s="396"/>
      <c r="P482" s="396"/>
      <c r="Q482" s="328"/>
      <c r="R482" s="328"/>
      <c r="S482" s="328"/>
      <c r="T482" s="328"/>
      <c r="U482" s="328"/>
      <c r="V482" s="328"/>
    </row>
    <row r="483" customFormat="false" ht="15" hidden="false" customHeight="true" outlineLevel="1" collapsed="false">
      <c r="A483" s="429"/>
      <c r="B483" s="429"/>
      <c r="C483" s="429"/>
      <c r="D483" s="430"/>
      <c r="E483" s="431"/>
      <c r="F483" s="431"/>
      <c r="G483" s="429"/>
      <c r="H483" s="432"/>
      <c r="I483" s="432"/>
      <c r="J483" s="432"/>
      <c r="K483" s="328"/>
      <c r="L483" s="396"/>
      <c r="M483" s="396"/>
      <c r="N483" s="396"/>
      <c r="O483" s="396"/>
      <c r="P483" s="396"/>
      <c r="Q483" s="328"/>
      <c r="R483" s="328"/>
      <c r="S483" s="328"/>
      <c r="T483" s="328"/>
      <c r="U483" s="328"/>
      <c r="V483" s="328"/>
    </row>
    <row r="484" customFormat="false" ht="15" hidden="false" customHeight="true" outlineLevel="1" collapsed="false">
      <c r="A484" s="429"/>
      <c r="B484" s="429"/>
      <c r="C484" s="429"/>
      <c r="D484" s="430"/>
      <c r="E484" s="431"/>
      <c r="F484" s="431"/>
      <c r="G484" s="429"/>
      <c r="H484" s="432"/>
      <c r="I484" s="432"/>
      <c r="J484" s="432"/>
      <c r="K484" s="328"/>
      <c r="L484" s="396"/>
      <c r="M484" s="396"/>
      <c r="N484" s="396"/>
      <c r="O484" s="396"/>
      <c r="P484" s="396"/>
      <c r="Q484" s="328"/>
      <c r="R484" s="328"/>
      <c r="S484" s="328"/>
      <c r="T484" s="328"/>
      <c r="U484" s="328"/>
      <c r="V484" s="328"/>
    </row>
    <row r="485" customFormat="false" ht="15" hidden="false" customHeight="true" outlineLevel="1" collapsed="false">
      <c r="A485" s="429"/>
      <c r="B485" s="429"/>
      <c r="C485" s="429"/>
      <c r="D485" s="430"/>
      <c r="E485" s="431"/>
      <c r="F485" s="431"/>
      <c r="G485" s="429"/>
      <c r="H485" s="432"/>
      <c r="I485" s="432"/>
      <c r="J485" s="432"/>
      <c r="K485" s="328"/>
      <c r="L485" s="396"/>
      <c r="M485" s="396"/>
      <c r="N485" s="396"/>
      <c r="O485" s="396"/>
      <c r="P485" s="396"/>
      <c r="Q485" s="328"/>
      <c r="R485" s="328"/>
      <c r="S485" s="328"/>
      <c r="T485" s="328"/>
      <c r="U485" s="328"/>
      <c r="V485" s="328"/>
    </row>
    <row r="486" customFormat="false" ht="15" hidden="false" customHeight="true" outlineLevel="1" collapsed="false">
      <c r="A486" s="429"/>
      <c r="B486" s="429"/>
      <c r="C486" s="429"/>
      <c r="D486" s="430"/>
      <c r="E486" s="431"/>
      <c r="F486" s="431"/>
      <c r="G486" s="429"/>
      <c r="H486" s="432"/>
      <c r="I486" s="432"/>
      <c r="J486" s="432"/>
      <c r="K486" s="328"/>
      <c r="L486" s="396"/>
      <c r="M486" s="396"/>
      <c r="N486" s="396"/>
      <c r="O486" s="396"/>
      <c r="P486" s="396"/>
      <c r="Q486" s="328"/>
      <c r="R486" s="328"/>
      <c r="S486" s="328"/>
      <c r="T486" s="328"/>
      <c r="U486" s="328"/>
      <c r="V486" s="328"/>
    </row>
    <row r="487" customFormat="false" ht="15" hidden="false" customHeight="true" outlineLevel="1" collapsed="false">
      <c r="A487" s="429"/>
      <c r="B487" s="429"/>
      <c r="C487" s="429"/>
      <c r="D487" s="430"/>
      <c r="E487" s="431"/>
      <c r="F487" s="431"/>
      <c r="G487" s="429"/>
      <c r="H487" s="432"/>
      <c r="I487" s="432"/>
      <c r="J487" s="432"/>
      <c r="K487" s="328"/>
      <c r="L487" s="396"/>
      <c r="M487" s="396"/>
      <c r="N487" s="396"/>
      <c r="O487" s="396"/>
      <c r="P487" s="396"/>
      <c r="Q487" s="328"/>
      <c r="R487" s="328"/>
      <c r="S487" s="328"/>
      <c r="T487" s="328"/>
      <c r="U487" s="328"/>
      <c r="V487" s="328"/>
    </row>
    <row r="488" customFormat="false" ht="15" hidden="false" customHeight="true" outlineLevel="1" collapsed="false">
      <c r="A488" s="429"/>
      <c r="B488" s="429"/>
      <c r="C488" s="429"/>
      <c r="D488" s="430"/>
      <c r="E488" s="431"/>
      <c r="F488" s="431"/>
      <c r="G488" s="429"/>
      <c r="H488" s="432"/>
      <c r="I488" s="432"/>
      <c r="J488" s="432"/>
      <c r="K488" s="328"/>
      <c r="L488" s="396"/>
      <c r="M488" s="396"/>
      <c r="N488" s="396"/>
      <c r="O488" s="396"/>
      <c r="P488" s="396"/>
      <c r="Q488" s="328"/>
      <c r="R488" s="328"/>
      <c r="S488" s="328"/>
      <c r="T488" s="328"/>
      <c r="U488" s="328"/>
      <c r="V488" s="328"/>
    </row>
    <row r="489" customFormat="false" ht="15" hidden="false" customHeight="true" outlineLevel="1" collapsed="false">
      <c r="A489" s="429"/>
      <c r="B489" s="429"/>
      <c r="C489" s="429"/>
      <c r="D489" s="430"/>
      <c r="E489" s="431"/>
      <c r="F489" s="431"/>
      <c r="G489" s="429"/>
      <c r="H489" s="432"/>
      <c r="I489" s="432"/>
      <c r="J489" s="432"/>
      <c r="K489" s="328"/>
      <c r="L489" s="396"/>
      <c r="M489" s="396"/>
      <c r="N489" s="396"/>
      <c r="O489" s="396"/>
      <c r="P489" s="396"/>
      <c r="Q489" s="328"/>
      <c r="R489" s="328"/>
      <c r="S489" s="328"/>
      <c r="T489" s="328"/>
      <c r="U489" s="328"/>
      <c r="V489" s="328"/>
    </row>
    <row r="490" customFormat="false" ht="15" hidden="false" customHeight="true" outlineLevel="1" collapsed="false">
      <c r="A490" s="429"/>
      <c r="B490" s="429"/>
      <c r="C490" s="429"/>
      <c r="D490" s="430"/>
      <c r="E490" s="431"/>
      <c r="F490" s="431"/>
      <c r="G490" s="429"/>
      <c r="H490" s="432"/>
      <c r="I490" s="432"/>
      <c r="J490" s="432"/>
      <c r="K490" s="328"/>
      <c r="L490" s="396"/>
      <c r="M490" s="396"/>
      <c r="N490" s="396"/>
      <c r="O490" s="396"/>
      <c r="P490" s="396"/>
      <c r="Q490" s="328"/>
      <c r="R490" s="328"/>
      <c r="S490" s="328"/>
      <c r="T490" s="328"/>
      <c r="U490" s="328"/>
      <c r="V490" s="328"/>
    </row>
    <row r="491" customFormat="false" ht="15" hidden="false" customHeight="true" outlineLevel="1" collapsed="false">
      <c r="A491" s="429"/>
      <c r="B491" s="429"/>
      <c r="C491" s="429"/>
      <c r="D491" s="430"/>
      <c r="E491" s="431"/>
      <c r="F491" s="431"/>
      <c r="G491" s="429"/>
      <c r="H491" s="432"/>
      <c r="I491" s="432"/>
      <c r="J491" s="432"/>
      <c r="K491" s="328"/>
      <c r="L491" s="396"/>
      <c r="M491" s="396"/>
      <c r="N491" s="396"/>
      <c r="O491" s="396"/>
      <c r="P491" s="396"/>
      <c r="Q491" s="328"/>
      <c r="R491" s="328"/>
      <c r="S491" s="328"/>
      <c r="T491" s="328"/>
      <c r="U491" s="328"/>
      <c r="V491" s="328"/>
    </row>
    <row r="492" customFormat="false" ht="15" hidden="false" customHeight="true" outlineLevel="1" collapsed="false">
      <c r="A492" s="429"/>
      <c r="B492" s="429"/>
      <c r="C492" s="429"/>
      <c r="D492" s="430"/>
      <c r="E492" s="431"/>
      <c r="F492" s="431"/>
      <c r="G492" s="429"/>
      <c r="H492" s="432"/>
      <c r="I492" s="432"/>
      <c r="J492" s="432"/>
      <c r="K492" s="328"/>
      <c r="L492" s="396"/>
      <c r="M492" s="396"/>
      <c r="N492" s="396"/>
      <c r="O492" s="396"/>
      <c r="P492" s="396"/>
      <c r="Q492" s="328"/>
      <c r="R492" s="328"/>
      <c r="S492" s="328"/>
      <c r="T492" s="328"/>
      <c r="U492" s="328"/>
      <c r="V492" s="328"/>
    </row>
    <row r="493" customFormat="false" ht="15" hidden="false" customHeight="true" outlineLevel="1" collapsed="false">
      <c r="A493" s="429"/>
      <c r="B493" s="429"/>
      <c r="C493" s="429"/>
      <c r="D493" s="430"/>
      <c r="E493" s="431"/>
      <c r="F493" s="431"/>
      <c r="G493" s="429"/>
      <c r="H493" s="432"/>
      <c r="I493" s="432"/>
      <c r="J493" s="432"/>
      <c r="K493" s="328"/>
      <c r="L493" s="396"/>
      <c r="M493" s="396"/>
      <c r="N493" s="396"/>
      <c r="O493" s="396"/>
      <c r="P493" s="396"/>
      <c r="Q493" s="328"/>
      <c r="R493" s="328"/>
      <c r="S493" s="328"/>
      <c r="T493" s="328"/>
      <c r="U493" s="328"/>
      <c r="V493" s="328"/>
    </row>
    <row r="494" customFormat="false" ht="15" hidden="false" customHeight="true" outlineLevel="1" collapsed="false">
      <c r="A494" s="429"/>
      <c r="B494" s="429"/>
      <c r="C494" s="429"/>
      <c r="D494" s="430"/>
      <c r="E494" s="431"/>
      <c r="F494" s="431"/>
      <c r="G494" s="429"/>
      <c r="H494" s="432"/>
      <c r="I494" s="432"/>
      <c r="J494" s="432"/>
      <c r="K494" s="328"/>
      <c r="L494" s="396"/>
      <c r="M494" s="396"/>
      <c r="N494" s="396"/>
      <c r="O494" s="396"/>
      <c r="P494" s="396"/>
      <c r="Q494" s="328"/>
      <c r="R494" s="328"/>
      <c r="S494" s="328"/>
      <c r="T494" s="328"/>
      <c r="U494" s="328"/>
      <c r="V494" s="328"/>
    </row>
    <row r="495" customFormat="false" ht="15" hidden="false" customHeight="true" outlineLevel="1" collapsed="false">
      <c r="A495" s="429"/>
      <c r="B495" s="429"/>
      <c r="C495" s="429"/>
      <c r="D495" s="430"/>
      <c r="E495" s="431"/>
      <c r="F495" s="431"/>
      <c r="G495" s="429"/>
      <c r="H495" s="432"/>
      <c r="I495" s="432"/>
      <c r="J495" s="432"/>
      <c r="K495" s="328"/>
      <c r="L495" s="396"/>
      <c r="M495" s="396"/>
      <c r="N495" s="396"/>
      <c r="O495" s="396"/>
      <c r="P495" s="396"/>
      <c r="Q495" s="328"/>
      <c r="R495" s="328"/>
      <c r="S495" s="328"/>
      <c r="T495" s="328"/>
      <c r="U495" s="328"/>
      <c r="V495" s="328"/>
    </row>
    <row r="496" customFormat="false" ht="15" hidden="false" customHeight="true" outlineLevel="1" collapsed="false">
      <c r="A496" s="429"/>
      <c r="B496" s="429"/>
      <c r="C496" s="429"/>
      <c r="D496" s="430"/>
      <c r="E496" s="431"/>
      <c r="F496" s="431"/>
      <c r="G496" s="429"/>
      <c r="H496" s="432"/>
      <c r="I496" s="432"/>
      <c r="J496" s="432"/>
      <c r="K496" s="328"/>
      <c r="L496" s="396"/>
      <c r="M496" s="396"/>
      <c r="N496" s="396"/>
      <c r="O496" s="396"/>
      <c r="P496" s="396"/>
      <c r="Q496" s="328"/>
      <c r="R496" s="328"/>
      <c r="S496" s="328"/>
      <c r="T496" s="328"/>
      <c r="U496" s="328"/>
      <c r="V496" s="328"/>
    </row>
    <row r="497" customFormat="false" ht="15" hidden="false" customHeight="true" outlineLevel="1" collapsed="false">
      <c r="A497" s="429"/>
      <c r="B497" s="429"/>
      <c r="C497" s="429"/>
      <c r="D497" s="430"/>
      <c r="E497" s="431"/>
      <c r="F497" s="431"/>
      <c r="G497" s="429"/>
      <c r="H497" s="432"/>
      <c r="I497" s="432"/>
      <c r="J497" s="432"/>
      <c r="K497" s="328"/>
      <c r="L497" s="396"/>
      <c r="M497" s="396"/>
      <c r="N497" s="396"/>
      <c r="O497" s="396"/>
      <c r="P497" s="396"/>
      <c r="Q497" s="328"/>
      <c r="R497" s="328"/>
      <c r="S497" s="328"/>
      <c r="T497" s="328"/>
      <c r="U497" s="328"/>
      <c r="V497" s="328"/>
    </row>
    <row r="498" customFormat="false" ht="15" hidden="false" customHeight="true" outlineLevel="1" collapsed="false">
      <c r="A498" s="429"/>
      <c r="B498" s="429"/>
      <c r="C498" s="429"/>
      <c r="D498" s="430"/>
      <c r="E498" s="431"/>
      <c r="F498" s="431"/>
      <c r="G498" s="429"/>
      <c r="H498" s="432"/>
      <c r="I498" s="432"/>
      <c r="J498" s="432"/>
      <c r="K498" s="328"/>
      <c r="L498" s="396"/>
      <c r="M498" s="396"/>
      <c r="N498" s="396"/>
      <c r="O498" s="396"/>
      <c r="P498" s="396"/>
      <c r="Q498" s="328"/>
      <c r="R498" s="328"/>
      <c r="S498" s="328"/>
      <c r="T498" s="328"/>
      <c r="U498" s="328"/>
      <c r="V498" s="328"/>
    </row>
    <row r="499" customFormat="false" ht="15" hidden="false" customHeight="true" outlineLevel="1" collapsed="false">
      <c r="A499" s="429"/>
      <c r="B499" s="429"/>
      <c r="C499" s="429"/>
      <c r="D499" s="430"/>
      <c r="E499" s="431"/>
      <c r="F499" s="431"/>
      <c r="G499" s="429"/>
      <c r="H499" s="432"/>
      <c r="I499" s="432"/>
      <c r="J499" s="432"/>
      <c r="K499" s="328"/>
      <c r="L499" s="396"/>
      <c r="M499" s="396"/>
      <c r="N499" s="396"/>
      <c r="O499" s="396"/>
      <c r="P499" s="396"/>
      <c r="Q499" s="328"/>
      <c r="R499" s="328"/>
      <c r="S499" s="328"/>
      <c r="T499" s="328"/>
      <c r="U499" s="328"/>
      <c r="V499" s="328"/>
    </row>
    <row r="500" customFormat="false" ht="15" hidden="false" customHeight="true" outlineLevel="1" collapsed="false">
      <c r="A500" s="429"/>
      <c r="B500" s="429"/>
      <c r="C500" s="429"/>
      <c r="D500" s="430"/>
      <c r="E500" s="431"/>
      <c r="F500" s="431"/>
      <c r="G500" s="429"/>
      <c r="H500" s="432"/>
      <c r="I500" s="432"/>
      <c r="J500" s="432"/>
      <c r="K500" s="328"/>
      <c r="L500" s="396"/>
      <c r="M500" s="396"/>
      <c r="N500" s="396"/>
      <c r="O500" s="396"/>
      <c r="P500" s="396"/>
      <c r="Q500" s="328"/>
      <c r="R500" s="328"/>
      <c r="S500" s="328"/>
      <c r="T500" s="328"/>
      <c r="U500" s="328"/>
      <c r="V500" s="328"/>
    </row>
    <row r="501" customFormat="false" ht="15" hidden="false" customHeight="true" outlineLevel="1" collapsed="false">
      <c r="A501" s="429"/>
      <c r="B501" s="429"/>
      <c r="C501" s="429"/>
      <c r="D501" s="430"/>
      <c r="E501" s="431"/>
      <c r="F501" s="431"/>
      <c r="G501" s="429"/>
      <c r="H501" s="432"/>
      <c r="I501" s="432"/>
      <c r="J501" s="432"/>
      <c r="K501" s="328"/>
      <c r="L501" s="396"/>
      <c r="M501" s="396"/>
      <c r="N501" s="396"/>
      <c r="O501" s="396"/>
      <c r="P501" s="396"/>
      <c r="Q501" s="328"/>
      <c r="R501" s="328"/>
      <c r="S501" s="328"/>
      <c r="T501" s="328"/>
      <c r="U501" s="328"/>
      <c r="V501" s="328"/>
    </row>
    <row r="502" customFormat="false" ht="15" hidden="false" customHeight="true" outlineLevel="1" collapsed="false">
      <c r="A502" s="429"/>
      <c r="B502" s="429"/>
      <c r="C502" s="429"/>
      <c r="D502" s="430"/>
      <c r="E502" s="431"/>
      <c r="F502" s="431"/>
      <c r="G502" s="429"/>
      <c r="H502" s="432"/>
      <c r="I502" s="432"/>
      <c r="J502" s="432"/>
      <c r="K502" s="328"/>
      <c r="L502" s="396"/>
      <c r="M502" s="396"/>
      <c r="N502" s="396"/>
      <c r="O502" s="396"/>
      <c r="P502" s="396"/>
      <c r="Q502" s="328"/>
      <c r="R502" s="328"/>
      <c r="S502" s="328"/>
      <c r="T502" s="328"/>
      <c r="U502" s="328"/>
      <c r="V502" s="328"/>
    </row>
    <row r="503" customFormat="false" ht="15" hidden="false" customHeight="true" outlineLevel="1" collapsed="false">
      <c r="A503" s="429"/>
      <c r="B503" s="429"/>
      <c r="C503" s="429"/>
      <c r="D503" s="430"/>
      <c r="E503" s="431"/>
      <c r="F503" s="431"/>
      <c r="G503" s="429"/>
      <c r="H503" s="432"/>
      <c r="I503" s="432"/>
      <c r="J503" s="432"/>
      <c r="K503" s="328"/>
      <c r="L503" s="396"/>
      <c r="M503" s="396"/>
      <c r="N503" s="396"/>
      <c r="O503" s="396"/>
      <c r="P503" s="396"/>
      <c r="Q503" s="328"/>
      <c r="R503" s="328"/>
      <c r="S503" s="328"/>
      <c r="T503" s="328"/>
      <c r="U503" s="328"/>
      <c r="V503" s="328"/>
    </row>
    <row r="504" customFormat="false" ht="15" hidden="false" customHeight="true" outlineLevel="1" collapsed="false">
      <c r="A504" s="429"/>
      <c r="B504" s="429"/>
      <c r="C504" s="429"/>
      <c r="D504" s="430"/>
      <c r="E504" s="431"/>
      <c r="F504" s="431"/>
      <c r="G504" s="429"/>
      <c r="H504" s="432"/>
      <c r="I504" s="432"/>
      <c r="J504" s="432"/>
      <c r="K504" s="328"/>
      <c r="L504" s="396"/>
      <c r="M504" s="396"/>
      <c r="N504" s="396"/>
      <c r="O504" s="396"/>
      <c r="P504" s="396"/>
      <c r="Q504" s="328"/>
      <c r="R504" s="328"/>
      <c r="S504" s="328"/>
      <c r="T504" s="328"/>
      <c r="U504" s="328"/>
      <c r="V504" s="328"/>
    </row>
    <row r="505" customFormat="false" ht="15" hidden="false" customHeight="true" outlineLevel="1" collapsed="false">
      <c r="A505" s="429"/>
      <c r="B505" s="429"/>
      <c r="C505" s="429"/>
      <c r="D505" s="430"/>
      <c r="E505" s="431"/>
      <c r="F505" s="431"/>
      <c r="G505" s="429"/>
      <c r="H505" s="432"/>
      <c r="I505" s="432"/>
      <c r="J505" s="432"/>
      <c r="K505" s="328"/>
      <c r="L505" s="396"/>
      <c r="M505" s="396"/>
      <c r="N505" s="396"/>
      <c r="O505" s="396"/>
      <c r="P505" s="396"/>
      <c r="Q505" s="328"/>
      <c r="R505" s="328"/>
      <c r="S505" s="328"/>
      <c r="T505" s="328"/>
      <c r="U505" s="328"/>
      <c r="V505" s="328"/>
    </row>
    <row r="506" customFormat="false" ht="15" hidden="false" customHeight="true" outlineLevel="1" collapsed="false">
      <c r="A506" s="429"/>
      <c r="B506" s="429"/>
      <c r="C506" s="429"/>
      <c r="D506" s="430"/>
      <c r="E506" s="431"/>
      <c r="F506" s="431"/>
      <c r="G506" s="429"/>
      <c r="H506" s="432"/>
      <c r="I506" s="432"/>
      <c r="J506" s="432"/>
      <c r="K506" s="328"/>
      <c r="L506" s="396"/>
      <c r="M506" s="396"/>
      <c r="N506" s="396"/>
      <c r="O506" s="396"/>
      <c r="P506" s="396"/>
      <c r="Q506" s="328"/>
      <c r="R506" s="328"/>
      <c r="S506" s="328"/>
      <c r="T506" s="328"/>
      <c r="U506" s="328"/>
      <c r="V506" s="328"/>
    </row>
    <row r="507" customFormat="false" ht="15" hidden="false" customHeight="true" outlineLevel="1" collapsed="false">
      <c r="A507" s="429"/>
      <c r="B507" s="429"/>
      <c r="C507" s="429"/>
      <c r="D507" s="430"/>
      <c r="E507" s="431"/>
      <c r="F507" s="431"/>
      <c r="G507" s="429"/>
      <c r="H507" s="432"/>
      <c r="I507" s="432"/>
      <c r="J507" s="432"/>
      <c r="K507" s="328"/>
      <c r="L507" s="396"/>
      <c r="M507" s="396"/>
      <c r="N507" s="396"/>
      <c r="O507" s="396"/>
      <c r="P507" s="396"/>
      <c r="Q507" s="328"/>
      <c r="R507" s="328"/>
      <c r="S507" s="328"/>
      <c r="T507" s="328"/>
      <c r="U507" s="328"/>
      <c r="V507" s="328"/>
    </row>
    <row r="508" customFormat="false" ht="15" hidden="false" customHeight="true" outlineLevel="1" collapsed="false">
      <c r="A508" s="429"/>
      <c r="B508" s="429"/>
      <c r="C508" s="429"/>
      <c r="D508" s="430"/>
      <c r="E508" s="431"/>
      <c r="F508" s="431"/>
      <c r="G508" s="429"/>
      <c r="H508" s="432"/>
      <c r="I508" s="432"/>
      <c r="J508" s="432"/>
      <c r="K508" s="328"/>
      <c r="L508" s="396"/>
      <c r="M508" s="396"/>
      <c r="N508" s="396"/>
      <c r="O508" s="396"/>
      <c r="P508" s="396"/>
      <c r="Q508" s="328"/>
      <c r="R508" s="328"/>
      <c r="S508" s="328"/>
      <c r="T508" s="328"/>
      <c r="U508" s="328"/>
      <c r="V508" s="328"/>
    </row>
    <row r="509" customFormat="false" ht="15" hidden="false" customHeight="true" outlineLevel="1" collapsed="false">
      <c r="A509" s="429"/>
      <c r="B509" s="429"/>
      <c r="C509" s="429"/>
      <c r="D509" s="430"/>
      <c r="E509" s="431"/>
      <c r="F509" s="431"/>
      <c r="G509" s="429"/>
      <c r="H509" s="432"/>
      <c r="I509" s="432"/>
      <c r="J509" s="432"/>
      <c r="K509" s="328"/>
      <c r="L509" s="396"/>
      <c r="M509" s="396"/>
      <c r="N509" s="396"/>
      <c r="O509" s="396"/>
      <c r="P509" s="396"/>
      <c r="Q509" s="328"/>
      <c r="R509" s="328"/>
      <c r="S509" s="328"/>
      <c r="T509" s="328"/>
      <c r="U509" s="328"/>
      <c r="V509" s="328"/>
    </row>
    <row r="510" customFormat="false" ht="15" hidden="false" customHeight="true" outlineLevel="1" collapsed="false">
      <c r="A510" s="429"/>
      <c r="B510" s="429"/>
      <c r="C510" s="429"/>
      <c r="D510" s="430"/>
      <c r="E510" s="431"/>
      <c r="F510" s="431"/>
      <c r="G510" s="429"/>
      <c r="H510" s="432"/>
      <c r="I510" s="432"/>
      <c r="J510" s="432"/>
      <c r="K510" s="328"/>
      <c r="L510" s="396"/>
      <c r="M510" s="396"/>
      <c r="N510" s="396"/>
      <c r="O510" s="396"/>
      <c r="P510" s="396"/>
      <c r="Q510" s="328"/>
      <c r="R510" s="328"/>
      <c r="S510" s="328"/>
      <c r="T510" s="328"/>
      <c r="U510" s="328"/>
      <c r="V510" s="328"/>
    </row>
    <row r="511" customFormat="false" ht="15" hidden="false" customHeight="true" outlineLevel="1" collapsed="false">
      <c r="A511" s="429"/>
      <c r="B511" s="429"/>
      <c r="C511" s="429"/>
      <c r="D511" s="430"/>
      <c r="E511" s="431"/>
      <c r="F511" s="431"/>
      <c r="G511" s="429"/>
      <c r="H511" s="432"/>
      <c r="I511" s="432"/>
      <c r="J511" s="432"/>
      <c r="K511" s="328"/>
      <c r="L511" s="396"/>
      <c r="M511" s="396"/>
      <c r="N511" s="396"/>
      <c r="O511" s="396"/>
      <c r="P511" s="396"/>
      <c r="Q511" s="328"/>
      <c r="R511" s="328"/>
      <c r="S511" s="328"/>
      <c r="T511" s="328"/>
      <c r="U511" s="328"/>
      <c r="V511" s="328"/>
    </row>
    <row r="512" customFormat="false" ht="15" hidden="false" customHeight="true" outlineLevel="1" collapsed="false">
      <c r="A512" s="429"/>
      <c r="B512" s="429"/>
      <c r="C512" s="429"/>
      <c r="D512" s="430"/>
      <c r="E512" s="431"/>
      <c r="F512" s="431"/>
      <c r="G512" s="429"/>
      <c r="H512" s="432"/>
      <c r="I512" s="432"/>
      <c r="J512" s="432"/>
      <c r="K512" s="328"/>
      <c r="L512" s="396"/>
      <c r="M512" s="396"/>
      <c r="N512" s="396"/>
      <c r="O512" s="396"/>
      <c r="P512" s="396"/>
      <c r="Q512" s="328"/>
      <c r="R512" s="328"/>
      <c r="S512" s="328"/>
      <c r="T512" s="328"/>
      <c r="U512" s="328"/>
      <c r="V512" s="328"/>
    </row>
    <row r="513" customFormat="false" ht="15" hidden="false" customHeight="true" outlineLevel="1" collapsed="false">
      <c r="A513" s="429"/>
      <c r="B513" s="429"/>
      <c r="C513" s="429"/>
      <c r="D513" s="430"/>
      <c r="E513" s="431"/>
      <c r="F513" s="431"/>
      <c r="G513" s="429"/>
      <c r="H513" s="432"/>
      <c r="I513" s="432"/>
      <c r="J513" s="432"/>
      <c r="K513" s="328"/>
      <c r="L513" s="396"/>
      <c r="M513" s="396"/>
      <c r="N513" s="396"/>
      <c r="O513" s="396"/>
      <c r="P513" s="396"/>
      <c r="Q513" s="328"/>
      <c r="R513" s="328"/>
      <c r="S513" s="328"/>
      <c r="T513" s="328"/>
      <c r="U513" s="328"/>
      <c r="V513" s="328"/>
    </row>
    <row r="514" customFormat="false" ht="15" hidden="false" customHeight="true" outlineLevel="1" collapsed="false">
      <c r="A514" s="429"/>
      <c r="B514" s="429"/>
      <c r="C514" s="429"/>
      <c r="D514" s="430"/>
      <c r="E514" s="431"/>
      <c r="F514" s="431"/>
      <c r="G514" s="429"/>
      <c r="H514" s="432"/>
      <c r="I514" s="432"/>
      <c r="J514" s="432"/>
      <c r="K514" s="328"/>
      <c r="L514" s="396"/>
      <c r="M514" s="396"/>
      <c r="N514" s="396"/>
      <c r="O514" s="396"/>
      <c r="P514" s="396"/>
      <c r="Q514" s="328"/>
      <c r="R514" s="328"/>
      <c r="S514" s="328"/>
      <c r="T514" s="328"/>
      <c r="U514" s="328"/>
      <c r="V514" s="328"/>
    </row>
    <row r="515" customFormat="false" ht="15" hidden="false" customHeight="true" outlineLevel="1" collapsed="false">
      <c r="A515" s="429"/>
      <c r="B515" s="429"/>
      <c r="C515" s="429"/>
      <c r="D515" s="430"/>
      <c r="E515" s="431"/>
      <c r="F515" s="431"/>
      <c r="G515" s="429"/>
      <c r="H515" s="432"/>
      <c r="I515" s="432"/>
      <c r="J515" s="432"/>
      <c r="K515" s="328"/>
      <c r="L515" s="396"/>
      <c r="M515" s="396"/>
      <c r="N515" s="396"/>
      <c r="O515" s="396"/>
      <c r="P515" s="396"/>
      <c r="Q515" s="328"/>
      <c r="R515" s="328"/>
      <c r="S515" s="328"/>
      <c r="T515" s="328"/>
      <c r="U515" s="328"/>
      <c r="V515" s="328"/>
    </row>
    <row r="516" customFormat="false" ht="15" hidden="false" customHeight="true" outlineLevel="1" collapsed="false">
      <c r="A516" s="429"/>
      <c r="B516" s="429"/>
      <c r="C516" s="429"/>
      <c r="D516" s="430"/>
      <c r="E516" s="431"/>
      <c r="F516" s="431"/>
      <c r="G516" s="429"/>
      <c r="H516" s="432"/>
      <c r="I516" s="432"/>
      <c r="J516" s="432"/>
      <c r="K516" s="328"/>
      <c r="L516" s="396"/>
      <c r="M516" s="396"/>
      <c r="N516" s="396"/>
      <c r="O516" s="396"/>
      <c r="P516" s="396"/>
      <c r="Q516" s="328"/>
      <c r="R516" s="328"/>
      <c r="S516" s="328"/>
      <c r="T516" s="328"/>
      <c r="U516" s="328"/>
      <c r="V516" s="328"/>
    </row>
    <row r="517" customFormat="false" ht="15" hidden="false" customHeight="true" outlineLevel="1" collapsed="false">
      <c r="A517" s="429"/>
      <c r="B517" s="429"/>
      <c r="C517" s="429"/>
      <c r="D517" s="430"/>
      <c r="E517" s="431"/>
      <c r="F517" s="431"/>
      <c r="G517" s="429"/>
      <c r="H517" s="432"/>
      <c r="I517" s="432"/>
      <c r="J517" s="432"/>
      <c r="K517" s="328"/>
      <c r="L517" s="396"/>
      <c r="M517" s="396"/>
      <c r="N517" s="396"/>
      <c r="O517" s="396"/>
      <c r="P517" s="396"/>
      <c r="Q517" s="328"/>
      <c r="R517" s="328"/>
      <c r="S517" s="328"/>
      <c r="T517" s="328"/>
      <c r="U517" s="328"/>
      <c r="V517" s="328"/>
    </row>
    <row r="518" customFormat="false" ht="15" hidden="false" customHeight="true" outlineLevel="1" collapsed="false">
      <c r="A518" s="429"/>
      <c r="B518" s="429"/>
      <c r="C518" s="429"/>
      <c r="D518" s="430"/>
      <c r="E518" s="431"/>
      <c r="F518" s="431"/>
      <c r="G518" s="429"/>
      <c r="H518" s="432"/>
      <c r="I518" s="432"/>
      <c r="J518" s="432"/>
      <c r="K518" s="328"/>
      <c r="L518" s="396"/>
      <c r="M518" s="396"/>
      <c r="N518" s="396"/>
      <c r="O518" s="396"/>
      <c r="P518" s="396"/>
      <c r="Q518" s="328"/>
      <c r="R518" s="328"/>
      <c r="S518" s="328"/>
      <c r="T518" s="328"/>
      <c r="U518" s="328"/>
      <c r="V518" s="328"/>
    </row>
    <row r="519" customFormat="false" ht="15" hidden="false" customHeight="true" outlineLevel="1" collapsed="false">
      <c r="A519" s="429"/>
      <c r="B519" s="429"/>
      <c r="C519" s="429"/>
      <c r="D519" s="430"/>
      <c r="E519" s="431"/>
      <c r="F519" s="431"/>
      <c r="G519" s="429"/>
      <c r="H519" s="432"/>
      <c r="I519" s="432"/>
      <c r="J519" s="432"/>
      <c r="K519" s="328"/>
      <c r="L519" s="396"/>
      <c r="M519" s="396"/>
      <c r="N519" s="396"/>
      <c r="O519" s="396"/>
      <c r="P519" s="396"/>
      <c r="Q519" s="328"/>
      <c r="R519" s="328"/>
      <c r="S519" s="328"/>
      <c r="T519" s="328"/>
      <c r="U519" s="328"/>
      <c r="V519" s="328"/>
    </row>
    <row r="520" customFormat="false" ht="15" hidden="false" customHeight="true" outlineLevel="1" collapsed="false">
      <c r="A520" s="429"/>
      <c r="B520" s="429"/>
      <c r="C520" s="429"/>
      <c r="D520" s="430"/>
      <c r="E520" s="431"/>
      <c r="F520" s="431"/>
      <c r="G520" s="429"/>
      <c r="H520" s="432"/>
      <c r="I520" s="432"/>
      <c r="J520" s="432"/>
      <c r="K520" s="328"/>
      <c r="L520" s="396"/>
      <c r="M520" s="396"/>
      <c r="N520" s="396"/>
      <c r="O520" s="396"/>
      <c r="P520" s="396"/>
      <c r="Q520" s="328"/>
      <c r="R520" s="328"/>
      <c r="S520" s="328"/>
      <c r="T520" s="328"/>
      <c r="U520" s="328"/>
      <c r="V520" s="328"/>
    </row>
    <row r="521" customFormat="false" ht="15" hidden="false" customHeight="true" outlineLevel="1" collapsed="false">
      <c r="A521" s="429"/>
      <c r="B521" s="429"/>
      <c r="C521" s="429"/>
      <c r="D521" s="430"/>
      <c r="E521" s="431"/>
      <c r="F521" s="431"/>
      <c r="G521" s="429"/>
      <c r="H521" s="432"/>
      <c r="I521" s="432"/>
      <c r="J521" s="432"/>
      <c r="K521" s="328"/>
      <c r="L521" s="396"/>
      <c r="M521" s="396"/>
      <c r="N521" s="396"/>
      <c r="O521" s="396"/>
      <c r="P521" s="396"/>
      <c r="Q521" s="328"/>
      <c r="R521" s="328"/>
      <c r="S521" s="328"/>
      <c r="T521" s="328"/>
      <c r="U521" s="328"/>
      <c r="V521" s="328"/>
    </row>
    <row r="522" customFormat="false" ht="15" hidden="false" customHeight="true" outlineLevel="1" collapsed="false">
      <c r="A522" s="429"/>
      <c r="B522" s="429"/>
      <c r="C522" s="429"/>
      <c r="D522" s="430"/>
      <c r="E522" s="431"/>
      <c r="F522" s="431"/>
      <c r="G522" s="429"/>
      <c r="H522" s="432"/>
      <c r="I522" s="432"/>
      <c r="J522" s="432"/>
      <c r="K522" s="328"/>
      <c r="L522" s="396"/>
      <c r="M522" s="396"/>
      <c r="N522" s="396"/>
      <c r="O522" s="396"/>
      <c r="P522" s="396"/>
      <c r="Q522" s="328"/>
      <c r="R522" s="328"/>
      <c r="S522" s="328"/>
      <c r="T522" s="328"/>
      <c r="U522" s="328"/>
      <c r="V522" s="328"/>
    </row>
    <row r="523" customFormat="false" ht="15" hidden="false" customHeight="true" outlineLevel="1" collapsed="false">
      <c r="A523" s="429"/>
      <c r="B523" s="429"/>
      <c r="C523" s="429"/>
      <c r="D523" s="430"/>
      <c r="E523" s="431"/>
      <c r="F523" s="431"/>
      <c r="G523" s="429"/>
      <c r="H523" s="432"/>
      <c r="I523" s="432"/>
      <c r="J523" s="432"/>
      <c r="K523" s="328"/>
      <c r="L523" s="396"/>
      <c r="M523" s="396"/>
      <c r="N523" s="396"/>
      <c r="O523" s="396"/>
      <c r="P523" s="396"/>
      <c r="Q523" s="328"/>
      <c r="R523" s="328"/>
      <c r="S523" s="328"/>
      <c r="T523" s="328"/>
      <c r="U523" s="328"/>
      <c r="V523" s="328"/>
    </row>
    <row r="524" customFormat="false" ht="15" hidden="false" customHeight="true" outlineLevel="1" collapsed="false">
      <c r="A524" s="429"/>
      <c r="B524" s="429"/>
      <c r="C524" s="429"/>
      <c r="D524" s="430"/>
      <c r="E524" s="431"/>
      <c r="F524" s="431"/>
      <c r="G524" s="429"/>
      <c r="H524" s="432"/>
      <c r="I524" s="432"/>
      <c r="J524" s="432"/>
      <c r="K524" s="328"/>
      <c r="L524" s="396"/>
      <c r="M524" s="396"/>
      <c r="N524" s="396"/>
      <c r="O524" s="396"/>
      <c r="P524" s="396"/>
      <c r="Q524" s="328"/>
      <c r="R524" s="328"/>
      <c r="S524" s="328"/>
      <c r="T524" s="328"/>
      <c r="U524" s="328"/>
      <c r="V524" s="328"/>
    </row>
    <row r="525" customFormat="false" ht="15" hidden="false" customHeight="true" outlineLevel="1" collapsed="false">
      <c r="A525" s="429"/>
      <c r="B525" s="429"/>
      <c r="C525" s="429"/>
      <c r="D525" s="430"/>
      <c r="E525" s="431"/>
      <c r="F525" s="431"/>
      <c r="G525" s="429"/>
      <c r="H525" s="432"/>
      <c r="I525" s="432"/>
      <c r="J525" s="432"/>
      <c r="K525" s="328"/>
      <c r="L525" s="396"/>
      <c r="M525" s="396"/>
      <c r="N525" s="396"/>
      <c r="O525" s="396"/>
      <c r="P525" s="396"/>
      <c r="Q525" s="328"/>
      <c r="R525" s="328"/>
      <c r="S525" s="328"/>
      <c r="T525" s="328"/>
      <c r="U525" s="328"/>
      <c r="V525" s="328"/>
    </row>
    <row r="526" customFormat="false" ht="15" hidden="false" customHeight="true" outlineLevel="1" collapsed="false">
      <c r="A526" s="429"/>
      <c r="B526" s="429"/>
      <c r="C526" s="429"/>
      <c r="D526" s="430"/>
      <c r="E526" s="431"/>
      <c r="F526" s="431"/>
      <c r="G526" s="429"/>
      <c r="H526" s="432"/>
      <c r="I526" s="432"/>
      <c r="J526" s="432"/>
      <c r="K526" s="328"/>
      <c r="L526" s="396"/>
      <c r="M526" s="396"/>
      <c r="N526" s="396"/>
      <c r="O526" s="396"/>
      <c r="P526" s="396"/>
      <c r="Q526" s="328"/>
      <c r="R526" s="328"/>
      <c r="S526" s="328"/>
      <c r="T526" s="328"/>
      <c r="U526" s="328"/>
      <c r="V526" s="328"/>
    </row>
    <row r="527" customFormat="false" ht="15" hidden="false" customHeight="true" outlineLevel="1" collapsed="false">
      <c r="A527" s="429"/>
      <c r="B527" s="429"/>
      <c r="C527" s="429"/>
      <c r="D527" s="430"/>
      <c r="E527" s="431"/>
      <c r="F527" s="431"/>
      <c r="G527" s="429"/>
      <c r="H527" s="432"/>
      <c r="I527" s="432"/>
      <c r="J527" s="432"/>
      <c r="K527" s="328"/>
      <c r="L527" s="396"/>
      <c r="M527" s="396"/>
      <c r="N527" s="396"/>
      <c r="O527" s="396"/>
      <c r="P527" s="396"/>
      <c r="Q527" s="328"/>
      <c r="R527" s="328"/>
      <c r="S527" s="328"/>
      <c r="T527" s="328"/>
      <c r="U527" s="328"/>
      <c r="V527" s="328"/>
    </row>
    <row r="528" customFormat="false" ht="15" hidden="false" customHeight="true" outlineLevel="1" collapsed="false">
      <c r="A528" s="429"/>
      <c r="B528" s="429"/>
      <c r="C528" s="429"/>
      <c r="D528" s="430"/>
      <c r="E528" s="431"/>
      <c r="F528" s="431"/>
      <c r="G528" s="429"/>
      <c r="H528" s="432"/>
      <c r="I528" s="432"/>
      <c r="J528" s="432"/>
      <c r="K528" s="328"/>
      <c r="L528" s="396"/>
      <c r="M528" s="396"/>
      <c r="N528" s="396"/>
      <c r="O528" s="396"/>
      <c r="P528" s="396"/>
      <c r="Q528" s="328"/>
      <c r="R528" s="328"/>
      <c r="S528" s="328"/>
      <c r="T528" s="328"/>
      <c r="U528" s="328"/>
      <c r="V528" s="328"/>
    </row>
    <row r="529" customFormat="false" ht="15" hidden="false" customHeight="true" outlineLevel="1" collapsed="false">
      <c r="A529" s="429"/>
      <c r="B529" s="429"/>
      <c r="C529" s="429"/>
      <c r="D529" s="430"/>
      <c r="E529" s="431"/>
      <c r="F529" s="431"/>
      <c r="G529" s="429"/>
      <c r="H529" s="432"/>
      <c r="I529" s="432"/>
      <c r="J529" s="432"/>
      <c r="K529" s="328"/>
      <c r="L529" s="396"/>
      <c r="M529" s="396"/>
      <c r="N529" s="396"/>
      <c r="O529" s="396"/>
      <c r="P529" s="396"/>
      <c r="Q529" s="328"/>
      <c r="R529" s="328"/>
      <c r="S529" s="328"/>
      <c r="T529" s="328"/>
      <c r="U529" s="328"/>
      <c r="V529" s="328"/>
    </row>
    <row r="530" customFormat="false" ht="15" hidden="false" customHeight="true" outlineLevel="1" collapsed="false">
      <c r="A530" s="429"/>
      <c r="B530" s="429"/>
      <c r="C530" s="429"/>
      <c r="D530" s="430"/>
      <c r="E530" s="431"/>
      <c r="F530" s="431"/>
      <c r="G530" s="429"/>
      <c r="H530" s="432"/>
      <c r="I530" s="432"/>
      <c r="J530" s="432"/>
      <c r="K530" s="328"/>
      <c r="L530" s="396"/>
      <c r="M530" s="396"/>
      <c r="N530" s="396"/>
      <c r="O530" s="396"/>
      <c r="P530" s="396"/>
      <c r="Q530" s="328"/>
      <c r="R530" s="328"/>
      <c r="S530" s="328"/>
      <c r="T530" s="328"/>
      <c r="U530" s="328"/>
      <c r="V530" s="328"/>
    </row>
    <row r="531" customFormat="false" ht="15" hidden="false" customHeight="true" outlineLevel="1" collapsed="false">
      <c r="A531" s="429"/>
      <c r="B531" s="429"/>
      <c r="C531" s="429"/>
      <c r="D531" s="430"/>
      <c r="E531" s="431"/>
      <c r="F531" s="431"/>
      <c r="G531" s="429"/>
      <c r="H531" s="432"/>
      <c r="I531" s="432"/>
      <c r="J531" s="432"/>
      <c r="K531" s="328"/>
      <c r="L531" s="396"/>
      <c r="M531" s="396"/>
      <c r="N531" s="396"/>
      <c r="O531" s="396"/>
      <c r="P531" s="396"/>
      <c r="Q531" s="328"/>
      <c r="R531" s="328"/>
      <c r="S531" s="328"/>
      <c r="T531" s="328"/>
      <c r="U531" s="328"/>
      <c r="V531" s="328"/>
    </row>
    <row r="532" customFormat="false" ht="15" hidden="false" customHeight="true" outlineLevel="1" collapsed="false">
      <c r="A532" s="429"/>
      <c r="B532" s="429"/>
      <c r="C532" s="429"/>
      <c r="D532" s="430"/>
      <c r="E532" s="431"/>
      <c r="F532" s="431"/>
      <c r="G532" s="429"/>
      <c r="H532" s="432"/>
      <c r="I532" s="432"/>
      <c r="J532" s="432"/>
      <c r="K532" s="328"/>
      <c r="L532" s="396"/>
      <c r="M532" s="396"/>
      <c r="N532" s="396"/>
      <c r="O532" s="396"/>
      <c r="P532" s="396"/>
      <c r="Q532" s="328"/>
      <c r="R532" s="328"/>
      <c r="S532" s="328"/>
      <c r="T532" s="328"/>
      <c r="U532" s="328"/>
      <c r="V532" s="328"/>
    </row>
    <row r="533" customFormat="false" ht="15" hidden="false" customHeight="true" outlineLevel="1" collapsed="false">
      <c r="A533" s="429"/>
      <c r="B533" s="429"/>
      <c r="C533" s="429"/>
      <c r="D533" s="430"/>
      <c r="E533" s="431"/>
      <c r="F533" s="431"/>
      <c r="G533" s="429"/>
      <c r="H533" s="432"/>
      <c r="I533" s="432"/>
      <c r="J533" s="432"/>
      <c r="K533" s="328"/>
      <c r="L533" s="396"/>
      <c r="M533" s="396"/>
      <c r="N533" s="396"/>
      <c r="O533" s="396"/>
      <c r="P533" s="396"/>
      <c r="Q533" s="328"/>
      <c r="R533" s="328"/>
      <c r="S533" s="328"/>
      <c r="T533" s="328"/>
      <c r="U533" s="328"/>
      <c r="V533" s="328"/>
    </row>
    <row r="534" customFormat="false" ht="15" hidden="false" customHeight="true" outlineLevel="1" collapsed="false">
      <c r="A534" s="429"/>
      <c r="B534" s="429"/>
      <c r="C534" s="429"/>
      <c r="D534" s="430"/>
      <c r="E534" s="431"/>
      <c r="F534" s="431"/>
      <c r="G534" s="429"/>
      <c r="H534" s="432"/>
      <c r="I534" s="432"/>
      <c r="J534" s="432"/>
      <c r="K534" s="328"/>
      <c r="L534" s="396"/>
      <c r="M534" s="396"/>
      <c r="N534" s="396"/>
      <c r="O534" s="396"/>
      <c r="P534" s="396"/>
      <c r="Q534" s="328"/>
      <c r="R534" s="328"/>
      <c r="S534" s="328"/>
      <c r="T534" s="328"/>
      <c r="U534" s="328"/>
      <c r="V534" s="328"/>
    </row>
    <row r="535" customFormat="false" ht="15" hidden="false" customHeight="true" outlineLevel="1" collapsed="false">
      <c r="A535" s="429"/>
      <c r="B535" s="429"/>
      <c r="C535" s="429"/>
      <c r="D535" s="430"/>
      <c r="E535" s="431"/>
      <c r="F535" s="431"/>
      <c r="G535" s="429"/>
      <c r="H535" s="432"/>
      <c r="I535" s="432"/>
      <c r="J535" s="432"/>
      <c r="K535" s="328"/>
      <c r="L535" s="396"/>
      <c r="M535" s="396"/>
      <c r="N535" s="396"/>
      <c r="O535" s="396"/>
      <c r="P535" s="396"/>
      <c r="Q535" s="328"/>
      <c r="R535" s="328"/>
      <c r="S535" s="328"/>
      <c r="T535" s="328"/>
      <c r="U535" s="328"/>
      <c r="V535" s="328"/>
    </row>
    <row r="536" customFormat="false" ht="15" hidden="false" customHeight="true" outlineLevel="1" collapsed="false">
      <c r="A536" s="429"/>
      <c r="B536" s="429"/>
      <c r="C536" s="429"/>
      <c r="D536" s="430"/>
      <c r="E536" s="431"/>
      <c r="F536" s="431"/>
      <c r="G536" s="429"/>
      <c r="H536" s="432"/>
      <c r="I536" s="432"/>
      <c r="J536" s="432"/>
      <c r="K536" s="328"/>
      <c r="L536" s="396"/>
      <c r="M536" s="396"/>
      <c r="N536" s="396"/>
      <c r="O536" s="396"/>
      <c r="P536" s="396"/>
      <c r="Q536" s="328"/>
      <c r="R536" s="328"/>
      <c r="S536" s="328"/>
      <c r="T536" s="328"/>
      <c r="U536" s="328"/>
      <c r="V536" s="328"/>
    </row>
    <row r="537" customFormat="false" ht="15" hidden="false" customHeight="true" outlineLevel="1" collapsed="false">
      <c r="A537" s="429"/>
      <c r="B537" s="429"/>
      <c r="C537" s="429"/>
      <c r="D537" s="430"/>
      <c r="E537" s="431"/>
      <c r="F537" s="431"/>
      <c r="G537" s="429"/>
      <c r="H537" s="432"/>
      <c r="I537" s="432"/>
      <c r="J537" s="432"/>
      <c r="K537" s="328"/>
      <c r="L537" s="396"/>
      <c r="M537" s="396"/>
      <c r="N537" s="396"/>
      <c r="O537" s="396"/>
      <c r="P537" s="396"/>
      <c r="Q537" s="328"/>
      <c r="R537" s="328"/>
      <c r="S537" s="328"/>
      <c r="T537" s="328"/>
      <c r="U537" s="328"/>
      <c r="V537" s="328"/>
    </row>
    <row r="538" customFormat="false" ht="15" hidden="false" customHeight="true" outlineLevel="1" collapsed="false">
      <c r="A538" s="429"/>
      <c r="B538" s="429"/>
      <c r="C538" s="429"/>
      <c r="D538" s="430"/>
      <c r="E538" s="431"/>
      <c r="F538" s="431"/>
      <c r="G538" s="429"/>
      <c r="H538" s="432"/>
      <c r="I538" s="432"/>
      <c r="J538" s="432"/>
      <c r="K538" s="328"/>
      <c r="L538" s="396"/>
      <c r="M538" s="396"/>
      <c r="N538" s="396"/>
      <c r="O538" s="396"/>
      <c r="P538" s="396"/>
      <c r="Q538" s="328"/>
      <c r="R538" s="328"/>
      <c r="S538" s="328"/>
      <c r="T538" s="328"/>
      <c r="U538" s="328"/>
      <c r="V538" s="328"/>
    </row>
    <row r="539" customFormat="false" ht="15" hidden="false" customHeight="true" outlineLevel="1" collapsed="false">
      <c r="A539" s="429"/>
      <c r="B539" s="429"/>
      <c r="C539" s="429"/>
      <c r="D539" s="430"/>
      <c r="E539" s="431"/>
      <c r="F539" s="431"/>
      <c r="G539" s="429"/>
      <c r="H539" s="432"/>
      <c r="I539" s="432"/>
      <c r="J539" s="432"/>
      <c r="K539" s="328"/>
      <c r="L539" s="396"/>
      <c r="M539" s="396"/>
      <c r="N539" s="396"/>
      <c r="O539" s="396"/>
      <c r="P539" s="396"/>
      <c r="Q539" s="328"/>
      <c r="R539" s="328"/>
      <c r="S539" s="328"/>
      <c r="T539" s="328"/>
      <c r="U539" s="328"/>
      <c r="V539" s="328"/>
    </row>
    <row r="540" customFormat="false" ht="15" hidden="false" customHeight="true" outlineLevel="1" collapsed="false">
      <c r="A540" s="429"/>
      <c r="B540" s="429"/>
      <c r="C540" s="429"/>
      <c r="D540" s="430"/>
      <c r="E540" s="431"/>
      <c r="F540" s="431"/>
      <c r="G540" s="429"/>
      <c r="H540" s="432"/>
      <c r="I540" s="432"/>
      <c r="J540" s="432"/>
      <c r="K540" s="328"/>
      <c r="L540" s="396"/>
      <c r="M540" s="396"/>
      <c r="N540" s="396"/>
      <c r="O540" s="396"/>
      <c r="P540" s="396"/>
      <c r="Q540" s="328"/>
      <c r="R540" s="328"/>
      <c r="S540" s="328"/>
      <c r="T540" s="328"/>
      <c r="U540" s="328"/>
      <c r="V540" s="328"/>
    </row>
    <row r="541" customFormat="false" ht="15" hidden="false" customHeight="true" outlineLevel="1" collapsed="false">
      <c r="A541" s="429"/>
      <c r="B541" s="429"/>
      <c r="C541" s="429"/>
      <c r="D541" s="430"/>
      <c r="E541" s="431"/>
      <c r="F541" s="431"/>
      <c r="G541" s="429"/>
      <c r="H541" s="432"/>
      <c r="I541" s="432"/>
      <c r="J541" s="432"/>
      <c r="K541" s="328"/>
      <c r="L541" s="396"/>
      <c r="M541" s="396"/>
      <c r="N541" s="396"/>
      <c r="O541" s="396"/>
      <c r="P541" s="396"/>
      <c r="Q541" s="328"/>
      <c r="R541" s="328"/>
      <c r="S541" s="328"/>
      <c r="T541" s="328"/>
      <c r="U541" s="328"/>
      <c r="V541" s="328"/>
    </row>
    <row r="542" customFormat="false" ht="15" hidden="false" customHeight="true" outlineLevel="1" collapsed="false">
      <c r="A542" s="429"/>
      <c r="B542" s="429"/>
      <c r="C542" s="429"/>
      <c r="D542" s="430"/>
      <c r="E542" s="431"/>
      <c r="F542" s="431"/>
      <c r="G542" s="429"/>
      <c r="H542" s="432"/>
      <c r="I542" s="432"/>
      <c r="J542" s="432"/>
      <c r="K542" s="328"/>
      <c r="L542" s="396"/>
      <c r="M542" s="396"/>
      <c r="N542" s="396"/>
      <c r="O542" s="396"/>
      <c r="P542" s="396"/>
      <c r="Q542" s="328"/>
      <c r="R542" s="328"/>
      <c r="S542" s="328"/>
      <c r="T542" s="328"/>
      <c r="U542" s="328"/>
      <c r="V542" s="328"/>
    </row>
    <row r="543" customFormat="false" ht="15" hidden="false" customHeight="true" outlineLevel="1" collapsed="false">
      <c r="A543" s="429"/>
      <c r="B543" s="429"/>
      <c r="C543" s="429"/>
      <c r="D543" s="430"/>
      <c r="E543" s="431"/>
      <c r="F543" s="431"/>
      <c r="G543" s="429"/>
      <c r="H543" s="432"/>
      <c r="I543" s="432"/>
      <c r="J543" s="432"/>
      <c r="K543" s="328"/>
      <c r="L543" s="396"/>
      <c r="M543" s="396"/>
      <c r="N543" s="396"/>
      <c r="O543" s="396"/>
      <c r="P543" s="396"/>
      <c r="Q543" s="328"/>
      <c r="R543" s="328"/>
      <c r="S543" s="328"/>
      <c r="T543" s="328"/>
      <c r="U543" s="328"/>
      <c r="V543" s="328"/>
    </row>
    <row r="544" customFormat="false" ht="15" hidden="false" customHeight="true" outlineLevel="1" collapsed="false">
      <c r="A544" s="429"/>
      <c r="B544" s="429"/>
      <c r="C544" s="429"/>
      <c r="D544" s="430"/>
      <c r="E544" s="431"/>
      <c r="F544" s="431"/>
      <c r="G544" s="429"/>
      <c r="H544" s="432"/>
      <c r="I544" s="432"/>
      <c r="J544" s="432"/>
      <c r="K544" s="328"/>
      <c r="L544" s="396"/>
      <c r="M544" s="396"/>
      <c r="N544" s="396"/>
      <c r="O544" s="396"/>
      <c r="P544" s="396"/>
      <c r="Q544" s="328"/>
      <c r="R544" s="328"/>
      <c r="S544" s="328"/>
      <c r="T544" s="328"/>
      <c r="U544" s="328"/>
      <c r="V544" s="328"/>
    </row>
    <row r="545" customFormat="false" ht="15" hidden="false" customHeight="true" outlineLevel="1" collapsed="false">
      <c r="A545" s="429"/>
      <c r="B545" s="429"/>
      <c r="C545" s="429"/>
      <c r="D545" s="430"/>
      <c r="E545" s="431"/>
      <c r="F545" s="431"/>
      <c r="G545" s="429"/>
      <c r="H545" s="432"/>
      <c r="I545" s="432"/>
      <c r="J545" s="432"/>
      <c r="K545" s="328"/>
      <c r="L545" s="396"/>
      <c r="M545" s="396"/>
      <c r="N545" s="396"/>
      <c r="O545" s="396"/>
      <c r="P545" s="396"/>
      <c r="Q545" s="328"/>
      <c r="R545" s="328"/>
      <c r="S545" s="328"/>
      <c r="T545" s="328"/>
      <c r="U545" s="328"/>
      <c r="V545" s="328"/>
    </row>
    <row r="546" customFormat="false" ht="15" hidden="false" customHeight="true" outlineLevel="1" collapsed="false">
      <c r="A546" s="429"/>
      <c r="B546" s="429"/>
      <c r="C546" s="429"/>
      <c r="D546" s="430"/>
      <c r="E546" s="431"/>
      <c r="F546" s="431"/>
      <c r="G546" s="429"/>
      <c r="H546" s="432"/>
      <c r="I546" s="432"/>
      <c r="J546" s="432"/>
      <c r="K546" s="328"/>
      <c r="L546" s="396"/>
      <c r="M546" s="396"/>
      <c r="N546" s="396"/>
      <c r="O546" s="396"/>
      <c r="P546" s="396"/>
      <c r="Q546" s="328"/>
      <c r="R546" s="328"/>
      <c r="S546" s="328"/>
      <c r="T546" s="328"/>
      <c r="U546" s="328"/>
      <c r="V546" s="328"/>
    </row>
    <row r="547" customFormat="false" ht="15" hidden="false" customHeight="true" outlineLevel="1" collapsed="false">
      <c r="A547" s="429"/>
      <c r="B547" s="429"/>
      <c r="C547" s="429"/>
      <c r="D547" s="430"/>
      <c r="E547" s="431"/>
      <c r="F547" s="431"/>
      <c r="G547" s="429"/>
      <c r="H547" s="432"/>
      <c r="I547" s="432"/>
      <c r="J547" s="432"/>
      <c r="K547" s="328"/>
      <c r="L547" s="396"/>
      <c r="M547" s="396"/>
      <c r="N547" s="396"/>
      <c r="O547" s="396"/>
      <c r="P547" s="396"/>
      <c r="Q547" s="328"/>
      <c r="R547" s="328"/>
      <c r="S547" s="328"/>
      <c r="T547" s="328"/>
      <c r="U547" s="328"/>
      <c r="V547" s="328"/>
    </row>
    <row r="548" customFormat="false" ht="15" hidden="false" customHeight="true" outlineLevel="1" collapsed="false">
      <c r="A548" s="429"/>
      <c r="B548" s="429"/>
      <c r="C548" s="429"/>
      <c r="D548" s="430"/>
      <c r="E548" s="431"/>
      <c r="F548" s="431"/>
      <c r="G548" s="429"/>
      <c r="H548" s="432"/>
      <c r="I548" s="432"/>
      <c r="J548" s="432"/>
      <c r="K548" s="328"/>
      <c r="L548" s="396"/>
      <c r="M548" s="396"/>
      <c r="N548" s="396"/>
      <c r="O548" s="396"/>
      <c r="P548" s="396"/>
      <c r="Q548" s="328"/>
      <c r="R548" s="328"/>
      <c r="S548" s="328"/>
      <c r="T548" s="328"/>
      <c r="U548" s="328"/>
      <c r="V548" s="328"/>
    </row>
    <row r="549" customFormat="false" ht="15" hidden="false" customHeight="true" outlineLevel="1" collapsed="false">
      <c r="A549" s="429"/>
      <c r="B549" s="429"/>
      <c r="C549" s="429"/>
      <c r="D549" s="430"/>
      <c r="E549" s="431"/>
      <c r="F549" s="431"/>
      <c r="G549" s="429"/>
      <c r="H549" s="432"/>
      <c r="I549" s="432"/>
      <c r="J549" s="432"/>
      <c r="K549" s="328"/>
      <c r="L549" s="396"/>
      <c r="M549" s="396"/>
      <c r="N549" s="396"/>
      <c r="O549" s="396"/>
      <c r="P549" s="396"/>
      <c r="Q549" s="328"/>
      <c r="R549" s="328"/>
      <c r="S549" s="328"/>
      <c r="T549" s="328"/>
      <c r="U549" s="328"/>
      <c r="V549" s="328"/>
    </row>
    <row r="550" customFormat="false" ht="15" hidden="false" customHeight="true" outlineLevel="1" collapsed="false">
      <c r="A550" s="429"/>
      <c r="B550" s="429"/>
      <c r="C550" s="429"/>
      <c r="D550" s="430"/>
      <c r="E550" s="431"/>
      <c r="F550" s="431"/>
      <c r="G550" s="429"/>
      <c r="H550" s="432"/>
      <c r="I550" s="432"/>
      <c r="J550" s="432"/>
      <c r="K550" s="328"/>
      <c r="L550" s="396"/>
      <c r="M550" s="396"/>
      <c r="N550" s="396"/>
      <c r="O550" s="396"/>
      <c r="P550" s="396"/>
      <c r="Q550" s="328"/>
      <c r="R550" s="328"/>
      <c r="S550" s="328"/>
      <c r="T550" s="328"/>
      <c r="U550" s="328"/>
      <c r="V550" s="328"/>
    </row>
    <row r="551" customFormat="false" ht="15" hidden="false" customHeight="true" outlineLevel="1" collapsed="false">
      <c r="A551" s="429"/>
      <c r="B551" s="429"/>
      <c r="C551" s="429"/>
      <c r="D551" s="430"/>
      <c r="E551" s="431"/>
      <c r="F551" s="431"/>
      <c r="G551" s="429"/>
      <c r="H551" s="432"/>
      <c r="I551" s="432"/>
      <c r="J551" s="432"/>
      <c r="K551" s="328"/>
      <c r="L551" s="396"/>
      <c r="M551" s="396"/>
      <c r="N551" s="396"/>
      <c r="O551" s="396"/>
      <c r="P551" s="396"/>
      <c r="Q551" s="328"/>
      <c r="R551" s="328"/>
      <c r="S551" s="328"/>
      <c r="T551" s="328"/>
      <c r="U551" s="328"/>
      <c r="V551" s="328"/>
    </row>
    <row r="552" customFormat="false" ht="15" hidden="false" customHeight="true" outlineLevel="1" collapsed="false">
      <c r="A552" s="429"/>
      <c r="B552" s="429"/>
      <c r="C552" s="429"/>
      <c r="D552" s="430"/>
      <c r="E552" s="431"/>
      <c r="F552" s="431"/>
      <c r="G552" s="429"/>
      <c r="H552" s="432"/>
      <c r="I552" s="432"/>
      <c r="J552" s="432"/>
      <c r="K552" s="328"/>
      <c r="L552" s="396"/>
      <c r="M552" s="396"/>
      <c r="N552" s="396"/>
      <c r="O552" s="396"/>
      <c r="P552" s="396"/>
      <c r="Q552" s="328"/>
      <c r="R552" s="328"/>
      <c r="S552" s="328"/>
      <c r="T552" s="328"/>
      <c r="U552" s="328"/>
      <c r="V552" s="328"/>
    </row>
    <row r="553" customFormat="false" ht="15" hidden="false" customHeight="true" outlineLevel="1" collapsed="false">
      <c r="A553" s="429"/>
      <c r="B553" s="429"/>
      <c r="C553" s="429"/>
      <c r="D553" s="430"/>
      <c r="E553" s="431"/>
      <c r="F553" s="431"/>
      <c r="G553" s="429"/>
      <c r="H553" s="432"/>
      <c r="I553" s="432"/>
      <c r="J553" s="432"/>
      <c r="K553" s="328"/>
      <c r="L553" s="396"/>
      <c r="M553" s="396"/>
      <c r="N553" s="396"/>
      <c r="O553" s="396"/>
      <c r="P553" s="396"/>
      <c r="Q553" s="328"/>
      <c r="R553" s="328"/>
      <c r="S553" s="328"/>
      <c r="T553" s="328"/>
      <c r="U553" s="328"/>
      <c r="V553" s="328"/>
    </row>
    <row r="554" customFormat="false" ht="15" hidden="false" customHeight="true" outlineLevel="1" collapsed="false">
      <c r="A554" s="429"/>
      <c r="B554" s="429"/>
      <c r="C554" s="429"/>
      <c r="D554" s="430"/>
      <c r="E554" s="431"/>
      <c r="F554" s="431"/>
      <c r="G554" s="429"/>
      <c r="H554" s="432"/>
      <c r="I554" s="432"/>
      <c r="J554" s="432"/>
      <c r="K554" s="328"/>
      <c r="L554" s="396"/>
      <c r="M554" s="396"/>
      <c r="N554" s="396"/>
      <c r="O554" s="396"/>
      <c r="P554" s="396"/>
      <c r="Q554" s="328"/>
      <c r="R554" s="328"/>
      <c r="S554" s="328"/>
      <c r="T554" s="328"/>
      <c r="U554" s="328"/>
      <c r="V554" s="328"/>
    </row>
    <row r="555" customFormat="false" ht="15" hidden="false" customHeight="true" outlineLevel="1" collapsed="false">
      <c r="A555" s="429"/>
      <c r="B555" s="429"/>
      <c r="C555" s="429"/>
      <c r="D555" s="430"/>
      <c r="E555" s="431"/>
      <c r="F555" s="431"/>
      <c r="G555" s="429"/>
      <c r="H555" s="432"/>
      <c r="I555" s="432"/>
      <c r="J555" s="432"/>
      <c r="K555" s="328"/>
      <c r="L555" s="396"/>
      <c r="M555" s="396"/>
      <c r="N555" s="396"/>
      <c r="O555" s="396"/>
      <c r="P555" s="396"/>
      <c r="Q555" s="328"/>
      <c r="R555" s="328"/>
      <c r="S555" s="328"/>
      <c r="T555" s="328"/>
      <c r="U555" s="328"/>
      <c r="V555" s="328"/>
    </row>
    <row r="556" customFormat="false" ht="15" hidden="false" customHeight="true" outlineLevel="1" collapsed="false">
      <c r="A556" s="429"/>
      <c r="B556" s="429"/>
      <c r="C556" s="429"/>
      <c r="D556" s="430"/>
      <c r="E556" s="431"/>
      <c r="F556" s="431"/>
      <c r="G556" s="429"/>
      <c r="H556" s="432"/>
      <c r="I556" s="432"/>
      <c r="J556" s="432"/>
      <c r="K556" s="328"/>
      <c r="L556" s="396"/>
      <c r="M556" s="396"/>
      <c r="N556" s="396"/>
      <c r="O556" s="396"/>
      <c r="P556" s="396"/>
      <c r="Q556" s="328"/>
      <c r="R556" s="328"/>
      <c r="S556" s="328"/>
      <c r="T556" s="328"/>
      <c r="U556" s="328"/>
      <c r="V556" s="328"/>
    </row>
    <row r="557" customFormat="false" ht="15" hidden="false" customHeight="true" outlineLevel="1" collapsed="false">
      <c r="A557" s="429"/>
      <c r="B557" s="429"/>
      <c r="C557" s="429"/>
      <c r="D557" s="430"/>
      <c r="E557" s="431"/>
      <c r="F557" s="431"/>
      <c r="G557" s="429"/>
      <c r="H557" s="432"/>
      <c r="I557" s="432"/>
      <c r="J557" s="432"/>
      <c r="K557" s="328"/>
      <c r="L557" s="396"/>
      <c r="M557" s="396"/>
      <c r="N557" s="396"/>
      <c r="O557" s="396"/>
      <c r="P557" s="396"/>
      <c r="Q557" s="328"/>
      <c r="R557" s="328"/>
      <c r="S557" s="328"/>
      <c r="T557" s="328"/>
      <c r="U557" s="328"/>
      <c r="V557" s="328"/>
    </row>
    <row r="558" customFormat="false" ht="15" hidden="false" customHeight="true" outlineLevel="1" collapsed="false">
      <c r="A558" s="429"/>
      <c r="B558" s="429"/>
      <c r="C558" s="429"/>
      <c r="D558" s="430"/>
      <c r="E558" s="431"/>
      <c r="F558" s="431"/>
      <c r="G558" s="429"/>
      <c r="H558" s="432"/>
      <c r="I558" s="432"/>
      <c r="J558" s="432"/>
      <c r="K558" s="328"/>
      <c r="L558" s="396"/>
      <c r="M558" s="396"/>
      <c r="N558" s="396"/>
      <c r="O558" s="396"/>
      <c r="P558" s="396"/>
      <c r="Q558" s="328"/>
      <c r="R558" s="328"/>
      <c r="S558" s="328"/>
      <c r="T558" s="328"/>
      <c r="U558" s="328"/>
      <c r="V558" s="328"/>
    </row>
    <row r="559" customFormat="false" ht="15" hidden="false" customHeight="true" outlineLevel="1" collapsed="false">
      <c r="A559" s="429"/>
      <c r="B559" s="429"/>
      <c r="C559" s="429"/>
      <c r="D559" s="430"/>
      <c r="E559" s="431"/>
      <c r="F559" s="431"/>
      <c r="G559" s="429"/>
      <c r="H559" s="432"/>
      <c r="I559" s="432"/>
      <c r="J559" s="432"/>
      <c r="K559" s="328"/>
      <c r="L559" s="396"/>
      <c r="M559" s="396"/>
      <c r="N559" s="396"/>
      <c r="O559" s="396"/>
      <c r="P559" s="396"/>
      <c r="Q559" s="328"/>
      <c r="R559" s="328"/>
      <c r="S559" s="328"/>
      <c r="T559" s="328"/>
      <c r="U559" s="328"/>
      <c r="V559" s="328"/>
    </row>
    <row r="560" customFormat="false" ht="15" hidden="false" customHeight="true" outlineLevel="1" collapsed="false">
      <c r="A560" s="429"/>
      <c r="B560" s="429"/>
      <c r="C560" s="429"/>
      <c r="D560" s="430"/>
      <c r="E560" s="431"/>
      <c r="F560" s="431"/>
      <c r="G560" s="429"/>
      <c r="H560" s="432"/>
      <c r="I560" s="432"/>
      <c r="J560" s="432"/>
      <c r="K560" s="328"/>
      <c r="L560" s="396"/>
      <c r="M560" s="396"/>
      <c r="N560" s="396"/>
      <c r="O560" s="396"/>
      <c r="P560" s="396"/>
      <c r="Q560" s="328"/>
      <c r="R560" s="328"/>
      <c r="S560" s="328"/>
      <c r="T560" s="328"/>
      <c r="U560" s="328"/>
      <c r="V560" s="328"/>
    </row>
    <row r="561" customFormat="false" ht="15" hidden="false" customHeight="true" outlineLevel="1" collapsed="false">
      <c r="A561" s="429"/>
      <c r="B561" s="429"/>
      <c r="C561" s="429"/>
      <c r="D561" s="430"/>
      <c r="E561" s="431"/>
      <c r="F561" s="431"/>
      <c r="G561" s="429"/>
      <c r="H561" s="432"/>
      <c r="I561" s="432"/>
      <c r="J561" s="432"/>
      <c r="K561" s="328"/>
      <c r="L561" s="396"/>
      <c r="M561" s="396"/>
      <c r="N561" s="396"/>
      <c r="O561" s="396"/>
      <c r="P561" s="396"/>
      <c r="Q561" s="328"/>
      <c r="R561" s="328"/>
      <c r="S561" s="328"/>
      <c r="T561" s="328"/>
      <c r="U561" s="328"/>
      <c r="V561" s="328"/>
    </row>
    <row r="562" customFormat="false" ht="15" hidden="false" customHeight="true" outlineLevel="1" collapsed="false">
      <c r="A562" s="429"/>
      <c r="B562" s="429"/>
      <c r="C562" s="429"/>
      <c r="D562" s="430"/>
      <c r="E562" s="431"/>
      <c r="F562" s="431"/>
      <c r="G562" s="429"/>
      <c r="H562" s="432"/>
      <c r="I562" s="432"/>
      <c r="J562" s="432"/>
      <c r="K562" s="328"/>
      <c r="L562" s="396"/>
      <c r="M562" s="396"/>
      <c r="N562" s="396"/>
      <c r="O562" s="396"/>
      <c r="P562" s="396"/>
      <c r="Q562" s="328"/>
      <c r="R562" s="328"/>
      <c r="S562" s="328"/>
      <c r="T562" s="328"/>
      <c r="U562" s="328"/>
      <c r="V562" s="328"/>
    </row>
    <row r="563" customFormat="false" ht="15" hidden="false" customHeight="true" outlineLevel="1" collapsed="false">
      <c r="A563" s="429"/>
      <c r="B563" s="429"/>
      <c r="C563" s="429"/>
      <c r="D563" s="430"/>
      <c r="E563" s="431"/>
      <c r="F563" s="431"/>
      <c r="G563" s="429"/>
      <c r="H563" s="432"/>
      <c r="I563" s="432"/>
      <c r="J563" s="432"/>
      <c r="K563" s="328"/>
      <c r="L563" s="396"/>
      <c r="M563" s="396"/>
      <c r="N563" s="396"/>
      <c r="O563" s="396"/>
      <c r="P563" s="396"/>
      <c r="Q563" s="328"/>
      <c r="R563" s="328"/>
      <c r="S563" s="328"/>
      <c r="T563" s="328"/>
      <c r="U563" s="328"/>
      <c r="V563" s="328"/>
    </row>
    <row r="564" customFormat="false" ht="15" hidden="false" customHeight="true" outlineLevel="1" collapsed="false">
      <c r="A564" s="429"/>
      <c r="B564" s="429"/>
      <c r="C564" s="429"/>
      <c r="D564" s="430"/>
      <c r="E564" s="431"/>
      <c r="F564" s="431"/>
      <c r="G564" s="429"/>
      <c r="H564" s="432"/>
      <c r="I564" s="432"/>
      <c r="J564" s="432"/>
      <c r="K564" s="328"/>
      <c r="L564" s="396"/>
      <c r="M564" s="396"/>
      <c r="N564" s="396"/>
      <c r="O564" s="396"/>
      <c r="P564" s="396"/>
      <c r="Q564" s="328"/>
      <c r="R564" s="328"/>
      <c r="S564" s="328"/>
      <c r="T564" s="328"/>
      <c r="U564" s="328"/>
      <c r="V564" s="328"/>
    </row>
    <row r="565" customFormat="false" ht="15" hidden="false" customHeight="true" outlineLevel="1" collapsed="false">
      <c r="A565" s="429"/>
      <c r="B565" s="429"/>
      <c r="C565" s="429"/>
      <c r="D565" s="430"/>
      <c r="E565" s="431"/>
      <c r="F565" s="431"/>
      <c r="G565" s="429"/>
      <c r="H565" s="432"/>
      <c r="I565" s="432"/>
      <c r="J565" s="432"/>
      <c r="K565" s="328"/>
      <c r="L565" s="396"/>
      <c r="M565" s="396"/>
      <c r="N565" s="396"/>
      <c r="O565" s="396"/>
      <c r="P565" s="396"/>
      <c r="Q565" s="328"/>
      <c r="R565" s="328"/>
      <c r="S565" s="328"/>
      <c r="T565" s="328"/>
      <c r="U565" s="328"/>
      <c r="V565" s="328"/>
    </row>
    <row r="566" customFormat="false" ht="15" hidden="false" customHeight="true" outlineLevel="1" collapsed="false">
      <c r="A566" s="429"/>
      <c r="B566" s="429"/>
      <c r="C566" s="429"/>
      <c r="D566" s="430"/>
      <c r="E566" s="431"/>
      <c r="F566" s="431"/>
      <c r="G566" s="429"/>
      <c r="H566" s="432"/>
      <c r="I566" s="432"/>
      <c r="J566" s="432"/>
      <c r="K566" s="328"/>
      <c r="L566" s="396"/>
      <c r="M566" s="396"/>
      <c r="N566" s="396"/>
      <c r="O566" s="396"/>
      <c r="P566" s="396"/>
      <c r="Q566" s="328"/>
      <c r="R566" s="328"/>
      <c r="S566" s="328"/>
      <c r="T566" s="328"/>
      <c r="U566" s="328"/>
      <c r="V566" s="328"/>
    </row>
    <row r="567" customFormat="false" ht="15" hidden="false" customHeight="true" outlineLevel="1" collapsed="false">
      <c r="A567" s="429"/>
      <c r="B567" s="429"/>
      <c r="C567" s="429"/>
      <c r="D567" s="430"/>
      <c r="E567" s="431"/>
      <c r="F567" s="431"/>
      <c r="G567" s="429"/>
      <c r="H567" s="432"/>
      <c r="I567" s="432"/>
      <c r="J567" s="432"/>
      <c r="K567" s="328"/>
      <c r="L567" s="396"/>
      <c r="M567" s="396"/>
      <c r="N567" s="396"/>
      <c r="O567" s="396"/>
      <c r="P567" s="396"/>
      <c r="Q567" s="328"/>
      <c r="R567" s="328"/>
      <c r="S567" s="328"/>
      <c r="T567" s="328"/>
      <c r="U567" s="328"/>
      <c r="V567" s="328"/>
    </row>
    <row r="568" customFormat="false" ht="15" hidden="false" customHeight="true" outlineLevel="1" collapsed="false">
      <c r="A568" s="429"/>
      <c r="B568" s="429"/>
      <c r="C568" s="429"/>
      <c r="D568" s="430"/>
      <c r="E568" s="431"/>
      <c r="F568" s="431"/>
      <c r="G568" s="429"/>
      <c r="H568" s="432"/>
      <c r="I568" s="432"/>
      <c r="J568" s="432"/>
      <c r="K568" s="328"/>
      <c r="L568" s="396"/>
      <c r="M568" s="396"/>
      <c r="N568" s="396"/>
      <c r="O568" s="396"/>
      <c r="P568" s="396"/>
      <c r="Q568" s="328"/>
      <c r="R568" s="328"/>
      <c r="S568" s="328"/>
      <c r="T568" s="328"/>
      <c r="U568" s="328"/>
      <c r="V568" s="328"/>
    </row>
    <row r="569" customFormat="false" ht="15" hidden="false" customHeight="true" outlineLevel="1" collapsed="false">
      <c r="A569" s="429"/>
      <c r="B569" s="429"/>
      <c r="C569" s="429"/>
      <c r="D569" s="430"/>
      <c r="E569" s="431"/>
      <c r="F569" s="431"/>
      <c r="G569" s="429"/>
      <c r="H569" s="432"/>
      <c r="I569" s="432"/>
      <c r="J569" s="432"/>
      <c r="K569" s="328"/>
      <c r="L569" s="396"/>
      <c r="M569" s="396"/>
      <c r="N569" s="396"/>
      <c r="O569" s="396"/>
      <c r="P569" s="396"/>
      <c r="Q569" s="328"/>
      <c r="R569" s="328"/>
      <c r="S569" s="328"/>
      <c r="T569" s="328"/>
      <c r="U569" s="328"/>
      <c r="V569" s="328"/>
    </row>
    <row r="570" customFormat="false" ht="15" hidden="false" customHeight="true" outlineLevel="1" collapsed="false">
      <c r="A570" s="429"/>
      <c r="B570" s="429"/>
      <c r="C570" s="429"/>
      <c r="D570" s="430"/>
      <c r="E570" s="431"/>
      <c r="F570" s="431"/>
      <c r="G570" s="429"/>
      <c r="H570" s="432"/>
      <c r="I570" s="432"/>
      <c r="J570" s="432"/>
      <c r="K570" s="328"/>
      <c r="L570" s="396"/>
      <c r="M570" s="396"/>
      <c r="N570" s="396"/>
      <c r="O570" s="396"/>
      <c r="P570" s="396"/>
      <c r="Q570" s="328"/>
      <c r="R570" s="328"/>
      <c r="S570" s="328"/>
      <c r="T570" s="328"/>
      <c r="U570" s="328"/>
      <c r="V570" s="328"/>
    </row>
    <row r="571" customFormat="false" ht="15" hidden="false" customHeight="true" outlineLevel="1" collapsed="false">
      <c r="A571" s="429"/>
      <c r="B571" s="429"/>
      <c r="C571" s="429"/>
      <c r="D571" s="430"/>
      <c r="E571" s="431"/>
      <c r="F571" s="431"/>
      <c r="G571" s="429"/>
      <c r="H571" s="432"/>
      <c r="I571" s="432"/>
      <c r="J571" s="432"/>
      <c r="K571" s="328"/>
      <c r="L571" s="396"/>
      <c r="M571" s="396"/>
      <c r="N571" s="396"/>
      <c r="O571" s="396"/>
      <c r="P571" s="396"/>
      <c r="Q571" s="328"/>
      <c r="R571" s="328"/>
      <c r="S571" s="328"/>
      <c r="T571" s="328"/>
      <c r="U571" s="328"/>
      <c r="V571" s="328"/>
    </row>
    <row r="572" customFormat="false" ht="15" hidden="false" customHeight="true" outlineLevel="1" collapsed="false">
      <c r="A572" s="429"/>
      <c r="B572" s="429"/>
      <c r="C572" s="429"/>
      <c r="D572" s="430"/>
      <c r="E572" s="431"/>
      <c r="F572" s="431"/>
      <c r="G572" s="429"/>
      <c r="H572" s="432"/>
      <c r="I572" s="432"/>
      <c r="J572" s="432"/>
      <c r="K572" s="328"/>
      <c r="L572" s="396"/>
      <c r="M572" s="396"/>
      <c r="N572" s="396"/>
      <c r="O572" s="396"/>
      <c r="P572" s="396"/>
      <c r="Q572" s="328"/>
      <c r="R572" s="328"/>
      <c r="S572" s="328"/>
      <c r="T572" s="328"/>
      <c r="U572" s="328"/>
      <c r="V572" s="328"/>
    </row>
    <row r="573" customFormat="false" ht="15" hidden="false" customHeight="true" outlineLevel="1" collapsed="false">
      <c r="A573" s="429"/>
      <c r="B573" s="429"/>
      <c r="C573" s="429"/>
      <c r="D573" s="430"/>
      <c r="E573" s="431"/>
      <c r="F573" s="431"/>
      <c r="G573" s="429"/>
      <c r="H573" s="432"/>
      <c r="I573" s="432"/>
      <c r="J573" s="432"/>
      <c r="K573" s="328"/>
      <c r="L573" s="396"/>
      <c r="M573" s="396"/>
      <c r="N573" s="396"/>
      <c r="O573" s="396"/>
      <c r="P573" s="396"/>
      <c r="Q573" s="328"/>
      <c r="R573" s="328"/>
      <c r="S573" s="328"/>
      <c r="T573" s="328"/>
      <c r="U573" s="328"/>
      <c r="V573" s="328"/>
    </row>
    <row r="574" customFormat="false" ht="15" hidden="false" customHeight="true" outlineLevel="1" collapsed="false">
      <c r="A574" s="429"/>
      <c r="B574" s="429"/>
      <c r="C574" s="429"/>
      <c r="D574" s="430"/>
      <c r="E574" s="431"/>
      <c r="F574" s="431"/>
      <c r="G574" s="429"/>
      <c r="H574" s="432"/>
      <c r="I574" s="432"/>
      <c r="J574" s="432"/>
      <c r="K574" s="328"/>
      <c r="L574" s="396"/>
      <c r="M574" s="396"/>
      <c r="N574" s="396"/>
      <c r="O574" s="396"/>
      <c r="P574" s="396"/>
      <c r="Q574" s="328"/>
      <c r="R574" s="328"/>
      <c r="S574" s="328"/>
      <c r="T574" s="328"/>
      <c r="U574" s="328"/>
      <c r="V574" s="328"/>
    </row>
    <row r="575" customFormat="false" ht="15" hidden="false" customHeight="true" outlineLevel="1" collapsed="false">
      <c r="A575" s="429"/>
      <c r="B575" s="429"/>
      <c r="C575" s="429"/>
      <c r="D575" s="430"/>
      <c r="E575" s="431"/>
      <c r="F575" s="431"/>
      <c r="G575" s="429"/>
      <c r="H575" s="432"/>
      <c r="I575" s="432"/>
      <c r="J575" s="432"/>
      <c r="K575" s="328"/>
      <c r="L575" s="396"/>
      <c r="M575" s="396"/>
      <c r="N575" s="396"/>
      <c r="O575" s="396"/>
      <c r="P575" s="396"/>
      <c r="Q575" s="328"/>
      <c r="R575" s="328"/>
      <c r="S575" s="328"/>
      <c r="T575" s="328"/>
      <c r="U575" s="328"/>
      <c r="V575" s="328"/>
    </row>
    <row r="576" customFormat="false" ht="15" hidden="false" customHeight="true" outlineLevel="1" collapsed="false">
      <c r="A576" s="429"/>
      <c r="B576" s="429"/>
      <c r="C576" s="429"/>
      <c r="D576" s="430"/>
      <c r="E576" s="431"/>
      <c r="F576" s="431"/>
      <c r="G576" s="429"/>
      <c r="H576" s="432"/>
      <c r="I576" s="432"/>
      <c r="J576" s="432"/>
      <c r="K576" s="328"/>
      <c r="L576" s="396"/>
      <c r="M576" s="396"/>
      <c r="N576" s="396"/>
      <c r="O576" s="396"/>
      <c r="P576" s="396"/>
      <c r="Q576" s="328"/>
      <c r="R576" s="328"/>
      <c r="S576" s="328"/>
      <c r="T576" s="328"/>
      <c r="U576" s="328"/>
      <c r="V576" s="328"/>
    </row>
    <row r="577" customFormat="false" ht="15" hidden="false" customHeight="true" outlineLevel="1" collapsed="false">
      <c r="A577" s="429"/>
      <c r="B577" s="429"/>
      <c r="C577" s="429"/>
      <c r="D577" s="430"/>
      <c r="E577" s="431"/>
      <c r="F577" s="431"/>
      <c r="G577" s="429"/>
      <c r="H577" s="432"/>
      <c r="I577" s="432"/>
      <c r="J577" s="432"/>
      <c r="K577" s="328"/>
      <c r="L577" s="396"/>
      <c r="M577" s="396"/>
      <c r="N577" s="396"/>
      <c r="O577" s="396"/>
      <c r="P577" s="396"/>
      <c r="Q577" s="328"/>
      <c r="R577" s="328"/>
      <c r="S577" s="328"/>
      <c r="T577" s="328"/>
      <c r="U577" s="328"/>
      <c r="V577" s="328"/>
    </row>
    <row r="578" customFormat="false" ht="15" hidden="false" customHeight="true" outlineLevel="1" collapsed="false">
      <c r="A578" s="429"/>
      <c r="B578" s="429"/>
      <c r="C578" s="429"/>
      <c r="D578" s="430"/>
      <c r="E578" s="431"/>
      <c r="F578" s="431"/>
      <c r="G578" s="429"/>
      <c r="H578" s="432"/>
      <c r="I578" s="432"/>
      <c r="J578" s="432"/>
      <c r="K578" s="328"/>
      <c r="L578" s="396"/>
      <c r="M578" s="396"/>
      <c r="N578" s="396"/>
      <c r="O578" s="396"/>
      <c r="P578" s="396"/>
      <c r="Q578" s="328"/>
      <c r="R578" s="328"/>
      <c r="S578" s="328"/>
      <c r="T578" s="328"/>
      <c r="U578" s="328"/>
      <c r="V578" s="328"/>
    </row>
    <row r="579" customFormat="false" ht="15" hidden="false" customHeight="true" outlineLevel="1" collapsed="false">
      <c r="A579" s="429"/>
      <c r="B579" s="429"/>
      <c r="C579" s="429"/>
      <c r="D579" s="430"/>
      <c r="E579" s="431"/>
      <c r="F579" s="431"/>
      <c r="G579" s="429"/>
      <c r="H579" s="432"/>
      <c r="I579" s="432"/>
      <c r="J579" s="432"/>
      <c r="K579" s="328"/>
      <c r="L579" s="396"/>
      <c r="M579" s="396"/>
      <c r="N579" s="396"/>
      <c r="O579" s="396"/>
      <c r="P579" s="396"/>
      <c r="Q579" s="328"/>
      <c r="R579" s="328"/>
      <c r="S579" s="328"/>
      <c r="T579" s="328"/>
      <c r="U579" s="328"/>
      <c r="V579" s="328"/>
    </row>
    <row r="580" customFormat="false" ht="15" hidden="false" customHeight="true" outlineLevel="1" collapsed="false">
      <c r="A580" s="429"/>
      <c r="B580" s="429"/>
      <c r="C580" s="429"/>
      <c r="D580" s="430"/>
      <c r="E580" s="431"/>
      <c r="F580" s="431"/>
      <c r="G580" s="429"/>
      <c r="H580" s="432"/>
      <c r="I580" s="432"/>
      <c r="J580" s="432"/>
      <c r="K580" s="328"/>
      <c r="L580" s="396"/>
      <c r="M580" s="396"/>
      <c r="N580" s="396"/>
      <c r="O580" s="396"/>
      <c r="P580" s="396"/>
      <c r="Q580" s="328"/>
      <c r="R580" s="328"/>
      <c r="S580" s="328"/>
      <c r="T580" s="328"/>
      <c r="U580" s="328"/>
      <c r="V580" s="328"/>
    </row>
    <row r="581" customFormat="false" ht="15" hidden="false" customHeight="true" outlineLevel="1" collapsed="false">
      <c r="A581" s="429"/>
      <c r="B581" s="429"/>
      <c r="C581" s="429"/>
      <c r="D581" s="430"/>
      <c r="E581" s="431"/>
      <c r="F581" s="431"/>
      <c r="G581" s="429"/>
      <c r="H581" s="432"/>
      <c r="I581" s="432"/>
      <c r="J581" s="432"/>
      <c r="K581" s="328"/>
      <c r="L581" s="396"/>
      <c r="M581" s="396"/>
      <c r="N581" s="396"/>
      <c r="O581" s="396"/>
      <c r="P581" s="396"/>
      <c r="Q581" s="328"/>
      <c r="R581" s="328"/>
      <c r="S581" s="328"/>
      <c r="T581" s="328"/>
      <c r="U581" s="328"/>
      <c r="V581" s="328"/>
    </row>
    <row r="582" customFormat="false" ht="15" hidden="false" customHeight="true" outlineLevel="1" collapsed="false">
      <c r="A582" s="429"/>
      <c r="B582" s="429"/>
      <c r="C582" s="429"/>
      <c r="D582" s="430"/>
      <c r="E582" s="431"/>
      <c r="F582" s="431"/>
      <c r="G582" s="429"/>
      <c r="H582" s="432"/>
      <c r="I582" s="432"/>
      <c r="J582" s="432"/>
      <c r="K582" s="328"/>
      <c r="L582" s="396"/>
      <c r="M582" s="396"/>
      <c r="N582" s="396"/>
      <c r="O582" s="396"/>
      <c r="P582" s="396"/>
      <c r="Q582" s="328"/>
      <c r="R582" s="328"/>
      <c r="S582" s="328"/>
      <c r="T582" s="328"/>
      <c r="U582" s="328"/>
      <c r="V582" s="328"/>
    </row>
    <row r="583" customFormat="false" ht="15" hidden="false" customHeight="true" outlineLevel="1" collapsed="false">
      <c r="A583" s="429"/>
      <c r="B583" s="429"/>
      <c r="C583" s="429"/>
      <c r="D583" s="430"/>
      <c r="E583" s="431"/>
      <c r="F583" s="431"/>
      <c r="G583" s="429"/>
      <c r="H583" s="432"/>
      <c r="I583" s="432"/>
      <c r="J583" s="432"/>
      <c r="K583" s="328"/>
      <c r="L583" s="396"/>
      <c r="M583" s="396"/>
      <c r="N583" s="396"/>
      <c r="O583" s="396"/>
      <c r="P583" s="396"/>
      <c r="Q583" s="328"/>
      <c r="R583" s="328"/>
      <c r="S583" s="328"/>
      <c r="T583" s="328"/>
      <c r="U583" s="328"/>
      <c r="V583" s="328"/>
    </row>
    <row r="584" customFormat="false" ht="15" hidden="false" customHeight="true" outlineLevel="1" collapsed="false">
      <c r="A584" s="429"/>
      <c r="B584" s="429"/>
      <c r="C584" s="429"/>
      <c r="D584" s="430"/>
      <c r="E584" s="431"/>
      <c r="F584" s="431"/>
      <c r="G584" s="429"/>
      <c r="H584" s="432"/>
      <c r="I584" s="432"/>
      <c r="J584" s="432"/>
      <c r="K584" s="328"/>
      <c r="L584" s="396"/>
      <c r="M584" s="396"/>
      <c r="N584" s="396"/>
      <c r="O584" s="396"/>
      <c r="P584" s="396"/>
      <c r="Q584" s="328"/>
      <c r="R584" s="328"/>
      <c r="S584" s="328"/>
      <c r="T584" s="328"/>
      <c r="U584" s="328"/>
      <c r="V584" s="328"/>
    </row>
    <row r="585" customFormat="false" ht="15" hidden="false" customHeight="true" outlineLevel="1" collapsed="false">
      <c r="A585" s="429"/>
      <c r="B585" s="429"/>
      <c r="C585" s="429"/>
      <c r="D585" s="430"/>
      <c r="E585" s="431"/>
      <c r="F585" s="431"/>
      <c r="G585" s="429"/>
      <c r="H585" s="432"/>
      <c r="I585" s="432"/>
      <c r="J585" s="432"/>
      <c r="K585" s="328"/>
      <c r="L585" s="396"/>
      <c r="M585" s="396"/>
      <c r="N585" s="396"/>
      <c r="O585" s="396"/>
      <c r="P585" s="396"/>
      <c r="Q585" s="328"/>
      <c r="R585" s="328"/>
      <c r="S585" s="328"/>
      <c r="T585" s="328"/>
      <c r="U585" s="328"/>
      <c r="V585" s="328"/>
    </row>
    <row r="586" customFormat="false" ht="15" hidden="false" customHeight="true" outlineLevel="1" collapsed="false">
      <c r="A586" s="429"/>
      <c r="B586" s="429"/>
      <c r="C586" s="429"/>
      <c r="D586" s="430"/>
      <c r="E586" s="431"/>
      <c r="F586" s="431"/>
      <c r="G586" s="429"/>
      <c r="H586" s="432"/>
      <c r="I586" s="432"/>
      <c r="J586" s="432"/>
      <c r="K586" s="328"/>
      <c r="L586" s="396"/>
      <c r="M586" s="396"/>
      <c r="N586" s="396"/>
      <c r="O586" s="396"/>
      <c r="P586" s="396"/>
      <c r="Q586" s="328"/>
      <c r="R586" s="328"/>
      <c r="S586" s="328"/>
      <c r="T586" s="328"/>
      <c r="U586" s="328"/>
      <c r="V586" s="328"/>
    </row>
    <row r="587" customFormat="false" ht="15" hidden="false" customHeight="true" outlineLevel="1" collapsed="false">
      <c r="A587" s="429"/>
      <c r="B587" s="429"/>
      <c r="C587" s="429"/>
      <c r="D587" s="430"/>
      <c r="E587" s="431"/>
      <c r="F587" s="431"/>
      <c r="G587" s="429"/>
      <c r="H587" s="432"/>
      <c r="I587" s="432"/>
      <c r="J587" s="432"/>
      <c r="K587" s="328"/>
      <c r="L587" s="396"/>
      <c r="M587" s="396"/>
      <c r="N587" s="396"/>
      <c r="O587" s="396"/>
      <c r="P587" s="396"/>
      <c r="Q587" s="328"/>
      <c r="R587" s="328"/>
      <c r="S587" s="328"/>
      <c r="T587" s="328"/>
      <c r="U587" s="328"/>
      <c r="V587" s="328"/>
    </row>
    <row r="588" customFormat="false" ht="15" hidden="false" customHeight="true" outlineLevel="1" collapsed="false">
      <c r="A588" s="429"/>
      <c r="B588" s="429"/>
      <c r="C588" s="429"/>
      <c r="D588" s="430"/>
      <c r="E588" s="431"/>
      <c r="F588" s="431"/>
      <c r="G588" s="429"/>
      <c r="H588" s="432"/>
      <c r="I588" s="432"/>
      <c r="J588" s="432"/>
      <c r="K588" s="328"/>
      <c r="L588" s="396"/>
      <c r="M588" s="396"/>
      <c r="N588" s="396"/>
      <c r="O588" s="396"/>
      <c r="P588" s="396"/>
      <c r="Q588" s="328"/>
      <c r="R588" s="328"/>
      <c r="S588" s="328"/>
      <c r="T588" s="328"/>
      <c r="U588" s="328"/>
      <c r="V588" s="328"/>
    </row>
    <row r="589" customFormat="false" ht="15" hidden="false" customHeight="true" outlineLevel="1" collapsed="false">
      <c r="A589" s="429"/>
      <c r="B589" s="429"/>
      <c r="C589" s="429"/>
      <c r="D589" s="430"/>
      <c r="E589" s="431"/>
      <c r="F589" s="431"/>
      <c r="G589" s="429"/>
      <c r="H589" s="432"/>
      <c r="I589" s="432"/>
      <c r="J589" s="432"/>
      <c r="K589" s="328"/>
      <c r="L589" s="396"/>
      <c r="M589" s="396"/>
      <c r="N589" s="396"/>
      <c r="O589" s="396"/>
      <c r="P589" s="396"/>
      <c r="Q589" s="328"/>
      <c r="R589" s="328"/>
      <c r="S589" s="328"/>
      <c r="T589" s="328"/>
      <c r="U589" s="328"/>
      <c r="V589" s="328"/>
    </row>
    <row r="590" customFormat="false" ht="15" hidden="false" customHeight="true" outlineLevel="1" collapsed="false">
      <c r="A590" s="429"/>
      <c r="B590" s="429"/>
      <c r="C590" s="429"/>
      <c r="D590" s="430"/>
      <c r="E590" s="431"/>
      <c r="F590" s="431"/>
      <c r="G590" s="429"/>
      <c r="H590" s="432"/>
      <c r="I590" s="432"/>
      <c r="J590" s="432"/>
      <c r="K590" s="328"/>
      <c r="L590" s="396"/>
      <c r="M590" s="396"/>
      <c r="N590" s="396"/>
      <c r="O590" s="396"/>
      <c r="P590" s="396"/>
      <c r="Q590" s="328"/>
      <c r="R590" s="328"/>
      <c r="S590" s="328"/>
      <c r="T590" s="328"/>
      <c r="U590" s="328"/>
      <c r="V590" s="328"/>
    </row>
    <row r="591" customFormat="false" ht="15" hidden="false" customHeight="true" outlineLevel="1" collapsed="false">
      <c r="A591" s="429"/>
      <c r="B591" s="429"/>
      <c r="C591" s="429"/>
      <c r="D591" s="430"/>
      <c r="E591" s="431"/>
      <c r="F591" s="431"/>
      <c r="G591" s="429"/>
      <c r="H591" s="432"/>
      <c r="I591" s="432"/>
      <c r="J591" s="432"/>
      <c r="K591" s="328"/>
      <c r="L591" s="396"/>
      <c r="M591" s="396"/>
      <c r="N591" s="396"/>
      <c r="O591" s="396"/>
      <c r="P591" s="396"/>
      <c r="Q591" s="328"/>
      <c r="R591" s="328"/>
      <c r="S591" s="328"/>
      <c r="T591" s="328"/>
      <c r="U591" s="328"/>
      <c r="V591" s="328"/>
    </row>
    <row r="592" customFormat="false" ht="15" hidden="false" customHeight="true" outlineLevel="1" collapsed="false">
      <c r="A592" s="429"/>
      <c r="B592" s="429"/>
      <c r="C592" s="429"/>
      <c r="D592" s="430"/>
      <c r="E592" s="431"/>
      <c r="F592" s="431"/>
      <c r="G592" s="429"/>
      <c r="H592" s="432"/>
      <c r="I592" s="432"/>
      <c r="J592" s="432"/>
      <c r="K592" s="328"/>
      <c r="L592" s="396"/>
      <c r="M592" s="396"/>
      <c r="N592" s="396"/>
      <c r="O592" s="396"/>
      <c r="P592" s="396"/>
      <c r="Q592" s="328"/>
      <c r="R592" s="328"/>
      <c r="S592" s="328"/>
      <c r="T592" s="328"/>
      <c r="U592" s="328"/>
      <c r="V592" s="328"/>
    </row>
    <row r="593" customFormat="false" ht="15" hidden="false" customHeight="true" outlineLevel="1" collapsed="false">
      <c r="A593" s="429"/>
      <c r="B593" s="429"/>
      <c r="C593" s="429"/>
      <c r="D593" s="430"/>
      <c r="E593" s="431"/>
      <c r="F593" s="431"/>
      <c r="G593" s="429"/>
      <c r="H593" s="432"/>
      <c r="I593" s="432"/>
      <c r="J593" s="432"/>
      <c r="K593" s="328"/>
      <c r="L593" s="396"/>
      <c r="M593" s="396"/>
      <c r="N593" s="396"/>
      <c r="O593" s="396"/>
      <c r="P593" s="396"/>
      <c r="Q593" s="328"/>
      <c r="R593" s="328"/>
      <c r="S593" s="328"/>
      <c r="T593" s="328"/>
      <c r="U593" s="328"/>
      <c r="V593" s="328"/>
    </row>
    <row r="594" customFormat="false" ht="15" hidden="false" customHeight="true" outlineLevel="1" collapsed="false">
      <c r="A594" s="429"/>
      <c r="B594" s="429"/>
      <c r="C594" s="429"/>
      <c r="D594" s="430"/>
      <c r="E594" s="431"/>
      <c r="F594" s="431"/>
      <c r="G594" s="429"/>
      <c r="H594" s="432"/>
      <c r="I594" s="432"/>
      <c r="J594" s="432"/>
      <c r="K594" s="328"/>
      <c r="L594" s="396"/>
      <c r="M594" s="396"/>
      <c r="N594" s="396"/>
      <c r="O594" s="396"/>
      <c r="P594" s="396"/>
      <c r="Q594" s="328"/>
      <c r="R594" s="328"/>
      <c r="S594" s="328"/>
      <c r="T594" s="328"/>
      <c r="U594" s="328"/>
      <c r="V594" s="328"/>
    </row>
    <row r="595" customFormat="false" ht="15" hidden="false" customHeight="true" outlineLevel="1" collapsed="false">
      <c r="A595" s="429"/>
      <c r="B595" s="429"/>
      <c r="C595" s="429"/>
      <c r="D595" s="430"/>
      <c r="E595" s="431"/>
      <c r="F595" s="431"/>
      <c r="G595" s="429"/>
      <c r="H595" s="432"/>
      <c r="I595" s="432"/>
      <c r="J595" s="432"/>
      <c r="K595" s="328"/>
      <c r="L595" s="396"/>
      <c r="M595" s="396"/>
      <c r="N595" s="396"/>
      <c r="O595" s="396"/>
      <c r="P595" s="396"/>
      <c r="Q595" s="328"/>
      <c r="R595" s="328"/>
      <c r="S595" s="328"/>
      <c r="T595" s="328"/>
      <c r="U595" s="328"/>
      <c r="V595" s="328"/>
    </row>
    <row r="596" customFormat="false" ht="15" hidden="false" customHeight="true" outlineLevel="1" collapsed="false">
      <c r="A596" s="429"/>
      <c r="B596" s="429"/>
      <c r="C596" s="429"/>
      <c r="D596" s="430"/>
      <c r="E596" s="431"/>
      <c r="F596" s="431"/>
      <c r="G596" s="429"/>
      <c r="H596" s="432"/>
      <c r="I596" s="432"/>
      <c r="J596" s="432"/>
      <c r="K596" s="328"/>
      <c r="L596" s="396"/>
      <c r="M596" s="396"/>
      <c r="N596" s="396"/>
      <c r="O596" s="396"/>
      <c r="P596" s="396"/>
      <c r="Q596" s="328"/>
      <c r="R596" s="328"/>
      <c r="S596" s="328"/>
      <c r="T596" s="328"/>
      <c r="U596" s="328"/>
      <c r="V596" s="328"/>
    </row>
    <row r="597" customFormat="false" ht="15" hidden="false" customHeight="true" outlineLevel="1" collapsed="false">
      <c r="A597" s="429"/>
      <c r="B597" s="429"/>
      <c r="C597" s="429"/>
      <c r="D597" s="430"/>
      <c r="E597" s="431"/>
      <c r="F597" s="431"/>
      <c r="G597" s="429"/>
      <c r="H597" s="432"/>
      <c r="I597" s="432"/>
      <c r="J597" s="432"/>
      <c r="K597" s="328"/>
      <c r="L597" s="396"/>
      <c r="M597" s="396"/>
      <c r="N597" s="396"/>
      <c r="O597" s="396"/>
      <c r="P597" s="396"/>
      <c r="Q597" s="328"/>
      <c r="R597" s="328"/>
      <c r="S597" s="328"/>
      <c r="T597" s="328"/>
      <c r="U597" s="328"/>
      <c r="V597" s="328"/>
    </row>
    <row r="598" customFormat="false" ht="15" hidden="false" customHeight="true" outlineLevel="1" collapsed="false">
      <c r="A598" s="429"/>
      <c r="B598" s="429"/>
      <c r="C598" s="429"/>
      <c r="D598" s="430"/>
      <c r="E598" s="431"/>
      <c r="F598" s="431"/>
      <c r="G598" s="429"/>
      <c r="H598" s="432"/>
      <c r="I598" s="432"/>
      <c r="J598" s="432"/>
      <c r="K598" s="328"/>
      <c r="L598" s="396"/>
      <c r="M598" s="396"/>
      <c r="N598" s="396"/>
      <c r="O598" s="396"/>
      <c r="P598" s="396"/>
      <c r="Q598" s="328"/>
      <c r="R598" s="328"/>
      <c r="S598" s="328"/>
      <c r="T598" s="328"/>
      <c r="U598" s="328"/>
      <c r="V598" s="328"/>
    </row>
    <row r="599" customFormat="false" ht="15" hidden="false" customHeight="true" outlineLevel="1" collapsed="false">
      <c r="A599" s="429"/>
      <c r="B599" s="429"/>
      <c r="C599" s="429"/>
      <c r="D599" s="430"/>
      <c r="E599" s="431"/>
      <c r="F599" s="431"/>
      <c r="G599" s="429"/>
      <c r="H599" s="432"/>
      <c r="I599" s="432"/>
      <c r="J599" s="432"/>
      <c r="K599" s="328"/>
      <c r="L599" s="396"/>
      <c r="M599" s="396"/>
      <c r="N599" s="396"/>
      <c r="O599" s="396"/>
      <c r="P599" s="396"/>
      <c r="Q599" s="328"/>
      <c r="R599" s="328"/>
      <c r="S599" s="328"/>
      <c r="T599" s="328"/>
      <c r="U599" s="328"/>
      <c r="V599" s="328"/>
    </row>
    <row r="600" customFormat="false" ht="15" hidden="false" customHeight="true" outlineLevel="1" collapsed="false">
      <c r="A600" s="429"/>
      <c r="B600" s="429"/>
      <c r="C600" s="429"/>
      <c r="D600" s="430"/>
      <c r="E600" s="431"/>
      <c r="F600" s="431"/>
      <c r="G600" s="429"/>
      <c r="H600" s="432"/>
      <c r="I600" s="432"/>
      <c r="J600" s="432"/>
      <c r="K600" s="328"/>
      <c r="L600" s="396"/>
      <c r="M600" s="396"/>
      <c r="N600" s="396"/>
      <c r="O600" s="396"/>
      <c r="P600" s="396"/>
      <c r="Q600" s="328"/>
      <c r="R600" s="328"/>
      <c r="S600" s="328"/>
      <c r="T600" s="328"/>
      <c r="U600" s="328"/>
      <c r="V600" s="328"/>
    </row>
    <row r="601" customFormat="false" ht="15" hidden="false" customHeight="true" outlineLevel="1" collapsed="false">
      <c r="A601" s="429"/>
      <c r="B601" s="429"/>
      <c r="C601" s="429"/>
      <c r="D601" s="430"/>
      <c r="E601" s="431"/>
      <c r="F601" s="431"/>
      <c r="G601" s="429"/>
      <c r="H601" s="432"/>
      <c r="I601" s="432"/>
      <c r="J601" s="432"/>
      <c r="K601" s="328"/>
      <c r="L601" s="396"/>
      <c r="M601" s="396"/>
      <c r="N601" s="396"/>
      <c r="O601" s="396"/>
      <c r="P601" s="396"/>
      <c r="Q601" s="328"/>
      <c r="R601" s="328"/>
      <c r="S601" s="328"/>
      <c r="T601" s="328"/>
      <c r="U601" s="328"/>
      <c r="V601" s="328"/>
    </row>
    <row r="602" customFormat="false" ht="15" hidden="false" customHeight="true" outlineLevel="1" collapsed="false">
      <c r="A602" s="429"/>
      <c r="B602" s="429"/>
      <c r="C602" s="429"/>
      <c r="D602" s="430"/>
      <c r="E602" s="431"/>
      <c r="F602" s="431"/>
      <c r="G602" s="429"/>
      <c r="H602" s="432"/>
      <c r="I602" s="432"/>
      <c r="J602" s="432"/>
      <c r="K602" s="328"/>
      <c r="L602" s="396"/>
      <c r="M602" s="396"/>
      <c r="N602" s="396"/>
      <c r="O602" s="396"/>
      <c r="P602" s="396"/>
      <c r="Q602" s="328"/>
      <c r="R602" s="328"/>
      <c r="S602" s="328"/>
      <c r="T602" s="328"/>
      <c r="U602" s="328"/>
      <c r="V602" s="328"/>
    </row>
    <row r="603" customFormat="false" ht="15" hidden="false" customHeight="true" outlineLevel="1" collapsed="false">
      <c r="A603" s="429"/>
      <c r="B603" s="429"/>
      <c r="C603" s="429"/>
      <c r="D603" s="430"/>
      <c r="E603" s="431"/>
      <c r="F603" s="431"/>
      <c r="G603" s="429"/>
      <c r="H603" s="432"/>
      <c r="I603" s="432"/>
      <c r="J603" s="432"/>
      <c r="K603" s="328"/>
      <c r="L603" s="396"/>
      <c r="M603" s="396"/>
      <c r="N603" s="396"/>
      <c r="O603" s="396"/>
      <c r="P603" s="396"/>
      <c r="Q603" s="328"/>
      <c r="R603" s="328"/>
      <c r="S603" s="328"/>
      <c r="T603" s="328"/>
      <c r="U603" s="328"/>
      <c r="V603" s="328"/>
    </row>
    <row r="604" customFormat="false" ht="15" hidden="false" customHeight="true" outlineLevel="1" collapsed="false">
      <c r="A604" s="429"/>
      <c r="B604" s="429"/>
      <c r="C604" s="429"/>
      <c r="D604" s="430"/>
      <c r="E604" s="431"/>
      <c r="F604" s="431"/>
      <c r="G604" s="429"/>
      <c r="H604" s="432"/>
      <c r="I604" s="432"/>
      <c r="J604" s="432"/>
      <c r="K604" s="328"/>
      <c r="L604" s="396"/>
      <c r="M604" s="396"/>
      <c r="N604" s="396"/>
      <c r="O604" s="396"/>
      <c r="P604" s="396"/>
      <c r="Q604" s="328"/>
      <c r="R604" s="328"/>
      <c r="S604" s="328"/>
      <c r="T604" s="328"/>
      <c r="U604" s="328"/>
      <c r="V604" s="328"/>
    </row>
    <row r="605" customFormat="false" ht="15" hidden="false" customHeight="true" outlineLevel="1" collapsed="false">
      <c r="A605" s="429"/>
      <c r="B605" s="429"/>
      <c r="C605" s="429"/>
      <c r="D605" s="430"/>
      <c r="E605" s="431"/>
      <c r="F605" s="431"/>
      <c r="G605" s="429"/>
      <c r="H605" s="432"/>
      <c r="I605" s="432"/>
      <c r="J605" s="432"/>
      <c r="K605" s="328"/>
      <c r="L605" s="396"/>
      <c r="M605" s="396"/>
      <c r="N605" s="396"/>
      <c r="O605" s="396"/>
      <c r="P605" s="396"/>
      <c r="Q605" s="328"/>
      <c r="R605" s="328"/>
      <c r="S605" s="328"/>
      <c r="T605" s="328"/>
      <c r="U605" s="328"/>
      <c r="V605" s="328"/>
    </row>
    <row r="606" customFormat="false" ht="15" hidden="false" customHeight="true" outlineLevel="1" collapsed="false">
      <c r="A606" s="429"/>
      <c r="B606" s="429"/>
      <c r="C606" s="429"/>
      <c r="D606" s="430"/>
      <c r="E606" s="431"/>
      <c r="F606" s="431"/>
      <c r="G606" s="429"/>
      <c r="H606" s="432"/>
      <c r="I606" s="432"/>
      <c r="J606" s="432"/>
      <c r="K606" s="328"/>
      <c r="L606" s="396"/>
      <c r="M606" s="396"/>
      <c r="N606" s="396"/>
      <c r="O606" s="396"/>
      <c r="P606" s="396"/>
      <c r="Q606" s="328"/>
      <c r="R606" s="328"/>
      <c r="S606" s="328"/>
      <c r="T606" s="328"/>
      <c r="U606" s="328"/>
      <c r="V606" s="328"/>
    </row>
    <row r="607" customFormat="false" ht="15" hidden="false" customHeight="true" outlineLevel="1" collapsed="false">
      <c r="A607" s="429"/>
      <c r="B607" s="429"/>
      <c r="C607" s="429"/>
      <c r="D607" s="430"/>
      <c r="E607" s="431"/>
      <c r="F607" s="431"/>
      <c r="G607" s="429"/>
      <c r="H607" s="432"/>
      <c r="I607" s="432"/>
      <c r="J607" s="432"/>
      <c r="K607" s="328"/>
      <c r="L607" s="396"/>
      <c r="M607" s="396"/>
      <c r="N607" s="396"/>
      <c r="O607" s="396"/>
      <c r="P607" s="396"/>
      <c r="Q607" s="328"/>
      <c r="R607" s="328"/>
      <c r="S607" s="328"/>
      <c r="T607" s="328"/>
      <c r="U607" s="328"/>
      <c r="V607" s="328"/>
    </row>
    <row r="608" customFormat="false" ht="15" hidden="false" customHeight="true" outlineLevel="1" collapsed="false">
      <c r="A608" s="429"/>
      <c r="B608" s="429"/>
      <c r="C608" s="429"/>
      <c r="D608" s="430"/>
      <c r="E608" s="431"/>
      <c r="F608" s="431"/>
      <c r="G608" s="429"/>
      <c r="H608" s="432"/>
      <c r="I608" s="432"/>
      <c r="J608" s="432"/>
      <c r="K608" s="328"/>
      <c r="L608" s="396"/>
      <c r="M608" s="396"/>
      <c r="N608" s="396"/>
      <c r="O608" s="396"/>
      <c r="P608" s="396"/>
      <c r="Q608" s="328"/>
      <c r="R608" s="328"/>
      <c r="S608" s="328"/>
      <c r="T608" s="328"/>
      <c r="U608" s="328"/>
      <c r="V608" s="328"/>
    </row>
    <row r="609" customFormat="false" ht="15" hidden="false" customHeight="true" outlineLevel="1" collapsed="false">
      <c r="A609" s="429"/>
      <c r="B609" s="429"/>
      <c r="C609" s="429"/>
      <c r="D609" s="430"/>
      <c r="E609" s="431"/>
      <c r="F609" s="431"/>
      <c r="G609" s="429"/>
      <c r="H609" s="432"/>
      <c r="I609" s="432"/>
      <c r="J609" s="432"/>
      <c r="K609" s="328"/>
      <c r="L609" s="396"/>
      <c r="M609" s="396"/>
      <c r="N609" s="396"/>
      <c r="O609" s="396"/>
      <c r="P609" s="396"/>
      <c r="Q609" s="328"/>
      <c r="R609" s="328"/>
      <c r="S609" s="328"/>
      <c r="T609" s="328"/>
      <c r="U609" s="328"/>
      <c r="V609" s="328"/>
    </row>
    <row r="610" customFormat="false" ht="15" hidden="false" customHeight="true" outlineLevel="1" collapsed="false">
      <c r="A610" s="429"/>
      <c r="B610" s="429"/>
      <c r="C610" s="429"/>
      <c r="D610" s="430"/>
      <c r="E610" s="431"/>
      <c r="F610" s="431"/>
      <c r="G610" s="429"/>
      <c r="H610" s="432"/>
      <c r="I610" s="432"/>
      <c r="J610" s="432"/>
      <c r="K610" s="328"/>
      <c r="L610" s="396"/>
      <c r="M610" s="396"/>
      <c r="N610" s="396"/>
      <c r="O610" s="396"/>
      <c r="P610" s="396"/>
      <c r="Q610" s="328"/>
      <c r="R610" s="328"/>
      <c r="S610" s="328"/>
      <c r="T610" s="328"/>
      <c r="U610" s="328"/>
      <c r="V610" s="328"/>
    </row>
    <row r="611" customFormat="false" ht="15" hidden="false" customHeight="true" outlineLevel="1" collapsed="false">
      <c r="A611" s="429"/>
      <c r="B611" s="429"/>
      <c r="C611" s="429"/>
      <c r="D611" s="430"/>
      <c r="E611" s="431"/>
      <c r="F611" s="431"/>
      <c r="G611" s="429"/>
      <c r="H611" s="432"/>
      <c r="I611" s="432"/>
      <c r="J611" s="432"/>
      <c r="K611" s="328"/>
      <c r="L611" s="396"/>
      <c r="M611" s="396"/>
      <c r="N611" s="396"/>
      <c r="O611" s="396"/>
      <c r="P611" s="396"/>
      <c r="Q611" s="328"/>
      <c r="R611" s="328"/>
      <c r="S611" s="328"/>
      <c r="T611" s="328"/>
      <c r="U611" s="328"/>
      <c r="V611" s="328"/>
    </row>
    <row r="612" customFormat="false" ht="15" hidden="false" customHeight="true" outlineLevel="1" collapsed="false">
      <c r="A612" s="429"/>
      <c r="B612" s="429"/>
      <c r="C612" s="429"/>
      <c r="D612" s="430"/>
      <c r="E612" s="431"/>
      <c r="F612" s="431"/>
      <c r="G612" s="429"/>
      <c r="H612" s="432"/>
      <c r="I612" s="432"/>
      <c r="J612" s="432"/>
      <c r="K612" s="328"/>
      <c r="L612" s="396"/>
      <c r="M612" s="396"/>
      <c r="N612" s="396"/>
      <c r="O612" s="396"/>
      <c r="P612" s="396"/>
      <c r="Q612" s="328"/>
      <c r="R612" s="328"/>
      <c r="S612" s="328"/>
      <c r="T612" s="328"/>
      <c r="U612" s="328"/>
      <c r="V612" s="328"/>
    </row>
    <row r="613" customFormat="false" ht="15" hidden="false" customHeight="true" outlineLevel="1" collapsed="false">
      <c r="A613" s="429"/>
      <c r="B613" s="429"/>
      <c r="C613" s="429"/>
      <c r="D613" s="430"/>
      <c r="E613" s="431"/>
      <c r="F613" s="431"/>
      <c r="G613" s="429"/>
      <c r="H613" s="432"/>
      <c r="I613" s="432"/>
      <c r="J613" s="432"/>
      <c r="K613" s="328"/>
      <c r="L613" s="396"/>
      <c r="M613" s="396"/>
      <c r="N613" s="396"/>
      <c r="O613" s="396"/>
      <c r="P613" s="396"/>
      <c r="Q613" s="328"/>
      <c r="R613" s="328"/>
      <c r="S613" s="328"/>
      <c r="T613" s="328"/>
      <c r="U613" s="328"/>
      <c r="V613" s="328"/>
    </row>
    <row r="614" customFormat="false" ht="15" hidden="false" customHeight="true" outlineLevel="1" collapsed="false">
      <c r="A614" s="429"/>
      <c r="B614" s="429"/>
      <c r="C614" s="429"/>
      <c r="D614" s="430"/>
      <c r="E614" s="431"/>
      <c r="F614" s="431"/>
      <c r="G614" s="429"/>
      <c r="H614" s="432"/>
      <c r="I614" s="432"/>
      <c r="J614" s="432"/>
      <c r="K614" s="328"/>
      <c r="L614" s="396"/>
      <c r="M614" s="396"/>
      <c r="N614" s="396"/>
      <c r="O614" s="396"/>
      <c r="P614" s="396"/>
      <c r="Q614" s="328"/>
      <c r="R614" s="328"/>
      <c r="S614" s="328"/>
      <c r="T614" s="328"/>
      <c r="U614" s="328"/>
      <c r="V614" s="328"/>
    </row>
    <row r="615" customFormat="false" ht="15" hidden="false" customHeight="true" outlineLevel="1" collapsed="false">
      <c r="A615" s="429"/>
      <c r="B615" s="429"/>
      <c r="C615" s="429"/>
      <c r="D615" s="430"/>
      <c r="E615" s="431"/>
      <c r="F615" s="431"/>
      <c r="G615" s="429"/>
      <c r="H615" s="432"/>
      <c r="I615" s="432"/>
      <c r="J615" s="432"/>
      <c r="K615" s="328"/>
      <c r="L615" s="396"/>
      <c r="M615" s="396"/>
      <c r="N615" s="396"/>
      <c r="O615" s="396"/>
      <c r="P615" s="396"/>
      <c r="Q615" s="328"/>
      <c r="R615" s="328"/>
      <c r="S615" s="328"/>
      <c r="T615" s="328"/>
      <c r="U615" s="328"/>
      <c r="V615" s="328"/>
    </row>
    <row r="616" customFormat="false" ht="15" hidden="false" customHeight="true" outlineLevel="1" collapsed="false">
      <c r="A616" s="429"/>
      <c r="B616" s="429"/>
      <c r="C616" s="429"/>
      <c r="D616" s="430"/>
      <c r="E616" s="431"/>
      <c r="F616" s="431"/>
      <c r="G616" s="429"/>
      <c r="H616" s="432"/>
      <c r="I616" s="432"/>
      <c r="J616" s="432"/>
      <c r="K616" s="328"/>
      <c r="L616" s="396"/>
      <c r="M616" s="396"/>
      <c r="N616" s="396"/>
      <c r="O616" s="396"/>
      <c r="P616" s="396"/>
      <c r="Q616" s="328"/>
      <c r="R616" s="328"/>
      <c r="S616" s="328"/>
      <c r="T616" s="328"/>
      <c r="U616" s="328"/>
      <c r="V616" s="328"/>
    </row>
    <row r="617" customFormat="false" ht="15" hidden="false" customHeight="true" outlineLevel="1" collapsed="false">
      <c r="A617" s="429"/>
      <c r="B617" s="429"/>
      <c r="C617" s="429"/>
      <c r="D617" s="430"/>
      <c r="E617" s="431"/>
      <c r="F617" s="431"/>
      <c r="G617" s="429"/>
      <c r="H617" s="432"/>
      <c r="I617" s="432"/>
      <c r="J617" s="432"/>
      <c r="K617" s="328"/>
      <c r="L617" s="396"/>
      <c r="M617" s="396"/>
      <c r="N617" s="396"/>
      <c r="O617" s="396"/>
      <c r="P617" s="396"/>
      <c r="Q617" s="328"/>
      <c r="R617" s="328"/>
      <c r="S617" s="328"/>
      <c r="T617" s="328"/>
      <c r="U617" s="328"/>
      <c r="V617" s="328"/>
    </row>
    <row r="618" customFormat="false" ht="15" hidden="false" customHeight="true" outlineLevel="1" collapsed="false">
      <c r="A618" s="429"/>
      <c r="B618" s="429"/>
      <c r="C618" s="429"/>
      <c r="D618" s="430"/>
      <c r="E618" s="431"/>
      <c r="F618" s="431"/>
      <c r="G618" s="429"/>
      <c r="H618" s="432"/>
      <c r="I618" s="432"/>
      <c r="J618" s="432"/>
      <c r="K618" s="328"/>
      <c r="L618" s="396"/>
      <c r="M618" s="396"/>
      <c r="N618" s="396"/>
      <c r="O618" s="396"/>
      <c r="P618" s="396"/>
      <c r="Q618" s="328"/>
      <c r="R618" s="328"/>
      <c r="S618" s="328"/>
      <c r="T618" s="328"/>
      <c r="U618" s="328"/>
      <c r="V618" s="328"/>
    </row>
    <row r="619" customFormat="false" ht="15" hidden="false" customHeight="true" outlineLevel="1" collapsed="false">
      <c r="A619" s="429"/>
      <c r="B619" s="429"/>
      <c r="C619" s="429"/>
      <c r="D619" s="430"/>
      <c r="E619" s="431"/>
      <c r="F619" s="431"/>
      <c r="G619" s="429"/>
      <c r="H619" s="432"/>
      <c r="I619" s="432"/>
      <c r="J619" s="432"/>
      <c r="K619" s="328"/>
      <c r="L619" s="396"/>
      <c r="M619" s="396"/>
      <c r="N619" s="396"/>
      <c r="O619" s="396"/>
      <c r="P619" s="396"/>
      <c r="Q619" s="328"/>
      <c r="R619" s="328"/>
      <c r="S619" s="328"/>
      <c r="T619" s="328"/>
      <c r="U619" s="328"/>
      <c r="V619" s="328"/>
    </row>
    <row r="620" customFormat="false" ht="15" hidden="false" customHeight="true" outlineLevel="1" collapsed="false">
      <c r="A620" s="429"/>
      <c r="B620" s="429"/>
      <c r="C620" s="429"/>
      <c r="D620" s="430"/>
      <c r="E620" s="431"/>
      <c r="F620" s="431"/>
      <c r="G620" s="429"/>
      <c r="H620" s="432"/>
      <c r="I620" s="432"/>
      <c r="J620" s="432"/>
      <c r="K620" s="328"/>
      <c r="L620" s="396"/>
      <c r="M620" s="396"/>
      <c r="N620" s="396"/>
      <c r="O620" s="396"/>
      <c r="P620" s="396"/>
      <c r="Q620" s="328"/>
      <c r="R620" s="328"/>
      <c r="S620" s="328"/>
      <c r="T620" s="328"/>
      <c r="U620" s="328"/>
      <c r="V620" s="328"/>
    </row>
    <row r="621" customFormat="false" ht="15" hidden="false" customHeight="true" outlineLevel="1" collapsed="false">
      <c r="A621" s="429"/>
      <c r="B621" s="429"/>
      <c r="C621" s="429"/>
      <c r="D621" s="430"/>
      <c r="E621" s="431"/>
      <c r="F621" s="431"/>
      <c r="G621" s="429"/>
      <c r="H621" s="432"/>
      <c r="I621" s="432"/>
      <c r="J621" s="432"/>
      <c r="K621" s="328"/>
      <c r="L621" s="396"/>
      <c r="M621" s="396"/>
      <c r="N621" s="396"/>
      <c r="O621" s="396"/>
      <c r="P621" s="396"/>
      <c r="Q621" s="328"/>
      <c r="R621" s="328"/>
      <c r="S621" s="328"/>
      <c r="T621" s="328"/>
      <c r="U621" s="328"/>
      <c r="V621" s="328"/>
    </row>
    <row r="622" customFormat="false" ht="15" hidden="false" customHeight="true" outlineLevel="1" collapsed="false">
      <c r="A622" s="429"/>
      <c r="B622" s="429"/>
      <c r="C622" s="429"/>
      <c r="D622" s="430"/>
      <c r="E622" s="431"/>
      <c r="F622" s="431"/>
      <c r="G622" s="429"/>
      <c r="H622" s="432"/>
      <c r="I622" s="432"/>
      <c r="J622" s="432"/>
      <c r="K622" s="328"/>
      <c r="L622" s="396"/>
      <c r="M622" s="396"/>
      <c r="N622" s="396"/>
      <c r="O622" s="396"/>
      <c r="P622" s="396"/>
      <c r="Q622" s="328"/>
      <c r="R622" s="328"/>
      <c r="S622" s="328"/>
      <c r="T622" s="328"/>
      <c r="U622" s="328"/>
      <c r="V622" s="328"/>
    </row>
    <row r="623" customFormat="false" ht="15" hidden="false" customHeight="true" outlineLevel="1" collapsed="false">
      <c r="A623" s="429"/>
      <c r="B623" s="429"/>
      <c r="C623" s="429"/>
      <c r="D623" s="430"/>
      <c r="E623" s="431"/>
      <c r="F623" s="431"/>
      <c r="G623" s="429"/>
      <c r="H623" s="432"/>
      <c r="I623" s="432"/>
      <c r="J623" s="432"/>
      <c r="K623" s="328"/>
      <c r="L623" s="396"/>
      <c r="M623" s="396"/>
      <c r="N623" s="396"/>
      <c r="O623" s="396"/>
      <c r="P623" s="396"/>
      <c r="Q623" s="328"/>
      <c r="R623" s="328"/>
      <c r="S623" s="328"/>
      <c r="T623" s="328"/>
      <c r="U623" s="328"/>
      <c r="V623" s="328"/>
    </row>
    <row r="624" customFormat="false" ht="15" hidden="false" customHeight="true" outlineLevel="1" collapsed="false">
      <c r="A624" s="429"/>
      <c r="B624" s="429"/>
      <c r="C624" s="429"/>
      <c r="D624" s="430"/>
      <c r="E624" s="431"/>
      <c r="F624" s="431"/>
      <c r="G624" s="429"/>
      <c r="H624" s="432"/>
      <c r="I624" s="432"/>
      <c r="J624" s="432"/>
      <c r="K624" s="328"/>
      <c r="L624" s="396"/>
      <c r="M624" s="396"/>
      <c r="N624" s="396"/>
      <c r="O624" s="396"/>
      <c r="P624" s="396"/>
      <c r="Q624" s="328"/>
      <c r="R624" s="328"/>
      <c r="S624" s="328"/>
      <c r="T624" s="328"/>
      <c r="U624" s="328"/>
      <c r="V624" s="328"/>
    </row>
    <row r="625" customFormat="false" ht="15" hidden="false" customHeight="true" outlineLevel="1" collapsed="false">
      <c r="A625" s="429"/>
      <c r="B625" s="429"/>
      <c r="C625" s="429"/>
      <c r="D625" s="430"/>
      <c r="E625" s="431"/>
      <c r="F625" s="431"/>
      <c r="G625" s="429"/>
      <c r="H625" s="432"/>
      <c r="I625" s="432"/>
      <c r="J625" s="432"/>
      <c r="K625" s="328"/>
      <c r="L625" s="396"/>
      <c r="M625" s="396"/>
      <c r="N625" s="396"/>
      <c r="O625" s="396"/>
      <c r="P625" s="396"/>
      <c r="Q625" s="328"/>
      <c r="R625" s="328"/>
      <c r="S625" s="328"/>
      <c r="T625" s="328"/>
      <c r="U625" s="328"/>
      <c r="V625" s="328"/>
    </row>
    <row r="626" customFormat="false" ht="15" hidden="false" customHeight="true" outlineLevel="1" collapsed="false">
      <c r="A626" s="429"/>
      <c r="B626" s="429"/>
      <c r="C626" s="429"/>
      <c r="D626" s="430"/>
      <c r="E626" s="431"/>
      <c r="F626" s="431"/>
      <c r="G626" s="429"/>
      <c r="H626" s="432"/>
      <c r="I626" s="432"/>
      <c r="J626" s="432"/>
      <c r="K626" s="328"/>
      <c r="L626" s="396"/>
      <c r="M626" s="396"/>
      <c r="N626" s="396"/>
      <c r="O626" s="396"/>
      <c r="P626" s="396"/>
      <c r="Q626" s="328"/>
      <c r="R626" s="328"/>
      <c r="S626" s="328"/>
      <c r="T626" s="328"/>
      <c r="U626" s="328"/>
      <c r="V626" s="328"/>
    </row>
    <row r="627" customFormat="false" ht="15" hidden="false" customHeight="true" outlineLevel="1" collapsed="false">
      <c r="A627" s="429"/>
      <c r="B627" s="429"/>
      <c r="C627" s="429"/>
      <c r="D627" s="430"/>
      <c r="E627" s="431"/>
      <c r="F627" s="431"/>
      <c r="G627" s="429"/>
      <c r="H627" s="432"/>
      <c r="I627" s="432"/>
      <c r="J627" s="432"/>
      <c r="K627" s="328"/>
      <c r="L627" s="396"/>
      <c r="M627" s="396"/>
      <c r="N627" s="396"/>
      <c r="O627" s="396"/>
      <c r="P627" s="396"/>
      <c r="Q627" s="328"/>
      <c r="R627" s="328"/>
      <c r="S627" s="328"/>
      <c r="T627" s="328"/>
      <c r="U627" s="328"/>
      <c r="V627" s="328"/>
    </row>
    <row r="628" customFormat="false" ht="15" hidden="false" customHeight="true" outlineLevel="1" collapsed="false">
      <c r="A628" s="429"/>
      <c r="B628" s="429"/>
      <c r="C628" s="429"/>
      <c r="D628" s="430"/>
      <c r="E628" s="431"/>
      <c r="F628" s="431"/>
      <c r="G628" s="429"/>
      <c r="H628" s="432"/>
      <c r="I628" s="432"/>
      <c r="J628" s="432"/>
      <c r="K628" s="328"/>
      <c r="L628" s="396"/>
      <c r="M628" s="396"/>
      <c r="N628" s="396"/>
      <c r="O628" s="396"/>
      <c r="P628" s="396"/>
      <c r="Q628" s="328"/>
      <c r="R628" s="328"/>
      <c r="S628" s="328"/>
      <c r="T628" s="328"/>
      <c r="U628" s="328"/>
      <c r="V628" s="328"/>
    </row>
    <row r="629" customFormat="false" ht="15" hidden="false" customHeight="true" outlineLevel="1" collapsed="false">
      <c r="A629" s="429"/>
      <c r="B629" s="429"/>
      <c r="C629" s="429"/>
      <c r="D629" s="430"/>
      <c r="E629" s="431"/>
      <c r="F629" s="431"/>
      <c r="G629" s="429"/>
      <c r="H629" s="432"/>
      <c r="I629" s="432"/>
      <c r="J629" s="432"/>
      <c r="K629" s="328"/>
      <c r="L629" s="396"/>
      <c r="M629" s="396"/>
      <c r="N629" s="396"/>
      <c r="O629" s="396"/>
      <c r="P629" s="396"/>
      <c r="Q629" s="328"/>
      <c r="R629" s="328"/>
      <c r="S629" s="328"/>
      <c r="T629" s="328"/>
      <c r="U629" s="328"/>
      <c r="V629" s="328"/>
    </row>
    <row r="630" customFormat="false" ht="15" hidden="false" customHeight="true" outlineLevel="1" collapsed="false">
      <c r="A630" s="429"/>
      <c r="B630" s="429"/>
      <c r="C630" s="429"/>
      <c r="D630" s="430"/>
      <c r="E630" s="431"/>
      <c r="F630" s="431"/>
      <c r="G630" s="429"/>
      <c r="H630" s="432"/>
      <c r="I630" s="432"/>
      <c r="J630" s="432"/>
      <c r="K630" s="328"/>
      <c r="L630" s="396"/>
      <c r="M630" s="396"/>
      <c r="N630" s="396"/>
      <c r="O630" s="396"/>
      <c r="P630" s="396"/>
      <c r="Q630" s="328"/>
      <c r="R630" s="328"/>
      <c r="S630" s="328"/>
      <c r="T630" s="328"/>
      <c r="U630" s="328"/>
      <c r="V630" s="328"/>
    </row>
    <row r="631" customFormat="false" ht="15" hidden="false" customHeight="true" outlineLevel="1" collapsed="false">
      <c r="A631" s="429"/>
      <c r="B631" s="429"/>
      <c r="C631" s="429"/>
      <c r="D631" s="430"/>
      <c r="E631" s="431"/>
      <c r="F631" s="431"/>
      <c r="G631" s="429"/>
      <c r="H631" s="432"/>
      <c r="I631" s="432"/>
      <c r="J631" s="432"/>
      <c r="K631" s="328"/>
      <c r="L631" s="396"/>
      <c r="M631" s="396"/>
      <c r="N631" s="396"/>
      <c r="O631" s="396"/>
      <c r="P631" s="396"/>
      <c r="Q631" s="328"/>
      <c r="R631" s="328"/>
      <c r="S631" s="328"/>
      <c r="T631" s="328"/>
      <c r="U631" s="328"/>
      <c r="V631" s="328"/>
    </row>
    <row r="632" customFormat="false" ht="15" hidden="false" customHeight="true" outlineLevel="1" collapsed="false">
      <c r="A632" s="429"/>
      <c r="B632" s="429"/>
      <c r="C632" s="429"/>
      <c r="D632" s="430"/>
      <c r="E632" s="431"/>
      <c r="F632" s="431"/>
      <c r="G632" s="429"/>
      <c r="H632" s="432"/>
      <c r="I632" s="432"/>
      <c r="J632" s="432"/>
      <c r="K632" s="328"/>
      <c r="L632" s="396"/>
      <c r="M632" s="396"/>
      <c r="N632" s="396"/>
      <c r="O632" s="396"/>
      <c r="P632" s="396"/>
      <c r="Q632" s="328"/>
      <c r="R632" s="328"/>
      <c r="S632" s="328"/>
      <c r="T632" s="328"/>
      <c r="U632" s="328"/>
      <c r="V632" s="328"/>
    </row>
    <row r="633" customFormat="false" ht="15" hidden="false" customHeight="true" outlineLevel="1" collapsed="false">
      <c r="A633" s="429"/>
      <c r="B633" s="429"/>
      <c r="C633" s="429"/>
      <c r="D633" s="430"/>
      <c r="E633" s="431"/>
      <c r="F633" s="431"/>
      <c r="G633" s="429"/>
      <c r="H633" s="432"/>
      <c r="I633" s="432"/>
      <c r="J633" s="432"/>
      <c r="K633" s="328"/>
      <c r="L633" s="396"/>
      <c r="M633" s="396"/>
      <c r="N633" s="396"/>
      <c r="O633" s="396"/>
      <c r="P633" s="396"/>
      <c r="Q633" s="328"/>
      <c r="R633" s="328"/>
      <c r="S633" s="328"/>
      <c r="T633" s="328"/>
      <c r="U633" s="328"/>
      <c r="V633" s="328"/>
    </row>
    <row r="634" customFormat="false" ht="15" hidden="false" customHeight="true" outlineLevel="1" collapsed="false">
      <c r="A634" s="429"/>
      <c r="B634" s="429"/>
      <c r="C634" s="429"/>
      <c r="D634" s="430"/>
      <c r="E634" s="431"/>
      <c r="F634" s="431"/>
      <c r="G634" s="429"/>
      <c r="H634" s="432"/>
      <c r="I634" s="432"/>
      <c r="J634" s="432"/>
      <c r="K634" s="328"/>
      <c r="L634" s="396"/>
      <c r="M634" s="396"/>
      <c r="N634" s="396"/>
      <c r="O634" s="396"/>
      <c r="P634" s="396"/>
      <c r="Q634" s="328"/>
      <c r="R634" s="328"/>
      <c r="S634" s="328"/>
      <c r="T634" s="328"/>
      <c r="U634" s="328"/>
      <c r="V634" s="328"/>
    </row>
    <row r="635" customFormat="false" ht="15" hidden="false" customHeight="true" outlineLevel="1" collapsed="false">
      <c r="A635" s="429"/>
      <c r="B635" s="429"/>
      <c r="C635" s="429"/>
      <c r="D635" s="430"/>
      <c r="E635" s="431"/>
      <c r="F635" s="431"/>
      <c r="G635" s="429"/>
      <c r="H635" s="432"/>
      <c r="I635" s="432"/>
      <c r="J635" s="432"/>
      <c r="K635" s="328"/>
      <c r="L635" s="396"/>
      <c r="M635" s="396"/>
      <c r="N635" s="396"/>
      <c r="O635" s="396"/>
      <c r="P635" s="396"/>
      <c r="Q635" s="328"/>
      <c r="R635" s="328"/>
      <c r="S635" s="328"/>
      <c r="T635" s="328"/>
      <c r="U635" s="328"/>
      <c r="V635" s="328"/>
    </row>
    <row r="636" customFormat="false" ht="15" hidden="false" customHeight="true" outlineLevel="1" collapsed="false">
      <c r="A636" s="429"/>
      <c r="B636" s="429"/>
      <c r="C636" s="429"/>
      <c r="D636" s="430"/>
      <c r="E636" s="431"/>
      <c r="F636" s="431"/>
      <c r="G636" s="429"/>
      <c r="H636" s="432"/>
      <c r="I636" s="432"/>
      <c r="J636" s="432"/>
      <c r="K636" s="328"/>
      <c r="L636" s="396"/>
      <c r="M636" s="396"/>
      <c r="N636" s="396"/>
      <c r="O636" s="396"/>
      <c r="P636" s="396"/>
      <c r="Q636" s="328"/>
      <c r="R636" s="328"/>
      <c r="S636" s="328"/>
      <c r="T636" s="328"/>
      <c r="U636" s="328"/>
      <c r="V636" s="328"/>
    </row>
    <row r="637" customFormat="false" ht="15" hidden="false" customHeight="true" outlineLevel="1" collapsed="false">
      <c r="A637" s="429"/>
      <c r="B637" s="429"/>
      <c r="C637" s="429"/>
      <c r="D637" s="430"/>
      <c r="E637" s="431"/>
      <c r="F637" s="431"/>
      <c r="G637" s="429"/>
      <c r="H637" s="432"/>
      <c r="I637" s="432"/>
      <c r="J637" s="432"/>
      <c r="K637" s="328"/>
      <c r="L637" s="396"/>
      <c r="M637" s="396"/>
      <c r="N637" s="396"/>
      <c r="O637" s="396"/>
      <c r="P637" s="396"/>
      <c r="Q637" s="328"/>
      <c r="R637" s="328"/>
      <c r="S637" s="328"/>
      <c r="T637" s="328"/>
      <c r="U637" s="328"/>
      <c r="V637" s="328"/>
    </row>
    <row r="638" customFormat="false" ht="15" hidden="false" customHeight="true" outlineLevel="1" collapsed="false">
      <c r="A638" s="429"/>
      <c r="B638" s="429"/>
      <c r="C638" s="429"/>
      <c r="D638" s="430"/>
      <c r="E638" s="431"/>
      <c r="F638" s="431"/>
      <c r="G638" s="429"/>
      <c r="H638" s="432"/>
      <c r="I638" s="432"/>
      <c r="J638" s="432"/>
      <c r="K638" s="328"/>
      <c r="L638" s="396"/>
      <c r="M638" s="396"/>
      <c r="N638" s="396"/>
      <c r="O638" s="396"/>
      <c r="P638" s="396"/>
      <c r="Q638" s="328"/>
      <c r="R638" s="328"/>
      <c r="S638" s="328"/>
      <c r="T638" s="328"/>
      <c r="U638" s="328"/>
      <c r="V638" s="328"/>
    </row>
    <row r="639" customFormat="false" ht="15" hidden="false" customHeight="true" outlineLevel="1" collapsed="false">
      <c r="A639" s="429"/>
      <c r="B639" s="429"/>
      <c r="C639" s="429"/>
      <c r="D639" s="430"/>
      <c r="E639" s="431"/>
      <c r="F639" s="431"/>
      <c r="G639" s="429"/>
      <c r="H639" s="432"/>
      <c r="I639" s="432"/>
      <c r="J639" s="432"/>
      <c r="K639" s="328"/>
      <c r="L639" s="396"/>
      <c r="M639" s="396"/>
      <c r="N639" s="396"/>
      <c r="O639" s="396"/>
      <c r="P639" s="396"/>
      <c r="Q639" s="328"/>
      <c r="R639" s="328"/>
      <c r="S639" s="328"/>
      <c r="T639" s="328"/>
      <c r="U639" s="328"/>
      <c r="V639" s="328"/>
    </row>
    <row r="640" customFormat="false" ht="15" hidden="false" customHeight="true" outlineLevel="1" collapsed="false">
      <c r="A640" s="429"/>
      <c r="B640" s="429"/>
      <c r="C640" s="429"/>
      <c r="D640" s="430"/>
      <c r="E640" s="431"/>
      <c r="F640" s="431"/>
      <c r="G640" s="429"/>
      <c r="H640" s="432"/>
      <c r="I640" s="432"/>
      <c r="J640" s="432"/>
      <c r="K640" s="328"/>
      <c r="L640" s="396"/>
      <c r="M640" s="396"/>
      <c r="N640" s="396"/>
      <c r="O640" s="396"/>
      <c r="P640" s="396"/>
      <c r="Q640" s="328"/>
      <c r="R640" s="328"/>
      <c r="S640" s="328"/>
      <c r="T640" s="328"/>
      <c r="U640" s="328"/>
      <c r="V640" s="328"/>
    </row>
    <row r="641" customFormat="false" ht="15" hidden="false" customHeight="true" outlineLevel="1" collapsed="false">
      <c r="A641" s="429"/>
      <c r="B641" s="429"/>
      <c r="C641" s="429"/>
      <c r="D641" s="430"/>
      <c r="E641" s="431"/>
      <c r="F641" s="431"/>
      <c r="G641" s="429"/>
      <c r="H641" s="432"/>
      <c r="I641" s="432"/>
      <c r="J641" s="432"/>
      <c r="K641" s="328"/>
      <c r="L641" s="396"/>
      <c r="M641" s="396"/>
      <c r="N641" s="396"/>
      <c r="O641" s="396"/>
      <c r="P641" s="396"/>
      <c r="Q641" s="328"/>
      <c r="R641" s="328"/>
      <c r="S641" s="328"/>
      <c r="T641" s="328"/>
      <c r="U641" s="328"/>
      <c r="V641" s="328"/>
    </row>
    <row r="642" customFormat="false" ht="15" hidden="false" customHeight="true" outlineLevel="1" collapsed="false">
      <c r="A642" s="429"/>
      <c r="B642" s="429"/>
      <c r="C642" s="429"/>
      <c r="D642" s="430"/>
      <c r="E642" s="431"/>
      <c r="F642" s="431"/>
      <c r="G642" s="429"/>
      <c r="H642" s="432"/>
      <c r="I642" s="432"/>
      <c r="J642" s="432"/>
      <c r="K642" s="328"/>
      <c r="L642" s="396"/>
      <c r="M642" s="396"/>
      <c r="N642" s="396"/>
      <c r="O642" s="396"/>
      <c r="P642" s="396"/>
      <c r="Q642" s="328"/>
      <c r="R642" s="328"/>
      <c r="S642" s="328"/>
      <c r="T642" s="328"/>
      <c r="U642" s="328"/>
      <c r="V642" s="328"/>
    </row>
    <row r="643" customFormat="false" ht="15" hidden="false" customHeight="true" outlineLevel="1" collapsed="false">
      <c r="A643" s="429"/>
      <c r="B643" s="429"/>
      <c r="C643" s="429"/>
      <c r="D643" s="430"/>
      <c r="E643" s="431"/>
      <c r="F643" s="431"/>
      <c r="G643" s="429"/>
      <c r="H643" s="432"/>
      <c r="I643" s="432"/>
      <c r="J643" s="432"/>
      <c r="K643" s="328"/>
      <c r="L643" s="396"/>
      <c r="M643" s="396"/>
      <c r="N643" s="396"/>
      <c r="O643" s="396"/>
      <c r="P643" s="396"/>
      <c r="Q643" s="328"/>
      <c r="R643" s="328"/>
      <c r="S643" s="328"/>
      <c r="T643" s="328"/>
      <c r="U643" s="328"/>
      <c r="V643" s="328"/>
    </row>
    <row r="644" customFormat="false" ht="15" hidden="false" customHeight="true" outlineLevel="1" collapsed="false">
      <c r="A644" s="429"/>
      <c r="B644" s="429"/>
      <c r="C644" s="429"/>
      <c r="D644" s="430"/>
      <c r="E644" s="431"/>
      <c r="F644" s="431"/>
      <c r="G644" s="429"/>
      <c r="H644" s="432"/>
      <c r="I644" s="432"/>
      <c r="J644" s="432"/>
      <c r="K644" s="328"/>
      <c r="L644" s="396"/>
      <c r="M644" s="396"/>
      <c r="N644" s="396"/>
      <c r="O644" s="396"/>
      <c r="P644" s="396"/>
      <c r="Q644" s="328"/>
      <c r="R644" s="328"/>
      <c r="S644" s="328"/>
      <c r="T644" s="328"/>
      <c r="U644" s="328"/>
      <c r="V644" s="328"/>
    </row>
    <row r="645" customFormat="false" ht="15" hidden="false" customHeight="true" outlineLevel="1" collapsed="false">
      <c r="A645" s="429"/>
      <c r="B645" s="429"/>
      <c r="C645" s="429"/>
      <c r="D645" s="430"/>
      <c r="E645" s="431"/>
      <c r="F645" s="431"/>
      <c r="G645" s="429"/>
      <c r="H645" s="432"/>
      <c r="I645" s="432"/>
      <c r="J645" s="432"/>
      <c r="K645" s="328"/>
      <c r="L645" s="396"/>
      <c r="M645" s="396"/>
      <c r="N645" s="396"/>
      <c r="O645" s="396"/>
      <c r="P645" s="396"/>
      <c r="Q645" s="328"/>
      <c r="R645" s="328"/>
      <c r="S645" s="328"/>
      <c r="T645" s="328"/>
      <c r="U645" s="328"/>
      <c r="V645" s="328"/>
    </row>
    <row r="646" customFormat="false" ht="15" hidden="false" customHeight="true" outlineLevel="1" collapsed="false">
      <c r="A646" s="429"/>
      <c r="B646" s="429"/>
      <c r="C646" s="429"/>
      <c r="D646" s="430"/>
      <c r="E646" s="431"/>
      <c r="F646" s="431"/>
      <c r="G646" s="429"/>
      <c r="H646" s="432"/>
      <c r="I646" s="432"/>
      <c r="J646" s="432"/>
      <c r="K646" s="328"/>
      <c r="L646" s="396"/>
      <c r="M646" s="396"/>
      <c r="N646" s="396"/>
      <c r="O646" s="396"/>
      <c r="P646" s="396"/>
      <c r="Q646" s="328"/>
      <c r="R646" s="328"/>
      <c r="S646" s="328"/>
      <c r="T646" s="328"/>
      <c r="U646" s="328"/>
      <c r="V646" s="328"/>
    </row>
    <row r="647" customFormat="false" ht="15" hidden="false" customHeight="true" outlineLevel="1" collapsed="false">
      <c r="A647" s="429"/>
      <c r="B647" s="429"/>
      <c r="C647" s="429"/>
      <c r="D647" s="430"/>
      <c r="E647" s="431"/>
      <c r="F647" s="431"/>
      <c r="G647" s="429"/>
      <c r="H647" s="432"/>
      <c r="I647" s="432"/>
      <c r="J647" s="432"/>
      <c r="K647" s="328"/>
      <c r="L647" s="396"/>
      <c r="M647" s="396"/>
      <c r="N647" s="396"/>
      <c r="O647" s="396"/>
      <c r="P647" s="396"/>
      <c r="Q647" s="328"/>
      <c r="R647" s="328"/>
      <c r="S647" s="328"/>
      <c r="T647" s="328"/>
      <c r="U647" s="328"/>
      <c r="V647" s="328"/>
    </row>
    <row r="648" customFormat="false" ht="15" hidden="false" customHeight="true" outlineLevel="1" collapsed="false">
      <c r="A648" s="429"/>
      <c r="B648" s="429"/>
      <c r="C648" s="429"/>
      <c r="D648" s="430"/>
      <c r="E648" s="431"/>
      <c r="F648" s="431"/>
      <c r="G648" s="429"/>
      <c r="H648" s="432"/>
      <c r="I648" s="432"/>
      <c r="J648" s="432"/>
      <c r="K648" s="328"/>
      <c r="L648" s="396"/>
      <c r="M648" s="396"/>
      <c r="N648" s="396"/>
      <c r="O648" s="396"/>
      <c r="P648" s="396"/>
      <c r="Q648" s="328"/>
      <c r="R648" s="328"/>
      <c r="S648" s="328"/>
      <c r="T648" s="328"/>
      <c r="U648" s="328"/>
      <c r="V648" s="328"/>
    </row>
    <row r="649" customFormat="false" ht="15" hidden="false" customHeight="true" outlineLevel="1" collapsed="false">
      <c r="A649" s="429"/>
      <c r="B649" s="429"/>
      <c r="C649" s="429"/>
      <c r="D649" s="430"/>
      <c r="E649" s="431"/>
      <c r="F649" s="431"/>
      <c r="G649" s="429"/>
      <c r="H649" s="432"/>
      <c r="I649" s="432"/>
      <c r="J649" s="432"/>
      <c r="K649" s="328"/>
      <c r="L649" s="396"/>
      <c r="M649" s="396"/>
      <c r="N649" s="396"/>
      <c r="O649" s="396"/>
      <c r="P649" s="396"/>
      <c r="Q649" s="328"/>
      <c r="R649" s="328"/>
      <c r="S649" s="328"/>
      <c r="T649" s="328"/>
      <c r="U649" s="328"/>
      <c r="V649" s="328"/>
    </row>
    <row r="650" customFormat="false" ht="15" hidden="false" customHeight="true" outlineLevel="1" collapsed="false">
      <c r="A650" s="429"/>
      <c r="B650" s="429"/>
      <c r="C650" s="429"/>
      <c r="D650" s="430"/>
      <c r="E650" s="431"/>
      <c r="F650" s="431"/>
      <c r="G650" s="429"/>
      <c r="H650" s="432"/>
      <c r="I650" s="432"/>
      <c r="J650" s="432"/>
      <c r="K650" s="328"/>
      <c r="L650" s="396"/>
      <c r="M650" s="396"/>
      <c r="N650" s="396"/>
      <c r="O650" s="396"/>
      <c r="P650" s="396"/>
      <c r="Q650" s="328"/>
      <c r="R650" s="328"/>
      <c r="S650" s="328"/>
      <c r="T650" s="328"/>
      <c r="U650" s="328"/>
      <c r="V650" s="328"/>
    </row>
    <row r="651" customFormat="false" ht="15" hidden="false" customHeight="true" outlineLevel="1" collapsed="false">
      <c r="A651" s="429"/>
      <c r="B651" s="429"/>
      <c r="C651" s="429"/>
      <c r="D651" s="430"/>
      <c r="E651" s="431"/>
      <c r="F651" s="431"/>
      <c r="G651" s="429"/>
      <c r="H651" s="432"/>
      <c r="I651" s="432"/>
      <c r="J651" s="432"/>
      <c r="K651" s="328"/>
      <c r="L651" s="396"/>
      <c r="M651" s="396"/>
      <c r="N651" s="396"/>
      <c r="O651" s="396"/>
      <c r="P651" s="396"/>
      <c r="Q651" s="328"/>
      <c r="R651" s="328"/>
      <c r="S651" s="328"/>
      <c r="T651" s="328"/>
      <c r="U651" s="328"/>
      <c r="V651" s="328"/>
    </row>
    <row r="652" customFormat="false" ht="15" hidden="false" customHeight="true" outlineLevel="1" collapsed="false">
      <c r="A652" s="429"/>
      <c r="B652" s="429"/>
      <c r="C652" s="429"/>
      <c r="D652" s="430"/>
      <c r="E652" s="431"/>
      <c r="F652" s="431"/>
      <c r="G652" s="429"/>
      <c r="H652" s="432"/>
      <c r="I652" s="432"/>
      <c r="J652" s="432"/>
      <c r="K652" s="328"/>
      <c r="L652" s="396"/>
      <c r="M652" s="396"/>
      <c r="N652" s="396"/>
      <c r="O652" s="396"/>
      <c r="P652" s="396"/>
      <c r="Q652" s="328"/>
      <c r="R652" s="328"/>
      <c r="S652" s="328"/>
      <c r="T652" s="328"/>
      <c r="U652" s="328"/>
      <c r="V652" s="328"/>
    </row>
    <row r="653" customFormat="false" ht="15" hidden="false" customHeight="true" outlineLevel="1" collapsed="false">
      <c r="A653" s="429"/>
      <c r="B653" s="429"/>
      <c r="C653" s="429"/>
      <c r="D653" s="430"/>
      <c r="E653" s="431"/>
      <c r="F653" s="431"/>
      <c r="G653" s="429"/>
      <c r="H653" s="432"/>
      <c r="I653" s="432"/>
      <c r="J653" s="432"/>
      <c r="K653" s="328"/>
      <c r="L653" s="396"/>
      <c r="M653" s="396"/>
      <c r="N653" s="396"/>
      <c r="O653" s="396"/>
      <c r="P653" s="396"/>
      <c r="Q653" s="328"/>
      <c r="R653" s="328"/>
      <c r="S653" s="328"/>
      <c r="T653" s="328"/>
      <c r="U653" s="328"/>
      <c r="V653" s="328"/>
    </row>
    <row r="654" customFormat="false" ht="15" hidden="false" customHeight="true" outlineLevel="1" collapsed="false">
      <c r="A654" s="429"/>
      <c r="B654" s="429"/>
      <c r="C654" s="429"/>
      <c r="D654" s="430"/>
      <c r="E654" s="431"/>
      <c r="F654" s="431"/>
      <c r="G654" s="429"/>
      <c r="H654" s="432"/>
      <c r="I654" s="432"/>
      <c r="J654" s="432"/>
      <c r="K654" s="328"/>
      <c r="L654" s="396"/>
      <c r="M654" s="396"/>
      <c r="N654" s="396"/>
      <c r="O654" s="396"/>
      <c r="P654" s="396"/>
      <c r="Q654" s="328"/>
      <c r="R654" s="328"/>
      <c r="S654" s="328"/>
      <c r="T654" s="328"/>
      <c r="U654" s="328"/>
      <c r="V654" s="328"/>
    </row>
    <row r="655" customFormat="false" ht="15" hidden="false" customHeight="true" outlineLevel="1" collapsed="false">
      <c r="A655" s="429"/>
      <c r="B655" s="429"/>
      <c r="C655" s="429"/>
      <c r="D655" s="430"/>
      <c r="E655" s="431"/>
      <c r="F655" s="431"/>
      <c r="G655" s="429"/>
      <c r="H655" s="432"/>
      <c r="I655" s="432"/>
      <c r="J655" s="432"/>
      <c r="K655" s="328"/>
      <c r="L655" s="396"/>
      <c r="M655" s="396"/>
      <c r="N655" s="396"/>
      <c r="O655" s="396"/>
      <c r="P655" s="396"/>
      <c r="Q655" s="328"/>
      <c r="R655" s="328"/>
      <c r="S655" s="328"/>
      <c r="T655" s="328"/>
      <c r="U655" s="328"/>
      <c r="V655" s="328"/>
    </row>
    <row r="656" customFormat="false" ht="15" hidden="false" customHeight="true" outlineLevel="1" collapsed="false">
      <c r="A656" s="429"/>
      <c r="B656" s="429"/>
      <c r="C656" s="429"/>
      <c r="D656" s="430"/>
      <c r="E656" s="431"/>
      <c r="F656" s="431"/>
      <c r="G656" s="429"/>
      <c r="H656" s="432"/>
      <c r="I656" s="432"/>
      <c r="J656" s="432"/>
      <c r="K656" s="328"/>
      <c r="L656" s="396"/>
      <c r="M656" s="396"/>
      <c r="N656" s="396"/>
      <c r="O656" s="396"/>
      <c r="P656" s="396"/>
      <c r="Q656" s="328"/>
      <c r="R656" s="328"/>
      <c r="S656" s="328"/>
      <c r="T656" s="328"/>
      <c r="U656" s="328"/>
      <c r="V656" s="328"/>
    </row>
    <row r="657" customFormat="false" ht="15" hidden="false" customHeight="true" outlineLevel="1" collapsed="false">
      <c r="A657" s="429"/>
      <c r="B657" s="429"/>
      <c r="C657" s="429"/>
      <c r="D657" s="430"/>
      <c r="E657" s="431"/>
      <c r="F657" s="431"/>
      <c r="G657" s="429"/>
      <c r="H657" s="432"/>
      <c r="I657" s="432"/>
      <c r="J657" s="432"/>
      <c r="K657" s="328"/>
      <c r="L657" s="396"/>
      <c r="M657" s="396"/>
      <c r="N657" s="396"/>
      <c r="O657" s="396"/>
      <c r="P657" s="396"/>
      <c r="Q657" s="328"/>
      <c r="R657" s="328"/>
      <c r="S657" s="328"/>
      <c r="T657" s="328"/>
      <c r="U657" s="328"/>
      <c r="V657" s="328"/>
    </row>
    <row r="658" customFormat="false" ht="15" hidden="false" customHeight="true" outlineLevel="1" collapsed="false">
      <c r="A658" s="429"/>
      <c r="B658" s="429"/>
      <c r="C658" s="429"/>
      <c r="D658" s="430"/>
      <c r="E658" s="431"/>
      <c r="F658" s="431"/>
      <c r="G658" s="429"/>
      <c r="H658" s="432"/>
      <c r="I658" s="432"/>
      <c r="J658" s="432"/>
      <c r="K658" s="328"/>
      <c r="L658" s="396"/>
      <c r="M658" s="396"/>
      <c r="N658" s="396"/>
      <c r="O658" s="396"/>
      <c r="P658" s="396"/>
      <c r="Q658" s="328"/>
      <c r="R658" s="328"/>
      <c r="S658" s="328"/>
      <c r="T658" s="328"/>
      <c r="U658" s="328"/>
      <c r="V658" s="328"/>
    </row>
    <row r="659" customFormat="false" ht="15" hidden="false" customHeight="true" outlineLevel="1" collapsed="false">
      <c r="A659" s="429"/>
      <c r="B659" s="429"/>
      <c r="C659" s="429"/>
      <c r="D659" s="430"/>
      <c r="E659" s="431"/>
      <c r="F659" s="431"/>
      <c r="G659" s="429"/>
      <c r="H659" s="432"/>
      <c r="I659" s="432"/>
      <c r="J659" s="432"/>
      <c r="K659" s="328"/>
      <c r="L659" s="396"/>
      <c r="M659" s="396"/>
      <c r="N659" s="396"/>
      <c r="O659" s="396"/>
      <c r="P659" s="396"/>
      <c r="Q659" s="328"/>
      <c r="R659" s="328"/>
      <c r="S659" s="328"/>
      <c r="T659" s="328"/>
      <c r="U659" s="328"/>
      <c r="V659" s="328"/>
    </row>
    <row r="660" customFormat="false" ht="15" hidden="false" customHeight="true" outlineLevel="1" collapsed="false">
      <c r="A660" s="429"/>
      <c r="B660" s="429"/>
      <c r="C660" s="429"/>
      <c r="D660" s="430"/>
      <c r="E660" s="431"/>
      <c r="F660" s="431"/>
      <c r="G660" s="429"/>
      <c r="H660" s="432"/>
      <c r="I660" s="432"/>
      <c r="J660" s="432"/>
      <c r="K660" s="328"/>
      <c r="L660" s="396"/>
      <c r="M660" s="396"/>
      <c r="N660" s="396"/>
      <c r="O660" s="396"/>
      <c r="P660" s="396"/>
      <c r="Q660" s="328"/>
      <c r="R660" s="328"/>
      <c r="S660" s="328"/>
      <c r="T660" s="328"/>
      <c r="U660" s="328"/>
      <c r="V660" s="328"/>
    </row>
    <row r="661" customFormat="false" ht="15" hidden="false" customHeight="true" outlineLevel="1" collapsed="false">
      <c r="A661" s="429"/>
      <c r="B661" s="429"/>
      <c r="C661" s="429"/>
      <c r="D661" s="430"/>
      <c r="E661" s="431"/>
      <c r="F661" s="431"/>
      <c r="G661" s="429"/>
      <c r="H661" s="432"/>
      <c r="I661" s="432"/>
      <c r="J661" s="432"/>
      <c r="K661" s="328"/>
      <c r="L661" s="396"/>
      <c r="M661" s="396"/>
      <c r="N661" s="396"/>
      <c r="O661" s="396"/>
      <c r="P661" s="396"/>
      <c r="Q661" s="328"/>
      <c r="R661" s="328"/>
      <c r="S661" s="328"/>
      <c r="T661" s="328"/>
      <c r="U661" s="328"/>
      <c r="V661" s="328"/>
    </row>
    <row r="662" customFormat="false" ht="15" hidden="false" customHeight="true" outlineLevel="1" collapsed="false">
      <c r="A662" s="429"/>
      <c r="B662" s="429"/>
      <c r="C662" s="429"/>
      <c r="D662" s="430"/>
      <c r="E662" s="431"/>
      <c r="F662" s="431"/>
      <c r="G662" s="429"/>
      <c r="H662" s="432"/>
      <c r="I662" s="432"/>
      <c r="J662" s="432"/>
      <c r="K662" s="328"/>
      <c r="L662" s="396"/>
      <c r="M662" s="396"/>
      <c r="N662" s="396"/>
      <c r="O662" s="396"/>
      <c r="P662" s="396"/>
      <c r="Q662" s="328"/>
      <c r="R662" s="328"/>
      <c r="S662" s="328"/>
      <c r="T662" s="328"/>
      <c r="U662" s="328"/>
      <c r="V662" s="328"/>
    </row>
    <row r="663" customFormat="false" ht="15" hidden="false" customHeight="true" outlineLevel="1" collapsed="false">
      <c r="A663" s="429"/>
      <c r="B663" s="429"/>
      <c r="C663" s="429"/>
      <c r="D663" s="430"/>
      <c r="E663" s="431"/>
      <c r="F663" s="431"/>
      <c r="G663" s="429"/>
      <c r="H663" s="432"/>
      <c r="I663" s="432"/>
      <c r="J663" s="432"/>
      <c r="K663" s="328"/>
      <c r="L663" s="396"/>
      <c r="M663" s="396"/>
      <c r="N663" s="396"/>
      <c r="O663" s="396"/>
      <c r="P663" s="396"/>
      <c r="Q663" s="328"/>
      <c r="R663" s="328"/>
      <c r="S663" s="328"/>
      <c r="T663" s="328"/>
      <c r="U663" s="328"/>
      <c r="V663" s="328"/>
    </row>
    <row r="664" customFormat="false" ht="15" hidden="false" customHeight="true" outlineLevel="1" collapsed="false">
      <c r="A664" s="429"/>
      <c r="B664" s="429"/>
      <c r="C664" s="429"/>
      <c r="D664" s="430"/>
      <c r="E664" s="431"/>
      <c r="F664" s="431"/>
      <c r="G664" s="429"/>
      <c r="H664" s="432"/>
      <c r="I664" s="432"/>
      <c r="J664" s="432"/>
      <c r="K664" s="328"/>
      <c r="L664" s="396"/>
      <c r="M664" s="396"/>
      <c r="N664" s="396"/>
      <c r="O664" s="396"/>
      <c r="P664" s="396"/>
      <c r="Q664" s="328"/>
      <c r="R664" s="328"/>
      <c r="S664" s="328"/>
      <c r="T664" s="328"/>
      <c r="U664" s="328"/>
      <c r="V664" s="328"/>
    </row>
    <row r="665" customFormat="false" ht="15" hidden="false" customHeight="true" outlineLevel="1" collapsed="false">
      <c r="A665" s="429"/>
      <c r="B665" s="429"/>
      <c r="C665" s="429"/>
      <c r="D665" s="430"/>
      <c r="E665" s="431"/>
      <c r="F665" s="431"/>
      <c r="G665" s="429"/>
      <c r="H665" s="432"/>
      <c r="I665" s="432"/>
      <c r="J665" s="432"/>
      <c r="K665" s="328"/>
      <c r="L665" s="396"/>
      <c r="M665" s="396"/>
      <c r="N665" s="396"/>
      <c r="O665" s="396"/>
      <c r="P665" s="396"/>
      <c r="Q665" s="328"/>
      <c r="R665" s="328"/>
      <c r="S665" s="328"/>
      <c r="T665" s="328"/>
      <c r="U665" s="328"/>
      <c r="V665" s="328"/>
    </row>
    <row r="666" customFormat="false" ht="15" hidden="false" customHeight="true" outlineLevel="1" collapsed="false">
      <c r="A666" s="429"/>
      <c r="B666" s="429"/>
      <c r="C666" s="429"/>
      <c r="D666" s="430"/>
      <c r="E666" s="431"/>
      <c r="F666" s="431"/>
      <c r="G666" s="429"/>
      <c r="H666" s="432"/>
      <c r="I666" s="432"/>
      <c r="J666" s="432"/>
      <c r="K666" s="328"/>
      <c r="L666" s="396"/>
      <c r="M666" s="396"/>
      <c r="N666" s="396"/>
      <c r="O666" s="396"/>
      <c r="P666" s="396"/>
      <c r="Q666" s="328"/>
      <c r="R666" s="328"/>
      <c r="S666" s="328"/>
      <c r="T666" s="328"/>
      <c r="U666" s="328"/>
      <c r="V666" s="328"/>
    </row>
    <row r="667" customFormat="false" ht="15" hidden="false" customHeight="true" outlineLevel="1" collapsed="false">
      <c r="A667" s="429"/>
      <c r="B667" s="429"/>
      <c r="C667" s="429"/>
      <c r="D667" s="430"/>
      <c r="E667" s="431"/>
      <c r="F667" s="431"/>
      <c r="G667" s="429"/>
      <c r="H667" s="432"/>
      <c r="I667" s="432"/>
      <c r="J667" s="432"/>
      <c r="K667" s="328"/>
      <c r="L667" s="396"/>
      <c r="M667" s="396"/>
      <c r="N667" s="396"/>
      <c r="O667" s="396"/>
      <c r="P667" s="396"/>
      <c r="Q667" s="328"/>
      <c r="R667" s="328"/>
      <c r="S667" s="328"/>
      <c r="T667" s="328"/>
      <c r="U667" s="328"/>
      <c r="V667" s="328"/>
    </row>
    <row r="668" customFormat="false" ht="15" hidden="false" customHeight="true" outlineLevel="1" collapsed="false">
      <c r="A668" s="429"/>
      <c r="B668" s="429"/>
      <c r="C668" s="429"/>
      <c r="D668" s="430"/>
      <c r="E668" s="431"/>
      <c r="F668" s="431"/>
      <c r="G668" s="429"/>
      <c r="H668" s="432"/>
      <c r="I668" s="432"/>
      <c r="J668" s="432"/>
      <c r="K668" s="328"/>
      <c r="L668" s="396"/>
      <c r="M668" s="396"/>
      <c r="N668" s="396"/>
      <c r="O668" s="396"/>
      <c r="P668" s="396"/>
      <c r="Q668" s="328"/>
      <c r="R668" s="328"/>
      <c r="S668" s="328"/>
      <c r="T668" s="328"/>
      <c r="U668" s="328"/>
      <c r="V668" s="328"/>
    </row>
    <row r="669" customFormat="false" ht="15" hidden="false" customHeight="true" outlineLevel="1" collapsed="false">
      <c r="A669" s="429"/>
      <c r="B669" s="429"/>
      <c r="C669" s="429"/>
      <c r="D669" s="430"/>
      <c r="E669" s="431"/>
      <c r="F669" s="431"/>
      <c r="G669" s="429"/>
      <c r="H669" s="432"/>
      <c r="I669" s="432"/>
      <c r="J669" s="432"/>
      <c r="K669" s="328"/>
      <c r="L669" s="396"/>
      <c r="M669" s="396"/>
      <c r="N669" s="396"/>
      <c r="O669" s="396"/>
      <c r="P669" s="396"/>
      <c r="Q669" s="328"/>
      <c r="R669" s="328"/>
      <c r="S669" s="328"/>
      <c r="T669" s="328"/>
      <c r="U669" s="328"/>
      <c r="V669" s="328"/>
    </row>
    <row r="670" customFormat="false" ht="15" hidden="false" customHeight="true" outlineLevel="1" collapsed="false">
      <c r="A670" s="429"/>
      <c r="B670" s="429"/>
      <c r="C670" s="429"/>
      <c r="D670" s="430"/>
      <c r="E670" s="431"/>
      <c r="F670" s="431"/>
      <c r="G670" s="429"/>
      <c r="H670" s="432"/>
      <c r="I670" s="432"/>
      <c r="J670" s="432"/>
      <c r="K670" s="328"/>
      <c r="L670" s="396"/>
      <c r="M670" s="396"/>
      <c r="N670" s="396"/>
      <c r="O670" s="396"/>
      <c r="P670" s="396"/>
      <c r="Q670" s="328"/>
      <c r="R670" s="328"/>
      <c r="S670" s="328"/>
      <c r="T670" s="328"/>
      <c r="U670" s="328"/>
      <c r="V670" s="328"/>
    </row>
    <row r="671" customFormat="false" ht="15" hidden="false" customHeight="true" outlineLevel="1" collapsed="false">
      <c r="A671" s="429"/>
      <c r="B671" s="429"/>
      <c r="C671" s="429"/>
      <c r="D671" s="430"/>
      <c r="E671" s="431"/>
      <c r="F671" s="431"/>
      <c r="G671" s="429"/>
      <c r="H671" s="432"/>
      <c r="I671" s="432"/>
      <c r="J671" s="432"/>
      <c r="K671" s="328"/>
      <c r="L671" s="396"/>
      <c r="M671" s="396"/>
      <c r="N671" s="396"/>
      <c r="O671" s="396"/>
      <c r="P671" s="396"/>
      <c r="Q671" s="328"/>
      <c r="R671" s="328"/>
      <c r="S671" s="328"/>
      <c r="T671" s="328"/>
      <c r="U671" s="328"/>
      <c r="V671" s="328"/>
    </row>
    <row r="672" customFormat="false" ht="15" hidden="false" customHeight="true" outlineLevel="1" collapsed="false">
      <c r="A672" s="429"/>
      <c r="B672" s="429"/>
      <c r="C672" s="429"/>
      <c r="D672" s="430"/>
      <c r="E672" s="431"/>
      <c r="F672" s="431"/>
      <c r="G672" s="429"/>
      <c r="H672" s="432"/>
      <c r="I672" s="432"/>
      <c r="J672" s="432"/>
      <c r="K672" s="328"/>
      <c r="L672" s="396"/>
      <c r="M672" s="396"/>
      <c r="N672" s="396"/>
      <c r="O672" s="396"/>
      <c r="P672" s="396"/>
      <c r="Q672" s="328"/>
      <c r="R672" s="328"/>
      <c r="S672" s="328"/>
      <c r="T672" s="328"/>
      <c r="U672" s="328"/>
      <c r="V672" s="328"/>
    </row>
    <row r="673" customFormat="false" ht="15" hidden="false" customHeight="true" outlineLevel="1" collapsed="false">
      <c r="A673" s="429"/>
      <c r="B673" s="429"/>
      <c r="C673" s="429"/>
      <c r="D673" s="430"/>
      <c r="E673" s="431"/>
      <c r="F673" s="431"/>
      <c r="G673" s="429"/>
      <c r="H673" s="432"/>
      <c r="I673" s="432"/>
      <c r="J673" s="432"/>
      <c r="K673" s="328"/>
      <c r="L673" s="396"/>
      <c r="M673" s="396"/>
      <c r="N673" s="396"/>
      <c r="O673" s="396"/>
      <c r="P673" s="396"/>
      <c r="Q673" s="328"/>
      <c r="R673" s="328"/>
      <c r="S673" s="328"/>
      <c r="T673" s="328"/>
      <c r="U673" s="328"/>
      <c r="V673" s="328"/>
    </row>
    <row r="674" customFormat="false" ht="15" hidden="false" customHeight="true" outlineLevel="1" collapsed="false">
      <c r="A674" s="429"/>
      <c r="B674" s="429"/>
      <c r="C674" s="429"/>
      <c r="D674" s="430"/>
      <c r="E674" s="431"/>
      <c r="F674" s="431"/>
      <c r="G674" s="429"/>
      <c r="H674" s="432"/>
      <c r="I674" s="432"/>
      <c r="J674" s="432"/>
      <c r="K674" s="328"/>
      <c r="L674" s="396"/>
      <c r="M674" s="396"/>
      <c r="N674" s="396"/>
      <c r="O674" s="396"/>
      <c r="P674" s="396"/>
      <c r="Q674" s="328"/>
      <c r="R674" s="328"/>
      <c r="S674" s="328"/>
      <c r="T674" s="328"/>
      <c r="U674" s="328"/>
      <c r="V674" s="328"/>
    </row>
    <row r="675" customFormat="false" ht="15" hidden="false" customHeight="true" outlineLevel="1" collapsed="false">
      <c r="A675" s="429"/>
      <c r="B675" s="429"/>
      <c r="C675" s="429"/>
      <c r="D675" s="430"/>
      <c r="E675" s="431"/>
      <c r="F675" s="431"/>
      <c r="G675" s="429"/>
      <c r="H675" s="432"/>
      <c r="I675" s="432"/>
      <c r="J675" s="432"/>
      <c r="K675" s="328"/>
      <c r="L675" s="396"/>
      <c r="M675" s="396"/>
      <c r="N675" s="396"/>
      <c r="O675" s="396"/>
      <c r="P675" s="396"/>
      <c r="Q675" s="328"/>
      <c r="R675" s="328"/>
      <c r="S675" s="328"/>
      <c r="T675" s="328"/>
      <c r="U675" s="328"/>
      <c r="V675" s="328"/>
    </row>
    <row r="676" customFormat="false" ht="15" hidden="false" customHeight="true" outlineLevel="1" collapsed="false">
      <c r="A676" s="429"/>
      <c r="B676" s="429"/>
      <c r="C676" s="429"/>
      <c r="D676" s="430"/>
      <c r="E676" s="431"/>
      <c r="F676" s="431"/>
      <c r="G676" s="429"/>
      <c r="H676" s="432"/>
      <c r="I676" s="432"/>
      <c r="J676" s="432"/>
      <c r="K676" s="328"/>
      <c r="L676" s="396"/>
      <c r="M676" s="396"/>
      <c r="N676" s="396"/>
      <c r="O676" s="396"/>
      <c r="P676" s="396"/>
      <c r="Q676" s="328"/>
      <c r="R676" s="328"/>
      <c r="S676" s="328"/>
      <c r="T676" s="328"/>
      <c r="U676" s="328"/>
      <c r="V676" s="328"/>
    </row>
    <row r="677" customFormat="false" ht="15" hidden="false" customHeight="true" outlineLevel="1" collapsed="false">
      <c r="A677" s="429"/>
      <c r="B677" s="429"/>
      <c r="C677" s="429"/>
      <c r="D677" s="430"/>
      <c r="E677" s="431"/>
      <c r="F677" s="431"/>
      <c r="G677" s="429"/>
      <c r="H677" s="432"/>
      <c r="I677" s="432"/>
      <c r="J677" s="432"/>
      <c r="K677" s="328"/>
      <c r="L677" s="396"/>
      <c r="M677" s="396"/>
      <c r="N677" s="396"/>
      <c r="O677" s="396"/>
      <c r="P677" s="396"/>
      <c r="Q677" s="328"/>
      <c r="R677" s="328"/>
      <c r="S677" s="328"/>
      <c r="T677" s="328"/>
      <c r="U677" s="328"/>
      <c r="V677" s="328"/>
    </row>
    <row r="678" customFormat="false" ht="15" hidden="false" customHeight="true" outlineLevel="1" collapsed="false">
      <c r="A678" s="429"/>
      <c r="B678" s="429"/>
      <c r="C678" s="429"/>
      <c r="D678" s="430"/>
      <c r="E678" s="431"/>
      <c r="F678" s="431"/>
      <c r="G678" s="429"/>
      <c r="H678" s="432"/>
      <c r="I678" s="432"/>
      <c r="J678" s="432"/>
      <c r="K678" s="328"/>
      <c r="L678" s="396"/>
      <c r="M678" s="396"/>
      <c r="N678" s="396"/>
      <c r="O678" s="396"/>
      <c r="P678" s="396"/>
      <c r="Q678" s="328"/>
      <c r="R678" s="328"/>
      <c r="S678" s="328"/>
      <c r="T678" s="328"/>
      <c r="U678" s="328"/>
      <c r="V678" s="328"/>
    </row>
    <row r="679" customFormat="false" ht="15" hidden="false" customHeight="true" outlineLevel="1" collapsed="false">
      <c r="A679" s="429"/>
      <c r="B679" s="429"/>
      <c r="C679" s="429"/>
      <c r="D679" s="430"/>
      <c r="E679" s="431"/>
      <c r="F679" s="431"/>
      <c r="G679" s="429"/>
      <c r="H679" s="432"/>
      <c r="I679" s="432"/>
      <c r="J679" s="432"/>
      <c r="K679" s="328"/>
      <c r="L679" s="396"/>
      <c r="M679" s="396"/>
      <c r="N679" s="396"/>
      <c r="O679" s="396"/>
      <c r="P679" s="396"/>
      <c r="Q679" s="328"/>
      <c r="R679" s="328"/>
      <c r="S679" s="328"/>
      <c r="T679" s="328"/>
      <c r="U679" s="328"/>
      <c r="V679" s="328"/>
    </row>
    <row r="680" customFormat="false" ht="15" hidden="false" customHeight="true" outlineLevel="1" collapsed="false">
      <c r="A680" s="429"/>
      <c r="B680" s="429"/>
      <c r="C680" s="429"/>
      <c r="D680" s="430"/>
      <c r="E680" s="431"/>
      <c r="F680" s="431"/>
      <c r="G680" s="429"/>
      <c r="H680" s="432"/>
      <c r="I680" s="432"/>
      <c r="J680" s="432"/>
      <c r="K680" s="328"/>
      <c r="L680" s="396"/>
      <c r="M680" s="396"/>
      <c r="N680" s="396"/>
      <c r="O680" s="396"/>
      <c r="P680" s="396"/>
      <c r="Q680" s="328"/>
      <c r="R680" s="328"/>
      <c r="S680" s="328"/>
      <c r="T680" s="328"/>
      <c r="U680" s="328"/>
      <c r="V680" s="328"/>
    </row>
    <row r="681" customFormat="false" ht="15" hidden="false" customHeight="true" outlineLevel="1" collapsed="false">
      <c r="A681" s="429"/>
      <c r="B681" s="429"/>
      <c r="C681" s="429"/>
      <c r="D681" s="430"/>
      <c r="E681" s="431"/>
      <c r="F681" s="431"/>
      <c r="G681" s="429"/>
      <c r="H681" s="432"/>
      <c r="I681" s="432"/>
      <c r="J681" s="432"/>
      <c r="K681" s="328"/>
      <c r="L681" s="396"/>
      <c r="M681" s="396"/>
      <c r="N681" s="396"/>
      <c r="O681" s="396"/>
      <c r="P681" s="396"/>
      <c r="Q681" s="328"/>
      <c r="R681" s="328"/>
      <c r="S681" s="328"/>
      <c r="T681" s="328"/>
      <c r="U681" s="328"/>
      <c r="V681" s="328"/>
    </row>
    <row r="682" customFormat="false" ht="15" hidden="false" customHeight="true" outlineLevel="1" collapsed="false">
      <c r="A682" s="429"/>
      <c r="B682" s="429"/>
      <c r="C682" s="429"/>
      <c r="D682" s="430"/>
      <c r="E682" s="431"/>
      <c r="F682" s="431"/>
      <c r="G682" s="429"/>
      <c r="H682" s="432"/>
      <c r="I682" s="432"/>
      <c r="J682" s="432"/>
      <c r="K682" s="328"/>
      <c r="L682" s="396"/>
      <c r="M682" s="396"/>
      <c r="N682" s="396"/>
      <c r="O682" s="396"/>
      <c r="P682" s="396"/>
      <c r="Q682" s="328"/>
      <c r="R682" s="328"/>
      <c r="S682" s="328"/>
      <c r="T682" s="328"/>
      <c r="U682" s="328"/>
      <c r="V682" s="328"/>
    </row>
    <row r="683" customFormat="false" ht="15" hidden="false" customHeight="true" outlineLevel="1" collapsed="false">
      <c r="A683" s="429"/>
      <c r="B683" s="429"/>
      <c r="C683" s="429"/>
      <c r="D683" s="430"/>
      <c r="E683" s="431"/>
      <c r="F683" s="431"/>
      <c r="G683" s="429"/>
      <c r="H683" s="432"/>
      <c r="I683" s="432"/>
      <c r="J683" s="432"/>
      <c r="K683" s="328"/>
      <c r="L683" s="396"/>
      <c r="M683" s="396"/>
      <c r="N683" s="396"/>
      <c r="O683" s="396"/>
      <c r="P683" s="396"/>
      <c r="Q683" s="328"/>
      <c r="R683" s="328"/>
      <c r="S683" s="328"/>
      <c r="T683" s="328"/>
      <c r="U683" s="328"/>
      <c r="V683" s="328"/>
    </row>
    <row r="684" customFormat="false" ht="15" hidden="false" customHeight="true" outlineLevel="1" collapsed="false">
      <c r="A684" s="429"/>
      <c r="B684" s="429"/>
      <c r="C684" s="429"/>
      <c r="D684" s="430"/>
      <c r="E684" s="431"/>
      <c r="F684" s="431"/>
      <c r="G684" s="429"/>
      <c r="H684" s="432"/>
      <c r="I684" s="432"/>
      <c r="J684" s="432"/>
      <c r="K684" s="328"/>
      <c r="L684" s="396"/>
      <c r="M684" s="396"/>
      <c r="N684" s="396"/>
      <c r="O684" s="396"/>
      <c r="P684" s="396"/>
      <c r="Q684" s="328"/>
      <c r="R684" s="328"/>
      <c r="S684" s="328"/>
      <c r="T684" s="328"/>
      <c r="U684" s="328"/>
      <c r="V684" s="328"/>
    </row>
    <row r="685" customFormat="false" ht="15" hidden="false" customHeight="true" outlineLevel="1" collapsed="false">
      <c r="A685" s="429"/>
      <c r="B685" s="429"/>
      <c r="C685" s="429"/>
      <c r="D685" s="430"/>
      <c r="E685" s="431"/>
      <c r="F685" s="431"/>
      <c r="G685" s="429"/>
      <c r="H685" s="432"/>
      <c r="I685" s="432"/>
      <c r="J685" s="432"/>
      <c r="K685" s="328"/>
      <c r="L685" s="396"/>
      <c r="M685" s="396"/>
      <c r="N685" s="396"/>
      <c r="O685" s="396"/>
      <c r="P685" s="396"/>
      <c r="Q685" s="328"/>
      <c r="R685" s="328"/>
      <c r="S685" s="328"/>
      <c r="T685" s="328"/>
      <c r="U685" s="328"/>
      <c r="V685" s="328"/>
    </row>
    <row r="686" customFormat="false" ht="15" hidden="false" customHeight="true" outlineLevel="1" collapsed="false">
      <c r="A686" s="429"/>
      <c r="B686" s="429"/>
      <c r="C686" s="429"/>
      <c r="D686" s="430"/>
      <c r="E686" s="431"/>
      <c r="F686" s="431"/>
      <c r="G686" s="429"/>
      <c r="H686" s="432"/>
      <c r="I686" s="432"/>
      <c r="J686" s="432"/>
      <c r="K686" s="328"/>
      <c r="L686" s="396"/>
      <c r="M686" s="396"/>
      <c r="N686" s="396"/>
      <c r="O686" s="396"/>
      <c r="P686" s="396"/>
      <c r="Q686" s="328"/>
      <c r="R686" s="328"/>
      <c r="S686" s="328"/>
      <c r="T686" s="328"/>
      <c r="U686" s="328"/>
      <c r="V686" s="328"/>
    </row>
    <row r="687" customFormat="false" ht="15" hidden="false" customHeight="true" outlineLevel="1" collapsed="false">
      <c r="A687" s="429"/>
      <c r="B687" s="429"/>
      <c r="C687" s="429"/>
      <c r="D687" s="430"/>
      <c r="E687" s="431"/>
      <c r="F687" s="431"/>
      <c r="G687" s="429"/>
      <c r="H687" s="432"/>
      <c r="I687" s="432"/>
      <c r="J687" s="432"/>
      <c r="K687" s="328"/>
      <c r="L687" s="396"/>
      <c r="M687" s="396"/>
      <c r="N687" s="396"/>
      <c r="O687" s="396"/>
      <c r="P687" s="396"/>
      <c r="Q687" s="328"/>
      <c r="R687" s="328"/>
      <c r="S687" s="328"/>
      <c r="T687" s="328"/>
      <c r="U687" s="328"/>
      <c r="V687" s="328"/>
    </row>
    <row r="688" customFormat="false" ht="15" hidden="false" customHeight="true" outlineLevel="1" collapsed="false">
      <c r="A688" s="429"/>
      <c r="B688" s="429"/>
      <c r="C688" s="429"/>
      <c r="D688" s="430"/>
      <c r="E688" s="431"/>
      <c r="F688" s="431"/>
      <c r="G688" s="429"/>
      <c r="H688" s="432"/>
      <c r="I688" s="432"/>
      <c r="J688" s="432"/>
      <c r="K688" s="328"/>
      <c r="L688" s="396"/>
      <c r="M688" s="396"/>
      <c r="N688" s="396"/>
      <c r="O688" s="396"/>
      <c r="P688" s="396"/>
      <c r="Q688" s="328"/>
      <c r="R688" s="328"/>
      <c r="S688" s="328"/>
      <c r="T688" s="328"/>
      <c r="U688" s="328"/>
      <c r="V688" s="328"/>
    </row>
    <row r="689" customFormat="false" ht="15" hidden="false" customHeight="true" outlineLevel="1" collapsed="false">
      <c r="A689" s="429"/>
      <c r="B689" s="429"/>
      <c r="C689" s="429"/>
      <c r="D689" s="430"/>
      <c r="E689" s="431"/>
      <c r="F689" s="431"/>
      <c r="G689" s="429"/>
      <c r="H689" s="432"/>
      <c r="I689" s="432"/>
      <c r="J689" s="432"/>
      <c r="K689" s="328"/>
      <c r="L689" s="396"/>
      <c r="M689" s="396"/>
      <c r="N689" s="396"/>
      <c r="O689" s="396"/>
      <c r="P689" s="396"/>
      <c r="Q689" s="328"/>
      <c r="R689" s="328"/>
      <c r="S689" s="328"/>
      <c r="T689" s="328"/>
      <c r="U689" s="328"/>
      <c r="V689" s="328"/>
    </row>
    <row r="690" customFormat="false" ht="15" hidden="false" customHeight="true" outlineLevel="1" collapsed="false">
      <c r="A690" s="429"/>
      <c r="B690" s="429"/>
      <c r="C690" s="429"/>
      <c r="D690" s="430"/>
      <c r="E690" s="431"/>
      <c r="F690" s="431"/>
      <c r="G690" s="429"/>
      <c r="H690" s="432"/>
      <c r="I690" s="432"/>
      <c r="J690" s="432"/>
      <c r="K690" s="328"/>
      <c r="L690" s="396"/>
      <c r="M690" s="396"/>
      <c r="N690" s="396"/>
      <c r="O690" s="396"/>
      <c r="P690" s="396"/>
      <c r="Q690" s="328"/>
      <c r="R690" s="328"/>
      <c r="S690" s="328"/>
      <c r="T690" s="328"/>
      <c r="U690" s="328"/>
      <c r="V690" s="328"/>
    </row>
    <row r="691" customFormat="false" ht="15" hidden="false" customHeight="true" outlineLevel="1" collapsed="false">
      <c r="A691" s="429"/>
      <c r="B691" s="429"/>
      <c r="C691" s="429"/>
      <c r="D691" s="430"/>
      <c r="E691" s="431"/>
      <c r="F691" s="431"/>
      <c r="G691" s="429"/>
      <c r="H691" s="432"/>
      <c r="I691" s="432"/>
      <c r="J691" s="432"/>
      <c r="K691" s="328"/>
      <c r="L691" s="396"/>
      <c r="M691" s="396"/>
      <c r="N691" s="396"/>
      <c r="O691" s="396"/>
      <c r="P691" s="396"/>
      <c r="Q691" s="328"/>
      <c r="R691" s="328"/>
      <c r="S691" s="328"/>
      <c r="T691" s="328"/>
      <c r="U691" s="328"/>
      <c r="V691" s="328"/>
    </row>
    <row r="692" customFormat="false" ht="15" hidden="false" customHeight="true" outlineLevel="1" collapsed="false">
      <c r="A692" s="429"/>
      <c r="B692" s="429"/>
      <c r="C692" s="429"/>
      <c r="D692" s="430"/>
      <c r="E692" s="431"/>
      <c r="F692" s="431"/>
      <c r="G692" s="429"/>
      <c r="H692" s="432"/>
      <c r="I692" s="432"/>
      <c r="J692" s="432"/>
      <c r="K692" s="328"/>
      <c r="L692" s="396"/>
      <c r="M692" s="396"/>
      <c r="N692" s="396"/>
      <c r="O692" s="396"/>
      <c r="P692" s="396"/>
      <c r="Q692" s="328"/>
      <c r="R692" s="328"/>
      <c r="S692" s="328"/>
      <c r="T692" s="328"/>
      <c r="U692" s="328"/>
      <c r="V692" s="328"/>
    </row>
    <row r="693" customFormat="false" ht="15" hidden="false" customHeight="true" outlineLevel="1" collapsed="false">
      <c r="A693" s="429"/>
      <c r="B693" s="429"/>
      <c r="C693" s="429"/>
      <c r="D693" s="430"/>
      <c r="E693" s="431"/>
      <c r="F693" s="431"/>
      <c r="G693" s="429"/>
      <c r="H693" s="432"/>
      <c r="I693" s="432"/>
      <c r="J693" s="432"/>
      <c r="K693" s="328"/>
      <c r="L693" s="396"/>
      <c r="M693" s="396"/>
      <c r="N693" s="396"/>
      <c r="O693" s="396"/>
      <c r="P693" s="396"/>
      <c r="Q693" s="328"/>
      <c r="R693" s="328"/>
      <c r="S693" s="328"/>
      <c r="T693" s="328"/>
      <c r="U693" s="328"/>
      <c r="V693" s="328"/>
    </row>
    <row r="694" customFormat="false" ht="15" hidden="false" customHeight="true" outlineLevel="1" collapsed="false">
      <c r="A694" s="429"/>
      <c r="B694" s="429"/>
      <c r="C694" s="429"/>
      <c r="D694" s="430"/>
      <c r="E694" s="431"/>
      <c r="F694" s="431"/>
      <c r="G694" s="429"/>
      <c r="H694" s="432"/>
      <c r="I694" s="432"/>
      <c r="J694" s="432"/>
      <c r="K694" s="328"/>
      <c r="L694" s="396"/>
      <c r="M694" s="396"/>
      <c r="N694" s="396"/>
      <c r="O694" s="396"/>
      <c r="P694" s="396"/>
      <c r="Q694" s="328"/>
      <c r="R694" s="328"/>
      <c r="S694" s="328"/>
      <c r="T694" s="328"/>
      <c r="U694" s="328"/>
      <c r="V694" s="328"/>
    </row>
    <row r="695" customFormat="false" ht="15" hidden="false" customHeight="true" outlineLevel="1" collapsed="false">
      <c r="A695" s="429"/>
      <c r="B695" s="429"/>
      <c r="C695" s="429"/>
      <c r="D695" s="430"/>
      <c r="E695" s="431"/>
      <c r="F695" s="431"/>
      <c r="G695" s="429"/>
      <c r="H695" s="432"/>
      <c r="I695" s="432"/>
      <c r="J695" s="432"/>
      <c r="K695" s="328"/>
      <c r="L695" s="396"/>
      <c r="M695" s="396"/>
      <c r="N695" s="396"/>
      <c r="O695" s="396"/>
      <c r="P695" s="396"/>
      <c r="Q695" s="328"/>
      <c r="R695" s="328"/>
      <c r="S695" s="328"/>
      <c r="T695" s="328"/>
      <c r="U695" s="328"/>
      <c r="V695" s="328"/>
    </row>
    <row r="696" customFormat="false" ht="15" hidden="false" customHeight="true" outlineLevel="1" collapsed="false">
      <c r="A696" s="429"/>
      <c r="B696" s="429"/>
      <c r="C696" s="429"/>
      <c r="D696" s="430"/>
      <c r="E696" s="431"/>
      <c r="F696" s="431"/>
      <c r="G696" s="429"/>
      <c r="H696" s="432"/>
      <c r="I696" s="432"/>
      <c r="J696" s="432"/>
      <c r="K696" s="328"/>
      <c r="L696" s="396"/>
      <c r="M696" s="396"/>
      <c r="N696" s="396"/>
      <c r="O696" s="396"/>
      <c r="P696" s="396"/>
      <c r="Q696" s="328"/>
      <c r="R696" s="328"/>
      <c r="S696" s="328"/>
      <c r="T696" s="328"/>
      <c r="U696" s="328"/>
      <c r="V696" s="328"/>
    </row>
    <row r="697" customFormat="false" ht="15" hidden="false" customHeight="true" outlineLevel="1" collapsed="false">
      <c r="A697" s="429"/>
      <c r="B697" s="429"/>
      <c r="C697" s="429"/>
      <c r="D697" s="430"/>
      <c r="E697" s="431"/>
      <c r="F697" s="431"/>
      <c r="G697" s="429"/>
      <c r="H697" s="432"/>
      <c r="I697" s="432"/>
      <c r="J697" s="432"/>
      <c r="K697" s="328"/>
      <c r="L697" s="396"/>
      <c r="M697" s="396"/>
      <c r="N697" s="396"/>
      <c r="O697" s="396"/>
      <c r="P697" s="396"/>
      <c r="Q697" s="328"/>
      <c r="R697" s="328"/>
      <c r="S697" s="328"/>
      <c r="T697" s="328"/>
      <c r="U697" s="328"/>
      <c r="V697" s="328"/>
    </row>
    <row r="698" customFormat="false" ht="15" hidden="false" customHeight="true" outlineLevel="1" collapsed="false">
      <c r="A698" s="429"/>
      <c r="B698" s="429"/>
      <c r="C698" s="429"/>
      <c r="D698" s="430"/>
      <c r="E698" s="431"/>
      <c r="F698" s="431"/>
      <c r="G698" s="429"/>
      <c r="H698" s="432"/>
      <c r="I698" s="432"/>
      <c r="J698" s="432"/>
      <c r="K698" s="328"/>
      <c r="L698" s="396"/>
      <c r="M698" s="396"/>
      <c r="N698" s="396"/>
      <c r="O698" s="396"/>
      <c r="P698" s="396"/>
      <c r="Q698" s="328"/>
      <c r="R698" s="328"/>
      <c r="S698" s="328"/>
      <c r="T698" s="328"/>
      <c r="U698" s="328"/>
      <c r="V698" s="328"/>
    </row>
    <row r="699" customFormat="false" ht="15" hidden="false" customHeight="true" outlineLevel="1" collapsed="false">
      <c r="A699" s="429"/>
      <c r="B699" s="429"/>
      <c r="C699" s="429"/>
      <c r="D699" s="430"/>
      <c r="E699" s="431"/>
      <c r="F699" s="431"/>
      <c r="G699" s="429"/>
      <c r="H699" s="432"/>
      <c r="I699" s="432"/>
      <c r="J699" s="432"/>
      <c r="K699" s="328"/>
      <c r="L699" s="396"/>
      <c r="M699" s="396"/>
      <c r="N699" s="396"/>
      <c r="O699" s="396"/>
      <c r="P699" s="396"/>
      <c r="Q699" s="328"/>
      <c r="R699" s="328"/>
      <c r="S699" s="328"/>
      <c r="T699" s="328"/>
      <c r="U699" s="328"/>
      <c r="V699" s="328"/>
    </row>
    <row r="700" customFormat="false" ht="15" hidden="false" customHeight="true" outlineLevel="1" collapsed="false">
      <c r="A700" s="429"/>
      <c r="B700" s="429"/>
      <c r="C700" s="429"/>
      <c r="D700" s="430"/>
      <c r="E700" s="431"/>
      <c r="F700" s="431"/>
      <c r="G700" s="429"/>
      <c r="H700" s="432"/>
      <c r="I700" s="432"/>
      <c r="J700" s="432"/>
      <c r="K700" s="328"/>
      <c r="L700" s="396"/>
      <c r="M700" s="396"/>
      <c r="N700" s="396"/>
      <c r="O700" s="396"/>
      <c r="P700" s="396"/>
      <c r="Q700" s="328"/>
      <c r="R700" s="328"/>
      <c r="S700" s="328"/>
      <c r="T700" s="328"/>
      <c r="U700" s="328"/>
      <c r="V700" s="328"/>
    </row>
    <row r="701" customFormat="false" ht="15" hidden="false" customHeight="true" outlineLevel="1" collapsed="false">
      <c r="A701" s="429"/>
      <c r="B701" s="429"/>
      <c r="C701" s="429"/>
      <c r="D701" s="430"/>
      <c r="E701" s="431"/>
      <c r="F701" s="431"/>
      <c r="G701" s="429"/>
      <c r="H701" s="432"/>
      <c r="I701" s="432"/>
      <c r="J701" s="432"/>
      <c r="K701" s="328"/>
      <c r="L701" s="396"/>
      <c r="M701" s="396"/>
      <c r="N701" s="396"/>
      <c r="O701" s="396"/>
      <c r="P701" s="396"/>
      <c r="Q701" s="328"/>
      <c r="R701" s="328"/>
      <c r="S701" s="328"/>
      <c r="T701" s="328"/>
      <c r="U701" s="328"/>
      <c r="V701" s="328"/>
    </row>
    <row r="702" customFormat="false" ht="15" hidden="false" customHeight="true" outlineLevel="1" collapsed="false">
      <c r="A702" s="429"/>
      <c r="B702" s="429"/>
      <c r="C702" s="429"/>
      <c r="D702" s="430"/>
      <c r="E702" s="431"/>
      <c r="F702" s="431"/>
      <c r="G702" s="429"/>
      <c r="H702" s="432"/>
      <c r="I702" s="432"/>
      <c r="J702" s="432"/>
      <c r="K702" s="328"/>
      <c r="L702" s="396"/>
      <c r="M702" s="396"/>
      <c r="N702" s="396"/>
      <c r="O702" s="396"/>
      <c r="P702" s="396"/>
      <c r="Q702" s="328"/>
      <c r="R702" s="328"/>
      <c r="S702" s="328"/>
      <c r="T702" s="328"/>
      <c r="U702" s="328"/>
      <c r="V702" s="328"/>
    </row>
    <row r="703" customFormat="false" ht="15" hidden="false" customHeight="true" outlineLevel="1" collapsed="false">
      <c r="A703" s="429"/>
      <c r="B703" s="429"/>
      <c r="C703" s="429"/>
      <c r="D703" s="430"/>
      <c r="E703" s="431"/>
      <c r="F703" s="431"/>
      <c r="G703" s="429"/>
      <c r="H703" s="432"/>
      <c r="I703" s="432"/>
      <c r="J703" s="432"/>
      <c r="K703" s="328"/>
      <c r="L703" s="396"/>
      <c r="M703" s="396"/>
      <c r="N703" s="396"/>
      <c r="O703" s="396"/>
      <c r="P703" s="396"/>
      <c r="Q703" s="328"/>
      <c r="R703" s="328"/>
      <c r="S703" s="328"/>
      <c r="T703" s="328"/>
      <c r="U703" s="328"/>
      <c r="V703" s="328"/>
    </row>
    <row r="704" customFormat="false" ht="15" hidden="false" customHeight="true" outlineLevel="1" collapsed="false">
      <c r="A704" s="429"/>
      <c r="B704" s="429"/>
      <c r="C704" s="429"/>
      <c r="D704" s="430"/>
      <c r="E704" s="431"/>
      <c r="F704" s="431"/>
      <c r="G704" s="429"/>
      <c r="H704" s="432"/>
      <c r="I704" s="432"/>
      <c r="J704" s="432"/>
      <c r="K704" s="328"/>
      <c r="L704" s="396"/>
      <c r="M704" s="396"/>
      <c r="N704" s="396"/>
      <c r="O704" s="396"/>
      <c r="P704" s="396"/>
      <c r="Q704" s="328"/>
      <c r="R704" s="328"/>
      <c r="S704" s="328"/>
      <c r="T704" s="328"/>
      <c r="U704" s="328"/>
      <c r="V704" s="328"/>
    </row>
    <row r="705" customFormat="false" ht="15" hidden="false" customHeight="true" outlineLevel="1" collapsed="false">
      <c r="A705" s="429"/>
      <c r="B705" s="429"/>
      <c r="C705" s="429"/>
      <c r="D705" s="430"/>
      <c r="E705" s="431"/>
      <c r="F705" s="431"/>
      <c r="G705" s="429"/>
      <c r="H705" s="432"/>
      <c r="I705" s="432"/>
      <c r="J705" s="432"/>
      <c r="K705" s="328"/>
      <c r="L705" s="396"/>
      <c r="M705" s="396"/>
      <c r="N705" s="396"/>
      <c r="O705" s="396"/>
      <c r="P705" s="396"/>
      <c r="Q705" s="328"/>
      <c r="R705" s="328"/>
      <c r="S705" s="328"/>
      <c r="T705" s="328"/>
      <c r="U705" s="328"/>
      <c r="V705" s="328"/>
    </row>
    <row r="706" customFormat="false" ht="15" hidden="false" customHeight="true" outlineLevel="1" collapsed="false">
      <c r="A706" s="429"/>
      <c r="B706" s="429"/>
      <c r="C706" s="429"/>
      <c r="D706" s="430"/>
      <c r="E706" s="431"/>
      <c r="F706" s="431"/>
      <c r="G706" s="429"/>
      <c r="H706" s="432"/>
      <c r="I706" s="432"/>
      <c r="J706" s="432"/>
      <c r="K706" s="328"/>
      <c r="L706" s="396"/>
      <c r="M706" s="396"/>
      <c r="N706" s="396"/>
      <c r="O706" s="396"/>
      <c r="P706" s="396"/>
      <c r="Q706" s="328"/>
      <c r="R706" s="328"/>
      <c r="S706" s="328"/>
      <c r="T706" s="328"/>
      <c r="U706" s="328"/>
      <c r="V706" s="328"/>
    </row>
    <row r="707" customFormat="false" ht="15" hidden="false" customHeight="true" outlineLevel="1" collapsed="false">
      <c r="A707" s="429"/>
      <c r="B707" s="429"/>
      <c r="C707" s="429"/>
      <c r="D707" s="430"/>
      <c r="E707" s="431"/>
      <c r="F707" s="431"/>
      <c r="G707" s="429"/>
      <c r="H707" s="432"/>
      <c r="I707" s="432"/>
      <c r="J707" s="432"/>
      <c r="K707" s="328"/>
      <c r="L707" s="396"/>
      <c r="M707" s="396"/>
      <c r="N707" s="396"/>
      <c r="O707" s="396"/>
      <c r="P707" s="396"/>
      <c r="Q707" s="328"/>
      <c r="R707" s="328"/>
      <c r="S707" s="328"/>
      <c r="T707" s="328"/>
      <c r="U707" s="328"/>
      <c r="V707" s="328"/>
    </row>
    <row r="708" customFormat="false" ht="15" hidden="false" customHeight="true" outlineLevel="1" collapsed="false">
      <c r="A708" s="429"/>
      <c r="B708" s="429"/>
      <c r="C708" s="429"/>
      <c r="D708" s="430"/>
      <c r="E708" s="431"/>
      <c r="F708" s="431"/>
      <c r="G708" s="429"/>
      <c r="H708" s="432"/>
      <c r="I708" s="432"/>
      <c r="J708" s="432"/>
      <c r="K708" s="328"/>
      <c r="L708" s="396"/>
      <c r="M708" s="396"/>
      <c r="N708" s="396"/>
      <c r="O708" s="396"/>
      <c r="P708" s="396"/>
      <c r="Q708" s="328"/>
      <c r="R708" s="328"/>
      <c r="S708" s="328"/>
      <c r="T708" s="328"/>
      <c r="U708" s="328"/>
      <c r="V708" s="328"/>
    </row>
    <row r="709" customFormat="false" ht="15" hidden="false" customHeight="true" outlineLevel="1" collapsed="false">
      <c r="A709" s="429"/>
      <c r="B709" s="429"/>
      <c r="C709" s="429"/>
      <c r="D709" s="430"/>
      <c r="E709" s="431"/>
      <c r="F709" s="431"/>
      <c r="G709" s="429"/>
      <c r="H709" s="432"/>
      <c r="I709" s="432"/>
      <c r="J709" s="432"/>
      <c r="K709" s="328"/>
      <c r="L709" s="396"/>
      <c r="M709" s="396"/>
      <c r="N709" s="396"/>
      <c r="O709" s="396"/>
      <c r="P709" s="396"/>
      <c r="Q709" s="328"/>
      <c r="R709" s="328"/>
      <c r="S709" s="328"/>
      <c r="T709" s="328"/>
      <c r="U709" s="328"/>
      <c r="V709" s="328"/>
    </row>
    <row r="710" customFormat="false" ht="15" hidden="false" customHeight="true" outlineLevel="1" collapsed="false">
      <c r="A710" s="429"/>
      <c r="B710" s="429"/>
      <c r="C710" s="429"/>
      <c r="D710" s="430"/>
      <c r="E710" s="431"/>
      <c r="F710" s="431"/>
      <c r="G710" s="429"/>
      <c r="H710" s="432"/>
      <c r="I710" s="432"/>
      <c r="J710" s="432"/>
      <c r="K710" s="328"/>
      <c r="L710" s="396"/>
      <c r="M710" s="396"/>
      <c r="N710" s="396"/>
      <c r="O710" s="396"/>
      <c r="P710" s="396"/>
      <c r="Q710" s="328"/>
      <c r="R710" s="328"/>
      <c r="S710" s="328"/>
      <c r="T710" s="328"/>
      <c r="U710" s="328"/>
      <c r="V710" s="328"/>
    </row>
    <row r="711" customFormat="false" ht="15" hidden="false" customHeight="true" outlineLevel="1" collapsed="false">
      <c r="A711" s="429"/>
      <c r="B711" s="429"/>
      <c r="C711" s="429"/>
      <c r="D711" s="430"/>
      <c r="E711" s="431"/>
      <c r="F711" s="431"/>
      <c r="G711" s="429"/>
      <c r="H711" s="432"/>
      <c r="I711" s="432"/>
      <c r="J711" s="432"/>
      <c r="K711" s="328"/>
      <c r="L711" s="396"/>
      <c r="M711" s="396"/>
      <c r="N711" s="396"/>
      <c r="O711" s="396"/>
      <c r="P711" s="396"/>
      <c r="Q711" s="328"/>
      <c r="R711" s="328"/>
      <c r="S711" s="328"/>
      <c r="T711" s="328"/>
      <c r="U711" s="328"/>
      <c r="V711" s="328"/>
    </row>
    <row r="712" customFormat="false" ht="15" hidden="false" customHeight="true" outlineLevel="1" collapsed="false">
      <c r="A712" s="429"/>
      <c r="B712" s="429"/>
      <c r="C712" s="429"/>
      <c r="D712" s="430"/>
      <c r="E712" s="431"/>
      <c r="F712" s="431"/>
      <c r="G712" s="429"/>
      <c r="H712" s="432"/>
      <c r="I712" s="432"/>
      <c r="J712" s="432"/>
      <c r="K712" s="328"/>
      <c r="L712" s="396"/>
      <c r="M712" s="396"/>
      <c r="N712" s="396"/>
      <c r="O712" s="396"/>
      <c r="P712" s="396"/>
      <c r="Q712" s="328"/>
      <c r="R712" s="328"/>
      <c r="S712" s="328"/>
      <c r="T712" s="328"/>
      <c r="U712" s="328"/>
      <c r="V712" s="328"/>
    </row>
    <row r="713" customFormat="false" ht="15" hidden="false" customHeight="true" outlineLevel="1" collapsed="false">
      <c r="A713" s="429"/>
      <c r="B713" s="429"/>
      <c r="C713" s="429"/>
      <c r="D713" s="430"/>
      <c r="E713" s="431"/>
      <c r="F713" s="431"/>
      <c r="G713" s="429"/>
      <c r="H713" s="432"/>
      <c r="I713" s="432"/>
      <c r="J713" s="432"/>
      <c r="K713" s="328"/>
      <c r="L713" s="396"/>
      <c r="M713" s="396"/>
      <c r="N713" s="396"/>
      <c r="O713" s="396"/>
      <c r="P713" s="396"/>
      <c r="Q713" s="328"/>
      <c r="R713" s="328"/>
      <c r="S713" s="328"/>
      <c r="T713" s="328"/>
      <c r="U713" s="328"/>
      <c r="V713" s="328"/>
    </row>
    <row r="714" customFormat="false" ht="15" hidden="false" customHeight="true" outlineLevel="1" collapsed="false">
      <c r="A714" s="429"/>
      <c r="B714" s="429"/>
      <c r="C714" s="429"/>
      <c r="D714" s="430"/>
      <c r="E714" s="431"/>
      <c r="F714" s="431"/>
      <c r="G714" s="429"/>
      <c r="H714" s="432"/>
      <c r="I714" s="432"/>
      <c r="J714" s="432"/>
      <c r="K714" s="328"/>
      <c r="L714" s="396"/>
      <c r="M714" s="396"/>
      <c r="N714" s="396"/>
      <c r="O714" s="396"/>
      <c r="P714" s="396"/>
      <c r="Q714" s="328"/>
      <c r="R714" s="328"/>
      <c r="S714" s="328"/>
      <c r="T714" s="328"/>
      <c r="U714" s="328"/>
      <c r="V714" s="328"/>
    </row>
    <row r="715" customFormat="false" ht="15" hidden="false" customHeight="true" outlineLevel="1" collapsed="false">
      <c r="A715" s="429"/>
      <c r="B715" s="429"/>
      <c r="C715" s="429"/>
      <c r="D715" s="430"/>
      <c r="E715" s="431"/>
      <c r="F715" s="431"/>
      <c r="G715" s="429"/>
      <c r="H715" s="432"/>
      <c r="I715" s="432"/>
      <c r="J715" s="432"/>
      <c r="K715" s="328"/>
      <c r="L715" s="396"/>
      <c r="M715" s="396"/>
      <c r="N715" s="396"/>
      <c r="O715" s="396"/>
      <c r="P715" s="396"/>
      <c r="Q715" s="328"/>
      <c r="R715" s="328"/>
      <c r="S715" s="328"/>
      <c r="T715" s="328"/>
      <c r="U715" s="328"/>
      <c r="V715" s="328"/>
    </row>
    <row r="716" customFormat="false" ht="15" hidden="false" customHeight="true" outlineLevel="1" collapsed="false">
      <c r="A716" s="429"/>
      <c r="B716" s="429"/>
      <c r="C716" s="429"/>
      <c r="D716" s="430"/>
      <c r="E716" s="431"/>
      <c r="F716" s="431"/>
      <c r="G716" s="429"/>
      <c r="H716" s="432"/>
      <c r="I716" s="432"/>
      <c r="J716" s="432"/>
      <c r="K716" s="328"/>
      <c r="L716" s="396"/>
      <c r="M716" s="396"/>
      <c r="N716" s="396"/>
      <c r="O716" s="396"/>
      <c r="P716" s="396"/>
      <c r="Q716" s="328"/>
      <c r="R716" s="328"/>
      <c r="S716" s="328"/>
      <c r="T716" s="328"/>
      <c r="U716" s="328"/>
      <c r="V716" s="328"/>
    </row>
    <row r="717" customFormat="false" ht="15" hidden="false" customHeight="true" outlineLevel="1" collapsed="false">
      <c r="A717" s="429"/>
      <c r="B717" s="429"/>
      <c r="C717" s="429"/>
      <c r="D717" s="430"/>
      <c r="E717" s="431"/>
      <c r="F717" s="431"/>
      <c r="G717" s="429"/>
      <c r="H717" s="432"/>
      <c r="I717" s="432"/>
      <c r="J717" s="432"/>
      <c r="K717" s="328"/>
      <c r="L717" s="396"/>
      <c r="M717" s="396"/>
      <c r="N717" s="396"/>
      <c r="O717" s="396"/>
      <c r="P717" s="396"/>
      <c r="Q717" s="328"/>
      <c r="R717" s="328"/>
      <c r="S717" s="328"/>
      <c r="T717" s="328"/>
      <c r="U717" s="328"/>
      <c r="V717" s="328"/>
    </row>
    <row r="718" customFormat="false" ht="15" hidden="false" customHeight="true" outlineLevel="1" collapsed="false">
      <c r="A718" s="429"/>
      <c r="B718" s="429"/>
      <c r="C718" s="429"/>
      <c r="D718" s="430"/>
      <c r="E718" s="431"/>
      <c r="F718" s="431"/>
      <c r="G718" s="429"/>
      <c r="H718" s="432"/>
      <c r="I718" s="432"/>
      <c r="J718" s="432"/>
      <c r="K718" s="328"/>
      <c r="L718" s="396"/>
      <c r="M718" s="396"/>
      <c r="N718" s="396"/>
      <c r="O718" s="396"/>
      <c r="P718" s="396"/>
      <c r="Q718" s="328"/>
      <c r="R718" s="328"/>
      <c r="S718" s="328"/>
      <c r="T718" s="328"/>
      <c r="U718" s="328"/>
      <c r="V718" s="328"/>
    </row>
    <row r="719" customFormat="false" ht="15" hidden="false" customHeight="true" outlineLevel="1" collapsed="false">
      <c r="A719" s="429"/>
      <c r="B719" s="429"/>
      <c r="C719" s="429"/>
      <c r="D719" s="430"/>
      <c r="E719" s="431"/>
      <c r="F719" s="431"/>
      <c r="G719" s="429"/>
      <c r="H719" s="432"/>
      <c r="I719" s="432"/>
      <c r="J719" s="432"/>
      <c r="K719" s="328"/>
      <c r="L719" s="396"/>
      <c r="M719" s="396"/>
      <c r="N719" s="396"/>
      <c r="O719" s="396"/>
      <c r="P719" s="396"/>
      <c r="Q719" s="328"/>
      <c r="R719" s="328"/>
      <c r="S719" s="328"/>
      <c r="T719" s="328"/>
      <c r="U719" s="328"/>
      <c r="V719" s="328"/>
    </row>
    <row r="720" customFormat="false" ht="15" hidden="false" customHeight="true" outlineLevel="1" collapsed="false">
      <c r="A720" s="429"/>
      <c r="B720" s="429"/>
      <c r="C720" s="429"/>
      <c r="D720" s="430"/>
      <c r="E720" s="431"/>
      <c r="F720" s="431"/>
      <c r="G720" s="429"/>
      <c r="H720" s="432"/>
      <c r="I720" s="432"/>
      <c r="J720" s="432"/>
      <c r="K720" s="328"/>
      <c r="L720" s="396"/>
      <c r="M720" s="396"/>
      <c r="N720" s="396"/>
      <c r="O720" s="396"/>
      <c r="P720" s="396"/>
      <c r="Q720" s="328"/>
      <c r="R720" s="328"/>
      <c r="S720" s="328"/>
      <c r="T720" s="328"/>
      <c r="U720" s="328"/>
      <c r="V720" s="328"/>
    </row>
    <row r="721" customFormat="false" ht="15" hidden="false" customHeight="true" outlineLevel="1" collapsed="false">
      <c r="A721" s="429"/>
      <c r="B721" s="429"/>
      <c r="C721" s="429"/>
      <c r="D721" s="430"/>
      <c r="E721" s="431"/>
      <c r="F721" s="431"/>
      <c r="G721" s="429"/>
      <c r="H721" s="432"/>
      <c r="I721" s="432"/>
      <c r="J721" s="432"/>
      <c r="K721" s="328"/>
      <c r="L721" s="396"/>
      <c r="M721" s="396"/>
      <c r="N721" s="396"/>
      <c r="O721" s="396"/>
      <c r="P721" s="396"/>
      <c r="Q721" s="328"/>
      <c r="R721" s="328"/>
      <c r="S721" s="328"/>
      <c r="T721" s="328"/>
      <c r="U721" s="328"/>
      <c r="V721" s="328"/>
    </row>
    <row r="722" customFormat="false" ht="15" hidden="false" customHeight="true" outlineLevel="1" collapsed="false">
      <c r="A722" s="429"/>
      <c r="B722" s="429"/>
      <c r="C722" s="429"/>
      <c r="D722" s="430"/>
      <c r="E722" s="431"/>
      <c r="F722" s="431"/>
      <c r="G722" s="429"/>
      <c r="H722" s="432"/>
      <c r="I722" s="432"/>
      <c r="J722" s="432"/>
      <c r="K722" s="328"/>
      <c r="L722" s="396"/>
      <c r="M722" s="396"/>
      <c r="N722" s="396"/>
      <c r="O722" s="396"/>
      <c r="P722" s="396"/>
      <c r="Q722" s="328"/>
      <c r="R722" s="328"/>
      <c r="S722" s="328"/>
      <c r="T722" s="328"/>
      <c r="U722" s="328"/>
      <c r="V722" s="328"/>
    </row>
    <row r="723" customFormat="false" ht="15" hidden="false" customHeight="true" outlineLevel="1" collapsed="false">
      <c r="A723" s="429"/>
      <c r="B723" s="429"/>
      <c r="C723" s="429"/>
      <c r="D723" s="430"/>
      <c r="E723" s="431"/>
      <c r="F723" s="431"/>
      <c r="G723" s="429"/>
      <c r="H723" s="432"/>
      <c r="I723" s="432"/>
      <c r="J723" s="432"/>
      <c r="K723" s="328"/>
      <c r="L723" s="396"/>
      <c r="M723" s="396"/>
      <c r="N723" s="396"/>
      <c r="O723" s="396"/>
      <c r="P723" s="396"/>
      <c r="Q723" s="328"/>
      <c r="R723" s="328"/>
      <c r="S723" s="328"/>
      <c r="T723" s="328"/>
      <c r="U723" s="328"/>
      <c r="V723" s="328"/>
    </row>
    <row r="724" customFormat="false" ht="15" hidden="false" customHeight="true" outlineLevel="1" collapsed="false">
      <c r="A724" s="429"/>
      <c r="B724" s="429"/>
      <c r="C724" s="429"/>
      <c r="D724" s="430"/>
      <c r="E724" s="431"/>
      <c r="F724" s="431"/>
      <c r="G724" s="429"/>
      <c r="H724" s="432"/>
      <c r="I724" s="432"/>
      <c r="J724" s="432"/>
      <c r="K724" s="328"/>
      <c r="L724" s="396"/>
      <c r="M724" s="396"/>
      <c r="N724" s="396"/>
      <c r="O724" s="396"/>
      <c r="P724" s="396"/>
      <c r="Q724" s="328"/>
      <c r="R724" s="328"/>
      <c r="S724" s="328"/>
      <c r="T724" s="328"/>
      <c r="U724" s="328"/>
      <c r="V724" s="328"/>
    </row>
    <row r="725" customFormat="false" ht="15" hidden="false" customHeight="true" outlineLevel="1" collapsed="false">
      <c r="A725" s="429"/>
      <c r="B725" s="429"/>
      <c r="C725" s="429"/>
      <c r="D725" s="430"/>
      <c r="E725" s="431"/>
      <c r="F725" s="431"/>
      <c r="G725" s="429"/>
      <c r="H725" s="432"/>
      <c r="I725" s="432"/>
      <c r="J725" s="432"/>
      <c r="K725" s="328"/>
      <c r="L725" s="396"/>
      <c r="M725" s="396"/>
      <c r="N725" s="396"/>
      <c r="O725" s="396"/>
      <c r="P725" s="396"/>
      <c r="Q725" s="328"/>
      <c r="R725" s="328"/>
      <c r="S725" s="328"/>
      <c r="T725" s="328"/>
      <c r="U725" s="328"/>
      <c r="V725" s="328"/>
    </row>
    <row r="726" customFormat="false" ht="15" hidden="false" customHeight="true" outlineLevel="1" collapsed="false">
      <c r="A726" s="429"/>
      <c r="B726" s="429"/>
      <c r="C726" s="429"/>
      <c r="D726" s="430"/>
      <c r="E726" s="431"/>
      <c r="F726" s="431"/>
      <c r="G726" s="429"/>
      <c r="H726" s="432"/>
      <c r="I726" s="432"/>
      <c r="J726" s="432"/>
      <c r="K726" s="328"/>
      <c r="L726" s="396"/>
      <c r="M726" s="396"/>
      <c r="N726" s="396"/>
      <c r="O726" s="396"/>
      <c r="P726" s="396"/>
      <c r="Q726" s="328"/>
      <c r="R726" s="328"/>
      <c r="S726" s="328"/>
      <c r="T726" s="328"/>
      <c r="U726" s="328"/>
      <c r="V726" s="328"/>
    </row>
    <row r="727" customFormat="false" ht="15" hidden="false" customHeight="true" outlineLevel="1" collapsed="false">
      <c r="A727" s="429"/>
      <c r="B727" s="429"/>
      <c r="C727" s="429"/>
      <c r="D727" s="430"/>
      <c r="E727" s="431"/>
      <c r="F727" s="431"/>
      <c r="G727" s="429"/>
      <c r="H727" s="432"/>
      <c r="I727" s="432"/>
      <c r="J727" s="432"/>
      <c r="K727" s="328"/>
      <c r="L727" s="396"/>
      <c r="M727" s="396"/>
      <c r="N727" s="396"/>
      <c r="O727" s="396"/>
      <c r="P727" s="396"/>
      <c r="Q727" s="328"/>
      <c r="R727" s="328"/>
      <c r="S727" s="328"/>
      <c r="T727" s="328"/>
      <c r="U727" s="328"/>
      <c r="V727" s="328"/>
    </row>
    <row r="728" customFormat="false" ht="15" hidden="false" customHeight="true" outlineLevel="1" collapsed="false">
      <c r="A728" s="429"/>
      <c r="B728" s="429"/>
      <c r="C728" s="429"/>
      <c r="D728" s="430"/>
      <c r="E728" s="431"/>
      <c r="F728" s="431"/>
      <c r="G728" s="429"/>
      <c r="H728" s="432"/>
      <c r="I728" s="432"/>
      <c r="J728" s="432"/>
      <c r="K728" s="328"/>
      <c r="L728" s="396"/>
      <c r="M728" s="396"/>
      <c r="N728" s="396"/>
      <c r="O728" s="396"/>
      <c r="P728" s="396"/>
      <c r="Q728" s="328"/>
      <c r="R728" s="328"/>
      <c r="S728" s="328"/>
      <c r="T728" s="328"/>
      <c r="U728" s="328"/>
      <c r="V728" s="328"/>
    </row>
    <row r="729" customFormat="false" ht="15" hidden="false" customHeight="true" outlineLevel="1" collapsed="false">
      <c r="A729" s="429"/>
      <c r="B729" s="429"/>
      <c r="C729" s="429"/>
      <c r="D729" s="430"/>
      <c r="E729" s="431"/>
      <c r="F729" s="431"/>
      <c r="G729" s="429"/>
      <c r="H729" s="432"/>
      <c r="I729" s="432"/>
      <c r="J729" s="432"/>
      <c r="K729" s="328"/>
      <c r="L729" s="396"/>
      <c r="M729" s="396"/>
      <c r="N729" s="396"/>
      <c r="O729" s="396"/>
      <c r="P729" s="396"/>
      <c r="Q729" s="328"/>
      <c r="R729" s="328"/>
      <c r="S729" s="328"/>
      <c r="T729" s="328"/>
      <c r="U729" s="328"/>
      <c r="V729" s="328"/>
    </row>
    <row r="730" customFormat="false" ht="15" hidden="false" customHeight="true" outlineLevel="1" collapsed="false">
      <c r="A730" s="429"/>
      <c r="B730" s="429"/>
      <c r="C730" s="429"/>
      <c r="D730" s="430"/>
      <c r="E730" s="431"/>
      <c r="F730" s="431"/>
      <c r="G730" s="429"/>
      <c r="H730" s="432"/>
      <c r="I730" s="432"/>
      <c r="J730" s="432"/>
      <c r="K730" s="328"/>
      <c r="L730" s="396"/>
      <c r="M730" s="396"/>
      <c r="N730" s="396"/>
      <c r="O730" s="396"/>
      <c r="P730" s="396"/>
      <c r="Q730" s="328"/>
      <c r="R730" s="328"/>
      <c r="S730" s="328"/>
      <c r="T730" s="328"/>
      <c r="U730" s="328"/>
      <c r="V730" s="328"/>
    </row>
    <row r="731" customFormat="false" ht="15" hidden="false" customHeight="true" outlineLevel="1" collapsed="false">
      <c r="A731" s="429"/>
      <c r="B731" s="429"/>
      <c r="C731" s="429"/>
      <c r="D731" s="430"/>
      <c r="E731" s="431"/>
      <c r="F731" s="431"/>
      <c r="G731" s="429"/>
      <c r="H731" s="432"/>
      <c r="I731" s="432"/>
      <c r="J731" s="432"/>
      <c r="K731" s="328"/>
      <c r="L731" s="396"/>
      <c r="M731" s="396"/>
      <c r="N731" s="396"/>
      <c r="O731" s="396"/>
      <c r="P731" s="396"/>
      <c r="Q731" s="328"/>
      <c r="R731" s="328"/>
      <c r="S731" s="328"/>
      <c r="T731" s="328"/>
      <c r="U731" s="328"/>
      <c r="V731" s="328"/>
    </row>
    <row r="732" customFormat="false" ht="15" hidden="false" customHeight="true" outlineLevel="1" collapsed="false">
      <c r="A732" s="429"/>
      <c r="B732" s="429"/>
      <c r="C732" s="429"/>
      <c r="D732" s="430"/>
      <c r="E732" s="431"/>
      <c r="F732" s="431"/>
      <c r="G732" s="429"/>
      <c r="H732" s="432"/>
      <c r="I732" s="432"/>
      <c r="J732" s="432"/>
      <c r="K732" s="328"/>
      <c r="L732" s="396"/>
      <c r="M732" s="396"/>
      <c r="N732" s="396"/>
      <c r="O732" s="396"/>
      <c r="P732" s="396"/>
      <c r="Q732" s="328"/>
      <c r="R732" s="328"/>
      <c r="S732" s="328"/>
      <c r="T732" s="328"/>
      <c r="U732" s="328"/>
      <c r="V732" s="328"/>
    </row>
    <row r="733" customFormat="false" ht="15" hidden="false" customHeight="true" outlineLevel="1" collapsed="false">
      <c r="A733" s="429"/>
      <c r="B733" s="429"/>
      <c r="C733" s="429"/>
      <c r="D733" s="430"/>
      <c r="E733" s="431"/>
      <c r="F733" s="431"/>
      <c r="G733" s="429"/>
      <c r="H733" s="432"/>
      <c r="I733" s="432"/>
      <c r="J733" s="432"/>
      <c r="K733" s="328"/>
      <c r="L733" s="396"/>
      <c r="M733" s="396"/>
      <c r="N733" s="396"/>
      <c r="O733" s="396"/>
      <c r="P733" s="396"/>
      <c r="Q733" s="328"/>
      <c r="R733" s="328"/>
      <c r="S733" s="328"/>
      <c r="T733" s="328"/>
      <c r="U733" s="328"/>
      <c r="V733" s="328"/>
    </row>
    <row r="734" customFormat="false" ht="15" hidden="false" customHeight="true" outlineLevel="1" collapsed="false">
      <c r="A734" s="429"/>
      <c r="B734" s="429"/>
      <c r="C734" s="429"/>
      <c r="D734" s="430"/>
      <c r="E734" s="431"/>
      <c r="F734" s="431"/>
      <c r="G734" s="429"/>
      <c r="H734" s="432"/>
      <c r="I734" s="432"/>
      <c r="J734" s="432"/>
      <c r="K734" s="328"/>
      <c r="L734" s="396"/>
      <c r="M734" s="396"/>
      <c r="N734" s="396"/>
      <c r="O734" s="396"/>
      <c r="P734" s="396"/>
      <c r="Q734" s="328"/>
      <c r="R734" s="328"/>
      <c r="S734" s="328"/>
      <c r="T734" s="328"/>
      <c r="U734" s="328"/>
      <c r="V734" s="328"/>
    </row>
    <row r="735" customFormat="false" ht="15" hidden="false" customHeight="true" outlineLevel="1" collapsed="false">
      <c r="A735" s="429"/>
      <c r="B735" s="429"/>
      <c r="C735" s="429"/>
      <c r="D735" s="430"/>
      <c r="E735" s="431"/>
      <c r="F735" s="431"/>
      <c r="G735" s="429"/>
      <c r="H735" s="432"/>
      <c r="I735" s="432"/>
      <c r="J735" s="432"/>
      <c r="K735" s="328"/>
      <c r="L735" s="396"/>
      <c r="M735" s="396"/>
      <c r="N735" s="396"/>
      <c r="O735" s="396"/>
      <c r="P735" s="396"/>
      <c r="Q735" s="328"/>
      <c r="R735" s="328"/>
      <c r="S735" s="328"/>
      <c r="T735" s="328"/>
      <c r="U735" s="328"/>
      <c r="V735" s="328"/>
    </row>
    <row r="736" customFormat="false" ht="15" hidden="false" customHeight="true" outlineLevel="1" collapsed="false">
      <c r="A736" s="429"/>
      <c r="B736" s="429"/>
      <c r="C736" s="429"/>
      <c r="D736" s="430"/>
      <c r="E736" s="431"/>
      <c r="F736" s="431"/>
      <c r="G736" s="429"/>
      <c r="H736" s="432"/>
      <c r="I736" s="432"/>
      <c r="J736" s="432"/>
      <c r="K736" s="328"/>
      <c r="L736" s="396"/>
      <c r="M736" s="396"/>
      <c r="N736" s="396"/>
      <c r="O736" s="396"/>
      <c r="P736" s="396"/>
      <c r="Q736" s="328"/>
      <c r="R736" s="328"/>
      <c r="S736" s="328"/>
      <c r="T736" s="328"/>
      <c r="U736" s="328"/>
      <c r="V736" s="328"/>
    </row>
    <row r="737" customFormat="false" ht="15" hidden="false" customHeight="true" outlineLevel="1" collapsed="false">
      <c r="A737" s="429"/>
      <c r="B737" s="429"/>
      <c r="C737" s="429"/>
      <c r="D737" s="430"/>
      <c r="E737" s="431"/>
      <c r="F737" s="431"/>
      <c r="G737" s="429"/>
      <c r="H737" s="432"/>
      <c r="I737" s="432"/>
      <c r="J737" s="432"/>
      <c r="K737" s="328"/>
      <c r="L737" s="396"/>
      <c r="M737" s="396"/>
      <c r="N737" s="396"/>
      <c r="O737" s="396"/>
      <c r="P737" s="396"/>
      <c r="Q737" s="328"/>
      <c r="R737" s="328"/>
      <c r="S737" s="328"/>
      <c r="T737" s="328"/>
      <c r="U737" s="328"/>
      <c r="V737" s="328"/>
    </row>
    <row r="738" customFormat="false" ht="15" hidden="false" customHeight="true" outlineLevel="1" collapsed="false">
      <c r="A738" s="429"/>
      <c r="B738" s="429"/>
      <c r="C738" s="429"/>
      <c r="D738" s="430"/>
      <c r="E738" s="431"/>
      <c r="F738" s="431"/>
      <c r="G738" s="429"/>
      <c r="H738" s="432"/>
      <c r="I738" s="432"/>
      <c r="J738" s="432"/>
      <c r="K738" s="328"/>
      <c r="L738" s="396"/>
      <c r="M738" s="396"/>
      <c r="N738" s="396"/>
      <c r="O738" s="396"/>
      <c r="P738" s="396"/>
      <c r="Q738" s="328"/>
      <c r="R738" s="328"/>
      <c r="S738" s="328"/>
      <c r="T738" s="328"/>
      <c r="U738" s="328"/>
      <c r="V738" s="328"/>
    </row>
    <row r="739" customFormat="false" ht="15" hidden="false" customHeight="true" outlineLevel="1" collapsed="false">
      <c r="A739" s="429"/>
      <c r="B739" s="429"/>
      <c r="C739" s="429"/>
      <c r="D739" s="430"/>
      <c r="E739" s="431"/>
      <c r="F739" s="431"/>
      <c r="G739" s="429"/>
      <c r="H739" s="432"/>
      <c r="I739" s="432"/>
      <c r="J739" s="432"/>
      <c r="K739" s="328"/>
      <c r="L739" s="396"/>
      <c r="M739" s="396"/>
      <c r="N739" s="396"/>
      <c r="O739" s="396"/>
      <c r="P739" s="396"/>
      <c r="Q739" s="328"/>
      <c r="R739" s="328"/>
      <c r="S739" s="328"/>
      <c r="T739" s="328"/>
      <c r="U739" s="328"/>
      <c r="V739" s="328"/>
    </row>
    <row r="740" customFormat="false" ht="15" hidden="false" customHeight="true" outlineLevel="1" collapsed="false">
      <c r="A740" s="429"/>
      <c r="B740" s="429"/>
      <c r="C740" s="429"/>
      <c r="D740" s="430"/>
      <c r="E740" s="431"/>
      <c r="F740" s="431"/>
      <c r="G740" s="429"/>
      <c r="H740" s="432"/>
      <c r="I740" s="432"/>
      <c r="J740" s="432"/>
      <c r="K740" s="328"/>
      <c r="L740" s="396"/>
      <c r="M740" s="396"/>
      <c r="N740" s="396"/>
      <c r="O740" s="396"/>
      <c r="P740" s="396"/>
      <c r="Q740" s="328"/>
      <c r="R740" s="328"/>
      <c r="S740" s="328"/>
      <c r="T740" s="328"/>
      <c r="U740" s="328"/>
      <c r="V740" s="328"/>
    </row>
    <row r="741" customFormat="false" ht="15" hidden="false" customHeight="true" outlineLevel="1" collapsed="false">
      <c r="A741" s="429"/>
      <c r="B741" s="429"/>
      <c r="C741" s="429"/>
      <c r="D741" s="430"/>
      <c r="E741" s="431"/>
      <c r="F741" s="431"/>
      <c r="G741" s="429"/>
      <c r="H741" s="432"/>
      <c r="I741" s="432"/>
      <c r="J741" s="432"/>
      <c r="K741" s="328"/>
      <c r="L741" s="396"/>
      <c r="M741" s="396"/>
      <c r="N741" s="396"/>
      <c r="O741" s="396"/>
      <c r="P741" s="396"/>
      <c r="Q741" s="328"/>
      <c r="R741" s="328"/>
      <c r="S741" s="328"/>
      <c r="T741" s="328"/>
      <c r="U741" s="328"/>
      <c r="V741" s="328"/>
    </row>
    <row r="742" customFormat="false" ht="15" hidden="false" customHeight="true" outlineLevel="1" collapsed="false">
      <c r="A742" s="429"/>
      <c r="B742" s="429"/>
      <c r="C742" s="429"/>
      <c r="D742" s="430"/>
      <c r="E742" s="431"/>
      <c r="F742" s="431"/>
      <c r="G742" s="429"/>
      <c r="H742" s="432"/>
      <c r="I742" s="432"/>
      <c r="J742" s="432"/>
      <c r="K742" s="328"/>
      <c r="L742" s="396"/>
      <c r="M742" s="396"/>
      <c r="N742" s="396"/>
      <c r="O742" s="396"/>
      <c r="P742" s="396"/>
      <c r="Q742" s="328"/>
      <c r="R742" s="328"/>
      <c r="S742" s="328"/>
      <c r="T742" s="328"/>
      <c r="U742" s="328"/>
      <c r="V742" s="328"/>
    </row>
    <row r="743" customFormat="false" ht="15" hidden="false" customHeight="true" outlineLevel="1" collapsed="false">
      <c r="A743" s="429"/>
      <c r="B743" s="429"/>
      <c r="C743" s="429"/>
      <c r="D743" s="430"/>
      <c r="E743" s="431"/>
      <c r="F743" s="431"/>
      <c r="G743" s="429"/>
      <c r="H743" s="432"/>
      <c r="I743" s="432"/>
      <c r="J743" s="432"/>
      <c r="K743" s="328"/>
      <c r="L743" s="396"/>
      <c r="M743" s="396"/>
      <c r="N743" s="396"/>
      <c r="O743" s="396"/>
      <c r="P743" s="396"/>
      <c r="Q743" s="328"/>
      <c r="R743" s="328"/>
      <c r="S743" s="328"/>
      <c r="T743" s="328"/>
      <c r="U743" s="328"/>
      <c r="V743" s="328"/>
    </row>
    <row r="744" customFormat="false" ht="15" hidden="false" customHeight="true" outlineLevel="1" collapsed="false">
      <c r="A744" s="429"/>
      <c r="B744" s="429"/>
      <c r="C744" s="429"/>
      <c r="D744" s="430"/>
      <c r="E744" s="431"/>
      <c r="F744" s="431"/>
      <c r="G744" s="429"/>
      <c r="H744" s="432"/>
      <c r="I744" s="432"/>
      <c r="J744" s="432"/>
      <c r="K744" s="328"/>
      <c r="L744" s="396"/>
      <c r="M744" s="396"/>
      <c r="N744" s="396"/>
      <c r="O744" s="396"/>
      <c r="P744" s="396"/>
      <c r="Q744" s="328"/>
      <c r="R744" s="328"/>
      <c r="S744" s="328"/>
      <c r="T744" s="328"/>
      <c r="U744" s="328"/>
      <c r="V744" s="328"/>
    </row>
    <row r="745" customFormat="false" ht="15" hidden="false" customHeight="true" outlineLevel="1" collapsed="false">
      <c r="A745" s="429"/>
      <c r="B745" s="429"/>
      <c r="C745" s="429"/>
      <c r="D745" s="430"/>
      <c r="E745" s="431"/>
      <c r="F745" s="431"/>
      <c r="G745" s="429"/>
      <c r="H745" s="432"/>
      <c r="I745" s="432"/>
      <c r="J745" s="432"/>
      <c r="K745" s="328"/>
      <c r="L745" s="396"/>
      <c r="M745" s="396"/>
      <c r="N745" s="396"/>
      <c r="O745" s="396"/>
      <c r="P745" s="396"/>
      <c r="Q745" s="328"/>
      <c r="R745" s="328"/>
      <c r="S745" s="328"/>
      <c r="T745" s="328"/>
      <c r="U745" s="328"/>
      <c r="V745" s="328"/>
    </row>
    <row r="746" customFormat="false" ht="15" hidden="false" customHeight="true" outlineLevel="1" collapsed="false">
      <c r="A746" s="429"/>
      <c r="B746" s="429"/>
      <c r="C746" s="429"/>
      <c r="D746" s="430"/>
      <c r="E746" s="431"/>
      <c r="F746" s="431"/>
      <c r="G746" s="429"/>
      <c r="H746" s="432"/>
      <c r="I746" s="432"/>
      <c r="J746" s="432"/>
      <c r="K746" s="328"/>
      <c r="L746" s="396"/>
      <c r="M746" s="396"/>
      <c r="N746" s="396"/>
      <c r="O746" s="396"/>
      <c r="P746" s="396"/>
      <c r="Q746" s="328"/>
      <c r="R746" s="328"/>
      <c r="S746" s="328"/>
      <c r="T746" s="328"/>
      <c r="U746" s="328"/>
      <c r="V746" s="328"/>
    </row>
    <row r="747" customFormat="false" ht="15" hidden="false" customHeight="true" outlineLevel="1" collapsed="false">
      <c r="A747" s="429"/>
      <c r="B747" s="429"/>
      <c r="C747" s="429"/>
      <c r="D747" s="430"/>
      <c r="E747" s="431"/>
      <c r="F747" s="431"/>
      <c r="G747" s="429"/>
      <c r="H747" s="432"/>
      <c r="I747" s="432"/>
      <c r="J747" s="432"/>
      <c r="K747" s="328"/>
      <c r="L747" s="396"/>
      <c r="M747" s="396"/>
      <c r="N747" s="396"/>
      <c r="O747" s="396"/>
      <c r="P747" s="396"/>
      <c r="Q747" s="328"/>
      <c r="R747" s="328"/>
      <c r="S747" s="328"/>
      <c r="T747" s="328"/>
      <c r="U747" s="328"/>
      <c r="V747" s="328"/>
    </row>
    <row r="748" customFormat="false" ht="15" hidden="false" customHeight="true" outlineLevel="1" collapsed="false">
      <c r="A748" s="429"/>
      <c r="B748" s="429"/>
      <c r="C748" s="429"/>
      <c r="D748" s="430"/>
      <c r="E748" s="431"/>
      <c r="F748" s="431"/>
      <c r="G748" s="429"/>
      <c r="H748" s="432"/>
      <c r="I748" s="432"/>
      <c r="J748" s="432"/>
      <c r="K748" s="328"/>
      <c r="L748" s="396"/>
      <c r="M748" s="396"/>
      <c r="N748" s="396"/>
      <c r="O748" s="396"/>
      <c r="P748" s="396"/>
      <c r="Q748" s="328"/>
      <c r="R748" s="328"/>
      <c r="S748" s="328"/>
      <c r="T748" s="328"/>
      <c r="U748" s="328"/>
      <c r="V748" s="328"/>
    </row>
    <row r="749" customFormat="false" ht="15" hidden="false" customHeight="true" outlineLevel="1" collapsed="false">
      <c r="A749" s="429"/>
      <c r="B749" s="429"/>
      <c r="C749" s="429"/>
      <c r="D749" s="430"/>
      <c r="E749" s="431"/>
      <c r="F749" s="431"/>
      <c r="G749" s="429"/>
      <c r="H749" s="432"/>
      <c r="I749" s="432"/>
      <c r="J749" s="432"/>
      <c r="K749" s="328"/>
      <c r="L749" s="396"/>
      <c r="M749" s="396"/>
      <c r="N749" s="396"/>
      <c r="O749" s="396"/>
      <c r="P749" s="396"/>
      <c r="Q749" s="328"/>
      <c r="R749" s="328"/>
      <c r="S749" s="328"/>
      <c r="T749" s="328"/>
      <c r="U749" s="328"/>
      <c r="V749" s="328"/>
    </row>
    <row r="750" customFormat="false" ht="15" hidden="false" customHeight="true" outlineLevel="1" collapsed="false">
      <c r="A750" s="429"/>
      <c r="B750" s="429"/>
      <c r="C750" s="429"/>
      <c r="D750" s="430"/>
      <c r="E750" s="431"/>
      <c r="F750" s="431"/>
      <c r="G750" s="429"/>
      <c r="H750" s="432"/>
      <c r="I750" s="432"/>
      <c r="J750" s="432"/>
      <c r="K750" s="328"/>
      <c r="L750" s="396"/>
      <c r="M750" s="396"/>
      <c r="N750" s="396"/>
      <c r="O750" s="396"/>
      <c r="P750" s="396"/>
      <c r="Q750" s="328"/>
      <c r="R750" s="328"/>
      <c r="S750" s="328"/>
      <c r="T750" s="328"/>
      <c r="U750" s="328"/>
      <c r="V750" s="328"/>
    </row>
    <row r="751" customFormat="false" ht="15" hidden="false" customHeight="true" outlineLevel="1" collapsed="false">
      <c r="A751" s="429"/>
      <c r="B751" s="429"/>
      <c r="C751" s="429"/>
      <c r="D751" s="430"/>
      <c r="E751" s="431"/>
      <c r="F751" s="431"/>
      <c r="G751" s="429"/>
      <c r="H751" s="432"/>
      <c r="I751" s="432"/>
      <c r="J751" s="432"/>
      <c r="K751" s="328"/>
      <c r="L751" s="396"/>
      <c r="M751" s="396"/>
      <c r="N751" s="396"/>
      <c r="O751" s="396"/>
      <c r="P751" s="396"/>
      <c r="Q751" s="328"/>
      <c r="R751" s="328"/>
      <c r="S751" s="328"/>
      <c r="T751" s="328"/>
      <c r="U751" s="328"/>
      <c r="V751" s="328"/>
    </row>
    <row r="752" customFormat="false" ht="15" hidden="false" customHeight="true" outlineLevel="1" collapsed="false">
      <c r="A752" s="429"/>
      <c r="B752" s="429"/>
      <c r="C752" s="429"/>
      <c r="D752" s="430"/>
      <c r="E752" s="431"/>
      <c r="F752" s="431"/>
      <c r="G752" s="429"/>
      <c r="H752" s="432"/>
      <c r="I752" s="432"/>
      <c r="J752" s="432"/>
      <c r="K752" s="328"/>
      <c r="L752" s="396"/>
      <c r="M752" s="396"/>
      <c r="N752" s="396"/>
      <c r="O752" s="396"/>
      <c r="P752" s="396"/>
      <c r="Q752" s="328"/>
      <c r="R752" s="328"/>
      <c r="S752" s="328"/>
      <c r="T752" s="328"/>
      <c r="U752" s="328"/>
      <c r="V752" s="328"/>
    </row>
    <row r="753" customFormat="false" ht="15" hidden="false" customHeight="true" outlineLevel="1" collapsed="false">
      <c r="A753" s="429"/>
      <c r="B753" s="429"/>
      <c r="C753" s="429"/>
      <c r="D753" s="430"/>
      <c r="E753" s="431"/>
      <c r="F753" s="431"/>
      <c r="G753" s="429"/>
      <c r="H753" s="432"/>
      <c r="I753" s="432"/>
      <c r="J753" s="432"/>
      <c r="K753" s="328"/>
      <c r="L753" s="396"/>
      <c r="M753" s="396"/>
      <c r="N753" s="396"/>
      <c r="O753" s="396"/>
      <c r="P753" s="396"/>
      <c r="Q753" s="328"/>
      <c r="R753" s="328"/>
      <c r="S753" s="328"/>
      <c r="T753" s="328"/>
      <c r="U753" s="328"/>
      <c r="V753" s="328"/>
    </row>
    <row r="754" customFormat="false" ht="15" hidden="false" customHeight="true" outlineLevel="1" collapsed="false">
      <c r="A754" s="429"/>
      <c r="B754" s="429"/>
      <c r="C754" s="429"/>
      <c r="D754" s="430"/>
      <c r="E754" s="431"/>
      <c r="F754" s="431"/>
      <c r="G754" s="429"/>
      <c r="H754" s="432"/>
      <c r="I754" s="432"/>
      <c r="J754" s="432"/>
      <c r="K754" s="328"/>
      <c r="L754" s="396"/>
      <c r="M754" s="396"/>
      <c r="N754" s="396"/>
      <c r="O754" s="396"/>
      <c r="P754" s="396"/>
      <c r="Q754" s="328"/>
      <c r="R754" s="328"/>
      <c r="S754" s="328"/>
      <c r="T754" s="328"/>
      <c r="U754" s="328"/>
      <c r="V754" s="328"/>
    </row>
    <row r="755" customFormat="false" ht="15" hidden="false" customHeight="true" outlineLevel="1" collapsed="false">
      <c r="A755" s="429"/>
      <c r="B755" s="429"/>
      <c r="C755" s="429"/>
      <c r="D755" s="430"/>
      <c r="E755" s="431"/>
      <c r="F755" s="431"/>
      <c r="G755" s="429"/>
      <c r="H755" s="432"/>
      <c r="I755" s="432"/>
      <c r="J755" s="432"/>
      <c r="K755" s="328"/>
      <c r="L755" s="396"/>
      <c r="M755" s="396"/>
      <c r="N755" s="396"/>
      <c r="O755" s="396"/>
      <c r="P755" s="396"/>
      <c r="Q755" s="328"/>
      <c r="R755" s="328"/>
      <c r="S755" s="328"/>
      <c r="T755" s="328"/>
      <c r="U755" s="328"/>
      <c r="V755" s="328"/>
    </row>
    <row r="756" customFormat="false" ht="15" hidden="false" customHeight="true" outlineLevel="1" collapsed="false">
      <c r="A756" s="429"/>
      <c r="B756" s="429"/>
      <c r="C756" s="429"/>
      <c r="D756" s="430"/>
      <c r="E756" s="431"/>
      <c r="F756" s="431"/>
      <c r="G756" s="429"/>
      <c r="H756" s="432"/>
      <c r="I756" s="432"/>
      <c r="J756" s="432"/>
      <c r="K756" s="328"/>
      <c r="L756" s="396"/>
      <c r="M756" s="396"/>
      <c r="N756" s="396"/>
      <c r="O756" s="396"/>
      <c r="P756" s="396"/>
      <c r="Q756" s="328"/>
      <c r="R756" s="328"/>
      <c r="S756" s="328"/>
      <c r="T756" s="328"/>
      <c r="U756" s="328"/>
      <c r="V756" s="328"/>
    </row>
    <row r="757" customFormat="false" ht="15" hidden="false" customHeight="true" outlineLevel="1" collapsed="false">
      <c r="A757" s="429"/>
      <c r="B757" s="429"/>
      <c r="C757" s="429"/>
      <c r="D757" s="430"/>
      <c r="E757" s="431"/>
      <c r="F757" s="431"/>
      <c r="G757" s="429"/>
      <c r="H757" s="432"/>
      <c r="I757" s="432"/>
      <c r="J757" s="432"/>
      <c r="K757" s="328"/>
      <c r="L757" s="396"/>
      <c r="M757" s="396"/>
      <c r="N757" s="396"/>
      <c r="O757" s="396"/>
      <c r="P757" s="396"/>
      <c r="Q757" s="328"/>
      <c r="R757" s="328"/>
      <c r="S757" s="328"/>
      <c r="T757" s="328"/>
      <c r="U757" s="328"/>
      <c r="V757" s="328"/>
    </row>
    <row r="758" customFormat="false" ht="15" hidden="false" customHeight="true" outlineLevel="1" collapsed="false">
      <c r="A758" s="429"/>
      <c r="B758" s="429"/>
      <c r="C758" s="429"/>
      <c r="D758" s="430"/>
      <c r="E758" s="431"/>
      <c r="F758" s="431"/>
      <c r="G758" s="429"/>
      <c r="H758" s="432"/>
      <c r="I758" s="432"/>
      <c r="J758" s="432"/>
      <c r="K758" s="328"/>
      <c r="L758" s="396"/>
      <c r="M758" s="396"/>
      <c r="N758" s="396"/>
      <c r="O758" s="396"/>
      <c r="P758" s="396"/>
      <c r="Q758" s="328"/>
      <c r="R758" s="328"/>
      <c r="S758" s="328"/>
      <c r="T758" s="328"/>
      <c r="U758" s="328"/>
      <c r="V758" s="328"/>
    </row>
    <row r="759" customFormat="false" ht="15" hidden="false" customHeight="true" outlineLevel="1" collapsed="false">
      <c r="A759" s="429"/>
      <c r="B759" s="429"/>
      <c r="C759" s="429"/>
      <c r="D759" s="430"/>
      <c r="E759" s="431"/>
      <c r="F759" s="431"/>
      <c r="G759" s="429"/>
      <c r="H759" s="432"/>
      <c r="I759" s="432"/>
      <c r="J759" s="432"/>
      <c r="K759" s="328"/>
      <c r="L759" s="396"/>
      <c r="M759" s="396"/>
      <c r="N759" s="396"/>
      <c r="O759" s="396"/>
      <c r="P759" s="396"/>
      <c r="Q759" s="328"/>
      <c r="R759" s="328"/>
      <c r="S759" s="328"/>
      <c r="T759" s="328"/>
      <c r="U759" s="328"/>
      <c r="V759" s="328"/>
    </row>
    <row r="760" customFormat="false" ht="15" hidden="false" customHeight="true" outlineLevel="1" collapsed="false">
      <c r="A760" s="429"/>
      <c r="B760" s="429"/>
      <c r="C760" s="429"/>
      <c r="D760" s="430"/>
      <c r="E760" s="431"/>
      <c r="F760" s="431"/>
      <c r="G760" s="429"/>
      <c r="H760" s="432"/>
      <c r="I760" s="432"/>
      <c r="J760" s="432"/>
      <c r="K760" s="328"/>
      <c r="L760" s="396"/>
      <c r="M760" s="396"/>
      <c r="N760" s="396"/>
      <c r="O760" s="396"/>
      <c r="P760" s="396"/>
      <c r="Q760" s="328"/>
      <c r="R760" s="328"/>
      <c r="S760" s="328"/>
      <c r="T760" s="328"/>
      <c r="U760" s="328"/>
      <c r="V760" s="328"/>
    </row>
    <row r="761" customFormat="false" ht="15" hidden="false" customHeight="true" outlineLevel="1" collapsed="false">
      <c r="A761" s="429"/>
      <c r="B761" s="429"/>
      <c r="C761" s="429"/>
      <c r="D761" s="430"/>
      <c r="E761" s="431"/>
      <c r="F761" s="431"/>
      <c r="G761" s="429"/>
      <c r="H761" s="432"/>
      <c r="I761" s="432"/>
      <c r="J761" s="432"/>
      <c r="K761" s="328"/>
      <c r="L761" s="396"/>
      <c r="M761" s="396"/>
      <c r="N761" s="396"/>
      <c r="O761" s="396"/>
      <c r="P761" s="396"/>
      <c r="Q761" s="328"/>
      <c r="R761" s="328"/>
      <c r="S761" s="328"/>
      <c r="T761" s="328"/>
      <c r="U761" s="328"/>
      <c r="V761" s="328"/>
    </row>
    <row r="762" customFormat="false" ht="15" hidden="false" customHeight="true" outlineLevel="1" collapsed="false">
      <c r="A762" s="429"/>
      <c r="B762" s="429"/>
      <c r="C762" s="429"/>
      <c r="D762" s="430"/>
      <c r="E762" s="431"/>
      <c r="F762" s="431"/>
      <c r="G762" s="429"/>
      <c r="H762" s="432"/>
      <c r="I762" s="432"/>
      <c r="J762" s="432"/>
      <c r="K762" s="328"/>
      <c r="L762" s="396"/>
      <c r="M762" s="396"/>
      <c r="N762" s="396"/>
      <c r="O762" s="396"/>
      <c r="P762" s="396"/>
      <c r="Q762" s="328"/>
      <c r="R762" s="328"/>
      <c r="S762" s="328"/>
      <c r="T762" s="328"/>
      <c r="U762" s="328"/>
      <c r="V762" s="328"/>
    </row>
    <row r="763" customFormat="false" ht="15" hidden="false" customHeight="true" outlineLevel="1" collapsed="false">
      <c r="A763" s="429"/>
      <c r="B763" s="429"/>
      <c r="C763" s="429"/>
      <c r="D763" s="430"/>
      <c r="E763" s="431"/>
      <c r="F763" s="431"/>
      <c r="G763" s="429"/>
      <c r="H763" s="432"/>
      <c r="I763" s="432"/>
      <c r="J763" s="432"/>
      <c r="K763" s="328"/>
      <c r="L763" s="396"/>
      <c r="M763" s="396"/>
      <c r="N763" s="396"/>
      <c r="O763" s="396"/>
      <c r="P763" s="396"/>
      <c r="Q763" s="328"/>
      <c r="R763" s="328"/>
      <c r="S763" s="328"/>
      <c r="T763" s="328"/>
      <c r="U763" s="328"/>
      <c r="V763" s="328"/>
    </row>
    <row r="764" customFormat="false" ht="15" hidden="false" customHeight="true" outlineLevel="1" collapsed="false">
      <c r="A764" s="429"/>
      <c r="B764" s="429"/>
      <c r="C764" s="429"/>
      <c r="D764" s="430"/>
      <c r="E764" s="431"/>
      <c r="F764" s="431"/>
      <c r="G764" s="429"/>
      <c r="H764" s="432"/>
      <c r="I764" s="432"/>
      <c r="J764" s="432"/>
      <c r="K764" s="328"/>
      <c r="L764" s="396"/>
      <c r="M764" s="396"/>
      <c r="N764" s="396"/>
      <c r="O764" s="396"/>
      <c r="P764" s="396"/>
      <c r="Q764" s="328"/>
      <c r="R764" s="328"/>
      <c r="S764" s="328"/>
      <c r="T764" s="328"/>
      <c r="U764" s="328"/>
      <c r="V764" s="328"/>
    </row>
    <row r="765" customFormat="false" ht="15" hidden="false" customHeight="true" outlineLevel="1" collapsed="false">
      <c r="A765" s="429"/>
      <c r="B765" s="429"/>
      <c r="C765" s="429"/>
      <c r="D765" s="430"/>
      <c r="E765" s="431"/>
      <c r="F765" s="431"/>
      <c r="G765" s="429"/>
      <c r="H765" s="432"/>
      <c r="I765" s="432"/>
      <c r="J765" s="432"/>
      <c r="K765" s="328"/>
      <c r="L765" s="396"/>
      <c r="M765" s="396"/>
      <c r="N765" s="396"/>
      <c r="O765" s="396"/>
      <c r="P765" s="396"/>
      <c r="Q765" s="328"/>
      <c r="R765" s="328"/>
      <c r="S765" s="328"/>
      <c r="T765" s="328"/>
      <c r="U765" s="328"/>
      <c r="V765" s="328"/>
    </row>
    <row r="766" customFormat="false" ht="15" hidden="false" customHeight="true" outlineLevel="1" collapsed="false">
      <c r="A766" s="429"/>
      <c r="B766" s="429"/>
      <c r="C766" s="429"/>
      <c r="D766" s="430"/>
      <c r="E766" s="431"/>
      <c r="F766" s="431"/>
      <c r="G766" s="429"/>
      <c r="H766" s="432"/>
      <c r="I766" s="432"/>
      <c r="J766" s="432"/>
      <c r="K766" s="328"/>
      <c r="L766" s="396"/>
      <c r="M766" s="396"/>
      <c r="N766" s="396"/>
      <c r="O766" s="396"/>
      <c r="P766" s="396"/>
      <c r="Q766" s="328"/>
      <c r="R766" s="328"/>
      <c r="S766" s="328"/>
      <c r="T766" s="328"/>
      <c r="U766" s="328"/>
      <c r="V766" s="328"/>
    </row>
    <row r="767" customFormat="false" ht="15" hidden="false" customHeight="true" outlineLevel="1" collapsed="false">
      <c r="A767" s="429"/>
      <c r="B767" s="429"/>
      <c r="C767" s="429"/>
      <c r="D767" s="430"/>
      <c r="E767" s="431"/>
      <c r="F767" s="431"/>
      <c r="G767" s="429"/>
      <c r="H767" s="432"/>
      <c r="I767" s="432"/>
      <c r="J767" s="432"/>
      <c r="K767" s="328"/>
      <c r="L767" s="396"/>
      <c r="M767" s="396"/>
      <c r="N767" s="396"/>
      <c r="O767" s="396"/>
      <c r="P767" s="396"/>
      <c r="Q767" s="328"/>
      <c r="R767" s="328"/>
      <c r="S767" s="328"/>
      <c r="T767" s="328"/>
      <c r="U767" s="328"/>
      <c r="V767" s="328"/>
    </row>
    <row r="768" customFormat="false" ht="15" hidden="false" customHeight="true" outlineLevel="1" collapsed="false">
      <c r="A768" s="429"/>
      <c r="B768" s="429"/>
      <c r="C768" s="429"/>
      <c r="D768" s="430"/>
      <c r="E768" s="431"/>
      <c r="F768" s="431"/>
      <c r="G768" s="429"/>
      <c r="H768" s="432"/>
      <c r="I768" s="432"/>
      <c r="J768" s="432"/>
      <c r="K768" s="328"/>
      <c r="L768" s="396"/>
      <c r="M768" s="396"/>
      <c r="N768" s="396"/>
      <c r="O768" s="396"/>
      <c r="P768" s="396"/>
      <c r="Q768" s="328"/>
      <c r="R768" s="328"/>
      <c r="S768" s="328"/>
      <c r="T768" s="328"/>
      <c r="U768" s="328"/>
      <c r="V768" s="328"/>
    </row>
    <row r="769" customFormat="false" ht="15" hidden="false" customHeight="true" outlineLevel="1" collapsed="false">
      <c r="A769" s="429"/>
      <c r="B769" s="429"/>
      <c r="C769" s="429"/>
      <c r="D769" s="430"/>
      <c r="E769" s="431"/>
      <c r="F769" s="431"/>
      <c r="G769" s="429"/>
      <c r="H769" s="432"/>
      <c r="I769" s="432"/>
      <c r="J769" s="432"/>
      <c r="K769" s="328"/>
      <c r="L769" s="396"/>
      <c r="M769" s="396"/>
      <c r="N769" s="396"/>
      <c r="O769" s="396"/>
      <c r="P769" s="396"/>
      <c r="Q769" s="328"/>
      <c r="R769" s="328"/>
      <c r="S769" s="328"/>
      <c r="T769" s="328"/>
      <c r="U769" s="328"/>
      <c r="V769" s="328"/>
    </row>
    <row r="770" customFormat="false" ht="15" hidden="false" customHeight="true" outlineLevel="1" collapsed="false">
      <c r="A770" s="429"/>
      <c r="B770" s="429"/>
      <c r="C770" s="429"/>
      <c r="D770" s="430"/>
      <c r="E770" s="431"/>
      <c r="F770" s="431"/>
      <c r="G770" s="429"/>
      <c r="H770" s="432"/>
      <c r="I770" s="432"/>
      <c r="J770" s="432"/>
      <c r="K770" s="328"/>
      <c r="L770" s="396"/>
      <c r="M770" s="396"/>
      <c r="N770" s="396"/>
      <c r="O770" s="396"/>
      <c r="P770" s="396"/>
      <c r="Q770" s="328"/>
      <c r="R770" s="328"/>
      <c r="S770" s="328"/>
      <c r="T770" s="328"/>
      <c r="U770" s="328"/>
      <c r="V770" s="328"/>
    </row>
    <row r="771" customFormat="false" ht="15" hidden="false" customHeight="true" outlineLevel="1" collapsed="false">
      <c r="A771" s="429"/>
      <c r="B771" s="429"/>
      <c r="C771" s="429"/>
      <c r="D771" s="430"/>
      <c r="E771" s="431"/>
      <c r="F771" s="431"/>
      <c r="G771" s="429"/>
      <c r="H771" s="432"/>
      <c r="I771" s="432"/>
      <c r="J771" s="432"/>
      <c r="K771" s="328"/>
      <c r="L771" s="396"/>
      <c r="M771" s="396"/>
      <c r="N771" s="396"/>
      <c r="O771" s="396"/>
      <c r="P771" s="396"/>
      <c r="Q771" s="328"/>
      <c r="R771" s="328"/>
      <c r="S771" s="328"/>
      <c r="T771" s="328"/>
      <c r="U771" s="328"/>
      <c r="V771" s="328"/>
    </row>
    <row r="772" customFormat="false" ht="15" hidden="false" customHeight="true" outlineLevel="1" collapsed="false">
      <c r="A772" s="429"/>
      <c r="B772" s="429"/>
      <c r="C772" s="429"/>
      <c r="D772" s="430"/>
      <c r="E772" s="431"/>
      <c r="F772" s="431"/>
      <c r="G772" s="429"/>
      <c r="H772" s="432"/>
      <c r="I772" s="432"/>
      <c r="J772" s="432"/>
      <c r="K772" s="328"/>
      <c r="L772" s="396"/>
      <c r="M772" s="396"/>
      <c r="N772" s="396"/>
      <c r="O772" s="396"/>
      <c r="P772" s="396"/>
      <c r="Q772" s="328"/>
      <c r="R772" s="328"/>
      <c r="S772" s="328"/>
      <c r="T772" s="328"/>
      <c r="U772" s="328"/>
      <c r="V772" s="328"/>
    </row>
    <row r="773" customFormat="false" ht="15" hidden="false" customHeight="true" outlineLevel="1" collapsed="false">
      <c r="A773" s="429"/>
      <c r="B773" s="429"/>
      <c r="C773" s="429"/>
      <c r="D773" s="430"/>
      <c r="E773" s="431"/>
      <c r="F773" s="431"/>
      <c r="G773" s="429"/>
      <c r="H773" s="432"/>
      <c r="I773" s="432"/>
      <c r="J773" s="432"/>
      <c r="K773" s="328"/>
      <c r="L773" s="396"/>
      <c r="M773" s="396"/>
      <c r="N773" s="396"/>
      <c r="O773" s="396"/>
      <c r="P773" s="396"/>
      <c r="Q773" s="328"/>
      <c r="R773" s="328"/>
      <c r="S773" s="328"/>
      <c r="T773" s="328"/>
      <c r="U773" s="328"/>
      <c r="V773" s="328"/>
    </row>
    <row r="774" customFormat="false" ht="15" hidden="false" customHeight="true" outlineLevel="1" collapsed="false">
      <c r="A774" s="429"/>
      <c r="B774" s="429"/>
      <c r="C774" s="429"/>
      <c r="D774" s="430"/>
      <c r="E774" s="431"/>
      <c r="F774" s="431"/>
      <c r="G774" s="429"/>
      <c r="H774" s="432"/>
      <c r="I774" s="432"/>
      <c r="J774" s="432"/>
      <c r="K774" s="328"/>
      <c r="L774" s="396"/>
      <c r="M774" s="396"/>
      <c r="N774" s="396"/>
      <c r="O774" s="396"/>
      <c r="P774" s="396"/>
      <c r="Q774" s="328"/>
      <c r="R774" s="328"/>
      <c r="S774" s="328"/>
      <c r="T774" s="328"/>
      <c r="U774" s="328"/>
      <c r="V774" s="328"/>
    </row>
    <row r="775" customFormat="false" ht="15" hidden="false" customHeight="true" outlineLevel="1" collapsed="false">
      <c r="A775" s="429"/>
      <c r="B775" s="429"/>
      <c r="C775" s="429"/>
      <c r="D775" s="430"/>
      <c r="E775" s="431"/>
      <c r="F775" s="431"/>
      <c r="G775" s="429"/>
      <c r="H775" s="432"/>
      <c r="I775" s="432"/>
      <c r="J775" s="432"/>
      <c r="K775" s="328"/>
      <c r="L775" s="396"/>
      <c r="M775" s="396"/>
      <c r="N775" s="396"/>
      <c r="O775" s="396"/>
      <c r="P775" s="396"/>
      <c r="Q775" s="328"/>
      <c r="R775" s="328"/>
      <c r="S775" s="328"/>
      <c r="T775" s="328"/>
      <c r="U775" s="328"/>
      <c r="V775" s="328"/>
    </row>
    <row r="776" customFormat="false" ht="15" hidden="false" customHeight="true" outlineLevel="1" collapsed="false">
      <c r="A776" s="429"/>
      <c r="B776" s="429"/>
      <c r="C776" s="429"/>
      <c r="D776" s="430"/>
      <c r="E776" s="431"/>
      <c r="F776" s="431"/>
      <c r="G776" s="429"/>
      <c r="H776" s="432"/>
      <c r="I776" s="432"/>
      <c r="J776" s="432"/>
      <c r="K776" s="328"/>
      <c r="L776" s="396"/>
      <c r="M776" s="396"/>
      <c r="N776" s="396"/>
      <c r="O776" s="396"/>
      <c r="P776" s="396"/>
      <c r="Q776" s="328"/>
      <c r="R776" s="328"/>
      <c r="S776" s="328"/>
      <c r="T776" s="328"/>
      <c r="U776" s="328"/>
      <c r="V776" s="328"/>
    </row>
    <row r="777" customFormat="false" ht="15" hidden="false" customHeight="true" outlineLevel="1" collapsed="false">
      <c r="A777" s="429"/>
      <c r="B777" s="429"/>
      <c r="C777" s="429"/>
      <c r="D777" s="430"/>
      <c r="E777" s="431"/>
      <c r="F777" s="431"/>
      <c r="G777" s="429"/>
      <c r="H777" s="432"/>
      <c r="I777" s="432"/>
      <c r="J777" s="432"/>
      <c r="K777" s="328"/>
      <c r="L777" s="396"/>
      <c r="M777" s="396"/>
      <c r="N777" s="396"/>
      <c r="O777" s="396"/>
      <c r="P777" s="396"/>
      <c r="Q777" s="328"/>
      <c r="R777" s="328"/>
      <c r="S777" s="328"/>
      <c r="T777" s="328"/>
      <c r="U777" s="328"/>
      <c r="V777" s="328"/>
    </row>
    <row r="778" customFormat="false" ht="15" hidden="false" customHeight="true" outlineLevel="1" collapsed="false">
      <c r="A778" s="429"/>
      <c r="B778" s="429"/>
      <c r="C778" s="429"/>
      <c r="D778" s="430"/>
      <c r="E778" s="431"/>
      <c r="F778" s="431"/>
      <c r="G778" s="429"/>
      <c r="H778" s="432"/>
      <c r="I778" s="432"/>
      <c r="J778" s="432"/>
      <c r="K778" s="328"/>
      <c r="L778" s="396"/>
      <c r="M778" s="396"/>
      <c r="N778" s="396"/>
      <c r="O778" s="396"/>
      <c r="P778" s="396"/>
      <c r="Q778" s="328"/>
      <c r="R778" s="328"/>
      <c r="S778" s="328"/>
      <c r="T778" s="328"/>
      <c r="U778" s="328"/>
      <c r="V778" s="328"/>
    </row>
    <row r="779" customFormat="false" ht="15" hidden="false" customHeight="true" outlineLevel="1" collapsed="false">
      <c r="A779" s="429"/>
      <c r="B779" s="429"/>
      <c r="C779" s="429"/>
      <c r="D779" s="430"/>
      <c r="E779" s="431"/>
      <c r="F779" s="431"/>
      <c r="G779" s="429"/>
      <c r="H779" s="432"/>
      <c r="I779" s="432"/>
      <c r="J779" s="432"/>
      <c r="K779" s="328"/>
      <c r="L779" s="396"/>
      <c r="M779" s="396"/>
      <c r="N779" s="396"/>
      <c r="O779" s="396"/>
      <c r="P779" s="396"/>
      <c r="Q779" s="328"/>
      <c r="R779" s="328"/>
      <c r="S779" s="328"/>
      <c r="T779" s="328"/>
      <c r="U779" s="328"/>
      <c r="V779" s="328"/>
    </row>
    <row r="780" customFormat="false" ht="15" hidden="false" customHeight="true" outlineLevel="1" collapsed="false">
      <c r="A780" s="429"/>
      <c r="B780" s="429"/>
      <c r="C780" s="429"/>
      <c r="D780" s="430"/>
      <c r="E780" s="431"/>
      <c r="F780" s="431"/>
      <c r="G780" s="429"/>
      <c r="H780" s="432"/>
      <c r="I780" s="432"/>
      <c r="J780" s="432"/>
      <c r="K780" s="328"/>
      <c r="L780" s="396"/>
      <c r="M780" s="396"/>
      <c r="N780" s="396"/>
      <c r="O780" s="396"/>
      <c r="P780" s="396"/>
      <c r="Q780" s="328"/>
      <c r="R780" s="328"/>
      <c r="S780" s="328"/>
      <c r="T780" s="328"/>
      <c r="U780" s="328"/>
      <c r="V780" s="328"/>
    </row>
    <row r="781" customFormat="false" ht="15" hidden="false" customHeight="true" outlineLevel="1" collapsed="false">
      <c r="A781" s="429"/>
      <c r="B781" s="429"/>
      <c r="C781" s="429"/>
      <c r="D781" s="430"/>
      <c r="E781" s="431"/>
      <c r="F781" s="431"/>
      <c r="G781" s="429"/>
      <c r="H781" s="432"/>
      <c r="I781" s="432"/>
      <c r="J781" s="432"/>
      <c r="K781" s="328"/>
      <c r="L781" s="396"/>
      <c r="M781" s="396"/>
      <c r="N781" s="396"/>
      <c r="O781" s="396"/>
      <c r="P781" s="396"/>
      <c r="Q781" s="328"/>
      <c r="R781" s="328"/>
      <c r="S781" s="328"/>
      <c r="T781" s="328"/>
      <c r="U781" s="328"/>
      <c r="V781" s="328"/>
    </row>
    <row r="782" customFormat="false" ht="15" hidden="false" customHeight="true" outlineLevel="1" collapsed="false">
      <c r="A782" s="429"/>
      <c r="B782" s="429"/>
      <c r="C782" s="429"/>
      <c r="D782" s="430"/>
      <c r="E782" s="431"/>
      <c r="F782" s="431"/>
      <c r="G782" s="429"/>
      <c r="H782" s="432"/>
      <c r="I782" s="432"/>
      <c r="J782" s="432"/>
      <c r="K782" s="328"/>
      <c r="L782" s="396"/>
      <c r="M782" s="396"/>
      <c r="N782" s="396"/>
      <c r="O782" s="396"/>
      <c r="P782" s="396"/>
      <c r="Q782" s="328"/>
      <c r="R782" s="328"/>
      <c r="S782" s="328"/>
      <c r="T782" s="328"/>
      <c r="U782" s="328"/>
      <c r="V782" s="328"/>
    </row>
    <row r="783" customFormat="false" ht="15" hidden="false" customHeight="true" outlineLevel="1" collapsed="false">
      <c r="A783" s="429"/>
      <c r="B783" s="429"/>
      <c r="C783" s="429"/>
      <c r="D783" s="430"/>
      <c r="E783" s="431"/>
      <c r="F783" s="431"/>
      <c r="G783" s="429"/>
      <c r="H783" s="432"/>
      <c r="I783" s="432"/>
      <c r="J783" s="432"/>
      <c r="K783" s="328"/>
      <c r="L783" s="396"/>
      <c r="M783" s="396"/>
      <c r="N783" s="396"/>
      <c r="O783" s="396"/>
      <c r="P783" s="396"/>
      <c r="Q783" s="328"/>
      <c r="R783" s="328"/>
      <c r="S783" s="328"/>
      <c r="T783" s="328"/>
      <c r="U783" s="328"/>
      <c r="V783" s="328"/>
    </row>
    <row r="784" customFormat="false" ht="15" hidden="false" customHeight="true" outlineLevel="1" collapsed="false">
      <c r="A784" s="429"/>
      <c r="B784" s="429"/>
      <c r="C784" s="429"/>
      <c r="D784" s="430"/>
      <c r="E784" s="431"/>
      <c r="F784" s="431"/>
      <c r="G784" s="429"/>
      <c r="H784" s="432"/>
      <c r="I784" s="432"/>
      <c r="J784" s="432"/>
      <c r="K784" s="328"/>
      <c r="L784" s="396"/>
      <c r="M784" s="396"/>
      <c r="N784" s="396"/>
      <c r="O784" s="396"/>
      <c r="P784" s="396"/>
      <c r="Q784" s="328"/>
      <c r="R784" s="328"/>
      <c r="S784" s="328"/>
      <c r="T784" s="328"/>
      <c r="U784" s="328"/>
      <c r="V784" s="328"/>
    </row>
    <row r="785" customFormat="false" ht="15" hidden="false" customHeight="true" outlineLevel="1" collapsed="false">
      <c r="A785" s="429"/>
      <c r="B785" s="429"/>
      <c r="C785" s="429"/>
      <c r="D785" s="430"/>
      <c r="E785" s="431"/>
      <c r="F785" s="431"/>
      <c r="G785" s="429"/>
      <c r="H785" s="432"/>
      <c r="I785" s="432"/>
      <c r="J785" s="432"/>
      <c r="K785" s="328"/>
      <c r="L785" s="396"/>
      <c r="M785" s="396"/>
      <c r="N785" s="396"/>
      <c r="O785" s="396"/>
      <c r="P785" s="396"/>
      <c r="Q785" s="328"/>
      <c r="R785" s="328"/>
      <c r="S785" s="328"/>
      <c r="T785" s="328"/>
      <c r="U785" s="328"/>
      <c r="V785" s="328"/>
    </row>
    <row r="786" customFormat="false" ht="15" hidden="false" customHeight="true" outlineLevel="1" collapsed="false">
      <c r="A786" s="429"/>
      <c r="B786" s="429"/>
      <c r="C786" s="429"/>
      <c r="D786" s="430"/>
      <c r="E786" s="431"/>
      <c r="F786" s="431"/>
      <c r="G786" s="429"/>
      <c r="H786" s="432"/>
      <c r="I786" s="432"/>
      <c r="J786" s="432"/>
      <c r="K786" s="328"/>
      <c r="L786" s="396"/>
      <c r="M786" s="396"/>
      <c r="N786" s="396"/>
      <c r="O786" s="396"/>
      <c r="P786" s="396"/>
      <c r="Q786" s="328"/>
      <c r="R786" s="328"/>
      <c r="S786" s="328"/>
      <c r="T786" s="328"/>
      <c r="U786" s="328"/>
      <c r="V786" s="328"/>
    </row>
    <row r="787" customFormat="false" ht="15" hidden="false" customHeight="true" outlineLevel="1" collapsed="false">
      <c r="A787" s="429"/>
      <c r="B787" s="429"/>
      <c r="C787" s="429"/>
      <c r="D787" s="430"/>
      <c r="E787" s="431"/>
      <c r="F787" s="431"/>
      <c r="G787" s="429"/>
      <c r="H787" s="432"/>
      <c r="I787" s="432"/>
      <c r="J787" s="432"/>
      <c r="K787" s="328"/>
      <c r="L787" s="396"/>
      <c r="M787" s="396"/>
      <c r="N787" s="396"/>
      <c r="O787" s="396"/>
      <c r="P787" s="396"/>
      <c r="Q787" s="328"/>
      <c r="R787" s="328"/>
      <c r="S787" s="328"/>
      <c r="T787" s="328"/>
      <c r="U787" s="328"/>
      <c r="V787" s="328"/>
    </row>
    <row r="788" customFormat="false" ht="15" hidden="false" customHeight="true" outlineLevel="1" collapsed="false">
      <c r="A788" s="429"/>
      <c r="B788" s="429"/>
      <c r="C788" s="429"/>
      <c r="D788" s="430"/>
      <c r="E788" s="431"/>
      <c r="F788" s="431"/>
      <c r="G788" s="429"/>
      <c r="H788" s="432"/>
      <c r="I788" s="432"/>
      <c r="J788" s="432"/>
      <c r="K788" s="328"/>
      <c r="L788" s="396"/>
      <c r="M788" s="396"/>
      <c r="N788" s="396"/>
      <c r="O788" s="396"/>
      <c r="P788" s="396"/>
      <c r="Q788" s="328"/>
      <c r="R788" s="328"/>
      <c r="S788" s="328"/>
      <c r="T788" s="328"/>
      <c r="U788" s="328"/>
      <c r="V788" s="328"/>
    </row>
    <row r="789" customFormat="false" ht="15" hidden="false" customHeight="true" outlineLevel="1" collapsed="false">
      <c r="A789" s="429"/>
      <c r="B789" s="429"/>
      <c r="C789" s="429"/>
      <c r="D789" s="430"/>
      <c r="E789" s="431"/>
      <c r="F789" s="431"/>
      <c r="G789" s="429"/>
      <c r="H789" s="432"/>
      <c r="I789" s="432"/>
      <c r="J789" s="432"/>
      <c r="K789" s="328"/>
      <c r="L789" s="396"/>
      <c r="M789" s="396"/>
      <c r="N789" s="396"/>
      <c r="O789" s="396"/>
      <c r="P789" s="396"/>
      <c r="Q789" s="328"/>
      <c r="R789" s="328"/>
      <c r="S789" s="328"/>
      <c r="T789" s="328"/>
      <c r="U789" s="328"/>
      <c r="V789" s="328"/>
    </row>
    <row r="790" customFormat="false" ht="15" hidden="false" customHeight="true" outlineLevel="1" collapsed="false">
      <c r="A790" s="429"/>
      <c r="B790" s="429"/>
      <c r="C790" s="429"/>
      <c r="D790" s="430"/>
      <c r="E790" s="431"/>
      <c r="F790" s="431"/>
      <c r="G790" s="429"/>
      <c r="H790" s="432"/>
      <c r="I790" s="432"/>
      <c r="J790" s="432"/>
      <c r="K790" s="328"/>
      <c r="L790" s="396"/>
      <c r="M790" s="396"/>
      <c r="N790" s="396"/>
      <c r="O790" s="396"/>
      <c r="P790" s="396"/>
      <c r="Q790" s="328"/>
      <c r="R790" s="328"/>
      <c r="S790" s="328"/>
      <c r="T790" s="328"/>
      <c r="U790" s="328"/>
      <c r="V790" s="328"/>
    </row>
    <row r="791" customFormat="false" ht="15" hidden="false" customHeight="true" outlineLevel="1" collapsed="false">
      <c r="A791" s="429"/>
      <c r="B791" s="429"/>
      <c r="C791" s="429"/>
      <c r="D791" s="430"/>
      <c r="E791" s="431"/>
      <c r="F791" s="431"/>
      <c r="G791" s="429"/>
      <c r="H791" s="432"/>
      <c r="I791" s="432"/>
      <c r="J791" s="432"/>
      <c r="K791" s="328"/>
      <c r="L791" s="396"/>
      <c r="M791" s="396"/>
      <c r="N791" s="396"/>
      <c r="O791" s="396"/>
      <c r="P791" s="396"/>
      <c r="Q791" s="328"/>
      <c r="R791" s="328"/>
      <c r="S791" s="328"/>
      <c r="T791" s="328"/>
      <c r="U791" s="328"/>
      <c r="V791" s="328"/>
    </row>
    <row r="792" customFormat="false" ht="15" hidden="false" customHeight="true" outlineLevel="1" collapsed="false">
      <c r="A792" s="429"/>
      <c r="B792" s="429"/>
      <c r="C792" s="429"/>
      <c r="D792" s="430"/>
      <c r="E792" s="431"/>
      <c r="F792" s="431"/>
      <c r="G792" s="429"/>
      <c r="H792" s="432"/>
      <c r="I792" s="432"/>
      <c r="J792" s="432"/>
      <c r="K792" s="328"/>
      <c r="L792" s="396"/>
      <c r="M792" s="396"/>
      <c r="N792" s="396"/>
      <c r="O792" s="396"/>
      <c r="P792" s="396"/>
      <c r="Q792" s="328"/>
      <c r="R792" s="328"/>
      <c r="S792" s="328"/>
      <c r="T792" s="328"/>
      <c r="U792" s="328"/>
      <c r="V792" s="328"/>
    </row>
    <row r="793" customFormat="false" ht="15" hidden="false" customHeight="true" outlineLevel="1" collapsed="false">
      <c r="A793" s="429"/>
      <c r="B793" s="429"/>
      <c r="C793" s="429"/>
      <c r="D793" s="430"/>
      <c r="E793" s="431"/>
      <c r="F793" s="431"/>
      <c r="G793" s="429"/>
      <c r="H793" s="432"/>
      <c r="I793" s="432"/>
      <c r="J793" s="432"/>
      <c r="K793" s="328"/>
      <c r="L793" s="396"/>
      <c r="M793" s="396"/>
      <c r="N793" s="396"/>
      <c r="O793" s="396"/>
      <c r="P793" s="396"/>
      <c r="Q793" s="328"/>
      <c r="R793" s="328"/>
      <c r="S793" s="328"/>
      <c r="T793" s="328"/>
      <c r="U793" s="328"/>
      <c r="V793" s="328"/>
    </row>
    <row r="794" customFormat="false" ht="15" hidden="false" customHeight="true" outlineLevel="1" collapsed="false">
      <c r="A794" s="429"/>
      <c r="B794" s="429"/>
      <c r="C794" s="429"/>
      <c r="D794" s="430"/>
      <c r="E794" s="431"/>
      <c r="F794" s="431"/>
      <c r="G794" s="429"/>
      <c r="H794" s="432"/>
      <c r="I794" s="432"/>
      <c r="J794" s="432"/>
      <c r="K794" s="328"/>
      <c r="L794" s="396"/>
      <c r="M794" s="396"/>
      <c r="N794" s="396"/>
      <c r="O794" s="396"/>
      <c r="P794" s="396"/>
      <c r="Q794" s="328"/>
      <c r="R794" s="328"/>
      <c r="S794" s="328"/>
      <c r="T794" s="328"/>
      <c r="U794" s="328"/>
      <c r="V794" s="328"/>
    </row>
    <row r="795" customFormat="false" ht="15" hidden="false" customHeight="true" outlineLevel="1" collapsed="false">
      <c r="A795" s="429"/>
      <c r="B795" s="429"/>
      <c r="C795" s="429"/>
      <c r="D795" s="430"/>
      <c r="E795" s="431"/>
      <c r="F795" s="431"/>
      <c r="G795" s="429"/>
      <c r="H795" s="432"/>
      <c r="I795" s="432"/>
      <c r="J795" s="432"/>
      <c r="K795" s="328"/>
      <c r="L795" s="396"/>
      <c r="M795" s="396"/>
      <c r="N795" s="396"/>
      <c r="O795" s="396"/>
      <c r="P795" s="396"/>
      <c r="Q795" s="328"/>
      <c r="R795" s="328"/>
      <c r="S795" s="328"/>
      <c r="T795" s="328"/>
      <c r="U795" s="328"/>
      <c r="V795" s="328"/>
    </row>
    <row r="796" customFormat="false" ht="15" hidden="false" customHeight="true" outlineLevel="1" collapsed="false">
      <c r="A796" s="429"/>
      <c r="B796" s="429"/>
      <c r="C796" s="429"/>
      <c r="D796" s="430"/>
      <c r="E796" s="431"/>
      <c r="F796" s="431"/>
      <c r="G796" s="429"/>
      <c r="H796" s="432"/>
      <c r="I796" s="432"/>
      <c r="J796" s="432"/>
      <c r="K796" s="328"/>
      <c r="L796" s="396"/>
      <c r="M796" s="396"/>
      <c r="N796" s="396"/>
      <c r="O796" s="396"/>
      <c r="P796" s="396"/>
      <c r="Q796" s="328"/>
      <c r="R796" s="328"/>
      <c r="S796" s="328"/>
      <c r="T796" s="328"/>
      <c r="U796" s="328"/>
      <c r="V796" s="328"/>
    </row>
    <row r="797" customFormat="false" ht="15" hidden="false" customHeight="true" outlineLevel="1" collapsed="false">
      <c r="A797" s="429"/>
      <c r="B797" s="429"/>
      <c r="C797" s="429"/>
      <c r="D797" s="430"/>
      <c r="E797" s="431"/>
      <c r="F797" s="431"/>
      <c r="G797" s="429"/>
      <c r="H797" s="432"/>
      <c r="I797" s="432"/>
      <c r="J797" s="432"/>
      <c r="K797" s="328"/>
      <c r="L797" s="396"/>
      <c r="M797" s="396"/>
      <c r="N797" s="396"/>
      <c r="O797" s="396"/>
      <c r="P797" s="396"/>
      <c r="Q797" s="328"/>
      <c r="R797" s="328"/>
      <c r="S797" s="328"/>
      <c r="T797" s="328"/>
      <c r="U797" s="328"/>
      <c r="V797" s="328"/>
    </row>
    <row r="798" customFormat="false" ht="15" hidden="false" customHeight="true" outlineLevel="1" collapsed="false">
      <c r="A798" s="429"/>
      <c r="B798" s="429"/>
      <c r="C798" s="429"/>
      <c r="D798" s="430"/>
      <c r="E798" s="431"/>
      <c r="F798" s="431"/>
      <c r="G798" s="429"/>
      <c r="H798" s="432"/>
      <c r="I798" s="432"/>
      <c r="J798" s="432"/>
      <c r="K798" s="328"/>
      <c r="L798" s="396"/>
      <c r="M798" s="396"/>
      <c r="N798" s="396"/>
      <c r="O798" s="396"/>
      <c r="P798" s="396"/>
      <c r="Q798" s="328"/>
      <c r="R798" s="328"/>
      <c r="S798" s="328"/>
      <c r="T798" s="328"/>
      <c r="U798" s="328"/>
      <c r="V798" s="328"/>
    </row>
    <row r="799" customFormat="false" ht="15" hidden="false" customHeight="true" outlineLevel="1" collapsed="false">
      <c r="A799" s="429"/>
      <c r="B799" s="429"/>
      <c r="C799" s="429"/>
      <c r="D799" s="430"/>
      <c r="E799" s="431"/>
      <c r="F799" s="431"/>
      <c r="G799" s="429"/>
      <c r="H799" s="432"/>
      <c r="I799" s="432"/>
      <c r="J799" s="432"/>
      <c r="K799" s="328"/>
      <c r="L799" s="396"/>
      <c r="M799" s="396"/>
      <c r="N799" s="396"/>
      <c r="O799" s="396"/>
      <c r="P799" s="396"/>
      <c r="Q799" s="328"/>
      <c r="R799" s="328"/>
      <c r="S799" s="328"/>
      <c r="T799" s="328"/>
      <c r="U799" s="328"/>
      <c r="V799" s="328"/>
    </row>
    <row r="800" customFormat="false" ht="15" hidden="false" customHeight="true" outlineLevel="1" collapsed="false">
      <c r="A800" s="429"/>
      <c r="B800" s="429"/>
      <c r="C800" s="429"/>
      <c r="D800" s="430"/>
      <c r="E800" s="431"/>
      <c r="F800" s="431"/>
      <c r="G800" s="429"/>
      <c r="H800" s="432"/>
      <c r="I800" s="432"/>
      <c r="J800" s="432"/>
      <c r="K800" s="328"/>
      <c r="L800" s="396"/>
      <c r="M800" s="396"/>
      <c r="N800" s="396"/>
      <c r="O800" s="396"/>
      <c r="P800" s="396"/>
      <c r="Q800" s="328"/>
      <c r="R800" s="328"/>
      <c r="S800" s="328"/>
      <c r="T800" s="328"/>
      <c r="U800" s="328"/>
      <c r="V800" s="328"/>
    </row>
    <row r="801" customFormat="false" ht="15" hidden="false" customHeight="true" outlineLevel="1" collapsed="false">
      <c r="A801" s="429"/>
      <c r="B801" s="429"/>
      <c r="C801" s="429"/>
      <c r="D801" s="430"/>
      <c r="E801" s="431"/>
      <c r="F801" s="431"/>
      <c r="G801" s="429"/>
      <c r="H801" s="432"/>
      <c r="I801" s="432"/>
      <c r="J801" s="432"/>
      <c r="K801" s="328"/>
      <c r="L801" s="396"/>
      <c r="M801" s="396"/>
      <c r="N801" s="396"/>
      <c r="O801" s="396"/>
      <c r="P801" s="396"/>
      <c r="Q801" s="328"/>
      <c r="R801" s="328"/>
      <c r="S801" s="328"/>
      <c r="T801" s="328"/>
      <c r="U801" s="328"/>
      <c r="V801" s="328"/>
    </row>
    <row r="802" customFormat="false" ht="15" hidden="false" customHeight="true" outlineLevel="1" collapsed="false">
      <c r="A802" s="429"/>
      <c r="B802" s="429"/>
      <c r="C802" s="429"/>
      <c r="D802" s="430"/>
      <c r="E802" s="431"/>
      <c r="F802" s="431"/>
      <c r="G802" s="429"/>
      <c r="H802" s="432"/>
      <c r="I802" s="432"/>
      <c r="J802" s="432"/>
      <c r="K802" s="328"/>
      <c r="L802" s="396"/>
      <c r="M802" s="396"/>
      <c r="N802" s="396"/>
      <c r="O802" s="396"/>
      <c r="P802" s="396"/>
      <c r="Q802" s="328"/>
      <c r="R802" s="328"/>
      <c r="S802" s="328"/>
      <c r="T802" s="328"/>
      <c r="U802" s="328"/>
      <c r="V802" s="328"/>
    </row>
    <row r="803" customFormat="false" ht="15" hidden="false" customHeight="true" outlineLevel="1" collapsed="false">
      <c r="A803" s="429"/>
      <c r="B803" s="429"/>
      <c r="C803" s="429"/>
      <c r="D803" s="430"/>
      <c r="E803" s="431"/>
      <c r="F803" s="431"/>
      <c r="G803" s="429"/>
      <c r="H803" s="432"/>
      <c r="I803" s="432"/>
      <c r="J803" s="432"/>
      <c r="K803" s="328"/>
      <c r="L803" s="396"/>
      <c r="M803" s="396"/>
      <c r="N803" s="396"/>
      <c r="O803" s="396"/>
      <c r="P803" s="396"/>
      <c r="Q803" s="328"/>
      <c r="R803" s="328"/>
      <c r="S803" s="328"/>
      <c r="T803" s="328"/>
      <c r="U803" s="328"/>
      <c r="V803" s="328"/>
    </row>
    <row r="804" customFormat="false" ht="15" hidden="false" customHeight="true" outlineLevel="1" collapsed="false">
      <c r="A804" s="429"/>
      <c r="B804" s="429"/>
      <c r="C804" s="429"/>
      <c r="D804" s="430"/>
      <c r="E804" s="431"/>
      <c r="F804" s="431"/>
      <c r="G804" s="429"/>
      <c r="H804" s="432"/>
      <c r="I804" s="432"/>
      <c r="J804" s="432"/>
      <c r="K804" s="328"/>
      <c r="L804" s="396"/>
      <c r="M804" s="396"/>
      <c r="N804" s="396"/>
      <c r="O804" s="396"/>
      <c r="P804" s="396"/>
      <c r="Q804" s="328"/>
      <c r="R804" s="328"/>
      <c r="S804" s="328"/>
      <c r="T804" s="328"/>
      <c r="U804" s="328"/>
      <c r="V804" s="328"/>
    </row>
    <row r="805" customFormat="false" ht="15" hidden="false" customHeight="true" outlineLevel="1" collapsed="false">
      <c r="A805" s="429"/>
      <c r="B805" s="429"/>
      <c r="C805" s="429"/>
      <c r="D805" s="430"/>
      <c r="E805" s="431"/>
      <c r="F805" s="431"/>
      <c r="G805" s="429"/>
      <c r="H805" s="432"/>
      <c r="I805" s="432"/>
      <c r="J805" s="432"/>
      <c r="K805" s="328"/>
      <c r="L805" s="396"/>
      <c r="M805" s="396"/>
      <c r="N805" s="396"/>
      <c r="O805" s="396"/>
      <c r="P805" s="396"/>
      <c r="Q805" s="328"/>
      <c r="R805" s="328"/>
      <c r="S805" s="328"/>
      <c r="T805" s="328"/>
      <c r="U805" s="328"/>
      <c r="V805" s="328"/>
    </row>
    <row r="806" customFormat="false" ht="15" hidden="false" customHeight="true" outlineLevel="1" collapsed="false">
      <c r="A806" s="429"/>
      <c r="B806" s="429"/>
      <c r="C806" s="429"/>
      <c r="D806" s="430"/>
      <c r="E806" s="431"/>
      <c r="F806" s="431"/>
      <c r="G806" s="429"/>
      <c r="H806" s="432"/>
      <c r="I806" s="432"/>
      <c r="J806" s="432"/>
      <c r="K806" s="328"/>
      <c r="L806" s="396"/>
      <c r="M806" s="396"/>
      <c r="N806" s="396"/>
      <c r="O806" s="396"/>
      <c r="P806" s="396"/>
      <c r="Q806" s="328"/>
      <c r="R806" s="328"/>
      <c r="S806" s="328"/>
      <c r="T806" s="328"/>
      <c r="U806" s="328"/>
      <c r="V806" s="328"/>
    </row>
    <row r="807" customFormat="false" ht="15" hidden="false" customHeight="true" outlineLevel="1" collapsed="false">
      <c r="A807" s="429"/>
      <c r="B807" s="429"/>
      <c r="C807" s="429"/>
      <c r="D807" s="430"/>
      <c r="E807" s="431"/>
      <c r="F807" s="431"/>
      <c r="G807" s="429"/>
      <c r="H807" s="432"/>
      <c r="I807" s="432"/>
      <c r="J807" s="432"/>
      <c r="K807" s="328"/>
      <c r="L807" s="396"/>
      <c r="M807" s="396"/>
      <c r="N807" s="396"/>
      <c r="O807" s="396"/>
      <c r="P807" s="396"/>
      <c r="Q807" s="328"/>
      <c r="R807" s="328"/>
      <c r="S807" s="328"/>
      <c r="T807" s="328"/>
      <c r="U807" s="328"/>
      <c r="V807" s="328"/>
    </row>
    <row r="808" customFormat="false" ht="15" hidden="false" customHeight="true" outlineLevel="1" collapsed="false">
      <c r="A808" s="429"/>
      <c r="B808" s="429"/>
      <c r="C808" s="429"/>
      <c r="D808" s="430"/>
      <c r="E808" s="431"/>
      <c r="F808" s="431"/>
      <c r="G808" s="429"/>
      <c r="H808" s="432"/>
      <c r="I808" s="432"/>
      <c r="J808" s="432"/>
      <c r="K808" s="328"/>
      <c r="L808" s="396"/>
      <c r="M808" s="396"/>
      <c r="N808" s="396"/>
      <c r="O808" s="396"/>
      <c r="P808" s="396"/>
      <c r="Q808" s="328"/>
      <c r="R808" s="328"/>
      <c r="S808" s="328"/>
      <c r="T808" s="328"/>
      <c r="U808" s="328"/>
      <c r="V808" s="328"/>
    </row>
    <row r="809" customFormat="false" ht="15" hidden="false" customHeight="true" outlineLevel="1" collapsed="false">
      <c r="A809" s="429"/>
      <c r="B809" s="429"/>
      <c r="C809" s="429"/>
      <c r="D809" s="430"/>
      <c r="E809" s="431"/>
      <c r="F809" s="431"/>
      <c r="G809" s="429"/>
      <c r="H809" s="432"/>
      <c r="I809" s="432"/>
      <c r="J809" s="432"/>
      <c r="K809" s="328"/>
      <c r="L809" s="396"/>
      <c r="M809" s="396"/>
      <c r="N809" s="396"/>
      <c r="O809" s="396"/>
      <c r="P809" s="396"/>
      <c r="Q809" s="328"/>
      <c r="R809" s="328"/>
      <c r="S809" s="328"/>
      <c r="T809" s="328"/>
      <c r="U809" s="328"/>
      <c r="V809" s="328"/>
    </row>
    <row r="810" customFormat="false" ht="15" hidden="false" customHeight="true" outlineLevel="1" collapsed="false">
      <c r="A810" s="429"/>
      <c r="B810" s="429"/>
      <c r="C810" s="429"/>
      <c r="D810" s="430"/>
      <c r="E810" s="431"/>
      <c r="F810" s="431"/>
      <c r="G810" s="429"/>
      <c r="H810" s="432"/>
      <c r="I810" s="432"/>
      <c r="J810" s="432"/>
      <c r="K810" s="328"/>
      <c r="L810" s="396"/>
      <c r="M810" s="396"/>
      <c r="N810" s="396"/>
      <c r="O810" s="396"/>
      <c r="P810" s="396"/>
      <c r="Q810" s="328"/>
      <c r="R810" s="328"/>
      <c r="S810" s="328"/>
      <c r="T810" s="328"/>
      <c r="U810" s="328"/>
      <c r="V810" s="328"/>
    </row>
    <row r="811" customFormat="false" ht="15" hidden="false" customHeight="true" outlineLevel="1" collapsed="false">
      <c r="A811" s="429"/>
      <c r="B811" s="429"/>
      <c r="C811" s="429"/>
      <c r="D811" s="430"/>
      <c r="E811" s="431"/>
      <c r="F811" s="431"/>
      <c r="G811" s="429"/>
      <c r="H811" s="432"/>
      <c r="I811" s="432"/>
      <c r="J811" s="432"/>
      <c r="K811" s="328"/>
      <c r="L811" s="396"/>
      <c r="M811" s="396"/>
      <c r="N811" s="396"/>
      <c r="O811" s="396"/>
      <c r="P811" s="396"/>
      <c r="Q811" s="328"/>
      <c r="R811" s="328"/>
      <c r="S811" s="328"/>
      <c r="T811" s="328"/>
      <c r="U811" s="328"/>
      <c r="V811" s="328"/>
    </row>
    <row r="812" customFormat="false" ht="15" hidden="false" customHeight="true" outlineLevel="1" collapsed="false">
      <c r="A812" s="429"/>
      <c r="B812" s="429"/>
      <c r="C812" s="429"/>
      <c r="D812" s="430"/>
      <c r="E812" s="431"/>
      <c r="F812" s="431"/>
      <c r="G812" s="429"/>
      <c r="H812" s="432"/>
      <c r="I812" s="432"/>
      <c r="J812" s="432"/>
      <c r="K812" s="328"/>
      <c r="L812" s="396"/>
      <c r="M812" s="396"/>
      <c r="N812" s="396"/>
      <c r="O812" s="396"/>
      <c r="P812" s="396"/>
      <c r="Q812" s="328"/>
      <c r="R812" s="328"/>
      <c r="S812" s="328"/>
      <c r="T812" s="328"/>
      <c r="U812" s="328"/>
      <c r="V812" s="328"/>
    </row>
    <row r="813" customFormat="false" ht="15" hidden="false" customHeight="true" outlineLevel="1" collapsed="false">
      <c r="A813" s="429"/>
      <c r="B813" s="429"/>
      <c r="C813" s="429"/>
      <c r="D813" s="430"/>
      <c r="E813" s="431"/>
      <c r="F813" s="431"/>
      <c r="G813" s="429"/>
      <c r="H813" s="432"/>
      <c r="I813" s="432"/>
      <c r="J813" s="432"/>
      <c r="K813" s="328"/>
      <c r="L813" s="396"/>
      <c r="M813" s="396"/>
      <c r="N813" s="396"/>
      <c r="O813" s="396"/>
      <c r="P813" s="396"/>
      <c r="Q813" s="328"/>
      <c r="R813" s="328"/>
      <c r="S813" s="328"/>
      <c r="T813" s="328"/>
      <c r="U813" s="328"/>
      <c r="V813" s="328"/>
    </row>
    <row r="814" customFormat="false" ht="15" hidden="false" customHeight="true" outlineLevel="1" collapsed="false">
      <c r="A814" s="429"/>
      <c r="B814" s="429"/>
      <c r="C814" s="429"/>
      <c r="D814" s="430"/>
      <c r="E814" s="431"/>
      <c r="F814" s="431"/>
      <c r="G814" s="429"/>
      <c r="H814" s="432"/>
      <c r="I814" s="432"/>
      <c r="J814" s="432"/>
      <c r="K814" s="328"/>
      <c r="L814" s="396"/>
      <c r="M814" s="396"/>
      <c r="N814" s="396"/>
      <c r="O814" s="396"/>
      <c r="P814" s="396"/>
      <c r="Q814" s="328"/>
      <c r="R814" s="328"/>
      <c r="S814" s="328"/>
      <c r="T814" s="328"/>
      <c r="U814" s="328"/>
      <c r="V814" s="328"/>
    </row>
    <row r="815" customFormat="false" ht="15" hidden="false" customHeight="true" outlineLevel="1" collapsed="false">
      <c r="A815" s="429"/>
      <c r="B815" s="429"/>
      <c r="C815" s="429"/>
      <c r="D815" s="430"/>
      <c r="E815" s="431"/>
      <c r="F815" s="431"/>
      <c r="G815" s="429"/>
      <c r="H815" s="432"/>
      <c r="I815" s="432"/>
      <c r="J815" s="432"/>
      <c r="K815" s="328"/>
      <c r="L815" s="396"/>
      <c r="M815" s="396"/>
      <c r="N815" s="396"/>
      <c r="O815" s="396"/>
      <c r="P815" s="396"/>
      <c r="Q815" s="328"/>
      <c r="R815" s="328"/>
      <c r="S815" s="328"/>
      <c r="T815" s="328"/>
      <c r="U815" s="328"/>
      <c r="V815" s="328"/>
    </row>
    <row r="816" customFormat="false" ht="15" hidden="false" customHeight="true" outlineLevel="1" collapsed="false">
      <c r="A816" s="429"/>
      <c r="B816" s="429"/>
      <c r="C816" s="429"/>
      <c r="D816" s="430"/>
      <c r="E816" s="431"/>
      <c r="F816" s="431"/>
      <c r="G816" s="429"/>
      <c r="H816" s="432"/>
      <c r="I816" s="432"/>
      <c r="J816" s="432"/>
      <c r="K816" s="328"/>
      <c r="L816" s="396"/>
      <c r="M816" s="396"/>
      <c r="N816" s="396"/>
      <c r="O816" s="396"/>
      <c r="P816" s="396"/>
      <c r="Q816" s="328"/>
      <c r="R816" s="328"/>
      <c r="S816" s="328"/>
      <c r="T816" s="328"/>
      <c r="U816" s="328"/>
      <c r="V816" s="328"/>
    </row>
    <row r="817" customFormat="false" ht="15" hidden="false" customHeight="true" outlineLevel="1" collapsed="false">
      <c r="A817" s="429"/>
      <c r="B817" s="429"/>
      <c r="C817" s="429"/>
      <c r="D817" s="430"/>
      <c r="E817" s="431"/>
      <c r="F817" s="431"/>
      <c r="G817" s="429"/>
      <c r="H817" s="432"/>
      <c r="I817" s="432"/>
      <c r="J817" s="432"/>
      <c r="K817" s="328"/>
      <c r="L817" s="396"/>
      <c r="M817" s="396"/>
      <c r="N817" s="396"/>
      <c r="O817" s="396"/>
      <c r="P817" s="396"/>
      <c r="Q817" s="328"/>
      <c r="R817" s="328"/>
      <c r="S817" s="328"/>
      <c r="T817" s="328"/>
      <c r="U817" s="328"/>
      <c r="V817" s="328"/>
    </row>
    <row r="818" customFormat="false" ht="15" hidden="false" customHeight="true" outlineLevel="1" collapsed="false">
      <c r="A818" s="429"/>
      <c r="B818" s="429"/>
      <c r="C818" s="429"/>
      <c r="D818" s="430"/>
      <c r="E818" s="431"/>
      <c r="F818" s="431"/>
      <c r="G818" s="429"/>
      <c r="H818" s="432"/>
      <c r="I818" s="432"/>
      <c r="J818" s="432"/>
      <c r="K818" s="328"/>
      <c r="L818" s="396"/>
      <c r="M818" s="396"/>
      <c r="N818" s="396"/>
      <c r="O818" s="396"/>
      <c r="P818" s="396"/>
      <c r="Q818" s="328"/>
      <c r="R818" s="328"/>
      <c r="S818" s="328"/>
      <c r="T818" s="328"/>
      <c r="U818" s="328"/>
      <c r="V818" s="328"/>
    </row>
    <row r="819" customFormat="false" ht="15" hidden="false" customHeight="true" outlineLevel="1" collapsed="false">
      <c r="A819" s="429"/>
      <c r="B819" s="429"/>
      <c r="C819" s="429"/>
      <c r="D819" s="430"/>
      <c r="E819" s="431"/>
      <c r="F819" s="431"/>
      <c r="G819" s="429"/>
      <c r="H819" s="432"/>
      <c r="I819" s="432"/>
      <c r="J819" s="432"/>
      <c r="K819" s="328"/>
      <c r="L819" s="396"/>
      <c r="M819" s="396"/>
      <c r="N819" s="396"/>
      <c r="O819" s="396"/>
      <c r="P819" s="396"/>
      <c r="Q819" s="328"/>
      <c r="R819" s="328"/>
      <c r="S819" s="328"/>
      <c r="T819" s="328"/>
      <c r="U819" s="328"/>
      <c r="V819" s="328"/>
    </row>
    <row r="820" customFormat="false" ht="15" hidden="false" customHeight="true" outlineLevel="1" collapsed="false">
      <c r="A820" s="429"/>
      <c r="B820" s="429"/>
      <c r="C820" s="429"/>
      <c r="D820" s="430"/>
      <c r="E820" s="431"/>
      <c r="F820" s="431"/>
      <c r="G820" s="429"/>
      <c r="H820" s="432"/>
      <c r="I820" s="432"/>
      <c r="J820" s="432"/>
      <c r="K820" s="328"/>
      <c r="L820" s="396"/>
      <c r="M820" s="396"/>
      <c r="N820" s="396"/>
      <c r="O820" s="396"/>
      <c r="P820" s="396"/>
      <c r="Q820" s="328"/>
      <c r="R820" s="328"/>
      <c r="S820" s="328"/>
      <c r="T820" s="328"/>
      <c r="U820" s="328"/>
      <c r="V820" s="328"/>
    </row>
    <row r="821" customFormat="false" ht="15" hidden="false" customHeight="true" outlineLevel="1" collapsed="false">
      <c r="A821" s="429"/>
      <c r="B821" s="429"/>
      <c r="C821" s="429"/>
      <c r="D821" s="430"/>
      <c r="E821" s="431"/>
      <c r="F821" s="431"/>
      <c r="G821" s="429"/>
      <c r="H821" s="432"/>
      <c r="I821" s="432"/>
      <c r="J821" s="432"/>
      <c r="K821" s="328"/>
      <c r="L821" s="396"/>
      <c r="M821" s="396"/>
      <c r="N821" s="396"/>
      <c r="O821" s="396"/>
      <c r="P821" s="396"/>
      <c r="Q821" s="328"/>
      <c r="R821" s="328"/>
      <c r="S821" s="328"/>
      <c r="T821" s="328"/>
      <c r="U821" s="328"/>
      <c r="V821" s="328"/>
    </row>
    <row r="822" customFormat="false" ht="15" hidden="false" customHeight="true" outlineLevel="1" collapsed="false">
      <c r="A822" s="429"/>
      <c r="B822" s="429"/>
      <c r="C822" s="429"/>
      <c r="D822" s="430"/>
      <c r="E822" s="431"/>
      <c r="F822" s="431"/>
      <c r="G822" s="429"/>
      <c r="H822" s="432"/>
      <c r="I822" s="432"/>
      <c r="J822" s="432"/>
      <c r="K822" s="328"/>
      <c r="L822" s="396"/>
      <c r="M822" s="396"/>
      <c r="N822" s="396"/>
      <c r="O822" s="396"/>
      <c r="P822" s="396"/>
      <c r="Q822" s="328"/>
      <c r="R822" s="328"/>
      <c r="S822" s="328"/>
      <c r="T822" s="328"/>
      <c r="U822" s="328"/>
      <c r="V822" s="328"/>
    </row>
    <row r="823" customFormat="false" ht="15" hidden="false" customHeight="true" outlineLevel="1" collapsed="false">
      <c r="A823" s="429"/>
      <c r="B823" s="429"/>
      <c r="C823" s="429"/>
      <c r="D823" s="430"/>
      <c r="E823" s="431"/>
      <c r="F823" s="431"/>
      <c r="G823" s="429"/>
      <c r="H823" s="432"/>
      <c r="I823" s="432"/>
      <c r="J823" s="432"/>
      <c r="K823" s="328"/>
      <c r="L823" s="396"/>
      <c r="M823" s="396"/>
      <c r="N823" s="396"/>
      <c r="O823" s="396"/>
      <c r="P823" s="396"/>
      <c r="Q823" s="328"/>
      <c r="R823" s="328"/>
      <c r="S823" s="328"/>
      <c r="T823" s="328"/>
      <c r="U823" s="328"/>
      <c r="V823" s="328"/>
    </row>
    <row r="824" customFormat="false" ht="15" hidden="false" customHeight="true" outlineLevel="1" collapsed="false">
      <c r="A824" s="429"/>
      <c r="B824" s="429"/>
      <c r="C824" s="429"/>
      <c r="D824" s="430"/>
      <c r="E824" s="431"/>
      <c r="F824" s="431"/>
      <c r="G824" s="429"/>
      <c r="H824" s="432"/>
      <c r="I824" s="432"/>
      <c r="J824" s="432"/>
      <c r="K824" s="328"/>
      <c r="L824" s="396"/>
      <c r="M824" s="396"/>
      <c r="N824" s="396"/>
      <c r="O824" s="396"/>
      <c r="P824" s="396"/>
      <c r="Q824" s="328"/>
      <c r="R824" s="328"/>
      <c r="S824" s="328"/>
      <c r="T824" s="328"/>
      <c r="U824" s="328"/>
      <c r="V824" s="328"/>
    </row>
    <row r="825" customFormat="false" ht="15" hidden="false" customHeight="true" outlineLevel="1" collapsed="false">
      <c r="A825" s="429"/>
      <c r="B825" s="429"/>
      <c r="C825" s="429"/>
      <c r="D825" s="430"/>
      <c r="E825" s="431"/>
      <c r="F825" s="431"/>
      <c r="G825" s="429"/>
      <c r="H825" s="432"/>
      <c r="I825" s="432"/>
      <c r="J825" s="432"/>
      <c r="K825" s="328"/>
      <c r="L825" s="396"/>
      <c r="M825" s="396"/>
      <c r="N825" s="396"/>
      <c r="O825" s="396"/>
      <c r="P825" s="396"/>
      <c r="Q825" s="328"/>
      <c r="R825" s="328"/>
      <c r="S825" s="328"/>
      <c r="T825" s="328"/>
      <c r="U825" s="328"/>
      <c r="V825" s="328"/>
    </row>
    <row r="826" customFormat="false" ht="15" hidden="false" customHeight="true" outlineLevel="1" collapsed="false">
      <c r="A826" s="429"/>
      <c r="B826" s="429"/>
      <c r="C826" s="429"/>
      <c r="D826" s="430"/>
      <c r="E826" s="431"/>
      <c r="F826" s="431"/>
      <c r="G826" s="429"/>
      <c r="H826" s="432"/>
      <c r="I826" s="432"/>
      <c r="J826" s="432"/>
      <c r="K826" s="328"/>
      <c r="L826" s="396"/>
      <c r="M826" s="396"/>
      <c r="N826" s="396"/>
      <c r="O826" s="396"/>
      <c r="P826" s="396"/>
      <c r="Q826" s="328"/>
      <c r="R826" s="328"/>
      <c r="S826" s="328"/>
      <c r="T826" s="328"/>
      <c r="U826" s="328"/>
      <c r="V826" s="328"/>
    </row>
    <row r="827" customFormat="false" ht="15" hidden="false" customHeight="true" outlineLevel="1" collapsed="false">
      <c r="A827" s="429"/>
      <c r="B827" s="429"/>
      <c r="C827" s="429"/>
      <c r="D827" s="430"/>
      <c r="E827" s="431"/>
      <c r="F827" s="431"/>
      <c r="G827" s="429"/>
      <c r="H827" s="432"/>
      <c r="I827" s="432"/>
      <c r="J827" s="432"/>
      <c r="K827" s="328"/>
      <c r="L827" s="396"/>
      <c r="M827" s="396"/>
      <c r="N827" s="396"/>
      <c r="O827" s="396"/>
      <c r="P827" s="396"/>
      <c r="Q827" s="328"/>
      <c r="R827" s="328"/>
      <c r="S827" s="328"/>
      <c r="T827" s="328"/>
      <c r="U827" s="328"/>
      <c r="V827" s="328"/>
    </row>
    <row r="828" customFormat="false" ht="15" hidden="false" customHeight="true" outlineLevel="1" collapsed="false">
      <c r="A828" s="429"/>
      <c r="B828" s="429"/>
      <c r="C828" s="429"/>
      <c r="D828" s="430"/>
      <c r="E828" s="431"/>
      <c r="F828" s="431"/>
      <c r="G828" s="429"/>
      <c r="H828" s="432"/>
      <c r="I828" s="432"/>
      <c r="J828" s="432"/>
      <c r="K828" s="328"/>
      <c r="L828" s="396"/>
      <c r="M828" s="396"/>
      <c r="N828" s="396"/>
      <c r="O828" s="396"/>
      <c r="P828" s="396"/>
      <c r="Q828" s="328"/>
      <c r="R828" s="328"/>
      <c r="S828" s="328"/>
      <c r="T828" s="328"/>
      <c r="U828" s="328"/>
      <c r="V828" s="328"/>
    </row>
    <row r="829" customFormat="false" ht="15" hidden="false" customHeight="true" outlineLevel="1" collapsed="false">
      <c r="A829" s="429"/>
      <c r="B829" s="429"/>
      <c r="C829" s="429"/>
      <c r="D829" s="430"/>
      <c r="E829" s="431"/>
      <c r="F829" s="431"/>
      <c r="G829" s="429"/>
      <c r="H829" s="432"/>
      <c r="I829" s="432"/>
      <c r="J829" s="432"/>
      <c r="K829" s="328"/>
      <c r="L829" s="396"/>
      <c r="M829" s="396"/>
      <c r="N829" s="396"/>
      <c r="O829" s="396"/>
      <c r="P829" s="396"/>
      <c r="Q829" s="328"/>
      <c r="R829" s="328"/>
      <c r="S829" s="328"/>
      <c r="T829" s="328"/>
      <c r="U829" s="328"/>
      <c r="V829" s="328"/>
    </row>
    <row r="830" customFormat="false" ht="15" hidden="false" customHeight="true" outlineLevel="1" collapsed="false">
      <c r="A830" s="429"/>
      <c r="B830" s="429"/>
      <c r="C830" s="429"/>
      <c r="D830" s="430"/>
      <c r="E830" s="431"/>
      <c r="F830" s="431"/>
      <c r="G830" s="429"/>
      <c r="H830" s="432"/>
      <c r="I830" s="432"/>
      <c r="J830" s="432"/>
      <c r="K830" s="328"/>
      <c r="L830" s="396"/>
      <c r="M830" s="396"/>
      <c r="N830" s="396"/>
      <c r="O830" s="396"/>
      <c r="P830" s="396"/>
      <c r="Q830" s="328"/>
      <c r="R830" s="328"/>
      <c r="S830" s="328"/>
      <c r="T830" s="328"/>
      <c r="U830" s="328"/>
      <c r="V830" s="328"/>
    </row>
    <row r="831" customFormat="false" ht="15" hidden="false" customHeight="true" outlineLevel="1" collapsed="false">
      <c r="A831" s="429"/>
      <c r="B831" s="429"/>
      <c r="C831" s="429"/>
      <c r="D831" s="430"/>
      <c r="E831" s="431"/>
      <c r="F831" s="431"/>
      <c r="G831" s="429"/>
      <c r="H831" s="432"/>
      <c r="I831" s="432"/>
      <c r="J831" s="432"/>
      <c r="K831" s="328"/>
      <c r="L831" s="396"/>
      <c r="M831" s="396"/>
      <c r="N831" s="396"/>
      <c r="O831" s="396"/>
      <c r="P831" s="396"/>
      <c r="Q831" s="328"/>
      <c r="R831" s="328"/>
      <c r="S831" s="328"/>
      <c r="T831" s="328"/>
      <c r="U831" s="328"/>
      <c r="V831" s="328"/>
    </row>
    <row r="832" customFormat="false" ht="15" hidden="false" customHeight="true" outlineLevel="1" collapsed="false">
      <c r="A832" s="429"/>
      <c r="B832" s="429"/>
      <c r="C832" s="429"/>
      <c r="D832" s="430"/>
      <c r="E832" s="431"/>
      <c r="F832" s="431"/>
      <c r="G832" s="429"/>
      <c r="H832" s="432"/>
      <c r="I832" s="432"/>
      <c r="J832" s="432"/>
      <c r="K832" s="328"/>
      <c r="L832" s="396"/>
      <c r="M832" s="396"/>
      <c r="N832" s="396"/>
      <c r="O832" s="396"/>
      <c r="P832" s="396"/>
      <c r="Q832" s="328"/>
      <c r="R832" s="328"/>
      <c r="S832" s="328"/>
      <c r="T832" s="328"/>
      <c r="U832" s="328"/>
      <c r="V832" s="328"/>
    </row>
    <row r="833" customFormat="false" ht="15" hidden="false" customHeight="true" outlineLevel="1" collapsed="false">
      <c r="A833" s="429"/>
      <c r="B833" s="429"/>
      <c r="C833" s="429"/>
      <c r="D833" s="430"/>
      <c r="E833" s="431"/>
      <c r="F833" s="431"/>
      <c r="G833" s="429"/>
      <c r="H833" s="432"/>
      <c r="I833" s="432"/>
      <c r="J833" s="432"/>
      <c r="K833" s="328"/>
      <c r="L833" s="396"/>
      <c r="M833" s="396"/>
      <c r="N833" s="396"/>
      <c r="O833" s="396"/>
      <c r="P833" s="396"/>
      <c r="Q833" s="328"/>
      <c r="R833" s="328"/>
      <c r="S833" s="328"/>
      <c r="T833" s="328"/>
      <c r="U833" s="328"/>
      <c r="V833" s="328"/>
    </row>
    <row r="834" customFormat="false" ht="15" hidden="false" customHeight="true" outlineLevel="1" collapsed="false">
      <c r="A834" s="429"/>
      <c r="B834" s="429"/>
      <c r="C834" s="429"/>
      <c r="D834" s="430"/>
      <c r="E834" s="431"/>
      <c r="F834" s="431"/>
      <c r="G834" s="429"/>
      <c r="H834" s="432"/>
      <c r="I834" s="432"/>
      <c r="J834" s="432"/>
      <c r="K834" s="328"/>
      <c r="L834" s="396"/>
      <c r="M834" s="396"/>
      <c r="N834" s="396"/>
      <c r="O834" s="396"/>
      <c r="P834" s="396"/>
      <c r="Q834" s="328"/>
      <c r="R834" s="328"/>
      <c r="S834" s="328"/>
      <c r="T834" s="328"/>
      <c r="U834" s="328"/>
      <c r="V834" s="328"/>
    </row>
    <row r="835" customFormat="false" ht="15" hidden="false" customHeight="true" outlineLevel="1" collapsed="false">
      <c r="A835" s="429"/>
      <c r="B835" s="429"/>
      <c r="C835" s="429"/>
      <c r="D835" s="430"/>
      <c r="E835" s="431"/>
      <c r="F835" s="431"/>
      <c r="G835" s="429"/>
      <c r="H835" s="432"/>
      <c r="I835" s="432"/>
      <c r="J835" s="432"/>
      <c r="K835" s="328"/>
      <c r="L835" s="396"/>
      <c r="M835" s="396"/>
      <c r="N835" s="396"/>
      <c r="O835" s="396"/>
      <c r="P835" s="396"/>
      <c r="Q835" s="328"/>
      <c r="R835" s="328"/>
      <c r="S835" s="328"/>
      <c r="T835" s="328"/>
      <c r="U835" s="328"/>
      <c r="V835" s="328"/>
    </row>
    <row r="836" customFormat="false" ht="15" hidden="false" customHeight="true" outlineLevel="1" collapsed="false">
      <c r="A836" s="429"/>
      <c r="B836" s="429"/>
      <c r="C836" s="429"/>
      <c r="D836" s="430"/>
      <c r="E836" s="431"/>
      <c r="F836" s="431"/>
      <c r="G836" s="429"/>
      <c r="H836" s="432"/>
      <c r="I836" s="432"/>
      <c r="J836" s="432"/>
      <c r="K836" s="328"/>
      <c r="L836" s="396"/>
      <c r="M836" s="396"/>
      <c r="N836" s="396"/>
      <c r="O836" s="396"/>
      <c r="P836" s="396"/>
      <c r="Q836" s="328"/>
      <c r="R836" s="328"/>
      <c r="S836" s="328"/>
      <c r="T836" s="328"/>
      <c r="U836" s="328"/>
      <c r="V836" s="328"/>
    </row>
    <row r="837" customFormat="false" ht="15" hidden="false" customHeight="true" outlineLevel="1" collapsed="false">
      <c r="A837" s="429"/>
      <c r="B837" s="429"/>
      <c r="C837" s="429"/>
      <c r="D837" s="430"/>
      <c r="E837" s="431"/>
      <c r="F837" s="431"/>
      <c r="G837" s="429"/>
      <c r="H837" s="432"/>
      <c r="I837" s="432"/>
      <c r="J837" s="432"/>
      <c r="K837" s="328"/>
      <c r="L837" s="396"/>
      <c r="M837" s="396"/>
      <c r="N837" s="396"/>
      <c r="O837" s="396"/>
      <c r="P837" s="396"/>
      <c r="Q837" s="328"/>
      <c r="R837" s="328"/>
      <c r="S837" s="328"/>
      <c r="T837" s="328"/>
      <c r="U837" s="328"/>
      <c r="V837" s="328"/>
    </row>
    <row r="838" customFormat="false" ht="15" hidden="false" customHeight="true" outlineLevel="1" collapsed="false">
      <c r="A838" s="429"/>
      <c r="B838" s="429"/>
      <c r="C838" s="429"/>
      <c r="D838" s="430"/>
      <c r="E838" s="431"/>
      <c r="F838" s="431"/>
      <c r="G838" s="429"/>
      <c r="H838" s="432"/>
      <c r="I838" s="432"/>
      <c r="J838" s="432"/>
      <c r="K838" s="328"/>
      <c r="L838" s="396"/>
      <c r="M838" s="396"/>
      <c r="N838" s="396"/>
      <c r="O838" s="396"/>
      <c r="P838" s="396"/>
      <c r="Q838" s="328"/>
      <c r="R838" s="328"/>
      <c r="S838" s="328"/>
      <c r="T838" s="328"/>
      <c r="U838" s="328"/>
      <c r="V838" s="328"/>
    </row>
    <row r="839" customFormat="false" ht="15" hidden="false" customHeight="true" outlineLevel="1" collapsed="false">
      <c r="A839" s="429"/>
      <c r="B839" s="429"/>
      <c r="C839" s="429"/>
      <c r="D839" s="430"/>
      <c r="E839" s="431"/>
      <c r="F839" s="431"/>
      <c r="G839" s="429"/>
      <c r="H839" s="432"/>
      <c r="I839" s="432"/>
      <c r="J839" s="432"/>
      <c r="K839" s="328"/>
      <c r="L839" s="396"/>
      <c r="M839" s="396"/>
      <c r="N839" s="396"/>
      <c r="O839" s="396"/>
      <c r="P839" s="396"/>
      <c r="Q839" s="328"/>
      <c r="R839" s="328"/>
      <c r="S839" s="328"/>
      <c r="T839" s="328"/>
      <c r="U839" s="328"/>
      <c r="V839" s="328"/>
    </row>
    <row r="840" customFormat="false" ht="15" hidden="false" customHeight="true" outlineLevel="1" collapsed="false">
      <c r="A840" s="429"/>
      <c r="B840" s="429"/>
      <c r="C840" s="429"/>
      <c r="D840" s="430"/>
      <c r="E840" s="431"/>
      <c r="F840" s="431"/>
      <c r="G840" s="429"/>
      <c r="H840" s="432"/>
      <c r="I840" s="432"/>
      <c r="J840" s="432"/>
      <c r="K840" s="328"/>
      <c r="L840" s="396"/>
      <c r="M840" s="396"/>
      <c r="N840" s="396"/>
      <c r="O840" s="396"/>
      <c r="P840" s="396"/>
      <c r="Q840" s="328"/>
      <c r="R840" s="328"/>
      <c r="S840" s="328"/>
      <c r="T840" s="328"/>
      <c r="U840" s="328"/>
      <c r="V840" s="328"/>
    </row>
    <row r="841" customFormat="false" ht="15" hidden="false" customHeight="true" outlineLevel="1" collapsed="false">
      <c r="A841" s="429"/>
      <c r="B841" s="429"/>
      <c r="C841" s="429"/>
      <c r="D841" s="430"/>
      <c r="E841" s="431"/>
      <c r="F841" s="431"/>
      <c r="G841" s="429"/>
      <c r="H841" s="432"/>
      <c r="I841" s="432"/>
      <c r="J841" s="432"/>
      <c r="K841" s="328"/>
      <c r="L841" s="396"/>
      <c r="M841" s="396"/>
      <c r="N841" s="396"/>
      <c r="O841" s="396"/>
      <c r="P841" s="396"/>
      <c r="Q841" s="328"/>
      <c r="R841" s="328"/>
      <c r="S841" s="328"/>
      <c r="T841" s="328"/>
      <c r="U841" s="328"/>
      <c r="V841" s="328"/>
    </row>
    <row r="842" customFormat="false" ht="15" hidden="false" customHeight="true" outlineLevel="1" collapsed="false">
      <c r="A842" s="429"/>
      <c r="B842" s="429"/>
      <c r="C842" s="429"/>
      <c r="D842" s="430"/>
      <c r="E842" s="431"/>
      <c r="F842" s="431"/>
      <c r="G842" s="429"/>
      <c r="H842" s="432"/>
      <c r="I842" s="432"/>
      <c r="J842" s="432"/>
      <c r="K842" s="328"/>
      <c r="L842" s="396"/>
      <c r="M842" s="396"/>
      <c r="N842" s="396"/>
      <c r="O842" s="396"/>
      <c r="P842" s="396"/>
      <c r="Q842" s="328"/>
      <c r="R842" s="328"/>
      <c r="S842" s="328"/>
      <c r="T842" s="328"/>
      <c r="U842" s="328"/>
      <c r="V842" s="328"/>
    </row>
    <row r="843" customFormat="false" ht="15" hidden="false" customHeight="true" outlineLevel="1" collapsed="false">
      <c r="A843" s="429"/>
      <c r="B843" s="429"/>
      <c r="C843" s="429"/>
      <c r="D843" s="430"/>
      <c r="E843" s="431"/>
      <c r="F843" s="431"/>
      <c r="G843" s="429"/>
      <c r="H843" s="432"/>
      <c r="I843" s="432"/>
      <c r="J843" s="432"/>
      <c r="K843" s="328"/>
      <c r="L843" s="396"/>
      <c r="M843" s="396"/>
      <c r="N843" s="396"/>
      <c r="O843" s="396"/>
      <c r="P843" s="396"/>
      <c r="Q843" s="328"/>
      <c r="R843" s="328"/>
      <c r="S843" s="328"/>
      <c r="T843" s="328"/>
      <c r="U843" s="328"/>
      <c r="V843" s="328"/>
    </row>
    <row r="844" customFormat="false" ht="15" hidden="false" customHeight="true" outlineLevel="1" collapsed="false">
      <c r="A844" s="429"/>
      <c r="B844" s="429"/>
      <c r="C844" s="429"/>
      <c r="D844" s="430"/>
      <c r="E844" s="431"/>
      <c r="F844" s="431"/>
      <c r="G844" s="429"/>
      <c r="H844" s="432"/>
      <c r="I844" s="432"/>
      <c r="J844" s="432"/>
      <c r="K844" s="328"/>
      <c r="L844" s="396"/>
      <c r="M844" s="396"/>
      <c r="N844" s="396"/>
      <c r="O844" s="396"/>
      <c r="P844" s="396"/>
      <c r="Q844" s="328"/>
      <c r="R844" s="328"/>
      <c r="S844" s="328"/>
      <c r="T844" s="328"/>
      <c r="U844" s="328"/>
      <c r="V844" s="328"/>
    </row>
    <row r="845" customFormat="false" ht="15" hidden="false" customHeight="true" outlineLevel="1" collapsed="false">
      <c r="A845" s="429"/>
      <c r="B845" s="429"/>
      <c r="C845" s="429"/>
      <c r="D845" s="430"/>
      <c r="E845" s="431"/>
      <c r="F845" s="431"/>
      <c r="G845" s="429"/>
      <c r="H845" s="432"/>
      <c r="I845" s="432"/>
      <c r="J845" s="432"/>
      <c r="K845" s="328"/>
      <c r="L845" s="396"/>
      <c r="M845" s="396"/>
      <c r="N845" s="396"/>
      <c r="O845" s="396"/>
      <c r="P845" s="396"/>
      <c r="Q845" s="328"/>
      <c r="R845" s="328"/>
      <c r="S845" s="328"/>
      <c r="T845" s="328"/>
      <c r="U845" s="328"/>
      <c r="V845" s="328"/>
    </row>
    <row r="846" customFormat="false" ht="15" hidden="false" customHeight="true" outlineLevel="1" collapsed="false">
      <c r="A846" s="429"/>
      <c r="B846" s="429"/>
      <c r="C846" s="429"/>
      <c r="D846" s="430"/>
      <c r="E846" s="431"/>
      <c r="F846" s="431"/>
      <c r="G846" s="429"/>
      <c r="H846" s="432"/>
      <c r="I846" s="432"/>
      <c r="J846" s="432"/>
      <c r="K846" s="328"/>
      <c r="L846" s="396"/>
      <c r="M846" s="396"/>
      <c r="N846" s="396"/>
      <c r="O846" s="396"/>
      <c r="P846" s="396"/>
      <c r="Q846" s="328"/>
      <c r="R846" s="328"/>
      <c r="S846" s="328"/>
      <c r="T846" s="328"/>
      <c r="U846" s="328"/>
      <c r="V846" s="328"/>
    </row>
    <row r="847" customFormat="false" ht="15" hidden="false" customHeight="true" outlineLevel="1" collapsed="false">
      <c r="A847" s="429"/>
      <c r="B847" s="429"/>
      <c r="C847" s="429"/>
      <c r="D847" s="430"/>
      <c r="E847" s="431"/>
      <c r="F847" s="431"/>
      <c r="G847" s="429"/>
      <c r="H847" s="432"/>
      <c r="I847" s="432"/>
      <c r="J847" s="432"/>
      <c r="K847" s="328"/>
      <c r="L847" s="396"/>
      <c r="M847" s="396"/>
      <c r="N847" s="396"/>
      <c r="O847" s="396"/>
      <c r="P847" s="396"/>
      <c r="Q847" s="328"/>
      <c r="R847" s="328"/>
      <c r="S847" s="328"/>
      <c r="T847" s="328"/>
      <c r="U847" s="328"/>
      <c r="V847" s="328"/>
    </row>
    <row r="848" customFormat="false" ht="15" hidden="false" customHeight="true" outlineLevel="1" collapsed="false">
      <c r="A848" s="429"/>
      <c r="B848" s="429"/>
      <c r="C848" s="429"/>
      <c r="D848" s="430"/>
      <c r="E848" s="431"/>
      <c r="F848" s="431"/>
      <c r="G848" s="429"/>
      <c r="H848" s="432"/>
      <c r="I848" s="432"/>
      <c r="J848" s="432"/>
      <c r="K848" s="328"/>
      <c r="L848" s="396"/>
      <c r="M848" s="396"/>
      <c r="N848" s="396"/>
      <c r="O848" s="396"/>
      <c r="P848" s="396"/>
      <c r="Q848" s="328"/>
      <c r="R848" s="328"/>
      <c r="S848" s="328"/>
      <c r="T848" s="328"/>
      <c r="U848" s="328"/>
      <c r="V848" s="328"/>
    </row>
    <row r="849" customFormat="false" ht="15" hidden="false" customHeight="true" outlineLevel="1" collapsed="false">
      <c r="A849" s="429"/>
      <c r="B849" s="429"/>
      <c r="C849" s="429"/>
      <c r="D849" s="430"/>
      <c r="E849" s="431"/>
      <c r="F849" s="431"/>
      <c r="G849" s="429"/>
      <c r="H849" s="432"/>
      <c r="I849" s="432"/>
      <c r="J849" s="432"/>
      <c r="K849" s="328"/>
      <c r="L849" s="396"/>
      <c r="M849" s="396"/>
      <c r="N849" s="396"/>
      <c r="O849" s="396"/>
      <c r="P849" s="396"/>
      <c r="Q849" s="328"/>
      <c r="R849" s="328"/>
      <c r="S849" s="328"/>
      <c r="T849" s="328"/>
      <c r="U849" s="328"/>
      <c r="V849" s="328"/>
    </row>
    <row r="850" customFormat="false" ht="15" hidden="false" customHeight="true" outlineLevel="1" collapsed="false">
      <c r="A850" s="429"/>
      <c r="B850" s="429"/>
      <c r="C850" s="429"/>
      <c r="D850" s="430"/>
      <c r="E850" s="431"/>
      <c r="F850" s="431"/>
      <c r="G850" s="429"/>
      <c r="H850" s="432"/>
      <c r="I850" s="432"/>
      <c r="J850" s="432"/>
      <c r="K850" s="328"/>
      <c r="L850" s="396"/>
      <c r="M850" s="396"/>
      <c r="N850" s="396"/>
      <c r="O850" s="396"/>
      <c r="P850" s="396"/>
      <c r="Q850" s="328"/>
      <c r="R850" s="328"/>
      <c r="S850" s="328"/>
      <c r="T850" s="328"/>
      <c r="U850" s="328"/>
      <c r="V850" s="328"/>
    </row>
    <row r="851" customFormat="false" ht="15" hidden="false" customHeight="true" outlineLevel="1" collapsed="false">
      <c r="A851" s="429"/>
      <c r="B851" s="429"/>
      <c r="C851" s="429"/>
      <c r="D851" s="430"/>
      <c r="E851" s="431"/>
      <c r="F851" s="431"/>
      <c r="G851" s="429"/>
      <c r="H851" s="432"/>
      <c r="I851" s="432"/>
      <c r="J851" s="432"/>
      <c r="K851" s="328"/>
      <c r="L851" s="396"/>
      <c r="M851" s="396"/>
      <c r="N851" s="396"/>
      <c r="O851" s="396"/>
      <c r="P851" s="396"/>
      <c r="Q851" s="328"/>
      <c r="R851" s="328"/>
      <c r="S851" s="328"/>
      <c r="T851" s="328"/>
      <c r="U851" s="328"/>
      <c r="V851" s="328"/>
    </row>
    <row r="852" customFormat="false" ht="15" hidden="false" customHeight="true" outlineLevel="1" collapsed="false">
      <c r="A852" s="429"/>
      <c r="B852" s="429"/>
      <c r="C852" s="429"/>
      <c r="D852" s="430"/>
      <c r="E852" s="431"/>
      <c r="F852" s="431"/>
      <c r="G852" s="429"/>
      <c r="H852" s="432"/>
      <c r="I852" s="432"/>
      <c r="J852" s="432"/>
      <c r="K852" s="328"/>
      <c r="L852" s="396"/>
      <c r="M852" s="396"/>
      <c r="N852" s="396"/>
      <c r="O852" s="396"/>
      <c r="P852" s="396"/>
      <c r="Q852" s="328"/>
      <c r="R852" s="328"/>
      <c r="S852" s="328"/>
      <c r="T852" s="328"/>
      <c r="U852" s="328"/>
      <c r="V852" s="328"/>
    </row>
    <row r="853" customFormat="false" ht="15" hidden="false" customHeight="true" outlineLevel="1" collapsed="false">
      <c r="A853" s="429"/>
      <c r="B853" s="429"/>
      <c r="C853" s="429"/>
      <c r="D853" s="430"/>
      <c r="E853" s="431"/>
      <c r="F853" s="431"/>
      <c r="G853" s="429"/>
      <c r="H853" s="432"/>
      <c r="I853" s="432"/>
      <c r="J853" s="432"/>
      <c r="K853" s="328"/>
      <c r="L853" s="396"/>
      <c r="M853" s="396"/>
      <c r="N853" s="396"/>
      <c r="O853" s="396"/>
      <c r="P853" s="396"/>
      <c r="Q853" s="328"/>
      <c r="R853" s="328"/>
      <c r="S853" s="328"/>
      <c r="T853" s="328"/>
      <c r="U853" s="328"/>
      <c r="V853" s="328"/>
    </row>
    <row r="854" customFormat="false" ht="15" hidden="false" customHeight="true" outlineLevel="1" collapsed="false">
      <c r="A854" s="429"/>
      <c r="B854" s="429"/>
      <c r="C854" s="429"/>
      <c r="D854" s="430"/>
      <c r="E854" s="431"/>
      <c r="F854" s="431"/>
      <c r="G854" s="429"/>
      <c r="H854" s="432"/>
      <c r="I854" s="432"/>
      <c r="J854" s="432"/>
      <c r="K854" s="328"/>
      <c r="L854" s="396"/>
      <c r="M854" s="396"/>
      <c r="N854" s="396"/>
      <c r="O854" s="396"/>
      <c r="P854" s="396"/>
      <c r="Q854" s="328"/>
      <c r="R854" s="328"/>
      <c r="S854" s="328"/>
      <c r="T854" s="328"/>
      <c r="U854" s="328"/>
      <c r="V854" s="328"/>
    </row>
    <row r="855" customFormat="false" ht="15" hidden="false" customHeight="true" outlineLevel="1" collapsed="false">
      <c r="A855" s="429"/>
      <c r="B855" s="429"/>
      <c r="C855" s="429"/>
      <c r="D855" s="430"/>
      <c r="E855" s="431"/>
      <c r="F855" s="431"/>
      <c r="G855" s="429"/>
      <c r="H855" s="432"/>
      <c r="I855" s="432"/>
      <c r="J855" s="432"/>
      <c r="K855" s="328"/>
      <c r="L855" s="396"/>
      <c r="M855" s="396"/>
      <c r="N855" s="396"/>
      <c r="O855" s="396"/>
      <c r="P855" s="396"/>
      <c r="Q855" s="328"/>
      <c r="R855" s="328"/>
      <c r="S855" s="328"/>
      <c r="T855" s="328"/>
      <c r="U855" s="328"/>
      <c r="V855" s="328"/>
    </row>
    <row r="856" customFormat="false" ht="15" hidden="false" customHeight="true" outlineLevel="1" collapsed="false">
      <c r="A856" s="429"/>
      <c r="B856" s="429"/>
      <c r="C856" s="429"/>
      <c r="D856" s="430"/>
      <c r="E856" s="431"/>
      <c r="F856" s="431"/>
      <c r="G856" s="429"/>
      <c r="H856" s="432"/>
      <c r="I856" s="432"/>
      <c r="J856" s="432"/>
      <c r="K856" s="328"/>
      <c r="L856" s="396"/>
      <c r="M856" s="396"/>
      <c r="N856" s="396"/>
      <c r="O856" s="396"/>
      <c r="P856" s="396"/>
      <c r="Q856" s="328"/>
      <c r="R856" s="328"/>
      <c r="S856" s="328"/>
      <c r="T856" s="328"/>
      <c r="U856" s="328"/>
      <c r="V856" s="328"/>
    </row>
    <row r="857" customFormat="false" ht="15" hidden="false" customHeight="true" outlineLevel="1" collapsed="false">
      <c r="A857" s="429"/>
      <c r="B857" s="429"/>
      <c r="C857" s="429"/>
      <c r="D857" s="430"/>
      <c r="E857" s="431"/>
      <c r="F857" s="431"/>
      <c r="G857" s="429"/>
      <c r="H857" s="432"/>
      <c r="I857" s="432"/>
      <c r="J857" s="432"/>
      <c r="K857" s="328"/>
      <c r="L857" s="396"/>
      <c r="M857" s="396"/>
      <c r="N857" s="396"/>
      <c r="O857" s="396"/>
      <c r="P857" s="396"/>
      <c r="Q857" s="328"/>
      <c r="R857" s="328"/>
      <c r="S857" s="328"/>
      <c r="T857" s="328"/>
      <c r="U857" s="328"/>
      <c r="V857" s="328"/>
    </row>
    <row r="858" customFormat="false" ht="15" hidden="false" customHeight="true" outlineLevel="1" collapsed="false">
      <c r="A858" s="429"/>
      <c r="B858" s="429"/>
      <c r="C858" s="429"/>
      <c r="D858" s="430"/>
      <c r="E858" s="431"/>
      <c r="F858" s="431"/>
      <c r="G858" s="429"/>
      <c r="H858" s="432"/>
      <c r="I858" s="432"/>
      <c r="J858" s="432"/>
      <c r="K858" s="328"/>
      <c r="L858" s="396"/>
      <c r="M858" s="396"/>
      <c r="N858" s="396"/>
      <c r="O858" s="396"/>
      <c r="P858" s="396"/>
      <c r="Q858" s="328"/>
      <c r="R858" s="328"/>
      <c r="S858" s="328"/>
      <c r="T858" s="328"/>
      <c r="U858" s="328"/>
      <c r="V858" s="328"/>
    </row>
    <row r="859" customFormat="false" ht="15" hidden="false" customHeight="true" outlineLevel="1" collapsed="false">
      <c r="A859" s="429"/>
      <c r="B859" s="429"/>
      <c r="C859" s="429"/>
      <c r="D859" s="430"/>
      <c r="E859" s="431"/>
      <c r="F859" s="431"/>
      <c r="G859" s="429"/>
      <c r="H859" s="432"/>
      <c r="I859" s="432"/>
      <c r="J859" s="432"/>
      <c r="K859" s="328"/>
      <c r="L859" s="396"/>
      <c r="M859" s="396"/>
      <c r="N859" s="396"/>
      <c r="O859" s="396"/>
      <c r="P859" s="396"/>
      <c r="Q859" s="328"/>
      <c r="R859" s="328"/>
      <c r="S859" s="328"/>
      <c r="T859" s="328"/>
      <c r="U859" s="328"/>
      <c r="V859" s="328"/>
    </row>
    <row r="860" customFormat="false" ht="15" hidden="false" customHeight="true" outlineLevel="1" collapsed="false">
      <c r="A860" s="429"/>
      <c r="B860" s="429"/>
      <c r="C860" s="429"/>
      <c r="D860" s="430"/>
      <c r="E860" s="431"/>
      <c r="F860" s="431"/>
      <c r="G860" s="429"/>
      <c r="H860" s="432"/>
      <c r="I860" s="432"/>
      <c r="J860" s="432"/>
      <c r="K860" s="328"/>
      <c r="L860" s="396"/>
      <c r="M860" s="396"/>
      <c r="N860" s="396"/>
      <c r="O860" s="396"/>
      <c r="P860" s="396"/>
      <c r="Q860" s="328"/>
      <c r="R860" s="328"/>
      <c r="S860" s="328"/>
      <c r="T860" s="328"/>
      <c r="U860" s="328"/>
      <c r="V860" s="328"/>
    </row>
    <row r="861" customFormat="false" ht="15" hidden="false" customHeight="true" outlineLevel="1" collapsed="false">
      <c r="A861" s="429"/>
      <c r="B861" s="429"/>
      <c r="C861" s="429"/>
      <c r="D861" s="430"/>
      <c r="E861" s="431"/>
      <c r="F861" s="431"/>
      <c r="G861" s="429"/>
      <c r="H861" s="432"/>
      <c r="I861" s="432"/>
      <c r="J861" s="432"/>
      <c r="K861" s="328"/>
      <c r="L861" s="396"/>
      <c r="M861" s="396"/>
      <c r="N861" s="396"/>
      <c r="O861" s="396"/>
      <c r="P861" s="396"/>
      <c r="Q861" s="328"/>
      <c r="R861" s="328"/>
      <c r="S861" s="328"/>
      <c r="T861" s="328"/>
      <c r="U861" s="328"/>
      <c r="V861" s="328"/>
    </row>
    <row r="862" customFormat="false" ht="15" hidden="false" customHeight="true" outlineLevel="1" collapsed="false">
      <c r="A862" s="429"/>
      <c r="B862" s="429"/>
      <c r="C862" s="429"/>
      <c r="D862" s="430"/>
      <c r="E862" s="431"/>
      <c r="F862" s="431"/>
      <c r="G862" s="429"/>
      <c r="H862" s="432"/>
      <c r="I862" s="432"/>
      <c r="J862" s="432"/>
      <c r="K862" s="328"/>
      <c r="L862" s="396"/>
      <c r="M862" s="396"/>
      <c r="N862" s="396"/>
      <c r="O862" s="396"/>
      <c r="P862" s="396"/>
      <c r="Q862" s="328"/>
      <c r="R862" s="328"/>
      <c r="S862" s="328"/>
      <c r="T862" s="328"/>
      <c r="U862" s="328"/>
      <c r="V862" s="328"/>
    </row>
    <row r="863" customFormat="false" ht="15" hidden="false" customHeight="true" outlineLevel="1" collapsed="false">
      <c r="A863" s="429"/>
      <c r="B863" s="429"/>
      <c r="C863" s="429"/>
      <c r="D863" s="430"/>
      <c r="E863" s="431"/>
      <c r="F863" s="431"/>
      <c r="G863" s="429"/>
      <c r="H863" s="432"/>
      <c r="I863" s="432"/>
      <c r="J863" s="432"/>
      <c r="K863" s="328"/>
      <c r="L863" s="396"/>
      <c r="M863" s="396"/>
      <c r="N863" s="396"/>
      <c r="O863" s="396"/>
      <c r="P863" s="396"/>
      <c r="Q863" s="328"/>
      <c r="R863" s="328"/>
      <c r="S863" s="328"/>
      <c r="T863" s="328"/>
      <c r="U863" s="328"/>
      <c r="V863" s="328"/>
    </row>
    <row r="864" customFormat="false" ht="15" hidden="false" customHeight="true" outlineLevel="1" collapsed="false">
      <c r="A864" s="429"/>
      <c r="B864" s="429"/>
      <c r="C864" s="429"/>
      <c r="D864" s="430"/>
      <c r="E864" s="431"/>
      <c r="F864" s="431"/>
      <c r="G864" s="429"/>
      <c r="H864" s="432"/>
      <c r="I864" s="432"/>
      <c r="J864" s="432"/>
      <c r="K864" s="328"/>
      <c r="L864" s="396"/>
      <c r="M864" s="396"/>
      <c r="N864" s="396"/>
      <c r="O864" s="396"/>
      <c r="P864" s="396"/>
      <c r="Q864" s="328"/>
      <c r="R864" s="328"/>
      <c r="S864" s="328"/>
      <c r="T864" s="328"/>
      <c r="U864" s="328"/>
      <c r="V864" s="328"/>
    </row>
    <row r="865" customFormat="false" ht="15" hidden="false" customHeight="true" outlineLevel="1" collapsed="false">
      <c r="A865" s="429"/>
      <c r="B865" s="429"/>
      <c r="C865" s="429"/>
      <c r="D865" s="430"/>
      <c r="E865" s="431"/>
      <c r="F865" s="431"/>
      <c r="G865" s="429"/>
      <c r="H865" s="432"/>
      <c r="I865" s="432"/>
      <c r="J865" s="432"/>
      <c r="K865" s="328"/>
      <c r="L865" s="396"/>
      <c r="M865" s="396"/>
      <c r="N865" s="396"/>
      <c r="O865" s="396"/>
      <c r="P865" s="396"/>
      <c r="Q865" s="328"/>
      <c r="R865" s="328"/>
      <c r="S865" s="328"/>
      <c r="T865" s="328"/>
      <c r="U865" s="328"/>
      <c r="V865" s="328"/>
    </row>
    <row r="866" customFormat="false" ht="15" hidden="false" customHeight="true" outlineLevel="1" collapsed="false">
      <c r="A866" s="429"/>
      <c r="B866" s="429"/>
      <c r="C866" s="429"/>
      <c r="D866" s="430"/>
      <c r="E866" s="431"/>
      <c r="F866" s="431"/>
      <c r="G866" s="429"/>
      <c r="H866" s="432"/>
      <c r="I866" s="432"/>
      <c r="J866" s="432"/>
      <c r="K866" s="328"/>
      <c r="L866" s="396"/>
      <c r="M866" s="396"/>
      <c r="N866" s="396"/>
      <c r="O866" s="396"/>
      <c r="P866" s="396"/>
      <c r="Q866" s="328"/>
      <c r="R866" s="328"/>
      <c r="S866" s="328"/>
      <c r="T866" s="328"/>
      <c r="U866" s="328"/>
      <c r="V866" s="328"/>
    </row>
    <row r="867" customFormat="false" ht="15" hidden="false" customHeight="true" outlineLevel="1" collapsed="false">
      <c r="A867" s="429"/>
      <c r="B867" s="429"/>
      <c r="C867" s="429"/>
      <c r="D867" s="430"/>
      <c r="E867" s="431"/>
      <c r="F867" s="431"/>
      <c r="G867" s="429"/>
      <c r="H867" s="432"/>
      <c r="I867" s="432"/>
      <c r="J867" s="432"/>
      <c r="K867" s="328"/>
      <c r="L867" s="396"/>
      <c r="M867" s="396"/>
      <c r="N867" s="396"/>
      <c r="O867" s="396"/>
      <c r="P867" s="396"/>
      <c r="Q867" s="328"/>
      <c r="R867" s="328"/>
      <c r="S867" s="328"/>
      <c r="T867" s="328"/>
      <c r="U867" s="328"/>
      <c r="V867" s="328"/>
    </row>
    <row r="868" customFormat="false" ht="15" hidden="false" customHeight="true" outlineLevel="1" collapsed="false">
      <c r="A868" s="429"/>
      <c r="B868" s="429"/>
      <c r="C868" s="429"/>
      <c r="D868" s="430"/>
      <c r="E868" s="431"/>
      <c r="F868" s="431"/>
      <c r="G868" s="429"/>
      <c r="H868" s="432"/>
      <c r="I868" s="432"/>
      <c r="J868" s="432"/>
      <c r="K868" s="328"/>
      <c r="L868" s="396"/>
      <c r="M868" s="396"/>
      <c r="N868" s="396"/>
      <c r="O868" s="396"/>
      <c r="P868" s="396"/>
      <c r="Q868" s="328"/>
      <c r="R868" s="328"/>
      <c r="S868" s="328"/>
      <c r="T868" s="328"/>
      <c r="U868" s="328"/>
      <c r="V868" s="328"/>
    </row>
    <row r="869" customFormat="false" ht="15" hidden="false" customHeight="true" outlineLevel="1" collapsed="false">
      <c r="A869" s="429"/>
      <c r="B869" s="429"/>
      <c r="C869" s="429"/>
      <c r="D869" s="430"/>
      <c r="E869" s="431"/>
      <c r="F869" s="431"/>
      <c r="G869" s="429"/>
      <c r="H869" s="432"/>
      <c r="I869" s="432"/>
      <c r="J869" s="432"/>
      <c r="K869" s="328"/>
      <c r="L869" s="396"/>
      <c r="M869" s="396"/>
      <c r="N869" s="396"/>
      <c r="O869" s="396"/>
      <c r="P869" s="396"/>
      <c r="Q869" s="328"/>
      <c r="R869" s="328"/>
      <c r="S869" s="328"/>
      <c r="T869" s="328"/>
      <c r="U869" s="328"/>
      <c r="V869" s="328"/>
    </row>
    <row r="870" customFormat="false" ht="15" hidden="false" customHeight="true" outlineLevel="1" collapsed="false">
      <c r="A870" s="429"/>
      <c r="B870" s="429"/>
      <c r="C870" s="429"/>
      <c r="D870" s="430"/>
      <c r="E870" s="431"/>
      <c r="F870" s="431"/>
      <c r="G870" s="429"/>
      <c r="H870" s="432"/>
      <c r="I870" s="432"/>
      <c r="J870" s="432"/>
      <c r="K870" s="328"/>
      <c r="L870" s="396"/>
      <c r="M870" s="396"/>
      <c r="N870" s="396"/>
      <c r="O870" s="396"/>
      <c r="P870" s="396"/>
      <c r="Q870" s="328"/>
      <c r="R870" s="328"/>
      <c r="S870" s="328"/>
      <c r="T870" s="328"/>
      <c r="U870" s="328"/>
      <c r="V870" s="328"/>
    </row>
    <row r="871" customFormat="false" ht="15" hidden="false" customHeight="true" outlineLevel="1" collapsed="false">
      <c r="A871" s="429"/>
      <c r="B871" s="429"/>
      <c r="C871" s="429"/>
      <c r="D871" s="430"/>
      <c r="E871" s="431"/>
      <c r="F871" s="431"/>
      <c r="G871" s="429"/>
      <c r="H871" s="432"/>
      <c r="I871" s="432"/>
      <c r="J871" s="432"/>
      <c r="K871" s="328"/>
      <c r="L871" s="396"/>
      <c r="M871" s="396"/>
      <c r="N871" s="396"/>
      <c r="O871" s="396"/>
      <c r="P871" s="396"/>
      <c r="Q871" s="328"/>
      <c r="R871" s="328"/>
      <c r="S871" s="328"/>
      <c r="T871" s="328"/>
      <c r="U871" s="328"/>
      <c r="V871" s="328"/>
    </row>
    <row r="872" customFormat="false" ht="15" hidden="false" customHeight="true" outlineLevel="1" collapsed="false">
      <c r="A872" s="429"/>
      <c r="B872" s="429"/>
      <c r="C872" s="429"/>
      <c r="D872" s="430"/>
      <c r="E872" s="431"/>
      <c r="F872" s="431"/>
      <c r="G872" s="429"/>
      <c r="H872" s="432"/>
      <c r="I872" s="432"/>
      <c r="J872" s="432"/>
      <c r="K872" s="328"/>
      <c r="L872" s="396"/>
      <c r="M872" s="396"/>
      <c r="N872" s="396"/>
      <c r="O872" s="396"/>
      <c r="P872" s="396"/>
      <c r="Q872" s="328"/>
      <c r="R872" s="328"/>
      <c r="S872" s="328"/>
      <c r="T872" s="328"/>
      <c r="U872" s="328"/>
      <c r="V872" s="328"/>
    </row>
    <row r="873" customFormat="false" ht="15" hidden="false" customHeight="true" outlineLevel="1" collapsed="false">
      <c r="A873" s="429"/>
      <c r="B873" s="429"/>
      <c r="C873" s="429"/>
      <c r="D873" s="430"/>
      <c r="E873" s="431"/>
      <c r="F873" s="431"/>
      <c r="G873" s="429"/>
      <c r="H873" s="432"/>
      <c r="I873" s="432"/>
      <c r="J873" s="432"/>
      <c r="K873" s="328"/>
      <c r="L873" s="396"/>
      <c r="M873" s="396"/>
      <c r="N873" s="396"/>
      <c r="O873" s="396"/>
      <c r="P873" s="396"/>
      <c r="Q873" s="328"/>
      <c r="R873" s="328"/>
      <c r="S873" s="328"/>
      <c r="T873" s="328"/>
      <c r="U873" s="328"/>
      <c r="V873" s="328"/>
    </row>
    <row r="874" customFormat="false" ht="15" hidden="false" customHeight="true" outlineLevel="1" collapsed="false">
      <c r="A874" s="429"/>
      <c r="B874" s="429"/>
      <c r="C874" s="429"/>
      <c r="D874" s="430"/>
      <c r="E874" s="431"/>
      <c r="F874" s="431"/>
      <c r="G874" s="429"/>
      <c r="H874" s="432"/>
      <c r="I874" s="432"/>
      <c r="J874" s="432"/>
      <c r="K874" s="328"/>
      <c r="L874" s="396"/>
      <c r="M874" s="396"/>
      <c r="N874" s="396"/>
      <c r="O874" s="396"/>
      <c r="P874" s="396"/>
      <c r="Q874" s="328"/>
      <c r="R874" s="328"/>
      <c r="S874" s="328"/>
      <c r="T874" s="328"/>
      <c r="U874" s="328"/>
      <c r="V874" s="328"/>
    </row>
    <row r="875" customFormat="false" ht="15" hidden="false" customHeight="true" outlineLevel="1" collapsed="false">
      <c r="A875" s="429"/>
      <c r="B875" s="429"/>
      <c r="C875" s="429"/>
      <c r="D875" s="430"/>
      <c r="E875" s="431"/>
      <c r="F875" s="431"/>
      <c r="G875" s="429"/>
      <c r="H875" s="432"/>
      <c r="I875" s="432"/>
      <c r="J875" s="432"/>
      <c r="K875" s="328"/>
      <c r="L875" s="396"/>
      <c r="M875" s="396"/>
      <c r="N875" s="396"/>
      <c r="O875" s="396"/>
      <c r="P875" s="396"/>
      <c r="Q875" s="328"/>
      <c r="R875" s="328"/>
      <c r="S875" s="328"/>
      <c r="T875" s="328"/>
      <c r="U875" s="328"/>
      <c r="V875" s="328"/>
    </row>
    <row r="876" customFormat="false" ht="15" hidden="false" customHeight="true" outlineLevel="1" collapsed="false">
      <c r="A876" s="429"/>
      <c r="B876" s="429"/>
      <c r="C876" s="429"/>
      <c r="D876" s="430"/>
      <c r="E876" s="431"/>
      <c r="F876" s="431"/>
      <c r="G876" s="429"/>
      <c r="H876" s="432"/>
      <c r="I876" s="432"/>
      <c r="J876" s="432"/>
      <c r="K876" s="328"/>
      <c r="L876" s="396"/>
      <c r="M876" s="396"/>
      <c r="N876" s="396"/>
      <c r="O876" s="396"/>
      <c r="P876" s="396"/>
      <c r="Q876" s="328"/>
      <c r="R876" s="328"/>
      <c r="S876" s="328"/>
      <c r="T876" s="328"/>
      <c r="U876" s="328"/>
      <c r="V876" s="328"/>
    </row>
    <row r="877" customFormat="false" ht="15" hidden="false" customHeight="true" outlineLevel="1" collapsed="false">
      <c r="A877" s="429"/>
      <c r="B877" s="429"/>
      <c r="C877" s="429"/>
      <c r="D877" s="430"/>
      <c r="E877" s="431"/>
      <c r="F877" s="431"/>
      <c r="G877" s="429"/>
      <c r="H877" s="432"/>
      <c r="I877" s="432"/>
      <c r="J877" s="432"/>
      <c r="K877" s="328"/>
      <c r="L877" s="396"/>
      <c r="M877" s="396"/>
      <c r="N877" s="396"/>
      <c r="O877" s="396"/>
      <c r="P877" s="396"/>
      <c r="Q877" s="328"/>
      <c r="R877" s="328"/>
      <c r="S877" s="328"/>
      <c r="T877" s="328"/>
      <c r="U877" s="328"/>
      <c r="V877" s="328"/>
    </row>
    <row r="878" customFormat="false" ht="15" hidden="false" customHeight="true" outlineLevel="1" collapsed="false">
      <c r="A878" s="429"/>
      <c r="B878" s="429"/>
      <c r="C878" s="429"/>
      <c r="D878" s="430"/>
      <c r="E878" s="431"/>
      <c r="F878" s="431"/>
      <c r="G878" s="429"/>
      <c r="H878" s="432"/>
      <c r="I878" s="432"/>
      <c r="J878" s="432"/>
      <c r="K878" s="328"/>
      <c r="L878" s="396"/>
      <c r="M878" s="396"/>
      <c r="N878" s="396"/>
      <c r="O878" s="396"/>
      <c r="P878" s="396"/>
      <c r="Q878" s="328"/>
      <c r="R878" s="328"/>
      <c r="S878" s="328"/>
      <c r="T878" s="328"/>
      <c r="U878" s="328"/>
      <c r="V878" s="328"/>
    </row>
    <row r="879" customFormat="false" ht="15" hidden="false" customHeight="true" outlineLevel="1" collapsed="false">
      <c r="A879" s="429"/>
      <c r="B879" s="429"/>
      <c r="C879" s="429"/>
      <c r="D879" s="430"/>
      <c r="E879" s="431"/>
      <c r="F879" s="431"/>
      <c r="G879" s="429"/>
      <c r="H879" s="432"/>
      <c r="I879" s="432"/>
      <c r="J879" s="432"/>
      <c r="K879" s="328"/>
      <c r="L879" s="396"/>
      <c r="M879" s="396"/>
      <c r="N879" s="396"/>
      <c r="O879" s="396"/>
      <c r="P879" s="396"/>
      <c r="Q879" s="328"/>
      <c r="R879" s="328"/>
      <c r="S879" s="328"/>
      <c r="T879" s="328"/>
      <c r="U879" s="328"/>
      <c r="V879" s="328"/>
    </row>
    <row r="880" customFormat="false" ht="15" hidden="false" customHeight="true" outlineLevel="1" collapsed="false">
      <c r="A880" s="429"/>
      <c r="B880" s="429"/>
      <c r="C880" s="429"/>
      <c r="D880" s="430"/>
      <c r="E880" s="431"/>
      <c r="F880" s="431"/>
      <c r="G880" s="429"/>
      <c r="H880" s="432"/>
      <c r="I880" s="432"/>
      <c r="J880" s="432"/>
      <c r="K880" s="328"/>
      <c r="L880" s="396"/>
      <c r="M880" s="396"/>
      <c r="N880" s="396"/>
      <c r="O880" s="396"/>
      <c r="P880" s="396"/>
      <c r="Q880" s="328"/>
      <c r="R880" s="328"/>
      <c r="S880" s="328"/>
      <c r="T880" s="328"/>
      <c r="U880" s="328"/>
      <c r="V880" s="328"/>
    </row>
    <row r="881" customFormat="false" ht="15" hidden="false" customHeight="true" outlineLevel="1" collapsed="false">
      <c r="A881" s="429"/>
      <c r="B881" s="429"/>
      <c r="C881" s="429"/>
      <c r="D881" s="430"/>
      <c r="E881" s="431"/>
      <c r="F881" s="431"/>
      <c r="G881" s="429"/>
      <c r="H881" s="432"/>
      <c r="I881" s="432"/>
      <c r="J881" s="432"/>
      <c r="K881" s="328"/>
      <c r="L881" s="396"/>
      <c r="M881" s="396"/>
      <c r="N881" s="396"/>
      <c r="O881" s="396"/>
      <c r="P881" s="396"/>
      <c r="Q881" s="328"/>
      <c r="R881" s="328"/>
      <c r="S881" s="328"/>
      <c r="T881" s="328"/>
      <c r="U881" s="328"/>
      <c r="V881" s="328"/>
    </row>
    <row r="882" customFormat="false" ht="15" hidden="false" customHeight="true" outlineLevel="1" collapsed="false">
      <c r="A882" s="429"/>
      <c r="B882" s="429"/>
      <c r="C882" s="429"/>
      <c r="D882" s="430"/>
      <c r="E882" s="431"/>
      <c r="F882" s="431"/>
      <c r="G882" s="429"/>
      <c r="H882" s="432"/>
      <c r="I882" s="432"/>
      <c r="J882" s="432"/>
      <c r="K882" s="328"/>
      <c r="L882" s="396"/>
      <c r="M882" s="396"/>
      <c r="N882" s="396"/>
      <c r="O882" s="396"/>
      <c r="P882" s="396"/>
      <c r="Q882" s="328"/>
      <c r="R882" s="328"/>
      <c r="S882" s="328"/>
      <c r="T882" s="328"/>
      <c r="U882" s="328"/>
      <c r="V882" s="328"/>
    </row>
    <row r="883" customFormat="false" ht="15" hidden="false" customHeight="true" outlineLevel="1" collapsed="false">
      <c r="A883" s="429"/>
      <c r="B883" s="429"/>
      <c r="C883" s="429"/>
      <c r="D883" s="430"/>
      <c r="E883" s="431"/>
      <c r="F883" s="431"/>
      <c r="G883" s="429"/>
      <c r="H883" s="432"/>
      <c r="I883" s="432"/>
      <c r="J883" s="432"/>
      <c r="K883" s="328"/>
      <c r="L883" s="396"/>
      <c r="M883" s="396"/>
      <c r="N883" s="396"/>
      <c r="O883" s="396"/>
      <c r="P883" s="396"/>
      <c r="Q883" s="328"/>
      <c r="R883" s="328"/>
      <c r="S883" s="328"/>
      <c r="T883" s="328"/>
      <c r="U883" s="328"/>
      <c r="V883" s="328"/>
    </row>
    <row r="884" customFormat="false" ht="15" hidden="false" customHeight="true" outlineLevel="1" collapsed="false">
      <c r="A884" s="429"/>
      <c r="B884" s="429"/>
      <c r="C884" s="429"/>
      <c r="D884" s="430"/>
      <c r="E884" s="431"/>
      <c r="F884" s="431"/>
      <c r="G884" s="429"/>
      <c r="H884" s="432"/>
      <c r="I884" s="432"/>
      <c r="J884" s="432"/>
      <c r="K884" s="328"/>
      <c r="L884" s="396"/>
      <c r="M884" s="396"/>
      <c r="N884" s="396"/>
      <c r="O884" s="396"/>
      <c r="P884" s="396"/>
      <c r="Q884" s="328"/>
      <c r="R884" s="328"/>
      <c r="S884" s="328"/>
      <c r="T884" s="328"/>
      <c r="U884" s="328"/>
      <c r="V884" s="328"/>
    </row>
    <row r="885" customFormat="false" ht="15" hidden="false" customHeight="true" outlineLevel="1" collapsed="false">
      <c r="A885" s="429"/>
      <c r="B885" s="429"/>
      <c r="C885" s="429"/>
      <c r="D885" s="430"/>
      <c r="E885" s="431"/>
      <c r="F885" s="431"/>
      <c r="G885" s="429"/>
      <c r="H885" s="432"/>
      <c r="I885" s="432"/>
      <c r="J885" s="432"/>
      <c r="K885" s="328"/>
      <c r="L885" s="396"/>
      <c r="M885" s="396"/>
      <c r="N885" s="396"/>
      <c r="O885" s="396"/>
      <c r="P885" s="396"/>
      <c r="Q885" s="328"/>
      <c r="R885" s="328"/>
      <c r="S885" s="328"/>
      <c r="T885" s="328"/>
      <c r="U885" s="328"/>
      <c r="V885" s="328"/>
    </row>
    <row r="886" customFormat="false" ht="15" hidden="false" customHeight="true" outlineLevel="1" collapsed="false">
      <c r="A886" s="429"/>
      <c r="B886" s="429"/>
      <c r="C886" s="429"/>
      <c r="D886" s="430"/>
      <c r="E886" s="431"/>
      <c r="F886" s="431"/>
      <c r="G886" s="429"/>
      <c r="H886" s="432"/>
      <c r="I886" s="432"/>
      <c r="J886" s="432"/>
      <c r="K886" s="328"/>
      <c r="L886" s="396"/>
      <c r="M886" s="396"/>
      <c r="N886" s="396"/>
      <c r="O886" s="396"/>
      <c r="P886" s="396"/>
      <c r="Q886" s="328"/>
      <c r="R886" s="328"/>
      <c r="S886" s="328"/>
      <c r="T886" s="328"/>
      <c r="U886" s="328"/>
      <c r="V886" s="328"/>
    </row>
    <row r="887" customFormat="false" ht="15" hidden="false" customHeight="true" outlineLevel="1" collapsed="false">
      <c r="A887" s="429"/>
      <c r="B887" s="429"/>
      <c r="C887" s="429"/>
      <c r="D887" s="430"/>
      <c r="E887" s="431"/>
      <c r="F887" s="431"/>
      <c r="G887" s="429"/>
      <c r="H887" s="432"/>
      <c r="I887" s="432"/>
      <c r="J887" s="432"/>
      <c r="K887" s="328"/>
      <c r="L887" s="396"/>
      <c r="M887" s="396"/>
      <c r="N887" s="396"/>
      <c r="O887" s="396"/>
      <c r="P887" s="396"/>
      <c r="Q887" s="328"/>
      <c r="R887" s="328"/>
      <c r="S887" s="328"/>
      <c r="T887" s="328"/>
      <c r="U887" s="328"/>
      <c r="V887" s="328"/>
    </row>
    <row r="888" customFormat="false" ht="15" hidden="false" customHeight="true" outlineLevel="1" collapsed="false">
      <c r="A888" s="429"/>
      <c r="B888" s="429"/>
      <c r="C888" s="429"/>
      <c r="D888" s="430"/>
      <c r="E888" s="431"/>
      <c r="F888" s="431"/>
      <c r="G888" s="429"/>
      <c r="H888" s="432"/>
      <c r="I888" s="432"/>
      <c r="J888" s="432"/>
      <c r="K888" s="328"/>
      <c r="L888" s="396"/>
      <c r="M888" s="396"/>
      <c r="N888" s="396"/>
      <c r="O888" s="396"/>
      <c r="P888" s="396"/>
      <c r="Q888" s="328"/>
      <c r="R888" s="328"/>
      <c r="S888" s="328"/>
      <c r="T888" s="328"/>
      <c r="U888" s="328"/>
      <c r="V888" s="328"/>
    </row>
    <row r="889" customFormat="false" ht="15" hidden="false" customHeight="true" outlineLevel="1" collapsed="false">
      <c r="A889" s="429"/>
      <c r="B889" s="429"/>
      <c r="C889" s="429"/>
      <c r="D889" s="430"/>
      <c r="E889" s="431"/>
      <c r="F889" s="431"/>
      <c r="G889" s="429"/>
      <c r="H889" s="432"/>
      <c r="I889" s="432"/>
      <c r="J889" s="432"/>
      <c r="K889" s="328"/>
      <c r="L889" s="396"/>
      <c r="M889" s="396"/>
      <c r="N889" s="396"/>
      <c r="O889" s="396"/>
      <c r="P889" s="396"/>
      <c r="Q889" s="328"/>
      <c r="R889" s="328"/>
      <c r="S889" s="328"/>
      <c r="T889" s="328"/>
      <c r="U889" s="328"/>
      <c r="V889" s="328"/>
    </row>
    <row r="890" customFormat="false" ht="15" hidden="false" customHeight="true" outlineLevel="1" collapsed="false">
      <c r="A890" s="429"/>
      <c r="B890" s="429"/>
      <c r="C890" s="429"/>
      <c r="D890" s="430"/>
      <c r="E890" s="431"/>
      <c r="F890" s="431"/>
      <c r="G890" s="429"/>
      <c r="H890" s="432"/>
      <c r="I890" s="432"/>
      <c r="J890" s="432"/>
      <c r="K890" s="328"/>
      <c r="L890" s="396"/>
      <c r="M890" s="396"/>
      <c r="N890" s="396"/>
      <c r="O890" s="396"/>
      <c r="P890" s="396"/>
      <c r="Q890" s="328"/>
      <c r="R890" s="328"/>
      <c r="S890" s="328"/>
      <c r="T890" s="328"/>
      <c r="U890" s="328"/>
      <c r="V890" s="328"/>
    </row>
    <row r="891" customFormat="false" ht="15" hidden="false" customHeight="true" outlineLevel="1" collapsed="false">
      <c r="A891" s="429"/>
      <c r="B891" s="429"/>
      <c r="C891" s="429"/>
      <c r="D891" s="430"/>
      <c r="E891" s="431"/>
      <c r="F891" s="431"/>
      <c r="G891" s="429"/>
      <c r="H891" s="432"/>
      <c r="I891" s="432"/>
      <c r="J891" s="432"/>
      <c r="K891" s="328"/>
      <c r="L891" s="396"/>
      <c r="M891" s="396"/>
      <c r="N891" s="396"/>
      <c r="O891" s="396"/>
      <c r="P891" s="396"/>
      <c r="Q891" s="328"/>
      <c r="R891" s="328"/>
      <c r="S891" s="328"/>
      <c r="T891" s="328"/>
      <c r="U891" s="328"/>
      <c r="V891" s="328"/>
    </row>
    <row r="892" customFormat="false" ht="15" hidden="false" customHeight="true" outlineLevel="1" collapsed="false">
      <c r="A892" s="429"/>
      <c r="B892" s="429"/>
      <c r="C892" s="429"/>
      <c r="D892" s="430"/>
      <c r="E892" s="431"/>
      <c r="F892" s="431"/>
      <c r="G892" s="429"/>
      <c r="H892" s="432"/>
      <c r="I892" s="432"/>
      <c r="J892" s="432"/>
      <c r="K892" s="328"/>
      <c r="L892" s="396"/>
      <c r="M892" s="396"/>
      <c r="N892" s="396"/>
      <c r="O892" s="396"/>
      <c r="P892" s="396"/>
      <c r="Q892" s="328"/>
      <c r="R892" s="328"/>
      <c r="S892" s="328"/>
      <c r="T892" s="328"/>
      <c r="U892" s="328"/>
      <c r="V892" s="328"/>
    </row>
    <row r="893" customFormat="false" ht="15" hidden="false" customHeight="true" outlineLevel="1" collapsed="false">
      <c r="A893" s="429"/>
      <c r="B893" s="429"/>
      <c r="C893" s="429"/>
      <c r="D893" s="430"/>
      <c r="E893" s="431"/>
      <c r="F893" s="431"/>
      <c r="G893" s="429"/>
      <c r="H893" s="432"/>
      <c r="I893" s="432"/>
      <c r="J893" s="432"/>
      <c r="K893" s="328"/>
      <c r="L893" s="396"/>
      <c r="M893" s="396"/>
      <c r="N893" s="396"/>
      <c r="O893" s="396"/>
      <c r="P893" s="396"/>
      <c r="Q893" s="328"/>
      <c r="R893" s="328"/>
      <c r="S893" s="328"/>
      <c r="T893" s="328"/>
      <c r="U893" s="328"/>
      <c r="V893" s="328"/>
    </row>
    <row r="894" customFormat="false" ht="15" hidden="false" customHeight="true" outlineLevel="1" collapsed="false">
      <c r="A894" s="429"/>
      <c r="B894" s="429"/>
      <c r="C894" s="429"/>
      <c r="D894" s="430"/>
      <c r="E894" s="431"/>
      <c r="F894" s="431"/>
      <c r="G894" s="429"/>
      <c r="H894" s="432"/>
      <c r="I894" s="432"/>
      <c r="J894" s="432"/>
      <c r="K894" s="328"/>
      <c r="L894" s="396"/>
      <c r="M894" s="396"/>
      <c r="N894" s="396"/>
      <c r="O894" s="396"/>
      <c r="P894" s="396"/>
      <c r="Q894" s="328"/>
      <c r="R894" s="328"/>
      <c r="S894" s="328"/>
      <c r="T894" s="328"/>
      <c r="U894" s="328"/>
      <c r="V894" s="328"/>
    </row>
    <row r="895" customFormat="false" ht="15" hidden="false" customHeight="true" outlineLevel="1" collapsed="false">
      <c r="A895" s="429"/>
      <c r="B895" s="429"/>
      <c r="C895" s="429"/>
      <c r="D895" s="430"/>
      <c r="E895" s="431"/>
      <c r="F895" s="431"/>
      <c r="G895" s="429"/>
      <c r="H895" s="432"/>
      <c r="I895" s="432"/>
      <c r="J895" s="432"/>
      <c r="K895" s="328"/>
      <c r="L895" s="396"/>
      <c r="M895" s="396"/>
      <c r="N895" s="396"/>
      <c r="O895" s="396"/>
      <c r="P895" s="396"/>
      <c r="Q895" s="328"/>
      <c r="R895" s="328"/>
      <c r="S895" s="328"/>
      <c r="T895" s="328"/>
      <c r="U895" s="328"/>
      <c r="V895" s="328"/>
    </row>
    <row r="896" customFormat="false" ht="15" hidden="false" customHeight="true" outlineLevel="1" collapsed="false">
      <c r="A896" s="429"/>
      <c r="B896" s="429"/>
      <c r="C896" s="429"/>
      <c r="D896" s="430"/>
      <c r="E896" s="431"/>
      <c r="F896" s="431"/>
      <c r="G896" s="429"/>
      <c r="H896" s="432"/>
      <c r="I896" s="432"/>
      <c r="J896" s="432"/>
      <c r="K896" s="328"/>
      <c r="L896" s="396"/>
      <c r="M896" s="396"/>
      <c r="N896" s="396"/>
      <c r="O896" s="396"/>
      <c r="P896" s="396"/>
      <c r="Q896" s="328"/>
      <c r="R896" s="328"/>
      <c r="S896" s="328"/>
      <c r="T896" s="328"/>
      <c r="U896" s="328"/>
      <c r="V896" s="328"/>
    </row>
    <row r="897" customFormat="false" ht="15" hidden="false" customHeight="true" outlineLevel="1" collapsed="false">
      <c r="A897" s="429"/>
      <c r="B897" s="429"/>
      <c r="C897" s="429"/>
      <c r="D897" s="430"/>
      <c r="E897" s="431"/>
      <c r="F897" s="431"/>
      <c r="G897" s="429"/>
      <c r="H897" s="432"/>
      <c r="I897" s="432"/>
      <c r="J897" s="432"/>
      <c r="K897" s="328"/>
      <c r="L897" s="396"/>
      <c r="M897" s="396"/>
      <c r="N897" s="396"/>
      <c r="O897" s="396"/>
      <c r="P897" s="396"/>
      <c r="Q897" s="328"/>
      <c r="R897" s="328"/>
      <c r="S897" s="328"/>
      <c r="T897" s="328"/>
      <c r="U897" s="328"/>
      <c r="V897" s="328"/>
    </row>
    <row r="898" customFormat="false" ht="15" hidden="false" customHeight="true" outlineLevel="1" collapsed="false">
      <c r="A898" s="429"/>
      <c r="B898" s="429"/>
      <c r="C898" s="429"/>
      <c r="D898" s="430"/>
      <c r="E898" s="431"/>
      <c r="F898" s="431"/>
      <c r="G898" s="429"/>
      <c r="H898" s="432"/>
      <c r="I898" s="432"/>
      <c r="J898" s="432"/>
      <c r="K898" s="328"/>
      <c r="L898" s="396"/>
      <c r="M898" s="396"/>
      <c r="N898" s="396"/>
      <c r="O898" s="396"/>
      <c r="P898" s="396"/>
      <c r="Q898" s="328"/>
      <c r="R898" s="328"/>
      <c r="S898" s="328"/>
      <c r="T898" s="328"/>
      <c r="U898" s="328"/>
      <c r="V898" s="328"/>
    </row>
    <row r="899" customFormat="false" ht="15" hidden="false" customHeight="true" outlineLevel="1" collapsed="false">
      <c r="A899" s="429"/>
      <c r="B899" s="429"/>
      <c r="C899" s="429"/>
      <c r="D899" s="430"/>
      <c r="E899" s="431"/>
      <c r="F899" s="431"/>
      <c r="G899" s="429"/>
      <c r="H899" s="432"/>
      <c r="I899" s="432"/>
      <c r="J899" s="432"/>
      <c r="K899" s="328"/>
      <c r="L899" s="396"/>
      <c r="M899" s="396"/>
      <c r="N899" s="396"/>
      <c r="O899" s="396"/>
      <c r="P899" s="396"/>
      <c r="Q899" s="328"/>
      <c r="R899" s="328"/>
      <c r="S899" s="328"/>
      <c r="T899" s="328"/>
      <c r="U899" s="328"/>
      <c r="V899" s="328"/>
    </row>
    <row r="900" customFormat="false" ht="15" hidden="false" customHeight="true" outlineLevel="1" collapsed="false">
      <c r="A900" s="429"/>
      <c r="B900" s="429"/>
      <c r="C900" s="429"/>
      <c r="D900" s="430"/>
      <c r="E900" s="431"/>
      <c r="F900" s="431"/>
      <c r="G900" s="429"/>
      <c r="H900" s="432"/>
      <c r="I900" s="432"/>
      <c r="J900" s="432"/>
      <c r="K900" s="328"/>
      <c r="L900" s="396"/>
      <c r="M900" s="396"/>
      <c r="N900" s="396"/>
      <c r="O900" s="396"/>
      <c r="P900" s="396"/>
      <c r="Q900" s="328"/>
      <c r="R900" s="328"/>
      <c r="S900" s="328"/>
      <c r="T900" s="328"/>
      <c r="U900" s="328"/>
      <c r="V900" s="328"/>
    </row>
    <row r="901" customFormat="false" ht="15" hidden="false" customHeight="true" outlineLevel="1" collapsed="false">
      <c r="A901" s="429"/>
      <c r="B901" s="429"/>
      <c r="C901" s="429"/>
      <c r="D901" s="430"/>
      <c r="E901" s="431"/>
      <c r="F901" s="431"/>
      <c r="G901" s="429"/>
      <c r="H901" s="432"/>
      <c r="I901" s="432"/>
      <c r="J901" s="432"/>
      <c r="K901" s="328"/>
      <c r="L901" s="396"/>
      <c r="M901" s="396"/>
      <c r="N901" s="396"/>
      <c r="O901" s="396"/>
      <c r="P901" s="396"/>
      <c r="Q901" s="328"/>
      <c r="R901" s="328"/>
      <c r="S901" s="328"/>
      <c r="T901" s="328"/>
      <c r="U901" s="328"/>
      <c r="V901" s="328"/>
    </row>
    <row r="902" customFormat="false" ht="15" hidden="false" customHeight="true" outlineLevel="1" collapsed="false">
      <c r="A902" s="429"/>
      <c r="B902" s="429"/>
      <c r="C902" s="429"/>
      <c r="D902" s="430"/>
      <c r="E902" s="431"/>
      <c r="F902" s="431"/>
      <c r="G902" s="429"/>
      <c r="H902" s="432"/>
      <c r="I902" s="432"/>
      <c r="J902" s="432"/>
      <c r="K902" s="328"/>
      <c r="L902" s="396"/>
      <c r="M902" s="396"/>
      <c r="N902" s="396"/>
      <c r="O902" s="396"/>
      <c r="P902" s="396"/>
      <c r="Q902" s="328"/>
      <c r="R902" s="328"/>
      <c r="S902" s="328"/>
      <c r="T902" s="328"/>
      <c r="U902" s="328"/>
      <c r="V902" s="328"/>
    </row>
    <row r="903" customFormat="false" ht="15" hidden="false" customHeight="true" outlineLevel="1" collapsed="false">
      <c r="A903" s="429"/>
      <c r="B903" s="429"/>
      <c r="C903" s="429"/>
      <c r="D903" s="430"/>
      <c r="E903" s="431"/>
      <c r="F903" s="431"/>
      <c r="G903" s="429"/>
      <c r="H903" s="432"/>
      <c r="I903" s="432"/>
      <c r="J903" s="432"/>
      <c r="K903" s="328"/>
      <c r="L903" s="396"/>
      <c r="M903" s="396"/>
      <c r="N903" s="396"/>
      <c r="O903" s="396"/>
      <c r="P903" s="396"/>
      <c r="Q903" s="328"/>
      <c r="R903" s="328"/>
      <c r="S903" s="328"/>
      <c r="T903" s="328"/>
      <c r="U903" s="328"/>
      <c r="V903" s="328"/>
    </row>
    <row r="904" customFormat="false" ht="15" hidden="false" customHeight="true" outlineLevel="1" collapsed="false">
      <c r="A904" s="429"/>
      <c r="B904" s="429"/>
      <c r="C904" s="429"/>
      <c r="D904" s="430"/>
      <c r="E904" s="431"/>
      <c r="F904" s="431"/>
      <c r="G904" s="429"/>
      <c r="H904" s="432"/>
      <c r="I904" s="432"/>
      <c r="J904" s="432"/>
      <c r="K904" s="328"/>
      <c r="L904" s="396"/>
      <c r="M904" s="396"/>
      <c r="N904" s="396"/>
      <c r="O904" s="396"/>
      <c r="P904" s="396"/>
      <c r="Q904" s="328"/>
      <c r="R904" s="328"/>
      <c r="S904" s="328"/>
      <c r="T904" s="328"/>
      <c r="U904" s="328"/>
      <c r="V904" s="328"/>
    </row>
    <row r="905" customFormat="false" ht="15" hidden="false" customHeight="true" outlineLevel="1" collapsed="false">
      <c r="A905" s="429"/>
      <c r="B905" s="429"/>
      <c r="C905" s="429"/>
      <c r="D905" s="430"/>
      <c r="E905" s="431"/>
      <c r="F905" s="431"/>
      <c r="G905" s="429"/>
      <c r="H905" s="432"/>
      <c r="I905" s="432"/>
      <c r="J905" s="432"/>
      <c r="K905" s="328"/>
      <c r="L905" s="396"/>
      <c r="M905" s="396"/>
      <c r="N905" s="396"/>
      <c r="O905" s="396"/>
      <c r="P905" s="396"/>
      <c r="Q905" s="328"/>
      <c r="R905" s="328"/>
      <c r="S905" s="328"/>
      <c r="T905" s="328"/>
      <c r="U905" s="328"/>
      <c r="V905" s="328"/>
    </row>
    <row r="906" customFormat="false" ht="15" hidden="false" customHeight="true" outlineLevel="1" collapsed="false">
      <c r="A906" s="429"/>
      <c r="B906" s="429"/>
      <c r="C906" s="429"/>
      <c r="D906" s="430"/>
      <c r="E906" s="431"/>
      <c r="F906" s="431"/>
      <c r="G906" s="429"/>
      <c r="H906" s="432"/>
      <c r="I906" s="432"/>
      <c r="J906" s="432"/>
      <c r="K906" s="328"/>
      <c r="L906" s="396"/>
      <c r="M906" s="396"/>
      <c r="N906" s="396"/>
      <c r="O906" s="396"/>
      <c r="P906" s="396"/>
      <c r="Q906" s="328"/>
      <c r="R906" s="328"/>
      <c r="S906" s="328"/>
      <c r="T906" s="328"/>
      <c r="U906" s="328"/>
      <c r="V906" s="328"/>
    </row>
    <row r="907" customFormat="false" ht="15" hidden="false" customHeight="true" outlineLevel="1" collapsed="false">
      <c r="A907" s="429"/>
      <c r="B907" s="429"/>
      <c r="C907" s="429"/>
      <c r="D907" s="430"/>
      <c r="E907" s="431"/>
      <c r="F907" s="431"/>
      <c r="G907" s="429"/>
      <c r="H907" s="432"/>
      <c r="I907" s="432"/>
      <c r="J907" s="432"/>
      <c r="K907" s="328"/>
      <c r="L907" s="396"/>
      <c r="M907" s="396"/>
      <c r="N907" s="396"/>
      <c r="O907" s="396"/>
      <c r="P907" s="396"/>
      <c r="Q907" s="328"/>
      <c r="R907" s="328"/>
      <c r="S907" s="328"/>
      <c r="T907" s="328"/>
      <c r="U907" s="328"/>
      <c r="V907" s="328"/>
    </row>
    <row r="908" customFormat="false" ht="15" hidden="false" customHeight="true" outlineLevel="1" collapsed="false">
      <c r="A908" s="429"/>
      <c r="B908" s="429"/>
      <c r="C908" s="429"/>
      <c r="D908" s="430"/>
      <c r="E908" s="431"/>
      <c r="F908" s="431"/>
      <c r="G908" s="429"/>
      <c r="H908" s="432"/>
      <c r="I908" s="432"/>
      <c r="J908" s="432"/>
      <c r="K908" s="328"/>
      <c r="L908" s="396"/>
      <c r="M908" s="396"/>
      <c r="N908" s="396"/>
      <c r="O908" s="396"/>
      <c r="P908" s="396"/>
      <c r="Q908" s="328"/>
      <c r="R908" s="328"/>
      <c r="S908" s="328"/>
      <c r="T908" s="328"/>
      <c r="U908" s="328"/>
      <c r="V908" s="328"/>
    </row>
    <row r="909" customFormat="false" ht="15" hidden="false" customHeight="true" outlineLevel="1" collapsed="false">
      <c r="A909" s="429"/>
      <c r="B909" s="429"/>
      <c r="C909" s="429"/>
      <c r="D909" s="430"/>
      <c r="E909" s="431"/>
      <c r="F909" s="431"/>
      <c r="G909" s="429"/>
      <c r="H909" s="432"/>
      <c r="I909" s="432"/>
      <c r="J909" s="432"/>
      <c r="K909" s="328"/>
      <c r="L909" s="396"/>
      <c r="M909" s="396"/>
      <c r="N909" s="396"/>
      <c r="O909" s="396"/>
      <c r="P909" s="396"/>
      <c r="Q909" s="328"/>
      <c r="R909" s="328"/>
      <c r="S909" s="328"/>
      <c r="T909" s="328"/>
      <c r="U909" s="328"/>
      <c r="V909" s="328"/>
    </row>
    <row r="910" customFormat="false" ht="15" hidden="false" customHeight="true" outlineLevel="1" collapsed="false">
      <c r="A910" s="429"/>
      <c r="B910" s="429"/>
      <c r="C910" s="429"/>
      <c r="D910" s="430"/>
      <c r="E910" s="431"/>
      <c r="F910" s="431"/>
      <c r="G910" s="429"/>
      <c r="H910" s="432"/>
      <c r="I910" s="432"/>
      <c r="J910" s="432"/>
      <c r="K910" s="328"/>
      <c r="L910" s="396"/>
      <c r="M910" s="396"/>
      <c r="N910" s="396"/>
      <c r="O910" s="396"/>
      <c r="P910" s="396"/>
      <c r="Q910" s="328"/>
      <c r="R910" s="328"/>
      <c r="S910" s="328"/>
      <c r="T910" s="328"/>
      <c r="U910" s="328"/>
      <c r="V910" s="328"/>
    </row>
    <row r="911" customFormat="false" ht="15" hidden="false" customHeight="true" outlineLevel="1" collapsed="false">
      <c r="A911" s="429"/>
      <c r="B911" s="429"/>
      <c r="C911" s="429"/>
      <c r="D911" s="430"/>
      <c r="E911" s="431"/>
      <c r="F911" s="431"/>
      <c r="G911" s="429"/>
      <c r="H911" s="432"/>
      <c r="I911" s="432"/>
      <c r="J911" s="432"/>
      <c r="K911" s="328"/>
      <c r="L911" s="396"/>
      <c r="M911" s="396"/>
      <c r="N911" s="396"/>
      <c r="O911" s="396"/>
      <c r="P911" s="396"/>
      <c r="Q911" s="328"/>
      <c r="R911" s="328"/>
      <c r="S911" s="328"/>
      <c r="T911" s="328"/>
      <c r="U911" s="328"/>
      <c r="V911" s="328"/>
    </row>
    <row r="912" customFormat="false" ht="15" hidden="false" customHeight="true" outlineLevel="1" collapsed="false">
      <c r="A912" s="429"/>
      <c r="B912" s="429"/>
      <c r="C912" s="429"/>
      <c r="D912" s="430"/>
      <c r="E912" s="431"/>
      <c r="F912" s="431"/>
      <c r="G912" s="429"/>
      <c r="H912" s="432"/>
      <c r="I912" s="432"/>
      <c r="J912" s="432"/>
      <c r="K912" s="328"/>
      <c r="L912" s="396"/>
      <c r="M912" s="396"/>
      <c r="N912" s="396"/>
      <c r="O912" s="396"/>
      <c r="P912" s="396"/>
      <c r="Q912" s="328"/>
      <c r="R912" s="328"/>
      <c r="S912" s="328"/>
      <c r="T912" s="328"/>
      <c r="U912" s="328"/>
      <c r="V912" s="328"/>
    </row>
    <row r="913" customFormat="false" ht="15" hidden="false" customHeight="true" outlineLevel="1" collapsed="false">
      <c r="A913" s="429"/>
      <c r="B913" s="429"/>
      <c r="C913" s="429"/>
      <c r="D913" s="430"/>
      <c r="E913" s="431"/>
      <c r="F913" s="431"/>
      <c r="G913" s="429"/>
      <c r="H913" s="432"/>
      <c r="I913" s="432"/>
      <c r="J913" s="432"/>
      <c r="K913" s="328"/>
      <c r="L913" s="396"/>
      <c r="M913" s="396"/>
      <c r="N913" s="396"/>
      <c r="O913" s="396"/>
      <c r="P913" s="396"/>
      <c r="Q913" s="328"/>
      <c r="R913" s="328"/>
      <c r="S913" s="328"/>
      <c r="T913" s="328"/>
      <c r="U913" s="328"/>
      <c r="V913" s="328"/>
    </row>
    <row r="914" customFormat="false" ht="15" hidden="false" customHeight="true" outlineLevel="1" collapsed="false">
      <c r="A914" s="429"/>
      <c r="B914" s="429"/>
      <c r="C914" s="429"/>
      <c r="D914" s="430"/>
      <c r="E914" s="431"/>
      <c r="F914" s="431"/>
      <c r="G914" s="429"/>
      <c r="H914" s="432"/>
      <c r="I914" s="432"/>
      <c r="J914" s="432"/>
      <c r="K914" s="328"/>
      <c r="L914" s="396"/>
      <c r="M914" s="396"/>
      <c r="N914" s="396"/>
      <c r="O914" s="396"/>
      <c r="P914" s="396"/>
      <c r="Q914" s="328"/>
      <c r="R914" s="328"/>
      <c r="S914" s="328"/>
      <c r="T914" s="328"/>
      <c r="U914" s="328"/>
      <c r="V914" s="328"/>
    </row>
    <row r="915" customFormat="false" ht="15" hidden="false" customHeight="true" outlineLevel="1" collapsed="false">
      <c r="A915" s="429"/>
      <c r="B915" s="429"/>
      <c r="C915" s="429"/>
      <c r="D915" s="430"/>
      <c r="E915" s="431"/>
      <c r="F915" s="431"/>
      <c r="G915" s="429"/>
      <c r="H915" s="432"/>
      <c r="I915" s="432"/>
      <c r="J915" s="432"/>
      <c r="K915" s="328"/>
      <c r="L915" s="396"/>
      <c r="M915" s="396"/>
      <c r="N915" s="396"/>
      <c r="O915" s="396"/>
      <c r="P915" s="396"/>
      <c r="Q915" s="328"/>
      <c r="R915" s="328"/>
      <c r="S915" s="328"/>
      <c r="T915" s="328"/>
      <c r="U915" s="328"/>
      <c r="V915" s="328"/>
    </row>
    <row r="916" customFormat="false" ht="15" hidden="false" customHeight="true" outlineLevel="1" collapsed="false">
      <c r="A916" s="429"/>
      <c r="B916" s="429"/>
      <c r="C916" s="429"/>
      <c r="D916" s="430"/>
      <c r="E916" s="431"/>
      <c r="F916" s="431"/>
      <c r="G916" s="429"/>
      <c r="H916" s="432"/>
      <c r="I916" s="432"/>
      <c r="J916" s="432"/>
      <c r="K916" s="328"/>
      <c r="L916" s="396"/>
      <c r="M916" s="396"/>
      <c r="N916" s="396"/>
      <c r="O916" s="396"/>
      <c r="P916" s="396"/>
      <c r="Q916" s="328"/>
      <c r="R916" s="328"/>
      <c r="S916" s="328"/>
      <c r="T916" s="328"/>
      <c r="U916" s="328"/>
      <c r="V916" s="328"/>
    </row>
    <row r="917" customFormat="false" ht="15" hidden="false" customHeight="true" outlineLevel="1" collapsed="false">
      <c r="A917" s="429"/>
      <c r="B917" s="429"/>
      <c r="C917" s="429"/>
      <c r="D917" s="430"/>
      <c r="E917" s="431"/>
      <c r="F917" s="431"/>
      <c r="G917" s="429"/>
      <c r="H917" s="432"/>
      <c r="I917" s="432"/>
      <c r="J917" s="432"/>
      <c r="K917" s="328"/>
      <c r="L917" s="396"/>
      <c r="M917" s="396"/>
      <c r="N917" s="396"/>
      <c r="O917" s="396"/>
      <c r="P917" s="396"/>
      <c r="Q917" s="328"/>
      <c r="R917" s="328"/>
      <c r="S917" s="328"/>
      <c r="T917" s="328"/>
      <c r="U917" s="328"/>
      <c r="V917" s="328"/>
    </row>
    <row r="918" customFormat="false" ht="15" hidden="false" customHeight="true" outlineLevel="1" collapsed="false">
      <c r="A918" s="429"/>
      <c r="B918" s="429"/>
      <c r="C918" s="429"/>
      <c r="D918" s="430"/>
      <c r="E918" s="431"/>
      <c r="F918" s="431"/>
      <c r="G918" s="429"/>
      <c r="H918" s="432"/>
      <c r="I918" s="432"/>
      <c r="J918" s="432"/>
      <c r="K918" s="328"/>
      <c r="L918" s="396"/>
      <c r="M918" s="396"/>
      <c r="N918" s="396"/>
      <c r="O918" s="396"/>
      <c r="P918" s="396"/>
      <c r="Q918" s="328"/>
      <c r="R918" s="328"/>
      <c r="S918" s="328"/>
      <c r="T918" s="328"/>
      <c r="U918" s="328"/>
      <c r="V918" s="328"/>
    </row>
    <row r="919" customFormat="false" ht="15" hidden="false" customHeight="true" outlineLevel="1" collapsed="false">
      <c r="A919" s="429"/>
      <c r="B919" s="429"/>
      <c r="C919" s="429"/>
      <c r="D919" s="430"/>
      <c r="E919" s="431"/>
      <c r="F919" s="431"/>
      <c r="G919" s="429"/>
      <c r="H919" s="432"/>
      <c r="I919" s="432"/>
      <c r="J919" s="432"/>
      <c r="K919" s="328"/>
      <c r="L919" s="396"/>
      <c r="M919" s="396"/>
      <c r="N919" s="396"/>
      <c r="O919" s="396"/>
      <c r="P919" s="396"/>
      <c r="Q919" s="328"/>
      <c r="R919" s="328"/>
      <c r="S919" s="328"/>
      <c r="T919" s="328"/>
      <c r="U919" s="328"/>
      <c r="V919" s="328"/>
    </row>
    <row r="920" customFormat="false" ht="15" hidden="false" customHeight="true" outlineLevel="1" collapsed="false">
      <c r="A920" s="429"/>
      <c r="B920" s="429"/>
      <c r="C920" s="429"/>
      <c r="D920" s="430"/>
      <c r="E920" s="431"/>
      <c r="F920" s="431"/>
      <c r="G920" s="429"/>
      <c r="H920" s="432"/>
      <c r="I920" s="432"/>
      <c r="J920" s="432"/>
      <c r="K920" s="328"/>
      <c r="L920" s="396"/>
      <c r="M920" s="396"/>
      <c r="N920" s="396"/>
      <c r="O920" s="396"/>
      <c r="P920" s="396"/>
      <c r="Q920" s="328"/>
      <c r="R920" s="328"/>
      <c r="S920" s="328"/>
      <c r="T920" s="328"/>
      <c r="U920" s="328"/>
      <c r="V920" s="328"/>
    </row>
    <row r="921" customFormat="false" ht="15" hidden="false" customHeight="true" outlineLevel="1" collapsed="false">
      <c r="A921" s="429"/>
      <c r="B921" s="429"/>
      <c r="C921" s="429"/>
      <c r="D921" s="430"/>
      <c r="E921" s="431"/>
      <c r="F921" s="431"/>
      <c r="G921" s="429"/>
      <c r="H921" s="432"/>
      <c r="I921" s="432"/>
      <c r="J921" s="432"/>
      <c r="K921" s="328"/>
      <c r="L921" s="396"/>
      <c r="M921" s="396"/>
      <c r="N921" s="396"/>
      <c r="O921" s="396"/>
      <c r="P921" s="396"/>
      <c r="Q921" s="328"/>
      <c r="R921" s="328"/>
      <c r="S921" s="328"/>
      <c r="T921" s="328"/>
      <c r="U921" s="328"/>
      <c r="V921" s="328"/>
    </row>
    <row r="922" customFormat="false" ht="15" hidden="false" customHeight="true" outlineLevel="1" collapsed="false">
      <c r="A922" s="429"/>
      <c r="B922" s="429"/>
      <c r="C922" s="429"/>
      <c r="D922" s="430"/>
      <c r="E922" s="431"/>
      <c r="F922" s="431"/>
      <c r="G922" s="429"/>
      <c r="H922" s="432"/>
      <c r="I922" s="432"/>
      <c r="J922" s="432"/>
      <c r="K922" s="328"/>
      <c r="L922" s="396"/>
      <c r="M922" s="396"/>
      <c r="N922" s="396"/>
      <c r="O922" s="396"/>
      <c r="P922" s="396"/>
      <c r="Q922" s="328"/>
      <c r="R922" s="328"/>
      <c r="S922" s="328"/>
      <c r="T922" s="328"/>
      <c r="U922" s="328"/>
      <c r="V922" s="328"/>
    </row>
    <row r="923" customFormat="false" ht="15" hidden="false" customHeight="true" outlineLevel="1" collapsed="false">
      <c r="A923" s="429"/>
      <c r="B923" s="429"/>
      <c r="C923" s="429"/>
      <c r="D923" s="430"/>
      <c r="E923" s="431"/>
      <c r="F923" s="431"/>
      <c r="G923" s="429"/>
      <c r="H923" s="432"/>
      <c r="I923" s="432"/>
      <c r="J923" s="432"/>
      <c r="K923" s="328"/>
      <c r="L923" s="396"/>
      <c r="M923" s="396"/>
      <c r="N923" s="396"/>
      <c r="O923" s="396"/>
      <c r="P923" s="396"/>
      <c r="Q923" s="328"/>
      <c r="R923" s="328"/>
      <c r="S923" s="328"/>
      <c r="T923" s="328"/>
      <c r="U923" s="328"/>
      <c r="V923" s="328"/>
    </row>
    <row r="924" customFormat="false" ht="15" hidden="false" customHeight="true" outlineLevel="1" collapsed="false">
      <c r="A924" s="429"/>
      <c r="B924" s="429"/>
      <c r="C924" s="429"/>
      <c r="D924" s="430"/>
      <c r="E924" s="431"/>
      <c r="F924" s="431"/>
      <c r="G924" s="429"/>
      <c r="H924" s="432"/>
      <c r="I924" s="432"/>
      <c r="J924" s="432"/>
      <c r="K924" s="328"/>
      <c r="L924" s="396"/>
      <c r="M924" s="396"/>
      <c r="N924" s="396"/>
      <c r="O924" s="396"/>
      <c r="P924" s="396"/>
      <c r="Q924" s="328"/>
      <c r="R924" s="328"/>
      <c r="S924" s="328"/>
      <c r="T924" s="328"/>
      <c r="U924" s="328"/>
      <c r="V924" s="328"/>
    </row>
    <row r="925" customFormat="false" ht="15" hidden="false" customHeight="true" outlineLevel="1" collapsed="false">
      <c r="A925" s="429"/>
      <c r="B925" s="429"/>
      <c r="C925" s="429"/>
      <c r="D925" s="430"/>
      <c r="E925" s="431"/>
      <c r="F925" s="431"/>
      <c r="G925" s="429"/>
      <c r="H925" s="432"/>
      <c r="I925" s="432"/>
      <c r="J925" s="432"/>
      <c r="K925" s="328"/>
      <c r="L925" s="396"/>
      <c r="M925" s="396"/>
      <c r="N925" s="396"/>
      <c r="O925" s="396"/>
      <c r="P925" s="396"/>
      <c r="Q925" s="328"/>
      <c r="R925" s="328"/>
      <c r="S925" s="328"/>
      <c r="T925" s="328"/>
      <c r="U925" s="328"/>
      <c r="V925" s="328"/>
    </row>
    <row r="926" customFormat="false" ht="15" hidden="false" customHeight="true" outlineLevel="1" collapsed="false">
      <c r="A926" s="429"/>
      <c r="B926" s="429"/>
      <c r="C926" s="429"/>
      <c r="D926" s="430"/>
      <c r="E926" s="431"/>
      <c r="F926" s="431"/>
      <c r="G926" s="429"/>
      <c r="H926" s="432"/>
      <c r="I926" s="432"/>
      <c r="J926" s="432"/>
      <c r="K926" s="328"/>
      <c r="L926" s="396"/>
      <c r="M926" s="396"/>
      <c r="N926" s="396"/>
      <c r="O926" s="396"/>
      <c r="P926" s="396"/>
      <c r="Q926" s="328"/>
      <c r="R926" s="328"/>
      <c r="S926" s="328"/>
      <c r="T926" s="328"/>
      <c r="U926" s="328"/>
      <c r="V926" s="328"/>
    </row>
    <row r="927" customFormat="false" ht="15" hidden="false" customHeight="true" outlineLevel="1" collapsed="false">
      <c r="A927" s="429"/>
      <c r="B927" s="429"/>
      <c r="C927" s="429"/>
      <c r="D927" s="430"/>
      <c r="E927" s="431"/>
      <c r="F927" s="431"/>
      <c r="G927" s="429"/>
      <c r="H927" s="432"/>
      <c r="I927" s="432"/>
      <c r="J927" s="432"/>
      <c r="K927" s="328"/>
      <c r="L927" s="396"/>
      <c r="M927" s="396"/>
      <c r="N927" s="396"/>
      <c r="O927" s="396"/>
      <c r="P927" s="396"/>
      <c r="Q927" s="328"/>
      <c r="R927" s="328"/>
      <c r="S927" s="328"/>
      <c r="T927" s="328"/>
      <c r="U927" s="328"/>
      <c r="V927" s="328"/>
    </row>
    <row r="928" customFormat="false" ht="15" hidden="false" customHeight="true" outlineLevel="1" collapsed="false">
      <c r="A928" s="429"/>
      <c r="B928" s="429"/>
      <c r="C928" s="429"/>
      <c r="D928" s="430"/>
      <c r="E928" s="431"/>
      <c r="F928" s="431"/>
      <c r="G928" s="429"/>
      <c r="H928" s="432"/>
      <c r="I928" s="432"/>
      <c r="J928" s="432"/>
      <c r="K928" s="328"/>
      <c r="L928" s="396"/>
      <c r="M928" s="396"/>
      <c r="N928" s="396"/>
      <c r="O928" s="396"/>
      <c r="P928" s="396"/>
      <c r="Q928" s="328"/>
      <c r="R928" s="328"/>
      <c r="S928" s="328"/>
      <c r="T928" s="328"/>
      <c r="U928" s="328"/>
      <c r="V928" s="328"/>
    </row>
    <row r="929" customFormat="false" ht="15" hidden="false" customHeight="true" outlineLevel="1" collapsed="false">
      <c r="A929" s="429"/>
      <c r="B929" s="429"/>
      <c r="C929" s="429"/>
      <c r="D929" s="430"/>
      <c r="E929" s="431"/>
      <c r="F929" s="431"/>
      <c r="G929" s="429"/>
      <c r="H929" s="432"/>
      <c r="I929" s="432"/>
      <c r="J929" s="432"/>
      <c r="K929" s="328"/>
      <c r="L929" s="396"/>
      <c r="M929" s="396"/>
      <c r="N929" s="396"/>
      <c r="O929" s="396"/>
      <c r="P929" s="396"/>
      <c r="Q929" s="328"/>
      <c r="R929" s="328"/>
      <c r="S929" s="328"/>
      <c r="T929" s="328"/>
      <c r="U929" s="328"/>
      <c r="V929" s="328"/>
    </row>
    <row r="930" customFormat="false" ht="15" hidden="false" customHeight="true" outlineLevel="1" collapsed="false">
      <c r="A930" s="429"/>
      <c r="B930" s="429"/>
      <c r="C930" s="429"/>
      <c r="D930" s="430"/>
      <c r="E930" s="431"/>
      <c r="F930" s="431"/>
      <c r="G930" s="429"/>
      <c r="H930" s="432"/>
      <c r="I930" s="432"/>
      <c r="J930" s="432"/>
      <c r="K930" s="328"/>
      <c r="L930" s="396"/>
      <c r="M930" s="396"/>
      <c r="N930" s="396"/>
      <c r="O930" s="396"/>
      <c r="P930" s="396"/>
      <c r="Q930" s="328"/>
      <c r="R930" s="328"/>
      <c r="S930" s="328"/>
      <c r="T930" s="328"/>
      <c r="U930" s="328"/>
      <c r="V930" s="328"/>
    </row>
    <row r="931" customFormat="false" ht="15" hidden="false" customHeight="true" outlineLevel="1" collapsed="false">
      <c r="A931" s="429"/>
      <c r="B931" s="429"/>
      <c r="C931" s="429"/>
      <c r="D931" s="430"/>
      <c r="E931" s="431"/>
      <c r="F931" s="431"/>
      <c r="G931" s="429"/>
      <c r="H931" s="432"/>
      <c r="I931" s="432"/>
      <c r="J931" s="432"/>
      <c r="K931" s="328"/>
      <c r="L931" s="396"/>
      <c r="M931" s="396"/>
      <c r="N931" s="396"/>
      <c r="O931" s="396"/>
      <c r="P931" s="396"/>
      <c r="Q931" s="328"/>
      <c r="R931" s="328"/>
      <c r="S931" s="328"/>
      <c r="T931" s="328"/>
      <c r="U931" s="328"/>
      <c r="V931" s="328"/>
    </row>
    <row r="932" customFormat="false" ht="15" hidden="false" customHeight="true" outlineLevel="1" collapsed="false">
      <c r="A932" s="429"/>
      <c r="B932" s="429"/>
      <c r="C932" s="429"/>
      <c r="D932" s="430"/>
      <c r="E932" s="431"/>
      <c r="F932" s="431"/>
      <c r="G932" s="429"/>
      <c r="H932" s="432"/>
      <c r="I932" s="432"/>
      <c r="J932" s="432"/>
      <c r="K932" s="328"/>
      <c r="L932" s="396"/>
      <c r="M932" s="396"/>
      <c r="N932" s="396"/>
      <c r="O932" s="396"/>
      <c r="P932" s="396"/>
      <c r="Q932" s="328"/>
      <c r="R932" s="328"/>
      <c r="S932" s="328"/>
      <c r="T932" s="328"/>
      <c r="U932" s="328"/>
      <c r="V932" s="328"/>
    </row>
    <row r="933" customFormat="false" ht="15" hidden="false" customHeight="true" outlineLevel="1" collapsed="false">
      <c r="A933" s="429"/>
      <c r="B933" s="429"/>
      <c r="C933" s="429"/>
      <c r="D933" s="430"/>
      <c r="E933" s="431"/>
      <c r="F933" s="431"/>
      <c r="G933" s="429"/>
      <c r="H933" s="432"/>
      <c r="I933" s="432"/>
      <c r="J933" s="432"/>
      <c r="K933" s="328"/>
      <c r="L933" s="396"/>
      <c r="M933" s="396"/>
      <c r="N933" s="396"/>
      <c r="O933" s="396"/>
      <c r="P933" s="396"/>
      <c r="Q933" s="328"/>
      <c r="R933" s="328"/>
      <c r="S933" s="328"/>
      <c r="T933" s="328"/>
      <c r="U933" s="328"/>
      <c r="V933" s="328"/>
    </row>
    <row r="934" customFormat="false" ht="15" hidden="false" customHeight="true" outlineLevel="1" collapsed="false">
      <c r="A934" s="429"/>
      <c r="B934" s="429"/>
      <c r="C934" s="429"/>
      <c r="D934" s="430"/>
      <c r="E934" s="431"/>
      <c r="F934" s="431"/>
      <c r="G934" s="429"/>
      <c r="H934" s="432"/>
      <c r="I934" s="432"/>
      <c r="J934" s="432"/>
      <c r="K934" s="328"/>
      <c r="L934" s="396"/>
      <c r="M934" s="396"/>
      <c r="N934" s="396"/>
      <c r="O934" s="396"/>
      <c r="P934" s="396"/>
      <c r="Q934" s="328"/>
      <c r="R934" s="328"/>
      <c r="S934" s="328"/>
      <c r="T934" s="328"/>
      <c r="U934" s="328"/>
      <c r="V934" s="328"/>
    </row>
    <row r="935" customFormat="false" ht="15" hidden="false" customHeight="true" outlineLevel="1" collapsed="false">
      <c r="A935" s="429"/>
      <c r="B935" s="429"/>
      <c r="C935" s="429"/>
      <c r="D935" s="430"/>
      <c r="E935" s="431"/>
      <c r="F935" s="431"/>
      <c r="G935" s="429"/>
      <c r="H935" s="432"/>
      <c r="I935" s="432"/>
      <c r="J935" s="432"/>
      <c r="K935" s="328"/>
      <c r="L935" s="396"/>
      <c r="M935" s="396"/>
      <c r="N935" s="396"/>
      <c r="O935" s="396"/>
      <c r="P935" s="396"/>
      <c r="Q935" s="328"/>
      <c r="R935" s="328"/>
      <c r="S935" s="328"/>
      <c r="T935" s="328"/>
      <c r="U935" s="328"/>
      <c r="V935" s="328"/>
    </row>
    <row r="936" customFormat="false" ht="15" hidden="false" customHeight="true" outlineLevel="1" collapsed="false">
      <c r="A936" s="429"/>
      <c r="B936" s="429"/>
      <c r="C936" s="429"/>
      <c r="D936" s="430"/>
      <c r="E936" s="431"/>
      <c r="F936" s="431"/>
      <c r="G936" s="429"/>
      <c r="H936" s="432"/>
      <c r="I936" s="432"/>
      <c r="J936" s="432"/>
      <c r="K936" s="328"/>
      <c r="L936" s="396"/>
      <c r="M936" s="396"/>
      <c r="N936" s="396"/>
      <c r="O936" s="396"/>
      <c r="P936" s="396"/>
      <c r="Q936" s="328"/>
      <c r="R936" s="328"/>
      <c r="S936" s="328"/>
      <c r="T936" s="328"/>
      <c r="U936" s="328"/>
      <c r="V936" s="328"/>
    </row>
    <row r="937" customFormat="false" ht="15" hidden="false" customHeight="true" outlineLevel="1" collapsed="false">
      <c r="A937" s="429"/>
      <c r="B937" s="429"/>
      <c r="C937" s="429"/>
      <c r="D937" s="430"/>
      <c r="E937" s="431"/>
      <c r="F937" s="431"/>
      <c r="G937" s="429"/>
      <c r="H937" s="432"/>
      <c r="I937" s="432"/>
      <c r="J937" s="432"/>
      <c r="K937" s="328"/>
      <c r="L937" s="396"/>
      <c r="M937" s="396"/>
      <c r="N937" s="396"/>
      <c r="O937" s="396"/>
      <c r="P937" s="396"/>
      <c r="Q937" s="328"/>
      <c r="R937" s="328"/>
      <c r="S937" s="328"/>
      <c r="T937" s="328"/>
      <c r="U937" s="328"/>
      <c r="V937" s="328"/>
    </row>
    <row r="938" customFormat="false" ht="15" hidden="false" customHeight="true" outlineLevel="1" collapsed="false">
      <c r="A938" s="429"/>
      <c r="B938" s="429"/>
      <c r="C938" s="429"/>
      <c r="D938" s="430"/>
      <c r="E938" s="431"/>
      <c r="F938" s="431"/>
      <c r="G938" s="429"/>
      <c r="H938" s="432"/>
      <c r="I938" s="432"/>
      <c r="J938" s="432"/>
      <c r="K938" s="328"/>
      <c r="L938" s="396"/>
      <c r="M938" s="396"/>
      <c r="N938" s="396"/>
      <c r="O938" s="396"/>
      <c r="P938" s="396"/>
      <c r="Q938" s="328"/>
      <c r="R938" s="328"/>
      <c r="S938" s="328"/>
      <c r="T938" s="328"/>
      <c r="U938" s="328"/>
      <c r="V938" s="328"/>
    </row>
    <row r="939" customFormat="false" ht="15" hidden="false" customHeight="true" outlineLevel="1" collapsed="false">
      <c r="A939" s="429"/>
      <c r="B939" s="429"/>
      <c r="C939" s="429"/>
      <c r="D939" s="430"/>
      <c r="E939" s="431"/>
      <c r="F939" s="431"/>
      <c r="G939" s="429"/>
      <c r="H939" s="432"/>
      <c r="I939" s="432"/>
      <c r="J939" s="432"/>
      <c r="K939" s="328"/>
      <c r="L939" s="396"/>
      <c r="M939" s="396"/>
      <c r="N939" s="396"/>
      <c r="O939" s="396"/>
      <c r="P939" s="396"/>
      <c r="Q939" s="328"/>
      <c r="R939" s="328"/>
      <c r="S939" s="328"/>
      <c r="T939" s="328"/>
      <c r="U939" s="328"/>
      <c r="V939" s="328"/>
    </row>
    <row r="940" customFormat="false" ht="15" hidden="false" customHeight="true" outlineLevel="1" collapsed="false">
      <c r="A940" s="429"/>
      <c r="B940" s="429"/>
      <c r="C940" s="429"/>
      <c r="D940" s="430"/>
      <c r="E940" s="431"/>
      <c r="F940" s="431"/>
      <c r="G940" s="429"/>
      <c r="H940" s="432"/>
      <c r="I940" s="432"/>
      <c r="J940" s="432"/>
      <c r="K940" s="328"/>
      <c r="L940" s="396"/>
      <c r="M940" s="396"/>
      <c r="N940" s="396"/>
      <c r="O940" s="396"/>
      <c r="P940" s="396"/>
      <c r="Q940" s="328"/>
      <c r="R940" s="328"/>
      <c r="S940" s="328"/>
      <c r="T940" s="328"/>
      <c r="U940" s="328"/>
      <c r="V940" s="328"/>
    </row>
    <row r="941" customFormat="false" ht="15" hidden="false" customHeight="true" outlineLevel="1" collapsed="false">
      <c r="A941" s="429"/>
      <c r="B941" s="429"/>
      <c r="C941" s="429"/>
      <c r="D941" s="430"/>
      <c r="E941" s="431"/>
      <c r="F941" s="431"/>
      <c r="G941" s="429"/>
      <c r="H941" s="432"/>
      <c r="I941" s="432"/>
      <c r="J941" s="432"/>
      <c r="K941" s="328"/>
      <c r="L941" s="396"/>
      <c r="M941" s="396"/>
      <c r="N941" s="396"/>
      <c r="O941" s="396"/>
      <c r="P941" s="396"/>
      <c r="Q941" s="328"/>
      <c r="R941" s="328"/>
      <c r="S941" s="328"/>
      <c r="T941" s="328"/>
      <c r="U941" s="328"/>
      <c r="V941" s="328"/>
    </row>
    <row r="942" customFormat="false" ht="15" hidden="false" customHeight="true" outlineLevel="1" collapsed="false">
      <c r="A942" s="429"/>
      <c r="B942" s="429"/>
      <c r="C942" s="429"/>
      <c r="D942" s="430"/>
      <c r="E942" s="431"/>
      <c r="F942" s="431"/>
      <c r="G942" s="429"/>
      <c r="H942" s="432"/>
      <c r="I942" s="432"/>
      <c r="J942" s="432"/>
      <c r="K942" s="328"/>
      <c r="L942" s="396"/>
      <c r="M942" s="396"/>
      <c r="N942" s="396"/>
      <c r="O942" s="396"/>
      <c r="P942" s="396"/>
      <c r="Q942" s="328"/>
      <c r="R942" s="328"/>
      <c r="S942" s="328"/>
      <c r="T942" s="328"/>
      <c r="U942" s="328"/>
      <c r="V942" s="328"/>
    </row>
    <row r="943" customFormat="false" ht="15" hidden="false" customHeight="true" outlineLevel="1" collapsed="false">
      <c r="A943" s="429"/>
      <c r="B943" s="429"/>
      <c r="C943" s="429"/>
      <c r="D943" s="430"/>
      <c r="E943" s="431"/>
      <c r="F943" s="431"/>
      <c r="G943" s="429"/>
      <c r="H943" s="432"/>
      <c r="I943" s="432"/>
      <c r="J943" s="432"/>
      <c r="K943" s="328"/>
      <c r="L943" s="396"/>
      <c r="M943" s="396"/>
      <c r="N943" s="396"/>
      <c r="O943" s="396"/>
      <c r="P943" s="396"/>
      <c r="Q943" s="328"/>
      <c r="R943" s="328"/>
      <c r="S943" s="328"/>
      <c r="T943" s="328"/>
      <c r="U943" s="328"/>
      <c r="V943" s="328"/>
    </row>
    <row r="944" customFormat="false" ht="15" hidden="false" customHeight="true" outlineLevel="1" collapsed="false">
      <c r="A944" s="429"/>
      <c r="B944" s="429"/>
      <c r="C944" s="429"/>
      <c r="D944" s="430"/>
      <c r="E944" s="431"/>
      <c r="F944" s="431"/>
      <c r="G944" s="429"/>
      <c r="H944" s="432"/>
      <c r="I944" s="432"/>
      <c r="J944" s="432"/>
      <c r="K944" s="328"/>
      <c r="L944" s="396"/>
      <c r="M944" s="396"/>
      <c r="N944" s="396"/>
      <c r="O944" s="396"/>
      <c r="P944" s="396"/>
      <c r="Q944" s="328"/>
      <c r="R944" s="328"/>
      <c r="S944" s="328"/>
      <c r="T944" s="328"/>
      <c r="U944" s="328"/>
      <c r="V944" s="328"/>
    </row>
    <row r="945" customFormat="false" ht="15" hidden="false" customHeight="true" outlineLevel="1" collapsed="false">
      <c r="A945" s="429"/>
      <c r="B945" s="429"/>
      <c r="C945" s="429"/>
      <c r="D945" s="430"/>
      <c r="E945" s="431"/>
      <c r="F945" s="431"/>
      <c r="G945" s="429"/>
      <c r="H945" s="432"/>
      <c r="I945" s="432"/>
      <c r="J945" s="432"/>
      <c r="K945" s="328"/>
      <c r="L945" s="396"/>
      <c r="M945" s="396"/>
      <c r="N945" s="396"/>
      <c r="O945" s="396"/>
      <c r="P945" s="396"/>
      <c r="Q945" s="328"/>
      <c r="R945" s="328"/>
      <c r="S945" s="328"/>
      <c r="T945" s="328"/>
      <c r="U945" s="328"/>
      <c r="V945" s="328"/>
    </row>
    <row r="946" customFormat="false" ht="15" hidden="false" customHeight="true" outlineLevel="1" collapsed="false">
      <c r="A946" s="429"/>
      <c r="B946" s="429"/>
      <c r="C946" s="429"/>
      <c r="D946" s="430"/>
      <c r="E946" s="431"/>
      <c r="F946" s="431"/>
      <c r="G946" s="429"/>
      <c r="H946" s="432"/>
      <c r="I946" s="432"/>
      <c r="J946" s="432"/>
      <c r="K946" s="328"/>
      <c r="L946" s="396"/>
      <c r="M946" s="396"/>
      <c r="N946" s="396"/>
      <c r="O946" s="396"/>
      <c r="P946" s="396"/>
      <c r="Q946" s="328"/>
      <c r="R946" s="328"/>
      <c r="S946" s="328"/>
      <c r="T946" s="328"/>
      <c r="U946" s="328"/>
      <c r="V946" s="328"/>
    </row>
    <row r="947" customFormat="false" ht="15" hidden="false" customHeight="true" outlineLevel="1" collapsed="false">
      <c r="A947" s="429"/>
      <c r="B947" s="429"/>
      <c r="C947" s="429"/>
      <c r="D947" s="430"/>
      <c r="E947" s="431"/>
      <c r="F947" s="431"/>
      <c r="G947" s="429"/>
      <c r="H947" s="432"/>
      <c r="I947" s="432"/>
      <c r="J947" s="432"/>
      <c r="K947" s="328"/>
      <c r="L947" s="396"/>
      <c r="M947" s="396"/>
      <c r="N947" s="396"/>
      <c r="O947" s="396"/>
      <c r="P947" s="396"/>
      <c r="Q947" s="328"/>
      <c r="R947" s="328"/>
      <c r="S947" s="328"/>
      <c r="T947" s="328"/>
      <c r="U947" s="328"/>
      <c r="V947" s="328"/>
    </row>
    <row r="948" customFormat="false" ht="15" hidden="false" customHeight="true" outlineLevel="1" collapsed="false">
      <c r="A948" s="429"/>
      <c r="B948" s="429"/>
      <c r="C948" s="429"/>
      <c r="D948" s="430"/>
      <c r="E948" s="431"/>
      <c r="F948" s="431"/>
      <c r="G948" s="429"/>
      <c r="H948" s="432"/>
      <c r="I948" s="432"/>
      <c r="J948" s="432"/>
      <c r="K948" s="328"/>
      <c r="L948" s="396"/>
      <c r="M948" s="396"/>
      <c r="N948" s="396"/>
      <c r="O948" s="396"/>
      <c r="P948" s="396"/>
      <c r="Q948" s="328"/>
      <c r="R948" s="328"/>
      <c r="S948" s="328"/>
      <c r="T948" s="328"/>
      <c r="U948" s="328"/>
      <c r="V948" s="328"/>
    </row>
    <row r="949" customFormat="false" ht="15" hidden="false" customHeight="true" outlineLevel="1" collapsed="false">
      <c r="A949" s="429"/>
      <c r="B949" s="429"/>
      <c r="C949" s="429"/>
      <c r="D949" s="430"/>
      <c r="E949" s="431"/>
      <c r="F949" s="431"/>
      <c r="G949" s="429"/>
      <c r="H949" s="432"/>
      <c r="I949" s="432"/>
      <c r="J949" s="432"/>
      <c r="K949" s="328"/>
      <c r="L949" s="396"/>
      <c r="M949" s="396"/>
      <c r="N949" s="396"/>
      <c r="O949" s="396"/>
      <c r="P949" s="396"/>
      <c r="Q949" s="328"/>
      <c r="R949" s="328"/>
      <c r="S949" s="328"/>
      <c r="T949" s="328"/>
      <c r="U949" s="328"/>
      <c r="V949" s="328"/>
    </row>
    <row r="950" customFormat="false" ht="15" hidden="false" customHeight="true" outlineLevel="1" collapsed="false">
      <c r="A950" s="429"/>
      <c r="B950" s="429"/>
      <c r="C950" s="429"/>
      <c r="D950" s="430"/>
      <c r="E950" s="431"/>
      <c r="F950" s="431"/>
      <c r="G950" s="429"/>
      <c r="H950" s="432"/>
      <c r="I950" s="432"/>
      <c r="J950" s="432"/>
      <c r="K950" s="328"/>
      <c r="L950" s="396"/>
      <c r="M950" s="396"/>
      <c r="N950" s="396"/>
      <c r="O950" s="396"/>
      <c r="P950" s="396"/>
      <c r="Q950" s="328"/>
      <c r="R950" s="328"/>
      <c r="S950" s="328"/>
      <c r="T950" s="328"/>
      <c r="U950" s="328"/>
      <c r="V950" s="328"/>
    </row>
    <row r="951" customFormat="false" ht="15" hidden="false" customHeight="true" outlineLevel="1" collapsed="false">
      <c r="A951" s="429"/>
      <c r="B951" s="429"/>
      <c r="C951" s="429"/>
      <c r="D951" s="430"/>
      <c r="E951" s="431"/>
      <c r="F951" s="431"/>
      <c r="G951" s="429"/>
      <c r="H951" s="432"/>
      <c r="I951" s="432"/>
      <c r="J951" s="432"/>
      <c r="K951" s="328"/>
      <c r="L951" s="396"/>
      <c r="M951" s="396"/>
      <c r="N951" s="396"/>
      <c r="O951" s="396"/>
      <c r="P951" s="396"/>
      <c r="Q951" s="328"/>
      <c r="R951" s="328"/>
      <c r="S951" s="328"/>
      <c r="T951" s="328"/>
      <c r="U951" s="328"/>
      <c r="V951" s="328"/>
    </row>
    <row r="952" customFormat="false" ht="15" hidden="false" customHeight="true" outlineLevel="1" collapsed="false">
      <c r="A952" s="429"/>
      <c r="B952" s="429"/>
      <c r="C952" s="429"/>
      <c r="D952" s="430"/>
      <c r="E952" s="431"/>
      <c r="F952" s="431"/>
      <c r="G952" s="429"/>
      <c r="H952" s="432"/>
      <c r="I952" s="432"/>
      <c r="J952" s="432"/>
      <c r="K952" s="328"/>
      <c r="L952" s="396"/>
      <c r="M952" s="396"/>
      <c r="N952" s="396"/>
      <c r="O952" s="396"/>
      <c r="P952" s="396"/>
      <c r="Q952" s="328"/>
      <c r="R952" s="328"/>
      <c r="S952" s="328"/>
      <c r="T952" s="328"/>
      <c r="U952" s="328"/>
      <c r="V952" s="328"/>
    </row>
    <row r="953" customFormat="false" ht="15" hidden="false" customHeight="true" outlineLevel="1" collapsed="false">
      <c r="A953" s="429"/>
      <c r="B953" s="429"/>
      <c r="C953" s="429"/>
      <c r="D953" s="430"/>
      <c r="E953" s="431"/>
      <c r="F953" s="431"/>
      <c r="G953" s="429"/>
      <c r="H953" s="432"/>
      <c r="I953" s="432"/>
      <c r="J953" s="432"/>
      <c r="K953" s="328"/>
      <c r="L953" s="396"/>
      <c r="M953" s="396"/>
      <c r="N953" s="396"/>
      <c r="O953" s="396"/>
      <c r="P953" s="396"/>
      <c r="Q953" s="328"/>
      <c r="R953" s="328"/>
      <c r="S953" s="328"/>
      <c r="T953" s="328"/>
      <c r="U953" s="328"/>
      <c r="V953" s="328"/>
    </row>
    <row r="954" customFormat="false" ht="15" hidden="false" customHeight="true" outlineLevel="1" collapsed="false">
      <c r="A954" s="429"/>
      <c r="B954" s="429"/>
      <c r="C954" s="429"/>
      <c r="D954" s="430"/>
      <c r="E954" s="431"/>
      <c r="F954" s="431"/>
      <c r="G954" s="429"/>
      <c r="H954" s="432"/>
      <c r="I954" s="432"/>
      <c r="J954" s="432"/>
      <c r="K954" s="328"/>
      <c r="L954" s="396"/>
      <c r="M954" s="396"/>
      <c r="N954" s="396"/>
      <c r="O954" s="396"/>
      <c r="P954" s="396"/>
      <c r="Q954" s="328"/>
      <c r="R954" s="328"/>
      <c r="S954" s="328"/>
      <c r="T954" s="328"/>
      <c r="U954" s="328"/>
      <c r="V954" s="328"/>
    </row>
    <row r="955" customFormat="false" ht="15" hidden="false" customHeight="true" outlineLevel="1" collapsed="false">
      <c r="A955" s="429"/>
      <c r="B955" s="429"/>
      <c r="C955" s="429"/>
      <c r="D955" s="430"/>
      <c r="E955" s="431"/>
      <c r="F955" s="431"/>
      <c r="G955" s="429"/>
      <c r="H955" s="432"/>
      <c r="I955" s="432"/>
      <c r="J955" s="432"/>
      <c r="K955" s="328"/>
      <c r="L955" s="396"/>
      <c r="M955" s="396"/>
      <c r="N955" s="396"/>
      <c r="O955" s="396"/>
      <c r="P955" s="396"/>
      <c r="Q955" s="328"/>
      <c r="R955" s="328"/>
      <c r="S955" s="328"/>
      <c r="T955" s="328"/>
      <c r="U955" s="328"/>
      <c r="V955" s="328"/>
    </row>
    <row r="956" customFormat="false" ht="15" hidden="false" customHeight="true" outlineLevel="1" collapsed="false">
      <c r="A956" s="429"/>
      <c r="B956" s="429"/>
      <c r="C956" s="429"/>
      <c r="D956" s="430"/>
      <c r="E956" s="431"/>
      <c r="F956" s="431"/>
      <c r="G956" s="429"/>
      <c r="H956" s="432"/>
      <c r="I956" s="432"/>
      <c r="J956" s="432"/>
      <c r="K956" s="328"/>
      <c r="L956" s="396"/>
      <c r="M956" s="396"/>
      <c r="N956" s="396"/>
      <c r="O956" s="396"/>
      <c r="P956" s="396"/>
      <c r="Q956" s="328"/>
      <c r="R956" s="328"/>
      <c r="S956" s="328"/>
      <c r="T956" s="328"/>
      <c r="U956" s="328"/>
      <c r="V956" s="328"/>
    </row>
    <row r="957" customFormat="false" ht="15" hidden="false" customHeight="true" outlineLevel="1" collapsed="false">
      <c r="A957" s="429"/>
      <c r="B957" s="429"/>
      <c r="C957" s="429"/>
      <c r="D957" s="430"/>
      <c r="E957" s="431"/>
      <c r="F957" s="431"/>
      <c r="G957" s="429"/>
      <c r="H957" s="432"/>
      <c r="I957" s="432"/>
      <c r="J957" s="432"/>
      <c r="K957" s="328"/>
      <c r="L957" s="396"/>
      <c r="M957" s="396"/>
      <c r="N957" s="396"/>
      <c r="O957" s="396"/>
      <c r="P957" s="396"/>
      <c r="Q957" s="328"/>
      <c r="R957" s="328"/>
      <c r="S957" s="328"/>
      <c r="T957" s="328"/>
      <c r="U957" s="328"/>
      <c r="V957" s="328"/>
    </row>
    <row r="958" customFormat="false" ht="15" hidden="false" customHeight="true" outlineLevel="1" collapsed="false">
      <c r="A958" s="429"/>
      <c r="B958" s="429"/>
      <c r="C958" s="429"/>
      <c r="D958" s="430"/>
      <c r="E958" s="431"/>
      <c r="F958" s="431"/>
      <c r="G958" s="429"/>
      <c r="H958" s="432"/>
      <c r="I958" s="432"/>
      <c r="J958" s="432"/>
      <c r="K958" s="328"/>
      <c r="L958" s="396"/>
      <c r="M958" s="396"/>
      <c r="N958" s="396"/>
      <c r="O958" s="396"/>
      <c r="P958" s="396"/>
      <c r="Q958" s="328"/>
      <c r="R958" s="328"/>
      <c r="S958" s="328"/>
      <c r="T958" s="328"/>
      <c r="U958" s="328"/>
      <c r="V958" s="328"/>
    </row>
    <row r="959" customFormat="false" ht="15" hidden="false" customHeight="true" outlineLevel="1" collapsed="false">
      <c r="A959" s="429"/>
      <c r="B959" s="429"/>
      <c r="C959" s="429"/>
      <c r="D959" s="430"/>
      <c r="E959" s="431"/>
      <c r="F959" s="431"/>
      <c r="G959" s="429"/>
      <c r="H959" s="432"/>
      <c r="I959" s="432"/>
      <c r="J959" s="432"/>
      <c r="K959" s="328"/>
      <c r="L959" s="396"/>
      <c r="M959" s="396"/>
      <c r="N959" s="396"/>
      <c r="O959" s="396"/>
      <c r="P959" s="396"/>
      <c r="Q959" s="328"/>
      <c r="R959" s="328"/>
      <c r="S959" s="328"/>
      <c r="T959" s="328"/>
      <c r="U959" s="328"/>
      <c r="V959" s="328"/>
    </row>
    <row r="960" customFormat="false" ht="15" hidden="false" customHeight="true" outlineLevel="1" collapsed="false">
      <c r="A960" s="429"/>
      <c r="B960" s="429"/>
      <c r="C960" s="429"/>
      <c r="D960" s="430"/>
      <c r="E960" s="431"/>
      <c r="F960" s="431"/>
      <c r="G960" s="429"/>
      <c r="H960" s="432"/>
      <c r="I960" s="432"/>
      <c r="J960" s="432"/>
      <c r="K960" s="328"/>
      <c r="L960" s="396"/>
      <c r="M960" s="396"/>
      <c r="N960" s="396"/>
      <c r="O960" s="396"/>
      <c r="P960" s="396"/>
      <c r="Q960" s="328"/>
      <c r="R960" s="328"/>
      <c r="S960" s="328"/>
      <c r="T960" s="328"/>
      <c r="U960" s="328"/>
      <c r="V960" s="328"/>
    </row>
    <row r="961" customFormat="false" ht="15" hidden="false" customHeight="true" outlineLevel="1" collapsed="false">
      <c r="A961" s="429"/>
      <c r="B961" s="429"/>
      <c r="C961" s="429"/>
      <c r="D961" s="430"/>
      <c r="E961" s="431"/>
      <c r="F961" s="431"/>
      <c r="G961" s="429"/>
      <c r="H961" s="432"/>
      <c r="I961" s="432"/>
      <c r="J961" s="432"/>
      <c r="K961" s="328"/>
      <c r="L961" s="396"/>
      <c r="M961" s="396"/>
      <c r="N961" s="396"/>
      <c r="O961" s="396"/>
      <c r="P961" s="396"/>
      <c r="Q961" s="328"/>
      <c r="R961" s="328"/>
      <c r="S961" s="328"/>
      <c r="T961" s="328"/>
      <c r="U961" s="328"/>
      <c r="V961" s="328"/>
    </row>
    <row r="962" customFormat="false" ht="15" hidden="false" customHeight="true" outlineLevel="1" collapsed="false">
      <c r="A962" s="429"/>
      <c r="B962" s="429"/>
      <c r="C962" s="429"/>
      <c r="D962" s="430"/>
      <c r="E962" s="431"/>
      <c r="F962" s="431"/>
      <c r="G962" s="429"/>
      <c r="H962" s="432"/>
      <c r="I962" s="432"/>
      <c r="J962" s="432"/>
      <c r="K962" s="328"/>
      <c r="L962" s="396"/>
      <c r="M962" s="396"/>
      <c r="N962" s="396"/>
      <c r="O962" s="396"/>
      <c r="P962" s="396"/>
      <c r="Q962" s="328"/>
      <c r="R962" s="328"/>
      <c r="S962" s="328"/>
      <c r="T962" s="328"/>
      <c r="U962" s="328"/>
      <c r="V962" s="328"/>
    </row>
    <row r="963" customFormat="false" ht="15" hidden="false" customHeight="true" outlineLevel="1" collapsed="false">
      <c r="A963" s="429"/>
      <c r="B963" s="429"/>
      <c r="C963" s="429"/>
      <c r="D963" s="430"/>
      <c r="E963" s="431"/>
      <c r="F963" s="431"/>
      <c r="G963" s="429"/>
      <c r="H963" s="432"/>
      <c r="I963" s="432"/>
      <c r="J963" s="432"/>
      <c r="K963" s="328"/>
      <c r="L963" s="396"/>
      <c r="M963" s="396"/>
      <c r="N963" s="396"/>
      <c r="O963" s="396"/>
      <c r="P963" s="396"/>
      <c r="Q963" s="328"/>
      <c r="R963" s="328"/>
      <c r="S963" s="328"/>
      <c r="T963" s="328"/>
      <c r="U963" s="328"/>
      <c r="V963" s="328"/>
    </row>
    <row r="964" customFormat="false" ht="15" hidden="false" customHeight="true" outlineLevel="1" collapsed="false">
      <c r="A964" s="429"/>
      <c r="B964" s="429"/>
      <c r="C964" s="429"/>
      <c r="D964" s="430"/>
      <c r="E964" s="431"/>
      <c r="F964" s="431"/>
      <c r="G964" s="429"/>
      <c r="H964" s="432"/>
      <c r="I964" s="432"/>
      <c r="J964" s="432"/>
      <c r="K964" s="328"/>
      <c r="L964" s="396"/>
      <c r="M964" s="396"/>
      <c r="N964" s="396"/>
      <c r="O964" s="396"/>
      <c r="P964" s="396"/>
      <c r="Q964" s="328"/>
      <c r="R964" s="328"/>
      <c r="S964" s="328"/>
      <c r="T964" s="328"/>
      <c r="U964" s="328"/>
      <c r="V964" s="328"/>
    </row>
    <row r="965" customFormat="false" ht="15" hidden="false" customHeight="true" outlineLevel="1" collapsed="false">
      <c r="A965" s="429"/>
      <c r="B965" s="429"/>
      <c r="C965" s="429"/>
      <c r="D965" s="430"/>
      <c r="E965" s="431"/>
      <c r="F965" s="431"/>
      <c r="G965" s="429"/>
      <c r="H965" s="432"/>
      <c r="I965" s="432"/>
      <c r="J965" s="432"/>
      <c r="K965" s="328"/>
      <c r="L965" s="396"/>
      <c r="M965" s="396"/>
      <c r="N965" s="396"/>
      <c r="O965" s="396"/>
      <c r="P965" s="396"/>
      <c r="Q965" s="328"/>
      <c r="R965" s="328"/>
      <c r="S965" s="328"/>
      <c r="T965" s="328"/>
      <c r="U965" s="328"/>
      <c r="V965" s="328"/>
    </row>
    <row r="966" customFormat="false" ht="15" hidden="false" customHeight="true" outlineLevel="1" collapsed="false">
      <c r="A966" s="429"/>
      <c r="B966" s="429"/>
      <c r="C966" s="429"/>
      <c r="D966" s="430"/>
      <c r="E966" s="431"/>
      <c r="F966" s="431"/>
      <c r="G966" s="429"/>
      <c r="H966" s="432"/>
      <c r="I966" s="432"/>
      <c r="J966" s="432"/>
      <c r="K966" s="328"/>
      <c r="L966" s="396"/>
      <c r="M966" s="396"/>
      <c r="N966" s="396"/>
      <c r="O966" s="396"/>
      <c r="P966" s="396"/>
      <c r="Q966" s="328"/>
      <c r="R966" s="328"/>
      <c r="S966" s="328"/>
      <c r="T966" s="328"/>
      <c r="U966" s="328"/>
      <c r="V966" s="328"/>
    </row>
    <row r="967" customFormat="false" ht="15" hidden="false" customHeight="true" outlineLevel="1" collapsed="false">
      <c r="A967" s="429"/>
      <c r="B967" s="429"/>
      <c r="C967" s="429"/>
      <c r="D967" s="430"/>
      <c r="E967" s="431"/>
      <c r="F967" s="431"/>
      <c r="G967" s="429"/>
      <c r="H967" s="432"/>
      <c r="I967" s="432"/>
      <c r="J967" s="432"/>
      <c r="K967" s="328"/>
      <c r="L967" s="396"/>
      <c r="M967" s="396"/>
      <c r="N967" s="396"/>
      <c r="O967" s="396"/>
      <c r="P967" s="396"/>
      <c r="Q967" s="328"/>
      <c r="R967" s="328"/>
      <c r="S967" s="328"/>
      <c r="T967" s="328"/>
      <c r="U967" s="328"/>
      <c r="V967" s="328"/>
    </row>
    <row r="968" customFormat="false" ht="15" hidden="false" customHeight="true" outlineLevel="1" collapsed="false">
      <c r="A968" s="429"/>
      <c r="B968" s="429"/>
      <c r="C968" s="429"/>
      <c r="D968" s="430"/>
      <c r="E968" s="431"/>
      <c r="F968" s="431"/>
      <c r="G968" s="429"/>
      <c r="H968" s="432"/>
      <c r="I968" s="432"/>
      <c r="J968" s="432"/>
      <c r="K968" s="328"/>
      <c r="L968" s="396"/>
      <c r="M968" s="396"/>
      <c r="N968" s="396"/>
      <c r="O968" s="396"/>
      <c r="P968" s="396"/>
      <c r="Q968" s="328"/>
      <c r="R968" s="328"/>
      <c r="S968" s="328"/>
      <c r="T968" s="328"/>
      <c r="U968" s="328"/>
      <c r="V968" s="328"/>
    </row>
    <row r="969" customFormat="false" ht="15" hidden="false" customHeight="true" outlineLevel="1" collapsed="false">
      <c r="A969" s="429"/>
      <c r="B969" s="429"/>
      <c r="C969" s="429"/>
      <c r="D969" s="430"/>
      <c r="E969" s="431"/>
      <c r="F969" s="431"/>
      <c r="G969" s="429"/>
      <c r="H969" s="432"/>
      <c r="I969" s="432"/>
      <c r="J969" s="432"/>
      <c r="K969" s="328"/>
      <c r="L969" s="396"/>
      <c r="M969" s="396"/>
      <c r="N969" s="396"/>
      <c r="O969" s="396"/>
      <c r="P969" s="396"/>
      <c r="Q969" s="328"/>
      <c r="R969" s="328"/>
      <c r="S969" s="328"/>
      <c r="T969" s="328"/>
      <c r="U969" s="328"/>
      <c r="V969" s="328"/>
    </row>
    <row r="970" customFormat="false" ht="15" hidden="false" customHeight="true" outlineLevel="1" collapsed="false">
      <c r="A970" s="429"/>
      <c r="B970" s="429"/>
      <c r="C970" s="429"/>
      <c r="D970" s="430"/>
      <c r="E970" s="431"/>
      <c r="F970" s="431"/>
      <c r="G970" s="429"/>
      <c r="H970" s="432"/>
      <c r="I970" s="432"/>
      <c r="J970" s="432"/>
      <c r="K970" s="328"/>
      <c r="L970" s="396"/>
      <c r="M970" s="396"/>
      <c r="N970" s="396"/>
      <c r="O970" s="396"/>
      <c r="P970" s="396"/>
      <c r="Q970" s="328"/>
      <c r="R970" s="328"/>
      <c r="S970" s="328"/>
      <c r="T970" s="328"/>
      <c r="U970" s="328"/>
      <c r="V970" s="328"/>
    </row>
    <row r="971" customFormat="false" ht="15" hidden="false" customHeight="true" outlineLevel="1" collapsed="false">
      <c r="A971" s="429"/>
      <c r="B971" s="429"/>
      <c r="C971" s="429"/>
      <c r="D971" s="430"/>
      <c r="E971" s="431"/>
      <c r="F971" s="431"/>
      <c r="G971" s="429"/>
      <c r="H971" s="432"/>
      <c r="I971" s="432"/>
      <c r="J971" s="432"/>
      <c r="K971" s="328"/>
      <c r="L971" s="396"/>
      <c r="M971" s="396"/>
      <c r="N971" s="396"/>
      <c r="O971" s="396"/>
      <c r="P971" s="396"/>
      <c r="Q971" s="328"/>
      <c r="R971" s="328"/>
      <c r="S971" s="328"/>
      <c r="T971" s="328"/>
      <c r="U971" s="328"/>
      <c r="V971" s="328"/>
    </row>
    <row r="972" customFormat="false" ht="15" hidden="false" customHeight="true" outlineLevel="1" collapsed="false">
      <c r="A972" s="429"/>
      <c r="B972" s="429"/>
      <c r="C972" s="429"/>
      <c r="D972" s="430"/>
      <c r="E972" s="431"/>
      <c r="F972" s="431"/>
      <c r="G972" s="429"/>
      <c r="H972" s="432"/>
      <c r="I972" s="432"/>
      <c r="J972" s="432"/>
      <c r="K972" s="328"/>
      <c r="L972" s="396"/>
      <c r="M972" s="396"/>
      <c r="N972" s="396"/>
      <c r="O972" s="396"/>
      <c r="P972" s="396"/>
      <c r="Q972" s="328"/>
      <c r="R972" s="328"/>
      <c r="S972" s="328"/>
      <c r="T972" s="328"/>
      <c r="U972" s="328"/>
      <c r="V972" s="328"/>
    </row>
    <row r="973" customFormat="false" ht="15" hidden="false" customHeight="true" outlineLevel="1" collapsed="false">
      <c r="A973" s="429"/>
      <c r="B973" s="429"/>
      <c r="C973" s="429"/>
      <c r="D973" s="430"/>
      <c r="E973" s="431"/>
      <c r="F973" s="431"/>
      <c r="G973" s="429"/>
      <c r="H973" s="432"/>
      <c r="I973" s="432"/>
      <c r="J973" s="432"/>
      <c r="K973" s="328"/>
      <c r="L973" s="396"/>
      <c r="M973" s="396"/>
      <c r="N973" s="396"/>
      <c r="O973" s="396"/>
      <c r="P973" s="396"/>
      <c r="Q973" s="328"/>
      <c r="R973" s="328"/>
      <c r="S973" s="328"/>
      <c r="T973" s="328"/>
      <c r="U973" s="328"/>
      <c r="V973" s="328"/>
    </row>
    <row r="974" customFormat="false" ht="15" hidden="false" customHeight="true" outlineLevel="1" collapsed="false">
      <c r="A974" s="429"/>
      <c r="B974" s="429"/>
      <c r="C974" s="429"/>
      <c r="D974" s="430"/>
      <c r="E974" s="431"/>
      <c r="F974" s="431"/>
      <c r="G974" s="429"/>
      <c r="H974" s="432"/>
      <c r="I974" s="432"/>
      <c r="J974" s="432"/>
      <c r="K974" s="328"/>
      <c r="L974" s="396"/>
      <c r="M974" s="396"/>
      <c r="N974" s="396"/>
      <c r="O974" s="396"/>
      <c r="P974" s="396"/>
      <c r="Q974" s="328"/>
      <c r="R974" s="328"/>
      <c r="S974" s="328"/>
      <c r="T974" s="328"/>
      <c r="U974" s="328"/>
      <c r="V974" s="328"/>
    </row>
    <row r="975" customFormat="false" ht="15" hidden="false" customHeight="true" outlineLevel="1" collapsed="false">
      <c r="A975" s="429"/>
      <c r="B975" s="429"/>
      <c r="C975" s="429"/>
      <c r="D975" s="430"/>
      <c r="E975" s="431"/>
      <c r="F975" s="431"/>
      <c r="G975" s="429"/>
      <c r="H975" s="432"/>
      <c r="I975" s="432"/>
      <c r="J975" s="432"/>
      <c r="K975" s="328"/>
      <c r="L975" s="396"/>
      <c r="M975" s="396"/>
      <c r="N975" s="396"/>
      <c r="O975" s="396"/>
      <c r="P975" s="396"/>
      <c r="Q975" s="328"/>
      <c r="R975" s="328"/>
      <c r="S975" s="328"/>
      <c r="T975" s="328"/>
      <c r="U975" s="328"/>
      <c r="V975" s="328"/>
    </row>
    <row r="976" customFormat="false" ht="15" hidden="false" customHeight="true" outlineLevel="1" collapsed="false">
      <c r="A976" s="429"/>
      <c r="B976" s="429"/>
      <c r="C976" s="429"/>
      <c r="D976" s="430"/>
      <c r="E976" s="431"/>
      <c r="F976" s="431"/>
      <c r="G976" s="429"/>
      <c r="H976" s="432"/>
      <c r="I976" s="432"/>
      <c r="J976" s="432"/>
      <c r="K976" s="328"/>
      <c r="L976" s="396"/>
      <c r="M976" s="396"/>
      <c r="N976" s="396"/>
      <c r="O976" s="396"/>
      <c r="P976" s="396"/>
      <c r="Q976" s="328"/>
      <c r="R976" s="328"/>
      <c r="S976" s="328"/>
      <c r="T976" s="328"/>
      <c r="U976" s="328"/>
      <c r="V976" s="328"/>
    </row>
    <row r="977" customFormat="false" ht="15" hidden="false" customHeight="true" outlineLevel="1" collapsed="false">
      <c r="A977" s="429"/>
      <c r="B977" s="429"/>
      <c r="C977" s="429"/>
      <c r="D977" s="430"/>
      <c r="E977" s="431"/>
      <c r="F977" s="431"/>
      <c r="G977" s="429"/>
      <c r="H977" s="432"/>
      <c r="I977" s="432"/>
      <c r="J977" s="432"/>
      <c r="K977" s="328"/>
      <c r="L977" s="396"/>
      <c r="M977" s="396"/>
      <c r="N977" s="396"/>
      <c r="O977" s="396"/>
      <c r="P977" s="396"/>
      <c r="Q977" s="328"/>
      <c r="R977" s="328"/>
      <c r="S977" s="328"/>
      <c r="T977" s="328"/>
      <c r="U977" s="328"/>
      <c r="V977" s="328"/>
    </row>
    <row r="978" customFormat="false" ht="15" hidden="false" customHeight="true" outlineLevel="1" collapsed="false">
      <c r="A978" s="429"/>
      <c r="B978" s="429"/>
      <c r="C978" s="429"/>
      <c r="D978" s="430"/>
      <c r="E978" s="431"/>
      <c r="F978" s="431"/>
      <c r="G978" s="429"/>
      <c r="H978" s="432"/>
      <c r="I978" s="432"/>
      <c r="J978" s="432"/>
      <c r="K978" s="328"/>
      <c r="L978" s="396"/>
      <c r="M978" s="396"/>
      <c r="N978" s="396"/>
      <c r="O978" s="396"/>
      <c r="P978" s="396"/>
      <c r="Q978" s="328"/>
      <c r="R978" s="328"/>
      <c r="S978" s="328"/>
      <c r="T978" s="328"/>
      <c r="U978" s="328"/>
      <c r="V978" s="328"/>
    </row>
    <row r="979" customFormat="false" ht="15" hidden="false" customHeight="true" outlineLevel="1" collapsed="false">
      <c r="A979" s="429"/>
      <c r="B979" s="429"/>
      <c r="C979" s="429"/>
      <c r="D979" s="430"/>
      <c r="E979" s="431"/>
      <c r="F979" s="431"/>
      <c r="G979" s="429"/>
      <c r="H979" s="432"/>
      <c r="I979" s="432"/>
      <c r="J979" s="432"/>
      <c r="K979" s="328"/>
      <c r="L979" s="396"/>
      <c r="M979" s="396"/>
      <c r="N979" s="396"/>
      <c r="O979" s="396"/>
      <c r="P979" s="396"/>
      <c r="Q979" s="328"/>
      <c r="R979" s="328"/>
      <c r="S979" s="328"/>
      <c r="T979" s="328"/>
      <c r="U979" s="328"/>
      <c r="V979" s="328"/>
    </row>
    <row r="980" customFormat="false" ht="15" hidden="false" customHeight="true" outlineLevel="1" collapsed="false">
      <c r="A980" s="429"/>
      <c r="B980" s="429"/>
      <c r="C980" s="429"/>
      <c r="D980" s="430"/>
      <c r="E980" s="431"/>
      <c r="F980" s="431"/>
      <c r="G980" s="429"/>
      <c r="H980" s="432"/>
      <c r="I980" s="432"/>
      <c r="J980" s="432"/>
      <c r="K980" s="328"/>
      <c r="L980" s="396"/>
      <c r="M980" s="396"/>
      <c r="N980" s="396"/>
      <c r="O980" s="396"/>
      <c r="P980" s="396"/>
      <c r="Q980" s="328"/>
      <c r="R980" s="328"/>
      <c r="S980" s="328"/>
      <c r="T980" s="328"/>
      <c r="U980" s="328"/>
      <c r="V980" s="328"/>
    </row>
    <row r="981" customFormat="false" ht="15" hidden="false" customHeight="true" outlineLevel="1" collapsed="false">
      <c r="A981" s="429"/>
      <c r="B981" s="429"/>
      <c r="C981" s="429"/>
      <c r="D981" s="430"/>
      <c r="E981" s="431"/>
      <c r="F981" s="431"/>
      <c r="G981" s="429"/>
      <c r="H981" s="432"/>
      <c r="I981" s="432"/>
      <c r="J981" s="432"/>
      <c r="K981" s="328"/>
      <c r="L981" s="396"/>
      <c r="M981" s="396"/>
      <c r="N981" s="396"/>
      <c r="O981" s="396"/>
      <c r="P981" s="396"/>
      <c r="Q981" s="328"/>
      <c r="R981" s="328"/>
      <c r="S981" s="328"/>
      <c r="T981" s="328"/>
      <c r="U981" s="328"/>
      <c r="V981" s="328"/>
    </row>
    <row r="982" customFormat="false" ht="15" hidden="false" customHeight="true" outlineLevel="1" collapsed="false">
      <c r="A982" s="429"/>
      <c r="B982" s="429"/>
      <c r="C982" s="429"/>
      <c r="D982" s="430"/>
      <c r="E982" s="431"/>
      <c r="F982" s="431"/>
      <c r="G982" s="429"/>
      <c r="H982" s="432"/>
      <c r="I982" s="432"/>
      <c r="J982" s="432"/>
      <c r="K982" s="328"/>
      <c r="L982" s="396"/>
      <c r="M982" s="396"/>
      <c r="N982" s="396"/>
      <c r="O982" s="396"/>
      <c r="P982" s="396"/>
      <c r="Q982" s="328"/>
      <c r="R982" s="328"/>
      <c r="S982" s="328"/>
      <c r="T982" s="328"/>
      <c r="U982" s="328"/>
      <c r="V982" s="328"/>
    </row>
    <row r="983" customFormat="false" ht="15" hidden="false" customHeight="true" outlineLevel="1" collapsed="false">
      <c r="A983" s="429"/>
      <c r="B983" s="429"/>
      <c r="C983" s="429"/>
      <c r="D983" s="430"/>
      <c r="E983" s="431"/>
      <c r="F983" s="431"/>
      <c r="G983" s="429"/>
      <c r="H983" s="432"/>
      <c r="I983" s="432"/>
      <c r="J983" s="432"/>
      <c r="K983" s="328"/>
      <c r="L983" s="396"/>
      <c r="M983" s="396"/>
      <c r="N983" s="396"/>
      <c r="O983" s="396"/>
      <c r="P983" s="396"/>
      <c r="Q983" s="328"/>
      <c r="R983" s="328"/>
      <c r="S983" s="328"/>
      <c r="T983" s="328"/>
      <c r="U983" s="328"/>
      <c r="V983" s="328"/>
    </row>
    <row r="984" customFormat="false" ht="15" hidden="false" customHeight="true" outlineLevel="1" collapsed="false">
      <c r="A984" s="429"/>
      <c r="B984" s="429"/>
      <c r="C984" s="429"/>
      <c r="D984" s="430"/>
      <c r="E984" s="431"/>
      <c r="F984" s="431"/>
      <c r="G984" s="429"/>
      <c r="H984" s="432"/>
      <c r="I984" s="432"/>
      <c r="J984" s="432"/>
      <c r="K984" s="328"/>
      <c r="L984" s="396"/>
      <c r="M984" s="396"/>
      <c r="N984" s="396"/>
      <c r="O984" s="396"/>
      <c r="P984" s="396"/>
      <c r="Q984" s="328"/>
      <c r="R984" s="328"/>
      <c r="S984" s="328"/>
      <c r="T984" s="328"/>
      <c r="U984" s="328"/>
      <c r="V984" s="328"/>
    </row>
    <row r="985" customFormat="false" ht="15" hidden="false" customHeight="true" outlineLevel="1" collapsed="false">
      <c r="A985" s="429"/>
      <c r="B985" s="429"/>
      <c r="C985" s="429"/>
      <c r="D985" s="430"/>
      <c r="E985" s="431"/>
      <c r="F985" s="431"/>
      <c r="G985" s="429"/>
      <c r="H985" s="432"/>
      <c r="I985" s="432"/>
      <c r="J985" s="432"/>
      <c r="K985" s="328"/>
      <c r="L985" s="396"/>
      <c r="M985" s="396"/>
      <c r="N985" s="396"/>
      <c r="O985" s="396"/>
      <c r="P985" s="396"/>
      <c r="Q985" s="328"/>
      <c r="R985" s="328"/>
      <c r="S985" s="328"/>
      <c r="T985" s="328"/>
      <c r="U985" s="328"/>
      <c r="V985" s="328"/>
    </row>
    <row r="986" customFormat="false" ht="15" hidden="false" customHeight="true" outlineLevel="1" collapsed="false">
      <c r="A986" s="429"/>
      <c r="B986" s="429"/>
      <c r="C986" s="429"/>
      <c r="D986" s="430"/>
      <c r="E986" s="431"/>
      <c r="F986" s="431"/>
      <c r="G986" s="429"/>
      <c r="H986" s="432"/>
      <c r="I986" s="432"/>
      <c r="J986" s="432"/>
      <c r="K986" s="328"/>
      <c r="L986" s="396"/>
      <c r="M986" s="396"/>
      <c r="N986" s="396"/>
      <c r="O986" s="396"/>
      <c r="P986" s="396"/>
      <c r="Q986" s="328"/>
      <c r="R986" s="328"/>
      <c r="S986" s="328"/>
      <c r="T986" s="328"/>
      <c r="U986" s="328"/>
      <c r="V986" s="328"/>
    </row>
    <row r="987" customFormat="false" ht="15" hidden="false" customHeight="true" outlineLevel="1" collapsed="false">
      <c r="A987" s="429"/>
      <c r="B987" s="429"/>
      <c r="C987" s="429"/>
      <c r="D987" s="430"/>
      <c r="E987" s="431"/>
      <c r="F987" s="431"/>
      <c r="G987" s="429"/>
      <c r="H987" s="432"/>
      <c r="I987" s="432"/>
      <c r="J987" s="432"/>
      <c r="K987" s="328"/>
      <c r="L987" s="396"/>
      <c r="M987" s="396"/>
      <c r="N987" s="396"/>
      <c r="O987" s="396"/>
      <c r="P987" s="396"/>
      <c r="Q987" s="328"/>
      <c r="R987" s="328"/>
      <c r="S987" s="328"/>
      <c r="T987" s="328"/>
      <c r="U987" s="328"/>
      <c r="V987" s="328"/>
    </row>
    <row r="988" customFormat="false" ht="15" hidden="false" customHeight="true" outlineLevel="1" collapsed="false">
      <c r="A988" s="429"/>
      <c r="B988" s="429"/>
      <c r="C988" s="429"/>
      <c r="D988" s="430"/>
      <c r="E988" s="431"/>
      <c r="F988" s="431"/>
      <c r="G988" s="429"/>
      <c r="H988" s="432"/>
      <c r="I988" s="432"/>
      <c r="J988" s="432"/>
      <c r="K988" s="328"/>
      <c r="L988" s="396"/>
      <c r="M988" s="396"/>
      <c r="N988" s="396"/>
      <c r="O988" s="396"/>
      <c r="P988" s="396"/>
      <c r="Q988" s="328"/>
      <c r="R988" s="328"/>
      <c r="S988" s="328"/>
      <c r="T988" s="328"/>
      <c r="U988" s="328"/>
      <c r="V988" s="328"/>
    </row>
    <row r="989" customFormat="false" ht="15" hidden="false" customHeight="true" outlineLevel="1" collapsed="false">
      <c r="A989" s="429"/>
      <c r="B989" s="429"/>
      <c r="C989" s="429"/>
      <c r="D989" s="430"/>
      <c r="E989" s="431"/>
      <c r="F989" s="431"/>
      <c r="G989" s="429"/>
      <c r="H989" s="432"/>
      <c r="I989" s="432"/>
      <c r="J989" s="432"/>
      <c r="K989" s="328"/>
      <c r="L989" s="396"/>
      <c r="M989" s="396"/>
      <c r="N989" s="396"/>
      <c r="O989" s="396"/>
      <c r="P989" s="396"/>
      <c r="Q989" s="328"/>
      <c r="R989" s="328"/>
      <c r="S989" s="328"/>
      <c r="T989" s="328"/>
      <c r="U989" s="328"/>
      <c r="V989" s="328"/>
    </row>
    <row r="990" customFormat="false" ht="15" hidden="false" customHeight="true" outlineLevel="1" collapsed="false">
      <c r="A990" s="429"/>
      <c r="B990" s="429"/>
      <c r="C990" s="429"/>
      <c r="D990" s="430"/>
      <c r="E990" s="431"/>
      <c r="F990" s="431"/>
      <c r="G990" s="429"/>
      <c r="H990" s="432"/>
      <c r="I990" s="432"/>
      <c r="J990" s="432"/>
      <c r="K990" s="328"/>
      <c r="L990" s="396"/>
      <c r="M990" s="396"/>
      <c r="N990" s="396"/>
      <c r="O990" s="396"/>
      <c r="P990" s="396"/>
      <c r="Q990" s="328"/>
      <c r="R990" s="328"/>
      <c r="S990" s="328"/>
      <c r="T990" s="328"/>
      <c r="U990" s="328"/>
      <c r="V990" s="328"/>
    </row>
    <row r="991" customFormat="false" ht="15" hidden="false" customHeight="true" outlineLevel="1" collapsed="false">
      <c r="A991" s="429"/>
      <c r="B991" s="429"/>
      <c r="C991" s="429"/>
      <c r="D991" s="430"/>
      <c r="E991" s="431"/>
      <c r="F991" s="431"/>
      <c r="G991" s="429"/>
      <c r="H991" s="432"/>
      <c r="I991" s="432"/>
      <c r="J991" s="432"/>
      <c r="K991" s="328"/>
      <c r="L991" s="396"/>
      <c r="M991" s="396"/>
      <c r="N991" s="396"/>
      <c r="O991" s="396"/>
      <c r="P991" s="396"/>
      <c r="Q991" s="328"/>
      <c r="R991" s="328"/>
      <c r="S991" s="328"/>
      <c r="T991" s="328"/>
      <c r="U991" s="328"/>
      <c r="V991" s="328"/>
    </row>
    <row r="992" customFormat="false" ht="15" hidden="false" customHeight="true" outlineLevel="1" collapsed="false">
      <c r="A992" s="429"/>
      <c r="B992" s="429"/>
      <c r="C992" s="429"/>
      <c r="D992" s="430"/>
      <c r="E992" s="431"/>
      <c r="F992" s="431"/>
      <c r="G992" s="429"/>
      <c r="H992" s="432"/>
      <c r="I992" s="432"/>
      <c r="J992" s="432"/>
      <c r="K992" s="328"/>
      <c r="L992" s="396"/>
      <c r="M992" s="396"/>
      <c r="N992" s="396"/>
      <c r="O992" s="396"/>
      <c r="P992" s="396"/>
      <c r="Q992" s="328"/>
      <c r="R992" s="328"/>
      <c r="S992" s="328"/>
      <c r="T992" s="328"/>
      <c r="U992" s="328"/>
      <c r="V992" s="328"/>
    </row>
    <row r="993" customFormat="false" ht="15" hidden="false" customHeight="true" outlineLevel="1" collapsed="false">
      <c r="A993" s="429"/>
      <c r="B993" s="429"/>
      <c r="C993" s="429"/>
      <c r="D993" s="430"/>
      <c r="E993" s="431"/>
      <c r="F993" s="431"/>
      <c r="G993" s="429"/>
      <c r="H993" s="432"/>
      <c r="I993" s="432"/>
      <c r="J993" s="432"/>
      <c r="K993" s="328"/>
      <c r="L993" s="396"/>
      <c r="M993" s="396"/>
      <c r="N993" s="396"/>
      <c r="O993" s="396"/>
      <c r="P993" s="396"/>
      <c r="Q993" s="328"/>
      <c r="R993" s="328"/>
      <c r="S993" s="328"/>
      <c r="T993" s="328"/>
      <c r="U993" s="328"/>
      <c r="V993" s="328"/>
    </row>
    <row r="994" customFormat="false" ht="15" hidden="false" customHeight="true" outlineLevel="1" collapsed="false">
      <c r="A994" s="429"/>
      <c r="B994" s="429"/>
      <c r="C994" s="429"/>
      <c r="D994" s="430"/>
      <c r="E994" s="431"/>
      <c r="F994" s="431"/>
      <c r="G994" s="429"/>
      <c r="H994" s="432"/>
      <c r="I994" s="432"/>
      <c r="J994" s="432"/>
      <c r="K994" s="328"/>
      <c r="L994" s="396"/>
      <c r="M994" s="396"/>
      <c r="N994" s="396"/>
      <c r="O994" s="396"/>
      <c r="P994" s="396"/>
      <c r="Q994" s="328"/>
      <c r="R994" s="328"/>
      <c r="S994" s="328"/>
      <c r="T994" s="328"/>
      <c r="U994" s="328"/>
      <c r="V994" s="328"/>
    </row>
    <row r="995" customFormat="false" ht="15" hidden="false" customHeight="true" outlineLevel="1" collapsed="false">
      <c r="A995" s="429"/>
      <c r="B995" s="429"/>
      <c r="C995" s="429"/>
      <c r="D995" s="430"/>
      <c r="E995" s="431"/>
      <c r="F995" s="431"/>
      <c r="G995" s="429"/>
      <c r="H995" s="432"/>
      <c r="I995" s="432"/>
      <c r="J995" s="432"/>
      <c r="K995" s="328"/>
      <c r="L995" s="396"/>
      <c r="M995" s="396"/>
      <c r="N995" s="396"/>
      <c r="O995" s="396"/>
      <c r="P995" s="396"/>
      <c r="Q995" s="328"/>
      <c r="R995" s="328"/>
      <c r="S995" s="328"/>
      <c r="T995" s="328"/>
      <c r="U995" s="328"/>
      <c r="V995" s="328"/>
    </row>
    <row r="996" customFormat="false" ht="15" hidden="false" customHeight="true" outlineLevel="1" collapsed="false">
      <c r="A996" s="429"/>
      <c r="B996" s="429"/>
      <c r="C996" s="429"/>
      <c r="D996" s="430"/>
      <c r="E996" s="431"/>
      <c r="F996" s="431"/>
      <c r="G996" s="429"/>
      <c r="H996" s="432"/>
      <c r="I996" s="432"/>
      <c r="J996" s="432"/>
      <c r="K996" s="328"/>
      <c r="L996" s="396"/>
      <c r="M996" s="396"/>
      <c r="N996" s="396"/>
      <c r="O996" s="396"/>
      <c r="P996" s="396"/>
      <c r="Q996" s="328"/>
      <c r="R996" s="328"/>
      <c r="S996" s="328"/>
      <c r="T996" s="328"/>
      <c r="U996" s="328"/>
      <c r="V996" s="328"/>
    </row>
    <row r="997" customFormat="false" ht="15" hidden="false" customHeight="true" outlineLevel="1" collapsed="false">
      <c r="A997" s="429"/>
      <c r="B997" s="429"/>
      <c r="C997" s="429"/>
      <c r="D997" s="430"/>
      <c r="E997" s="431"/>
      <c r="F997" s="431"/>
      <c r="G997" s="429"/>
      <c r="H997" s="432"/>
      <c r="I997" s="432"/>
      <c r="J997" s="432"/>
      <c r="K997" s="328"/>
      <c r="L997" s="396"/>
      <c r="M997" s="396"/>
      <c r="N997" s="396"/>
      <c r="O997" s="396"/>
      <c r="P997" s="396"/>
      <c r="Q997" s="328"/>
      <c r="R997" s="328"/>
      <c r="S997" s="328"/>
      <c r="T997" s="328"/>
      <c r="U997" s="328"/>
      <c r="V997" s="328"/>
    </row>
    <row r="998" customFormat="false" ht="15" hidden="false" customHeight="true" outlineLevel="1" collapsed="false">
      <c r="A998" s="429"/>
      <c r="B998" s="429"/>
      <c r="C998" s="429"/>
      <c r="D998" s="430"/>
      <c r="E998" s="431"/>
      <c r="F998" s="431"/>
      <c r="G998" s="429"/>
      <c r="H998" s="432"/>
      <c r="I998" s="432"/>
      <c r="J998" s="432"/>
      <c r="K998" s="328"/>
      <c r="L998" s="396"/>
      <c r="M998" s="396"/>
      <c r="N998" s="396"/>
      <c r="O998" s="396"/>
      <c r="P998" s="396"/>
      <c r="Q998" s="328"/>
      <c r="R998" s="328"/>
      <c r="S998" s="328"/>
      <c r="T998" s="328"/>
      <c r="U998" s="328"/>
      <c r="V998" s="328"/>
    </row>
    <row r="999" customFormat="false" ht="15" hidden="false" customHeight="true" outlineLevel="1" collapsed="false">
      <c r="A999" s="429"/>
      <c r="B999" s="429"/>
      <c r="C999" s="429"/>
      <c r="D999" s="430"/>
      <c r="E999" s="431"/>
      <c r="F999" s="431"/>
      <c r="G999" s="429"/>
      <c r="H999" s="432"/>
      <c r="I999" s="432"/>
      <c r="J999" s="432"/>
      <c r="K999" s="328"/>
      <c r="L999" s="396"/>
      <c r="M999" s="396"/>
      <c r="N999" s="396"/>
      <c r="O999" s="396"/>
      <c r="P999" s="396"/>
      <c r="Q999" s="328"/>
      <c r="R999" s="328"/>
      <c r="S999" s="328"/>
      <c r="T999" s="328"/>
      <c r="U999" s="328"/>
      <c r="V999" s="328"/>
    </row>
    <row r="1000" customFormat="false" ht="15" hidden="false" customHeight="true" outlineLevel="1" collapsed="false">
      <c r="A1000" s="429"/>
      <c r="B1000" s="429"/>
      <c r="C1000" s="429"/>
      <c r="D1000" s="430"/>
      <c r="E1000" s="431"/>
      <c r="F1000" s="431"/>
      <c r="G1000" s="429"/>
      <c r="H1000" s="432"/>
      <c r="I1000" s="432"/>
      <c r="J1000" s="432"/>
      <c r="K1000" s="328"/>
      <c r="L1000" s="396"/>
      <c r="M1000" s="396"/>
      <c r="N1000" s="396"/>
      <c r="O1000" s="396"/>
      <c r="P1000" s="396"/>
      <c r="Q1000" s="328"/>
      <c r="R1000" s="328"/>
      <c r="S1000" s="328"/>
      <c r="T1000" s="328"/>
      <c r="U1000" s="328"/>
      <c r="V1000" s="328"/>
    </row>
    <row r="1001" customFormat="false" ht="15" hidden="false" customHeight="true" outlineLevel="1" collapsed="false">
      <c r="A1001" s="429"/>
      <c r="B1001" s="429"/>
      <c r="C1001" s="429"/>
      <c r="D1001" s="430"/>
      <c r="E1001" s="431"/>
      <c r="F1001" s="431"/>
      <c r="G1001" s="429"/>
      <c r="H1001" s="432"/>
      <c r="I1001" s="432"/>
      <c r="J1001" s="432"/>
      <c r="K1001" s="328"/>
      <c r="L1001" s="396"/>
      <c r="M1001" s="396"/>
      <c r="N1001" s="396"/>
      <c r="O1001" s="396"/>
      <c r="P1001" s="396"/>
      <c r="Q1001" s="328"/>
      <c r="R1001" s="328"/>
      <c r="S1001" s="328"/>
      <c r="T1001" s="328"/>
      <c r="U1001" s="328"/>
      <c r="V1001" s="328"/>
    </row>
    <row r="1002" customFormat="false" ht="15" hidden="false" customHeight="true" outlineLevel="1" collapsed="false">
      <c r="A1002" s="429"/>
      <c r="B1002" s="429"/>
      <c r="C1002" s="429"/>
      <c r="D1002" s="430"/>
      <c r="E1002" s="431"/>
      <c r="F1002" s="431"/>
      <c r="G1002" s="429"/>
      <c r="H1002" s="432"/>
      <c r="I1002" s="432"/>
      <c r="J1002" s="432"/>
      <c r="K1002" s="328"/>
      <c r="L1002" s="396"/>
      <c r="M1002" s="396"/>
      <c r="N1002" s="396"/>
      <c r="O1002" s="396"/>
      <c r="P1002" s="396"/>
      <c r="Q1002" s="328"/>
      <c r="R1002" s="328"/>
      <c r="S1002" s="328"/>
      <c r="T1002" s="328"/>
      <c r="U1002" s="328"/>
      <c r="V1002" s="328"/>
    </row>
    <row r="1003" customFormat="false" ht="15" hidden="false" customHeight="true" outlineLevel="1" collapsed="false">
      <c r="A1003" s="429"/>
      <c r="B1003" s="429"/>
      <c r="C1003" s="429"/>
      <c r="D1003" s="430"/>
      <c r="E1003" s="431"/>
      <c r="F1003" s="431"/>
      <c r="G1003" s="429"/>
      <c r="H1003" s="432"/>
      <c r="I1003" s="432"/>
      <c r="J1003" s="432"/>
      <c r="K1003" s="328"/>
      <c r="L1003" s="396"/>
      <c r="M1003" s="396"/>
      <c r="N1003" s="396"/>
      <c r="O1003" s="396"/>
      <c r="P1003" s="396"/>
      <c r="Q1003" s="328"/>
      <c r="R1003" s="328"/>
      <c r="S1003" s="328"/>
      <c r="T1003" s="328"/>
      <c r="U1003" s="328"/>
      <c r="V1003" s="328"/>
    </row>
    <row r="1004" customFormat="false" ht="15" hidden="false" customHeight="true" outlineLevel="1" collapsed="false">
      <c r="A1004" s="429"/>
      <c r="B1004" s="429"/>
      <c r="C1004" s="429"/>
      <c r="D1004" s="430"/>
      <c r="E1004" s="431"/>
      <c r="F1004" s="431"/>
      <c r="G1004" s="429"/>
      <c r="H1004" s="432"/>
      <c r="I1004" s="432"/>
      <c r="J1004" s="432"/>
      <c r="K1004" s="328"/>
      <c r="L1004" s="396"/>
      <c r="M1004" s="396"/>
      <c r="N1004" s="396"/>
      <c r="O1004" s="396"/>
      <c r="P1004" s="396"/>
      <c r="Q1004" s="328"/>
      <c r="R1004" s="328"/>
      <c r="S1004" s="328"/>
      <c r="T1004" s="328"/>
      <c r="U1004" s="328"/>
      <c r="V1004" s="328"/>
    </row>
    <row r="1005" customFormat="false" ht="15" hidden="false" customHeight="true" outlineLevel="1" collapsed="false">
      <c r="A1005" s="429"/>
      <c r="B1005" s="429"/>
      <c r="C1005" s="429"/>
      <c r="D1005" s="430"/>
      <c r="E1005" s="431"/>
      <c r="F1005" s="431"/>
      <c r="G1005" s="429"/>
      <c r="H1005" s="432"/>
      <c r="I1005" s="432"/>
      <c r="J1005" s="432"/>
      <c r="K1005" s="328"/>
      <c r="L1005" s="396"/>
      <c r="M1005" s="396"/>
      <c r="N1005" s="396"/>
      <c r="O1005" s="396"/>
      <c r="P1005" s="396"/>
      <c r="Q1005" s="328"/>
      <c r="R1005" s="328"/>
      <c r="S1005" s="328"/>
      <c r="T1005" s="328"/>
      <c r="U1005" s="328"/>
      <c r="V1005" s="328"/>
    </row>
    <row r="1006" customFormat="false" ht="15" hidden="false" customHeight="true" outlineLevel="1" collapsed="false">
      <c r="A1006" s="429"/>
      <c r="B1006" s="429"/>
      <c r="C1006" s="429"/>
      <c r="D1006" s="430"/>
      <c r="E1006" s="431"/>
      <c r="F1006" s="431"/>
      <c r="G1006" s="429"/>
      <c r="H1006" s="432"/>
      <c r="I1006" s="432"/>
      <c r="J1006" s="432"/>
      <c r="K1006" s="328"/>
      <c r="L1006" s="396"/>
      <c r="M1006" s="396"/>
      <c r="N1006" s="396"/>
      <c r="O1006" s="396"/>
      <c r="P1006" s="396"/>
      <c r="Q1006" s="328"/>
      <c r="R1006" s="328"/>
      <c r="S1006" s="328"/>
      <c r="T1006" s="328"/>
      <c r="U1006" s="328"/>
      <c r="V1006" s="328"/>
    </row>
    <row r="1007" customFormat="false" ht="15" hidden="false" customHeight="true" outlineLevel="1" collapsed="false">
      <c r="A1007" s="429"/>
      <c r="B1007" s="429"/>
      <c r="C1007" s="429"/>
      <c r="D1007" s="430"/>
      <c r="E1007" s="431"/>
      <c r="F1007" s="431"/>
      <c r="G1007" s="429"/>
      <c r="H1007" s="432"/>
      <c r="I1007" s="432"/>
      <c r="J1007" s="432"/>
      <c r="K1007" s="328"/>
      <c r="L1007" s="396"/>
      <c r="M1007" s="396"/>
      <c r="N1007" s="396"/>
      <c r="O1007" s="396"/>
      <c r="P1007" s="396"/>
      <c r="Q1007" s="328"/>
      <c r="R1007" s="328"/>
      <c r="S1007" s="328"/>
      <c r="T1007" s="328"/>
      <c r="U1007" s="328"/>
      <c r="V1007" s="328"/>
    </row>
    <row r="1008" customFormat="false" ht="15" hidden="false" customHeight="true" outlineLevel="1" collapsed="false">
      <c r="A1008" s="429"/>
      <c r="B1008" s="429"/>
      <c r="C1008" s="429"/>
      <c r="D1008" s="430"/>
      <c r="E1008" s="431"/>
      <c r="F1008" s="431"/>
      <c r="G1008" s="429"/>
      <c r="H1008" s="432"/>
      <c r="I1008" s="432"/>
      <c r="J1008" s="432"/>
      <c r="K1008" s="328"/>
      <c r="L1008" s="396"/>
      <c r="M1008" s="396"/>
      <c r="N1008" s="396"/>
      <c r="O1008" s="396"/>
      <c r="P1008" s="396"/>
      <c r="Q1008" s="328"/>
      <c r="R1008" s="328"/>
      <c r="S1008" s="328"/>
      <c r="T1008" s="328"/>
      <c r="U1008" s="328"/>
      <c r="V1008" s="328"/>
    </row>
    <row r="1009" customFormat="false" ht="15" hidden="false" customHeight="true" outlineLevel="1" collapsed="false">
      <c r="A1009" s="429"/>
      <c r="B1009" s="429"/>
      <c r="C1009" s="429"/>
      <c r="D1009" s="430"/>
      <c r="E1009" s="431"/>
      <c r="F1009" s="431"/>
      <c r="G1009" s="429"/>
      <c r="H1009" s="432"/>
      <c r="I1009" s="432"/>
      <c r="J1009" s="432"/>
      <c r="K1009" s="328"/>
      <c r="L1009" s="396"/>
      <c r="M1009" s="396"/>
      <c r="N1009" s="396"/>
      <c r="O1009" s="396"/>
      <c r="P1009" s="396"/>
      <c r="Q1009" s="328"/>
      <c r="R1009" s="328"/>
      <c r="S1009" s="328"/>
      <c r="T1009" s="328"/>
      <c r="U1009" s="328"/>
      <c r="V1009" s="328"/>
    </row>
    <row r="1010" customFormat="false" ht="15" hidden="false" customHeight="true" outlineLevel="1" collapsed="false">
      <c r="A1010" s="429"/>
      <c r="B1010" s="429"/>
      <c r="C1010" s="429"/>
      <c r="D1010" s="430"/>
      <c r="E1010" s="431"/>
      <c r="F1010" s="431"/>
      <c r="G1010" s="429"/>
      <c r="H1010" s="432"/>
      <c r="I1010" s="432"/>
      <c r="J1010" s="432"/>
      <c r="K1010" s="328"/>
      <c r="L1010" s="396"/>
      <c r="M1010" s="396"/>
      <c r="N1010" s="396"/>
      <c r="O1010" s="396"/>
      <c r="P1010" s="396"/>
      <c r="Q1010" s="328"/>
      <c r="R1010" s="328"/>
      <c r="S1010" s="328"/>
      <c r="T1010" s="328"/>
      <c r="U1010" s="328"/>
      <c r="V1010" s="328"/>
    </row>
    <row r="1011" customFormat="false" ht="15" hidden="false" customHeight="true" outlineLevel="1" collapsed="false">
      <c r="A1011" s="429"/>
      <c r="B1011" s="429"/>
      <c r="C1011" s="429"/>
      <c r="D1011" s="430"/>
      <c r="E1011" s="431"/>
      <c r="F1011" s="431"/>
      <c r="G1011" s="429"/>
      <c r="H1011" s="432"/>
      <c r="I1011" s="432"/>
      <c r="J1011" s="432"/>
      <c r="K1011" s="328"/>
      <c r="L1011" s="396"/>
      <c r="M1011" s="396"/>
      <c r="N1011" s="396"/>
      <c r="O1011" s="396"/>
      <c r="P1011" s="396"/>
      <c r="Q1011" s="328"/>
      <c r="R1011" s="328"/>
      <c r="S1011" s="328"/>
      <c r="T1011" s="328"/>
      <c r="U1011" s="328"/>
      <c r="V1011" s="328"/>
    </row>
    <row r="1012" customFormat="false" ht="15" hidden="false" customHeight="true" outlineLevel="1" collapsed="false">
      <c r="A1012" s="429"/>
      <c r="B1012" s="429"/>
      <c r="C1012" s="429"/>
      <c r="D1012" s="430"/>
      <c r="E1012" s="431"/>
      <c r="F1012" s="431"/>
      <c r="G1012" s="429"/>
      <c r="H1012" s="432"/>
      <c r="I1012" s="432"/>
      <c r="J1012" s="432"/>
      <c r="K1012" s="328"/>
      <c r="L1012" s="396"/>
      <c r="M1012" s="396"/>
      <c r="N1012" s="396"/>
      <c r="O1012" s="396"/>
      <c r="P1012" s="396"/>
      <c r="Q1012" s="328"/>
      <c r="R1012" s="328"/>
      <c r="S1012" s="328"/>
      <c r="T1012" s="328"/>
      <c r="U1012" s="328"/>
      <c r="V1012" s="328"/>
    </row>
    <row r="1013" customFormat="false" ht="15" hidden="false" customHeight="true" outlineLevel="1" collapsed="false">
      <c r="A1013" s="429"/>
      <c r="B1013" s="429"/>
      <c r="C1013" s="429"/>
      <c r="D1013" s="430"/>
      <c r="E1013" s="431"/>
      <c r="F1013" s="431"/>
      <c r="G1013" s="429"/>
      <c r="H1013" s="432"/>
      <c r="I1013" s="432"/>
      <c r="J1013" s="432"/>
      <c r="K1013" s="328"/>
      <c r="L1013" s="396"/>
      <c r="M1013" s="396"/>
      <c r="N1013" s="396"/>
      <c r="O1013" s="396"/>
      <c r="P1013" s="396"/>
      <c r="Q1013" s="328"/>
      <c r="R1013" s="328"/>
      <c r="S1013" s="328"/>
      <c r="T1013" s="328"/>
      <c r="U1013" s="328"/>
      <c r="V1013" s="328"/>
    </row>
    <row r="1014" customFormat="false" ht="15" hidden="false" customHeight="true" outlineLevel="1" collapsed="false">
      <c r="A1014" s="429"/>
      <c r="B1014" s="429"/>
      <c r="C1014" s="429"/>
      <c r="D1014" s="430"/>
      <c r="E1014" s="431"/>
      <c r="F1014" s="431"/>
      <c r="G1014" s="429"/>
      <c r="H1014" s="432"/>
      <c r="I1014" s="432"/>
      <c r="J1014" s="432"/>
      <c r="K1014" s="328"/>
      <c r="L1014" s="396"/>
      <c r="M1014" s="396"/>
      <c r="N1014" s="396"/>
      <c r="O1014" s="396"/>
      <c r="P1014" s="396"/>
      <c r="Q1014" s="328"/>
      <c r="R1014" s="328"/>
      <c r="S1014" s="328"/>
      <c r="T1014" s="328"/>
      <c r="U1014" s="328"/>
      <c r="V1014" s="328"/>
    </row>
    <row r="1015" customFormat="false" ht="15" hidden="false" customHeight="true" outlineLevel="1" collapsed="false">
      <c r="A1015" s="429"/>
      <c r="B1015" s="429"/>
      <c r="C1015" s="429"/>
      <c r="D1015" s="430"/>
      <c r="E1015" s="431"/>
      <c r="F1015" s="431"/>
      <c r="G1015" s="429"/>
      <c r="H1015" s="432"/>
      <c r="I1015" s="432"/>
      <c r="J1015" s="432"/>
      <c r="K1015" s="328"/>
      <c r="L1015" s="396"/>
      <c r="M1015" s="396"/>
      <c r="N1015" s="396"/>
      <c r="O1015" s="396"/>
      <c r="P1015" s="396"/>
      <c r="Q1015" s="328"/>
      <c r="R1015" s="328"/>
      <c r="S1015" s="328"/>
      <c r="T1015" s="328"/>
      <c r="U1015" s="328"/>
      <c r="V1015" s="328"/>
    </row>
    <row r="1016" customFormat="false" ht="15" hidden="false" customHeight="true" outlineLevel="1" collapsed="false">
      <c r="A1016" s="429"/>
      <c r="B1016" s="429"/>
      <c r="C1016" s="429"/>
      <c r="D1016" s="430"/>
      <c r="E1016" s="431"/>
      <c r="F1016" s="431"/>
      <c r="G1016" s="429"/>
      <c r="H1016" s="432"/>
      <c r="I1016" s="432"/>
      <c r="J1016" s="432"/>
      <c r="K1016" s="328"/>
      <c r="L1016" s="396"/>
      <c r="M1016" s="396"/>
      <c r="N1016" s="396"/>
      <c r="O1016" s="396"/>
      <c r="P1016" s="396"/>
      <c r="Q1016" s="328"/>
      <c r="R1016" s="328"/>
      <c r="S1016" s="328"/>
      <c r="T1016" s="328"/>
      <c r="U1016" s="328"/>
      <c r="V1016" s="328"/>
    </row>
    <row r="1017" customFormat="false" ht="15" hidden="false" customHeight="true" outlineLevel="1" collapsed="false">
      <c r="A1017" s="429"/>
      <c r="B1017" s="429"/>
      <c r="C1017" s="429"/>
      <c r="D1017" s="430"/>
      <c r="E1017" s="431"/>
      <c r="F1017" s="431"/>
      <c r="G1017" s="429"/>
      <c r="H1017" s="432"/>
      <c r="I1017" s="432"/>
      <c r="J1017" s="432"/>
      <c r="K1017" s="328"/>
      <c r="L1017" s="396"/>
      <c r="M1017" s="396"/>
      <c r="N1017" s="396"/>
      <c r="O1017" s="396"/>
      <c r="P1017" s="396"/>
      <c r="Q1017" s="328"/>
      <c r="R1017" s="328"/>
      <c r="S1017" s="328"/>
      <c r="T1017" s="328"/>
      <c r="U1017" s="328"/>
      <c r="V1017" s="328"/>
    </row>
    <row r="1018" customFormat="false" ht="15" hidden="false" customHeight="true" outlineLevel="1" collapsed="false">
      <c r="A1018" s="429"/>
      <c r="B1018" s="429"/>
      <c r="C1018" s="429"/>
      <c r="D1018" s="430"/>
      <c r="E1018" s="431"/>
      <c r="F1018" s="431"/>
      <c r="G1018" s="429"/>
      <c r="H1018" s="432"/>
      <c r="I1018" s="432"/>
      <c r="J1018" s="432"/>
      <c r="K1018" s="328"/>
      <c r="L1018" s="396"/>
      <c r="M1018" s="396"/>
      <c r="N1018" s="396"/>
      <c r="O1018" s="396"/>
      <c r="P1018" s="396"/>
      <c r="Q1018" s="328"/>
      <c r="R1018" s="328"/>
      <c r="S1018" s="328"/>
      <c r="T1018" s="328"/>
      <c r="U1018" s="328"/>
      <c r="V1018" s="328"/>
    </row>
    <row r="1019" customFormat="false" ht="15" hidden="false" customHeight="true" outlineLevel="1" collapsed="false">
      <c r="A1019" s="429"/>
      <c r="B1019" s="429"/>
      <c r="C1019" s="429"/>
      <c r="D1019" s="430"/>
      <c r="E1019" s="431"/>
      <c r="F1019" s="431"/>
      <c r="G1019" s="429"/>
      <c r="H1019" s="432"/>
      <c r="I1019" s="432"/>
      <c r="J1019" s="432"/>
      <c r="K1019" s="328"/>
      <c r="L1019" s="396"/>
      <c r="M1019" s="396"/>
      <c r="N1019" s="396"/>
      <c r="O1019" s="396"/>
      <c r="P1019" s="396"/>
      <c r="Q1019" s="328"/>
      <c r="R1019" s="328"/>
      <c r="S1019" s="328"/>
      <c r="T1019" s="328"/>
      <c r="U1019" s="328"/>
      <c r="V1019" s="328"/>
    </row>
    <row r="1020" customFormat="false" ht="15" hidden="false" customHeight="true" outlineLevel="1" collapsed="false">
      <c r="A1020" s="429"/>
      <c r="B1020" s="429"/>
      <c r="C1020" s="429"/>
      <c r="D1020" s="430"/>
      <c r="E1020" s="431"/>
      <c r="F1020" s="431"/>
      <c r="G1020" s="429"/>
      <c r="H1020" s="432"/>
      <c r="I1020" s="432"/>
      <c r="J1020" s="432"/>
      <c r="K1020" s="328"/>
      <c r="L1020" s="396"/>
      <c r="M1020" s="396"/>
      <c r="N1020" s="396"/>
      <c r="O1020" s="396"/>
      <c r="P1020" s="396"/>
      <c r="Q1020" s="328"/>
      <c r="R1020" s="328"/>
      <c r="S1020" s="328"/>
      <c r="T1020" s="328"/>
      <c r="U1020" s="328"/>
      <c r="V1020" s="328"/>
    </row>
    <row r="1021" customFormat="false" ht="15" hidden="false" customHeight="true" outlineLevel="1" collapsed="false">
      <c r="A1021" s="429"/>
      <c r="B1021" s="429"/>
      <c r="C1021" s="429"/>
      <c r="D1021" s="430"/>
      <c r="E1021" s="431"/>
      <c r="F1021" s="431"/>
      <c r="G1021" s="429"/>
      <c r="H1021" s="432"/>
      <c r="I1021" s="432"/>
      <c r="J1021" s="432"/>
      <c r="K1021" s="328"/>
      <c r="L1021" s="396"/>
      <c r="M1021" s="396"/>
      <c r="N1021" s="396"/>
      <c r="O1021" s="396"/>
      <c r="P1021" s="396"/>
      <c r="Q1021" s="328"/>
      <c r="R1021" s="328"/>
      <c r="S1021" s="328"/>
      <c r="T1021" s="328"/>
      <c r="U1021" s="328"/>
      <c r="V1021" s="328"/>
    </row>
    <row r="1022" customFormat="false" ht="15" hidden="false" customHeight="true" outlineLevel="1" collapsed="false">
      <c r="A1022" s="429"/>
      <c r="B1022" s="429"/>
      <c r="C1022" s="429"/>
      <c r="D1022" s="430"/>
      <c r="E1022" s="431"/>
      <c r="F1022" s="431"/>
      <c r="G1022" s="429"/>
      <c r="H1022" s="432"/>
      <c r="I1022" s="432"/>
      <c r="J1022" s="432"/>
      <c r="K1022" s="328"/>
      <c r="L1022" s="396"/>
      <c r="M1022" s="396"/>
      <c r="N1022" s="396"/>
      <c r="O1022" s="396"/>
      <c r="P1022" s="396"/>
      <c r="Q1022" s="328"/>
      <c r="R1022" s="328"/>
      <c r="S1022" s="328"/>
      <c r="T1022" s="328"/>
      <c r="U1022" s="328"/>
      <c r="V1022" s="328"/>
    </row>
    <row r="1023" customFormat="false" ht="15" hidden="false" customHeight="true" outlineLevel="1" collapsed="false">
      <c r="A1023" s="429"/>
      <c r="B1023" s="429"/>
      <c r="C1023" s="429"/>
      <c r="D1023" s="430"/>
      <c r="E1023" s="431"/>
      <c r="F1023" s="431"/>
      <c r="G1023" s="429"/>
      <c r="H1023" s="432"/>
      <c r="I1023" s="432"/>
      <c r="J1023" s="432"/>
      <c r="K1023" s="328"/>
      <c r="L1023" s="396"/>
      <c r="M1023" s="396"/>
      <c r="N1023" s="396"/>
      <c r="O1023" s="396"/>
      <c r="P1023" s="396"/>
      <c r="Q1023" s="328"/>
      <c r="R1023" s="328"/>
      <c r="S1023" s="328"/>
      <c r="T1023" s="328"/>
      <c r="U1023" s="328"/>
      <c r="V1023" s="328"/>
    </row>
    <row r="1024" customFormat="false" ht="15" hidden="false" customHeight="true" outlineLevel="1" collapsed="false">
      <c r="A1024" s="429"/>
      <c r="B1024" s="429"/>
      <c r="C1024" s="429"/>
      <c r="D1024" s="430"/>
      <c r="E1024" s="431"/>
      <c r="F1024" s="431"/>
      <c r="G1024" s="429"/>
      <c r="H1024" s="432"/>
      <c r="I1024" s="432"/>
      <c r="J1024" s="432"/>
      <c r="K1024" s="328"/>
      <c r="L1024" s="396"/>
      <c r="M1024" s="396"/>
      <c r="N1024" s="396"/>
      <c r="O1024" s="396"/>
      <c r="P1024" s="396"/>
      <c r="Q1024" s="328"/>
      <c r="R1024" s="328"/>
      <c r="S1024" s="328"/>
      <c r="T1024" s="328"/>
      <c r="U1024" s="328"/>
      <c r="V1024" s="328"/>
    </row>
    <row r="1025" customFormat="false" ht="15" hidden="false" customHeight="true" outlineLevel="1" collapsed="false">
      <c r="A1025" s="429"/>
      <c r="B1025" s="429"/>
      <c r="C1025" s="429"/>
      <c r="D1025" s="430"/>
      <c r="E1025" s="431"/>
      <c r="F1025" s="431"/>
      <c r="G1025" s="429"/>
      <c r="H1025" s="432"/>
      <c r="I1025" s="432"/>
      <c r="J1025" s="432"/>
      <c r="K1025" s="328"/>
      <c r="L1025" s="396"/>
      <c r="M1025" s="396"/>
      <c r="N1025" s="396"/>
      <c r="O1025" s="396"/>
      <c r="P1025" s="396"/>
      <c r="Q1025" s="328"/>
      <c r="R1025" s="328"/>
      <c r="S1025" s="328"/>
      <c r="T1025" s="328"/>
      <c r="U1025" s="328"/>
      <c r="V1025" s="328"/>
    </row>
    <row r="1026" customFormat="false" ht="15" hidden="false" customHeight="true" outlineLevel="1" collapsed="false">
      <c r="A1026" s="429"/>
      <c r="B1026" s="429"/>
      <c r="C1026" s="429"/>
      <c r="D1026" s="430"/>
      <c r="E1026" s="431"/>
      <c r="F1026" s="431"/>
      <c r="G1026" s="429"/>
      <c r="H1026" s="432"/>
      <c r="I1026" s="432"/>
      <c r="J1026" s="432"/>
      <c r="K1026" s="328"/>
      <c r="L1026" s="396"/>
      <c r="M1026" s="396"/>
      <c r="N1026" s="396"/>
      <c r="O1026" s="396"/>
      <c r="P1026" s="396"/>
      <c r="Q1026" s="328"/>
      <c r="R1026" s="328"/>
      <c r="S1026" s="328"/>
      <c r="T1026" s="328"/>
      <c r="U1026" s="328"/>
      <c r="V1026" s="328"/>
    </row>
    <row r="1027" customFormat="false" ht="15" hidden="false" customHeight="true" outlineLevel="1" collapsed="false">
      <c r="A1027" s="429"/>
      <c r="B1027" s="429"/>
      <c r="C1027" s="429"/>
      <c r="D1027" s="430"/>
      <c r="E1027" s="431"/>
      <c r="F1027" s="431"/>
      <c r="G1027" s="429"/>
      <c r="H1027" s="432"/>
      <c r="I1027" s="432"/>
      <c r="J1027" s="432"/>
      <c r="K1027" s="328"/>
      <c r="L1027" s="396"/>
      <c r="M1027" s="396"/>
      <c r="N1027" s="396"/>
      <c r="O1027" s="396"/>
      <c r="P1027" s="396"/>
      <c r="Q1027" s="328"/>
      <c r="R1027" s="328"/>
      <c r="S1027" s="328"/>
      <c r="T1027" s="328"/>
      <c r="U1027" s="328"/>
      <c r="V1027" s="328"/>
    </row>
    <row r="1028" customFormat="false" ht="15" hidden="false" customHeight="true" outlineLevel="1" collapsed="false">
      <c r="A1028" s="429"/>
      <c r="B1028" s="429"/>
      <c r="C1028" s="429"/>
      <c r="D1028" s="430"/>
      <c r="E1028" s="431"/>
      <c r="F1028" s="431"/>
      <c r="G1028" s="429"/>
      <c r="H1028" s="432"/>
      <c r="I1028" s="432"/>
      <c r="J1028" s="432"/>
      <c r="K1028" s="328"/>
      <c r="L1028" s="396"/>
      <c r="M1028" s="396"/>
      <c r="N1028" s="396"/>
      <c r="O1028" s="396"/>
      <c r="P1028" s="396"/>
      <c r="Q1028" s="328"/>
      <c r="R1028" s="328"/>
      <c r="S1028" s="328"/>
      <c r="T1028" s="328"/>
      <c r="U1028" s="328"/>
      <c r="V1028" s="328"/>
    </row>
    <row r="1029" customFormat="false" ht="15" hidden="false" customHeight="true" outlineLevel="1" collapsed="false">
      <c r="A1029" s="429"/>
      <c r="B1029" s="429"/>
      <c r="C1029" s="429"/>
      <c r="D1029" s="430"/>
      <c r="E1029" s="431"/>
      <c r="F1029" s="431"/>
      <c r="G1029" s="429"/>
      <c r="H1029" s="432"/>
      <c r="I1029" s="432"/>
      <c r="J1029" s="432"/>
      <c r="K1029" s="328"/>
      <c r="L1029" s="396"/>
      <c r="M1029" s="396"/>
      <c r="N1029" s="396"/>
      <c r="O1029" s="396"/>
      <c r="P1029" s="396"/>
      <c r="Q1029" s="328"/>
      <c r="R1029" s="328"/>
      <c r="S1029" s="328"/>
      <c r="T1029" s="328"/>
      <c r="U1029" s="328"/>
      <c r="V1029" s="328"/>
    </row>
    <row r="1030" customFormat="false" ht="15" hidden="false" customHeight="true" outlineLevel="1" collapsed="false">
      <c r="A1030" s="429"/>
      <c r="B1030" s="429"/>
      <c r="C1030" s="429"/>
      <c r="D1030" s="430"/>
      <c r="E1030" s="431"/>
      <c r="F1030" s="431"/>
      <c r="G1030" s="429"/>
      <c r="H1030" s="432"/>
      <c r="I1030" s="432"/>
      <c r="J1030" s="432"/>
      <c r="K1030" s="328"/>
      <c r="L1030" s="396"/>
      <c r="M1030" s="396"/>
      <c r="N1030" s="396"/>
      <c r="O1030" s="396"/>
      <c r="P1030" s="396"/>
      <c r="Q1030" s="328"/>
      <c r="R1030" s="328"/>
      <c r="S1030" s="328"/>
      <c r="T1030" s="328"/>
      <c r="U1030" s="328"/>
      <c r="V1030" s="328"/>
    </row>
    <row r="1031" customFormat="false" ht="15" hidden="false" customHeight="true" outlineLevel="1" collapsed="false">
      <c r="A1031" s="429"/>
      <c r="B1031" s="429"/>
      <c r="C1031" s="429"/>
      <c r="D1031" s="430"/>
      <c r="E1031" s="431"/>
      <c r="F1031" s="431"/>
      <c r="G1031" s="429"/>
      <c r="H1031" s="432"/>
      <c r="I1031" s="432"/>
      <c r="J1031" s="432"/>
      <c r="K1031" s="328"/>
      <c r="L1031" s="396"/>
      <c r="M1031" s="396"/>
      <c r="N1031" s="396"/>
      <c r="O1031" s="396"/>
      <c r="P1031" s="396"/>
      <c r="Q1031" s="328"/>
      <c r="R1031" s="328"/>
      <c r="S1031" s="328"/>
      <c r="T1031" s="328"/>
      <c r="U1031" s="328"/>
      <c r="V1031" s="328"/>
    </row>
    <row r="1032" customFormat="false" ht="15" hidden="false" customHeight="true" outlineLevel="1" collapsed="false">
      <c r="A1032" s="429"/>
      <c r="B1032" s="429"/>
      <c r="C1032" s="429"/>
      <c r="D1032" s="430"/>
      <c r="E1032" s="431"/>
      <c r="F1032" s="431"/>
      <c r="G1032" s="429"/>
      <c r="H1032" s="432"/>
      <c r="I1032" s="432"/>
      <c r="J1032" s="432"/>
      <c r="K1032" s="328"/>
      <c r="L1032" s="396"/>
      <c r="M1032" s="396"/>
      <c r="N1032" s="396"/>
      <c r="O1032" s="396"/>
      <c r="P1032" s="396"/>
      <c r="Q1032" s="328"/>
      <c r="R1032" s="328"/>
      <c r="S1032" s="328"/>
      <c r="T1032" s="328"/>
      <c r="U1032" s="328"/>
      <c r="V1032" s="328"/>
    </row>
    <row r="1033" customFormat="false" ht="15" hidden="false" customHeight="true" outlineLevel="1" collapsed="false">
      <c r="A1033" s="429"/>
      <c r="B1033" s="429"/>
      <c r="C1033" s="429"/>
      <c r="D1033" s="430"/>
      <c r="E1033" s="431"/>
      <c r="F1033" s="431"/>
      <c r="G1033" s="429"/>
      <c r="H1033" s="432"/>
      <c r="I1033" s="432"/>
      <c r="J1033" s="432"/>
      <c r="K1033" s="328"/>
      <c r="L1033" s="396"/>
      <c r="M1033" s="396"/>
      <c r="N1033" s="396"/>
      <c r="O1033" s="396"/>
      <c r="P1033" s="396"/>
      <c r="Q1033" s="328"/>
      <c r="R1033" s="328"/>
      <c r="S1033" s="328"/>
      <c r="T1033" s="328"/>
      <c r="U1033" s="328"/>
      <c r="V1033" s="328"/>
    </row>
    <row r="1034" customFormat="false" ht="15" hidden="false" customHeight="true" outlineLevel="1" collapsed="false">
      <c r="A1034" s="429"/>
      <c r="B1034" s="429"/>
      <c r="C1034" s="429"/>
      <c r="D1034" s="430"/>
      <c r="E1034" s="431"/>
      <c r="F1034" s="431"/>
      <c r="G1034" s="429"/>
      <c r="H1034" s="432"/>
      <c r="I1034" s="432"/>
      <c r="J1034" s="432"/>
      <c r="K1034" s="328"/>
      <c r="L1034" s="396"/>
      <c r="M1034" s="396"/>
      <c r="N1034" s="396"/>
      <c r="O1034" s="396"/>
      <c r="P1034" s="396"/>
      <c r="Q1034" s="328"/>
      <c r="R1034" s="328"/>
      <c r="S1034" s="328"/>
      <c r="T1034" s="328"/>
      <c r="U1034" s="328"/>
      <c r="V1034" s="328"/>
    </row>
    <row r="1035" customFormat="false" ht="15" hidden="false" customHeight="true" outlineLevel="1" collapsed="false">
      <c r="A1035" s="429"/>
      <c r="B1035" s="429"/>
      <c r="C1035" s="429"/>
      <c r="D1035" s="430"/>
      <c r="E1035" s="431"/>
      <c r="F1035" s="431"/>
      <c r="G1035" s="429"/>
      <c r="H1035" s="432"/>
      <c r="I1035" s="432"/>
      <c r="J1035" s="432"/>
      <c r="K1035" s="328"/>
      <c r="L1035" s="396"/>
      <c r="M1035" s="396"/>
      <c r="N1035" s="396"/>
      <c r="O1035" s="396"/>
      <c r="P1035" s="396"/>
      <c r="Q1035" s="328"/>
      <c r="R1035" s="328"/>
      <c r="S1035" s="328"/>
      <c r="T1035" s="328"/>
      <c r="U1035" s="328"/>
      <c r="V1035" s="328"/>
    </row>
    <row r="1036" customFormat="false" ht="15" hidden="false" customHeight="true" outlineLevel="1" collapsed="false">
      <c r="A1036" s="429"/>
      <c r="B1036" s="429"/>
      <c r="C1036" s="429"/>
      <c r="D1036" s="430"/>
      <c r="E1036" s="431"/>
      <c r="F1036" s="431"/>
      <c r="G1036" s="429"/>
      <c r="H1036" s="432"/>
      <c r="I1036" s="432"/>
      <c r="J1036" s="432"/>
      <c r="K1036" s="328"/>
      <c r="L1036" s="396"/>
      <c r="M1036" s="396"/>
      <c r="N1036" s="396"/>
      <c r="O1036" s="396"/>
      <c r="P1036" s="396"/>
      <c r="Q1036" s="328"/>
      <c r="R1036" s="328"/>
      <c r="S1036" s="328"/>
      <c r="T1036" s="328"/>
      <c r="U1036" s="328"/>
      <c r="V1036" s="328"/>
    </row>
    <row r="1037" customFormat="false" ht="15" hidden="false" customHeight="true" outlineLevel="1" collapsed="false">
      <c r="A1037" s="429"/>
      <c r="B1037" s="429"/>
      <c r="C1037" s="429"/>
      <c r="D1037" s="430"/>
      <c r="E1037" s="431"/>
      <c r="F1037" s="431"/>
      <c r="G1037" s="429"/>
      <c r="H1037" s="432"/>
      <c r="I1037" s="432"/>
      <c r="J1037" s="432"/>
      <c r="K1037" s="328"/>
      <c r="L1037" s="396"/>
      <c r="M1037" s="396"/>
      <c r="N1037" s="396"/>
      <c r="O1037" s="396"/>
      <c r="P1037" s="396"/>
      <c r="Q1037" s="328"/>
      <c r="R1037" s="328"/>
      <c r="S1037" s="328"/>
      <c r="T1037" s="328"/>
      <c r="U1037" s="328"/>
      <c r="V1037" s="328"/>
    </row>
    <row r="1038" customFormat="false" ht="15" hidden="false" customHeight="true" outlineLevel="1" collapsed="false">
      <c r="A1038" s="429"/>
      <c r="B1038" s="429"/>
      <c r="C1038" s="429"/>
      <c r="D1038" s="430"/>
      <c r="E1038" s="431"/>
      <c r="F1038" s="431"/>
      <c r="G1038" s="429"/>
      <c r="H1038" s="432"/>
      <c r="I1038" s="432"/>
      <c r="J1038" s="432"/>
      <c r="K1038" s="328"/>
      <c r="L1038" s="396"/>
      <c r="M1038" s="396"/>
      <c r="N1038" s="396"/>
      <c r="O1038" s="396"/>
      <c r="P1038" s="396"/>
      <c r="Q1038" s="328"/>
      <c r="R1038" s="328"/>
      <c r="S1038" s="328"/>
      <c r="T1038" s="328"/>
      <c r="U1038" s="328"/>
      <c r="V1038" s="328"/>
    </row>
    <row r="1039" customFormat="false" ht="15" hidden="false" customHeight="true" outlineLevel="1" collapsed="false">
      <c r="A1039" s="429"/>
      <c r="B1039" s="429"/>
      <c r="C1039" s="429"/>
      <c r="D1039" s="430"/>
      <c r="E1039" s="431"/>
      <c r="F1039" s="431"/>
      <c r="G1039" s="429"/>
      <c r="H1039" s="432"/>
      <c r="I1039" s="432"/>
      <c r="J1039" s="432"/>
      <c r="K1039" s="328"/>
      <c r="L1039" s="396"/>
      <c r="M1039" s="396"/>
      <c r="N1039" s="396"/>
      <c r="O1039" s="396"/>
      <c r="P1039" s="396"/>
      <c r="Q1039" s="328"/>
      <c r="R1039" s="328"/>
      <c r="S1039" s="328"/>
      <c r="T1039" s="328"/>
      <c r="U1039" s="328"/>
      <c r="V1039" s="328"/>
    </row>
    <row r="1040" customFormat="false" ht="15" hidden="false" customHeight="true" outlineLevel="1" collapsed="false">
      <c r="A1040" s="429"/>
      <c r="B1040" s="429"/>
      <c r="C1040" s="429"/>
      <c r="D1040" s="430"/>
      <c r="E1040" s="431"/>
      <c r="F1040" s="431"/>
      <c r="G1040" s="429"/>
      <c r="H1040" s="432"/>
      <c r="I1040" s="432"/>
      <c r="J1040" s="432"/>
      <c r="K1040" s="328"/>
      <c r="L1040" s="396"/>
      <c r="M1040" s="396"/>
      <c r="N1040" s="396"/>
      <c r="O1040" s="396"/>
      <c r="P1040" s="396"/>
      <c r="Q1040" s="328"/>
      <c r="R1040" s="328"/>
      <c r="S1040" s="328"/>
      <c r="T1040" s="328"/>
      <c r="U1040" s="328"/>
      <c r="V1040" s="328"/>
    </row>
    <row r="1041" customFormat="false" ht="15" hidden="false" customHeight="true" outlineLevel="1" collapsed="false">
      <c r="A1041" s="429"/>
      <c r="B1041" s="429"/>
      <c r="C1041" s="429"/>
      <c r="D1041" s="430"/>
      <c r="E1041" s="431"/>
      <c r="F1041" s="431"/>
      <c r="G1041" s="429"/>
      <c r="H1041" s="432"/>
      <c r="I1041" s="432"/>
      <c r="J1041" s="432"/>
      <c r="K1041" s="328"/>
      <c r="L1041" s="396"/>
      <c r="M1041" s="396"/>
      <c r="N1041" s="396"/>
      <c r="O1041" s="396"/>
      <c r="P1041" s="396"/>
      <c r="Q1041" s="328"/>
      <c r="R1041" s="328"/>
      <c r="S1041" s="328"/>
      <c r="T1041" s="328"/>
      <c r="U1041" s="328"/>
      <c r="V1041" s="328"/>
    </row>
    <row r="1042" customFormat="false" ht="15" hidden="false" customHeight="true" outlineLevel="1" collapsed="false">
      <c r="A1042" s="429"/>
      <c r="B1042" s="429"/>
      <c r="C1042" s="429"/>
      <c r="D1042" s="430"/>
      <c r="E1042" s="431"/>
      <c r="F1042" s="431"/>
      <c r="G1042" s="429"/>
      <c r="H1042" s="432"/>
      <c r="I1042" s="432"/>
      <c r="J1042" s="432"/>
      <c r="K1042" s="328"/>
      <c r="L1042" s="396"/>
      <c r="M1042" s="396"/>
      <c r="N1042" s="396"/>
      <c r="O1042" s="396"/>
      <c r="P1042" s="396"/>
      <c r="Q1042" s="328"/>
      <c r="R1042" s="328"/>
      <c r="S1042" s="328"/>
      <c r="T1042" s="328"/>
      <c r="U1042" s="328"/>
      <c r="V1042" s="328"/>
    </row>
    <row r="1043" customFormat="false" ht="15" hidden="false" customHeight="true" outlineLevel="1" collapsed="false">
      <c r="A1043" s="429"/>
      <c r="B1043" s="429"/>
      <c r="C1043" s="429"/>
      <c r="D1043" s="430"/>
      <c r="E1043" s="431"/>
      <c r="F1043" s="431"/>
      <c r="G1043" s="429"/>
      <c r="H1043" s="432"/>
      <c r="I1043" s="432"/>
      <c r="J1043" s="432"/>
      <c r="K1043" s="328"/>
      <c r="L1043" s="396"/>
      <c r="M1043" s="396"/>
      <c r="N1043" s="396"/>
      <c r="O1043" s="396"/>
      <c r="P1043" s="396"/>
      <c r="Q1043" s="328"/>
      <c r="R1043" s="328"/>
      <c r="S1043" s="328"/>
      <c r="T1043" s="328"/>
      <c r="U1043" s="328"/>
      <c r="V1043" s="328"/>
    </row>
    <row r="1044" customFormat="false" ht="15" hidden="false" customHeight="true" outlineLevel="1" collapsed="false">
      <c r="A1044" s="429"/>
      <c r="B1044" s="429"/>
      <c r="C1044" s="429"/>
      <c r="D1044" s="430"/>
      <c r="E1044" s="431"/>
      <c r="F1044" s="431"/>
      <c r="G1044" s="429"/>
      <c r="H1044" s="432"/>
      <c r="I1044" s="432"/>
      <c r="J1044" s="432"/>
      <c r="K1044" s="328"/>
      <c r="L1044" s="396"/>
      <c r="M1044" s="396"/>
      <c r="N1044" s="396"/>
      <c r="O1044" s="396"/>
      <c r="P1044" s="396"/>
      <c r="Q1044" s="328"/>
      <c r="R1044" s="328"/>
      <c r="S1044" s="328"/>
      <c r="T1044" s="328"/>
      <c r="U1044" s="328"/>
      <c r="V1044" s="328"/>
    </row>
    <row r="1045" customFormat="false" ht="15" hidden="false" customHeight="true" outlineLevel="1" collapsed="false">
      <c r="A1045" s="429"/>
      <c r="B1045" s="429"/>
      <c r="C1045" s="429"/>
      <c r="D1045" s="430"/>
      <c r="E1045" s="431"/>
      <c r="F1045" s="431"/>
      <c r="G1045" s="429"/>
      <c r="H1045" s="432"/>
      <c r="I1045" s="432"/>
      <c r="J1045" s="432"/>
      <c r="K1045" s="328"/>
      <c r="L1045" s="396"/>
      <c r="M1045" s="396"/>
      <c r="N1045" s="396"/>
      <c r="O1045" s="396"/>
      <c r="P1045" s="396"/>
      <c r="Q1045" s="328"/>
      <c r="R1045" s="328"/>
      <c r="S1045" s="328"/>
      <c r="T1045" s="328"/>
      <c r="U1045" s="328"/>
      <c r="V1045" s="328"/>
    </row>
    <row r="1046" customFormat="false" ht="15" hidden="false" customHeight="true" outlineLevel="1" collapsed="false">
      <c r="A1046" s="429"/>
      <c r="B1046" s="429"/>
      <c r="C1046" s="429"/>
      <c r="D1046" s="430"/>
      <c r="E1046" s="431"/>
      <c r="F1046" s="431"/>
      <c r="G1046" s="429"/>
      <c r="H1046" s="432"/>
      <c r="I1046" s="432"/>
      <c r="J1046" s="432"/>
      <c r="K1046" s="328"/>
      <c r="L1046" s="396"/>
      <c r="M1046" s="396"/>
      <c r="N1046" s="396"/>
      <c r="O1046" s="396"/>
      <c r="P1046" s="396"/>
      <c r="Q1046" s="328"/>
      <c r="R1046" s="328"/>
      <c r="S1046" s="328"/>
      <c r="T1046" s="328"/>
      <c r="U1046" s="328"/>
      <c r="V1046" s="328"/>
    </row>
    <row r="1047" customFormat="false" ht="15" hidden="false" customHeight="true" outlineLevel="1" collapsed="false">
      <c r="A1047" s="429"/>
      <c r="B1047" s="429"/>
      <c r="C1047" s="429"/>
      <c r="D1047" s="430"/>
      <c r="E1047" s="431"/>
      <c r="F1047" s="431"/>
      <c r="G1047" s="429"/>
      <c r="H1047" s="432"/>
      <c r="I1047" s="432"/>
      <c r="J1047" s="432"/>
      <c r="K1047" s="328"/>
      <c r="L1047" s="396"/>
      <c r="M1047" s="396"/>
      <c r="N1047" s="396"/>
      <c r="O1047" s="396"/>
      <c r="P1047" s="396"/>
      <c r="Q1047" s="328"/>
      <c r="R1047" s="328"/>
      <c r="S1047" s="328"/>
      <c r="T1047" s="328"/>
      <c r="U1047" s="328"/>
      <c r="V1047" s="328"/>
    </row>
    <row r="1048" customFormat="false" ht="15" hidden="false" customHeight="true" outlineLevel="1" collapsed="false">
      <c r="A1048" s="429"/>
      <c r="B1048" s="429"/>
      <c r="C1048" s="429"/>
      <c r="D1048" s="430"/>
      <c r="E1048" s="431"/>
      <c r="F1048" s="431"/>
      <c r="G1048" s="429"/>
      <c r="H1048" s="432"/>
      <c r="I1048" s="432"/>
      <c r="J1048" s="432"/>
      <c r="K1048" s="328"/>
      <c r="L1048" s="396"/>
      <c r="M1048" s="396"/>
      <c r="N1048" s="396"/>
      <c r="O1048" s="396"/>
      <c r="P1048" s="396"/>
      <c r="Q1048" s="328"/>
      <c r="R1048" s="328"/>
      <c r="S1048" s="328"/>
      <c r="T1048" s="328"/>
      <c r="U1048" s="328"/>
      <c r="V1048" s="328"/>
    </row>
    <row r="1049" customFormat="false" ht="15" hidden="false" customHeight="true" outlineLevel="1" collapsed="false">
      <c r="A1049" s="429"/>
      <c r="B1049" s="429"/>
      <c r="C1049" s="429"/>
      <c r="D1049" s="430"/>
      <c r="E1049" s="431"/>
      <c r="F1049" s="431"/>
      <c r="G1049" s="429"/>
      <c r="H1049" s="432"/>
      <c r="I1049" s="432"/>
      <c r="J1049" s="432"/>
      <c r="K1049" s="328"/>
      <c r="L1049" s="396"/>
      <c r="M1049" s="396"/>
      <c r="N1049" s="396"/>
      <c r="O1049" s="396"/>
      <c r="P1049" s="396"/>
      <c r="Q1049" s="328"/>
      <c r="R1049" s="328"/>
      <c r="S1049" s="328"/>
      <c r="T1049" s="328"/>
      <c r="U1049" s="328"/>
      <c r="V1049" s="328"/>
    </row>
    <row r="1050" customFormat="false" ht="15" hidden="false" customHeight="true" outlineLevel="1" collapsed="false">
      <c r="A1050" s="429"/>
      <c r="B1050" s="429"/>
      <c r="C1050" s="429"/>
      <c r="D1050" s="430"/>
      <c r="E1050" s="431"/>
      <c r="F1050" s="431"/>
      <c r="G1050" s="429"/>
      <c r="H1050" s="432"/>
      <c r="I1050" s="432"/>
      <c r="J1050" s="432"/>
      <c r="K1050" s="328"/>
      <c r="L1050" s="396"/>
      <c r="M1050" s="396"/>
      <c r="N1050" s="396"/>
      <c r="O1050" s="396"/>
      <c r="P1050" s="396"/>
      <c r="Q1050" s="328"/>
      <c r="R1050" s="328"/>
      <c r="S1050" s="328"/>
      <c r="T1050" s="328"/>
      <c r="U1050" s="328"/>
      <c r="V1050" s="328"/>
    </row>
    <row r="1051" customFormat="false" ht="15" hidden="false" customHeight="true" outlineLevel="1" collapsed="false">
      <c r="A1051" s="429"/>
      <c r="B1051" s="429"/>
      <c r="C1051" s="429"/>
      <c r="D1051" s="430"/>
      <c r="E1051" s="431"/>
      <c r="F1051" s="431"/>
      <c r="G1051" s="429"/>
      <c r="H1051" s="432"/>
      <c r="I1051" s="432"/>
      <c r="J1051" s="432"/>
      <c r="K1051" s="328"/>
      <c r="L1051" s="396"/>
      <c r="M1051" s="396"/>
      <c r="N1051" s="396"/>
      <c r="O1051" s="396"/>
      <c r="P1051" s="396"/>
      <c r="Q1051" s="328"/>
      <c r="R1051" s="328"/>
      <c r="S1051" s="328"/>
      <c r="T1051" s="328"/>
      <c r="U1051" s="328"/>
      <c r="V1051" s="328"/>
    </row>
    <row r="1052" customFormat="false" ht="15" hidden="false" customHeight="true" outlineLevel="1" collapsed="false">
      <c r="A1052" s="429"/>
      <c r="B1052" s="429"/>
      <c r="C1052" s="429"/>
      <c r="D1052" s="430"/>
      <c r="E1052" s="431"/>
      <c r="F1052" s="431"/>
      <c r="G1052" s="429"/>
      <c r="H1052" s="432"/>
      <c r="I1052" s="432"/>
      <c r="J1052" s="432"/>
      <c r="K1052" s="328"/>
      <c r="L1052" s="396"/>
      <c r="M1052" s="396"/>
      <c r="N1052" s="396"/>
      <c r="O1052" s="396"/>
      <c r="P1052" s="396"/>
      <c r="Q1052" s="328"/>
      <c r="R1052" s="328"/>
      <c r="S1052" s="328"/>
      <c r="T1052" s="328"/>
      <c r="U1052" s="328"/>
      <c r="V1052" s="328"/>
    </row>
    <row r="1053" customFormat="false" ht="15" hidden="false" customHeight="true" outlineLevel="1" collapsed="false">
      <c r="A1053" s="429"/>
      <c r="B1053" s="429"/>
      <c r="C1053" s="429"/>
      <c r="D1053" s="430"/>
      <c r="E1053" s="431"/>
      <c r="F1053" s="431"/>
      <c r="G1053" s="429"/>
      <c r="H1053" s="432"/>
      <c r="I1053" s="432"/>
      <c r="J1053" s="432"/>
      <c r="K1053" s="328"/>
      <c r="L1053" s="396"/>
      <c r="M1053" s="396"/>
      <c r="N1053" s="396"/>
      <c r="O1053" s="396"/>
      <c r="P1053" s="396"/>
      <c r="Q1053" s="328"/>
      <c r="R1053" s="328"/>
      <c r="S1053" s="328"/>
      <c r="T1053" s="328"/>
      <c r="U1053" s="328"/>
      <c r="V1053" s="328"/>
    </row>
    <row r="1054" customFormat="false" ht="15" hidden="false" customHeight="true" outlineLevel="1" collapsed="false">
      <c r="A1054" s="429"/>
      <c r="B1054" s="429"/>
      <c r="C1054" s="429"/>
      <c r="D1054" s="430"/>
      <c r="E1054" s="431"/>
      <c r="F1054" s="431"/>
      <c r="G1054" s="429"/>
      <c r="H1054" s="432"/>
      <c r="I1054" s="432"/>
      <c r="J1054" s="432"/>
      <c r="K1054" s="328"/>
      <c r="L1054" s="396"/>
      <c r="M1054" s="396"/>
      <c r="N1054" s="396"/>
      <c r="O1054" s="396"/>
      <c r="P1054" s="396"/>
      <c r="Q1054" s="328"/>
      <c r="R1054" s="328"/>
      <c r="S1054" s="328"/>
      <c r="T1054" s="328"/>
      <c r="U1054" s="328"/>
      <c r="V1054" s="328"/>
    </row>
    <row r="1055" customFormat="false" ht="15" hidden="false" customHeight="true" outlineLevel="1" collapsed="false">
      <c r="A1055" s="429"/>
      <c r="B1055" s="429"/>
      <c r="C1055" s="429"/>
      <c r="D1055" s="430"/>
      <c r="E1055" s="431"/>
      <c r="F1055" s="431"/>
      <c r="G1055" s="429"/>
      <c r="H1055" s="432"/>
      <c r="I1055" s="432"/>
      <c r="J1055" s="432"/>
      <c r="K1055" s="328"/>
      <c r="L1055" s="396"/>
      <c r="M1055" s="396"/>
      <c r="N1055" s="396"/>
      <c r="O1055" s="396"/>
      <c r="P1055" s="396"/>
      <c r="Q1055" s="328"/>
      <c r="R1055" s="328"/>
      <c r="S1055" s="328"/>
      <c r="T1055" s="328"/>
      <c r="U1055" s="328"/>
      <c r="V1055" s="328"/>
    </row>
    <row r="1056" customFormat="false" ht="15" hidden="false" customHeight="true" outlineLevel="1" collapsed="false">
      <c r="A1056" s="429"/>
      <c r="B1056" s="429"/>
      <c r="C1056" s="429"/>
      <c r="D1056" s="430"/>
      <c r="E1056" s="431"/>
      <c r="F1056" s="431"/>
      <c r="G1056" s="429"/>
      <c r="H1056" s="432"/>
      <c r="I1056" s="432"/>
      <c r="J1056" s="432"/>
      <c r="K1056" s="328"/>
      <c r="L1056" s="396"/>
      <c r="M1056" s="396"/>
      <c r="N1056" s="396"/>
      <c r="O1056" s="396"/>
      <c r="P1056" s="396"/>
      <c r="Q1056" s="328"/>
      <c r="R1056" s="328"/>
      <c r="S1056" s="328"/>
      <c r="T1056" s="328"/>
      <c r="U1056" s="328"/>
      <c r="V1056" s="328"/>
    </row>
    <row r="1057" customFormat="false" ht="15" hidden="false" customHeight="true" outlineLevel="1" collapsed="false">
      <c r="A1057" s="429"/>
      <c r="B1057" s="429"/>
      <c r="C1057" s="429"/>
      <c r="D1057" s="430"/>
      <c r="E1057" s="431"/>
      <c r="F1057" s="431"/>
      <c r="G1057" s="429"/>
      <c r="H1057" s="432"/>
      <c r="I1057" s="432"/>
      <c r="J1057" s="432"/>
      <c r="K1057" s="328"/>
      <c r="L1057" s="396"/>
      <c r="M1057" s="396"/>
      <c r="N1057" s="396"/>
      <c r="O1057" s="396"/>
      <c r="P1057" s="396"/>
      <c r="Q1057" s="328"/>
      <c r="R1057" s="328"/>
      <c r="S1057" s="328"/>
      <c r="T1057" s="328"/>
      <c r="U1057" s="328"/>
      <c r="V1057" s="328"/>
    </row>
    <row r="1058" customFormat="false" ht="15" hidden="false" customHeight="true" outlineLevel="1" collapsed="false">
      <c r="A1058" s="429"/>
      <c r="B1058" s="429"/>
      <c r="C1058" s="429"/>
      <c r="D1058" s="430"/>
      <c r="E1058" s="431"/>
      <c r="F1058" s="431"/>
      <c r="G1058" s="429"/>
      <c r="H1058" s="432"/>
      <c r="I1058" s="432"/>
      <c r="J1058" s="432"/>
      <c r="K1058" s="328"/>
      <c r="L1058" s="396"/>
      <c r="M1058" s="396"/>
      <c r="N1058" s="396"/>
      <c r="O1058" s="396"/>
      <c r="P1058" s="396"/>
      <c r="Q1058" s="328"/>
      <c r="R1058" s="328"/>
      <c r="S1058" s="328"/>
      <c r="T1058" s="328"/>
      <c r="U1058" s="328"/>
      <c r="V1058" s="328"/>
    </row>
    <row r="1059" customFormat="false" ht="15" hidden="false" customHeight="true" outlineLevel="1" collapsed="false">
      <c r="A1059" s="429"/>
      <c r="B1059" s="429"/>
      <c r="C1059" s="429"/>
      <c r="D1059" s="430"/>
      <c r="E1059" s="431"/>
      <c r="F1059" s="431"/>
      <c r="G1059" s="429"/>
      <c r="H1059" s="432"/>
      <c r="I1059" s="432"/>
      <c r="J1059" s="432"/>
      <c r="K1059" s="328"/>
      <c r="L1059" s="396"/>
      <c r="M1059" s="396"/>
      <c r="N1059" s="396"/>
      <c r="O1059" s="396"/>
      <c r="P1059" s="396"/>
      <c r="Q1059" s="328"/>
      <c r="R1059" s="328"/>
      <c r="S1059" s="328"/>
      <c r="T1059" s="328"/>
      <c r="U1059" s="328"/>
      <c r="V1059" s="328"/>
    </row>
    <row r="1060" customFormat="false" ht="15" hidden="false" customHeight="true" outlineLevel="1" collapsed="false">
      <c r="A1060" s="429"/>
      <c r="B1060" s="429"/>
      <c r="C1060" s="429"/>
      <c r="D1060" s="430"/>
      <c r="E1060" s="431"/>
      <c r="F1060" s="431"/>
      <c r="G1060" s="429"/>
      <c r="H1060" s="432"/>
      <c r="I1060" s="432"/>
      <c r="J1060" s="432"/>
      <c r="K1060" s="328"/>
      <c r="L1060" s="396"/>
      <c r="M1060" s="396"/>
      <c r="N1060" s="396"/>
      <c r="O1060" s="396"/>
      <c r="P1060" s="396"/>
      <c r="Q1060" s="328"/>
      <c r="R1060" s="328"/>
      <c r="S1060" s="328"/>
      <c r="T1060" s="328"/>
      <c r="U1060" s="328"/>
      <c r="V1060" s="328"/>
    </row>
    <row r="1061" customFormat="false" ht="15" hidden="false" customHeight="true" outlineLevel="1" collapsed="false">
      <c r="A1061" s="429"/>
      <c r="B1061" s="429"/>
      <c r="C1061" s="429"/>
      <c r="D1061" s="430"/>
      <c r="E1061" s="431"/>
      <c r="F1061" s="431"/>
      <c r="G1061" s="429"/>
      <c r="H1061" s="432"/>
      <c r="I1061" s="432"/>
      <c r="J1061" s="432"/>
      <c r="K1061" s="328"/>
      <c r="L1061" s="396"/>
      <c r="M1061" s="396"/>
      <c r="N1061" s="396"/>
      <c r="O1061" s="396"/>
      <c r="P1061" s="396"/>
      <c r="Q1061" s="328"/>
      <c r="R1061" s="328"/>
      <c r="S1061" s="328"/>
      <c r="T1061" s="328"/>
      <c r="U1061" s="328"/>
      <c r="V1061" s="328"/>
    </row>
    <row r="1062" customFormat="false" ht="15" hidden="false" customHeight="true" outlineLevel="1" collapsed="false">
      <c r="A1062" s="429"/>
      <c r="B1062" s="429"/>
      <c r="C1062" s="429"/>
      <c r="D1062" s="430"/>
      <c r="E1062" s="431"/>
      <c r="F1062" s="431"/>
      <c r="G1062" s="429"/>
      <c r="H1062" s="432"/>
      <c r="I1062" s="432"/>
      <c r="J1062" s="432"/>
      <c r="K1062" s="328"/>
      <c r="L1062" s="396"/>
      <c r="M1062" s="396"/>
      <c r="N1062" s="396"/>
      <c r="O1062" s="396"/>
      <c r="P1062" s="396"/>
      <c r="Q1062" s="328"/>
      <c r="R1062" s="328"/>
      <c r="S1062" s="328"/>
      <c r="T1062" s="328"/>
      <c r="U1062" s="328"/>
      <c r="V1062" s="328"/>
    </row>
    <row r="1063" customFormat="false" ht="15" hidden="false" customHeight="true" outlineLevel="1" collapsed="false">
      <c r="A1063" s="429"/>
      <c r="B1063" s="429"/>
      <c r="C1063" s="429"/>
      <c r="D1063" s="430"/>
      <c r="E1063" s="431"/>
      <c r="F1063" s="431"/>
      <c r="G1063" s="429"/>
      <c r="H1063" s="432"/>
      <c r="I1063" s="432"/>
      <c r="J1063" s="432"/>
      <c r="K1063" s="328"/>
      <c r="L1063" s="396"/>
      <c r="M1063" s="396"/>
      <c r="N1063" s="396"/>
      <c r="O1063" s="396"/>
      <c r="P1063" s="396"/>
      <c r="Q1063" s="328"/>
      <c r="R1063" s="328"/>
      <c r="S1063" s="328"/>
      <c r="T1063" s="328"/>
      <c r="U1063" s="328"/>
      <c r="V1063" s="328"/>
    </row>
    <row r="1064" customFormat="false" ht="15" hidden="false" customHeight="true" outlineLevel="1" collapsed="false">
      <c r="A1064" s="429"/>
      <c r="B1064" s="429"/>
      <c r="C1064" s="429"/>
      <c r="D1064" s="430"/>
      <c r="E1064" s="431"/>
      <c r="F1064" s="431"/>
      <c r="G1064" s="429"/>
      <c r="H1064" s="432"/>
      <c r="I1064" s="432"/>
      <c r="J1064" s="432"/>
      <c r="K1064" s="328"/>
      <c r="L1064" s="396"/>
      <c r="M1064" s="396"/>
      <c r="N1064" s="396"/>
      <c r="O1064" s="396"/>
      <c r="P1064" s="396"/>
      <c r="Q1064" s="328"/>
      <c r="R1064" s="328"/>
      <c r="S1064" s="328"/>
      <c r="T1064" s="328"/>
      <c r="U1064" s="328"/>
      <c r="V1064" s="328"/>
    </row>
    <row r="1065" customFormat="false" ht="15" hidden="false" customHeight="true" outlineLevel="1" collapsed="false">
      <c r="A1065" s="429"/>
      <c r="B1065" s="429"/>
      <c r="C1065" s="429"/>
      <c r="D1065" s="430"/>
      <c r="E1065" s="431"/>
      <c r="F1065" s="431"/>
      <c r="G1065" s="429"/>
      <c r="H1065" s="432"/>
      <c r="I1065" s="432"/>
      <c r="J1065" s="432"/>
      <c r="K1065" s="328"/>
      <c r="L1065" s="396"/>
      <c r="M1065" s="396"/>
      <c r="N1065" s="396"/>
      <c r="O1065" s="396"/>
      <c r="P1065" s="396"/>
      <c r="Q1065" s="328"/>
      <c r="R1065" s="328"/>
      <c r="S1065" s="328"/>
      <c r="T1065" s="328"/>
      <c r="U1065" s="328"/>
      <c r="V1065" s="328"/>
    </row>
    <row r="1066" customFormat="false" ht="15" hidden="false" customHeight="true" outlineLevel="1" collapsed="false">
      <c r="A1066" s="429"/>
      <c r="B1066" s="429"/>
      <c r="C1066" s="429"/>
      <c r="D1066" s="430"/>
      <c r="E1066" s="431"/>
      <c r="F1066" s="431"/>
      <c r="G1066" s="429"/>
      <c r="H1066" s="432"/>
      <c r="I1066" s="432"/>
      <c r="J1066" s="432"/>
      <c r="K1066" s="328"/>
      <c r="L1066" s="396"/>
      <c r="M1066" s="396"/>
      <c r="N1066" s="396"/>
      <c r="O1066" s="396"/>
      <c r="P1066" s="396"/>
      <c r="Q1066" s="328"/>
      <c r="R1066" s="328"/>
      <c r="S1066" s="328"/>
      <c r="T1066" s="328"/>
      <c r="U1066" s="328"/>
      <c r="V1066" s="328"/>
    </row>
    <row r="1067" customFormat="false" ht="15" hidden="false" customHeight="true" outlineLevel="1" collapsed="false">
      <c r="A1067" s="429"/>
      <c r="B1067" s="429"/>
      <c r="C1067" s="429"/>
      <c r="D1067" s="430"/>
      <c r="E1067" s="431"/>
      <c r="F1067" s="431"/>
      <c r="G1067" s="429"/>
      <c r="H1067" s="432"/>
      <c r="I1067" s="432"/>
      <c r="J1067" s="432"/>
      <c r="K1067" s="328"/>
      <c r="L1067" s="396"/>
      <c r="M1067" s="396"/>
      <c r="N1067" s="396"/>
      <c r="O1067" s="396"/>
      <c r="P1067" s="396"/>
      <c r="Q1067" s="328"/>
      <c r="R1067" s="328"/>
      <c r="S1067" s="328"/>
      <c r="T1067" s="328"/>
      <c r="U1067" s="328"/>
      <c r="V1067" s="328"/>
    </row>
    <row r="1068" customFormat="false" ht="15" hidden="false" customHeight="true" outlineLevel="1" collapsed="false">
      <c r="A1068" s="429"/>
      <c r="B1068" s="429"/>
      <c r="C1068" s="429"/>
      <c r="D1068" s="430"/>
      <c r="E1068" s="431"/>
      <c r="F1068" s="431"/>
      <c r="G1068" s="429"/>
      <c r="H1068" s="432"/>
      <c r="I1068" s="432"/>
      <c r="J1068" s="432"/>
      <c r="K1068" s="328"/>
      <c r="L1068" s="396"/>
      <c r="M1068" s="396"/>
      <c r="N1068" s="396"/>
      <c r="O1068" s="396"/>
      <c r="P1068" s="396"/>
      <c r="Q1068" s="328"/>
      <c r="R1068" s="328"/>
      <c r="S1068" s="328"/>
      <c r="T1068" s="328"/>
      <c r="U1068" s="328"/>
      <c r="V1068" s="328"/>
    </row>
    <row r="1069" customFormat="false" ht="15" hidden="false" customHeight="true" outlineLevel="1" collapsed="false">
      <c r="A1069" s="429"/>
      <c r="B1069" s="429"/>
      <c r="C1069" s="429"/>
      <c r="D1069" s="430"/>
      <c r="E1069" s="431"/>
      <c r="F1069" s="431"/>
      <c r="G1069" s="429"/>
      <c r="H1069" s="432"/>
      <c r="I1069" s="432"/>
      <c r="J1069" s="432"/>
      <c r="K1069" s="328"/>
      <c r="L1069" s="396"/>
      <c r="M1069" s="396"/>
      <c r="N1069" s="396"/>
      <c r="O1069" s="396"/>
      <c r="P1069" s="396"/>
      <c r="Q1069" s="328"/>
      <c r="R1069" s="328"/>
      <c r="S1069" s="328"/>
      <c r="T1069" s="328"/>
      <c r="U1069" s="328"/>
      <c r="V1069" s="328"/>
    </row>
    <row r="1070" customFormat="false" ht="15" hidden="false" customHeight="true" outlineLevel="1" collapsed="false">
      <c r="A1070" s="429"/>
      <c r="B1070" s="429"/>
      <c r="C1070" s="429"/>
      <c r="D1070" s="430"/>
      <c r="E1070" s="431"/>
      <c r="F1070" s="431"/>
      <c r="G1070" s="429"/>
      <c r="H1070" s="432"/>
      <c r="I1070" s="432"/>
      <c r="J1070" s="432"/>
      <c r="K1070" s="328"/>
      <c r="L1070" s="396"/>
      <c r="M1070" s="396"/>
      <c r="N1070" s="396"/>
      <c r="O1070" s="396"/>
      <c r="P1070" s="396"/>
      <c r="Q1070" s="328"/>
      <c r="R1070" s="328"/>
      <c r="S1070" s="328"/>
      <c r="T1070" s="328"/>
      <c r="U1070" s="328"/>
      <c r="V1070" s="328"/>
    </row>
    <row r="1071" customFormat="false" ht="15" hidden="false" customHeight="true" outlineLevel="1" collapsed="false">
      <c r="A1071" s="429"/>
      <c r="B1071" s="429"/>
      <c r="C1071" s="429"/>
      <c r="D1071" s="430"/>
      <c r="E1071" s="431"/>
      <c r="F1071" s="431"/>
      <c r="G1071" s="429"/>
      <c r="H1071" s="432"/>
      <c r="I1071" s="432"/>
      <c r="J1071" s="432"/>
      <c r="K1071" s="328"/>
      <c r="L1071" s="396"/>
      <c r="M1071" s="396"/>
      <c r="N1071" s="396"/>
      <c r="O1071" s="396"/>
      <c r="P1071" s="396"/>
      <c r="Q1071" s="328"/>
      <c r="R1071" s="328"/>
      <c r="S1071" s="328"/>
      <c r="T1071" s="328"/>
      <c r="U1071" s="328"/>
      <c r="V1071" s="328"/>
    </row>
    <row r="1072" customFormat="false" ht="15" hidden="false" customHeight="true" outlineLevel="1" collapsed="false">
      <c r="A1072" s="429"/>
      <c r="B1072" s="429"/>
      <c r="C1072" s="429"/>
      <c r="D1072" s="430"/>
      <c r="E1072" s="431"/>
      <c r="F1072" s="431"/>
      <c r="G1072" s="429"/>
      <c r="H1072" s="432"/>
      <c r="I1072" s="432"/>
      <c r="J1072" s="432"/>
      <c r="K1072" s="328"/>
      <c r="L1072" s="396"/>
      <c r="M1072" s="396"/>
      <c r="N1072" s="396"/>
      <c r="O1072" s="396"/>
      <c r="P1072" s="396"/>
      <c r="Q1072" s="328"/>
      <c r="R1072" s="328"/>
      <c r="S1072" s="328"/>
      <c r="T1072" s="328"/>
      <c r="U1072" s="328"/>
      <c r="V1072" s="328"/>
    </row>
    <row r="1073" customFormat="false" ht="15" hidden="false" customHeight="true" outlineLevel="1" collapsed="false">
      <c r="A1073" s="429"/>
      <c r="B1073" s="429"/>
      <c r="C1073" s="429"/>
      <c r="D1073" s="430"/>
      <c r="E1073" s="431"/>
      <c r="F1073" s="431"/>
      <c r="G1073" s="429"/>
      <c r="H1073" s="432"/>
      <c r="I1073" s="432"/>
      <c r="J1073" s="432"/>
      <c r="K1073" s="328"/>
      <c r="L1073" s="396"/>
      <c r="M1073" s="396"/>
      <c r="N1073" s="396"/>
      <c r="O1073" s="396"/>
      <c r="P1073" s="396"/>
      <c r="Q1073" s="328"/>
      <c r="R1073" s="328"/>
      <c r="S1073" s="328"/>
      <c r="T1073" s="328"/>
      <c r="U1073" s="328"/>
      <c r="V1073" s="328"/>
    </row>
    <row r="1074" customFormat="false" ht="15" hidden="false" customHeight="true" outlineLevel="1" collapsed="false">
      <c r="A1074" s="429"/>
      <c r="B1074" s="429"/>
      <c r="C1074" s="429"/>
      <c r="D1074" s="430"/>
      <c r="E1074" s="431"/>
      <c r="F1074" s="431"/>
      <c r="G1074" s="429"/>
      <c r="H1074" s="432"/>
      <c r="I1074" s="432"/>
      <c r="J1074" s="432"/>
      <c r="K1074" s="328"/>
      <c r="L1074" s="396"/>
      <c r="M1074" s="396"/>
      <c r="N1074" s="396"/>
      <c r="O1074" s="396"/>
      <c r="P1074" s="396"/>
      <c r="Q1074" s="328"/>
      <c r="R1074" s="328"/>
      <c r="S1074" s="328"/>
      <c r="T1074" s="328"/>
      <c r="U1074" s="328"/>
      <c r="V1074" s="328"/>
    </row>
    <row r="1075" customFormat="false" ht="15" hidden="false" customHeight="true" outlineLevel="1" collapsed="false">
      <c r="A1075" s="429"/>
      <c r="B1075" s="429"/>
      <c r="C1075" s="429"/>
      <c r="D1075" s="430"/>
      <c r="E1075" s="431"/>
      <c r="F1075" s="431"/>
      <c r="G1075" s="429"/>
      <c r="H1075" s="432"/>
      <c r="I1075" s="432"/>
      <c r="J1075" s="432"/>
      <c r="K1075" s="328"/>
      <c r="L1075" s="396"/>
      <c r="M1075" s="396"/>
      <c r="N1075" s="396"/>
      <c r="O1075" s="396"/>
      <c r="P1075" s="396"/>
      <c r="Q1075" s="328"/>
      <c r="R1075" s="328"/>
      <c r="S1075" s="328"/>
      <c r="T1075" s="328"/>
      <c r="U1075" s="328"/>
      <c r="V1075" s="328"/>
    </row>
    <row r="1076" customFormat="false" ht="15" hidden="false" customHeight="true" outlineLevel="1" collapsed="false">
      <c r="A1076" s="429"/>
      <c r="B1076" s="429"/>
      <c r="C1076" s="429"/>
      <c r="D1076" s="430"/>
      <c r="E1076" s="431"/>
      <c r="F1076" s="431"/>
      <c r="G1076" s="429"/>
      <c r="H1076" s="432"/>
      <c r="I1076" s="432"/>
      <c r="J1076" s="432"/>
      <c r="K1076" s="328"/>
      <c r="L1076" s="396"/>
      <c r="M1076" s="396"/>
      <c r="N1076" s="396"/>
      <c r="O1076" s="396"/>
      <c r="P1076" s="396"/>
      <c r="Q1076" s="328"/>
      <c r="R1076" s="328"/>
      <c r="S1076" s="328"/>
      <c r="T1076" s="328"/>
      <c r="U1076" s="328"/>
      <c r="V1076" s="328"/>
    </row>
    <row r="1077" customFormat="false" ht="15" hidden="false" customHeight="true" outlineLevel="1" collapsed="false">
      <c r="A1077" s="429"/>
      <c r="B1077" s="429"/>
      <c r="C1077" s="429"/>
      <c r="D1077" s="430"/>
      <c r="E1077" s="431"/>
      <c r="F1077" s="431"/>
      <c r="G1077" s="429"/>
      <c r="H1077" s="432"/>
      <c r="I1077" s="432"/>
      <c r="J1077" s="432"/>
      <c r="K1077" s="328"/>
      <c r="L1077" s="396"/>
      <c r="M1077" s="396"/>
      <c r="N1077" s="396"/>
      <c r="O1077" s="396"/>
      <c r="P1077" s="396"/>
      <c r="Q1077" s="328"/>
      <c r="R1077" s="328"/>
      <c r="S1077" s="328"/>
      <c r="T1077" s="328"/>
      <c r="U1077" s="328"/>
      <c r="V1077" s="328"/>
    </row>
    <row r="1078" customFormat="false" ht="15" hidden="false" customHeight="true" outlineLevel="1" collapsed="false">
      <c r="A1078" s="429"/>
      <c r="B1078" s="429"/>
      <c r="C1078" s="429"/>
      <c r="D1078" s="430"/>
      <c r="E1078" s="431"/>
      <c r="F1078" s="431"/>
      <c r="G1078" s="429"/>
      <c r="H1078" s="432"/>
      <c r="I1078" s="432"/>
      <c r="J1078" s="432"/>
      <c r="K1078" s="328"/>
      <c r="L1078" s="396"/>
      <c r="M1078" s="396"/>
      <c r="N1078" s="396"/>
      <c r="O1078" s="396"/>
      <c r="P1078" s="396"/>
      <c r="Q1078" s="328"/>
      <c r="R1078" s="328"/>
      <c r="S1078" s="328"/>
      <c r="T1078" s="328"/>
      <c r="U1078" s="328"/>
      <c r="V1078" s="328"/>
    </row>
    <row r="1079" customFormat="false" ht="15" hidden="false" customHeight="true" outlineLevel="1" collapsed="false">
      <c r="A1079" s="429"/>
      <c r="B1079" s="429"/>
      <c r="C1079" s="429"/>
      <c r="D1079" s="430"/>
      <c r="E1079" s="431"/>
      <c r="F1079" s="431"/>
      <c r="G1079" s="429"/>
      <c r="H1079" s="432"/>
      <c r="I1079" s="432"/>
      <c r="J1079" s="432"/>
      <c r="K1079" s="328"/>
      <c r="L1079" s="396"/>
      <c r="M1079" s="396"/>
      <c r="N1079" s="396"/>
      <c r="O1079" s="396"/>
      <c r="P1079" s="396"/>
      <c r="Q1079" s="328"/>
      <c r="R1079" s="328"/>
      <c r="S1079" s="328"/>
      <c r="T1079" s="328"/>
      <c r="U1079" s="328"/>
      <c r="V1079" s="328"/>
    </row>
    <row r="1080" customFormat="false" ht="15" hidden="false" customHeight="true" outlineLevel="1" collapsed="false">
      <c r="A1080" s="429"/>
      <c r="B1080" s="429"/>
      <c r="C1080" s="429"/>
      <c r="D1080" s="430"/>
      <c r="E1080" s="431"/>
      <c r="F1080" s="431"/>
      <c r="G1080" s="429"/>
      <c r="H1080" s="432"/>
      <c r="I1080" s="432"/>
      <c r="J1080" s="432"/>
      <c r="K1080" s="328"/>
      <c r="L1080" s="396"/>
      <c r="M1080" s="396"/>
      <c r="N1080" s="396"/>
      <c r="O1080" s="396"/>
      <c r="P1080" s="396"/>
      <c r="Q1080" s="328"/>
      <c r="R1080" s="328"/>
      <c r="S1080" s="328"/>
      <c r="T1080" s="328"/>
      <c r="U1080" s="328"/>
      <c r="V1080" s="328"/>
    </row>
    <row r="1081" customFormat="false" ht="15" hidden="false" customHeight="true" outlineLevel="1" collapsed="false">
      <c r="A1081" s="429"/>
      <c r="B1081" s="429"/>
      <c r="C1081" s="429"/>
      <c r="D1081" s="430"/>
      <c r="E1081" s="431"/>
      <c r="F1081" s="431"/>
      <c r="G1081" s="429"/>
      <c r="H1081" s="432"/>
      <c r="I1081" s="432"/>
      <c r="J1081" s="432"/>
      <c r="K1081" s="328"/>
      <c r="L1081" s="396"/>
      <c r="M1081" s="396"/>
      <c r="N1081" s="396"/>
      <c r="O1081" s="396"/>
      <c r="P1081" s="396"/>
      <c r="Q1081" s="328"/>
      <c r="R1081" s="328"/>
      <c r="S1081" s="328"/>
      <c r="T1081" s="328"/>
      <c r="U1081" s="328"/>
      <c r="V1081" s="328"/>
    </row>
    <row r="1082" customFormat="false" ht="15" hidden="false" customHeight="true" outlineLevel="1" collapsed="false">
      <c r="A1082" s="429"/>
      <c r="B1082" s="429"/>
      <c r="C1082" s="429"/>
      <c r="D1082" s="430"/>
      <c r="E1082" s="431"/>
      <c r="F1082" s="431"/>
      <c r="G1082" s="429"/>
      <c r="H1082" s="432"/>
      <c r="I1082" s="432"/>
      <c r="J1082" s="432"/>
      <c r="K1082" s="328"/>
      <c r="L1082" s="396"/>
      <c r="M1082" s="396"/>
      <c r="N1082" s="396"/>
      <c r="O1082" s="396"/>
      <c r="P1082" s="396"/>
      <c r="Q1082" s="328"/>
      <c r="R1082" s="328"/>
      <c r="S1082" s="328"/>
      <c r="T1082" s="328"/>
      <c r="U1082" s="328"/>
      <c r="V1082" s="328"/>
    </row>
    <row r="1083" customFormat="false" ht="15" hidden="false" customHeight="true" outlineLevel="1" collapsed="false">
      <c r="A1083" s="429"/>
      <c r="B1083" s="429"/>
      <c r="C1083" s="429"/>
      <c r="D1083" s="430"/>
      <c r="E1083" s="431"/>
      <c r="F1083" s="431"/>
      <c r="G1083" s="429"/>
      <c r="H1083" s="432"/>
      <c r="I1083" s="432"/>
      <c r="J1083" s="432"/>
      <c r="K1083" s="328"/>
      <c r="L1083" s="396"/>
      <c r="M1083" s="396"/>
      <c r="N1083" s="396"/>
      <c r="O1083" s="396"/>
      <c r="P1083" s="396"/>
      <c r="Q1083" s="328"/>
      <c r="R1083" s="328"/>
      <c r="S1083" s="328"/>
      <c r="T1083" s="328"/>
      <c r="U1083" s="328"/>
      <c r="V1083" s="328"/>
    </row>
    <row r="1084" customFormat="false" ht="15" hidden="false" customHeight="true" outlineLevel="1" collapsed="false">
      <c r="A1084" s="429"/>
      <c r="B1084" s="429"/>
      <c r="C1084" s="429"/>
      <c r="D1084" s="430"/>
      <c r="E1084" s="431"/>
      <c r="F1084" s="431"/>
      <c r="G1084" s="429"/>
      <c r="H1084" s="432"/>
      <c r="I1084" s="432"/>
      <c r="J1084" s="432"/>
      <c r="K1084" s="328"/>
      <c r="L1084" s="396"/>
      <c r="M1084" s="396"/>
      <c r="N1084" s="396"/>
      <c r="O1084" s="396"/>
      <c r="P1084" s="396"/>
      <c r="Q1084" s="328"/>
      <c r="R1084" s="328"/>
      <c r="S1084" s="328"/>
      <c r="T1084" s="328"/>
      <c r="U1084" s="328"/>
      <c r="V1084" s="328"/>
    </row>
    <row r="1085" customFormat="false" ht="15" hidden="false" customHeight="true" outlineLevel="1" collapsed="false">
      <c r="A1085" s="429"/>
      <c r="B1085" s="429"/>
      <c r="C1085" s="429"/>
      <c r="D1085" s="430"/>
      <c r="E1085" s="431"/>
      <c r="F1085" s="431"/>
      <c r="G1085" s="429"/>
      <c r="H1085" s="432"/>
      <c r="I1085" s="432"/>
      <c r="J1085" s="432"/>
      <c r="K1085" s="328"/>
      <c r="L1085" s="396"/>
      <c r="M1085" s="396"/>
      <c r="N1085" s="396"/>
      <c r="O1085" s="396"/>
      <c r="P1085" s="396"/>
      <c r="Q1085" s="328"/>
      <c r="R1085" s="328"/>
      <c r="S1085" s="328"/>
      <c r="T1085" s="328"/>
      <c r="U1085" s="328"/>
      <c r="V1085" s="328"/>
    </row>
    <row r="1086" customFormat="false" ht="15" hidden="false" customHeight="true" outlineLevel="1" collapsed="false">
      <c r="A1086" s="429"/>
      <c r="B1086" s="429"/>
      <c r="C1086" s="429"/>
      <c r="D1086" s="430"/>
      <c r="E1086" s="431"/>
      <c r="F1086" s="431"/>
      <c r="G1086" s="429"/>
      <c r="H1086" s="432"/>
      <c r="I1086" s="432"/>
      <c r="J1086" s="432"/>
      <c r="K1086" s="328"/>
      <c r="L1086" s="396"/>
      <c r="M1086" s="396"/>
      <c r="N1086" s="396"/>
      <c r="O1086" s="396"/>
      <c r="P1086" s="396"/>
      <c r="Q1086" s="328"/>
      <c r="R1086" s="328"/>
      <c r="S1086" s="328"/>
      <c r="T1086" s="328"/>
      <c r="U1086" s="328"/>
      <c r="V1086" s="328"/>
    </row>
    <row r="1087" customFormat="false" ht="15" hidden="false" customHeight="true" outlineLevel="1" collapsed="false">
      <c r="A1087" s="429"/>
      <c r="B1087" s="429"/>
      <c r="C1087" s="429"/>
      <c r="D1087" s="430"/>
      <c r="E1087" s="431"/>
      <c r="F1087" s="431"/>
      <c r="G1087" s="429"/>
      <c r="H1087" s="432"/>
      <c r="I1087" s="432"/>
      <c r="J1087" s="432"/>
      <c r="K1087" s="328"/>
      <c r="L1087" s="396"/>
      <c r="M1087" s="396"/>
      <c r="N1087" s="396"/>
      <c r="O1087" s="396"/>
      <c r="P1087" s="396"/>
      <c r="Q1087" s="328"/>
      <c r="R1087" s="328"/>
      <c r="S1087" s="328"/>
      <c r="T1087" s="328"/>
      <c r="U1087" s="328"/>
      <c r="V1087" s="328"/>
    </row>
    <row r="1088" customFormat="false" ht="15" hidden="false" customHeight="true" outlineLevel="1" collapsed="false">
      <c r="A1088" s="429"/>
      <c r="B1088" s="429"/>
      <c r="C1088" s="429"/>
      <c r="D1088" s="430"/>
      <c r="E1088" s="431"/>
      <c r="F1088" s="431"/>
      <c r="G1088" s="429"/>
      <c r="H1088" s="432"/>
      <c r="I1088" s="432"/>
      <c r="J1088" s="432"/>
      <c r="K1088" s="328"/>
      <c r="L1088" s="396"/>
      <c r="M1088" s="396"/>
      <c r="N1088" s="396"/>
      <c r="O1088" s="396"/>
      <c r="P1088" s="396"/>
      <c r="Q1088" s="328"/>
      <c r="R1088" s="328"/>
      <c r="S1088" s="328"/>
      <c r="T1088" s="328"/>
      <c r="U1088" s="328"/>
      <c r="V1088" s="328"/>
    </row>
    <row r="1089" customFormat="false" ht="15" hidden="false" customHeight="true" outlineLevel="1" collapsed="false">
      <c r="A1089" s="429"/>
      <c r="B1089" s="429"/>
      <c r="C1089" s="429"/>
      <c r="D1089" s="430"/>
      <c r="E1089" s="431"/>
      <c r="F1089" s="431"/>
      <c r="G1089" s="429"/>
      <c r="H1089" s="432"/>
      <c r="I1089" s="432"/>
      <c r="J1089" s="432"/>
      <c r="K1089" s="328"/>
      <c r="L1089" s="396"/>
      <c r="M1089" s="396"/>
      <c r="N1089" s="396"/>
      <c r="O1089" s="396"/>
      <c r="P1089" s="396"/>
      <c r="Q1089" s="328"/>
      <c r="R1089" s="328"/>
      <c r="S1089" s="328"/>
      <c r="T1089" s="328"/>
      <c r="U1089" s="328"/>
      <c r="V1089" s="328"/>
    </row>
    <row r="1090" customFormat="false" ht="15" hidden="false" customHeight="true" outlineLevel="1" collapsed="false">
      <c r="A1090" s="429"/>
      <c r="B1090" s="429"/>
      <c r="C1090" s="429"/>
      <c r="D1090" s="430"/>
      <c r="E1090" s="431"/>
      <c r="F1090" s="431"/>
      <c r="G1090" s="429"/>
      <c r="H1090" s="432"/>
      <c r="I1090" s="432"/>
      <c r="J1090" s="432"/>
      <c r="K1090" s="328"/>
      <c r="L1090" s="396"/>
      <c r="M1090" s="396"/>
      <c r="N1090" s="396"/>
      <c r="O1090" s="396"/>
      <c r="P1090" s="396"/>
      <c r="Q1090" s="328"/>
      <c r="R1090" s="328"/>
      <c r="S1090" s="328"/>
      <c r="T1090" s="328"/>
      <c r="U1090" s="328"/>
      <c r="V1090" s="328"/>
    </row>
    <row r="1091" customFormat="false" ht="15" hidden="false" customHeight="true" outlineLevel="1" collapsed="false">
      <c r="A1091" s="429"/>
      <c r="B1091" s="429"/>
      <c r="C1091" s="429"/>
      <c r="D1091" s="430"/>
      <c r="E1091" s="431"/>
      <c r="F1091" s="431"/>
      <c r="G1091" s="429"/>
      <c r="H1091" s="432"/>
      <c r="I1091" s="432"/>
      <c r="J1091" s="432"/>
      <c r="K1091" s="328"/>
      <c r="L1091" s="396"/>
      <c r="M1091" s="396"/>
      <c r="N1091" s="396"/>
      <c r="O1091" s="396"/>
      <c r="P1091" s="396"/>
      <c r="Q1091" s="328"/>
      <c r="R1091" s="328"/>
      <c r="S1091" s="328"/>
      <c r="T1091" s="328"/>
      <c r="U1091" s="328"/>
      <c r="V1091" s="328"/>
    </row>
    <row r="1092" customFormat="false" ht="15" hidden="false" customHeight="true" outlineLevel="1" collapsed="false">
      <c r="A1092" s="429"/>
      <c r="B1092" s="429"/>
      <c r="C1092" s="429"/>
      <c r="D1092" s="430"/>
      <c r="E1092" s="431"/>
      <c r="F1092" s="431"/>
      <c r="G1092" s="429"/>
      <c r="H1092" s="432"/>
      <c r="I1092" s="432"/>
      <c r="J1092" s="432"/>
      <c r="K1092" s="328"/>
      <c r="L1092" s="396"/>
      <c r="M1092" s="396"/>
      <c r="N1092" s="396"/>
      <c r="O1092" s="396"/>
      <c r="P1092" s="396"/>
      <c r="Q1092" s="328"/>
      <c r="R1092" s="328"/>
      <c r="S1092" s="328"/>
      <c r="T1092" s="328"/>
      <c r="U1092" s="328"/>
      <c r="V1092" s="328"/>
    </row>
    <row r="1093" customFormat="false" ht="15" hidden="false" customHeight="true" outlineLevel="1" collapsed="false">
      <c r="A1093" s="429"/>
      <c r="B1093" s="429"/>
      <c r="C1093" s="429"/>
      <c r="D1093" s="430"/>
      <c r="E1093" s="431"/>
      <c r="F1093" s="431"/>
      <c r="G1093" s="429"/>
      <c r="H1093" s="432"/>
      <c r="I1093" s="432"/>
      <c r="J1093" s="432"/>
      <c r="K1093" s="328"/>
      <c r="L1093" s="396"/>
      <c r="M1093" s="396"/>
      <c r="N1093" s="396"/>
      <c r="O1093" s="396"/>
      <c r="P1093" s="396"/>
      <c r="Q1093" s="328"/>
      <c r="R1093" s="328"/>
      <c r="S1093" s="328"/>
      <c r="T1093" s="328"/>
      <c r="U1093" s="328"/>
      <c r="V1093" s="328"/>
    </row>
    <row r="1094" customFormat="false" ht="15" hidden="false" customHeight="true" outlineLevel="1" collapsed="false">
      <c r="A1094" s="429"/>
      <c r="B1094" s="429"/>
      <c r="C1094" s="429"/>
      <c r="D1094" s="430"/>
      <c r="E1094" s="431"/>
      <c r="F1094" s="431"/>
      <c r="G1094" s="429"/>
      <c r="H1094" s="432"/>
      <c r="I1094" s="432"/>
      <c r="J1094" s="432"/>
      <c r="K1094" s="328"/>
      <c r="L1094" s="396"/>
      <c r="M1094" s="396"/>
      <c r="N1094" s="396"/>
      <c r="O1094" s="396"/>
      <c r="P1094" s="396"/>
      <c r="Q1094" s="328"/>
      <c r="R1094" s="328"/>
      <c r="S1094" s="328"/>
      <c r="T1094" s="328"/>
      <c r="U1094" s="328"/>
      <c r="V1094" s="328"/>
    </row>
    <row r="1095" customFormat="false" ht="15" hidden="false" customHeight="true" outlineLevel="1" collapsed="false">
      <c r="A1095" s="429"/>
      <c r="B1095" s="429"/>
      <c r="C1095" s="429"/>
      <c r="D1095" s="430"/>
      <c r="E1095" s="431"/>
      <c r="F1095" s="431"/>
      <c r="G1095" s="429"/>
      <c r="H1095" s="432"/>
      <c r="I1095" s="432"/>
      <c r="J1095" s="432"/>
      <c r="K1095" s="328"/>
      <c r="L1095" s="396"/>
      <c r="M1095" s="396"/>
      <c r="N1095" s="396"/>
      <c r="O1095" s="396"/>
      <c r="P1095" s="396"/>
      <c r="Q1095" s="328"/>
      <c r="R1095" s="328"/>
      <c r="S1095" s="328"/>
      <c r="T1095" s="328"/>
      <c r="U1095" s="328"/>
      <c r="V1095" s="328"/>
    </row>
    <row r="1096" customFormat="false" ht="15" hidden="false" customHeight="true" outlineLevel="1" collapsed="false">
      <c r="A1096" s="429"/>
      <c r="B1096" s="429"/>
      <c r="C1096" s="429"/>
      <c r="D1096" s="430"/>
      <c r="E1096" s="431"/>
      <c r="F1096" s="431"/>
      <c r="G1096" s="429"/>
      <c r="H1096" s="432"/>
      <c r="I1096" s="432"/>
      <c r="J1096" s="432"/>
      <c r="K1096" s="328"/>
      <c r="L1096" s="396"/>
      <c r="M1096" s="396"/>
      <c r="N1096" s="396"/>
      <c r="O1096" s="396"/>
      <c r="P1096" s="396"/>
      <c r="Q1096" s="328"/>
      <c r="R1096" s="328"/>
      <c r="S1096" s="328"/>
      <c r="T1096" s="328"/>
      <c r="U1096" s="328"/>
      <c r="V1096" s="328"/>
    </row>
    <row r="1097" customFormat="false" ht="15" hidden="false" customHeight="true" outlineLevel="1" collapsed="false">
      <c r="A1097" s="429"/>
      <c r="B1097" s="429"/>
      <c r="C1097" s="429"/>
      <c r="D1097" s="430"/>
      <c r="E1097" s="431"/>
      <c r="F1097" s="431"/>
      <c r="G1097" s="429"/>
      <c r="H1097" s="432"/>
      <c r="I1097" s="432"/>
      <c r="J1097" s="432"/>
      <c r="K1097" s="328"/>
      <c r="L1097" s="396"/>
      <c r="M1097" s="396"/>
      <c r="N1097" s="396"/>
      <c r="O1097" s="396"/>
      <c r="P1097" s="396"/>
      <c r="Q1097" s="328"/>
      <c r="R1097" s="328"/>
      <c r="S1097" s="328"/>
      <c r="T1097" s="328"/>
      <c r="U1097" s="328"/>
      <c r="V1097" s="328"/>
    </row>
    <row r="1098" customFormat="false" ht="15" hidden="false" customHeight="true" outlineLevel="1" collapsed="false">
      <c r="A1098" s="429"/>
      <c r="B1098" s="429"/>
      <c r="C1098" s="429"/>
      <c r="D1098" s="430"/>
      <c r="E1098" s="431"/>
      <c r="F1098" s="431"/>
      <c r="G1098" s="429"/>
      <c r="H1098" s="432"/>
      <c r="I1098" s="432"/>
      <c r="J1098" s="432"/>
      <c r="K1098" s="328"/>
      <c r="L1098" s="396"/>
      <c r="M1098" s="396"/>
      <c r="N1098" s="396"/>
      <c r="O1098" s="396"/>
      <c r="P1098" s="396"/>
      <c r="Q1098" s="328"/>
      <c r="R1098" s="328"/>
      <c r="S1098" s="328"/>
      <c r="T1098" s="328"/>
      <c r="U1098" s="328"/>
      <c r="V1098" s="328"/>
    </row>
    <row r="1099" customFormat="false" ht="15" hidden="false" customHeight="true" outlineLevel="1" collapsed="false">
      <c r="A1099" s="429"/>
      <c r="B1099" s="429"/>
      <c r="C1099" s="429"/>
      <c r="D1099" s="430"/>
      <c r="E1099" s="431"/>
      <c r="F1099" s="431"/>
      <c r="G1099" s="429"/>
      <c r="H1099" s="432"/>
      <c r="I1099" s="432"/>
      <c r="J1099" s="432"/>
      <c r="K1099" s="328"/>
      <c r="L1099" s="396"/>
      <c r="M1099" s="396"/>
      <c r="N1099" s="396"/>
      <c r="O1099" s="396"/>
      <c r="P1099" s="396"/>
      <c r="Q1099" s="328"/>
      <c r="R1099" s="328"/>
      <c r="S1099" s="328"/>
      <c r="T1099" s="328"/>
      <c r="U1099" s="328"/>
      <c r="V1099" s="328"/>
    </row>
    <row r="1100" customFormat="false" ht="15" hidden="false" customHeight="true" outlineLevel="1" collapsed="false">
      <c r="A1100" s="429"/>
      <c r="B1100" s="429"/>
      <c r="C1100" s="429"/>
      <c r="D1100" s="430"/>
      <c r="E1100" s="431"/>
      <c r="F1100" s="431"/>
      <c r="G1100" s="429"/>
      <c r="H1100" s="432"/>
      <c r="I1100" s="432"/>
      <c r="J1100" s="432"/>
      <c r="K1100" s="328"/>
      <c r="L1100" s="396"/>
      <c r="M1100" s="396"/>
      <c r="N1100" s="396"/>
      <c r="O1100" s="396"/>
      <c r="P1100" s="396"/>
      <c r="Q1100" s="328"/>
      <c r="R1100" s="328"/>
      <c r="S1100" s="328"/>
      <c r="T1100" s="328"/>
      <c r="U1100" s="328"/>
      <c r="V1100" s="328"/>
    </row>
    <row r="1101" customFormat="false" ht="15" hidden="false" customHeight="true" outlineLevel="1" collapsed="false">
      <c r="A1101" s="429"/>
      <c r="B1101" s="429"/>
      <c r="C1101" s="429"/>
      <c r="D1101" s="430"/>
      <c r="E1101" s="431"/>
      <c r="F1101" s="431"/>
      <c r="G1101" s="429"/>
      <c r="H1101" s="432"/>
      <c r="I1101" s="432"/>
      <c r="J1101" s="432"/>
      <c r="K1101" s="328"/>
      <c r="L1101" s="396"/>
      <c r="M1101" s="396"/>
      <c r="N1101" s="396"/>
      <c r="O1101" s="396"/>
      <c r="P1101" s="396"/>
      <c r="Q1101" s="328"/>
      <c r="R1101" s="328"/>
      <c r="S1101" s="328"/>
      <c r="T1101" s="328"/>
      <c r="U1101" s="328"/>
      <c r="V1101" s="328"/>
    </row>
    <row r="1102" customFormat="false" ht="15" hidden="false" customHeight="true" outlineLevel="1" collapsed="false">
      <c r="A1102" s="429"/>
      <c r="B1102" s="429"/>
      <c r="C1102" s="429"/>
      <c r="D1102" s="430"/>
      <c r="E1102" s="431"/>
      <c r="F1102" s="431"/>
      <c r="G1102" s="429"/>
      <c r="H1102" s="432"/>
      <c r="I1102" s="432"/>
      <c r="J1102" s="432"/>
      <c r="K1102" s="328"/>
      <c r="L1102" s="396"/>
      <c r="M1102" s="396"/>
      <c r="N1102" s="396"/>
      <c r="O1102" s="396"/>
      <c r="P1102" s="396"/>
      <c r="Q1102" s="328"/>
      <c r="R1102" s="328"/>
      <c r="S1102" s="328"/>
      <c r="T1102" s="328"/>
      <c r="U1102" s="328"/>
      <c r="V1102" s="328"/>
    </row>
    <row r="1103" customFormat="false" ht="15" hidden="false" customHeight="true" outlineLevel="1" collapsed="false">
      <c r="A1103" s="429"/>
      <c r="B1103" s="429"/>
      <c r="C1103" s="429"/>
      <c r="D1103" s="430"/>
      <c r="E1103" s="431"/>
      <c r="F1103" s="431"/>
      <c r="G1103" s="429"/>
      <c r="H1103" s="432"/>
      <c r="I1103" s="432"/>
      <c r="J1103" s="432"/>
      <c r="K1103" s="328"/>
      <c r="L1103" s="396"/>
      <c r="M1103" s="396"/>
      <c r="N1103" s="396"/>
      <c r="O1103" s="396"/>
      <c r="P1103" s="396"/>
      <c r="Q1103" s="328"/>
      <c r="R1103" s="328"/>
      <c r="S1103" s="328"/>
      <c r="T1103" s="328"/>
      <c r="U1103" s="328"/>
      <c r="V1103" s="328"/>
    </row>
    <row r="1104" customFormat="false" ht="15" hidden="false" customHeight="true" outlineLevel="1" collapsed="false">
      <c r="A1104" s="429"/>
      <c r="B1104" s="429"/>
      <c r="C1104" s="429"/>
      <c r="D1104" s="430"/>
      <c r="E1104" s="431"/>
      <c r="F1104" s="431"/>
      <c r="G1104" s="429"/>
      <c r="H1104" s="432"/>
      <c r="I1104" s="432"/>
      <c r="J1104" s="432"/>
      <c r="K1104" s="328"/>
      <c r="L1104" s="396"/>
      <c r="M1104" s="396"/>
      <c r="N1104" s="396"/>
      <c r="O1104" s="396"/>
      <c r="P1104" s="396"/>
      <c r="Q1104" s="328"/>
      <c r="R1104" s="328"/>
      <c r="S1104" s="328"/>
      <c r="T1104" s="328"/>
      <c r="U1104" s="328"/>
      <c r="V1104" s="328"/>
    </row>
    <row r="1105" customFormat="false" ht="15" hidden="false" customHeight="true" outlineLevel="1" collapsed="false">
      <c r="A1105" s="429"/>
      <c r="B1105" s="429"/>
      <c r="C1105" s="429"/>
      <c r="D1105" s="430"/>
      <c r="E1105" s="431"/>
      <c r="F1105" s="431"/>
      <c r="G1105" s="429"/>
      <c r="H1105" s="432"/>
      <c r="I1105" s="432"/>
      <c r="J1105" s="432"/>
      <c r="K1105" s="328"/>
      <c r="L1105" s="396"/>
      <c r="M1105" s="396"/>
      <c r="N1105" s="396"/>
      <c r="O1105" s="396"/>
      <c r="P1105" s="396"/>
      <c r="Q1105" s="328"/>
      <c r="R1105" s="328"/>
      <c r="S1105" s="328"/>
      <c r="T1105" s="328"/>
      <c r="U1105" s="328"/>
      <c r="V1105" s="328"/>
    </row>
    <row r="1106" customFormat="false" ht="15" hidden="false" customHeight="true" outlineLevel="1" collapsed="false">
      <c r="A1106" s="429"/>
      <c r="B1106" s="429"/>
      <c r="C1106" s="429"/>
      <c r="D1106" s="430"/>
      <c r="E1106" s="431"/>
      <c r="F1106" s="431"/>
      <c r="G1106" s="429"/>
      <c r="H1106" s="432"/>
      <c r="I1106" s="432"/>
      <c r="J1106" s="432"/>
      <c r="K1106" s="328"/>
      <c r="L1106" s="396"/>
      <c r="M1106" s="396"/>
      <c r="N1106" s="396"/>
      <c r="O1106" s="396"/>
      <c r="P1106" s="396"/>
      <c r="Q1106" s="328"/>
      <c r="R1106" s="328"/>
      <c r="S1106" s="328"/>
      <c r="T1106" s="328"/>
      <c r="U1106" s="328"/>
      <c r="V1106" s="328"/>
    </row>
    <row r="1107" customFormat="false" ht="15" hidden="false" customHeight="true" outlineLevel="1" collapsed="false">
      <c r="A1107" s="429"/>
      <c r="B1107" s="429"/>
      <c r="C1107" s="429"/>
      <c r="D1107" s="430"/>
      <c r="E1107" s="431"/>
      <c r="F1107" s="431"/>
      <c r="G1107" s="429"/>
      <c r="H1107" s="432"/>
      <c r="I1107" s="432"/>
      <c r="J1107" s="432"/>
      <c r="K1107" s="328"/>
      <c r="L1107" s="396"/>
      <c r="M1107" s="396"/>
      <c r="N1107" s="396"/>
      <c r="O1107" s="396"/>
      <c r="P1107" s="396"/>
      <c r="Q1107" s="328"/>
      <c r="R1107" s="328"/>
      <c r="S1107" s="328"/>
      <c r="T1107" s="328"/>
      <c r="U1107" s="328"/>
      <c r="V1107" s="328"/>
    </row>
    <row r="1108" customFormat="false" ht="15" hidden="false" customHeight="true" outlineLevel="1" collapsed="false">
      <c r="A1108" s="429"/>
      <c r="B1108" s="429"/>
      <c r="C1108" s="429"/>
      <c r="D1108" s="430"/>
      <c r="E1108" s="431"/>
      <c r="F1108" s="431"/>
      <c r="G1108" s="429"/>
      <c r="H1108" s="432"/>
      <c r="I1108" s="432"/>
      <c r="J1108" s="432"/>
      <c r="K1108" s="328"/>
      <c r="L1108" s="396"/>
      <c r="M1108" s="396"/>
      <c r="N1108" s="396"/>
      <c r="O1108" s="396"/>
      <c r="P1108" s="396"/>
      <c r="Q1108" s="328"/>
      <c r="R1108" s="328"/>
      <c r="S1108" s="328"/>
      <c r="T1108" s="328"/>
      <c r="U1108" s="328"/>
      <c r="V1108" s="328"/>
    </row>
    <row r="1109" customFormat="false" ht="15" hidden="false" customHeight="true" outlineLevel="1" collapsed="false">
      <c r="A1109" s="429"/>
      <c r="B1109" s="429"/>
      <c r="C1109" s="429"/>
      <c r="D1109" s="430"/>
      <c r="E1109" s="431"/>
      <c r="F1109" s="431"/>
      <c r="G1109" s="429"/>
      <c r="H1109" s="432"/>
      <c r="I1109" s="432"/>
      <c r="J1109" s="432"/>
      <c r="K1109" s="328"/>
      <c r="L1109" s="396"/>
      <c r="M1109" s="396"/>
      <c r="N1109" s="396"/>
      <c r="O1109" s="396"/>
      <c r="P1109" s="396"/>
      <c r="Q1109" s="328"/>
      <c r="R1109" s="328"/>
      <c r="S1109" s="328"/>
      <c r="T1109" s="328"/>
      <c r="U1109" s="328"/>
      <c r="V1109" s="328"/>
    </row>
    <row r="1110" customFormat="false" ht="15" hidden="false" customHeight="true" outlineLevel="1" collapsed="false">
      <c r="A1110" s="429"/>
      <c r="B1110" s="429"/>
      <c r="C1110" s="429"/>
      <c r="D1110" s="430"/>
      <c r="E1110" s="431"/>
      <c r="F1110" s="431"/>
      <c r="G1110" s="429"/>
      <c r="H1110" s="432"/>
      <c r="I1110" s="432"/>
      <c r="J1110" s="432"/>
      <c r="K1110" s="328"/>
      <c r="L1110" s="396"/>
      <c r="M1110" s="396"/>
      <c r="N1110" s="396"/>
      <c r="O1110" s="396"/>
      <c r="P1110" s="396"/>
      <c r="Q1110" s="328"/>
      <c r="R1110" s="328"/>
      <c r="S1110" s="328"/>
      <c r="T1110" s="328"/>
      <c r="U1110" s="328"/>
      <c r="V1110" s="328"/>
    </row>
    <row r="1111" customFormat="false" ht="15" hidden="false" customHeight="true" outlineLevel="1" collapsed="false">
      <c r="A1111" s="429"/>
      <c r="B1111" s="429"/>
      <c r="C1111" s="429"/>
      <c r="D1111" s="430"/>
      <c r="E1111" s="431"/>
      <c r="F1111" s="431"/>
      <c r="G1111" s="429"/>
      <c r="H1111" s="432"/>
      <c r="I1111" s="432"/>
      <c r="J1111" s="432"/>
      <c r="K1111" s="328"/>
      <c r="L1111" s="396"/>
      <c r="M1111" s="396"/>
      <c r="N1111" s="396"/>
      <c r="O1111" s="396"/>
      <c r="P1111" s="396"/>
      <c r="Q1111" s="328"/>
      <c r="R1111" s="328"/>
      <c r="S1111" s="328"/>
      <c r="T1111" s="328"/>
      <c r="U1111" s="328"/>
      <c r="V1111" s="328"/>
    </row>
    <row r="1112" customFormat="false" ht="15" hidden="false" customHeight="true" outlineLevel="1" collapsed="false">
      <c r="A1112" s="429"/>
      <c r="B1112" s="429"/>
      <c r="C1112" s="429"/>
      <c r="D1112" s="430"/>
      <c r="E1112" s="431"/>
      <c r="F1112" s="431"/>
      <c r="G1112" s="429"/>
      <c r="H1112" s="432"/>
      <c r="I1112" s="432"/>
      <c r="J1112" s="432"/>
      <c r="K1112" s="328"/>
      <c r="L1112" s="396"/>
      <c r="M1112" s="396"/>
      <c r="N1112" s="396"/>
      <c r="O1112" s="396"/>
      <c r="P1112" s="396"/>
      <c r="Q1112" s="328"/>
      <c r="R1112" s="328"/>
      <c r="S1112" s="328"/>
      <c r="T1112" s="328"/>
      <c r="U1112" s="328"/>
      <c r="V1112" s="328"/>
    </row>
    <row r="1113" customFormat="false" ht="15" hidden="false" customHeight="true" outlineLevel="1" collapsed="false">
      <c r="A1113" s="429"/>
      <c r="B1113" s="429"/>
      <c r="C1113" s="429"/>
      <c r="D1113" s="430"/>
      <c r="E1113" s="431"/>
      <c r="F1113" s="431"/>
      <c r="G1113" s="429"/>
      <c r="H1113" s="432"/>
      <c r="I1113" s="432"/>
      <c r="J1113" s="432"/>
      <c r="K1113" s="328"/>
      <c r="L1113" s="396"/>
      <c r="M1113" s="396"/>
      <c r="N1113" s="396"/>
      <c r="O1113" s="396"/>
      <c r="P1113" s="396"/>
      <c r="Q1113" s="328"/>
      <c r="R1113" s="328"/>
      <c r="S1113" s="328"/>
      <c r="T1113" s="328"/>
      <c r="U1113" s="328"/>
      <c r="V1113" s="328"/>
    </row>
    <row r="1114" customFormat="false" ht="15" hidden="false" customHeight="true" outlineLevel="1" collapsed="false">
      <c r="A1114" s="429"/>
      <c r="B1114" s="429"/>
      <c r="C1114" s="429"/>
      <c r="D1114" s="430"/>
      <c r="E1114" s="431"/>
      <c r="F1114" s="431"/>
      <c r="G1114" s="429"/>
      <c r="H1114" s="432"/>
      <c r="I1114" s="432"/>
      <c r="J1114" s="432"/>
      <c r="K1114" s="328"/>
      <c r="L1114" s="396"/>
      <c r="M1114" s="396"/>
      <c r="N1114" s="396"/>
      <c r="O1114" s="396"/>
      <c r="P1114" s="396"/>
      <c r="Q1114" s="328"/>
      <c r="R1114" s="328"/>
      <c r="S1114" s="328"/>
      <c r="T1114" s="328"/>
      <c r="U1114" s="328"/>
      <c r="V1114" s="328"/>
    </row>
    <row r="1115" customFormat="false" ht="15" hidden="false" customHeight="true" outlineLevel="1" collapsed="false">
      <c r="A1115" s="429"/>
      <c r="B1115" s="429"/>
      <c r="C1115" s="429"/>
      <c r="D1115" s="430"/>
      <c r="E1115" s="431"/>
      <c r="F1115" s="431"/>
      <c r="G1115" s="429"/>
      <c r="H1115" s="432"/>
      <c r="I1115" s="432"/>
      <c r="J1115" s="432"/>
      <c r="K1115" s="328"/>
      <c r="L1115" s="396"/>
      <c r="M1115" s="396"/>
      <c r="N1115" s="396"/>
      <c r="O1115" s="396"/>
      <c r="P1115" s="396"/>
      <c r="Q1115" s="328"/>
      <c r="R1115" s="328"/>
      <c r="S1115" s="328"/>
      <c r="T1115" s="328"/>
      <c r="U1115" s="328"/>
      <c r="V1115" s="328"/>
    </row>
    <row r="1116" customFormat="false" ht="15" hidden="false" customHeight="true" outlineLevel="1" collapsed="false">
      <c r="A1116" s="429"/>
      <c r="B1116" s="429"/>
      <c r="C1116" s="429"/>
      <c r="D1116" s="430"/>
      <c r="E1116" s="431"/>
      <c r="F1116" s="431"/>
      <c r="G1116" s="429"/>
      <c r="H1116" s="432"/>
      <c r="I1116" s="432"/>
      <c r="J1116" s="432"/>
      <c r="K1116" s="328"/>
      <c r="L1116" s="396"/>
      <c r="M1116" s="396"/>
      <c r="N1116" s="396"/>
      <c r="O1116" s="396"/>
      <c r="P1116" s="396"/>
      <c r="Q1116" s="328"/>
      <c r="R1116" s="328"/>
      <c r="S1116" s="328"/>
      <c r="T1116" s="328"/>
      <c r="U1116" s="328"/>
      <c r="V1116" s="328"/>
    </row>
    <row r="1117" customFormat="false" ht="15" hidden="false" customHeight="true" outlineLevel="1" collapsed="false">
      <c r="A1117" s="429"/>
      <c r="B1117" s="429"/>
      <c r="C1117" s="429"/>
      <c r="D1117" s="430"/>
      <c r="E1117" s="431"/>
      <c r="F1117" s="431"/>
      <c r="G1117" s="429"/>
      <c r="H1117" s="432"/>
      <c r="I1117" s="432"/>
      <c r="J1117" s="432"/>
      <c r="K1117" s="328"/>
      <c r="L1117" s="396"/>
      <c r="M1117" s="396"/>
      <c r="N1117" s="396"/>
      <c r="O1117" s="396"/>
      <c r="P1117" s="396"/>
      <c r="Q1117" s="328"/>
      <c r="R1117" s="328"/>
      <c r="S1117" s="328"/>
      <c r="T1117" s="328"/>
      <c r="U1117" s="328"/>
      <c r="V1117" s="328"/>
    </row>
    <row r="1118" customFormat="false" ht="15" hidden="false" customHeight="true" outlineLevel="1" collapsed="false">
      <c r="A1118" s="429"/>
      <c r="B1118" s="429"/>
      <c r="C1118" s="429"/>
      <c r="D1118" s="430"/>
      <c r="E1118" s="431"/>
      <c r="F1118" s="431"/>
      <c r="G1118" s="429"/>
      <c r="H1118" s="432"/>
      <c r="I1118" s="432"/>
      <c r="J1118" s="432"/>
      <c r="K1118" s="328"/>
      <c r="L1118" s="396"/>
      <c r="M1118" s="396"/>
      <c r="N1118" s="396"/>
      <c r="O1118" s="396"/>
      <c r="P1118" s="396"/>
      <c r="Q1118" s="328"/>
      <c r="R1118" s="328"/>
      <c r="S1118" s="328"/>
      <c r="T1118" s="328"/>
      <c r="U1118" s="328"/>
      <c r="V1118" s="328"/>
    </row>
    <row r="1119" customFormat="false" ht="15" hidden="false" customHeight="true" outlineLevel="1" collapsed="false">
      <c r="A1119" s="429"/>
      <c r="B1119" s="429"/>
      <c r="C1119" s="429"/>
      <c r="D1119" s="430"/>
      <c r="E1119" s="431"/>
      <c r="F1119" s="431"/>
      <c r="G1119" s="429"/>
      <c r="H1119" s="432"/>
      <c r="I1119" s="432"/>
      <c r="J1119" s="432"/>
      <c r="K1119" s="328"/>
      <c r="L1119" s="396"/>
      <c r="M1119" s="396"/>
      <c r="N1119" s="396"/>
      <c r="O1119" s="396"/>
      <c r="P1119" s="396"/>
      <c r="Q1119" s="328"/>
      <c r="R1119" s="328"/>
      <c r="S1119" s="328"/>
      <c r="T1119" s="328"/>
      <c r="U1119" s="328"/>
      <c r="V1119" s="328"/>
    </row>
    <row r="1120" customFormat="false" ht="15" hidden="false" customHeight="true" outlineLevel="1" collapsed="false">
      <c r="A1120" s="429"/>
      <c r="B1120" s="429"/>
      <c r="C1120" s="429"/>
      <c r="D1120" s="430"/>
      <c r="E1120" s="431"/>
      <c r="F1120" s="431"/>
      <c r="G1120" s="429"/>
      <c r="H1120" s="432"/>
      <c r="I1120" s="432"/>
      <c r="J1120" s="432"/>
      <c r="K1120" s="328"/>
      <c r="L1120" s="396"/>
      <c r="M1120" s="396"/>
      <c r="N1120" s="396"/>
      <c r="O1120" s="396"/>
      <c r="P1120" s="396"/>
      <c r="Q1120" s="328"/>
      <c r="R1120" s="328"/>
      <c r="S1120" s="328"/>
      <c r="T1120" s="328"/>
      <c r="U1120" s="328"/>
      <c r="V1120" s="328"/>
    </row>
    <row r="1121" customFormat="false" ht="15" hidden="false" customHeight="true" outlineLevel="1" collapsed="false">
      <c r="A1121" s="429"/>
      <c r="B1121" s="429"/>
      <c r="C1121" s="429"/>
      <c r="D1121" s="430"/>
      <c r="E1121" s="431"/>
      <c r="F1121" s="431"/>
      <c r="G1121" s="429"/>
      <c r="H1121" s="432"/>
      <c r="I1121" s="432"/>
      <c r="J1121" s="432"/>
      <c r="K1121" s="328"/>
      <c r="L1121" s="396"/>
      <c r="M1121" s="396"/>
      <c r="N1121" s="396"/>
      <c r="O1121" s="396"/>
      <c r="P1121" s="396"/>
      <c r="Q1121" s="328"/>
      <c r="R1121" s="328"/>
      <c r="S1121" s="328"/>
      <c r="T1121" s="328"/>
      <c r="U1121" s="328"/>
      <c r="V1121" s="328"/>
    </row>
    <row r="1122" customFormat="false" ht="15" hidden="false" customHeight="true" outlineLevel="1" collapsed="false">
      <c r="A1122" s="429"/>
      <c r="B1122" s="429"/>
      <c r="C1122" s="429"/>
      <c r="D1122" s="430"/>
      <c r="E1122" s="431"/>
      <c r="F1122" s="431"/>
      <c r="G1122" s="429"/>
      <c r="H1122" s="432"/>
      <c r="I1122" s="432"/>
      <c r="J1122" s="432"/>
      <c r="K1122" s="328"/>
      <c r="L1122" s="396"/>
      <c r="M1122" s="396"/>
      <c r="N1122" s="396"/>
      <c r="O1122" s="396"/>
      <c r="P1122" s="396"/>
      <c r="Q1122" s="328"/>
      <c r="R1122" s="328"/>
      <c r="S1122" s="328"/>
      <c r="T1122" s="328"/>
      <c r="U1122" s="328"/>
      <c r="V1122" s="328"/>
    </row>
    <row r="1123" customFormat="false" ht="15" hidden="false" customHeight="true" outlineLevel="1" collapsed="false">
      <c r="A1123" s="429"/>
      <c r="B1123" s="429"/>
      <c r="C1123" s="429"/>
      <c r="D1123" s="430"/>
      <c r="E1123" s="431"/>
      <c r="F1123" s="431"/>
      <c r="G1123" s="429"/>
      <c r="H1123" s="432"/>
      <c r="I1123" s="432"/>
      <c r="J1123" s="432"/>
      <c r="K1123" s="328"/>
      <c r="L1123" s="396"/>
      <c r="M1123" s="396"/>
      <c r="N1123" s="396"/>
      <c r="O1123" s="396"/>
      <c r="P1123" s="396"/>
      <c r="Q1123" s="328"/>
      <c r="R1123" s="328"/>
      <c r="S1123" s="328"/>
      <c r="T1123" s="328"/>
      <c r="U1123" s="328"/>
      <c r="V1123" s="328"/>
    </row>
    <row r="1124" customFormat="false" ht="15" hidden="false" customHeight="true" outlineLevel="1" collapsed="false">
      <c r="A1124" s="429"/>
      <c r="B1124" s="429"/>
      <c r="C1124" s="429"/>
      <c r="D1124" s="430"/>
      <c r="E1124" s="431"/>
      <c r="F1124" s="431"/>
      <c r="G1124" s="429"/>
      <c r="H1124" s="432"/>
      <c r="I1124" s="432"/>
      <c r="J1124" s="432"/>
      <c r="K1124" s="328"/>
      <c r="L1124" s="396"/>
      <c r="M1124" s="396"/>
      <c r="N1124" s="396"/>
      <c r="O1124" s="396"/>
      <c r="P1124" s="396"/>
      <c r="Q1124" s="328"/>
      <c r="R1124" s="328"/>
      <c r="S1124" s="328"/>
      <c r="T1124" s="328"/>
      <c r="U1124" s="328"/>
      <c r="V1124" s="328"/>
    </row>
    <row r="1125" customFormat="false" ht="15" hidden="false" customHeight="true" outlineLevel="1" collapsed="false">
      <c r="A1125" s="429"/>
      <c r="B1125" s="429"/>
      <c r="C1125" s="429"/>
      <c r="D1125" s="430"/>
      <c r="E1125" s="431"/>
      <c r="F1125" s="431"/>
      <c r="G1125" s="429"/>
      <c r="H1125" s="432"/>
      <c r="I1125" s="432"/>
      <c r="J1125" s="432"/>
      <c r="K1125" s="328"/>
      <c r="L1125" s="396"/>
      <c r="M1125" s="396"/>
      <c r="N1125" s="396"/>
      <c r="O1125" s="396"/>
      <c r="P1125" s="396"/>
      <c r="Q1125" s="328"/>
      <c r="R1125" s="328"/>
      <c r="S1125" s="328"/>
      <c r="T1125" s="328"/>
      <c r="U1125" s="328"/>
      <c r="V1125" s="328"/>
    </row>
    <row r="1126" customFormat="false" ht="15" hidden="false" customHeight="true" outlineLevel="1" collapsed="false">
      <c r="A1126" s="429"/>
      <c r="B1126" s="429"/>
      <c r="C1126" s="429"/>
      <c r="D1126" s="430"/>
      <c r="E1126" s="431"/>
      <c r="F1126" s="431"/>
      <c r="G1126" s="429"/>
      <c r="H1126" s="432"/>
      <c r="I1126" s="432"/>
      <c r="J1126" s="432"/>
      <c r="K1126" s="328"/>
      <c r="L1126" s="396"/>
      <c r="M1126" s="396"/>
      <c r="N1126" s="396"/>
      <c r="O1126" s="396"/>
      <c r="P1126" s="396"/>
      <c r="Q1126" s="328"/>
      <c r="R1126" s="328"/>
      <c r="S1126" s="328"/>
      <c r="T1126" s="328"/>
      <c r="U1126" s="328"/>
      <c r="V1126" s="328"/>
    </row>
    <row r="1127" customFormat="false" ht="15" hidden="false" customHeight="true" outlineLevel="1" collapsed="false">
      <c r="A1127" s="429"/>
      <c r="B1127" s="429"/>
      <c r="C1127" s="429"/>
      <c r="D1127" s="430"/>
      <c r="E1127" s="431"/>
      <c r="F1127" s="431"/>
      <c r="G1127" s="429"/>
      <c r="H1127" s="432"/>
      <c r="I1127" s="432"/>
      <c r="J1127" s="432"/>
      <c r="K1127" s="328"/>
      <c r="L1127" s="396"/>
      <c r="M1127" s="396"/>
      <c r="N1127" s="396"/>
      <c r="O1127" s="396"/>
      <c r="P1127" s="396"/>
      <c r="Q1127" s="328"/>
      <c r="R1127" s="328"/>
      <c r="S1127" s="328"/>
      <c r="T1127" s="328"/>
      <c r="U1127" s="328"/>
      <c r="V1127" s="328"/>
    </row>
    <row r="1128" customFormat="false" ht="15" hidden="false" customHeight="true" outlineLevel="1" collapsed="false">
      <c r="A1128" s="429"/>
      <c r="B1128" s="429"/>
      <c r="C1128" s="429"/>
      <c r="D1128" s="430"/>
      <c r="E1128" s="431"/>
      <c r="F1128" s="431"/>
      <c r="G1128" s="429"/>
      <c r="H1128" s="432"/>
      <c r="I1128" s="432"/>
      <c r="J1128" s="432"/>
      <c r="K1128" s="328"/>
      <c r="L1128" s="396"/>
      <c r="M1128" s="396"/>
      <c r="N1128" s="396"/>
      <c r="O1128" s="396"/>
      <c r="P1128" s="396"/>
      <c r="Q1128" s="328"/>
      <c r="R1128" s="328"/>
      <c r="S1128" s="328"/>
      <c r="T1128" s="328"/>
      <c r="U1128" s="328"/>
      <c r="V1128" s="328"/>
    </row>
    <row r="1129" customFormat="false" ht="15" hidden="false" customHeight="true" outlineLevel="1" collapsed="false">
      <c r="A1129" s="429"/>
      <c r="B1129" s="429"/>
      <c r="C1129" s="429"/>
      <c r="D1129" s="430"/>
      <c r="E1129" s="431"/>
      <c r="F1129" s="431"/>
      <c r="G1129" s="429"/>
      <c r="H1129" s="432"/>
      <c r="I1129" s="432"/>
      <c r="J1129" s="432"/>
      <c r="K1129" s="328"/>
      <c r="L1129" s="396"/>
      <c r="M1129" s="396"/>
      <c r="N1129" s="396"/>
      <c r="O1129" s="396"/>
      <c r="P1129" s="396"/>
      <c r="Q1129" s="328"/>
      <c r="R1129" s="328"/>
      <c r="S1129" s="328"/>
      <c r="T1129" s="328"/>
      <c r="U1129" s="328"/>
      <c r="V1129" s="328"/>
    </row>
    <row r="1130" customFormat="false" ht="15" hidden="false" customHeight="true" outlineLevel="1" collapsed="false">
      <c r="A1130" s="429"/>
      <c r="B1130" s="429"/>
      <c r="C1130" s="429"/>
      <c r="D1130" s="430"/>
      <c r="E1130" s="431"/>
      <c r="F1130" s="431"/>
      <c r="G1130" s="429"/>
      <c r="H1130" s="432"/>
      <c r="I1130" s="432"/>
      <c r="J1130" s="432"/>
      <c r="K1130" s="328"/>
      <c r="L1130" s="396"/>
      <c r="M1130" s="396"/>
      <c r="N1130" s="396"/>
      <c r="O1130" s="396"/>
      <c r="P1130" s="396"/>
      <c r="Q1130" s="328"/>
      <c r="R1130" s="328"/>
      <c r="S1130" s="328"/>
      <c r="T1130" s="328"/>
      <c r="U1130" s="328"/>
      <c r="V1130" s="328"/>
    </row>
    <row r="1131" customFormat="false" ht="15" hidden="false" customHeight="true" outlineLevel="1" collapsed="false">
      <c r="A1131" s="429"/>
      <c r="B1131" s="429"/>
      <c r="C1131" s="429"/>
      <c r="D1131" s="430"/>
      <c r="E1131" s="431"/>
      <c r="F1131" s="431"/>
      <c r="G1131" s="429"/>
      <c r="H1131" s="432"/>
      <c r="I1131" s="432"/>
      <c r="J1131" s="432"/>
      <c r="K1131" s="328"/>
      <c r="L1131" s="396"/>
      <c r="M1131" s="396"/>
      <c r="N1131" s="396"/>
      <c r="O1131" s="396"/>
      <c r="P1131" s="396"/>
      <c r="Q1131" s="328"/>
      <c r="R1131" s="328"/>
      <c r="S1131" s="328"/>
      <c r="T1131" s="328"/>
      <c r="U1131" s="328"/>
      <c r="V1131" s="328"/>
    </row>
    <row r="1132" customFormat="false" ht="15" hidden="false" customHeight="true" outlineLevel="1" collapsed="false">
      <c r="A1132" s="429"/>
      <c r="B1132" s="429"/>
      <c r="C1132" s="429"/>
      <c r="D1132" s="430"/>
      <c r="E1132" s="431"/>
      <c r="F1132" s="431"/>
      <c r="G1132" s="429"/>
      <c r="H1132" s="432"/>
      <c r="I1132" s="432"/>
      <c r="J1132" s="432"/>
      <c r="K1132" s="328"/>
      <c r="L1132" s="396"/>
      <c r="M1132" s="396"/>
      <c r="N1132" s="396"/>
      <c r="O1132" s="396"/>
      <c r="P1132" s="396"/>
      <c r="Q1132" s="328"/>
      <c r="R1132" s="328"/>
      <c r="S1132" s="328"/>
      <c r="T1132" s="328"/>
      <c r="U1132" s="328"/>
      <c r="V1132" s="328"/>
    </row>
    <row r="1133" customFormat="false" ht="15" hidden="false" customHeight="true" outlineLevel="1" collapsed="false">
      <c r="A1133" s="429"/>
      <c r="B1133" s="429"/>
      <c r="C1133" s="429"/>
      <c r="D1133" s="430"/>
      <c r="E1133" s="431"/>
      <c r="F1133" s="431"/>
      <c r="G1133" s="429"/>
      <c r="H1133" s="432"/>
      <c r="I1133" s="432"/>
      <c r="J1133" s="432"/>
      <c r="K1133" s="328"/>
      <c r="L1133" s="396"/>
      <c r="M1133" s="396"/>
      <c r="N1133" s="396"/>
      <c r="O1133" s="396"/>
      <c r="P1133" s="396"/>
      <c r="Q1133" s="328"/>
      <c r="R1133" s="328"/>
      <c r="S1133" s="328"/>
      <c r="T1133" s="328"/>
      <c r="U1133" s="328"/>
      <c r="V1133" s="328"/>
    </row>
    <row r="1134" customFormat="false" ht="15" hidden="false" customHeight="true" outlineLevel="1" collapsed="false">
      <c r="A1134" s="429"/>
      <c r="B1134" s="429"/>
      <c r="C1134" s="429"/>
      <c r="D1134" s="430"/>
      <c r="E1134" s="431"/>
      <c r="F1134" s="431"/>
      <c r="G1134" s="429"/>
      <c r="H1134" s="432"/>
      <c r="I1134" s="432"/>
      <c r="J1134" s="432"/>
      <c r="K1134" s="328"/>
      <c r="L1134" s="396"/>
      <c r="M1134" s="396"/>
      <c r="N1134" s="396"/>
      <c r="O1134" s="396"/>
      <c r="P1134" s="396"/>
      <c r="Q1134" s="328"/>
      <c r="R1134" s="328"/>
      <c r="S1134" s="328"/>
      <c r="T1134" s="328"/>
      <c r="U1134" s="328"/>
      <c r="V1134" s="328"/>
    </row>
    <row r="1135" customFormat="false" ht="15" hidden="false" customHeight="true" outlineLevel="1" collapsed="false">
      <c r="A1135" s="429"/>
      <c r="B1135" s="429"/>
      <c r="C1135" s="429"/>
      <c r="D1135" s="430"/>
      <c r="E1135" s="431"/>
      <c r="F1135" s="431"/>
      <c r="G1135" s="429"/>
      <c r="H1135" s="432"/>
      <c r="I1135" s="432"/>
      <c r="J1135" s="432"/>
      <c r="K1135" s="328"/>
      <c r="L1135" s="396"/>
      <c r="M1135" s="396"/>
      <c r="N1135" s="396"/>
      <c r="O1135" s="396"/>
      <c r="P1135" s="396"/>
      <c r="Q1135" s="328"/>
      <c r="R1135" s="328"/>
      <c r="S1135" s="328"/>
      <c r="T1135" s="328"/>
      <c r="U1135" s="328"/>
      <c r="V1135" s="328"/>
    </row>
    <row r="1136" customFormat="false" ht="15" hidden="false" customHeight="true" outlineLevel="1" collapsed="false">
      <c r="A1136" s="429"/>
      <c r="B1136" s="429"/>
      <c r="C1136" s="429"/>
      <c r="D1136" s="430"/>
      <c r="E1136" s="431"/>
      <c r="F1136" s="431"/>
      <c r="G1136" s="429"/>
      <c r="H1136" s="432"/>
      <c r="I1136" s="432"/>
      <c r="J1136" s="432"/>
      <c r="K1136" s="328"/>
      <c r="L1136" s="396"/>
      <c r="M1136" s="396"/>
      <c r="N1136" s="396"/>
      <c r="O1136" s="396"/>
      <c r="P1136" s="396"/>
      <c r="Q1136" s="328"/>
      <c r="R1136" s="328"/>
      <c r="S1136" s="328"/>
      <c r="T1136" s="328"/>
      <c r="U1136" s="328"/>
      <c r="V1136" s="328"/>
    </row>
    <row r="1137" customFormat="false" ht="15" hidden="false" customHeight="true" outlineLevel="1" collapsed="false">
      <c r="A1137" s="429"/>
      <c r="B1137" s="429"/>
      <c r="C1137" s="429"/>
      <c r="D1137" s="430"/>
      <c r="E1137" s="431"/>
      <c r="F1137" s="431"/>
      <c r="G1137" s="429"/>
      <c r="H1137" s="432"/>
      <c r="I1137" s="432"/>
      <c r="J1137" s="432"/>
      <c r="K1137" s="328"/>
      <c r="L1137" s="396"/>
      <c r="M1137" s="396"/>
      <c r="N1137" s="396"/>
      <c r="O1137" s="396"/>
      <c r="P1137" s="396"/>
      <c r="Q1137" s="328"/>
      <c r="R1137" s="328"/>
      <c r="S1137" s="328"/>
      <c r="T1137" s="328"/>
      <c r="U1137" s="328"/>
      <c r="V1137" s="328"/>
    </row>
    <row r="1138" customFormat="false" ht="15" hidden="false" customHeight="true" outlineLevel="1" collapsed="false">
      <c r="A1138" s="429"/>
      <c r="B1138" s="429"/>
      <c r="C1138" s="429"/>
      <c r="D1138" s="430"/>
      <c r="E1138" s="431"/>
      <c r="F1138" s="431"/>
      <c r="G1138" s="429"/>
      <c r="H1138" s="432"/>
      <c r="I1138" s="432"/>
      <c r="J1138" s="432"/>
      <c r="K1138" s="328"/>
      <c r="L1138" s="396"/>
      <c r="M1138" s="396"/>
      <c r="N1138" s="396"/>
      <c r="O1138" s="396"/>
      <c r="P1138" s="396"/>
      <c r="Q1138" s="328"/>
      <c r="R1138" s="328"/>
      <c r="S1138" s="328"/>
      <c r="T1138" s="328"/>
      <c r="U1138" s="328"/>
      <c r="V1138" s="328"/>
    </row>
    <row r="1139" customFormat="false" ht="15" hidden="false" customHeight="true" outlineLevel="1" collapsed="false">
      <c r="A1139" s="429"/>
      <c r="B1139" s="429"/>
      <c r="C1139" s="429"/>
      <c r="D1139" s="430"/>
      <c r="E1139" s="431"/>
      <c r="F1139" s="431"/>
      <c r="G1139" s="429"/>
      <c r="H1139" s="432"/>
      <c r="I1139" s="432"/>
      <c r="J1139" s="432"/>
      <c r="K1139" s="328"/>
      <c r="L1139" s="396"/>
      <c r="M1139" s="396"/>
      <c r="N1139" s="396"/>
      <c r="O1139" s="396"/>
      <c r="P1139" s="396"/>
      <c r="Q1139" s="328"/>
      <c r="R1139" s="328"/>
      <c r="S1139" s="328"/>
      <c r="T1139" s="328"/>
      <c r="U1139" s="328"/>
      <c r="V1139" s="328"/>
    </row>
    <row r="1140" customFormat="false" ht="15" hidden="false" customHeight="true" outlineLevel="1" collapsed="false">
      <c r="A1140" s="429"/>
      <c r="B1140" s="429"/>
      <c r="C1140" s="429"/>
      <c r="D1140" s="430"/>
      <c r="E1140" s="431"/>
      <c r="F1140" s="431"/>
      <c r="G1140" s="429"/>
      <c r="H1140" s="432"/>
      <c r="I1140" s="432"/>
      <c r="J1140" s="432"/>
      <c r="K1140" s="328"/>
      <c r="L1140" s="396"/>
      <c r="M1140" s="396"/>
      <c r="N1140" s="396"/>
      <c r="O1140" s="396"/>
      <c r="P1140" s="396"/>
      <c r="Q1140" s="328"/>
      <c r="R1140" s="328"/>
      <c r="S1140" s="328"/>
      <c r="T1140" s="328"/>
      <c r="U1140" s="328"/>
      <c r="V1140" s="328"/>
    </row>
    <row r="1141" customFormat="false" ht="15" hidden="false" customHeight="true" outlineLevel="1" collapsed="false">
      <c r="A1141" s="429"/>
      <c r="B1141" s="429"/>
      <c r="C1141" s="429"/>
      <c r="D1141" s="430"/>
      <c r="E1141" s="431"/>
      <c r="F1141" s="431"/>
      <c r="G1141" s="429"/>
      <c r="H1141" s="432"/>
      <c r="I1141" s="432"/>
      <c r="J1141" s="432"/>
      <c r="K1141" s="328"/>
      <c r="L1141" s="396"/>
      <c r="M1141" s="396"/>
      <c r="N1141" s="396"/>
      <c r="O1141" s="396"/>
      <c r="P1141" s="396"/>
      <c r="Q1141" s="328"/>
      <c r="R1141" s="328"/>
      <c r="S1141" s="328"/>
      <c r="T1141" s="328"/>
      <c r="U1141" s="328"/>
      <c r="V1141" s="328"/>
    </row>
    <row r="1142" customFormat="false" ht="15" hidden="false" customHeight="true" outlineLevel="1" collapsed="false">
      <c r="A1142" s="429"/>
      <c r="B1142" s="429"/>
      <c r="C1142" s="429"/>
      <c r="D1142" s="430"/>
      <c r="E1142" s="431"/>
      <c r="F1142" s="431"/>
      <c r="G1142" s="429"/>
      <c r="H1142" s="432"/>
      <c r="I1142" s="432"/>
      <c r="J1142" s="432"/>
      <c r="K1142" s="328"/>
      <c r="L1142" s="396"/>
      <c r="M1142" s="396"/>
      <c r="N1142" s="396"/>
      <c r="O1142" s="396"/>
      <c r="P1142" s="396"/>
      <c r="Q1142" s="328"/>
      <c r="R1142" s="328"/>
      <c r="S1142" s="328"/>
      <c r="T1142" s="328"/>
      <c r="U1142" s="328"/>
      <c r="V1142" s="328"/>
    </row>
    <row r="1143" customFormat="false" ht="15" hidden="false" customHeight="true" outlineLevel="1" collapsed="false">
      <c r="A1143" s="429"/>
      <c r="B1143" s="429"/>
      <c r="C1143" s="429"/>
      <c r="D1143" s="430"/>
      <c r="E1143" s="431"/>
      <c r="F1143" s="431"/>
      <c r="G1143" s="429"/>
      <c r="H1143" s="432"/>
      <c r="I1143" s="432"/>
      <c r="J1143" s="432"/>
      <c r="K1143" s="328"/>
      <c r="L1143" s="396"/>
      <c r="M1143" s="396"/>
      <c r="N1143" s="396"/>
      <c r="O1143" s="396"/>
      <c r="P1143" s="396"/>
      <c r="Q1143" s="328"/>
      <c r="R1143" s="328"/>
      <c r="S1143" s="328"/>
      <c r="T1143" s="328"/>
      <c r="U1143" s="328"/>
      <c r="V1143" s="328"/>
    </row>
    <row r="1144" customFormat="false" ht="15" hidden="false" customHeight="true" outlineLevel="1" collapsed="false">
      <c r="A1144" s="429"/>
      <c r="B1144" s="429"/>
      <c r="C1144" s="429"/>
      <c r="D1144" s="430"/>
      <c r="E1144" s="431"/>
      <c r="F1144" s="431"/>
      <c r="G1144" s="429"/>
      <c r="H1144" s="432"/>
      <c r="I1144" s="432"/>
      <c r="J1144" s="432"/>
      <c r="K1144" s="328"/>
      <c r="L1144" s="396"/>
      <c r="M1144" s="396"/>
      <c r="N1144" s="396"/>
      <c r="O1144" s="396"/>
      <c r="P1144" s="396"/>
      <c r="Q1144" s="328"/>
      <c r="R1144" s="328"/>
      <c r="S1144" s="328"/>
      <c r="T1144" s="328"/>
      <c r="U1144" s="328"/>
      <c r="V1144" s="328"/>
    </row>
    <row r="1145" customFormat="false" ht="15" hidden="false" customHeight="true" outlineLevel="1" collapsed="false">
      <c r="A1145" s="429"/>
      <c r="B1145" s="429"/>
      <c r="C1145" s="429"/>
      <c r="D1145" s="430"/>
      <c r="E1145" s="431"/>
      <c r="F1145" s="431"/>
      <c r="G1145" s="429"/>
      <c r="H1145" s="432"/>
      <c r="I1145" s="432"/>
      <c r="J1145" s="432"/>
      <c r="K1145" s="328"/>
      <c r="L1145" s="396"/>
      <c r="M1145" s="396"/>
      <c r="N1145" s="396"/>
      <c r="O1145" s="396"/>
      <c r="P1145" s="396"/>
      <c r="Q1145" s="328"/>
      <c r="R1145" s="328"/>
      <c r="S1145" s="328"/>
      <c r="T1145" s="328"/>
      <c r="U1145" s="328"/>
      <c r="V1145" s="328"/>
    </row>
    <row r="1146" customFormat="false" ht="15" hidden="false" customHeight="true" outlineLevel="1" collapsed="false">
      <c r="A1146" s="429"/>
      <c r="B1146" s="429"/>
      <c r="C1146" s="429"/>
      <c r="D1146" s="430"/>
      <c r="E1146" s="431"/>
      <c r="F1146" s="431"/>
      <c r="G1146" s="429"/>
      <c r="H1146" s="432"/>
      <c r="I1146" s="432"/>
      <c r="J1146" s="432"/>
      <c r="K1146" s="328"/>
      <c r="L1146" s="396"/>
      <c r="M1146" s="396"/>
      <c r="N1146" s="396"/>
      <c r="O1146" s="396"/>
      <c r="P1146" s="396"/>
      <c r="Q1146" s="328"/>
      <c r="R1146" s="328"/>
      <c r="S1146" s="328"/>
      <c r="T1146" s="328"/>
      <c r="U1146" s="328"/>
      <c r="V1146" s="328"/>
    </row>
    <row r="1147" customFormat="false" ht="15" hidden="false" customHeight="true" outlineLevel="1" collapsed="false">
      <c r="A1147" s="429"/>
      <c r="B1147" s="429"/>
      <c r="C1147" s="429"/>
      <c r="D1147" s="430"/>
      <c r="E1147" s="431"/>
      <c r="F1147" s="431"/>
      <c r="G1147" s="429"/>
      <c r="H1147" s="432"/>
      <c r="I1147" s="432"/>
      <c r="J1147" s="432"/>
      <c r="K1147" s="328"/>
      <c r="L1147" s="396"/>
      <c r="M1147" s="396"/>
      <c r="N1147" s="396"/>
      <c r="O1147" s="396"/>
      <c r="P1147" s="396"/>
      <c r="Q1147" s="328"/>
      <c r="R1147" s="328"/>
      <c r="S1147" s="328"/>
      <c r="T1147" s="328"/>
      <c r="U1147" s="328"/>
      <c r="V1147" s="328"/>
    </row>
    <row r="1148" customFormat="false" ht="15" hidden="false" customHeight="true" outlineLevel="1" collapsed="false">
      <c r="A1148" s="429"/>
      <c r="B1148" s="429"/>
      <c r="C1148" s="429"/>
      <c r="D1148" s="430"/>
      <c r="E1148" s="431"/>
      <c r="F1148" s="431"/>
      <c r="G1148" s="429"/>
      <c r="H1148" s="432"/>
      <c r="I1148" s="432"/>
      <c r="J1148" s="432"/>
      <c r="K1148" s="328"/>
      <c r="L1148" s="396"/>
      <c r="M1148" s="396"/>
      <c r="N1148" s="396"/>
      <c r="O1148" s="396"/>
      <c r="P1148" s="396"/>
      <c r="Q1148" s="328"/>
      <c r="R1148" s="328"/>
      <c r="S1148" s="328"/>
      <c r="T1148" s="328"/>
      <c r="U1148" s="328"/>
      <c r="V1148" s="328"/>
    </row>
    <row r="1149" customFormat="false" ht="15" hidden="false" customHeight="true" outlineLevel="1" collapsed="false">
      <c r="A1149" s="429"/>
      <c r="B1149" s="429"/>
      <c r="C1149" s="429"/>
      <c r="D1149" s="430"/>
      <c r="E1149" s="431"/>
      <c r="F1149" s="431"/>
      <c r="G1149" s="429"/>
      <c r="H1149" s="432"/>
      <c r="I1149" s="432"/>
      <c r="J1149" s="432"/>
      <c r="K1149" s="328"/>
      <c r="L1149" s="396"/>
      <c r="M1149" s="396"/>
      <c r="N1149" s="396"/>
      <c r="O1149" s="396"/>
      <c r="P1149" s="396"/>
      <c r="Q1149" s="328"/>
      <c r="R1149" s="328"/>
      <c r="S1149" s="328"/>
      <c r="T1149" s="328"/>
      <c r="U1149" s="328"/>
      <c r="V1149" s="328"/>
    </row>
    <row r="1150" customFormat="false" ht="15" hidden="false" customHeight="true" outlineLevel="1" collapsed="false">
      <c r="A1150" s="429"/>
      <c r="B1150" s="429"/>
      <c r="C1150" s="429"/>
      <c r="D1150" s="430"/>
      <c r="E1150" s="431"/>
      <c r="F1150" s="431"/>
      <c r="G1150" s="429"/>
      <c r="H1150" s="432"/>
      <c r="I1150" s="432"/>
      <c r="J1150" s="432"/>
      <c r="K1150" s="328"/>
      <c r="L1150" s="396"/>
      <c r="M1150" s="396"/>
      <c r="N1150" s="396"/>
      <c r="O1150" s="396"/>
      <c r="P1150" s="396"/>
      <c r="Q1150" s="328"/>
      <c r="R1150" s="328"/>
      <c r="S1150" s="328"/>
      <c r="T1150" s="328"/>
      <c r="U1150" s="328"/>
      <c r="V1150" s="328"/>
    </row>
    <row r="1151" customFormat="false" ht="15" hidden="false" customHeight="true" outlineLevel="1" collapsed="false">
      <c r="A1151" s="429"/>
      <c r="B1151" s="429"/>
      <c r="C1151" s="429"/>
      <c r="D1151" s="430"/>
      <c r="E1151" s="431"/>
      <c r="F1151" s="431"/>
      <c r="G1151" s="429"/>
      <c r="H1151" s="432"/>
      <c r="I1151" s="432"/>
      <c r="J1151" s="432"/>
      <c r="K1151" s="328"/>
      <c r="L1151" s="396"/>
      <c r="M1151" s="396"/>
      <c r="N1151" s="396"/>
      <c r="O1151" s="396"/>
      <c r="P1151" s="396"/>
      <c r="Q1151" s="328"/>
      <c r="R1151" s="328"/>
      <c r="S1151" s="328"/>
      <c r="T1151" s="328"/>
      <c r="U1151" s="328"/>
      <c r="V1151" s="328"/>
    </row>
    <row r="1152" customFormat="false" ht="15" hidden="false" customHeight="true" outlineLevel="1" collapsed="false">
      <c r="A1152" s="429"/>
      <c r="B1152" s="429"/>
      <c r="C1152" s="429"/>
      <c r="D1152" s="430"/>
      <c r="E1152" s="431"/>
      <c r="F1152" s="431"/>
      <c r="G1152" s="429"/>
      <c r="H1152" s="432"/>
      <c r="I1152" s="432"/>
      <c r="J1152" s="432"/>
      <c r="K1152" s="328"/>
      <c r="L1152" s="396"/>
      <c r="M1152" s="396"/>
      <c r="N1152" s="396"/>
      <c r="O1152" s="396"/>
      <c r="P1152" s="396"/>
      <c r="Q1152" s="328"/>
      <c r="R1152" s="328"/>
      <c r="S1152" s="328"/>
      <c r="T1152" s="328"/>
      <c r="U1152" s="328"/>
      <c r="V1152" s="328"/>
    </row>
    <row r="1153" customFormat="false" ht="15" hidden="false" customHeight="true" outlineLevel="1" collapsed="false">
      <c r="A1153" s="429"/>
      <c r="B1153" s="429"/>
      <c r="C1153" s="429"/>
      <c r="D1153" s="430"/>
      <c r="E1153" s="431"/>
      <c r="F1153" s="431"/>
      <c r="G1153" s="429"/>
      <c r="H1153" s="432"/>
      <c r="I1153" s="432"/>
      <c r="J1153" s="432"/>
      <c r="K1153" s="328"/>
      <c r="L1153" s="396"/>
      <c r="M1153" s="396"/>
      <c r="N1153" s="396"/>
      <c r="O1153" s="396"/>
      <c r="P1153" s="396"/>
      <c r="Q1153" s="328"/>
      <c r="R1153" s="328"/>
      <c r="S1153" s="328"/>
      <c r="T1153" s="328"/>
      <c r="U1153" s="328"/>
      <c r="V1153" s="328"/>
    </row>
    <row r="1154" customFormat="false" ht="15" hidden="false" customHeight="true" outlineLevel="1" collapsed="false">
      <c r="A1154" s="429"/>
      <c r="B1154" s="429"/>
      <c r="C1154" s="429"/>
      <c r="D1154" s="430"/>
      <c r="E1154" s="431"/>
      <c r="F1154" s="431"/>
      <c r="G1154" s="429"/>
      <c r="H1154" s="432"/>
      <c r="I1154" s="432"/>
      <c r="J1154" s="432"/>
      <c r="K1154" s="328"/>
      <c r="L1154" s="396"/>
      <c r="M1154" s="396"/>
      <c r="N1154" s="396"/>
      <c r="O1154" s="396"/>
      <c r="P1154" s="396"/>
      <c r="Q1154" s="328"/>
      <c r="R1154" s="328"/>
      <c r="S1154" s="328"/>
      <c r="T1154" s="328"/>
      <c r="U1154" s="328"/>
      <c r="V1154" s="328"/>
    </row>
    <row r="1155" customFormat="false" ht="15" hidden="false" customHeight="true" outlineLevel="1" collapsed="false">
      <c r="A1155" s="429"/>
      <c r="B1155" s="429"/>
      <c r="C1155" s="429"/>
      <c r="D1155" s="430"/>
      <c r="E1155" s="431"/>
      <c r="F1155" s="431"/>
      <c r="G1155" s="429"/>
      <c r="H1155" s="432"/>
      <c r="I1155" s="432"/>
      <c r="J1155" s="432"/>
      <c r="K1155" s="328"/>
      <c r="L1155" s="396"/>
      <c r="M1155" s="396"/>
      <c r="N1155" s="396"/>
      <c r="O1155" s="396"/>
      <c r="P1155" s="396"/>
      <c r="Q1155" s="328"/>
      <c r="R1155" s="328"/>
      <c r="S1155" s="328"/>
      <c r="T1155" s="328"/>
      <c r="U1155" s="328"/>
      <c r="V1155" s="328"/>
    </row>
    <row r="1156" customFormat="false" ht="15" hidden="false" customHeight="true" outlineLevel="1" collapsed="false">
      <c r="A1156" s="429"/>
      <c r="B1156" s="429"/>
      <c r="C1156" s="429"/>
      <c r="D1156" s="430"/>
      <c r="E1156" s="431"/>
      <c r="F1156" s="431"/>
      <c r="G1156" s="429"/>
      <c r="H1156" s="432"/>
      <c r="I1156" s="432"/>
      <c r="J1156" s="432"/>
      <c r="K1156" s="328"/>
      <c r="L1156" s="396"/>
      <c r="M1156" s="396"/>
      <c r="N1156" s="396"/>
      <c r="O1156" s="396"/>
      <c r="P1156" s="396"/>
      <c r="Q1156" s="328"/>
      <c r="R1156" s="328"/>
      <c r="S1156" s="328"/>
      <c r="T1156" s="328"/>
      <c r="U1156" s="328"/>
      <c r="V1156" s="328"/>
    </row>
    <row r="1157" customFormat="false" ht="15" hidden="false" customHeight="true" outlineLevel="1" collapsed="false">
      <c r="A1157" s="429"/>
      <c r="B1157" s="429"/>
      <c r="C1157" s="429"/>
      <c r="D1157" s="430"/>
      <c r="E1157" s="431"/>
      <c r="F1157" s="431"/>
      <c r="G1157" s="429"/>
      <c r="H1157" s="432"/>
      <c r="I1157" s="432"/>
      <c r="J1157" s="432"/>
      <c r="K1157" s="328"/>
      <c r="L1157" s="396"/>
      <c r="M1157" s="396"/>
      <c r="N1157" s="396"/>
      <c r="O1157" s="396"/>
      <c r="P1157" s="396"/>
      <c r="Q1157" s="328"/>
      <c r="R1157" s="328"/>
      <c r="S1157" s="328"/>
      <c r="T1157" s="328"/>
      <c r="U1157" s="328"/>
      <c r="V1157" s="328"/>
    </row>
    <row r="1158" customFormat="false" ht="15" hidden="false" customHeight="true" outlineLevel="1" collapsed="false">
      <c r="A1158" s="429"/>
      <c r="B1158" s="429"/>
      <c r="C1158" s="429"/>
      <c r="D1158" s="430"/>
      <c r="E1158" s="431"/>
      <c r="F1158" s="431"/>
      <c r="G1158" s="429"/>
      <c r="H1158" s="432"/>
      <c r="I1158" s="432"/>
      <c r="J1158" s="432"/>
      <c r="K1158" s="328"/>
      <c r="L1158" s="396"/>
      <c r="M1158" s="396"/>
      <c r="N1158" s="396"/>
      <c r="O1158" s="396"/>
      <c r="P1158" s="396"/>
      <c r="Q1158" s="328"/>
      <c r="R1158" s="328"/>
      <c r="S1158" s="328"/>
      <c r="T1158" s="328"/>
      <c r="U1158" s="328"/>
      <c r="V1158" s="328"/>
    </row>
    <row r="1159" customFormat="false" ht="15" hidden="false" customHeight="true" outlineLevel="1" collapsed="false">
      <c r="A1159" s="429"/>
      <c r="B1159" s="429"/>
      <c r="C1159" s="429"/>
      <c r="D1159" s="430"/>
      <c r="E1159" s="431"/>
      <c r="F1159" s="431"/>
      <c r="G1159" s="429"/>
      <c r="H1159" s="432"/>
      <c r="I1159" s="432"/>
      <c r="J1159" s="432"/>
      <c r="K1159" s="328"/>
      <c r="L1159" s="396"/>
      <c r="M1159" s="396"/>
      <c r="N1159" s="396"/>
      <c r="O1159" s="396"/>
      <c r="P1159" s="396"/>
      <c r="Q1159" s="328"/>
      <c r="R1159" s="328"/>
      <c r="S1159" s="328"/>
      <c r="T1159" s="328"/>
      <c r="U1159" s="328"/>
      <c r="V1159" s="328"/>
    </row>
    <row r="1160" customFormat="false" ht="15" hidden="false" customHeight="true" outlineLevel="1" collapsed="false">
      <c r="A1160" s="429"/>
      <c r="B1160" s="429"/>
      <c r="C1160" s="429"/>
      <c r="D1160" s="430"/>
      <c r="E1160" s="431"/>
      <c r="F1160" s="431"/>
      <c r="G1160" s="429"/>
      <c r="H1160" s="432"/>
      <c r="I1160" s="432"/>
      <c r="J1160" s="432"/>
      <c r="K1160" s="328"/>
      <c r="L1160" s="396"/>
      <c r="M1160" s="396"/>
      <c r="N1160" s="396"/>
      <c r="O1160" s="396"/>
      <c r="P1160" s="396"/>
      <c r="Q1160" s="328"/>
      <c r="R1160" s="328"/>
      <c r="S1160" s="328"/>
      <c r="T1160" s="328"/>
      <c r="U1160" s="328"/>
      <c r="V1160" s="328"/>
    </row>
    <row r="1161" customFormat="false" ht="15" hidden="false" customHeight="true" outlineLevel="1" collapsed="false">
      <c r="A1161" s="429"/>
      <c r="B1161" s="429"/>
      <c r="C1161" s="429"/>
      <c r="D1161" s="430"/>
      <c r="E1161" s="431"/>
      <c r="F1161" s="431"/>
      <c r="G1161" s="429"/>
      <c r="H1161" s="432"/>
      <c r="I1161" s="432"/>
      <c r="J1161" s="432"/>
      <c r="K1161" s="328"/>
      <c r="L1161" s="396"/>
      <c r="M1161" s="396"/>
      <c r="N1161" s="396"/>
      <c r="O1161" s="396"/>
      <c r="P1161" s="396"/>
      <c r="Q1161" s="328"/>
      <c r="R1161" s="328"/>
      <c r="S1161" s="328"/>
      <c r="T1161" s="328"/>
      <c r="U1161" s="328"/>
      <c r="V1161" s="328"/>
    </row>
    <row r="1162" customFormat="false" ht="15" hidden="false" customHeight="true" outlineLevel="1" collapsed="false">
      <c r="A1162" s="429"/>
      <c r="B1162" s="429"/>
      <c r="C1162" s="429"/>
      <c r="D1162" s="430"/>
      <c r="E1162" s="431"/>
      <c r="F1162" s="431"/>
      <c r="G1162" s="429"/>
      <c r="H1162" s="432"/>
      <c r="I1162" s="432"/>
      <c r="J1162" s="432"/>
      <c r="K1162" s="328"/>
      <c r="L1162" s="396"/>
      <c r="M1162" s="396"/>
      <c r="N1162" s="396"/>
      <c r="O1162" s="396"/>
      <c r="P1162" s="396"/>
      <c r="Q1162" s="328"/>
      <c r="R1162" s="328"/>
      <c r="S1162" s="328"/>
      <c r="T1162" s="328"/>
      <c r="U1162" s="328"/>
      <c r="V1162" s="328"/>
    </row>
    <row r="1163" customFormat="false" ht="15" hidden="false" customHeight="true" outlineLevel="1" collapsed="false">
      <c r="A1163" s="429"/>
      <c r="B1163" s="429"/>
      <c r="C1163" s="429"/>
      <c r="D1163" s="430"/>
      <c r="E1163" s="431"/>
      <c r="F1163" s="431"/>
      <c r="G1163" s="429"/>
      <c r="H1163" s="432"/>
      <c r="I1163" s="432"/>
      <c r="J1163" s="432"/>
      <c r="K1163" s="328"/>
      <c r="L1163" s="396"/>
      <c r="M1163" s="396"/>
      <c r="N1163" s="396"/>
      <c r="O1163" s="396"/>
      <c r="P1163" s="396"/>
      <c r="Q1163" s="328"/>
      <c r="R1163" s="328"/>
      <c r="S1163" s="328"/>
      <c r="T1163" s="328"/>
      <c r="U1163" s="328"/>
      <c r="V1163" s="328"/>
    </row>
    <row r="1164" customFormat="false" ht="15" hidden="false" customHeight="true" outlineLevel="1" collapsed="false">
      <c r="A1164" s="429"/>
      <c r="B1164" s="429"/>
      <c r="C1164" s="429"/>
      <c r="D1164" s="430"/>
      <c r="E1164" s="431"/>
      <c r="F1164" s="431"/>
      <c r="G1164" s="429"/>
      <c r="H1164" s="432"/>
      <c r="I1164" s="432"/>
      <c r="J1164" s="432"/>
      <c r="K1164" s="328"/>
      <c r="L1164" s="396"/>
      <c r="M1164" s="396"/>
      <c r="N1164" s="396"/>
      <c r="O1164" s="396"/>
      <c r="P1164" s="396"/>
      <c r="Q1164" s="328"/>
      <c r="R1164" s="328"/>
      <c r="S1164" s="328"/>
      <c r="T1164" s="328"/>
      <c r="U1164" s="328"/>
      <c r="V1164" s="328"/>
    </row>
    <row r="1165" customFormat="false" ht="15" hidden="false" customHeight="true" outlineLevel="1" collapsed="false">
      <c r="A1165" s="429"/>
      <c r="B1165" s="429"/>
      <c r="C1165" s="429"/>
      <c r="D1165" s="430"/>
      <c r="E1165" s="431"/>
      <c r="F1165" s="431"/>
      <c r="G1165" s="429"/>
      <c r="H1165" s="432"/>
      <c r="I1165" s="432"/>
      <c r="J1165" s="432"/>
      <c r="K1165" s="328"/>
      <c r="L1165" s="396"/>
      <c r="M1165" s="396"/>
      <c r="N1165" s="396"/>
      <c r="O1165" s="396"/>
      <c r="P1165" s="396"/>
      <c r="Q1165" s="328"/>
      <c r="R1165" s="328"/>
      <c r="S1165" s="328"/>
      <c r="T1165" s="328"/>
      <c r="U1165" s="328"/>
      <c r="V1165" s="328"/>
    </row>
    <row r="1166" customFormat="false" ht="15" hidden="false" customHeight="true" outlineLevel="1" collapsed="false">
      <c r="A1166" s="429"/>
      <c r="B1166" s="429"/>
      <c r="C1166" s="429"/>
      <c r="D1166" s="430"/>
      <c r="E1166" s="431"/>
      <c r="F1166" s="431"/>
      <c r="G1166" s="429"/>
      <c r="H1166" s="432"/>
      <c r="I1166" s="432"/>
      <c r="J1166" s="432"/>
      <c r="K1166" s="328"/>
      <c r="L1166" s="396"/>
      <c r="M1166" s="396"/>
      <c r="N1166" s="396"/>
      <c r="O1166" s="396"/>
      <c r="P1166" s="396"/>
      <c r="Q1166" s="328"/>
      <c r="R1166" s="328"/>
      <c r="S1166" s="328"/>
      <c r="T1166" s="328"/>
      <c r="U1166" s="328"/>
      <c r="V1166" s="328"/>
    </row>
    <row r="1167" customFormat="false" ht="15" hidden="false" customHeight="true" outlineLevel="1" collapsed="false">
      <c r="A1167" s="429"/>
      <c r="B1167" s="429"/>
      <c r="C1167" s="429"/>
      <c r="D1167" s="430"/>
      <c r="E1167" s="431"/>
      <c r="F1167" s="431"/>
      <c r="G1167" s="429"/>
      <c r="H1167" s="432"/>
      <c r="I1167" s="432"/>
      <c r="J1167" s="432"/>
      <c r="K1167" s="328"/>
      <c r="L1167" s="396"/>
      <c r="M1167" s="396"/>
      <c r="N1167" s="396"/>
      <c r="O1167" s="396"/>
      <c r="P1167" s="396"/>
      <c r="Q1167" s="328"/>
      <c r="R1167" s="328"/>
      <c r="S1167" s="328"/>
      <c r="T1167" s="328"/>
      <c r="U1167" s="328"/>
      <c r="V1167" s="328"/>
    </row>
    <row r="1168" customFormat="false" ht="15" hidden="false" customHeight="true" outlineLevel="1" collapsed="false">
      <c r="A1168" s="429"/>
      <c r="B1168" s="429"/>
      <c r="C1168" s="429"/>
      <c r="D1168" s="430"/>
      <c r="E1168" s="431"/>
      <c r="F1168" s="431"/>
      <c r="G1168" s="429"/>
      <c r="H1168" s="432"/>
      <c r="I1168" s="432"/>
      <c r="J1168" s="432"/>
      <c r="K1168" s="328"/>
      <c r="L1168" s="396"/>
      <c r="M1168" s="396"/>
      <c r="N1168" s="396"/>
      <c r="O1168" s="396"/>
      <c r="P1168" s="396"/>
      <c r="Q1168" s="328"/>
      <c r="R1168" s="328"/>
      <c r="S1168" s="328"/>
      <c r="T1168" s="328"/>
      <c r="U1168" s="328"/>
      <c r="V1168" s="328"/>
    </row>
    <row r="1169" customFormat="false" ht="15" hidden="false" customHeight="true" outlineLevel="1" collapsed="false">
      <c r="A1169" s="429"/>
      <c r="B1169" s="429"/>
      <c r="C1169" s="429"/>
      <c r="D1169" s="430"/>
      <c r="E1169" s="431"/>
      <c r="F1169" s="431"/>
      <c r="G1169" s="429"/>
      <c r="H1169" s="432"/>
      <c r="I1169" s="432"/>
      <c r="J1169" s="432"/>
      <c r="K1169" s="328"/>
      <c r="L1169" s="396"/>
      <c r="M1169" s="396"/>
      <c r="N1169" s="396"/>
      <c r="O1169" s="396"/>
      <c r="P1169" s="396"/>
      <c r="Q1169" s="328"/>
      <c r="R1169" s="328"/>
      <c r="S1169" s="328"/>
      <c r="T1169" s="328"/>
      <c r="U1169" s="328"/>
      <c r="V1169" s="328"/>
    </row>
    <row r="1170" customFormat="false" ht="15" hidden="false" customHeight="true" outlineLevel="1" collapsed="false">
      <c r="A1170" s="429"/>
      <c r="B1170" s="429"/>
      <c r="C1170" s="429"/>
      <c r="D1170" s="430"/>
      <c r="E1170" s="431"/>
      <c r="F1170" s="431"/>
      <c r="G1170" s="429"/>
      <c r="H1170" s="432"/>
      <c r="I1170" s="432"/>
      <c r="J1170" s="432"/>
      <c r="K1170" s="328"/>
      <c r="L1170" s="396"/>
      <c r="M1170" s="396"/>
      <c r="N1170" s="396"/>
      <c r="O1170" s="396"/>
      <c r="P1170" s="396"/>
      <c r="Q1170" s="328"/>
      <c r="R1170" s="328"/>
      <c r="S1170" s="328"/>
      <c r="T1170" s="328"/>
      <c r="U1170" s="328"/>
      <c r="V1170" s="328"/>
    </row>
    <row r="1171" customFormat="false" ht="15" hidden="false" customHeight="true" outlineLevel="1" collapsed="false">
      <c r="A1171" s="429"/>
      <c r="B1171" s="429"/>
      <c r="C1171" s="429"/>
      <c r="D1171" s="430"/>
      <c r="E1171" s="431"/>
      <c r="F1171" s="431"/>
      <c r="G1171" s="429"/>
      <c r="H1171" s="432"/>
      <c r="I1171" s="432"/>
      <c r="J1171" s="432"/>
      <c r="K1171" s="328"/>
      <c r="L1171" s="396"/>
      <c r="M1171" s="396"/>
      <c r="N1171" s="396"/>
      <c r="O1171" s="396"/>
      <c r="P1171" s="396"/>
      <c r="Q1171" s="328"/>
      <c r="R1171" s="328"/>
      <c r="S1171" s="328"/>
      <c r="T1171" s="328"/>
      <c r="U1171" s="328"/>
      <c r="V1171" s="328"/>
    </row>
    <row r="1172" customFormat="false" ht="15" hidden="false" customHeight="true" outlineLevel="1" collapsed="false">
      <c r="A1172" s="429"/>
      <c r="B1172" s="429"/>
      <c r="C1172" s="429"/>
      <c r="D1172" s="430"/>
      <c r="E1172" s="431"/>
      <c r="F1172" s="431"/>
      <c r="G1172" s="429"/>
      <c r="H1172" s="432"/>
      <c r="I1172" s="432"/>
      <c r="J1172" s="432"/>
      <c r="K1172" s="328"/>
      <c r="L1172" s="396"/>
      <c r="M1172" s="396"/>
      <c r="N1172" s="396"/>
      <c r="O1172" s="396"/>
      <c r="P1172" s="396"/>
      <c r="Q1172" s="328"/>
      <c r="R1172" s="328"/>
      <c r="S1172" s="328"/>
      <c r="T1172" s="328"/>
      <c r="U1172" s="328"/>
      <c r="V1172" s="328"/>
    </row>
    <row r="1173" customFormat="false" ht="15" hidden="false" customHeight="true" outlineLevel="1" collapsed="false">
      <c r="A1173" s="429"/>
      <c r="B1173" s="429"/>
      <c r="C1173" s="429"/>
      <c r="D1173" s="430"/>
      <c r="E1173" s="431"/>
      <c r="F1173" s="431"/>
      <c r="G1173" s="429"/>
      <c r="H1173" s="432"/>
      <c r="I1173" s="432"/>
      <c r="J1173" s="432"/>
      <c r="K1173" s="328"/>
      <c r="L1173" s="396"/>
      <c r="M1173" s="396"/>
      <c r="N1173" s="396"/>
      <c r="O1173" s="396"/>
      <c r="P1173" s="396"/>
      <c r="Q1173" s="328"/>
      <c r="R1173" s="328"/>
      <c r="S1173" s="328"/>
      <c r="T1173" s="328"/>
      <c r="U1173" s="328"/>
      <c r="V1173" s="328"/>
    </row>
    <row r="1174" customFormat="false" ht="15" hidden="false" customHeight="true" outlineLevel="1" collapsed="false">
      <c r="A1174" s="429"/>
      <c r="B1174" s="429"/>
      <c r="C1174" s="429"/>
      <c r="D1174" s="430"/>
      <c r="E1174" s="431"/>
      <c r="F1174" s="431"/>
      <c r="G1174" s="429"/>
      <c r="H1174" s="432"/>
      <c r="I1174" s="432"/>
      <c r="J1174" s="432"/>
      <c r="K1174" s="328"/>
      <c r="L1174" s="396"/>
      <c r="M1174" s="396"/>
      <c r="N1174" s="396"/>
      <c r="O1174" s="396"/>
      <c r="P1174" s="396"/>
      <c r="Q1174" s="328"/>
      <c r="R1174" s="328"/>
      <c r="S1174" s="328"/>
      <c r="T1174" s="328"/>
      <c r="U1174" s="328"/>
      <c r="V1174" s="328"/>
    </row>
    <row r="1175" customFormat="false" ht="15" hidden="false" customHeight="true" outlineLevel="1" collapsed="false">
      <c r="A1175" s="429"/>
      <c r="B1175" s="429"/>
      <c r="C1175" s="429"/>
      <c r="D1175" s="430"/>
      <c r="E1175" s="431"/>
      <c r="F1175" s="431"/>
      <c r="G1175" s="429"/>
      <c r="H1175" s="432"/>
      <c r="I1175" s="432"/>
      <c r="J1175" s="432"/>
      <c r="K1175" s="328"/>
      <c r="L1175" s="396"/>
      <c r="M1175" s="396"/>
      <c r="N1175" s="396"/>
      <c r="O1175" s="396"/>
      <c r="P1175" s="396"/>
      <c r="Q1175" s="328"/>
      <c r="R1175" s="328"/>
      <c r="S1175" s="328"/>
      <c r="T1175" s="328"/>
      <c r="U1175" s="328"/>
      <c r="V1175" s="328"/>
    </row>
    <row r="1176" customFormat="false" ht="15" hidden="false" customHeight="true" outlineLevel="1" collapsed="false">
      <c r="A1176" s="429"/>
      <c r="B1176" s="429"/>
      <c r="C1176" s="429"/>
      <c r="D1176" s="430"/>
      <c r="E1176" s="431"/>
      <c r="F1176" s="431"/>
      <c r="G1176" s="429"/>
      <c r="H1176" s="432"/>
      <c r="I1176" s="432"/>
      <c r="J1176" s="432"/>
      <c r="K1176" s="328"/>
      <c r="L1176" s="396"/>
      <c r="M1176" s="396"/>
      <c r="N1176" s="396"/>
      <c r="O1176" s="396"/>
      <c r="P1176" s="396"/>
      <c r="Q1176" s="328"/>
      <c r="R1176" s="328"/>
      <c r="S1176" s="328"/>
      <c r="T1176" s="328"/>
      <c r="U1176" s="328"/>
      <c r="V1176" s="328"/>
    </row>
    <row r="1177" customFormat="false" ht="15" hidden="false" customHeight="true" outlineLevel="1" collapsed="false">
      <c r="A1177" s="429"/>
      <c r="B1177" s="429"/>
      <c r="C1177" s="429"/>
      <c r="D1177" s="430"/>
      <c r="E1177" s="431"/>
      <c r="F1177" s="431"/>
      <c r="G1177" s="429"/>
      <c r="H1177" s="432"/>
      <c r="I1177" s="432"/>
      <c r="J1177" s="432"/>
      <c r="K1177" s="328"/>
      <c r="L1177" s="396"/>
      <c r="M1177" s="396"/>
      <c r="N1177" s="396"/>
      <c r="O1177" s="396"/>
      <c r="P1177" s="396"/>
      <c r="Q1177" s="328"/>
      <c r="R1177" s="328"/>
      <c r="S1177" s="328"/>
      <c r="T1177" s="328"/>
      <c r="U1177" s="328"/>
      <c r="V1177" s="328"/>
    </row>
    <row r="1178" customFormat="false" ht="15" hidden="false" customHeight="true" outlineLevel="1" collapsed="false">
      <c r="A1178" s="429"/>
      <c r="B1178" s="429"/>
      <c r="C1178" s="429"/>
      <c r="D1178" s="430"/>
      <c r="E1178" s="431"/>
      <c r="F1178" s="431"/>
      <c r="G1178" s="429"/>
      <c r="H1178" s="432"/>
      <c r="I1178" s="432"/>
      <c r="J1178" s="432"/>
      <c r="K1178" s="328"/>
      <c r="L1178" s="396"/>
      <c r="M1178" s="396"/>
      <c r="N1178" s="396"/>
      <c r="O1178" s="396"/>
      <c r="P1178" s="396"/>
      <c r="Q1178" s="328"/>
      <c r="R1178" s="328"/>
      <c r="S1178" s="328"/>
      <c r="T1178" s="328"/>
      <c r="U1178" s="328"/>
      <c r="V1178" s="328"/>
    </row>
    <row r="1179" customFormat="false" ht="15" hidden="false" customHeight="true" outlineLevel="1" collapsed="false">
      <c r="A1179" s="429"/>
      <c r="B1179" s="429"/>
      <c r="C1179" s="429"/>
      <c r="D1179" s="430"/>
      <c r="E1179" s="431"/>
      <c r="F1179" s="431"/>
      <c r="G1179" s="429"/>
      <c r="H1179" s="432"/>
      <c r="I1179" s="432"/>
      <c r="J1179" s="432"/>
      <c r="K1179" s="328"/>
      <c r="L1179" s="396"/>
      <c r="M1179" s="396"/>
      <c r="N1179" s="396"/>
      <c r="O1179" s="396"/>
      <c r="P1179" s="396"/>
      <c r="Q1179" s="328"/>
      <c r="R1179" s="328"/>
      <c r="S1179" s="328"/>
      <c r="T1179" s="328"/>
      <c r="U1179" s="328"/>
      <c r="V1179" s="328"/>
    </row>
    <row r="1180" customFormat="false" ht="15" hidden="false" customHeight="true" outlineLevel="1" collapsed="false">
      <c r="A1180" s="429"/>
      <c r="B1180" s="429"/>
      <c r="C1180" s="429"/>
      <c r="D1180" s="430"/>
      <c r="E1180" s="431"/>
      <c r="F1180" s="431"/>
      <c r="G1180" s="429"/>
      <c r="H1180" s="432"/>
      <c r="I1180" s="432"/>
      <c r="J1180" s="432"/>
      <c r="K1180" s="328"/>
      <c r="L1180" s="396"/>
      <c r="M1180" s="396"/>
      <c r="N1180" s="396"/>
      <c r="O1180" s="396"/>
      <c r="P1180" s="396"/>
      <c r="Q1180" s="328"/>
      <c r="R1180" s="328"/>
      <c r="S1180" s="328"/>
      <c r="T1180" s="328"/>
      <c r="U1180" s="328"/>
      <c r="V1180" s="328"/>
    </row>
    <row r="1181" customFormat="false" ht="15" hidden="false" customHeight="true" outlineLevel="1" collapsed="false">
      <c r="A1181" s="429"/>
      <c r="B1181" s="429"/>
      <c r="C1181" s="429"/>
      <c r="D1181" s="430"/>
      <c r="E1181" s="431"/>
      <c r="F1181" s="431"/>
      <c r="G1181" s="429"/>
      <c r="H1181" s="432"/>
      <c r="I1181" s="432"/>
      <c r="J1181" s="432"/>
      <c r="K1181" s="328"/>
      <c r="L1181" s="396"/>
      <c r="M1181" s="396"/>
      <c r="N1181" s="396"/>
      <c r="O1181" s="396"/>
      <c r="P1181" s="396"/>
      <c r="Q1181" s="328"/>
      <c r="R1181" s="328"/>
      <c r="S1181" s="328"/>
      <c r="T1181" s="328"/>
      <c r="U1181" s="328"/>
      <c r="V1181" s="328"/>
    </row>
    <row r="1182" customFormat="false" ht="15" hidden="false" customHeight="true" outlineLevel="1" collapsed="false">
      <c r="A1182" s="429"/>
      <c r="B1182" s="429"/>
      <c r="C1182" s="429"/>
      <c r="D1182" s="430"/>
      <c r="E1182" s="431"/>
      <c r="F1182" s="431"/>
      <c r="G1182" s="429"/>
      <c r="H1182" s="432"/>
      <c r="I1182" s="432"/>
      <c r="J1182" s="432"/>
      <c r="K1182" s="328"/>
      <c r="L1182" s="396"/>
      <c r="M1182" s="396"/>
      <c r="N1182" s="396"/>
      <c r="O1182" s="396"/>
      <c r="P1182" s="396"/>
      <c r="Q1182" s="328"/>
      <c r="R1182" s="328"/>
      <c r="S1182" s="328"/>
      <c r="T1182" s="328"/>
      <c r="U1182" s="328"/>
      <c r="V1182" s="328"/>
    </row>
    <row r="1183" customFormat="false" ht="15" hidden="false" customHeight="true" outlineLevel="1" collapsed="false">
      <c r="A1183" s="429"/>
      <c r="B1183" s="429"/>
      <c r="C1183" s="429"/>
      <c r="D1183" s="430"/>
      <c r="E1183" s="431"/>
      <c r="F1183" s="431"/>
      <c r="G1183" s="429"/>
      <c r="H1183" s="432"/>
      <c r="I1183" s="432"/>
      <c r="J1183" s="432"/>
      <c r="K1183" s="328"/>
      <c r="L1183" s="396"/>
      <c r="M1183" s="396"/>
      <c r="N1183" s="396"/>
      <c r="O1183" s="396"/>
      <c r="P1183" s="396"/>
      <c r="Q1183" s="328"/>
      <c r="R1183" s="328"/>
      <c r="S1183" s="328"/>
      <c r="T1183" s="328"/>
      <c r="U1183" s="328"/>
      <c r="V1183" s="328"/>
    </row>
    <row r="1184" customFormat="false" ht="15" hidden="false" customHeight="true" outlineLevel="1" collapsed="false">
      <c r="A1184" s="429"/>
      <c r="B1184" s="429"/>
      <c r="C1184" s="429"/>
      <c r="D1184" s="430"/>
      <c r="E1184" s="431"/>
      <c r="F1184" s="431"/>
      <c r="G1184" s="429"/>
      <c r="H1184" s="432"/>
      <c r="I1184" s="432"/>
      <c r="J1184" s="432"/>
      <c r="K1184" s="328"/>
      <c r="L1184" s="396"/>
      <c r="M1184" s="396"/>
      <c r="N1184" s="396"/>
      <c r="O1184" s="396"/>
      <c r="P1184" s="396"/>
      <c r="Q1184" s="328"/>
      <c r="R1184" s="328"/>
      <c r="S1184" s="328"/>
      <c r="T1184" s="328"/>
      <c r="U1184" s="328"/>
      <c r="V1184" s="328"/>
    </row>
    <row r="1185" customFormat="false" ht="15" hidden="false" customHeight="true" outlineLevel="1" collapsed="false">
      <c r="A1185" s="429"/>
      <c r="B1185" s="429"/>
      <c r="C1185" s="429"/>
      <c r="D1185" s="430"/>
      <c r="E1185" s="431"/>
      <c r="F1185" s="431"/>
      <c r="G1185" s="429"/>
      <c r="H1185" s="432"/>
      <c r="I1185" s="432"/>
      <c r="J1185" s="432"/>
      <c r="K1185" s="328"/>
      <c r="L1185" s="396"/>
      <c r="M1185" s="396"/>
      <c r="N1185" s="396"/>
      <c r="O1185" s="396"/>
      <c r="P1185" s="396"/>
      <c r="Q1185" s="328"/>
      <c r="R1185" s="328"/>
      <c r="S1185" s="328"/>
      <c r="T1185" s="328"/>
      <c r="U1185" s="328"/>
      <c r="V1185" s="328"/>
    </row>
    <row r="1186" customFormat="false" ht="15" hidden="false" customHeight="true" outlineLevel="1" collapsed="false">
      <c r="A1186" s="429"/>
      <c r="B1186" s="429"/>
      <c r="C1186" s="429"/>
      <c r="D1186" s="430"/>
      <c r="E1186" s="431"/>
      <c r="F1186" s="431"/>
      <c r="G1186" s="429"/>
      <c r="H1186" s="432"/>
      <c r="I1186" s="432"/>
      <c r="J1186" s="432"/>
      <c r="K1186" s="328"/>
      <c r="L1186" s="396"/>
      <c r="M1186" s="396"/>
      <c r="N1186" s="396"/>
      <c r="O1186" s="396"/>
      <c r="P1186" s="396"/>
      <c r="Q1186" s="328"/>
      <c r="R1186" s="328"/>
      <c r="S1186" s="328"/>
      <c r="T1186" s="328"/>
      <c r="U1186" s="328"/>
      <c r="V1186" s="328"/>
    </row>
    <row r="1187" customFormat="false" ht="15" hidden="false" customHeight="true" outlineLevel="1" collapsed="false">
      <c r="A1187" s="429"/>
      <c r="B1187" s="429"/>
      <c r="C1187" s="429"/>
      <c r="D1187" s="430"/>
      <c r="E1187" s="431"/>
      <c r="F1187" s="431"/>
      <c r="G1187" s="429"/>
      <c r="H1187" s="432"/>
      <c r="I1187" s="432"/>
      <c r="J1187" s="432"/>
      <c r="K1187" s="328"/>
      <c r="L1187" s="396"/>
      <c r="M1187" s="396"/>
      <c r="N1187" s="396"/>
      <c r="O1187" s="396"/>
      <c r="P1187" s="396"/>
      <c r="Q1187" s="328"/>
      <c r="R1187" s="328"/>
      <c r="S1187" s="328"/>
      <c r="T1187" s="328"/>
      <c r="U1187" s="328"/>
      <c r="V1187" s="328"/>
    </row>
    <row r="1188" customFormat="false" ht="15" hidden="false" customHeight="true" outlineLevel="1" collapsed="false">
      <c r="A1188" s="429"/>
      <c r="B1188" s="429"/>
      <c r="C1188" s="429"/>
      <c r="D1188" s="430"/>
      <c r="E1188" s="431"/>
      <c r="F1188" s="431"/>
      <c r="G1188" s="429"/>
      <c r="H1188" s="432"/>
      <c r="I1188" s="432"/>
      <c r="J1188" s="432"/>
      <c r="K1188" s="328"/>
      <c r="L1188" s="396"/>
      <c r="M1188" s="396"/>
      <c r="N1188" s="396"/>
      <c r="O1188" s="396"/>
      <c r="P1188" s="396"/>
      <c r="Q1188" s="328"/>
      <c r="R1188" s="328"/>
      <c r="S1188" s="328"/>
      <c r="T1188" s="328"/>
      <c r="U1188" s="328"/>
      <c r="V1188" s="328"/>
    </row>
    <row r="1189" customFormat="false" ht="15" hidden="false" customHeight="true" outlineLevel="1" collapsed="false">
      <c r="A1189" s="429"/>
      <c r="B1189" s="429"/>
      <c r="C1189" s="429"/>
      <c r="D1189" s="430"/>
      <c r="E1189" s="431"/>
      <c r="F1189" s="431"/>
      <c r="G1189" s="429"/>
      <c r="H1189" s="432"/>
      <c r="I1189" s="432"/>
      <c r="J1189" s="432"/>
      <c r="K1189" s="328"/>
      <c r="L1189" s="396"/>
      <c r="M1189" s="396"/>
      <c r="N1189" s="396"/>
      <c r="O1189" s="396"/>
      <c r="P1189" s="396"/>
      <c r="Q1189" s="328"/>
      <c r="R1189" s="328"/>
      <c r="S1189" s="328"/>
      <c r="T1189" s="328"/>
      <c r="U1189" s="328"/>
      <c r="V1189" s="328"/>
    </row>
    <row r="1190" customFormat="false" ht="15" hidden="false" customHeight="true" outlineLevel="1" collapsed="false">
      <c r="A1190" s="429"/>
      <c r="B1190" s="429"/>
      <c r="C1190" s="429"/>
      <c r="D1190" s="430"/>
      <c r="E1190" s="431"/>
      <c r="F1190" s="431"/>
      <c r="G1190" s="429"/>
      <c r="H1190" s="432"/>
      <c r="I1190" s="432"/>
      <c r="J1190" s="432"/>
      <c r="K1190" s="328"/>
      <c r="L1190" s="396"/>
      <c r="M1190" s="396"/>
      <c r="N1190" s="396"/>
      <c r="O1190" s="396"/>
      <c r="P1190" s="396"/>
      <c r="Q1190" s="328"/>
      <c r="R1190" s="328"/>
      <c r="S1190" s="328"/>
      <c r="T1190" s="328"/>
      <c r="U1190" s="328"/>
      <c r="V1190" s="328"/>
    </row>
    <row r="1191" customFormat="false" ht="15" hidden="false" customHeight="true" outlineLevel="1" collapsed="false">
      <c r="A1191" s="429"/>
      <c r="B1191" s="429"/>
      <c r="C1191" s="429"/>
      <c r="D1191" s="430"/>
      <c r="E1191" s="431"/>
      <c r="F1191" s="431"/>
      <c r="G1191" s="429"/>
      <c r="H1191" s="432"/>
      <c r="I1191" s="432"/>
      <c r="J1191" s="432"/>
      <c r="K1191" s="328"/>
      <c r="L1191" s="396"/>
      <c r="M1191" s="396"/>
      <c r="N1191" s="396"/>
      <c r="O1191" s="396"/>
      <c r="P1191" s="396"/>
      <c r="Q1191" s="328"/>
      <c r="R1191" s="328"/>
      <c r="S1191" s="328"/>
      <c r="T1191" s="328"/>
      <c r="U1191" s="328"/>
      <c r="V1191" s="328"/>
    </row>
    <row r="1192" customFormat="false" ht="15" hidden="false" customHeight="true" outlineLevel="1" collapsed="false">
      <c r="A1192" s="429"/>
      <c r="B1192" s="429"/>
      <c r="C1192" s="429"/>
      <c r="D1192" s="430"/>
      <c r="E1192" s="431"/>
      <c r="F1192" s="431"/>
      <c r="G1192" s="429"/>
      <c r="H1192" s="432"/>
      <c r="I1192" s="432"/>
      <c r="J1192" s="432"/>
      <c r="K1192" s="328"/>
      <c r="L1192" s="396"/>
      <c r="M1192" s="396"/>
      <c r="N1192" s="396"/>
      <c r="O1192" s="396"/>
      <c r="P1192" s="396"/>
      <c r="Q1192" s="328"/>
      <c r="R1192" s="328"/>
      <c r="S1192" s="328"/>
      <c r="T1192" s="328"/>
      <c r="U1192" s="328"/>
      <c r="V1192" s="328"/>
    </row>
    <row r="1193" customFormat="false" ht="15" hidden="false" customHeight="true" outlineLevel="1" collapsed="false">
      <c r="A1193" s="429"/>
      <c r="B1193" s="429"/>
      <c r="C1193" s="429"/>
      <c r="D1193" s="430"/>
      <c r="E1193" s="431"/>
      <c r="F1193" s="431"/>
      <c r="G1193" s="429"/>
      <c r="H1193" s="432"/>
      <c r="I1193" s="432"/>
      <c r="J1193" s="432"/>
      <c r="K1193" s="328"/>
      <c r="L1193" s="396"/>
      <c r="M1193" s="396"/>
      <c r="N1193" s="396"/>
      <c r="O1193" s="396"/>
      <c r="P1193" s="396"/>
      <c r="Q1193" s="328"/>
      <c r="R1193" s="328"/>
      <c r="S1193" s="328"/>
      <c r="T1193" s="328"/>
      <c r="U1193" s="328"/>
      <c r="V1193" s="328"/>
    </row>
    <row r="1194" customFormat="false" ht="15" hidden="false" customHeight="true" outlineLevel="1" collapsed="false">
      <c r="A1194" s="429"/>
      <c r="B1194" s="429"/>
      <c r="C1194" s="429"/>
      <c r="D1194" s="430"/>
      <c r="E1194" s="431"/>
      <c r="F1194" s="431"/>
      <c r="G1194" s="429"/>
      <c r="H1194" s="432"/>
      <c r="I1194" s="432"/>
      <c r="J1194" s="432"/>
      <c r="K1194" s="328"/>
      <c r="L1194" s="396"/>
      <c r="M1194" s="396"/>
      <c r="N1194" s="396"/>
      <c r="O1194" s="396"/>
      <c r="P1194" s="396"/>
      <c r="Q1194" s="328"/>
      <c r="R1194" s="328"/>
      <c r="S1194" s="328"/>
      <c r="T1194" s="328"/>
      <c r="U1194" s="328"/>
      <c r="V1194" s="328"/>
    </row>
    <row r="1195" customFormat="false" ht="15" hidden="false" customHeight="true" outlineLevel="1" collapsed="false">
      <c r="A1195" s="429"/>
      <c r="B1195" s="429"/>
      <c r="C1195" s="429"/>
      <c r="D1195" s="430"/>
      <c r="E1195" s="431"/>
      <c r="F1195" s="431"/>
      <c r="G1195" s="429"/>
      <c r="H1195" s="432"/>
      <c r="I1195" s="432"/>
      <c r="J1195" s="432"/>
      <c r="K1195" s="328"/>
      <c r="L1195" s="396"/>
      <c r="M1195" s="396"/>
      <c r="N1195" s="396"/>
      <c r="O1195" s="396"/>
      <c r="P1195" s="396"/>
      <c r="Q1195" s="328"/>
      <c r="R1195" s="328"/>
      <c r="S1195" s="328"/>
      <c r="T1195" s="328"/>
      <c r="U1195" s="328"/>
      <c r="V1195" s="328"/>
    </row>
    <row r="1196" customFormat="false" ht="15" hidden="false" customHeight="true" outlineLevel="1" collapsed="false">
      <c r="A1196" s="429"/>
      <c r="B1196" s="429"/>
      <c r="C1196" s="429"/>
      <c r="D1196" s="430"/>
      <c r="E1196" s="431"/>
      <c r="F1196" s="431"/>
      <c r="G1196" s="429"/>
      <c r="H1196" s="432"/>
      <c r="I1196" s="432"/>
      <c r="J1196" s="432"/>
      <c r="K1196" s="328"/>
      <c r="L1196" s="396"/>
      <c r="M1196" s="396"/>
      <c r="N1196" s="396"/>
      <c r="O1196" s="396"/>
      <c r="P1196" s="396"/>
      <c r="Q1196" s="328"/>
      <c r="R1196" s="328"/>
      <c r="S1196" s="328"/>
      <c r="T1196" s="328"/>
      <c r="U1196" s="328"/>
      <c r="V1196" s="328"/>
    </row>
    <row r="1197" customFormat="false" ht="15" hidden="false" customHeight="true" outlineLevel="1" collapsed="false">
      <c r="A1197" s="429"/>
      <c r="B1197" s="429"/>
      <c r="C1197" s="429"/>
      <c r="D1197" s="430"/>
      <c r="E1197" s="431"/>
      <c r="F1197" s="431"/>
      <c r="G1197" s="429"/>
      <c r="H1197" s="432"/>
      <c r="I1197" s="432"/>
      <c r="J1197" s="432"/>
      <c r="K1197" s="328"/>
      <c r="L1197" s="396"/>
      <c r="M1197" s="396"/>
      <c r="N1197" s="396"/>
      <c r="O1197" s="396"/>
      <c r="P1197" s="396"/>
      <c r="Q1197" s="328"/>
      <c r="R1197" s="328"/>
      <c r="S1197" s="328"/>
      <c r="T1197" s="328"/>
      <c r="U1197" s="328"/>
      <c r="V1197" s="328"/>
    </row>
    <row r="1198" customFormat="false" ht="15" hidden="false" customHeight="true" outlineLevel="1" collapsed="false">
      <c r="A1198" s="429"/>
      <c r="B1198" s="429"/>
      <c r="C1198" s="429"/>
      <c r="D1198" s="430"/>
      <c r="E1198" s="431"/>
      <c r="F1198" s="431"/>
      <c r="G1198" s="429"/>
      <c r="H1198" s="432"/>
      <c r="I1198" s="432"/>
      <c r="J1198" s="432"/>
      <c r="K1198" s="328"/>
      <c r="L1198" s="396"/>
      <c r="M1198" s="396"/>
      <c r="N1198" s="396"/>
      <c r="O1198" s="396"/>
      <c r="P1198" s="396"/>
      <c r="Q1198" s="328"/>
      <c r="R1198" s="328"/>
      <c r="S1198" s="328"/>
      <c r="T1198" s="328"/>
      <c r="U1198" s="328"/>
      <c r="V1198" s="328"/>
    </row>
    <row r="1199" customFormat="false" ht="15" hidden="false" customHeight="true" outlineLevel="1" collapsed="false">
      <c r="A1199" s="429"/>
      <c r="B1199" s="429"/>
      <c r="C1199" s="429"/>
      <c r="D1199" s="430"/>
      <c r="E1199" s="431"/>
      <c r="F1199" s="431"/>
      <c r="G1199" s="429"/>
      <c r="H1199" s="432"/>
      <c r="I1199" s="432"/>
      <c r="J1199" s="432"/>
      <c r="K1199" s="328"/>
      <c r="L1199" s="396"/>
      <c r="M1199" s="396"/>
      <c r="N1199" s="396"/>
      <c r="O1199" s="396"/>
      <c r="P1199" s="396"/>
      <c r="Q1199" s="328"/>
      <c r="R1199" s="328"/>
      <c r="S1199" s="328"/>
      <c r="T1199" s="328"/>
      <c r="U1199" s="328"/>
      <c r="V1199" s="328"/>
    </row>
    <row r="1200" customFormat="false" ht="15" hidden="false" customHeight="true" outlineLevel="1" collapsed="false">
      <c r="A1200" s="429"/>
      <c r="B1200" s="429"/>
      <c r="C1200" s="429"/>
      <c r="D1200" s="430"/>
      <c r="E1200" s="431"/>
      <c r="F1200" s="431"/>
      <c r="G1200" s="429"/>
      <c r="H1200" s="432"/>
      <c r="I1200" s="432"/>
      <c r="J1200" s="432"/>
      <c r="K1200" s="328"/>
      <c r="L1200" s="396"/>
      <c r="M1200" s="396"/>
      <c r="N1200" s="396"/>
      <c r="O1200" s="396"/>
      <c r="P1200" s="396"/>
      <c r="Q1200" s="328"/>
      <c r="R1200" s="328"/>
      <c r="S1200" s="328"/>
      <c r="T1200" s="328"/>
      <c r="U1200" s="328"/>
      <c r="V1200" s="328"/>
    </row>
    <row r="1201" customFormat="false" ht="15" hidden="false" customHeight="true" outlineLevel="1" collapsed="false">
      <c r="A1201" s="429"/>
      <c r="B1201" s="429"/>
      <c r="C1201" s="429"/>
      <c r="D1201" s="430"/>
      <c r="E1201" s="431"/>
      <c r="F1201" s="431"/>
      <c r="G1201" s="429"/>
      <c r="H1201" s="432"/>
      <c r="I1201" s="432"/>
      <c r="J1201" s="432"/>
      <c r="K1201" s="328"/>
      <c r="L1201" s="396"/>
      <c r="M1201" s="396"/>
      <c r="N1201" s="396"/>
      <c r="O1201" s="396"/>
      <c r="P1201" s="396"/>
      <c r="Q1201" s="328"/>
      <c r="R1201" s="328"/>
      <c r="S1201" s="328"/>
      <c r="T1201" s="328"/>
      <c r="U1201" s="328"/>
      <c r="V1201" s="328"/>
    </row>
    <row r="1202" customFormat="false" ht="15" hidden="false" customHeight="true" outlineLevel="1" collapsed="false">
      <c r="A1202" s="429"/>
      <c r="B1202" s="429"/>
      <c r="C1202" s="429"/>
      <c r="D1202" s="430"/>
      <c r="E1202" s="431"/>
      <c r="F1202" s="431"/>
      <c r="G1202" s="429"/>
      <c r="H1202" s="432"/>
      <c r="I1202" s="432"/>
      <c r="J1202" s="432"/>
      <c r="K1202" s="328"/>
      <c r="L1202" s="396"/>
      <c r="M1202" s="396"/>
      <c r="N1202" s="396"/>
      <c r="O1202" s="396"/>
      <c r="P1202" s="396"/>
      <c r="Q1202" s="328"/>
      <c r="R1202" s="328"/>
      <c r="S1202" s="328"/>
      <c r="T1202" s="328"/>
      <c r="U1202" s="328"/>
      <c r="V1202" s="328"/>
    </row>
    <row r="1203" customFormat="false" ht="15" hidden="false" customHeight="true" outlineLevel="1" collapsed="false">
      <c r="A1203" s="429"/>
      <c r="B1203" s="429"/>
      <c r="C1203" s="429"/>
      <c r="D1203" s="430"/>
      <c r="E1203" s="431"/>
      <c r="F1203" s="431"/>
      <c r="G1203" s="429"/>
      <c r="H1203" s="432"/>
      <c r="I1203" s="432"/>
      <c r="J1203" s="432"/>
      <c r="K1203" s="328"/>
      <c r="L1203" s="396"/>
      <c r="M1203" s="396"/>
      <c r="N1203" s="396"/>
      <c r="O1203" s="396"/>
      <c r="P1203" s="396"/>
      <c r="Q1203" s="328"/>
      <c r="R1203" s="328"/>
      <c r="S1203" s="328"/>
      <c r="T1203" s="328"/>
      <c r="U1203" s="328"/>
      <c r="V1203" s="328"/>
    </row>
    <row r="1204" customFormat="false" ht="15" hidden="false" customHeight="true" outlineLevel="1" collapsed="false">
      <c r="A1204" s="429"/>
      <c r="B1204" s="429"/>
      <c r="C1204" s="429"/>
      <c r="D1204" s="430"/>
      <c r="E1204" s="431"/>
      <c r="F1204" s="431"/>
      <c r="G1204" s="429"/>
      <c r="H1204" s="432"/>
      <c r="I1204" s="432"/>
      <c r="J1204" s="432"/>
      <c r="K1204" s="328"/>
      <c r="L1204" s="396"/>
      <c r="M1204" s="396"/>
      <c r="N1204" s="396"/>
      <c r="O1204" s="396"/>
      <c r="P1204" s="396"/>
      <c r="Q1204" s="328"/>
      <c r="R1204" s="328"/>
      <c r="S1204" s="328"/>
      <c r="T1204" s="328"/>
      <c r="U1204" s="328"/>
      <c r="V1204" s="328"/>
    </row>
    <row r="1205" customFormat="false" ht="15" hidden="false" customHeight="true" outlineLevel="1" collapsed="false">
      <c r="A1205" s="429"/>
      <c r="B1205" s="429"/>
      <c r="C1205" s="429"/>
      <c r="D1205" s="430"/>
      <c r="E1205" s="431"/>
      <c r="F1205" s="431"/>
      <c r="G1205" s="429"/>
      <c r="H1205" s="432"/>
      <c r="I1205" s="432"/>
      <c r="J1205" s="432"/>
      <c r="K1205" s="328"/>
      <c r="L1205" s="396"/>
      <c r="M1205" s="396"/>
      <c r="N1205" s="396"/>
      <c r="O1205" s="396"/>
      <c r="P1205" s="396"/>
      <c r="Q1205" s="328"/>
      <c r="R1205" s="328"/>
      <c r="S1205" s="328"/>
      <c r="T1205" s="328"/>
      <c r="U1205" s="328"/>
      <c r="V1205" s="328"/>
    </row>
    <row r="1206" customFormat="false" ht="15" hidden="false" customHeight="true" outlineLevel="1" collapsed="false">
      <c r="A1206" s="429"/>
      <c r="B1206" s="429"/>
      <c r="C1206" s="429"/>
      <c r="D1206" s="430"/>
      <c r="E1206" s="431"/>
      <c r="F1206" s="431"/>
      <c r="G1206" s="429"/>
      <c r="H1206" s="432"/>
      <c r="I1206" s="432"/>
      <c r="J1206" s="432"/>
      <c r="K1206" s="328"/>
      <c r="L1206" s="396"/>
      <c r="M1206" s="396"/>
      <c r="N1206" s="396"/>
      <c r="O1206" s="396"/>
      <c r="P1206" s="396"/>
      <c r="Q1206" s="328"/>
      <c r="R1206" s="328"/>
      <c r="S1206" s="328"/>
      <c r="T1206" s="328"/>
      <c r="U1206" s="328"/>
      <c r="V1206" s="328"/>
    </row>
    <row r="1207" customFormat="false" ht="15" hidden="false" customHeight="true" outlineLevel="1" collapsed="false">
      <c r="A1207" s="429"/>
      <c r="B1207" s="429"/>
      <c r="C1207" s="429"/>
      <c r="D1207" s="430"/>
      <c r="E1207" s="431"/>
      <c r="F1207" s="431"/>
      <c r="G1207" s="429"/>
      <c r="H1207" s="432"/>
      <c r="I1207" s="432"/>
      <c r="J1207" s="432"/>
      <c r="K1207" s="328"/>
      <c r="L1207" s="396"/>
      <c r="M1207" s="396"/>
      <c r="N1207" s="396"/>
      <c r="O1207" s="396"/>
      <c r="P1207" s="396"/>
      <c r="Q1207" s="328"/>
      <c r="R1207" s="328"/>
      <c r="S1207" s="328"/>
      <c r="T1207" s="328"/>
      <c r="U1207" s="328"/>
      <c r="V1207" s="328"/>
    </row>
    <row r="1208" customFormat="false" ht="15" hidden="false" customHeight="true" outlineLevel="1" collapsed="false">
      <c r="A1208" s="429"/>
      <c r="B1208" s="429"/>
      <c r="C1208" s="429"/>
      <c r="D1208" s="430"/>
      <c r="E1208" s="431"/>
      <c r="F1208" s="431"/>
      <c r="G1208" s="429"/>
      <c r="H1208" s="432"/>
      <c r="I1208" s="432"/>
      <c r="J1208" s="432"/>
      <c r="K1208" s="328"/>
      <c r="L1208" s="396"/>
      <c r="M1208" s="396"/>
      <c r="N1208" s="396"/>
      <c r="O1208" s="396"/>
      <c r="P1208" s="396"/>
      <c r="Q1208" s="328"/>
      <c r="R1208" s="328"/>
      <c r="S1208" s="328"/>
      <c r="T1208" s="328"/>
      <c r="U1208" s="328"/>
      <c r="V1208" s="328"/>
    </row>
    <row r="1209" customFormat="false" ht="15" hidden="false" customHeight="true" outlineLevel="1" collapsed="false">
      <c r="A1209" s="429"/>
      <c r="B1209" s="429"/>
      <c r="C1209" s="429"/>
      <c r="D1209" s="430"/>
      <c r="E1209" s="431"/>
      <c r="F1209" s="431"/>
      <c r="G1209" s="429"/>
      <c r="H1209" s="432"/>
      <c r="I1209" s="432"/>
      <c r="J1209" s="432"/>
      <c r="K1209" s="328"/>
      <c r="L1209" s="396"/>
      <c r="M1209" s="396"/>
      <c r="N1209" s="396"/>
      <c r="O1209" s="396"/>
      <c r="P1209" s="396"/>
      <c r="Q1209" s="328"/>
      <c r="R1209" s="328"/>
      <c r="S1209" s="328"/>
      <c r="T1209" s="328"/>
      <c r="U1209" s="328"/>
      <c r="V1209" s="328"/>
    </row>
    <row r="1210" customFormat="false" ht="15" hidden="false" customHeight="true" outlineLevel="1" collapsed="false">
      <c r="A1210" s="429"/>
      <c r="B1210" s="429"/>
      <c r="C1210" s="429"/>
      <c r="D1210" s="430"/>
      <c r="E1210" s="431"/>
      <c r="F1210" s="431"/>
      <c r="G1210" s="429"/>
      <c r="H1210" s="432"/>
      <c r="I1210" s="432"/>
      <c r="J1210" s="432"/>
      <c r="K1210" s="328"/>
      <c r="L1210" s="396"/>
      <c r="M1210" s="396"/>
      <c r="N1210" s="396"/>
      <c r="O1210" s="396"/>
      <c r="P1210" s="396"/>
      <c r="Q1210" s="328"/>
      <c r="R1210" s="328"/>
      <c r="S1210" s="328"/>
      <c r="T1210" s="328"/>
      <c r="U1210" s="328"/>
      <c r="V1210" s="328"/>
    </row>
    <row r="1211" customFormat="false" ht="15" hidden="false" customHeight="true" outlineLevel="1" collapsed="false">
      <c r="A1211" s="429"/>
      <c r="B1211" s="429"/>
      <c r="C1211" s="429"/>
      <c r="D1211" s="430"/>
      <c r="E1211" s="431"/>
      <c r="F1211" s="431"/>
      <c r="G1211" s="429"/>
      <c r="H1211" s="432"/>
      <c r="I1211" s="432"/>
      <c r="J1211" s="432"/>
      <c r="K1211" s="328"/>
      <c r="L1211" s="396"/>
      <c r="M1211" s="396"/>
      <c r="N1211" s="396"/>
      <c r="O1211" s="396"/>
      <c r="P1211" s="396"/>
      <c r="Q1211" s="328"/>
      <c r="R1211" s="328"/>
      <c r="S1211" s="328"/>
      <c r="T1211" s="328"/>
      <c r="U1211" s="328"/>
      <c r="V1211" s="328"/>
    </row>
    <row r="1212" customFormat="false" ht="15" hidden="false" customHeight="true" outlineLevel="1" collapsed="false">
      <c r="A1212" s="429"/>
      <c r="B1212" s="429"/>
      <c r="C1212" s="429"/>
      <c r="D1212" s="430"/>
      <c r="E1212" s="431"/>
      <c r="F1212" s="431"/>
      <c r="G1212" s="429"/>
      <c r="H1212" s="432"/>
      <c r="I1212" s="432"/>
      <c r="J1212" s="432"/>
      <c r="K1212" s="328"/>
      <c r="L1212" s="396"/>
      <c r="M1212" s="396"/>
      <c r="N1212" s="396"/>
      <c r="O1212" s="396"/>
      <c r="P1212" s="396"/>
      <c r="Q1212" s="328"/>
      <c r="R1212" s="328"/>
      <c r="S1212" s="328"/>
      <c r="T1212" s="328"/>
      <c r="U1212" s="328"/>
      <c r="V1212" s="328"/>
    </row>
    <row r="1213" customFormat="false" ht="15" hidden="false" customHeight="true" outlineLevel="1" collapsed="false">
      <c r="A1213" s="429"/>
      <c r="B1213" s="429"/>
      <c r="C1213" s="429"/>
      <c r="D1213" s="430"/>
      <c r="E1213" s="431"/>
      <c r="F1213" s="431"/>
      <c r="G1213" s="429"/>
      <c r="H1213" s="432"/>
      <c r="I1213" s="432"/>
      <c r="J1213" s="432"/>
      <c r="K1213" s="328"/>
      <c r="L1213" s="396"/>
      <c r="M1213" s="396"/>
      <c r="N1213" s="396"/>
      <c r="O1213" s="396"/>
      <c r="P1213" s="396"/>
      <c r="Q1213" s="328"/>
      <c r="R1213" s="328"/>
      <c r="S1213" s="328"/>
      <c r="T1213" s="328"/>
      <c r="U1213" s="328"/>
      <c r="V1213" s="328"/>
    </row>
    <row r="1214" customFormat="false" ht="15" hidden="false" customHeight="true" outlineLevel="1" collapsed="false">
      <c r="A1214" s="429"/>
      <c r="B1214" s="429"/>
      <c r="C1214" s="429"/>
      <c r="D1214" s="430"/>
      <c r="E1214" s="431"/>
      <c r="F1214" s="431"/>
      <c r="G1214" s="429"/>
      <c r="H1214" s="432"/>
      <c r="I1214" s="432"/>
      <c r="J1214" s="432"/>
      <c r="K1214" s="328"/>
      <c r="L1214" s="396"/>
      <c r="M1214" s="396"/>
      <c r="N1214" s="396"/>
      <c r="O1214" s="396"/>
      <c r="P1214" s="396"/>
      <c r="Q1214" s="328"/>
      <c r="R1214" s="328"/>
      <c r="S1214" s="328"/>
      <c r="T1214" s="328"/>
      <c r="U1214" s="328"/>
      <c r="V1214" s="328"/>
    </row>
    <row r="1215" customFormat="false" ht="15" hidden="false" customHeight="true" outlineLevel="1" collapsed="false">
      <c r="A1215" s="429"/>
      <c r="B1215" s="429"/>
      <c r="C1215" s="429"/>
      <c r="D1215" s="430"/>
      <c r="E1215" s="431"/>
      <c r="F1215" s="431"/>
      <c r="G1215" s="429"/>
      <c r="H1215" s="432"/>
      <c r="I1215" s="432"/>
      <c r="J1215" s="432"/>
      <c r="K1215" s="328"/>
      <c r="L1215" s="396"/>
      <c r="M1215" s="396"/>
      <c r="N1215" s="396"/>
      <c r="O1215" s="396"/>
      <c r="P1215" s="396"/>
      <c r="Q1215" s="328"/>
      <c r="R1215" s="328"/>
      <c r="S1215" s="328"/>
      <c r="T1215" s="328"/>
      <c r="U1215" s="328"/>
      <c r="V1215" s="328"/>
    </row>
    <row r="1216" customFormat="false" ht="15" hidden="false" customHeight="true" outlineLevel="1" collapsed="false">
      <c r="A1216" s="429"/>
      <c r="B1216" s="429"/>
      <c r="C1216" s="429"/>
      <c r="D1216" s="430"/>
      <c r="E1216" s="431"/>
      <c r="F1216" s="431"/>
      <c r="G1216" s="429"/>
      <c r="H1216" s="432"/>
      <c r="I1216" s="432"/>
      <c r="J1216" s="432"/>
      <c r="K1216" s="328"/>
      <c r="L1216" s="396"/>
      <c r="M1216" s="396"/>
      <c r="N1216" s="396"/>
      <c r="O1216" s="396"/>
      <c r="P1216" s="396"/>
      <c r="Q1216" s="328"/>
      <c r="R1216" s="328"/>
      <c r="S1216" s="328"/>
      <c r="T1216" s="328"/>
      <c r="U1216" s="328"/>
      <c r="V1216" s="328"/>
    </row>
    <row r="1217" customFormat="false" ht="15" hidden="false" customHeight="true" outlineLevel="1" collapsed="false">
      <c r="A1217" s="429"/>
      <c r="B1217" s="429"/>
      <c r="C1217" s="429"/>
      <c r="D1217" s="430"/>
      <c r="E1217" s="431"/>
      <c r="F1217" s="431"/>
      <c r="G1217" s="429"/>
      <c r="H1217" s="432"/>
      <c r="I1217" s="432"/>
      <c r="J1217" s="432"/>
      <c r="K1217" s="328"/>
      <c r="L1217" s="396"/>
      <c r="M1217" s="396"/>
      <c r="N1217" s="396"/>
      <c r="O1217" s="396"/>
      <c r="P1217" s="396"/>
      <c r="Q1217" s="328"/>
      <c r="R1217" s="328"/>
      <c r="S1217" s="328"/>
      <c r="T1217" s="328"/>
      <c r="U1217" s="328"/>
      <c r="V1217" s="328"/>
    </row>
    <row r="1218" customFormat="false" ht="15" hidden="false" customHeight="true" outlineLevel="1" collapsed="false">
      <c r="A1218" s="429"/>
      <c r="B1218" s="429"/>
      <c r="C1218" s="429"/>
      <c r="D1218" s="430"/>
      <c r="E1218" s="431"/>
      <c r="F1218" s="431"/>
      <c r="G1218" s="429"/>
      <c r="H1218" s="432"/>
      <c r="I1218" s="432"/>
      <c r="J1218" s="432"/>
      <c r="K1218" s="328"/>
      <c r="L1218" s="396"/>
      <c r="M1218" s="396"/>
      <c r="N1218" s="396"/>
      <c r="O1218" s="396"/>
      <c r="P1218" s="396"/>
      <c r="Q1218" s="328"/>
      <c r="R1218" s="328"/>
      <c r="S1218" s="328"/>
      <c r="T1218" s="328"/>
      <c r="U1218" s="328"/>
      <c r="V1218" s="328"/>
    </row>
    <row r="1219" customFormat="false" ht="15" hidden="false" customHeight="true" outlineLevel="1" collapsed="false">
      <c r="A1219" s="429"/>
      <c r="B1219" s="429"/>
      <c r="C1219" s="429"/>
      <c r="D1219" s="430"/>
      <c r="E1219" s="431"/>
      <c r="F1219" s="431"/>
      <c r="G1219" s="429"/>
      <c r="H1219" s="432"/>
      <c r="I1219" s="432"/>
      <c r="J1219" s="432"/>
      <c r="K1219" s="328"/>
      <c r="L1219" s="396"/>
      <c r="M1219" s="396"/>
      <c r="N1219" s="396"/>
      <c r="O1219" s="396"/>
      <c r="P1219" s="396"/>
      <c r="Q1219" s="328"/>
      <c r="R1219" s="328"/>
      <c r="S1219" s="328"/>
      <c r="T1219" s="328"/>
      <c r="U1219" s="328"/>
      <c r="V1219" s="328"/>
    </row>
    <row r="1220" customFormat="false" ht="15" hidden="false" customHeight="true" outlineLevel="1" collapsed="false">
      <c r="A1220" s="429"/>
      <c r="B1220" s="429"/>
      <c r="C1220" s="429"/>
      <c r="D1220" s="430"/>
      <c r="E1220" s="431"/>
      <c r="F1220" s="431"/>
      <c r="G1220" s="429"/>
      <c r="H1220" s="432"/>
      <c r="I1220" s="432"/>
      <c r="J1220" s="432"/>
      <c r="K1220" s="328"/>
      <c r="L1220" s="396"/>
      <c r="M1220" s="396"/>
      <c r="N1220" s="396"/>
      <c r="O1220" s="396"/>
      <c r="P1220" s="396"/>
      <c r="Q1220" s="328"/>
      <c r="R1220" s="328"/>
      <c r="S1220" s="328"/>
      <c r="T1220" s="328"/>
      <c r="U1220" s="328"/>
      <c r="V1220" s="328"/>
    </row>
    <row r="1221" customFormat="false" ht="15" hidden="false" customHeight="true" outlineLevel="1" collapsed="false">
      <c r="A1221" s="429"/>
      <c r="B1221" s="429"/>
      <c r="C1221" s="429"/>
      <c r="D1221" s="430"/>
      <c r="E1221" s="431"/>
      <c r="F1221" s="431"/>
      <c r="G1221" s="429"/>
      <c r="H1221" s="432"/>
      <c r="I1221" s="432"/>
      <c r="J1221" s="432"/>
      <c r="K1221" s="328"/>
      <c r="L1221" s="396"/>
      <c r="M1221" s="396"/>
      <c r="N1221" s="396"/>
      <c r="O1221" s="396"/>
      <c r="P1221" s="396"/>
      <c r="Q1221" s="328"/>
      <c r="R1221" s="328"/>
      <c r="S1221" s="328"/>
      <c r="T1221" s="328"/>
      <c r="U1221" s="328"/>
      <c r="V1221" s="328"/>
    </row>
    <row r="1222" customFormat="false" ht="15" hidden="false" customHeight="true" outlineLevel="1" collapsed="false">
      <c r="A1222" s="429"/>
      <c r="B1222" s="429"/>
      <c r="C1222" s="429"/>
      <c r="D1222" s="430"/>
      <c r="E1222" s="431"/>
      <c r="F1222" s="431"/>
      <c r="G1222" s="429"/>
      <c r="H1222" s="432"/>
      <c r="I1222" s="432"/>
      <c r="J1222" s="432"/>
      <c r="K1222" s="328"/>
      <c r="L1222" s="396"/>
      <c r="M1222" s="396"/>
      <c r="N1222" s="396"/>
      <c r="O1222" s="396"/>
      <c r="P1222" s="396"/>
      <c r="Q1222" s="328"/>
      <c r="R1222" s="328"/>
      <c r="S1222" s="328"/>
      <c r="T1222" s="328"/>
      <c r="U1222" s="328"/>
      <c r="V1222" s="328"/>
    </row>
    <row r="1223" customFormat="false" ht="15" hidden="false" customHeight="true" outlineLevel="1" collapsed="false">
      <c r="A1223" s="429"/>
      <c r="B1223" s="429"/>
      <c r="C1223" s="429"/>
      <c r="D1223" s="430"/>
      <c r="E1223" s="431"/>
      <c r="F1223" s="431"/>
      <c r="G1223" s="429"/>
      <c r="H1223" s="432"/>
      <c r="I1223" s="432"/>
      <c r="J1223" s="432"/>
      <c r="K1223" s="328"/>
      <c r="L1223" s="396"/>
      <c r="M1223" s="396"/>
      <c r="N1223" s="396"/>
      <c r="O1223" s="396"/>
      <c r="P1223" s="396"/>
      <c r="Q1223" s="328"/>
      <c r="R1223" s="328"/>
      <c r="S1223" s="328"/>
      <c r="T1223" s="328"/>
      <c r="U1223" s="328"/>
      <c r="V1223" s="328"/>
    </row>
    <row r="1224" customFormat="false" ht="15" hidden="false" customHeight="true" outlineLevel="1" collapsed="false">
      <c r="A1224" s="429"/>
      <c r="B1224" s="429"/>
      <c r="C1224" s="429"/>
      <c r="D1224" s="430"/>
      <c r="E1224" s="431"/>
      <c r="F1224" s="431"/>
      <c r="G1224" s="429"/>
      <c r="H1224" s="432"/>
      <c r="I1224" s="432"/>
      <c r="J1224" s="432"/>
      <c r="K1224" s="328"/>
      <c r="L1224" s="396"/>
      <c r="M1224" s="396"/>
      <c r="N1224" s="396"/>
      <c r="O1224" s="396"/>
      <c r="P1224" s="396"/>
      <c r="Q1224" s="328"/>
      <c r="R1224" s="328"/>
      <c r="S1224" s="328"/>
      <c r="T1224" s="328"/>
      <c r="U1224" s="328"/>
      <c r="V1224" s="328"/>
    </row>
    <row r="1225" customFormat="false" ht="15" hidden="false" customHeight="true" outlineLevel="1" collapsed="false">
      <c r="A1225" s="429"/>
      <c r="B1225" s="429"/>
      <c r="C1225" s="429"/>
      <c r="D1225" s="430"/>
      <c r="E1225" s="431"/>
      <c r="F1225" s="431"/>
      <c r="G1225" s="429"/>
      <c r="H1225" s="432"/>
      <c r="I1225" s="432"/>
      <c r="J1225" s="432"/>
      <c r="K1225" s="328"/>
      <c r="L1225" s="396"/>
      <c r="M1225" s="396"/>
      <c r="N1225" s="396"/>
      <c r="O1225" s="396"/>
      <c r="P1225" s="396"/>
      <c r="Q1225" s="328"/>
      <c r="R1225" s="328"/>
      <c r="S1225" s="328"/>
      <c r="T1225" s="328"/>
      <c r="U1225" s="328"/>
      <c r="V1225" s="328"/>
    </row>
    <row r="1226" customFormat="false" ht="15" hidden="false" customHeight="true" outlineLevel="1" collapsed="false">
      <c r="A1226" s="429"/>
      <c r="B1226" s="429"/>
      <c r="C1226" s="429"/>
      <c r="D1226" s="430"/>
      <c r="E1226" s="431"/>
      <c r="F1226" s="431"/>
      <c r="G1226" s="429"/>
      <c r="H1226" s="432"/>
      <c r="I1226" s="432"/>
      <c r="J1226" s="432"/>
      <c r="K1226" s="328"/>
      <c r="L1226" s="396"/>
      <c r="M1226" s="396"/>
      <c r="N1226" s="396"/>
      <c r="O1226" s="396"/>
      <c r="P1226" s="396"/>
      <c r="Q1226" s="328"/>
      <c r="R1226" s="328"/>
      <c r="S1226" s="328"/>
      <c r="T1226" s="328"/>
      <c r="U1226" s="328"/>
      <c r="V1226" s="328"/>
    </row>
    <row r="1227" customFormat="false" ht="15" hidden="false" customHeight="true" outlineLevel="1" collapsed="false">
      <c r="A1227" s="429"/>
      <c r="B1227" s="429"/>
      <c r="C1227" s="429"/>
      <c r="D1227" s="430"/>
      <c r="E1227" s="431"/>
      <c r="F1227" s="431"/>
      <c r="G1227" s="429"/>
      <c r="H1227" s="432"/>
      <c r="I1227" s="432"/>
      <c r="J1227" s="432"/>
      <c r="K1227" s="328"/>
      <c r="L1227" s="396"/>
      <c r="M1227" s="396"/>
      <c r="N1227" s="396"/>
      <c r="O1227" s="396"/>
      <c r="P1227" s="396"/>
      <c r="Q1227" s="328"/>
      <c r="R1227" s="328"/>
      <c r="S1227" s="328"/>
      <c r="T1227" s="328"/>
      <c r="U1227" s="328"/>
      <c r="V1227" s="328"/>
    </row>
    <row r="1228" customFormat="false" ht="15" hidden="false" customHeight="true" outlineLevel="1" collapsed="false">
      <c r="A1228" s="429"/>
      <c r="B1228" s="429"/>
      <c r="C1228" s="429"/>
      <c r="D1228" s="430"/>
      <c r="E1228" s="431"/>
      <c r="F1228" s="431"/>
      <c r="G1228" s="429"/>
      <c r="H1228" s="432"/>
      <c r="I1228" s="432"/>
      <c r="J1228" s="432"/>
      <c r="K1228" s="328"/>
      <c r="L1228" s="396"/>
      <c r="M1228" s="396"/>
      <c r="N1228" s="396"/>
      <c r="O1228" s="396"/>
      <c r="P1228" s="396"/>
      <c r="Q1228" s="328"/>
      <c r="R1228" s="328"/>
      <c r="S1228" s="328"/>
      <c r="T1228" s="328"/>
      <c r="U1228" s="328"/>
      <c r="V1228" s="328"/>
    </row>
    <row r="1229" customFormat="false" ht="15" hidden="false" customHeight="true" outlineLevel="1" collapsed="false">
      <c r="A1229" s="429"/>
      <c r="B1229" s="429"/>
      <c r="C1229" s="429"/>
      <c r="D1229" s="430"/>
      <c r="E1229" s="431"/>
      <c r="F1229" s="431"/>
      <c r="G1229" s="429"/>
      <c r="H1229" s="432"/>
      <c r="I1229" s="432"/>
      <c r="J1229" s="432"/>
      <c r="K1229" s="328"/>
      <c r="L1229" s="396"/>
      <c r="M1229" s="396"/>
      <c r="N1229" s="396"/>
      <c r="O1229" s="396"/>
      <c r="P1229" s="396"/>
      <c r="Q1229" s="328"/>
      <c r="R1229" s="328"/>
      <c r="S1229" s="328"/>
      <c r="T1229" s="328"/>
      <c r="U1229" s="328"/>
      <c r="V1229" s="328"/>
    </row>
    <row r="1230" customFormat="false" ht="15" hidden="false" customHeight="true" outlineLevel="1" collapsed="false">
      <c r="A1230" s="429"/>
      <c r="B1230" s="429"/>
      <c r="C1230" s="429"/>
      <c r="D1230" s="430"/>
      <c r="E1230" s="431"/>
      <c r="F1230" s="431"/>
      <c r="G1230" s="429"/>
      <c r="H1230" s="432"/>
      <c r="I1230" s="432"/>
      <c r="J1230" s="432"/>
      <c r="K1230" s="328"/>
      <c r="L1230" s="396"/>
      <c r="M1230" s="396"/>
      <c r="N1230" s="396"/>
      <c r="O1230" s="396"/>
      <c r="P1230" s="396"/>
      <c r="Q1230" s="328"/>
      <c r="R1230" s="328"/>
      <c r="S1230" s="328"/>
      <c r="T1230" s="328"/>
      <c r="U1230" s="328"/>
      <c r="V1230" s="328"/>
    </row>
    <row r="1231" customFormat="false" ht="15" hidden="false" customHeight="true" outlineLevel="1" collapsed="false">
      <c r="A1231" s="429"/>
      <c r="B1231" s="429"/>
      <c r="C1231" s="429"/>
      <c r="D1231" s="430"/>
      <c r="E1231" s="431"/>
      <c r="F1231" s="431"/>
      <c r="G1231" s="429"/>
      <c r="H1231" s="432"/>
      <c r="I1231" s="432"/>
      <c r="J1231" s="432"/>
      <c r="K1231" s="328"/>
      <c r="L1231" s="396"/>
      <c r="M1231" s="396"/>
      <c r="N1231" s="396"/>
      <c r="O1231" s="396"/>
      <c r="P1231" s="396"/>
      <c r="Q1231" s="328"/>
      <c r="R1231" s="328"/>
      <c r="S1231" s="328"/>
      <c r="T1231" s="328"/>
      <c r="U1231" s="328"/>
      <c r="V1231" s="328"/>
    </row>
    <row r="1232" customFormat="false" ht="15" hidden="false" customHeight="true" outlineLevel="1" collapsed="false">
      <c r="A1232" s="429"/>
      <c r="B1232" s="429"/>
      <c r="C1232" s="429"/>
      <c r="D1232" s="430"/>
      <c r="E1232" s="431"/>
      <c r="F1232" s="431"/>
      <c r="G1232" s="429"/>
      <c r="H1232" s="432"/>
      <c r="I1232" s="432"/>
      <c r="J1232" s="432"/>
      <c r="K1232" s="328"/>
      <c r="L1232" s="396"/>
      <c r="M1232" s="396"/>
      <c r="N1232" s="396"/>
      <c r="O1232" s="396"/>
      <c r="P1232" s="396"/>
      <c r="Q1232" s="328"/>
      <c r="R1232" s="328"/>
      <c r="S1232" s="328"/>
      <c r="T1232" s="328"/>
      <c r="U1232" s="328"/>
      <c r="V1232" s="328"/>
    </row>
    <row r="1233" customFormat="false" ht="15" hidden="false" customHeight="true" outlineLevel="1" collapsed="false">
      <c r="A1233" s="429"/>
      <c r="B1233" s="429"/>
      <c r="C1233" s="429"/>
      <c r="D1233" s="430"/>
      <c r="E1233" s="431"/>
      <c r="F1233" s="431"/>
      <c r="G1233" s="429"/>
      <c r="H1233" s="432"/>
      <c r="I1233" s="432"/>
      <c r="J1233" s="432"/>
      <c r="K1233" s="328"/>
      <c r="L1233" s="396"/>
      <c r="M1233" s="396"/>
      <c r="N1233" s="396"/>
      <c r="O1233" s="396"/>
      <c r="P1233" s="396"/>
      <c r="Q1233" s="328"/>
      <c r="R1233" s="328"/>
      <c r="S1233" s="328"/>
      <c r="T1233" s="328"/>
      <c r="U1233" s="328"/>
      <c r="V1233" s="328"/>
    </row>
    <row r="1234" customFormat="false" ht="15" hidden="false" customHeight="true" outlineLevel="1" collapsed="false">
      <c r="A1234" s="429"/>
      <c r="B1234" s="429"/>
      <c r="C1234" s="429"/>
      <c r="D1234" s="430"/>
      <c r="E1234" s="431"/>
      <c r="F1234" s="431"/>
      <c r="G1234" s="429"/>
      <c r="H1234" s="432"/>
      <c r="I1234" s="432"/>
      <c r="J1234" s="432"/>
      <c r="K1234" s="328"/>
      <c r="L1234" s="396"/>
      <c r="M1234" s="396"/>
      <c r="N1234" s="396"/>
      <c r="O1234" s="396"/>
      <c r="P1234" s="396"/>
      <c r="Q1234" s="328"/>
      <c r="R1234" s="328"/>
      <c r="S1234" s="328"/>
      <c r="T1234" s="328"/>
      <c r="U1234" s="328"/>
      <c r="V1234" s="328"/>
    </row>
    <row r="1235" customFormat="false" ht="15" hidden="false" customHeight="true" outlineLevel="1" collapsed="false">
      <c r="A1235" s="429"/>
      <c r="B1235" s="429"/>
      <c r="C1235" s="429"/>
      <c r="D1235" s="430"/>
      <c r="E1235" s="431"/>
      <c r="F1235" s="431"/>
      <c r="G1235" s="429"/>
      <c r="H1235" s="432"/>
      <c r="I1235" s="432"/>
      <c r="J1235" s="432"/>
      <c r="K1235" s="328"/>
      <c r="L1235" s="396"/>
      <c r="M1235" s="396"/>
      <c r="N1235" s="396"/>
      <c r="O1235" s="396"/>
      <c r="P1235" s="396"/>
      <c r="Q1235" s="328"/>
      <c r="R1235" s="328"/>
      <c r="S1235" s="328"/>
      <c r="T1235" s="328"/>
      <c r="U1235" s="328"/>
      <c r="V1235" s="328"/>
    </row>
    <row r="1236" customFormat="false" ht="15" hidden="false" customHeight="true" outlineLevel="1" collapsed="false">
      <c r="A1236" s="429"/>
      <c r="B1236" s="429"/>
      <c r="C1236" s="429"/>
      <c r="D1236" s="430"/>
      <c r="E1236" s="431"/>
      <c r="F1236" s="431"/>
      <c r="G1236" s="429"/>
      <c r="H1236" s="432"/>
      <c r="I1236" s="432"/>
      <c r="J1236" s="432"/>
      <c r="K1236" s="328"/>
      <c r="L1236" s="396"/>
      <c r="M1236" s="396"/>
      <c r="N1236" s="396"/>
      <c r="O1236" s="396"/>
      <c r="P1236" s="396"/>
      <c r="Q1236" s="328"/>
      <c r="R1236" s="328"/>
      <c r="S1236" s="328"/>
      <c r="T1236" s="328"/>
      <c r="U1236" s="328"/>
      <c r="V1236" s="328"/>
    </row>
    <row r="1237" customFormat="false" ht="15" hidden="false" customHeight="true" outlineLevel="1" collapsed="false">
      <c r="A1237" s="429"/>
      <c r="B1237" s="429"/>
      <c r="C1237" s="429"/>
      <c r="D1237" s="430"/>
      <c r="E1237" s="431"/>
      <c r="F1237" s="431"/>
      <c r="G1237" s="429"/>
      <c r="H1237" s="432"/>
      <c r="I1237" s="432"/>
      <c r="J1237" s="432"/>
      <c r="K1237" s="328"/>
      <c r="L1237" s="396"/>
      <c r="M1237" s="396"/>
      <c r="N1237" s="396"/>
      <c r="O1237" s="396"/>
      <c r="P1237" s="396"/>
      <c r="Q1237" s="328"/>
      <c r="R1237" s="328"/>
      <c r="S1237" s="328"/>
      <c r="T1237" s="328"/>
      <c r="U1237" s="328"/>
      <c r="V1237" s="328"/>
    </row>
    <row r="1238" customFormat="false" ht="15" hidden="false" customHeight="true" outlineLevel="1" collapsed="false">
      <c r="A1238" s="429"/>
      <c r="B1238" s="429"/>
      <c r="C1238" s="429"/>
      <c r="D1238" s="430"/>
      <c r="E1238" s="431"/>
      <c r="F1238" s="431"/>
      <c r="G1238" s="429"/>
      <c r="H1238" s="432"/>
      <c r="I1238" s="432"/>
      <c r="J1238" s="432"/>
      <c r="K1238" s="328"/>
      <c r="L1238" s="396"/>
      <c r="M1238" s="396"/>
      <c r="N1238" s="396"/>
      <c r="O1238" s="396"/>
      <c r="P1238" s="396"/>
      <c r="Q1238" s="328"/>
      <c r="R1238" s="328"/>
      <c r="S1238" s="328"/>
      <c r="T1238" s="328"/>
      <c r="U1238" s="328"/>
      <c r="V1238" s="328"/>
    </row>
    <row r="1239" customFormat="false" ht="15" hidden="false" customHeight="true" outlineLevel="1" collapsed="false">
      <c r="A1239" s="429"/>
      <c r="B1239" s="429"/>
      <c r="C1239" s="429"/>
      <c r="D1239" s="430"/>
      <c r="E1239" s="431"/>
      <c r="F1239" s="431"/>
      <c r="G1239" s="429"/>
      <c r="H1239" s="432"/>
      <c r="I1239" s="432"/>
      <c r="J1239" s="432"/>
      <c r="K1239" s="328"/>
      <c r="L1239" s="396"/>
      <c r="M1239" s="396"/>
      <c r="N1239" s="396"/>
      <c r="O1239" s="396"/>
      <c r="P1239" s="396"/>
      <c r="Q1239" s="328"/>
      <c r="R1239" s="328"/>
      <c r="S1239" s="328"/>
      <c r="T1239" s="328"/>
      <c r="U1239" s="328"/>
      <c r="V1239" s="328"/>
    </row>
    <row r="1240" customFormat="false" ht="15" hidden="false" customHeight="true" outlineLevel="1" collapsed="false">
      <c r="A1240" s="429"/>
      <c r="B1240" s="429"/>
      <c r="C1240" s="429"/>
      <c r="D1240" s="430"/>
      <c r="E1240" s="431"/>
      <c r="F1240" s="431"/>
      <c r="G1240" s="429"/>
      <c r="H1240" s="432"/>
      <c r="I1240" s="432"/>
      <c r="J1240" s="432"/>
      <c r="K1240" s="328"/>
      <c r="L1240" s="396"/>
      <c r="M1240" s="396"/>
      <c r="N1240" s="396"/>
      <c r="O1240" s="396"/>
      <c r="P1240" s="396"/>
      <c r="Q1240" s="328"/>
      <c r="R1240" s="328"/>
      <c r="S1240" s="328"/>
      <c r="T1240" s="328"/>
      <c r="U1240" s="328"/>
      <c r="V1240" s="328"/>
    </row>
    <row r="1241" customFormat="false" ht="15" hidden="false" customHeight="true" outlineLevel="1" collapsed="false">
      <c r="A1241" s="429"/>
      <c r="B1241" s="429"/>
      <c r="C1241" s="429"/>
      <c r="D1241" s="430"/>
      <c r="E1241" s="431"/>
      <c r="F1241" s="431"/>
      <c r="G1241" s="429"/>
      <c r="H1241" s="432"/>
      <c r="I1241" s="432"/>
      <c r="J1241" s="432"/>
      <c r="K1241" s="328"/>
      <c r="L1241" s="396"/>
      <c r="M1241" s="396"/>
      <c r="N1241" s="396"/>
      <c r="O1241" s="396"/>
      <c r="P1241" s="396"/>
      <c r="Q1241" s="328"/>
      <c r="R1241" s="328"/>
      <c r="S1241" s="328"/>
      <c r="T1241" s="328"/>
      <c r="U1241" s="328"/>
      <c r="V1241" s="328"/>
    </row>
    <row r="1242" customFormat="false" ht="15" hidden="false" customHeight="true" outlineLevel="1" collapsed="false">
      <c r="A1242" s="429"/>
      <c r="B1242" s="429"/>
      <c r="C1242" s="429"/>
      <c r="D1242" s="430"/>
      <c r="E1242" s="431"/>
      <c r="F1242" s="431"/>
      <c r="G1242" s="429"/>
      <c r="H1242" s="432"/>
      <c r="I1242" s="432"/>
      <c r="J1242" s="432"/>
      <c r="K1242" s="328"/>
      <c r="L1242" s="396"/>
      <c r="M1242" s="396"/>
      <c r="N1242" s="396"/>
      <c r="O1242" s="396"/>
      <c r="P1242" s="396"/>
      <c r="Q1242" s="328"/>
      <c r="R1242" s="328"/>
      <c r="S1242" s="328"/>
      <c r="T1242" s="328"/>
      <c r="U1242" s="328"/>
      <c r="V1242" s="328"/>
    </row>
    <row r="1243" customFormat="false" ht="15" hidden="false" customHeight="true" outlineLevel="1" collapsed="false">
      <c r="A1243" s="429"/>
      <c r="B1243" s="429"/>
      <c r="C1243" s="429"/>
      <c r="D1243" s="430"/>
      <c r="E1243" s="431"/>
      <c r="F1243" s="431"/>
      <c r="G1243" s="429"/>
      <c r="H1243" s="432"/>
      <c r="I1243" s="432"/>
      <c r="J1243" s="432"/>
      <c r="K1243" s="328"/>
      <c r="L1243" s="396"/>
      <c r="M1243" s="396"/>
      <c r="N1243" s="396"/>
      <c r="O1243" s="396"/>
      <c r="P1243" s="396"/>
      <c r="Q1243" s="328"/>
      <c r="R1243" s="328"/>
      <c r="S1243" s="328"/>
      <c r="T1243" s="328"/>
      <c r="U1243" s="328"/>
      <c r="V1243" s="328"/>
    </row>
    <row r="1244" customFormat="false" ht="15" hidden="false" customHeight="true" outlineLevel="1" collapsed="false">
      <c r="A1244" s="429"/>
      <c r="B1244" s="429"/>
      <c r="C1244" s="429"/>
      <c r="D1244" s="430"/>
      <c r="E1244" s="431"/>
      <c r="F1244" s="431"/>
      <c r="G1244" s="429"/>
      <c r="H1244" s="432"/>
      <c r="I1244" s="432"/>
      <c r="J1244" s="432"/>
      <c r="K1244" s="328"/>
      <c r="L1244" s="396"/>
      <c r="M1244" s="396"/>
      <c r="N1244" s="396"/>
      <c r="O1244" s="396"/>
      <c r="P1244" s="396"/>
      <c r="Q1244" s="328"/>
      <c r="R1244" s="328"/>
      <c r="S1244" s="328"/>
      <c r="T1244" s="328"/>
      <c r="U1244" s="328"/>
      <c r="V1244" s="328"/>
    </row>
    <row r="1245" customFormat="false" ht="15" hidden="false" customHeight="true" outlineLevel="1" collapsed="false">
      <c r="A1245" s="429"/>
      <c r="B1245" s="429"/>
      <c r="C1245" s="429"/>
      <c r="D1245" s="430"/>
      <c r="E1245" s="431"/>
      <c r="F1245" s="431"/>
      <c r="G1245" s="429"/>
      <c r="H1245" s="432"/>
      <c r="I1245" s="432"/>
      <c r="J1245" s="432"/>
      <c r="K1245" s="328"/>
      <c r="L1245" s="396"/>
      <c r="M1245" s="396"/>
      <c r="N1245" s="396"/>
      <c r="O1245" s="396"/>
      <c r="P1245" s="396"/>
      <c r="Q1245" s="328"/>
      <c r="R1245" s="328"/>
      <c r="S1245" s="328"/>
      <c r="T1245" s="328"/>
      <c r="U1245" s="328"/>
      <c r="V1245" s="328"/>
    </row>
    <row r="1246" customFormat="false" ht="15" hidden="false" customHeight="true" outlineLevel="1" collapsed="false">
      <c r="A1246" s="429"/>
      <c r="B1246" s="429"/>
      <c r="C1246" s="429"/>
      <c r="D1246" s="430"/>
      <c r="E1246" s="431"/>
      <c r="F1246" s="431"/>
      <c r="G1246" s="429"/>
      <c r="H1246" s="432"/>
      <c r="I1246" s="432"/>
      <c r="J1246" s="432"/>
      <c r="K1246" s="328"/>
      <c r="L1246" s="396"/>
      <c r="M1246" s="396"/>
      <c r="N1246" s="396"/>
      <c r="O1246" s="396"/>
      <c r="P1246" s="396"/>
      <c r="Q1246" s="328"/>
      <c r="R1246" s="328"/>
      <c r="S1246" s="328"/>
      <c r="T1246" s="328"/>
      <c r="U1246" s="328"/>
      <c r="V1246" s="328"/>
    </row>
    <row r="1247" customFormat="false" ht="15" hidden="false" customHeight="true" outlineLevel="1" collapsed="false">
      <c r="A1247" s="429"/>
      <c r="B1247" s="429"/>
      <c r="C1247" s="429"/>
      <c r="D1247" s="430"/>
      <c r="E1247" s="431"/>
      <c r="F1247" s="431"/>
      <c r="G1247" s="429"/>
      <c r="H1247" s="432"/>
      <c r="I1247" s="432"/>
      <c r="J1247" s="432"/>
      <c r="K1247" s="328"/>
      <c r="L1247" s="396"/>
      <c r="M1247" s="396"/>
      <c r="N1247" s="396"/>
      <c r="O1247" s="396"/>
      <c r="P1247" s="396"/>
      <c r="Q1247" s="328"/>
      <c r="R1247" s="328"/>
      <c r="S1247" s="328"/>
      <c r="T1247" s="328"/>
      <c r="U1247" s="328"/>
      <c r="V1247" s="328"/>
    </row>
    <row r="1248" customFormat="false" ht="15" hidden="false" customHeight="true" outlineLevel="1" collapsed="false">
      <c r="A1248" s="429"/>
      <c r="B1248" s="429"/>
      <c r="C1248" s="429"/>
      <c r="D1248" s="430"/>
      <c r="E1248" s="431"/>
      <c r="F1248" s="431"/>
      <c r="G1248" s="429"/>
      <c r="H1248" s="432"/>
      <c r="I1248" s="432"/>
      <c r="J1248" s="432"/>
      <c r="K1248" s="328"/>
      <c r="L1248" s="396"/>
      <c r="M1248" s="396"/>
      <c r="N1248" s="396"/>
      <c r="O1248" s="396"/>
      <c r="P1248" s="396"/>
      <c r="Q1248" s="328"/>
      <c r="R1248" s="328"/>
      <c r="S1248" s="328"/>
      <c r="T1248" s="328"/>
      <c r="U1248" s="328"/>
      <c r="V1248" s="328"/>
    </row>
    <row r="1249" customFormat="false" ht="15" hidden="false" customHeight="true" outlineLevel="1" collapsed="false">
      <c r="A1249" s="429"/>
      <c r="B1249" s="429"/>
      <c r="C1249" s="429"/>
      <c r="D1249" s="430"/>
      <c r="E1249" s="431"/>
      <c r="F1249" s="431"/>
      <c r="G1249" s="429"/>
      <c r="H1249" s="432"/>
      <c r="I1249" s="432"/>
      <c r="J1249" s="432"/>
      <c r="K1249" s="328"/>
      <c r="L1249" s="396"/>
      <c r="M1249" s="396"/>
      <c r="N1249" s="396"/>
      <c r="O1249" s="396"/>
      <c r="P1249" s="396"/>
      <c r="Q1249" s="328"/>
      <c r="R1249" s="328"/>
      <c r="S1249" s="328"/>
      <c r="T1249" s="328"/>
      <c r="U1249" s="328"/>
      <c r="V1249" s="328"/>
    </row>
    <row r="1250" customFormat="false" ht="15" hidden="false" customHeight="true" outlineLevel="1" collapsed="false">
      <c r="A1250" s="429"/>
      <c r="B1250" s="429"/>
      <c r="C1250" s="429"/>
      <c r="D1250" s="430"/>
      <c r="E1250" s="431"/>
      <c r="F1250" s="431"/>
      <c r="G1250" s="429"/>
      <c r="H1250" s="432"/>
      <c r="I1250" s="432"/>
      <c r="J1250" s="432"/>
      <c r="K1250" s="328"/>
      <c r="L1250" s="396"/>
      <c r="M1250" s="396"/>
      <c r="N1250" s="396"/>
      <c r="O1250" s="396"/>
      <c r="P1250" s="396"/>
      <c r="Q1250" s="328"/>
      <c r="R1250" s="328"/>
      <c r="S1250" s="328"/>
      <c r="T1250" s="328"/>
      <c r="U1250" s="328"/>
      <c r="V1250" s="328"/>
    </row>
    <row r="1251" customFormat="false" ht="15" hidden="false" customHeight="true" outlineLevel="1" collapsed="false">
      <c r="A1251" s="429"/>
      <c r="B1251" s="429"/>
      <c r="C1251" s="429"/>
      <c r="D1251" s="430"/>
      <c r="E1251" s="431"/>
      <c r="F1251" s="431"/>
      <c r="G1251" s="429"/>
      <c r="H1251" s="432"/>
      <c r="I1251" s="432"/>
      <c r="J1251" s="432"/>
      <c r="K1251" s="328"/>
      <c r="L1251" s="396"/>
      <c r="M1251" s="396"/>
      <c r="N1251" s="396"/>
      <c r="O1251" s="396"/>
      <c r="P1251" s="396"/>
      <c r="Q1251" s="328"/>
      <c r="R1251" s="328"/>
      <c r="S1251" s="328"/>
      <c r="T1251" s="328"/>
      <c r="U1251" s="328"/>
      <c r="V1251" s="328"/>
    </row>
    <row r="1252" customFormat="false" ht="15" hidden="false" customHeight="true" outlineLevel="1" collapsed="false">
      <c r="A1252" s="429"/>
      <c r="B1252" s="429"/>
      <c r="C1252" s="429"/>
      <c r="D1252" s="430"/>
      <c r="E1252" s="431"/>
      <c r="F1252" s="431"/>
      <c r="G1252" s="429"/>
      <c r="H1252" s="432"/>
      <c r="I1252" s="432"/>
      <c r="J1252" s="432"/>
      <c r="K1252" s="328"/>
      <c r="L1252" s="396"/>
      <c r="M1252" s="396"/>
      <c r="N1252" s="396"/>
      <c r="O1252" s="396"/>
      <c r="P1252" s="396"/>
      <c r="Q1252" s="328"/>
      <c r="R1252" s="328"/>
      <c r="S1252" s="328"/>
      <c r="T1252" s="328"/>
      <c r="U1252" s="328"/>
      <c r="V1252" s="328"/>
    </row>
    <row r="1253" customFormat="false" ht="15" hidden="false" customHeight="true" outlineLevel="1" collapsed="false">
      <c r="A1253" s="429"/>
      <c r="B1253" s="429"/>
      <c r="C1253" s="429"/>
      <c r="D1253" s="430"/>
      <c r="E1253" s="431"/>
      <c r="F1253" s="431"/>
      <c r="G1253" s="429"/>
      <c r="H1253" s="432"/>
      <c r="I1253" s="432"/>
      <c r="J1253" s="432"/>
      <c r="K1253" s="328"/>
      <c r="L1253" s="396"/>
      <c r="M1253" s="396"/>
      <c r="N1253" s="396"/>
      <c r="O1253" s="396"/>
      <c r="P1253" s="396"/>
      <c r="Q1253" s="328"/>
      <c r="R1253" s="328"/>
      <c r="S1253" s="328"/>
      <c r="T1253" s="328"/>
      <c r="U1253" s="328"/>
      <c r="V1253" s="328"/>
    </row>
    <row r="1254" customFormat="false" ht="15" hidden="false" customHeight="true" outlineLevel="1" collapsed="false">
      <c r="A1254" s="429"/>
      <c r="B1254" s="429"/>
      <c r="C1254" s="429"/>
      <c r="D1254" s="430"/>
      <c r="E1254" s="431"/>
      <c r="F1254" s="431"/>
      <c r="G1254" s="429"/>
      <c r="H1254" s="432"/>
      <c r="I1254" s="432"/>
      <c r="J1254" s="432"/>
      <c r="K1254" s="328"/>
      <c r="L1254" s="396"/>
      <c r="M1254" s="396"/>
      <c r="N1254" s="396"/>
      <c r="O1254" s="396"/>
      <c r="P1254" s="396"/>
      <c r="Q1254" s="328"/>
      <c r="R1254" s="328"/>
      <c r="S1254" s="328"/>
      <c r="T1254" s="328"/>
      <c r="U1254" s="328"/>
      <c r="V1254" s="328"/>
    </row>
    <row r="1255" customFormat="false" ht="15" hidden="false" customHeight="true" outlineLevel="1" collapsed="false">
      <c r="A1255" s="429"/>
      <c r="B1255" s="429"/>
      <c r="C1255" s="429"/>
      <c r="D1255" s="430"/>
      <c r="E1255" s="431"/>
      <c r="F1255" s="431"/>
      <c r="G1255" s="429"/>
      <c r="H1255" s="432"/>
      <c r="I1255" s="432"/>
      <c r="J1255" s="432"/>
      <c r="K1255" s="328"/>
      <c r="L1255" s="396"/>
      <c r="M1255" s="396"/>
      <c r="N1255" s="396"/>
      <c r="O1255" s="396"/>
      <c r="P1255" s="396"/>
      <c r="Q1255" s="328"/>
      <c r="R1255" s="328"/>
      <c r="S1255" s="328"/>
      <c r="T1255" s="328"/>
      <c r="U1255" s="328"/>
      <c r="V1255" s="328"/>
    </row>
    <row r="1256" customFormat="false" ht="15" hidden="false" customHeight="true" outlineLevel="1" collapsed="false">
      <c r="A1256" s="429"/>
      <c r="B1256" s="429"/>
      <c r="C1256" s="429"/>
      <c r="D1256" s="430"/>
      <c r="E1256" s="431"/>
      <c r="F1256" s="431"/>
      <c r="G1256" s="429"/>
      <c r="H1256" s="432"/>
      <c r="I1256" s="432"/>
      <c r="J1256" s="432"/>
      <c r="K1256" s="328"/>
      <c r="L1256" s="396"/>
      <c r="M1256" s="396"/>
      <c r="N1256" s="396"/>
      <c r="O1256" s="396"/>
      <c r="P1256" s="396"/>
      <c r="Q1256" s="328"/>
      <c r="R1256" s="328"/>
      <c r="S1256" s="328"/>
      <c r="T1256" s="328"/>
      <c r="U1256" s="328"/>
      <c r="V1256" s="328"/>
    </row>
    <row r="1257" customFormat="false" ht="15" hidden="false" customHeight="true" outlineLevel="1" collapsed="false">
      <c r="A1257" s="429"/>
      <c r="B1257" s="429"/>
      <c r="C1257" s="429"/>
      <c r="D1257" s="430"/>
      <c r="E1257" s="431"/>
      <c r="F1257" s="431"/>
      <c r="G1257" s="429"/>
      <c r="H1257" s="432"/>
      <c r="I1257" s="432"/>
      <c r="J1257" s="432"/>
      <c r="K1257" s="328"/>
      <c r="L1257" s="396"/>
      <c r="M1257" s="396"/>
      <c r="N1257" s="396"/>
      <c r="O1257" s="396"/>
      <c r="P1257" s="396"/>
      <c r="Q1257" s="328"/>
      <c r="R1257" s="328"/>
      <c r="S1257" s="328"/>
      <c r="T1257" s="328"/>
      <c r="U1257" s="328"/>
      <c r="V1257" s="328"/>
    </row>
    <row r="1258" customFormat="false" ht="15" hidden="false" customHeight="true" outlineLevel="1" collapsed="false">
      <c r="A1258" s="429"/>
      <c r="B1258" s="429"/>
      <c r="C1258" s="429"/>
      <c r="D1258" s="430"/>
      <c r="E1258" s="431"/>
      <c r="F1258" s="431"/>
      <c r="G1258" s="429"/>
      <c r="H1258" s="432"/>
      <c r="I1258" s="432"/>
      <c r="J1258" s="432"/>
      <c r="K1258" s="328"/>
      <c r="L1258" s="396"/>
      <c r="M1258" s="396"/>
      <c r="N1258" s="396"/>
      <c r="O1258" s="396"/>
      <c r="P1258" s="396"/>
      <c r="Q1258" s="328"/>
      <c r="R1258" s="328"/>
      <c r="S1258" s="328"/>
      <c r="T1258" s="328"/>
      <c r="U1258" s="328"/>
      <c r="V1258" s="328"/>
    </row>
    <row r="1259" customFormat="false" ht="15" hidden="false" customHeight="true" outlineLevel="1" collapsed="false">
      <c r="A1259" s="429"/>
      <c r="B1259" s="429"/>
      <c r="C1259" s="429"/>
      <c r="D1259" s="430"/>
      <c r="E1259" s="431"/>
      <c r="F1259" s="431"/>
      <c r="G1259" s="429"/>
      <c r="H1259" s="432"/>
      <c r="I1259" s="432"/>
      <c r="J1259" s="432"/>
      <c r="K1259" s="328"/>
      <c r="L1259" s="396"/>
      <c r="M1259" s="396"/>
      <c r="N1259" s="396"/>
      <c r="O1259" s="396"/>
      <c r="P1259" s="396"/>
      <c r="Q1259" s="328"/>
      <c r="R1259" s="328"/>
      <c r="S1259" s="328"/>
      <c r="T1259" s="328"/>
      <c r="U1259" s="328"/>
      <c r="V1259" s="328"/>
    </row>
    <row r="1260" customFormat="false" ht="15" hidden="false" customHeight="true" outlineLevel="1" collapsed="false">
      <c r="A1260" s="429"/>
      <c r="B1260" s="429"/>
      <c r="C1260" s="429"/>
      <c r="D1260" s="430"/>
      <c r="E1260" s="431"/>
      <c r="F1260" s="431"/>
      <c r="G1260" s="429"/>
      <c r="H1260" s="432"/>
      <c r="I1260" s="432"/>
      <c r="J1260" s="432"/>
      <c r="K1260" s="328"/>
      <c r="L1260" s="396"/>
      <c r="M1260" s="396"/>
      <c r="N1260" s="396"/>
      <c r="O1260" s="396"/>
      <c r="P1260" s="396"/>
      <c r="Q1260" s="328"/>
      <c r="R1260" s="328"/>
      <c r="S1260" s="328"/>
      <c r="T1260" s="328"/>
      <c r="U1260" s="328"/>
      <c r="V1260" s="328"/>
    </row>
    <row r="1261" customFormat="false" ht="15" hidden="false" customHeight="true" outlineLevel="1" collapsed="false">
      <c r="A1261" s="429"/>
      <c r="B1261" s="429"/>
      <c r="C1261" s="429"/>
      <c r="D1261" s="430"/>
      <c r="E1261" s="431"/>
      <c r="F1261" s="431"/>
      <c r="G1261" s="429"/>
      <c r="H1261" s="432"/>
      <c r="I1261" s="432"/>
      <c r="J1261" s="432"/>
      <c r="K1261" s="328"/>
      <c r="L1261" s="396"/>
      <c r="M1261" s="396"/>
      <c r="N1261" s="396"/>
      <c r="O1261" s="396"/>
      <c r="P1261" s="396"/>
      <c r="Q1261" s="328"/>
      <c r="R1261" s="328"/>
      <c r="S1261" s="328"/>
      <c r="T1261" s="328"/>
      <c r="U1261" s="328"/>
      <c r="V1261" s="328"/>
    </row>
    <row r="1262" customFormat="false" ht="15" hidden="false" customHeight="true" outlineLevel="1" collapsed="false">
      <c r="A1262" s="429"/>
      <c r="B1262" s="429"/>
      <c r="C1262" s="429"/>
      <c r="D1262" s="430"/>
      <c r="E1262" s="431"/>
      <c r="F1262" s="431"/>
      <c r="G1262" s="429"/>
      <c r="H1262" s="432"/>
      <c r="I1262" s="432"/>
      <c r="J1262" s="432"/>
      <c r="K1262" s="328"/>
      <c r="L1262" s="396"/>
      <c r="M1262" s="396"/>
      <c r="N1262" s="396"/>
      <c r="O1262" s="396"/>
      <c r="P1262" s="396"/>
      <c r="Q1262" s="328"/>
      <c r="R1262" s="328"/>
      <c r="S1262" s="328"/>
      <c r="T1262" s="328"/>
      <c r="U1262" s="328"/>
      <c r="V1262" s="328"/>
    </row>
    <row r="1263" customFormat="false" ht="15" hidden="false" customHeight="true" outlineLevel="1" collapsed="false">
      <c r="A1263" s="429"/>
      <c r="B1263" s="429"/>
      <c r="C1263" s="429"/>
      <c r="D1263" s="430"/>
      <c r="E1263" s="431"/>
      <c r="F1263" s="431"/>
      <c r="G1263" s="429"/>
      <c r="H1263" s="432"/>
      <c r="I1263" s="432"/>
      <c r="J1263" s="432"/>
      <c r="K1263" s="328"/>
      <c r="L1263" s="396"/>
      <c r="M1263" s="396"/>
      <c r="N1263" s="396"/>
      <c r="O1263" s="396"/>
      <c r="P1263" s="396"/>
      <c r="Q1263" s="328"/>
      <c r="R1263" s="328"/>
      <c r="S1263" s="328"/>
      <c r="T1263" s="328"/>
      <c r="U1263" s="328"/>
      <c r="V1263" s="328"/>
    </row>
    <row r="1264" customFormat="false" ht="15" hidden="false" customHeight="true" outlineLevel="1" collapsed="false">
      <c r="A1264" s="429"/>
      <c r="B1264" s="429"/>
      <c r="C1264" s="429"/>
      <c r="D1264" s="430"/>
      <c r="E1264" s="431"/>
      <c r="F1264" s="431"/>
      <c r="G1264" s="429"/>
      <c r="H1264" s="432"/>
      <c r="I1264" s="432"/>
      <c r="J1264" s="432"/>
      <c r="K1264" s="328"/>
      <c r="L1264" s="396"/>
      <c r="M1264" s="396"/>
      <c r="N1264" s="396"/>
      <c r="O1264" s="396"/>
      <c r="P1264" s="396"/>
      <c r="Q1264" s="328"/>
      <c r="R1264" s="328"/>
      <c r="S1264" s="328"/>
      <c r="T1264" s="328"/>
      <c r="U1264" s="328"/>
      <c r="V1264" s="328"/>
    </row>
    <row r="1265" customFormat="false" ht="15" hidden="false" customHeight="true" outlineLevel="1" collapsed="false">
      <c r="A1265" s="429"/>
      <c r="B1265" s="429"/>
      <c r="C1265" s="429"/>
      <c r="D1265" s="430"/>
      <c r="E1265" s="431"/>
      <c r="F1265" s="431"/>
      <c r="G1265" s="429"/>
      <c r="H1265" s="432"/>
      <c r="I1265" s="432"/>
      <c r="J1265" s="432"/>
      <c r="K1265" s="328"/>
      <c r="L1265" s="396"/>
      <c r="M1265" s="396"/>
      <c r="N1265" s="396"/>
      <c r="O1265" s="396"/>
      <c r="P1265" s="396"/>
      <c r="Q1265" s="328"/>
      <c r="R1265" s="328"/>
      <c r="S1265" s="328"/>
      <c r="T1265" s="328"/>
      <c r="U1265" s="328"/>
      <c r="V1265" s="328"/>
    </row>
    <row r="1266" customFormat="false" ht="15" hidden="false" customHeight="true" outlineLevel="1" collapsed="false">
      <c r="A1266" s="429"/>
      <c r="B1266" s="429"/>
      <c r="C1266" s="429"/>
      <c r="D1266" s="430"/>
      <c r="E1266" s="431"/>
      <c r="F1266" s="431"/>
      <c r="G1266" s="429"/>
      <c r="H1266" s="432"/>
      <c r="I1266" s="432"/>
      <c r="J1266" s="432"/>
      <c r="K1266" s="328"/>
      <c r="L1266" s="396"/>
      <c r="M1266" s="396"/>
      <c r="N1266" s="396"/>
      <c r="O1266" s="396"/>
      <c r="P1266" s="396"/>
      <c r="Q1266" s="328"/>
      <c r="R1266" s="328"/>
      <c r="S1266" s="328"/>
      <c r="T1266" s="328"/>
      <c r="U1266" s="328"/>
      <c r="V1266" s="328"/>
    </row>
    <row r="1267" customFormat="false" ht="15" hidden="false" customHeight="true" outlineLevel="1" collapsed="false">
      <c r="A1267" s="429"/>
      <c r="B1267" s="429"/>
      <c r="C1267" s="429"/>
      <c r="D1267" s="430"/>
      <c r="E1267" s="431"/>
      <c r="F1267" s="431"/>
      <c r="G1267" s="429"/>
      <c r="H1267" s="432"/>
      <c r="I1267" s="432"/>
      <c r="J1267" s="432"/>
      <c r="K1267" s="328"/>
      <c r="L1267" s="396"/>
      <c r="M1267" s="396"/>
      <c r="N1267" s="396"/>
      <c r="O1267" s="396"/>
      <c r="P1267" s="396"/>
      <c r="Q1267" s="328"/>
      <c r="R1267" s="328"/>
      <c r="S1267" s="328"/>
      <c r="T1267" s="328"/>
      <c r="U1267" s="328"/>
      <c r="V1267" s="328"/>
    </row>
    <row r="1268" customFormat="false" ht="15" hidden="false" customHeight="true" outlineLevel="1" collapsed="false">
      <c r="A1268" s="429"/>
      <c r="B1268" s="429"/>
      <c r="C1268" s="429"/>
      <c r="D1268" s="430"/>
      <c r="E1268" s="431"/>
      <c r="F1268" s="431"/>
      <c r="G1268" s="429"/>
      <c r="H1268" s="432"/>
      <c r="I1268" s="432"/>
      <c r="J1268" s="432"/>
      <c r="K1268" s="328"/>
      <c r="L1268" s="396"/>
      <c r="M1268" s="396"/>
      <c r="N1268" s="396"/>
      <c r="O1268" s="396"/>
      <c r="P1268" s="396"/>
      <c r="Q1268" s="328"/>
      <c r="R1268" s="328"/>
      <c r="S1268" s="328"/>
      <c r="T1268" s="328"/>
      <c r="U1268" s="328"/>
      <c r="V1268" s="328"/>
    </row>
    <row r="1269" customFormat="false" ht="15" hidden="false" customHeight="true" outlineLevel="1" collapsed="false">
      <c r="A1269" s="429"/>
      <c r="B1269" s="429"/>
      <c r="C1269" s="429"/>
      <c r="D1269" s="430"/>
      <c r="E1269" s="431"/>
      <c r="F1269" s="431"/>
      <c r="G1269" s="429"/>
      <c r="H1269" s="432"/>
      <c r="I1269" s="432"/>
      <c r="J1269" s="432"/>
      <c r="K1269" s="328"/>
      <c r="L1269" s="396"/>
      <c r="M1269" s="396"/>
      <c r="N1269" s="396"/>
      <c r="O1269" s="396"/>
      <c r="P1269" s="396"/>
      <c r="Q1269" s="328"/>
      <c r="R1269" s="328"/>
      <c r="S1269" s="328"/>
      <c r="T1269" s="328"/>
      <c r="U1269" s="328"/>
      <c r="V1269" s="328"/>
    </row>
    <row r="1270" customFormat="false" ht="15" hidden="false" customHeight="true" outlineLevel="1" collapsed="false">
      <c r="A1270" s="429"/>
      <c r="B1270" s="429"/>
      <c r="C1270" s="429"/>
      <c r="D1270" s="430"/>
      <c r="E1270" s="431"/>
      <c r="F1270" s="431"/>
      <c r="G1270" s="429"/>
      <c r="H1270" s="432"/>
      <c r="I1270" s="432"/>
      <c r="J1270" s="432"/>
      <c r="K1270" s="328"/>
      <c r="L1270" s="396"/>
      <c r="M1270" s="396"/>
      <c r="N1270" s="396"/>
      <c r="O1270" s="396"/>
      <c r="P1270" s="396"/>
      <c r="Q1270" s="328"/>
      <c r="R1270" s="328"/>
      <c r="S1270" s="328"/>
      <c r="T1270" s="328"/>
      <c r="U1270" s="328"/>
      <c r="V1270" s="328"/>
    </row>
    <row r="1271" customFormat="false" ht="15" hidden="false" customHeight="true" outlineLevel="1" collapsed="false">
      <c r="A1271" s="429"/>
      <c r="B1271" s="429"/>
      <c r="C1271" s="429"/>
      <c r="D1271" s="430"/>
      <c r="E1271" s="431"/>
      <c r="F1271" s="431"/>
      <c r="G1271" s="429"/>
      <c r="H1271" s="432"/>
      <c r="I1271" s="432"/>
      <c r="J1271" s="432"/>
      <c r="K1271" s="328"/>
      <c r="L1271" s="396"/>
      <c r="M1271" s="396"/>
      <c r="N1271" s="396"/>
      <c r="O1271" s="396"/>
      <c r="P1271" s="396"/>
      <c r="Q1271" s="328"/>
      <c r="R1271" s="328"/>
      <c r="S1271" s="328"/>
      <c r="T1271" s="328"/>
      <c r="U1271" s="328"/>
      <c r="V1271" s="328"/>
    </row>
    <row r="1272" customFormat="false" ht="15" hidden="false" customHeight="true" outlineLevel="1" collapsed="false">
      <c r="A1272" s="429"/>
      <c r="B1272" s="429"/>
      <c r="C1272" s="429"/>
      <c r="D1272" s="430"/>
      <c r="E1272" s="431"/>
      <c r="F1272" s="431"/>
      <c r="G1272" s="429"/>
      <c r="H1272" s="432"/>
      <c r="I1272" s="432"/>
      <c r="J1272" s="432"/>
      <c r="K1272" s="328"/>
      <c r="L1272" s="396"/>
      <c r="M1272" s="396"/>
      <c r="N1272" s="396"/>
      <c r="O1272" s="396"/>
      <c r="P1272" s="396"/>
      <c r="Q1272" s="328"/>
      <c r="R1272" s="328"/>
      <c r="S1272" s="328"/>
      <c r="T1272" s="328"/>
      <c r="U1272" s="328"/>
      <c r="V1272" s="328"/>
    </row>
    <row r="1273" customFormat="false" ht="15" hidden="false" customHeight="true" outlineLevel="1" collapsed="false">
      <c r="A1273" s="429"/>
      <c r="B1273" s="429"/>
      <c r="C1273" s="429"/>
      <c r="D1273" s="430"/>
      <c r="E1273" s="431"/>
      <c r="F1273" s="431"/>
      <c r="G1273" s="429"/>
      <c r="H1273" s="432"/>
      <c r="I1273" s="432"/>
      <c r="J1273" s="432"/>
      <c r="K1273" s="328"/>
      <c r="L1273" s="396"/>
      <c r="M1273" s="396"/>
      <c r="N1273" s="396"/>
      <c r="O1273" s="396"/>
      <c r="P1273" s="396"/>
      <c r="Q1273" s="328"/>
      <c r="R1273" s="328"/>
      <c r="S1273" s="328"/>
      <c r="T1273" s="328"/>
      <c r="U1273" s="328"/>
      <c r="V1273" s="328"/>
    </row>
    <row r="1274" customFormat="false" ht="15" hidden="false" customHeight="true" outlineLevel="1" collapsed="false">
      <c r="A1274" s="429"/>
      <c r="B1274" s="429"/>
      <c r="C1274" s="429"/>
      <c r="D1274" s="430"/>
      <c r="E1274" s="431"/>
      <c r="F1274" s="431"/>
      <c r="G1274" s="429"/>
      <c r="H1274" s="432"/>
      <c r="I1274" s="432"/>
      <c r="J1274" s="432"/>
      <c r="K1274" s="328"/>
      <c r="L1274" s="396"/>
      <c r="M1274" s="396"/>
      <c r="N1274" s="396"/>
      <c r="O1274" s="396"/>
      <c r="P1274" s="396"/>
      <c r="Q1274" s="328"/>
      <c r="R1274" s="328"/>
      <c r="S1274" s="328"/>
      <c r="T1274" s="328"/>
      <c r="U1274" s="328"/>
      <c r="V1274" s="328"/>
    </row>
    <row r="1275" customFormat="false" ht="15" hidden="false" customHeight="true" outlineLevel="1" collapsed="false">
      <c r="A1275" s="429"/>
      <c r="B1275" s="429"/>
      <c r="C1275" s="429"/>
      <c r="D1275" s="430"/>
      <c r="E1275" s="431"/>
      <c r="F1275" s="431"/>
      <c r="G1275" s="429"/>
      <c r="H1275" s="432"/>
      <c r="I1275" s="432"/>
      <c r="J1275" s="432"/>
      <c r="K1275" s="328"/>
      <c r="L1275" s="396"/>
      <c r="M1275" s="396"/>
      <c r="N1275" s="396"/>
      <c r="O1275" s="396"/>
      <c r="P1275" s="396"/>
      <c r="Q1275" s="328"/>
      <c r="R1275" s="328"/>
      <c r="S1275" s="328"/>
      <c r="T1275" s="328"/>
      <c r="U1275" s="328"/>
      <c r="V1275" s="328"/>
    </row>
    <row r="1276" customFormat="false" ht="15" hidden="false" customHeight="true" outlineLevel="1" collapsed="false">
      <c r="A1276" s="429"/>
      <c r="B1276" s="429"/>
      <c r="C1276" s="429"/>
      <c r="D1276" s="430"/>
      <c r="E1276" s="431"/>
      <c r="F1276" s="431"/>
      <c r="G1276" s="429"/>
      <c r="H1276" s="432"/>
      <c r="I1276" s="432"/>
      <c r="J1276" s="432"/>
      <c r="K1276" s="328"/>
      <c r="L1276" s="396"/>
      <c r="M1276" s="396"/>
      <c r="N1276" s="396"/>
      <c r="O1276" s="396"/>
      <c r="P1276" s="396"/>
      <c r="Q1276" s="328"/>
      <c r="R1276" s="328"/>
      <c r="S1276" s="328"/>
      <c r="T1276" s="328"/>
      <c r="U1276" s="328"/>
      <c r="V1276" s="328"/>
    </row>
    <row r="1277" customFormat="false" ht="15" hidden="false" customHeight="true" outlineLevel="1" collapsed="false">
      <c r="A1277" s="429"/>
      <c r="B1277" s="429"/>
      <c r="C1277" s="429"/>
      <c r="D1277" s="430"/>
      <c r="E1277" s="431"/>
      <c r="F1277" s="431"/>
      <c r="G1277" s="429"/>
      <c r="H1277" s="432"/>
      <c r="I1277" s="432"/>
      <c r="J1277" s="432"/>
      <c r="K1277" s="328"/>
      <c r="L1277" s="396"/>
      <c r="M1277" s="396"/>
      <c r="N1277" s="396"/>
      <c r="O1277" s="396"/>
      <c r="P1277" s="396"/>
      <c r="Q1277" s="328"/>
      <c r="R1277" s="328"/>
      <c r="S1277" s="328"/>
      <c r="T1277" s="328"/>
      <c r="U1277" s="328"/>
      <c r="V1277" s="328"/>
    </row>
    <row r="1278" customFormat="false" ht="15" hidden="false" customHeight="true" outlineLevel="1" collapsed="false">
      <c r="A1278" s="429"/>
      <c r="B1278" s="429"/>
      <c r="C1278" s="429"/>
      <c r="D1278" s="430"/>
      <c r="E1278" s="431"/>
      <c r="F1278" s="431"/>
      <c r="G1278" s="429"/>
      <c r="H1278" s="432"/>
      <c r="I1278" s="432"/>
      <c r="J1278" s="432"/>
      <c r="K1278" s="328"/>
      <c r="L1278" s="396"/>
      <c r="M1278" s="396"/>
      <c r="N1278" s="396"/>
      <c r="O1278" s="396"/>
      <c r="P1278" s="396"/>
      <c r="Q1278" s="328"/>
      <c r="R1278" s="328"/>
      <c r="S1278" s="328"/>
      <c r="T1278" s="328"/>
      <c r="U1278" s="328"/>
      <c r="V1278" s="328"/>
    </row>
    <row r="1279" customFormat="false" ht="15" hidden="false" customHeight="true" outlineLevel="1" collapsed="false">
      <c r="A1279" s="429"/>
      <c r="B1279" s="429"/>
      <c r="C1279" s="429"/>
      <c r="D1279" s="430"/>
      <c r="E1279" s="431"/>
      <c r="F1279" s="431"/>
      <c r="G1279" s="429"/>
      <c r="H1279" s="432"/>
      <c r="I1279" s="432"/>
      <c r="J1279" s="432"/>
      <c r="K1279" s="328"/>
      <c r="L1279" s="396"/>
      <c r="M1279" s="396"/>
      <c r="N1279" s="396"/>
      <c r="O1279" s="396"/>
      <c r="P1279" s="396"/>
      <c r="Q1279" s="328"/>
      <c r="R1279" s="328"/>
      <c r="S1279" s="328"/>
      <c r="T1279" s="328"/>
      <c r="U1279" s="328"/>
      <c r="V1279" s="328"/>
    </row>
    <row r="1280" customFormat="false" ht="15" hidden="false" customHeight="true" outlineLevel="1" collapsed="false">
      <c r="A1280" s="429"/>
      <c r="B1280" s="429"/>
      <c r="C1280" s="429"/>
      <c r="D1280" s="430"/>
      <c r="E1280" s="431"/>
      <c r="F1280" s="431"/>
      <c r="G1280" s="429"/>
      <c r="H1280" s="432"/>
      <c r="I1280" s="432"/>
      <c r="J1280" s="432"/>
      <c r="K1280" s="328"/>
      <c r="L1280" s="396"/>
      <c r="M1280" s="396"/>
      <c r="N1280" s="396"/>
      <c r="O1280" s="396"/>
      <c r="P1280" s="396"/>
      <c r="Q1280" s="328"/>
      <c r="R1280" s="328"/>
      <c r="S1280" s="328"/>
      <c r="T1280" s="328"/>
      <c r="U1280" s="328"/>
      <c r="V1280" s="328"/>
    </row>
    <row r="1281" customFormat="false" ht="15" hidden="false" customHeight="true" outlineLevel="1" collapsed="false">
      <c r="A1281" s="429"/>
      <c r="B1281" s="429"/>
      <c r="C1281" s="429"/>
      <c r="D1281" s="430"/>
      <c r="E1281" s="431"/>
      <c r="F1281" s="431"/>
      <c r="G1281" s="429"/>
      <c r="H1281" s="432"/>
      <c r="I1281" s="432"/>
      <c r="J1281" s="432"/>
      <c r="K1281" s="328"/>
      <c r="L1281" s="396"/>
      <c r="M1281" s="396"/>
      <c r="N1281" s="396"/>
      <c r="O1281" s="396"/>
      <c r="P1281" s="396"/>
      <c r="Q1281" s="328"/>
      <c r="R1281" s="328"/>
      <c r="S1281" s="328"/>
      <c r="T1281" s="328"/>
      <c r="U1281" s="328"/>
      <c r="V1281" s="328"/>
    </row>
    <row r="1282" customFormat="false" ht="15" hidden="false" customHeight="true" outlineLevel="1" collapsed="false">
      <c r="A1282" s="429"/>
      <c r="B1282" s="429"/>
      <c r="C1282" s="429"/>
      <c r="D1282" s="430"/>
      <c r="E1282" s="431"/>
      <c r="F1282" s="431"/>
      <c r="G1282" s="429"/>
      <c r="H1282" s="432"/>
      <c r="I1282" s="432"/>
      <c r="J1282" s="432"/>
      <c r="K1282" s="328"/>
      <c r="L1282" s="396"/>
      <c r="M1282" s="396"/>
      <c r="N1282" s="396"/>
      <c r="O1282" s="396"/>
      <c r="P1282" s="396"/>
      <c r="Q1282" s="328"/>
      <c r="R1282" s="328"/>
      <c r="S1282" s="328"/>
      <c r="T1282" s="328"/>
      <c r="U1282" s="328"/>
      <c r="V1282" s="328"/>
    </row>
    <row r="1283" customFormat="false" ht="15" hidden="false" customHeight="true" outlineLevel="1" collapsed="false">
      <c r="A1283" s="429"/>
      <c r="B1283" s="429"/>
      <c r="C1283" s="429"/>
      <c r="D1283" s="430"/>
      <c r="E1283" s="431"/>
      <c r="F1283" s="431"/>
      <c r="G1283" s="429"/>
      <c r="H1283" s="432"/>
      <c r="I1283" s="432"/>
      <c r="J1283" s="432"/>
      <c r="K1283" s="328"/>
      <c r="L1283" s="396"/>
      <c r="M1283" s="396"/>
      <c r="N1283" s="396"/>
      <c r="O1283" s="396"/>
      <c r="P1283" s="396"/>
      <c r="Q1283" s="328"/>
      <c r="R1283" s="328"/>
      <c r="S1283" s="328"/>
      <c r="T1283" s="328"/>
      <c r="U1283" s="328"/>
      <c r="V1283" s="328"/>
    </row>
    <row r="1284" customFormat="false" ht="15" hidden="false" customHeight="true" outlineLevel="1" collapsed="false">
      <c r="A1284" s="429"/>
      <c r="B1284" s="429"/>
      <c r="C1284" s="429"/>
      <c r="D1284" s="430"/>
      <c r="E1284" s="431"/>
      <c r="F1284" s="431"/>
      <c r="G1284" s="429"/>
      <c r="H1284" s="432"/>
      <c r="I1284" s="432"/>
      <c r="J1284" s="432"/>
      <c r="K1284" s="328"/>
      <c r="L1284" s="396"/>
      <c r="M1284" s="396"/>
      <c r="N1284" s="396"/>
      <c r="O1284" s="396"/>
      <c r="P1284" s="396"/>
      <c r="Q1284" s="328"/>
      <c r="R1284" s="328"/>
      <c r="S1284" s="328"/>
      <c r="T1284" s="328"/>
      <c r="U1284" s="328"/>
      <c r="V1284" s="328"/>
    </row>
    <row r="1285" customFormat="false" ht="15" hidden="false" customHeight="true" outlineLevel="1" collapsed="false">
      <c r="A1285" s="429"/>
      <c r="B1285" s="429"/>
      <c r="C1285" s="429"/>
      <c r="D1285" s="430"/>
      <c r="E1285" s="431"/>
      <c r="F1285" s="431"/>
      <c r="G1285" s="429"/>
      <c r="H1285" s="432"/>
      <c r="I1285" s="432"/>
      <c r="J1285" s="432"/>
      <c r="K1285" s="328"/>
      <c r="L1285" s="396"/>
      <c r="M1285" s="396"/>
      <c r="N1285" s="396"/>
      <c r="O1285" s="396"/>
      <c r="P1285" s="396"/>
      <c r="Q1285" s="328"/>
      <c r="R1285" s="328"/>
      <c r="S1285" s="328"/>
      <c r="T1285" s="328"/>
      <c r="U1285" s="328"/>
      <c r="V1285" s="328"/>
    </row>
    <row r="1286" customFormat="false" ht="15" hidden="false" customHeight="true" outlineLevel="1" collapsed="false">
      <c r="A1286" s="429"/>
      <c r="B1286" s="429"/>
      <c r="C1286" s="429"/>
      <c r="D1286" s="430"/>
      <c r="E1286" s="431"/>
      <c r="F1286" s="431"/>
      <c r="G1286" s="429"/>
      <c r="H1286" s="432"/>
      <c r="I1286" s="432"/>
      <c r="J1286" s="432"/>
      <c r="K1286" s="328"/>
      <c r="L1286" s="396"/>
      <c r="M1286" s="396"/>
      <c r="N1286" s="396"/>
      <c r="O1286" s="396"/>
      <c r="P1286" s="396"/>
      <c r="Q1286" s="328"/>
      <c r="R1286" s="328"/>
      <c r="S1286" s="328"/>
      <c r="T1286" s="328"/>
      <c r="U1286" s="328"/>
      <c r="V1286" s="328"/>
    </row>
    <row r="1287" customFormat="false" ht="15" hidden="false" customHeight="true" outlineLevel="1" collapsed="false">
      <c r="A1287" s="429"/>
      <c r="B1287" s="429"/>
      <c r="C1287" s="429"/>
      <c r="D1287" s="430"/>
      <c r="E1287" s="431"/>
      <c r="F1287" s="431"/>
      <c r="G1287" s="429"/>
      <c r="H1287" s="432"/>
      <c r="I1287" s="432"/>
      <c r="J1287" s="432"/>
      <c r="K1287" s="328"/>
      <c r="L1287" s="396"/>
      <c r="M1287" s="396"/>
      <c r="N1287" s="396"/>
      <c r="O1287" s="396"/>
      <c r="P1287" s="396"/>
      <c r="Q1287" s="328"/>
      <c r="R1287" s="328"/>
      <c r="S1287" s="328"/>
      <c r="T1287" s="328"/>
      <c r="U1287" s="328"/>
      <c r="V1287" s="328"/>
    </row>
    <row r="1288" customFormat="false" ht="15" hidden="false" customHeight="true" outlineLevel="1" collapsed="false">
      <c r="A1288" s="429"/>
      <c r="B1288" s="429"/>
      <c r="C1288" s="429"/>
      <c r="D1288" s="430"/>
      <c r="E1288" s="431"/>
      <c r="F1288" s="431"/>
      <c r="G1288" s="429"/>
      <c r="H1288" s="432"/>
      <c r="I1288" s="432"/>
      <c r="J1288" s="432"/>
      <c r="K1288" s="328"/>
      <c r="L1288" s="396"/>
      <c r="M1288" s="396"/>
      <c r="N1288" s="396"/>
      <c r="O1288" s="396"/>
      <c r="P1288" s="396"/>
      <c r="Q1288" s="328"/>
      <c r="R1288" s="328"/>
      <c r="S1288" s="328"/>
      <c r="T1288" s="328"/>
      <c r="U1288" s="328"/>
      <c r="V1288" s="328"/>
    </row>
    <row r="1289" customFormat="false" ht="15" hidden="false" customHeight="true" outlineLevel="1" collapsed="false">
      <c r="A1289" s="429"/>
      <c r="B1289" s="429"/>
      <c r="C1289" s="429"/>
      <c r="D1289" s="430"/>
      <c r="E1289" s="431"/>
      <c r="F1289" s="431"/>
      <c r="G1289" s="429"/>
      <c r="H1289" s="432"/>
      <c r="I1289" s="432"/>
      <c r="J1289" s="432"/>
      <c r="K1289" s="328"/>
      <c r="L1289" s="396"/>
      <c r="M1289" s="396"/>
      <c r="N1289" s="396"/>
      <c r="O1289" s="396"/>
      <c r="P1289" s="396"/>
      <c r="Q1289" s="328"/>
      <c r="R1289" s="328"/>
      <c r="S1289" s="328"/>
      <c r="T1289" s="328"/>
      <c r="U1289" s="328"/>
      <c r="V1289" s="328"/>
    </row>
    <row r="1290" customFormat="false" ht="15" hidden="false" customHeight="true" outlineLevel="1" collapsed="false">
      <c r="A1290" s="429"/>
      <c r="B1290" s="429"/>
      <c r="C1290" s="429"/>
      <c r="D1290" s="430"/>
      <c r="E1290" s="431"/>
      <c r="F1290" s="431"/>
      <c r="G1290" s="429"/>
      <c r="H1290" s="432"/>
      <c r="I1290" s="432"/>
      <c r="J1290" s="432"/>
      <c r="K1290" s="328"/>
      <c r="L1290" s="396"/>
      <c r="M1290" s="396"/>
      <c r="N1290" s="396"/>
      <c r="O1290" s="396"/>
      <c r="P1290" s="396"/>
      <c r="Q1290" s="328"/>
      <c r="R1290" s="328"/>
      <c r="S1290" s="328"/>
      <c r="T1290" s="328"/>
      <c r="U1290" s="328"/>
      <c r="V1290" s="328"/>
    </row>
    <row r="1291" customFormat="false" ht="15" hidden="false" customHeight="true" outlineLevel="1" collapsed="false">
      <c r="A1291" s="429"/>
      <c r="B1291" s="429"/>
      <c r="C1291" s="429"/>
      <c r="D1291" s="430"/>
      <c r="E1291" s="431"/>
      <c r="F1291" s="431"/>
      <c r="G1291" s="429"/>
      <c r="H1291" s="432"/>
      <c r="I1291" s="432"/>
      <c r="J1291" s="432"/>
      <c r="K1291" s="328"/>
      <c r="L1291" s="396"/>
      <c r="M1291" s="396"/>
      <c r="N1291" s="396"/>
      <c r="O1291" s="396"/>
      <c r="P1291" s="396"/>
      <c r="Q1291" s="328"/>
      <c r="R1291" s="328"/>
      <c r="S1291" s="328"/>
      <c r="T1291" s="328"/>
      <c r="U1291" s="328"/>
      <c r="V1291" s="328"/>
    </row>
    <row r="1292" customFormat="false" ht="15" hidden="false" customHeight="true" outlineLevel="1" collapsed="false">
      <c r="A1292" s="429"/>
      <c r="B1292" s="429"/>
      <c r="C1292" s="429"/>
      <c r="D1292" s="430"/>
      <c r="E1292" s="431"/>
      <c r="F1292" s="431"/>
      <c r="G1292" s="429"/>
      <c r="H1292" s="432"/>
      <c r="I1292" s="432"/>
      <c r="J1292" s="432"/>
      <c r="K1292" s="328"/>
      <c r="L1292" s="396"/>
      <c r="M1292" s="396"/>
      <c r="N1292" s="396"/>
      <c r="O1292" s="396"/>
      <c r="P1292" s="396"/>
      <c r="Q1292" s="328"/>
      <c r="R1292" s="328"/>
      <c r="S1292" s="328"/>
      <c r="T1292" s="328"/>
      <c r="U1292" s="328"/>
      <c r="V1292" s="328"/>
    </row>
    <row r="1293" customFormat="false" ht="15" hidden="false" customHeight="true" outlineLevel="1" collapsed="false">
      <c r="A1293" s="429"/>
      <c r="B1293" s="429"/>
      <c r="C1293" s="429"/>
      <c r="D1293" s="430"/>
      <c r="E1293" s="431"/>
      <c r="F1293" s="431"/>
      <c r="G1293" s="429"/>
      <c r="H1293" s="432"/>
      <c r="I1293" s="432"/>
      <c r="J1293" s="432"/>
      <c r="K1293" s="328"/>
      <c r="L1293" s="396"/>
      <c r="M1293" s="396"/>
      <c r="N1293" s="396"/>
      <c r="O1293" s="396"/>
      <c r="P1293" s="396"/>
      <c r="Q1293" s="328"/>
      <c r="R1293" s="328"/>
      <c r="S1293" s="328"/>
      <c r="T1293" s="328"/>
      <c r="U1293" s="328"/>
      <c r="V1293" s="328"/>
    </row>
    <row r="1294" customFormat="false" ht="15" hidden="false" customHeight="true" outlineLevel="1" collapsed="false">
      <c r="A1294" s="429"/>
      <c r="B1294" s="429"/>
      <c r="C1294" s="429"/>
      <c r="D1294" s="430"/>
      <c r="E1294" s="431"/>
      <c r="F1294" s="431"/>
      <c r="G1294" s="429"/>
      <c r="H1294" s="432"/>
      <c r="I1294" s="432"/>
      <c r="J1294" s="432"/>
      <c r="K1294" s="328"/>
      <c r="L1294" s="396"/>
      <c r="M1294" s="396"/>
      <c r="N1294" s="396"/>
      <c r="O1294" s="396"/>
      <c r="P1294" s="396"/>
      <c r="Q1294" s="328"/>
      <c r="R1294" s="328"/>
      <c r="S1294" s="328"/>
      <c r="T1294" s="328"/>
      <c r="U1294" s="328"/>
      <c r="V1294" s="328"/>
    </row>
    <row r="1295" customFormat="false" ht="15" hidden="false" customHeight="true" outlineLevel="1" collapsed="false">
      <c r="A1295" s="429"/>
      <c r="B1295" s="429"/>
      <c r="C1295" s="429"/>
      <c r="D1295" s="430"/>
      <c r="E1295" s="431"/>
      <c r="F1295" s="431"/>
      <c r="G1295" s="429"/>
      <c r="H1295" s="432"/>
      <c r="I1295" s="432"/>
      <c r="J1295" s="432"/>
      <c r="K1295" s="328"/>
      <c r="L1295" s="396"/>
      <c r="M1295" s="396"/>
      <c r="N1295" s="396"/>
      <c r="O1295" s="396"/>
      <c r="P1295" s="396"/>
      <c r="Q1295" s="328"/>
      <c r="R1295" s="328"/>
      <c r="S1295" s="328"/>
      <c r="T1295" s="328"/>
      <c r="U1295" s="328"/>
      <c r="V1295" s="328"/>
    </row>
    <row r="1296" customFormat="false" ht="15" hidden="false" customHeight="true" outlineLevel="1" collapsed="false">
      <c r="A1296" s="429"/>
      <c r="B1296" s="429"/>
      <c r="C1296" s="429"/>
      <c r="D1296" s="430"/>
      <c r="E1296" s="431"/>
      <c r="F1296" s="431"/>
      <c r="G1296" s="429"/>
      <c r="H1296" s="432"/>
      <c r="I1296" s="432"/>
      <c r="J1296" s="432"/>
      <c r="K1296" s="328"/>
      <c r="L1296" s="396"/>
      <c r="M1296" s="396"/>
      <c r="N1296" s="396"/>
      <c r="O1296" s="396"/>
      <c r="P1296" s="396"/>
      <c r="Q1296" s="328"/>
      <c r="R1296" s="328"/>
      <c r="S1296" s="328"/>
      <c r="T1296" s="328"/>
      <c r="U1296" s="328"/>
      <c r="V1296" s="328"/>
    </row>
    <row r="1297" customFormat="false" ht="15" hidden="false" customHeight="true" outlineLevel="1" collapsed="false">
      <c r="A1297" s="429"/>
      <c r="B1297" s="429"/>
      <c r="C1297" s="429"/>
      <c r="D1297" s="430"/>
      <c r="E1297" s="431"/>
      <c r="F1297" s="431"/>
      <c r="G1297" s="429"/>
      <c r="H1297" s="432"/>
      <c r="I1297" s="432"/>
      <c r="J1297" s="432"/>
      <c r="K1297" s="328"/>
      <c r="L1297" s="396"/>
      <c r="M1297" s="396"/>
      <c r="N1297" s="396"/>
      <c r="O1297" s="396"/>
      <c r="P1297" s="396"/>
      <c r="Q1297" s="328"/>
      <c r="R1297" s="328"/>
      <c r="S1297" s="328"/>
      <c r="T1297" s="328"/>
      <c r="U1297" s="328"/>
      <c r="V1297" s="328"/>
    </row>
    <row r="1298" customFormat="false" ht="15" hidden="false" customHeight="true" outlineLevel="1" collapsed="false">
      <c r="A1298" s="429"/>
      <c r="B1298" s="429"/>
      <c r="C1298" s="429"/>
      <c r="D1298" s="430"/>
      <c r="E1298" s="431"/>
      <c r="F1298" s="431"/>
      <c r="G1298" s="429"/>
      <c r="H1298" s="432"/>
      <c r="I1298" s="432"/>
      <c r="J1298" s="432"/>
      <c r="K1298" s="328"/>
      <c r="L1298" s="396"/>
      <c r="M1298" s="396"/>
      <c r="N1298" s="396"/>
      <c r="O1298" s="396"/>
      <c r="P1298" s="396"/>
      <c r="Q1298" s="328"/>
      <c r="R1298" s="328"/>
      <c r="S1298" s="328"/>
      <c r="T1298" s="328"/>
      <c r="U1298" s="328"/>
      <c r="V1298" s="328"/>
    </row>
    <row r="1299" customFormat="false" ht="15" hidden="false" customHeight="true" outlineLevel="1" collapsed="false">
      <c r="A1299" s="429"/>
      <c r="B1299" s="429"/>
      <c r="C1299" s="429"/>
      <c r="D1299" s="430"/>
      <c r="E1299" s="431"/>
      <c r="F1299" s="431"/>
      <c r="G1299" s="429"/>
      <c r="H1299" s="432"/>
      <c r="I1299" s="432"/>
      <c r="J1299" s="432"/>
      <c r="K1299" s="328"/>
      <c r="L1299" s="396"/>
      <c r="M1299" s="396"/>
      <c r="N1299" s="396"/>
      <c r="O1299" s="396"/>
      <c r="P1299" s="396"/>
      <c r="Q1299" s="328"/>
      <c r="R1299" s="328"/>
      <c r="S1299" s="328"/>
      <c r="T1299" s="328"/>
      <c r="U1299" s="328"/>
      <c r="V1299" s="328"/>
    </row>
    <row r="1300" customFormat="false" ht="15" hidden="false" customHeight="true" outlineLevel="1" collapsed="false">
      <c r="A1300" s="429"/>
      <c r="B1300" s="429"/>
      <c r="C1300" s="429"/>
      <c r="D1300" s="430"/>
      <c r="E1300" s="431"/>
      <c r="F1300" s="431"/>
      <c r="G1300" s="429"/>
      <c r="H1300" s="432"/>
      <c r="I1300" s="432"/>
      <c r="J1300" s="432"/>
      <c r="K1300" s="328"/>
      <c r="L1300" s="396"/>
      <c r="M1300" s="396"/>
      <c r="N1300" s="396"/>
      <c r="O1300" s="396"/>
      <c r="P1300" s="396"/>
      <c r="Q1300" s="328"/>
      <c r="R1300" s="328"/>
      <c r="S1300" s="328"/>
      <c r="T1300" s="328"/>
      <c r="U1300" s="328"/>
      <c r="V1300" s="328"/>
    </row>
    <row r="1301" customFormat="false" ht="15" hidden="false" customHeight="true" outlineLevel="1" collapsed="false">
      <c r="A1301" s="429"/>
      <c r="B1301" s="429"/>
      <c r="C1301" s="429"/>
      <c r="D1301" s="430"/>
      <c r="E1301" s="431"/>
      <c r="F1301" s="431"/>
      <c r="G1301" s="429"/>
      <c r="H1301" s="432"/>
      <c r="I1301" s="432"/>
      <c r="J1301" s="432"/>
      <c r="K1301" s="328"/>
      <c r="L1301" s="396"/>
      <c r="M1301" s="396"/>
      <c r="N1301" s="396"/>
      <c r="O1301" s="396"/>
      <c r="P1301" s="396"/>
      <c r="Q1301" s="328"/>
      <c r="R1301" s="328"/>
      <c r="S1301" s="328"/>
      <c r="T1301" s="328"/>
      <c r="U1301" s="328"/>
      <c r="V1301" s="328"/>
    </row>
    <row r="1302" customFormat="false" ht="15" hidden="false" customHeight="true" outlineLevel="1" collapsed="false">
      <c r="A1302" s="429"/>
      <c r="B1302" s="429"/>
      <c r="C1302" s="429"/>
      <c r="D1302" s="430"/>
      <c r="E1302" s="431"/>
      <c r="F1302" s="431"/>
      <c r="G1302" s="429"/>
      <c r="H1302" s="432"/>
      <c r="I1302" s="432"/>
      <c r="J1302" s="432"/>
      <c r="K1302" s="328"/>
      <c r="L1302" s="396"/>
      <c r="M1302" s="396"/>
      <c r="N1302" s="396"/>
      <c r="O1302" s="396"/>
      <c r="P1302" s="396"/>
      <c r="Q1302" s="328"/>
      <c r="R1302" s="328"/>
      <c r="S1302" s="328"/>
      <c r="T1302" s="328"/>
      <c r="U1302" s="328"/>
      <c r="V1302" s="328"/>
    </row>
    <row r="1303" customFormat="false" ht="15" hidden="false" customHeight="true" outlineLevel="1" collapsed="false">
      <c r="A1303" s="429"/>
      <c r="B1303" s="429"/>
      <c r="C1303" s="429"/>
      <c r="D1303" s="430"/>
      <c r="E1303" s="431"/>
      <c r="F1303" s="431"/>
      <c r="G1303" s="429"/>
      <c r="H1303" s="432"/>
      <c r="I1303" s="432"/>
      <c r="J1303" s="432"/>
      <c r="K1303" s="328"/>
      <c r="L1303" s="396"/>
      <c r="M1303" s="396"/>
      <c r="N1303" s="396"/>
      <c r="O1303" s="396"/>
      <c r="P1303" s="396"/>
      <c r="Q1303" s="328"/>
      <c r="R1303" s="328"/>
      <c r="S1303" s="328"/>
      <c r="T1303" s="328"/>
      <c r="U1303" s="328"/>
      <c r="V1303" s="328"/>
    </row>
    <row r="1304" customFormat="false" ht="15" hidden="false" customHeight="true" outlineLevel="1" collapsed="false">
      <c r="A1304" s="429"/>
      <c r="B1304" s="429"/>
      <c r="C1304" s="429"/>
      <c r="D1304" s="430"/>
      <c r="E1304" s="431"/>
      <c r="F1304" s="431"/>
      <c r="G1304" s="429"/>
      <c r="H1304" s="432"/>
      <c r="I1304" s="432"/>
      <c r="J1304" s="432"/>
      <c r="K1304" s="328"/>
      <c r="L1304" s="396"/>
      <c r="M1304" s="396"/>
      <c r="N1304" s="396"/>
      <c r="O1304" s="396"/>
      <c r="P1304" s="396"/>
      <c r="Q1304" s="328"/>
      <c r="R1304" s="328"/>
      <c r="S1304" s="328"/>
      <c r="T1304" s="328"/>
      <c r="U1304" s="328"/>
      <c r="V1304" s="328"/>
    </row>
    <row r="1305" customFormat="false" ht="15" hidden="false" customHeight="true" outlineLevel="1" collapsed="false">
      <c r="A1305" s="429"/>
      <c r="B1305" s="429"/>
      <c r="C1305" s="429"/>
      <c r="D1305" s="430"/>
      <c r="E1305" s="431"/>
      <c r="F1305" s="431"/>
      <c r="G1305" s="429"/>
      <c r="H1305" s="432"/>
      <c r="I1305" s="432"/>
      <c r="J1305" s="432"/>
      <c r="K1305" s="328"/>
      <c r="L1305" s="396"/>
      <c r="M1305" s="396"/>
      <c r="N1305" s="396"/>
      <c r="O1305" s="396"/>
      <c r="P1305" s="396"/>
      <c r="Q1305" s="328"/>
      <c r="R1305" s="328"/>
      <c r="S1305" s="328"/>
      <c r="T1305" s="328"/>
      <c r="U1305" s="328"/>
      <c r="V1305" s="328"/>
    </row>
    <row r="1306" customFormat="false" ht="15" hidden="false" customHeight="true" outlineLevel="1" collapsed="false">
      <c r="A1306" s="429"/>
      <c r="B1306" s="429"/>
      <c r="C1306" s="429"/>
      <c r="D1306" s="430"/>
      <c r="E1306" s="431"/>
      <c r="F1306" s="431"/>
      <c r="G1306" s="429"/>
      <c r="H1306" s="432"/>
      <c r="I1306" s="432"/>
      <c r="J1306" s="432"/>
      <c r="K1306" s="328"/>
      <c r="L1306" s="396"/>
      <c r="M1306" s="396"/>
      <c r="N1306" s="396"/>
      <c r="O1306" s="396"/>
      <c r="P1306" s="396"/>
      <c r="Q1306" s="328"/>
      <c r="R1306" s="328"/>
      <c r="S1306" s="328"/>
      <c r="T1306" s="328"/>
      <c r="U1306" s="328"/>
      <c r="V1306" s="328"/>
    </row>
    <row r="1307" customFormat="false" ht="15" hidden="false" customHeight="true" outlineLevel="1" collapsed="false">
      <c r="A1307" s="429"/>
      <c r="B1307" s="429"/>
      <c r="C1307" s="429"/>
      <c r="D1307" s="430"/>
      <c r="E1307" s="431"/>
      <c r="F1307" s="431"/>
      <c r="G1307" s="429"/>
      <c r="H1307" s="432"/>
      <c r="I1307" s="432"/>
      <c r="J1307" s="432"/>
      <c r="K1307" s="328"/>
      <c r="L1307" s="396"/>
      <c r="M1307" s="396"/>
      <c r="N1307" s="396"/>
      <c r="O1307" s="396"/>
      <c r="P1307" s="396"/>
      <c r="Q1307" s="328"/>
      <c r="R1307" s="328"/>
      <c r="S1307" s="328"/>
      <c r="T1307" s="328"/>
      <c r="U1307" s="328"/>
      <c r="V1307" s="328"/>
    </row>
    <row r="1308" customFormat="false" ht="15" hidden="false" customHeight="true" outlineLevel="1" collapsed="false">
      <c r="A1308" s="429"/>
      <c r="B1308" s="429"/>
      <c r="C1308" s="429"/>
      <c r="D1308" s="430"/>
      <c r="E1308" s="431"/>
      <c r="F1308" s="431"/>
      <c r="G1308" s="429"/>
      <c r="H1308" s="432"/>
      <c r="I1308" s="432"/>
      <c r="J1308" s="432"/>
      <c r="K1308" s="328"/>
      <c r="L1308" s="396"/>
      <c r="M1308" s="396"/>
      <c r="N1308" s="396"/>
      <c r="O1308" s="396"/>
      <c r="P1308" s="396"/>
      <c r="Q1308" s="328"/>
      <c r="R1308" s="328"/>
      <c r="S1308" s="328"/>
      <c r="T1308" s="328"/>
      <c r="U1308" s="328"/>
      <c r="V1308" s="328"/>
    </row>
    <row r="1309" customFormat="false" ht="15" hidden="false" customHeight="true" outlineLevel="1" collapsed="false">
      <c r="A1309" s="429"/>
      <c r="B1309" s="429"/>
      <c r="C1309" s="429"/>
      <c r="D1309" s="430"/>
      <c r="E1309" s="431"/>
      <c r="F1309" s="431"/>
      <c r="G1309" s="429"/>
      <c r="H1309" s="432"/>
      <c r="I1309" s="432"/>
      <c r="J1309" s="432"/>
      <c r="K1309" s="328"/>
      <c r="L1309" s="396"/>
      <c r="M1309" s="396"/>
      <c r="N1309" s="396"/>
      <c r="O1309" s="396"/>
      <c r="P1309" s="396"/>
      <c r="Q1309" s="328"/>
      <c r="R1309" s="328"/>
      <c r="S1309" s="328"/>
      <c r="T1309" s="328"/>
      <c r="U1309" s="328"/>
      <c r="V1309" s="328"/>
    </row>
    <row r="1310" customFormat="false" ht="15" hidden="false" customHeight="true" outlineLevel="1" collapsed="false">
      <c r="A1310" s="429"/>
      <c r="B1310" s="429"/>
      <c r="C1310" s="429"/>
      <c r="D1310" s="430"/>
      <c r="E1310" s="431"/>
      <c r="F1310" s="431"/>
      <c r="G1310" s="429"/>
      <c r="H1310" s="432"/>
      <c r="I1310" s="432"/>
      <c r="J1310" s="432"/>
      <c r="K1310" s="328"/>
      <c r="L1310" s="396"/>
      <c r="M1310" s="396"/>
      <c r="N1310" s="396"/>
      <c r="O1310" s="396"/>
      <c r="P1310" s="396"/>
      <c r="Q1310" s="328"/>
      <c r="R1310" s="328"/>
      <c r="S1310" s="328"/>
      <c r="T1310" s="328"/>
      <c r="U1310" s="328"/>
      <c r="V1310" s="328"/>
    </row>
    <row r="1311" customFormat="false" ht="15" hidden="false" customHeight="true" outlineLevel="1" collapsed="false">
      <c r="A1311" s="429"/>
      <c r="B1311" s="429"/>
      <c r="C1311" s="429"/>
      <c r="D1311" s="430"/>
      <c r="E1311" s="431"/>
      <c r="F1311" s="431"/>
      <c r="G1311" s="429"/>
      <c r="H1311" s="432"/>
      <c r="I1311" s="432"/>
      <c r="J1311" s="432"/>
      <c r="K1311" s="328"/>
      <c r="L1311" s="396"/>
      <c r="M1311" s="396"/>
      <c r="N1311" s="396"/>
      <c r="O1311" s="396"/>
      <c r="P1311" s="396"/>
      <c r="Q1311" s="328"/>
      <c r="R1311" s="328"/>
      <c r="S1311" s="328"/>
      <c r="T1311" s="328"/>
      <c r="U1311" s="328"/>
      <c r="V1311" s="328"/>
    </row>
    <row r="1312" customFormat="false" ht="15" hidden="false" customHeight="true" outlineLevel="1" collapsed="false">
      <c r="A1312" s="429"/>
      <c r="B1312" s="429"/>
      <c r="C1312" s="429"/>
      <c r="D1312" s="430"/>
      <c r="E1312" s="431"/>
      <c r="F1312" s="431"/>
      <c r="G1312" s="429"/>
      <c r="H1312" s="432"/>
      <c r="I1312" s="432"/>
      <c r="J1312" s="432"/>
      <c r="K1312" s="328"/>
      <c r="L1312" s="396"/>
      <c r="M1312" s="396"/>
      <c r="N1312" s="396"/>
      <c r="O1312" s="396"/>
      <c r="P1312" s="396"/>
      <c r="Q1312" s="328"/>
      <c r="R1312" s="328"/>
      <c r="S1312" s="328"/>
      <c r="T1312" s="328"/>
      <c r="U1312" s="328"/>
      <c r="V1312" s="328"/>
    </row>
    <row r="1313" customFormat="false" ht="15" hidden="false" customHeight="true" outlineLevel="1" collapsed="false">
      <c r="A1313" s="429"/>
      <c r="B1313" s="429"/>
      <c r="C1313" s="429"/>
      <c r="D1313" s="430"/>
      <c r="E1313" s="431"/>
      <c r="F1313" s="431"/>
      <c r="G1313" s="429"/>
      <c r="H1313" s="432"/>
      <c r="I1313" s="432"/>
      <c r="J1313" s="432"/>
      <c r="K1313" s="328"/>
      <c r="L1313" s="396"/>
      <c r="M1313" s="396"/>
      <c r="N1313" s="396"/>
      <c r="O1313" s="396"/>
      <c r="P1313" s="396"/>
      <c r="Q1313" s="328"/>
      <c r="R1313" s="328"/>
      <c r="S1313" s="328"/>
      <c r="T1313" s="328"/>
      <c r="U1313" s="328"/>
      <c r="V1313" s="328"/>
    </row>
    <row r="1314" customFormat="false" ht="15" hidden="false" customHeight="true" outlineLevel="1" collapsed="false">
      <c r="A1314" s="429"/>
      <c r="B1314" s="429"/>
      <c r="C1314" s="429"/>
      <c r="D1314" s="430"/>
      <c r="E1314" s="431"/>
      <c r="F1314" s="431"/>
      <c r="G1314" s="429"/>
      <c r="H1314" s="432"/>
      <c r="I1314" s="432"/>
      <c r="J1314" s="432"/>
      <c r="K1314" s="328"/>
      <c r="L1314" s="396"/>
      <c r="M1314" s="396"/>
      <c r="N1314" s="396"/>
      <c r="O1314" s="396"/>
      <c r="P1314" s="396"/>
      <c r="Q1314" s="328"/>
      <c r="R1314" s="328"/>
      <c r="S1314" s="328"/>
      <c r="T1314" s="328"/>
      <c r="U1314" s="328"/>
      <c r="V1314" s="328"/>
    </row>
    <row r="1315" customFormat="false" ht="15" hidden="false" customHeight="true" outlineLevel="1" collapsed="false">
      <c r="A1315" s="429"/>
      <c r="B1315" s="429"/>
      <c r="C1315" s="429"/>
      <c r="D1315" s="430"/>
      <c r="E1315" s="431"/>
      <c r="F1315" s="431"/>
      <c r="G1315" s="429"/>
      <c r="H1315" s="432"/>
      <c r="I1315" s="432"/>
      <c r="J1315" s="432"/>
      <c r="K1315" s="328"/>
      <c r="L1315" s="396"/>
      <c r="M1315" s="396"/>
      <c r="N1315" s="396"/>
      <c r="O1315" s="396"/>
      <c r="P1315" s="396"/>
      <c r="Q1315" s="328"/>
      <c r="R1315" s="328"/>
      <c r="S1315" s="328"/>
      <c r="T1315" s="328"/>
      <c r="U1315" s="328"/>
      <c r="V1315" s="328"/>
    </row>
    <row r="1316" customFormat="false" ht="15" hidden="false" customHeight="true" outlineLevel="1" collapsed="false">
      <c r="A1316" s="429"/>
      <c r="B1316" s="429"/>
      <c r="C1316" s="429"/>
      <c r="D1316" s="430"/>
      <c r="E1316" s="431"/>
      <c r="F1316" s="431"/>
      <c r="G1316" s="429"/>
      <c r="H1316" s="432"/>
      <c r="I1316" s="432"/>
      <c r="J1316" s="432"/>
      <c r="K1316" s="328"/>
      <c r="L1316" s="396"/>
      <c r="M1316" s="396"/>
      <c r="N1316" s="396"/>
      <c r="O1316" s="396"/>
      <c r="P1316" s="396"/>
      <c r="Q1316" s="328"/>
      <c r="R1316" s="328"/>
      <c r="S1316" s="328"/>
      <c r="T1316" s="328"/>
      <c r="U1316" s="328"/>
      <c r="V1316" s="328"/>
    </row>
    <row r="1317" customFormat="false" ht="15" hidden="false" customHeight="true" outlineLevel="1" collapsed="false">
      <c r="A1317" s="429"/>
      <c r="B1317" s="429"/>
      <c r="C1317" s="429"/>
      <c r="D1317" s="430"/>
      <c r="E1317" s="431"/>
      <c r="F1317" s="431"/>
      <c r="G1317" s="429"/>
      <c r="H1317" s="432"/>
      <c r="I1317" s="432"/>
      <c r="J1317" s="432"/>
      <c r="K1317" s="328"/>
      <c r="L1317" s="396"/>
      <c r="M1317" s="396"/>
      <c r="N1317" s="396"/>
      <c r="O1317" s="396"/>
      <c r="P1317" s="396"/>
      <c r="Q1317" s="328"/>
      <c r="R1317" s="328"/>
      <c r="S1317" s="328"/>
      <c r="T1317" s="328"/>
      <c r="U1317" s="328"/>
      <c r="V1317" s="328"/>
    </row>
    <row r="1318" customFormat="false" ht="15" hidden="false" customHeight="true" outlineLevel="1" collapsed="false">
      <c r="A1318" s="429"/>
      <c r="B1318" s="429"/>
      <c r="C1318" s="429"/>
      <c r="D1318" s="430"/>
      <c r="E1318" s="431"/>
      <c r="F1318" s="431"/>
      <c r="G1318" s="429"/>
      <c r="H1318" s="432"/>
      <c r="I1318" s="432"/>
      <c r="J1318" s="432"/>
      <c r="K1318" s="328"/>
      <c r="L1318" s="396"/>
      <c r="M1318" s="396"/>
      <c r="N1318" s="396"/>
      <c r="O1318" s="396"/>
      <c r="P1318" s="396"/>
      <c r="Q1318" s="328"/>
      <c r="R1318" s="328"/>
      <c r="S1318" s="328"/>
      <c r="T1318" s="328"/>
      <c r="U1318" s="328"/>
      <c r="V1318" s="328"/>
    </row>
    <row r="1319" customFormat="false" ht="15" hidden="false" customHeight="true" outlineLevel="1" collapsed="false">
      <c r="A1319" s="429"/>
      <c r="B1319" s="429"/>
      <c r="C1319" s="429"/>
      <c r="D1319" s="430"/>
      <c r="E1319" s="431"/>
      <c r="F1319" s="431"/>
      <c r="G1319" s="429"/>
      <c r="H1319" s="432"/>
      <c r="I1319" s="432"/>
      <c r="J1319" s="432"/>
      <c r="K1319" s="328"/>
      <c r="L1319" s="396"/>
      <c r="M1319" s="396"/>
      <c r="N1319" s="396"/>
      <c r="O1319" s="396"/>
      <c r="P1319" s="396"/>
      <c r="Q1319" s="328"/>
      <c r="R1319" s="328"/>
      <c r="S1319" s="328"/>
      <c r="T1319" s="328"/>
      <c r="U1319" s="328"/>
      <c r="V1319" s="328"/>
    </row>
    <row r="1320" customFormat="false" ht="15" hidden="false" customHeight="true" outlineLevel="1" collapsed="false">
      <c r="A1320" s="429"/>
      <c r="B1320" s="429"/>
      <c r="C1320" s="429"/>
      <c r="D1320" s="430"/>
      <c r="E1320" s="431"/>
      <c r="F1320" s="431"/>
      <c r="G1320" s="429"/>
      <c r="H1320" s="432"/>
      <c r="I1320" s="432"/>
      <c r="J1320" s="432"/>
      <c r="K1320" s="328"/>
      <c r="L1320" s="396"/>
      <c r="M1320" s="396"/>
      <c r="N1320" s="396"/>
      <c r="O1320" s="396"/>
      <c r="P1320" s="396"/>
      <c r="Q1320" s="328"/>
      <c r="R1320" s="328"/>
      <c r="S1320" s="328"/>
      <c r="T1320" s="328"/>
      <c r="U1320" s="328"/>
      <c r="V1320" s="328"/>
    </row>
    <row r="1321" customFormat="false" ht="15" hidden="false" customHeight="true" outlineLevel="1" collapsed="false">
      <c r="A1321" s="429"/>
      <c r="B1321" s="429"/>
      <c r="C1321" s="429"/>
      <c r="D1321" s="430"/>
      <c r="E1321" s="431"/>
      <c r="F1321" s="431"/>
      <c r="G1321" s="429"/>
      <c r="H1321" s="432"/>
      <c r="I1321" s="432"/>
      <c r="J1321" s="432"/>
      <c r="K1321" s="328"/>
      <c r="L1321" s="396"/>
      <c r="M1321" s="396"/>
      <c r="N1321" s="396"/>
      <c r="O1321" s="396"/>
      <c r="P1321" s="396"/>
      <c r="Q1321" s="328"/>
      <c r="R1321" s="328"/>
      <c r="S1321" s="328"/>
      <c r="T1321" s="328"/>
      <c r="U1321" s="328"/>
      <c r="V1321" s="328"/>
    </row>
    <row r="1322" customFormat="false" ht="15" hidden="false" customHeight="true" outlineLevel="1" collapsed="false">
      <c r="A1322" s="429"/>
      <c r="B1322" s="429"/>
      <c r="C1322" s="429"/>
      <c r="D1322" s="430"/>
      <c r="E1322" s="431"/>
      <c r="F1322" s="431"/>
      <c r="G1322" s="429"/>
      <c r="H1322" s="432"/>
      <c r="I1322" s="432"/>
      <c r="J1322" s="432"/>
      <c r="K1322" s="328"/>
      <c r="L1322" s="396"/>
      <c r="M1322" s="396"/>
      <c r="N1322" s="396"/>
      <c r="O1322" s="396"/>
      <c r="P1322" s="396"/>
      <c r="Q1322" s="328"/>
      <c r="R1322" s="328"/>
      <c r="S1322" s="328"/>
      <c r="T1322" s="328"/>
      <c r="U1322" s="328"/>
      <c r="V1322" s="328"/>
    </row>
    <row r="1323" customFormat="false" ht="15" hidden="false" customHeight="true" outlineLevel="1" collapsed="false">
      <c r="A1323" s="429"/>
      <c r="B1323" s="429"/>
      <c r="C1323" s="429"/>
      <c r="D1323" s="430"/>
      <c r="E1323" s="431"/>
      <c r="F1323" s="431"/>
      <c r="G1323" s="429"/>
      <c r="H1323" s="432"/>
      <c r="I1323" s="432"/>
      <c r="J1323" s="432"/>
      <c r="K1323" s="328"/>
      <c r="L1323" s="396"/>
      <c r="M1323" s="396"/>
      <c r="N1323" s="396"/>
      <c r="O1323" s="396"/>
      <c r="P1323" s="396"/>
      <c r="Q1323" s="328"/>
      <c r="R1323" s="328"/>
      <c r="S1323" s="328"/>
      <c r="T1323" s="328"/>
      <c r="U1323" s="328"/>
      <c r="V1323" s="328"/>
    </row>
    <row r="1324" customFormat="false" ht="15" hidden="false" customHeight="true" outlineLevel="1" collapsed="false">
      <c r="A1324" s="429"/>
      <c r="B1324" s="429"/>
      <c r="C1324" s="429"/>
      <c r="D1324" s="430"/>
      <c r="E1324" s="431"/>
      <c r="F1324" s="431"/>
      <c r="G1324" s="429"/>
      <c r="H1324" s="432"/>
      <c r="I1324" s="432"/>
      <c r="J1324" s="432"/>
      <c r="K1324" s="328"/>
      <c r="L1324" s="396"/>
      <c r="M1324" s="396"/>
      <c r="N1324" s="396"/>
      <c r="O1324" s="396"/>
      <c r="P1324" s="396"/>
      <c r="Q1324" s="328"/>
      <c r="R1324" s="328"/>
      <c r="S1324" s="328"/>
      <c r="T1324" s="328"/>
      <c r="U1324" s="328"/>
      <c r="V1324" s="328"/>
    </row>
    <row r="1325" customFormat="false" ht="15" hidden="false" customHeight="true" outlineLevel="1" collapsed="false">
      <c r="A1325" s="429"/>
      <c r="B1325" s="429"/>
      <c r="C1325" s="429"/>
      <c r="D1325" s="430"/>
      <c r="E1325" s="431"/>
      <c r="F1325" s="431"/>
      <c r="G1325" s="429"/>
      <c r="H1325" s="432"/>
      <c r="I1325" s="432"/>
      <c r="J1325" s="432"/>
      <c r="K1325" s="328"/>
      <c r="L1325" s="396"/>
      <c r="M1325" s="396"/>
      <c r="N1325" s="396"/>
      <c r="O1325" s="396"/>
      <c r="P1325" s="396"/>
      <c r="Q1325" s="328"/>
      <c r="R1325" s="328"/>
      <c r="S1325" s="328"/>
      <c r="T1325" s="328"/>
      <c r="U1325" s="328"/>
      <c r="V1325" s="328"/>
    </row>
    <row r="1326" customFormat="false" ht="15" hidden="false" customHeight="true" outlineLevel="1" collapsed="false">
      <c r="A1326" s="429"/>
      <c r="B1326" s="429"/>
      <c r="C1326" s="429"/>
      <c r="D1326" s="430"/>
      <c r="E1326" s="431"/>
      <c r="F1326" s="431"/>
      <c r="G1326" s="429"/>
      <c r="H1326" s="432"/>
      <c r="I1326" s="432"/>
      <c r="J1326" s="432"/>
      <c r="K1326" s="328"/>
      <c r="L1326" s="396"/>
      <c r="M1326" s="396"/>
      <c r="N1326" s="396"/>
      <c r="O1326" s="396"/>
      <c r="P1326" s="396"/>
      <c r="Q1326" s="328"/>
      <c r="R1326" s="328"/>
      <c r="S1326" s="328"/>
      <c r="T1326" s="328"/>
      <c r="U1326" s="328"/>
      <c r="V1326" s="328"/>
    </row>
    <row r="1327" customFormat="false" ht="15" hidden="false" customHeight="true" outlineLevel="1" collapsed="false">
      <c r="A1327" s="429"/>
      <c r="B1327" s="429"/>
      <c r="C1327" s="429"/>
      <c r="D1327" s="430"/>
      <c r="E1327" s="431"/>
      <c r="F1327" s="431"/>
      <c r="G1327" s="429"/>
      <c r="H1327" s="432"/>
      <c r="I1327" s="432"/>
      <c r="J1327" s="432"/>
      <c r="K1327" s="328"/>
      <c r="L1327" s="396"/>
      <c r="M1327" s="396"/>
      <c r="N1327" s="396"/>
      <c r="O1327" s="396"/>
      <c r="P1327" s="396"/>
      <c r="Q1327" s="328"/>
      <c r="R1327" s="328"/>
      <c r="S1327" s="328"/>
      <c r="T1327" s="328"/>
      <c r="U1327" s="328"/>
      <c r="V1327" s="328"/>
    </row>
    <row r="1328" customFormat="false" ht="15" hidden="false" customHeight="true" outlineLevel="1" collapsed="false">
      <c r="A1328" s="429"/>
      <c r="B1328" s="429"/>
      <c r="C1328" s="429"/>
      <c r="D1328" s="430"/>
      <c r="E1328" s="431"/>
      <c r="F1328" s="431"/>
      <c r="G1328" s="429"/>
      <c r="H1328" s="432"/>
      <c r="I1328" s="432"/>
      <c r="J1328" s="432"/>
      <c r="K1328" s="328"/>
      <c r="L1328" s="396"/>
      <c r="M1328" s="396"/>
      <c r="N1328" s="396"/>
      <c r="O1328" s="396"/>
      <c r="P1328" s="396"/>
      <c r="Q1328" s="328"/>
      <c r="R1328" s="328"/>
      <c r="S1328" s="328"/>
      <c r="T1328" s="328"/>
      <c r="U1328" s="328"/>
      <c r="V1328" s="328"/>
    </row>
    <row r="1329" customFormat="false" ht="15" hidden="false" customHeight="true" outlineLevel="1" collapsed="false">
      <c r="A1329" s="429"/>
      <c r="B1329" s="429"/>
      <c r="C1329" s="429"/>
      <c r="D1329" s="430"/>
      <c r="E1329" s="431"/>
      <c r="F1329" s="431"/>
      <c r="G1329" s="429"/>
      <c r="H1329" s="432"/>
      <c r="I1329" s="432"/>
      <c r="J1329" s="432"/>
      <c r="K1329" s="328"/>
      <c r="L1329" s="396"/>
      <c r="M1329" s="396"/>
      <c r="N1329" s="396"/>
      <c r="O1329" s="396"/>
      <c r="P1329" s="396"/>
      <c r="Q1329" s="328"/>
      <c r="R1329" s="328"/>
      <c r="S1329" s="328"/>
      <c r="T1329" s="328"/>
      <c r="U1329" s="328"/>
      <c r="V1329" s="328"/>
    </row>
    <row r="1330" customFormat="false" ht="15" hidden="false" customHeight="true" outlineLevel="1" collapsed="false">
      <c r="A1330" s="429"/>
      <c r="B1330" s="429"/>
      <c r="C1330" s="429"/>
      <c r="D1330" s="430"/>
      <c r="E1330" s="431"/>
      <c r="F1330" s="431"/>
      <c r="G1330" s="429"/>
      <c r="H1330" s="432"/>
      <c r="I1330" s="432"/>
      <c r="J1330" s="432"/>
      <c r="K1330" s="328"/>
      <c r="L1330" s="396"/>
      <c r="M1330" s="396"/>
      <c r="N1330" s="396"/>
      <c r="O1330" s="396"/>
      <c r="P1330" s="396"/>
      <c r="Q1330" s="328"/>
      <c r="R1330" s="328"/>
      <c r="S1330" s="328"/>
      <c r="T1330" s="328"/>
      <c r="U1330" s="328"/>
      <c r="V1330" s="328"/>
    </row>
    <row r="1331" customFormat="false" ht="15" hidden="false" customHeight="true" outlineLevel="1" collapsed="false">
      <c r="A1331" s="429"/>
      <c r="B1331" s="429"/>
      <c r="C1331" s="429"/>
      <c r="D1331" s="430"/>
      <c r="E1331" s="431"/>
      <c r="F1331" s="431"/>
      <c r="G1331" s="429"/>
      <c r="H1331" s="432"/>
      <c r="I1331" s="432"/>
      <c r="J1331" s="432"/>
      <c r="K1331" s="328"/>
      <c r="L1331" s="396"/>
      <c r="M1331" s="396"/>
      <c r="N1331" s="396"/>
      <c r="O1331" s="396"/>
      <c r="P1331" s="396"/>
      <c r="Q1331" s="328"/>
      <c r="R1331" s="328"/>
      <c r="S1331" s="328"/>
      <c r="T1331" s="328"/>
      <c r="U1331" s="328"/>
      <c r="V1331" s="328"/>
    </row>
    <row r="1332" customFormat="false" ht="15" hidden="false" customHeight="true" outlineLevel="1" collapsed="false">
      <c r="A1332" s="429"/>
      <c r="B1332" s="429"/>
      <c r="C1332" s="429"/>
      <c r="D1332" s="430"/>
      <c r="E1332" s="431"/>
      <c r="F1332" s="431"/>
      <c r="G1332" s="429"/>
      <c r="H1332" s="432"/>
      <c r="I1332" s="432"/>
      <c r="J1332" s="432"/>
      <c r="K1332" s="328"/>
      <c r="L1332" s="396"/>
      <c r="M1332" s="396"/>
      <c r="N1332" s="396"/>
      <c r="O1332" s="396"/>
      <c r="P1332" s="396"/>
      <c r="Q1332" s="328"/>
      <c r="R1332" s="328"/>
      <c r="S1332" s="328"/>
      <c r="T1332" s="328"/>
      <c r="U1332" s="328"/>
      <c r="V1332" s="328"/>
    </row>
    <row r="1333" customFormat="false" ht="15" hidden="false" customHeight="true" outlineLevel="1" collapsed="false">
      <c r="A1333" s="429"/>
      <c r="B1333" s="429"/>
      <c r="C1333" s="429"/>
      <c r="D1333" s="430"/>
      <c r="E1333" s="431"/>
      <c r="F1333" s="431"/>
      <c r="G1333" s="429"/>
      <c r="H1333" s="432"/>
      <c r="I1333" s="432"/>
      <c r="J1333" s="432"/>
      <c r="K1333" s="328"/>
      <c r="L1333" s="396"/>
      <c r="M1333" s="396"/>
      <c r="N1333" s="396"/>
      <c r="O1333" s="396"/>
      <c r="P1333" s="396"/>
      <c r="Q1333" s="328"/>
      <c r="R1333" s="328"/>
      <c r="S1333" s="328"/>
      <c r="T1333" s="328"/>
      <c r="U1333" s="328"/>
      <c r="V1333" s="328"/>
    </row>
    <row r="1334" customFormat="false" ht="15" hidden="false" customHeight="true" outlineLevel="1" collapsed="false">
      <c r="A1334" s="429"/>
      <c r="B1334" s="429"/>
      <c r="C1334" s="429"/>
      <c r="D1334" s="430"/>
      <c r="E1334" s="431"/>
      <c r="F1334" s="431"/>
      <c r="G1334" s="429"/>
      <c r="H1334" s="432"/>
      <c r="I1334" s="432"/>
      <c r="J1334" s="432"/>
      <c r="K1334" s="328"/>
      <c r="L1334" s="396"/>
      <c r="M1334" s="396"/>
      <c r="N1334" s="396"/>
      <c r="O1334" s="396"/>
      <c r="P1334" s="396"/>
      <c r="Q1334" s="328"/>
      <c r="R1334" s="328"/>
      <c r="S1334" s="328"/>
      <c r="T1334" s="328"/>
      <c r="U1334" s="328"/>
      <c r="V1334" s="328"/>
    </row>
    <row r="1335" customFormat="false" ht="15" hidden="false" customHeight="true" outlineLevel="1" collapsed="false">
      <c r="A1335" s="429"/>
      <c r="B1335" s="429"/>
      <c r="C1335" s="429"/>
      <c r="D1335" s="430"/>
      <c r="E1335" s="431"/>
      <c r="F1335" s="431"/>
      <c r="G1335" s="429"/>
      <c r="H1335" s="432"/>
      <c r="I1335" s="432"/>
      <c r="J1335" s="432"/>
      <c r="K1335" s="328"/>
      <c r="L1335" s="396"/>
      <c r="M1335" s="396"/>
      <c r="N1335" s="396"/>
      <c r="O1335" s="396"/>
      <c r="P1335" s="396"/>
      <c r="Q1335" s="328"/>
      <c r="R1335" s="328"/>
      <c r="S1335" s="328"/>
      <c r="T1335" s="328"/>
      <c r="U1335" s="328"/>
      <c r="V1335" s="328"/>
    </row>
    <row r="1336" customFormat="false" ht="15" hidden="false" customHeight="true" outlineLevel="1" collapsed="false">
      <c r="A1336" s="429"/>
      <c r="B1336" s="429"/>
      <c r="C1336" s="429"/>
      <c r="D1336" s="430"/>
      <c r="E1336" s="431"/>
      <c r="F1336" s="431"/>
      <c r="G1336" s="429"/>
      <c r="H1336" s="432"/>
      <c r="I1336" s="432"/>
      <c r="J1336" s="432"/>
      <c r="K1336" s="328"/>
      <c r="L1336" s="396"/>
      <c r="M1336" s="396"/>
      <c r="N1336" s="396"/>
      <c r="O1336" s="396"/>
      <c r="P1336" s="396"/>
      <c r="Q1336" s="328"/>
      <c r="R1336" s="328"/>
      <c r="S1336" s="328"/>
      <c r="T1336" s="328"/>
      <c r="U1336" s="328"/>
      <c r="V1336" s="328"/>
    </row>
    <row r="1337" customFormat="false" ht="15" hidden="false" customHeight="true" outlineLevel="1" collapsed="false">
      <c r="A1337" s="429"/>
      <c r="B1337" s="429"/>
      <c r="C1337" s="429"/>
      <c r="D1337" s="430"/>
      <c r="E1337" s="431"/>
      <c r="F1337" s="431"/>
      <c r="G1337" s="429"/>
      <c r="H1337" s="432"/>
      <c r="I1337" s="432"/>
      <c r="J1337" s="432"/>
      <c r="K1337" s="328"/>
      <c r="L1337" s="396"/>
      <c r="M1337" s="396"/>
      <c r="N1337" s="396"/>
      <c r="O1337" s="396"/>
      <c r="P1337" s="396"/>
      <c r="Q1337" s="328"/>
      <c r="R1337" s="328"/>
      <c r="S1337" s="328"/>
      <c r="T1337" s="328"/>
      <c r="U1337" s="328"/>
      <c r="V1337" s="328"/>
    </row>
    <row r="1338" customFormat="false" ht="15" hidden="false" customHeight="true" outlineLevel="1" collapsed="false">
      <c r="A1338" s="429"/>
      <c r="B1338" s="429"/>
      <c r="C1338" s="429"/>
      <c r="D1338" s="430"/>
      <c r="E1338" s="431"/>
      <c r="F1338" s="431"/>
      <c r="G1338" s="429"/>
      <c r="H1338" s="432"/>
      <c r="I1338" s="432"/>
      <c r="J1338" s="432"/>
      <c r="K1338" s="328"/>
      <c r="L1338" s="396"/>
      <c r="M1338" s="396"/>
      <c r="N1338" s="396"/>
      <c r="O1338" s="396"/>
      <c r="P1338" s="396"/>
      <c r="Q1338" s="328"/>
      <c r="R1338" s="328"/>
      <c r="S1338" s="328"/>
      <c r="T1338" s="328"/>
      <c r="U1338" s="328"/>
      <c r="V1338" s="328"/>
    </row>
    <row r="1339" customFormat="false" ht="15" hidden="false" customHeight="true" outlineLevel="1" collapsed="false">
      <c r="A1339" s="429"/>
      <c r="B1339" s="429"/>
      <c r="C1339" s="429"/>
      <c r="D1339" s="430"/>
      <c r="E1339" s="431"/>
      <c r="F1339" s="431"/>
      <c r="G1339" s="429"/>
      <c r="H1339" s="432"/>
      <c r="I1339" s="432"/>
      <c r="J1339" s="432"/>
      <c r="K1339" s="328"/>
      <c r="L1339" s="396"/>
      <c r="M1339" s="396"/>
      <c r="N1339" s="396"/>
      <c r="O1339" s="396"/>
      <c r="P1339" s="396"/>
      <c r="Q1339" s="328"/>
      <c r="R1339" s="328"/>
      <c r="S1339" s="328"/>
      <c r="T1339" s="328"/>
      <c r="U1339" s="328"/>
      <c r="V1339" s="328"/>
    </row>
    <row r="1340" customFormat="false" ht="15" hidden="false" customHeight="true" outlineLevel="1" collapsed="false">
      <c r="A1340" s="429"/>
      <c r="B1340" s="429"/>
      <c r="C1340" s="429"/>
      <c r="D1340" s="430"/>
      <c r="E1340" s="431"/>
      <c r="F1340" s="431"/>
      <c r="G1340" s="429"/>
      <c r="H1340" s="432"/>
      <c r="I1340" s="432"/>
      <c r="J1340" s="432"/>
      <c r="K1340" s="328"/>
      <c r="L1340" s="396"/>
      <c r="M1340" s="396"/>
      <c r="N1340" s="396"/>
      <c r="O1340" s="396"/>
      <c r="P1340" s="396"/>
      <c r="Q1340" s="328"/>
      <c r="R1340" s="328"/>
      <c r="S1340" s="328"/>
      <c r="T1340" s="328"/>
      <c r="U1340" s="328"/>
      <c r="V1340" s="328"/>
    </row>
    <row r="1341" customFormat="false" ht="15" hidden="false" customHeight="true" outlineLevel="1" collapsed="false">
      <c r="A1341" s="429"/>
      <c r="B1341" s="429"/>
      <c r="C1341" s="429"/>
      <c r="D1341" s="430"/>
      <c r="E1341" s="431"/>
      <c r="F1341" s="431"/>
      <c r="G1341" s="429"/>
      <c r="H1341" s="432"/>
      <c r="I1341" s="432"/>
      <c r="J1341" s="432"/>
      <c r="K1341" s="328"/>
      <c r="L1341" s="396"/>
      <c r="M1341" s="396"/>
      <c r="N1341" s="396"/>
      <c r="O1341" s="396"/>
      <c r="P1341" s="396"/>
      <c r="Q1341" s="328"/>
      <c r="R1341" s="328"/>
      <c r="S1341" s="328"/>
      <c r="T1341" s="328"/>
      <c r="U1341" s="328"/>
      <c r="V1341" s="328"/>
    </row>
    <row r="1342" customFormat="false" ht="15" hidden="false" customHeight="true" outlineLevel="1" collapsed="false">
      <c r="A1342" s="429"/>
      <c r="B1342" s="429"/>
      <c r="C1342" s="429"/>
      <c r="D1342" s="430"/>
      <c r="E1342" s="431"/>
      <c r="F1342" s="431"/>
      <c r="G1342" s="429"/>
      <c r="H1342" s="432"/>
      <c r="I1342" s="432"/>
      <c r="J1342" s="432"/>
      <c r="K1342" s="328"/>
      <c r="L1342" s="396"/>
      <c r="M1342" s="396"/>
      <c r="N1342" s="396"/>
      <c r="O1342" s="396"/>
      <c r="P1342" s="396"/>
      <c r="Q1342" s="328"/>
      <c r="R1342" s="328"/>
      <c r="S1342" s="328"/>
      <c r="T1342" s="328"/>
      <c r="U1342" s="328"/>
      <c r="V1342" s="328"/>
    </row>
    <row r="1343" customFormat="false" ht="15" hidden="false" customHeight="true" outlineLevel="1" collapsed="false">
      <c r="A1343" s="429"/>
      <c r="B1343" s="429"/>
      <c r="C1343" s="429"/>
      <c r="D1343" s="430"/>
      <c r="E1343" s="431"/>
      <c r="F1343" s="431"/>
      <c r="G1343" s="429"/>
      <c r="H1343" s="432"/>
      <c r="I1343" s="432"/>
      <c r="J1343" s="432"/>
      <c r="K1343" s="328"/>
      <c r="L1343" s="396"/>
      <c r="M1343" s="396"/>
      <c r="N1343" s="396"/>
      <c r="O1343" s="396"/>
      <c r="P1343" s="396"/>
      <c r="Q1343" s="328"/>
      <c r="R1343" s="328"/>
      <c r="S1343" s="328"/>
      <c r="T1343" s="328"/>
      <c r="U1343" s="328"/>
      <c r="V1343" s="328"/>
    </row>
    <row r="1344" customFormat="false" ht="15" hidden="false" customHeight="true" outlineLevel="1" collapsed="false">
      <c r="A1344" s="429"/>
      <c r="B1344" s="429"/>
      <c r="C1344" s="429"/>
      <c r="D1344" s="430"/>
      <c r="E1344" s="431"/>
      <c r="F1344" s="431"/>
      <c r="G1344" s="429"/>
      <c r="H1344" s="432"/>
      <c r="I1344" s="432"/>
      <c r="J1344" s="432"/>
      <c r="K1344" s="328"/>
      <c r="L1344" s="396"/>
      <c r="M1344" s="396"/>
      <c r="N1344" s="396"/>
      <c r="O1344" s="396"/>
      <c r="P1344" s="396"/>
      <c r="Q1344" s="328"/>
      <c r="R1344" s="328"/>
      <c r="S1344" s="328"/>
      <c r="T1344" s="328"/>
      <c r="U1344" s="328"/>
      <c r="V1344" s="328"/>
    </row>
    <row r="1345" customFormat="false" ht="15" hidden="false" customHeight="true" outlineLevel="1" collapsed="false">
      <c r="A1345" s="429"/>
      <c r="B1345" s="429"/>
      <c r="C1345" s="429"/>
      <c r="D1345" s="430"/>
      <c r="E1345" s="431"/>
      <c r="F1345" s="431"/>
      <c r="G1345" s="429"/>
      <c r="H1345" s="432"/>
      <c r="I1345" s="432"/>
      <c r="J1345" s="432"/>
      <c r="K1345" s="328"/>
      <c r="L1345" s="396"/>
      <c r="M1345" s="396"/>
      <c r="N1345" s="396"/>
      <c r="O1345" s="396"/>
      <c r="P1345" s="396"/>
      <c r="Q1345" s="328"/>
      <c r="R1345" s="328"/>
      <c r="S1345" s="328"/>
      <c r="T1345" s="328"/>
      <c r="U1345" s="328"/>
      <c r="V1345" s="328"/>
    </row>
    <row r="1346" customFormat="false" ht="15" hidden="false" customHeight="true" outlineLevel="1" collapsed="false">
      <c r="A1346" s="429"/>
      <c r="B1346" s="429"/>
      <c r="C1346" s="429"/>
      <c r="D1346" s="430"/>
      <c r="E1346" s="431"/>
      <c r="F1346" s="431"/>
      <c r="G1346" s="429"/>
      <c r="H1346" s="432"/>
      <c r="I1346" s="432"/>
      <c r="J1346" s="432"/>
      <c r="K1346" s="328"/>
      <c r="L1346" s="396"/>
      <c r="M1346" s="396"/>
      <c r="N1346" s="396"/>
      <c r="O1346" s="396"/>
      <c r="P1346" s="396"/>
      <c r="Q1346" s="328"/>
      <c r="R1346" s="328"/>
      <c r="S1346" s="328"/>
      <c r="T1346" s="328"/>
      <c r="U1346" s="328"/>
      <c r="V1346" s="328"/>
    </row>
    <row r="1347" customFormat="false" ht="15" hidden="false" customHeight="true" outlineLevel="1" collapsed="false">
      <c r="A1347" s="429"/>
      <c r="B1347" s="429"/>
      <c r="C1347" s="429"/>
      <c r="D1347" s="430"/>
      <c r="E1347" s="431"/>
      <c r="F1347" s="431"/>
      <c r="G1347" s="429"/>
      <c r="H1347" s="432"/>
      <c r="I1347" s="432"/>
      <c r="J1347" s="432"/>
      <c r="K1347" s="328"/>
      <c r="L1347" s="396"/>
      <c r="M1347" s="396"/>
      <c r="N1347" s="396"/>
      <c r="O1347" s="396"/>
      <c r="P1347" s="396"/>
      <c r="Q1347" s="328"/>
      <c r="R1347" s="328"/>
      <c r="S1347" s="328"/>
      <c r="T1347" s="328"/>
      <c r="U1347" s="328"/>
      <c r="V1347" s="328"/>
    </row>
    <row r="1348" customFormat="false" ht="15" hidden="false" customHeight="true" outlineLevel="1" collapsed="false">
      <c r="A1348" s="429"/>
      <c r="B1348" s="429"/>
      <c r="C1348" s="429"/>
      <c r="D1348" s="430"/>
      <c r="E1348" s="431"/>
      <c r="F1348" s="431"/>
      <c r="G1348" s="429"/>
      <c r="H1348" s="432"/>
      <c r="I1348" s="432"/>
      <c r="J1348" s="432"/>
      <c r="K1348" s="328"/>
      <c r="L1348" s="396"/>
      <c r="M1348" s="396"/>
      <c r="N1348" s="396"/>
      <c r="O1348" s="396"/>
      <c r="P1348" s="396"/>
      <c r="Q1348" s="328"/>
      <c r="R1348" s="328"/>
      <c r="S1348" s="328"/>
      <c r="T1348" s="328"/>
      <c r="U1348" s="328"/>
      <c r="V1348" s="328"/>
    </row>
    <row r="1349" customFormat="false" ht="15" hidden="false" customHeight="true" outlineLevel="1" collapsed="false">
      <c r="A1349" s="429"/>
      <c r="B1349" s="429"/>
      <c r="C1349" s="429"/>
      <c r="D1349" s="430"/>
      <c r="E1349" s="431"/>
      <c r="F1349" s="431"/>
      <c r="G1349" s="429"/>
      <c r="H1349" s="432"/>
      <c r="I1349" s="432"/>
      <c r="J1349" s="432"/>
      <c r="K1349" s="328"/>
      <c r="L1349" s="396"/>
      <c r="M1349" s="396"/>
      <c r="N1349" s="396"/>
      <c r="O1349" s="396"/>
      <c r="P1349" s="396"/>
      <c r="Q1349" s="328"/>
      <c r="R1349" s="328"/>
      <c r="S1349" s="328"/>
      <c r="T1349" s="328"/>
      <c r="U1349" s="328"/>
      <c r="V1349" s="328"/>
    </row>
    <row r="1350" customFormat="false" ht="15" hidden="false" customHeight="true" outlineLevel="1" collapsed="false">
      <c r="A1350" s="429"/>
      <c r="B1350" s="429"/>
      <c r="C1350" s="429"/>
      <c r="D1350" s="430"/>
      <c r="E1350" s="431"/>
      <c r="F1350" s="431"/>
      <c r="G1350" s="429"/>
      <c r="H1350" s="432"/>
      <c r="I1350" s="432"/>
      <c r="J1350" s="432"/>
      <c r="K1350" s="328"/>
      <c r="L1350" s="396"/>
      <c r="M1350" s="396"/>
      <c r="N1350" s="396"/>
      <c r="O1350" s="396"/>
      <c r="P1350" s="396"/>
      <c r="Q1350" s="328"/>
      <c r="R1350" s="328"/>
      <c r="S1350" s="328"/>
      <c r="T1350" s="328"/>
      <c r="U1350" s="328"/>
      <c r="V1350" s="328"/>
    </row>
    <row r="1351" customFormat="false" ht="15" hidden="false" customHeight="true" outlineLevel="1" collapsed="false">
      <c r="A1351" s="429"/>
      <c r="B1351" s="429"/>
      <c r="C1351" s="429"/>
      <c r="D1351" s="430"/>
      <c r="E1351" s="431"/>
      <c r="F1351" s="431"/>
      <c r="G1351" s="429"/>
      <c r="H1351" s="432"/>
      <c r="I1351" s="432"/>
      <c r="J1351" s="432"/>
      <c r="K1351" s="328"/>
      <c r="L1351" s="396"/>
      <c r="M1351" s="396"/>
      <c r="N1351" s="396"/>
      <c r="O1351" s="396"/>
      <c r="P1351" s="396"/>
      <c r="Q1351" s="328"/>
      <c r="R1351" s="328"/>
      <c r="S1351" s="328"/>
      <c r="T1351" s="328"/>
      <c r="U1351" s="328"/>
      <c r="V1351" s="328"/>
    </row>
    <row r="1352" customFormat="false" ht="15" hidden="false" customHeight="true" outlineLevel="1" collapsed="false">
      <c r="A1352" s="429"/>
      <c r="B1352" s="429"/>
      <c r="C1352" s="429"/>
      <c r="D1352" s="430"/>
      <c r="E1352" s="431"/>
      <c r="F1352" s="431"/>
      <c r="G1352" s="429"/>
      <c r="H1352" s="432"/>
      <c r="I1352" s="432"/>
      <c r="J1352" s="432"/>
      <c r="K1352" s="328"/>
      <c r="L1352" s="396"/>
      <c r="M1352" s="396"/>
      <c r="N1352" s="396"/>
      <c r="O1352" s="396"/>
      <c r="P1352" s="396"/>
      <c r="Q1352" s="328"/>
      <c r="R1352" s="328"/>
      <c r="S1352" s="328"/>
      <c r="T1352" s="328"/>
      <c r="U1352" s="328"/>
      <c r="V1352" s="328"/>
    </row>
    <row r="1353" customFormat="false" ht="15" hidden="false" customHeight="true" outlineLevel="1" collapsed="false">
      <c r="A1353" s="429"/>
      <c r="B1353" s="429"/>
      <c r="C1353" s="429"/>
      <c r="D1353" s="430"/>
      <c r="E1353" s="431"/>
      <c r="F1353" s="431"/>
      <c r="G1353" s="429"/>
      <c r="H1353" s="432"/>
      <c r="I1353" s="432"/>
      <c r="J1353" s="432"/>
      <c r="K1353" s="328"/>
      <c r="L1353" s="396"/>
      <c r="M1353" s="396"/>
      <c r="N1353" s="396"/>
      <c r="O1353" s="396"/>
      <c r="P1353" s="396"/>
      <c r="Q1353" s="328"/>
      <c r="R1353" s="328"/>
      <c r="S1353" s="328"/>
      <c r="T1353" s="328"/>
      <c r="U1353" s="328"/>
      <c r="V1353" s="328"/>
    </row>
    <row r="1354" customFormat="false" ht="15" hidden="false" customHeight="true" outlineLevel="1" collapsed="false">
      <c r="A1354" s="429"/>
      <c r="B1354" s="429"/>
      <c r="C1354" s="429"/>
      <c r="D1354" s="430"/>
      <c r="E1354" s="431"/>
      <c r="F1354" s="431"/>
      <c r="G1354" s="429"/>
      <c r="H1354" s="432"/>
      <c r="I1354" s="432"/>
      <c r="J1354" s="432"/>
      <c r="K1354" s="328"/>
      <c r="L1354" s="396"/>
      <c r="M1354" s="396"/>
      <c r="N1354" s="396"/>
      <c r="O1354" s="396"/>
      <c r="P1354" s="396"/>
      <c r="Q1354" s="328"/>
      <c r="R1354" s="328"/>
      <c r="S1354" s="328"/>
      <c r="T1354" s="328"/>
      <c r="U1354" s="328"/>
      <c r="V1354" s="328"/>
    </row>
    <row r="1355" customFormat="false" ht="15" hidden="false" customHeight="true" outlineLevel="1" collapsed="false">
      <c r="A1355" s="429"/>
      <c r="B1355" s="429"/>
      <c r="C1355" s="429"/>
      <c r="D1355" s="430"/>
      <c r="E1355" s="431"/>
      <c r="F1355" s="431"/>
      <c r="G1355" s="429"/>
      <c r="H1355" s="432"/>
      <c r="I1355" s="432"/>
      <c r="J1355" s="432"/>
      <c r="K1355" s="328"/>
      <c r="L1355" s="396"/>
      <c r="M1355" s="396"/>
      <c r="N1355" s="396"/>
      <c r="O1355" s="396"/>
      <c r="P1355" s="396"/>
      <c r="Q1355" s="328"/>
      <c r="R1355" s="328"/>
      <c r="S1355" s="328"/>
      <c r="T1355" s="328"/>
      <c r="U1355" s="328"/>
      <c r="V1355" s="328"/>
    </row>
    <row r="1356" customFormat="false" ht="15" hidden="false" customHeight="true" outlineLevel="1" collapsed="false">
      <c r="A1356" s="429"/>
      <c r="B1356" s="429"/>
      <c r="C1356" s="429"/>
      <c r="D1356" s="430"/>
      <c r="E1356" s="431"/>
      <c r="F1356" s="431"/>
      <c r="G1356" s="429"/>
      <c r="H1356" s="432"/>
      <c r="I1356" s="432"/>
      <c r="J1356" s="432"/>
      <c r="K1356" s="328"/>
      <c r="L1356" s="396"/>
      <c r="M1356" s="396"/>
      <c r="N1356" s="396"/>
      <c r="O1356" s="396"/>
      <c r="P1356" s="396"/>
      <c r="Q1356" s="328"/>
      <c r="R1356" s="328"/>
      <c r="S1356" s="328"/>
      <c r="T1356" s="328"/>
      <c r="U1356" s="328"/>
      <c r="V1356" s="328"/>
    </row>
    <row r="1357" customFormat="false" ht="15" hidden="false" customHeight="true" outlineLevel="1" collapsed="false">
      <c r="A1357" s="429"/>
      <c r="B1357" s="429"/>
      <c r="C1357" s="429"/>
      <c r="D1357" s="430"/>
      <c r="E1357" s="431"/>
      <c r="F1357" s="431"/>
      <c r="G1357" s="429"/>
      <c r="H1357" s="432"/>
      <c r="I1357" s="432"/>
      <c r="J1357" s="432"/>
      <c r="K1357" s="328"/>
      <c r="L1357" s="396"/>
      <c r="M1357" s="396"/>
      <c r="N1357" s="396"/>
      <c r="O1357" s="396"/>
      <c r="P1357" s="396"/>
      <c r="Q1357" s="328"/>
      <c r="R1357" s="328"/>
      <c r="S1357" s="328"/>
      <c r="T1357" s="328"/>
      <c r="U1357" s="328"/>
      <c r="V1357" s="328"/>
    </row>
    <row r="1358" customFormat="false" ht="15" hidden="false" customHeight="true" outlineLevel="1" collapsed="false">
      <c r="A1358" s="429"/>
      <c r="B1358" s="429"/>
      <c r="C1358" s="429"/>
      <c r="D1358" s="430"/>
      <c r="E1358" s="431"/>
      <c r="F1358" s="431"/>
      <c r="G1358" s="429"/>
      <c r="H1358" s="432"/>
      <c r="I1358" s="432"/>
      <c r="J1358" s="432"/>
      <c r="K1358" s="328"/>
      <c r="L1358" s="396"/>
      <c r="M1358" s="396"/>
      <c r="N1358" s="396"/>
      <c r="O1358" s="396"/>
      <c r="P1358" s="396"/>
      <c r="Q1358" s="328"/>
      <c r="R1358" s="328"/>
      <c r="S1358" s="328"/>
      <c r="T1358" s="328"/>
      <c r="U1358" s="328"/>
      <c r="V1358" s="328"/>
    </row>
    <row r="1359" customFormat="false" ht="15" hidden="false" customHeight="true" outlineLevel="1" collapsed="false">
      <c r="A1359" s="429"/>
      <c r="B1359" s="429"/>
      <c r="C1359" s="429"/>
      <c r="D1359" s="430"/>
      <c r="E1359" s="431"/>
      <c r="F1359" s="431"/>
      <c r="G1359" s="429"/>
      <c r="H1359" s="432"/>
      <c r="I1359" s="432"/>
      <c r="J1359" s="432"/>
      <c r="K1359" s="328"/>
      <c r="L1359" s="396"/>
      <c r="M1359" s="396"/>
      <c r="N1359" s="396"/>
      <c r="O1359" s="396"/>
      <c r="P1359" s="396"/>
      <c r="Q1359" s="328"/>
      <c r="R1359" s="328"/>
      <c r="S1359" s="328"/>
      <c r="T1359" s="328"/>
      <c r="U1359" s="328"/>
      <c r="V1359" s="328"/>
    </row>
    <row r="1360" customFormat="false" ht="15" hidden="false" customHeight="true" outlineLevel="1" collapsed="false">
      <c r="A1360" s="429"/>
      <c r="B1360" s="429"/>
      <c r="C1360" s="429"/>
      <c r="D1360" s="430"/>
      <c r="E1360" s="431"/>
      <c r="F1360" s="431"/>
      <c r="G1360" s="429"/>
      <c r="H1360" s="432"/>
      <c r="I1360" s="432"/>
      <c r="J1360" s="432"/>
      <c r="K1360" s="328"/>
      <c r="L1360" s="396"/>
      <c r="M1360" s="396"/>
      <c r="N1360" s="396"/>
      <c r="O1360" s="396"/>
      <c r="P1360" s="396"/>
      <c r="Q1360" s="328"/>
      <c r="R1360" s="328"/>
      <c r="S1360" s="328"/>
      <c r="T1360" s="328"/>
      <c r="U1360" s="328"/>
      <c r="V1360" s="328"/>
    </row>
    <row r="1361" customFormat="false" ht="15" hidden="false" customHeight="true" outlineLevel="1" collapsed="false">
      <c r="A1361" s="429"/>
      <c r="B1361" s="429"/>
      <c r="C1361" s="429"/>
      <c r="D1361" s="430"/>
      <c r="E1361" s="431"/>
      <c r="F1361" s="431"/>
      <c r="G1361" s="429"/>
      <c r="H1361" s="432"/>
      <c r="I1361" s="432"/>
      <c r="J1361" s="432"/>
      <c r="K1361" s="328"/>
      <c r="L1361" s="396"/>
      <c r="M1361" s="396"/>
      <c r="N1361" s="396"/>
      <c r="O1361" s="396"/>
      <c r="P1361" s="396"/>
      <c r="Q1361" s="328"/>
      <c r="R1361" s="328"/>
      <c r="S1361" s="328"/>
      <c r="T1361" s="328"/>
      <c r="U1361" s="328"/>
      <c r="V1361" s="328"/>
    </row>
    <row r="1362" customFormat="false" ht="15" hidden="false" customHeight="true" outlineLevel="1" collapsed="false">
      <c r="A1362" s="429"/>
      <c r="B1362" s="429"/>
      <c r="C1362" s="429"/>
      <c r="D1362" s="430"/>
      <c r="E1362" s="431"/>
      <c r="F1362" s="431"/>
      <c r="G1362" s="429"/>
      <c r="H1362" s="432"/>
      <c r="I1362" s="432"/>
      <c r="J1362" s="432"/>
      <c r="K1362" s="328"/>
      <c r="L1362" s="396"/>
      <c r="M1362" s="396"/>
      <c r="N1362" s="396"/>
      <c r="O1362" s="396"/>
      <c r="P1362" s="396"/>
      <c r="Q1362" s="328"/>
      <c r="R1362" s="328"/>
      <c r="S1362" s="328"/>
      <c r="T1362" s="328"/>
      <c r="U1362" s="328"/>
      <c r="V1362" s="328"/>
    </row>
    <row r="1363" customFormat="false" ht="15" hidden="false" customHeight="true" outlineLevel="1" collapsed="false">
      <c r="A1363" s="429"/>
      <c r="B1363" s="429"/>
      <c r="C1363" s="429"/>
      <c r="D1363" s="430"/>
      <c r="E1363" s="431"/>
      <c r="F1363" s="431"/>
      <c r="G1363" s="429"/>
      <c r="H1363" s="432"/>
      <c r="I1363" s="432"/>
      <c r="J1363" s="432"/>
      <c r="K1363" s="328"/>
      <c r="L1363" s="396"/>
      <c r="M1363" s="396"/>
      <c r="N1363" s="396"/>
      <c r="O1363" s="396"/>
      <c r="P1363" s="396"/>
      <c r="Q1363" s="328"/>
      <c r="R1363" s="328"/>
      <c r="S1363" s="328"/>
      <c r="T1363" s="328"/>
      <c r="U1363" s="328"/>
      <c r="V1363" s="328"/>
    </row>
    <row r="1364" customFormat="false" ht="15" hidden="false" customHeight="true" outlineLevel="1" collapsed="false">
      <c r="A1364" s="429"/>
      <c r="B1364" s="429"/>
      <c r="C1364" s="429"/>
      <c r="D1364" s="430"/>
      <c r="E1364" s="431"/>
      <c r="F1364" s="431"/>
      <c r="G1364" s="429"/>
      <c r="H1364" s="432"/>
      <c r="I1364" s="432"/>
      <c r="J1364" s="432"/>
      <c r="K1364" s="328"/>
      <c r="L1364" s="396"/>
      <c r="M1364" s="396"/>
      <c r="N1364" s="396"/>
      <c r="O1364" s="396"/>
      <c r="P1364" s="396"/>
      <c r="Q1364" s="328"/>
      <c r="R1364" s="328"/>
      <c r="S1364" s="328"/>
      <c r="T1364" s="328"/>
      <c r="U1364" s="328"/>
      <c r="V1364" s="328"/>
    </row>
    <row r="1365" customFormat="false" ht="15" hidden="false" customHeight="true" outlineLevel="1" collapsed="false">
      <c r="A1365" s="429"/>
      <c r="B1365" s="429"/>
      <c r="C1365" s="429"/>
      <c r="D1365" s="430"/>
      <c r="E1365" s="431"/>
      <c r="F1365" s="431"/>
      <c r="G1365" s="429"/>
      <c r="H1365" s="432"/>
      <c r="I1365" s="432"/>
      <c r="J1365" s="432"/>
      <c r="K1365" s="328"/>
      <c r="L1365" s="396"/>
      <c r="M1365" s="396"/>
      <c r="N1365" s="396"/>
      <c r="O1365" s="396"/>
      <c r="P1365" s="396"/>
      <c r="Q1365" s="328"/>
      <c r="R1365" s="328"/>
      <c r="S1365" s="328"/>
      <c r="T1365" s="328"/>
      <c r="U1365" s="328"/>
      <c r="V1365" s="328"/>
    </row>
    <row r="1366" customFormat="false" ht="15" hidden="false" customHeight="true" outlineLevel="1" collapsed="false">
      <c r="A1366" s="429"/>
      <c r="B1366" s="429"/>
      <c r="C1366" s="429"/>
      <c r="D1366" s="430"/>
      <c r="E1366" s="431"/>
      <c r="F1366" s="431"/>
      <c r="G1366" s="429"/>
      <c r="H1366" s="432"/>
      <c r="I1366" s="432"/>
      <c r="J1366" s="432"/>
      <c r="K1366" s="328"/>
      <c r="L1366" s="396"/>
      <c r="M1366" s="396"/>
      <c r="N1366" s="396"/>
      <c r="O1366" s="396"/>
      <c r="P1366" s="396"/>
      <c r="Q1366" s="328"/>
      <c r="R1366" s="328"/>
      <c r="S1366" s="328"/>
      <c r="T1366" s="328"/>
      <c r="U1366" s="328"/>
      <c r="V1366" s="328"/>
    </row>
    <row r="1367" customFormat="false" ht="15" hidden="false" customHeight="true" outlineLevel="1" collapsed="false">
      <c r="A1367" s="429"/>
      <c r="B1367" s="429"/>
      <c r="C1367" s="429"/>
      <c r="D1367" s="430"/>
      <c r="E1367" s="431"/>
      <c r="F1367" s="431"/>
      <c r="G1367" s="429"/>
      <c r="H1367" s="432"/>
      <c r="I1367" s="432"/>
      <c r="J1367" s="432"/>
      <c r="K1367" s="328"/>
      <c r="L1367" s="396"/>
      <c r="M1367" s="396"/>
      <c r="N1367" s="396"/>
      <c r="O1367" s="396"/>
      <c r="P1367" s="396"/>
      <c r="Q1367" s="328"/>
      <c r="R1367" s="328"/>
      <c r="S1367" s="328"/>
      <c r="T1367" s="328"/>
      <c r="U1367" s="328"/>
      <c r="V1367" s="328"/>
    </row>
    <row r="1368" customFormat="false" ht="15" hidden="false" customHeight="true" outlineLevel="1" collapsed="false">
      <c r="A1368" s="429"/>
      <c r="B1368" s="429"/>
      <c r="C1368" s="429"/>
      <c r="D1368" s="430"/>
      <c r="E1368" s="431"/>
      <c r="F1368" s="431"/>
      <c r="G1368" s="429"/>
      <c r="H1368" s="432"/>
      <c r="I1368" s="432"/>
      <c r="J1368" s="432"/>
      <c r="K1368" s="328"/>
      <c r="L1368" s="396"/>
      <c r="M1368" s="396"/>
      <c r="N1368" s="396"/>
      <c r="O1368" s="396"/>
      <c r="P1368" s="396"/>
      <c r="Q1368" s="328"/>
      <c r="R1368" s="328"/>
      <c r="S1368" s="328"/>
      <c r="T1368" s="328"/>
      <c r="U1368" s="328"/>
      <c r="V1368" s="328"/>
    </row>
    <row r="1369" customFormat="false" ht="15" hidden="false" customHeight="true" outlineLevel="1" collapsed="false">
      <c r="A1369" s="429"/>
      <c r="B1369" s="429"/>
      <c r="C1369" s="429"/>
      <c r="D1369" s="430"/>
      <c r="E1369" s="431"/>
      <c r="F1369" s="431"/>
      <c r="G1369" s="429"/>
      <c r="H1369" s="432"/>
      <c r="I1369" s="432"/>
      <c r="J1369" s="432"/>
      <c r="K1369" s="328"/>
      <c r="L1369" s="396"/>
      <c r="M1369" s="396"/>
      <c r="N1369" s="396"/>
      <c r="O1369" s="396"/>
      <c r="P1369" s="396"/>
      <c r="Q1369" s="328"/>
      <c r="R1369" s="328"/>
      <c r="S1369" s="328"/>
      <c r="T1369" s="328"/>
      <c r="U1369" s="328"/>
      <c r="V1369" s="328"/>
    </row>
    <row r="1370" customFormat="false" ht="15" hidden="false" customHeight="true" outlineLevel="1" collapsed="false">
      <c r="A1370" s="429"/>
      <c r="B1370" s="429"/>
      <c r="C1370" s="429"/>
      <c r="D1370" s="430"/>
      <c r="E1370" s="431"/>
      <c r="F1370" s="431"/>
      <c r="G1370" s="429"/>
      <c r="H1370" s="432"/>
      <c r="I1370" s="432"/>
      <c r="J1370" s="432"/>
      <c r="K1370" s="328"/>
      <c r="L1370" s="396"/>
      <c r="M1370" s="396"/>
      <c r="N1370" s="396"/>
      <c r="O1370" s="396"/>
      <c r="P1370" s="396"/>
      <c r="Q1370" s="328"/>
      <c r="R1370" s="328"/>
      <c r="S1370" s="328"/>
      <c r="T1370" s="328"/>
      <c r="U1370" s="328"/>
      <c r="V1370" s="328"/>
    </row>
    <row r="1371" customFormat="false" ht="15" hidden="false" customHeight="true" outlineLevel="1" collapsed="false">
      <c r="A1371" s="429"/>
      <c r="B1371" s="429"/>
      <c r="C1371" s="429"/>
      <c r="D1371" s="430"/>
      <c r="E1371" s="431"/>
      <c r="F1371" s="431"/>
      <c r="G1371" s="429"/>
      <c r="H1371" s="432"/>
      <c r="I1371" s="432"/>
      <c r="J1371" s="432"/>
      <c r="K1371" s="328"/>
      <c r="L1371" s="396"/>
      <c r="M1371" s="396"/>
      <c r="N1371" s="396"/>
      <c r="O1371" s="396"/>
      <c r="P1371" s="396"/>
      <c r="Q1371" s="328"/>
      <c r="R1371" s="328"/>
      <c r="S1371" s="328"/>
      <c r="T1371" s="328"/>
      <c r="U1371" s="328"/>
      <c r="V1371" s="328"/>
    </row>
    <row r="1372" customFormat="false" ht="15" hidden="false" customHeight="true" outlineLevel="1" collapsed="false">
      <c r="A1372" s="429"/>
      <c r="B1372" s="429"/>
      <c r="C1372" s="429"/>
      <c r="D1372" s="430"/>
      <c r="E1372" s="431"/>
      <c r="F1372" s="431"/>
      <c r="G1372" s="429"/>
      <c r="H1372" s="432"/>
      <c r="I1372" s="432"/>
      <c r="J1372" s="432"/>
      <c r="K1372" s="328"/>
      <c r="L1372" s="396"/>
      <c r="M1372" s="396"/>
      <c r="N1372" s="396"/>
      <c r="O1372" s="396"/>
      <c r="P1372" s="396"/>
      <c r="Q1372" s="328"/>
      <c r="R1372" s="328"/>
      <c r="S1372" s="328"/>
      <c r="T1372" s="328"/>
      <c r="U1372" s="328"/>
      <c r="V1372" s="328"/>
    </row>
    <row r="1373" customFormat="false" ht="15" hidden="false" customHeight="true" outlineLevel="1" collapsed="false">
      <c r="A1373" s="429"/>
      <c r="B1373" s="429"/>
      <c r="C1373" s="429"/>
      <c r="D1373" s="430"/>
      <c r="E1373" s="431"/>
      <c r="F1373" s="431"/>
      <c r="G1373" s="429"/>
      <c r="H1373" s="432"/>
      <c r="I1373" s="432"/>
      <c r="J1373" s="432"/>
      <c r="K1373" s="328"/>
      <c r="L1373" s="396"/>
      <c r="M1373" s="396"/>
      <c r="N1373" s="396"/>
      <c r="O1373" s="396"/>
      <c r="P1373" s="396"/>
      <c r="Q1373" s="328"/>
      <c r="R1373" s="328"/>
      <c r="S1373" s="328"/>
      <c r="T1373" s="328"/>
      <c r="U1373" s="328"/>
      <c r="V1373" s="328"/>
    </row>
    <row r="1374" customFormat="false" ht="15" hidden="false" customHeight="true" outlineLevel="1" collapsed="false">
      <c r="A1374" s="429"/>
      <c r="B1374" s="429"/>
      <c r="C1374" s="429"/>
      <c r="D1374" s="430"/>
      <c r="E1374" s="431"/>
      <c r="F1374" s="431"/>
      <c r="G1374" s="429"/>
      <c r="H1374" s="432"/>
      <c r="I1374" s="432"/>
      <c r="J1374" s="432"/>
      <c r="K1374" s="328"/>
      <c r="L1374" s="396"/>
      <c r="M1374" s="396"/>
      <c r="N1374" s="396"/>
      <c r="O1374" s="396"/>
      <c r="P1374" s="396"/>
      <c r="Q1374" s="328"/>
      <c r="R1374" s="328"/>
      <c r="S1374" s="328"/>
      <c r="T1374" s="328"/>
      <c r="U1374" s="328"/>
      <c r="V1374" s="328"/>
    </row>
    <row r="1375" customFormat="false" ht="15" hidden="false" customHeight="true" outlineLevel="1" collapsed="false">
      <c r="A1375" s="429"/>
      <c r="B1375" s="429"/>
      <c r="C1375" s="429"/>
      <c r="D1375" s="430"/>
      <c r="E1375" s="431"/>
      <c r="F1375" s="431"/>
      <c r="G1375" s="429"/>
      <c r="H1375" s="432"/>
      <c r="I1375" s="432"/>
      <c r="J1375" s="432"/>
      <c r="K1375" s="328"/>
      <c r="L1375" s="396"/>
      <c r="M1375" s="396"/>
      <c r="N1375" s="396"/>
      <c r="O1375" s="396"/>
      <c r="P1375" s="396"/>
      <c r="Q1375" s="328"/>
      <c r="R1375" s="328"/>
      <c r="S1375" s="328"/>
      <c r="T1375" s="328"/>
      <c r="U1375" s="328"/>
      <c r="V1375" s="328"/>
    </row>
    <row r="1376" customFormat="false" ht="15" hidden="false" customHeight="true" outlineLevel="1" collapsed="false">
      <c r="A1376" s="429"/>
      <c r="B1376" s="429"/>
      <c r="C1376" s="429"/>
      <c r="D1376" s="430"/>
      <c r="E1376" s="431"/>
      <c r="F1376" s="431"/>
      <c r="G1376" s="429"/>
      <c r="H1376" s="432"/>
      <c r="I1376" s="432"/>
      <c r="J1376" s="432"/>
      <c r="K1376" s="328"/>
      <c r="L1376" s="396"/>
      <c r="M1376" s="396"/>
      <c r="N1376" s="396"/>
      <c r="O1376" s="396"/>
      <c r="P1376" s="396"/>
      <c r="Q1376" s="328"/>
      <c r="R1376" s="328"/>
      <c r="S1376" s="328"/>
      <c r="T1376" s="328"/>
      <c r="U1376" s="328"/>
      <c r="V1376" s="328"/>
    </row>
    <row r="1377" customFormat="false" ht="15" hidden="false" customHeight="true" outlineLevel="1" collapsed="false">
      <c r="A1377" s="429"/>
      <c r="B1377" s="429"/>
      <c r="C1377" s="429"/>
      <c r="D1377" s="430"/>
      <c r="E1377" s="431"/>
      <c r="F1377" s="431"/>
      <c r="G1377" s="429"/>
      <c r="H1377" s="432"/>
      <c r="I1377" s="432"/>
      <c r="J1377" s="432"/>
      <c r="K1377" s="328"/>
      <c r="L1377" s="396"/>
      <c r="M1377" s="396"/>
      <c r="N1377" s="396"/>
      <c r="O1377" s="396"/>
      <c r="P1377" s="396"/>
      <c r="Q1377" s="328"/>
      <c r="R1377" s="328"/>
      <c r="S1377" s="328"/>
      <c r="T1377" s="328"/>
      <c r="U1377" s="328"/>
      <c r="V1377" s="328"/>
    </row>
    <row r="1378" customFormat="false" ht="15" hidden="false" customHeight="true" outlineLevel="1" collapsed="false">
      <c r="A1378" s="429"/>
      <c r="B1378" s="429"/>
      <c r="C1378" s="429"/>
      <c r="D1378" s="430"/>
      <c r="E1378" s="431"/>
      <c r="F1378" s="431"/>
      <c r="G1378" s="429"/>
      <c r="H1378" s="432"/>
      <c r="I1378" s="432"/>
      <c r="J1378" s="432"/>
      <c r="K1378" s="328"/>
      <c r="L1378" s="396"/>
      <c r="M1378" s="396"/>
      <c r="N1378" s="396"/>
      <c r="O1378" s="396"/>
      <c r="P1378" s="396"/>
      <c r="Q1378" s="328"/>
      <c r="R1378" s="328"/>
      <c r="S1378" s="328"/>
      <c r="T1378" s="328"/>
      <c r="U1378" s="328"/>
      <c r="V1378" s="328"/>
    </row>
    <row r="1379" customFormat="false" ht="15" hidden="false" customHeight="true" outlineLevel="1" collapsed="false">
      <c r="A1379" s="429"/>
      <c r="B1379" s="429"/>
      <c r="C1379" s="429"/>
      <c r="D1379" s="430"/>
      <c r="E1379" s="431"/>
      <c r="F1379" s="431"/>
      <c r="G1379" s="429"/>
      <c r="H1379" s="432"/>
      <c r="I1379" s="432"/>
      <c r="J1379" s="432"/>
      <c r="K1379" s="328"/>
      <c r="L1379" s="396"/>
      <c r="M1379" s="396"/>
      <c r="N1379" s="396"/>
      <c r="O1379" s="396"/>
      <c r="P1379" s="396"/>
      <c r="Q1379" s="328"/>
      <c r="R1379" s="328"/>
      <c r="S1379" s="328"/>
      <c r="T1379" s="328"/>
      <c r="U1379" s="328"/>
      <c r="V1379" s="328"/>
    </row>
    <row r="1380" customFormat="false" ht="15" hidden="false" customHeight="true" outlineLevel="1" collapsed="false">
      <c r="A1380" s="429"/>
      <c r="B1380" s="429"/>
      <c r="C1380" s="429"/>
      <c r="D1380" s="430"/>
      <c r="E1380" s="431"/>
      <c r="F1380" s="431"/>
      <c r="G1380" s="429"/>
      <c r="H1380" s="432"/>
      <c r="I1380" s="432"/>
      <c r="J1380" s="432"/>
      <c r="K1380" s="328"/>
      <c r="L1380" s="396"/>
      <c r="M1380" s="396"/>
      <c r="N1380" s="396"/>
      <c r="O1380" s="396"/>
      <c r="P1380" s="396"/>
      <c r="Q1380" s="328"/>
      <c r="R1380" s="328"/>
      <c r="S1380" s="328"/>
      <c r="T1380" s="328"/>
      <c r="U1380" s="328"/>
      <c r="V1380" s="328"/>
    </row>
    <row r="1381" customFormat="false" ht="15" hidden="false" customHeight="true" outlineLevel="1" collapsed="false">
      <c r="A1381" s="429"/>
      <c r="B1381" s="429"/>
      <c r="C1381" s="429"/>
      <c r="D1381" s="430"/>
      <c r="E1381" s="431"/>
      <c r="F1381" s="431"/>
      <c r="G1381" s="429"/>
      <c r="H1381" s="432"/>
      <c r="I1381" s="432"/>
      <c r="J1381" s="432"/>
      <c r="K1381" s="328"/>
      <c r="L1381" s="396"/>
      <c r="M1381" s="396"/>
      <c r="N1381" s="396"/>
      <c r="O1381" s="396"/>
      <c r="P1381" s="396"/>
      <c r="Q1381" s="328"/>
      <c r="R1381" s="328"/>
      <c r="S1381" s="328"/>
      <c r="T1381" s="328"/>
      <c r="U1381" s="328"/>
      <c r="V1381" s="328"/>
    </row>
    <row r="1382" customFormat="false" ht="15" hidden="false" customHeight="true" outlineLevel="1" collapsed="false">
      <c r="A1382" s="429"/>
      <c r="B1382" s="429"/>
      <c r="C1382" s="429"/>
      <c r="D1382" s="430"/>
      <c r="E1382" s="431"/>
      <c r="F1382" s="431"/>
      <c r="G1382" s="429"/>
      <c r="H1382" s="432"/>
      <c r="I1382" s="432"/>
      <c r="J1382" s="432"/>
      <c r="K1382" s="328"/>
      <c r="L1382" s="396"/>
      <c r="M1382" s="396"/>
      <c r="N1382" s="396"/>
      <c r="O1382" s="396"/>
      <c r="P1382" s="396"/>
      <c r="Q1382" s="328"/>
      <c r="R1382" s="328"/>
      <c r="S1382" s="328"/>
      <c r="T1382" s="328"/>
      <c r="U1382" s="328"/>
      <c r="V1382" s="328"/>
    </row>
    <row r="1383" customFormat="false" ht="15" hidden="false" customHeight="true" outlineLevel="1" collapsed="false">
      <c r="A1383" s="429"/>
      <c r="B1383" s="429"/>
      <c r="C1383" s="429"/>
      <c r="D1383" s="430"/>
      <c r="E1383" s="431"/>
      <c r="F1383" s="431"/>
      <c r="G1383" s="429"/>
      <c r="H1383" s="432"/>
      <c r="I1383" s="432"/>
      <c r="J1383" s="432"/>
      <c r="K1383" s="328"/>
      <c r="L1383" s="396"/>
      <c r="M1383" s="396"/>
      <c r="N1383" s="396"/>
      <c r="O1383" s="396"/>
      <c r="P1383" s="396"/>
      <c r="Q1383" s="328"/>
      <c r="R1383" s="328"/>
      <c r="S1383" s="328"/>
      <c r="T1383" s="328"/>
      <c r="U1383" s="328"/>
      <c r="V1383" s="328"/>
    </row>
    <row r="1384" customFormat="false" ht="15" hidden="false" customHeight="true" outlineLevel="1" collapsed="false">
      <c r="A1384" s="429"/>
      <c r="B1384" s="429"/>
      <c r="C1384" s="429"/>
      <c r="D1384" s="430"/>
      <c r="E1384" s="431"/>
      <c r="F1384" s="431"/>
      <c r="G1384" s="429"/>
      <c r="H1384" s="432"/>
      <c r="I1384" s="432"/>
      <c r="J1384" s="432"/>
      <c r="K1384" s="328"/>
      <c r="L1384" s="396"/>
      <c r="M1384" s="396"/>
      <c r="N1384" s="396"/>
      <c r="O1384" s="396"/>
      <c r="P1384" s="396"/>
      <c r="Q1384" s="328"/>
      <c r="R1384" s="328"/>
      <c r="S1384" s="328"/>
      <c r="T1384" s="328"/>
      <c r="U1384" s="328"/>
      <c r="V1384" s="328"/>
    </row>
    <row r="1385" customFormat="false" ht="15" hidden="false" customHeight="true" outlineLevel="1" collapsed="false">
      <c r="A1385" s="429"/>
      <c r="B1385" s="429"/>
      <c r="C1385" s="429"/>
      <c r="D1385" s="430"/>
      <c r="E1385" s="431"/>
      <c r="F1385" s="431"/>
      <c r="G1385" s="429"/>
      <c r="H1385" s="432"/>
      <c r="I1385" s="432"/>
      <c r="J1385" s="432"/>
      <c r="K1385" s="328"/>
      <c r="L1385" s="396"/>
      <c r="M1385" s="396"/>
      <c r="N1385" s="396"/>
      <c r="O1385" s="396"/>
      <c r="P1385" s="396"/>
      <c r="Q1385" s="328"/>
      <c r="R1385" s="328"/>
      <c r="S1385" s="328"/>
      <c r="T1385" s="328"/>
      <c r="U1385" s="328"/>
      <c r="V1385" s="328"/>
    </row>
    <row r="1386" customFormat="false" ht="15" hidden="false" customHeight="true" outlineLevel="1" collapsed="false">
      <c r="A1386" s="429"/>
      <c r="B1386" s="429"/>
      <c r="C1386" s="429"/>
      <c r="D1386" s="430"/>
      <c r="E1386" s="431"/>
      <c r="F1386" s="431"/>
      <c r="G1386" s="429"/>
      <c r="H1386" s="432"/>
      <c r="I1386" s="432"/>
      <c r="J1386" s="432"/>
      <c r="K1386" s="328"/>
      <c r="L1386" s="396"/>
      <c r="M1386" s="396"/>
      <c r="N1386" s="396"/>
      <c r="O1386" s="396"/>
      <c r="P1386" s="396"/>
      <c r="Q1386" s="328"/>
      <c r="R1386" s="328"/>
      <c r="S1386" s="328"/>
      <c r="T1386" s="328"/>
      <c r="U1386" s="328"/>
      <c r="V1386" s="328"/>
    </row>
    <row r="1387" customFormat="false" ht="15" hidden="false" customHeight="true" outlineLevel="1" collapsed="false">
      <c r="A1387" s="429"/>
      <c r="B1387" s="429"/>
      <c r="C1387" s="429"/>
      <c r="D1387" s="430"/>
      <c r="E1387" s="431"/>
      <c r="F1387" s="431"/>
      <c r="G1387" s="429"/>
      <c r="H1387" s="432"/>
      <c r="I1387" s="432"/>
      <c r="J1387" s="432"/>
      <c r="K1387" s="328"/>
      <c r="L1387" s="396"/>
      <c r="M1387" s="396"/>
      <c r="N1387" s="396"/>
      <c r="O1387" s="396"/>
      <c r="P1387" s="396"/>
      <c r="Q1387" s="328"/>
      <c r="R1387" s="328"/>
      <c r="S1387" s="328"/>
      <c r="T1387" s="328"/>
      <c r="U1387" s="328"/>
      <c r="V1387" s="328"/>
    </row>
    <row r="1388" customFormat="false" ht="15" hidden="false" customHeight="true" outlineLevel="1" collapsed="false">
      <c r="A1388" s="429"/>
      <c r="B1388" s="429"/>
      <c r="C1388" s="429"/>
      <c r="D1388" s="430"/>
      <c r="E1388" s="431"/>
      <c r="F1388" s="431"/>
      <c r="G1388" s="429"/>
      <c r="H1388" s="432"/>
      <c r="I1388" s="432"/>
      <c r="J1388" s="432"/>
      <c r="K1388" s="328"/>
      <c r="L1388" s="396"/>
      <c r="M1388" s="396"/>
      <c r="N1388" s="396"/>
      <c r="O1388" s="396"/>
      <c r="P1388" s="396"/>
      <c r="Q1388" s="328"/>
      <c r="R1388" s="328"/>
      <c r="S1388" s="328"/>
      <c r="T1388" s="328"/>
      <c r="U1388" s="328"/>
      <c r="V1388" s="328"/>
    </row>
    <row r="1389" customFormat="false" ht="15" hidden="false" customHeight="true" outlineLevel="1" collapsed="false">
      <c r="A1389" s="429"/>
      <c r="B1389" s="429"/>
      <c r="C1389" s="429"/>
      <c r="D1389" s="430"/>
      <c r="E1389" s="431"/>
      <c r="F1389" s="431"/>
      <c r="G1389" s="429"/>
      <c r="H1389" s="432"/>
      <c r="I1389" s="432"/>
      <c r="J1389" s="432"/>
      <c r="K1389" s="328"/>
      <c r="L1389" s="396"/>
      <c r="M1389" s="396"/>
      <c r="N1389" s="396"/>
      <c r="O1389" s="396"/>
      <c r="P1389" s="396"/>
      <c r="Q1389" s="328"/>
      <c r="R1389" s="328"/>
      <c r="S1389" s="328"/>
      <c r="T1389" s="328"/>
      <c r="U1389" s="328"/>
      <c r="V1389" s="328"/>
    </row>
    <row r="1390" customFormat="false" ht="15" hidden="false" customHeight="true" outlineLevel="1" collapsed="false">
      <c r="A1390" s="429"/>
      <c r="B1390" s="429"/>
      <c r="C1390" s="429"/>
      <c r="D1390" s="430"/>
      <c r="E1390" s="431"/>
      <c r="F1390" s="431"/>
      <c r="G1390" s="429"/>
      <c r="H1390" s="432"/>
      <c r="I1390" s="432"/>
      <c r="J1390" s="432"/>
      <c r="K1390" s="328"/>
      <c r="L1390" s="396"/>
      <c r="M1390" s="396"/>
      <c r="N1390" s="396"/>
      <c r="O1390" s="396"/>
      <c r="P1390" s="396"/>
      <c r="Q1390" s="328"/>
      <c r="R1390" s="328"/>
      <c r="S1390" s="328"/>
      <c r="T1390" s="328"/>
      <c r="U1390" s="328"/>
      <c r="V1390" s="328"/>
    </row>
    <row r="1391" customFormat="false" ht="15" hidden="false" customHeight="true" outlineLevel="1" collapsed="false">
      <c r="A1391" s="429"/>
      <c r="B1391" s="429"/>
      <c r="C1391" s="429"/>
      <c r="D1391" s="430"/>
      <c r="E1391" s="431"/>
      <c r="F1391" s="431"/>
      <c r="G1391" s="429"/>
      <c r="H1391" s="432"/>
      <c r="I1391" s="432"/>
      <c r="J1391" s="432"/>
      <c r="K1391" s="328"/>
      <c r="L1391" s="396"/>
      <c r="M1391" s="396"/>
      <c r="N1391" s="396"/>
      <c r="O1391" s="396"/>
      <c r="P1391" s="396"/>
      <c r="Q1391" s="328"/>
      <c r="R1391" s="328"/>
      <c r="S1391" s="328"/>
      <c r="T1391" s="328"/>
      <c r="U1391" s="328"/>
      <c r="V1391" s="328"/>
    </row>
    <row r="1392" customFormat="false" ht="15" hidden="false" customHeight="true" outlineLevel="1" collapsed="false">
      <c r="A1392" s="429"/>
      <c r="B1392" s="429"/>
      <c r="C1392" s="429"/>
      <c r="D1392" s="430"/>
      <c r="E1392" s="431"/>
      <c r="F1392" s="431"/>
      <c r="G1392" s="429"/>
      <c r="H1392" s="432"/>
      <c r="I1392" s="432"/>
      <c r="J1392" s="432"/>
      <c r="K1392" s="328"/>
      <c r="L1392" s="396"/>
      <c r="M1392" s="396"/>
      <c r="N1392" s="396"/>
      <c r="O1392" s="396"/>
      <c r="P1392" s="396"/>
      <c r="Q1392" s="328"/>
      <c r="R1392" s="328"/>
      <c r="S1392" s="328"/>
      <c r="T1392" s="328"/>
      <c r="U1392" s="328"/>
      <c r="V1392" s="328"/>
    </row>
    <row r="1393" customFormat="false" ht="15" hidden="false" customHeight="true" outlineLevel="1" collapsed="false">
      <c r="A1393" s="429"/>
      <c r="B1393" s="429"/>
      <c r="C1393" s="429"/>
      <c r="D1393" s="430"/>
      <c r="E1393" s="431"/>
      <c r="F1393" s="431"/>
      <c r="G1393" s="429"/>
      <c r="H1393" s="432"/>
      <c r="I1393" s="432"/>
      <c r="J1393" s="432"/>
      <c r="K1393" s="328"/>
      <c r="L1393" s="396"/>
      <c r="M1393" s="396"/>
      <c r="N1393" s="396"/>
      <c r="O1393" s="396"/>
      <c r="P1393" s="396"/>
      <c r="Q1393" s="328"/>
      <c r="R1393" s="328"/>
      <c r="S1393" s="328"/>
      <c r="T1393" s="328"/>
      <c r="U1393" s="328"/>
      <c r="V1393" s="328"/>
    </row>
    <row r="1394" customFormat="false" ht="15" hidden="false" customHeight="true" outlineLevel="1" collapsed="false">
      <c r="A1394" s="429"/>
      <c r="B1394" s="429"/>
      <c r="C1394" s="429"/>
      <c r="D1394" s="430"/>
      <c r="E1394" s="431"/>
      <c r="F1394" s="431"/>
      <c r="G1394" s="429"/>
      <c r="H1394" s="432"/>
      <c r="I1394" s="432"/>
      <c r="J1394" s="432"/>
      <c r="K1394" s="328"/>
      <c r="L1394" s="396"/>
      <c r="M1394" s="396"/>
      <c r="N1394" s="396"/>
      <c r="O1394" s="396"/>
      <c r="P1394" s="396"/>
      <c r="Q1394" s="328"/>
      <c r="R1394" s="328"/>
      <c r="S1394" s="328"/>
      <c r="T1394" s="328"/>
      <c r="U1394" s="328"/>
      <c r="V1394" s="328"/>
    </row>
    <row r="1395" customFormat="false" ht="15" hidden="false" customHeight="true" outlineLevel="1" collapsed="false">
      <c r="A1395" s="429"/>
      <c r="B1395" s="429"/>
      <c r="C1395" s="429"/>
      <c r="D1395" s="430"/>
      <c r="E1395" s="431"/>
      <c r="F1395" s="431"/>
      <c r="G1395" s="429"/>
      <c r="H1395" s="432"/>
      <c r="I1395" s="432"/>
      <c r="J1395" s="432"/>
      <c r="K1395" s="328"/>
      <c r="L1395" s="396"/>
      <c r="M1395" s="396"/>
      <c r="N1395" s="396"/>
      <c r="O1395" s="396"/>
      <c r="P1395" s="396"/>
      <c r="Q1395" s="328"/>
      <c r="R1395" s="328"/>
      <c r="S1395" s="328"/>
      <c r="T1395" s="328"/>
      <c r="U1395" s="328"/>
      <c r="V1395" s="328"/>
    </row>
    <row r="1396" customFormat="false" ht="15" hidden="false" customHeight="true" outlineLevel="1" collapsed="false">
      <c r="A1396" s="429"/>
      <c r="B1396" s="429"/>
      <c r="C1396" s="429"/>
      <c r="D1396" s="430"/>
      <c r="E1396" s="431"/>
      <c r="F1396" s="431"/>
      <c r="G1396" s="429"/>
      <c r="H1396" s="432"/>
      <c r="I1396" s="432"/>
      <c r="J1396" s="432"/>
      <c r="K1396" s="328"/>
      <c r="L1396" s="396"/>
      <c r="M1396" s="396"/>
      <c r="N1396" s="396"/>
      <c r="O1396" s="396"/>
      <c r="P1396" s="396"/>
      <c r="Q1396" s="328"/>
      <c r="R1396" s="328"/>
      <c r="S1396" s="328"/>
      <c r="T1396" s="328"/>
      <c r="U1396" s="328"/>
      <c r="V1396" s="328"/>
    </row>
    <row r="1397" customFormat="false" ht="15" hidden="false" customHeight="true" outlineLevel="1" collapsed="false">
      <c r="A1397" s="429"/>
      <c r="B1397" s="429"/>
      <c r="C1397" s="429"/>
      <c r="D1397" s="430"/>
      <c r="E1397" s="431"/>
      <c r="F1397" s="431"/>
      <c r="G1397" s="429"/>
      <c r="H1397" s="432"/>
      <c r="I1397" s="432"/>
      <c r="J1397" s="432"/>
      <c r="K1397" s="328"/>
      <c r="L1397" s="396"/>
      <c r="M1397" s="396"/>
      <c r="N1397" s="396"/>
      <c r="O1397" s="396"/>
      <c r="P1397" s="396"/>
      <c r="Q1397" s="328"/>
      <c r="R1397" s="328"/>
      <c r="S1397" s="328"/>
      <c r="T1397" s="328"/>
      <c r="U1397" s="328"/>
      <c r="V1397" s="328"/>
    </row>
    <row r="1398" customFormat="false" ht="15" hidden="false" customHeight="true" outlineLevel="1" collapsed="false">
      <c r="A1398" s="429"/>
      <c r="B1398" s="429"/>
      <c r="C1398" s="429"/>
      <c r="D1398" s="430"/>
      <c r="E1398" s="431"/>
      <c r="F1398" s="431"/>
      <c r="G1398" s="429"/>
      <c r="H1398" s="432"/>
      <c r="I1398" s="432"/>
      <c r="J1398" s="432"/>
      <c r="K1398" s="328"/>
      <c r="L1398" s="396"/>
      <c r="M1398" s="396"/>
      <c r="N1398" s="396"/>
      <c r="O1398" s="396"/>
      <c r="P1398" s="396"/>
      <c r="Q1398" s="328"/>
      <c r="R1398" s="328"/>
      <c r="S1398" s="328"/>
      <c r="T1398" s="328"/>
      <c r="U1398" s="328"/>
      <c r="V1398" s="328"/>
    </row>
    <row r="1399" customFormat="false" ht="15" hidden="false" customHeight="true" outlineLevel="1" collapsed="false">
      <c r="A1399" s="429"/>
      <c r="B1399" s="429"/>
      <c r="C1399" s="429"/>
      <c r="D1399" s="430"/>
      <c r="E1399" s="431"/>
      <c r="F1399" s="431"/>
      <c r="G1399" s="429"/>
      <c r="H1399" s="432"/>
      <c r="I1399" s="432"/>
      <c r="J1399" s="432"/>
      <c r="K1399" s="328"/>
      <c r="L1399" s="396"/>
      <c r="M1399" s="396"/>
      <c r="N1399" s="396"/>
      <c r="O1399" s="396"/>
      <c r="P1399" s="396"/>
      <c r="Q1399" s="328"/>
      <c r="R1399" s="328"/>
      <c r="S1399" s="328"/>
      <c r="T1399" s="328"/>
      <c r="U1399" s="328"/>
      <c r="V1399" s="328"/>
    </row>
    <row r="1400" customFormat="false" ht="15" hidden="false" customHeight="true" outlineLevel="1" collapsed="false">
      <c r="A1400" s="429"/>
      <c r="B1400" s="429"/>
      <c r="C1400" s="429"/>
      <c r="D1400" s="430"/>
      <c r="E1400" s="431"/>
      <c r="F1400" s="431"/>
      <c r="G1400" s="429"/>
      <c r="H1400" s="432"/>
      <c r="I1400" s="432"/>
      <c r="J1400" s="432"/>
      <c r="K1400" s="328"/>
      <c r="L1400" s="396"/>
      <c r="M1400" s="396"/>
      <c r="N1400" s="396"/>
      <c r="O1400" s="396"/>
      <c r="P1400" s="396"/>
      <c r="Q1400" s="328"/>
      <c r="R1400" s="328"/>
      <c r="S1400" s="328"/>
      <c r="T1400" s="328"/>
      <c r="U1400" s="328"/>
      <c r="V1400" s="328"/>
    </row>
    <row r="1401" customFormat="false" ht="15" hidden="false" customHeight="true" outlineLevel="1" collapsed="false">
      <c r="A1401" s="429"/>
      <c r="B1401" s="429"/>
      <c r="C1401" s="429"/>
      <c r="D1401" s="430"/>
      <c r="E1401" s="431"/>
      <c r="F1401" s="431"/>
      <c r="G1401" s="429"/>
      <c r="H1401" s="432"/>
      <c r="I1401" s="432"/>
      <c r="J1401" s="432"/>
      <c r="K1401" s="328"/>
      <c r="L1401" s="396"/>
      <c r="M1401" s="396"/>
      <c r="N1401" s="396"/>
      <c r="O1401" s="396"/>
      <c r="P1401" s="396"/>
      <c r="Q1401" s="328"/>
      <c r="R1401" s="328"/>
      <c r="S1401" s="328"/>
      <c r="T1401" s="328"/>
      <c r="U1401" s="328"/>
      <c r="V1401" s="328"/>
    </row>
    <row r="1402" customFormat="false" ht="15" hidden="false" customHeight="true" outlineLevel="1" collapsed="false">
      <c r="A1402" s="429"/>
      <c r="B1402" s="429"/>
      <c r="C1402" s="429"/>
      <c r="D1402" s="430"/>
      <c r="E1402" s="431"/>
      <c r="F1402" s="431"/>
      <c r="G1402" s="429"/>
      <c r="H1402" s="432"/>
      <c r="I1402" s="432"/>
      <c r="J1402" s="432"/>
      <c r="K1402" s="328"/>
      <c r="L1402" s="396"/>
      <c r="M1402" s="396"/>
      <c r="N1402" s="396"/>
      <c r="O1402" s="396"/>
      <c r="P1402" s="396"/>
      <c r="Q1402" s="328"/>
      <c r="R1402" s="328"/>
      <c r="S1402" s="328"/>
      <c r="T1402" s="328"/>
      <c r="U1402" s="328"/>
      <c r="V1402" s="328"/>
    </row>
    <row r="1403" customFormat="false" ht="15" hidden="false" customHeight="true" outlineLevel="1" collapsed="false">
      <c r="A1403" s="429"/>
      <c r="B1403" s="429"/>
      <c r="C1403" s="429"/>
      <c r="D1403" s="430"/>
      <c r="E1403" s="431"/>
      <c r="F1403" s="431"/>
      <c r="G1403" s="429"/>
      <c r="H1403" s="432"/>
      <c r="I1403" s="432"/>
      <c r="J1403" s="432"/>
      <c r="K1403" s="328"/>
      <c r="L1403" s="396"/>
      <c r="M1403" s="396"/>
      <c r="N1403" s="396"/>
      <c r="O1403" s="396"/>
      <c r="P1403" s="396"/>
      <c r="Q1403" s="328"/>
      <c r="R1403" s="328"/>
      <c r="S1403" s="328"/>
      <c r="T1403" s="328"/>
      <c r="U1403" s="328"/>
      <c r="V1403" s="328"/>
    </row>
    <row r="1404" customFormat="false" ht="15" hidden="false" customHeight="true" outlineLevel="1" collapsed="false">
      <c r="A1404" s="429"/>
      <c r="B1404" s="429"/>
      <c r="C1404" s="429"/>
      <c r="D1404" s="430"/>
      <c r="E1404" s="431"/>
      <c r="F1404" s="431"/>
      <c r="G1404" s="429"/>
      <c r="H1404" s="432"/>
      <c r="I1404" s="432"/>
      <c r="J1404" s="432"/>
      <c r="K1404" s="328"/>
      <c r="L1404" s="396"/>
      <c r="M1404" s="396"/>
      <c r="N1404" s="396"/>
      <c r="O1404" s="396"/>
      <c r="P1404" s="396"/>
      <c r="Q1404" s="328"/>
      <c r="R1404" s="328"/>
      <c r="S1404" s="328"/>
      <c r="T1404" s="328"/>
      <c r="U1404" s="328"/>
      <c r="V1404" s="328"/>
    </row>
    <row r="1405" customFormat="false" ht="15" hidden="false" customHeight="true" outlineLevel="1" collapsed="false">
      <c r="A1405" s="429"/>
      <c r="B1405" s="429"/>
      <c r="C1405" s="429"/>
      <c r="D1405" s="430"/>
      <c r="E1405" s="431"/>
      <c r="F1405" s="431"/>
      <c r="G1405" s="429"/>
      <c r="H1405" s="432"/>
      <c r="I1405" s="432"/>
      <c r="J1405" s="432"/>
      <c r="K1405" s="328"/>
      <c r="L1405" s="396"/>
      <c r="M1405" s="396"/>
      <c r="N1405" s="396"/>
      <c r="O1405" s="396"/>
      <c r="P1405" s="396"/>
      <c r="Q1405" s="328"/>
      <c r="R1405" s="328"/>
      <c r="S1405" s="328"/>
      <c r="T1405" s="328"/>
      <c r="U1405" s="328"/>
      <c r="V1405" s="328"/>
    </row>
    <row r="1406" customFormat="false" ht="15" hidden="false" customHeight="true" outlineLevel="1" collapsed="false">
      <c r="A1406" s="429"/>
      <c r="B1406" s="429"/>
      <c r="C1406" s="429"/>
      <c r="D1406" s="430"/>
      <c r="E1406" s="431"/>
      <c r="F1406" s="431"/>
      <c r="G1406" s="429"/>
      <c r="H1406" s="432"/>
      <c r="I1406" s="432"/>
      <c r="J1406" s="432"/>
      <c r="K1406" s="328"/>
      <c r="L1406" s="396"/>
      <c r="M1406" s="396"/>
      <c r="N1406" s="396"/>
      <c r="O1406" s="396"/>
      <c r="P1406" s="396"/>
      <c r="Q1406" s="328"/>
      <c r="R1406" s="328"/>
      <c r="S1406" s="328"/>
      <c r="T1406" s="328"/>
      <c r="U1406" s="328"/>
      <c r="V1406" s="328"/>
    </row>
    <row r="1407" customFormat="false" ht="15" hidden="false" customHeight="true" outlineLevel="1" collapsed="false">
      <c r="A1407" s="429"/>
      <c r="B1407" s="429"/>
      <c r="C1407" s="429"/>
      <c r="D1407" s="430"/>
      <c r="E1407" s="431"/>
      <c r="F1407" s="431"/>
      <c r="G1407" s="429"/>
      <c r="H1407" s="432"/>
      <c r="I1407" s="432"/>
      <c r="J1407" s="432"/>
      <c r="K1407" s="328"/>
      <c r="L1407" s="396"/>
      <c r="M1407" s="396"/>
      <c r="N1407" s="396"/>
      <c r="O1407" s="396"/>
      <c r="P1407" s="396"/>
      <c r="Q1407" s="328"/>
      <c r="R1407" s="328"/>
      <c r="S1407" s="328"/>
      <c r="T1407" s="328"/>
      <c r="U1407" s="328"/>
      <c r="V1407" s="328"/>
    </row>
    <row r="1408" customFormat="false" ht="15" hidden="false" customHeight="true" outlineLevel="1" collapsed="false">
      <c r="A1408" s="429"/>
      <c r="B1408" s="429"/>
      <c r="C1408" s="429"/>
      <c r="D1408" s="430"/>
      <c r="E1408" s="431"/>
      <c r="F1408" s="431"/>
      <c r="G1408" s="429"/>
      <c r="H1408" s="432"/>
      <c r="I1408" s="432"/>
      <c r="J1408" s="432"/>
      <c r="K1408" s="328"/>
      <c r="L1408" s="396"/>
      <c r="M1408" s="396"/>
      <c r="N1408" s="396"/>
      <c r="O1408" s="396"/>
      <c r="P1408" s="396"/>
      <c r="Q1408" s="328"/>
      <c r="R1408" s="328"/>
      <c r="S1408" s="328"/>
      <c r="T1408" s="328"/>
      <c r="U1408" s="328"/>
      <c r="V1408" s="328"/>
    </row>
    <row r="1409" customFormat="false" ht="15" hidden="false" customHeight="true" outlineLevel="1" collapsed="false">
      <c r="A1409" s="429"/>
      <c r="B1409" s="429"/>
      <c r="C1409" s="429"/>
      <c r="D1409" s="430"/>
      <c r="E1409" s="431"/>
      <c r="F1409" s="431"/>
      <c r="G1409" s="429"/>
      <c r="H1409" s="432"/>
      <c r="I1409" s="432"/>
      <c r="J1409" s="432"/>
      <c r="K1409" s="328"/>
      <c r="L1409" s="396"/>
      <c r="M1409" s="396"/>
      <c r="N1409" s="396"/>
      <c r="O1409" s="396"/>
      <c r="P1409" s="396"/>
      <c r="Q1409" s="328"/>
      <c r="R1409" s="328"/>
      <c r="S1409" s="328"/>
      <c r="T1409" s="328"/>
      <c r="U1409" s="328"/>
      <c r="V1409" s="328"/>
    </row>
    <row r="1410" customFormat="false" ht="15" hidden="false" customHeight="true" outlineLevel="1" collapsed="false">
      <c r="A1410" s="429"/>
      <c r="B1410" s="429"/>
      <c r="C1410" s="429"/>
      <c r="D1410" s="430"/>
      <c r="E1410" s="431"/>
      <c r="F1410" s="431"/>
      <c r="G1410" s="429"/>
      <c r="H1410" s="432"/>
      <c r="I1410" s="432"/>
      <c r="J1410" s="432"/>
      <c r="K1410" s="328"/>
      <c r="L1410" s="396"/>
      <c r="M1410" s="396"/>
      <c r="N1410" s="396"/>
      <c r="O1410" s="396"/>
      <c r="P1410" s="396"/>
      <c r="Q1410" s="328"/>
      <c r="R1410" s="328"/>
      <c r="S1410" s="328"/>
      <c r="T1410" s="328"/>
      <c r="U1410" s="328"/>
      <c r="V1410" s="328"/>
    </row>
    <row r="1411" customFormat="false" ht="15" hidden="false" customHeight="true" outlineLevel="1" collapsed="false">
      <c r="A1411" s="429"/>
      <c r="B1411" s="429"/>
      <c r="C1411" s="429"/>
      <c r="D1411" s="430"/>
      <c r="E1411" s="431"/>
      <c r="F1411" s="431"/>
      <c r="G1411" s="429"/>
      <c r="H1411" s="432"/>
      <c r="I1411" s="432"/>
      <c r="J1411" s="432"/>
      <c r="K1411" s="328"/>
      <c r="L1411" s="396"/>
      <c r="M1411" s="396"/>
      <c r="N1411" s="396"/>
      <c r="O1411" s="396"/>
      <c r="P1411" s="396"/>
      <c r="Q1411" s="328"/>
      <c r="R1411" s="328"/>
      <c r="S1411" s="328"/>
      <c r="T1411" s="328"/>
      <c r="U1411" s="328"/>
      <c r="V1411" s="328"/>
    </row>
    <row r="1412" customFormat="false" ht="15" hidden="false" customHeight="true" outlineLevel="1" collapsed="false">
      <c r="A1412" s="429"/>
      <c r="B1412" s="429"/>
      <c r="C1412" s="429"/>
      <c r="D1412" s="430"/>
      <c r="E1412" s="431"/>
      <c r="F1412" s="431"/>
      <c r="G1412" s="429"/>
      <c r="H1412" s="432"/>
      <c r="I1412" s="432"/>
      <c r="J1412" s="432"/>
      <c r="K1412" s="328"/>
      <c r="L1412" s="396"/>
      <c r="M1412" s="396"/>
      <c r="N1412" s="396"/>
      <c r="O1412" s="396"/>
      <c r="P1412" s="396"/>
      <c r="Q1412" s="328"/>
      <c r="R1412" s="328"/>
      <c r="S1412" s="328"/>
      <c r="T1412" s="328"/>
      <c r="U1412" s="328"/>
      <c r="V1412" s="328"/>
    </row>
    <row r="1413" customFormat="false" ht="15" hidden="false" customHeight="true" outlineLevel="1" collapsed="false">
      <c r="A1413" s="429"/>
      <c r="B1413" s="429"/>
      <c r="C1413" s="429"/>
      <c r="D1413" s="430"/>
      <c r="E1413" s="431"/>
      <c r="F1413" s="431"/>
      <c r="G1413" s="429"/>
      <c r="H1413" s="432"/>
      <c r="I1413" s="432"/>
      <c r="J1413" s="432"/>
      <c r="K1413" s="328"/>
      <c r="L1413" s="396"/>
      <c r="M1413" s="396"/>
      <c r="N1413" s="396"/>
      <c r="O1413" s="396"/>
      <c r="P1413" s="396"/>
      <c r="Q1413" s="328"/>
      <c r="R1413" s="328"/>
      <c r="S1413" s="328"/>
      <c r="T1413" s="328"/>
      <c r="U1413" s="328"/>
      <c r="V1413" s="328"/>
    </row>
    <row r="1414" customFormat="false" ht="15" hidden="false" customHeight="true" outlineLevel="1" collapsed="false">
      <c r="A1414" s="429"/>
      <c r="B1414" s="429"/>
      <c r="C1414" s="429"/>
      <c r="D1414" s="430"/>
      <c r="E1414" s="431"/>
      <c r="F1414" s="431"/>
      <c r="G1414" s="429"/>
      <c r="H1414" s="432"/>
      <c r="I1414" s="432"/>
      <c r="J1414" s="432"/>
      <c r="K1414" s="328"/>
      <c r="L1414" s="396"/>
      <c r="M1414" s="396"/>
      <c r="N1414" s="396"/>
      <c r="O1414" s="396"/>
      <c r="P1414" s="396"/>
      <c r="Q1414" s="328"/>
      <c r="R1414" s="328"/>
      <c r="S1414" s="328"/>
      <c r="T1414" s="328"/>
      <c r="U1414" s="328"/>
      <c r="V1414" s="328"/>
    </row>
    <row r="1415" customFormat="false" ht="15" hidden="false" customHeight="true" outlineLevel="1" collapsed="false">
      <c r="A1415" s="429"/>
      <c r="B1415" s="429"/>
      <c r="C1415" s="429"/>
      <c r="D1415" s="430"/>
      <c r="E1415" s="431"/>
      <c r="F1415" s="431"/>
      <c r="G1415" s="429"/>
      <c r="H1415" s="432"/>
      <c r="I1415" s="432"/>
      <c r="J1415" s="432"/>
      <c r="K1415" s="328"/>
      <c r="L1415" s="396"/>
      <c r="M1415" s="396"/>
      <c r="N1415" s="396"/>
      <c r="O1415" s="396"/>
      <c r="P1415" s="396"/>
      <c r="Q1415" s="328"/>
      <c r="R1415" s="328"/>
      <c r="S1415" s="328"/>
      <c r="T1415" s="328"/>
      <c r="U1415" s="328"/>
      <c r="V1415" s="328"/>
    </row>
    <row r="1416" customFormat="false" ht="15" hidden="false" customHeight="true" outlineLevel="1" collapsed="false">
      <c r="A1416" s="429"/>
      <c r="B1416" s="429"/>
      <c r="C1416" s="429"/>
      <c r="D1416" s="430"/>
      <c r="E1416" s="431"/>
      <c r="F1416" s="431"/>
      <c r="G1416" s="429"/>
      <c r="H1416" s="432"/>
      <c r="I1416" s="432"/>
      <c r="J1416" s="432"/>
      <c r="K1416" s="328"/>
      <c r="L1416" s="396"/>
      <c r="M1416" s="396"/>
      <c r="N1416" s="396"/>
      <c r="O1416" s="396"/>
      <c r="P1416" s="396"/>
      <c r="Q1416" s="328"/>
      <c r="R1416" s="328"/>
      <c r="S1416" s="328"/>
      <c r="T1416" s="328"/>
      <c r="U1416" s="328"/>
      <c r="V1416" s="328"/>
    </row>
    <row r="1417" customFormat="false" ht="15" hidden="false" customHeight="true" outlineLevel="1" collapsed="false">
      <c r="A1417" s="429"/>
      <c r="B1417" s="429"/>
      <c r="C1417" s="429"/>
      <c r="D1417" s="430"/>
      <c r="E1417" s="431"/>
      <c r="F1417" s="431"/>
      <c r="G1417" s="429"/>
      <c r="H1417" s="432"/>
      <c r="I1417" s="432"/>
      <c r="J1417" s="432"/>
      <c r="K1417" s="328"/>
      <c r="L1417" s="396"/>
      <c r="M1417" s="396"/>
      <c r="N1417" s="396"/>
      <c r="O1417" s="396"/>
      <c r="P1417" s="396"/>
      <c r="Q1417" s="328"/>
      <c r="R1417" s="328"/>
      <c r="S1417" s="328"/>
      <c r="T1417" s="328"/>
      <c r="U1417" s="328"/>
      <c r="V1417" s="328"/>
    </row>
    <row r="1418" customFormat="false" ht="15" hidden="false" customHeight="true" outlineLevel="1" collapsed="false">
      <c r="A1418" s="429"/>
      <c r="B1418" s="429"/>
      <c r="C1418" s="429"/>
      <c r="D1418" s="430"/>
      <c r="E1418" s="431"/>
      <c r="F1418" s="431"/>
      <c r="G1418" s="429"/>
      <c r="H1418" s="432"/>
      <c r="I1418" s="432"/>
      <c r="J1418" s="432"/>
      <c r="K1418" s="328"/>
      <c r="L1418" s="396"/>
      <c r="M1418" s="396"/>
      <c r="N1418" s="396"/>
      <c r="O1418" s="396"/>
      <c r="P1418" s="396"/>
      <c r="Q1418" s="328"/>
      <c r="R1418" s="328"/>
      <c r="S1418" s="328"/>
      <c r="T1418" s="328"/>
      <c r="U1418" s="328"/>
      <c r="V1418" s="328"/>
    </row>
    <row r="1419" customFormat="false" ht="15" hidden="false" customHeight="true" outlineLevel="1" collapsed="false">
      <c r="A1419" s="429"/>
      <c r="B1419" s="429"/>
      <c r="C1419" s="429"/>
      <c r="D1419" s="430"/>
      <c r="E1419" s="431"/>
      <c r="F1419" s="431"/>
      <c r="G1419" s="429"/>
      <c r="H1419" s="432"/>
      <c r="I1419" s="432"/>
      <c r="J1419" s="432"/>
      <c r="K1419" s="328"/>
      <c r="L1419" s="396"/>
      <c r="M1419" s="396"/>
      <c r="N1419" s="396"/>
      <c r="O1419" s="396"/>
      <c r="P1419" s="396"/>
      <c r="Q1419" s="328"/>
      <c r="R1419" s="328"/>
      <c r="S1419" s="328"/>
      <c r="T1419" s="328"/>
      <c r="U1419" s="328"/>
      <c r="V1419" s="328"/>
    </row>
    <row r="1420" customFormat="false" ht="15" hidden="false" customHeight="true" outlineLevel="1" collapsed="false">
      <c r="A1420" s="429"/>
      <c r="B1420" s="429"/>
      <c r="C1420" s="429"/>
      <c r="D1420" s="430"/>
      <c r="E1420" s="431"/>
      <c r="F1420" s="431"/>
      <c r="G1420" s="429"/>
      <c r="H1420" s="432"/>
      <c r="I1420" s="432"/>
      <c r="J1420" s="432"/>
      <c r="K1420" s="328"/>
      <c r="L1420" s="396"/>
      <c r="M1420" s="396"/>
      <c r="N1420" s="396"/>
      <c r="O1420" s="396"/>
      <c r="P1420" s="396"/>
      <c r="Q1420" s="328"/>
      <c r="R1420" s="328"/>
      <c r="S1420" s="328"/>
      <c r="T1420" s="328"/>
      <c r="U1420" s="328"/>
      <c r="V1420" s="328"/>
    </row>
    <row r="1421" customFormat="false" ht="15" hidden="false" customHeight="true" outlineLevel="1" collapsed="false">
      <c r="A1421" s="429"/>
      <c r="B1421" s="429"/>
      <c r="C1421" s="429"/>
      <c r="D1421" s="430"/>
      <c r="E1421" s="431"/>
      <c r="F1421" s="431"/>
      <c r="G1421" s="429"/>
      <c r="H1421" s="432"/>
      <c r="I1421" s="432"/>
      <c r="J1421" s="432"/>
      <c r="K1421" s="328"/>
      <c r="L1421" s="396"/>
      <c r="M1421" s="396"/>
      <c r="N1421" s="396"/>
      <c r="O1421" s="396"/>
      <c r="P1421" s="396"/>
      <c r="Q1421" s="328"/>
      <c r="R1421" s="328"/>
      <c r="S1421" s="328"/>
      <c r="T1421" s="328"/>
      <c r="U1421" s="328"/>
      <c r="V1421" s="328"/>
    </row>
    <row r="1422" customFormat="false" ht="15" hidden="false" customHeight="true" outlineLevel="1" collapsed="false">
      <c r="A1422" s="429"/>
      <c r="B1422" s="429"/>
      <c r="C1422" s="429"/>
      <c r="D1422" s="430"/>
      <c r="E1422" s="431"/>
      <c r="F1422" s="431"/>
      <c r="G1422" s="429"/>
      <c r="H1422" s="432"/>
      <c r="I1422" s="432"/>
      <c r="J1422" s="432"/>
      <c r="K1422" s="328"/>
      <c r="L1422" s="396"/>
      <c r="M1422" s="396"/>
      <c r="N1422" s="396"/>
      <c r="O1422" s="396"/>
      <c r="P1422" s="396"/>
      <c r="Q1422" s="328"/>
      <c r="R1422" s="328"/>
      <c r="S1422" s="328"/>
      <c r="T1422" s="328"/>
      <c r="U1422" s="328"/>
      <c r="V1422" s="328"/>
    </row>
    <row r="1423" customFormat="false" ht="15" hidden="false" customHeight="true" outlineLevel="1" collapsed="false">
      <c r="A1423" s="429"/>
      <c r="B1423" s="429"/>
      <c r="C1423" s="429"/>
      <c r="D1423" s="430"/>
      <c r="E1423" s="431"/>
      <c r="F1423" s="431"/>
      <c r="G1423" s="429"/>
      <c r="H1423" s="432"/>
      <c r="I1423" s="432"/>
      <c r="J1423" s="432"/>
      <c r="K1423" s="328"/>
      <c r="L1423" s="396"/>
      <c r="M1423" s="396"/>
      <c r="N1423" s="396"/>
      <c r="O1423" s="396"/>
      <c r="P1423" s="396"/>
      <c r="Q1423" s="328"/>
      <c r="R1423" s="328"/>
      <c r="S1423" s="328"/>
      <c r="T1423" s="328"/>
      <c r="U1423" s="328"/>
      <c r="V1423" s="328"/>
    </row>
    <row r="1424" customFormat="false" ht="15" hidden="false" customHeight="true" outlineLevel="1" collapsed="false">
      <c r="A1424" s="429"/>
      <c r="B1424" s="429"/>
      <c r="C1424" s="429"/>
      <c r="D1424" s="430"/>
      <c r="E1424" s="431"/>
      <c r="F1424" s="431"/>
      <c r="G1424" s="429"/>
      <c r="H1424" s="432"/>
      <c r="I1424" s="432"/>
      <c r="J1424" s="432"/>
      <c r="K1424" s="328"/>
      <c r="L1424" s="396"/>
      <c r="M1424" s="396"/>
      <c r="N1424" s="396"/>
      <c r="O1424" s="396"/>
      <c r="P1424" s="396"/>
      <c r="Q1424" s="328"/>
      <c r="R1424" s="328"/>
      <c r="S1424" s="328"/>
      <c r="T1424" s="328"/>
      <c r="U1424" s="328"/>
      <c r="V1424" s="328"/>
    </row>
    <row r="1425" customFormat="false" ht="15" hidden="false" customHeight="true" outlineLevel="1" collapsed="false">
      <c r="A1425" s="429"/>
      <c r="B1425" s="429"/>
      <c r="C1425" s="429"/>
      <c r="D1425" s="430"/>
      <c r="E1425" s="431"/>
      <c r="F1425" s="431"/>
      <c r="G1425" s="429"/>
      <c r="H1425" s="432"/>
      <c r="I1425" s="432"/>
      <c r="J1425" s="432"/>
      <c r="K1425" s="328"/>
      <c r="L1425" s="396"/>
      <c r="M1425" s="396"/>
      <c r="N1425" s="396"/>
      <c r="O1425" s="396"/>
      <c r="P1425" s="396"/>
      <c r="Q1425" s="328"/>
      <c r="R1425" s="328"/>
      <c r="S1425" s="328"/>
      <c r="T1425" s="328"/>
      <c r="U1425" s="328"/>
      <c r="V1425" s="328"/>
    </row>
    <row r="1426" customFormat="false" ht="15" hidden="false" customHeight="true" outlineLevel="1" collapsed="false">
      <c r="A1426" s="429"/>
      <c r="B1426" s="429"/>
      <c r="C1426" s="429"/>
      <c r="D1426" s="430"/>
      <c r="E1426" s="431"/>
      <c r="F1426" s="431"/>
      <c r="G1426" s="429"/>
      <c r="H1426" s="432"/>
      <c r="I1426" s="432"/>
      <c r="J1426" s="432"/>
      <c r="K1426" s="328"/>
      <c r="L1426" s="396"/>
      <c r="M1426" s="396"/>
      <c r="N1426" s="396"/>
      <c r="O1426" s="396"/>
      <c r="P1426" s="396"/>
      <c r="Q1426" s="328"/>
      <c r="R1426" s="328"/>
      <c r="S1426" s="328"/>
      <c r="T1426" s="328"/>
      <c r="U1426" s="328"/>
      <c r="V1426" s="328"/>
    </row>
    <row r="1427" customFormat="false" ht="15" hidden="false" customHeight="true" outlineLevel="1" collapsed="false">
      <c r="A1427" s="429"/>
      <c r="B1427" s="429"/>
      <c r="C1427" s="429"/>
      <c r="D1427" s="430"/>
      <c r="E1427" s="431"/>
      <c r="F1427" s="431"/>
      <c r="G1427" s="429"/>
      <c r="H1427" s="432"/>
      <c r="I1427" s="432"/>
      <c r="J1427" s="432"/>
      <c r="K1427" s="328"/>
      <c r="L1427" s="396"/>
      <c r="M1427" s="396"/>
      <c r="N1427" s="396"/>
      <c r="O1427" s="396"/>
      <c r="P1427" s="396"/>
      <c r="Q1427" s="328"/>
      <c r="R1427" s="328"/>
      <c r="S1427" s="328"/>
      <c r="T1427" s="328"/>
      <c r="U1427" s="328"/>
      <c r="V1427" s="328"/>
    </row>
    <row r="1428" customFormat="false" ht="15" hidden="false" customHeight="true" outlineLevel="1" collapsed="false">
      <c r="A1428" s="429"/>
      <c r="B1428" s="429"/>
      <c r="C1428" s="429"/>
      <c r="D1428" s="430"/>
      <c r="E1428" s="431"/>
      <c r="F1428" s="431"/>
      <c r="G1428" s="429"/>
      <c r="H1428" s="432"/>
      <c r="I1428" s="432"/>
      <c r="J1428" s="432"/>
      <c r="K1428" s="328"/>
      <c r="L1428" s="396"/>
      <c r="M1428" s="396"/>
      <c r="N1428" s="396"/>
      <c r="O1428" s="396"/>
      <c r="P1428" s="396"/>
      <c r="Q1428" s="328"/>
      <c r="R1428" s="328"/>
      <c r="S1428" s="328"/>
      <c r="T1428" s="328"/>
      <c r="U1428" s="328"/>
      <c r="V1428" s="328"/>
    </row>
    <row r="1429" customFormat="false" ht="15" hidden="false" customHeight="true" outlineLevel="1" collapsed="false">
      <c r="A1429" s="429"/>
      <c r="B1429" s="429"/>
      <c r="C1429" s="429"/>
      <c r="D1429" s="430"/>
      <c r="E1429" s="431"/>
      <c r="F1429" s="431"/>
      <c r="G1429" s="429"/>
      <c r="H1429" s="432"/>
      <c r="I1429" s="432"/>
      <c r="J1429" s="432"/>
      <c r="K1429" s="328"/>
      <c r="L1429" s="396"/>
      <c r="M1429" s="396"/>
      <c r="N1429" s="396"/>
      <c r="O1429" s="396"/>
      <c r="P1429" s="396"/>
      <c r="Q1429" s="328"/>
      <c r="R1429" s="328"/>
      <c r="S1429" s="328"/>
      <c r="T1429" s="328"/>
      <c r="U1429" s="328"/>
      <c r="V1429" s="328"/>
    </row>
    <row r="1430" customFormat="false" ht="15" hidden="false" customHeight="true" outlineLevel="1" collapsed="false">
      <c r="A1430" s="429"/>
      <c r="B1430" s="429"/>
      <c r="C1430" s="429"/>
      <c r="D1430" s="430"/>
      <c r="E1430" s="431"/>
      <c r="F1430" s="431"/>
      <c r="G1430" s="429"/>
      <c r="H1430" s="432"/>
      <c r="I1430" s="432"/>
      <c r="J1430" s="432"/>
      <c r="K1430" s="328"/>
      <c r="L1430" s="396"/>
      <c r="M1430" s="396"/>
      <c r="N1430" s="396"/>
      <c r="O1430" s="396"/>
      <c r="P1430" s="396"/>
      <c r="Q1430" s="328"/>
      <c r="R1430" s="328"/>
      <c r="S1430" s="328"/>
      <c r="T1430" s="328"/>
      <c r="U1430" s="328"/>
      <c r="V1430" s="328"/>
    </row>
    <row r="1431" customFormat="false" ht="15" hidden="false" customHeight="true" outlineLevel="1" collapsed="false">
      <c r="A1431" s="429"/>
      <c r="B1431" s="429"/>
      <c r="C1431" s="429"/>
      <c r="D1431" s="430"/>
      <c r="E1431" s="431"/>
      <c r="F1431" s="431"/>
      <c r="G1431" s="429"/>
      <c r="H1431" s="432"/>
      <c r="I1431" s="432"/>
      <c r="J1431" s="432"/>
      <c r="K1431" s="328"/>
      <c r="L1431" s="396"/>
      <c r="M1431" s="396"/>
      <c r="N1431" s="396"/>
      <c r="O1431" s="396"/>
      <c r="P1431" s="396"/>
      <c r="Q1431" s="328"/>
      <c r="R1431" s="328"/>
      <c r="S1431" s="328"/>
      <c r="T1431" s="328"/>
      <c r="U1431" s="328"/>
      <c r="V1431" s="328"/>
    </row>
    <row r="1432" customFormat="false" ht="15" hidden="false" customHeight="true" outlineLevel="1" collapsed="false">
      <c r="A1432" s="429"/>
      <c r="B1432" s="429"/>
      <c r="C1432" s="429"/>
      <c r="D1432" s="430"/>
      <c r="E1432" s="431"/>
      <c r="F1432" s="431"/>
      <c r="G1432" s="429"/>
      <c r="H1432" s="432"/>
      <c r="I1432" s="432"/>
      <c r="J1432" s="432"/>
      <c r="K1432" s="328"/>
      <c r="L1432" s="396"/>
      <c r="M1432" s="396"/>
      <c r="N1432" s="396"/>
      <c r="O1432" s="396"/>
      <c r="P1432" s="396"/>
      <c r="Q1432" s="328"/>
      <c r="R1432" s="328"/>
      <c r="S1432" s="328"/>
      <c r="T1432" s="328"/>
      <c r="U1432" s="328"/>
      <c r="V1432" s="328"/>
    </row>
    <row r="1433" customFormat="false" ht="15" hidden="false" customHeight="true" outlineLevel="1" collapsed="false">
      <c r="A1433" s="429"/>
      <c r="B1433" s="429"/>
      <c r="C1433" s="429"/>
      <c r="D1433" s="430"/>
      <c r="E1433" s="431"/>
      <c r="F1433" s="431"/>
      <c r="G1433" s="429"/>
      <c r="H1433" s="432"/>
      <c r="I1433" s="432"/>
      <c r="J1433" s="432"/>
      <c r="K1433" s="328"/>
      <c r="L1433" s="396"/>
      <c r="M1433" s="396"/>
      <c r="N1433" s="396"/>
      <c r="O1433" s="396"/>
      <c r="P1433" s="396"/>
      <c r="Q1433" s="328"/>
      <c r="R1433" s="328"/>
      <c r="S1433" s="328"/>
      <c r="T1433" s="328"/>
      <c r="U1433" s="328"/>
      <c r="V1433" s="328"/>
    </row>
    <row r="1434" customFormat="false" ht="15" hidden="false" customHeight="true" outlineLevel="1" collapsed="false">
      <c r="A1434" s="429"/>
      <c r="B1434" s="429"/>
      <c r="C1434" s="429"/>
      <c r="D1434" s="430"/>
      <c r="E1434" s="431"/>
      <c r="F1434" s="431"/>
      <c r="G1434" s="429"/>
      <c r="H1434" s="432"/>
      <c r="I1434" s="432"/>
      <c r="J1434" s="432"/>
      <c r="K1434" s="328"/>
      <c r="L1434" s="396"/>
      <c r="M1434" s="396"/>
      <c r="N1434" s="396"/>
      <c r="O1434" s="396"/>
      <c r="P1434" s="396"/>
      <c r="Q1434" s="328"/>
      <c r="R1434" s="328"/>
      <c r="S1434" s="328"/>
      <c r="T1434" s="328"/>
      <c r="U1434" s="328"/>
      <c r="V1434" s="328"/>
    </row>
    <row r="1435" customFormat="false" ht="15" hidden="false" customHeight="true" outlineLevel="1" collapsed="false">
      <c r="A1435" s="429"/>
      <c r="B1435" s="429"/>
      <c r="C1435" s="429"/>
      <c r="D1435" s="430"/>
      <c r="E1435" s="431"/>
      <c r="F1435" s="431"/>
      <c r="G1435" s="429"/>
      <c r="H1435" s="432"/>
      <c r="I1435" s="432"/>
      <c r="J1435" s="432"/>
      <c r="K1435" s="328"/>
      <c r="L1435" s="396"/>
      <c r="M1435" s="396"/>
      <c r="N1435" s="396"/>
      <c r="O1435" s="396"/>
      <c r="P1435" s="396"/>
      <c r="Q1435" s="328"/>
      <c r="R1435" s="328"/>
      <c r="S1435" s="328"/>
      <c r="T1435" s="328"/>
      <c r="U1435" s="328"/>
      <c r="V1435" s="328"/>
    </row>
    <row r="1436" customFormat="false" ht="15" hidden="false" customHeight="true" outlineLevel="1" collapsed="false">
      <c r="A1436" s="429"/>
      <c r="B1436" s="429"/>
      <c r="C1436" s="429"/>
      <c r="D1436" s="430"/>
      <c r="E1436" s="431"/>
      <c r="F1436" s="431"/>
      <c r="G1436" s="429"/>
      <c r="H1436" s="432"/>
      <c r="I1436" s="432"/>
      <c r="J1436" s="432"/>
      <c r="K1436" s="328"/>
      <c r="L1436" s="396"/>
      <c r="M1436" s="396"/>
      <c r="N1436" s="396"/>
      <c r="O1436" s="396"/>
      <c r="P1436" s="396"/>
      <c r="Q1436" s="328"/>
      <c r="R1436" s="328"/>
      <c r="S1436" s="328"/>
      <c r="T1436" s="328"/>
      <c r="U1436" s="328"/>
      <c r="V1436" s="328"/>
    </row>
    <row r="1437" customFormat="false" ht="15" hidden="false" customHeight="true" outlineLevel="1" collapsed="false">
      <c r="A1437" s="429"/>
      <c r="B1437" s="429"/>
      <c r="C1437" s="429"/>
      <c r="D1437" s="430"/>
      <c r="E1437" s="431"/>
      <c r="F1437" s="431"/>
      <c r="G1437" s="429"/>
      <c r="H1437" s="432"/>
      <c r="I1437" s="432"/>
      <c r="J1437" s="432"/>
      <c r="K1437" s="328"/>
      <c r="L1437" s="396"/>
      <c r="M1437" s="396"/>
      <c r="N1437" s="396"/>
      <c r="O1437" s="396"/>
      <c r="P1437" s="396"/>
      <c r="Q1437" s="328"/>
      <c r="R1437" s="328"/>
      <c r="S1437" s="328"/>
      <c r="T1437" s="328"/>
      <c r="U1437" s="328"/>
      <c r="V1437" s="328"/>
    </row>
    <row r="1438" customFormat="false" ht="15" hidden="false" customHeight="true" outlineLevel="1" collapsed="false">
      <c r="A1438" s="429"/>
      <c r="B1438" s="429"/>
      <c r="C1438" s="429"/>
      <c r="D1438" s="430"/>
      <c r="E1438" s="431"/>
      <c r="F1438" s="431"/>
      <c r="G1438" s="429"/>
      <c r="H1438" s="432"/>
      <c r="I1438" s="432"/>
      <c r="J1438" s="432"/>
      <c r="K1438" s="328"/>
      <c r="L1438" s="396"/>
      <c r="M1438" s="396"/>
      <c r="N1438" s="396"/>
      <c r="O1438" s="396"/>
      <c r="P1438" s="396"/>
      <c r="Q1438" s="328"/>
      <c r="R1438" s="328"/>
      <c r="S1438" s="328"/>
      <c r="T1438" s="328"/>
      <c r="U1438" s="328"/>
      <c r="V1438" s="328"/>
    </row>
    <row r="1439" customFormat="false" ht="15" hidden="false" customHeight="true" outlineLevel="1" collapsed="false">
      <c r="A1439" s="429"/>
      <c r="B1439" s="429"/>
      <c r="C1439" s="429"/>
      <c r="D1439" s="430"/>
      <c r="E1439" s="431"/>
      <c r="F1439" s="431"/>
      <c r="G1439" s="429"/>
      <c r="H1439" s="432"/>
      <c r="I1439" s="432"/>
      <c r="J1439" s="432"/>
      <c r="K1439" s="328"/>
      <c r="L1439" s="396"/>
      <c r="M1439" s="396"/>
      <c r="N1439" s="396"/>
      <c r="O1439" s="396"/>
      <c r="P1439" s="396"/>
      <c r="Q1439" s="328"/>
      <c r="R1439" s="328"/>
      <c r="S1439" s="328"/>
      <c r="T1439" s="328"/>
      <c r="U1439" s="328"/>
      <c r="V1439" s="328"/>
    </row>
    <row r="1440" customFormat="false" ht="15" hidden="false" customHeight="true" outlineLevel="1" collapsed="false">
      <c r="A1440" s="429"/>
      <c r="B1440" s="429"/>
      <c r="C1440" s="429"/>
      <c r="D1440" s="430"/>
      <c r="E1440" s="431"/>
      <c r="F1440" s="431"/>
      <c r="G1440" s="429"/>
      <c r="H1440" s="432"/>
      <c r="I1440" s="432"/>
      <c r="J1440" s="432"/>
      <c r="K1440" s="328"/>
      <c r="L1440" s="396"/>
      <c r="M1440" s="396"/>
      <c r="N1440" s="396"/>
      <c r="O1440" s="396"/>
      <c r="P1440" s="396"/>
      <c r="Q1440" s="328"/>
      <c r="R1440" s="328"/>
      <c r="S1440" s="328"/>
      <c r="T1440" s="328"/>
      <c r="U1440" s="328"/>
      <c r="V1440" s="328"/>
    </row>
    <row r="1441" customFormat="false" ht="15" hidden="false" customHeight="true" outlineLevel="1" collapsed="false">
      <c r="A1441" s="429"/>
      <c r="B1441" s="429"/>
      <c r="C1441" s="429"/>
      <c r="D1441" s="430"/>
      <c r="E1441" s="431"/>
      <c r="F1441" s="431"/>
      <c r="G1441" s="429"/>
      <c r="H1441" s="432"/>
      <c r="I1441" s="432"/>
      <c r="J1441" s="432"/>
      <c r="K1441" s="328"/>
      <c r="L1441" s="396"/>
      <c r="M1441" s="396"/>
      <c r="N1441" s="396"/>
      <c r="O1441" s="396"/>
      <c r="P1441" s="396"/>
      <c r="Q1441" s="328"/>
      <c r="R1441" s="328"/>
      <c r="S1441" s="328"/>
      <c r="T1441" s="328"/>
      <c r="U1441" s="328"/>
      <c r="V1441" s="328"/>
    </row>
    <row r="1442" customFormat="false" ht="15" hidden="false" customHeight="true" outlineLevel="1" collapsed="false">
      <c r="A1442" s="429"/>
      <c r="B1442" s="429"/>
      <c r="C1442" s="429"/>
      <c r="D1442" s="430"/>
      <c r="E1442" s="431"/>
      <c r="F1442" s="431"/>
      <c r="G1442" s="429"/>
      <c r="H1442" s="432"/>
      <c r="I1442" s="432"/>
      <c r="J1442" s="432"/>
      <c r="K1442" s="328"/>
      <c r="L1442" s="396"/>
      <c r="M1442" s="396"/>
      <c r="N1442" s="396"/>
      <c r="O1442" s="396"/>
      <c r="P1442" s="396"/>
      <c r="Q1442" s="328"/>
      <c r="R1442" s="328"/>
      <c r="S1442" s="328"/>
      <c r="T1442" s="328"/>
      <c r="U1442" s="328"/>
      <c r="V1442" s="328"/>
    </row>
    <row r="1443" customFormat="false" ht="15" hidden="false" customHeight="true" outlineLevel="1" collapsed="false">
      <c r="A1443" s="429"/>
      <c r="B1443" s="429"/>
      <c r="C1443" s="429"/>
      <c r="D1443" s="430"/>
      <c r="E1443" s="431"/>
      <c r="F1443" s="431"/>
      <c r="G1443" s="429"/>
      <c r="H1443" s="432"/>
      <c r="I1443" s="432"/>
      <c r="J1443" s="432"/>
      <c r="K1443" s="328"/>
      <c r="L1443" s="396"/>
      <c r="M1443" s="396"/>
      <c r="N1443" s="396"/>
      <c r="O1443" s="396"/>
      <c r="P1443" s="396"/>
      <c r="Q1443" s="328"/>
      <c r="R1443" s="328"/>
      <c r="S1443" s="328"/>
      <c r="T1443" s="328"/>
      <c r="U1443" s="328"/>
      <c r="V1443" s="328"/>
    </row>
    <row r="1444" customFormat="false" ht="15" hidden="false" customHeight="true" outlineLevel="1" collapsed="false">
      <c r="A1444" s="429"/>
      <c r="B1444" s="429"/>
      <c r="C1444" s="429"/>
      <c r="D1444" s="430"/>
      <c r="E1444" s="431"/>
      <c r="F1444" s="431"/>
      <c r="G1444" s="429"/>
      <c r="H1444" s="432"/>
      <c r="I1444" s="432"/>
      <c r="J1444" s="432"/>
      <c r="K1444" s="328"/>
      <c r="L1444" s="396"/>
      <c r="M1444" s="396"/>
      <c r="N1444" s="396"/>
      <c r="O1444" s="396"/>
      <c r="P1444" s="396"/>
      <c r="Q1444" s="328"/>
      <c r="R1444" s="328"/>
      <c r="S1444" s="328"/>
      <c r="T1444" s="328"/>
      <c r="U1444" s="328"/>
      <c r="V1444" s="328"/>
    </row>
    <row r="1445" customFormat="false" ht="15" hidden="false" customHeight="true" outlineLevel="1" collapsed="false">
      <c r="A1445" s="429"/>
      <c r="B1445" s="429"/>
      <c r="C1445" s="429"/>
      <c r="D1445" s="430"/>
      <c r="E1445" s="431"/>
      <c r="F1445" s="431"/>
      <c r="G1445" s="429"/>
      <c r="H1445" s="432"/>
      <c r="I1445" s="432"/>
      <c r="J1445" s="432"/>
      <c r="K1445" s="328"/>
      <c r="L1445" s="396"/>
      <c r="M1445" s="396"/>
      <c r="N1445" s="396"/>
      <c r="O1445" s="396"/>
      <c r="P1445" s="396"/>
      <c r="Q1445" s="328"/>
      <c r="R1445" s="328"/>
      <c r="S1445" s="328"/>
      <c r="T1445" s="328"/>
      <c r="U1445" s="328"/>
      <c r="V1445" s="328"/>
    </row>
    <row r="1446" customFormat="false" ht="15" hidden="false" customHeight="true" outlineLevel="1" collapsed="false">
      <c r="A1446" s="429"/>
      <c r="B1446" s="429"/>
      <c r="C1446" s="429"/>
      <c r="D1446" s="430"/>
      <c r="E1446" s="431"/>
      <c r="F1446" s="431"/>
      <c r="G1446" s="429"/>
      <c r="H1446" s="432"/>
      <c r="I1446" s="432"/>
      <c r="J1446" s="432"/>
      <c r="K1446" s="328"/>
      <c r="L1446" s="396"/>
      <c r="M1446" s="396"/>
      <c r="N1446" s="396"/>
      <c r="O1446" s="396"/>
      <c r="P1446" s="396"/>
      <c r="Q1446" s="328"/>
      <c r="R1446" s="328"/>
      <c r="S1446" s="328"/>
      <c r="T1446" s="328"/>
      <c r="U1446" s="328"/>
      <c r="V1446" s="328"/>
    </row>
    <row r="1447" customFormat="false" ht="15" hidden="false" customHeight="true" outlineLevel="1" collapsed="false">
      <c r="A1447" s="429"/>
      <c r="B1447" s="429"/>
      <c r="C1447" s="429"/>
      <c r="D1447" s="430"/>
      <c r="E1447" s="431"/>
      <c r="F1447" s="431"/>
      <c r="G1447" s="429"/>
      <c r="H1447" s="432"/>
      <c r="I1447" s="432"/>
      <c r="J1447" s="432"/>
      <c r="K1447" s="328"/>
      <c r="L1447" s="396"/>
      <c r="M1447" s="396"/>
      <c r="N1447" s="396"/>
      <c r="O1447" s="396"/>
      <c r="P1447" s="396"/>
      <c r="Q1447" s="328"/>
      <c r="R1447" s="328"/>
      <c r="S1447" s="328"/>
      <c r="T1447" s="328"/>
      <c r="U1447" s="328"/>
      <c r="V1447" s="328"/>
    </row>
    <row r="1448" customFormat="false" ht="15" hidden="false" customHeight="true" outlineLevel="1" collapsed="false">
      <c r="A1448" s="429"/>
      <c r="B1448" s="429"/>
      <c r="C1448" s="429"/>
      <c r="D1448" s="430"/>
      <c r="E1448" s="431"/>
      <c r="F1448" s="431"/>
      <c r="G1448" s="429"/>
      <c r="H1448" s="432"/>
      <c r="I1448" s="432"/>
      <c r="J1448" s="432"/>
      <c r="K1448" s="328"/>
      <c r="L1448" s="396"/>
      <c r="M1448" s="396"/>
      <c r="N1448" s="396"/>
      <c r="O1448" s="396"/>
      <c r="P1448" s="396"/>
      <c r="Q1448" s="328"/>
      <c r="R1448" s="328"/>
      <c r="S1448" s="328"/>
      <c r="T1448" s="328"/>
      <c r="U1448" s="328"/>
      <c r="V1448" s="328"/>
    </row>
    <row r="1449" customFormat="false" ht="15" hidden="false" customHeight="true" outlineLevel="1" collapsed="false">
      <c r="A1449" s="429"/>
      <c r="B1449" s="429"/>
      <c r="C1449" s="429"/>
      <c r="D1449" s="430"/>
      <c r="E1449" s="431"/>
      <c r="F1449" s="431"/>
      <c r="G1449" s="429"/>
      <c r="H1449" s="432"/>
      <c r="I1449" s="432"/>
      <c r="J1449" s="432"/>
      <c r="K1449" s="328"/>
      <c r="L1449" s="396"/>
      <c r="M1449" s="396"/>
      <c r="N1449" s="396"/>
      <c r="O1449" s="396"/>
      <c r="P1449" s="396"/>
      <c r="Q1449" s="328"/>
      <c r="R1449" s="328"/>
      <c r="S1449" s="328"/>
      <c r="T1449" s="328"/>
      <c r="U1449" s="328"/>
      <c r="V1449" s="328"/>
    </row>
    <row r="1450" customFormat="false" ht="15" hidden="false" customHeight="true" outlineLevel="1" collapsed="false">
      <c r="A1450" s="429"/>
      <c r="B1450" s="429"/>
      <c r="C1450" s="429"/>
      <c r="D1450" s="430"/>
      <c r="E1450" s="431"/>
      <c r="F1450" s="431"/>
      <c r="G1450" s="429"/>
      <c r="H1450" s="432"/>
      <c r="I1450" s="432"/>
      <c r="J1450" s="432"/>
      <c r="K1450" s="328"/>
      <c r="L1450" s="396"/>
      <c r="M1450" s="396"/>
      <c r="N1450" s="396"/>
      <c r="O1450" s="396"/>
      <c r="P1450" s="396"/>
      <c r="Q1450" s="328"/>
      <c r="R1450" s="328"/>
      <c r="S1450" s="328"/>
      <c r="T1450" s="328"/>
      <c r="U1450" s="328"/>
      <c r="V1450" s="328"/>
    </row>
    <row r="1451" customFormat="false" ht="15" hidden="false" customHeight="true" outlineLevel="1" collapsed="false">
      <c r="A1451" s="429"/>
      <c r="B1451" s="429"/>
      <c r="C1451" s="429"/>
      <c r="D1451" s="430"/>
      <c r="E1451" s="431"/>
      <c r="F1451" s="431"/>
      <c r="G1451" s="429"/>
      <c r="H1451" s="432"/>
      <c r="I1451" s="432"/>
      <c r="J1451" s="432"/>
      <c r="K1451" s="328"/>
      <c r="L1451" s="396"/>
      <c r="M1451" s="396"/>
      <c r="N1451" s="396"/>
      <c r="O1451" s="396"/>
      <c r="P1451" s="396"/>
      <c r="Q1451" s="328"/>
      <c r="R1451" s="328"/>
      <c r="S1451" s="328"/>
      <c r="T1451" s="328"/>
      <c r="U1451" s="328"/>
      <c r="V1451" s="328"/>
    </row>
    <row r="1452" customFormat="false" ht="15" hidden="false" customHeight="true" outlineLevel="1" collapsed="false">
      <c r="A1452" s="429"/>
      <c r="B1452" s="429"/>
      <c r="C1452" s="429"/>
      <c r="D1452" s="430"/>
      <c r="E1452" s="431"/>
      <c r="F1452" s="431"/>
      <c r="G1452" s="429"/>
      <c r="H1452" s="432"/>
      <c r="I1452" s="432"/>
      <c r="J1452" s="432"/>
      <c r="K1452" s="328"/>
      <c r="L1452" s="396"/>
      <c r="M1452" s="396"/>
      <c r="N1452" s="396"/>
      <c r="O1452" s="396"/>
      <c r="P1452" s="396"/>
      <c r="Q1452" s="328"/>
      <c r="R1452" s="328"/>
      <c r="S1452" s="328"/>
      <c r="T1452" s="328"/>
      <c r="U1452" s="328"/>
      <c r="V1452" s="328"/>
    </row>
    <row r="1453" customFormat="false" ht="15" hidden="false" customHeight="true" outlineLevel="1" collapsed="false">
      <c r="A1453" s="429"/>
      <c r="B1453" s="429"/>
      <c r="C1453" s="429"/>
      <c r="D1453" s="430"/>
      <c r="E1453" s="431"/>
      <c r="F1453" s="431"/>
      <c r="G1453" s="429"/>
      <c r="H1453" s="432"/>
      <c r="I1453" s="432"/>
      <c r="J1453" s="432"/>
      <c r="K1453" s="328"/>
      <c r="L1453" s="396"/>
      <c r="M1453" s="396"/>
      <c r="N1453" s="396"/>
      <c r="O1453" s="396"/>
      <c r="P1453" s="396"/>
      <c r="Q1453" s="328"/>
      <c r="R1453" s="328"/>
      <c r="S1453" s="328"/>
      <c r="T1453" s="328"/>
      <c r="U1453" s="328"/>
      <c r="V1453" s="328"/>
    </row>
    <row r="1454" customFormat="false" ht="15" hidden="false" customHeight="true" outlineLevel="1" collapsed="false">
      <c r="A1454" s="429"/>
      <c r="B1454" s="429"/>
      <c r="C1454" s="429"/>
      <c r="D1454" s="430"/>
      <c r="E1454" s="431"/>
      <c r="F1454" s="431"/>
      <c r="G1454" s="429"/>
      <c r="H1454" s="432"/>
      <c r="I1454" s="432"/>
      <c r="J1454" s="432"/>
      <c r="K1454" s="328"/>
      <c r="L1454" s="396"/>
      <c r="M1454" s="396"/>
      <c r="N1454" s="396"/>
      <c r="O1454" s="396"/>
      <c r="P1454" s="396"/>
      <c r="Q1454" s="328"/>
      <c r="R1454" s="328"/>
      <c r="S1454" s="328"/>
      <c r="T1454" s="328"/>
      <c r="U1454" s="328"/>
      <c r="V1454" s="328"/>
    </row>
    <row r="1455" customFormat="false" ht="15" hidden="false" customHeight="true" outlineLevel="1" collapsed="false">
      <c r="A1455" s="429"/>
      <c r="B1455" s="429"/>
      <c r="C1455" s="429"/>
      <c r="D1455" s="430"/>
      <c r="E1455" s="431"/>
      <c r="F1455" s="431"/>
      <c r="G1455" s="429"/>
      <c r="H1455" s="432"/>
      <c r="I1455" s="432"/>
      <c r="J1455" s="432"/>
      <c r="K1455" s="328"/>
      <c r="L1455" s="396"/>
      <c r="M1455" s="396"/>
      <c r="N1455" s="396"/>
      <c r="O1455" s="396"/>
      <c r="P1455" s="396"/>
      <c r="Q1455" s="328"/>
      <c r="R1455" s="328"/>
      <c r="S1455" s="328"/>
      <c r="T1455" s="328"/>
      <c r="U1455" s="328"/>
      <c r="V1455" s="328"/>
    </row>
    <row r="1456" customFormat="false" ht="15" hidden="false" customHeight="true" outlineLevel="1" collapsed="false">
      <c r="A1456" s="429"/>
      <c r="B1456" s="429"/>
      <c r="C1456" s="429"/>
      <c r="D1456" s="430"/>
      <c r="E1456" s="431"/>
      <c r="F1456" s="431"/>
      <c r="G1456" s="429"/>
      <c r="H1456" s="432"/>
      <c r="I1456" s="432"/>
      <c r="J1456" s="432"/>
      <c r="K1456" s="328"/>
      <c r="L1456" s="396"/>
      <c r="M1456" s="396"/>
      <c r="N1456" s="396"/>
      <c r="O1456" s="396"/>
      <c r="P1456" s="396"/>
      <c r="Q1456" s="328"/>
      <c r="R1456" s="328"/>
      <c r="S1456" s="328"/>
      <c r="T1456" s="328"/>
      <c r="U1456" s="328"/>
      <c r="V1456" s="328"/>
    </row>
    <row r="1457" customFormat="false" ht="15" hidden="false" customHeight="true" outlineLevel="1" collapsed="false">
      <c r="A1457" s="429"/>
      <c r="B1457" s="429"/>
      <c r="C1457" s="429"/>
      <c r="D1457" s="430"/>
      <c r="E1457" s="431"/>
      <c r="F1457" s="431"/>
      <c r="G1457" s="429"/>
      <c r="H1457" s="432"/>
      <c r="I1457" s="432"/>
      <c r="J1457" s="432"/>
      <c r="K1457" s="328"/>
      <c r="L1457" s="396"/>
      <c r="M1457" s="396"/>
      <c r="N1457" s="396"/>
      <c r="O1457" s="396"/>
      <c r="P1457" s="396"/>
      <c r="Q1457" s="328"/>
      <c r="R1457" s="328"/>
      <c r="S1457" s="328"/>
      <c r="T1457" s="328"/>
      <c r="U1457" s="328"/>
      <c r="V1457" s="328"/>
    </row>
    <row r="1458" customFormat="false" ht="15" hidden="false" customHeight="true" outlineLevel="1" collapsed="false">
      <c r="A1458" s="429"/>
      <c r="B1458" s="429"/>
      <c r="C1458" s="429"/>
      <c r="D1458" s="430"/>
      <c r="E1458" s="431"/>
      <c r="F1458" s="431"/>
      <c r="G1458" s="429"/>
      <c r="H1458" s="432"/>
      <c r="I1458" s="432"/>
      <c r="J1458" s="432"/>
      <c r="K1458" s="328"/>
      <c r="L1458" s="396"/>
      <c r="M1458" s="396"/>
      <c r="N1458" s="396"/>
      <c r="O1458" s="396"/>
      <c r="P1458" s="396"/>
      <c r="Q1458" s="328"/>
      <c r="R1458" s="328"/>
      <c r="S1458" s="328"/>
      <c r="T1458" s="328"/>
      <c r="U1458" s="328"/>
      <c r="V1458" s="328"/>
    </row>
    <row r="1459" customFormat="false" ht="15" hidden="false" customHeight="true" outlineLevel="1" collapsed="false">
      <c r="A1459" s="429"/>
      <c r="B1459" s="429"/>
      <c r="C1459" s="429"/>
      <c r="D1459" s="430"/>
      <c r="E1459" s="431"/>
      <c r="F1459" s="431"/>
      <c r="G1459" s="429"/>
      <c r="H1459" s="432"/>
      <c r="I1459" s="432"/>
      <c r="J1459" s="432"/>
      <c r="K1459" s="328"/>
      <c r="L1459" s="396"/>
      <c r="M1459" s="396"/>
      <c r="N1459" s="396"/>
      <c r="O1459" s="396"/>
      <c r="P1459" s="396"/>
      <c r="Q1459" s="328"/>
      <c r="R1459" s="328"/>
      <c r="S1459" s="328"/>
      <c r="T1459" s="328"/>
      <c r="U1459" s="328"/>
      <c r="V1459" s="328"/>
    </row>
    <row r="1460" customFormat="false" ht="15" hidden="false" customHeight="true" outlineLevel="1" collapsed="false">
      <c r="A1460" s="429"/>
      <c r="B1460" s="429"/>
      <c r="C1460" s="429"/>
      <c r="D1460" s="430"/>
      <c r="E1460" s="431"/>
      <c r="F1460" s="431"/>
      <c r="G1460" s="429"/>
      <c r="H1460" s="432"/>
      <c r="I1460" s="432"/>
      <c r="J1460" s="432"/>
      <c r="K1460" s="328"/>
      <c r="L1460" s="396"/>
      <c r="M1460" s="396"/>
      <c r="N1460" s="396"/>
      <c r="O1460" s="396"/>
      <c r="P1460" s="396"/>
      <c r="Q1460" s="328"/>
      <c r="R1460" s="328"/>
      <c r="S1460" s="328"/>
      <c r="T1460" s="328"/>
      <c r="U1460" s="328"/>
      <c r="V1460" s="328"/>
    </row>
    <row r="1461" customFormat="false" ht="15" hidden="false" customHeight="true" outlineLevel="1" collapsed="false">
      <c r="A1461" s="429"/>
      <c r="B1461" s="429"/>
      <c r="C1461" s="429"/>
      <c r="D1461" s="430"/>
      <c r="E1461" s="431"/>
      <c r="F1461" s="431"/>
      <c r="G1461" s="429"/>
      <c r="H1461" s="432"/>
      <c r="I1461" s="432"/>
      <c r="J1461" s="432"/>
      <c r="K1461" s="328"/>
      <c r="L1461" s="396"/>
      <c r="M1461" s="396"/>
      <c r="N1461" s="396"/>
      <c r="O1461" s="396"/>
      <c r="P1461" s="396"/>
      <c r="Q1461" s="328"/>
      <c r="R1461" s="328"/>
      <c r="S1461" s="328"/>
      <c r="T1461" s="328"/>
      <c r="U1461" s="328"/>
      <c r="V1461" s="328"/>
    </row>
    <row r="1462" customFormat="false" ht="15" hidden="false" customHeight="true" outlineLevel="1" collapsed="false">
      <c r="A1462" s="429"/>
      <c r="B1462" s="429"/>
      <c r="C1462" s="429"/>
      <c r="D1462" s="430"/>
      <c r="E1462" s="431"/>
      <c r="F1462" s="431"/>
      <c r="G1462" s="429"/>
      <c r="H1462" s="432"/>
      <c r="I1462" s="432"/>
      <c r="J1462" s="432"/>
      <c r="K1462" s="328"/>
      <c r="L1462" s="396"/>
      <c r="M1462" s="396"/>
      <c r="N1462" s="396"/>
      <c r="O1462" s="396"/>
      <c r="P1462" s="396"/>
      <c r="Q1462" s="328"/>
      <c r="R1462" s="328"/>
      <c r="S1462" s="328"/>
      <c r="T1462" s="328"/>
      <c r="U1462" s="328"/>
      <c r="V1462" s="328"/>
    </row>
    <row r="1463" customFormat="false" ht="15" hidden="false" customHeight="true" outlineLevel="1" collapsed="false">
      <c r="A1463" s="429"/>
      <c r="B1463" s="429"/>
      <c r="C1463" s="429"/>
      <c r="D1463" s="430"/>
      <c r="E1463" s="431"/>
      <c r="F1463" s="431"/>
      <c r="G1463" s="429"/>
      <c r="H1463" s="432"/>
      <c r="I1463" s="432"/>
      <c r="J1463" s="432"/>
      <c r="K1463" s="328"/>
      <c r="L1463" s="396"/>
      <c r="M1463" s="396"/>
      <c r="N1463" s="396"/>
      <c r="O1463" s="396"/>
      <c r="P1463" s="396"/>
      <c r="Q1463" s="328"/>
      <c r="R1463" s="328"/>
      <c r="S1463" s="328"/>
      <c r="T1463" s="328"/>
      <c r="U1463" s="328"/>
      <c r="V1463" s="328"/>
    </row>
    <row r="1464" customFormat="false" ht="15" hidden="false" customHeight="true" outlineLevel="1" collapsed="false">
      <c r="A1464" s="429"/>
      <c r="B1464" s="429"/>
      <c r="C1464" s="429"/>
      <c r="D1464" s="430"/>
      <c r="E1464" s="431"/>
      <c r="F1464" s="431"/>
      <c r="G1464" s="429"/>
      <c r="H1464" s="432"/>
      <c r="I1464" s="432"/>
      <c r="J1464" s="432"/>
      <c r="K1464" s="328"/>
      <c r="L1464" s="396"/>
      <c r="M1464" s="396"/>
      <c r="N1464" s="396"/>
      <c r="O1464" s="396"/>
      <c r="P1464" s="396"/>
      <c r="Q1464" s="328"/>
      <c r="R1464" s="328"/>
      <c r="S1464" s="328"/>
      <c r="T1464" s="328"/>
      <c r="U1464" s="328"/>
      <c r="V1464" s="328"/>
    </row>
    <row r="1465" customFormat="false" ht="15" hidden="false" customHeight="true" outlineLevel="1" collapsed="false">
      <c r="A1465" s="429"/>
      <c r="B1465" s="429"/>
      <c r="C1465" s="429"/>
      <c r="D1465" s="430"/>
      <c r="E1465" s="431"/>
      <c r="F1465" s="431"/>
      <c r="G1465" s="429"/>
      <c r="H1465" s="432"/>
      <c r="I1465" s="432"/>
      <c r="J1465" s="432"/>
      <c r="K1465" s="328"/>
      <c r="L1465" s="396"/>
      <c r="M1465" s="396"/>
      <c r="N1465" s="396"/>
      <c r="O1465" s="396"/>
      <c r="P1465" s="396"/>
      <c r="Q1465" s="328"/>
      <c r="R1465" s="328"/>
      <c r="S1465" s="328"/>
      <c r="T1465" s="328"/>
      <c r="U1465" s="328"/>
      <c r="V1465" s="328"/>
    </row>
    <row r="1466" customFormat="false" ht="15" hidden="false" customHeight="true" outlineLevel="1" collapsed="false">
      <c r="A1466" s="429"/>
      <c r="B1466" s="429"/>
      <c r="C1466" s="429"/>
      <c r="D1466" s="430"/>
      <c r="E1466" s="431"/>
      <c r="F1466" s="431"/>
      <c r="G1466" s="429"/>
      <c r="H1466" s="432"/>
      <c r="I1466" s="432"/>
      <c r="J1466" s="432"/>
      <c r="K1466" s="328"/>
      <c r="L1466" s="396"/>
      <c r="M1466" s="396"/>
      <c r="N1466" s="396"/>
      <c r="O1466" s="396"/>
      <c r="P1466" s="396"/>
      <c r="Q1466" s="328"/>
      <c r="R1466" s="328"/>
      <c r="S1466" s="328"/>
      <c r="T1466" s="328"/>
      <c r="U1466" s="328"/>
      <c r="V1466" s="328"/>
    </row>
    <row r="1467" customFormat="false" ht="15" hidden="false" customHeight="true" outlineLevel="1" collapsed="false">
      <c r="A1467" s="429"/>
      <c r="B1467" s="429"/>
      <c r="C1467" s="429"/>
      <c r="D1467" s="430"/>
      <c r="E1467" s="431"/>
      <c r="F1467" s="431"/>
      <c r="G1467" s="429"/>
      <c r="H1467" s="432"/>
      <c r="I1467" s="432"/>
      <c r="J1467" s="432"/>
      <c r="K1467" s="328"/>
      <c r="L1467" s="396"/>
      <c r="M1467" s="396"/>
      <c r="N1467" s="396"/>
      <c r="O1467" s="396"/>
      <c r="P1467" s="396"/>
      <c r="Q1467" s="328"/>
      <c r="R1467" s="328"/>
      <c r="S1467" s="328"/>
      <c r="T1467" s="328"/>
      <c r="U1467" s="328"/>
      <c r="V1467" s="328"/>
    </row>
    <row r="1468" customFormat="false" ht="15" hidden="false" customHeight="true" outlineLevel="1" collapsed="false">
      <c r="A1468" s="429"/>
      <c r="B1468" s="429"/>
      <c r="C1468" s="429"/>
      <c r="D1468" s="430"/>
      <c r="E1468" s="431"/>
      <c r="F1468" s="431"/>
      <c r="G1468" s="429"/>
      <c r="H1468" s="432"/>
      <c r="I1468" s="432"/>
      <c r="J1468" s="432"/>
      <c r="K1468" s="328"/>
      <c r="L1468" s="396"/>
      <c r="M1468" s="396"/>
      <c r="N1468" s="396"/>
      <c r="O1468" s="396"/>
      <c r="P1468" s="396"/>
      <c r="Q1468" s="328"/>
      <c r="R1468" s="328"/>
      <c r="S1468" s="328"/>
      <c r="T1468" s="328"/>
      <c r="U1468" s="328"/>
      <c r="V1468" s="328"/>
    </row>
    <row r="1469" customFormat="false" ht="15" hidden="false" customHeight="true" outlineLevel="1" collapsed="false">
      <c r="A1469" s="429"/>
      <c r="B1469" s="429"/>
      <c r="C1469" s="429"/>
      <c r="D1469" s="430"/>
      <c r="E1469" s="431"/>
      <c r="F1469" s="431"/>
      <c r="G1469" s="429"/>
      <c r="H1469" s="432"/>
      <c r="I1469" s="432"/>
      <c r="J1469" s="432"/>
      <c r="K1469" s="328"/>
      <c r="L1469" s="396"/>
      <c r="M1469" s="396"/>
      <c r="N1469" s="396"/>
      <c r="O1469" s="396"/>
      <c r="P1469" s="396"/>
      <c r="Q1469" s="328"/>
      <c r="R1469" s="328"/>
      <c r="S1469" s="328"/>
      <c r="T1469" s="328"/>
      <c r="U1469" s="328"/>
      <c r="V1469" s="328"/>
    </row>
    <row r="1470" customFormat="false" ht="15" hidden="false" customHeight="true" outlineLevel="1" collapsed="false">
      <c r="A1470" s="429"/>
      <c r="B1470" s="429"/>
      <c r="C1470" s="429"/>
      <c r="D1470" s="430"/>
      <c r="E1470" s="431"/>
      <c r="F1470" s="431"/>
      <c r="G1470" s="429"/>
      <c r="H1470" s="432"/>
      <c r="I1470" s="432"/>
      <c r="J1470" s="432"/>
      <c r="K1470" s="328"/>
      <c r="L1470" s="396"/>
      <c r="M1470" s="396"/>
      <c r="N1470" s="396"/>
      <c r="O1470" s="396"/>
      <c r="P1470" s="396"/>
      <c r="Q1470" s="328"/>
      <c r="R1470" s="328"/>
      <c r="S1470" s="328"/>
      <c r="T1470" s="328"/>
      <c r="U1470" s="328"/>
      <c r="V1470" s="328"/>
    </row>
    <row r="1471" customFormat="false" ht="15" hidden="false" customHeight="true" outlineLevel="1" collapsed="false">
      <c r="A1471" s="429"/>
      <c r="B1471" s="429"/>
      <c r="C1471" s="429"/>
      <c r="D1471" s="430"/>
      <c r="E1471" s="431"/>
      <c r="F1471" s="431"/>
      <c r="G1471" s="429"/>
      <c r="H1471" s="432"/>
      <c r="I1471" s="432"/>
      <c r="J1471" s="432"/>
      <c r="K1471" s="328"/>
      <c r="L1471" s="396"/>
      <c r="M1471" s="396"/>
      <c r="N1471" s="396"/>
      <c r="O1471" s="396"/>
      <c r="P1471" s="396"/>
      <c r="Q1471" s="328"/>
      <c r="R1471" s="328"/>
      <c r="S1471" s="328"/>
      <c r="T1471" s="328"/>
      <c r="U1471" s="328"/>
      <c r="V1471" s="328"/>
    </row>
    <row r="1472" customFormat="false" ht="15" hidden="false" customHeight="true" outlineLevel="1" collapsed="false">
      <c r="A1472" s="429"/>
      <c r="B1472" s="429"/>
      <c r="C1472" s="429"/>
      <c r="D1472" s="430"/>
      <c r="E1472" s="431"/>
      <c r="F1472" s="431"/>
      <c r="G1472" s="429"/>
      <c r="H1472" s="432"/>
      <c r="I1472" s="432"/>
      <c r="J1472" s="432"/>
      <c r="K1472" s="328"/>
      <c r="L1472" s="396"/>
      <c r="M1472" s="396"/>
      <c r="N1472" s="396"/>
      <c r="O1472" s="396"/>
      <c r="P1472" s="396"/>
      <c r="Q1472" s="328"/>
      <c r="R1472" s="328"/>
      <c r="S1472" s="328"/>
      <c r="T1472" s="328"/>
      <c r="U1472" s="328"/>
      <c r="V1472" s="328"/>
    </row>
    <row r="1473" customFormat="false" ht="15" hidden="false" customHeight="true" outlineLevel="1" collapsed="false">
      <c r="A1473" s="429"/>
      <c r="B1473" s="429"/>
      <c r="C1473" s="429"/>
      <c r="D1473" s="430"/>
      <c r="E1473" s="431"/>
      <c r="F1473" s="431"/>
      <c r="G1473" s="429"/>
      <c r="H1473" s="432"/>
      <c r="I1473" s="432"/>
      <c r="J1473" s="432"/>
      <c r="K1473" s="328"/>
      <c r="L1473" s="396"/>
      <c r="M1473" s="396"/>
      <c r="N1473" s="396"/>
      <c r="O1473" s="396"/>
      <c r="P1473" s="396"/>
      <c r="Q1473" s="328"/>
      <c r="R1473" s="328"/>
      <c r="S1473" s="328"/>
      <c r="T1473" s="328"/>
      <c r="U1473" s="328"/>
      <c r="V1473" s="328"/>
    </row>
    <row r="1474" customFormat="false" ht="15" hidden="false" customHeight="true" outlineLevel="1" collapsed="false">
      <c r="A1474" s="429"/>
      <c r="B1474" s="429"/>
      <c r="C1474" s="429"/>
      <c r="D1474" s="430"/>
      <c r="E1474" s="431"/>
      <c r="F1474" s="431"/>
      <c r="G1474" s="429"/>
      <c r="H1474" s="432"/>
      <c r="I1474" s="432"/>
      <c r="J1474" s="432"/>
      <c r="K1474" s="328"/>
      <c r="L1474" s="396"/>
      <c r="M1474" s="396"/>
      <c r="N1474" s="396"/>
      <c r="O1474" s="396"/>
      <c r="P1474" s="396"/>
      <c r="Q1474" s="328"/>
      <c r="R1474" s="328"/>
      <c r="S1474" s="328"/>
      <c r="T1474" s="328"/>
      <c r="U1474" s="328"/>
      <c r="V1474" s="328"/>
    </row>
    <row r="1475" customFormat="false" ht="15" hidden="false" customHeight="true" outlineLevel="1" collapsed="false">
      <c r="A1475" s="429"/>
      <c r="B1475" s="429"/>
      <c r="C1475" s="429"/>
      <c r="D1475" s="430"/>
      <c r="E1475" s="431"/>
      <c r="F1475" s="431"/>
      <c r="G1475" s="429"/>
      <c r="H1475" s="432"/>
      <c r="I1475" s="432"/>
      <c r="J1475" s="432"/>
      <c r="K1475" s="328"/>
      <c r="L1475" s="396"/>
      <c r="M1475" s="396"/>
      <c r="N1475" s="396"/>
      <c r="O1475" s="396"/>
      <c r="P1475" s="396"/>
      <c r="Q1475" s="328"/>
      <c r="R1475" s="328"/>
      <c r="S1475" s="328"/>
      <c r="T1475" s="328"/>
      <c r="U1475" s="328"/>
      <c r="V1475" s="328"/>
    </row>
    <row r="1476" customFormat="false" ht="15" hidden="false" customHeight="true" outlineLevel="1" collapsed="false">
      <c r="A1476" s="429"/>
      <c r="B1476" s="429"/>
      <c r="C1476" s="429"/>
      <c r="D1476" s="430"/>
      <c r="E1476" s="431"/>
      <c r="F1476" s="431"/>
      <c r="G1476" s="429"/>
      <c r="H1476" s="432"/>
      <c r="I1476" s="432"/>
      <c r="J1476" s="432"/>
      <c r="K1476" s="328"/>
      <c r="L1476" s="396"/>
      <c r="M1476" s="396"/>
      <c r="N1476" s="396"/>
      <c r="O1476" s="396"/>
      <c r="P1476" s="396"/>
      <c r="Q1476" s="328"/>
      <c r="R1476" s="328"/>
      <c r="S1476" s="328"/>
      <c r="T1476" s="328"/>
      <c r="U1476" s="328"/>
      <c r="V1476" s="328"/>
    </row>
    <row r="1477" customFormat="false" ht="15" hidden="false" customHeight="true" outlineLevel="1" collapsed="false">
      <c r="A1477" s="429"/>
      <c r="B1477" s="429"/>
      <c r="C1477" s="429"/>
      <c r="D1477" s="430"/>
      <c r="E1477" s="431"/>
      <c r="F1477" s="431"/>
      <c r="G1477" s="429"/>
      <c r="H1477" s="432"/>
      <c r="I1477" s="432"/>
      <c r="J1477" s="432"/>
      <c r="K1477" s="328"/>
      <c r="L1477" s="396"/>
      <c r="M1477" s="396"/>
      <c r="N1477" s="396"/>
      <c r="O1477" s="396"/>
      <c r="P1477" s="396"/>
      <c r="Q1477" s="328"/>
      <c r="R1477" s="328"/>
      <c r="S1477" s="328"/>
      <c r="T1477" s="328"/>
      <c r="U1477" s="328"/>
      <c r="V1477" s="328"/>
    </row>
    <row r="1478" customFormat="false" ht="15" hidden="false" customHeight="true" outlineLevel="1" collapsed="false">
      <c r="A1478" s="429"/>
      <c r="B1478" s="429"/>
      <c r="C1478" s="429"/>
      <c r="D1478" s="430"/>
      <c r="E1478" s="431"/>
      <c r="F1478" s="431"/>
      <c r="G1478" s="429"/>
      <c r="H1478" s="432"/>
      <c r="I1478" s="432"/>
      <c r="J1478" s="432"/>
      <c r="K1478" s="328"/>
      <c r="L1478" s="396"/>
      <c r="M1478" s="396"/>
      <c r="N1478" s="396"/>
      <c r="O1478" s="396"/>
      <c r="P1478" s="396"/>
      <c r="Q1478" s="328"/>
      <c r="R1478" s="328"/>
      <c r="S1478" s="328"/>
      <c r="T1478" s="328"/>
      <c r="U1478" s="328"/>
      <c r="V1478" s="328"/>
    </row>
    <row r="1479" customFormat="false" ht="15" hidden="false" customHeight="true" outlineLevel="1" collapsed="false">
      <c r="A1479" s="429"/>
      <c r="B1479" s="429"/>
      <c r="C1479" s="429"/>
      <c r="D1479" s="430"/>
      <c r="E1479" s="431"/>
      <c r="F1479" s="431"/>
      <c r="G1479" s="429"/>
      <c r="H1479" s="432"/>
      <c r="I1479" s="432"/>
      <c r="J1479" s="432"/>
      <c r="K1479" s="328"/>
      <c r="L1479" s="396"/>
      <c r="M1479" s="396"/>
      <c r="N1479" s="396"/>
      <c r="O1479" s="396"/>
      <c r="P1479" s="396"/>
      <c r="Q1479" s="328"/>
      <c r="R1479" s="328"/>
      <c r="S1479" s="328"/>
      <c r="T1479" s="328"/>
      <c r="U1479" s="328"/>
      <c r="V1479" s="328"/>
    </row>
    <row r="1480" customFormat="false" ht="15" hidden="false" customHeight="true" outlineLevel="1" collapsed="false">
      <c r="A1480" s="429"/>
      <c r="B1480" s="429"/>
      <c r="C1480" s="429"/>
      <c r="D1480" s="430"/>
      <c r="E1480" s="431"/>
      <c r="F1480" s="431"/>
      <c r="G1480" s="429"/>
      <c r="H1480" s="432"/>
      <c r="I1480" s="432"/>
      <c r="J1480" s="432"/>
      <c r="K1480" s="328"/>
      <c r="L1480" s="396"/>
      <c r="M1480" s="396"/>
      <c r="N1480" s="396"/>
      <c r="O1480" s="396"/>
      <c r="P1480" s="396"/>
      <c r="Q1480" s="328"/>
      <c r="R1480" s="328"/>
      <c r="S1480" s="328"/>
      <c r="T1480" s="328"/>
      <c r="U1480" s="328"/>
      <c r="V1480" s="328"/>
    </row>
    <row r="1481" customFormat="false" ht="15" hidden="false" customHeight="true" outlineLevel="1" collapsed="false">
      <c r="A1481" s="429"/>
      <c r="B1481" s="429"/>
      <c r="C1481" s="429"/>
      <c r="D1481" s="430"/>
      <c r="E1481" s="431"/>
      <c r="F1481" s="431"/>
      <c r="G1481" s="429"/>
      <c r="H1481" s="432"/>
      <c r="I1481" s="432"/>
      <c r="J1481" s="432"/>
      <c r="K1481" s="328"/>
      <c r="L1481" s="396"/>
      <c r="M1481" s="396"/>
      <c r="N1481" s="396"/>
      <c r="O1481" s="396"/>
      <c r="P1481" s="396"/>
      <c r="Q1481" s="328"/>
      <c r="R1481" s="328"/>
      <c r="S1481" s="328"/>
      <c r="T1481" s="328"/>
      <c r="U1481" s="328"/>
      <c r="V1481" s="328"/>
    </row>
    <row r="1482" customFormat="false" ht="15" hidden="false" customHeight="true" outlineLevel="1" collapsed="false">
      <c r="A1482" s="429"/>
      <c r="B1482" s="429"/>
      <c r="C1482" s="429"/>
      <c r="D1482" s="430"/>
      <c r="E1482" s="431"/>
      <c r="F1482" s="431"/>
      <c r="G1482" s="429"/>
      <c r="H1482" s="432"/>
      <c r="I1482" s="432"/>
      <c r="J1482" s="432"/>
      <c r="K1482" s="328"/>
      <c r="L1482" s="396"/>
      <c r="M1482" s="396"/>
      <c r="N1482" s="396"/>
      <c r="O1482" s="396"/>
      <c r="P1482" s="396"/>
      <c r="Q1482" s="328"/>
      <c r="R1482" s="328"/>
      <c r="S1482" s="328"/>
      <c r="T1482" s="328"/>
      <c r="U1482" s="328"/>
      <c r="V1482" s="328"/>
    </row>
    <row r="1483" customFormat="false" ht="15" hidden="false" customHeight="true" outlineLevel="1" collapsed="false">
      <c r="A1483" s="429"/>
      <c r="B1483" s="429"/>
      <c r="C1483" s="429"/>
      <c r="D1483" s="430"/>
      <c r="E1483" s="431"/>
      <c r="F1483" s="431"/>
      <c r="G1483" s="429"/>
      <c r="H1483" s="432"/>
      <c r="I1483" s="432"/>
      <c r="J1483" s="432"/>
      <c r="K1483" s="328"/>
      <c r="L1483" s="396"/>
      <c r="M1483" s="396"/>
      <c r="N1483" s="396"/>
      <c r="O1483" s="396"/>
      <c r="P1483" s="396"/>
      <c r="Q1483" s="328"/>
      <c r="R1483" s="328"/>
      <c r="S1483" s="328"/>
      <c r="T1483" s="328"/>
      <c r="U1483" s="328"/>
      <c r="V1483" s="328"/>
    </row>
    <row r="1484" customFormat="false" ht="15" hidden="false" customHeight="true" outlineLevel="1" collapsed="false">
      <c r="A1484" s="429"/>
      <c r="B1484" s="429"/>
      <c r="C1484" s="429"/>
      <c r="D1484" s="430"/>
      <c r="E1484" s="431"/>
      <c r="F1484" s="431"/>
      <c r="G1484" s="429"/>
      <c r="H1484" s="432"/>
      <c r="I1484" s="432"/>
      <c r="J1484" s="432"/>
      <c r="K1484" s="328"/>
      <c r="L1484" s="396"/>
      <c r="M1484" s="396"/>
      <c r="N1484" s="396"/>
      <c r="O1484" s="396"/>
      <c r="P1484" s="396"/>
      <c r="Q1484" s="328"/>
      <c r="R1484" s="328"/>
      <c r="S1484" s="328"/>
      <c r="T1484" s="328"/>
      <c r="U1484" s="328"/>
      <c r="V1484" s="328"/>
    </row>
    <row r="1485" customFormat="false" ht="15" hidden="false" customHeight="true" outlineLevel="1" collapsed="false">
      <c r="A1485" s="429"/>
      <c r="B1485" s="429"/>
      <c r="C1485" s="429"/>
      <c r="D1485" s="430"/>
      <c r="E1485" s="431"/>
      <c r="F1485" s="431"/>
      <c r="G1485" s="429"/>
      <c r="H1485" s="432"/>
      <c r="I1485" s="432"/>
      <c r="J1485" s="432"/>
      <c r="K1485" s="328"/>
      <c r="L1485" s="396"/>
      <c r="M1485" s="396"/>
      <c r="N1485" s="396"/>
      <c r="O1485" s="396"/>
      <c r="P1485" s="396"/>
      <c r="Q1485" s="328"/>
      <c r="R1485" s="328"/>
      <c r="S1485" s="328"/>
      <c r="T1485" s="328"/>
      <c r="U1485" s="328"/>
      <c r="V1485" s="328"/>
    </row>
    <row r="1486" customFormat="false" ht="15" hidden="false" customHeight="true" outlineLevel="1" collapsed="false">
      <c r="A1486" s="429"/>
      <c r="B1486" s="429"/>
      <c r="C1486" s="429"/>
      <c r="D1486" s="430"/>
      <c r="E1486" s="431"/>
      <c r="F1486" s="431"/>
      <c r="G1486" s="429"/>
      <c r="H1486" s="432"/>
      <c r="I1486" s="432"/>
      <c r="J1486" s="432"/>
      <c r="K1486" s="328"/>
      <c r="L1486" s="396"/>
      <c r="M1486" s="396"/>
      <c r="N1486" s="396"/>
      <c r="O1486" s="396"/>
      <c r="P1486" s="396"/>
      <c r="Q1486" s="328"/>
      <c r="R1486" s="328"/>
      <c r="S1486" s="328"/>
      <c r="T1486" s="328"/>
      <c r="U1486" s="328"/>
      <c r="V1486" s="328"/>
    </row>
    <row r="1487" customFormat="false" ht="15" hidden="false" customHeight="true" outlineLevel="1" collapsed="false">
      <c r="A1487" s="429"/>
      <c r="B1487" s="429"/>
      <c r="C1487" s="429"/>
      <c r="D1487" s="430"/>
      <c r="E1487" s="431"/>
      <c r="F1487" s="431"/>
      <c r="G1487" s="429"/>
      <c r="H1487" s="432"/>
      <c r="I1487" s="432"/>
      <c r="J1487" s="432"/>
      <c r="K1487" s="328"/>
      <c r="L1487" s="396"/>
      <c r="M1487" s="396"/>
      <c r="N1487" s="396"/>
      <c r="O1487" s="396"/>
      <c r="P1487" s="396"/>
      <c r="Q1487" s="328"/>
      <c r="R1487" s="328"/>
      <c r="S1487" s="328"/>
      <c r="T1487" s="328"/>
      <c r="U1487" s="328"/>
      <c r="V1487" s="328"/>
    </row>
    <row r="1488" customFormat="false" ht="15" hidden="false" customHeight="true" outlineLevel="1" collapsed="false">
      <c r="A1488" s="429"/>
      <c r="B1488" s="429"/>
      <c r="C1488" s="429"/>
      <c r="D1488" s="430"/>
      <c r="E1488" s="431"/>
      <c r="F1488" s="431"/>
      <c r="G1488" s="429"/>
      <c r="H1488" s="432"/>
      <c r="I1488" s="432"/>
      <c r="J1488" s="432"/>
      <c r="K1488" s="328"/>
      <c r="L1488" s="396"/>
      <c r="M1488" s="396"/>
      <c r="N1488" s="396"/>
      <c r="O1488" s="396"/>
      <c r="P1488" s="396"/>
      <c r="Q1488" s="328"/>
      <c r="R1488" s="328"/>
      <c r="S1488" s="328"/>
      <c r="T1488" s="328"/>
      <c r="U1488" s="328"/>
      <c r="V1488" s="328"/>
    </row>
    <row r="1489" customFormat="false" ht="15" hidden="false" customHeight="true" outlineLevel="1" collapsed="false">
      <c r="A1489" s="429"/>
      <c r="B1489" s="429"/>
      <c r="C1489" s="429"/>
      <c r="D1489" s="430"/>
      <c r="E1489" s="431"/>
      <c r="F1489" s="431"/>
      <c r="G1489" s="429"/>
      <c r="H1489" s="432"/>
      <c r="I1489" s="432"/>
      <c r="J1489" s="432"/>
      <c r="K1489" s="328"/>
      <c r="L1489" s="396"/>
      <c r="M1489" s="396"/>
      <c r="N1489" s="396"/>
      <c r="O1489" s="396"/>
      <c r="P1489" s="396"/>
      <c r="Q1489" s="328"/>
      <c r="R1489" s="328"/>
      <c r="S1489" s="328"/>
      <c r="T1489" s="328"/>
      <c r="U1489" s="328"/>
      <c r="V1489" s="328"/>
    </row>
    <row r="1490" customFormat="false" ht="15" hidden="false" customHeight="true" outlineLevel="1" collapsed="false">
      <c r="A1490" s="429"/>
      <c r="B1490" s="429"/>
      <c r="C1490" s="429"/>
      <c r="D1490" s="430"/>
      <c r="E1490" s="431"/>
      <c r="F1490" s="431"/>
      <c r="G1490" s="429"/>
      <c r="H1490" s="432"/>
      <c r="I1490" s="432"/>
      <c r="J1490" s="432"/>
      <c r="K1490" s="328"/>
      <c r="L1490" s="396"/>
      <c r="M1490" s="396"/>
      <c r="N1490" s="396"/>
      <c r="O1490" s="396"/>
      <c r="P1490" s="396"/>
      <c r="Q1490" s="328"/>
      <c r="R1490" s="328"/>
      <c r="S1490" s="328"/>
      <c r="T1490" s="328"/>
      <c r="U1490" s="328"/>
      <c r="V1490" s="328"/>
    </row>
    <row r="1491" customFormat="false" ht="15" hidden="false" customHeight="true" outlineLevel="1" collapsed="false">
      <c r="A1491" s="429"/>
      <c r="B1491" s="429"/>
      <c r="C1491" s="429"/>
      <c r="D1491" s="430"/>
      <c r="E1491" s="431"/>
      <c r="F1491" s="431"/>
      <c r="G1491" s="429"/>
      <c r="H1491" s="432"/>
      <c r="I1491" s="432"/>
      <c r="J1491" s="432"/>
      <c r="K1491" s="328"/>
      <c r="L1491" s="396"/>
      <c r="M1491" s="396"/>
      <c r="N1491" s="396"/>
      <c r="O1491" s="396"/>
      <c r="P1491" s="396"/>
      <c r="Q1491" s="328"/>
      <c r="R1491" s="328"/>
      <c r="S1491" s="328"/>
      <c r="T1491" s="328"/>
      <c r="U1491" s="328"/>
      <c r="V1491" s="328"/>
    </row>
    <row r="1492" customFormat="false" ht="15" hidden="false" customHeight="true" outlineLevel="1" collapsed="false">
      <c r="A1492" s="429"/>
      <c r="B1492" s="429"/>
      <c r="C1492" s="429"/>
      <c r="D1492" s="430"/>
      <c r="E1492" s="431"/>
      <c r="F1492" s="431"/>
      <c r="G1492" s="429"/>
      <c r="H1492" s="432"/>
      <c r="I1492" s="432"/>
      <c r="J1492" s="432"/>
      <c r="K1492" s="328"/>
      <c r="L1492" s="396"/>
      <c r="M1492" s="396"/>
      <c r="N1492" s="396"/>
      <c r="O1492" s="396"/>
      <c r="P1492" s="396"/>
      <c r="Q1492" s="328"/>
      <c r="R1492" s="328"/>
      <c r="S1492" s="328"/>
      <c r="T1492" s="328"/>
      <c r="U1492" s="328"/>
      <c r="V1492" s="328"/>
    </row>
    <row r="1493" customFormat="false" ht="15" hidden="false" customHeight="true" outlineLevel="1" collapsed="false">
      <c r="A1493" s="429"/>
      <c r="B1493" s="429"/>
      <c r="C1493" s="429"/>
      <c r="D1493" s="430"/>
      <c r="E1493" s="431"/>
      <c r="F1493" s="431"/>
      <c r="G1493" s="429"/>
      <c r="H1493" s="432"/>
      <c r="I1493" s="432"/>
      <c r="J1493" s="432"/>
      <c r="K1493" s="328"/>
      <c r="L1493" s="396"/>
      <c r="M1493" s="396"/>
      <c r="N1493" s="396"/>
      <c r="O1493" s="396"/>
      <c r="P1493" s="396"/>
      <c r="Q1493" s="328"/>
      <c r="R1493" s="328"/>
      <c r="S1493" s="328"/>
      <c r="T1493" s="328"/>
      <c r="U1493" s="328"/>
      <c r="V1493" s="328"/>
    </row>
    <row r="1494" customFormat="false" ht="15" hidden="false" customHeight="true" outlineLevel="1" collapsed="false">
      <c r="A1494" s="429"/>
      <c r="B1494" s="429"/>
      <c r="C1494" s="429"/>
      <c r="D1494" s="430"/>
      <c r="E1494" s="431"/>
      <c r="F1494" s="431"/>
      <c r="G1494" s="429"/>
      <c r="H1494" s="432"/>
      <c r="I1494" s="432"/>
      <c r="J1494" s="432"/>
      <c r="K1494" s="328"/>
      <c r="L1494" s="396"/>
      <c r="M1494" s="396"/>
      <c r="N1494" s="396"/>
      <c r="O1494" s="396"/>
      <c r="P1494" s="396"/>
      <c r="Q1494" s="328"/>
      <c r="R1494" s="328"/>
      <c r="S1494" s="328"/>
      <c r="T1494" s="328"/>
      <c r="U1494" s="328"/>
      <c r="V1494" s="328"/>
    </row>
    <row r="1495" customFormat="false" ht="15" hidden="false" customHeight="true" outlineLevel="1" collapsed="false">
      <c r="A1495" s="429"/>
      <c r="B1495" s="429"/>
      <c r="C1495" s="429"/>
      <c r="D1495" s="430"/>
      <c r="E1495" s="431"/>
      <c r="F1495" s="431"/>
      <c r="G1495" s="429"/>
      <c r="H1495" s="432"/>
      <c r="I1495" s="432"/>
      <c r="J1495" s="432"/>
      <c r="K1495" s="328"/>
      <c r="L1495" s="396"/>
      <c r="M1495" s="396"/>
      <c r="N1495" s="396"/>
      <c r="O1495" s="396"/>
      <c r="P1495" s="396"/>
      <c r="Q1495" s="328"/>
      <c r="R1495" s="328"/>
      <c r="S1495" s="328"/>
      <c r="T1495" s="328"/>
      <c r="U1495" s="328"/>
      <c r="V1495" s="328"/>
    </row>
    <row r="1496" customFormat="false" ht="15" hidden="false" customHeight="true" outlineLevel="1" collapsed="false">
      <c r="A1496" s="429"/>
      <c r="B1496" s="429"/>
      <c r="C1496" s="429"/>
      <c r="D1496" s="430"/>
      <c r="E1496" s="431"/>
      <c r="F1496" s="431"/>
      <c r="G1496" s="429"/>
      <c r="H1496" s="432"/>
      <c r="I1496" s="432"/>
      <c r="J1496" s="432"/>
      <c r="K1496" s="328"/>
      <c r="L1496" s="396"/>
      <c r="M1496" s="396"/>
      <c r="N1496" s="396"/>
      <c r="O1496" s="396"/>
      <c r="P1496" s="396"/>
      <c r="Q1496" s="328"/>
      <c r="R1496" s="328"/>
      <c r="S1496" s="328"/>
      <c r="T1496" s="328"/>
      <c r="U1496" s="328"/>
      <c r="V1496" s="328"/>
    </row>
    <row r="1497" customFormat="false" ht="15" hidden="false" customHeight="true" outlineLevel="1" collapsed="false">
      <c r="A1497" s="429"/>
      <c r="B1497" s="429"/>
      <c r="C1497" s="429"/>
      <c r="D1497" s="430"/>
      <c r="E1497" s="431"/>
      <c r="F1497" s="431"/>
      <c r="G1497" s="429"/>
      <c r="H1497" s="432"/>
      <c r="I1497" s="432"/>
      <c r="J1497" s="432"/>
      <c r="K1497" s="328"/>
      <c r="L1497" s="396"/>
      <c r="M1497" s="396"/>
      <c r="N1497" s="396"/>
      <c r="O1497" s="396"/>
      <c r="P1497" s="396"/>
      <c r="Q1497" s="328"/>
      <c r="R1497" s="328"/>
      <c r="S1497" s="328"/>
      <c r="T1497" s="328"/>
      <c r="U1497" s="328"/>
      <c r="V1497" s="328"/>
    </row>
    <row r="1498" customFormat="false" ht="15" hidden="false" customHeight="true" outlineLevel="1" collapsed="false">
      <c r="A1498" s="429"/>
      <c r="B1498" s="429"/>
      <c r="C1498" s="429"/>
      <c r="D1498" s="430"/>
      <c r="E1498" s="431"/>
      <c r="F1498" s="431"/>
      <c r="G1498" s="429"/>
      <c r="H1498" s="432"/>
      <c r="I1498" s="432"/>
      <c r="J1498" s="432"/>
      <c r="K1498" s="328"/>
      <c r="L1498" s="396"/>
      <c r="M1498" s="396"/>
      <c r="N1498" s="396"/>
      <c r="O1498" s="396"/>
      <c r="P1498" s="396"/>
      <c r="Q1498" s="328"/>
      <c r="R1498" s="328"/>
      <c r="S1498" s="328"/>
      <c r="T1498" s="328"/>
      <c r="U1498" s="328"/>
      <c r="V1498" s="328"/>
    </row>
    <row r="1499" customFormat="false" ht="15" hidden="false" customHeight="true" outlineLevel="1" collapsed="false">
      <c r="A1499" s="429"/>
      <c r="B1499" s="429"/>
      <c r="C1499" s="429"/>
      <c r="D1499" s="430"/>
      <c r="E1499" s="431"/>
      <c r="F1499" s="431"/>
      <c r="G1499" s="429"/>
      <c r="H1499" s="432"/>
      <c r="I1499" s="432"/>
      <c r="J1499" s="432"/>
      <c r="K1499" s="328"/>
      <c r="L1499" s="396"/>
      <c r="M1499" s="396"/>
      <c r="N1499" s="396"/>
      <c r="O1499" s="396"/>
      <c r="P1499" s="396"/>
      <c r="Q1499" s="328"/>
      <c r="R1499" s="328"/>
      <c r="S1499" s="328"/>
      <c r="T1499" s="328"/>
      <c r="U1499" s="328"/>
      <c r="V1499" s="328"/>
    </row>
    <row r="1500" customFormat="false" ht="15" hidden="false" customHeight="true" outlineLevel="1" collapsed="false">
      <c r="A1500" s="429"/>
      <c r="B1500" s="429"/>
      <c r="C1500" s="429"/>
      <c r="D1500" s="430"/>
      <c r="E1500" s="431"/>
      <c r="F1500" s="431"/>
      <c r="G1500" s="429"/>
      <c r="H1500" s="432"/>
      <c r="I1500" s="432"/>
      <c r="J1500" s="432"/>
      <c r="K1500" s="328"/>
      <c r="L1500" s="396"/>
      <c r="M1500" s="396"/>
      <c r="N1500" s="396"/>
      <c r="O1500" s="396"/>
      <c r="P1500" s="396"/>
      <c r="Q1500" s="328"/>
      <c r="R1500" s="328"/>
      <c r="S1500" s="328"/>
      <c r="T1500" s="328"/>
      <c r="U1500" s="328"/>
      <c r="V1500" s="328"/>
    </row>
    <row r="1501" customFormat="false" ht="15" hidden="false" customHeight="true" outlineLevel="1" collapsed="false">
      <c r="A1501" s="429"/>
      <c r="B1501" s="429"/>
      <c r="C1501" s="429"/>
      <c r="D1501" s="430"/>
      <c r="E1501" s="431"/>
      <c r="F1501" s="431"/>
      <c r="G1501" s="429"/>
      <c r="H1501" s="432"/>
      <c r="I1501" s="432"/>
      <c r="J1501" s="432"/>
      <c r="K1501" s="328"/>
      <c r="L1501" s="396"/>
      <c r="M1501" s="396"/>
      <c r="N1501" s="396"/>
      <c r="O1501" s="396"/>
      <c r="P1501" s="396"/>
      <c r="Q1501" s="328"/>
      <c r="R1501" s="328"/>
      <c r="S1501" s="328"/>
      <c r="T1501" s="328"/>
      <c r="U1501" s="328"/>
      <c r="V1501" s="328"/>
    </row>
    <row r="1502" customFormat="false" ht="15" hidden="false" customHeight="true" outlineLevel="1" collapsed="false">
      <c r="A1502" s="429"/>
      <c r="B1502" s="429"/>
      <c r="C1502" s="429"/>
      <c r="D1502" s="430"/>
      <c r="E1502" s="431"/>
      <c r="F1502" s="431"/>
      <c r="G1502" s="429"/>
      <c r="H1502" s="432"/>
      <c r="I1502" s="432"/>
      <c r="J1502" s="432"/>
      <c r="K1502" s="328"/>
      <c r="L1502" s="396"/>
      <c r="M1502" s="396"/>
      <c r="N1502" s="396"/>
      <c r="O1502" s="396"/>
      <c r="P1502" s="396"/>
      <c r="Q1502" s="328"/>
      <c r="R1502" s="328"/>
      <c r="S1502" s="328"/>
      <c r="T1502" s="328"/>
      <c r="U1502" s="328"/>
      <c r="V1502" s="328"/>
    </row>
    <row r="1503" customFormat="false" ht="15" hidden="false" customHeight="true" outlineLevel="1" collapsed="false">
      <c r="A1503" s="429"/>
      <c r="B1503" s="429"/>
      <c r="C1503" s="429"/>
      <c r="D1503" s="430"/>
      <c r="E1503" s="431"/>
      <c r="F1503" s="431"/>
      <c r="G1503" s="429"/>
      <c r="H1503" s="432"/>
      <c r="I1503" s="432"/>
      <c r="J1503" s="432"/>
      <c r="K1503" s="328"/>
      <c r="L1503" s="396"/>
      <c r="M1503" s="396"/>
      <c r="N1503" s="396"/>
      <c r="O1503" s="396"/>
      <c r="P1503" s="396"/>
      <c r="Q1503" s="328"/>
      <c r="R1503" s="328"/>
      <c r="S1503" s="328"/>
      <c r="T1503" s="328"/>
      <c r="U1503" s="328"/>
      <c r="V1503" s="328"/>
    </row>
    <row r="1504" customFormat="false" ht="15" hidden="false" customHeight="true" outlineLevel="1" collapsed="false">
      <c r="A1504" s="429"/>
      <c r="B1504" s="429"/>
      <c r="C1504" s="429"/>
      <c r="D1504" s="430"/>
      <c r="E1504" s="431"/>
      <c r="F1504" s="431"/>
      <c r="G1504" s="429"/>
      <c r="H1504" s="432"/>
      <c r="I1504" s="432"/>
      <c r="J1504" s="432"/>
      <c r="K1504" s="328"/>
      <c r="L1504" s="396"/>
      <c r="M1504" s="396"/>
      <c r="N1504" s="396"/>
      <c r="O1504" s="396"/>
      <c r="P1504" s="396"/>
      <c r="Q1504" s="328"/>
      <c r="R1504" s="328"/>
      <c r="S1504" s="328"/>
      <c r="T1504" s="328"/>
      <c r="U1504" s="328"/>
      <c r="V1504" s="328"/>
    </row>
    <row r="1505" customFormat="false" ht="15" hidden="false" customHeight="true" outlineLevel="1" collapsed="false">
      <c r="A1505" s="429"/>
      <c r="B1505" s="429"/>
      <c r="C1505" s="429"/>
      <c r="D1505" s="430"/>
      <c r="E1505" s="431"/>
      <c r="F1505" s="431"/>
      <c r="G1505" s="429"/>
      <c r="H1505" s="432"/>
      <c r="I1505" s="432"/>
      <c r="J1505" s="432"/>
      <c r="K1505" s="328"/>
      <c r="L1505" s="396"/>
      <c r="M1505" s="396"/>
      <c r="N1505" s="396"/>
      <c r="O1505" s="396"/>
      <c r="P1505" s="396"/>
      <c r="Q1505" s="328"/>
      <c r="R1505" s="328"/>
      <c r="S1505" s="328"/>
      <c r="T1505" s="328"/>
      <c r="U1505" s="328"/>
      <c r="V1505" s="328"/>
    </row>
    <row r="1506" customFormat="false" ht="15" hidden="false" customHeight="true" outlineLevel="1" collapsed="false">
      <c r="A1506" s="429"/>
      <c r="B1506" s="429"/>
      <c r="C1506" s="429"/>
      <c r="D1506" s="430"/>
      <c r="E1506" s="431"/>
      <c r="F1506" s="431"/>
      <c r="G1506" s="429"/>
      <c r="H1506" s="432"/>
      <c r="I1506" s="432"/>
      <c r="J1506" s="432"/>
      <c r="K1506" s="328"/>
      <c r="L1506" s="396"/>
      <c r="M1506" s="396"/>
      <c r="N1506" s="396"/>
      <c r="O1506" s="396"/>
      <c r="P1506" s="396"/>
      <c r="Q1506" s="328"/>
      <c r="R1506" s="328"/>
      <c r="S1506" s="328"/>
      <c r="T1506" s="328"/>
      <c r="U1506" s="328"/>
      <c r="V1506" s="328"/>
    </row>
    <row r="1507" customFormat="false" ht="15" hidden="false" customHeight="true" outlineLevel="1" collapsed="false">
      <c r="A1507" s="429"/>
      <c r="B1507" s="429"/>
      <c r="C1507" s="429"/>
      <c r="D1507" s="430"/>
      <c r="E1507" s="431"/>
      <c r="F1507" s="431"/>
      <c r="G1507" s="429"/>
      <c r="H1507" s="432"/>
      <c r="I1507" s="432"/>
      <c r="J1507" s="432"/>
      <c r="K1507" s="328"/>
      <c r="L1507" s="396"/>
      <c r="M1507" s="396"/>
      <c r="N1507" s="396"/>
      <c r="O1507" s="396"/>
      <c r="P1507" s="396"/>
      <c r="Q1507" s="328"/>
      <c r="R1507" s="328"/>
      <c r="S1507" s="328"/>
      <c r="T1507" s="328"/>
      <c r="U1507" s="328"/>
      <c r="V1507" s="328"/>
    </row>
    <row r="1508" customFormat="false" ht="15" hidden="false" customHeight="true" outlineLevel="1" collapsed="false">
      <c r="A1508" s="429"/>
      <c r="B1508" s="429"/>
      <c r="C1508" s="429"/>
      <c r="D1508" s="430"/>
      <c r="E1508" s="431"/>
      <c r="F1508" s="431"/>
      <c r="G1508" s="429"/>
      <c r="H1508" s="432"/>
      <c r="I1508" s="432"/>
      <c r="J1508" s="432"/>
      <c r="K1508" s="328"/>
      <c r="L1508" s="396"/>
      <c r="M1508" s="396"/>
      <c r="N1508" s="396"/>
      <c r="O1508" s="396"/>
      <c r="P1508" s="396"/>
      <c r="Q1508" s="328"/>
      <c r="R1508" s="328"/>
      <c r="S1508" s="328"/>
      <c r="T1508" s="328"/>
      <c r="U1508" s="328"/>
      <c r="V1508" s="328"/>
    </row>
    <row r="1509" customFormat="false" ht="15" hidden="false" customHeight="true" outlineLevel="1" collapsed="false">
      <c r="A1509" s="429"/>
      <c r="B1509" s="429"/>
      <c r="C1509" s="429"/>
      <c r="D1509" s="430"/>
      <c r="E1509" s="431"/>
      <c r="F1509" s="431"/>
      <c r="G1509" s="429"/>
      <c r="H1509" s="432"/>
      <c r="I1509" s="432"/>
      <c r="J1509" s="432"/>
      <c r="K1509" s="328"/>
      <c r="L1509" s="396"/>
      <c r="M1509" s="396"/>
      <c r="N1509" s="396"/>
      <c r="O1509" s="396"/>
      <c r="P1509" s="396"/>
      <c r="Q1509" s="328"/>
      <c r="R1509" s="328"/>
      <c r="S1509" s="328"/>
      <c r="T1509" s="328"/>
      <c r="U1509" s="328"/>
      <c r="V1509" s="328"/>
    </row>
    <row r="1510" customFormat="false" ht="15" hidden="false" customHeight="true" outlineLevel="1" collapsed="false">
      <c r="A1510" s="429"/>
      <c r="B1510" s="429"/>
      <c r="C1510" s="429"/>
      <c r="D1510" s="430"/>
      <c r="E1510" s="431"/>
      <c r="F1510" s="431"/>
      <c r="G1510" s="429"/>
      <c r="H1510" s="432"/>
      <c r="I1510" s="432"/>
      <c r="J1510" s="432"/>
      <c r="K1510" s="328"/>
      <c r="L1510" s="396"/>
      <c r="M1510" s="396"/>
      <c r="N1510" s="396"/>
      <c r="O1510" s="396"/>
      <c r="P1510" s="396"/>
      <c r="Q1510" s="328"/>
      <c r="R1510" s="328"/>
      <c r="S1510" s="328"/>
      <c r="T1510" s="328"/>
      <c r="U1510" s="328"/>
      <c r="V1510" s="328"/>
    </row>
    <row r="1511" customFormat="false" ht="15" hidden="false" customHeight="true" outlineLevel="1" collapsed="false">
      <c r="A1511" s="429"/>
      <c r="B1511" s="429"/>
      <c r="C1511" s="429"/>
      <c r="D1511" s="430"/>
      <c r="E1511" s="431"/>
      <c r="F1511" s="431"/>
      <c r="G1511" s="429"/>
      <c r="H1511" s="432"/>
      <c r="I1511" s="432"/>
      <c r="J1511" s="432"/>
      <c r="K1511" s="328"/>
      <c r="L1511" s="396"/>
      <c r="M1511" s="396"/>
      <c r="N1511" s="396"/>
      <c r="O1511" s="396"/>
      <c r="P1511" s="396"/>
      <c r="Q1511" s="328"/>
      <c r="R1511" s="328"/>
      <c r="S1511" s="328"/>
      <c r="T1511" s="328"/>
      <c r="U1511" s="328"/>
      <c r="V1511" s="328"/>
    </row>
    <row r="1512" customFormat="false" ht="15" hidden="false" customHeight="true" outlineLevel="1" collapsed="false">
      <c r="A1512" s="429"/>
      <c r="B1512" s="429"/>
      <c r="C1512" s="429"/>
      <c r="D1512" s="430"/>
      <c r="E1512" s="431"/>
      <c r="F1512" s="431"/>
      <c r="G1512" s="429"/>
      <c r="H1512" s="432"/>
      <c r="I1512" s="432"/>
      <c r="J1512" s="432"/>
      <c r="K1512" s="328"/>
      <c r="L1512" s="396"/>
      <c r="M1512" s="396"/>
      <c r="N1512" s="396"/>
      <c r="O1512" s="396"/>
      <c r="P1512" s="396"/>
      <c r="Q1512" s="328"/>
      <c r="R1512" s="328"/>
      <c r="S1512" s="328"/>
      <c r="T1512" s="328"/>
      <c r="U1512" s="328"/>
      <c r="V1512" s="328"/>
    </row>
    <row r="1513" customFormat="false" ht="15" hidden="false" customHeight="true" outlineLevel="1" collapsed="false">
      <c r="A1513" s="429"/>
      <c r="B1513" s="429"/>
      <c r="C1513" s="429"/>
      <c r="D1513" s="430"/>
      <c r="E1513" s="431"/>
      <c r="F1513" s="431"/>
      <c r="G1513" s="429"/>
      <c r="H1513" s="432"/>
      <c r="I1513" s="432"/>
      <c r="J1513" s="432"/>
      <c r="K1513" s="328"/>
      <c r="L1513" s="396"/>
      <c r="M1513" s="396"/>
      <c r="N1513" s="396"/>
      <c r="O1513" s="396"/>
      <c r="P1513" s="396"/>
      <c r="Q1513" s="328"/>
      <c r="R1513" s="328"/>
      <c r="S1513" s="328"/>
      <c r="T1513" s="328"/>
      <c r="U1513" s="328"/>
      <c r="V1513" s="328"/>
    </row>
    <row r="1514" customFormat="false" ht="15" hidden="false" customHeight="true" outlineLevel="1" collapsed="false">
      <c r="A1514" s="429"/>
      <c r="B1514" s="429"/>
      <c r="C1514" s="429"/>
      <c r="D1514" s="430"/>
      <c r="E1514" s="431"/>
      <c r="F1514" s="431"/>
      <c r="G1514" s="429"/>
      <c r="H1514" s="432"/>
      <c r="I1514" s="432"/>
      <c r="J1514" s="432"/>
      <c r="K1514" s="328"/>
      <c r="L1514" s="396"/>
      <c r="M1514" s="396"/>
      <c r="N1514" s="396"/>
      <c r="O1514" s="396"/>
      <c r="P1514" s="396"/>
      <c r="Q1514" s="328"/>
      <c r="R1514" s="328"/>
      <c r="S1514" s="328"/>
      <c r="T1514" s="328"/>
      <c r="U1514" s="328"/>
      <c r="V1514" s="328"/>
    </row>
    <row r="1515" customFormat="false" ht="15" hidden="false" customHeight="true" outlineLevel="1" collapsed="false">
      <c r="A1515" s="429"/>
      <c r="B1515" s="429"/>
      <c r="C1515" s="429"/>
      <c r="D1515" s="430"/>
      <c r="E1515" s="431"/>
      <c r="F1515" s="431"/>
      <c r="G1515" s="429"/>
      <c r="H1515" s="432"/>
      <c r="I1515" s="432"/>
      <c r="J1515" s="432"/>
      <c r="K1515" s="328"/>
      <c r="L1515" s="396"/>
      <c r="M1515" s="396"/>
      <c r="N1515" s="396"/>
      <c r="O1515" s="396"/>
      <c r="P1515" s="396"/>
      <c r="Q1515" s="328"/>
      <c r="R1515" s="328"/>
      <c r="S1515" s="328"/>
      <c r="T1515" s="328"/>
      <c r="U1515" s="328"/>
      <c r="V1515" s="328"/>
    </row>
    <row r="1516" customFormat="false" ht="15" hidden="false" customHeight="true" outlineLevel="1" collapsed="false">
      <c r="A1516" s="429"/>
      <c r="B1516" s="429"/>
      <c r="C1516" s="429"/>
      <c r="D1516" s="430"/>
      <c r="E1516" s="431"/>
      <c r="F1516" s="431"/>
      <c r="G1516" s="429"/>
      <c r="H1516" s="432"/>
      <c r="I1516" s="432"/>
      <c r="J1516" s="432"/>
      <c r="K1516" s="328"/>
      <c r="L1516" s="396"/>
      <c r="M1516" s="396"/>
      <c r="N1516" s="396"/>
      <c r="O1516" s="396"/>
      <c r="P1516" s="396"/>
      <c r="Q1516" s="328"/>
      <c r="R1516" s="328"/>
      <c r="S1516" s="328"/>
      <c r="T1516" s="328"/>
      <c r="U1516" s="328"/>
      <c r="V1516" s="328"/>
    </row>
    <row r="1517" customFormat="false" ht="15" hidden="false" customHeight="true" outlineLevel="1" collapsed="false">
      <c r="A1517" s="429"/>
      <c r="B1517" s="429"/>
      <c r="C1517" s="429"/>
      <c r="D1517" s="430"/>
      <c r="E1517" s="431"/>
      <c r="F1517" s="431"/>
      <c r="G1517" s="429"/>
      <c r="H1517" s="432"/>
      <c r="I1517" s="432"/>
      <c r="J1517" s="432"/>
      <c r="K1517" s="328"/>
      <c r="L1517" s="396"/>
      <c r="M1517" s="396"/>
      <c r="N1517" s="396"/>
      <c r="O1517" s="396"/>
      <c r="P1517" s="396"/>
      <c r="Q1517" s="328"/>
      <c r="R1517" s="328"/>
      <c r="S1517" s="328"/>
      <c r="T1517" s="328"/>
      <c r="U1517" s="328"/>
      <c r="V1517" s="328"/>
    </row>
    <row r="1518" customFormat="false" ht="15" hidden="false" customHeight="true" outlineLevel="1" collapsed="false">
      <c r="A1518" s="429"/>
      <c r="B1518" s="429"/>
      <c r="C1518" s="429"/>
      <c r="D1518" s="430"/>
      <c r="E1518" s="431"/>
      <c r="F1518" s="431"/>
      <c r="G1518" s="429"/>
      <c r="H1518" s="432"/>
      <c r="I1518" s="432"/>
      <c r="J1518" s="432"/>
      <c r="K1518" s="328"/>
      <c r="L1518" s="396"/>
      <c r="M1518" s="396"/>
      <c r="N1518" s="396"/>
      <c r="O1518" s="396"/>
      <c r="P1518" s="396"/>
      <c r="Q1518" s="328"/>
      <c r="R1518" s="328"/>
      <c r="S1518" s="328"/>
      <c r="T1518" s="328"/>
      <c r="U1518" s="328"/>
      <c r="V1518" s="328"/>
    </row>
    <row r="1519" customFormat="false" ht="15" hidden="false" customHeight="true" outlineLevel="1" collapsed="false">
      <c r="A1519" s="429"/>
      <c r="B1519" s="429"/>
      <c r="C1519" s="429"/>
      <c r="D1519" s="430"/>
      <c r="E1519" s="431"/>
      <c r="F1519" s="431"/>
      <c r="G1519" s="429"/>
      <c r="H1519" s="432"/>
      <c r="I1519" s="432"/>
      <c r="J1519" s="432"/>
      <c r="K1519" s="328"/>
      <c r="L1519" s="396"/>
      <c r="M1519" s="396"/>
      <c r="N1519" s="396"/>
      <c r="O1519" s="396"/>
      <c r="P1519" s="396"/>
      <c r="Q1519" s="328"/>
      <c r="R1519" s="328"/>
      <c r="S1519" s="328"/>
      <c r="T1519" s="328"/>
      <c r="U1519" s="328"/>
      <c r="V1519" s="328"/>
    </row>
    <row r="1520" customFormat="false" ht="15" hidden="false" customHeight="true" outlineLevel="1" collapsed="false">
      <c r="A1520" s="429"/>
      <c r="B1520" s="429"/>
      <c r="C1520" s="429"/>
      <c r="D1520" s="430"/>
      <c r="E1520" s="431"/>
      <c r="F1520" s="431"/>
      <c r="G1520" s="429"/>
      <c r="H1520" s="432"/>
      <c r="I1520" s="432"/>
      <c r="J1520" s="432"/>
      <c r="K1520" s="328"/>
      <c r="L1520" s="396"/>
      <c r="M1520" s="396"/>
      <c r="N1520" s="396"/>
      <c r="O1520" s="396"/>
      <c r="P1520" s="396"/>
      <c r="Q1520" s="328"/>
      <c r="R1520" s="328"/>
      <c r="S1520" s="328"/>
      <c r="T1520" s="328"/>
      <c r="U1520" s="328"/>
      <c r="V1520" s="328"/>
    </row>
    <row r="1521" customFormat="false" ht="15" hidden="false" customHeight="true" outlineLevel="1" collapsed="false">
      <c r="A1521" s="429"/>
      <c r="B1521" s="429"/>
      <c r="C1521" s="429"/>
      <c r="D1521" s="430"/>
      <c r="E1521" s="431"/>
      <c r="F1521" s="431"/>
      <c r="G1521" s="429"/>
      <c r="H1521" s="432"/>
      <c r="I1521" s="432"/>
      <c r="J1521" s="432"/>
      <c r="K1521" s="328"/>
      <c r="L1521" s="396"/>
      <c r="M1521" s="396"/>
      <c r="N1521" s="396"/>
      <c r="O1521" s="396"/>
      <c r="P1521" s="396"/>
      <c r="Q1521" s="328"/>
      <c r="R1521" s="328"/>
      <c r="S1521" s="328"/>
      <c r="T1521" s="328"/>
      <c r="U1521" s="328"/>
      <c r="V1521" s="328"/>
    </row>
    <row r="1522" customFormat="false" ht="15" hidden="false" customHeight="true" outlineLevel="1" collapsed="false">
      <c r="A1522" s="429"/>
      <c r="B1522" s="429"/>
      <c r="C1522" s="429"/>
      <c r="D1522" s="430"/>
      <c r="E1522" s="431"/>
      <c r="F1522" s="431"/>
      <c r="G1522" s="429"/>
      <c r="H1522" s="432"/>
      <c r="I1522" s="432"/>
      <c r="J1522" s="432"/>
      <c r="K1522" s="328"/>
      <c r="L1522" s="396"/>
      <c r="M1522" s="396"/>
      <c r="N1522" s="396"/>
      <c r="O1522" s="396"/>
      <c r="P1522" s="396"/>
      <c r="Q1522" s="328"/>
      <c r="R1522" s="328"/>
      <c r="S1522" s="328"/>
      <c r="T1522" s="328"/>
      <c r="U1522" s="328"/>
      <c r="V1522" s="328"/>
    </row>
    <row r="1523" customFormat="false" ht="15" hidden="false" customHeight="true" outlineLevel="1" collapsed="false">
      <c r="A1523" s="429"/>
      <c r="B1523" s="429"/>
      <c r="C1523" s="429"/>
      <c r="D1523" s="430"/>
      <c r="E1523" s="431"/>
      <c r="F1523" s="431"/>
      <c r="G1523" s="429"/>
      <c r="H1523" s="432"/>
      <c r="I1523" s="432"/>
      <c r="J1523" s="432"/>
      <c r="K1523" s="328"/>
      <c r="L1523" s="396"/>
      <c r="M1523" s="396"/>
      <c r="N1523" s="396"/>
      <c r="O1523" s="396"/>
      <c r="P1523" s="396"/>
      <c r="Q1523" s="328"/>
      <c r="R1523" s="328"/>
      <c r="S1523" s="328"/>
      <c r="T1523" s="328"/>
      <c r="U1523" s="328"/>
      <c r="V1523" s="328"/>
    </row>
    <row r="1524" customFormat="false" ht="15" hidden="false" customHeight="true" outlineLevel="1" collapsed="false">
      <c r="A1524" s="429"/>
      <c r="B1524" s="429"/>
      <c r="C1524" s="429"/>
      <c r="D1524" s="430"/>
      <c r="E1524" s="431"/>
      <c r="F1524" s="431"/>
      <c r="G1524" s="429"/>
      <c r="H1524" s="432"/>
      <c r="I1524" s="432"/>
      <c r="J1524" s="432"/>
      <c r="K1524" s="328"/>
      <c r="L1524" s="396"/>
      <c r="M1524" s="396"/>
      <c r="N1524" s="396"/>
      <c r="O1524" s="396"/>
      <c r="P1524" s="396"/>
      <c r="Q1524" s="328"/>
      <c r="R1524" s="328"/>
      <c r="S1524" s="328"/>
      <c r="T1524" s="328"/>
      <c r="U1524" s="328"/>
      <c r="V1524" s="328"/>
    </row>
    <row r="1525" customFormat="false" ht="15" hidden="false" customHeight="true" outlineLevel="1" collapsed="false">
      <c r="A1525" s="429"/>
      <c r="B1525" s="429"/>
      <c r="C1525" s="429"/>
      <c r="D1525" s="430"/>
      <c r="E1525" s="431"/>
      <c r="F1525" s="431"/>
      <c r="G1525" s="429"/>
      <c r="H1525" s="432"/>
      <c r="I1525" s="432"/>
      <c r="J1525" s="432"/>
      <c r="K1525" s="328"/>
      <c r="L1525" s="396"/>
      <c r="M1525" s="396"/>
      <c r="N1525" s="396"/>
      <c r="O1525" s="396"/>
      <c r="P1525" s="396"/>
      <c r="Q1525" s="328"/>
      <c r="R1525" s="328"/>
      <c r="S1525" s="328"/>
      <c r="T1525" s="328"/>
      <c r="U1525" s="328"/>
      <c r="V1525" s="328"/>
    </row>
    <row r="1526" customFormat="false" ht="15" hidden="false" customHeight="true" outlineLevel="1" collapsed="false">
      <c r="A1526" s="429"/>
      <c r="B1526" s="429"/>
      <c r="C1526" s="429"/>
      <c r="D1526" s="430"/>
      <c r="E1526" s="431"/>
      <c r="F1526" s="431"/>
      <c r="G1526" s="429"/>
      <c r="H1526" s="432"/>
      <c r="I1526" s="432"/>
      <c r="J1526" s="432"/>
      <c r="K1526" s="328"/>
      <c r="L1526" s="396"/>
      <c r="M1526" s="396"/>
      <c r="N1526" s="396"/>
      <c r="O1526" s="396"/>
      <c r="P1526" s="396"/>
      <c r="Q1526" s="328"/>
      <c r="R1526" s="328"/>
      <c r="S1526" s="328"/>
      <c r="T1526" s="328"/>
      <c r="U1526" s="328"/>
      <c r="V1526" s="328"/>
    </row>
    <row r="1527" customFormat="false" ht="15" hidden="false" customHeight="true" outlineLevel="1" collapsed="false">
      <c r="A1527" s="429"/>
      <c r="B1527" s="429"/>
      <c r="C1527" s="429"/>
      <c r="D1527" s="430"/>
      <c r="E1527" s="431"/>
      <c r="F1527" s="431"/>
      <c r="G1527" s="429"/>
      <c r="H1527" s="432"/>
      <c r="I1527" s="432"/>
      <c r="J1527" s="432"/>
      <c r="K1527" s="328"/>
      <c r="L1527" s="396"/>
      <c r="M1527" s="396"/>
      <c r="N1527" s="396"/>
      <c r="O1527" s="396"/>
      <c r="P1527" s="396"/>
      <c r="Q1527" s="328"/>
      <c r="R1527" s="328"/>
      <c r="S1527" s="328"/>
      <c r="T1527" s="328"/>
      <c r="U1527" s="328"/>
      <c r="V1527" s="328"/>
    </row>
    <row r="1528" customFormat="false" ht="15" hidden="false" customHeight="true" outlineLevel="1" collapsed="false">
      <c r="A1528" s="429"/>
      <c r="B1528" s="429"/>
      <c r="C1528" s="429"/>
      <c r="D1528" s="430"/>
      <c r="E1528" s="431"/>
      <c r="F1528" s="431"/>
      <c r="G1528" s="429"/>
      <c r="H1528" s="432"/>
      <c r="I1528" s="432"/>
      <c r="J1528" s="432"/>
      <c r="K1528" s="328"/>
      <c r="L1528" s="396"/>
      <c r="M1528" s="396"/>
      <c r="N1528" s="396"/>
      <c r="O1528" s="396"/>
      <c r="P1528" s="396"/>
      <c r="Q1528" s="328"/>
      <c r="R1528" s="328"/>
      <c r="S1528" s="328"/>
      <c r="T1528" s="328"/>
      <c r="U1528" s="328"/>
      <c r="V1528" s="328"/>
    </row>
    <row r="1529" customFormat="false" ht="15" hidden="false" customHeight="true" outlineLevel="1" collapsed="false">
      <c r="A1529" s="429"/>
      <c r="B1529" s="429"/>
      <c r="C1529" s="429"/>
      <c r="D1529" s="430"/>
      <c r="E1529" s="431"/>
      <c r="F1529" s="431"/>
      <c r="G1529" s="429"/>
      <c r="H1529" s="432"/>
      <c r="I1529" s="432"/>
      <c r="J1529" s="432"/>
      <c r="K1529" s="328"/>
      <c r="L1529" s="396"/>
      <c r="M1529" s="396"/>
      <c r="N1529" s="396"/>
      <c r="O1529" s="396"/>
      <c r="P1529" s="396"/>
      <c r="Q1529" s="328"/>
      <c r="R1529" s="328"/>
      <c r="S1529" s="328"/>
      <c r="T1529" s="328"/>
      <c r="U1529" s="328"/>
      <c r="V1529" s="328"/>
    </row>
    <row r="1530" customFormat="false" ht="15" hidden="false" customHeight="true" outlineLevel="1" collapsed="false">
      <c r="A1530" s="429"/>
      <c r="B1530" s="429"/>
      <c r="C1530" s="429"/>
      <c r="D1530" s="430"/>
      <c r="E1530" s="431"/>
      <c r="F1530" s="431"/>
      <c r="G1530" s="429"/>
      <c r="H1530" s="432"/>
      <c r="I1530" s="432"/>
      <c r="J1530" s="432"/>
      <c r="K1530" s="328"/>
      <c r="L1530" s="396"/>
      <c r="M1530" s="396"/>
      <c r="N1530" s="396"/>
      <c r="O1530" s="396"/>
      <c r="P1530" s="396"/>
      <c r="Q1530" s="328"/>
      <c r="R1530" s="328"/>
      <c r="S1530" s="328"/>
      <c r="T1530" s="328"/>
      <c r="U1530" s="328"/>
      <c r="V1530" s="328"/>
    </row>
    <row r="1531" customFormat="false" ht="15" hidden="false" customHeight="true" outlineLevel="1" collapsed="false">
      <c r="A1531" s="429"/>
      <c r="B1531" s="429"/>
      <c r="C1531" s="429"/>
      <c r="D1531" s="430"/>
      <c r="E1531" s="431"/>
      <c r="F1531" s="431"/>
      <c r="G1531" s="429"/>
      <c r="H1531" s="432"/>
      <c r="I1531" s="432"/>
      <c r="J1531" s="432"/>
      <c r="K1531" s="328"/>
      <c r="L1531" s="396"/>
      <c r="M1531" s="396"/>
      <c r="N1531" s="396"/>
      <c r="O1531" s="396"/>
      <c r="P1531" s="396"/>
      <c r="Q1531" s="328"/>
      <c r="R1531" s="328"/>
      <c r="S1531" s="328"/>
      <c r="T1531" s="328"/>
      <c r="U1531" s="328"/>
      <c r="V1531" s="328"/>
    </row>
    <row r="1532" customFormat="false" ht="15" hidden="false" customHeight="true" outlineLevel="1" collapsed="false">
      <c r="A1532" s="429"/>
      <c r="B1532" s="429"/>
      <c r="C1532" s="429"/>
      <c r="D1532" s="430"/>
      <c r="E1532" s="431"/>
      <c r="F1532" s="431"/>
      <c r="G1532" s="429"/>
      <c r="H1532" s="432"/>
      <c r="I1532" s="432"/>
      <c r="J1532" s="432"/>
      <c r="K1532" s="328"/>
      <c r="L1532" s="396"/>
      <c r="M1532" s="396"/>
      <c r="N1532" s="396"/>
      <c r="O1532" s="396"/>
      <c r="P1532" s="396"/>
      <c r="Q1532" s="328"/>
      <c r="R1532" s="328"/>
      <c r="S1532" s="328"/>
      <c r="T1532" s="328"/>
      <c r="U1532" s="328"/>
      <c r="V1532" s="328"/>
    </row>
    <row r="1533" customFormat="false" ht="15" hidden="false" customHeight="true" outlineLevel="1" collapsed="false">
      <c r="A1533" s="429"/>
      <c r="B1533" s="429"/>
      <c r="C1533" s="429"/>
      <c r="D1533" s="430"/>
      <c r="E1533" s="431"/>
      <c r="F1533" s="431"/>
      <c r="G1533" s="429"/>
      <c r="H1533" s="432"/>
      <c r="I1533" s="432"/>
      <c r="J1533" s="432"/>
      <c r="K1533" s="328"/>
      <c r="L1533" s="396"/>
      <c r="M1533" s="396"/>
      <c r="N1533" s="396"/>
      <c r="O1533" s="396"/>
      <c r="P1533" s="396"/>
      <c r="Q1533" s="328"/>
      <c r="R1533" s="328"/>
      <c r="S1533" s="328"/>
      <c r="T1533" s="328"/>
      <c r="U1533" s="328"/>
      <c r="V1533" s="328"/>
    </row>
    <row r="1534" customFormat="false" ht="15" hidden="false" customHeight="true" outlineLevel="1" collapsed="false">
      <c r="A1534" s="429"/>
      <c r="B1534" s="429"/>
      <c r="C1534" s="429"/>
      <c r="D1534" s="430"/>
      <c r="E1534" s="431"/>
      <c r="F1534" s="431"/>
      <c r="G1534" s="429"/>
      <c r="H1534" s="432"/>
      <c r="I1534" s="432"/>
      <c r="J1534" s="432"/>
      <c r="K1534" s="328"/>
      <c r="L1534" s="396"/>
      <c r="M1534" s="396"/>
      <c r="N1534" s="396"/>
      <c r="O1534" s="396"/>
      <c r="P1534" s="396"/>
      <c r="Q1534" s="328"/>
      <c r="R1534" s="328"/>
      <c r="S1534" s="328"/>
      <c r="T1534" s="328"/>
      <c r="U1534" s="328"/>
      <c r="V1534" s="328"/>
    </row>
    <row r="1535" customFormat="false" ht="15" hidden="false" customHeight="true" outlineLevel="1" collapsed="false">
      <c r="A1535" s="429"/>
      <c r="B1535" s="429"/>
      <c r="C1535" s="429"/>
      <c r="D1535" s="430"/>
      <c r="E1535" s="431"/>
      <c r="F1535" s="431"/>
      <c r="G1535" s="429"/>
      <c r="H1535" s="432"/>
      <c r="I1535" s="432"/>
      <c r="J1535" s="432"/>
      <c r="K1535" s="328"/>
      <c r="L1535" s="396"/>
      <c r="M1535" s="396"/>
      <c r="N1535" s="396"/>
      <c r="O1535" s="396"/>
      <c r="P1535" s="396"/>
      <c r="Q1535" s="328"/>
      <c r="R1535" s="328"/>
      <c r="S1535" s="328"/>
      <c r="T1535" s="328"/>
      <c r="U1535" s="328"/>
      <c r="V1535" s="328"/>
    </row>
    <row r="1536" customFormat="false" ht="15" hidden="false" customHeight="true" outlineLevel="1" collapsed="false">
      <c r="A1536" s="429"/>
      <c r="B1536" s="429"/>
      <c r="C1536" s="429"/>
      <c r="D1536" s="430"/>
      <c r="E1536" s="431"/>
      <c r="F1536" s="431"/>
      <c r="G1536" s="429"/>
      <c r="H1536" s="432"/>
      <c r="I1536" s="432"/>
      <c r="J1536" s="432"/>
      <c r="K1536" s="328"/>
      <c r="L1536" s="396"/>
      <c r="M1536" s="396"/>
      <c r="N1536" s="396"/>
      <c r="O1536" s="396"/>
      <c r="P1536" s="396"/>
      <c r="Q1536" s="328"/>
      <c r="R1536" s="328"/>
      <c r="S1536" s="328"/>
      <c r="T1536" s="328"/>
      <c r="U1536" s="328"/>
      <c r="V1536" s="328"/>
    </row>
    <row r="1537" customFormat="false" ht="15" hidden="false" customHeight="true" outlineLevel="1" collapsed="false">
      <c r="A1537" s="429"/>
      <c r="B1537" s="429"/>
      <c r="C1537" s="429"/>
      <c r="D1537" s="430"/>
      <c r="E1537" s="431"/>
      <c r="F1537" s="431"/>
      <c r="G1537" s="429"/>
      <c r="H1537" s="432"/>
      <c r="I1537" s="432"/>
      <c r="J1537" s="432"/>
      <c r="K1537" s="328"/>
      <c r="L1537" s="396"/>
      <c r="M1537" s="396"/>
      <c r="N1537" s="396"/>
      <c r="O1537" s="396"/>
      <c r="P1537" s="396"/>
      <c r="Q1537" s="328"/>
      <c r="R1537" s="328"/>
      <c r="S1537" s="328"/>
      <c r="T1537" s="328"/>
      <c r="U1537" s="328"/>
      <c r="V1537" s="328"/>
    </row>
    <row r="1538" customFormat="false" ht="15" hidden="false" customHeight="true" outlineLevel="1" collapsed="false">
      <c r="A1538" s="429"/>
      <c r="B1538" s="429"/>
      <c r="C1538" s="429"/>
      <c r="D1538" s="430"/>
      <c r="E1538" s="431"/>
      <c r="F1538" s="431"/>
      <c r="G1538" s="429"/>
      <c r="H1538" s="432"/>
      <c r="I1538" s="432"/>
      <c r="J1538" s="432"/>
      <c r="K1538" s="328"/>
      <c r="L1538" s="396"/>
      <c r="M1538" s="396"/>
      <c r="N1538" s="396"/>
      <c r="O1538" s="396"/>
      <c r="P1538" s="396"/>
      <c r="Q1538" s="328"/>
      <c r="R1538" s="328"/>
      <c r="S1538" s="328"/>
      <c r="T1538" s="328"/>
      <c r="U1538" s="328"/>
      <c r="V1538" s="328"/>
    </row>
    <row r="1539" customFormat="false" ht="15" hidden="false" customHeight="true" outlineLevel="1" collapsed="false">
      <c r="A1539" s="429"/>
      <c r="B1539" s="429"/>
      <c r="C1539" s="429"/>
      <c r="D1539" s="430"/>
      <c r="E1539" s="431"/>
      <c r="F1539" s="431"/>
      <c r="G1539" s="429"/>
      <c r="H1539" s="432"/>
      <c r="I1539" s="432"/>
      <c r="J1539" s="432"/>
      <c r="K1539" s="328"/>
      <c r="L1539" s="396"/>
      <c r="M1539" s="396"/>
      <c r="N1539" s="396"/>
      <c r="O1539" s="396"/>
      <c r="P1539" s="396"/>
      <c r="Q1539" s="328"/>
      <c r="R1539" s="328"/>
      <c r="S1539" s="328"/>
      <c r="T1539" s="328"/>
      <c r="U1539" s="328"/>
      <c r="V1539" s="328"/>
    </row>
    <row r="1540" customFormat="false" ht="15" hidden="false" customHeight="true" outlineLevel="1" collapsed="false">
      <c r="A1540" s="429"/>
      <c r="B1540" s="429"/>
      <c r="C1540" s="429"/>
      <c r="D1540" s="430"/>
      <c r="E1540" s="431"/>
      <c r="F1540" s="431"/>
      <c r="G1540" s="429"/>
      <c r="H1540" s="432"/>
      <c r="I1540" s="432"/>
      <c r="J1540" s="432"/>
      <c r="K1540" s="328"/>
      <c r="L1540" s="396"/>
      <c r="M1540" s="396"/>
      <c r="N1540" s="396"/>
      <c r="O1540" s="396"/>
      <c r="P1540" s="396"/>
      <c r="Q1540" s="328"/>
      <c r="R1540" s="328"/>
      <c r="S1540" s="328"/>
      <c r="T1540" s="328"/>
      <c r="U1540" s="328"/>
      <c r="V1540" s="328"/>
    </row>
    <row r="1541" customFormat="false" ht="15" hidden="false" customHeight="true" outlineLevel="1" collapsed="false">
      <c r="A1541" s="429"/>
      <c r="B1541" s="429"/>
      <c r="C1541" s="429"/>
      <c r="D1541" s="430"/>
      <c r="E1541" s="431"/>
      <c r="F1541" s="431"/>
      <c r="G1541" s="429"/>
      <c r="H1541" s="432"/>
      <c r="I1541" s="432"/>
      <c r="J1541" s="432"/>
      <c r="K1541" s="328"/>
      <c r="L1541" s="396"/>
      <c r="M1541" s="396"/>
      <c r="N1541" s="396"/>
      <c r="O1541" s="396"/>
      <c r="P1541" s="396"/>
      <c r="Q1541" s="328"/>
      <c r="R1541" s="328"/>
      <c r="S1541" s="328"/>
      <c r="T1541" s="328"/>
      <c r="U1541" s="328"/>
      <c r="V1541" s="328"/>
    </row>
    <row r="1542" customFormat="false" ht="15" hidden="false" customHeight="true" outlineLevel="1" collapsed="false">
      <c r="A1542" s="429"/>
      <c r="B1542" s="429"/>
      <c r="C1542" s="429"/>
      <c r="D1542" s="430"/>
      <c r="E1542" s="431"/>
      <c r="F1542" s="431"/>
      <c r="G1542" s="429"/>
      <c r="H1542" s="432"/>
      <c r="I1542" s="432"/>
      <c r="J1542" s="432"/>
      <c r="K1542" s="328"/>
      <c r="L1542" s="396"/>
      <c r="M1542" s="396"/>
      <c r="N1542" s="396"/>
      <c r="O1542" s="396"/>
      <c r="P1542" s="396"/>
      <c r="Q1542" s="328"/>
      <c r="R1542" s="328"/>
      <c r="S1542" s="328"/>
      <c r="T1542" s="328"/>
      <c r="U1542" s="328"/>
      <c r="V1542" s="328"/>
    </row>
    <row r="1543" customFormat="false" ht="15" hidden="false" customHeight="true" outlineLevel="1" collapsed="false">
      <c r="A1543" s="429"/>
      <c r="B1543" s="429"/>
      <c r="C1543" s="429"/>
      <c r="D1543" s="430"/>
      <c r="E1543" s="431"/>
      <c r="F1543" s="431"/>
      <c r="G1543" s="429"/>
      <c r="H1543" s="432"/>
      <c r="I1543" s="432"/>
      <c r="J1543" s="432"/>
      <c r="K1543" s="328"/>
      <c r="L1543" s="396"/>
      <c r="M1543" s="396"/>
      <c r="N1543" s="396"/>
      <c r="O1543" s="396"/>
      <c r="P1543" s="396"/>
      <c r="Q1543" s="328"/>
      <c r="R1543" s="328"/>
      <c r="S1543" s="328"/>
      <c r="T1543" s="328"/>
      <c r="U1543" s="328"/>
      <c r="V1543" s="328"/>
    </row>
    <row r="1544" customFormat="false" ht="15" hidden="false" customHeight="true" outlineLevel="1" collapsed="false">
      <c r="A1544" s="429"/>
      <c r="B1544" s="429"/>
      <c r="C1544" s="429"/>
      <c r="D1544" s="430"/>
      <c r="E1544" s="431"/>
      <c r="F1544" s="431"/>
      <c r="G1544" s="429"/>
      <c r="H1544" s="432"/>
      <c r="I1544" s="432"/>
      <c r="J1544" s="432"/>
      <c r="K1544" s="328"/>
      <c r="L1544" s="396"/>
      <c r="M1544" s="396"/>
      <c r="N1544" s="396"/>
      <c r="O1544" s="396"/>
      <c r="P1544" s="396"/>
      <c r="Q1544" s="328"/>
      <c r="R1544" s="328"/>
      <c r="S1544" s="328"/>
      <c r="T1544" s="328"/>
      <c r="U1544" s="328"/>
      <c r="V1544" s="328"/>
    </row>
    <row r="1545" customFormat="false" ht="15" hidden="false" customHeight="true" outlineLevel="1" collapsed="false">
      <c r="A1545" s="429"/>
      <c r="B1545" s="429"/>
      <c r="C1545" s="429"/>
      <c r="D1545" s="430"/>
      <c r="E1545" s="431"/>
      <c r="F1545" s="431"/>
      <c r="G1545" s="429"/>
      <c r="H1545" s="432"/>
      <c r="I1545" s="432"/>
      <c r="J1545" s="432"/>
      <c r="K1545" s="328"/>
      <c r="L1545" s="396"/>
      <c r="M1545" s="396"/>
      <c r="N1545" s="396"/>
      <c r="O1545" s="396"/>
      <c r="P1545" s="396"/>
      <c r="Q1545" s="328"/>
      <c r="R1545" s="328"/>
      <c r="S1545" s="328"/>
      <c r="T1545" s="328"/>
      <c r="U1545" s="328"/>
      <c r="V1545" s="328"/>
    </row>
    <row r="1546" customFormat="false" ht="15" hidden="false" customHeight="true" outlineLevel="1" collapsed="false">
      <c r="A1546" s="429"/>
      <c r="B1546" s="429"/>
      <c r="C1546" s="429"/>
      <c r="D1546" s="430"/>
      <c r="E1546" s="431"/>
      <c r="F1546" s="431"/>
      <c r="G1546" s="429"/>
      <c r="H1546" s="432"/>
      <c r="I1546" s="432"/>
      <c r="J1546" s="432"/>
      <c r="K1546" s="328"/>
      <c r="L1546" s="396"/>
      <c r="M1546" s="396"/>
      <c r="N1546" s="396"/>
      <c r="O1546" s="396"/>
      <c r="P1546" s="396"/>
      <c r="Q1546" s="328"/>
      <c r="R1546" s="328"/>
      <c r="S1546" s="328"/>
      <c r="T1546" s="328"/>
      <c r="U1546" s="328"/>
      <c r="V1546" s="328"/>
    </row>
    <row r="1547" customFormat="false" ht="15" hidden="false" customHeight="true" outlineLevel="1" collapsed="false">
      <c r="A1547" s="429"/>
      <c r="B1547" s="429"/>
      <c r="C1547" s="429"/>
      <c r="D1547" s="430"/>
      <c r="E1547" s="431"/>
      <c r="F1547" s="431"/>
      <c r="G1547" s="429"/>
      <c r="H1547" s="432"/>
      <c r="I1547" s="432"/>
      <c r="J1547" s="432"/>
      <c r="K1547" s="328"/>
      <c r="L1547" s="396"/>
      <c r="M1547" s="396"/>
      <c r="N1547" s="396"/>
      <c r="O1547" s="396"/>
      <c r="P1547" s="396"/>
      <c r="Q1547" s="328"/>
      <c r="R1547" s="328"/>
      <c r="S1547" s="328"/>
      <c r="T1547" s="328"/>
      <c r="U1547" s="328"/>
      <c r="V1547" s="328"/>
    </row>
    <row r="1548" customFormat="false" ht="15" hidden="false" customHeight="true" outlineLevel="1" collapsed="false">
      <c r="A1548" s="429"/>
      <c r="B1548" s="429"/>
      <c r="C1548" s="429"/>
      <c r="D1548" s="430"/>
      <c r="E1548" s="431"/>
      <c r="F1548" s="431"/>
      <c r="G1548" s="429"/>
      <c r="H1548" s="432"/>
      <c r="I1548" s="432"/>
      <c r="J1548" s="432"/>
      <c r="K1548" s="328"/>
      <c r="L1548" s="396"/>
      <c r="M1548" s="396"/>
      <c r="N1548" s="396"/>
      <c r="O1548" s="396"/>
      <c r="P1548" s="396"/>
      <c r="Q1548" s="328"/>
      <c r="R1548" s="328"/>
      <c r="S1548" s="328"/>
      <c r="T1548" s="328"/>
      <c r="U1548" s="328"/>
      <c r="V1548" s="328"/>
    </row>
    <row r="1549" customFormat="false" ht="15" hidden="false" customHeight="true" outlineLevel="1" collapsed="false">
      <c r="A1549" s="429"/>
      <c r="B1549" s="429"/>
      <c r="C1549" s="429"/>
      <c r="D1549" s="430"/>
      <c r="E1549" s="431"/>
      <c r="F1549" s="431"/>
      <c r="G1549" s="429"/>
      <c r="H1549" s="432"/>
      <c r="I1549" s="432"/>
      <c r="J1549" s="432"/>
      <c r="K1549" s="328"/>
      <c r="L1549" s="396"/>
      <c r="M1549" s="396"/>
      <c r="N1549" s="396"/>
      <c r="O1549" s="396"/>
      <c r="P1549" s="396"/>
      <c r="Q1549" s="328"/>
      <c r="R1549" s="328"/>
      <c r="S1549" s="328"/>
      <c r="T1549" s="328"/>
      <c r="U1549" s="328"/>
      <c r="V1549" s="328"/>
    </row>
    <row r="1550" customFormat="false" ht="15" hidden="false" customHeight="true" outlineLevel="1" collapsed="false">
      <c r="A1550" s="429"/>
      <c r="B1550" s="429"/>
      <c r="C1550" s="429"/>
      <c r="D1550" s="430"/>
      <c r="E1550" s="431"/>
      <c r="F1550" s="431"/>
      <c r="G1550" s="429"/>
      <c r="H1550" s="432"/>
      <c r="I1550" s="432"/>
      <c r="J1550" s="432"/>
      <c r="K1550" s="328"/>
      <c r="L1550" s="396"/>
      <c r="M1550" s="396"/>
      <c r="N1550" s="396"/>
      <c r="O1550" s="396"/>
      <c r="P1550" s="396"/>
      <c r="Q1550" s="328"/>
      <c r="R1550" s="328"/>
      <c r="S1550" s="328"/>
      <c r="T1550" s="328"/>
      <c r="U1550" s="328"/>
      <c r="V1550" s="328"/>
    </row>
    <row r="1551" customFormat="false" ht="15" hidden="false" customHeight="true" outlineLevel="1" collapsed="false">
      <c r="A1551" s="429"/>
      <c r="B1551" s="429"/>
      <c r="C1551" s="429"/>
      <c r="D1551" s="430"/>
      <c r="E1551" s="431"/>
      <c r="F1551" s="431"/>
      <c r="G1551" s="429"/>
      <c r="H1551" s="432"/>
      <c r="I1551" s="432"/>
      <c r="J1551" s="432"/>
      <c r="K1551" s="328"/>
      <c r="L1551" s="396"/>
      <c r="M1551" s="396"/>
      <c r="N1551" s="396"/>
      <c r="O1551" s="396"/>
      <c r="P1551" s="396"/>
      <c r="Q1551" s="328"/>
      <c r="R1551" s="328"/>
      <c r="S1551" s="328"/>
      <c r="T1551" s="328"/>
      <c r="U1551" s="328"/>
      <c r="V1551" s="328"/>
    </row>
    <row r="1552" customFormat="false" ht="15" hidden="false" customHeight="true" outlineLevel="1" collapsed="false">
      <c r="A1552" s="429"/>
      <c r="B1552" s="429"/>
      <c r="C1552" s="429"/>
      <c r="D1552" s="430"/>
      <c r="E1552" s="431"/>
      <c r="F1552" s="431"/>
      <c r="G1552" s="429"/>
      <c r="H1552" s="432"/>
      <c r="I1552" s="432"/>
      <c r="J1552" s="432"/>
      <c r="K1552" s="328"/>
      <c r="L1552" s="396"/>
      <c r="M1552" s="396"/>
      <c r="N1552" s="396"/>
      <c r="O1552" s="396"/>
      <c r="P1552" s="396"/>
      <c r="Q1552" s="328"/>
      <c r="R1552" s="328"/>
      <c r="S1552" s="328"/>
      <c r="T1552" s="328"/>
      <c r="U1552" s="328"/>
      <c r="V1552" s="328"/>
    </row>
    <row r="1553" customFormat="false" ht="15" hidden="false" customHeight="true" outlineLevel="1" collapsed="false">
      <c r="A1553" s="429"/>
      <c r="B1553" s="429"/>
      <c r="C1553" s="429"/>
      <c r="D1553" s="430"/>
      <c r="E1553" s="431"/>
      <c r="F1553" s="431"/>
      <c r="G1553" s="429"/>
      <c r="H1553" s="432"/>
      <c r="I1553" s="432"/>
      <c r="J1553" s="432"/>
      <c r="K1553" s="328"/>
      <c r="L1553" s="396"/>
      <c r="M1553" s="396"/>
      <c r="N1553" s="396"/>
      <c r="O1553" s="396"/>
      <c r="P1553" s="396"/>
      <c r="Q1553" s="328"/>
      <c r="R1553" s="328"/>
      <c r="S1553" s="328"/>
      <c r="T1553" s="328"/>
      <c r="U1553" s="328"/>
      <c r="V1553" s="328"/>
    </row>
    <row r="1554" customFormat="false" ht="15" hidden="false" customHeight="true" outlineLevel="1" collapsed="false">
      <c r="A1554" s="429"/>
      <c r="B1554" s="429"/>
      <c r="C1554" s="429"/>
      <c r="D1554" s="430"/>
      <c r="E1554" s="431"/>
      <c r="F1554" s="431"/>
      <c r="G1554" s="429"/>
      <c r="H1554" s="432"/>
      <c r="I1554" s="432"/>
      <c r="J1554" s="432"/>
      <c r="K1554" s="328"/>
      <c r="L1554" s="396"/>
      <c r="M1554" s="396"/>
      <c r="N1554" s="396"/>
      <c r="O1554" s="396"/>
      <c r="P1554" s="396"/>
      <c r="Q1554" s="328"/>
      <c r="R1554" s="328"/>
      <c r="S1554" s="328"/>
      <c r="T1554" s="328"/>
      <c r="U1554" s="328"/>
      <c r="V1554" s="328"/>
    </row>
    <row r="1555" customFormat="false" ht="15" hidden="false" customHeight="true" outlineLevel="1" collapsed="false">
      <c r="A1555" s="429"/>
      <c r="B1555" s="429"/>
      <c r="C1555" s="429"/>
      <c r="D1555" s="430"/>
      <c r="E1555" s="431"/>
      <c r="F1555" s="431"/>
      <c r="G1555" s="429"/>
      <c r="H1555" s="432"/>
      <c r="I1555" s="432"/>
      <c r="J1555" s="432"/>
      <c r="K1555" s="328"/>
      <c r="L1555" s="396"/>
      <c r="M1555" s="396"/>
      <c r="N1555" s="396"/>
      <c r="O1555" s="396"/>
      <c r="P1555" s="396"/>
      <c r="Q1555" s="328"/>
      <c r="R1555" s="328"/>
      <c r="S1555" s="328"/>
      <c r="T1555" s="328"/>
      <c r="U1555" s="328"/>
      <c r="V1555" s="328"/>
    </row>
    <row r="1556" customFormat="false" ht="15" hidden="false" customHeight="true" outlineLevel="1" collapsed="false">
      <c r="A1556" s="429"/>
      <c r="B1556" s="429"/>
      <c r="C1556" s="429"/>
      <c r="D1556" s="430"/>
      <c r="E1556" s="431"/>
      <c r="F1556" s="431"/>
      <c r="G1556" s="429"/>
      <c r="H1556" s="432"/>
      <c r="I1556" s="432"/>
      <c r="J1556" s="432"/>
      <c r="K1556" s="328"/>
      <c r="L1556" s="396"/>
      <c r="M1556" s="396"/>
      <c r="N1556" s="396"/>
      <c r="O1556" s="396"/>
      <c r="P1556" s="396"/>
      <c r="Q1556" s="328"/>
      <c r="R1556" s="328"/>
      <c r="S1556" s="328"/>
      <c r="T1556" s="328"/>
      <c r="U1556" s="328"/>
      <c r="V1556" s="328"/>
    </row>
    <row r="1557" customFormat="false" ht="15" hidden="false" customHeight="true" outlineLevel="1" collapsed="false">
      <c r="A1557" s="429"/>
      <c r="B1557" s="429"/>
      <c r="C1557" s="429"/>
      <c r="D1557" s="430"/>
      <c r="E1557" s="431"/>
      <c r="F1557" s="431"/>
      <c r="G1557" s="429"/>
      <c r="H1557" s="432"/>
      <c r="I1557" s="432"/>
      <c r="J1557" s="432"/>
      <c r="K1557" s="328"/>
      <c r="L1557" s="396"/>
      <c r="M1557" s="396"/>
      <c r="N1557" s="396"/>
      <c r="O1557" s="396"/>
      <c r="P1557" s="396"/>
      <c r="Q1557" s="328"/>
      <c r="R1557" s="328"/>
      <c r="S1557" s="328"/>
      <c r="T1557" s="328"/>
      <c r="U1557" s="328"/>
      <c r="V1557" s="328"/>
    </row>
    <row r="1558" customFormat="false" ht="15" hidden="false" customHeight="true" outlineLevel="1" collapsed="false">
      <c r="A1558" s="429"/>
      <c r="B1558" s="429"/>
      <c r="C1558" s="429"/>
      <c r="D1558" s="430"/>
      <c r="E1558" s="431"/>
      <c r="F1558" s="431"/>
      <c r="G1558" s="429"/>
      <c r="H1558" s="432"/>
      <c r="I1558" s="432"/>
      <c r="J1558" s="432"/>
      <c r="K1558" s="328"/>
      <c r="L1558" s="396"/>
      <c r="M1558" s="396"/>
      <c r="N1558" s="396"/>
      <c r="O1558" s="396"/>
      <c r="P1558" s="396"/>
      <c r="Q1558" s="328"/>
      <c r="R1558" s="328"/>
      <c r="S1558" s="328"/>
      <c r="T1558" s="328"/>
      <c r="U1558" s="328"/>
      <c r="V1558" s="328"/>
    </row>
    <row r="1559" customFormat="false" ht="15" hidden="false" customHeight="true" outlineLevel="1" collapsed="false">
      <c r="A1559" s="429"/>
      <c r="B1559" s="429"/>
      <c r="C1559" s="429"/>
      <c r="D1559" s="430"/>
      <c r="E1559" s="431"/>
      <c r="F1559" s="431"/>
      <c r="G1559" s="429"/>
      <c r="H1559" s="432"/>
      <c r="I1559" s="432"/>
      <c r="J1559" s="432"/>
      <c r="K1559" s="328"/>
      <c r="L1559" s="396"/>
      <c r="M1559" s="396"/>
      <c r="N1559" s="396"/>
      <c r="O1559" s="396"/>
      <c r="P1559" s="396"/>
      <c r="Q1559" s="328"/>
      <c r="R1559" s="328"/>
      <c r="S1559" s="328"/>
      <c r="T1559" s="328"/>
      <c r="U1559" s="328"/>
      <c r="V1559" s="328"/>
    </row>
    <row r="1560" customFormat="false" ht="15" hidden="false" customHeight="true" outlineLevel="1" collapsed="false">
      <c r="A1560" s="429"/>
      <c r="B1560" s="429"/>
      <c r="C1560" s="429"/>
      <c r="D1560" s="430"/>
      <c r="E1560" s="431"/>
      <c r="F1560" s="431"/>
      <c r="G1560" s="429"/>
      <c r="H1560" s="432"/>
      <c r="I1560" s="432"/>
      <c r="J1560" s="432"/>
      <c r="K1560" s="328"/>
      <c r="L1560" s="396"/>
      <c r="M1560" s="396"/>
      <c r="N1560" s="396"/>
      <c r="O1560" s="396"/>
      <c r="P1560" s="396"/>
      <c r="Q1560" s="328"/>
      <c r="R1560" s="328"/>
      <c r="S1560" s="328"/>
      <c r="T1560" s="328"/>
      <c r="U1560" s="328"/>
      <c r="V1560" s="328"/>
    </row>
    <row r="1561" customFormat="false" ht="15" hidden="false" customHeight="true" outlineLevel="1" collapsed="false">
      <c r="A1561" s="429"/>
      <c r="B1561" s="429"/>
      <c r="C1561" s="429"/>
      <c r="D1561" s="430"/>
      <c r="E1561" s="431"/>
      <c r="F1561" s="431"/>
      <c r="G1561" s="429"/>
      <c r="H1561" s="432"/>
      <c r="I1561" s="432"/>
      <c r="J1561" s="432"/>
      <c r="K1561" s="328"/>
      <c r="L1561" s="396"/>
      <c r="M1561" s="396"/>
      <c r="N1561" s="396"/>
      <c r="O1561" s="396"/>
      <c r="P1561" s="396"/>
      <c r="Q1561" s="328"/>
      <c r="R1561" s="328"/>
      <c r="S1561" s="328"/>
      <c r="T1561" s="328"/>
      <c r="U1561" s="328"/>
      <c r="V1561" s="328"/>
    </row>
    <row r="1562" customFormat="false" ht="15" hidden="false" customHeight="true" outlineLevel="1" collapsed="false">
      <c r="A1562" s="429"/>
      <c r="B1562" s="429"/>
      <c r="C1562" s="429"/>
      <c r="D1562" s="430"/>
      <c r="E1562" s="431"/>
      <c r="F1562" s="431"/>
      <c r="G1562" s="429"/>
      <c r="H1562" s="432"/>
      <c r="I1562" s="432"/>
      <c r="J1562" s="432"/>
      <c r="K1562" s="328"/>
      <c r="L1562" s="396"/>
      <c r="M1562" s="396"/>
      <c r="N1562" s="396"/>
      <c r="O1562" s="396"/>
      <c r="P1562" s="396"/>
      <c r="Q1562" s="328"/>
      <c r="R1562" s="328"/>
      <c r="S1562" s="328"/>
      <c r="T1562" s="328"/>
      <c r="U1562" s="328"/>
      <c r="V1562" s="328"/>
    </row>
    <row r="1563" customFormat="false" ht="15" hidden="false" customHeight="true" outlineLevel="1" collapsed="false">
      <c r="A1563" s="429"/>
      <c r="B1563" s="429"/>
      <c r="C1563" s="429"/>
      <c r="D1563" s="430"/>
      <c r="E1563" s="431"/>
      <c r="F1563" s="431"/>
      <c r="G1563" s="429"/>
      <c r="H1563" s="432"/>
      <c r="I1563" s="432"/>
      <c r="J1563" s="432"/>
      <c r="K1563" s="328"/>
      <c r="L1563" s="396"/>
      <c r="M1563" s="396"/>
      <c r="N1563" s="396"/>
      <c r="O1563" s="396"/>
      <c r="P1563" s="396"/>
      <c r="Q1563" s="328"/>
      <c r="R1563" s="328"/>
      <c r="S1563" s="328"/>
      <c r="T1563" s="328"/>
      <c r="U1563" s="328"/>
      <c r="V1563" s="328"/>
    </row>
    <row r="1564" customFormat="false" ht="15" hidden="false" customHeight="true" outlineLevel="1" collapsed="false">
      <c r="A1564" s="429"/>
      <c r="B1564" s="429"/>
      <c r="C1564" s="429"/>
      <c r="D1564" s="430"/>
      <c r="E1564" s="431"/>
      <c r="F1564" s="431"/>
      <c r="G1564" s="429"/>
      <c r="H1564" s="432"/>
      <c r="I1564" s="432"/>
      <c r="J1564" s="432"/>
      <c r="K1564" s="328"/>
      <c r="L1564" s="396"/>
      <c r="M1564" s="396"/>
      <c r="N1564" s="396"/>
      <c r="O1564" s="396"/>
      <c r="P1564" s="396"/>
      <c r="Q1564" s="328"/>
      <c r="R1564" s="328"/>
      <c r="S1564" s="328"/>
      <c r="T1564" s="328"/>
      <c r="U1564" s="328"/>
      <c r="V1564" s="328"/>
    </row>
    <row r="1565" customFormat="false" ht="15" hidden="false" customHeight="true" outlineLevel="1" collapsed="false">
      <c r="A1565" s="429"/>
      <c r="B1565" s="429"/>
      <c r="C1565" s="429"/>
      <c r="D1565" s="430"/>
      <c r="E1565" s="431"/>
      <c r="F1565" s="431"/>
      <c r="G1565" s="429"/>
      <c r="H1565" s="432"/>
      <c r="I1565" s="432"/>
      <c r="J1565" s="432"/>
      <c r="K1565" s="328"/>
      <c r="L1565" s="396"/>
      <c r="M1565" s="396"/>
      <c r="N1565" s="396"/>
      <c r="O1565" s="396"/>
      <c r="P1565" s="396"/>
      <c r="Q1565" s="328"/>
      <c r="R1565" s="328"/>
      <c r="S1565" s="328"/>
      <c r="T1565" s="328"/>
      <c r="U1565" s="328"/>
      <c r="V1565" s="328"/>
    </row>
    <row r="1566" customFormat="false" ht="15" hidden="false" customHeight="true" outlineLevel="1" collapsed="false">
      <c r="A1566" s="429"/>
      <c r="B1566" s="429"/>
      <c r="C1566" s="429"/>
      <c r="D1566" s="430"/>
      <c r="E1566" s="431"/>
      <c r="F1566" s="431"/>
      <c r="G1566" s="429"/>
      <c r="H1566" s="432"/>
      <c r="I1566" s="432"/>
      <c r="J1566" s="432"/>
      <c r="K1566" s="328"/>
      <c r="L1566" s="396"/>
      <c r="M1566" s="396"/>
      <c r="N1566" s="396"/>
      <c r="O1566" s="396"/>
      <c r="P1566" s="396"/>
      <c r="Q1566" s="328"/>
      <c r="R1566" s="328"/>
      <c r="S1566" s="328"/>
      <c r="T1566" s="328"/>
      <c r="U1566" s="328"/>
      <c r="V1566" s="328"/>
    </row>
    <row r="1567" customFormat="false" ht="15" hidden="false" customHeight="true" outlineLevel="1" collapsed="false">
      <c r="A1567" s="429"/>
      <c r="B1567" s="429"/>
      <c r="C1567" s="429"/>
      <c r="D1567" s="430"/>
      <c r="E1567" s="431"/>
      <c r="F1567" s="431"/>
      <c r="G1567" s="429"/>
      <c r="H1567" s="432"/>
      <c r="I1567" s="432"/>
      <c r="J1567" s="432"/>
      <c r="K1567" s="328"/>
      <c r="L1567" s="396"/>
      <c r="M1567" s="396"/>
      <c r="N1567" s="396"/>
      <c r="O1567" s="396"/>
      <c r="P1567" s="396"/>
      <c r="Q1567" s="328"/>
      <c r="R1567" s="328"/>
      <c r="S1567" s="328"/>
      <c r="T1567" s="328"/>
      <c r="U1567" s="328"/>
      <c r="V1567" s="328"/>
    </row>
    <row r="1568" customFormat="false" ht="15" hidden="false" customHeight="true" outlineLevel="1" collapsed="false">
      <c r="A1568" s="429"/>
      <c r="B1568" s="429"/>
      <c r="C1568" s="429"/>
      <c r="D1568" s="430"/>
      <c r="E1568" s="431"/>
      <c r="F1568" s="431"/>
      <c r="G1568" s="429"/>
      <c r="H1568" s="432"/>
      <c r="I1568" s="432"/>
      <c r="J1568" s="432"/>
      <c r="K1568" s="328"/>
      <c r="L1568" s="396"/>
      <c r="M1568" s="396"/>
      <c r="N1568" s="396"/>
      <c r="O1568" s="396"/>
      <c r="P1568" s="396"/>
      <c r="Q1568" s="328"/>
      <c r="R1568" s="328"/>
      <c r="S1568" s="328"/>
      <c r="T1568" s="328"/>
      <c r="U1568" s="328"/>
      <c r="V1568" s="328"/>
    </row>
    <row r="1569" customFormat="false" ht="15" hidden="false" customHeight="true" outlineLevel="1" collapsed="false">
      <c r="A1569" s="429"/>
      <c r="B1569" s="429"/>
      <c r="C1569" s="429"/>
      <c r="D1569" s="430"/>
      <c r="E1569" s="431"/>
      <c r="F1569" s="431"/>
      <c r="G1569" s="429"/>
      <c r="H1569" s="432"/>
      <c r="I1569" s="432"/>
      <c r="J1569" s="432"/>
      <c r="K1569" s="328"/>
      <c r="L1569" s="396"/>
      <c r="M1569" s="396"/>
      <c r="N1569" s="396"/>
      <c r="O1569" s="396"/>
      <c r="P1569" s="396"/>
      <c r="Q1569" s="328"/>
      <c r="R1569" s="328"/>
      <c r="S1569" s="328"/>
      <c r="T1569" s="328"/>
      <c r="U1569" s="328"/>
      <c r="V1569" s="328"/>
    </row>
    <row r="1570" customFormat="false" ht="15" hidden="false" customHeight="true" outlineLevel="1" collapsed="false">
      <c r="A1570" s="429"/>
      <c r="B1570" s="429"/>
      <c r="C1570" s="429"/>
      <c r="D1570" s="430"/>
      <c r="E1570" s="431"/>
      <c r="F1570" s="431"/>
      <c r="G1570" s="429"/>
      <c r="H1570" s="432"/>
      <c r="I1570" s="432"/>
      <c r="J1570" s="432"/>
      <c r="K1570" s="328"/>
      <c r="L1570" s="396"/>
      <c r="M1570" s="396"/>
      <c r="N1570" s="396"/>
      <c r="O1570" s="396"/>
      <c r="P1570" s="396"/>
      <c r="Q1570" s="328"/>
      <c r="R1570" s="328"/>
      <c r="S1570" s="328"/>
      <c r="T1570" s="328"/>
      <c r="U1570" s="328"/>
      <c r="V1570" s="328"/>
    </row>
    <row r="1571" customFormat="false" ht="15" hidden="false" customHeight="true" outlineLevel="1" collapsed="false">
      <c r="A1571" s="429"/>
      <c r="B1571" s="429"/>
      <c r="C1571" s="429"/>
      <c r="D1571" s="430"/>
      <c r="E1571" s="431"/>
      <c r="F1571" s="431"/>
      <c r="G1571" s="429"/>
      <c r="H1571" s="432"/>
      <c r="I1571" s="432"/>
      <c r="J1571" s="432"/>
      <c r="K1571" s="328"/>
      <c r="L1571" s="396"/>
      <c r="M1571" s="396"/>
      <c r="N1571" s="396"/>
      <c r="O1571" s="396"/>
      <c r="P1571" s="396"/>
      <c r="Q1571" s="328"/>
      <c r="R1571" s="328"/>
      <c r="S1571" s="328"/>
      <c r="T1571" s="328"/>
      <c r="U1571" s="328"/>
      <c r="V1571" s="328"/>
    </row>
    <row r="1572" customFormat="false" ht="15" hidden="false" customHeight="true" outlineLevel="1" collapsed="false">
      <c r="A1572" s="429"/>
      <c r="B1572" s="429"/>
      <c r="C1572" s="429"/>
      <c r="D1572" s="430"/>
      <c r="E1572" s="431"/>
      <c r="F1572" s="431"/>
      <c r="G1572" s="429"/>
      <c r="H1572" s="432"/>
      <c r="I1572" s="432"/>
      <c r="J1572" s="432"/>
      <c r="K1572" s="328"/>
      <c r="L1572" s="396"/>
      <c r="M1572" s="396"/>
      <c r="N1572" s="396"/>
      <c r="O1572" s="396"/>
      <c r="P1572" s="396"/>
      <c r="Q1572" s="328"/>
      <c r="R1572" s="328"/>
      <c r="S1572" s="328"/>
      <c r="T1572" s="328"/>
      <c r="U1572" s="328"/>
      <c r="V1572" s="328"/>
    </row>
    <row r="1573" customFormat="false" ht="15" hidden="false" customHeight="true" outlineLevel="1" collapsed="false">
      <c r="A1573" s="429"/>
      <c r="B1573" s="429"/>
      <c r="C1573" s="429"/>
      <c r="D1573" s="430"/>
      <c r="E1573" s="431"/>
      <c r="F1573" s="431"/>
      <c r="G1573" s="429"/>
      <c r="H1573" s="432"/>
      <c r="I1573" s="432"/>
      <c r="J1573" s="432"/>
      <c r="K1573" s="328"/>
      <c r="L1573" s="396"/>
      <c r="M1573" s="396"/>
      <c r="N1573" s="396"/>
      <c r="O1573" s="396"/>
      <c r="P1573" s="396"/>
      <c r="Q1573" s="328"/>
      <c r="R1573" s="328"/>
      <c r="S1573" s="328"/>
      <c r="T1573" s="328"/>
      <c r="U1573" s="328"/>
      <c r="V1573" s="328"/>
    </row>
    <row r="1574" customFormat="false" ht="15" hidden="false" customHeight="true" outlineLevel="1" collapsed="false">
      <c r="A1574" s="429"/>
      <c r="B1574" s="429"/>
      <c r="C1574" s="429"/>
      <c r="D1574" s="430"/>
      <c r="E1574" s="431"/>
      <c r="F1574" s="431"/>
      <c r="G1574" s="429"/>
      <c r="H1574" s="432"/>
      <c r="I1574" s="432"/>
      <c r="J1574" s="432"/>
      <c r="K1574" s="328"/>
      <c r="L1574" s="396"/>
      <c r="M1574" s="396"/>
      <c r="N1574" s="396"/>
      <c r="O1574" s="396"/>
      <c r="P1574" s="396"/>
      <c r="Q1574" s="328"/>
      <c r="R1574" s="328"/>
      <c r="S1574" s="328"/>
      <c r="T1574" s="328"/>
      <c r="U1574" s="328"/>
      <c r="V1574" s="328"/>
    </row>
    <row r="1575" customFormat="false" ht="15" hidden="false" customHeight="true" outlineLevel="1" collapsed="false">
      <c r="A1575" s="429"/>
      <c r="B1575" s="429"/>
      <c r="C1575" s="429"/>
      <c r="D1575" s="430"/>
      <c r="E1575" s="431"/>
      <c r="F1575" s="431"/>
      <c r="G1575" s="429"/>
      <c r="H1575" s="432"/>
      <c r="I1575" s="432"/>
      <c r="J1575" s="432"/>
      <c r="K1575" s="328"/>
      <c r="L1575" s="396"/>
      <c r="M1575" s="396"/>
      <c r="N1575" s="396"/>
      <c r="O1575" s="396"/>
      <c r="P1575" s="396"/>
      <c r="Q1575" s="328"/>
      <c r="R1575" s="328"/>
      <c r="S1575" s="328"/>
      <c r="T1575" s="328"/>
      <c r="U1575" s="328"/>
      <c r="V1575" s="328"/>
    </row>
    <row r="1576" customFormat="false" ht="15" hidden="false" customHeight="true" outlineLevel="1" collapsed="false">
      <c r="A1576" s="429"/>
      <c r="B1576" s="429"/>
      <c r="C1576" s="429"/>
      <c r="D1576" s="430"/>
      <c r="E1576" s="431"/>
      <c r="F1576" s="431"/>
      <c r="G1576" s="429"/>
      <c r="H1576" s="432"/>
      <c r="I1576" s="432"/>
      <c r="J1576" s="432"/>
      <c r="K1576" s="328"/>
      <c r="L1576" s="396"/>
      <c r="M1576" s="396"/>
      <c r="N1576" s="396"/>
      <c r="O1576" s="396"/>
      <c r="P1576" s="396"/>
      <c r="Q1576" s="328"/>
      <c r="R1576" s="328"/>
      <c r="S1576" s="328"/>
      <c r="T1576" s="328"/>
      <c r="U1576" s="328"/>
      <c r="V1576" s="328"/>
    </row>
    <row r="1577" customFormat="false" ht="15" hidden="false" customHeight="true" outlineLevel="1" collapsed="false">
      <c r="A1577" s="429"/>
      <c r="B1577" s="429"/>
      <c r="C1577" s="429"/>
      <c r="D1577" s="430"/>
      <c r="E1577" s="431"/>
      <c r="F1577" s="431"/>
      <c r="G1577" s="429"/>
      <c r="H1577" s="432"/>
      <c r="I1577" s="432"/>
      <c r="J1577" s="432"/>
      <c r="K1577" s="328"/>
      <c r="L1577" s="396"/>
      <c r="M1577" s="396"/>
      <c r="N1577" s="396"/>
      <c r="O1577" s="396"/>
      <c r="P1577" s="396"/>
      <c r="Q1577" s="328"/>
      <c r="R1577" s="328"/>
      <c r="S1577" s="328"/>
      <c r="T1577" s="328"/>
      <c r="U1577" s="328"/>
      <c r="V1577" s="328"/>
    </row>
    <row r="1578" customFormat="false" ht="15" hidden="false" customHeight="true" outlineLevel="1" collapsed="false">
      <c r="A1578" s="429"/>
      <c r="B1578" s="429"/>
      <c r="C1578" s="429"/>
      <c r="D1578" s="430"/>
      <c r="E1578" s="431"/>
      <c r="F1578" s="431"/>
      <c r="G1578" s="429"/>
      <c r="H1578" s="432"/>
      <c r="I1578" s="432"/>
      <c r="J1578" s="432"/>
      <c r="K1578" s="328"/>
      <c r="L1578" s="396"/>
      <c r="M1578" s="396"/>
      <c r="N1578" s="396"/>
      <c r="O1578" s="396"/>
      <c r="P1578" s="396"/>
      <c r="Q1578" s="328"/>
      <c r="R1578" s="328"/>
      <c r="S1578" s="328"/>
      <c r="T1578" s="328"/>
      <c r="U1578" s="328"/>
      <c r="V1578" s="328"/>
    </row>
    <row r="1579" customFormat="false" ht="15" hidden="false" customHeight="true" outlineLevel="1" collapsed="false">
      <c r="A1579" s="429"/>
      <c r="B1579" s="429"/>
      <c r="C1579" s="429"/>
      <c r="D1579" s="430"/>
      <c r="E1579" s="431"/>
      <c r="F1579" s="431"/>
      <c r="G1579" s="429"/>
      <c r="H1579" s="432"/>
      <c r="I1579" s="432"/>
      <c r="J1579" s="432"/>
      <c r="K1579" s="328"/>
      <c r="L1579" s="396"/>
      <c r="M1579" s="396"/>
      <c r="N1579" s="396"/>
      <c r="O1579" s="396"/>
      <c r="P1579" s="396"/>
      <c r="Q1579" s="328"/>
      <c r="R1579" s="328"/>
      <c r="S1579" s="328"/>
      <c r="T1579" s="328"/>
      <c r="U1579" s="328"/>
      <c r="V1579" s="328"/>
    </row>
    <row r="1580" customFormat="false" ht="15" hidden="false" customHeight="true" outlineLevel="1" collapsed="false">
      <c r="A1580" s="429"/>
      <c r="B1580" s="429"/>
      <c r="C1580" s="429"/>
      <c r="D1580" s="430"/>
      <c r="E1580" s="431"/>
      <c r="F1580" s="431"/>
      <c r="G1580" s="429"/>
      <c r="H1580" s="432"/>
      <c r="I1580" s="432"/>
      <c r="J1580" s="432"/>
      <c r="K1580" s="328"/>
      <c r="L1580" s="396"/>
      <c r="M1580" s="396"/>
      <c r="N1580" s="396"/>
      <c r="O1580" s="396"/>
      <c r="P1580" s="396"/>
      <c r="Q1580" s="328"/>
      <c r="R1580" s="328"/>
      <c r="S1580" s="328"/>
      <c r="T1580" s="328"/>
      <c r="U1580" s="328"/>
      <c r="V1580" s="328"/>
    </row>
    <row r="1581" customFormat="false" ht="15" hidden="false" customHeight="true" outlineLevel="1" collapsed="false">
      <c r="A1581" s="429"/>
      <c r="B1581" s="429"/>
      <c r="C1581" s="429"/>
      <c r="D1581" s="430"/>
      <c r="E1581" s="431"/>
      <c r="F1581" s="431"/>
      <c r="G1581" s="429"/>
      <c r="H1581" s="432"/>
      <c r="I1581" s="432"/>
      <c r="J1581" s="432"/>
      <c r="K1581" s="328"/>
      <c r="L1581" s="396"/>
      <c r="M1581" s="396"/>
      <c r="N1581" s="396"/>
      <c r="O1581" s="396"/>
      <c r="P1581" s="396"/>
      <c r="Q1581" s="328"/>
      <c r="R1581" s="328"/>
      <c r="S1581" s="328"/>
      <c r="T1581" s="328"/>
      <c r="U1581" s="328"/>
      <c r="V1581" s="328"/>
    </row>
    <row r="1582" customFormat="false" ht="15" hidden="false" customHeight="true" outlineLevel="1" collapsed="false">
      <c r="A1582" s="429"/>
      <c r="B1582" s="429"/>
      <c r="C1582" s="429"/>
      <c r="D1582" s="430"/>
      <c r="E1582" s="431"/>
      <c r="F1582" s="431"/>
      <c r="G1582" s="429"/>
      <c r="H1582" s="432"/>
      <c r="I1582" s="432"/>
      <c r="J1582" s="432"/>
      <c r="K1582" s="328"/>
      <c r="L1582" s="396"/>
      <c r="M1582" s="396"/>
      <c r="N1582" s="396"/>
      <c r="O1582" s="396"/>
      <c r="P1582" s="396"/>
      <c r="Q1582" s="328"/>
      <c r="R1582" s="328"/>
      <c r="S1582" s="328"/>
      <c r="T1582" s="328"/>
      <c r="U1582" s="328"/>
      <c r="V1582" s="328"/>
    </row>
    <row r="1583" customFormat="false" ht="15" hidden="false" customHeight="true" outlineLevel="1" collapsed="false">
      <c r="A1583" s="429"/>
      <c r="B1583" s="429"/>
      <c r="C1583" s="429"/>
      <c r="D1583" s="430"/>
      <c r="E1583" s="431"/>
      <c r="F1583" s="431"/>
      <c r="G1583" s="429"/>
      <c r="H1583" s="432"/>
      <c r="I1583" s="432"/>
      <c r="J1583" s="432"/>
      <c r="K1583" s="328"/>
      <c r="L1583" s="396"/>
      <c r="M1583" s="396"/>
      <c r="N1583" s="396"/>
      <c r="O1583" s="396"/>
      <c r="P1583" s="396"/>
      <c r="Q1583" s="328"/>
      <c r="R1583" s="328"/>
      <c r="S1583" s="328"/>
      <c r="T1583" s="328"/>
      <c r="U1583" s="328"/>
      <c r="V1583" s="328"/>
    </row>
    <row r="1584" customFormat="false" ht="15" hidden="false" customHeight="true" outlineLevel="1" collapsed="false">
      <c r="A1584" s="429"/>
      <c r="B1584" s="429"/>
      <c r="C1584" s="429"/>
      <c r="D1584" s="430"/>
      <c r="E1584" s="431"/>
      <c r="F1584" s="431"/>
      <c r="G1584" s="429"/>
      <c r="H1584" s="432"/>
      <c r="I1584" s="432"/>
      <c r="J1584" s="432"/>
      <c r="K1584" s="328"/>
      <c r="L1584" s="396"/>
      <c r="M1584" s="396"/>
      <c r="N1584" s="396"/>
      <c r="O1584" s="396"/>
      <c r="P1584" s="396"/>
      <c r="Q1584" s="328"/>
      <c r="R1584" s="328"/>
      <c r="S1584" s="328"/>
      <c r="T1584" s="328"/>
      <c r="U1584" s="328"/>
      <c r="V1584" s="328"/>
    </row>
    <row r="1585" customFormat="false" ht="15" hidden="false" customHeight="true" outlineLevel="1" collapsed="false">
      <c r="A1585" s="429"/>
      <c r="B1585" s="429"/>
      <c r="C1585" s="429"/>
      <c r="D1585" s="430"/>
      <c r="E1585" s="431"/>
      <c r="F1585" s="431"/>
      <c r="G1585" s="429"/>
      <c r="H1585" s="432"/>
      <c r="I1585" s="432"/>
      <c r="J1585" s="432"/>
      <c r="K1585" s="328"/>
      <c r="L1585" s="396"/>
      <c r="M1585" s="396"/>
      <c r="N1585" s="396"/>
      <c r="O1585" s="396"/>
      <c r="P1585" s="396"/>
      <c r="Q1585" s="328"/>
      <c r="R1585" s="328"/>
      <c r="S1585" s="328"/>
      <c r="T1585" s="328"/>
      <c r="U1585" s="328"/>
      <c r="V1585" s="328"/>
    </row>
    <row r="1586" customFormat="false" ht="15" hidden="false" customHeight="true" outlineLevel="1" collapsed="false">
      <c r="A1586" s="429"/>
      <c r="B1586" s="429"/>
      <c r="C1586" s="429"/>
      <c r="D1586" s="430"/>
      <c r="E1586" s="431"/>
      <c r="F1586" s="431"/>
      <c r="G1586" s="429"/>
      <c r="H1586" s="432"/>
      <c r="I1586" s="432"/>
      <c r="J1586" s="432"/>
      <c r="K1586" s="328"/>
      <c r="L1586" s="396"/>
      <c r="M1586" s="396"/>
      <c r="N1586" s="396"/>
      <c r="O1586" s="396"/>
      <c r="P1586" s="396"/>
      <c r="Q1586" s="328"/>
      <c r="R1586" s="328"/>
      <c r="S1586" s="328"/>
      <c r="T1586" s="328"/>
      <c r="U1586" s="328"/>
      <c r="V1586" s="328"/>
    </row>
    <row r="1587" customFormat="false" ht="15" hidden="false" customHeight="true" outlineLevel="1" collapsed="false">
      <c r="A1587" s="429"/>
      <c r="B1587" s="429"/>
      <c r="C1587" s="429"/>
      <c r="D1587" s="430"/>
      <c r="E1587" s="431"/>
      <c r="F1587" s="431"/>
      <c r="G1587" s="429"/>
      <c r="H1587" s="432"/>
      <c r="I1587" s="432"/>
      <c r="J1587" s="432"/>
      <c r="K1587" s="328"/>
      <c r="L1587" s="396"/>
      <c r="M1587" s="396"/>
      <c r="N1587" s="396"/>
      <c r="O1587" s="396"/>
      <c r="P1587" s="396"/>
      <c r="Q1587" s="328"/>
      <c r="R1587" s="328"/>
      <c r="S1587" s="328"/>
      <c r="T1587" s="328"/>
      <c r="U1587" s="328"/>
      <c r="V1587" s="328"/>
    </row>
    <row r="1588" customFormat="false" ht="15" hidden="false" customHeight="true" outlineLevel="1" collapsed="false">
      <c r="A1588" s="429"/>
      <c r="B1588" s="429"/>
      <c r="C1588" s="429"/>
      <c r="D1588" s="430"/>
      <c r="E1588" s="431"/>
      <c r="F1588" s="431"/>
      <c r="G1588" s="429"/>
      <c r="H1588" s="432"/>
      <c r="I1588" s="432"/>
      <c r="J1588" s="432"/>
      <c r="K1588" s="328"/>
      <c r="L1588" s="396"/>
      <c r="M1588" s="396"/>
      <c r="N1588" s="396"/>
      <c r="O1588" s="396"/>
      <c r="P1588" s="396"/>
      <c r="Q1588" s="328"/>
      <c r="R1588" s="328"/>
      <c r="S1588" s="328"/>
      <c r="T1588" s="328"/>
      <c r="U1588" s="328"/>
      <c r="V1588" s="328"/>
    </row>
    <row r="1589" customFormat="false" ht="15" hidden="false" customHeight="true" outlineLevel="1" collapsed="false">
      <c r="A1589" s="429"/>
      <c r="B1589" s="429"/>
      <c r="C1589" s="429"/>
      <c r="D1589" s="430"/>
      <c r="E1589" s="431"/>
      <c r="F1589" s="431"/>
      <c r="G1589" s="429"/>
      <c r="H1589" s="432"/>
      <c r="I1589" s="432"/>
      <c r="J1589" s="432"/>
      <c r="K1589" s="328"/>
      <c r="L1589" s="396"/>
      <c r="M1589" s="396"/>
      <c r="N1589" s="396"/>
      <c r="O1589" s="396"/>
      <c r="P1589" s="396"/>
      <c r="Q1589" s="328"/>
      <c r="R1589" s="328"/>
      <c r="S1589" s="328"/>
      <c r="T1589" s="328"/>
      <c r="U1589" s="328"/>
      <c r="V1589" s="328"/>
    </row>
    <row r="1590" customFormat="false" ht="15" hidden="false" customHeight="true" outlineLevel="1" collapsed="false">
      <c r="A1590" s="429"/>
      <c r="B1590" s="429"/>
      <c r="C1590" s="429"/>
      <c r="D1590" s="430"/>
      <c r="E1590" s="431"/>
      <c r="F1590" s="431"/>
      <c r="G1590" s="429"/>
      <c r="H1590" s="432"/>
      <c r="I1590" s="432"/>
      <c r="J1590" s="432"/>
      <c r="K1590" s="328"/>
      <c r="L1590" s="396"/>
      <c r="M1590" s="396"/>
      <c r="N1590" s="396"/>
      <c r="O1590" s="396"/>
      <c r="P1590" s="396"/>
      <c r="Q1590" s="328"/>
      <c r="R1590" s="328"/>
      <c r="S1590" s="328"/>
      <c r="T1590" s="328"/>
      <c r="U1590" s="328"/>
      <c r="V1590" s="328"/>
    </row>
    <row r="1591" customFormat="false" ht="15" hidden="false" customHeight="true" outlineLevel="1" collapsed="false">
      <c r="A1591" s="429"/>
      <c r="B1591" s="429"/>
      <c r="C1591" s="429"/>
      <c r="D1591" s="430"/>
      <c r="E1591" s="431"/>
      <c r="F1591" s="431"/>
      <c r="G1591" s="429"/>
      <c r="H1591" s="432"/>
      <c r="I1591" s="432"/>
      <c r="J1591" s="432"/>
      <c r="K1591" s="328"/>
      <c r="L1591" s="396"/>
      <c r="M1591" s="396"/>
      <c r="N1591" s="396"/>
      <c r="O1591" s="396"/>
      <c r="P1591" s="396"/>
      <c r="Q1591" s="328"/>
      <c r="R1591" s="328"/>
      <c r="S1591" s="328"/>
      <c r="T1591" s="328"/>
      <c r="U1591" s="328"/>
      <c r="V1591" s="328"/>
    </row>
    <row r="1592" customFormat="false" ht="15" hidden="false" customHeight="true" outlineLevel="1" collapsed="false">
      <c r="A1592" s="429"/>
      <c r="B1592" s="429"/>
      <c r="C1592" s="429"/>
      <c r="D1592" s="430"/>
      <c r="E1592" s="431"/>
      <c r="F1592" s="431"/>
      <c r="G1592" s="429"/>
      <c r="H1592" s="432"/>
      <c r="I1592" s="432"/>
      <c r="J1592" s="432"/>
      <c r="K1592" s="328"/>
      <c r="L1592" s="396"/>
      <c r="M1592" s="396"/>
      <c r="N1592" s="396"/>
      <c r="O1592" s="396"/>
      <c r="P1592" s="396"/>
      <c r="Q1592" s="328"/>
      <c r="R1592" s="328"/>
      <c r="S1592" s="328"/>
      <c r="T1592" s="328"/>
      <c r="U1592" s="328"/>
      <c r="V1592" s="328"/>
    </row>
    <row r="1593" customFormat="false" ht="15" hidden="false" customHeight="true" outlineLevel="1" collapsed="false">
      <c r="A1593" s="429"/>
      <c r="B1593" s="429"/>
      <c r="C1593" s="429"/>
      <c r="D1593" s="430"/>
      <c r="E1593" s="431"/>
      <c r="F1593" s="431"/>
      <c r="G1593" s="429"/>
      <c r="H1593" s="432"/>
      <c r="I1593" s="432"/>
      <c r="J1593" s="432"/>
      <c r="K1593" s="328"/>
      <c r="L1593" s="396"/>
      <c r="M1593" s="396"/>
      <c r="N1593" s="396"/>
      <c r="O1593" s="396"/>
      <c r="P1593" s="396"/>
      <c r="Q1593" s="328"/>
      <c r="R1593" s="328"/>
      <c r="S1593" s="328"/>
      <c r="T1593" s="328"/>
      <c r="U1593" s="328"/>
      <c r="V1593" s="328"/>
    </row>
    <row r="1594" customFormat="false" ht="15" hidden="false" customHeight="true" outlineLevel="1" collapsed="false">
      <c r="A1594" s="429"/>
      <c r="B1594" s="429"/>
      <c r="C1594" s="429"/>
      <c r="D1594" s="430"/>
      <c r="E1594" s="431"/>
      <c r="F1594" s="431"/>
      <c r="G1594" s="429"/>
      <c r="H1594" s="432"/>
      <c r="I1594" s="432"/>
      <c r="J1594" s="432"/>
      <c r="K1594" s="328"/>
      <c r="L1594" s="396"/>
      <c r="M1594" s="396"/>
      <c r="N1594" s="396"/>
      <c r="O1594" s="396"/>
      <c r="P1594" s="396"/>
      <c r="Q1594" s="328"/>
      <c r="R1594" s="328"/>
      <c r="S1594" s="328"/>
      <c r="T1594" s="328"/>
      <c r="U1594" s="328"/>
      <c r="V1594" s="328"/>
    </row>
    <row r="1595" customFormat="false" ht="15" hidden="false" customHeight="true" outlineLevel="1" collapsed="false">
      <c r="A1595" s="429"/>
      <c r="B1595" s="429"/>
      <c r="C1595" s="429"/>
      <c r="D1595" s="430"/>
      <c r="E1595" s="431"/>
      <c r="F1595" s="431"/>
      <c r="G1595" s="429"/>
      <c r="H1595" s="432"/>
      <c r="I1595" s="432"/>
      <c r="J1595" s="432"/>
      <c r="K1595" s="328"/>
      <c r="L1595" s="396"/>
      <c r="M1595" s="396"/>
      <c r="N1595" s="396"/>
      <c r="O1595" s="396"/>
      <c r="P1595" s="396"/>
      <c r="Q1595" s="328"/>
      <c r="R1595" s="328"/>
      <c r="S1595" s="328"/>
      <c r="T1595" s="328"/>
      <c r="U1595" s="328"/>
      <c r="V1595" s="328"/>
    </row>
    <row r="1596" customFormat="false" ht="15" hidden="false" customHeight="true" outlineLevel="1" collapsed="false">
      <c r="A1596" s="429"/>
      <c r="B1596" s="429"/>
      <c r="C1596" s="429"/>
      <c r="D1596" s="430"/>
      <c r="E1596" s="431"/>
      <c r="F1596" s="431"/>
      <c r="G1596" s="429"/>
      <c r="H1596" s="432"/>
      <c r="I1596" s="432"/>
      <c r="J1596" s="432"/>
      <c r="K1596" s="328"/>
      <c r="L1596" s="396"/>
      <c r="M1596" s="396"/>
      <c r="N1596" s="396"/>
      <c r="O1596" s="396"/>
      <c r="P1596" s="396"/>
      <c r="Q1596" s="328"/>
      <c r="R1596" s="328"/>
      <c r="S1596" s="328"/>
      <c r="T1596" s="328"/>
      <c r="U1596" s="328"/>
      <c r="V1596" s="328"/>
    </row>
    <row r="1597" customFormat="false" ht="15" hidden="false" customHeight="true" outlineLevel="1" collapsed="false">
      <c r="A1597" s="429"/>
      <c r="B1597" s="429"/>
      <c r="C1597" s="429"/>
      <c r="D1597" s="430"/>
      <c r="E1597" s="431"/>
      <c r="F1597" s="431"/>
      <c r="G1597" s="429"/>
      <c r="H1597" s="432"/>
      <c r="I1597" s="432"/>
      <c r="J1597" s="432"/>
      <c r="K1597" s="328"/>
      <c r="L1597" s="396"/>
      <c r="M1597" s="396"/>
      <c r="N1597" s="396"/>
      <c r="O1597" s="396"/>
      <c r="P1597" s="396"/>
      <c r="Q1597" s="328"/>
      <c r="R1597" s="328"/>
      <c r="S1597" s="328"/>
      <c r="T1597" s="328"/>
      <c r="U1597" s="328"/>
      <c r="V1597" s="328"/>
    </row>
    <row r="1598" customFormat="false" ht="15" hidden="false" customHeight="true" outlineLevel="1" collapsed="false">
      <c r="A1598" s="429"/>
      <c r="B1598" s="429"/>
      <c r="C1598" s="429"/>
      <c r="D1598" s="430"/>
      <c r="E1598" s="431"/>
      <c r="F1598" s="431"/>
      <c r="G1598" s="429"/>
      <c r="H1598" s="432"/>
      <c r="I1598" s="432"/>
      <c r="J1598" s="432"/>
      <c r="K1598" s="328"/>
      <c r="L1598" s="396"/>
      <c r="M1598" s="396"/>
      <c r="N1598" s="396"/>
      <c r="O1598" s="396"/>
      <c r="P1598" s="396"/>
      <c r="Q1598" s="328"/>
      <c r="R1598" s="328"/>
      <c r="S1598" s="328"/>
      <c r="T1598" s="328"/>
      <c r="U1598" s="328"/>
      <c r="V1598" s="328"/>
    </row>
    <row r="1599" customFormat="false" ht="15" hidden="false" customHeight="true" outlineLevel="1" collapsed="false">
      <c r="A1599" s="429"/>
      <c r="B1599" s="429"/>
      <c r="C1599" s="429"/>
      <c r="D1599" s="430"/>
      <c r="E1599" s="431"/>
      <c r="F1599" s="431"/>
      <c r="G1599" s="429"/>
      <c r="H1599" s="432"/>
      <c r="I1599" s="432"/>
      <c r="J1599" s="432"/>
      <c r="K1599" s="328"/>
      <c r="L1599" s="396"/>
      <c r="M1599" s="396"/>
      <c r="N1599" s="396"/>
      <c r="O1599" s="396"/>
      <c r="P1599" s="396"/>
      <c r="Q1599" s="328"/>
      <c r="R1599" s="328"/>
      <c r="S1599" s="328"/>
      <c r="T1599" s="328"/>
      <c r="U1599" s="328"/>
      <c r="V1599" s="328"/>
    </row>
    <row r="1600" customFormat="false" ht="15" hidden="false" customHeight="true" outlineLevel="1" collapsed="false">
      <c r="A1600" s="429"/>
      <c r="B1600" s="429"/>
      <c r="C1600" s="429"/>
      <c r="D1600" s="430"/>
      <c r="E1600" s="431"/>
      <c r="F1600" s="431"/>
      <c r="G1600" s="429"/>
      <c r="H1600" s="432"/>
      <c r="I1600" s="432"/>
      <c r="J1600" s="432"/>
      <c r="K1600" s="328"/>
      <c r="L1600" s="396"/>
      <c r="M1600" s="396"/>
      <c r="N1600" s="396"/>
      <c r="O1600" s="396"/>
      <c r="P1600" s="396"/>
      <c r="Q1600" s="328"/>
      <c r="R1600" s="328"/>
      <c r="S1600" s="328"/>
      <c r="T1600" s="328"/>
      <c r="U1600" s="328"/>
      <c r="V1600" s="328"/>
    </row>
    <row r="1601" customFormat="false" ht="15" hidden="false" customHeight="true" outlineLevel="1" collapsed="false">
      <c r="A1601" s="429"/>
      <c r="B1601" s="429"/>
      <c r="C1601" s="429"/>
      <c r="D1601" s="430"/>
      <c r="E1601" s="431"/>
      <c r="F1601" s="431"/>
      <c r="G1601" s="429"/>
      <c r="H1601" s="432"/>
      <c r="I1601" s="432"/>
      <c r="J1601" s="432"/>
      <c r="K1601" s="328"/>
      <c r="L1601" s="396"/>
      <c r="M1601" s="396"/>
      <c r="N1601" s="396"/>
      <c r="O1601" s="396"/>
      <c r="P1601" s="396"/>
      <c r="Q1601" s="328"/>
      <c r="R1601" s="328"/>
      <c r="S1601" s="328"/>
      <c r="T1601" s="328"/>
      <c r="U1601" s="328"/>
      <c r="V1601" s="328"/>
    </row>
    <row r="1602" customFormat="false" ht="15" hidden="false" customHeight="true" outlineLevel="1" collapsed="false">
      <c r="A1602" s="429"/>
      <c r="B1602" s="429"/>
      <c r="C1602" s="429"/>
      <c r="D1602" s="430"/>
      <c r="E1602" s="431"/>
      <c r="F1602" s="431"/>
      <c r="G1602" s="429"/>
      <c r="H1602" s="432"/>
      <c r="I1602" s="432"/>
      <c r="J1602" s="432"/>
      <c r="K1602" s="328"/>
      <c r="L1602" s="396"/>
      <c r="M1602" s="396"/>
      <c r="N1602" s="396"/>
      <c r="O1602" s="396"/>
      <c r="P1602" s="396"/>
      <c r="Q1602" s="328"/>
      <c r="R1602" s="328"/>
      <c r="S1602" s="328"/>
      <c r="T1602" s="328"/>
      <c r="U1602" s="328"/>
      <c r="V1602" s="328"/>
    </row>
    <row r="1603" customFormat="false" ht="15" hidden="false" customHeight="true" outlineLevel="1" collapsed="false">
      <c r="A1603" s="429"/>
      <c r="B1603" s="429"/>
      <c r="C1603" s="429"/>
      <c r="D1603" s="430"/>
      <c r="E1603" s="431"/>
      <c r="F1603" s="431"/>
      <c r="G1603" s="429"/>
      <c r="H1603" s="432"/>
      <c r="I1603" s="432"/>
      <c r="J1603" s="432"/>
      <c r="K1603" s="328"/>
      <c r="L1603" s="396"/>
      <c r="M1603" s="396"/>
      <c r="N1603" s="396"/>
      <c r="O1603" s="396"/>
      <c r="P1603" s="396"/>
      <c r="Q1603" s="328"/>
      <c r="R1603" s="328"/>
      <c r="S1603" s="328"/>
      <c r="T1603" s="328"/>
      <c r="U1603" s="328"/>
      <c r="V1603" s="328"/>
    </row>
    <row r="1604" customFormat="false" ht="15" hidden="false" customHeight="true" outlineLevel="1" collapsed="false">
      <c r="A1604" s="429"/>
      <c r="B1604" s="429"/>
      <c r="C1604" s="429"/>
      <c r="D1604" s="430"/>
      <c r="E1604" s="431"/>
      <c r="F1604" s="431"/>
      <c r="G1604" s="429"/>
      <c r="H1604" s="432"/>
      <c r="I1604" s="432"/>
      <c r="J1604" s="432"/>
      <c r="K1604" s="328"/>
      <c r="L1604" s="396"/>
      <c r="M1604" s="396"/>
      <c r="N1604" s="396"/>
      <c r="O1604" s="396"/>
      <c r="P1604" s="396"/>
      <c r="Q1604" s="328"/>
      <c r="R1604" s="328"/>
      <c r="S1604" s="328"/>
      <c r="T1604" s="328"/>
      <c r="U1604" s="328"/>
      <c r="V1604" s="328"/>
    </row>
    <row r="1605" customFormat="false" ht="15" hidden="false" customHeight="true" outlineLevel="1" collapsed="false">
      <c r="A1605" s="429"/>
      <c r="B1605" s="429"/>
      <c r="C1605" s="429"/>
      <c r="D1605" s="430"/>
      <c r="E1605" s="431"/>
      <c r="F1605" s="431"/>
      <c r="G1605" s="429"/>
      <c r="H1605" s="432"/>
      <c r="I1605" s="432"/>
      <c r="J1605" s="432"/>
      <c r="K1605" s="328"/>
      <c r="L1605" s="396"/>
      <c r="M1605" s="396"/>
      <c r="N1605" s="396"/>
      <c r="O1605" s="396"/>
      <c r="P1605" s="396"/>
      <c r="Q1605" s="328"/>
      <c r="R1605" s="328"/>
      <c r="S1605" s="328"/>
      <c r="T1605" s="328"/>
      <c r="U1605" s="328"/>
      <c r="V1605" s="328"/>
    </row>
    <row r="1606" customFormat="false" ht="15" hidden="false" customHeight="true" outlineLevel="1" collapsed="false">
      <c r="A1606" s="429"/>
      <c r="B1606" s="429"/>
      <c r="C1606" s="429"/>
      <c r="D1606" s="430"/>
      <c r="E1606" s="431"/>
      <c r="F1606" s="431"/>
      <c r="G1606" s="429"/>
      <c r="H1606" s="432"/>
      <c r="I1606" s="432"/>
      <c r="J1606" s="432"/>
      <c r="K1606" s="328"/>
      <c r="L1606" s="396"/>
      <c r="M1606" s="396"/>
      <c r="N1606" s="396"/>
      <c r="O1606" s="396"/>
      <c r="P1606" s="396"/>
      <c r="Q1606" s="328"/>
      <c r="R1606" s="328"/>
      <c r="S1606" s="328"/>
      <c r="T1606" s="328"/>
      <c r="U1606" s="328"/>
      <c r="V1606" s="328"/>
    </row>
    <row r="1607" customFormat="false" ht="15" hidden="false" customHeight="true" outlineLevel="1" collapsed="false">
      <c r="A1607" s="429"/>
      <c r="B1607" s="429"/>
      <c r="C1607" s="429"/>
      <c r="D1607" s="430"/>
      <c r="E1607" s="431"/>
      <c r="F1607" s="431"/>
      <c r="G1607" s="429"/>
      <c r="H1607" s="432"/>
      <c r="I1607" s="432"/>
      <c r="J1607" s="432"/>
      <c r="K1607" s="328"/>
      <c r="L1607" s="396"/>
      <c r="M1607" s="396"/>
      <c r="N1607" s="396"/>
      <c r="O1607" s="396"/>
      <c r="P1607" s="396"/>
      <c r="Q1607" s="328"/>
      <c r="R1607" s="328"/>
      <c r="S1607" s="328"/>
      <c r="T1607" s="328"/>
      <c r="U1607" s="328"/>
      <c r="V1607" s="328"/>
    </row>
    <row r="1608" customFormat="false" ht="15" hidden="false" customHeight="true" outlineLevel="1" collapsed="false">
      <c r="A1608" s="429"/>
      <c r="B1608" s="429"/>
      <c r="C1608" s="429"/>
      <c r="D1608" s="430"/>
      <c r="E1608" s="431"/>
      <c r="F1608" s="431"/>
      <c r="G1608" s="429"/>
      <c r="H1608" s="432"/>
      <c r="I1608" s="432"/>
      <c r="J1608" s="432"/>
      <c r="K1608" s="328"/>
      <c r="L1608" s="396"/>
      <c r="M1608" s="396"/>
      <c r="N1608" s="396"/>
      <c r="O1608" s="396"/>
      <c r="P1608" s="396"/>
      <c r="Q1608" s="328"/>
      <c r="R1608" s="328"/>
      <c r="S1608" s="328"/>
      <c r="T1608" s="328"/>
      <c r="U1608" s="328"/>
      <c r="V1608" s="328"/>
    </row>
    <row r="1609" customFormat="false" ht="15" hidden="false" customHeight="true" outlineLevel="1" collapsed="false">
      <c r="A1609" s="429"/>
      <c r="B1609" s="429"/>
      <c r="C1609" s="429"/>
      <c r="D1609" s="430"/>
      <c r="E1609" s="431"/>
      <c r="F1609" s="431"/>
      <c r="G1609" s="429"/>
      <c r="H1609" s="432"/>
      <c r="I1609" s="432"/>
      <c r="J1609" s="432"/>
      <c r="K1609" s="328"/>
      <c r="L1609" s="396"/>
      <c r="M1609" s="396"/>
      <c r="N1609" s="396"/>
      <c r="O1609" s="396"/>
      <c r="P1609" s="396"/>
      <c r="Q1609" s="328"/>
      <c r="R1609" s="328"/>
      <c r="S1609" s="328"/>
      <c r="T1609" s="328"/>
      <c r="U1609" s="328"/>
      <c r="V1609" s="328"/>
    </row>
    <row r="1610" customFormat="false" ht="15" hidden="false" customHeight="true" outlineLevel="1" collapsed="false">
      <c r="A1610" s="429"/>
      <c r="B1610" s="429"/>
      <c r="C1610" s="429"/>
      <c r="D1610" s="430"/>
      <c r="E1610" s="431"/>
      <c r="F1610" s="431"/>
      <c r="G1610" s="429"/>
      <c r="H1610" s="432"/>
      <c r="I1610" s="432"/>
      <c r="J1610" s="432"/>
      <c r="K1610" s="328"/>
      <c r="L1610" s="396"/>
      <c r="M1610" s="396"/>
      <c r="N1610" s="396"/>
      <c r="O1610" s="396"/>
      <c r="P1610" s="396"/>
      <c r="Q1610" s="328"/>
      <c r="R1610" s="328"/>
      <c r="S1610" s="328"/>
      <c r="T1610" s="328"/>
      <c r="U1610" s="328"/>
      <c r="V1610" s="328"/>
    </row>
    <row r="1611" customFormat="false" ht="15" hidden="false" customHeight="true" outlineLevel="1" collapsed="false">
      <c r="A1611" s="429"/>
      <c r="B1611" s="429"/>
      <c r="C1611" s="429"/>
      <c r="D1611" s="430"/>
      <c r="E1611" s="431"/>
      <c r="F1611" s="431"/>
      <c r="G1611" s="429"/>
      <c r="H1611" s="432"/>
      <c r="I1611" s="432"/>
      <c r="J1611" s="432"/>
      <c r="K1611" s="328"/>
      <c r="L1611" s="396"/>
      <c r="M1611" s="396"/>
      <c r="N1611" s="396"/>
      <c r="O1611" s="396"/>
      <c r="P1611" s="396"/>
      <c r="Q1611" s="328"/>
      <c r="R1611" s="328"/>
      <c r="S1611" s="328"/>
      <c r="T1611" s="328"/>
      <c r="U1611" s="328"/>
      <c r="V1611" s="328"/>
    </row>
    <row r="1612" customFormat="false" ht="15" hidden="false" customHeight="true" outlineLevel="1" collapsed="false">
      <c r="A1612" s="429"/>
      <c r="B1612" s="429"/>
      <c r="C1612" s="429"/>
      <c r="D1612" s="430"/>
      <c r="E1612" s="431"/>
      <c r="F1612" s="431"/>
      <c r="G1612" s="429"/>
      <c r="H1612" s="432"/>
      <c r="I1612" s="432"/>
      <c r="J1612" s="432"/>
      <c r="K1612" s="328"/>
      <c r="L1612" s="396"/>
      <c r="M1612" s="396"/>
      <c r="N1612" s="396"/>
      <c r="O1612" s="396"/>
      <c r="P1612" s="396"/>
      <c r="Q1612" s="328"/>
      <c r="R1612" s="328"/>
      <c r="S1612" s="328"/>
      <c r="T1612" s="328"/>
      <c r="U1612" s="328"/>
      <c r="V1612" s="328"/>
    </row>
    <row r="1613" customFormat="false" ht="15" hidden="false" customHeight="true" outlineLevel="1" collapsed="false">
      <c r="A1613" s="429"/>
      <c r="B1613" s="429"/>
      <c r="C1613" s="429"/>
      <c r="D1613" s="430"/>
      <c r="E1613" s="431"/>
      <c r="F1613" s="431"/>
      <c r="G1613" s="429"/>
      <c r="H1613" s="432"/>
      <c r="I1613" s="432"/>
      <c r="J1613" s="432"/>
      <c r="K1613" s="328"/>
      <c r="L1613" s="396"/>
      <c r="M1613" s="396"/>
      <c r="N1613" s="396"/>
      <c r="O1613" s="396"/>
      <c r="P1613" s="396"/>
      <c r="Q1613" s="328"/>
      <c r="R1613" s="328"/>
      <c r="S1613" s="328"/>
      <c r="T1613" s="328"/>
      <c r="U1613" s="328"/>
      <c r="V1613" s="328"/>
    </row>
    <row r="1614" customFormat="false" ht="15" hidden="false" customHeight="true" outlineLevel="1" collapsed="false">
      <c r="A1614" s="429"/>
      <c r="B1614" s="429"/>
      <c r="C1614" s="429"/>
      <c r="D1614" s="430"/>
      <c r="E1614" s="431"/>
      <c r="F1614" s="431"/>
      <c r="G1614" s="429"/>
      <c r="H1614" s="432"/>
      <c r="I1614" s="432"/>
      <c r="J1614" s="432"/>
      <c r="K1614" s="328"/>
      <c r="L1614" s="396"/>
      <c r="M1614" s="396"/>
      <c r="N1614" s="396"/>
      <c r="O1614" s="396"/>
      <c r="P1614" s="396"/>
      <c r="Q1614" s="328"/>
      <c r="R1614" s="328"/>
      <c r="S1614" s="328"/>
      <c r="T1614" s="328"/>
      <c r="U1614" s="328"/>
      <c r="V1614" s="328"/>
    </row>
    <row r="1615" customFormat="false" ht="15" hidden="false" customHeight="true" outlineLevel="1" collapsed="false">
      <c r="A1615" s="429"/>
      <c r="B1615" s="429"/>
      <c r="C1615" s="429"/>
      <c r="D1615" s="430"/>
      <c r="E1615" s="431"/>
      <c r="F1615" s="431"/>
      <c r="G1615" s="429"/>
      <c r="H1615" s="432"/>
      <c r="I1615" s="432"/>
      <c r="J1615" s="432"/>
      <c r="K1615" s="328"/>
      <c r="L1615" s="396"/>
      <c r="M1615" s="396"/>
      <c r="N1615" s="396"/>
      <c r="O1615" s="396"/>
      <c r="P1615" s="396"/>
      <c r="Q1615" s="328"/>
      <c r="R1615" s="328"/>
      <c r="S1615" s="328"/>
      <c r="T1615" s="328"/>
      <c r="U1615" s="328"/>
      <c r="V1615" s="328"/>
    </row>
    <row r="1616" customFormat="false" ht="15" hidden="false" customHeight="true" outlineLevel="1" collapsed="false">
      <c r="A1616" s="429"/>
      <c r="B1616" s="429"/>
      <c r="C1616" s="429"/>
      <c r="D1616" s="430"/>
      <c r="E1616" s="431"/>
      <c r="F1616" s="431"/>
      <c r="G1616" s="429"/>
      <c r="H1616" s="432"/>
      <c r="I1616" s="432"/>
      <c r="J1616" s="432"/>
      <c r="K1616" s="328"/>
      <c r="L1616" s="396"/>
      <c r="M1616" s="396"/>
      <c r="N1616" s="396"/>
      <c r="O1616" s="396"/>
      <c r="P1616" s="396"/>
      <c r="Q1616" s="328"/>
      <c r="R1616" s="328"/>
      <c r="S1616" s="328"/>
      <c r="T1616" s="328"/>
      <c r="U1616" s="328"/>
      <c r="V1616" s="328"/>
    </row>
    <row r="1617" customFormat="false" ht="15" hidden="false" customHeight="true" outlineLevel="1" collapsed="false">
      <c r="A1617" s="429"/>
      <c r="B1617" s="429"/>
      <c r="C1617" s="429"/>
      <c r="D1617" s="430"/>
      <c r="E1617" s="431"/>
      <c r="F1617" s="431"/>
      <c r="G1617" s="429"/>
      <c r="H1617" s="432"/>
      <c r="I1617" s="432"/>
      <c r="J1617" s="432"/>
      <c r="K1617" s="328"/>
      <c r="L1617" s="396"/>
      <c r="M1617" s="396"/>
      <c r="N1617" s="396"/>
      <c r="O1617" s="396"/>
      <c r="P1617" s="396"/>
      <c r="Q1617" s="328"/>
      <c r="R1617" s="328"/>
      <c r="S1617" s="328"/>
      <c r="T1617" s="328"/>
      <c r="U1617" s="328"/>
      <c r="V1617" s="328"/>
    </row>
    <row r="1618" customFormat="false" ht="15" hidden="false" customHeight="true" outlineLevel="1" collapsed="false">
      <c r="A1618" s="429"/>
      <c r="B1618" s="429"/>
      <c r="C1618" s="429"/>
      <c r="D1618" s="430"/>
      <c r="E1618" s="431"/>
      <c r="F1618" s="431"/>
      <c r="G1618" s="429"/>
      <c r="H1618" s="432"/>
      <c r="I1618" s="432"/>
      <c r="J1618" s="432"/>
      <c r="K1618" s="328"/>
      <c r="L1618" s="396"/>
      <c r="M1618" s="396"/>
      <c r="N1618" s="396"/>
      <c r="O1618" s="396"/>
      <c r="P1618" s="396"/>
      <c r="Q1618" s="328"/>
      <c r="R1618" s="328"/>
      <c r="S1618" s="328"/>
      <c r="T1618" s="328"/>
      <c r="U1618" s="328"/>
      <c r="V1618" s="328"/>
    </row>
    <row r="1619" customFormat="false" ht="15" hidden="false" customHeight="true" outlineLevel="1" collapsed="false">
      <c r="A1619" s="429"/>
      <c r="B1619" s="429"/>
      <c r="C1619" s="429"/>
      <c r="D1619" s="430"/>
      <c r="E1619" s="431"/>
      <c r="F1619" s="431"/>
      <c r="G1619" s="429"/>
      <c r="H1619" s="432"/>
      <c r="I1619" s="432"/>
      <c r="J1619" s="432"/>
      <c r="K1619" s="328"/>
      <c r="L1619" s="396"/>
      <c r="M1619" s="396"/>
      <c r="N1619" s="396"/>
      <c r="O1619" s="396"/>
      <c r="P1619" s="396"/>
      <c r="Q1619" s="328"/>
      <c r="R1619" s="328"/>
      <c r="S1619" s="328"/>
      <c r="T1619" s="328"/>
      <c r="U1619" s="328"/>
      <c r="V1619" s="328"/>
    </row>
    <row r="1620" customFormat="false" ht="15" hidden="false" customHeight="true" outlineLevel="1" collapsed="false">
      <c r="A1620" s="429"/>
      <c r="B1620" s="429"/>
      <c r="C1620" s="429"/>
      <c r="D1620" s="430"/>
      <c r="E1620" s="431"/>
      <c r="F1620" s="431"/>
      <c r="G1620" s="429"/>
      <c r="H1620" s="432"/>
      <c r="I1620" s="432"/>
      <c r="J1620" s="432"/>
      <c r="K1620" s="328"/>
      <c r="L1620" s="396"/>
      <c r="M1620" s="396"/>
      <c r="N1620" s="396"/>
      <c r="O1620" s="396"/>
      <c r="P1620" s="396"/>
      <c r="Q1620" s="328"/>
      <c r="R1620" s="328"/>
      <c r="S1620" s="328"/>
      <c r="T1620" s="328"/>
      <c r="U1620" s="328"/>
      <c r="V1620" s="328"/>
    </row>
    <row r="1621" customFormat="false" ht="15" hidden="false" customHeight="true" outlineLevel="1" collapsed="false">
      <c r="A1621" s="429"/>
      <c r="B1621" s="429"/>
      <c r="C1621" s="429"/>
      <c r="D1621" s="430"/>
      <c r="E1621" s="431"/>
      <c r="F1621" s="431"/>
      <c r="G1621" s="429"/>
      <c r="H1621" s="432"/>
      <c r="I1621" s="432"/>
      <c r="J1621" s="432"/>
      <c r="K1621" s="328"/>
      <c r="L1621" s="396"/>
      <c r="M1621" s="396"/>
      <c r="N1621" s="396"/>
      <c r="O1621" s="396"/>
      <c r="P1621" s="396"/>
      <c r="Q1621" s="328"/>
      <c r="R1621" s="328"/>
      <c r="S1621" s="328"/>
      <c r="T1621" s="328"/>
      <c r="U1621" s="328"/>
      <c r="V1621" s="328"/>
    </row>
    <row r="1622" customFormat="false" ht="15" hidden="false" customHeight="true" outlineLevel="1" collapsed="false">
      <c r="A1622" s="429"/>
      <c r="B1622" s="429"/>
      <c r="C1622" s="429"/>
      <c r="D1622" s="430"/>
      <c r="E1622" s="431"/>
      <c r="F1622" s="431"/>
      <c r="G1622" s="429"/>
      <c r="H1622" s="432"/>
      <c r="I1622" s="432"/>
      <c r="J1622" s="432"/>
      <c r="K1622" s="328"/>
      <c r="L1622" s="396"/>
      <c r="M1622" s="396"/>
      <c r="N1622" s="396"/>
      <c r="O1622" s="396"/>
      <c r="P1622" s="396"/>
      <c r="Q1622" s="328"/>
      <c r="R1622" s="328"/>
      <c r="S1622" s="328"/>
      <c r="T1622" s="328"/>
      <c r="U1622" s="328"/>
      <c r="V1622" s="328"/>
    </row>
    <row r="1623" customFormat="false" ht="15" hidden="false" customHeight="true" outlineLevel="1" collapsed="false">
      <c r="A1623" s="429"/>
      <c r="B1623" s="429"/>
      <c r="C1623" s="429"/>
      <c r="D1623" s="430"/>
      <c r="E1623" s="431"/>
      <c r="F1623" s="431"/>
      <c r="G1623" s="429"/>
      <c r="H1623" s="432"/>
      <c r="I1623" s="432"/>
      <c r="J1623" s="432"/>
      <c r="K1623" s="328"/>
      <c r="L1623" s="396"/>
      <c r="M1623" s="396"/>
      <c r="N1623" s="396"/>
      <c r="O1623" s="396"/>
      <c r="P1623" s="396"/>
      <c r="Q1623" s="328"/>
      <c r="R1623" s="328"/>
      <c r="S1623" s="328"/>
      <c r="T1623" s="328"/>
      <c r="U1623" s="328"/>
      <c r="V1623" s="328"/>
    </row>
    <row r="1624" customFormat="false" ht="15" hidden="false" customHeight="true" outlineLevel="1" collapsed="false">
      <c r="A1624" s="429"/>
      <c r="B1624" s="429"/>
      <c r="C1624" s="429"/>
      <c r="D1624" s="430"/>
      <c r="E1624" s="431"/>
      <c r="F1624" s="431"/>
      <c r="G1624" s="429"/>
      <c r="H1624" s="432"/>
      <c r="I1624" s="432"/>
      <c r="J1624" s="432"/>
      <c r="K1624" s="328"/>
      <c r="L1624" s="396"/>
      <c r="M1624" s="396"/>
      <c r="N1624" s="396"/>
      <c r="O1624" s="396"/>
      <c r="P1624" s="396"/>
      <c r="Q1624" s="328"/>
      <c r="R1624" s="328"/>
      <c r="S1624" s="328"/>
      <c r="T1624" s="328"/>
      <c r="U1624" s="328"/>
      <c r="V1624" s="328"/>
    </row>
    <row r="1625" customFormat="false" ht="15" hidden="false" customHeight="true" outlineLevel="1" collapsed="false">
      <c r="A1625" s="429"/>
      <c r="B1625" s="429"/>
      <c r="C1625" s="429"/>
      <c r="D1625" s="430"/>
      <c r="E1625" s="431"/>
      <c r="F1625" s="431"/>
      <c r="G1625" s="429"/>
      <c r="H1625" s="432"/>
      <c r="I1625" s="432"/>
      <c r="J1625" s="432"/>
      <c r="K1625" s="328"/>
      <c r="L1625" s="396"/>
      <c r="M1625" s="396"/>
      <c r="N1625" s="396"/>
      <c r="O1625" s="396"/>
      <c r="P1625" s="396"/>
      <c r="Q1625" s="328"/>
      <c r="R1625" s="328"/>
      <c r="S1625" s="328"/>
      <c r="T1625" s="328"/>
      <c r="U1625" s="328"/>
      <c r="V1625" s="328"/>
    </row>
    <row r="1626" customFormat="false" ht="15" hidden="false" customHeight="true" outlineLevel="1" collapsed="false">
      <c r="A1626" s="429"/>
      <c r="B1626" s="429"/>
      <c r="C1626" s="429"/>
      <c r="D1626" s="430"/>
      <c r="E1626" s="431"/>
      <c r="F1626" s="431"/>
      <c r="G1626" s="429"/>
      <c r="H1626" s="432"/>
      <c r="I1626" s="432"/>
      <c r="J1626" s="432"/>
      <c r="K1626" s="328"/>
      <c r="L1626" s="396"/>
      <c r="M1626" s="396"/>
      <c r="N1626" s="396"/>
      <c r="O1626" s="396"/>
      <c r="P1626" s="396"/>
      <c r="Q1626" s="328"/>
      <c r="R1626" s="328"/>
      <c r="S1626" s="328"/>
      <c r="T1626" s="328"/>
      <c r="U1626" s="328"/>
      <c r="V1626" s="328"/>
    </row>
    <row r="1627" customFormat="false" ht="15" hidden="false" customHeight="true" outlineLevel="1" collapsed="false">
      <c r="A1627" s="429"/>
      <c r="B1627" s="429"/>
      <c r="C1627" s="429"/>
      <c r="D1627" s="430"/>
      <c r="E1627" s="431"/>
      <c r="F1627" s="431"/>
      <c r="G1627" s="429"/>
      <c r="H1627" s="432"/>
      <c r="I1627" s="432"/>
      <c r="J1627" s="432"/>
      <c r="K1627" s="328"/>
      <c r="L1627" s="396"/>
      <c r="M1627" s="396"/>
      <c r="N1627" s="396"/>
      <c r="O1627" s="396"/>
      <c r="P1627" s="396"/>
      <c r="Q1627" s="328"/>
      <c r="R1627" s="328"/>
      <c r="S1627" s="328"/>
      <c r="T1627" s="328"/>
      <c r="U1627" s="328"/>
      <c r="V1627" s="328"/>
    </row>
    <row r="1628" customFormat="false" ht="15" hidden="false" customHeight="true" outlineLevel="1" collapsed="false">
      <c r="A1628" s="429"/>
      <c r="B1628" s="429"/>
      <c r="C1628" s="429"/>
      <c r="D1628" s="430"/>
      <c r="E1628" s="431"/>
      <c r="F1628" s="431"/>
      <c r="G1628" s="429"/>
      <c r="H1628" s="432"/>
      <c r="I1628" s="432"/>
      <c r="J1628" s="432"/>
      <c r="K1628" s="328"/>
      <c r="L1628" s="396"/>
      <c r="M1628" s="396"/>
      <c r="N1628" s="396"/>
      <c r="O1628" s="396"/>
      <c r="P1628" s="396"/>
      <c r="Q1628" s="328"/>
      <c r="R1628" s="328"/>
      <c r="S1628" s="328"/>
      <c r="T1628" s="328"/>
      <c r="U1628" s="328"/>
      <c r="V1628" s="328"/>
    </row>
    <row r="1629" customFormat="false" ht="15" hidden="false" customHeight="true" outlineLevel="1" collapsed="false">
      <c r="A1629" s="429"/>
      <c r="B1629" s="429"/>
      <c r="C1629" s="429"/>
      <c r="D1629" s="430"/>
      <c r="E1629" s="431"/>
      <c r="F1629" s="431"/>
      <c r="G1629" s="429"/>
      <c r="H1629" s="432"/>
      <c r="I1629" s="432"/>
      <c r="J1629" s="432"/>
      <c r="K1629" s="328"/>
      <c r="L1629" s="396"/>
      <c r="M1629" s="396"/>
      <c r="N1629" s="396"/>
      <c r="O1629" s="396"/>
      <c r="P1629" s="396"/>
      <c r="Q1629" s="328"/>
      <c r="R1629" s="328"/>
      <c r="S1629" s="328"/>
      <c r="T1629" s="328"/>
      <c r="U1629" s="328"/>
      <c r="V1629" s="328"/>
    </row>
    <row r="1630" customFormat="false" ht="15" hidden="false" customHeight="true" outlineLevel="1" collapsed="false">
      <c r="A1630" s="429"/>
      <c r="B1630" s="429"/>
      <c r="C1630" s="429"/>
      <c r="D1630" s="430"/>
      <c r="E1630" s="431"/>
      <c r="F1630" s="431"/>
      <c r="G1630" s="429"/>
      <c r="H1630" s="432"/>
      <c r="I1630" s="432"/>
      <c r="J1630" s="432"/>
      <c r="K1630" s="328"/>
      <c r="L1630" s="396"/>
      <c r="M1630" s="396"/>
      <c r="N1630" s="396"/>
      <c r="O1630" s="396"/>
      <c r="P1630" s="396"/>
      <c r="Q1630" s="328"/>
      <c r="R1630" s="328"/>
      <c r="S1630" s="328"/>
      <c r="T1630" s="328"/>
      <c r="U1630" s="328"/>
      <c r="V1630" s="328"/>
    </row>
    <row r="1631" customFormat="false" ht="15" hidden="false" customHeight="true" outlineLevel="1" collapsed="false">
      <c r="A1631" s="429"/>
      <c r="B1631" s="429"/>
      <c r="C1631" s="429"/>
      <c r="D1631" s="430"/>
      <c r="E1631" s="431"/>
      <c r="F1631" s="431"/>
      <c r="G1631" s="429"/>
      <c r="H1631" s="432"/>
      <c r="I1631" s="432"/>
      <c r="J1631" s="432"/>
      <c r="K1631" s="328"/>
      <c r="L1631" s="396"/>
      <c r="M1631" s="396"/>
      <c r="N1631" s="396"/>
      <c r="O1631" s="396"/>
      <c r="P1631" s="396"/>
      <c r="Q1631" s="328"/>
      <c r="R1631" s="328"/>
      <c r="S1631" s="328"/>
      <c r="T1631" s="328"/>
      <c r="U1631" s="328"/>
      <c r="V1631" s="328"/>
    </row>
    <row r="1632" customFormat="false" ht="15" hidden="false" customHeight="true" outlineLevel="1" collapsed="false">
      <c r="A1632" s="429"/>
      <c r="B1632" s="429"/>
      <c r="C1632" s="429"/>
      <c r="D1632" s="430"/>
      <c r="E1632" s="431"/>
      <c r="F1632" s="431"/>
      <c r="G1632" s="429"/>
      <c r="H1632" s="432"/>
      <c r="I1632" s="432"/>
      <c r="J1632" s="432"/>
      <c r="K1632" s="328"/>
      <c r="L1632" s="396"/>
      <c r="M1632" s="396"/>
      <c r="N1632" s="396"/>
      <c r="O1632" s="396"/>
      <c r="P1632" s="396"/>
      <c r="Q1632" s="328"/>
      <c r="R1632" s="328"/>
      <c r="S1632" s="328"/>
      <c r="T1632" s="328"/>
      <c r="U1632" s="328"/>
      <c r="V1632" s="328"/>
    </row>
    <row r="1633" customFormat="false" ht="15" hidden="false" customHeight="true" outlineLevel="1" collapsed="false">
      <c r="A1633" s="429"/>
      <c r="B1633" s="429"/>
      <c r="C1633" s="429"/>
      <c r="D1633" s="430"/>
      <c r="E1633" s="431"/>
      <c r="F1633" s="431"/>
      <c r="G1633" s="429"/>
      <c r="H1633" s="432"/>
      <c r="I1633" s="432"/>
      <c r="J1633" s="432"/>
      <c r="K1633" s="328"/>
      <c r="L1633" s="396"/>
      <c r="M1633" s="396"/>
      <c r="N1633" s="396"/>
      <c r="O1633" s="396"/>
      <c r="P1633" s="396"/>
      <c r="Q1633" s="328"/>
      <c r="R1633" s="328"/>
      <c r="S1633" s="328"/>
      <c r="T1633" s="328"/>
      <c r="U1633" s="328"/>
      <c r="V1633" s="328"/>
    </row>
    <row r="1634" customFormat="false" ht="15" hidden="false" customHeight="true" outlineLevel="1" collapsed="false">
      <c r="A1634" s="429"/>
      <c r="B1634" s="429"/>
      <c r="C1634" s="429"/>
      <c r="D1634" s="430"/>
      <c r="E1634" s="431"/>
      <c r="F1634" s="431"/>
      <c r="G1634" s="429"/>
      <c r="H1634" s="432"/>
      <c r="I1634" s="432"/>
      <c r="J1634" s="432"/>
      <c r="K1634" s="328"/>
      <c r="L1634" s="396"/>
      <c r="M1634" s="396"/>
      <c r="N1634" s="396"/>
      <c r="O1634" s="396"/>
      <c r="P1634" s="396"/>
      <c r="Q1634" s="328"/>
      <c r="R1634" s="328"/>
      <c r="S1634" s="328"/>
      <c r="T1634" s="328"/>
      <c r="U1634" s="328"/>
      <c r="V1634" s="328"/>
    </row>
    <row r="1635" customFormat="false" ht="15" hidden="false" customHeight="true" outlineLevel="1" collapsed="false">
      <c r="A1635" s="429"/>
      <c r="B1635" s="429"/>
      <c r="C1635" s="429"/>
      <c r="D1635" s="430"/>
      <c r="E1635" s="431"/>
      <c r="F1635" s="431"/>
      <c r="G1635" s="429"/>
      <c r="H1635" s="432"/>
      <c r="I1635" s="432"/>
      <c r="J1635" s="432"/>
      <c r="K1635" s="328"/>
      <c r="L1635" s="396"/>
      <c r="M1635" s="396"/>
      <c r="N1635" s="396"/>
      <c r="O1635" s="396"/>
      <c r="P1635" s="396"/>
      <c r="Q1635" s="328"/>
      <c r="R1635" s="328"/>
      <c r="S1635" s="328"/>
      <c r="T1635" s="328"/>
      <c r="U1635" s="328"/>
      <c r="V1635" s="328"/>
    </row>
    <row r="1636" customFormat="false" ht="15" hidden="false" customHeight="true" outlineLevel="1" collapsed="false">
      <c r="A1636" s="429"/>
      <c r="B1636" s="429"/>
      <c r="C1636" s="429"/>
      <c r="D1636" s="430"/>
      <c r="E1636" s="431"/>
      <c r="F1636" s="431"/>
      <c r="G1636" s="429"/>
      <c r="H1636" s="432"/>
      <c r="I1636" s="432"/>
      <c r="J1636" s="432"/>
      <c r="K1636" s="328"/>
      <c r="L1636" s="396"/>
      <c r="M1636" s="396"/>
      <c r="N1636" s="396"/>
      <c r="O1636" s="396"/>
      <c r="P1636" s="396"/>
      <c r="Q1636" s="328"/>
      <c r="R1636" s="328"/>
      <c r="S1636" s="328"/>
      <c r="T1636" s="328"/>
      <c r="U1636" s="328"/>
      <c r="V1636" s="328"/>
    </row>
    <row r="1637" customFormat="false" ht="15" hidden="false" customHeight="true" outlineLevel="1" collapsed="false">
      <c r="A1637" s="429"/>
      <c r="B1637" s="429"/>
      <c r="C1637" s="429"/>
      <c r="D1637" s="430"/>
      <c r="E1637" s="431"/>
      <c r="F1637" s="431"/>
      <c r="G1637" s="429"/>
      <c r="H1637" s="432"/>
      <c r="I1637" s="432"/>
      <c r="J1637" s="432"/>
      <c r="K1637" s="328"/>
      <c r="L1637" s="396"/>
      <c r="M1637" s="396"/>
      <c r="N1637" s="396"/>
      <c r="O1637" s="396"/>
      <c r="P1637" s="396"/>
      <c r="Q1637" s="328"/>
      <c r="R1637" s="328"/>
      <c r="S1637" s="328"/>
      <c r="T1637" s="328"/>
      <c r="U1637" s="328"/>
      <c r="V1637" s="328"/>
    </row>
    <row r="1638" customFormat="false" ht="15" hidden="false" customHeight="true" outlineLevel="1" collapsed="false">
      <c r="A1638" s="429"/>
      <c r="B1638" s="429"/>
      <c r="C1638" s="429"/>
      <c r="D1638" s="430"/>
      <c r="E1638" s="431"/>
      <c r="F1638" s="431"/>
      <c r="G1638" s="429"/>
      <c r="H1638" s="432"/>
      <c r="I1638" s="432"/>
      <c r="J1638" s="432"/>
      <c r="K1638" s="328"/>
      <c r="L1638" s="396"/>
      <c r="M1638" s="396"/>
      <c r="N1638" s="396"/>
      <c r="O1638" s="396"/>
      <c r="P1638" s="396"/>
      <c r="Q1638" s="328"/>
      <c r="R1638" s="328"/>
      <c r="S1638" s="328"/>
      <c r="T1638" s="328"/>
      <c r="U1638" s="328"/>
      <c r="V1638" s="328"/>
    </row>
    <row r="1639" customFormat="false" ht="15" hidden="false" customHeight="true" outlineLevel="1" collapsed="false">
      <c r="A1639" s="429"/>
      <c r="B1639" s="429"/>
      <c r="C1639" s="429"/>
      <c r="D1639" s="430"/>
      <c r="E1639" s="431"/>
      <c r="F1639" s="431"/>
      <c r="G1639" s="429"/>
      <c r="H1639" s="432"/>
      <c r="I1639" s="432"/>
      <c r="J1639" s="432"/>
      <c r="K1639" s="328"/>
      <c r="L1639" s="396"/>
      <c r="M1639" s="396"/>
      <c r="N1639" s="396"/>
      <c r="O1639" s="396"/>
      <c r="P1639" s="396"/>
      <c r="Q1639" s="328"/>
      <c r="R1639" s="328"/>
      <c r="S1639" s="328"/>
      <c r="T1639" s="328"/>
      <c r="U1639" s="328"/>
      <c r="V1639" s="328"/>
    </row>
    <row r="1640" customFormat="false" ht="15" hidden="false" customHeight="true" outlineLevel="1" collapsed="false">
      <c r="A1640" s="429"/>
      <c r="B1640" s="429"/>
      <c r="C1640" s="429"/>
      <c r="D1640" s="430"/>
      <c r="E1640" s="431"/>
      <c r="F1640" s="431"/>
      <c r="G1640" s="429"/>
      <c r="H1640" s="432"/>
      <c r="I1640" s="432"/>
      <c r="J1640" s="432"/>
      <c r="K1640" s="328"/>
      <c r="L1640" s="396"/>
      <c r="M1640" s="396"/>
      <c r="N1640" s="396"/>
      <c r="O1640" s="396"/>
      <c r="P1640" s="396"/>
      <c r="Q1640" s="328"/>
      <c r="R1640" s="328"/>
      <c r="S1640" s="328"/>
      <c r="T1640" s="328"/>
      <c r="U1640" s="328"/>
      <c r="V1640" s="328"/>
    </row>
    <row r="1641" customFormat="false" ht="15" hidden="false" customHeight="true" outlineLevel="1" collapsed="false">
      <c r="A1641" s="429"/>
      <c r="B1641" s="429"/>
      <c r="C1641" s="429"/>
      <c r="D1641" s="430"/>
      <c r="E1641" s="431"/>
      <c r="F1641" s="431"/>
      <c r="G1641" s="429"/>
      <c r="H1641" s="432"/>
      <c r="I1641" s="432"/>
      <c r="J1641" s="432"/>
      <c r="K1641" s="328"/>
      <c r="L1641" s="396"/>
      <c r="M1641" s="396"/>
      <c r="N1641" s="396"/>
      <c r="O1641" s="396"/>
      <c r="P1641" s="396"/>
      <c r="Q1641" s="328"/>
      <c r="R1641" s="328"/>
      <c r="S1641" s="328"/>
      <c r="T1641" s="328"/>
      <c r="U1641" s="328"/>
      <c r="V1641" s="328"/>
    </row>
    <row r="1642" customFormat="false" ht="15" hidden="false" customHeight="true" outlineLevel="1" collapsed="false">
      <c r="A1642" s="429"/>
      <c r="B1642" s="429"/>
      <c r="C1642" s="429"/>
      <c r="D1642" s="430"/>
      <c r="E1642" s="431"/>
      <c r="F1642" s="431"/>
      <c r="G1642" s="429"/>
      <c r="H1642" s="432"/>
      <c r="I1642" s="432"/>
      <c r="J1642" s="432"/>
      <c r="K1642" s="328"/>
      <c r="L1642" s="396"/>
      <c r="M1642" s="396"/>
      <c r="N1642" s="396"/>
      <c r="O1642" s="396"/>
      <c r="P1642" s="396"/>
      <c r="Q1642" s="328"/>
      <c r="R1642" s="328"/>
      <c r="S1642" s="328"/>
      <c r="T1642" s="328"/>
      <c r="U1642" s="328"/>
      <c r="V1642" s="328"/>
    </row>
    <row r="1643" customFormat="false" ht="15" hidden="false" customHeight="true" outlineLevel="1" collapsed="false">
      <c r="A1643" s="429"/>
      <c r="B1643" s="429"/>
      <c r="C1643" s="429"/>
      <c r="D1643" s="430"/>
      <c r="E1643" s="431"/>
      <c r="F1643" s="431"/>
      <c r="G1643" s="429"/>
      <c r="H1643" s="432"/>
      <c r="I1643" s="432"/>
      <c r="J1643" s="432"/>
      <c r="K1643" s="328"/>
      <c r="L1643" s="396"/>
      <c r="M1643" s="396"/>
      <c r="N1643" s="396"/>
      <c r="O1643" s="396"/>
      <c r="P1643" s="396"/>
      <c r="Q1643" s="328"/>
      <c r="R1643" s="328"/>
      <c r="S1643" s="328"/>
      <c r="T1643" s="328"/>
      <c r="U1643" s="328"/>
      <c r="V1643" s="328"/>
    </row>
    <row r="1644" customFormat="false" ht="15" hidden="false" customHeight="true" outlineLevel="1" collapsed="false">
      <c r="A1644" s="429"/>
      <c r="B1644" s="429"/>
      <c r="C1644" s="429"/>
      <c r="D1644" s="430"/>
      <c r="E1644" s="431"/>
      <c r="F1644" s="431"/>
      <c r="G1644" s="429"/>
      <c r="H1644" s="432"/>
      <c r="I1644" s="432"/>
      <c r="J1644" s="432"/>
      <c r="K1644" s="328"/>
      <c r="L1644" s="396"/>
      <c r="M1644" s="396"/>
      <c r="N1644" s="396"/>
      <c r="O1644" s="396"/>
      <c r="P1644" s="396"/>
      <c r="Q1644" s="328"/>
      <c r="R1644" s="328"/>
      <c r="S1644" s="328"/>
      <c r="T1644" s="328"/>
      <c r="U1644" s="328"/>
      <c r="V1644" s="328"/>
    </row>
    <row r="1645" customFormat="false" ht="15" hidden="false" customHeight="true" outlineLevel="1" collapsed="false">
      <c r="A1645" s="429"/>
      <c r="B1645" s="429"/>
      <c r="C1645" s="429"/>
      <c r="D1645" s="430"/>
      <c r="E1645" s="431"/>
      <c r="F1645" s="431"/>
      <c r="G1645" s="429"/>
      <c r="H1645" s="432"/>
      <c r="I1645" s="432"/>
      <c r="J1645" s="432"/>
      <c r="K1645" s="328"/>
      <c r="L1645" s="396"/>
      <c r="M1645" s="396"/>
      <c r="N1645" s="396"/>
      <c r="O1645" s="396"/>
      <c r="P1645" s="396"/>
      <c r="Q1645" s="328"/>
      <c r="R1645" s="328"/>
      <c r="S1645" s="328"/>
      <c r="T1645" s="328"/>
      <c r="U1645" s="328"/>
      <c r="V1645" s="328"/>
    </row>
    <row r="1646" customFormat="false" ht="15" hidden="false" customHeight="true" outlineLevel="1" collapsed="false">
      <c r="A1646" s="429"/>
      <c r="B1646" s="429"/>
      <c r="C1646" s="429"/>
      <c r="D1646" s="430"/>
      <c r="E1646" s="431"/>
      <c r="F1646" s="431"/>
      <c r="G1646" s="429"/>
      <c r="H1646" s="432"/>
      <c r="I1646" s="432"/>
      <c r="J1646" s="432"/>
      <c r="K1646" s="328"/>
      <c r="L1646" s="396"/>
      <c r="M1646" s="396"/>
      <c r="N1646" s="396"/>
      <c r="O1646" s="396"/>
      <c r="P1646" s="396"/>
      <c r="Q1646" s="328"/>
      <c r="R1646" s="328"/>
      <c r="S1646" s="328"/>
      <c r="T1646" s="328"/>
      <c r="U1646" s="328"/>
      <c r="V1646" s="328"/>
    </row>
    <row r="1647" customFormat="false" ht="15" hidden="false" customHeight="true" outlineLevel="1" collapsed="false">
      <c r="A1647" s="429"/>
      <c r="B1647" s="429"/>
      <c r="C1647" s="429"/>
      <c r="D1647" s="430"/>
      <c r="E1647" s="431"/>
      <c r="F1647" s="431"/>
      <c r="G1647" s="429"/>
      <c r="H1647" s="432"/>
      <c r="I1647" s="432"/>
      <c r="J1647" s="432"/>
      <c r="K1647" s="328"/>
      <c r="L1647" s="396"/>
      <c r="M1647" s="396"/>
      <c r="N1647" s="396"/>
      <c r="O1647" s="396"/>
      <c r="P1647" s="396"/>
      <c r="Q1647" s="328"/>
      <c r="R1647" s="328"/>
      <c r="S1647" s="328"/>
      <c r="T1647" s="328"/>
      <c r="U1647" s="328"/>
      <c r="V1647" s="328"/>
    </row>
    <row r="1648" customFormat="false" ht="15" hidden="false" customHeight="true" outlineLevel="1" collapsed="false">
      <c r="A1648" s="429"/>
      <c r="B1648" s="429"/>
      <c r="C1648" s="429"/>
      <c r="D1648" s="430"/>
      <c r="E1648" s="431"/>
      <c r="F1648" s="431"/>
      <c r="G1648" s="429"/>
      <c r="H1648" s="432"/>
      <c r="I1648" s="432"/>
      <c r="J1648" s="432"/>
      <c r="K1648" s="328"/>
      <c r="L1648" s="396"/>
      <c r="M1648" s="396"/>
      <c r="N1648" s="396"/>
      <c r="O1648" s="396"/>
      <c r="P1648" s="396"/>
      <c r="Q1648" s="328"/>
      <c r="R1648" s="328"/>
      <c r="S1648" s="328"/>
      <c r="T1648" s="328"/>
      <c r="U1648" s="328"/>
      <c r="V1648" s="328"/>
    </row>
    <row r="1649" customFormat="false" ht="15" hidden="false" customHeight="true" outlineLevel="1" collapsed="false">
      <c r="A1649" s="429"/>
      <c r="B1649" s="429"/>
      <c r="C1649" s="429"/>
      <c r="D1649" s="430"/>
      <c r="E1649" s="431"/>
      <c r="F1649" s="431"/>
      <c r="G1649" s="429"/>
      <c r="H1649" s="432"/>
      <c r="I1649" s="432"/>
      <c r="J1649" s="432"/>
      <c r="K1649" s="328"/>
      <c r="L1649" s="396"/>
      <c r="M1649" s="396"/>
      <c r="N1649" s="396"/>
      <c r="O1649" s="396"/>
      <c r="P1649" s="396"/>
      <c r="Q1649" s="328"/>
      <c r="R1649" s="328"/>
      <c r="S1649" s="328"/>
      <c r="T1649" s="328"/>
      <c r="U1649" s="328"/>
      <c r="V1649" s="328"/>
    </row>
    <row r="1650" customFormat="false" ht="15" hidden="false" customHeight="true" outlineLevel="1" collapsed="false">
      <c r="A1650" s="429"/>
      <c r="B1650" s="429"/>
      <c r="C1650" s="429"/>
      <c r="D1650" s="430"/>
      <c r="E1650" s="431"/>
      <c r="F1650" s="431"/>
      <c r="G1650" s="429"/>
      <c r="H1650" s="432"/>
      <c r="I1650" s="432"/>
      <c r="J1650" s="432"/>
      <c r="K1650" s="328"/>
      <c r="L1650" s="396"/>
      <c r="M1650" s="396"/>
      <c r="N1650" s="396"/>
      <c r="O1650" s="396"/>
      <c r="P1650" s="396"/>
      <c r="Q1650" s="328"/>
      <c r="R1650" s="328"/>
      <c r="S1650" s="328"/>
      <c r="T1650" s="328"/>
      <c r="U1650" s="328"/>
      <c r="V1650" s="328"/>
    </row>
    <row r="1651" customFormat="false" ht="15" hidden="false" customHeight="true" outlineLevel="1" collapsed="false">
      <c r="A1651" s="429"/>
      <c r="B1651" s="429"/>
      <c r="C1651" s="429"/>
      <c r="D1651" s="430"/>
      <c r="E1651" s="431"/>
      <c r="F1651" s="431"/>
      <c r="G1651" s="429"/>
      <c r="H1651" s="432"/>
      <c r="I1651" s="432"/>
      <c r="J1651" s="432"/>
      <c r="K1651" s="328"/>
      <c r="L1651" s="396"/>
      <c r="M1651" s="396"/>
      <c r="N1651" s="396"/>
      <c r="O1651" s="396"/>
      <c r="P1651" s="396"/>
      <c r="Q1651" s="328"/>
      <c r="R1651" s="328"/>
      <c r="S1651" s="328"/>
      <c r="T1651" s="328"/>
      <c r="U1651" s="328"/>
      <c r="V1651" s="328"/>
    </row>
    <row r="1652" customFormat="false" ht="15" hidden="false" customHeight="true" outlineLevel="1" collapsed="false">
      <c r="A1652" s="429"/>
      <c r="B1652" s="429"/>
      <c r="C1652" s="429"/>
      <c r="D1652" s="430"/>
      <c r="E1652" s="431"/>
      <c r="F1652" s="431"/>
      <c r="G1652" s="429"/>
      <c r="H1652" s="432"/>
      <c r="I1652" s="432"/>
      <c r="J1652" s="432"/>
      <c r="K1652" s="328"/>
      <c r="L1652" s="396"/>
      <c r="M1652" s="396"/>
      <c r="N1652" s="396"/>
      <c r="O1652" s="396"/>
      <c r="P1652" s="396"/>
      <c r="Q1652" s="328"/>
      <c r="R1652" s="328"/>
      <c r="S1652" s="328"/>
      <c r="T1652" s="328"/>
      <c r="U1652" s="328"/>
      <c r="V1652" s="328"/>
    </row>
    <row r="1653" customFormat="false" ht="15" hidden="false" customHeight="true" outlineLevel="1" collapsed="false">
      <c r="A1653" s="429"/>
      <c r="B1653" s="429"/>
      <c r="C1653" s="429"/>
      <c r="D1653" s="430"/>
      <c r="E1653" s="431"/>
      <c r="F1653" s="431"/>
      <c r="G1653" s="429"/>
      <c r="H1653" s="432"/>
      <c r="I1653" s="432"/>
      <c r="J1653" s="432"/>
      <c r="K1653" s="328"/>
      <c r="L1653" s="396"/>
      <c r="M1653" s="396"/>
      <c r="N1653" s="396"/>
      <c r="O1653" s="396"/>
      <c r="P1653" s="396"/>
      <c r="Q1653" s="328"/>
      <c r="R1653" s="328"/>
      <c r="S1653" s="328"/>
      <c r="T1653" s="328"/>
      <c r="U1653" s="328"/>
      <c r="V1653" s="328"/>
    </row>
    <row r="1654" customFormat="false" ht="15" hidden="false" customHeight="true" outlineLevel="1" collapsed="false">
      <c r="A1654" s="429"/>
      <c r="B1654" s="429"/>
      <c r="C1654" s="429"/>
      <c r="D1654" s="430"/>
      <c r="E1654" s="431"/>
      <c r="F1654" s="431"/>
      <c r="G1654" s="429"/>
      <c r="H1654" s="432"/>
      <c r="I1654" s="432"/>
      <c r="J1654" s="432"/>
      <c r="K1654" s="328"/>
      <c r="L1654" s="396"/>
      <c r="M1654" s="396"/>
      <c r="N1654" s="396"/>
      <c r="O1654" s="396"/>
      <c r="P1654" s="396"/>
      <c r="Q1654" s="328"/>
      <c r="R1654" s="328"/>
      <c r="S1654" s="328"/>
      <c r="T1654" s="328"/>
      <c r="U1654" s="328"/>
      <c r="V1654" s="328"/>
    </row>
    <row r="1655" customFormat="false" ht="15" hidden="false" customHeight="true" outlineLevel="1" collapsed="false">
      <c r="A1655" s="429"/>
      <c r="B1655" s="429"/>
      <c r="C1655" s="429"/>
      <c r="D1655" s="430"/>
      <c r="E1655" s="431"/>
      <c r="F1655" s="431"/>
      <c r="G1655" s="429"/>
      <c r="H1655" s="432"/>
      <c r="I1655" s="432"/>
      <c r="J1655" s="432"/>
      <c r="K1655" s="328"/>
      <c r="L1655" s="396"/>
      <c r="M1655" s="396"/>
      <c r="N1655" s="396"/>
      <c r="O1655" s="396"/>
      <c r="P1655" s="396"/>
      <c r="Q1655" s="328"/>
      <c r="R1655" s="328"/>
      <c r="S1655" s="328"/>
      <c r="T1655" s="328"/>
      <c r="U1655" s="328"/>
      <c r="V1655" s="328"/>
    </row>
    <row r="1656" customFormat="false" ht="15" hidden="false" customHeight="true" outlineLevel="1" collapsed="false">
      <c r="A1656" s="429"/>
      <c r="B1656" s="429"/>
      <c r="C1656" s="429"/>
      <c r="D1656" s="430"/>
      <c r="E1656" s="431"/>
      <c r="F1656" s="431"/>
      <c r="G1656" s="429"/>
      <c r="H1656" s="432"/>
      <c r="I1656" s="432"/>
      <c r="J1656" s="432"/>
      <c r="K1656" s="328"/>
      <c r="L1656" s="396"/>
      <c r="M1656" s="396"/>
      <c r="N1656" s="396"/>
      <c r="O1656" s="396"/>
      <c r="P1656" s="396"/>
      <c r="Q1656" s="328"/>
      <c r="R1656" s="328"/>
      <c r="S1656" s="328"/>
      <c r="T1656" s="328"/>
      <c r="U1656" s="328"/>
      <c r="V1656" s="328"/>
    </row>
    <row r="1657" customFormat="false" ht="15" hidden="false" customHeight="true" outlineLevel="1" collapsed="false">
      <c r="A1657" s="429"/>
      <c r="B1657" s="429"/>
      <c r="C1657" s="429"/>
      <c r="D1657" s="430"/>
      <c r="E1657" s="431"/>
      <c r="F1657" s="431"/>
      <c r="G1657" s="429"/>
      <c r="H1657" s="432"/>
      <c r="I1657" s="432"/>
      <c r="J1657" s="432"/>
      <c r="K1657" s="328"/>
      <c r="L1657" s="396"/>
      <c r="M1657" s="396"/>
      <c r="N1657" s="396"/>
      <c r="O1657" s="396"/>
      <c r="P1657" s="396"/>
      <c r="Q1657" s="328"/>
      <c r="R1657" s="328"/>
      <c r="S1657" s="328"/>
      <c r="T1657" s="328"/>
      <c r="U1657" s="328"/>
      <c r="V1657" s="328"/>
    </row>
    <row r="1658" customFormat="false" ht="15" hidden="false" customHeight="true" outlineLevel="1" collapsed="false">
      <c r="A1658" s="429"/>
      <c r="B1658" s="429"/>
      <c r="C1658" s="429"/>
      <c r="D1658" s="430"/>
      <c r="E1658" s="431"/>
      <c r="F1658" s="431"/>
      <c r="G1658" s="429"/>
      <c r="H1658" s="432"/>
      <c r="I1658" s="432"/>
      <c r="J1658" s="432"/>
      <c r="K1658" s="328"/>
      <c r="L1658" s="396"/>
      <c r="M1658" s="396"/>
      <c r="N1658" s="396"/>
      <c r="O1658" s="396"/>
      <c r="P1658" s="396"/>
      <c r="Q1658" s="328"/>
      <c r="R1658" s="328"/>
      <c r="S1658" s="328"/>
      <c r="T1658" s="328"/>
      <c r="U1658" s="328"/>
      <c r="V1658" s="328"/>
    </row>
    <row r="1659" customFormat="false" ht="15" hidden="false" customHeight="true" outlineLevel="1" collapsed="false">
      <c r="A1659" s="429"/>
      <c r="B1659" s="429"/>
      <c r="C1659" s="429"/>
      <c r="D1659" s="430"/>
      <c r="E1659" s="431"/>
      <c r="F1659" s="431"/>
      <c r="G1659" s="429"/>
      <c r="H1659" s="432"/>
      <c r="I1659" s="432"/>
      <c r="J1659" s="432"/>
      <c r="K1659" s="328"/>
      <c r="L1659" s="396"/>
      <c r="M1659" s="396"/>
      <c r="N1659" s="396"/>
      <c r="O1659" s="396"/>
      <c r="P1659" s="396"/>
      <c r="Q1659" s="328"/>
      <c r="R1659" s="328"/>
      <c r="S1659" s="328"/>
      <c r="T1659" s="328"/>
      <c r="U1659" s="328"/>
      <c r="V1659" s="328"/>
    </row>
    <row r="1660" customFormat="false" ht="15" hidden="false" customHeight="true" outlineLevel="1" collapsed="false">
      <c r="A1660" s="429"/>
      <c r="B1660" s="429"/>
      <c r="C1660" s="429"/>
      <c r="D1660" s="430"/>
      <c r="E1660" s="431"/>
      <c r="F1660" s="431"/>
      <c r="G1660" s="429"/>
      <c r="H1660" s="432"/>
      <c r="I1660" s="432"/>
      <c r="J1660" s="432"/>
      <c r="K1660" s="328"/>
      <c r="L1660" s="396"/>
      <c r="M1660" s="396"/>
      <c r="N1660" s="396"/>
      <c r="O1660" s="396"/>
      <c r="P1660" s="396"/>
      <c r="Q1660" s="328"/>
      <c r="R1660" s="328"/>
      <c r="S1660" s="328"/>
      <c r="T1660" s="328"/>
      <c r="U1660" s="328"/>
      <c r="V1660" s="328"/>
    </row>
    <row r="1661" customFormat="false" ht="15" hidden="false" customHeight="true" outlineLevel="1" collapsed="false">
      <c r="A1661" s="429"/>
      <c r="B1661" s="429"/>
      <c r="C1661" s="429"/>
      <c r="D1661" s="430"/>
      <c r="E1661" s="431"/>
      <c r="F1661" s="431"/>
      <c r="G1661" s="429"/>
      <c r="H1661" s="432"/>
      <c r="I1661" s="432"/>
      <c r="J1661" s="432"/>
      <c r="K1661" s="328"/>
      <c r="L1661" s="396"/>
      <c r="M1661" s="396"/>
      <c r="N1661" s="396"/>
      <c r="O1661" s="396"/>
      <c r="P1661" s="396"/>
      <c r="Q1661" s="328"/>
      <c r="R1661" s="328"/>
      <c r="S1661" s="328"/>
      <c r="T1661" s="328"/>
      <c r="U1661" s="328"/>
      <c r="V1661" s="328"/>
    </row>
    <row r="1662" customFormat="false" ht="15" hidden="false" customHeight="true" outlineLevel="1" collapsed="false">
      <c r="A1662" s="429"/>
      <c r="B1662" s="429"/>
      <c r="C1662" s="429"/>
      <c r="D1662" s="430"/>
      <c r="E1662" s="431"/>
      <c r="F1662" s="431"/>
      <c r="G1662" s="429"/>
      <c r="H1662" s="432"/>
      <c r="I1662" s="432"/>
      <c r="J1662" s="432"/>
      <c r="K1662" s="328"/>
      <c r="L1662" s="396"/>
      <c r="M1662" s="396"/>
      <c r="N1662" s="396"/>
      <c r="O1662" s="396"/>
      <c r="P1662" s="396"/>
      <c r="Q1662" s="328"/>
      <c r="R1662" s="328"/>
      <c r="S1662" s="328"/>
      <c r="T1662" s="328"/>
      <c r="U1662" s="328"/>
      <c r="V1662" s="328"/>
    </row>
    <row r="1663" customFormat="false" ht="15" hidden="false" customHeight="true" outlineLevel="1" collapsed="false">
      <c r="A1663" s="429"/>
      <c r="B1663" s="429"/>
      <c r="C1663" s="429"/>
      <c r="D1663" s="430"/>
      <c r="E1663" s="431"/>
      <c r="F1663" s="431"/>
      <c r="G1663" s="429"/>
      <c r="H1663" s="432"/>
      <c r="I1663" s="432"/>
      <c r="J1663" s="432"/>
      <c r="K1663" s="328"/>
      <c r="L1663" s="396"/>
      <c r="M1663" s="396"/>
      <c r="N1663" s="396"/>
      <c r="O1663" s="396"/>
      <c r="P1663" s="396"/>
      <c r="Q1663" s="328"/>
      <c r="R1663" s="328"/>
      <c r="S1663" s="328"/>
      <c r="T1663" s="328"/>
      <c r="U1663" s="328"/>
      <c r="V1663" s="328"/>
    </row>
    <row r="1664" customFormat="false" ht="15" hidden="false" customHeight="true" outlineLevel="1" collapsed="false">
      <c r="A1664" s="429"/>
      <c r="B1664" s="429"/>
      <c r="C1664" s="429"/>
      <c r="D1664" s="430"/>
      <c r="E1664" s="431"/>
      <c r="F1664" s="431"/>
      <c r="G1664" s="429"/>
      <c r="H1664" s="432"/>
      <c r="I1664" s="432"/>
      <c r="J1664" s="432"/>
      <c r="K1664" s="328"/>
      <c r="L1664" s="396"/>
      <c r="M1664" s="396"/>
      <c r="N1664" s="396"/>
      <c r="O1664" s="396"/>
      <c r="P1664" s="396"/>
      <c r="Q1664" s="328"/>
      <c r="R1664" s="328"/>
      <c r="S1664" s="328"/>
      <c r="T1664" s="328"/>
      <c r="U1664" s="328"/>
      <c r="V1664" s="328"/>
    </row>
    <row r="1665" customFormat="false" ht="15" hidden="false" customHeight="true" outlineLevel="1" collapsed="false">
      <c r="A1665" s="429"/>
      <c r="B1665" s="429"/>
      <c r="C1665" s="429"/>
      <c r="D1665" s="430"/>
      <c r="E1665" s="431"/>
      <c r="F1665" s="431"/>
      <c r="G1665" s="429"/>
      <c r="H1665" s="432"/>
      <c r="I1665" s="432"/>
      <c r="J1665" s="432"/>
      <c r="K1665" s="328"/>
      <c r="L1665" s="396"/>
      <c r="M1665" s="396"/>
      <c r="N1665" s="396"/>
      <c r="O1665" s="396"/>
      <c r="P1665" s="396"/>
      <c r="Q1665" s="328"/>
      <c r="R1665" s="328"/>
      <c r="S1665" s="328"/>
      <c r="T1665" s="328"/>
      <c r="U1665" s="328"/>
      <c r="V1665" s="328"/>
    </row>
    <row r="1666" customFormat="false" ht="15" hidden="false" customHeight="true" outlineLevel="1" collapsed="false">
      <c r="A1666" s="429"/>
      <c r="B1666" s="429"/>
      <c r="C1666" s="429"/>
      <c r="D1666" s="430"/>
      <c r="E1666" s="431"/>
      <c r="F1666" s="431"/>
      <c r="G1666" s="429"/>
      <c r="H1666" s="432"/>
      <c r="I1666" s="432"/>
      <c r="J1666" s="432"/>
      <c r="K1666" s="328"/>
      <c r="L1666" s="396"/>
      <c r="M1666" s="396"/>
      <c r="N1666" s="396"/>
      <c r="O1666" s="396"/>
      <c r="P1666" s="396"/>
      <c r="Q1666" s="328"/>
      <c r="R1666" s="328"/>
      <c r="S1666" s="328"/>
      <c r="T1666" s="328"/>
      <c r="U1666" s="328"/>
      <c r="V1666" s="328"/>
    </row>
    <row r="1667" customFormat="false" ht="15" hidden="false" customHeight="true" outlineLevel="1" collapsed="false">
      <c r="A1667" s="429"/>
      <c r="B1667" s="429"/>
      <c r="C1667" s="429"/>
      <c r="D1667" s="430"/>
      <c r="E1667" s="431"/>
      <c r="F1667" s="431"/>
      <c r="G1667" s="429"/>
      <c r="H1667" s="432"/>
      <c r="I1667" s="432"/>
      <c r="J1667" s="432"/>
      <c r="K1667" s="328"/>
      <c r="L1667" s="396"/>
      <c r="M1667" s="396"/>
      <c r="N1667" s="396"/>
      <c r="O1667" s="396"/>
      <c r="P1667" s="396"/>
      <c r="Q1667" s="328"/>
      <c r="R1667" s="328"/>
      <c r="S1667" s="328"/>
      <c r="T1667" s="328"/>
      <c r="U1667" s="328"/>
      <c r="V1667" s="328"/>
    </row>
    <row r="1668" customFormat="false" ht="15" hidden="false" customHeight="true" outlineLevel="1" collapsed="false">
      <c r="A1668" s="429"/>
      <c r="B1668" s="429"/>
      <c r="C1668" s="429"/>
      <c r="D1668" s="430"/>
      <c r="E1668" s="431"/>
      <c r="F1668" s="431"/>
      <c r="G1668" s="429"/>
      <c r="H1668" s="432"/>
      <c r="I1668" s="432"/>
      <c r="J1668" s="432"/>
      <c r="K1668" s="328"/>
      <c r="L1668" s="396"/>
      <c r="M1668" s="396"/>
      <c r="N1668" s="396"/>
      <c r="O1668" s="396"/>
      <c r="P1668" s="396"/>
      <c r="Q1668" s="328"/>
      <c r="R1668" s="328"/>
      <c r="S1668" s="328"/>
      <c r="T1668" s="328"/>
      <c r="U1668" s="328"/>
      <c r="V1668" s="328"/>
    </row>
    <row r="1669" customFormat="false" ht="15" hidden="false" customHeight="true" outlineLevel="1" collapsed="false">
      <c r="A1669" s="429"/>
      <c r="B1669" s="429"/>
      <c r="C1669" s="429"/>
      <c r="D1669" s="430"/>
      <c r="E1669" s="431"/>
      <c r="F1669" s="431"/>
      <c r="G1669" s="429"/>
      <c r="H1669" s="432"/>
      <c r="I1669" s="432"/>
      <c r="J1669" s="432"/>
      <c r="K1669" s="328"/>
      <c r="L1669" s="396"/>
      <c r="M1669" s="396"/>
      <c r="N1669" s="396"/>
      <c r="O1669" s="396"/>
      <c r="P1669" s="396"/>
      <c r="Q1669" s="328"/>
      <c r="R1669" s="328"/>
      <c r="S1669" s="328"/>
      <c r="T1669" s="328"/>
      <c r="U1669" s="328"/>
      <c r="V1669" s="328"/>
    </row>
    <row r="1670" customFormat="false" ht="15" hidden="false" customHeight="true" outlineLevel="1" collapsed="false">
      <c r="A1670" s="429"/>
      <c r="B1670" s="429"/>
      <c r="C1670" s="429"/>
      <c r="D1670" s="430"/>
      <c r="E1670" s="431"/>
      <c r="F1670" s="431"/>
      <c r="G1670" s="429"/>
      <c r="H1670" s="432"/>
      <c r="I1670" s="432"/>
      <c r="J1670" s="432"/>
      <c r="K1670" s="328"/>
      <c r="L1670" s="396"/>
      <c r="M1670" s="396"/>
      <c r="N1670" s="396"/>
      <c r="O1670" s="396"/>
      <c r="P1670" s="396"/>
      <c r="Q1670" s="328"/>
      <c r="R1670" s="328"/>
      <c r="S1670" s="328"/>
      <c r="T1670" s="328"/>
      <c r="U1670" s="328"/>
      <c r="V1670" s="328"/>
    </row>
    <row r="1671" customFormat="false" ht="15" hidden="false" customHeight="true" outlineLevel="1" collapsed="false">
      <c r="A1671" s="429"/>
      <c r="B1671" s="429"/>
      <c r="C1671" s="429"/>
      <c r="D1671" s="430"/>
      <c r="E1671" s="431"/>
      <c r="F1671" s="431"/>
      <c r="G1671" s="429"/>
      <c r="H1671" s="432"/>
      <c r="I1671" s="432"/>
      <c r="J1671" s="432"/>
      <c r="K1671" s="328"/>
      <c r="L1671" s="396"/>
      <c r="M1671" s="396"/>
      <c r="N1671" s="396"/>
      <c r="O1671" s="396"/>
      <c r="P1671" s="396"/>
      <c r="Q1671" s="328"/>
      <c r="R1671" s="328"/>
      <c r="S1671" s="328"/>
      <c r="T1671" s="328"/>
      <c r="U1671" s="328"/>
      <c r="V1671" s="328"/>
    </row>
    <row r="1672" customFormat="false" ht="15" hidden="false" customHeight="true" outlineLevel="1" collapsed="false">
      <c r="A1672" s="429"/>
      <c r="B1672" s="429"/>
      <c r="C1672" s="429"/>
      <c r="D1672" s="430"/>
      <c r="E1672" s="431"/>
      <c r="F1672" s="431"/>
      <c r="G1672" s="429"/>
      <c r="H1672" s="432"/>
      <c r="I1672" s="432"/>
      <c r="J1672" s="432"/>
      <c r="K1672" s="328"/>
      <c r="L1672" s="396"/>
      <c r="M1672" s="396"/>
      <c r="N1672" s="396"/>
      <c r="O1672" s="396"/>
      <c r="P1672" s="396"/>
      <c r="Q1672" s="328"/>
      <c r="R1672" s="328"/>
      <c r="S1672" s="328"/>
      <c r="T1672" s="328"/>
      <c r="U1672" s="328"/>
      <c r="V1672" s="328"/>
    </row>
    <row r="1673" customFormat="false" ht="15" hidden="false" customHeight="true" outlineLevel="1" collapsed="false">
      <c r="A1673" s="429"/>
      <c r="B1673" s="429"/>
      <c r="C1673" s="429"/>
      <c r="D1673" s="430"/>
      <c r="E1673" s="431"/>
      <c r="F1673" s="431"/>
      <c r="G1673" s="429"/>
      <c r="H1673" s="432"/>
      <c r="I1673" s="432"/>
      <c r="J1673" s="432"/>
      <c r="K1673" s="328"/>
      <c r="L1673" s="396"/>
      <c r="M1673" s="396"/>
      <c r="N1673" s="396"/>
      <c r="O1673" s="396"/>
      <c r="P1673" s="396"/>
      <c r="Q1673" s="328"/>
      <c r="R1673" s="328"/>
      <c r="S1673" s="328"/>
      <c r="T1673" s="328"/>
      <c r="U1673" s="328"/>
      <c r="V1673" s="328"/>
    </row>
    <row r="1674" customFormat="false" ht="15" hidden="false" customHeight="true" outlineLevel="1" collapsed="false">
      <c r="A1674" s="429"/>
      <c r="B1674" s="429"/>
      <c r="C1674" s="429"/>
      <c r="D1674" s="430"/>
      <c r="E1674" s="431"/>
      <c r="F1674" s="431"/>
      <c r="G1674" s="429"/>
      <c r="H1674" s="432"/>
      <c r="I1674" s="432"/>
      <c r="J1674" s="432"/>
      <c r="K1674" s="328"/>
      <c r="L1674" s="396"/>
      <c r="M1674" s="396"/>
      <c r="N1674" s="396"/>
      <c r="O1674" s="396"/>
      <c r="P1674" s="396"/>
      <c r="Q1674" s="328"/>
      <c r="R1674" s="328"/>
      <c r="S1674" s="328"/>
      <c r="T1674" s="328"/>
      <c r="U1674" s="328"/>
      <c r="V1674" s="328"/>
    </row>
    <row r="1675" customFormat="false" ht="15" hidden="false" customHeight="true" outlineLevel="1" collapsed="false">
      <c r="A1675" s="429"/>
      <c r="B1675" s="429"/>
      <c r="C1675" s="429"/>
      <c r="D1675" s="430"/>
      <c r="E1675" s="431"/>
      <c r="F1675" s="431"/>
      <c r="G1675" s="429"/>
      <c r="H1675" s="432"/>
      <c r="I1675" s="432"/>
      <c r="J1675" s="432"/>
      <c r="K1675" s="328"/>
      <c r="L1675" s="396"/>
      <c r="M1675" s="396"/>
      <c r="N1675" s="396"/>
      <c r="O1675" s="396"/>
      <c r="P1675" s="396"/>
      <c r="Q1675" s="328"/>
      <c r="R1675" s="328"/>
      <c r="S1675" s="328"/>
      <c r="T1675" s="328"/>
      <c r="U1675" s="328"/>
      <c r="V1675" s="328"/>
    </row>
    <row r="1676" customFormat="false" ht="15" hidden="false" customHeight="true" outlineLevel="1" collapsed="false">
      <c r="A1676" s="429"/>
      <c r="B1676" s="429"/>
      <c r="C1676" s="429"/>
      <c r="D1676" s="430"/>
      <c r="E1676" s="431"/>
      <c r="F1676" s="431"/>
      <c r="G1676" s="429"/>
      <c r="H1676" s="432"/>
      <c r="I1676" s="432"/>
      <c r="J1676" s="432"/>
      <c r="K1676" s="328"/>
      <c r="L1676" s="396"/>
      <c r="M1676" s="396"/>
      <c r="N1676" s="396"/>
      <c r="O1676" s="396"/>
      <c r="P1676" s="396"/>
      <c r="Q1676" s="328"/>
      <c r="R1676" s="328"/>
      <c r="S1676" s="328"/>
      <c r="T1676" s="328"/>
      <c r="U1676" s="328"/>
      <c r="V1676" s="328"/>
    </row>
    <row r="1677" customFormat="false" ht="15" hidden="false" customHeight="true" outlineLevel="1" collapsed="false">
      <c r="A1677" s="429"/>
      <c r="B1677" s="429"/>
      <c r="C1677" s="429"/>
      <c r="D1677" s="430"/>
      <c r="E1677" s="431"/>
      <c r="F1677" s="431"/>
      <c r="G1677" s="429"/>
      <c r="H1677" s="432"/>
      <c r="I1677" s="432"/>
      <c r="J1677" s="432"/>
      <c r="K1677" s="328"/>
      <c r="L1677" s="396"/>
      <c r="M1677" s="396"/>
      <c r="N1677" s="396"/>
      <c r="O1677" s="396"/>
      <c r="P1677" s="396"/>
      <c r="Q1677" s="328"/>
      <c r="R1677" s="328"/>
      <c r="S1677" s="328"/>
      <c r="T1677" s="328"/>
      <c r="U1677" s="328"/>
      <c r="V1677" s="328"/>
    </row>
    <row r="1678" customFormat="false" ht="15" hidden="false" customHeight="true" outlineLevel="1" collapsed="false">
      <c r="A1678" s="429"/>
      <c r="B1678" s="429"/>
      <c r="C1678" s="429"/>
      <c r="D1678" s="430"/>
      <c r="E1678" s="431"/>
      <c r="F1678" s="431"/>
      <c r="G1678" s="429"/>
      <c r="H1678" s="432"/>
      <c r="I1678" s="432"/>
      <c r="J1678" s="432"/>
      <c r="K1678" s="328"/>
      <c r="L1678" s="396"/>
      <c r="M1678" s="396"/>
      <c r="N1678" s="396"/>
      <c r="O1678" s="396"/>
      <c r="P1678" s="396"/>
      <c r="Q1678" s="328"/>
      <c r="R1678" s="328"/>
      <c r="S1678" s="328"/>
      <c r="T1678" s="328"/>
      <c r="U1678" s="328"/>
      <c r="V1678" s="328"/>
    </row>
    <row r="1679" customFormat="false" ht="15" hidden="false" customHeight="true" outlineLevel="1" collapsed="false">
      <c r="A1679" s="429"/>
      <c r="B1679" s="429"/>
      <c r="C1679" s="429"/>
      <c r="D1679" s="430"/>
      <c r="E1679" s="431"/>
      <c r="F1679" s="431"/>
      <c r="G1679" s="429"/>
      <c r="H1679" s="432"/>
      <c r="I1679" s="432"/>
      <c r="J1679" s="432"/>
      <c r="K1679" s="328"/>
      <c r="L1679" s="396"/>
      <c r="M1679" s="396"/>
      <c r="N1679" s="396"/>
      <c r="O1679" s="396"/>
      <c r="P1679" s="396"/>
      <c r="Q1679" s="328"/>
      <c r="R1679" s="328"/>
      <c r="S1679" s="328"/>
      <c r="T1679" s="328"/>
      <c r="U1679" s="328"/>
      <c r="V1679" s="328"/>
    </row>
    <row r="1680" customFormat="false" ht="15" hidden="false" customHeight="true" outlineLevel="1" collapsed="false">
      <c r="A1680" s="429"/>
      <c r="B1680" s="429"/>
      <c r="C1680" s="429"/>
      <c r="D1680" s="430"/>
      <c r="E1680" s="431"/>
      <c r="F1680" s="431"/>
      <c r="G1680" s="429"/>
      <c r="H1680" s="432"/>
      <c r="I1680" s="432"/>
      <c r="J1680" s="432"/>
      <c r="K1680" s="328"/>
      <c r="L1680" s="396"/>
      <c r="M1680" s="396"/>
      <c r="N1680" s="396"/>
      <c r="O1680" s="396"/>
      <c r="P1680" s="396"/>
      <c r="Q1680" s="328"/>
      <c r="R1680" s="328"/>
      <c r="S1680" s="328"/>
      <c r="T1680" s="328"/>
      <c r="U1680" s="328"/>
      <c r="V1680" s="328"/>
    </row>
    <row r="1681" customFormat="false" ht="15" hidden="false" customHeight="true" outlineLevel="1" collapsed="false">
      <c r="A1681" s="429"/>
      <c r="B1681" s="429"/>
      <c r="C1681" s="429"/>
      <c r="D1681" s="430"/>
      <c r="E1681" s="431"/>
      <c r="F1681" s="431"/>
      <c r="G1681" s="429"/>
      <c r="H1681" s="432"/>
      <c r="I1681" s="432"/>
      <c r="J1681" s="432"/>
      <c r="K1681" s="328"/>
      <c r="L1681" s="396"/>
      <c r="M1681" s="396"/>
      <c r="N1681" s="396"/>
      <c r="O1681" s="396"/>
      <c r="P1681" s="396"/>
      <c r="Q1681" s="328"/>
      <c r="R1681" s="328"/>
      <c r="S1681" s="328"/>
      <c r="T1681" s="328"/>
      <c r="U1681" s="328"/>
      <c r="V1681" s="328"/>
    </row>
    <row r="1682" customFormat="false" ht="15" hidden="false" customHeight="true" outlineLevel="1" collapsed="false">
      <c r="A1682" s="429"/>
      <c r="B1682" s="429"/>
      <c r="C1682" s="429"/>
      <c r="D1682" s="430"/>
      <c r="E1682" s="431"/>
      <c r="F1682" s="431"/>
      <c r="G1682" s="429"/>
      <c r="H1682" s="432"/>
      <c r="I1682" s="432"/>
      <c r="J1682" s="432"/>
      <c r="K1682" s="328"/>
      <c r="L1682" s="396"/>
      <c r="M1682" s="396"/>
      <c r="N1682" s="396"/>
      <c r="O1682" s="396"/>
      <c r="P1682" s="396"/>
      <c r="Q1682" s="328"/>
      <c r="R1682" s="328"/>
      <c r="S1682" s="328"/>
      <c r="T1682" s="328"/>
      <c r="U1682" s="328"/>
      <c r="V1682" s="328"/>
    </row>
    <row r="1683" customFormat="false" ht="15" hidden="false" customHeight="true" outlineLevel="1" collapsed="false">
      <c r="A1683" s="429"/>
      <c r="B1683" s="429"/>
      <c r="C1683" s="429"/>
      <c r="D1683" s="430"/>
      <c r="E1683" s="431"/>
      <c r="F1683" s="431"/>
      <c r="G1683" s="429"/>
      <c r="H1683" s="432"/>
      <c r="I1683" s="432"/>
      <c r="J1683" s="432"/>
      <c r="K1683" s="328"/>
      <c r="L1683" s="396"/>
      <c r="M1683" s="396"/>
      <c r="N1683" s="396"/>
      <c r="O1683" s="396"/>
      <c r="P1683" s="396"/>
      <c r="Q1683" s="328"/>
      <c r="R1683" s="328"/>
      <c r="S1683" s="328"/>
      <c r="T1683" s="328"/>
      <c r="U1683" s="328"/>
      <c r="V1683" s="328"/>
    </row>
    <row r="1684" customFormat="false" ht="15" hidden="false" customHeight="true" outlineLevel="1" collapsed="false">
      <c r="A1684" s="429"/>
      <c r="B1684" s="429"/>
      <c r="C1684" s="429"/>
      <c r="D1684" s="430"/>
      <c r="E1684" s="431"/>
      <c r="F1684" s="431"/>
      <c r="G1684" s="429"/>
      <c r="H1684" s="432"/>
      <c r="I1684" s="432"/>
      <c r="J1684" s="432"/>
      <c r="K1684" s="328"/>
      <c r="L1684" s="396"/>
      <c r="M1684" s="396"/>
      <c r="N1684" s="396"/>
      <c r="O1684" s="396"/>
      <c r="P1684" s="396"/>
      <c r="Q1684" s="328"/>
      <c r="R1684" s="328"/>
      <c r="S1684" s="328"/>
      <c r="T1684" s="328"/>
      <c r="U1684" s="328"/>
      <c r="V1684" s="328"/>
    </row>
    <row r="1685" customFormat="false" ht="15" hidden="false" customHeight="true" outlineLevel="1" collapsed="false">
      <c r="A1685" s="429"/>
      <c r="B1685" s="429"/>
      <c r="C1685" s="429"/>
      <c r="D1685" s="430"/>
      <c r="E1685" s="431"/>
      <c r="F1685" s="431"/>
      <c r="G1685" s="429"/>
      <c r="H1685" s="432"/>
      <c r="I1685" s="432"/>
      <c r="J1685" s="432"/>
      <c r="K1685" s="328"/>
      <c r="L1685" s="396"/>
      <c r="M1685" s="396"/>
      <c r="N1685" s="396"/>
      <c r="O1685" s="396"/>
      <c r="P1685" s="396"/>
      <c r="Q1685" s="328"/>
      <c r="R1685" s="328"/>
      <c r="S1685" s="328"/>
      <c r="T1685" s="328"/>
      <c r="U1685" s="328"/>
      <c r="V1685" s="328"/>
    </row>
    <row r="1686" customFormat="false" ht="15" hidden="false" customHeight="true" outlineLevel="1" collapsed="false">
      <c r="A1686" s="429"/>
      <c r="B1686" s="429"/>
      <c r="C1686" s="429"/>
      <c r="D1686" s="430"/>
      <c r="E1686" s="431"/>
      <c r="F1686" s="431"/>
      <c r="G1686" s="429"/>
      <c r="H1686" s="432"/>
      <c r="I1686" s="432"/>
      <c r="J1686" s="432"/>
      <c r="K1686" s="328"/>
      <c r="L1686" s="396"/>
      <c r="M1686" s="396"/>
      <c r="N1686" s="396"/>
      <c r="O1686" s="396"/>
      <c r="P1686" s="396"/>
      <c r="Q1686" s="328"/>
      <c r="R1686" s="328"/>
      <c r="S1686" s="328"/>
      <c r="T1686" s="328"/>
      <c r="U1686" s="328"/>
      <c r="V1686" s="328"/>
    </row>
    <row r="1687" customFormat="false" ht="15" hidden="false" customHeight="true" outlineLevel="1" collapsed="false">
      <c r="A1687" s="429"/>
      <c r="B1687" s="429"/>
      <c r="C1687" s="429"/>
      <c r="D1687" s="430"/>
      <c r="E1687" s="431"/>
      <c r="F1687" s="431"/>
      <c r="G1687" s="429"/>
      <c r="H1687" s="432"/>
      <c r="I1687" s="432"/>
      <c r="J1687" s="432"/>
      <c r="K1687" s="328"/>
      <c r="L1687" s="396"/>
      <c r="M1687" s="396"/>
      <c r="N1687" s="396"/>
      <c r="O1687" s="396"/>
      <c r="P1687" s="396"/>
      <c r="Q1687" s="328"/>
      <c r="R1687" s="328"/>
      <c r="S1687" s="328"/>
      <c r="T1687" s="328"/>
      <c r="U1687" s="328"/>
      <c r="V1687" s="328"/>
    </row>
    <row r="1688" customFormat="false" ht="15" hidden="false" customHeight="true" outlineLevel="1" collapsed="false">
      <c r="A1688" s="429"/>
      <c r="B1688" s="429"/>
      <c r="C1688" s="429"/>
      <c r="D1688" s="430"/>
      <c r="E1688" s="431"/>
      <c r="F1688" s="431"/>
      <c r="G1688" s="429"/>
      <c r="H1688" s="432"/>
      <c r="I1688" s="432"/>
      <c r="J1688" s="432"/>
      <c r="K1688" s="328"/>
      <c r="L1688" s="396"/>
      <c r="M1688" s="396"/>
      <c r="N1688" s="396"/>
      <c r="O1688" s="396"/>
      <c r="P1688" s="396"/>
      <c r="Q1688" s="328"/>
      <c r="R1688" s="328"/>
      <c r="S1688" s="328"/>
      <c r="T1688" s="328"/>
      <c r="U1688" s="328"/>
      <c r="V1688" s="328"/>
    </row>
    <row r="1689" customFormat="false" ht="15" hidden="false" customHeight="true" outlineLevel="1" collapsed="false">
      <c r="A1689" s="429"/>
      <c r="B1689" s="429"/>
      <c r="C1689" s="429"/>
      <c r="D1689" s="430"/>
      <c r="E1689" s="431"/>
      <c r="F1689" s="431"/>
      <c r="G1689" s="429"/>
      <c r="H1689" s="432"/>
      <c r="I1689" s="432"/>
      <c r="J1689" s="432"/>
      <c r="K1689" s="328"/>
      <c r="L1689" s="396"/>
      <c r="M1689" s="396"/>
      <c r="N1689" s="396"/>
      <c r="O1689" s="396"/>
      <c r="P1689" s="396"/>
      <c r="Q1689" s="328"/>
      <c r="R1689" s="328"/>
      <c r="S1689" s="328"/>
      <c r="T1689" s="328"/>
      <c r="U1689" s="328"/>
      <c r="V1689" s="328"/>
    </row>
    <row r="1690" customFormat="false" ht="15" hidden="false" customHeight="true" outlineLevel="1" collapsed="false">
      <c r="A1690" s="429"/>
      <c r="B1690" s="429"/>
      <c r="C1690" s="429"/>
      <c r="D1690" s="430"/>
      <c r="E1690" s="431"/>
      <c r="F1690" s="431"/>
      <c r="G1690" s="429"/>
      <c r="H1690" s="432"/>
      <c r="I1690" s="432"/>
      <c r="J1690" s="432"/>
      <c r="K1690" s="328"/>
      <c r="L1690" s="396"/>
      <c r="M1690" s="396"/>
      <c r="N1690" s="396"/>
      <c r="O1690" s="396"/>
      <c r="P1690" s="396"/>
      <c r="Q1690" s="328"/>
      <c r="R1690" s="328"/>
      <c r="S1690" s="328"/>
      <c r="T1690" s="328"/>
      <c r="U1690" s="328"/>
      <c r="V1690" s="328"/>
    </row>
    <row r="1691" customFormat="false" ht="15" hidden="false" customHeight="true" outlineLevel="1" collapsed="false">
      <c r="A1691" s="429"/>
      <c r="B1691" s="429"/>
      <c r="C1691" s="429"/>
      <c r="D1691" s="430"/>
      <c r="E1691" s="431"/>
      <c r="F1691" s="431"/>
      <c r="G1691" s="429"/>
      <c r="H1691" s="432"/>
      <c r="I1691" s="432"/>
      <c r="J1691" s="432"/>
      <c r="K1691" s="328"/>
      <c r="L1691" s="396"/>
      <c r="M1691" s="396"/>
      <c r="N1691" s="396"/>
      <c r="O1691" s="396"/>
      <c r="P1691" s="396"/>
      <c r="Q1691" s="328"/>
      <c r="R1691" s="328"/>
      <c r="S1691" s="328"/>
      <c r="T1691" s="328"/>
      <c r="U1691" s="328"/>
      <c r="V1691" s="328"/>
    </row>
    <row r="1692" customFormat="false" ht="15" hidden="false" customHeight="true" outlineLevel="1" collapsed="false">
      <c r="A1692" s="429"/>
      <c r="B1692" s="429"/>
      <c r="C1692" s="429"/>
      <c r="D1692" s="430"/>
      <c r="E1692" s="431"/>
      <c r="F1692" s="431"/>
      <c r="G1692" s="429"/>
      <c r="H1692" s="432"/>
      <c r="I1692" s="432"/>
      <c r="J1692" s="432"/>
      <c r="K1692" s="328"/>
      <c r="L1692" s="396"/>
      <c r="M1692" s="396"/>
      <c r="N1692" s="396"/>
      <c r="O1692" s="396"/>
      <c r="P1692" s="396"/>
      <c r="Q1692" s="328"/>
      <c r="R1692" s="328"/>
      <c r="S1692" s="328"/>
      <c r="T1692" s="328"/>
      <c r="U1692" s="328"/>
      <c r="V1692" s="328"/>
    </row>
    <row r="1693" customFormat="false" ht="15" hidden="false" customHeight="true" outlineLevel="1" collapsed="false">
      <c r="A1693" s="429"/>
      <c r="B1693" s="429"/>
      <c r="C1693" s="429"/>
      <c r="D1693" s="430"/>
      <c r="E1693" s="431"/>
      <c r="F1693" s="431"/>
      <c r="G1693" s="429"/>
      <c r="H1693" s="432"/>
      <c r="I1693" s="432"/>
      <c r="J1693" s="432"/>
      <c r="K1693" s="328"/>
      <c r="L1693" s="396"/>
      <c r="M1693" s="396"/>
      <c r="N1693" s="396"/>
      <c r="O1693" s="396"/>
      <c r="P1693" s="396"/>
      <c r="Q1693" s="328"/>
      <c r="R1693" s="328"/>
      <c r="S1693" s="328"/>
      <c r="T1693" s="328"/>
      <c r="U1693" s="328"/>
      <c r="V1693" s="328"/>
    </row>
    <row r="1694" customFormat="false" ht="15" hidden="false" customHeight="true" outlineLevel="1" collapsed="false">
      <c r="A1694" s="429"/>
      <c r="B1694" s="429"/>
      <c r="C1694" s="429"/>
      <c r="D1694" s="430"/>
      <c r="E1694" s="431"/>
      <c r="F1694" s="431"/>
      <c r="G1694" s="429"/>
      <c r="H1694" s="432"/>
      <c r="I1694" s="432"/>
      <c r="J1694" s="432"/>
      <c r="K1694" s="328"/>
      <c r="L1694" s="396"/>
      <c r="M1694" s="396"/>
      <c r="N1694" s="396"/>
      <c r="O1694" s="396"/>
      <c r="P1694" s="396"/>
      <c r="Q1694" s="328"/>
      <c r="R1694" s="328"/>
      <c r="S1694" s="328"/>
      <c r="T1694" s="328"/>
      <c r="U1694" s="328"/>
      <c r="V1694" s="328"/>
    </row>
    <row r="1695" customFormat="false" ht="15" hidden="false" customHeight="true" outlineLevel="1" collapsed="false">
      <c r="A1695" s="429"/>
      <c r="B1695" s="429"/>
      <c r="C1695" s="429"/>
      <c r="D1695" s="430"/>
      <c r="E1695" s="431"/>
      <c r="F1695" s="431"/>
      <c r="G1695" s="429"/>
      <c r="H1695" s="432"/>
      <c r="I1695" s="432"/>
      <c r="J1695" s="432"/>
      <c r="K1695" s="328"/>
      <c r="L1695" s="396"/>
      <c r="M1695" s="396"/>
      <c r="N1695" s="396"/>
      <c r="O1695" s="396"/>
      <c r="P1695" s="396"/>
      <c r="Q1695" s="328"/>
      <c r="R1695" s="328"/>
      <c r="S1695" s="328"/>
      <c r="T1695" s="328"/>
      <c r="U1695" s="328"/>
      <c r="V1695" s="328"/>
    </row>
    <row r="1696" customFormat="false" ht="15" hidden="false" customHeight="true" outlineLevel="1" collapsed="false">
      <c r="A1696" s="429"/>
      <c r="B1696" s="429"/>
      <c r="C1696" s="429"/>
      <c r="D1696" s="430"/>
      <c r="E1696" s="431"/>
      <c r="F1696" s="431"/>
      <c r="G1696" s="429"/>
      <c r="H1696" s="432"/>
      <c r="I1696" s="432"/>
      <c r="J1696" s="432"/>
      <c r="K1696" s="328"/>
      <c r="L1696" s="396"/>
      <c r="M1696" s="396"/>
      <c r="N1696" s="396"/>
      <c r="O1696" s="396"/>
      <c r="P1696" s="396"/>
      <c r="Q1696" s="328"/>
      <c r="R1696" s="328"/>
      <c r="S1696" s="328"/>
      <c r="T1696" s="328"/>
      <c r="U1696" s="328"/>
      <c r="V1696" s="328"/>
    </row>
    <row r="1697" customFormat="false" ht="15" hidden="false" customHeight="true" outlineLevel="1" collapsed="false">
      <c r="A1697" s="429"/>
      <c r="B1697" s="429"/>
      <c r="C1697" s="429"/>
      <c r="D1697" s="430"/>
      <c r="E1697" s="431"/>
      <c r="F1697" s="431"/>
      <c r="G1697" s="429"/>
      <c r="H1697" s="432"/>
      <c r="I1697" s="432"/>
      <c r="J1697" s="432"/>
      <c r="K1697" s="328"/>
      <c r="L1697" s="396"/>
      <c r="M1697" s="396"/>
      <c r="N1697" s="396"/>
      <c r="O1697" s="396"/>
      <c r="P1697" s="396"/>
      <c r="Q1697" s="328"/>
      <c r="R1697" s="328"/>
      <c r="S1697" s="328"/>
      <c r="T1697" s="328"/>
      <c r="U1697" s="328"/>
      <c r="V1697" s="328"/>
    </row>
    <row r="1698" customFormat="false" ht="15" hidden="false" customHeight="true" outlineLevel="1" collapsed="false">
      <c r="A1698" s="429"/>
      <c r="B1698" s="429"/>
      <c r="C1698" s="429"/>
      <c r="D1698" s="430"/>
      <c r="E1698" s="431"/>
      <c r="F1698" s="431"/>
      <c r="G1698" s="429"/>
      <c r="H1698" s="432"/>
      <c r="I1698" s="432"/>
      <c r="J1698" s="432"/>
      <c r="K1698" s="328"/>
      <c r="L1698" s="396"/>
      <c r="M1698" s="396"/>
      <c r="N1698" s="396"/>
      <c r="O1698" s="396"/>
      <c r="P1698" s="396"/>
      <c r="Q1698" s="328"/>
      <c r="R1698" s="328"/>
      <c r="S1698" s="328"/>
      <c r="T1698" s="328"/>
      <c r="U1698" s="328"/>
      <c r="V1698" s="328"/>
    </row>
    <row r="1699" customFormat="false" ht="15" hidden="false" customHeight="true" outlineLevel="1" collapsed="false">
      <c r="A1699" s="429"/>
      <c r="B1699" s="429"/>
      <c r="C1699" s="429"/>
      <c r="D1699" s="430"/>
      <c r="E1699" s="431"/>
      <c r="F1699" s="431"/>
      <c r="G1699" s="429"/>
      <c r="H1699" s="432"/>
      <c r="I1699" s="432"/>
      <c r="J1699" s="432"/>
      <c r="K1699" s="328"/>
      <c r="L1699" s="396"/>
      <c r="M1699" s="396"/>
      <c r="N1699" s="396"/>
      <c r="O1699" s="396"/>
      <c r="P1699" s="396"/>
      <c r="Q1699" s="328"/>
      <c r="R1699" s="328"/>
      <c r="S1699" s="328"/>
      <c r="T1699" s="328"/>
      <c r="U1699" s="328"/>
      <c r="V1699" s="328"/>
    </row>
    <row r="1700" customFormat="false" ht="15" hidden="false" customHeight="true" outlineLevel="1" collapsed="false">
      <c r="A1700" s="429"/>
      <c r="B1700" s="429"/>
      <c r="C1700" s="429"/>
      <c r="D1700" s="430"/>
      <c r="E1700" s="431"/>
      <c r="F1700" s="431"/>
      <c r="G1700" s="429"/>
      <c r="H1700" s="432"/>
      <c r="I1700" s="432"/>
      <c r="J1700" s="432"/>
      <c r="K1700" s="328"/>
      <c r="L1700" s="396"/>
      <c r="M1700" s="396"/>
      <c r="N1700" s="396"/>
      <c r="O1700" s="396"/>
      <c r="P1700" s="396"/>
      <c r="Q1700" s="328"/>
      <c r="R1700" s="328"/>
      <c r="S1700" s="328"/>
      <c r="T1700" s="328"/>
      <c r="U1700" s="328"/>
      <c r="V1700" s="328"/>
    </row>
    <row r="1701" customFormat="false" ht="15" hidden="false" customHeight="true" outlineLevel="1" collapsed="false">
      <c r="A1701" s="429"/>
      <c r="B1701" s="429"/>
      <c r="C1701" s="429"/>
      <c r="D1701" s="430"/>
      <c r="E1701" s="431"/>
      <c r="F1701" s="431"/>
      <c r="G1701" s="429"/>
      <c r="H1701" s="432"/>
      <c r="I1701" s="432"/>
      <c r="J1701" s="432"/>
      <c r="K1701" s="328"/>
      <c r="L1701" s="396"/>
      <c r="M1701" s="396"/>
      <c r="N1701" s="396"/>
      <c r="O1701" s="396"/>
      <c r="P1701" s="396"/>
      <c r="Q1701" s="328"/>
      <c r="R1701" s="328"/>
      <c r="S1701" s="328"/>
      <c r="T1701" s="328"/>
      <c r="U1701" s="328"/>
      <c r="V1701" s="328"/>
    </row>
    <row r="1702" customFormat="false" ht="15" hidden="false" customHeight="true" outlineLevel="1" collapsed="false">
      <c r="A1702" s="429"/>
      <c r="B1702" s="429"/>
      <c r="C1702" s="429"/>
      <c r="D1702" s="430"/>
      <c r="E1702" s="431"/>
      <c r="F1702" s="431"/>
      <c r="G1702" s="429"/>
      <c r="H1702" s="432"/>
      <c r="I1702" s="432"/>
      <c r="J1702" s="432"/>
      <c r="K1702" s="328"/>
      <c r="L1702" s="396"/>
      <c r="M1702" s="396"/>
      <c r="N1702" s="396"/>
      <c r="O1702" s="396"/>
      <c r="P1702" s="396"/>
      <c r="Q1702" s="328"/>
      <c r="R1702" s="328"/>
      <c r="S1702" s="328"/>
      <c r="T1702" s="328"/>
      <c r="U1702" s="328"/>
      <c r="V1702" s="328"/>
    </row>
    <row r="1703" customFormat="false" ht="15" hidden="false" customHeight="true" outlineLevel="1" collapsed="false">
      <c r="A1703" s="429"/>
      <c r="B1703" s="429"/>
      <c r="C1703" s="429"/>
      <c r="D1703" s="430"/>
      <c r="E1703" s="431"/>
      <c r="F1703" s="431"/>
      <c r="G1703" s="429"/>
      <c r="H1703" s="432"/>
      <c r="I1703" s="432"/>
      <c r="J1703" s="432"/>
      <c r="K1703" s="328"/>
      <c r="L1703" s="396"/>
      <c r="M1703" s="396"/>
      <c r="N1703" s="396"/>
      <c r="O1703" s="396"/>
      <c r="P1703" s="396"/>
      <c r="Q1703" s="328"/>
      <c r="R1703" s="328"/>
      <c r="S1703" s="328"/>
      <c r="T1703" s="328"/>
      <c r="U1703" s="328"/>
      <c r="V1703" s="328"/>
    </row>
    <row r="1704" customFormat="false" ht="15" hidden="false" customHeight="true" outlineLevel="1" collapsed="false">
      <c r="A1704" s="429"/>
      <c r="B1704" s="429"/>
      <c r="C1704" s="429"/>
      <c r="D1704" s="430"/>
      <c r="E1704" s="431"/>
      <c r="F1704" s="431"/>
      <c r="G1704" s="429"/>
      <c r="H1704" s="432"/>
      <c r="I1704" s="432"/>
      <c r="J1704" s="432"/>
      <c r="K1704" s="328"/>
      <c r="L1704" s="396"/>
      <c r="M1704" s="396"/>
      <c r="N1704" s="396"/>
      <c r="O1704" s="396"/>
      <c r="P1704" s="396"/>
      <c r="Q1704" s="328"/>
      <c r="R1704" s="328"/>
      <c r="S1704" s="328"/>
      <c r="T1704" s="328"/>
      <c r="U1704" s="328"/>
      <c r="V1704" s="328"/>
    </row>
    <row r="1705" customFormat="false" ht="15" hidden="false" customHeight="true" outlineLevel="1" collapsed="false">
      <c r="A1705" s="429"/>
      <c r="B1705" s="429"/>
      <c r="C1705" s="429"/>
      <c r="D1705" s="430"/>
      <c r="E1705" s="431"/>
      <c r="F1705" s="431"/>
      <c r="G1705" s="429"/>
      <c r="H1705" s="432"/>
      <c r="I1705" s="432"/>
      <c r="J1705" s="432"/>
      <c r="K1705" s="328"/>
      <c r="L1705" s="396"/>
      <c r="M1705" s="396"/>
      <c r="N1705" s="396"/>
      <c r="O1705" s="396"/>
      <c r="P1705" s="396"/>
      <c r="Q1705" s="328"/>
      <c r="R1705" s="328"/>
      <c r="S1705" s="328"/>
      <c r="T1705" s="328"/>
      <c r="U1705" s="328"/>
      <c r="V1705" s="328"/>
    </row>
    <row r="1706" customFormat="false" ht="15" hidden="false" customHeight="true" outlineLevel="1" collapsed="false">
      <c r="A1706" s="429"/>
      <c r="B1706" s="429"/>
      <c r="C1706" s="429"/>
      <c r="D1706" s="430"/>
      <c r="E1706" s="431"/>
      <c r="F1706" s="431"/>
      <c r="G1706" s="429"/>
      <c r="H1706" s="432"/>
      <c r="I1706" s="432"/>
      <c r="J1706" s="432"/>
      <c r="K1706" s="328"/>
      <c r="L1706" s="396"/>
      <c r="M1706" s="396"/>
      <c r="N1706" s="396"/>
      <c r="O1706" s="396"/>
      <c r="P1706" s="396"/>
      <c r="Q1706" s="328"/>
      <c r="R1706" s="328"/>
      <c r="S1706" s="328"/>
      <c r="T1706" s="328"/>
      <c r="U1706" s="328"/>
      <c r="V1706" s="328"/>
    </row>
    <row r="1707" customFormat="false" ht="15" hidden="false" customHeight="true" outlineLevel="1" collapsed="false">
      <c r="A1707" s="429"/>
      <c r="B1707" s="429"/>
      <c r="C1707" s="429"/>
      <c r="D1707" s="430"/>
      <c r="E1707" s="431"/>
      <c r="F1707" s="431"/>
      <c r="G1707" s="429"/>
      <c r="H1707" s="432"/>
      <c r="I1707" s="432"/>
      <c r="J1707" s="432"/>
      <c r="K1707" s="328"/>
      <c r="L1707" s="396"/>
      <c r="M1707" s="396"/>
      <c r="N1707" s="396"/>
      <c r="O1707" s="396"/>
      <c r="P1707" s="396"/>
      <c r="Q1707" s="328"/>
      <c r="R1707" s="328"/>
      <c r="S1707" s="328"/>
      <c r="T1707" s="328"/>
      <c r="U1707" s="328"/>
      <c r="V1707" s="328"/>
    </row>
    <row r="1708" customFormat="false" ht="15" hidden="false" customHeight="true" outlineLevel="1" collapsed="false">
      <c r="A1708" s="429"/>
      <c r="B1708" s="429"/>
      <c r="C1708" s="429"/>
      <c r="D1708" s="430"/>
      <c r="E1708" s="431"/>
      <c r="F1708" s="431"/>
      <c r="G1708" s="429"/>
      <c r="H1708" s="432"/>
      <c r="I1708" s="432"/>
      <c r="J1708" s="432"/>
      <c r="K1708" s="328"/>
      <c r="L1708" s="396"/>
      <c r="M1708" s="396"/>
      <c r="N1708" s="396"/>
      <c r="O1708" s="396"/>
      <c r="P1708" s="396"/>
      <c r="Q1708" s="328"/>
      <c r="R1708" s="328"/>
      <c r="S1708" s="328"/>
      <c r="T1708" s="328"/>
      <c r="U1708" s="328"/>
      <c r="V1708" s="328"/>
    </row>
    <row r="1709" customFormat="false" ht="15" hidden="false" customHeight="true" outlineLevel="1" collapsed="false">
      <c r="A1709" s="429"/>
      <c r="B1709" s="429"/>
      <c r="C1709" s="429"/>
      <c r="D1709" s="430"/>
      <c r="E1709" s="431"/>
      <c r="F1709" s="431"/>
      <c r="G1709" s="429"/>
      <c r="H1709" s="432"/>
      <c r="I1709" s="432"/>
      <c r="J1709" s="432"/>
      <c r="K1709" s="328"/>
      <c r="L1709" s="396"/>
      <c r="M1709" s="396"/>
      <c r="N1709" s="396"/>
      <c r="O1709" s="396"/>
      <c r="P1709" s="396"/>
      <c r="Q1709" s="328"/>
      <c r="R1709" s="328"/>
      <c r="S1709" s="328"/>
      <c r="T1709" s="328"/>
      <c r="U1709" s="328"/>
      <c r="V1709" s="328"/>
    </row>
    <row r="1710" customFormat="false" ht="15" hidden="false" customHeight="true" outlineLevel="1" collapsed="false">
      <c r="A1710" s="429"/>
      <c r="B1710" s="429"/>
      <c r="C1710" s="429"/>
      <c r="D1710" s="430"/>
      <c r="E1710" s="431"/>
      <c r="F1710" s="431"/>
      <c r="G1710" s="429"/>
      <c r="H1710" s="432"/>
      <c r="I1710" s="432"/>
      <c r="J1710" s="432"/>
      <c r="K1710" s="328"/>
      <c r="L1710" s="396"/>
      <c r="M1710" s="396"/>
      <c r="N1710" s="396"/>
      <c r="O1710" s="396"/>
      <c r="P1710" s="396"/>
      <c r="Q1710" s="328"/>
      <c r="R1710" s="328"/>
      <c r="S1710" s="328"/>
      <c r="T1710" s="328"/>
      <c r="U1710" s="328"/>
      <c r="V1710" s="328"/>
    </row>
    <row r="1711" customFormat="false" ht="15" hidden="false" customHeight="true" outlineLevel="1" collapsed="false">
      <c r="A1711" s="429"/>
      <c r="B1711" s="429"/>
      <c r="C1711" s="429"/>
      <c r="D1711" s="430"/>
      <c r="E1711" s="431"/>
      <c r="F1711" s="431"/>
      <c r="G1711" s="429"/>
      <c r="H1711" s="432"/>
      <c r="I1711" s="432"/>
      <c r="J1711" s="432"/>
      <c r="K1711" s="328"/>
      <c r="L1711" s="396"/>
      <c r="M1711" s="396"/>
      <c r="N1711" s="396"/>
      <c r="O1711" s="396"/>
      <c r="P1711" s="396"/>
      <c r="Q1711" s="328"/>
      <c r="R1711" s="328"/>
      <c r="S1711" s="328"/>
      <c r="T1711" s="328"/>
      <c r="U1711" s="328"/>
      <c r="V1711" s="328"/>
    </row>
    <row r="1712" customFormat="false" ht="15" hidden="false" customHeight="true" outlineLevel="1" collapsed="false">
      <c r="A1712" s="429"/>
      <c r="B1712" s="429"/>
      <c r="C1712" s="429"/>
      <c r="D1712" s="430"/>
      <c r="E1712" s="431"/>
      <c r="F1712" s="431"/>
      <c r="G1712" s="429"/>
      <c r="H1712" s="432"/>
      <c r="I1712" s="432"/>
      <c r="J1712" s="432"/>
      <c r="K1712" s="328"/>
      <c r="L1712" s="396"/>
      <c r="M1712" s="396"/>
      <c r="N1712" s="396"/>
      <c r="O1712" s="396"/>
      <c r="P1712" s="396"/>
      <c r="Q1712" s="328"/>
      <c r="R1712" s="328"/>
      <c r="S1712" s="328"/>
      <c r="T1712" s="328"/>
      <c r="U1712" s="328"/>
      <c r="V1712" s="328"/>
    </row>
    <row r="1713" customFormat="false" ht="15" hidden="false" customHeight="true" outlineLevel="1" collapsed="false">
      <c r="A1713" s="429"/>
      <c r="B1713" s="429"/>
      <c r="C1713" s="429"/>
      <c r="D1713" s="430"/>
      <c r="E1713" s="431"/>
      <c r="F1713" s="431"/>
      <c r="G1713" s="429"/>
      <c r="H1713" s="432"/>
      <c r="I1713" s="432"/>
      <c r="J1713" s="432"/>
      <c r="K1713" s="328"/>
      <c r="L1713" s="396"/>
      <c r="M1713" s="396"/>
      <c r="N1713" s="396"/>
      <c r="O1713" s="396"/>
      <c r="P1713" s="396"/>
      <c r="Q1713" s="328"/>
      <c r="R1713" s="328"/>
      <c r="S1713" s="328"/>
      <c r="T1713" s="328"/>
      <c r="U1713" s="328"/>
      <c r="V1713" s="328"/>
    </row>
    <row r="1714" customFormat="false" ht="15" hidden="false" customHeight="true" outlineLevel="1" collapsed="false">
      <c r="A1714" s="429"/>
      <c r="B1714" s="429"/>
      <c r="C1714" s="429"/>
      <c r="D1714" s="430"/>
      <c r="E1714" s="431"/>
      <c r="F1714" s="431"/>
      <c r="G1714" s="429"/>
      <c r="H1714" s="432"/>
      <c r="I1714" s="432"/>
      <c r="J1714" s="432"/>
      <c r="K1714" s="328"/>
      <c r="L1714" s="396"/>
      <c r="M1714" s="396"/>
      <c r="N1714" s="396"/>
      <c r="O1714" s="396"/>
      <c r="P1714" s="396"/>
      <c r="Q1714" s="328"/>
      <c r="R1714" s="328"/>
      <c r="S1714" s="328"/>
      <c r="T1714" s="328"/>
      <c r="U1714" s="328"/>
      <c r="V1714" s="328"/>
    </row>
    <row r="1715" customFormat="false" ht="15" hidden="false" customHeight="true" outlineLevel="1" collapsed="false">
      <c r="A1715" s="429"/>
      <c r="B1715" s="429"/>
      <c r="C1715" s="429"/>
      <c r="D1715" s="430"/>
      <c r="E1715" s="431"/>
      <c r="F1715" s="431"/>
      <c r="G1715" s="429"/>
      <c r="H1715" s="432"/>
      <c r="I1715" s="432"/>
      <c r="J1715" s="432"/>
      <c r="K1715" s="328"/>
      <c r="L1715" s="396"/>
      <c r="M1715" s="396"/>
      <c r="N1715" s="396"/>
      <c r="O1715" s="396"/>
      <c r="P1715" s="396"/>
      <c r="Q1715" s="328"/>
      <c r="R1715" s="328"/>
      <c r="S1715" s="328"/>
      <c r="T1715" s="328"/>
      <c r="U1715" s="328"/>
      <c r="V1715" s="328"/>
    </row>
    <row r="1716" customFormat="false" ht="15" hidden="false" customHeight="true" outlineLevel="1" collapsed="false">
      <c r="A1716" s="429"/>
      <c r="B1716" s="429"/>
      <c r="C1716" s="429"/>
      <c r="D1716" s="430"/>
      <c r="E1716" s="431"/>
      <c r="F1716" s="431"/>
      <c r="G1716" s="429"/>
      <c r="H1716" s="432"/>
      <c r="I1716" s="432"/>
      <c r="J1716" s="432"/>
      <c r="K1716" s="328"/>
      <c r="L1716" s="396"/>
      <c r="M1716" s="396"/>
      <c r="N1716" s="396"/>
      <c r="O1716" s="396"/>
      <c r="P1716" s="396"/>
      <c r="Q1716" s="328"/>
      <c r="R1716" s="328"/>
      <c r="S1716" s="328"/>
      <c r="T1716" s="328"/>
      <c r="U1716" s="328"/>
      <c r="V1716" s="328"/>
    </row>
    <row r="1717" customFormat="false" ht="15" hidden="false" customHeight="true" outlineLevel="1" collapsed="false">
      <c r="A1717" s="429"/>
      <c r="B1717" s="429"/>
      <c r="C1717" s="429"/>
      <c r="D1717" s="430"/>
      <c r="E1717" s="431"/>
      <c r="F1717" s="431"/>
      <c r="G1717" s="429"/>
      <c r="H1717" s="432"/>
      <c r="I1717" s="432"/>
      <c r="J1717" s="432"/>
      <c r="K1717" s="328"/>
      <c r="L1717" s="396"/>
      <c r="M1717" s="396"/>
      <c r="N1717" s="396"/>
      <c r="O1717" s="396"/>
      <c r="P1717" s="396"/>
      <c r="Q1717" s="328"/>
      <c r="R1717" s="328"/>
      <c r="S1717" s="328"/>
      <c r="T1717" s="328"/>
      <c r="U1717" s="328"/>
      <c r="V1717" s="328"/>
    </row>
    <row r="1718" customFormat="false" ht="15" hidden="false" customHeight="true" outlineLevel="1" collapsed="false">
      <c r="A1718" s="429"/>
      <c r="B1718" s="429"/>
      <c r="C1718" s="429"/>
      <c r="D1718" s="430"/>
      <c r="E1718" s="431"/>
      <c r="F1718" s="431"/>
      <c r="G1718" s="429"/>
      <c r="H1718" s="432"/>
      <c r="I1718" s="432"/>
      <c r="J1718" s="432"/>
      <c r="K1718" s="328"/>
      <c r="L1718" s="396"/>
      <c r="M1718" s="396"/>
      <c r="N1718" s="396"/>
      <c r="O1718" s="396"/>
      <c r="P1718" s="396"/>
      <c r="Q1718" s="328"/>
      <c r="R1718" s="328"/>
      <c r="S1718" s="328"/>
      <c r="T1718" s="328"/>
      <c r="U1718" s="328"/>
      <c r="V1718" s="328"/>
    </row>
    <row r="1719" customFormat="false" ht="15" hidden="false" customHeight="true" outlineLevel="1" collapsed="false">
      <c r="A1719" s="429"/>
      <c r="B1719" s="429"/>
      <c r="C1719" s="429"/>
      <c r="D1719" s="430"/>
      <c r="E1719" s="431"/>
      <c r="F1719" s="431"/>
      <c r="G1719" s="429"/>
      <c r="H1719" s="432"/>
      <c r="I1719" s="432"/>
      <c r="J1719" s="432"/>
      <c r="K1719" s="328"/>
      <c r="L1719" s="396"/>
      <c r="M1719" s="396"/>
      <c r="N1719" s="396"/>
      <c r="O1719" s="396"/>
      <c r="P1719" s="396"/>
      <c r="Q1719" s="328"/>
      <c r="R1719" s="328"/>
      <c r="S1719" s="328"/>
      <c r="T1719" s="328"/>
      <c r="U1719" s="328"/>
      <c r="V1719" s="328"/>
    </row>
    <row r="1720" customFormat="false" ht="15" hidden="false" customHeight="true" outlineLevel="1" collapsed="false">
      <c r="A1720" s="429"/>
      <c r="B1720" s="429"/>
      <c r="C1720" s="429"/>
      <c r="D1720" s="430"/>
      <c r="E1720" s="431"/>
      <c r="F1720" s="431"/>
      <c r="G1720" s="429"/>
      <c r="H1720" s="432"/>
      <c r="I1720" s="432"/>
      <c r="J1720" s="432"/>
      <c r="K1720" s="328"/>
      <c r="L1720" s="396"/>
      <c r="M1720" s="396"/>
      <c r="N1720" s="396"/>
      <c r="O1720" s="396"/>
      <c r="P1720" s="396"/>
      <c r="Q1720" s="328"/>
      <c r="R1720" s="328"/>
      <c r="S1720" s="328"/>
      <c r="T1720" s="328"/>
      <c r="U1720" s="328"/>
      <c r="V1720" s="328"/>
    </row>
    <row r="1721" customFormat="false" ht="15" hidden="false" customHeight="true" outlineLevel="1" collapsed="false">
      <c r="A1721" s="429"/>
      <c r="B1721" s="429"/>
      <c r="C1721" s="429"/>
      <c r="D1721" s="430"/>
      <c r="E1721" s="431"/>
      <c r="F1721" s="431"/>
      <c r="G1721" s="429"/>
      <c r="H1721" s="432"/>
      <c r="I1721" s="432"/>
      <c r="J1721" s="432"/>
      <c r="K1721" s="328"/>
      <c r="L1721" s="396"/>
      <c r="M1721" s="396"/>
      <c r="N1721" s="396"/>
      <c r="O1721" s="396"/>
      <c r="P1721" s="396"/>
      <c r="Q1721" s="328"/>
      <c r="R1721" s="328"/>
      <c r="S1721" s="328"/>
      <c r="T1721" s="328"/>
      <c r="U1721" s="328"/>
      <c r="V1721" s="328"/>
    </row>
    <row r="1722" customFormat="false" ht="15" hidden="false" customHeight="true" outlineLevel="1" collapsed="false">
      <c r="A1722" s="429"/>
      <c r="B1722" s="429"/>
      <c r="C1722" s="429"/>
      <c r="D1722" s="430"/>
      <c r="E1722" s="431"/>
      <c r="F1722" s="431"/>
      <c r="G1722" s="429"/>
      <c r="H1722" s="432"/>
      <c r="I1722" s="432"/>
      <c r="J1722" s="432"/>
      <c r="K1722" s="328"/>
      <c r="L1722" s="396"/>
      <c r="M1722" s="396"/>
      <c r="N1722" s="396"/>
      <c r="O1722" s="396"/>
      <c r="P1722" s="396"/>
      <c r="Q1722" s="328"/>
      <c r="R1722" s="328"/>
      <c r="S1722" s="328"/>
      <c r="T1722" s="328"/>
      <c r="U1722" s="328"/>
      <c r="V1722" s="328"/>
    </row>
    <row r="1723" customFormat="false" ht="15" hidden="false" customHeight="true" outlineLevel="1" collapsed="false">
      <c r="A1723" s="429"/>
      <c r="B1723" s="429"/>
      <c r="C1723" s="429"/>
      <c r="D1723" s="430"/>
      <c r="E1723" s="431"/>
      <c r="F1723" s="431"/>
      <c r="G1723" s="429"/>
      <c r="H1723" s="432"/>
      <c r="I1723" s="432"/>
      <c r="J1723" s="432"/>
      <c r="K1723" s="328"/>
      <c r="L1723" s="396"/>
      <c r="M1723" s="396"/>
      <c r="N1723" s="396"/>
      <c r="O1723" s="396"/>
      <c r="P1723" s="396"/>
      <c r="Q1723" s="328"/>
      <c r="R1723" s="328"/>
      <c r="S1723" s="328"/>
      <c r="T1723" s="328"/>
      <c r="U1723" s="328"/>
      <c r="V1723" s="328"/>
    </row>
    <row r="1724" customFormat="false" ht="15" hidden="false" customHeight="true" outlineLevel="1" collapsed="false">
      <c r="A1724" s="429"/>
      <c r="B1724" s="429"/>
      <c r="C1724" s="429"/>
      <c r="D1724" s="430"/>
      <c r="E1724" s="431"/>
      <c r="F1724" s="431"/>
      <c r="G1724" s="429"/>
      <c r="H1724" s="432"/>
      <c r="I1724" s="432"/>
      <c r="J1724" s="432"/>
      <c r="K1724" s="328"/>
      <c r="L1724" s="396"/>
      <c r="M1724" s="396"/>
      <c r="N1724" s="396"/>
      <c r="O1724" s="396"/>
      <c r="P1724" s="396"/>
      <c r="Q1724" s="328"/>
      <c r="R1724" s="328"/>
      <c r="S1724" s="328"/>
      <c r="T1724" s="328"/>
      <c r="U1724" s="328"/>
      <c r="V1724" s="328"/>
    </row>
    <row r="1725" customFormat="false" ht="15" hidden="false" customHeight="true" outlineLevel="1" collapsed="false">
      <c r="A1725" s="429"/>
      <c r="B1725" s="429"/>
      <c r="C1725" s="429"/>
      <c r="D1725" s="430"/>
      <c r="E1725" s="431"/>
      <c r="F1725" s="431"/>
      <c r="G1725" s="429"/>
      <c r="H1725" s="432"/>
      <c r="I1725" s="432"/>
      <c r="J1725" s="432"/>
      <c r="K1725" s="328"/>
      <c r="L1725" s="396"/>
      <c r="M1725" s="396"/>
      <c r="N1725" s="396"/>
      <c r="O1725" s="396"/>
      <c r="P1725" s="396"/>
      <c r="Q1725" s="328"/>
      <c r="R1725" s="328"/>
      <c r="S1725" s="328"/>
      <c r="T1725" s="328"/>
      <c r="U1725" s="328"/>
      <c r="V1725" s="328"/>
    </row>
    <row r="1726" customFormat="false" ht="15" hidden="false" customHeight="true" outlineLevel="1" collapsed="false">
      <c r="A1726" s="429"/>
      <c r="B1726" s="429"/>
      <c r="C1726" s="429"/>
      <c r="D1726" s="430"/>
      <c r="E1726" s="431"/>
      <c r="F1726" s="431"/>
      <c r="G1726" s="429"/>
      <c r="H1726" s="432"/>
      <c r="I1726" s="432"/>
      <c r="J1726" s="432"/>
      <c r="K1726" s="328"/>
      <c r="L1726" s="396"/>
      <c r="M1726" s="396"/>
      <c r="N1726" s="396"/>
      <c r="O1726" s="396"/>
      <c r="P1726" s="396"/>
      <c r="Q1726" s="328"/>
      <c r="R1726" s="328"/>
      <c r="S1726" s="328"/>
      <c r="T1726" s="328"/>
      <c r="U1726" s="328"/>
      <c r="V1726" s="328"/>
    </row>
    <row r="1727" customFormat="false" ht="15" hidden="false" customHeight="true" outlineLevel="1" collapsed="false">
      <c r="A1727" s="429"/>
      <c r="B1727" s="429"/>
      <c r="C1727" s="429"/>
      <c r="D1727" s="430"/>
      <c r="E1727" s="431"/>
      <c r="F1727" s="431"/>
      <c r="G1727" s="429"/>
      <c r="H1727" s="432"/>
      <c r="I1727" s="432"/>
      <c r="J1727" s="432"/>
      <c r="K1727" s="328"/>
      <c r="L1727" s="396"/>
      <c r="M1727" s="396"/>
      <c r="N1727" s="396"/>
      <c r="O1727" s="396"/>
      <c r="P1727" s="396"/>
      <c r="Q1727" s="328"/>
      <c r="R1727" s="328"/>
      <c r="S1727" s="328"/>
      <c r="T1727" s="328"/>
      <c r="U1727" s="328"/>
      <c r="V1727" s="328"/>
    </row>
    <row r="1728" customFormat="false" ht="15" hidden="false" customHeight="true" outlineLevel="1" collapsed="false">
      <c r="A1728" s="429"/>
      <c r="B1728" s="429"/>
      <c r="C1728" s="429"/>
      <c r="D1728" s="430"/>
      <c r="E1728" s="431"/>
      <c r="F1728" s="431"/>
      <c r="G1728" s="429"/>
      <c r="H1728" s="432"/>
      <c r="I1728" s="432"/>
      <c r="J1728" s="432"/>
      <c r="K1728" s="328"/>
      <c r="L1728" s="396"/>
      <c r="M1728" s="396"/>
      <c r="N1728" s="396"/>
      <c r="O1728" s="396"/>
      <c r="P1728" s="396"/>
      <c r="Q1728" s="328"/>
      <c r="R1728" s="328"/>
      <c r="S1728" s="328"/>
      <c r="T1728" s="328"/>
      <c r="U1728" s="328"/>
      <c r="V1728" s="328"/>
    </row>
    <row r="1729" customFormat="false" ht="15" hidden="false" customHeight="true" outlineLevel="1" collapsed="false">
      <c r="A1729" s="429"/>
      <c r="B1729" s="429"/>
      <c r="C1729" s="429"/>
      <c r="D1729" s="430"/>
      <c r="E1729" s="431"/>
      <c r="F1729" s="431"/>
      <c r="G1729" s="429"/>
      <c r="H1729" s="432"/>
      <c r="I1729" s="432"/>
      <c r="J1729" s="432"/>
      <c r="K1729" s="328"/>
      <c r="L1729" s="396"/>
      <c r="M1729" s="396"/>
      <c r="N1729" s="396"/>
      <c r="O1729" s="396"/>
      <c r="P1729" s="396"/>
      <c r="Q1729" s="328"/>
      <c r="R1729" s="328"/>
      <c r="S1729" s="328"/>
      <c r="T1729" s="328"/>
      <c r="U1729" s="328"/>
      <c r="V1729" s="328"/>
    </row>
    <row r="1730" customFormat="false" ht="15" hidden="false" customHeight="true" outlineLevel="1" collapsed="false">
      <c r="A1730" s="429"/>
      <c r="B1730" s="429"/>
      <c r="C1730" s="429"/>
      <c r="D1730" s="430"/>
      <c r="E1730" s="431"/>
      <c r="F1730" s="431"/>
      <c r="G1730" s="429"/>
      <c r="H1730" s="432"/>
      <c r="I1730" s="432"/>
      <c r="J1730" s="432"/>
      <c r="K1730" s="328"/>
      <c r="L1730" s="396"/>
      <c r="M1730" s="396"/>
      <c r="N1730" s="396"/>
      <c r="O1730" s="396"/>
      <c r="P1730" s="396"/>
      <c r="Q1730" s="328"/>
      <c r="R1730" s="328"/>
      <c r="S1730" s="328"/>
      <c r="T1730" s="328"/>
      <c r="U1730" s="328"/>
      <c r="V1730" s="328"/>
    </row>
    <row r="1731" customFormat="false" ht="15" hidden="false" customHeight="true" outlineLevel="1" collapsed="false">
      <c r="A1731" s="429"/>
      <c r="B1731" s="429"/>
      <c r="C1731" s="429"/>
      <c r="D1731" s="430"/>
      <c r="E1731" s="431"/>
      <c r="F1731" s="431"/>
      <c r="G1731" s="429"/>
      <c r="H1731" s="432"/>
      <c r="I1731" s="432"/>
      <c r="J1731" s="432"/>
      <c r="K1731" s="328"/>
      <c r="L1731" s="396"/>
      <c r="M1731" s="396"/>
      <c r="N1731" s="396"/>
      <c r="O1731" s="396"/>
      <c r="P1731" s="396"/>
      <c r="Q1731" s="328"/>
      <c r="R1731" s="328"/>
      <c r="S1731" s="328"/>
      <c r="T1731" s="328"/>
      <c r="U1731" s="328"/>
      <c r="V1731" s="328"/>
    </row>
    <row r="1732" customFormat="false" ht="15" hidden="false" customHeight="true" outlineLevel="1" collapsed="false">
      <c r="A1732" s="429"/>
      <c r="B1732" s="429"/>
      <c r="C1732" s="429"/>
      <c r="D1732" s="430"/>
      <c r="E1732" s="431"/>
      <c r="F1732" s="431"/>
      <c r="G1732" s="429"/>
      <c r="H1732" s="432"/>
      <c r="I1732" s="432"/>
      <c r="J1732" s="432"/>
      <c r="K1732" s="328"/>
      <c r="L1732" s="396"/>
      <c r="M1732" s="396"/>
      <c r="N1732" s="396"/>
      <c r="O1732" s="396"/>
      <c r="P1732" s="396"/>
      <c r="Q1732" s="328"/>
      <c r="R1732" s="328"/>
      <c r="S1732" s="328"/>
      <c r="T1732" s="328"/>
      <c r="U1732" s="328"/>
      <c r="V1732" s="328"/>
    </row>
    <row r="1733" customFormat="false" ht="15" hidden="false" customHeight="true" outlineLevel="1" collapsed="false">
      <c r="A1733" s="429"/>
      <c r="B1733" s="429"/>
      <c r="C1733" s="429"/>
      <c r="D1733" s="430"/>
      <c r="E1733" s="431"/>
      <c r="F1733" s="431"/>
      <c r="G1733" s="429"/>
      <c r="H1733" s="432"/>
      <c r="I1733" s="432"/>
      <c r="J1733" s="432"/>
      <c r="K1733" s="328"/>
      <c r="L1733" s="396"/>
      <c r="M1733" s="396"/>
      <c r="N1733" s="396"/>
      <c r="O1733" s="396"/>
      <c r="P1733" s="396"/>
      <c r="Q1733" s="328"/>
      <c r="R1733" s="328"/>
      <c r="S1733" s="328"/>
      <c r="T1733" s="328"/>
      <c r="U1733" s="328"/>
      <c r="V1733" s="328"/>
    </row>
    <row r="1734" customFormat="false" ht="15" hidden="false" customHeight="true" outlineLevel="1" collapsed="false">
      <c r="A1734" s="429"/>
      <c r="B1734" s="429"/>
      <c r="C1734" s="429"/>
      <c r="D1734" s="430"/>
      <c r="E1734" s="431"/>
      <c r="F1734" s="431"/>
      <c r="G1734" s="429"/>
      <c r="H1734" s="432"/>
      <c r="I1734" s="432"/>
      <c r="J1734" s="432"/>
      <c r="K1734" s="328"/>
      <c r="L1734" s="396"/>
      <c r="M1734" s="396"/>
      <c r="N1734" s="396"/>
      <c r="O1734" s="396"/>
      <c r="P1734" s="396"/>
      <c r="Q1734" s="328"/>
      <c r="R1734" s="328"/>
      <c r="S1734" s="328"/>
      <c r="T1734" s="328"/>
      <c r="U1734" s="328"/>
      <c r="V1734" s="328"/>
    </row>
    <row r="1735" customFormat="false" ht="15" hidden="false" customHeight="true" outlineLevel="1" collapsed="false">
      <c r="A1735" s="429"/>
      <c r="B1735" s="429"/>
      <c r="C1735" s="429"/>
      <c r="D1735" s="430"/>
      <c r="E1735" s="431"/>
      <c r="F1735" s="431"/>
      <c r="G1735" s="429"/>
      <c r="H1735" s="432"/>
      <c r="I1735" s="432"/>
      <c r="J1735" s="432"/>
      <c r="K1735" s="328"/>
      <c r="L1735" s="396"/>
      <c r="M1735" s="396"/>
      <c r="N1735" s="396"/>
      <c r="O1735" s="396"/>
      <c r="P1735" s="396"/>
      <c r="Q1735" s="328"/>
      <c r="R1735" s="328"/>
      <c r="S1735" s="328"/>
      <c r="T1735" s="328"/>
      <c r="U1735" s="328"/>
      <c r="V1735" s="328"/>
    </row>
    <row r="1736" customFormat="false" ht="15" hidden="false" customHeight="true" outlineLevel="1" collapsed="false">
      <c r="A1736" s="429"/>
      <c r="B1736" s="429"/>
      <c r="C1736" s="429"/>
      <c r="D1736" s="430"/>
      <c r="E1736" s="431"/>
      <c r="F1736" s="431"/>
      <c r="G1736" s="429"/>
      <c r="H1736" s="432"/>
      <c r="I1736" s="432"/>
      <c r="J1736" s="432"/>
      <c r="K1736" s="328"/>
      <c r="L1736" s="396"/>
      <c r="M1736" s="396"/>
      <c r="N1736" s="396"/>
      <c r="O1736" s="396"/>
      <c r="P1736" s="396"/>
      <c r="Q1736" s="328"/>
      <c r="R1736" s="328"/>
      <c r="S1736" s="328"/>
      <c r="T1736" s="328"/>
      <c r="U1736" s="328"/>
      <c r="V1736" s="328"/>
    </row>
    <row r="1737" customFormat="false" ht="15" hidden="false" customHeight="true" outlineLevel="1" collapsed="false">
      <c r="A1737" s="429"/>
      <c r="B1737" s="429"/>
      <c r="C1737" s="429"/>
      <c r="D1737" s="430"/>
      <c r="E1737" s="431"/>
      <c r="F1737" s="431"/>
      <c r="G1737" s="429"/>
      <c r="H1737" s="432"/>
      <c r="I1737" s="432"/>
      <c r="J1737" s="432"/>
      <c r="K1737" s="328"/>
      <c r="L1737" s="396"/>
      <c r="M1737" s="396"/>
      <c r="N1737" s="396"/>
      <c r="O1737" s="396"/>
      <c r="P1737" s="396"/>
      <c r="Q1737" s="328"/>
      <c r="R1737" s="328"/>
      <c r="S1737" s="328"/>
      <c r="T1737" s="328"/>
      <c r="U1737" s="328"/>
      <c r="V1737" s="328"/>
    </row>
    <row r="1738" customFormat="false" ht="15" hidden="false" customHeight="true" outlineLevel="1" collapsed="false">
      <c r="A1738" s="429"/>
      <c r="B1738" s="429"/>
      <c r="C1738" s="429"/>
      <c r="D1738" s="430"/>
      <c r="E1738" s="431"/>
      <c r="F1738" s="431"/>
      <c r="G1738" s="429"/>
      <c r="H1738" s="432"/>
      <c r="I1738" s="432"/>
      <c r="J1738" s="432"/>
      <c r="K1738" s="328"/>
      <c r="L1738" s="396"/>
      <c r="M1738" s="396"/>
      <c r="N1738" s="396"/>
      <c r="O1738" s="396"/>
      <c r="P1738" s="396"/>
      <c r="Q1738" s="328"/>
      <c r="R1738" s="328"/>
      <c r="S1738" s="328"/>
      <c r="T1738" s="328"/>
      <c r="U1738" s="328"/>
      <c r="V1738" s="328"/>
    </row>
    <row r="1739" customFormat="false" ht="15" hidden="false" customHeight="true" outlineLevel="1" collapsed="false">
      <c r="A1739" s="429"/>
      <c r="B1739" s="429"/>
      <c r="C1739" s="429"/>
      <c r="D1739" s="430"/>
      <c r="E1739" s="431"/>
      <c r="F1739" s="431"/>
      <c r="G1739" s="429"/>
      <c r="H1739" s="432"/>
      <c r="I1739" s="432"/>
      <c r="J1739" s="432"/>
      <c r="K1739" s="328"/>
      <c r="L1739" s="396"/>
      <c r="M1739" s="396"/>
      <c r="N1739" s="396"/>
      <c r="O1739" s="396"/>
      <c r="P1739" s="396"/>
      <c r="Q1739" s="328"/>
      <c r="R1739" s="328"/>
      <c r="S1739" s="328"/>
      <c r="T1739" s="328"/>
      <c r="U1739" s="328"/>
      <c r="V1739" s="328"/>
    </row>
    <row r="1740" customFormat="false" ht="15" hidden="false" customHeight="true" outlineLevel="1" collapsed="false">
      <c r="A1740" s="429"/>
      <c r="B1740" s="429"/>
      <c r="C1740" s="429"/>
      <c r="D1740" s="430"/>
      <c r="E1740" s="431"/>
      <c r="F1740" s="431"/>
      <c r="G1740" s="429"/>
      <c r="H1740" s="432"/>
      <c r="I1740" s="432"/>
      <c r="J1740" s="432"/>
      <c r="K1740" s="328"/>
      <c r="L1740" s="396"/>
      <c r="M1740" s="396"/>
      <c r="N1740" s="396"/>
      <c r="O1740" s="396"/>
      <c r="P1740" s="396"/>
      <c r="Q1740" s="328"/>
      <c r="R1740" s="328"/>
      <c r="S1740" s="328"/>
      <c r="T1740" s="328"/>
      <c r="U1740" s="328"/>
      <c r="V1740" s="328"/>
    </row>
    <row r="1741" customFormat="false" ht="15" hidden="false" customHeight="true" outlineLevel="1" collapsed="false">
      <c r="A1741" s="429"/>
      <c r="B1741" s="429"/>
      <c r="C1741" s="429"/>
      <c r="D1741" s="430"/>
      <c r="E1741" s="431"/>
      <c r="F1741" s="431"/>
      <c r="G1741" s="429"/>
      <c r="H1741" s="432"/>
      <c r="I1741" s="432"/>
      <c r="J1741" s="432"/>
      <c r="K1741" s="328"/>
      <c r="L1741" s="396"/>
      <c r="M1741" s="396"/>
      <c r="N1741" s="396"/>
      <c r="O1741" s="396"/>
      <c r="P1741" s="396"/>
      <c r="Q1741" s="328"/>
      <c r="R1741" s="328"/>
      <c r="S1741" s="328"/>
      <c r="T1741" s="328"/>
      <c r="U1741" s="328"/>
      <c r="V1741" s="328"/>
    </row>
    <row r="1742" customFormat="false" ht="15" hidden="false" customHeight="true" outlineLevel="1" collapsed="false">
      <c r="A1742" s="429"/>
      <c r="B1742" s="429"/>
      <c r="C1742" s="429"/>
      <c r="D1742" s="430"/>
      <c r="E1742" s="431"/>
      <c r="F1742" s="431"/>
      <c r="G1742" s="429"/>
      <c r="H1742" s="432"/>
      <c r="I1742" s="432"/>
      <c r="J1742" s="432"/>
      <c r="K1742" s="328"/>
      <c r="L1742" s="396"/>
      <c r="M1742" s="396"/>
      <c r="N1742" s="396"/>
      <c r="O1742" s="396"/>
      <c r="P1742" s="396"/>
      <c r="Q1742" s="328"/>
      <c r="R1742" s="328"/>
      <c r="S1742" s="328"/>
      <c r="T1742" s="328"/>
      <c r="U1742" s="328"/>
      <c r="V1742" s="328"/>
    </row>
    <row r="1743" customFormat="false" ht="15" hidden="false" customHeight="true" outlineLevel="1" collapsed="false">
      <c r="A1743" s="429"/>
      <c r="B1743" s="429"/>
      <c r="C1743" s="429"/>
      <c r="D1743" s="430"/>
      <c r="E1743" s="431"/>
      <c r="F1743" s="431"/>
      <c r="G1743" s="429"/>
      <c r="H1743" s="432"/>
      <c r="I1743" s="432"/>
      <c r="J1743" s="432"/>
      <c r="K1743" s="328"/>
      <c r="L1743" s="396"/>
      <c r="M1743" s="396"/>
      <c r="N1743" s="396"/>
      <c r="O1743" s="396"/>
      <c r="P1743" s="396"/>
      <c r="Q1743" s="328"/>
      <c r="R1743" s="328"/>
      <c r="S1743" s="328"/>
      <c r="T1743" s="328"/>
      <c r="U1743" s="328"/>
      <c r="V1743" s="328"/>
    </row>
    <row r="1744" customFormat="false" ht="15" hidden="false" customHeight="true" outlineLevel="1" collapsed="false">
      <c r="A1744" s="429"/>
      <c r="B1744" s="429"/>
      <c r="C1744" s="429"/>
      <c r="D1744" s="430"/>
      <c r="E1744" s="431"/>
      <c r="F1744" s="431"/>
      <c r="G1744" s="429"/>
      <c r="H1744" s="432"/>
      <c r="I1744" s="432"/>
      <c r="J1744" s="432"/>
      <c r="K1744" s="328"/>
      <c r="L1744" s="396"/>
      <c r="M1744" s="396"/>
      <c r="N1744" s="396"/>
      <c r="O1744" s="396"/>
      <c r="P1744" s="396"/>
      <c r="Q1744" s="328"/>
      <c r="R1744" s="328"/>
      <c r="S1744" s="328"/>
      <c r="T1744" s="328"/>
      <c r="U1744" s="328"/>
      <c r="V1744" s="328"/>
    </row>
    <row r="1745" customFormat="false" ht="15" hidden="false" customHeight="true" outlineLevel="1" collapsed="false">
      <c r="A1745" s="429"/>
      <c r="B1745" s="429"/>
      <c r="C1745" s="429"/>
      <c r="D1745" s="430"/>
      <c r="E1745" s="431"/>
      <c r="F1745" s="431"/>
      <c r="G1745" s="429"/>
      <c r="H1745" s="432"/>
      <c r="I1745" s="432"/>
      <c r="J1745" s="432"/>
      <c r="K1745" s="328"/>
      <c r="L1745" s="396"/>
      <c r="M1745" s="396"/>
      <c r="N1745" s="396"/>
      <c r="O1745" s="396"/>
      <c r="P1745" s="396"/>
      <c r="Q1745" s="328"/>
      <c r="R1745" s="328"/>
      <c r="S1745" s="328"/>
      <c r="T1745" s="328"/>
      <c r="U1745" s="328"/>
      <c r="V1745" s="328"/>
    </row>
    <row r="1746" customFormat="false" ht="15" hidden="false" customHeight="true" outlineLevel="1" collapsed="false">
      <c r="A1746" s="429"/>
      <c r="B1746" s="429"/>
      <c r="C1746" s="429"/>
      <c r="D1746" s="430"/>
      <c r="E1746" s="431"/>
      <c r="F1746" s="431"/>
      <c r="G1746" s="429"/>
      <c r="H1746" s="432"/>
      <c r="I1746" s="432"/>
      <c r="J1746" s="432"/>
      <c r="K1746" s="328"/>
      <c r="L1746" s="396"/>
      <c r="M1746" s="396"/>
      <c r="N1746" s="396"/>
      <c r="O1746" s="396"/>
      <c r="P1746" s="396"/>
      <c r="Q1746" s="328"/>
      <c r="R1746" s="328"/>
      <c r="S1746" s="328"/>
      <c r="T1746" s="328"/>
      <c r="U1746" s="328"/>
      <c r="V1746" s="328"/>
    </row>
    <row r="1747" customFormat="false" ht="15" hidden="false" customHeight="true" outlineLevel="1" collapsed="false">
      <c r="A1747" s="429"/>
      <c r="B1747" s="429"/>
      <c r="C1747" s="429"/>
      <c r="D1747" s="430"/>
      <c r="E1747" s="431"/>
      <c r="F1747" s="431"/>
      <c r="G1747" s="429"/>
      <c r="H1747" s="432"/>
      <c r="I1747" s="432"/>
      <c r="J1747" s="432"/>
      <c r="K1747" s="328"/>
      <c r="L1747" s="396"/>
      <c r="M1747" s="396"/>
      <c r="N1747" s="396"/>
      <c r="O1747" s="396"/>
      <c r="P1747" s="396"/>
      <c r="Q1747" s="328"/>
      <c r="R1747" s="328"/>
      <c r="S1747" s="328"/>
      <c r="T1747" s="328"/>
      <c r="U1747" s="328"/>
      <c r="V1747" s="328"/>
    </row>
    <row r="1748" customFormat="false" ht="15" hidden="false" customHeight="true" outlineLevel="1" collapsed="false">
      <c r="A1748" s="429"/>
      <c r="B1748" s="429"/>
      <c r="C1748" s="429"/>
      <c r="D1748" s="430"/>
      <c r="E1748" s="431"/>
      <c r="F1748" s="431"/>
      <c r="G1748" s="429"/>
      <c r="H1748" s="432"/>
      <c r="I1748" s="432"/>
      <c r="J1748" s="432"/>
      <c r="K1748" s="328"/>
      <c r="L1748" s="396"/>
      <c r="M1748" s="396"/>
      <c r="N1748" s="396"/>
      <c r="O1748" s="396"/>
      <c r="P1748" s="396"/>
      <c r="Q1748" s="328"/>
      <c r="R1748" s="328"/>
      <c r="S1748" s="328"/>
      <c r="T1748" s="328"/>
      <c r="U1748" s="328"/>
      <c r="V1748" s="328"/>
    </row>
    <row r="1749" customFormat="false" ht="15" hidden="false" customHeight="true" outlineLevel="1" collapsed="false">
      <c r="A1749" s="429"/>
      <c r="B1749" s="429"/>
      <c r="C1749" s="429"/>
      <c r="D1749" s="430"/>
      <c r="E1749" s="431"/>
      <c r="F1749" s="431"/>
      <c r="G1749" s="429"/>
      <c r="H1749" s="432"/>
      <c r="I1749" s="432"/>
      <c r="J1749" s="432"/>
      <c r="K1749" s="328"/>
      <c r="L1749" s="396"/>
      <c r="M1749" s="396"/>
      <c r="N1749" s="396"/>
      <c r="O1749" s="396"/>
      <c r="P1749" s="396"/>
      <c r="Q1749" s="328"/>
      <c r="R1749" s="328"/>
      <c r="S1749" s="328"/>
      <c r="T1749" s="328"/>
      <c r="U1749" s="328"/>
      <c r="V1749" s="328"/>
    </row>
    <row r="1750" customFormat="false" ht="15" hidden="false" customHeight="true" outlineLevel="1" collapsed="false">
      <c r="A1750" s="429"/>
      <c r="B1750" s="429"/>
      <c r="C1750" s="429"/>
      <c r="D1750" s="430"/>
      <c r="E1750" s="431"/>
      <c r="F1750" s="431"/>
      <c r="G1750" s="429"/>
      <c r="H1750" s="432"/>
      <c r="I1750" s="432"/>
      <c r="J1750" s="432"/>
      <c r="K1750" s="328"/>
      <c r="L1750" s="396"/>
      <c r="M1750" s="396"/>
      <c r="N1750" s="396"/>
      <c r="O1750" s="396"/>
      <c r="P1750" s="396"/>
      <c r="Q1750" s="328"/>
      <c r="R1750" s="328"/>
      <c r="S1750" s="328"/>
      <c r="T1750" s="328"/>
      <c r="U1750" s="328"/>
      <c r="V1750" s="328"/>
    </row>
    <row r="1751" customFormat="false" ht="15" hidden="false" customHeight="true" outlineLevel="1" collapsed="false">
      <c r="A1751" s="429"/>
      <c r="B1751" s="429"/>
      <c r="C1751" s="429"/>
      <c r="D1751" s="430"/>
      <c r="E1751" s="431"/>
      <c r="F1751" s="431"/>
      <c r="G1751" s="429"/>
      <c r="H1751" s="432"/>
      <c r="I1751" s="432"/>
      <c r="J1751" s="432"/>
      <c r="K1751" s="328"/>
      <c r="L1751" s="396"/>
      <c r="M1751" s="396"/>
      <c r="N1751" s="396"/>
      <c r="O1751" s="396"/>
      <c r="P1751" s="396"/>
      <c r="Q1751" s="328"/>
      <c r="R1751" s="328"/>
      <c r="S1751" s="328"/>
      <c r="T1751" s="328"/>
      <c r="U1751" s="328"/>
      <c r="V1751" s="328"/>
    </row>
    <row r="1752" customFormat="false" ht="15" hidden="false" customHeight="true" outlineLevel="1" collapsed="false">
      <c r="A1752" s="429"/>
      <c r="B1752" s="429"/>
      <c r="C1752" s="429"/>
      <c r="D1752" s="430"/>
      <c r="E1752" s="431"/>
      <c r="F1752" s="431"/>
      <c r="G1752" s="429"/>
      <c r="H1752" s="432"/>
      <c r="I1752" s="432"/>
      <c r="J1752" s="432"/>
      <c r="K1752" s="328"/>
      <c r="L1752" s="396"/>
      <c r="M1752" s="396"/>
      <c r="N1752" s="396"/>
      <c r="O1752" s="396"/>
      <c r="P1752" s="396"/>
      <c r="Q1752" s="328"/>
      <c r="R1752" s="328"/>
      <c r="S1752" s="328"/>
      <c r="T1752" s="328"/>
      <c r="U1752" s="328"/>
      <c r="V1752" s="328"/>
    </row>
    <row r="1753" customFormat="false" ht="15" hidden="false" customHeight="true" outlineLevel="1" collapsed="false">
      <c r="A1753" s="429"/>
      <c r="B1753" s="429"/>
      <c r="C1753" s="429"/>
      <c r="D1753" s="430"/>
      <c r="E1753" s="431"/>
      <c r="F1753" s="431"/>
      <c r="G1753" s="429"/>
      <c r="H1753" s="432"/>
      <c r="I1753" s="432"/>
      <c r="J1753" s="432"/>
      <c r="K1753" s="328"/>
      <c r="L1753" s="396"/>
      <c r="M1753" s="396"/>
      <c r="N1753" s="396"/>
      <c r="O1753" s="396"/>
      <c r="P1753" s="396"/>
      <c r="Q1753" s="328"/>
      <c r="R1753" s="328"/>
      <c r="S1753" s="328"/>
      <c r="T1753" s="328"/>
      <c r="U1753" s="328"/>
      <c r="V1753" s="328"/>
    </row>
    <row r="1754" customFormat="false" ht="15" hidden="false" customHeight="true" outlineLevel="1" collapsed="false">
      <c r="A1754" s="429"/>
      <c r="B1754" s="429"/>
      <c r="C1754" s="429"/>
      <c r="D1754" s="430"/>
      <c r="E1754" s="431"/>
      <c r="F1754" s="431"/>
      <c r="G1754" s="429"/>
      <c r="H1754" s="432"/>
      <c r="I1754" s="432"/>
      <c r="J1754" s="432"/>
      <c r="K1754" s="328"/>
      <c r="L1754" s="396"/>
      <c r="M1754" s="396"/>
      <c r="N1754" s="396"/>
      <c r="O1754" s="396"/>
      <c r="P1754" s="396"/>
      <c r="Q1754" s="328"/>
      <c r="R1754" s="328"/>
      <c r="S1754" s="328"/>
      <c r="T1754" s="328"/>
      <c r="U1754" s="328"/>
      <c r="V1754" s="328"/>
    </row>
    <row r="1755" customFormat="false" ht="15" hidden="false" customHeight="true" outlineLevel="1" collapsed="false">
      <c r="A1755" s="429"/>
      <c r="B1755" s="429"/>
      <c r="C1755" s="429"/>
      <c r="D1755" s="430"/>
      <c r="E1755" s="431"/>
      <c r="F1755" s="431"/>
      <c r="G1755" s="429"/>
      <c r="H1755" s="432"/>
      <c r="I1755" s="432"/>
      <c r="J1755" s="432"/>
      <c r="K1755" s="328"/>
      <c r="L1755" s="396"/>
      <c r="M1755" s="396"/>
      <c r="N1755" s="396"/>
      <c r="O1755" s="396"/>
      <c r="P1755" s="396"/>
      <c r="Q1755" s="328"/>
      <c r="R1755" s="328"/>
      <c r="S1755" s="328"/>
      <c r="T1755" s="328"/>
      <c r="U1755" s="328"/>
      <c r="V1755" s="328"/>
    </row>
    <row r="1756" customFormat="false" ht="15" hidden="false" customHeight="true" outlineLevel="1" collapsed="false">
      <c r="A1756" s="429"/>
      <c r="B1756" s="429"/>
      <c r="C1756" s="429"/>
      <c r="D1756" s="430"/>
      <c r="E1756" s="431"/>
      <c r="F1756" s="431"/>
      <c r="G1756" s="429"/>
      <c r="H1756" s="432"/>
      <c r="I1756" s="432"/>
      <c r="J1756" s="432"/>
      <c r="K1756" s="328"/>
      <c r="L1756" s="396"/>
      <c r="M1756" s="396"/>
      <c r="N1756" s="396"/>
      <c r="O1756" s="396"/>
      <c r="P1756" s="396"/>
      <c r="Q1756" s="328"/>
      <c r="R1756" s="328"/>
      <c r="S1756" s="328"/>
      <c r="T1756" s="328"/>
      <c r="U1756" s="328"/>
      <c r="V1756" s="328"/>
    </row>
    <row r="1757" customFormat="false" ht="15" hidden="false" customHeight="true" outlineLevel="1" collapsed="false">
      <c r="A1757" s="429"/>
      <c r="B1757" s="429"/>
      <c r="C1757" s="429"/>
      <c r="D1757" s="430"/>
      <c r="E1757" s="431"/>
      <c r="F1757" s="431"/>
      <c r="G1757" s="429"/>
      <c r="H1757" s="432"/>
      <c r="I1757" s="432"/>
      <c r="J1757" s="432"/>
      <c r="K1757" s="328"/>
      <c r="L1757" s="396"/>
      <c r="M1757" s="396"/>
      <c r="N1757" s="396"/>
      <c r="O1757" s="396"/>
      <c r="P1757" s="396"/>
      <c r="Q1757" s="328"/>
      <c r="R1757" s="328"/>
      <c r="S1757" s="328"/>
      <c r="T1757" s="328"/>
      <c r="U1757" s="328"/>
      <c r="V1757" s="328"/>
    </row>
    <row r="1758" customFormat="false" ht="15" hidden="false" customHeight="true" outlineLevel="1" collapsed="false">
      <c r="A1758" s="429"/>
      <c r="B1758" s="429"/>
      <c r="C1758" s="429"/>
      <c r="D1758" s="430"/>
      <c r="E1758" s="431"/>
      <c r="F1758" s="431"/>
      <c r="G1758" s="429"/>
      <c r="H1758" s="432"/>
      <c r="I1758" s="432"/>
      <c r="J1758" s="432"/>
      <c r="K1758" s="328"/>
      <c r="L1758" s="396"/>
      <c r="M1758" s="396"/>
      <c r="N1758" s="396"/>
      <c r="O1758" s="396"/>
      <c r="P1758" s="396"/>
      <c r="Q1758" s="328"/>
      <c r="R1758" s="328"/>
      <c r="S1758" s="328"/>
      <c r="T1758" s="328"/>
      <c r="U1758" s="328"/>
      <c r="V1758" s="328"/>
    </row>
    <row r="1759" customFormat="false" ht="15" hidden="false" customHeight="true" outlineLevel="1" collapsed="false">
      <c r="A1759" s="429"/>
      <c r="B1759" s="429"/>
      <c r="C1759" s="429"/>
      <c r="D1759" s="430"/>
      <c r="E1759" s="431"/>
      <c r="F1759" s="431"/>
      <c r="G1759" s="429"/>
      <c r="H1759" s="432"/>
      <c r="I1759" s="432"/>
      <c r="J1759" s="432"/>
      <c r="K1759" s="328"/>
      <c r="L1759" s="396"/>
      <c r="M1759" s="396"/>
      <c r="N1759" s="396"/>
      <c r="O1759" s="396"/>
      <c r="P1759" s="396"/>
      <c r="Q1759" s="328"/>
      <c r="R1759" s="328"/>
      <c r="S1759" s="328"/>
      <c r="T1759" s="328"/>
      <c r="U1759" s="328"/>
      <c r="V1759" s="328"/>
    </row>
    <row r="1760" customFormat="false" ht="15" hidden="false" customHeight="true" outlineLevel="1" collapsed="false">
      <c r="A1760" s="429"/>
      <c r="B1760" s="429"/>
      <c r="C1760" s="429"/>
      <c r="D1760" s="430"/>
      <c r="E1760" s="431"/>
      <c r="F1760" s="431"/>
      <c r="G1760" s="429"/>
      <c r="H1760" s="432"/>
      <c r="I1760" s="432"/>
      <c r="J1760" s="432"/>
      <c r="K1760" s="328"/>
      <c r="L1760" s="396"/>
      <c r="M1760" s="396"/>
      <c r="N1760" s="396"/>
      <c r="O1760" s="396"/>
      <c r="P1760" s="396"/>
      <c r="Q1760" s="328"/>
      <c r="R1760" s="328"/>
      <c r="S1760" s="328"/>
      <c r="T1760" s="328"/>
      <c r="U1760" s="328"/>
      <c r="V1760" s="328"/>
    </row>
    <row r="1761" customFormat="false" ht="15" hidden="false" customHeight="true" outlineLevel="1" collapsed="false">
      <c r="A1761" s="429"/>
      <c r="B1761" s="429"/>
      <c r="C1761" s="429"/>
      <c r="D1761" s="430"/>
      <c r="E1761" s="431"/>
      <c r="F1761" s="431"/>
      <c r="G1761" s="429"/>
      <c r="H1761" s="432"/>
      <c r="I1761" s="432"/>
      <c r="J1761" s="432"/>
      <c r="K1761" s="328"/>
      <c r="L1761" s="396"/>
      <c r="M1761" s="396"/>
      <c r="N1761" s="396"/>
      <c r="O1761" s="396"/>
      <c r="P1761" s="396"/>
      <c r="Q1761" s="328"/>
      <c r="R1761" s="328"/>
      <c r="S1761" s="328"/>
      <c r="T1761" s="328"/>
      <c r="U1761" s="328"/>
      <c r="V1761" s="328"/>
    </row>
    <row r="1762" customFormat="false" ht="15" hidden="false" customHeight="true" outlineLevel="1" collapsed="false">
      <c r="A1762" s="429"/>
      <c r="B1762" s="429"/>
      <c r="C1762" s="429"/>
      <c r="D1762" s="430"/>
      <c r="E1762" s="431"/>
      <c r="F1762" s="431"/>
      <c r="G1762" s="429"/>
      <c r="H1762" s="432"/>
      <c r="I1762" s="432"/>
      <c r="J1762" s="432"/>
      <c r="K1762" s="328"/>
      <c r="L1762" s="396"/>
      <c r="M1762" s="396"/>
      <c r="N1762" s="396"/>
      <c r="O1762" s="396"/>
      <c r="P1762" s="396"/>
      <c r="Q1762" s="328"/>
      <c r="R1762" s="328"/>
      <c r="S1762" s="328"/>
      <c r="T1762" s="328"/>
      <c r="U1762" s="328"/>
      <c r="V1762" s="328"/>
    </row>
    <row r="1763" customFormat="false" ht="15" hidden="false" customHeight="true" outlineLevel="1" collapsed="false">
      <c r="A1763" s="429"/>
      <c r="B1763" s="429"/>
      <c r="C1763" s="429"/>
      <c r="D1763" s="430"/>
      <c r="E1763" s="431"/>
      <c r="F1763" s="431"/>
      <c r="G1763" s="429"/>
      <c r="H1763" s="432"/>
      <c r="I1763" s="432"/>
      <c r="J1763" s="432"/>
      <c r="K1763" s="328"/>
      <c r="L1763" s="396"/>
      <c r="M1763" s="396"/>
      <c r="N1763" s="396"/>
      <c r="O1763" s="396"/>
      <c r="P1763" s="396"/>
      <c r="Q1763" s="328"/>
      <c r="R1763" s="328"/>
      <c r="S1763" s="328"/>
      <c r="T1763" s="328"/>
      <c r="U1763" s="328"/>
      <c r="V1763" s="328"/>
    </row>
    <row r="1764" customFormat="false" ht="15" hidden="false" customHeight="true" outlineLevel="1" collapsed="false">
      <c r="A1764" s="429"/>
      <c r="B1764" s="429"/>
      <c r="C1764" s="429"/>
      <c r="D1764" s="430"/>
      <c r="E1764" s="431"/>
      <c r="F1764" s="431"/>
      <c r="G1764" s="429"/>
      <c r="H1764" s="432"/>
      <c r="I1764" s="432"/>
      <c r="J1764" s="432"/>
      <c r="K1764" s="328"/>
      <c r="L1764" s="396"/>
      <c r="M1764" s="396"/>
      <c r="N1764" s="396"/>
      <c r="O1764" s="396"/>
      <c r="P1764" s="396"/>
      <c r="Q1764" s="328"/>
      <c r="R1764" s="328"/>
      <c r="S1764" s="328"/>
      <c r="T1764" s="328"/>
      <c r="U1764" s="328"/>
      <c r="V1764" s="328"/>
    </row>
    <row r="1765" customFormat="false" ht="15" hidden="false" customHeight="true" outlineLevel="1" collapsed="false">
      <c r="A1765" s="429"/>
      <c r="B1765" s="429"/>
      <c r="C1765" s="429"/>
      <c r="D1765" s="430"/>
      <c r="E1765" s="431"/>
      <c r="F1765" s="431"/>
      <c r="G1765" s="429"/>
      <c r="H1765" s="432"/>
      <c r="I1765" s="432"/>
      <c r="J1765" s="432"/>
      <c r="K1765" s="328"/>
      <c r="L1765" s="396"/>
      <c r="M1765" s="396"/>
      <c r="N1765" s="396"/>
      <c r="O1765" s="396"/>
      <c r="P1765" s="396"/>
      <c r="Q1765" s="328"/>
      <c r="R1765" s="328"/>
      <c r="S1765" s="328"/>
      <c r="T1765" s="328"/>
      <c r="U1765" s="328"/>
      <c r="V1765" s="328"/>
    </row>
    <row r="1766" customFormat="false" ht="15" hidden="false" customHeight="true" outlineLevel="1" collapsed="false">
      <c r="A1766" s="429"/>
      <c r="B1766" s="429"/>
      <c r="C1766" s="429"/>
      <c r="D1766" s="430"/>
      <c r="E1766" s="431"/>
      <c r="F1766" s="431"/>
      <c r="G1766" s="429"/>
      <c r="H1766" s="432"/>
      <c r="I1766" s="432"/>
      <c r="J1766" s="432"/>
      <c r="K1766" s="328"/>
      <c r="L1766" s="396"/>
      <c r="M1766" s="396"/>
      <c r="N1766" s="396"/>
      <c r="O1766" s="396"/>
      <c r="P1766" s="396"/>
      <c r="Q1766" s="328"/>
      <c r="R1766" s="328"/>
      <c r="S1766" s="328"/>
      <c r="T1766" s="328"/>
      <c r="U1766" s="328"/>
      <c r="V1766" s="328"/>
    </row>
    <row r="1767" customFormat="false" ht="15" hidden="false" customHeight="true" outlineLevel="1" collapsed="false">
      <c r="A1767" s="429"/>
      <c r="B1767" s="429"/>
      <c r="C1767" s="429"/>
      <c r="D1767" s="430"/>
      <c r="E1767" s="431"/>
      <c r="F1767" s="431"/>
      <c r="G1767" s="429"/>
      <c r="H1767" s="432"/>
      <c r="I1767" s="432"/>
      <c r="J1767" s="432"/>
      <c r="K1767" s="328"/>
      <c r="L1767" s="396"/>
      <c r="M1767" s="396"/>
      <c r="N1767" s="396"/>
      <c r="O1767" s="396"/>
      <c r="P1767" s="396"/>
      <c r="Q1767" s="328"/>
      <c r="R1767" s="328"/>
      <c r="S1767" s="328"/>
      <c r="T1767" s="328"/>
      <c r="U1767" s="328"/>
      <c r="V1767" s="328"/>
    </row>
    <row r="1768" customFormat="false" ht="15" hidden="false" customHeight="true" outlineLevel="1" collapsed="false">
      <c r="A1768" s="429"/>
      <c r="B1768" s="429"/>
      <c r="C1768" s="429"/>
      <c r="D1768" s="430"/>
      <c r="E1768" s="431"/>
      <c r="F1768" s="431"/>
      <c r="G1768" s="429"/>
      <c r="H1768" s="432"/>
      <c r="I1768" s="432"/>
      <c r="J1768" s="432"/>
      <c r="K1768" s="328"/>
      <c r="L1768" s="396"/>
      <c r="M1768" s="396"/>
      <c r="N1768" s="396"/>
      <c r="O1768" s="396"/>
      <c r="P1768" s="396"/>
      <c r="Q1768" s="328"/>
      <c r="R1768" s="328"/>
      <c r="S1768" s="328"/>
      <c r="T1768" s="328"/>
      <c r="U1768" s="328"/>
      <c r="V1768" s="328"/>
    </row>
    <row r="1769" customFormat="false" ht="15" hidden="false" customHeight="true" outlineLevel="1" collapsed="false">
      <c r="A1769" s="429"/>
      <c r="B1769" s="429"/>
      <c r="C1769" s="429"/>
      <c r="D1769" s="430"/>
      <c r="E1769" s="431"/>
      <c r="F1769" s="431"/>
      <c r="G1769" s="429"/>
      <c r="H1769" s="432"/>
      <c r="I1769" s="432"/>
      <c r="J1769" s="432"/>
      <c r="K1769" s="328"/>
      <c r="L1769" s="396"/>
      <c r="M1769" s="396"/>
      <c r="N1769" s="396"/>
      <c r="O1769" s="396"/>
      <c r="P1769" s="396"/>
      <c r="Q1769" s="328"/>
      <c r="R1769" s="328"/>
      <c r="S1769" s="328"/>
      <c r="T1769" s="328"/>
      <c r="U1769" s="328"/>
      <c r="V1769" s="328"/>
    </row>
    <row r="1770" customFormat="false" ht="15" hidden="false" customHeight="true" outlineLevel="1" collapsed="false">
      <c r="A1770" s="429"/>
      <c r="B1770" s="429"/>
      <c r="C1770" s="429"/>
      <c r="D1770" s="430"/>
      <c r="E1770" s="431"/>
      <c r="F1770" s="431"/>
      <c r="G1770" s="429"/>
      <c r="H1770" s="432"/>
      <c r="I1770" s="432"/>
      <c r="J1770" s="432"/>
      <c r="K1770" s="328"/>
      <c r="L1770" s="396"/>
      <c r="M1770" s="396"/>
      <c r="N1770" s="396"/>
      <c r="O1770" s="396"/>
      <c r="P1770" s="396"/>
      <c r="Q1770" s="328"/>
      <c r="R1770" s="328"/>
      <c r="S1770" s="328"/>
      <c r="T1770" s="328"/>
      <c r="U1770" s="328"/>
      <c r="V1770" s="328"/>
    </row>
    <row r="1771" customFormat="false" ht="15" hidden="false" customHeight="true" outlineLevel="1" collapsed="false">
      <c r="A1771" s="429"/>
      <c r="B1771" s="429"/>
      <c r="C1771" s="429"/>
      <c r="D1771" s="430"/>
      <c r="E1771" s="431"/>
      <c r="F1771" s="431"/>
      <c r="G1771" s="429"/>
      <c r="H1771" s="432"/>
      <c r="I1771" s="432"/>
      <c r="J1771" s="432"/>
      <c r="K1771" s="328"/>
      <c r="L1771" s="396"/>
      <c r="M1771" s="396"/>
      <c r="N1771" s="396"/>
      <c r="O1771" s="396"/>
      <c r="P1771" s="396"/>
      <c r="Q1771" s="328"/>
      <c r="R1771" s="328"/>
      <c r="S1771" s="328"/>
      <c r="T1771" s="328"/>
      <c r="U1771" s="328"/>
      <c r="V1771" s="328"/>
    </row>
    <row r="1772" customFormat="false" ht="15" hidden="false" customHeight="true" outlineLevel="1" collapsed="false">
      <c r="A1772" s="429"/>
      <c r="B1772" s="429"/>
      <c r="C1772" s="429"/>
      <c r="D1772" s="430"/>
      <c r="E1772" s="431"/>
      <c r="F1772" s="431"/>
      <c r="G1772" s="429"/>
      <c r="H1772" s="432"/>
      <c r="I1772" s="432"/>
      <c r="J1772" s="432"/>
      <c r="K1772" s="328"/>
      <c r="L1772" s="396"/>
      <c r="M1772" s="396"/>
      <c r="N1772" s="396"/>
      <c r="O1772" s="396"/>
      <c r="P1772" s="396"/>
      <c r="Q1772" s="328"/>
      <c r="R1772" s="328"/>
      <c r="S1772" s="328"/>
      <c r="T1772" s="328"/>
      <c r="U1772" s="328"/>
      <c r="V1772" s="328"/>
    </row>
    <row r="1775" customFormat="false" ht="15" hidden="false" customHeight="true" outlineLevel="0" collapsed="false">
      <c r="A1775" s="433" t="s">
        <v>1435</v>
      </c>
    </row>
    <row r="1776" customFormat="false" ht="68.25" hidden="false" customHeight="true" outlineLevel="0" collapsed="false">
      <c r="A1776" s="127" t="s">
        <v>1436</v>
      </c>
    </row>
    <row r="1777" customFormat="false" ht="15" hidden="false" customHeight="true" outlineLevel="0" collapsed="false">
      <c r="A1777" s="406" t="s">
        <v>1437</v>
      </c>
      <c r="B1777" s="406" t="s">
        <v>1438</v>
      </c>
      <c r="C1777" s="406" t="s">
        <v>1439</v>
      </c>
      <c r="D1777" s="406" t="s">
        <v>1440</v>
      </c>
      <c r="E1777" s="406" t="s">
        <v>1441</v>
      </c>
      <c r="F1777" s="406" t="s">
        <v>1442</v>
      </c>
      <c r="G1777" s="406" t="s">
        <v>1378</v>
      </c>
    </row>
    <row r="1778" customFormat="false" ht="34.5" hidden="false" customHeight="true" outlineLevel="0" collapsed="false">
      <c r="A1778" s="127" t="s">
        <v>943</v>
      </c>
      <c r="B1778" s="127" t="s">
        <v>1443</v>
      </c>
      <c r="C1778" s="134" t="n">
        <v>1</v>
      </c>
      <c r="D1778" s="410" t="n">
        <f aca="false">SUM(W273:W1772)*C1778</f>
        <v>0</v>
      </c>
      <c r="E1778" s="410" t="n">
        <f aca="false">'Recapture &amp; Upside'!C60</f>
        <v>0</v>
      </c>
      <c r="F1778" s="410" t="n">
        <f aca="false">D1778-E1778</f>
        <v>0</v>
      </c>
      <c r="G1778" s="127" t="s">
        <v>1444</v>
      </c>
    </row>
    <row r="1779" customFormat="false" ht="15" hidden="false" customHeight="true" outlineLevel="0" collapsed="false">
      <c r="A1779" s="127" t="s">
        <v>944</v>
      </c>
      <c r="B1779" s="127" t="s">
        <v>1445</v>
      </c>
      <c r="C1779" s="134" t="n">
        <v>1</v>
      </c>
      <c r="D1779" s="410" t="n">
        <f aca="false">SUM(X273:X1772)*C1779</f>
        <v>0</v>
      </c>
      <c r="E1779" s="410" t="n">
        <f aca="false">'Recapture &amp; Upside'!C58</f>
        <v>0</v>
      </c>
      <c r="F1779" s="410" t="n">
        <f aca="false">D1779-E1779</f>
        <v>0</v>
      </c>
      <c r="G1779" s="127" t="s">
        <v>1446</v>
      </c>
    </row>
    <row r="1780" customFormat="false" ht="15" hidden="false" customHeight="true" outlineLevel="0" collapsed="false">
      <c r="A1780" s="127" t="s">
        <v>945</v>
      </c>
      <c r="B1780" s="127" t="s">
        <v>1042</v>
      </c>
      <c r="C1780" s="134" t="n">
        <v>1</v>
      </c>
      <c r="D1780" s="410" t="n">
        <f aca="false">SUM(Y273:Y1772)*C1780</f>
        <v>0</v>
      </c>
      <c r="E1780" s="410" t="n">
        <f aca="false">'Recapture &amp; Upside'!C39</f>
        <v>0</v>
      </c>
      <c r="F1780" s="410" t="n">
        <f aca="false">D1780-E1780</f>
        <v>0</v>
      </c>
      <c r="G1780" s="127" t="s">
        <v>1447</v>
      </c>
    </row>
    <row r="1781" customFormat="false" ht="23.25" hidden="false" customHeight="true" outlineLevel="0" collapsed="false">
      <c r="A1781" s="127" t="s">
        <v>946</v>
      </c>
      <c r="B1781" s="127" t="s">
        <v>1448</v>
      </c>
      <c r="C1781" s="134" t="n">
        <v>12</v>
      </c>
      <c r="D1781" s="410" t="n">
        <f aca="false">SUM(Z273:Z1772)*C1781</f>
        <v>0</v>
      </c>
      <c r="E1781" s="410" t="n">
        <f aca="false">'Recapture &amp; Upside'!C20</f>
        <v>0</v>
      </c>
      <c r="F1781" s="410" t="n">
        <f aca="false">D1781-E1781</f>
        <v>0</v>
      </c>
      <c r="G1781" s="127" t="s">
        <v>1449</v>
      </c>
    </row>
    <row r="1782" customFormat="false" ht="15" hidden="false" customHeight="true" outlineLevel="0" collapsed="false">
      <c r="A1782" s="127" t="s">
        <v>947</v>
      </c>
      <c r="B1782" s="127" t="s">
        <v>1450</v>
      </c>
      <c r="C1782" s="134" t="n">
        <v>12</v>
      </c>
      <c r="D1782" s="410" t="n">
        <f aca="false">SUM(AA273:AA1772)*C1782</f>
        <v>0</v>
      </c>
      <c r="E1782" s="410" t="n">
        <f aca="false">'Recapture &amp; Upside'!C35</f>
        <v>0</v>
      </c>
      <c r="F1782" s="410" t="n">
        <f aca="false">D1782-E1782</f>
        <v>0</v>
      </c>
    </row>
    <row r="1783" customFormat="false" ht="23.25" hidden="false" customHeight="true" outlineLevel="0" collapsed="false">
      <c r="A1783" s="127" t="s">
        <v>948</v>
      </c>
      <c r="B1783" s="127" t="s">
        <v>1451</v>
      </c>
      <c r="C1783" s="134" t="n">
        <v>12</v>
      </c>
      <c r="D1783" s="410" t="n">
        <f aca="false">SUM(AB273:AB1772)*C1783</f>
        <v>0</v>
      </c>
      <c r="E1783" s="410" t="n">
        <f aca="false">'Recapture &amp; Upside'!C36+'Recapture &amp; Upside'!C37+'Recapture &amp; Upside'!C38</f>
        <v>0</v>
      </c>
      <c r="F1783" s="410" t="n">
        <f aca="false">D1783-E1783</f>
        <v>0</v>
      </c>
      <c r="G1783" s="127" t="s">
        <v>1452</v>
      </c>
    </row>
    <row r="1784" customFormat="false" ht="15" hidden="false" customHeight="true" outlineLevel="0" collapsed="false">
      <c r="A1784" s="127" t="s">
        <v>949</v>
      </c>
      <c r="B1784" s="127" t="s">
        <v>1453</v>
      </c>
      <c r="C1784" s="134" t="n">
        <v>12</v>
      </c>
      <c r="D1784" s="410" t="n">
        <f aca="false">SUM(AC273:AC1772)*C1784</f>
        <v>0</v>
      </c>
      <c r="E1784" s="410" t="n">
        <f aca="false">'Recapture &amp; Upside'!C40+'Recapture &amp; Upside'!C41</f>
        <v>0</v>
      </c>
      <c r="F1784" s="410" t="n">
        <f aca="false">D1784-E1784</f>
        <v>0</v>
      </c>
      <c r="G1784" s="127" t="s">
        <v>1454</v>
      </c>
    </row>
    <row r="1785" customFormat="false" ht="15" hidden="false" customHeight="true" outlineLevel="0" collapsed="false">
      <c r="A1785" s="127" t="s">
        <v>950</v>
      </c>
      <c r="B1785" s="127" t="s">
        <v>1455</v>
      </c>
      <c r="C1785" s="134" t="n">
        <v>1</v>
      </c>
      <c r="D1785" s="410" t="n">
        <f aca="false">SUM(AD273:AD1772)*C1785</f>
        <v>0</v>
      </c>
      <c r="E1785" s="410" t="n">
        <f aca="false">'Recapture &amp; Upside'!C63</f>
        <v>0</v>
      </c>
      <c r="F1785" s="410" t="n">
        <f aca="false">D1785-E1785</f>
        <v>0</v>
      </c>
      <c r="G1785" s="127" t="s">
        <v>1446</v>
      </c>
    </row>
    <row r="1786" customFormat="false" ht="15" hidden="false" customHeight="true" outlineLevel="0" collapsed="false">
      <c r="A1786" s="127" t="s">
        <v>951</v>
      </c>
      <c r="B1786" s="127" t="s">
        <v>1456</v>
      </c>
      <c r="C1786" s="134" t="n">
        <v>12</v>
      </c>
      <c r="D1786" s="410" t="n">
        <f aca="false">SUM(AE273:AE1772)*C1786</f>
        <v>0</v>
      </c>
      <c r="E1786" s="410" t="n">
        <f aca="false">'Recapture &amp; Upside'!C42</f>
        <v>0</v>
      </c>
      <c r="F1786" s="410" t="n">
        <f aca="false">D1786-E1786</f>
        <v>0</v>
      </c>
    </row>
    <row r="1787" customFormat="false" ht="23.25" hidden="false" customHeight="true" outlineLevel="0" collapsed="false">
      <c r="A1787" s="127" t="s">
        <v>952</v>
      </c>
      <c r="B1787" s="127" t="s">
        <v>1457</v>
      </c>
      <c r="C1787" s="134" t="n">
        <v>12</v>
      </c>
      <c r="D1787" s="410" t="n">
        <f aca="false">SUM(AF273:AF1772)*C1787</f>
        <v>0</v>
      </c>
      <c r="E1787" s="410" t="n">
        <f aca="false">'Recapture &amp; Upside'!C52</f>
        <v>0</v>
      </c>
      <c r="F1787" s="410" t="n">
        <f aca="false">D1787-E1787</f>
        <v>0</v>
      </c>
      <c r="G1787" s="127" t="s">
        <v>1458</v>
      </c>
    </row>
    <row r="1788" customFormat="false" ht="15" hidden="false" customHeight="true" outlineLevel="0" collapsed="false">
      <c r="A1788" s="127" t="s">
        <v>324</v>
      </c>
      <c r="B1788" s="127" t="s">
        <v>1459</v>
      </c>
      <c r="C1788" s="134" t="n">
        <v>12</v>
      </c>
      <c r="D1788" s="410" t="n">
        <f aca="false">SUM(AG273:AG1772)*C1788</f>
        <v>0</v>
      </c>
      <c r="E1788" s="410" t="n">
        <f aca="false">'Recapture &amp; Upside'!C45</f>
        <v>0</v>
      </c>
      <c r="F1788" s="410" t="n">
        <f aca="false">D1788-E1788</f>
        <v>0</v>
      </c>
    </row>
    <row r="1789" customFormat="false" ht="15" hidden="false" customHeight="true" outlineLevel="0" collapsed="false">
      <c r="A1789" s="127" t="s">
        <v>323</v>
      </c>
      <c r="B1789" s="127" t="s">
        <v>1460</v>
      </c>
      <c r="C1789" s="134" t="n">
        <v>12</v>
      </c>
      <c r="D1789" s="410" t="n">
        <f aca="false">SUM(AH273:AH1772)*C1789</f>
        <v>0</v>
      </c>
      <c r="E1789" s="410" t="n">
        <f aca="false">'Recapture &amp; Upside'!C44</f>
        <v>0</v>
      </c>
      <c r="F1789" s="410" t="n">
        <f aca="false">D1789-E1789</f>
        <v>0</v>
      </c>
    </row>
    <row r="1790" customFormat="false" ht="15" hidden="false" customHeight="true" outlineLevel="0" collapsed="false">
      <c r="A1790" s="127" t="s">
        <v>325</v>
      </c>
      <c r="B1790" s="127" t="s">
        <v>1461</v>
      </c>
      <c r="C1790" s="134" t="n">
        <v>12</v>
      </c>
      <c r="D1790" s="410" t="n">
        <f aca="false">SUM(AI273:AI1772)*C1790</f>
        <v>0</v>
      </c>
      <c r="E1790" s="410" t="n">
        <f aca="false">'Recapture &amp; Upside'!C46</f>
        <v>0</v>
      </c>
      <c r="F1790" s="410" t="n">
        <f aca="false">D1790-E1790</f>
        <v>0</v>
      </c>
    </row>
    <row r="1791" customFormat="false" ht="15" hidden="false" customHeight="true" outlineLevel="0" collapsed="false">
      <c r="A1791" s="127" t="s">
        <v>1434</v>
      </c>
      <c r="B1791" s="127" t="s">
        <v>1462</v>
      </c>
      <c r="C1791" s="134" t="n">
        <v>12</v>
      </c>
      <c r="D1791" s="410" t="n">
        <f aca="false">SUM(AJ273:AJ1772)*C1791</f>
        <v>0</v>
      </c>
      <c r="E1791" s="410" t="n">
        <f aca="false">'Recapture &amp; Upside'!C49</f>
        <v>0</v>
      </c>
      <c r="F1791" s="410" t="n">
        <f aca="false">D1791-E1791</f>
        <v>0</v>
      </c>
    </row>
    <row r="1792" customFormat="false" ht="15" hidden="false" customHeight="true" outlineLevel="0" collapsed="false">
      <c r="A1792" s="127" t="s">
        <v>336</v>
      </c>
      <c r="B1792" s="127" t="s">
        <v>1463</v>
      </c>
      <c r="C1792" s="134" t="n">
        <v>1</v>
      </c>
      <c r="D1792" s="410" t="n">
        <f aca="false">SUM(AK273:AK1772)*C1792</f>
        <v>0</v>
      </c>
      <c r="E1792" s="410" t="n">
        <f aca="false">'Recapture &amp; Upside'!C61</f>
        <v>0</v>
      </c>
      <c r="F1792" s="410" t="n">
        <f aca="false">D1792-E1792</f>
        <v>0</v>
      </c>
      <c r="G1792" s="127" t="s">
        <v>1464</v>
      </c>
    </row>
    <row r="1793" customFormat="false" ht="15" hidden="false" customHeight="true" outlineLevel="0" collapsed="false">
      <c r="A1793" s="127" t="s">
        <v>49</v>
      </c>
      <c r="D1793" s="410" t="n">
        <f aca="false">SUM(D1778:D1792)</f>
        <v>0</v>
      </c>
      <c r="E1793" s="410" t="n">
        <f aca="false">SUM(E1778:E1792)</f>
        <v>0</v>
      </c>
      <c r="F1793" s="410" t="n">
        <f aca="false">D1793-E1793</f>
        <v>0</v>
      </c>
    </row>
    <row r="1795" customFormat="false" ht="15" hidden="false" customHeight="true" outlineLevel="0" collapsed="false">
      <c r="A1795" s="127" t="s">
        <v>1465</v>
      </c>
      <c r="E1795" s="410" t="n">
        <f aca="false">'Recapture &amp; Upside'!C53+'Recapture &amp; Upside'!C65</f>
        <v>0</v>
      </c>
    </row>
    <row r="1796" customFormat="false" ht="15" hidden="false" customHeight="true" outlineLevel="0" collapsed="false">
      <c r="A1796" s="127" t="s">
        <v>1466</v>
      </c>
      <c r="E1796" s="410" t="n">
        <f aca="false">D1793</f>
        <v>0</v>
      </c>
    </row>
    <row r="1797" customFormat="false" ht="15" hidden="false" customHeight="true" outlineLevel="0" collapsed="false">
      <c r="A1797" s="127" t="s">
        <v>1467</v>
      </c>
      <c r="E1797" s="410" t="n">
        <f aca="false">E1796-E1795</f>
        <v>0</v>
      </c>
    </row>
  </sheetData>
  <mergeCells count="61">
    <mergeCell ref="A1:V1"/>
    <mergeCell ref="A4:V4"/>
    <mergeCell ref="A7:V7"/>
    <mergeCell ref="A24:V24"/>
    <mergeCell ref="D25:V25"/>
    <mergeCell ref="D26:V26"/>
    <mergeCell ref="D27:V27"/>
    <mergeCell ref="D28:V28"/>
    <mergeCell ref="D30:V30"/>
    <mergeCell ref="D31:V31"/>
    <mergeCell ref="D32:V32"/>
    <mergeCell ref="D33:V33"/>
    <mergeCell ref="A36:V36"/>
    <mergeCell ref="A37:V37"/>
    <mergeCell ref="A68:V68"/>
    <mergeCell ref="A80:V80"/>
    <mergeCell ref="A88:V88"/>
    <mergeCell ref="A97:V97"/>
    <mergeCell ref="A116:V116"/>
    <mergeCell ref="A124:V124"/>
    <mergeCell ref="A125:V125"/>
    <mergeCell ref="A132:V132"/>
    <mergeCell ref="A139:V139"/>
    <mergeCell ref="A140:V140"/>
    <mergeCell ref="A148:V148"/>
    <mergeCell ref="A149:V149"/>
    <mergeCell ref="A160:V160"/>
    <mergeCell ref="A161:V161"/>
    <mergeCell ref="A183:V183"/>
    <mergeCell ref="A184:V184"/>
    <mergeCell ref="A191:V191"/>
    <mergeCell ref="A192:V192"/>
    <mergeCell ref="C200:V200"/>
    <mergeCell ref="C201:V201"/>
    <mergeCell ref="C202:V202"/>
    <mergeCell ref="C203:V203"/>
    <mergeCell ref="A205:V205"/>
    <mergeCell ref="A206:V206"/>
    <mergeCell ref="A213:V213"/>
    <mergeCell ref="A214:V214"/>
    <mergeCell ref="A221:V221"/>
    <mergeCell ref="A222:V222"/>
    <mergeCell ref="A240:V240"/>
    <mergeCell ref="A241:V241"/>
    <mergeCell ref="C243:V243"/>
    <mergeCell ref="C244:V244"/>
    <mergeCell ref="C245:V245"/>
    <mergeCell ref="C246:V246"/>
    <mergeCell ref="C247:V247"/>
    <mergeCell ref="A249:R249"/>
    <mergeCell ref="A251:B251"/>
    <mergeCell ref="C251:E251"/>
    <mergeCell ref="F251:H251"/>
    <mergeCell ref="I251:K251"/>
    <mergeCell ref="L251:N251"/>
    <mergeCell ref="O251:P251"/>
    <mergeCell ref="Q251:R251"/>
    <mergeCell ref="A264:R264"/>
    <mergeCell ref="A265:V265"/>
    <mergeCell ref="A270:V270"/>
    <mergeCell ref="A271:V2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42" activePane="bottomRight" state="frozen"/>
      <selection pane="topLeft" activeCell="A1" activeCellId="0" sqref="A1"/>
      <selection pane="topRight" activeCell="B1" activeCellId="0" sqref="B1"/>
      <selection pane="bottomLeft" activeCell="A42" activeCellId="0" sqref="A42"/>
      <selection pane="bottomRight" activeCell="H58" activeCellId="0" sqref="H58"/>
    </sheetView>
  </sheetViews>
  <sheetFormatPr defaultColWidth="8.859375" defaultRowHeight="15" customHeight="false" zeroHeight="false" outlineLevelRow="0" outlineLevelCol="0"/>
  <cols>
    <col collapsed="false" customWidth="true" hidden="false" outlineLevel="0" max="1" min="1" style="0" width="39.14"/>
    <col collapsed="false" customWidth="true" hidden="false" outlineLevel="0" max="2" min="2" style="0" width="9.71"/>
    <col collapsed="false" customWidth="true" hidden="false" outlineLevel="0" max="13" min="3" style="0" width="14"/>
    <col collapsed="false" customWidth="true" hidden="false" outlineLevel="0" max="15" min="14" style="0" width="14.86"/>
    <col collapsed="false" customWidth="true" hidden="false" outlineLevel="0" max="16" min="16" style="0" width="14"/>
    <col collapsed="false" customWidth="true" hidden="false" outlineLevel="0" max="18" min="17" style="0" width="16"/>
  </cols>
  <sheetData>
    <row r="1" customFormat="false" ht="27.75" hidden="false" customHeight="true" outlineLevel="0" collapsed="false">
      <c r="A1" s="133" t="str">
        <f aca="false">IF('Prop Info'!B4="","P&amp;L — 10-YEAR PRO FORMA PROJECTIONS  (Active Scenario drives all inputs)","P&amp;L — 10-YEAR PRO FORMA PROJECTIONS  (Active Scenario drives all inputs)"&amp;" — "&amp;'Prop Info'!B4)</f>
        <v>P&amp;L — 10-YEAR PRO FORMA PROJECTIONS  (Active Scenario drives all inputs)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</row>
    <row r="2" customFormat="false" ht="15.75" hidden="false" customHeight="true" outlineLevel="0" collapsed="false">
      <c r="A2" s="93" t="s">
        <v>1468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</row>
    <row r="4" customFormat="false" ht="24" hidden="false" customHeight="true" outlineLevel="0" collapsed="false">
      <c r="A4" s="17" t="s">
        <v>1469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customFormat="false" ht="18" hidden="false" customHeight="true" outlineLevel="0" collapsed="false">
      <c r="A5" s="398" t="s">
        <v>1470</v>
      </c>
      <c r="B5" s="398"/>
      <c r="C5" s="434" t="s">
        <v>46</v>
      </c>
      <c r="D5" s="435" t="n">
        <v>0</v>
      </c>
      <c r="E5" s="435" t="n">
        <v>0.02</v>
      </c>
      <c r="F5" s="435" t="n">
        <v>0.03</v>
      </c>
      <c r="G5" s="435" t="n">
        <v>0.03</v>
      </c>
      <c r="H5" s="435" t="n">
        <v>0.03</v>
      </c>
      <c r="I5" s="435" t="n">
        <v>0.03</v>
      </c>
      <c r="J5" s="435" t="n">
        <v>0.03</v>
      </c>
      <c r="K5" s="436" t="n">
        <v>0.03</v>
      </c>
      <c r="L5" s="436" t="n">
        <v>0.03</v>
      </c>
      <c r="M5" s="436" t="n">
        <v>0.03</v>
      </c>
      <c r="N5" s="398" t="s">
        <v>1471</v>
      </c>
      <c r="O5" s="437" t="n">
        <f aca="false">IFERROR(AVERAGEIF(D5:M5,"&lt;&gt;"),0)</f>
        <v>0.026</v>
      </c>
      <c r="P5" s="437"/>
    </row>
    <row r="6" customFormat="false" ht="18" hidden="false" customHeight="true" outlineLevel="0" collapsed="false">
      <c r="A6" s="398" t="s">
        <v>1472</v>
      </c>
      <c r="B6" s="398"/>
      <c r="C6" s="434" t="s">
        <v>46</v>
      </c>
      <c r="D6" s="435" t="n">
        <v>0.03</v>
      </c>
      <c r="E6" s="435" t="n">
        <v>0.03</v>
      </c>
      <c r="F6" s="435" t="n">
        <v>0.03</v>
      </c>
      <c r="G6" s="435" t="n">
        <v>0.03</v>
      </c>
      <c r="H6" s="435" t="n">
        <v>0.03</v>
      </c>
      <c r="I6" s="435" t="n">
        <v>0.03</v>
      </c>
      <c r="J6" s="435" t="n">
        <v>0.03</v>
      </c>
      <c r="K6" s="436" t="n">
        <v>0.03</v>
      </c>
      <c r="L6" s="436" t="n">
        <v>0.03</v>
      </c>
      <c r="M6" s="436" t="n">
        <v>0.03</v>
      </c>
      <c r="N6" s="398" t="s">
        <v>1471</v>
      </c>
      <c r="O6" s="437" t="n">
        <f aca="false">IFERROR(AVERAGEIF(D6:M6,"&lt;&gt;"),0)</f>
        <v>0.03</v>
      </c>
      <c r="P6" s="437"/>
    </row>
    <row r="7" customFormat="false" ht="15" hidden="false" customHeight="true" outlineLevel="0" collapsed="false">
      <c r="A7" s="8" t="s">
        <v>1473</v>
      </c>
      <c r="B7" s="8"/>
      <c r="C7" s="37" t="s">
        <v>46</v>
      </c>
      <c r="D7" s="438" t="n">
        <v>0.05</v>
      </c>
      <c r="E7" s="439"/>
      <c r="F7" s="439"/>
      <c r="G7" s="439"/>
      <c r="H7" s="439"/>
      <c r="I7" s="439"/>
      <c r="J7" s="439"/>
      <c r="K7" s="439"/>
      <c r="L7" s="439"/>
      <c r="M7" s="439"/>
      <c r="N7" s="439"/>
      <c r="O7" s="440" t="s">
        <v>1474</v>
      </c>
    </row>
    <row r="8" customFormat="false" ht="30" hidden="false" customHeight="true" outlineLevel="0" collapsed="false">
      <c r="A8" s="42" t="s">
        <v>618</v>
      </c>
      <c r="B8" s="42"/>
      <c r="C8" s="136" t="s">
        <v>874</v>
      </c>
      <c r="D8" s="31" t="s">
        <v>1475</v>
      </c>
      <c r="E8" s="31" t="s">
        <v>1476</v>
      </c>
      <c r="F8" s="31" t="s">
        <v>1477</v>
      </c>
      <c r="G8" s="31" t="s">
        <v>1478</v>
      </c>
      <c r="H8" s="31" t="s">
        <v>1479</v>
      </c>
      <c r="I8" s="31" t="s">
        <v>1480</v>
      </c>
      <c r="J8" s="31" t="s">
        <v>1481</v>
      </c>
      <c r="K8" s="31" t="s">
        <v>1482</v>
      </c>
      <c r="L8" s="31" t="s">
        <v>1483</v>
      </c>
      <c r="M8" s="31" t="s">
        <v>1484</v>
      </c>
      <c r="N8" s="31" t="s">
        <v>1485</v>
      </c>
      <c r="O8" s="31" t="s">
        <v>1486</v>
      </c>
      <c r="P8" s="31" t="s">
        <v>1487</v>
      </c>
      <c r="Q8" s="18" t="s">
        <v>1488</v>
      </c>
    </row>
    <row r="9" customFormat="false" ht="24" hidden="false" customHeight="true" outlineLevel="0" collapsed="false">
      <c r="A9" s="3" t="s">
        <v>937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</row>
    <row r="10" customFormat="false" ht="18" hidden="false" customHeight="true" outlineLevel="0" collapsed="false">
      <c r="A10" s="297" t="s">
        <v>938</v>
      </c>
      <c r="B10" s="297"/>
      <c r="C10" s="441" t="str">
        <f aca="false">Scenarios!B40</f>
        <v/>
      </c>
      <c r="D10" s="169" t="str">
        <f aca="false">IFERROR(IF(Scenarios!$F$40=0,"",Scenarios!F40),"")</f>
        <v/>
      </c>
      <c r="E10" s="20" t="str">
        <f aca="false">IFERROR(IF(Scenarios!$F$40=0,"",D10*(1+E5)),"")</f>
        <v/>
      </c>
      <c r="F10" s="20" t="str">
        <f aca="false">IFERROR(IF(Scenarios!$F$40=0,"",E10*(1+F5)),"")</f>
        <v/>
      </c>
      <c r="G10" s="20" t="str">
        <f aca="false">IFERROR(IF(Scenarios!$F$40=0,"",F10*(1+G5)),"")</f>
        <v/>
      </c>
      <c r="H10" s="20" t="str">
        <f aca="false">IFERROR(IF(Scenarios!$F$40=0,"",G10*(1+H5)),"")</f>
        <v/>
      </c>
      <c r="I10" s="20" t="str">
        <f aca="false">IFERROR(IF(Scenarios!$F$40=0,"",H10*(1+I5)),"")</f>
        <v/>
      </c>
      <c r="J10" s="20" t="str">
        <f aca="false">IFERROR(IF(Scenarios!$F$40=0,"",I10*(1+J5)),"")</f>
        <v/>
      </c>
      <c r="K10" s="20" t="str">
        <f aca="false">IFERROR(IF(Scenarios!$F$40=0,"",J10*(1+K5)),"")</f>
        <v/>
      </c>
      <c r="L10" s="20" t="str">
        <f aca="false">IFERROR(IF(Scenarios!$F$40=0,"",K10*(1+L5)),"")</f>
        <v/>
      </c>
      <c r="M10" s="20" t="str">
        <f aca="false">IFERROR(IF(Scenarios!$F$40=0,"",L10*(1+M5)),"")</f>
        <v/>
      </c>
      <c r="N10" s="289" t="n">
        <f aca="false">SUM(D10:H10)</f>
        <v>0</v>
      </c>
      <c r="O10" s="289" t="n">
        <f aca="false">SUM(D10:M10)</f>
        <v>0</v>
      </c>
      <c r="P10" s="289" t="n">
        <f aca="false">IFERROR(O10/10,0)</f>
        <v>0</v>
      </c>
      <c r="Q10" s="442" t="n">
        <f aca="false">IFERROR(D10/D19,0)</f>
        <v>0</v>
      </c>
    </row>
    <row r="11" customFormat="false" ht="15" hidden="false" customHeight="true" outlineLevel="0" collapsed="false">
      <c r="A11" s="443" t="s">
        <v>1489</v>
      </c>
      <c r="B11" s="443"/>
      <c r="C11" s="444" t="str">
        <f aca="false">Scenarios!B41</f>
        <v/>
      </c>
      <c r="D11" s="445" t="n">
        <v>0.25</v>
      </c>
      <c r="E11" s="445" t="n">
        <v>0.12</v>
      </c>
      <c r="F11" s="445" t="n">
        <v>0.1</v>
      </c>
      <c r="G11" s="446" t="n">
        <f aca="false">F11</f>
        <v>0.1</v>
      </c>
      <c r="H11" s="446" t="n">
        <f aca="false">G11</f>
        <v>0.1</v>
      </c>
      <c r="I11" s="446" t="n">
        <f aca="false">H11</f>
        <v>0.1</v>
      </c>
      <c r="J11" s="446" t="n">
        <f aca="false">I11</f>
        <v>0.1</v>
      </c>
      <c r="K11" s="446" t="n">
        <f aca="false">J11</f>
        <v>0.1</v>
      </c>
      <c r="L11" s="446" t="n">
        <f aca="false">K11</f>
        <v>0.1</v>
      </c>
      <c r="M11" s="446" t="n">
        <f aca="false">L11</f>
        <v>0.1</v>
      </c>
      <c r="N11" s="447" t="n">
        <f aca="false">AVERAGE(D11:H11)</f>
        <v>0.134</v>
      </c>
      <c r="O11" s="447" t="n">
        <f aca="false">AVERAGE(D11:M11)</f>
        <v>0.117</v>
      </c>
      <c r="P11" s="448"/>
      <c r="Q11" s="447" t="n">
        <f aca="false">D11</f>
        <v>0.25</v>
      </c>
    </row>
    <row r="12" customFormat="false" ht="18" hidden="false" customHeight="true" outlineLevel="0" collapsed="false">
      <c r="A12" s="293" t="s">
        <v>1490</v>
      </c>
      <c r="B12" s="293"/>
      <c r="C12" s="449" t="str">
        <f aca="false">Scenarios!B42</f>
        <v/>
      </c>
      <c r="D12" s="450" t="n">
        <f aca="false">IFERROR(IF(Scenarios!$F$40=0,"",IFERROR(-D11*D10,0)),"")</f>
        <v>0</v>
      </c>
      <c r="E12" s="450" t="n">
        <f aca="false">IFERROR(IF(Scenarios!$F$40=0,"",IFERROR(-E11*E10,0)),"")</f>
        <v>0</v>
      </c>
      <c r="F12" s="450" t="n">
        <f aca="false">IFERROR(IF(Scenarios!$F$40=0,"",IFERROR(-F11*F10,0)),"")</f>
        <v>0</v>
      </c>
      <c r="G12" s="450" t="n">
        <f aca="false">IFERROR(IF(Scenarios!$F$40=0,"",IFERROR(-G11*G10,0)),"")</f>
        <v>0</v>
      </c>
      <c r="H12" s="450" t="n">
        <f aca="false">IFERROR(IF(Scenarios!$F$40=0,"",IFERROR(-H11*H10,0)),"")</f>
        <v>0</v>
      </c>
      <c r="I12" s="450" t="n">
        <f aca="false">IFERROR(IF(Scenarios!$F$40=0,"",IFERROR(-I11*I10,0)),"")</f>
        <v>0</v>
      </c>
      <c r="J12" s="450" t="n">
        <f aca="false">IFERROR(IF(Scenarios!$F$40=0,"",IFERROR(-J11*J10,0)),"")</f>
        <v>0</v>
      </c>
      <c r="K12" s="450" t="n">
        <f aca="false">IFERROR(IF(Scenarios!$F$40=0,"",IFERROR(-K11*K10,0)),"")</f>
        <v>0</v>
      </c>
      <c r="L12" s="450" t="n">
        <f aca="false">IFERROR(IF(Scenarios!$F$40=0,"",IFERROR(-L11*L10,0)),"")</f>
        <v>0</v>
      </c>
      <c r="M12" s="450" t="n">
        <f aca="false">IFERROR(IF(Scenarios!$F$40=0,"",IFERROR(-M11*M10,0)),"")</f>
        <v>0</v>
      </c>
      <c r="N12" s="451" t="n">
        <f aca="false">SUM(D12:H12)</f>
        <v>0</v>
      </c>
      <c r="O12" s="451" t="n">
        <f aca="false">SUM(D12:M12)</f>
        <v>0</v>
      </c>
      <c r="P12" s="452" t="n">
        <f aca="false">IFERROR(O12/10,0)</f>
        <v>0</v>
      </c>
      <c r="Q12" s="453" t="n">
        <f aca="false">IFERROR(D12/D19,0)</f>
        <v>0</v>
      </c>
    </row>
    <row r="13" customFormat="false" ht="15" hidden="false" customHeight="true" outlineLevel="0" collapsed="false">
      <c r="A13" s="443" t="s">
        <v>238</v>
      </c>
      <c r="B13" s="443"/>
      <c r="C13" s="449" t="str">
        <f aca="false">Scenarios!B43</f>
        <v/>
      </c>
      <c r="D13" s="454" t="str">
        <f aca="false">Scenarios!F43</f>
        <v/>
      </c>
      <c r="E13" s="445" t="n">
        <v>0.01</v>
      </c>
      <c r="F13" s="446" t="n">
        <f aca="false">E13</f>
        <v>0.01</v>
      </c>
      <c r="G13" s="446" t="n">
        <f aca="false">F13</f>
        <v>0.01</v>
      </c>
      <c r="H13" s="446" t="n">
        <f aca="false">G13</f>
        <v>0.01</v>
      </c>
      <c r="I13" s="446" t="n">
        <f aca="false">H13</f>
        <v>0.01</v>
      </c>
      <c r="J13" s="446" t="n">
        <f aca="false">I13</f>
        <v>0.01</v>
      </c>
      <c r="K13" s="446" t="n">
        <f aca="false">J13</f>
        <v>0.01</v>
      </c>
      <c r="L13" s="446" t="n">
        <f aca="false">K13</f>
        <v>0.01</v>
      </c>
      <c r="M13" s="446" t="n">
        <f aca="false">L13</f>
        <v>0.01</v>
      </c>
      <c r="N13" s="447" t="n">
        <f aca="false">AVERAGE(D13:H13)</f>
        <v>0.01</v>
      </c>
      <c r="O13" s="447" t="n">
        <f aca="false">AVERAGE(D13:M13)</f>
        <v>0.01</v>
      </c>
      <c r="P13" s="448"/>
      <c r="Q13" s="447" t="str">
        <f aca="false">D13</f>
        <v/>
      </c>
    </row>
    <row r="14" customFormat="false" ht="18" hidden="false" customHeight="true" outlineLevel="0" collapsed="false">
      <c r="A14" s="297" t="s">
        <v>1491</v>
      </c>
      <c r="B14" s="297"/>
      <c r="C14" s="455" t="str">
        <f aca="false">Scenarios!B44</f>
        <v/>
      </c>
      <c r="D14" s="169" t="n">
        <f aca="false">IFERROR(IF(Scenarios!$F$40=0,"",IFERROR(-D13*D10,0)),"")</f>
        <v>0</v>
      </c>
      <c r="E14" s="22" t="n">
        <f aca="false">IFERROR(IF(Scenarios!$F$40=0,"",IFERROR(-E13*E10,0)),"")</f>
        <v>0</v>
      </c>
      <c r="F14" s="22" t="n">
        <f aca="false">IFERROR(IF(Scenarios!$F$40=0,"",IFERROR(-F13*F10,0)),"")</f>
        <v>0</v>
      </c>
      <c r="G14" s="22" t="n">
        <f aca="false">IFERROR(IF(Scenarios!$F$40=0,"",IFERROR(-G13*G10,0)),"")</f>
        <v>0</v>
      </c>
      <c r="H14" s="22" t="n">
        <f aca="false">IFERROR(IF(Scenarios!$F$40=0,"",IFERROR(-H13*H10,0)),"")</f>
        <v>0</v>
      </c>
      <c r="I14" s="22" t="n">
        <f aca="false">IFERROR(IF(Scenarios!$F$40=0,"",IFERROR(-I13*I10,0)),"")</f>
        <v>0</v>
      </c>
      <c r="J14" s="22" t="n">
        <f aca="false">IFERROR(IF(Scenarios!$F$40=0,"",IFERROR(-J13*J10,0)),"")</f>
        <v>0</v>
      </c>
      <c r="K14" s="22" t="n">
        <f aca="false">IFERROR(IF(Scenarios!$F$40=0,"",IFERROR(-K13*K10,0)),"")</f>
        <v>0</v>
      </c>
      <c r="L14" s="22" t="n">
        <f aca="false">IFERROR(IF(Scenarios!$F$40=0,"",IFERROR(-L13*L10,0)),"")</f>
        <v>0</v>
      </c>
      <c r="M14" s="22" t="n">
        <f aca="false">IFERROR(IF(Scenarios!$F$40=0,"",IFERROR(-M13*M10,0)),"")</f>
        <v>0</v>
      </c>
      <c r="N14" s="452" t="n">
        <f aca="false">SUM(D14:H14)</f>
        <v>0</v>
      </c>
      <c r="O14" s="452" t="n">
        <f aca="false">SUM(D14:M14)</f>
        <v>0</v>
      </c>
      <c r="P14" s="452" t="n">
        <f aca="false">IFERROR(O14/10,0)</f>
        <v>0</v>
      </c>
      <c r="Q14" s="442" t="n">
        <f aca="false">IFERROR(D14/D19,0)</f>
        <v>0</v>
      </c>
    </row>
    <row r="15" customFormat="false" ht="15" hidden="false" customHeight="true" outlineLevel="0" collapsed="false">
      <c r="A15" s="443" t="s">
        <v>239</v>
      </c>
      <c r="B15" s="443"/>
      <c r="C15" s="449" t="str">
        <f aca="false">IFERROR(Scenarios!B45,0)</f>
        <v/>
      </c>
      <c r="D15" s="445" t="n">
        <v>0.1</v>
      </c>
      <c r="E15" s="445" t="n">
        <v>0.03</v>
      </c>
      <c r="F15" s="446" t="n">
        <f aca="false">E15</f>
        <v>0.03</v>
      </c>
      <c r="G15" s="446" t="n">
        <f aca="false">F15</f>
        <v>0.03</v>
      </c>
      <c r="H15" s="446" t="n">
        <f aca="false">G15</f>
        <v>0.03</v>
      </c>
      <c r="I15" s="446" t="n">
        <f aca="false">H15</f>
        <v>0.03</v>
      </c>
      <c r="J15" s="446" t="n">
        <f aca="false">I15</f>
        <v>0.03</v>
      </c>
      <c r="K15" s="446" t="n">
        <f aca="false">J15</f>
        <v>0.03</v>
      </c>
      <c r="L15" s="446" t="n">
        <f aca="false">K15</f>
        <v>0.03</v>
      </c>
      <c r="M15" s="446" t="n">
        <f aca="false">L15</f>
        <v>0.03</v>
      </c>
      <c r="N15" s="447" t="n">
        <f aca="false">AVERAGE(D15:H15)</f>
        <v>0.044</v>
      </c>
      <c r="O15" s="447" t="n">
        <f aca="false">AVERAGE(D15:M15)</f>
        <v>0.037</v>
      </c>
      <c r="P15" s="456" t="n">
        <f aca="false">IFERROR(O15/10,0)</f>
        <v>0.0037</v>
      </c>
      <c r="Q15" s="447" t="n">
        <f aca="false">D15</f>
        <v>0.1</v>
      </c>
    </row>
    <row r="16" customFormat="false" ht="18" hidden="false" customHeight="true" outlineLevel="0" collapsed="false">
      <c r="A16" s="293" t="s">
        <v>240</v>
      </c>
      <c r="B16" s="293"/>
      <c r="C16" s="457" t="str">
        <f aca="false">IFERROR(Scenarios!B46,0)</f>
        <v/>
      </c>
      <c r="D16" s="169" t="n">
        <f aca="false">IFERROR(IF(Scenarios!$F$40=0,"",IFERROR(-D15*D10,0)),"")</f>
        <v>0</v>
      </c>
      <c r="E16" s="22" t="n">
        <f aca="false">IFERROR(IF(Scenarios!$F$40=0,"",IFERROR(-E15*E10,0)),"")</f>
        <v>0</v>
      </c>
      <c r="F16" s="22" t="n">
        <f aca="false">IFERROR(IF(Scenarios!$F$40=0,"",IFERROR(-F15*F10,0)),"")</f>
        <v>0</v>
      </c>
      <c r="G16" s="22" t="n">
        <f aca="false">IFERROR(IF(Scenarios!$F$40=0,"",IFERROR(-G15*G10,0)),"")</f>
        <v>0</v>
      </c>
      <c r="H16" s="22" t="n">
        <f aca="false">IFERROR(IF(Scenarios!$F$40=0,"",IFERROR(-H15*H10,0)),"")</f>
        <v>0</v>
      </c>
      <c r="I16" s="22" t="n">
        <f aca="false">IFERROR(IF(Scenarios!$F$40=0,"",IFERROR(-I15*I10,0)),"")</f>
        <v>0</v>
      </c>
      <c r="J16" s="22" t="n">
        <f aca="false">IFERROR(IF(Scenarios!$F$40=0,"",IFERROR(-J15*J10,0)),"")</f>
        <v>0</v>
      </c>
      <c r="K16" s="22" t="n">
        <f aca="false">IFERROR(IF(Scenarios!$F$40=0,"",IFERROR(-K15*K10,0)),"")</f>
        <v>0</v>
      </c>
      <c r="L16" s="22" t="n">
        <f aca="false">IFERROR(IF(Scenarios!$F$40=0,"",IFERROR(-L15*L10,0)),"")</f>
        <v>0</v>
      </c>
      <c r="M16" s="22" t="n">
        <f aca="false">IFERROR(IF(Scenarios!$F$40=0,"",IFERROR(-M15*M10,0)),"")</f>
        <v>0</v>
      </c>
      <c r="N16" s="452" t="n">
        <f aca="false">SUM(D16:H16)</f>
        <v>0</v>
      </c>
      <c r="O16" s="452" t="n">
        <f aca="false">SUM(D16:M16)</f>
        <v>0</v>
      </c>
      <c r="P16" s="452" t="n">
        <f aca="false">IFERROR(O16/10,0)</f>
        <v>0</v>
      </c>
      <c r="Q16" s="442" t="n">
        <f aca="false">IFERROR(D16/D19,0)</f>
        <v>0</v>
      </c>
    </row>
    <row r="17" customFormat="false" ht="18" hidden="false" customHeight="true" outlineLevel="0" collapsed="false">
      <c r="A17" s="297" t="s">
        <v>1492</v>
      </c>
      <c r="B17" s="297"/>
      <c r="C17" s="441" t="str">
        <f aca="false">IFERROR(Scenarios!B48,0)</f>
        <v/>
      </c>
      <c r="D17" s="169" t="str">
        <f aca="false">IFERROR(IF(Scenarios!$F$40=0,"",Scenarios!F48),"")</f>
        <v/>
      </c>
      <c r="E17" s="20" t="str">
        <f aca="false">IFERROR(IF(Scenarios!$F$40=0,"",D17*(1+E5)),"")</f>
        <v/>
      </c>
      <c r="F17" s="20" t="str">
        <f aca="false">IFERROR(IF(Scenarios!$F$40=0,"",E17*(1+F5)),"")</f>
        <v/>
      </c>
      <c r="G17" s="20" t="str">
        <f aca="false">IFERROR(IF(Scenarios!$F$40=0,"",F17*(1+G5)),"")</f>
        <v/>
      </c>
      <c r="H17" s="20" t="str">
        <f aca="false">IFERROR(IF(Scenarios!$F$40=0,"",G17*(1+H5)),"")</f>
        <v/>
      </c>
      <c r="I17" s="20" t="str">
        <f aca="false">IFERROR(IF(Scenarios!$F$40=0,"",H17*(1+I5)),"")</f>
        <v/>
      </c>
      <c r="J17" s="20" t="str">
        <f aca="false">IFERROR(IF(Scenarios!$F$40=0,"",I17*(1+J5)),"")</f>
        <v/>
      </c>
      <c r="K17" s="20" t="str">
        <f aca="false">IFERROR(IF(Scenarios!$F$40=0,"",J17*(1+K5)),"")</f>
        <v/>
      </c>
      <c r="L17" s="20" t="str">
        <f aca="false">IFERROR(IF(Scenarios!$F$40=0,"",K17*(1+L5)),"")</f>
        <v/>
      </c>
      <c r="M17" s="20" t="str">
        <f aca="false">IFERROR(IF(Scenarios!$F$40=0,"",L17*(1+M5)),"")</f>
        <v/>
      </c>
      <c r="N17" s="289" t="n">
        <f aca="false">SUM(D17:H17)</f>
        <v>0</v>
      </c>
      <c r="O17" s="289" t="n">
        <f aca="false">SUM(D17:M17)</f>
        <v>0</v>
      </c>
      <c r="P17" s="289" t="n">
        <f aca="false">IFERROR(O17/10,0)</f>
        <v>0</v>
      </c>
      <c r="Q17" s="442" t="n">
        <f aca="false">IFERROR(D17/D19,0)</f>
        <v>0</v>
      </c>
    </row>
    <row r="18" customFormat="false" ht="18" hidden="false" customHeight="true" outlineLevel="0" collapsed="false">
      <c r="A18" s="293" t="s">
        <v>1493</v>
      </c>
      <c r="B18" s="293"/>
      <c r="C18" s="457" t="str">
        <f aca="false">Scenarios!B49</f>
        <v/>
      </c>
      <c r="D18" s="169" t="str">
        <f aca="false">IFERROR(IF(Scenarios!$F$40=0,"",Scenarios!F49),"")</f>
        <v/>
      </c>
      <c r="E18" s="22" t="str">
        <f aca="false">IFERROR(IF(Scenarios!$F$40=0,"",(D18-'Recapture &amp; Upside'!L84+'Recapture &amp; Upside'!M84)*(1+E5)),"")</f>
        <v/>
      </c>
      <c r="F18" s="22" t="str">
        <f aca="false">IFERROR(IF(Scenarios!$F$40=0,"",E18*(1+F5)),"")</f>
        <v/>
      </c>
      <c r="G18" s="22" t="str">
        <f aca="false">IFERROR(IF(Scenarios!$F$40=0,"",F18*(1+G5)),"")</f>
        <v/>
      </c>
      <c r="H18" s="22" t="str">
        <f aca="false">IFERROR(IF(Scenarios!$F$40=0,"",G18*(1+H5)),"")</f>
        <v/>
      </c>
      <c r="I18" s="22" t="str">
        <f aca="false">IFERROR(IF(Scenarios!$F$40=0,"",H18*(1+I5)),"")</f>
        <v/>
      </c>
      <c r="J18" s="22" t="str">
        <f aca="false">IFERROR(IF(Scenarios!$F$40=0,"",I18*(1+J5)),"")</f>
        <v/>
      </c>
      <c r="K18" s="22" t="str">
        <f aca="false">IFERROR(IF(Scenarios!$F$40=0,"",J18*(1+K5)),"")</f>
        <v/>
      </c>
      <c r="L18" s="22" t="str">
        <f aca="false">IFERROR(IF(Scenarios!$F$40=0,"",K18*(1+L5)),"")</f>
        <v/>
      </c>
      <c r="M18" s="22" t="str">
        <f aca="false">IFERROR(IF(Scenarios!$F$40=0,"",L18*(1+M5)),"")</f>
        <v/>
      </c>
      <c r="N18" s="452" t="n">
        <f aca="false">SUM(D18:H18)</f>
        <v>0</v>
      </c>
      <c r="O18" s="452" t="n">
        <f aca="false">SUM(D18:M18)</f>
        <v>0</v>
      </c>
      <c r="P18" s="452" t="n">
        <f aca="false">IFERROR(O18/10,0)</f>
        <v>0</v>
      </c>
      <c r="Q18" s="442" t="n">
        <f aca="false">IFERROR(D18/D19,0)</f>
        <v>0</v>
      </c>
    </row>
    <row r="19" customFormat="false" ht="18" hidden="false" customHeight="true" outlineLevel="0" collapsed="false">
      <c r="A19" s="292" t="s">
        <v>694</v>
      </c>
      <c r="B19" s="292"/>
      <c r="C19" s="188" t="n">
        <f aca="false">SUM(C10,C12,C14,C16:C18)</f>
        <v>0</v>
      </c>
      <c r="D19" s="55" t="n">
        <f aca="false">IFERROR(IF(Scenarios!$F$40=0,"",SUM(D10,D12,D14,D16:D18)),"")</f>
        <v>0</v>
      </c>
      <c r="E19" s="55" t="n">
        <f aca="false">IFERROR(IF(Scenarios!$F$40=0,"",SUM(E10,E12,E14,E16:E18)),"")</f>
        <v>0</v>
      </c>
      <c r="F19" s="55" t="n">
        <f aca="false">IFERROR(IF(Scenarios!$F$40=0,"",SUM(F10,F12,F14,F16:F18)),"")</f>
        <v>0</v>
      </c>
      <c r="G19" s="55" t="n">
        <f aca="false">IFERROR(IF(Scenarios!$F$40=0,"",SUM(G10,G12,G14,G16:G18)),"")</f>
        <v>0</v>
      </c>
      <c r="H19" s="55" t="n">
        <f aca="false">IFERROR(IF(Scenarios!$F$40=0,"",SUM(H10,H12,H14,H16:H18)),"")</f>
        <v>0</v>
      </c>
      <c r="I19" s="55" t="n">
        <f aca="false">IFERROR(IF(Scenarios!$F$40=0,"",SUM(I10,I12,I14,I16:I18)),"")</f>
        <v>0</v>
      </c>
      <c r="J19" s="55" t="n">
        <f aca="false">IFERROR(IF(Scenarios!$F$40=0,"",SUM(J10,J12,J14,J16:J18)),"")</f>
        <v>0</v>
      </c>
      <c r="K19" s="55" t="n">
        <f aca="false">IFERROR(IF(Scenarios!$F$40=0,"",SUM(K10,K12,K14,K16:K18)),"")</f>
        <v>0</v>
      </c>
      <c r="L19" s="55" t="n">
        <f aca="false">IFERROR(IF(Scenarios!$F$40=0,"",SUM(L10,L12,L14,L16:L18)),"")</f>
        <v>0</v>
      </c>
      <c r="M19" s="55" t="n">
        <f aca="false">IFERROR(IF(Scenarios!$F$40=0,"",SUM(M10,M12,M14,M16:M18)),"")</f>
        <v>0</v>
      </c>
      <c r="N19" s="170" t="n">
        <f aca="false">SUM(D19:H19)</f>
        <v>0</v>
      </c>
      <c r="O19" s="170" t="n">
        <f aca="false">SUM(D19:M19)</f>
        <v>0</v>
      </c>
      <c r="P19" s="170" t="n">
        <f aca="false">IFERROR(O19/10,0)</f>
        <v>0</v>
      </c>
      <c r="Q19" s="458" t="n">
        <f aca="false">IFERROR(D19/D19,0)</f>
        <v>0</v>
      </c>
    </row>
    <row r="20" customFormat="false" ht="18" hidden="false" customHeight="true" outlineLevel="0" collapsed="false">
      <c r="A20" s="293"/>
      <c r="B20" s="293"/>
      <c r="C20" s="296"/>
      <c r="D20" s="169"/>
      <c r="E20" s="452"/>
      <c r="F20" s="452"/>
      <c r="G20" s="452"/>
      <c r="H20" s="452"/>
      <c r="I20" s="452"/>
      <c r="J20" s="452"/>
      <c r="K20" s="452"/>
      <c r="L20" s="452"/>
      <c r="M20" s="452"/>
      <c r="N20" s="452"/>
      <c r="O20" s="452"/>
      <c r="P20" s="452"/>
      <c r="Q20" s="459"/>
    </row>
    <row r="21" customFormat="false" ht="24" hidden="false" customHeight="true" outlineLevel="0" collapsed="false">
      <c r="A21" s="201" t="s">
        <v>1494</v>
      </c>
      <c r="B21" s="201"/>
      <c r="C21" s="201"/>
      <c r="D21" s="201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</row>
    <row r="22" customFormat="false" ht="18" hidden="false" customHeight="true" outlineLevel="0" collapsed="false">
      <c r="A22" s="297" t="s">
        <v>701</v>
      </c>
      <c r="B22" s="297"/>
      <c r="C22" s="441" t="str">
        <f aca="false">Scenarios!B54</f>
        <v/>
      </c>
      <c r="D22" s="169" t="str">
        <f aca="false">IFERROR(IF(Scenarios!$F$40=0,"",Scenarios!F54),"")</f>
        <v/>
      </c>
      <c r="E22" s="20" t="str">
        <f aca="false">IFERROR(IF(Scenarios!$F$40=0,"",D22*(1+E6)),"")</f>
        <v/>
      </c>
      <c r="F22" s="20" t="str">
        <f aca="false">IFERROR(IF(Scenarios!$F$40=0,"",E22*(1+F6)),"")</f>
        <v/>
      </c>
      <c r="G22" s="20" t="str">
        <f aca="false">IFERROR(IF(Scenarios!$F$40=0,"",F22*(1+G6)),"")</f>
        <v/>
      </c>
      <c r="H22" s="20" t="str">
        <f aca="false">IFERROR(IF(Scenarios!$F$40=0,"",G22*(1+H6)),"")</f>
        <v/>
      </c>
      <c r="I22" s="20" t="str">
        <f aca="false">IFERROR(IF(Scenarios!$F$40=0,"",H22*(1+I6)),"")</f>
        <v/>
      </c>
      <c r="J22" s="20" t="str">
        <f aca="false">IFERROR(IF(Scenarios!$F$40=0,"",I22*(1+J6)),"")</f>
        <v/>
      </c>
      <c r="K22" s="20" t="str">
        <f aca="false">IFERROR(IF(Scenarios!$F$40=0,"",J22*(1+K6)),"")</f>
        <v/>
      </c>
      <c r="L22" s="20" t="str">
        <f aca="false">IFERROR(IF(Scenarios!$F$40=0,"",K22*(1+L6)),"")</f>
        <v/>
      </c>
      <c r="M22" s="20" t="str">
        <f aca="false">IFERROR(IF(Scenarios!$F$40=0,"",L22*(1+M6)),"")</f>
        <v/>
      </c>
      <c r="N22" s="289" t="n">
        <f aca="false">SUM(D22:H22)</f>
        <v>0</v>
      </c>
      <c r="O22" s="289" t="n">
        <f aca="false">SUM(D22:M22)</f>
        <v>0</v>
      </c>
      <c r="P22" s="289" t="n">
        <f aca="false">IFERROR(O22/10,0)</f>
        <v>0</v>
      </c>
      <c r="Q22" s="442" t="n">
        <f aca="false">IFERROR(D22/D19,0)</f>
        <v>0</v>
      </c>
    </row>
    <row r="23" customFormat="false" ht="18" hidden="false" customHeight="true" outlineLevel="0" collapsed="false">
      <c r="A23" s="293" t="s">
        <v>703</v>
      </c>
      <c r="B23" s="293"/>
      <c r="C23" s="457" t="str">
        <f aca="false">Scenarios!B55</f>
        <v/>
      </c>
      <c r="D23" s="169" t="str">
        <f aca="false">IFERROR(IF(Scenarios!$F$40=0,"",Scenarios!F55),"")</f>
        <v/>
      </c>
      <c r="E23" s="22" t="str">
        <f aca="false">IFERROR(IF(Scenarios!$F$40=0,"",D23*(1+E6)),"")</f>
        <v/>
      </c>
      <c r="F23" s="22" t="str">
        <f aca="false">IFERROR(IF(Scenarios!$F$40=0,"",E23*(1+F6)),"")</f>
        <v/>
      </c>
      <c r="G23" s="22" t="str">
        <f aca="false">IFERROR(IF(Scenarios!$F$40=0,"",F23*(1+G6)),"")</f>
        <v/>
      </c>
      <c r="H23" s="22" t="str">
        <f aca="false">IFERROR(IF(Scenarios!$F$40=0,"",G23*(1+H6)),"")</f>
        <v/>
      </c>
      <c r="I23" s="22" t="str">
        <f aca="false">IFERROR(IF(Scenarios!$F$40=0,"",H23*(1+I6)),"")</f>
        <v/>
      </c>
      <c r="J23" s="22" t="str">
        <f aca="false">IFERROR(IF(Scenarios!$F$40=0,"",I23*(1+J6)),"")</f>
        <v/>
      </c>
      <c r="K23" s="22" t="str">
        <f aca="false">IFERROR(IF(Scenarios!$F$40=0,"",J23*(1+K6)),"")</f>
        <v/>
      </c>
      <c r="L23" s="22" t="str">
        <f aca="false">IFERROR(IF(Scenarios!$F$40=0,"",K23*(1+L6)),"")</f>
        <v/>
      </c>
      <c r="M23" s="22" t="str">
        <f aca="false">IFERROR(IF(Scenarios!$F$40=0,"",L23*(1+M6)),"")</f>
        <v/>
      </c>
      <c r="N23" s="452" t="n">
        <f aca="false">SUM(D23:H23)</f>
        <v>0</v>
      </c>
      <c r="O23" s="452" t="n">
        <f aca="false">SUM(D23:M23)</f>
        <v>0</v>
      </c>
      <c r="P23" s="452" t="n">
        <f aca="false">IFERROR(O23/10,0)</f>
        <v>0</v>
      </c>
      <c r="Q23" s="459" t="n">
        <f aca="false">IFERROR(D23/D19,0)</f>
        <v>0</v>
      </c>
    </row>
    <row r="24" customFormat="false" ht="18" hidden="false" customHeight="true" outlineLevel="0" collapsed="false">
      <c r="A24" s="297" t="s">
        <v>1495</v>
      </c>
      <c r="B24" s="297"/>
      <c r="C24" s="441" t="str">
        <f aca="false">Scenarios!B56</f>
        <v/>
      </c>
      <c r="D24" s="169" t="str">
        <f aca="false">IFERROR(IF(Scenarios!$F$40=0,"",Scenarios!F56),"")</f>
        <v/>
      </c>
      <c r="E24" s="20" t="str">
        <f aca="false">IFERROR(IF(Scenarios!$F$40=0,"",D24*(1+E6)),"")</f>
        <v/>
      </c>
      <c r="F24" s="20" t="str">
        <f aca="false">IFERROR(IF(Scenarios!$F$40=0,"",E24*(1+F6)),"")</f>
        <v/>
      </c>
      <c r="G24" s="20" t="str">
        <f aca="false">IFERROR(IF(Scenarios!$F$40=0,"",F24*(1+G6)),"")</f>
        <v/>
      </c>
      <c r="H24" s="20" t="str">
        <f aca="false">IFERROR(IF(Scenarios!$F$40=0,"",G24*(1+H6)),"")</f>
        <v/>
      </c>
      <c r="I24" s="20" t="str">
        <f aca="false">IFERROR(IF(Scenarios!$F$40=0,"",H24*(1+I6)),"")</f>
        <v/>
      </c>
      <c r="J24" s="20" t="str">
        <f aca="false">IFERROR(IF(Scenarios!$F$40=0,"",I24*(1+J6)),"")</f>
        <v/>
      </c>
      <c r="K24" s="20" t="str">
        <f aca="false">IFERROR(IF(Scenarios!$F$40=0,"",J24*(1+K6)),"")</f>
        <v/>
      </c>
      <c r="L24" s="20" t="str">
        <f aca="false">IFERROR(IF(Scenarios!$F$40=0,"",K24*(1+L6)),"")</f>
        <v/>
      </c>
      <c r="M24" s="20" t="str">
        <f aca="false">IFERROR(IF(Scenarios!$F$40=0,"",L24*(1+M6)),"")</f>
        <v/>
      </c>
      <c r="N24" s="289" t="n">
        <f aca="false">SUM(D24:H24)</f>
        <v>0</v>
      </c>
      <c r="O24" s="289" t="n">
        <f aca="false">SUM(D24:M24)</f>
        <v>0</v>
      </c>
      <c r="P24" s="289" t="n">
        <f aca="false">IFERROR(O24/10,0)</f>
        <v>0</v>
      </c>
      <c r="Q24" s="442" t="n">
        <f aca="false">IFERROR(D24/D19,0)</f>
        <v>0</v>
      </c>
    </row>
    <row r="25" customFormat="false" ht="18" hidden="false" customHeight="true" outlineLevel="0" collapsed="false">
      <c r="A25" s="293" t="s">
        <v>708</v>
      </c>
      <c r="B25" s="293"/>
      <c r="C25" s="457" t="str">
        <f aca="false">Scenarios!B57</f>
        <v/>
      </c>
      <c r="D25" s="169" t="str">
        <f aca="false">IFERROR(IF(Scenarios!$F$40=0,"",Scenarios!F57),"")</f>
        <v/>
      </c>
      <c r="E25" s="22" t="str">
        <f aca="false">IFERROR(IF(Scenarios!$F$40=0,"",D25*(1+E6)),"")</f>
        <v/>
      </c>
      <c r="F25" s="22" t="str">
        <f aca="false">IFERROR(IF(Scenarios!$F$40=0,"",E25*(1+F6)),"")</f>
        <v/>
      </c>
      <c r="G25" s="22" t="str">
        <f aca="false">IFERROR(IF(Scenarios!$F$40=0,"",F25*(1+G6)),"")</f>
        <v/>
      </c>
      <c r="H25" s="22" t="str">
        <f aca="false">IFERROR(IF(Scenarios!$F$40=0,"",G25*(1+H6)),"")</f>
        <v/>
      </c>
      <c r="I25" s="22" t="str">
        <f aca="false">IFERROR(IF(Scenarios!$F$40=0,"",H25*(1+I6)),"")</f>
        <v/>
      </c>
      <c r="J25" s="22" t="str">
        <f aca="false">IFERROR(IF(Scenarios!$F$40=0,"",I25*(1+J6)),"")</f>
        <v/>
      </c>
      <c r="K25" s="22" t="str">
        <f aca="false">IFERROR(IF(Scenarios!$F$40=0,"",J25*(1+K6)),"")</f>
        <v/>
      </c>
      <c r="L25" s="22" t="str">
        <f aca="false">IFERROR(IF(Scenarios!$F$40=0,"",K25*(1+L6)),"")</f>
        <v/>
      </c>
      <c r="M25" s="22" t="str">
        <f aca="false">IFERROR(IF(Scenarios!$F$40=0,"",L25*(1+M6)),"")</f>
        <v/>
      </c>
      <c r="N25" s="452" t="n">
        <f aca="false">SUM(D25:H25)</f>
        <v>0</v>
      </c>
      <c r="O25" s="452" t="n">
        <f aca="false">SUM(D25:M25)</f>
        <v>0</v>
      </c>
      <c r="P25" s="452" t="n">
        <f aca="false">IFERROR(O25/10,0)</f>
        <v>0</v>
      </c>
      <c r="Q25" s="459" t="n">
        <f aca="false">IFERROR(D25/D19,0)</f>
        <v>0</v>
      </c>
    </row>
    <row r="26" customFormat="false" ht="18" hidden="false" customHeight="true" outlineLevel="0" collapsed="false">
      <c r="A26" s="297" t="s">
        <v>710</v>
      </c>
      <c r="B26" s="297"/>
      <c r="C26" s="441" t="str">
        <f aca="false">Scenarios!B58</f>
        <v/>
      </c>
      <c r="D26" s="169" t="str">
        <f aca="false">IFERROR(IF(Scenarios!$F$40=0,"",Scenarios!F58),"")</f>
        <v/>
      </c>
      <c r="E26" s="20" t="str">
        <f aca="false">IFERROR(IF(Scenarios!$F$40=0,"",D26*(1+E6)),"")</f>
        <v/>
      </c>
      <c r="F26" s="20" t="str">
        <f aca="false">IFERROR(IF(Scenarios!$F$40=0,"",E26*(1+F6)),"")</f>
        <v/>
      </c>
      <c r="G26" s="20" t="str">
        <f aca="false">IFERROR(IF(Scenarios!$F$40=0,"",F26*(1+G6)),"")</f>
        <v/>
      </c>
      <c r="H26" s="20" t="str">
        <f aca="false">IFERROR(IF(Scenarios!$F$40=0,"",G26*(1+H6)),"")</f>
        <v/>
      </c>
      <c r="I26" s="20" t="str">
        <f aca="false">IFERROR(IF(Scenarios!$F$40=0,"",H26*(1+I6)),"")</f>
        <v/>
      </c>
      <c r="J26" s="20" t="str">
        <f aca="false">IFERROR(IF(Scenarios!$F$40=0,"",I26*(1+J6)),"")</f>
        <v/>
      </c>
      <c r="K26" s="20" t="str">
        <f aca="false">IFERROR(IF(Scenarios!$F$40=0,"",J26*(1+K6)),"")</f>
        <v/>
      </c>
      <c r="L26" s="20" t="str">
        <f aca="false">IFERROR(IF(Scenarios!$F$40=0,"",K26*(1+L6)),"")</f>
        <v/>
      </c>
      <c r="M26" s="20" t="str">
        <f aca="false">IFERROR(IF(Scenarios!$F$40=0,"",L26*(1+M6)),"")</f>
        <v/>
      </c>
      <c r="N26" s="289" t="n">
        <f aca="false">SUM(D26:H26)</f>
        <v>0</v>
      </c>
      <c r="O26" s="289" t="n">
        <f aca="false">SUM(D26:M26)</f>
        <v>0</v>
      </c>
      <c r="P26" s="289" t="n">
        <f aca="false">IFERROR(O26/10,0)</f>
        <v>0</v>
      </c>
      <c r="Q26" s="442" t="n">
        <f aca="false">IFERROR(D26/D19,0)</f>
        <v>0</v>
      </c>
    </row>
    <row r="27" customFormat="false" ht="18" hidden="false" customHeight="true" outlineLevel="0" collapsed="false">
      <c r="A27" s="293" t="s">
        <v>712</v>
      </c>
      <c r="B27" s="293"/>
      <c r="C27" s="457" t="str">
        <f aca="false">Scenarios!B59</f>
        <v/>
      </c>
      <c r="D27" s="169" t="str">
        <f aca="false">IFERROR(IF(Scenarios!$F$40=0,"",Scenarios!F59),"")</f>
        <v/>
      </c>
      <c r="E27" s="22" t="str">
        <f aca="false">IFERROR(IF(Scenarios!$F$40=0,"",D27*(1+E6)),"")</f>
        <v/>
      </c>
      <c r="F27" s="22" t="str">
        <f aca="false">IFERROR(IF(Scenarios!$F$40=0,"",E27*(1+F6)),"")</f>
        <v/>
      </c>
      <c r="G27" s="22" t="str">
        <f aca="false">IFERROR(IF(Scenarios!$F$40=0,"",F27*(1+G6)),"")</f>
        <v/>
      </c>
      <c r="H27" s="22" t="str">
        <f aca="false">IFERROR(IF(Scenarios!$F$40=0,"",G27*(1+H6)),"")</f>
        <v/>
      </c>
      <c r="I27" s="22" t="str">
        <f aca="false">IFERROR(IF(Scenarios!$F$40=0,"",H27*(1+I6)),"")</f>
        <v/>
      </c>
      <c r="J27" s="22" t="str">
        <f aca="false">IFERROR(IF(Scenarios!$F$40=0,"",I27*(1+J6)),"")</f>
        <v/>
      </c>
      <c r="K27" s="22" t="str">
        <f aca="false">IFERROR(IF(Scenarios!$F$40=0,"",J27*(1+K6)),"")</f>
        <v/>
      </c>
      <c r="L27" s="22" t="str">
        <f aca="false">IFERROR(IF(Scenarios!$F$40=0,"",K27*(1+L6)),"")</f>
        <v/>
      </c>
      <c r="M27" s="22" t="str">
        <f aca="false">IFERROR(IF(Scenarios!$F$40=0,"",L27*(1+M6)),"")</f>
        <v/>
      </c>
      <c r="N27" s="452" t="n">
        <f aca="false">SUM(D27:H27)</f>
        <v>0</v>
      </c>
      <c r="O27" s="452" t="n">
        <f aca="false">SUM(D27:M27)</f>
        <v>0</v>
      </c>
      <c r="P27" s="452" t="n">
        <f aca="false">IFERROR(O27/10,0)</f>
        <v>0</v>
      </c>
      <c r="Q27" s="459" t="n">
        <f aca="false">IFERROR(D27/D19,0)</f>
        <v>0</v>
      </c>
    </row>
    <row r="28" customFormat="false" ht="18" hidden="false" customHeight="true" outlineLevel="0" collapsed="false">
      <c r="A28" s="297" t="s">
        <v>714</v>
      </c>
      <c r="B28" s="297"/>
      <c r="C28" s="441" t="str">
        <f aca="false">Scenarios!B60</f>
        <v/>
      </c>
      <c r="D28" s="169" t="str">
        <f aca="false">IFERROR(IF(Scenarios!$F$40=0,"",Scenarios!F60),"")</f>
        <v/>
      </c>
      <c r="E28" s="20" t="str">
        <f aca="false">IFERROR(IF(Scenarios!$F$40=0,"",D28*(1+E6)),"")</f>
        <v/>
      </c>
      <c r="F28" s="20" t="str">
        <f aca="false">IFERROR(IF(Scenarios!$F$40=0,"",E28*(1+F6)),"")</f>
        <v/>
      </c>
      <c r="G28" s="20" t="str">
        <f aca="false">IFERROR(IF(Scenarios!$F$40=0,"",F28*(1+G6)),"")</f>
        <v/>
      </c>
      <c r="H28" s="20" t="str">
        <f aca="false">IFERROR(IF(Scenarios!$F$40=0,"",G28*(1+H6)),"")</f>
        <v/>
      </c>
      <c r="I28" s="20" t="str">
        <f aca="false">IFERROR(IF(Scenarios!$F$40=0,"",H28*(1+I6)),"")</f>
        <v/>
      </c>
      <c r="J28" s="20" t="str">
        <f aca="false">IFERROR(IF(Scenarios!$F$40=0,"",I28*(1+J6)),"")</f>
        <v/>
      </c>
      <c r="K28" s="20" t="str">
        <f aca="false">IFERROR(IF(Scenarios!$F$40=0,"",J28*(1+K6)),"")</f>
        <v/>
      </c>
      <c r="L28" s="20" t="str">
        <f aca="false">IFERROR(IF(Scenarios!$F$40=0,"",K28*(1+L6)),"")</f>
        <v/>
      </c>
      <c r="M28" s="20" t="str">
        <f aca="false">IFERROR(IF(Scenarios!$F$40=0,"",L28*(1+M6)),"")</f>
        <v/>
      </c>
      <c r="N28" s="289" t="n">
        <f aca="false">SUM(D28:H28)</f>
        <v>0</v>
      </c>
      <c r="O28" s="289" t="n">
        <f aca="false">SUM(D28:M28)</f>
        <v>0</v>
      </c>
      <c r="P28" s="289" t="n">
        <f aca="false">IFERROR(O28/10,0)</f>
        <v>0</v>
      </c>
      <c r="Q28" s="442" t="n">
        <f aca="false">IFERROR(D28/D19,0)</f>
        <v>0</v>
      </c>
    </row>
    <row r="29" customFormat="false" ht="18" hidden="false" customHeight="true" outlineLevel="0" collapsed="false">
      <c r="A29" s="293" t="s">
        <v>716</v>
      </c>
      <c r="B29" s="293"/>
      <c r="C29" s="457" t="str">
        <f aca="false">Scenarios!B61</f>
        <v/>
      </c>
      <c r="D29" s="169" t="str">
        <f aca="false">IFERROR(IF(Scenarios!$F$40=0,"",Scenarios!F61),"")</f>
        <v/>
      </c>
      <c r="E29" s="22" t="str">
        <f aca="false">IFERROR(IF(Scenarios!$F$40=0,"",D29*(1+E6)),"")</f>
        <v/>
      </c>
      <c r="F29" s="22" t="str">
        <f aca="false">IFERROR(IF(Scenarios!$F$40=0,"",E29*(1+F6)),"")</f>
        <v/>
      </c>
      <c r="G29" s="22" t="str">
        <f aca="false">IFERROR(IF(Scenarios!$F$40=0,"",F29*(1+G6)),"")</f>
        <v/>
      </c>
      <c r="H29" s="22" t="str">
        <f aca="false">IFERROR(IF(Scenarios!$F$40=0,"",G29*(1+H6)),"")</f>
        <v/>
      </c>
      <c r="I29" s="22" t="str">
        <f aca="false">IFERROR(IF(Scenarios!$F$40=0,"",H29*(1+I6)),"")</f>
        <v/>
      </c>
      <c r="J29" s="22" t="str">
        <f aca="false">IFERROR(IF(Scenarios!$F$40=0,"",I29*(1+J6)),"")</f>
        <v/>
      </c>
      <c r="K29" s="22" t="str">
        <f aca="false">IFERROR(IF(Scenarios!$F$40=0,"",J29*(1+K6)),"")</f>
        <v/>
      </c>
      <c r="L29" s="22" t="str">
        <f aca="false">IFERROR(IF(Scenarios!$F$40=0,"",K29*(1+L6)),"")</f>
        <v/>
      </c>
      <c r="M29" s="22" t="str">
        <f aca="false">IFERROR(IF(Scenarios!$F$40=0,"",L29*(1+M6)),"")</f>
        <v/>
      </c>
      <c r="N29" s="452" t="n">
        <f aca="false">SUM(D29:H29)</f>
        <v>0</v>
      </c>
      <c r="O29" s="452" t="n">
        <f aca="false">SUM(D29:M29)</f>
        <v>0</v>
      </c>
      <c r="P29" s="452" t="n">
        <f aca="false">IFERROR(O29/10,0)</f>
        <v>0</v>
      </c>
      <c r="Q29" s="459" t="n">
        <f aca="false">IFERROR(D29/D19,0)</f>
        <v>0</v>
      </c>
    </row>
    <row r="30" customFormat="false" ht="18" hidden="false" customHeight="true" outlineLevel="0" collapsed="false">
      <c r="A30" s="297" t="s">
        <v>1496</v>
      </c>
      <c r="B30" s="297"/>
      <c r="C30" s="441" t="str">
        <f aca="false">IFERROR(Scenarios!B62,0)</f>
        <v/>
      </c>
      <c r="D30" s="20" t="n">
        <f aca="false">IFERROR(IF(Scenarios!$F$40=0,"",D19*$D$7),"")</f>
        <v>0</v>
      </c>
      <c r="E30" s="20" t="n">
        <f aca="false">IFERROR(IF(Scenarios!$F$40=0,"",E19*$D$7),"")</f>
        <v>0</v>
      </c>
      <c r="F30" s="20" t="n">
        <f aca="false">IFERROR(IF(Scenarios!$F$40=0,"",F19*$D$7),"")</f>
        <v>0</v>
      </c>
      <c r="G30" s="20" t="n">
        <f aca="false">IFERROR(IF(Scenarios!$F$40=0,"",G19*$D$7),"")</f>
        <v>0</v>
      </c>
      <c r="H30" s="20" t="n">
        <f aca="false">IFERROR(IF(Scenarios!$F$40=0,"",H19*$D$7),"")</f>
        <v>0</v>
      </c>
      <c r="I30" s="20" t="n">
        <f aca="false">IFERROR(IF(Scenarios!$F$40=0,"",I19*$D$7),"")</f>
        <v>0</v>
      </c>
      <c r="J30" s="20" t="n">
        <f aca="false">IFERROR(IF(Scenarios!$F$40=0,"",J19*$D$7),"")</f>
        <v>0</v>
      </c>
      <c r="K30" s="20" t="n">
        <f aca="false">IFERROR(IF(Scenarios!$F$40=0,"",K19*$D$7),"")</f>
        <v>0</v>
      </c>
      <c r="L30" s="20" t="n">
        <f aca="false">IFERROR(IF(Scenarios!$F$40=0,"",L19*$D$7),"")</f>
        <v>0</v>
      </c>
      <c r="M30" s="20" t="n">
        <f aca="false">IFERROR(IF(Scenarios!$F$40=0,"",M19*$D$7),"")</f>
        <v>0</v>
      </c>
      <c r="N30" s="289" t="n">
        <f aca="false">SUM(D30:H30)</f>
        <v>0</v>
      </c>
      <c r="O30" s="289" t="n">
        <f aca="false">SUM(D30:M30)</f>
        <v>0</v>
      </c>
      <c r="P30" s="289" t="n">
        <f aca="false">IFERROR(O30/10,0)</f>
        <v>0</v>
      </c>
      <c r="Q30" s="442" t="n">
        <f aca="false">IFERROR(D30/D19,0)</f>
        <v>0</v>
      </c>
    </row>
    <row r="31" customFormat="false" ht="18" hidden="false" customHeight="true" outlineLevel="0" collapsed="false">
      <c r="A31" s="293" t="s">
        <v>720</v>
      </c>
      <c r="B31" s="293"/>
      <c r="C31" s="457" t="str">
        <f aca="false">Scenarios!B63</f>
        <v/>
      </c>
      <c r="D31" s="169" t="n">
        <f aca="false">IFERROR(IF(Scenarios!$F$7=0,"",IFERROR(Payroll!F25,0)),"")</f>
        <v>0</v>
      </c>
      <c r="E31" s="22" t="n">
        <f aca="false">IFERROR(IF(Scenarios!$F$7=0,"",IFERROR(D31*(1+E6),0)),"")</f>
        <v>0</v>
      </c>
      <c r="F31" s="22" t="n">
        <f aca="false">IFERROR(IF(Scenarios!$F$7=0,"",IFERROR(E31*(1+F6),0)),"")</f>
        <v>0</v>
      </c>
      <c r="G31" s="22" t="n">
        <f aca="false">IFERROR(IF(Scenarios!$F$7=0,"",IFERROR(F31*(1+G6),0)),"")</f>
        <v>0</v>
      </c>
      <c r="H31" s="22" t="n">
        <f aca="false">IFERROR(IF(Scenarios!$F$7=0,"",IFERROR(G31*(1+H6),0)),"")</f>
        <v>0</v>
      </c>
      <c r="I31" s="22" t="n">
        <f aca="false">IFERROR(IF(Scenarios!$F$7=0,"",IFERROR(H31*(1+I6),0)),"")</f>
        <v>0</v>
      </c>
      <c r="J31" s="22" t="n">
        <f aca="false">IFERROR(IF(Scenarios!$F$7=0,"",IFERROR(I31*(1+J6),0)),"")</f>
        <v>0</v>
      </c>
      <c r="K31" s="22" t="n">
        <f aca="false">IFERROR(IF(Scenarios!$F$7=0,"",IFERROR(J31*(1+K6),0)),"")</f>
        <v>0</v>
      </c>
      <c r="L31" s="22" t="n">
        <f aca="false">IFERROR(IF(Scenarios!$F$7=0,"",IFERROR(K31*(1+L6),0)),"")</f>
        <v>0</v>
      </c>
      <c r="M31" s="22" t="n">
        <f aca="false">IFERROR(IF(Scenarios!$F$7=0,"",IFERROR(L31*(1+M6),0)),"")</f>
        <v>0</v>
      </c>
      <c r="N31" s="452" t="n">
        <f aca="false">SUM(D31:H31)</f>
        <v>0</v>
      </c>
      <c r="O31" s="452" t="n">
        <f aca="false">SUM(D31:M31)</f>
        <v>0</v>
      </c>
      <c r="P31" s="452" t="n">
        <f aca="false">IFERROR(O31/10,0)</f>
        <v>0</v>
      </c>
      <c r="Q31" s="459" t="n">
        <f aca="false">IFERROR(D31/D19,0)</f>
        <v>0</v>
      </c>
    </row>
    <row r="32" customFormat="false" ht="18" hidden="false" customHeight="true" outlineLevel="0" collapsed="false">
      <c r="A32" s="297" t="s">
        <v>722</v>
      </c>
      <c r="B32" s="297"/>
      <c r="C32" s="441" t="str">
        <f aca="false">Scenarios!B64</f>
        <v/>
      </c>
      <c r="D32" s="169" t="str">
        <f aca="false">IFERROR(IF(Scenarios!$F$7=0,"",Scenarios!F64),"")</f>
        <v/>
      </c>
      <c r="E32" s="20" t="str">
        <f aca="false">IFERROR(IF(Scenarios!$F$7=0,"",D32*(1+E6)),"")</f>
        <v/>
      </c>
      <c r="F32" s="20" t="str">
        <f aca="false">IFERROR(IF(Scenarios!$F$7=0,"",E32*(1+F6)),"")</f>
        <v/>
      </c>
      <c r="G32" s="20" t="str">
        <f aca="false">IFERROR(IF(Scenarios!$F$7=0,"",F32*(1+G6)),"")</f>
        <v/>
      </c>
      <c r="H32" s="20" t="str">
        <f aca="false">IFERROR(IF(Scenarios!$F$7=0,"",G32*(1+H6)),"")</f>
        <v/>
      </c>
      <c r="I32" s="20" t="str">
        <f aca="false">IFERROR(IF(Scenarios!$F$7=0,"",H32*(1+I6)),"")</f>
        <v/>
      </c>
      <c r="J32" s="20" t="str">
        <f aca="false">IFERROR(IF(Scenarios!$F$7=0,"",I32*(1+J6)),"")</f>
        <v/>
      </c>
      <c r="K32" s="20" t="str">
        <f aca="false">IFERROR(IF(Scenarios!$F$7=0,"",J32*(1+K6)),"")</f>
        <v/>
      </c>
      <c r="L32" s="20" t="str">
        <f aca="false">IFERROR(IF(Scenarios!$F$7=0,"",K32*(1+L6)),"")</f>
        <v/>
      </c>
      <c r="M32" s="20" t="str">
        <f aca="false">IFERROR(IF(Scenarios!$F$7=0,"",L32*(1+M6)),"")</f>
        <v/>
      </c>
      <c r="N32" s="289" t="n">
        <f aca="false">SUM(D32:H32)</f>
        <v>0</v>
      </c>
      <c r="O32" s="289" t="n">
        <f aca="false">SUM(D32:M32)</f>
        <v>0</v>
      </c>
      <c r="P32" s="289" t="n">
        <f aca="false">IFERROR(O32/10,0)</f>
        <v>0</v>
      </c>
      <c r="Q32" s="442" t="n">
        <f aca="false">IFERROR(D32/D19,0)</f>
        <v>0</v>
      </c>
    </row>
    <row r="33" customFormat="false" ht="18" hidden="false" customHeight="true" outlineLevel="0" collapsed="false">
      <c r="A33" s="297" t="s">
        <v>724</v>
      </c>
      <c r="B33" s="297"/>
      <c r="C33" s="441" t="str">
        <f aca="false">Scenarios!B65</f>
        <v/>
      </c>
      <c r="D33" s="169" t="str">
        <f aca="false">IFERROR(IF(Scenarios!$F$7=0,"",Scenarios!F65),"")</f>
        <v/>
      </c>
      <c r="E33" s="20" t="str">
        <f aca="false">IFERROR(IF(Scenarios!$F$7=0,"",D33*(1+E6)),"")</f>
        <v/>
      </c>
      <c r="F33" s="20" t="str">
        <f aca="false">IFERROR(IF(Scenarios!$F$7=0,"",E33*(1+F6)),"")</f>
        <v/>
      </c>
      <c r="G33" s="20" t="str">
        <f aca="false">IFERROR(IF(Scenarios!$F$7=0,"",F33*(1+G6)),"")</f>
        <v/>
      </c>
      <c r="H33" s="20" t="str">
        <f aca="false">IFERROR(IF(Scenarios!$F$7=0,"",G33*(1+H6)),"")</f>
        <v/>
      </c>
      <c r="I33" s="20" t="str">
        <f aca="false">IFERROR(IF(Scenarios!$F$7=0,"",H33*(1+I6)),"")</f>
        <v/>
      </c>
      <c r="J33" s="20" t="str">
        <f aca="false">IFERROR(IF(Scenarios!$F$7=0,"",I33*(1+J6)),"")</f>
        <v/>
      </c>
      <c r="K33" s="20" t="str">
        <f aca="false">IFERROR(IF(Scenarios!$F$7=0,"",J33*(1+K6)),"")</f>
        <v/>
      </c>
      <c r="L33" s="20" t="str">
        <f aca="false">IFERROR(IF(Scenarios!$F$7=0,"",K33*(1+L6)),"")</f>
        <v/>
      </c>
      <c r="M33" s="20" t="str">
        <f aca="false">IFERROR(IF(Scenarios!$F$7=0,"",L33*(1+M6)),"")</f>
        <v/>
      </c>
      <c r="N33" s="289" t="n">
        <f aca="false">SUM(D33:H33)</f>
        <v>0</v>
      </c>
      <c r="O33" s="289"/>
      <c r="P33" s="289"/>
      <c r="Q33" s="442"/>
    </row>
    <row r="34" customFormat="false" ht="18" hidden="false" customHeight="true" outlineLevel="0" collapsed="false">
      <c r="A34" s="293" t="s">
        <v>725</v>
      </c>
      <c r="B34" s="293"/>
      <c r="C34" s="457" t="str">
        <f aca="false">Scenarios!B66</f>
        <v/>
      </c>
      <c r="D34" s="169" t="str">
        <f aca="false">IFERROR(IF(Scenarios!$F$7=0,"",Scenarios!F66),"")</f>
        <v/>
      </c>
      <c r="E34" s="22" t="str">
        <f aca="false">IFERROR(IF(Scenarios!$F$7=0,"",D34*(1+E6)),"")</f>
        <v/>
      </c>
      <c r="F34" s="22" t="str">
        <f aca="false">IFERROR(IF(Scenarios!$F$7=0,"",E34*(1+F6)),"")</f>
        <v/>
      </c>
      <c r="G34" s="22" t="str">
        <f aca="false">IFERROR(IF(Scenarios!$F$7=0,"",F34*(1+G6)),"")</f>
        <v/>
      </c>
      <c r="H34" s="22" t="str">
        <f aca="false">IFERROR(IF(Scenarios!$F$7=0,"",G34*(1+H6)),"")</f>
        <v/>
      </c>
      <c r="I34" s="22" t="str">
        <f aca="false">IFERROR(IF(Scenarios!$F$7=0,"",H34*(1+I6)),"")</f>
        <v/>
      </c>
      <c r="J34" s="22" t="str">
        <f aca="false">IFERROR(IF(Scenarios!$F$7=0,"",I34*(1+J6)),"")</f>
        <v/>
      </c>
      <c r="K34" s="22" t="str">
        <f aca="false">IFERROR(IF(Scenarios!$F$7=0,"",J34*(1+K6)),"")</f>
        <v/>
      </c>
      <c r="L34" s="22" t="str">
        <f aca="false">IFERROR(IF(Scenarios!$F$7=0,"",K34*(1+L6)),"")</f>
        <v/>
      </c>
      <c r="M34" s="22" t="str">
        <f aca="false">IFERROR(IF(Scenarios!$F$7=0,"",L34*(1+M6)),"")</f>
        <v/>
      </c>
      <c r="N34" s="452" t="n">
        <f aca="false">SUM(D34:H34)</f>
        <v>0</v>
      </c>
      <c r="O34" s="452" t="n">
        <f aca="false">SUM(D34:M34)</f>
        <v>0</v>
      </c>
      <c r="P34" s="452" t="n">
        <f aca="false">IFERROR(O34/10,0)</f>
        <v>0</v>
      </c>
      <c r="Q34" s="459" t="n">
        <f aca="false">IFERROR(D34/D19,0)</f>
        <v>0</v>
      </c>
    </row>
    <row r="35" customFormat="false" ht="18" hidden="false" customHeight="true" outlineLevel="0" collapsed="false">
      <c r="A35" s="297" t="s">
        <v>727</v>
      </c>
      <c r="B35" s="297"/>
      <c r="C35" s="441" t="str">
        <f aca="false">Scenarios!B67</f>
        <v/>
      </c>
      <c r="D35" s="169" t="str">
        <f aca="false">IFERROR(IF(Scenarios!$F$7=0,"",Scenarios!F67),"")</f>
        <v/>
      </c>
      <c r="E35" s="20" t="str">
        <f aca="false">IFERROR(IF(Scenarios!$F$7=0,"",D35*(1+E6)),"")</f>
        <v/>
      </c>
      <c r="F35" s="20" t="str">
        <f aca="false">IFERROR(IF(Scenarios!$F$7=0,"",E35*(1+F6)),"")</f>
        <v/>
      </c>
      <c r="G35" s="20" t="str">
        <f aca="false">IFERROR(IF(Scenarios!$F$7=0,"",F35*(1+G6)),"")</f>
        <v/>
      </c>
      <c r="H35" s="20" t="str">
        <f aca="false">IFERROR(IF(Scenarios!$F$7=0,"",G35*(1+H6)),"")</f>
        <v/>
      </c>
      <c r="I35" s="20" t="str">
        <f aca="false">IFERROR(IF(Scenarios!$F$7=0,"",H35*(1+I6)),"")</f>
        <v/>
      </c>
      <c r="J35" s="20" t="str">
        <f aca="false">IFERROR(IF(Scenarios!$F$7=0,"",I35*(1+J6)),"")</f>
        <v/>
      </c>
      <c r="K35" s="20" t="str">
        <f aca="false">IFERROR(IF(Scenarios!$F$7=0,"",J35*(1+K6)),"")</f>
        <v/>
      </c>
      <c r="L35" s="20" t="str">
        <f aca="false">IFERROR(IF(Scenarios!$F$7=0,"",K35*(1+L6)),"")</f>
        <v/>
      </c>
      <c r="M35" s="20" t="str">
        <f aca="false">IFERROR(IF(Scenarios!$F$7=0,"",L35*(1+M6)),"")</f>
        <v/>
      </c>
      <c r="N35" s="289" t="n">
        <f aca="false">SUM(D35:H35)</f>
        <v>0</v>
      </c>
      <c r="O35" s="289" t="n">
        <f aca="false">SUM(D35:M35)</f>
        <v>0</v>
      </c>
      <c r="P35" s="289" t="n">
        <f aca="false">IFERROR(O35/10,0)</f>
        <v>0</v>
      </c>
      <c r="Q35" s="442" t="n">
        <f aca="false">IFERROR(D35/D19,0)</f>
        <v>0</v>
      </c>
    </row>
    <row r="36" customFormat="false" ht="18" hidden="false" customHeight="true" outlineLevel="0" collapsed="false">
      <c r="A36" s="293" t="s">
        <v>729</v>
      </c>
      <c r="B36" s="293"/>
      <c r="C36" s="457" t="str">
        <f aca="false">Scenarios!B68</f>
        <v/>
      </c>
      <c r="D36" s="169" t="str">
        <f aca="false">IFERROR(IF(Scenarios!$F$7=0,"",Scenarios!F68),"")</f>
        <v/>
      </c>
      <c r="E36" s="22" t="str">
        <f aca="false">IFERROR(IF(Scenarios!$F$7=0,"",D36*(1+E6)),"")</f>
        <v/>
      </c>
      <c r="F36" s="22" t="str">
        <f aca="false">IFERROR(IF(Scenarios!$F$7=0,"",E36*(1+F6)),"")</f>
        <v/>
      </c>
      <c r="G36" s="22" t="str">
        <f aca="false">IFERROR(IF(Scenarios!$F$7=0,"",F36*(1+G6)),"")</f>
        <v/>
      </c>
      <c r="H36" s="22" t="str">
        <f aca="false">IFERROR(IF(Scenarios!$F$7=0,"",G36*(1+H6)),"")</f>
        <v/>
      </c>
      <c r="I36" s="22" t="str">
        <f aca="false">IFERROR(IF(Scenarios!$F$7=0,"",H36*(1+I6)),"")</f>
        <v/>
      </c>
      <c r="J36" s="22" t="str">
        <f aca="false">IFERROR(IF(Scenarios!$F$7=0,"",I36*(1+J6)),"")</f>
        <v/>
      </c>
      <c r="K36" s="22" t="str">
        <f aca="false">IFERROR(IF(Scenarios!$F$7=0,"",J36*(1+K6)),"")</f>
        <v/>
      </c>
      <c r="L36" s="22" t="str">
        <f aca="false">IFERROR(IF(Scenarios!$F$7=0,"",K36*(1+L6)),"")</f>
        <v/>
      </c>
      <c r="M36" s="22" t="str">
        <f aca="false">IFERROR(IF(Scenarios!$F$7=0,"",L36*(1+M6)),"")</f>
        <v/>
      </c>
      <c r="N36" s="452" t="n">
        <f aca="false">SUM(D36:H36)</f>
        <v>0</v>
      </c>
      <c r="O36" s="452" t="n">
        <f aca="false">SUM(D36:M36)</f>
        <v>0</v>
      </c>
      <c r="P36" s="452" t="n">
        <f aca="false">IFERROR(O36/10,0)</f>
        <v>0</v>
      </c>
      <c r="Q36" s="459" t="n">
        <f aca="false">IFERROR(D36/D19,0)</f>
        <v>0</v>
      </c>
    </row>
    <row r="37" customFormat="false" ht="18" hidden="false" customHeight="true" outlineLevel="0" collapsed="false">
      <c r="A37" s="297" t="s">
        <v>731</v>
      </c>
      <c r="B37" s="297"/>
      <c r="C37" s="441" t="n">
        <f aca="false">Scenarios!B69</f>
        <v>0</v>
      </c>
      <c r="D37" s="169" t="str">
        <f aca="false">IFERROR(IF(Scenarios!$F$7=0,"",Scenarios!F69),"")</f>
        <v/>
      </c>
      <c r="E37" s="20" t="str">
        <f aca="false">IFERROR(IF(Scenarios!$F$7=0,"",D37*(1+E6)),"")</f>
        <v/>
      </c>
      <c r="F37" s="20" t="str">
        <f aca="false">IFERROR(IF(Scenarios!$F$7=0,"",E37*(1+F6)),"")</f>
        <v/>
      </c>
      <c r="G37" s="20" t="str">
        <f aca="false">IFERROR(IF(Scenarios!$F$7=0,"",F37*(1+G6)),"")</f>
        <v/>
      </c>
      <c r="H37" s="20" t="str">
        <f aca="false">IFERROR(IF(Scenarios!$F$7=0,"",G37*(1+H6)),"")</f>
        <v/>
      </c>
      <c r="I37" s="20" t="str">
        <f aca="false">IFERROR(IF(Scenarios!$F$7=0,"",H37*(1+I6)),"")</f>
        <v/>
      </c>
      <c r="J37" s="20" t="str">
        <f aca="false">IFERROR(IF(Scenarios!$F$7=0,"",I37*(1+J6)),"")</f>
        <v/>
      </c>
      <c r="K37" s="20" t="str">
        <f aca="false">IFERROR(IF(Scenarios!$F$7=0,"",J37*(1+K6)),"")</f>
        <v/>
      </c>
      <c r="L37" s="20" t="str">
        <f aca="false">IFERROR(IF(Scenarios!$F$7=0,"",K37*(1+L6)),"")</f>
        <v/>
      </c>
      <c r="M37" s="20" t="str">
        <f aca="false">IFERROR(IF(Scenarios!$F$7=0,"",L37*(1+M6)),"")</f>
        <v/>
      </c>
      <c r="N37" s="289" t="n">
        <f aca="false">SUM(D37:H37)</f>
        <v>0</v>
      </c>
      <c r="O37" s="289" t="n">
        <f aca="false">SUM(D37:M37)</f>
        <v>0</v>
      </c>
      <c r="P37" s="289" t="n">
        <f aca="false">IFERROR(O37/10,0)</f>
        <v>0</v>
      </c>
      <c r="Q37" s="442" t="n">
        <f aca="false">IFERROR(D37/D19,0)</f>
        <v>0</v>
      </c>
    </row>
    <row r="38" customFormat="false" ht="18" hidden="false" customHeight="true" outlineLevel="0" collapsed="false">
      <c r="A38" s="460" t="s">
        <v>733</v>
      </c>
      <c r="B38" s="460"/>
      <c r="C38" s="461" t="n">
        <f aca="false">SUM(C22:C37)</f>
        <v>0</v>
      </c>
      <c r="D38" s="462" t="n">
        <f aca="false">IFERROR(IF(Scenarios!$F$7=0,"",SUM(D22:D37)),"")</f>
        <v>0</v>
      </c>
      <c r="E38" s="462" t="n">
        <f aca="false">IFERROR(IF(Scenarios!$F$7=0,"",SUM(E22:E37)),"")</f>
        <v>0</v>
      </c>
      <c r="F38" s="462" t="n">
        <f aca="false">IFERROR(IF(Scenarios!$F$7=0,"",SUM(F22:F37)),"")</f>
        <v>0</v>
      </c>
      <c r="G38" s="462" t="n">
        <f aca="false">IFERROR(IF(Scenarios!$F$7=0,"",SUM(G22:G37)),"")</f>
        <v>0</v>
      </c>
      <c r="H38" s="462" t="n">
        <f aca="false">IFERROR(IF(Scenarios!$F$7=0,"",SUM(H22:H37)),"")</f>
        <v>0</v>
      </c>
      <c r="I38" s="462" t="n">
        <f aca="false">IFERROR(IF(Scenarios!$F$7=0,"",SUM(I22:I37)),"")</f>
        <v>0</v>
      </c>
      <c r="J38" s="462" t="n">
        <f aca="false">IFERROR(IF(Scenarios!$F$7=0,"",SUM(J22:J37)),"")</f>
        <v>0</v>
      </c>
      <c r="K38" s="462" t="n">
        <f aca="false">IFERROR(IF(Scenarios!$F$7=0,"",SUM(K22:K37)),"")</f>
        <v>0</v>
      </c>
      <c r="L38" s="462" t="n">
        <f aca="false">IFERROR(IF(Scenarios!$F$7=0,"",SUM(L22:L37)),"")</f>
        <v>0</v>
      </c>
      <c r="M38" s="462" t="n">
        <f aca="false">IFERROR(IF(Scenarios!$F$7=0,"",SUM(M22:M37)),"")</f>
        <v>0</v>
      </c>
      <c r="N38" s="463" t="n">
        <f aca="false">SUM(D38:H38)</f>
        <v>0</v>
      </c>
      <c r="O38" s="463" t="n">
        <f aca="false">SUM(D38:M38)</f>
        <v>0</v>
      </c>
      <c r="P38" s="463" t="n">
        <f aca="false">IFERROR(O38/10,0)</f>
        <v>0</v>
      </c>
      <c r="Q38" s="464" t="n">
        <f aca="false">IFERROR(D38/D19,0)</f>
        <v>0</v>
      </c>
    </row>
    <row r="39" customFormat="false" ht="18" hidden="false" customHeight="true" outlineLevel="0" collapsed="false">
      <c r="A39" s="433"/>
      <c r="B39" s="433"/>
    </row>
    <row r="40" customFormat="false" ht="18" hidden="false" customHeight="true" outlineLevel="0" collapsed="false">
      <c r="A40" s="243" t="s">
        <v>1497</v>
      </c>
      <c r="B40" s="243"/>
      <c r="C40" s="465" t="n">
        <f aca="false">C19-C38</f>
        <v>0</v>
      </c>
      <c r="D40" s="466" t="n">
        <f aca="false">IFERROR(IF(Scenarios!$F$7=0,"",D19-D38),"")</f>
        <v>0</v>
      </c>
      <c r="E40" s="466" t="n">
        <f aca="false">IFERROR(IF(Scenarios!$F$7=0,"",E19-E38),"")</f>
        <v>0</v>
      </c>
      <c r="F40" s="466" t="n">
        <f aca="false">IFERROR(IF(Scenarios!$F$7=0,"",F19-F38),"")</f>
        <v>0</v>
      </c>
      <c r="G40" s="466" t="n">
        <f aca="false">IFERROR(IF(Scenarios!$F$7=0,"",G19-G38),"")</f>
        <v>0</v>
      </c>
      <c r="H40" s="466" t="n">
        <f aca="false">IFERROR(IF(Scenarios!$F$7=0,"",H19-H38),"")</f>
        <v>0</v>
      </c>
      <c r="I40" s="466" t="n">
        <f aca="false">IFERROR(IF(Scenarios!$F$7=0,"",I19-I38),"")</f>
        <v>0</v>
      </c>
      <c r="J40" s="466" t="n">
        <f aca="false">IFERROR(IF(Scenarios!$F$7=0,"",J19-J38),"")</f>
        <v>0</v>
      </c>
      <c r="K40" s="466" t="n">
        <f aca="false">IFERROR(IF(Scenarios!$F$7=0,"",K19-K38),"")</f>
        <v>0</v>
      </c>
      <c r="L40" s="466" t="n">
        <f aca="false">IFERROR(IF(Scenarios!$F$7=0,"",L19-L38),"")</f>
        <v>0</v>
      </c>
      <c r="M40" s="466" t="n">
        <f aca="false">IFERROR(IF(Scenarios!$F$7=0,"",M19-M38),"")</f>
        <v>0</v>
      </c>
      <c r="N40" s="467" t="n">
        <f aca="false">SUM(D40:H40)</f>
        <v>0</v>
      </c>
      <c r="O40" s="467" t="n">
        <f aca="false">SUM(D40:M40)</f>
        <v>0</v>
      </c>
      <c r="P40" s="467" t="n">
        <f aca="false">IFERROR(O40/10,0)</f>
        <v>0</v>
      </c>
      <c r="Q40" s="468" t="n">
        <f aca="false">IFERROR(D40/D19,0)</f>
        <v>0</v>
      </c>
    </row>
    <row r="41" customFormat="false" ht="18" hidden="false" customHeight="true" outlineLevel="0" collapsed="false"/>
    <row r="42" customFormat="false" ht="24" hidden="false" customHeight="true" outlineLevel="0" collapsed="false">
      <c r="A42" s="17" t="s">
        <v>1498</v>
      </c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customFormat="false" ht="24" hidden="false" customHeight="true" outlineLevel="0" collapsed="false">
      <c r="A43" s="469" t="s">
        <v>1499</v>
      </c>
      <c r="B43" s="469"/>
      <c r="C43" s="289"/>
      <c r="D43" s="20" t="n">
        <f aca="false">IFERROR(IF(Scenarios!$F$7=0,"",-Loans!C70),"")</f>
        <v>-0</v>
      </c>
      <c r="E43" s="20" t="n">
        <f aca="false">IFERROR(IF(Scenarios!$F$7=0,"",-Loans!D70),"")</f>
        <v>-0</v>
      </c>
      <c r="F43" s="20" t="n">
        <f aca="false">IFERROR(IF(Scenarios!$F$7=0,"",-Loans!E70),"")</f>
        <v>-0</v>
      </c>
      <c r="G43" s="20" t="n">
        <f aca="false">IFERROR(IF(Scenarios!$F$7=0,"",-Loans!F70),"")</f>
        <v>-0</v>
      </c>
      <c r="H43" s="20" t="n">
        <f aca="false">IFERROR(IF(Scenarios!$F$7=0,"",-Loans!G70),"")</f>
        <v>-0</v>
      </c>
      <c r="I43" s="20" t="n">
        <f aca="false">IFERROR(IF(Scenarios!$F$7=0,"",-Loans!H70),"")</f>
        <v>-0</v>
      </c>
      <c r="J43" s="20" t="n">
        <f aca="false">IFERROR(IF(Scenarios!$F$7=0,"",-Loans!I70),"")</f>
        <v>-0</v>
      </c>
      <c r="K43" s="20" t="n">
        <f aca="false">IFERROR(IF(Scenarios!$F$7=0,"",-Loans!J70),"")</f>
        <v>-0</v>
      </c>
      <c r="L43" s="20" t="n">
        <f aca="false">IFERROR(IF(Scenarios!$F$7=0,"",-Loans!K70),"")</f>
        <v>-0</v>
      </c>
      <c r="M43" s="20" t="n">
        <f aca="false">IFERROR(IF(Scenarios!$F$7=0,"",-Loans!L70),"")</f>
        <v>-0</v>
      </c>
    </row>
    <row r="44" customFormat="false" ht="24" hidden="false" customHeight="true" outlineLevel="0" collapsed="false">
      <c r="A44" s="8" t="s">
        <v>1500</v>
      </c>
      <c r="B44" s="8"/>
      <c r="C44" s="452"/>
      <c r="D44" s="22" t="str">
        <f aca="false">IFERROR(IF(Scenarios!$F$7=0,"",-Loans!C69),"")</f>
        <v/>
      </c>
      <c r="E44" s="22" t="str">
        <f aca="false">IFERROR(IF(Scenarios!$F$7=0,"",-Loans!D69),"")</f>
        <v/>
      </c>
      <c r="F44" s="22" t="str">
        <f aca="false">IFERROR(IF(Scenarios!$F$7=0,"",-Loans!E69),"")</f>
        <v/>
      </c>
      <c r="G44" s="22" t="str">
        <f aca="false">IFERROR(IF(Scenarios!$F$7=0,"",-Loans!F69),"")</f>
        <v/>
      </c>
      <c r="H44" s="22" t="str">
        <f aca="false">IFERROR(IF(Scenarios!$F$7=0,"",-Loans!G69),"")</f>
        <v/>
      </c>
      <c r="I44" s="22" t="str">
        <f aca="false">IFERROR(IF(Scenarios!$F$7=0,"",-Loans!H69),"")</f>
        <v/>
      </c>
      <c r="J44" s="22" t="str">
        <f aca="false">IFERROR(IF(Scenarios!$F$7=0,"",-Loans!I69),"")</f>
        <v/>
      </c>
      <c r="K44" s="22" t="str">
        <f aca="false">IFERROR(IF(Scenarios!$F$7=0,"",-Loans!J69),"")</f>
        <v/>
      </c>
      <c r="L44" s="22" t="str">
        <f aca="false">IFERROR(IF(Scenarios!$F$7=0,"",-Loans!K69),"")</f>
        <v/>
      </c>
      <c r="M44" s="22" t="str">
        <f aca="false">IFERROR(IF(Scenarios!$F$7=0,"",-Loans!L69),"")</f>
        <v/>
      </c>
    </row>
    <row r="45" customFormat="false" ht="24" hidden="false" customHeight="true" outlineLevel="0" collapsed="false">
      <c r="A45" s="469" t="s">
        <v>44</v>
      </c>
      <c r="B45" s="469"/>
      <c r="C45" s="289"/>
      <c r="D45" s="20" t="str">
        <f aca="false">IFERROR(IF(Scenarios!$F$7=0,"",-Loans!C71),"")</f>
        <v/>
      </c>
      <c r="E45" s="20" t="str">
        <f aca="false">IFERROR(IF(Scenarios!$F$7=0,"",-Loans!D71),"")</f>
        <v/>
      </c>
      <c r="F45" s="20" t="str">
        <f aca="false">IFERROR(IF(Scenarios!$F$7=0,"",-Loans!E71),"")</f>
        <v/>
      </c>
      <c r="G45" s="20" t="str">
        <f aca="false">IFERROR(IF(Scenarios!$F$7=0,"",-Loans!F71),"")</f>
        <v/>
      </c>
      <c r="H45" s="20" t="str">
        <f aca="false">IFERROR(IF(Scenarios!$F$7=0,"",-Loans!G71),"")</f>
        <v/>
      </c>
      <c r="I45" s="20" t="str">
        <f aca="false">IFERROR(IF(Scenarios!$F$7=0,"",-Loans!H71),"")</f>
        <v/>
      </c>
      <c r="J45" s="20" t="str">
        <f aca="false">IFERROR(IF(Scenarios!$F$7=0,"",-Loans!I71),"")</f>
        <v/>
      </c>
      <c r="K45" s="20" t="str">
        <f aca="false">IFERROR(IF(Scenarios!$F$7=0,"",-Loans!J71),"")</f>
        <v/>
      </c>
      <c r="L45" s="20" t="str">
        <f aca="false">IFERROR(IF(Scenarios!$F$7=0,"",-Loans!K71),"")</f>
        <v/>
      </c>
      <c r="M45" s="20" t="str">
        <f aca="false">IFERROR(IF(Scenarios!$F$7=0,"",-Loans!L71),"")</f>
        <v/>
      </c>
    </row>
    <row r="46" customFormat="false" ht="18" hidden="false" customHeight="true" outlineLevel="0" collapsed="false">
      <c r="A46" s="470" t="s">
        <v>1501</v>
      </c>
      <c r="B46" s="470"/>
      <c r="C46" s="28" t="n">
        <f aca="false">-Loans!$E$11</f>
        <v>-0</v>
      </c>
      <c r="D46" s="471" t="n">
        <f aca="false">IFERROR(IF(Scenarios!$F$7=0,"",SUM(D43:D45)),"")</f>
        <v>0</v>
      </c>
      <c r="E46" s="471" t="n">
        <f aca="false">IFERROR(IF(Scenarios!$F$7=0,"",SUM(E43:E45)),"")</f>
        <v>0</v>
      </c>
      <c r="F46" s="471" t="n">
        <f aca="false">IFERROR(IF(Scenarios!$F$7=0,"",SUM(F43:F45)),"")</f>
        <v>0</v>
      </c>
      <c r="G46" s="471" t="n">
        <f aca="false">IFERROR(IF(Scenarios!$F$7=0,"",SUM(G43:G45)),"")</f>
        <v>0</v>
      </c>
      <c r="H46" s="471" t="n">
        <f aca="false">IFERROR(IF(Scenarios!$F$7=0,"",SUM(H43:H45)),"")</f>
        <v>0</v>
      </c>
      <c r="I46" s="471" t="n">
        <f aca="false">IFERROR(IF(Scenarios!$F$7=0,"",SUM(I43:I45)),"")</f>
        <v>0</v>
      </c>
      <c r="J46" s="471" t="n">
        <f aca="false">IFERROR(IF(Scenarios!$F$7=0,"",SUM(J43:J45)),"")</f>
        <v>0</v>
      </c>
      <c r="K46" s="471" t="n">
        <f aca="false">IFERROR(IF(Scenarios!$F$7=0,"",SUM(K43:K45)),"")</f>
        <v>0</v>
      </c>
      <c r="L46" s="471" t="n">
        <f aca="false">IFERROR(IF(Scenarios!$F$7=0,"",SUM(L43:L45)),"")</f>
        <v>0</v>
      </c>
      <c r="M46" s="471" t="n">
        <f aca="false">IFERROR(IF(Scenarios!$F$7=0,"",SUM(M43:M45)),"")</f>
        <v>0</v>
      </c>
      <c r="N46" s="472" t="n">
        <f aca="false">IFERROR(IF(Scenarios!$F$7=0,"",SUM(D46:H46)),"")</f>
        <v>0</v>
      </c>
      <c r="O46" s="472" t="n">
        <f aca="false">IFERROR(IF(Scenarios!$F$7=0,"",SUM(D46:M46)),"")</f>
        <v>0</v>
      </c>
      <c r="P46" s="472" t="n">
        <f aca="false">IFERROR(IF(Scenarios!$F$7=0,"",O46/10),"")</f>
        <v>0</v>
      </c>
      <c r="Q46" s="442" t="n">
        <f aca="false">IFERROR(ABS(D46)/D19,0)</f>
        <v>0</v>
      </c>
    </row>
    <row r="47" customFormat="false" ht="18" hidden="false" customHeight="true" outlineLevel="0" collapsed="false">
      <c r="A47" s="473"/>
      <c r="B47" s="473"/>
    </row>
    <row r="48" customFormat="false" ht="18" hidden="false" customHeight="true" outlineLevel="0" collapsed="false">
      <c r="A48" s="292" t="s">
        <v>1502</v>
      </c>
      <c r="B48" s="292"/>
      <c r="C48" s="170" t="n">
        <f aca="false">C40+C46</f>
        <v>0</v>
      </c>
      <c r="D48" s="55" t="n">
        <f aca="false">IFERROR(IF(Scenarios!$F$7=0,"",D40+D46),"")</f>
        <v>0</v>
      </c>
      <c r="E48" s="55" t="n">
        <f aca="false">IFERROR(IF(Scenarios!$F$7=0,"",E40+E46),"")</f>
        <v>0</v>
      </c>
      <c r="F48" s="55" t="n">
        <f aca="false">IFERROR(IF(Scenarios!$F$7=0,"",F40+F46),"")</f>
        <v>0</v>
      </c>
      <c r="G48" s="55" t="n">
        <f aca="false">IFERROR(IF(Scenarios!$F$7=0,"",G40+G46),"")</f>
        <v>0</v>
      </c>
      <c r="H48" s="55" t="n">
        <f aca="false">IFERROR(IF(Scenarios!$F$7=0,"",H40+H46),"")</f>
        <v>0</v>
      </c>
      <c r="I48" s="55" t="n">
        <f aca="false">IFERROR(IF(Scenarios!$F$7=0,"",I40+I46),"")</f>
        <v>0</v>
      </c>
      <c r="J48" s="55" t="n">
        <f aca="false">IFERROR(IF(Scenarios!$F$7=0,"",J40+J46),"")</f>
        <v>0</v>
      </c>
      <c r="K48" s="55" t="n">
        <f aca="false">IFERROR(IF(Scenarios!$F$7=0,"",K40+K46),"")</f>
        <v>0</v>
      </c>
      <c r="L48" s="55" t="n">
        <f aca="false">IFERROR(IF(Scenarios!$F$7=0,"",L40+L46),"")</f>
        <v>0</v>
      </c>
      <c r="M48" s="55" t="n">
        <f aca="false">IFERROR(IF(Scenarios!$F$7=0,"",M40+M46),"")</f>
        <v>0</v>
      </c>
      <c r="N48" s="170" t="n">
        <f aca="false">SUM(D48:H48)</f>
        <v>0</v>
      </c>
      <c r="O48" s="170" t="n">
        <f aca="false">SUM(D48:M48)</f>
        <v>0</v>
      </c>
      <c r="P48" s="474" t="n">
        <f aca="false">IFERROR(IF(Scenarios!$F$7=0,"",O48/10),"")</f>
        <v>0</v>
      </c>
      <c r="Q48" s="475" t="n">
        <f aca="false">IFERROR(D48/D19,0)</f>
        <v>0</v>
      </c>
    </row>
    <row r="49" customFormat="false" ht="18" hidden="false" customHeight="true" outlineLevel="0" collapsed="false">
      <c r="A49" s="223" t="s">
        <v>241</v>
      </c>
      <c r="B49" s="223"/>
      <c r="C49" s="476" t="n">
        <v>0</v>
      </c>
      <c r="D49" s="477" t="n">
        <f aca="false">IFERROR(IF(Scenarios!$F$7=0,"",MIN(MAX(-D48,0),MAX(Scenarios!$F$13,0))),"")</f>
        <v>0</v>
      </c>
      <c r="E49" s="477" t="str">
        <f aca="false">IFERROR(IF(Scenarios!$F$7=0,"",MIN(MAX(-E48,0),MAX(Scenarios!$F$13-D49,0))),"")</f>
        <v/>
      </c>
      <c r="F49" s="477" t="str">
        <f aca="false">IFERROR(IF(Scenarios!$F$7=0,"",MIN(MAX(-F48,0),MAX(Scenarios!$F$13-D49+E49,0))),"")</f>
        <v/>
      </c>
      <c r="G49" s="477" t="str">
        <f aca="false">IFERROR(IF(Scenarios!$F$7=0,"",MIN(MAX(-G48,0),MAX(Scenarios!$F$13-D49+E49+F49,0))),"")</f>
        <v/>
      </c>
      <c r="H49" s="477" t="str">
        <f aca="false">IFERROR(IF(Scenarios!$F$7=0,"",MIN(MAX(-H48,0),MAX(Scenarios!$F$13-D49+E49+F49+G49,0))),"")</f>
        <v/>
      </c>
      <c r="I49" s="477" t="str">
        <f aca="false">IFERROR(IF(Scenarios!$F$7=0,"",MIN(MAX(-I48,0),MAX(Scenarios!$F$13-D49+E49+F49+G49+H49,0))),"")</f>
        <v/>
      </c>
      <c r="J49" s="477" t="str">
        <f aca="false">IFERROR(IF(Scenarios!$F$7=0,"",MIN(MAX(-J48,0),MAX(Scenarios!$F$13-D49+E49+F49+G49+H49+I49,0))),"")</f>
        <v/>
      </c>
      <c r="K49" s="477" t="str">
        <f aca="false">IFERROR(IF(Scenarios!$F$7=0,"",MIN(MAX(-K48,0),MAX(Scenarios!$F$13-D49+E49+F49+G49+H49+I49+J49,0))),"")</f>
        <v/>
      </c>
      <c r="L49" s="477" t="str">
        <f aca="false">IFERROR(IF(Scenarios!$F$7=0,"",MIN(MAX(-L48,0),MAX(Scenarios!$F$13-D49+E49+F49+G49+H49+I49+J49+K49,0))),"")</f>
        <v/>
      </c>
      <c r="M49" s="477" t="str">
        <f aca="false">IFERROR(IF(Scenarios!$F$7=0,"",MIN(MAX(-M48,0),MAX(Scenarios!$F$13-D49+E49+F49+G49+H49+I49+J49+K49+L49,0))),"")</f>
        <v/>
      </c>
      <c r="N49" s="474" t="n">
        <f aca="false">IFERROR(IF(Scenarios!$F$7=0,"",SUM(D49:H49)),"")</f>
        <v>0</v>
      </c>
      <c r="O49" s="474" t="n">
        <f aca="false">IFERROR(IF(Scenarios!$F$7=0,"",SUM(D49:M49)),"")</f>
        <v>0</v>
      </c>
      <c r="P49" s="478" t="n">
        <f aca="false">SUM(D49:M49)</f>
        <v>0</v>
      </c>
      <c r="Q49" s="479" t="s">
        <v>1503</v>
      </c>
    </row>
    <row r="50" customFormat="false" ht="24" hidden="false" customHeight="true" outlineLevel="0" collapsed="false">
      <c r="A50" s="480" t="s">
        <v>1504</v>
      </c>
      <c r="B50" s="480"/>
      <c r="C50" s="481" t="n">
        <f aca="false">C40+C46</f>
        <v>0</v>
      </c>
      <c r="D50" s="482" t="n">
        <f aca="false">IFERROR(IF(Scenarios!$F$7=0,"",D48+D49),"")</f>
        <v>0</v>
      </c>
      <c r="E50" s="482" t="str">
        <f aca="false">IFERROR(IF(Scenarios!$F$7=0,"",E48+E49),"")</f>
        <v/>
      </c>
      <c r="F50" s="482" t="str">
        <f aca="false">IFERROR(IF(Scenarios!$F$7=0,"",F48+F49),"")</f>
        <v/>
      </c>
      <c r="G50" s="482" t="str">
        <f aca="false">IFERROR(IF(Scenarios!$F$7=0,"",G48+G49),"")</f>
        <v/>
      </c>
      <c r="H50" s="482" t="str">
        <f aca="false">IFERROR(IF(Scenarios!$F$7=0,"",H48+H49),"")</f>
        <v/>
      </c>
      <c r="I50" s="482" t="str">
        <f aca="false">IFERROR(IF(Scenarios!$F$7=0,"",I48+I49),"")</f>
        <v/>
      </c>
      <c r="J50" s="482" t="str">
        <f aca="false">IFERROR(IF(Scenarios!$F$7=0,"",J48+J49),"")</f>
        <v/>
      </c>
      <c r="K50" s="482" t="str">
        <f aca="false">IFERROR(IF(Scenarios!$F$7=0,"",K48+K49),"")</f>
        <v/>
      </c>
      <c r="L50" s="482" t="str">
        <f aca="false">IFERROR(IF(Scenarios!$F$7=0,"",L48+L49),"")</f>
        <v/>
      </c>
      <c r="M50" s="482" t="str">
        <f aca="false">IFERROR(IF(Scenarios!$F$7=0,"",M48+M49),"")</f>
        <v/>
      </c>
      <c r="N50" s="474" t="n">
        <f aca="false">IFERROR(IF(Scenarios!$F$7=0,"",SUM(D50:H50)),"")</f>
        <v>0</v>
      </c>
      <c r="O50" s="474" t="n">
        <f aca="false">IFERROR(IF(Scenarios!$F$7=0,"",SUM(D50:M50)),"")</f>
        <v>0</v>
      </c>
      <c r="P50" s="474" t="n">
        <f aca="false">IFERROR(IF(Scenarios!$F$7=0,"",O50/10),"")</f>
        <v>0</v>
      </c>
      <c r="Q50" s="479" t="s">
        <v>1505</v>
      </c>
    </row>
    <row r="51" customFormat="false" ht="18" hidden="false" customHeight="true" outlineLevel="0" collapsed="false">
      <c r="A51" s="293"/>
      <c r="B51" s="293"/>
      <c r="C51" s="483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484"/>
      <c r="O51" s="484"/>
      <c r="P51" s="484"/>
      <c r="Q51" s="442"/>
    </row>
    <row r="52" customFormat="false" ht="18" hidden="false" customHeight="true" outlineLevel="0" collapsed="false">
      <c r="A52" s="473" t="s">
        <v>1506</v>
      </c>
      <c r="B52" s="473"/>
      <c r="C52" s="484"/>
      <c r="D52" s="484"/>
      <c r="E52" s="484"/>
      <c r="F52" s="484"/>
      <c r="G52" s="484"/>
      <c r="H52" s="484"/>
      <c r="I52" s="484"/>
      <c r="J52" s="484"/>
      <c r="K52" s="484"/>
      <c r="L52" s="484"/>
      <c r="M52" s="484"/>
      <c r="N52" s="484"/>
      <c r="O52" s="484"/>
      <c r="P52" s="484"/>
      <c r="Q52" s="484"/>
    </row>
    <row r="53" customFormat="false" ht="18" hidden="false" customHeight="true" outlineLevel="0" collapsed="false">
      <c r="A53" s="297" t="s">
        <v>1507</v>
      </c>
      <c r="B53" s="297"/>
      <c r="C53" s="483"/>
      <c r="D53" s="20" t="n">
        <f aca="false">IFERROR(IF(Scenarios!$F$7=0,"",IFERROR(MAX(MIN(D48,Scenarios!$F$31*0.015),0),0)),"")</f>
        <v>0</v>
      </c>
      <c r="E53" s="20" t="n">
        <f aca="false">IFERROR(IF(Scenarios!$F$7=0,"",IFERROR(MAX(MIN(E48,Scenarios!$F$31*0.015),0),0)),"")</f>
        <v>0</v>
      </c>
      <c r="F53" s="20" t="n">
        <f aca="false">IFERROR(IF(Scenarios!$F$7=0,"",IFERROR(MAX(MIN(F48,Scenarios!$F$31*0.015),0),0)),"")</f>
        <v>0</v>
      </c>
      <c r="G53" s="20" t="n">
        <f aca="false">IFERROR(IF(Scenarios!$F$7=0,"",IFERROR(MAX(MIN(G48,Scenarios!$F$31*0.015),0),0)),"")</f>
        <v>0</v>
      </c>
      <c r="H53" s="20" t="n">
        <f aca="false">IFERROR(IF(Scenarios!$F$7=0,"",IFERROR(MAX(MIN(H48,Scenarios!$F$31*0.015),0),0)),"")</f>
        <v>0</v>
      </c>
      <c r="I53" s="20" t="n">
        <f aca="false">IFERROR(IF(Scenarios!$F$7=0,"",IFERROR(MAX(MIN(I48,Scenarios!$F$31*0.015),0),0)),"")</f>
        <v>0</v>
      </c>
      <c r="J53" s="20" t="n">
        <f aca="false">IFERROR(IF(Scenarios!$F$7=0,"",IFERROR(MAX(MIN(J48,Scenarios!$F$31*0.015),0),0)),"")</f>
        <v>0</v>
      </c>
      <c r="K53" s="20" t="n">
        <f aca="false">IFERROR(IF(Scenarios!$F$7=0,"",IFERROR(MAX(MIN(K48,Scenarios!$F$31*0.015),0),0)),"")</f>
        <v>0</v>
      </c>
      <c r="L53" s="20" t="n">
        <f aca="false">IFERROR(IF(Scenarios!$F$7=0,"",IFERROR(MAX(MIN(L48,Scenarios!$F$31*0.015),0),0)),"")</f>
        <v>0</v>
      </c>
      <c r="M53" s="20" t="n">
        <f aca="false">IFERROR(IF(Scenarios!$F$7=0,"",IFERROR(MAX(MIN(M48,Scenarios!$F$31*0.015),0),0)),"")</f>
        <v>0</v>
      </c>
      <c r="N53" s="474" t="n">
        <f aca="false">IFERROR(IF(Scenarios!$F$7=0,"",SUM(D53:H53)),"")</f>
        <v>0</v>
      </c>
      <c r="O53" s="474" t="n">
        <f aca="false">IFERROR(IF(Scenarios!$F$7=0,"",SUM(D53:M53)),"")</f>
        <v>0</v>
      </c>
      <c r="P53" s="474" t="n">
        <f aca="false">IFERROR(IF(Scenarios!$F$7=0,"",O53/10),"")</f>
        <v>0</v>
      </c>
      <c r="Q53" s="27" t="str">
        <f aca="false">IFERROR(IF(Scenarios!$F$7=0,"",D53/D19),"")</f>
        <v/>
      </c>
    </row>
    <row r="54" customFormat="false" ht="18" hidden="false" customHeight="true" outlineLevel="0" collapsed="false">
      <c r="A54" s="293" t="s">
        <v>1508</v>
      </c>
      <c r="B54" s="293"/>
      <c r="C54" s="483"/>
      <c r="D54" s="20" t="n">
        <f aca="false">IFERROR(IF(Scenarios!$F$7=0,"",IFERROR(MIN(MAX(D48-D53,0),Scenarios!F33*Scenarios!F35),0)),"")</f>
        <v>0</v>
      </c>
      <c r="E54" s="20" t="n">
        <f aca="false">IFERROR(IF(Scenarios!$F$7=0,"",IFERROR(MIN(MAX(E48-E53,0),Scenarios!F33*Scenarios!F35),0)),"")</f>
        <v>0</v>
      </c>
      <c r="F54" s="20" t="n">
        <f aca="false">IFERROR(IF(Scenarios!$F$7=0,"",IFERROR(MIN(MAX(F48-F53,0),Scenarios!F33*Scenarios!F35),0)),"")</f>
        <v>0</v>
      </c>
      <c r="G54" s="20" t="n">
        <f aca="false">IFERROR(IF(Scenarios!$F$7=0,"",IFERROR(MIN(MAX(G48-G53,0),Scenarios!F33*Scenarios!F35),0)),"")</f>
        <v>0</v>
      </c>
      <c r="H54" s="20" t="n">
        <f aca="false">IFERROR(IF(Scenarios!$F$7=0,"",IFERROR(MIN(MAX(H48-H53,0),Scenarios!F33*Scenarios!F35),0)),"")</f>
        <v>0</v>
      </c>
      <c r="I54" s="20" t="n">
        <f aca="false">IFERROR(IF(Scenarios!$F$7=0,"",IFERROR(MIN(MAX(I48-I53,0),Scenarios!F33*Scenarios!F35),0)),"")</f>
        <v>0</v>
      </c>
      <c r="J54" s="20" t="n">
        <f aca="false">IFERROR(IF(Scenarios!$F$7=0,"",IFERROR(MIN(MAX(J48-J53,0),Scenarios!F33*Scenarios!F35),0)),"")</f>
        <v>0</v>
      </c>
      <c r="K54" s="20" t="n">
        <f aca="false">IFERROR(IF(Scenarios!$F$7=0,"",IFERROR(MIN(MAX(K48-K53,0),Scenarios!F33*Scenarios!F35),0)),"")</f>
        <v>0</v>
      </c>
      <c r="L54" s="20" t="n">
        <f aca="false">IFERROR(IF(Scenarios!$F$7=0,"",IFERROR(MIN(MAX(L48-L53,0),Scenarios!F33*Scenarios!F35),0)),"")</f>
        <v>0</v>
      </c>
      <c r="M54" s="20" t="n">
        <f aca="false">IFERROR(IF(Scenarios!$F$7=0,"",IFERROR(MIN(MAX(M48-M53,0),Scenarios!F33*Scenarios!F35),0)),"")</f>
        <v>0</v>
      </c>
      <c r="N54" s="471" t="n">
        <f aca="false">IFERROR(IF(Scenarios!$F$7=0,"",SUM(D54:H54)),"")</f>
        <v>0</v>
      </c>
      <c r="O54" s="471" t="n">
        <f aca="false">IFERROR(IF(Scenarios!$F$7=0,"",SUM(D54:M54)),"")</f>
        <v>0</v>
      </c>
      <c r="P54" s="474" t="n">
        <f aca="false">IFERROR(IF(Scenarios!$F$7=0,"",O54/10),"")</f>
        <v>0</v>
      </c>
      <c r="Q54" s="27" t="str">
        <f aca="false">IFERROR(IF(Scenarios!$F$7=0,"",D54/D19),"")</f>
        <v/>
      </c>
    </row>
    <row r="55" customFormat="false" ht="18" hidden="false" customHeight="true" outlineLevel="0" collapsed="false">
      <c r="A55" s="297" t="s">
        <v>1509</v>
      </c>
      <c r="B55" s="297"/>
      <c r="C55" s="483"/>
      <c r="D55" s="20" t="n">
        <f aca="false">IFERROR(IF(Scenarios!$F$7=0,"",IFERROR(MAX(D48-D53-D54,0)*(1-Scenarios!F37),0)),"")</f>
        <v>0</v>
      </c>
      <c r="E55" s="20" t="n">
        <f aca="false">IFERROR(IF(Scenarios!$F$7=0,"",IFERROR(MAX(E48-E53-E54,0)*(1-Scenarios!F37),0)),"")</f>
        <v>0</v>
      </c>
      <c r="F55" s="20" t="n">
        <f aca="false">IFERROR(IF(Scenarios!$F$7=0,"",IFERROR(MAX(F48-F53-F54,0)*(1-Scenarios!F37),0)),"")</f>
        <v>0</v>
      </c>
      <c r="G55" s="20" t="n">
        <f aca="false">IFERROR(IF(Scenarios!$F$7=0,"",IFERROR(MAX(G48-G53-G54,0)*(1-Scenarios!F37),0)),"")</f>
        <v>0</v>
      </c>
      <c r="H55" s="20" t="n">
        <f aca="false">IFERROR(IF(Scenarios!$F$7=0,"",IFERROR(MAX(H48-H53-H54,0)*(1-Scenarios!F37),0)),"")</f>
        <v>0</v>
      </c>
      <c r="I55" s="20" t="n">
        <f aca="false">IFERROR(IF(Scenarios!$F$7=0,"",IFERROR(MAX(I48-I53-I54,0)*(1-Scenarios!F37),0)),"")</f>
        <v>0</v>
      </c>
      <c r="J55" s="20" t="n">
        <f aca="false">IFERROR(IF(Scenarios!$F$7=0,"",IFERROR(MAX(J48-J53-J54,0)*(1-Scenarios!F37),0)),"")</f>
        <v>0</v>
      </c>
      <c r="K55" s="20" t="n">
        <f aca="false">IFERROR(IF(Scenarios!$F$7=0,"",IFERROR(MAX(K48-K53-K54,0)*(1-Scenarios!F37),0)),"")</f>
        <v>0</v>
      </c>
      <c r="L55" s="20" t="n">
        <f aca="false">IFERROR(IF(Scenarios!$F$7=0,"",IFERROR(MAX(L48-L53-L54,0)*(1-Scenarios!F37),0)),"")</f>
        <v>0</v>
      </c>
      <c r="M55" s="20" t="n">
        <f aca="false">IFERROR(IF(Scenarios!$F$7=0,"",IFERROR(MAX(M48-M53-M54,0)*(1-Scenarios!F37),0)),"")</f>
        <v>0</v>
      </c>
      <c r="N55" s="474" t="n">
        <f aca="false">IFERROR(IF(Scenarios!$F$7=0,"",SUM(D55:H55)),"")</f>
        <v>0</v>
      </c>
      <c r="O55" s="474" t="n">
        <f aca="false">IFERROR(IF(Scenarios!$F$7=0,"",SUM(D55:M55)),"")</f>
        <v>0</v>
      </c>
      <c r="P55" s="474" t="n">
        <f aca="false">IFERROR(IF(Scenarios!$F$7=0,"",O55/10),"")</f>
        <v>0</v>
      </c>
      <c r="Q55" s="27" t="str">
        <f aca="false">IFERROR(IF(Scenarios!$F$7=0,"",D55/D19),"")</f>
        <v/>
      </c>
    </row>
    <row r="56" customFormat="false" ht="18" hidden="false" customHeight="true" outlineLevel="0" collapsed="false">
      <c r="A56" s="293" t="s">
        <v>1510</v>
      </c>
      <c r="B56" s="293"/>
      <c r="C56" s="483"/>
      <c r="D56" s="20" t="n">
        <f aca="false">IFERROR(IF(Scenarios!$F$7=0,"",IFERROR(MAX(D48-D53-D54,0)*Scenarios!F37,0)),"")</f>
        <v>0</v>
      </c>
      <c r="E56" s="20" t="n">
        <f aca="false">IFERROR(IF(Scenarios!$F$7=0,"",IFERROR(MAX(E48-E53-E54,0)*Scenarios!F37,0)),"")</f>
        <v>0</v>
      </c>
      <c r="F56" s="20" t="n">
        <f aca="false">IFERROR(IF(Scenarios!$F$7=0,"",IFERROR(MAX(F48-F53-F54,0)*Scenarios!F37,0)),"")</f>
        <v>0</v>
      </c>
      <c r="G56" s="20" t="n">
        <f aca="false">IFERROR(IF(Scenarios!$F$7=0,"",IFERROR(MAX(G48-G53-G54,0)*Scenarios!F37,0)),"")</f>
        <v>0</v>
      </c>
      <c r="H56" s="20" t="n">
        <f aca="false">IFERROR(IF(Scenarios!$F$7=0,"",IFERROR(MAX(H48-H53-H54,0)*Scenarios!F37,0)),"")</f>
        <v>0</v>
      </c>
      <c r="I56" s="20" t="n">
        <f aca="false">IFERROR(IF(Scenarios!$F$7=0,"",IFERROR(MAX(I48-I53-I54,0)*Scenarios!F37,0)),"")</f>
        <v>0</v>
      </c>
      <c r="J56" s="20" t="n">
        <f aca="false">IFERROR(IF(Scenarios!$F$7=0,"",IFERROR(MAX(J48-J53-J54,0)*Scenarios!F37,0)),"")</f>
        <v>0</v>
      </c>
      <c r="K56" s="20" t="n">
        <f aca="false">IFERROR(IF(Scenarios!$F$7=0,"",IFERROR(MAX(K48-K53-K54,0)*Scenarios!F37,0)),"")</f>
        <v>0</v>
      </c>
      <c r="L56" s="20" t="n">
        <f aca="false">IFERROR(IF(Scenarios!$F$7=0,"",IFERROR(MAX(L48-L53-L54,0)*Scenarios!F37,0)),"")</f>
        <v>0</v>
      </c>
      <c r="M56" s="20" t="n">
        <f aca="false">IFERROR(IF(Scenarios!$F$7=0,"",IFERROR(MAX(M48-M53-M54,0)*Scenarios!F37,0)),"")</f>
        <v>0</v>
      </c>
      <c r="N56" s="474" t="n">
        <f aca="false">IFERROR(IF(Scenarios!$F$7=0,"",SUM(D56:H56)),"")</f>
        <v>0</v>
      </c>
      <c r="O56" s="474" t="n">
        <f aca="false">IFERROR(IF(Scenarios!$F$7=0,"",SUM(D56:M56)),"")</f>
        <v>0</v>
      </c>
      <c r="P56" s="474" t="n">
        <f aca="false">IFERROR(IF(Scenarios!$F$7=0,"",O56/10),"")</f>
        <v>0</v>
      </c>
      <c r="Q56" s="27" t="str">
        <f aca="false">IFERROR(IF(Scenarios!$F$7=0,"",D56/D19),"")</f>
        <v/>
      </c>
    </row>
    <row r="57" customFormat="false" ht="24" hidden="false" customHeight="true" outlineLevel="0" collapsed="false">
      <c r="A57" s="470" t="s">
        <v>58</v>
      </c>
      <c r="B57" s="470"/>
      <c r="C57" s="290"/>
      <c r="D57" s="471" t="n">
        <f aca="false">IFERROR(IF(Scenarios!$F$7=0,"",SUM(D53:D56)),"")</f>
        <v>0</v>
      </c>
      <c r="E57" s="471" t="n">
        <f aca="false">IFERROR(IF(Scenarios!$F$7=0,"",SUM(E53:E56)),"")</f>
        <v>0</v>
      </c>
      <c r="F57" s="471" t="n">
        <f aca="false">IFERROR(IF(Scenarios!$F$7=0,"",SUM(F53:F56)),"")</f>
        <v>0</v>
      </c>
      <c r="G57" s="471" t="n">
        <f aca="false">IFERROR(IF(Scenarios!$F$7=0,"",SUM(G53:G56)),"")</f>
        <v>0</v>
      </c>
      <c r="H57" s="471" t="n">
        <f aca="false">IFERROR(IF(Scenarios!$F$7=0,"",SUM(H53:H56)),"")</f>
        <v>0</v>
      </c>
      <c r="I57" s="471" t="n">
        <f aca="false">IFERROR(IF(Scenarios!$F$7=0,"",SUM(I53:I56)),"")</f>
        <v>0</v>
      </c>
      <c r="J57" s="471" t="n">
        <f aca="false">IFERROR(IF(Scenarios!$F$7=0,"",SUM(J53:J56)),"")</f>
        <v>0</v>
      </c>
      <c r="K57" s="471" t="n">
        <f aca="false">IFERROR(IF(Scenarios!$F$7=0,"",SUM(K53:K56)),"")</f>
        <v>0</v>
      </c>
      <c r="L57" s="471" t="n">
        <f aca="false">IFERROR(IF(Scenarios!$F$7=0,"",SUM(L53:L56)),"")</f>
        <v>0</v>
      </c>
      <c r="M57" s="471" t="n">
        <f aca="false">IFERROR(IF(Scenarios!$F$7=0,"",SUM(M53:M56)),"")</f>
        <v>0</v>
      </c>
      <c r="N57" s="474" t="n">
        <f aca="false">IFERROR(IF(Scenarios!$F$7=0,"",SUM(D57:H57)),"")</f>
        <v>0</v>
      </c>
      <c r="O57" s="474" t="n">
        <f aca="false">IFERROR(IF(Scenarios!$F$7=0,"",SUM(D57:M57)),"")</f>
        <v>0</v>
      </c>
      <c r="P57" s="474" t="n">
        <f aca="false">IFERROR(IF(Scenarios!$F$7=0,"",O57/10),"")</f>
        <v>0</v>
      </c>
      <c r="Q57" s="485" t="str">
        <f aca="false">IFERROR(IF(Scenarios!$F$7=0,"",D57/D19),"")</f>
        <v/>
      </c>
    </row>
    <row r="58" customFormat="false" ht="18" hidden="false" customHeight="true" outlineLevel="0" collapsed="false">
      <c r="A58" s="486"/>
      <c r="B58" s="486"/>
      <c r="D58" s="158"/>
      <c r="Q58" s="442"/>
    </row>
    <row r="59" customFormat="false" ht="18" hidden="false" customHeight="true" outlineLevel="0" collapsed="false">
      <c r="A59" s="487" t="s">
        <v>1511</v>
      </c>
      <c r="B59" s="487"/>
      <c r="D59" s="488"/>
      <c r="E59" s="488"/>
      <c r="F59" s="488"/>
      <c r="G59" s="488"/>
      <c r="H59" s="488"/>
      <c r="I59" s="488"/>
      <c r="J59" s="488"/>
      <c r="K59" s="488"/>
      <c r="L59" s="488"/>
      <c r="M59" s="488"/>
    </row>
    <row r="60" customFormat="false" ht="18" hidden="false" customHeight="true" outlineLevel="0" collapsed="false">
      <c r="A60" s="4" t="s">
        <v>1512</v>
      </c>
      <c r="B60" s="4"/>
      <c r="C60" s="489" t="n">
        <f aca="false">IFERROR(MAX(C48,0)/Scenarios!F31,0)</f>
        <v>0</v>
      </c>
      <c r="D60" s="489" t="n">
        <f aca="false">IFERROR(IF(Scenarios!$F$7=0,"",IFERROR(MAX(D48,0)/Scenarios!F31,0)),"")</f>
        <v>0</v>
      </c>
      <c r="E60" s="489" t="n">
        <f aca="false">IFERROR(IF(Scenarios!$F$7=0,"",IFERROR(MAX(E48,0)/Scenarios!F31,0)),"")</f>
        <v>0</v>
      </c>
      <c r="F60" s="489" t="n">
        <f aca="false">IFERROR(IF(Scenarios!$F$7=0,"",IFERROR(MAX(F48,0)/Scenarios!F31,0)),"")</f>
        <v>0</v>
      </c>
      <c r="G60" s="489" t="n">
        <f aca="false">IFERROR(IF(Scenarios!$F$7=0,"",IFERROR(MAX(G48,0)/Scenarios!F31,0)),"")</f>
        <v>0</v>
      </c>
      <c r="H60" s="489" t="n">
        <f aca="false">IFERROR(IF(Scenarios!$F$7=0,"",IFERROR(MAX(H48,0)/Scenarios!F31,0)),"")</f>
        <v>0</v>
      </c>
      <c r="I60" s="489" t="n">
        <f aca="false">IFERROR(IF(Scenarios!$F$7=0,"",IFERROR(MAX(I48,0)/Scenarios!F31,0)),"")</f>
        <v>0</v>
      </c>
      <c r="J60" s="489" t="n">
        <f aca="false">IFERROR(IF(Scenarios!$F$7=0,"",IFERROR(MAX(J48,0)/Scenarios!F31,0)),"")</f>
        <v>0</v>
      </c>
      <c r="K60" s="489" t="n">
        <f aca="false">IFERROR(IF(Scenarios!$F$7=0,"",IFERROR(MAX(K48,0)/Scenarios!F31,0)),"")</f>
        <v>0</v>
      </c>
      <c r="L60" s="489" t="n">
        <f aca="false">IFERROR(IF(Scenarios!$F$7=0,"",IFERROR(MAX(L48,0)/Scenarios!F31,0)),"")</f>
        <v>0</v>
      </c>
      <c r="M60" s="489" t="n">
        <f aca="false">IFERROR(IF(Scenarios!$F$7=0,"",IFERROR(MAX(M48,0)/Scenarios!F31,0)),"")</f>
        <v>0</v>
      </c>
      <c r="Q60" s="27" t="n">
        <f aca="false">IF(Scenarios!$F$7=0,"",D60)</f>
        <v>0</v>
      </c>
    </row>
    <row r="61" customFormat="false" ht="18" hidden="false" customHeight="true" outlineLevel="0" collapsed="false">
      <c r="A61" s="486" t="s">
        <v>1513</v>
      </c>
      <c r="B61" s="486"/>
      <c r="C61" s="27"/>
      <c r="D61" s="490" t="n">
        <f aca="true">IFERROR(IF(Scenarios!$F$7=0,"",IFERROR(AVERAGE(OFFSET(D60,0,0,1,MIN(Scenarios!$F$82,10))),0)),"")</f>
        <v>0</v>
      </c>
      <c r="Q61" s="27" t="n">
        <f aca="false">IF(Scenarios!$F$7=0,"",D61)</f>
        <v>0</v>
      </c>
    </row>
    <row r="62" customFormat="false" ht="18" hidden="false" customHeight="true" outlineLevel="0" collapsed="false">
      <c r="A62" s="4" t="s">
        <v>741</v>
      </c>
      <c r="B62" s="4"/>
      <c r="C62" s="491" t="n">
        <f aca="false">IFERROR(C40/ABS(C46),0)</f>
        <v>0</v>
      </c>
      <c r="D62" s="492" t="n">
        <f aca="false">IFERROR(IF(Scenarios!$F$7=0,"",IFERROR(D40/ABS(D46),0)),"")</f>
        <v>0</v>
      </c>
      <c r="E62" s="492" t="n">
        <f aca="false">IFERROR(IF(Scenarios!$F$7=0,"",IFERROR(E40/ABS(E46),0)),"")</f>
        <v>0</v>
      </c>
      <c r="F62" s="492" t="n">
        <f aca="false">IFERROR(IF(Scenarios!$F$7=0,"",IFERROR(F40/ABS(F46),0)),"")</f>
        <v>0</v>
      </c>
      <c r="G62" s="492" t="n">
        <f aca="false">IFERROR(IF(Scenarios!$F$7=0,"",IFERROR(G40/ABS(G46),0)),"")</f>
        <v>0</v>
      </c>
      <c r="H62" s="492" t="n">
        <f aca="false">IFERROR(IF(Scenarios!$F$7=0,"",IFERROR(H40/ABS(H46),0)),"")</f>
        <v>0</v>
      </c>
      <c r="I62" s="492" t="n">
        <f aca="false">IFERROR(IF(Scenarios!$F$7=0,"",IFERROR(I40/ABS(I46),0)),"")</f>
        <v>0</v>
      </c>
      <c r="J62" s="492" t="n">
        <f aca="false">IFERROR(IF(Scenarios!$F$7=0,"",IFERROR(J40/ABS(J46),0)),"")</f>
        <v>0</v>
      </c>
      <c r="K62" s="492" t="n">
        <f aca="false">IFERROR(IF(Scenarios!$F$7=0,"",IFERROR(K40/ABS(K46),0)),"")</f>
        <v>0</v>
      </c>
      <c r="L62" s="492" t="n">
        <f aca="false">IFERROR(IF(Scenarios!$F$7=0,"",IFERROR(L40/ABS(L46),0)),"")</f>
        <v>0</v>
      </c>
      <c r="M62" s="492" t="n">
        <f aca="false">IFERROR(IF(Scenarios!$F$7=0,"",IFERROR(M40/ABS(M46),0)),"")</f>
        <v>0</v>
      </c>
      <c r="Q62" s="492" t="n">
        <f aca="false">IF(Scenarios!$F$7=0,"",D62)</f>
        <v>0</v>
      </c>
    </row>
    <row r="63" customFormat="false" ht="18" hidden="false" customHeight="true" outlineLevel="0" collapsed="false">
      <c r="A63" s="493" t="s">
        <v>1514</v>
      </c>
      <c r="B63" s="493"/>
      <c r="C63" s="442" t="n">
        <f aca="false">IFERROR((C38+ABS(C46))/C10,0)</f>
        <v>0</v>
      </c>
      <c r="D63" s="494" t="n">
        <f aca="false">IFERROR(IF(Scenarios!$F$7=0,"",IFERROR((D38+ABS(D46))/D10,0)),"")</f>
        <v>0</v>
      </c>
      <c r="E63" s="494" t="n">
        <f aca="false">IFERROR(IF(Scenarios!$F$7=0,"",IFERROR((E38+ABS(E46))/E10,0)),"")</f>
        <v>0</v>
      </c>
      <c r="F63" s="494" t="n">
        <f aca="false">IFERROR(IF(Scenarios!$F$7=0,"",IFERROR((F38+ABS(F46))/F10,0)),"")</f>
        <v>0</v>
      </c>
      <c r="G63" s="494" t="n">
        <f aca="false">IFERROR(IF(Scenarios!$F$7=0,"",IFERROR((G38+ABS(G46))/G10,0)),"")</f>
        <v>0</v>
      </c>
      <c r="H63" s="494" t="n">
        <f aca="false">IFERROR(IF(Scenarios!$F$7=0,"",IFERROR((H38+ABS(H46))/H10,0)),"")</f>
        <v>0</v>
      </c>
      <c r="I63" s="494" t="n">
        <f aca="false">IFERROR(IF(Scenarios!$F$7=0,"",IFERROR((I38+ABS(I46))/I10,0)),"")</f>
        <v>0</v>
      </c>
      <c r="J63" s="494" t="n">
        <f aca="false">IFERROR(IF(Scenarios!$F$7=0,"",IFERROR((J38+ABS(J46))/J10,0)),"")</f>
        <v>0</v>
      </c>
      <c r="K63" s="494" t="n">
        <f aca="false">IFERROR(IF(Scenarios!$F$7=0,"",IFERROR((K38+ABS(K46))/K10,0)),"")</f>
        <v>0</v>
      </c>
      <c r="L63" s="494" t="n">
        <f aca="false">IFERROR(IF(Scenarios!$F$7=0,"",IFERROR((L38+ABS(L46))/L10,0)),"")</f>
        <v>0</v>
      </c>
      <c r="M63" s="494" t="n">
        <f aca="false">IFERROR(IF(Scenarios!$F$7=0,"",IFERROR((M38+ABS(M46))/M10,0)),"")</f>
        <v>0</v>
      </c>
      <c r="Q63" s="27" t="n">
        <f aca="false">IF(Scenarios!$F$7=0,"",D63)</f>
        <v>0</v>
      </c>
    </row>
    <row r="64" customFormat="false" ht="18" hidden="false" customHeight="true" outlineLevel="0" collapsed="false">
      <c r="A64" s="4" t="s">
        <v>1515</v>
      </c>
      <c r="B64" s="4"/>
      <c r="C64" s="442" t="n">
        <f aca="false">IFERROR(C40/C19,0)</f>
        <v>0</v>
      </c>
      <c r="D64" s="27" t="n">
        <f aca="false">IFERROR(IF(Scenarios!$F$7=0,"",IFERROR(D40/D19,0)),"")</f>
        <v>0</v>
      </c>
      <c r="E64" s="27" t="n">
        <f aca="false">IFERROR(IF(Scenarios!$F$7=0,"",IFERROR(E40/E19,0)),"")</f>
        <v>0</v>
      </c>
      <c r="F64" s="27" t="n">
        <f aca="false">IFERROR(IF(Scenarios!$F$7=0,"",IFERROR(F40/F19,0)),"")</f>
        <v>0</v>
      </c>
      <c r="G64" s="27" t="n">
        <f aca="false">IFERROR(IF(Scenarios!$F$7=0,"",IFERROR(G40/G19,0)),"")</f>
        <v>0</v>
      </c>
      <c r="H64" s="27" t="n">
        <f aca="false">IFERROR(IF(Scenarios!$F$7=0,"",IFERROR(H40/H19,0)),"")</f>
        <v>0</v>
      </c>
      <c r="I64" s="27" t="n">
        <f aca="false">IFERROR(IF(Scenarios!$F$7=0,"",IFERROR(I40/I19,0)),"")</f>
        <v>0</v>
      </c>
      <c r="J64" s="27" t="n">
        <f aca="false">IFERROR(IF(Scenarios!$F$7=0,"",IFERROR(J40/J19,0)),"")</f>
        <v>0</v>
      </c>
      <c r="K64" s="27" t="n">
        <f aca="false">IFERROR(IF(Scenarios!$F$7=0,"",IFERROR(K40/K19,0)),"")</f>
        <v>0</v>
      </c>
      <c r="L64" s="27" t="n">
        <f aca="false">IFERROR(IF(Scenarios!$F$7=0,"",IFERROR(L40/L19,0)),"")</f>
        <v>0</v>
      </c>
      <c r="M64" s="27" t="n">
        <f aca="false">IFERROR(IF(Scenarios!$F$7=0,"",IFERROR(M40/M19,0)),"")</f>
        <v>0</v>
      </c>
      <c r="Q64" s="495" t="n">
        <f aca="false">IF(Scenarios!$F$7=0,"",D64)</f>
        <v>0</v>
      </c>
    </row>
    <row r="65" customFormat="false" ht="19.5" hidden="false" customHeight="true" outlineLevel="0" collapsed="false">
      <c r="A65" s="469" t="s">
        <v>1516</v>
      </c>
      <c r="B65" s="469"/>
      <c r="C65" s="27" t="n">
        <f aca="false">IFERROR(MAX(C40,0)/Scenarios!$F$7,0)</f>
        <v>0</v>
      </c>
      <c r="D65" s="27" t="n">
        <f aca="false">IFERROR(IF(Scenarios!$F$7=0,"",IFERROR(MAX(D40,0)/Scenarios!$F$7,0)),"")</f>
        <v>0</v>
      </c>
      <c r="E65" s="27" t="n">
        <f aca="false">IFERROR(IF(Scenarios!$F$7=0,"",IFERROR(MAX(E40,0)/Scenarios!$F$7,0)),"")</f>
        <v>0</v>
      </c>
      <c r="F65" s="27" t="n">
        <f aca="false">IFERROR(IF(Scenarios!$F$7=0,"",IFERROR(MAX(F40,0)/Scenarios!$F$7,0)),"")</f>
        <v>0</v>
      </c>
      <c r="G65" s="27" t="n">
        <f aca="false">IFERROR(IF(Scenarios!$F$7=0,"",IFERROR(MAX(G40,0)/Scenarios!$F$7,0)),"")</f>
        <v>0</v>
      </c>
      <c r="H65" s="27" t="n">
        <f aca="false">IFERROR(IF(Scenarios!$F$7=0,"",IFERROR(MAX(H40,0)/Scenarios!$F$7,0)),"")</f>
        <v>0</v>
      </c>
      <c r="I65" s="27" t="n">
        <f aca="false">IFERROR(IF(Scenarios!$F$7=0,"",IFERROR(MAX(I40,0)/Scenarios!$F$7,0)),"")</f>
        <v>0</v>
      </c>
      <c r="J65" s="27" t="n">
        <f aca="false">IFERROR(IF(Scenarios!$F$7=0,"",IFERROR(MAX(J40,0)/Scenarios!$F$7,0)),"")</f>
        <v>0</v>
      </c>
      <c r="K65" s="27" t="n">
        <f aca="false">IFERROR(IF(Scenarios!$F$7=0,"",IFERROR(MAX(K40,0)/Scenarios!$F$7,0)),"")</f>
        <v>0</v>
      </c>
      <c r="L65" s="27" t="n">
        <f aca="false">IFERROR(IF(Scenarios!$F$7=0,"",IFERROR(MAX(L40,0)/Scenarios!$F$7,0)),"")</f>
        <v>0</v>
      </c>
      <c r="M65" s="27" t="n">
        <f aca="false">IFERROR(IF(Scenarios!$F$7=0,"",IFERROR(MAX(M40,0)/Scenarios!$F$7,0)),"")</f>
        <v>0</v>
      </c>
    </row>
    <row r="66" customFormat="false" ht="18" hidden="false" customHeight="true" outlineLevel="0" collapsed="false">
      <c r="A66" s="4" t="s">
        <v>1517</v>
      </c>
      <c r="B66" s="4"/>
      <c r="C66" s="289" t="n">
        <f aca="false">IFERROR(MAX(C40,0)/0.07,0)</f>
        <v>0</v>
      </c>
      <c r="D66" s="20" t="n">
        <f aca="false">IFERROR(IF(Scenarios!$F$7=0,"",IFERROR(MAX(D40,0)/0.07,0)),"")</f>
        <v>0</v>
      </c>
      <c r="E66" s="20" t="n">
        <f aca="false">IFERROR(IF(Scenarios!$F$7=0,"",IFERROR(MAX(E40,0)/0.07,0)),"")</f>
        <v>0</v>
      </c>
      <c r="F66" s="20" t="n">
        <f aca="false">IFERROR(IF(Scenarios!$F$7=0,"",IFERROR(MAX(F40,0)/0.07,0)),"")</f>
        <v>0</v>
      </c>
      <c r="G66" s="20" t="n">
        <f aca="false">IFERROR(IF(Scenarios!$F$7=0,"",IFERROR(MAX(G40,0)/0.07,0)),"")</f>
        <v>0</v>
      </c>
      <c r="H66" s="20" t="n">
        <f aca="false">IFERROR(IF(Scenarios!$F$7=0,"",IFERROR(MAX(H40,0)/0.07,0)),"")</f>
        <v>0</v>
      </c>
      <c r="I66" s="20" t="n">
        <f aca="false">IFERROR(IF(Scenarios!$F$7=0,"",IFERROR(MAX(I40,0)/0.07,0)),"")</f>
        <v>0</v>
      </c>
      <c r="J66" s="20" t="n">
        <f aca="false">IFERROR(IF(Scenarios!$F$7=0,"",IFERROR(MAX(J40,0)/0.07,0)),"")</f>
        <v>0</v>
      </c>
      <c r="K66" s="20" t="n">
        <f aca="false">IFERROR(IF(Scenarios!$F$7=0,"",IFERROR(MAX(K40,0)/0.07,0)),"")</f>
        <v>0</v>
      </c>
      <c r="L66" s="20" t="n">
        <f aca="false">IFERROR(IF(Scenarios!$F$7=0,"",IFERROR(MAX(L40,0)/0.07,0)),"")</f>
        <v>0</v>
      </c>
      <c r="M66" s="20" t="n">
        <f aca="false">IFERROR(IF(Scenarios!$F$7=0,"",IFERROR(MAX(M40,0)/0.07,0)),"")</f>
        <v>0</v>
      </c>
      <c r="Q66" s="20" t="n">
        <f aca="false">IF(Scenarios!$F$7=0,"",D66)</f>
        <v>0</v>
      </c>
    </row>
    <row r="67" customFormat="false" ht="18" hidden="false" customHeight="true" outlineLevel="0" collapsed="false">
      <c r="A67" s="38" t="s">
        <v>1518</v>
      </c>
      <c r="B67" s="38"/>
    </row>
    <row r="68" customFormat="false" ht="18" hidden="false" customHeight="true" outlineLevel="0" collapsed="false">
      <c r="A68" s="496" t="s">
        <v>1519</v>
      </c>
      <c r="B68" s="496"/>
      <c r="C68" s="497"/>
      <c r="D68" s="498" t="n">
        <f aca="false">IFERROR(IF(Scenarios!$F$7=0,"",IFERROR(MAX(Waterfall!B52,0)/Waterfall!$B$9,0)),"")</f>
        <v>0</v>
      </c>
      <c r="E68" s="498" t="n">
        <f aca="false">IFERROR(IF(Scenarios!$F$7=0,"",IFERROR(MAX(Waterfall!C52,0)/Waterfall!$B$9,0)),"")</f>
        <v>0</v>
      </c>
      <c r="F68" s="498" t="n">
        <f aca="false">IFERROR(IF(Scenarios!$F$7=0,"",IFERROR(MAX(Waterfall!D52,0)/Waterfall!$B$9,0)),"")</f>
        <v>0</v>
      </c>
      <c r="G68" s="498" t="n">
        <f aca="false">IFERROR(IF(Scenarios!$F$7=0,"",IFERROR(MAX(Waterfall!E52,0)/Waterfall!$B$9,0)),"")</f>
        <v>0</v>
      </c>
      <c r="H68" s="498" t="n">
        <f aca="false">IFERROR(IF(Scenarios!$F$7=0,"",IFERROR(MAX(Waterfall!F52,0)/Waterfall!$B$9,0)),"")</f>
        <v>0</v>
      </c>
      <c r="I68" s="498" t="n">
        <f aca="false">IFERROR(IF(Scenarios!$F$7=0,"",IFERROR(MAX(Waterfall!G52,0)/Waterfall!$B$9,0)),"")</f>
        <v>0</v>
      </c>
      <c r="J68" s="498" t="n">
        <f aca="false">IFERROR(IF(Scenarios!$F$7=0,"",IFERROR(MAX(Waterfall!H52,0)/Waterfall!$B$9,0)),"")</f>
        <v>0</v>
      </c>
      <c r="K68" s="498" t="n">
        <f aca="false">IFERROR(IF(Scenarios!$F$7=0,"",IFERROR(MAX(Waterfall!I52,0)/Waterfall!$B$9,0)),"")</f>
        <v>0</v>
      </c>
      <c r="L68" s="498" t="n">
        <f aca="false">IFERROR(IF(Scenarios!$F$7=0,"",IFERROR(MAX(Waterfall!J52,0)/Waterfall!$B$9,0)),"")</f>
        <v>0</v>
      </c>
      <c r="M68" s="498" t="n">
        <f aca="false">IFERROR(IF(Scenarios!$F$7=0,"",IFERROR(MAX(Waterfall!K52,0)/Waterfall!$B$9,0)),"")</f>
        <v>0</v>
      </c>
      <c r="Q68" s="498" t="n">
        <f aca="false">IF(Scenarios!$F$7=0,"",D68)</f>
        <v>0</v>
      </c>
    </row>
    <row r="69" customFormat="false" ht="18" hidden="false" customHeight="true" outlineLevel="0" collapsed="false">
      <c r="A69" s="499" t="s">
        <v>1520</v>
      </c>
      <c r="B69" s="499"/>
      <c r="D69" s="500" t="n">
        <f aca="true">IFERROR(IF(Scenarios!$F$7=0,"",IFERROR(AVERAGE(OFFSET(D68,0,0,1,MIN(Scenarios!$F$82,10))),0)),"")</f>
        <v>0</v>
      </c>
      <c r="Q69" s="500" t="n">
        <f aca="false">IF(Scenarios!$F$7=0,"",D69)</f>
        <v>0</v>
      </c>
    </row>
    <row r="70" customFormat="false" ht="15.75" hidden="false" customHeight="true" outlineLevel="0" collapsed="false">
      <c r="A70" s="470" t="s">
        <v>1521</v>
      </c>
      <c r="B70" s="470"/>
      <c r="C70" s="501"/>
      <c r="D70" s="502" t="n">
        <f aca="false">IFERROR(IF(Scenarios!$F$7=0,"",IFERROR(MAX(Waterfall!B54,0)/(Waterfall!$B$9+Waterfall!$B$10),0)),"")</f>
        <v>0</v>
      </c>
      <c r="E70" s="502" t="n">
        <f aca="false">IFERROR(IF(Scenarios!$F$7=0,"",IFERROR(MAX(Waterfall!C54,0)/(Waterfall!$B$9+Waterfall!$B$10),0)),"")</f>
        <v>0</v>
      </c>
      <c r="F70" s="502" t="n">
        <f aca="false">IFERROR(IF(Scenarios!$F$7=0,"",IFERROR(MAX(Waterfall!D54,0)/(Waterfall!$B$9+Waterfall!$B$10),0)),"")</f>
        <v>0</v>
      </c>
      <c r="G70" s="502" t="n">
        <f aca="false">IFERROR(IF(Scenarios!$F$7=0,"",IFERROR(MAX(Waterfall!E54,0)/(Waterfall!$B$9+Waterfall!$B$10),0)),"")</f>
        <v>0</v>
      </c>
      <c r="H70" s="502" t="n">
        <f aca="false">IFERROR(IF(Scenarios!$F$7=0,"",IFERROR(MAX(Waterfall!F54,0)/(Waterfall!$B$9+Waterfall!$B$10),0)),"")</f>
        <v>0</v>
      </c>
      <c r="I70" s="502" t="n">
        <f aca="false">IFERROR(IF(Scenarios!$F$7=0,"",IFERROR(MAX(Waterfall!G54,0)/(Waterfall!$B$9+Waterfall!$B$10),0)),"")</f>
        <v>0</v>
      </c>
      <c r="J70" s="502" t="n">
        <f aca="false">IFERROR(IF(Scenarios!$F$7=0,"",IFERROR(MAX(Waterfall!H54,0)/(Waterfall!$B$9+Waterfall!$B$10),0)),"")</f>
        <v>0</v>
      </c>
      <c r="K70" s="502" t="n">
        <f aca="false">IFERROR(IF(Scenarios!$F$7=0,"",IFERROR(MAX(Waterfall!I54,0)/(Waterfall!$B$9+Waterfall!$B$10),0)),"")</f>
        <v>0</v>
      </c>
      <c r="L70" s="502" t="n">
        <f aca="false">IFERROR(IF(Scenarios!$F$7=0,"",IFERROR(MAX(Waterfall!J54,0)/(Waterfall!$B$9+Waterfall!$B$10),0)),"")</f>
        <v>0</v>
      </c>
      <c r="M70" s="502" t="n">
        <f aca="false">IFERROR(IF(Scenarios!$F$7=0,"",IFERROR(MAX(Waterfall!K54,0)/(Waterfall!$B$9+Waterfall!$B$10),0)),"")</f>
        <v>0</v>
      </c>
    </row>
    <row r="71" customFormat="false" ht="15" hidden="false" customHeight="true" outlineLevel="0" collapsed="false">
      <c r="A71" s="503" t="s">
        <v>1522</v>
      </c>
      <c r="B71" s="503"/>
      <c r="D71" s="21" t="n">
        <f aca="true">IFERROR(IF(Scenarios!$F$7=0,"",IFERROR(AVERAGE(OFFSET(D70,0,0,1,MIN(Scenarios!$F$82,10))),0)),"")</f>
        <v>0</v>
      </c>
      <c r="Q71" s="21" t="n">
        <f aca="false">IF(Scenarios!$F$7=0,"",D71)</f>
        <v>0</v>
      </c>
    </row>
    <row r="72" customFormat="false" ht="21.75" hidden="false" customHeight="true" outlineLevel="0" collapsed="false">
      <c r="A72" s="93" t="s">
        <v>1523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</row>
    <row r="73" customFormat="false" ht="15" hidden="false" customHeight="true" outlineLevel="0" collapsed="false"/>
    <row r="74" customFormat="false" ht="15" hidden="false" customHeight="true" outlineLevel="0" collapsed="false">
      <c r="A74" s="433" t="s">
        <v>1524</v>
      </c>
      <c r="B74" s="433"/>
    </row>
    <row r="75" customFormat="false" ht="15" hidden="false" customHeight="true" outlineLevel="0" collapsed="false">
      <c r="A75" s="111" t="s">
        <v>1525</v>
      </c>
      <c r="B75" s="111"/>
      <c r="D75" s="120" t="n">
        <f aca="false">IFERROR(IF(Scenarios!$F$7=0,"",IFERROR((D38+ABS(D46)-D17-D18)/((1-D11-D13-D15))/'Prop Info'!$B$6/12,0)),"")</f>
        <v>0</v>
      </c>
      <c r="E75" s="120" t="n">
        <f aca="false">IFERROR(IF(Scenarios!$F$7=0,"",IFERROR((E38+ABS(E46)-E17-E18)/((1-E11-E13-E15))/'Prop Info'!$B$6/12,0)),"")</f>
        <v>0</v>
      </c>
      <c r="F75" s="120" t="n">
        <f aca="false">IFERROR(IF(Scenarios!$F$7=0,"",IFERROR((F38+ABS(F46)-F17-F18)/((1-F11-F13-F15))/'Prop Info'!$B$6/12,0)),"")</f>
        <v>0</v>
      </c>
      <c r="G75" s="120" t="n">
        <f aca="false">IFERROR(IF(Scenarios!$F$7=0,"",IFERROR((G38+ABS(G46)-G17-G18)/((1-G11-G13-G15))/'Prop Info'!$B$6/12,0)),"")</f>
        <v>0</v>
      </c>
      <c r="H75" s="120" t="n">
        <f aca="false">IFERROR(IF(Scenarios!$F$7=0,"",IFERROR((H38+ABS(H46)-H17-H18)/((1-H11-H13-H15))/'Prop Info'!$B$6/12,0)),"")</f>
        <v>0</v>
      </c>
      <c r="I75" s="120" t="n">
        <f aca="false">IFERROR(IF(Scenarios!$F$7=0,"",IFERROR((I38+ABS(I46)-I17-I18)/((1-I11-I13-I15))/'Prop Info'!$B$6/12,0)),"")</f>
        <v>0</v>
      </c>
      <c r="J75" s="120" t="n">
        <f aca="false">IFERROR(IF(Scenarios!$F$7=0,"",IFERROR((J38+ABS(J46)-J17-J18)/((1-J11-J13-J15))/'Prop Info'!$B$6/12,0)),"")</f>
        <v>0</v>
      </c>
      <c r="K75" s="120" t="n">
        <f aca="false">IFERROR(IF(Scenarios!$F$7=0,"",IFERROR((K38+ABS(K46)-K17-K18)/((1-K11-K13-K15))/'Prop Info'!$B$6/12,0)),"")</f>
        <v>0</v>
      </c>
      <c r="L75" s="120" t="n">
        <f aca="false">IFERROR(IF(Scenarios!$F$7=0,"",IFERROR((L38+ABS(L46)-L17-L18)/((1-L11-L13-L15))/'Prop Info'!$B$6/12,0)),"")</f>
        <v>0</v>
      </c>
      <c r="M75" s="120" t="n">
        <f aca="false">IFERROR(IF(Scenarios!$F$7=0,"",IFERROR((M38+ABS(M46)-M17-M18)/((1-M11-M13-M15))/'Prop Info'!$B$6/12,0)),"")</f>
        <v>0</v>
      </c>
      <c r="P75" s="474" t="n">
        <f aca="false">IFERROR(IF(Scenarios!$F$7=0,"",AVERAGE(D75:M75)),"")</f>
        <v>0</v>
      </c>
    </row>
    <row r="76" customFormat="false" ht="15" hidden="false" customHeight="true" outlineLevel="0" collapsed="false">
      <c r="A76" s="111" t="s">
        <v>1526</v>
      </c>
      <c r="B76" s="111"/>
      <c r="D76" s="120" t="n">
        <f aca="false">IFERROR(IF(Scenarios!$F$7=0,"",IFERROR((D38+ABS(D46)-D17-D18)/(1-D11-D13-D15),0)),"")</f>
        <v>0</v>
      </c>
      <c r="E76" s="120" t="n">
        <f aca="false">IFERROR(IF(Scenarios!$F$7=0,"",IFERROR((E38+ABS(E46)-E17-E18)/(1-E11-E13-E15),0)),"")</f>
        <v>0</v>
      </c>
      <c r="F76" s="120" t="n">
        <f aca="false">IFERROR(IF(Scenarios!$F$7=0,"",IFERROR((F38+ABS(F46)-F17-F18)/(1-F11-F13-F15),0)),"")</f>
        <v>0</v>
      </c>
      <c r="G76" s="120" t="n">
        <f aca="false">IFERROR(IF(Scenarios!$F$7=0,"",IFERROR((G38+ABS(G46)-G17-G18)/(1-G11-G13-G15),0)),"")</f>
        <v>0</v>
      </c>
      <c r="H76" s="120" t="n">
        <f aca="false">IFERROR(IF(Scenarios!$F$7=0,"",IFERROR((H38+ABS(H46)-H17-H18)/(1-H11-H13-H15),0)),"")</f>
        <v>0</v>
      </c>
      <c r="I76" s="120" t="n">
        <f aca="false">IFERROR(IF(Scenarios!$F$7=0,"",IFERROR((I38+ABS(I46)-I17-I18)/(1-I11-I13-I15),0)),"")</f>
        <v>0</v>
      </c>
      <c r="J76" s="120" t="n">
        <f aca="false">IFERROR(IF(Scenarios!$F$7=0,"",IFERROR((J38+ABS(J46)-J17-J18)/(1-J11-J13-J15),0)),"")</f>
        <v>0</v>
      </c>
      <c r="K76" s="120" t="n">
        <f aca="false">IFERROR(IF(Scenarios!$F$7=0,"",IFERROR((K38+ABS(K46)-K17-K18)/(1-K11-K13-K15),0)),"")</f>
        <v>0</v>
      </c>
      <c r="L76" s="120" t="n">
        <f aca="false">IFERROR(IF(Scenarios!$F$7=0,"",IFERROR((L38+ABS(L46)-L17-L18)/(1-L11-L13-L15),0)),"")</f>
        <v>0</v>
      </c>
      <c r="M76" s="120" t="n">
        <f aca="false">IFERROR(IF(Scenarios!$F$7=0,"",IFERROR((M38+ABS(M46)-M17-M18)/(1-M11-M13-M15),0)),"")</f>
        <v>0</v>
      </c>
    </row>
    <row r="77" customFormat="false" ht="15" hidden="false" customHeight="true" outlineLevel="0" collapsed="false">
      <c r="A77" s="469" t="s">
        <v>1527</v>
      </c>
      <c r="B77" s="469"/>
      <c r="C77" s="442"/>
      <c r="D77" s="27" t="n">
        <f aca="false">IFERROR(IF(Scenarios!$F$7=0,"",IFERROR(Scenarios!F39/D75-1,0)),"")</f>
        <v>0</v>
      </c>
      <c r="E77" s="27" t="n">
        <f aca="false">IFERROR(IF(Scenarios!$F$7=0,"",IFERROR(Scenarios!F39/E75-1,0)),"")</f>
        <v>0</v>
      </c>
      <c r="F77" s="27" t="n">
        <f aca="false">IFERROR(IF(Scenarios!$F$7=0,"",IFERROR(Scenarios!F39/F75-1,0)),"")</f>
        <v>0</v>
      </c>
      <c r="G77" s="27" t="n">
        <f aca="false">IFERROR(IF(Scenarios!$F$7=0,"",IFERROR(Scenarios!F39/G75-1,0)),"")</f>
        <v>0</v>
      </c>
      <c r="H77" s="27" t="n">
        <f aca="false">IFERROR(IF(Scenarios!$F$7=0,"",IFERROR(Scenarios!F39/H75-1,0)),"")</f>
        <v>0</v>
      </c>
      <c r="I77" s="27" t="n">
        <f aca="false">IFERROR(IF(Scenarios!$F$7=0,"",IFERROR(Scenarios!F39/I75-1,0)),"")</f>
        <v>0</v>
      </c>
      <c r="J77" s="27" t="n">
        <f aca="false">IFERROR(IF(Scenarios!$F$7=0,"",IFERROR(Scenarios!F39/J75-1,0)),"")</f>
        <v>0</v>
      </c>
      <c r="K77" s="27" t="n">
        <f aca="false">IFERROR(IF(Scenarios!$F$7=0,"",IFERROR(Scenarios!F39/K75-1,0)),"")</f>
        <v>0</v>
      </c>
      <c r="L77" s="27" t="n">
        <f aca="false">IFERROR(IF(Scenarios!$F$7=0,"",IFERROR(Scenarios!F39/L75-1,0)),"")</f>
        <v>0</v>
      </c>
      <c r="M77" s="27" t="n">
        <f aca="false">IFERROR(IF(Scenarios!$F$7=0,"",IFERROR(Scenarios!F39/M75-1,0)),"")</f>
        <v>0</v>
      </c>
    </row>
    <row r="78" customFormat="false" ht="15" hidden="false" customHeight="true" outlineLevel="0" collapsed="false"/>
    <row r="79" customFormat="false" ht="15" hidden="false" customHeight="true" outlineLevel="0" collapsed="false">
      <c r="A79" s="111" t="s">
        <v>1528</v>
      </c>
      <c r="B79" s="111"/>
      <c r="D79" s="120" t="str">
        <f aca="false">IFERROR(IF(Scenarios!$F$7=0,"",D19-(0.05*D10)-D38),"")</f>
        <v/>
      </c>
      <c r="E79" s="111" t="s">
        <v>1529</v>
      </c>
      <c r="F79" s="120" t="str">
        <f aca="false">IFERROR(IF(Scenarios!$F$7=0,"",D19-(0.1*D10)-D38),"")</f>
        <v/>
      </c>
      <c r="G79" s="111" t="s">
        <v>1530</v>
      </c>
      <c r="H79" s="120" t="str">
        <f aca="false">IFERROR(IF(Scenarios!$F$7=0,"",D19-(0.03*D10)-D38),"")</f>
        <v/>
      </c>
    </row>
    <row r="80" customFormat="false" ht="15" hidden="false" customHeight="true" outlineLevel="0" collapsed="false">
      <c r="A80" s="111" t="s">
        <v>1531</v>
      </c>
      <c r="B80" s="111"/>
      <c r="D80" s="504" t="n">
        <f aca="false">IFERROR(IF(Scenarios!$F$7=0,"",IFERROR((D19-(0.05*D10)-D38)/ABS(D46),0)),"")</f>
        <v>0</v>
      </c>
      <c r="E80" s="111" t="s">
        <v>1532</v>
      </c>
      <c r="F80" s="504" t="n">
        <f aca="false">IFERROR(IF(Scenarios!$F$7=0,"",IFERROR((D19-(0.1*D10)-D38)/ABS(D46),0)),"")</f>
        <v>0</v>
      </c>
      <c r="G80" s="111" t="s">
        <v>1533</v>
      </c>
      <c r="H80" s="504" t="n">
        <f aca="false">IFERROR(IF(Scenarios!$F$7=0,"",IFERROR((D19-(0.03*D10)-D38)/ABS(D46),0)),"")</f>
        <v>0</v>
      </c>
    </row>
  </sheetData>
  <mergeCells count="10">
    <mergeCell ref="A1:R1"/>
    <mergeCell ref="A2:R2"/>
    <mergeCell ref="A4:R4"/>
    <mergeCell ref="O5:P5"/>
    <mergeCell ref="O6:P6"/>
    <mergeCell ref="A9:R9"/>
    <mergeCell ref="A21:R21"/>
    <mergeCell ref="A42:R42"/>
    <mergeCell ref="D59:M59"/>
    <mergeCell ref="A72:Q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32" activePane="bottomRight" state="frozen"/>
      <selection pane="topLeft" activeCell="A1" activeCellId="0" sqref="A1"/>
      <selection pane="topRight" activeCell="C1" activeCellId="0" sqref="C1"/>
      <selection pane="bottomLeft" activeCell="A32" activeCellId="0" sqref="A32"/>
      <selection pane="bottomRight" activeCell="B20" activeCellId="0" sqref="B20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06" t="str">
        <f aca="false">IF('Prop Info'!B4="","LEASE-UP &amp; CAPITAL CALL  —  36-Month Stabilization Model","LEASE-UP &amp; CAPITAL CALL  —  36-Month Stabilization Model"&amp;" — "&amp;'Prop Info'!B4)</f>
        <v>LEASE-UP &amp; CAPITAL CALL  —  36-Month Stabilization Model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</row>
    <row r="2" customFormat="false" ht="31.5" hidden="false" customHeight="true" outlineLevel="0" collapsed="false">
      <c r="A2" s="113" t="s">
        <v>1534</v>
      </c>
    </row>
    <row r="4" customFormat="false" ht="21.75" hidden="false" customHeight="true" outlineLevel="0" collapsed="false">
      <c r="A4" s="17" t="s">
        <v>1535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</row>
    <row r="5" customFormat="false" ht="15" hidden="false" customHeight="true" outlineLevel="0" collapsed="false">
      <c r="A5" s="111" t="s">
        <v>1536</v>
      </c>
      <c r="B5" s="505"/>
      <c r="C5" s="107" t="s">
        <v>1537</v>
      </c>
      <c r="D5" s="107"/>
      <c r="E5" s="107"/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</row>
    <row r="6" customFormat="false" ht="15" hidden="false" customHeight="true" outlineLevel="0" collapsed="false">
      <c r="A6" s="111" t="s">
        <v>1538</v>
      </c>
      <c r="B6" s="506"/>
      <c r="C6" s="107" t="s">
        <v>1539</v>
      </c>
      <c r="D6" s="107"/>
      <c r="E6" s="107"/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7"/>
      <c r="AF6" s="107"/>
      <c r="AG6" s="107"/>
      <c r="AH6" s="107"/>
      <c r="AI6" s="107"/>
      <c r="AJ6" s="107"/>
      <c r="AK6" s="107"/>
      <c r="AL6" s="107"/>
      <c r="AM6" s="107"/>
      <c r="AN6" s="107"/>
    </row>
    <row r="7" customFormat="false" ht="15" hidden="false" customHeight="true" outlineLevel="0" collapsed="false">
      <c r="A7" s="111" t="s">
        <v>1540</v>
      </c>
      <c r="B7" s="505"/>
      <c r="C7" s="107" t="s">
        <v>1541</v>
      </c>
      <c r="D7" s="107"/>
      <c r="E7" s="107"/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</row>
    <row r="8" customFormat="false" ht="15" hidden="false" customHeight="true" outlineLevel="0" collapsed="false">
      <c r="A8" s="111" t="s">
        <v>1542</v>
      </c>
      <c r="B8" s="505"/>
      <c r="C8" s="107" t="s">
        <v>1543</v>
      </c>
      <c r="D8" s="107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</row>
    <row r="9" customFormat="false" ht="15" hidden="false" customHeight="true" outlineLevel="0" collapsed="false">
      <c r="A9" s="111" t="s">
        <v>1544</v>
      </c>
      <c r="B9" s="505"/>
      <c r="C9" s="107" t="s">
        <v>1545</v>
      </c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</row>
    <row r="10" customFormat="false" ht="15" hidden="false" customHeight="true" outlineLevel="0" collapsed="false">
      <c r="A10" s="111" t="s">
        <v>1546</v>
      </c>
      <c r="B10" s="327"/>
      <c r="C10" s="107" t="s">
        <v>1547</v>
      </c>
      <c r="D10" s="107"/>
      <c r="E10" s="107"/>
      <c r="F10" s="107"/>
      <c r="G10" s="107"/>
      <c r="H10" s="107"/>
      <c r="I10" s="107"/>
      <c r="J10" s="107"/>
      <c r="K10" s="107"/>
      <c r="L10" s="107"/>
      <c r="M10" s="107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</row>
    <row r="11" customFormat="false" ht="15" hidden="false" customHeight="true" outlineLevel="0" collapsed="false">
      <c r="A11" s="111" t="s">
        <v>1548</v>
      </c>
      <c r="B11" s="327"/>
      <c r="C11" s="107" t="s">
        <v>1549</v>
      </c>
      <c r="D11" s="107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</row>
    <row r="12" customFormat="false" ht="15" hidden="false" customHeight="true" outlineLevel="0" collapsed="false">
      <c r="A12" s="111" t="s">
        <v>1550</v>
      </c>
      <c r="B12" s="327"/>
      <c r="C12" s="107" t="s">
        <v>1551</v>
      </c>
      <c r="D12" s="107"/>
      <c r="E12" s="107"/>
      <c r="F12" s="107"/>
      <c r="G12" s="107"/>
      <c r="H12" s="107"/>
      <c r="I12" s="107"/>
      <c r="J12" s="107"/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</row>
    <row r="13" customFormat="false" ht="15" hidden="false" customHeight="true" outlineLevel="0" collapsed="false">
      <c r="A13" s="111" t="s">
        <v>1552</v>
      </c>
      <c r="B13" s="327"/>
      <c r="C13" s="107" t="s">
        <v>1553</v>
      </c>
      <c r="D13" s="107"/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</row>
    <row r="14" customFormat="false" ht="15" hidden="false" customHeight="true" outlineLevel="0" collapsed="false">
      <c r="A14" s="111" t="s">
        <v>1554</v>
      </c>
      <c r="B14" s="505"/>
      <c r="C14" s="107" t="s">
        <v>1555</v>
      </c>
      <c r="D14" s="107"/>
      <c r="E14" s="107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  <c r="AA14" s="107"/>
      <c r="AB14" s="107"/>
      <c r="AC14" s="107"/>
      <c r="AD14" s="107"/>
      <c r="AE14" s="107"/>
      <c r="AF14" s="107"/>
      <c r="AG14" s="107"/>
      <c r="AH14" s="107"/>
      <c r="AI14" s="107"/>
      <c r="AJ14" s="107"/>
      <c r="AK14" s="107"/>
      <c r="AL14" s="107"/>
      <c r="AM14" s="107"/>
      <c r="AN14" s="107"/>
    </row>
    <row r="15" customFormat="false" ht="15" hidden="false" customHeight="true" outlineLevel="0" collapsed="false">
      <c r="A15" s="111" t="s">
        <v>1556</v>
      </c>
      <c r="B15" s="327"/>
      <c r="C15" s="107" t="s">
        <v>1557</v>
      </c>
      <c r="D15" s="107"/>
      <c r="E15" s="107"/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</row>
    <row r="16" customFormat="false" ht="15" hidden="false" customHeight="true" outlineLevel="0" collapsed="false">
      <c r="A16" s="111" t="s">
        <v>1558</v>
      </c>
      <c r="B16" s="327"/>
      <c r="C16" s="107" t="s">
        <v>1559</v>
      </c>
      <c r="D16" s="107"/>
      <c r="E16" s="107"/>
      <c r="F16" s="107"/>
      <c r="G16" s="107"/>
      <c r="H16" s="107"/>
      <c r="I16" s="107"/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</row>
    <row r="17" customFormat="false" ht="15" hidden="false" customHeight="true" outlineLevel="0" collapsed="false">
      <c r="A17" s="111" t="s">
        <v>1560</v>
      </c>
      <c r="B17" s="327"/>
      <c r="C17" s="107" t="s">
        <v>1561</v>
      </c>
      <c r="D17" s="107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</row>
    <row r="18" customFormat="false" ht="15" hidden="false" customHeight="true" outlineLevel="0" collapsed="false">
      <c r="A18" s="111" t="s">
        <v>1562</v>
      </c>
      <c r="B18" s="120" t="str">
        <f aca="false">Scenarios!F70</f>
        <v/>
      </c>
      <c r="C18" s="107" t="s">
        <v>1563</v>
      </c>
      <c r="D18" s="107"/>
      <c r="E18" s="107"/>
      <c r="F18" s="107"/>
      <c r="G18" s="107"/>
      <c r="H18" s="107"/>
      <c r="I18" s="107"/>
      <c r="J18" s="107"/>
      <c r="K18" s="107"/>
      <c r="L18" s="107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</row>
    <row r="19" customFormat="false" ht="15" hidden="false" customHeight="true" outlineLevel="0" collapsed="false">
      <c r="A19" s="111" t="s">
        <v>1564</v>
      </c>
      <c r="B19" s="120" t="e">
        <f aca="false">Scenarios!F70*0.85</f>
        <v>#VALUE!</v>
      </c>
      <c r="C19" s="107" t="s">
        <v>1565</v>
      </c>
      <c r="D19" s="107"/>
      <c r="E19" s="107"/>
      <c r="F19" s="107"/>
      <c r="G19" s="107"/>
      <c r="H19" s="107"/>
      <c r="I19" s="107"/>
      <c r="J19" s="107"/>
      <c r="K19" s="107"/>
      <c r="L19" s="107"/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</row>
    <row r="20" customFormat="false" ht="15" hidden="false" customHeight="true" outlineLevel="0" collapsed="false">
      <c r="A20" s="111" t="s">
        <v>1566</v>
      </c>
      <c r="B20" s="327"/>
      <c r="C20" s="107" t="s">
        <v>1567</v>
      </c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</row>
    <row r="21" customFormat="false" ht="15" hidden="false" customHeight="true" outlineLevel="0" collapsed="false">
      <c r="A21" s="111" t="s">
        <v>1568</v>
      </c>
      <c r="B21" s="120" t="e">
        <f aca="false">Scenarios!F89*Scenarios!F88+Scenarios!F96*Scenarios!F95+Scenarios!F103*Scenarios!F102</f>
        <v>#VALUE!</v>
      </c>
      <c r="C21" s="107" t="s">
        <v>1569</v>
      </c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</row>
    <row r="22" customFormat="false" ht="15" hidden="false" customHeight="true" outlineLevel="0" collapsed="false">
      <c r="A22" s="111" t="s">
        <v>1570</v>
      </c>
      <c r="B22" s="120" t="str">
        <f aca="false">Scenarios!F31</f>
        <v/>
      </c>
      <c r="C22" s="107" t="s">
        <v>1571</v>
      </c>
      <c r="D22" s="107"/>
      <c r="E22" s="107"/>
      <c r="F22" s="107"/>
      <c r="G22" s="107"/>
      <c r="H22" s="107"/>
      <c r="I22" s="107"/>
      <c r="J22" s="107"/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M22" s="107"/>
      <c r="AN22" s="107"/>
    </row>
    <row r="23" customFormat="false" ht="15" hidden="false" customHeight="true" outlineLevel="0" collapsed="false">
      <c r="A23" s="111" t="s">
        <v>1572</v>
      </c>
      <c r="B23" s="277" t="e">
        <f aca="false">B22*0.7</f>
        <v>#VALUE!</v>
      </c>
      <c r="C23" s="107" t="s">
        <v>1573</v>
      </c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</row>
    <row r="25" customFormat="false" ht="21.75" hidden="false" customHeight="true" outlineLevel="0" collapsed="false">
      <c r="A25" s="17" t="s">
        <v>1574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</row>
    <row r="26" customFormat="false" ht="24" hidden="false" customHeight="true" outlineLevel="0" collapsed="false">
      <c r="A26" s="109" t="s">
        <v>618</v>
      </c>
      <c r="B26" s="127" t="s">
        <v>1575</v>
      </c>
      <c r="C26" s="109" t="s">
        <v>1576</v>
      </c>
      <c r="D26" s="109" t="s">
        <v>1577</v>
      </c>
      <c r="E26" s="109" t="s">
        <v>1578</v>
      </c>
      <c r="F26" s="109" t="s">
        <v>1579</v>
      </c>
      <c r="G26" s="109" t="s">
        <v>1580</v>
      </c>
      <c r="H26" s="109" t="s">
        <v>1581</v>
      </c>
      <c r="I26" s="109" t="s">
        <v>1582</v>
      </c>
      <c r="J26" s="109" t="s">
        <v>1583</v>
      </c>
      <c r="K26" s="109" t="s">
        <v>1584</v>
      </c>
      <c r="L26" s="109" t="s">
        <v>1585</v>
      </c>
      <c r="M26" s="109" t="s">
        <v>1586</v>
      </c>
      <c r="N26" s="109" t="s">
        <v>1587</v>
      </c>
      <c r="O26" s="109" t="s">
        <v>1588</v>
      </c>
      <c r="P26" s="109" t="s">
        <v>1589</v>
      </c>
      <c r="Q26" s="109" t="s">
        <v>1590</v>
      </c>
      <c r="R26" s="109" t="s">
        <v>1591</v>
      </c>
      <c r="S26" s="109" t="s">
        <v>1592</v>
      </c>
      <c r="T26" s="109" t="s">
        <v>1593</v>
      </c>
      <c r="U26" s="109" t="s">
        <v>1594</v>
      </c>
      <c r="V26" s="109" t="s">
        <v>1595</v>
      </c>
      <c r="W26" s="109" t="s">
        <v>1596</v>
      </c>
      <c r="X26" s="109" t="s">
        <v>1597</v>
      </c>
      <c r="Y26" s="109" t="s">
        <v>1598</v>
      </c>
      <c r="Z26" s="109" t="s">
        <v>1599</v>
      </c>
      <c r="AA26" s="109" t="s">
        <v>1600</v>
      </c>
      <c r="AB26" s="109" t="s">
        <v>1601</v>
      </c>
      <c r="AC26" s="109" t="s">
        <v>1602</v>
      </c>
      <c r="AD26" s="109" t="s">
        <v>1603</v>
      </c>
      <c r="AE26" s="109" t="s">
        <v>1604</v>
      </c>
      <c r="AF26" s="109" t="s">
        <v>1605</v>
      </c>
      <c r="AG26" s="109" t="s">
        <v>1606</v>
      </c>
      <c r="AH26" s="109" t="s">
        <v>1607</v>
      </c>
      <c r="AI26" s="109" t="s">
        <v>1608</v>
      </c>
      <c r="AJ26" s="109" t="s">
        <v>1609</v>
      </c>
      <c r="AK26" s="109" t="s">
        <v>1610</v>
      </c>
      <c r="AL26" s="109" t="s">
        <v>1611</v>
      </c>
    </row>
    <row r="27" customFormat="false" ht="15" hidden="false" customHeight="true" outlineLevel="0" collapsed="false">
      <c r="A27" s="111" t="s">
        <v>1612</v>
      </c>
      <c r="B27" s="124" t="n">
        <f aca="false">SUM(C27:AL27)</f>
        <v>0</v>
      </c>
      <c r="C27" s="378" t="n">
        <f aca="false">$B$7</f>
        <v>0</v>
      </c>
      <c r="D27" s="378" t="n">
        <f aca="false">$B$7</f>
        <v>0</v>
      </c>
      <c r="E27" s="378" t="n">
        <f aca="false">$B$7</f>
        <v>0</v>
      </c>
      <c r="F27" s="378" t="n">
        <f aca="false">$B$7</f>
        <v>0</v>
      </c>
      <c r="G27" s="378" t="n">
        <f aca="false">$B$7</f>
        <v>0</v>
      </c>
      <c r="H27" s="378" t="n">
        <f aca="false">$B$7</f>
        <v>0</v>
      </c>
      <c r="I27" s="378" t="n">
        <f aca="false">$B$8</f>
        <v>0</v>
      </c>
      <c r="J27" s="378" t="n">
        <f aca="false">$B$8</f>
        <v>0</v>
      </c>
      <c r="K27" s="378" t="n">
        <f aca="false">$B$8</f>
        <v>0</v>
      </c>
      <c r="L27" s="378" t="n">
        <f aca="false">$B$8</f>
        <v>0</v>
      </c>
      <c r="M27" s="378" t="n">
        <f aca="false">$B$8</f>
        <v>0</v>
      </c>
      <c r="N27" s="378" t="n">
        <f aca="false">$B$8</f>
        <v>0</v>
      </c>
      <c r="O27" s="378" t="n">
        <f aca="false">$B$9</f>
        <v>0</v>
      </c>
      <c r="P27" s="378" t="n">
        <f aca="false">$B$9</f>
        <v>0</v>
      </c>
      <c r="Q27" s="378" t="n">
        <f aca="false">$B$9</f>
        <v>0</v>
      </c>
      <c r="R27" s="378" t="n">
        <f aca="false">$B$9</f>
        <v>0</v>
      </c>
      <c r="S27" s="378" t="n">
        <f aca="false">$B$9</f>
        <v>0</v>
      </c>
      <c r="T27" s="378" t="n">
        <f aca="false">$B$9</f>
        <v>0</v>
      </c>
      <c r="U27" s="378" t="n">
        <f aca="false">$B$9</f>
        <v>0</v>
      </c>
      <c r="V27" s="378" t="n">
        <f aca="false">$B$9</f>
        <v>0</v>
      </c>
      <c r="W27" s="378" t="n">
        <f aca="false">$B$9</f>
        <v>0</v>
      </c>
      <c r="X27" s="378" t="n">
        <f aca="false">$B$9</f>
        <v>0</v>
      </c>
      <c r="Y27" s="378" t="n">
        <f aca="false">$B$9</f>
        <v>0</v>
      </c>
      <c r="Z27" s="378" t="n">
        <f aca="false">$B$9</f>
        <v>0</v>
      </c>
      <c r="AA27" s="378" t="n">
        <f aca="false">$B$9</f>
        <v>0</v>
      </c>
      <c r="AB27" s="378" t="n">
        <f aca="false">$B$9</f>
        <v>0</v>
      </c>
      <c r="AC27" s="378" t="n">
        <f aca="false">$B$9</f>
        <v>0</v>
      </c>
      <c r="AD27" s="378" t="n">
        <f aca="false">$B$9</f>
        <v>0</v>
      </c>
      <c r="AE27" s="378" t="n">
        <f aca="false">$B$9</f>
        <v>0</v>
      </c>
      <c r="AF27" s="378" t="n">
        <f aca="false">$B$9</f>
        <v>0</v>
      </c>
      <c r="AG27" s="378" t="n">
        <f aca="false">$B$9</f>
        <v>0</v>
      </c>
      <c r="AH27" s="378" t="n">
        <f aca="false">$B$9</f>
        <v>0</v>
      </c>
      <c r="AI27" s="378" t="n">
        <f aca="false">$B$9</f>
        <v>0</v>
      </c>
      <c r="AJ27" s="378" t="n">
        <f aca="false">$B$9</f>
        <v>0</v>
      </c>
      <c r="AK27" s="378" t="n">
        <f aca="false">$B$9</f>
        <v>0</v>
      </c>
      <c r="AL27" s="378" t="n">
        <f aca="false">$B$9</f>
        <v>0</v>
      </c>
    </row>
    <row r="28" customFormat="false" ht="15" hidden="false" customHeight="true" outlineLevel="0" collapsed="false">
      <c r="A28" s="126" t="s">
        <v>1613</v>
      </c>
      <c r="C28" s="507" t="n">
        <f aca="false">MIN($B$5+C27,'Prop Info'!$B$6)</f>
        <v>0</v>
      </c>
      <c r="D28" s="507" t="n">
        <f aca="false">MIN(C28+D27,'Prop Info'!$B$6*$B$6)</f>
        <v>0</v>
      </c>
      <c r="E28" s="507" t="n">
        <f aca="false">MIN(D28+E27,'Prop Info'!$B$6*$B$6)</f>
        <v>0</v>
      </c>
      <c r="F28" s="507" t="n">
        <f aca="false">MIN(E28+F27,'Prop Info'!$B$6*$B$6)</f>
        <v>0</v>
      </c>
      <c r="G28" s="507" t="n">
        <f aca="false">MIN(F28+G27,'Prop Info'!$B$6*$B$6)</f>
        <v>0</v>
      </c>
      <c r="H28" s="507" t="n">
        <f aca="false">MIN(G28+H27,'Prop Info'!$B$6*$B$6)</f>
        <v>0</v>
      </c>
      <c r="I28" s="507" t="n">
        <f aca="false">MIN(H28+I27,'Prop Info'!$B$6*$B$6)</f>
        <v>0</v>
      </c>
      <c r="J28" s="507" t="n">
        <f aca="false">MIN(I28+J27,'Prop Info'!$B$6*$B$6)</f>
        <v>0</v>
      </c>
      <c r="K28" s="507" t="n">
        <f aca="false">MIN(J28+K27,'Prop Info'!$B$6*$B$6)</f>
        <v>0</v>
      </c>
      <c r="L28" s="507" t="n">
        <f aca="false">MIN(K28+L27,'Prop Info'!$B$6*$B$6)</f>
        <v>0</v>
      </c>
      <c r="M28" s="507" t="n">
        <f aca="false">MIN(L28+M27,'Prop Info'!$B$6*$B$6)</f>
        <v>0</v>
      </c>
      <c r="N28" s="507" t="n">
        <f aca="false">MIN(M28+N27,'Prop Info'!$B$6*$B$6)</f>
        <v>0</v>
      </c>
      <c r="O28" s="507" t="n">
        <f aca="false">MIN(N28+O27,'Prop Info'!$B$6*$B$6)</f>
        <v>0</v>
      </c>
      <c r="P28" s="507" t="n">
        <f aca="false">MIN(O28+P27,'Prop Info'!$B$6*$B$6)</f>
        <v>0</v>
      </c>
      <c r="Q28" s="507" t="n">
        <f aca="false">MIN(P28+Q27,'Prop Info'!$B$6*$B$6)</f>
        <v>0</v>
      </c>
      <c r="R28" s="507" t="n">
        <f aca="false">MIN(Q28+R27,'Prop Info'!$B$6*$B$6)</f>
        <v>0</v>
      </c>
      <c r="S28" s="507" t="n">
        <f aca="false">MIN(R28+S27,'Prop Info'!$B$6*$B$6)</f>
        <v>0</v>
      </c>
      <c r="T28" s="507" t="n">
        <f aca="false">MIN(S28+T27,'Prop Info'!$B$6*$B$6)</f>
        <v>0</v>
      </c>
      <c r="U28" s="507" t="n">
        <f aca="false">MIN(T28+U27,'Prop Info'!$B$6*$B$6)</f>
        <v>0</v>
      </c>
      <c r="V28" s="507" t="n">
        <f aca="false">MIN(U28+V27,'Prop Info'!$B$6*$B$6)</f>
        <v>0</v>
      </c>
      <c r="W28" s="507" t="n">
        <f aca="false">MIN(V28+W27,'Prop Info'!$B$6*$B$6)</f>
        <v>0</v>
      </c>
      <c r="X28" s="507" t="n">
        <f aca="false">MIN(W28+X27,'Prop Info'!$B$6*$B$6)</f>
        <v>0</v>
      </c>
      <c r="Y28" s="507" t="n">
        <f aca="false">MIN(X28+Y27,'Prop Info'!$B$6*$B$6)</f>
        <v>0</v>
      </c>
      <c r="Z28" s="507" t="n">
        <f aca="false">MIN(Y28+Z27,'Prop Info'!$B$6*$B$6)</f>
        <v>0</v>
      </c>
      <c r="AA28" s="507" t="n">
        <f aca="false">MIN(Z28+AA27,'Prop Info'!$B$6*$B$6)</f>
        <v>0</v>
      </c>
      <c r="AB28" s="507" t="n">
        <f aca="false">MIN(AA28+AB27,'Prop Info'!$B$6*$B$6)</f>
        <v>0</v>
      </c>
      <c r="AC28" s="507" t="n">
        <f aca="false">MIN(AB28+AC27,'Prop Info'!$B$6*$B$6)</f>
        <v>0</v>
      </c>
      <c r="AD28" s="507" t="n">
        <f aca="false">MIN(AC28+AD27,'Prop Info'!$B$6*$B$6)</f>
        <v>0</v>
      </c>
      <c r="AE28" s="507" t="n">
        <f aca="false">MIN(AD28+AE27,'Prop Info'!$B$6*$B$6)</f>
        <v>0</v>
      </c>
      <c r="AF28" s="507" t="n">
        <f aca="false">MIN(AE28+AF27,'Prop Info'!$B$6*$B$6)</f>
        <v>0</v>
      </c>
      <c r="AG28" s="507" t="n">
        <f aca="false">MIN(AF28+AG27,'Prop Info'!$B$6*$B$6)</f>
        <v>0</v>
      </c>
      <c r="AH28" s="507" t="n">
        <f aca="false">MIN(AG28+AH27,'Prop Info'!$B$6*$B$6)</f>
        <v>0</v>
      </c>
      <c r="AI28" s="507" t="n">
        <f aca="false">MIN(AH28+AI27,'Prop Info'!$B$6*$B$6)</f>
        <v>0</v>
      </c>
      <c r="AJ28" s="507" t="n">
        <f aca="false">MIN(AI28+AJ27,'Prop Info'!$B$6*$B$6)</f>
        <v>0</v>
      </c>
      <c r="AK28" s="507" t="n">
        <f aca="false">MIN(AJ28+AK27,'Prop Info'!$B$6*$B$6)</f>
        <v>0</v>
      </c>
      <c r="AL28" s="507" t="n">
        <f aca="false">MIN(AK28+AL27,'Prop Info'!$B$6*$B$6)</f>
        <v>0</v>
      </c>
    </row>
    <row r="29" customFormat="false" ht="15" hidden="false" customHeight="true" outlineLevel="0" collapsed="false">
      <c r="A29" s="111" t="s">
        <v>889</v>
      </c>
      <c r="C29" s="119" t="n">
        <f aca="false">IFERROR(C28/'Prop Info'!$B$6,0)</f>
        <v>0</v>
      </c>
      <c r="D29" s="119" t="n">
        <f aca="false">IFERROR(D28/'Prop Info'!$B$6,0)</f>
        <v>0</v>
      </c>
      <c r="E29" s="119" t="n">
        <f aca="false">IFERROR(E28/'Prop Info'!$B$6,0)</f>
        <v>0</v>
      </c>
      <c r="F29" s="119" t="n">
        <f aca="false">IFERROR(F28/'Prop Info'!$B$6,0)</f>
        <v>0</v>
      </c>
      <c r="G29" s="119" t="n">
        <f aca="false">IFERROR(G28/'Prop Info'!$B$6,0)</f>
        <v>0</v>
      </c>
      <c r="H29" s="119" t="n">
        <f aca="false">IFERROR(H28/'Prop Info'!$B$6,0)</f>
        <v>0</v>
      </c>
      <c r="I29" s="119" t="n">
        <f aca="false">IFERROR(I28/'Prop Info'!$B$6,0)</f>
        <v>0</v>
      </c>
      <c r="J29" s="119" t="n">
        <f aca="false">IFERROR(J28/'Prop Info'!$B$6,0)</f>
        <v>0</v>
      </c>
      <c r="K29" s="119" t="n">
        <f aca="false">IFERROR(K28/'Prop Info'!$B$6,0)</f>
        <v>0</v>
      </c>
      <c r="L29" s="119" t="n">
        <f aca="false">IFERROR(L28/'Prop Info'!$B$6,0)</f>
        <v>0</v>
      </c>
      <c r="M29" s="119" t="n">
        <f aca="false">IFERROR(M28/'Prop Info'!$B$6,0)</f>
        <v>0</v>
      </c>
      <c r="N29" s="119" t="n">
        <f aca="false">IFERROR(N28/'Prop Info'!$B$6,0)</f>
        <v>0</v>
      </c>
      <c r="O29" s="119" t="n">
        <f aca="false">IFERROR(O28/'Prop Info'!$B$6,0)</f>
        <v>0</v>
      </c>
      <c r="P29" s="119" t="n">
        <f aca="false">IFERROR(P28/'Prop Info'!$B$6,0)</f>
        <v>0</v>
      </c>
      <c r="Q29" s="119" t="n">
        <f aca="false">IFERROR(Q28/'Prop Info'!$B$6,0)</f>
        <v>0</v>
      </c>
      <c r="R29" s="119" t="n">
        <f aca="false">IFERROR(R28/'Prop Info'!$B$6,0)</f>
        <v>0</v>
      </c>
      <c r="S29" s="119" t="n">
        <f aca="false">IFERROR(S28/'Prop Info'!$B$6,0)</f>
        <v>0</v>
      </c>
      <c r="T29" s="119" t="n">
        <f aca="false">IFERROR(T28/'Prop Info'!$B$6,0)</f>
        <v>0</v>
      </c>
      <c r="U29" s="119" t="n">
        <f aca="false">IFERROR(U28/'Prop Info'!$B$6,0)</f>
        <v>0</v>
      </c>
      <c r="V29" s="119" t="n">
        <f aca="false">IFERROR(V28/'Prop Info'!$B$6,0)</f>
        <v>0</v>
      </c>
      <c r="W29" s="119" t="n">
        <f aca="false">IFERROR(W28/'Prop Info'!$B$6,0)</f>
        <v>0</v>
      </c>
      <c r="X29" s="119" t="n">
        <f aca="false">IFERROR(X28/'Prop Info'!$B$6,0)</f>
        <v>0</v>
      </c>
      <c r="Y29" s="119" t="n">
        <f aca="false">IFERROR(Y28/'Prop Info'!$B$6,0)</f>
        <v>0</v>
      </c>
      <c r="Z29" s="119" t="n">
        <f aca="false">IFERROR(Z28/'Prop Info'!$B$6,0)</f>
        <v>0</v>
      </c>
      <c r="AA29" s="119" t="n">
        <f aca="false">IFERROR(AA28/'Prop Info'!$B$6,0)</f>
        <v>0</v>
      </c>
      <c r="AB29" s="119" t="n">
        <f aca="false">IFERROR(AB28/'Prop Info'!$B$6,0)</f>
        <v>0</v>
      </c>
      <c r="AC29" s="119" t="n">
        <f aca="false">IFERROR(AC28/'Prop Info'!$B$6,0)</f>
        <v>0</v>
      </c>
      <c r="AD29" s="119" t="n">
        <f aca="false">IFERROR(AD28/'Prop Info'!$B$6,0)</f>
        <v>0</v>
      </c>
      <c r="AE29" s="119" t="n">
        <f aca="false">IFERROR(AE28/'Prop Info'!$B$6,0)</f>
        <v>0</v>
      </c>
      <c r="AF29" s="119" t="n">
        <f aca="false">IFERROR(AF28/'Prop Info'!$B$6,0)</f>
        <v>0</v>
      </c>
      <c r="AG29" s="119" t="n">
        <f aca="false">IFERROR(AG28/'Prop Info'!$B$6,0)</f>
        <v>0</v>
      </c>
      <c r="AH29" s="119" t="n">
        <f aca="false">IFERROR(AH28/'Prop Info'!$B$6,0)</f>
        <v>0</v>
      </c>
      <c r="AI29" s="119" t="n">
        <f aca="false">IFERROR(AI28/'Prop Info'!$B$6,0)</f>
        <v>0</v>
      </c>
      <c r="AJ29" s="119" t="n">
        <f aca="false">IFERROR(AJ28/'Prop Info'!$B$6,0)</f>
        <v>0</v>
      </c>
      <c r="AK29" s="119" t="n">
        <f aca="false">IFERROR(AK28/'Prop Info'!$B$6,0)</f>
        <v>0</v>
      </c>
      <c r="AL29" s="119" t="n">
        <f aca="false">IFERROR(AL28/'Prop Info'!$B$6,0)</f>
        <v>0</v>
      </c>
    </row>
    <row r="30" customFormat="false" ht="15" hidden="false" customHeight="true" outlineLevel="0" collapsed="false">
      <c r="A30" s="111" t="s">
        <v>1614</v>
      </c>
      <c r="C30" s="378" t="n">
        <f aca="false">MIN($B$14,77)</f>
        <v>77</v>
      </c>
      <c r="D30" s="378" t="n">
        <f aca="false">MIN(C30+$B$14,77)</f>
        <v>77</v>
      </c>
      <c r="E30" s="378" t="n">
        <f aca="false">MIN(D30+$B$14,77)</f>
        <v>77</v>
      </c>
      <c r="F30" s="378" t="n">
        <f aca="false">MIN(E30+$B$14,77)</f>
        <v>77</v>
      </c>
      <c r="G30" s="378" t="n">
        <f aca="false">MIN(F30+$B$14,77)</f>
        <v>77</v>
      </c>
      <c r="H30" s="378" t="n">
        <f aca="false">MIN(G30+$B$14,77)</f>
        <v>77</v>
      </c>
      <c r="I30" s="378" t="n">
        <f aca="false">MIN(H30+$B$14,77)</f>
        <v>77</v>
      </c>
      <c r="J30" s="378" t="n">
        <f aca="false">MIN(I30+$B$14,77)</f>
        <v>77</v>
      </c>
      <c r="K30" s="378" t="n">
        <f aca="false">MIN(J30+$B$14,77)</f>
        <v>77</v>
      </c>
      <c r="L30" s="378" t="n">
        <f aca="false">MIN(K30+$B$14,77)</f>
        <v>77</v>
      </c>
      <c r="M30" s="378" t="n">
        <f aca="false">MIN(L30+$B$14,77)</f>
        <v>77</v>
      </c>
      <c r="N30" s="378" t="n">
        <f aca="false">MIN(M30+$B$14,77)</f>
        <v>77</v>
      </c>
      <c r="O30" s="378" t="n">
        <f aca="false">MIN(N30+$B$14,77)</f>
        <v>77</v>
      </c>
      <c r="P30" s="378" t="n">
        <f aca="false">MIN(O30+$B$14,77)</f>
        <v>77</v>
      </c>
      <c r="Q30" s="378" t="n">
        <f aca="false">MIN(P30+$B$14,77)</f>
        <v>77</v>
      </c>
      <c r="R30" s="378" t="n">
        <f aca="false">MIN(Q30+$B$14,77)</f>
        <v>77</v>
      </c>
      <c r="S30" s="378" t="n">
        <f aca="false">MIN(R30+$B$14,77)</f>
        <v>77</v>
      </c>
      <c r="T30" s="378" t="n">
        <f aca="false">MIN(S30+$B$14,77)</f>
        <v>77</v>
      </c>
      <c r="U30" s="378" t="n">
        <f aca="false">MIN(T30+$B$14,77)</f>
        <v>77</v>
      </c>
      <c r="V30" s="378" t="n">
        <f aca="false">MIN(U30+$B$14,77)</f>
        <v>77</v>
      </c>
      <c r="W30" s="378" t="n">
        <f aca="false">MIN(V30+$B$14,77)</f>
        <v>77</v>
      </c>
      <c r="X30" s="378" t="n">
        <f aca="false">MIN(W30+$B$14,77)</f>
        <v>77</v>
      </c>
      <c r="Y30" s="378" t="n">
        <f aca="false">MIN(X30+$B$14,77)</f>
        <v>77</v>
      </c>
      <c r="Z30" s="378" t="n">
        <f aca="false">MIN(Y30+$B$14,77)</f>
        <v>77</v>
      </c>
      <c r="AA30" s="378" t="n">
        <f aca="false">MIN(Z30+$B$14,77)</f>
        <v>77</v>
      </c>
      <c r="AB30" s="378" t="n">
        <f aca="false">MIN(AA30+$B$14,77)</f>
        <v>77</v>
      </c>
      <c r="AC30" s="378" t="n">
        <f aca="false">MIN(AB30+$B$14,77)</f>
        <v>77</v>
      </c>
      <c r="AD30" s="378" t="n">
        <f aca="false">MIN(AC30+$B$14,77)</f>
        <v>77</v>
      </c>
      <c r="AE30" s="378" t="n">
        <f aca="false">MIN(AD30+$B$14,77)</f>
        <v>77</v>
      </c>
      <c r="AF30" s="378" t="n">
        <f aca="false">MIN(AE30+$B$14,77)</f>
        <v>77</v>
      </c>
      <c r="AG30" s="378" t="n">
        <f aca="false">MIN(AF30+$B$14,77)</f>
        <v>77</v>
      </c>
      <c r="AH30" s="378" t="n">
        <f aca="false">MIN(AG30+$B$14,77)</f>
        <v>77</v>
      </c>
      <c r="AI30" s="378" t="n">
        <f aca="false">MIN(AH30+$B$14,77)</f>
        <v>77</v>
      </c>
      <c r="AJ30" s="378" t="n">
        <f aca="false">MIN(AI30+$B$14,77)</f>
        <v>77</v>
      </c>
      <c r="AK30" s="378" t="n">
        <f aca="false">MIN(AJ30+$B$14,77)</f>
        <v>77</v>
      </c>
      <c r="AL30" s="378" t="n">
        <f aca="false">MIN(AK30+$B$14,77)</f>
        <v>77</v>
      </c>
    </row>
    <row r="31" customFormat="false" ht="15" hidden="false" customHeight="true" outlineLevel="0" collapsed="false">
      <c r="A31" s="111" t="s">
        <v>1615</v>
      </c>
      <c r="C31" s="379" t="n">
        <f aca="false">IF(1&gt;=$B$12,$B$11,$B$10+(($B$11-$B$10)/$B$12)*1)</f>
        <v>0</v>
      </c>
      <c r="D31" s="379" t="n">
        <f aca="false">IF(2&gt;=$B$12,$B$11,$B$10+(($B$11-$B$10)/$B$12)*2)</f>
        <v>0</v>
      </c>
      <c r="E31" s="379" t="n">
        <f aca="false">IF(3&gt;=$B$12,$B$11,$B$10+(($B$11-$B$10)/$B$12)*3)</f>
        <v>0</v>
      </c>
      <c r="F31" s="379" t="n">
        <f aca="false">IF(4&gt;=$B$12,$B$11,$B$10+(($B$11-$B$10)/$B$12)*4)</f>
        <v>0</v>
      </c>
      <c r="G31" s="379" t="n">
        <f aca="false">IF(5&gt;=$B$12,$B$11,$B$10+(($B$11-$B$10)/$B$12)*5)</f>
        <v>0</v>
      </c>
      <c r="H31" s="379" t="n">
        <f aca="false">IF(6&gt;=$B$12,$B$11,$B$10+(($B$11-$B$10)/$B$12)*6)</f>
        <v>0</v>
      </c>
      <c r="I31" s="379" t="n">
        <f aca="false">IF(7&gt;=$B$12,$B$11,$B$10+(($B$11-$B$10)/$B$12)*7)</f>
        <v>0</v>
      </c>
      <c r="J31" s="379" t="n">
        <f aca="false">IF(8&gt;=$B$12,$B$11,$B$10+(($B$11-$B$10)/$B$12)*8)</f>
        <v>0</v>
      </c>
      <c r="K31" s="379" t="n">
        <f aca="false">IF(9&gt;=$B$12,$B$11,$B$10+(($B$11-$B$10)/$B$12)*9)</f>
        <v>0</v>
      </c>
      <c r="L31" s="379" t="n">
        <f aca="false">IF(10&gt;=$B$12,$B$11,$B$10+(($B$11-$B$10)/$B$12)*10)</f>
        <v>0</v>
      </c>
      <c r="M31" s="379" t="n">
        <f aca="false">IF(11&gt;=$B$12,$B$11,$B$10+(($B$11-$B$10)/$B$12)*11)</f>
        <v>0</v>
      </c>
      <c r="N31" s="379" t="n">
        <f aca="false">IF(12&gt;=$B$12,$B$11,$B$10+(($B$11-$B$10)/$B$12)*12)</f>
        <v>0</v>
      </c>
      <c r="O31" s="379" t="n">
        <f aca="false">IF(13&gt;=$B$12,$B$11,$B$10+(($B$11-$B$10)/$B$12)*13)</f>
        <v>0</v>
      </c>
      <c r="P31" s="379" t="n">
        <f aca="false">IF(14&gt;=$B$12,$B$11,$B$10+(($B$11-$B$10)/$B$12)*14)</f>
        <v>0</v>
      </c>
      <c r="Q31" s="379" t="n">
        <f aca="false">IF(15&gt;=$B$12,$B$11,$B$10+(($B$11-$B$10)/$B$12)*15)</f>
        <v>0</v>
      </c>
      <c r="R31" s="379" t="n">
        <f aca="false">IF(16&gt;=$B$12,$B$11,$B$10+(($B$11-$B$10)/$B$12)*16)</f>
        <v>0</v>
      </c>
      <c r="S31" s="379" t="n">
        <f aca="false">IF(17&gt;=$B$12,$B$11,$B$10+(($B$11-$B$10)/$B$12)*17)</f>
        <v>0</v>
      </c>
      <c r="T31" s="379" t="n">
        <f aca="false">IF(18&gt;=$B$12,$B$11,$B$10+(($B$11-$B$10)/$B$12)*18)</f>
        <v>0</v>
      </c>
      <c r="U31" s="379" t="n">
        <f aca="false">IF(19&gt;=$B$12,$B$11,$B$10+(($B$11-$B$10)/$B$12)*19)</f>
        <v>0</v>
      </c>
      <c r="V31" s="379" t="n">
        <f aca="false">IF(20&gt;=$B$12,$B$11,$B$10+(($B$11-$B$10)/$B$12)*20)</f>
        <v>0</v>
      </c>
      <c r="W31" s="379" t="n">
        <f aca="false">IF(21&gt;=$B$12,$B$11,$B$10+(($B$11-$B$10)/$B$12)*21)</f>
        <v>0</v>
      </c>
      <c r="X31" s="379" t="n">
        <f aca="false">IF(22&gt;=$B$12,$B$11,$B$10+(($B$11-$B$10)/$B$12)*22)</f>
        <v>0</v>
      </c>
      <c r="Y31" s="379" t="n">
        <f aca="false">IF(23&gt;=$B$12,$B$11,$B$10+(($B$11-$B$10)/$B$12)*23)</f>
        <v>0</v>
      </c>
      <c r="Z31" s="379" t="n">
        <f aca="false">IF(24&gt;=$B$12,$B$11,$B$10+(($B$11-$B$10)/$B$12)*24)</f>
        <v>0</v>
      </c>
      <c r="AA31" s="379" t="n">
        <f aca="false">IF(25&gt;=$B$12,$B$11,$B$10+(($B$11-$B$10)/$B$12)*25)</f>
        <v>0</v>
      </c>
      <c r="AB31" s="379" t="n">
        <f aca="false">IF(26&gt;=$B$12,$B$11,$B$10+(($B$11-$B$10)/$B$12)*26)</f>
        <v>0</v>
      </c>
      <c r="AC31" s="379" t="n">
        <f aca="false">IF(27&gt;=$B$12,$B$11,$B$10+(($B$11-$B$10)/$B$12)*27)</f>
        <v>0</v>
      </c>
      <c r="AD31" s="379" t="n">
        <f aca="false">IF(28&gt;=$B$12,$B$11,$B$10+(($B$11-$B$10)/$B$12)*28)</f>
        <v>0</v>
      </c>
      <c r="AE31" s="379" t="n">
        <f aca="false">IF(29&gt;=$B$12,$B$11,$B$10+(($B$11-$B$10)/$B$12)*29)</f>
        <v>0</v>
      </c>
      <c r="AF31" s="379" t="n">
        <f aca="false">IF(30&gt;=$B$12,$B$11,$B$10+(($B$11-$B$10)/$B$12)*30)</f>
        <v>0</v>
      </c>
      <c r="AG31" s="379" t="n">
        <f aca="false">IF(31&gt;=$B$12,$B$11,$B$10+(($B$11-$B$10)/$B$12)*31)</f>
        <v>0</v>
      </c>
      <c r="AH31" s="379" t="n">
        <f aca="false">IF(32&gt;=$B$12,$B$11,$B$10+(($B$11-$B$10)/$B$12)*32)</f>
        <v>0</v>
      </c>
      <c r="AI31" s="379" t="n">
        <f aca="false">IF(33&gt;=$B$12,$B$11,$B$10+(($B$11-$B$10)/$B$12)*33)</f>
        <v>0</v>
      </c>
      <c r="AJ31" s="379" t="n">
        <f aca="false">IF(34&gt;=$B$12,$B$11,$B$10+(($B$11-$B$10)/$B$12)*34)</f>
        <v>0</v>
      </c>
      <c r="AK31" s="379" t="n">
        <f aca="false">IF(35&gt;=$B$12,$B$11,$B$10+(($B$11-$B$10)/$B$12)*35)</f>
        <v>0</v>
      </c>
      <c r="AL31" s="379" t="n">
        <f aca="false">IF(36&gt;=$B$12,$B$11,$B$10+(($B$11-$B$10)/$B$12)*36)</f>
        <v>0</v>
      </c>
    </row>
    <row r="32" customFormat="false" ht="15" hidden="false" customHeight="true" outlineLevel="0" collapsed="false">
      <c r="A32" s="111" t="s">
        <v>1616</v>
      </c>
      <c r="B32" s="309" t="n">
        <f aca="false">SUM(C32:AL32)</f>
        <v>0</v>
      </c>
      <c r="C32" s="277" t="n">
        <f aca="false">C28*C31</f>
        <v>0</v>
      </c>
      <c r="D32" s="277" t="n">
        <f aca="false">D28*D31</f>
        <v>0</v>
      </c>
      <c r="E32" s="277" t="n">
        <f aca="false">E28*E31</f>
        <v>0</v>
      </c>
      <c r="F32" s="277" t="n">
        <f aca="false">F28*F31</f>
        <v>0</v>
      </c>
      <c r="G32" s="277" t="n">
        <f aca="false">G28*G31</f>
        <v>0</v>
      </c>
      <c r="H32" s="277" t="n">
        <f aca="false">H28*H31</f>
        <v>0</v>
      </c>
      <c r="I32" s="277" t="n">
        <f aca="false">I28*I31</f>
        <v>0</v>
      </c>
      <c r="J32" s="277" t="n">
        <f aca="false">J28*J31</f>
        <v>0</v>
      </c>
      <c r="K32" s="277" t="n">
        <f aca="false">K28*K31</f>
        <v>0</v>
      </c>
      <c r="L32" s="277" t="n">
        <f aca="false">L28*L31</f>
        <v>0</v>
      </c>
      <c r="M32" s="277" t="n">
        <f aca="false">M28*M31</f>
        <v>0</v>
      </c>
      <c r="N32" s="277" t="n">
        <f aca="false">N28*N31</f>
        <v>0</v>
      </c>
      <c r="O32" s="277" t="n">
        <f aca="false">O28*O31</f>
        <v>0</v>
      </c>
      <c r="P32" s="277" t="n">
        <f aca="false">P28*P31</f>
        <v>0</v>
      </c>
      <c r="Q32" s="277" t="n">
        <f aca="false">Q28*Q31</f>
        <v>0</v>
      </c>
      <c r="R32" s="277" t="n">
        <f aca="false">R28*R31</f>
        <v>0</v>
      </c>
      <c r="S32" s="277" t="n">
        <f aca="false">S28*S31</f>
        <v>0</v>
      </c>
      <c r="T32" s="277" t="n">
        <f aca="false">T28*T31</f>
        <v>0</v>
      </c>
      <c r="U32" s="277" t="n">
        <f aca="false">U28*U31</f>
        <v>0</v>
      </c>
      <c r="V32" s="277" t="n">
        <f aca="false">V28*V31</f>
        <v>0</v>
      </c>
      <c r="W32" s="277" t="n">
        <f aca="false">W28*W31</f>
        <v>0</v>
      </c>
      <c r="X32" s="277" t="n">
        <f aca="false">X28*X31</f>
        <v>0</v>
      </c>
      <c r="Y32" s="277" t="n">
        <f aca="false">Y28*Y31</f>
        <v>0</v>
      </c>
      <c r="Z32" s="277" t="n">
        <f aca="false">Z28*Z31</f>
        <v>0</v>
      </c>
      <c r="AA32" s="277" t="n">
        <f aca="false">AA28*AA31</f>
        <v>0</v>
      </c>
      <c r="AB32" s="277" t="n">
        <f aca="false">AB28*AB31</f>
        <v>0</v>
      </c>
      <c r="AC32" s="277" t="n">
        <f aca="false">AC28*AC31</f>
        <v>0</v>
      </c>
      <c r="AD32" s="277" t="n">
        <f aca="false">AD28*AD31</f>
        <v>0</v>
      </c>
      <c r="AE32" s="277" t="n">
        <f aca="false">AE28*AE31</f>
        <v>0</v>
      </c>
      <c r="AF32" s="277" t="n">
        <f aca="false">AF28*AF31</f>
        <v>0</v>
      </c>
      <c r="AG32" s="277" t="n">
        <f aca="false">AG28*AG31</f>
        <v>0</v>
      </c>
      <c r="AH32" s="277" t="n">
        <f aca="false">AH28*AH31</f>
        <v>0</v>
      </c>
      <c r="AI32" s="277" t="n">
        <f aca="false">AI28*AI31</f>
        <v>0</v>
      </c>
      <c r="AJ32" s="277" t="n">
        <f aca="false">AJ28*AJ31</f>
        <v>0</v>
      </c>
      <c r="AK32" s="277" t="n">
        <f aca="false">AK28*AK31</f>
        <v>0</v>
      </c>
      <c r="AL32" s="277" t="n">
        <f aca="false">AL28*AL31</f>
        <v>0</v>
      </c>
    </row>
    <row r="33" customFormat="false" ht="15" hidden="false" customHeight="true" outlineLevel="0" collapsed="false">
      <c r="A33" s="111" t="s">
        <v>1617</v>
      </c>
      <c r="C33" s="273" t="n">
        <f aca="false">IF(1&gt;=$B$20,$B$16,$B$15-(($B$15-$B$16)/$B$20)*1)</f>
        <v>0</v>
      </c>
      <c r="D33" s="273" t="n">
        <f aca="false">IF(2&gt;=$B$20,$B$16,$B$15-(($B$15-$B$16)/$B$20)*2)</f>
        <v>0</v>
      </c>
      <c r="E33" s="273" t="n">
        <f aca="false">IF(3&gt;=$B$20,$B$16,$B$15-(($B$15-$B$16)/$B$20)*3)</f>
        <v>0</v>
      </c>
      <c r="F33" s="273" t="n">
        <f aca="false">IF(4&gt;=$B$20,$B$16,$B$15-(($B$15-$B$16)/$B$20)*4)</f>
        <v>0</v>
      </c>
      <c r="G33" s="273" t="n">
        <f aca="false">IF(5&gt;=$B$20,$B$16,$B$15-(($B$15-$B$16)/$B$20)*5)</f>
        <v>0</v>
      </c>
      <c r="H33" s="273" t="n">
        <f aca="false">IF(6&gt;=$B$20,$B$16,$B$15-(($B$15-$B$16)/$B$20)*6)</f>
        <v>0</v>
      </c>
      <c r="I33" s="273" t="n">
        <f aca="false">IF(7&gt;=$B$20,$B$16,$B$15-(($B$15-$B$16)/$B$20)*7)</f>
        <v>0</v>
      </c>
      <c r="J33" s="273" t="n">
        <f aca="false">IF(8&gt;=$B$20,$B$16,$B$15-(($B$15-$B$16)/$B$20)*8)</f>
        <v>0</v>
      </c>
      <c r="K33" s="273" t="n">
        <f aca="false">IF(9&gt;=$B$20,$B$16,$B$15-(($B$15-$B$16)/$B$20)*9)</f>
        <v>0</v>
      </c>
      <c r="L33" s="273" t="n">
        <f aca="false">IF(10&gt;=$B$20,$B$16,$B$15-(($B$15-$B$16)/$B$20)*10)</f>
        <v>0</v>
      </c>
      <c r="M33" s="273" t="n">
        <f aca="false">IF(11&gt;=$B$20,$B$16,$B$15-(($B$15-$B$16)/$B$20)*11)</f>
        <v>0</v>
      </c>
      <c r="N33" s="273" t="n">
        <f aca="false">IF(12&gt;=$B$20,$B$16,$B$15-(($B$15-$B$16)/$B$20)*12)</f>
        <v>0</v>
      </c>
      <c r="O33" s="273" t="n">
        <f aca="false">IF(13&gt;=$B$20,$B$16,$B$15-(($B$15-$B$16)/$B$20)*13)</f>
        <v>0</v>
      </c>
      <c r="P33" s="273" t="n">
        <f aca="false">IF(14&gt;=$B$20,$B$16,$B$15-(($B$15-$B$16)/$B$20)*14)</f>
        <v>0</v>
      </c>
      <c r="Q33" s="273" t="n">
        <f aca="false">IF(15&gt;=$B$20,$B$16,$B$15-(($B$15-$B$16)/$B$20)*15)</f>
        <v>0</v>
      </c>
      <c r="R33" s="273" t="n">
        <f aca="false">IF(16&gt;=$B$20,$B$16,$B$15-(($B$15-$B$16)/$B$20)*16)</f>
        <v>0</v>
      </c>
      <c r="S33" s="273" t="n">
        <f aca="false">IF(17&gt;=$B$20,$B$16,$B$15-(($B$15-$B$16)/$B$20)*17)</f>
        <v>0</v>
      </c>
      <c r="T33" s="273" t="n">
        <f aca="false">IF(18&gt;=$B$20,$B$16,$B$15-(($B$15-$B$16)/$B$20)*18)</f>
        <v>0</v>
      </c>
      <c r="U33" s="273" t="n">
        <f aca="false">IF(19&gt;=$B$20,$B$16,$B$15-(($B$15-$B$16)/$B$20)*19)</f>
        <v>0</v>
      </c>
      <c r="V33" s="273" t="n">
        <f aca="false">IF(20&gt;=$B$20,$B$16,$B$15-(($B$15-$B$16)/$B$20)*20)</f>
        <v>0</v>
      </c>
      <c r="W33" s="273" t="n">
        <f aca="false">IF(21&gt;=$B$20,$B$16,$B$15-(($B$15-$B$16)/$B$20)*21)</f>
        <v>0</v>
      </c>
      <c r="X33" s="273" t="n">
        <f aca="false">IF(22&gt;=$B$20,$B$16,$B$15-(($B$15-$B$16)/$B$20)*22)</f>
        <v>0</v>
      </c>
      <c r="Y33" s="273" t="n">
        <f aca="false">IF(23&gt;=$B$20,$B$16,$B$15-(($B$15-$B$16)/$B$20)*23)</f>
        <v>0</v>
      </c>
      <c r="Z33" s="273" t="n">
        <f aca="false">IF(24&gt;=$B$20,$B$16,$B$15-(($B$15-$B$16)/$B$20)*24)</f>
        <v>0</v>
      </c>
      <c r="AA33" s="273" t="n">
        <f aca="false">IF(25&gt;=$B$20,$B$16,$B$15-(($B$15-$B$16)/$B$20)*25)</f>
        <v>0</v>
      </c>
      <c r="AB33" s="273" t="n">
        <f aca="false">IF(26&gt;=$B$20,$B$16,$B$15-(($B$15-$B$16)/$B$20)*26)</f>
        <v>0</v>
      </c>
      <c r="AC33" s="273" t="n">
        <f aca="false">IF(27&gt;=$B$20,$B$16,$B$15-(($B$15-$B$16)/$B$20)*27)</f>
        <v>0</v>
      </c>
      <c r="AD33" s="273" t="n">
        <f aca="false">IF(28&gt;=$B$20,$B$16,$B$15-(($B$15-$B$16)/$B$20)*28)</f>
        <v>0</v>
      </c>
      <c r="AE33" s="273" t="n">
        <f aca="false">IF(29&gt;=$B$20,$B$16,$B$15-(($B$15-$B$16)/$B$20)*29)</f>
        <v>0</v>
      </c>
      <c r="AF33" s="273" t="n">
        <f aca="false">IF(30&gt;=$B$20,$B$16,$B$15-(($B$15-$B$16)/$B$20)*30)</f>
        <v>0</v>
      </c>
      <c r="AG33" s="273" t="n">
        <f aca="false">IF(31&gt;=$B$20,$B$16,$B$15-(($B$15-$B$16)/$B$20)*31)</f>
        <v>0</v>
      </c>
      <c r="AH33" s="273" t="n">
        <f aca="false">IF(32&gt;=$B$20,$B$16,$B$15-(($B$15-$B$16)/$B$20)*32)</f>
        <v>0</v>
      </c>
      <c r="AI33" s="273" t="n">
        <f aca="false">IF(33&gt;=$B$20,$B$16,$B$15-(($B$15-$B$16)/$B$20)*33)</f>
        <v>0</v>
      </c>
      <c r="AJ33" s="273" t="n">
        <f aca="false">IF(34&gt;=$B$20,$B$16,$B$15-(($B$15-$B$16)/$B$20)*34)</f>
        <v>0</v>
      </c>
      <c r="AK33" s="273" t="n">
        <f aca="false">IF(35&gt;=$B$20,$B$16,$B$15-(($B$15-$B$16)/$B$20)*35)</f>
        <v>0</v>
      </c>
      <c r="AL33" s="273" t="n">
        <f aca="false">IF(36&gt;=$B$20,$B$16,$B$15-(($B$15-$B$16)/$B$20)*36)</f>
        <v>0</v>
      </c>
    </row>
    <row r="34" customFormat="false" ht="15" hidden="false" customHeight="true" outlineLevel="0" collapsed="false">
      <c r="A34" s="111" t="s">
        <v>1618</v>
      </c>
      <c r="C34" s="277" t="n">
        <f aca="false">C27*$B$17</f>
        <v>0</v>
      </c>
      <c r="D34" s="277" t="n">
        <f aca="false">D27*$B$17</f>
        <v>0</v>
      </c>
      <c r="E34" s="277" t="n">
        <f aca="false">E27*$B$17</f>
        <v>0</v>
      </c>
      <c r="F34" s="277" t="n">
        <f aca="false">F27*$B$17</f>
        <v>0</v>
      </c>
      <c r="G34" s="277" t="n">
        <f aca="false">G27*$B$17</f>
        <v>0</v>
      </c>
      <c r="H34" s="277" t="n">
        <f aca="false">H27*$B$17</f>
        <v>0</v>
      </c>
      <c r="I34" s="277" t="n">
        <f aca="false">I27*$B$17</f>
        <v>0</v>
      </c>
      <c r="J34" s="277" t="n">
        <f aca="false">J27*$B$17</f>
        <v>0</v>
      </c>
      <c r="K34" s="277" t="n">
        <f aca="false">K27*$B$17</f>
        <v>0</v>
      </c>
      <c r="L34" s="277" t="n">
        <f aca="false">L27*$B$17</f>
        <v>0</v>
      </c>
      <c r="M34" s="277" t="n">
        <f aca="false">M27*$B$17</f>
        <v>0</v>
      </c>
      <c r="N34" s="277" t="n">
        <f aca="false">N27*$B$17</f>
        <v>0</v>
      </c>
      <c r="O34" s="277" t="n">
        <f aca="false">O27*$B$17</f>
        <v>0</v>
      </c>
      <c r="P34" s="277" t="n">
        <f aca="false">P27*$B$17</f>
        <v>0</v>
      </c>
      <c r="Q34" s="277" t="n">
        <f aca="false">Q27*$B$17</f>
        <v>0</v>
      </c>
      <c r="R34" s="277" t="n">
        <f aca="false">R27*$B$17</f>
        <v>0</v>
      </c>
      <c r="S34" s="277" t="n">
        <f aca="false">S27*$B$17</f>
        <v>0</v>
      </c>
      <c r="T34" s="277" t="n">
        <f aca="false">T27*$B$17</f>
        <v>0</v>
      </c>
      <c r="U34" s="277" t="n">
        <f aca="false">U27*$B$17</f>
        <v>0</v>
      </c>
      <c r="V34" s="277" t="n">
        <f aca="false">V27*$B$17</f>
        <v>0</v>
      </c>
      <c r="W34" s="277" t="n">
        <f aca="false">W27*$B$17</f>
        <v>0</v>
      </c>
      <c r="X34" s="277" t="n">
        <f aca="false">X27*$B$17</f>
        <v>0</v>
      </c>
      <c r="Y34" s="277" t="n">
        <f aca="false">Y27*$B$17</f>
        <v>0</v>
      </c>
      <c r="Z34" s="277" t="n">
        <f aca="false">Z27*$B$17</f>
        <v>0</v>
      </c>
      <c r="AA34" s="277" t="n">
        <f aca="false">AA27*$B$17</f>
        <v>0</v>
      </c>
      <c r="AB34" s="277" t="n">
        <f aca="false">AB27*$B$17</f>
        <v>0</v>
      </c>
      <c r="AC34" s="277" t="n">
        <f aca="false">AC27*$B$17</f>
        <v>0</v>
      </c>
      <c r="AD34" s="277" t="n">
        <f aca="false">AD27*$B$17</f>
        <v>0</v>
      </c>
      <c r="AE34" s="277" t="n">
        <f aca="false">AE27*$B$17</f>
        <v>0</v>
      </c>
      <c r="AF34" s="277" t="n">
        <f aca="false">AF27*$B$17</f>
        <v>0</v>
      </c>
      <c r="AG34" s="277" t="n">
        <f aca="false">AG27*$B$17</f>
        <v>0</v>
      </c>
      <c r="AH34" s="277" t="n">
        <f aca="false">AH27*$B$17</f>
        <v>0</v>
      </c>
      <c r="AI34" s="277" t="n">
        <f aca="false">AI27*$B$17</f>
        <v>0</v>
      </c>
      <c r="AJ34" s="277" t="n">
        <f aca="false">AJ27*$B$17</f>
        <v>0</v>
      </c>
      <c r="AK34" s="277" t="n">
        <f aca="false">AK27*$B$17</f>
        <v>0</v>
      </c>
      <c r="AL34" s="277" t="n">
        <f aca="false">AL27*$B$17</f>
        <v>0</v>
      </c>
    </row>
    <row r="35" customFormat="false" ht="15" hidden="false" customHeight="true" outlineLevel="0" collapsed="false">
      <c r="A35" s="126" t="s">
        <v>1619</v>
      </c>
      <c r="B35" s="309" t="n">
        <f aca="false">SUM(C35:AL35)</f>
        <v>0</v>
      </c>
      <c r="C35" s="309" t="n">
        <f aca="false">C32*(1-C33)-C34</f>
        <v>0</v>
      </c>
      <c r="D35" s="309" t="n">
        <f aca="false">D32*(1-D33)-D34</f>
        <v>0</v>
      </c>
      <c r="E35" s="309" t="n">
        <f aca="false">E32*(1-E33)-E34</f>
        <v>0</v>
      </c>
      <c r="F35" s="309" t="n">
        <f aca="false">F32*(1-F33)-F34</f>
        <v>0</v>
      </c>
      <c r="G35" s="309" t="n">
        <f aca="false">G32*(1-G33)-G34</f>
        <v>0</v>
      </c>
      <c r="H35" s="309" t="n">
        <f aca="false">H32*(1-H33)-H34</f>
        <v>0</v>
      </c>
      <c r="I35" s="309" t="n">
        <f aca="false">I32*(1-I33)-I34</f>
        <v>0</v>
      </c>
      <c r="J35" s="309" t="n">
        <f aca="false">J32*(1-J33)-J34</f>
        <v>0</v>
      </c>
      <c r="K35" s="309" t="n">
        <f aca="false">K32*(1-K33)-K34</f>
        <v>0</v>
      </c>
      <c r="L35" s="309" t="n">
        <f aca="false">L32*(1-L33)-L34</f>
        <v>0</v>
      </c>
      <c r="M35" s="309" t="n">
        <f aca="false">M32*(1-M33)-M34</f>
        <v>0</v>
      </c>
      <c r="N35" s="309" t="n">
        <f aca="false">N32*(1-N33)-N34</f>
        <v>0</v>
      </c>
      <c r="O35" s="309" t="n">
        <f aca="false">O32*(1-O33)-O34</f>
        <v>0</v>
      </c>
      <c r="P35" s="309" t="n">
        <f aca="false">P32*(1-P33)-P34</f>
        <v>0</v>
      </c>
      <c r="Q35" s="309" t="n">
        <f aca="false">Q32*(1-Q33)-Q34</f>
        <v>0</v>
      </c>
      <c r="R35" s="309" t="n">
        <f aca="false">R32*(1-R33)-R34</f>
        <v>0</v>
      </c>
      <c r="S35" s="309" t="n">
        <f aca="false">S32*(1-S33)-S34</f>
        <v>0</v>
      </c>
      <c r="T35" s="309" t="n">
        <f aca="false">T32*(1-T33)-T34</f>
        <v>0</v>
      </c>
      <c r="U35" s="309" t="n">
        <f aca="false">U32*(1-U33)-U34</f>
        <v>0</v>
      </c>
      <c r="V35" s="309" t="n">
        <f aca="false">V32*(1-V33)-V34</f>
        <v>0</v>
      </c>
      <c r="W35" s="309" t="n">
        <f aca="false">W32*(1-W33)-W34</f>
        <v>0</v>
      </c>
      <c r="X35" s="309" t="n">
        <f aca="false">X32*(1-X33)-X34</f>
        <v>0</v>
      </c>
      <c r="Y35" s="309" t="n">
        <f aca="false">Y32*(1-Y33)-Y34</f>
        <v>0</v>
      </c>
      <c r="Z35" s="309" t="n">
        <f aca="false">Z32*(1-Z33)-Z34</f>
        <v>0</v>
      </c>
      <c r="AA35" s="309" t="n">
        <f aca="false">AA32*(1-AA33)-AA34</f>
        <v>0</v>
      </c>
      <c r="AB35" s="309" t="n">
        <f aca="false">AB32*(1-AB33)-AB34</f>
        <v>0</v>
      </c>
      <c r="AC35" s="309" t="n">
        <f aca="false">AC32*(1-AC33)-AC34</f>
        <v>0</v>
      </c>
      <c r="AD35" s="309" t="n">
        <f aca="false">AD32*(1-AD33)-AD34</f>
        <v>0</v>
      </c>
      <c r="AE35" s="309" t="n">
        <f aca="false">AE32*(1-AE33)-AE34</f>
        <v>0</v>
      </c>
      <c r="AF35" s="309" t="n">
        <f aca="false">AF32*(1-AF33)-AF34</f>
        <v>0</v>
      </c>
      <c r="AG35" s="309" t="n">
        <f aca="false">AG32*(1-AG33)-AG34</f>
        <v>0</v>
      </c>
      <c r="AH35" s="309" t="n">
        <f aca="false">AH32*(1-AH33)-AH34</f>
        <v>0</v>
      </c>
      <c r="AI35" s="309" t="n">
        <f aca="false">AI32*(1-AI33)-AI34</f>
        <v>0</v>
      </c>
      <c r="AJ35" s="309" t="n">
        <f aca="false">AJ32*(1-AJ33)-AJ34</f>
        <v>0</v>
      </c>
      <c r="AK35" s="309" t="n">
        <f aca="false">AK32*(1-AK33)-AK34</f>
        <v>0</v>
      </c>
      <c r="AL35" s="309" t="n">
        <f aca="false">AL32*(1-AL33)-AL34</f>
        <v>0</v>
      </c>
    </row>
    <row r="36" customFormat="false" ht="15" hidden="false" customHeight="true" outlineLevel="0" collapsed="false">
      <c r="A36" s="111" t="s">
        <v>1620</v>
      </c>
      <c r="B36" s="309" t="e">
        <f aca="false">SUM(C36:AL36)</f>
        <v>#VALUE!</v>
      </c>
      <c r="C36" s="120" t="e">
        <f aca="false">Scenarios!$F$49/12</f>
        <v>#VALUE!</v>
      </c>
      <c r="D36" s="120" t="e">
        <f aca="false">Scenarios!$F$49/12</f>
        <v>#VALUE!</v>
      </c>
      <c r="E36" s="120" t="e">
        <f aca="false">Scenarios!$F$49/12</f>
        <v>#VALUE!</v>
      </c>
      <c r="F36" s="120" t="e">
        <f aca="false">Scenarios!$F$49/12</f>
        <v>#VALUE!</v>
      </c>
      <c r="G36" s="120" t="e">
        <f aca="false">Scenarios!$F$49/12</f>
        <v>#VALUE!</v>
      </c>
      <c r="H36" s="120" t="e">
        <f aca="false">Scenarios!$F$49/12</f>
        <v>#VALUE!</v>
      </c>
      <c r="I36" s="120" t="e">
        <f aca="false">Scenarios!$F$49/12</f>
        <v>#VALUE!</v>
      </c>
      <c r="J36" s="120" t="e">
        <f aca="false">Scenarios!$F$49/12</f>
        <v>#VALUE!</v>
      </c>
      <c r="K36" s="120" t="e">
        <f aca="false">Scenarios!$F$49/12</f>
        <v>#VALUE!</v>
      </c>
      <c r="L36" s="120" t="e">
        <f aca="false">Scenarios!$F$49/12</f>
        <v>#VALUE!</v>
      </c>
      <c r="M36" s="120" t="e">
        <f aca="false">Scenarios!$F$49/12</f>
        <v>#VALUE!</v>
      </c>
      <c r="N36" s="120" t="e">
        <f aca="false">Scenarios!$F$49/12</f>
        <v>#VALUE!</v>
      </c>
      <c r="O36" s="120" t="e">
        <f aca="false">Scenarios!$F$49/12</f>
        <v>#VALUE!</v>
      </c>
      <c r="P36" s="120" t="e">
        <f aca="false">Scenarios!$F$49/12</f>
        <v>#VALUE!</v>
      </c>
      <c r="Q36" s="120" t="e">
        <f aca="false">Scenarios!$F$49/12</f>
        <v>#VALUE!</v>
      </c>
      <c r="R36" s="120" t="e">
        <f aca="false">Scenarios!$F$49/12</f>
        <v>#VALUE!</v>
      </c>
      <c r="S36" s="120" t="e">
        <f aca="false">Scenarios!$F$49/12</f>
        <v>#VALUE!</v>
      </c>
      <c r="T36" s="120" t="e">
        <f aca="false">Scenarios!$F$49/12</f>
        <v>#VALUE!</v>
      </c>
      <c r="U36" s="120" t="e">
        <f aca="false">Scenarios!$F$49/12</f>
        <v>#VALUE!</v>
      </c>
      <c r="V36" s="120" t="e">
        <f aca="false">Scenarios!$F$49/12</f>
        <v>#VALUE!</v>
      </c>
      <c r="W36" s="120" t="e">
        <f aca="false">Scenarios!$F$49/12</f>
        <v>#VALUE!</v>
      </c>
      <c r="X36" s="120" t="e">
        <f aca="false">Scenarios!$F$49/12</f>
        <v>#VALUE!</v>
      </c>
      <c r="Y36" s="120" t="e">
        <f aca="false">Scenarios!$F$49/12</f>
        <v>#VALUE!</v>
      </c>
      <c r="Z36" s="120" t="e">
        <f aca="false">Scenarios!$F$49/12</f>
        <v>#VALUE!</v>
      </c>
      <c r="AA36" s="120" t="e">
        <f aca="false">Scenarios!$F$49/12</f>
        <v>#VALUE!</v>
      </c>
      <c r="AB36" s="120" t="e">
        <f aca="false">Scenarios!$F$49/12</f>
        <v>#VALUE!</v>
      </c>
      <c r="AC36" s="120" t="e">
        <f aca="false">Scenarios!$F$49/12</f>
        <v>#VALUE!</v>
      </c>
      <c r="AD36" s="120" t="e">
        <f aca="false">Scenarios!$F$49/12</f>
        <v>#VALUE!</v>
      </c>
      <c r="AE36" s="120" t="e">
        <f aca="false">Scenarios!$F$49/12</f>
        <v>#VALUE!</v>
      </c>
      <c r="AF36" s="120" t="e">
        <f aca="false">Scenarios!$F$49/12</f>
        <v>#VALUE!</v>
      </c>
      <c r="AG36" s="120" t="e">
        <f aca="false">Scenarios!$F$49/12</f>
        <v>#VALUE!</v>
      </c>
      <c r="AH36" s="120" t="e">
        <f aca="false">Scenarios!$F$49/12</f>
        <v>#VALUE!</v>
      </c>
      <c r="AI36" s="120" t="e">
        <f aca="false">Scenarios!$F$49/12</f>
        <v>#VALUE!</v>
      </c>
      <c r="AJ36" s="120" t="e">
        <f aca="false">Scenarios!$F$49/12</f>
        <v>#VALUE!</v>
      </c>
      <c r="AK36" s="120" t="e">
        <f aca="false">Scenarios!$F$49/12</f>
        <v>#VALUE!</v>
      </c>
      <c r="AL36" s="120" t="e">
        <f aca="false">Scenarios!$F$49/12</f>
        <v>#VALUE!</v>
      </c>
    </row>
    <row r="37" customFormat="false" ht="15" hidden="false" customHeight="true" outlineLevel="0" collapsed="false">
      <c r="A37" s="126" t="s">
        <v>1621</v>
      </c>
      <c r="B37" s="314" t="e">
        <f aca="false">SUM(C37:AL37)</f>
        <v>#VALUE!</v>
      </c>
      <c r="C37" s="314" t="e">
        <f aca="false">C35+C36</f>
        <v>#VALUE!</v>
      </c>
      <c r="D37" s="314" t="e">
        <f aca="false">D35+D36</f>
        <v>#VALUE!</v>
      </c>
      <c r="E37" s="314" t="e">
        <f aca="false">E35+E36</f>
        <v>#VALUE!</v>
      </c>
      <c r="F37" s="314" t="e">
        <f aca="false">F35+F36</f>
        <v>#VALUE!</v>
      </c>
      <c r="G37" s="314" t="e">
        <f aca="false">G35+G36</f>
        <v>#VALUE!</v>
      </c>
      <c r="H37" s="314" t="e">
        <f aca="false">H35+H36</f>
        <v>#VALUE!</v>
      </c>
      <c r="I37" s="314" t="e">
        <f aca="false">I35+I36</f>
        <v>#VALUE!</v>
      </c>
      <c r="J37" s="314" t="e">
        <f aca="false">J35+J36</f>
        <v>#VALUE!</v>
      </c>
      <c r="K37" s="314" t="e">
        <f aca="false">K35+K36</f>
        <v>#VALUE!</v>
      </c>
      <c r="L37" s="314" t="e">
        <f aca="false">L35+L36</f>
        <v>#VALUE!</v>
      </c>
      <c r="M37" s="314" t="e">
        <f aca="false">M35+M36</f>
        <v>#VALUE!</v>
      </c>
      <c r="N37" s="314" t="e">
        <f aca="false">N35+N36</f>
        <v>#VALUE!</v>
      </c>
      <c r="O37" s="314" t="e">
        <f aca="false">O35+O36</f>
        <v>#VALUE!</v>
      </c>
      <c r="P37" s="314" t="e">
        <f aca="false">P35+P36</f>
        <v>#VALUE!</v>
      </c>
      <c r="Q37" s="314" t="e">
        <f aca="false">Q35+Q36</f>
        <v>#VALUE!</v>
      </c>
      <c r="R37" s="314" t="e">
        <f aca="false">R35+R36</f>
        <v>#VALUE!</v>
      </c>
      <c r="S37" s="314" t="e">
        <f aca="false">S35+S36</f>
        <v>#VALUE!</v>
      </c>
      <c r="T37" s="314" t="e">
        <f aca="false">T35+T36</f>
        <v>#VALUE!</v>
      </c>
      <c r="U37" s="314" t="e">
        <f aca="false">U35+U36</f>
        <v>#VALUE!</v>
      </c>
      <c r="V37" s="314" t="e">
        <f aca="false">V35+V36</f>
        <v>#VALUE!</v>
      </c>
      <c r="W37" s="314" t="e">
        <f aca="false">W35+W36</f>
        <v>#VALUE!</v>
      </c>
      <c r="X37" s="314" t="e">
        <f aca="false">X35+X36</f>
        <v>#VALUE!</v>
      </c>
      <c r="Y37" s="314" t="e">
        <f aca="false">Y35+Y36</f>
        <v>#VALUE!</v>
      </c>
      <c r="Z37" s="314" t="e">
        <f aca="false">Z35+Z36</f>
        <v>#VALUE!</v>
      </c>
      <c r="AA37" s="314" t="e">
        <f aca="false">AA35+AA36</f>
        <v>#VALUE!</v>
      </c>
      <c r="AB37" s="314" t="e">
        <f aca="false">AB35+AB36</f>
        <v>#VALUE!</v>
      </c>
      <c r="AC37" s="314" t="e">
        <f aca="false">AC35+AC36</f>
        <v>#VALUE!</v>
      </c>
      <c r="AD37" s="314" t="e">
        <f aca="false">AD35+AD36</f>
        <v>#VALUE!</v>
      </c>
      <c r="AE37" s="314" t="e">
        <f aca="false">AE35+AE36</f>
        <v>#VALUE!</v>
      </c>
      <c r="AF37" s="314" t="e">
        <f aca="false">AF35+AF36</f>
        <v>#VALUE!</v>
      </c>
      <c r="AG37" s="314" t="e">
        <f aca="false">AG35+AG36</f>
        <v>#VALUE!</v>
      </c>
      <c r="AH37" s="314" t="e">
        <f aca="false">AH35+AH36</f>
        <v>#VALUE!</v>
      </c>
      <c r="AI37" s="314" t="e">
        <f aca="false">AI35+AI36</f>
        <v>#VALUE!</v>
      </c>
      <c r="AJ37" s="314" t="e">
        <f aca="false">AJ35+AJ36</f>
        <v>#VALUE!</v>
      </c>
      <c r="AK37" s="314" t="e">
        <f aca="false">AK35+AK36</f>
        <v>#VALUE!</v>
      </c>
      <c r="AL37" s="314" t="e">
        <f aca="false">AL35+AL36</f>
        <v>#VALUE!</v>
      </c>
    </row>
    <row r="39" customFormat="false" ht="21.75" hidden="false" customHeight="true" outlineLevel="0" collapsed="false">
      <c r="A39" s="17" t="s">
        <v>1622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</row>
    <row r="41" customFormat="false" ht="15" hidden="false" customHeight="true" outlineLevel="0" collapsed="false">
      <c r="A41" s="111" t="s">
        <v>1623</v>
      </c>
      <c r="B41" s="309" t="e">
        <f aca="false">SUM(C41:AL41)</f>
        <v>#VALUE!</v>
      </c>
      <c r="C41" s="277" t="e">
        <f aca="false">IF(1&gt;=$B$20,$B$19/12,($B$18-($B$18-$B$19)/$B$20*1)/12)</f>
        <v>#VALUE!</v>
      </c>
      <c r="D41" s="277" t="e">
        <f aca="false">IF(2&gt;=$B$20,$B$19/12,($B$18-($B$18-$B$19)/$B$20*2)/12)</f>
        <v>#VALUE!</v>
      </c>
      <c r="E41" s="277" t="e">
        <f aca="false">IF(3&gt;=$B$20,$B$19/12,($B$18-($B$18-$B$19)/$B$20*3)/12)</f>
        <v>#VALUE!</v>
      </c>
      <c r="F41" s="277" t="e">
        <f aca="false">IF(4&gt;=$B$20,$B$19/12,($B$18-($B$18-$B$19)/$B$20*4)/12)</f>
        <v>#VALUE!</v>
      </c>
      <c r="G41" s="277" t="e">
        <f aca="false">IF(5&gt;=$B$20,$B$19/12,($B$18-($B$18-$B$19)/$B$20*5)/12)</f>
        <v>#VALUE!</v>
      </c>
      <c r="H41" s="277" t="e">
        <f aca="false">IF(6&gt;=$B$20,$B$19/12,($B$18-($B$18-$B$19)/$B$20*6)/12)</f>
        <v>#VALUE!</v>
      </c>
      <c r="I41" s="277" t="e">
        <f aca="false">IF(7&gt;=$B$20,$B$19/12,($B$18-($B$18-$B$19)/$B$20*7)/12)</f>
        <v>#VALUE!</v>
      </c>
      <c r="J41" s="277" t="e">
        <f aca="false">IF(8&gt;=$B$20,$B$19/12,($B$18-($B$18-$B$19)/$B$20*8)/12)</f>
        <v>#VALUE!</v>
      </c>
      <c r="K41" s="277" t="e">
        <f aca="false">IF(9&gt;=$B$20,$B$19/12,($B$18-($B$18-$B$19)/$B$20*9)/12)</f>
        <v>#VALUE!</v>
      </c>
      <c r="L41" s="277" t="e">
        <f aca="false">IF(10&gt;=$B$20,$B$19/12,($B$18-($B$18-$B$19)/$B$20*10)/12)</f>
        <v>#VALUE!</v>
      </c>
      <c r="M41" s="277" t="e">
        <f aca="false">IF(11&gt;=$B$20,$B$19/12,($B$18-($B$18-$B$19)/$B$20*11)/12)</f>
        <v>#VALUE!</v>
      </c>
      <c r="N41" s="277" t="e">
        <f aca="false">IF(12&gt;=$B$20,$B$19/12,($B$18-($B$18-$B$19)/$B$20*12)/12)</f>
        <v>#VALUE!</v>
      </c>
      <c r="O41" s="277" t="e">
        <f aca="false">IF(13&gt;=$B$20,$B$19/12,($B$18-($B$18-$B$19)/$B$20*13)/12)</f>
        <v>#VALUE!</v>
      </c>
      <c r="P41" s="277" t="e">
        <f aca="false">IF(14&gt;=$B$20,$B$19/12,($B$18-($B$18-$B$19)/$B$20*14)/12)</f>
        <v>#VALUE!</v>
      </c>
      <c r="Q41" s="277" t="e">
        <f aca="false">IF(15&gt;=$B$20,$B$19/12,($B$18-($B$18-$B$19)/$B$20*15)/12)</f>
        <v>#VALUE!</v>
      </c>
      <c r="R41" s="277" t="e">
        <f aca="false">IF(16&gt;=$B$20,$B$19/12,($B$18-($B$18-$B$19)/$B$20*16)/12)</f>
        <v>#VALUE!</v>
      </c>
      <c r="S41" s="277" t="e">
        <f aca="false">IF(17&gt;=$B$20,$B$19/12,($B$18-($B$18-$B$19)/$B$20*17)/12)</f>
        <v>#VALUE!</v>
      </c>
      <c r="T41" s="277" t="e">
        <f aca="false">IF(18&gt;=$B$20,$B$19/12,($B$18-($B$18-$B$19)/$B$20*18)/12)</f>
        <v>#VALUE!</v>
      </c>
      <c r="U41" s="277" t="e">
        <f aca="false">IF(19&gt;=$B$20,$B$19/12,($B$18-($B$18-$B$19)/$B$20*19)/12)</f>
        <v>#VALUE!</v>
      </c>
      <c r="V41" s="277" t="e">
        <f aca="false">IF(20&gt;=$B$20,$B$19/12,($B$18-($B$18-$B$19)/$B$20*20)/12)</f>
        <v>#VALUE!</v>
      </c>
      <c r="W41" s="277" t="e">
        <f aca="false">IF(21&gt;=$B$20,$B$19/12,($B$18-($B$18-$B$19)/$B$20*21)/12)</f>
        <v>#VALUE!</v>
      </c>
      <c r="X41" s="277" t="e">
        <f aca="false">IF(22&gt;=$B$20,$B$19/12,($B$18-($B$18-$B$19)/$B$20*22)/12)</f>
        <v>#VALUE!</v>
      </c>
      <c r="Y41" s="277" t="e">
        <f aca="false">IF(23&gt;=$B$20,$B$19/12,($B$18-($B$18-$B$19)/$B$20*23)/12)</f>
        <v>#VALUE!</v>
      </c>
      <c r="Z41" s="277" t="e">
        <f aca="false">IF(24&gt;=$B$20,$B$19/12,($B$18-($B$18-$B$19)/$B$20*24)/12)</f>
        <v>#VALUE!</v>
      </c>
      <c r="AA41" s="277" t="e">
        <f aca="false">IF(25&gt;=$B$20,$B$19/12,($B$18-($B$18-$B$19)/$B$20*25)/12)</f>
        <v>#VALUE!</v>
      </c>
      <c r="AB41" s="277" t="e">
        <f aca="false">IF(26&gt;=$B$20,$B$19/12,($B$18-($B$18-$B$19)/$B$20*26)/12)</f>
        <v>#VALUE!</v>
      </c>
      <c r="AC41" s="277" t="e">
        <f aca="false">IF(27&gt;=$B$20,$B$19/12,($B$18-($B$18-$B$19)/$B$20*27)/12)</f>
        <v>#VALUE!</v>
      </c>
      <c r="AD41" s="277" t="e">
        <f aca="false">IF(28&gt;=$B$20,$B$19/12,($B$18-($B$18-$B$19)/$B$20*28)/12)</f>
        <v>#VALUE!</v>
      </c>
      <c r="AE41" s="277" t="e">
        <f aca="false">IF(29&gt;=$B$20,$B$19/12,($B$18-($B$18-$B$19)/$B$20*29)/12)</f>
        <v>#VALUE!</v>
      </c>
      <c r="AF41" s="277" t="e">
        <f aca="false">IF(30&gt;=$B$20,$B$19/12,($B$18-($B$18-$B$19)/$B$20*30)/12)</f>
        <v>#VALUE!</v>
      </c>
      <c r="AG41" s="277" t="e">
        <f aca="false">IF(31&gt;=$B$20,$B$19/12,($B$18-($B$18-$B$19)/$B$20*31)/12)</f>
        <v>#VALUE!</v>
      </c>
      <c r="AH41" s="277" t="e">
        <f aca="false">IF(32&gt;=$B$20,$B$19/12,($B$18-($B$18-$B$19)/$B$20*32)/12)</f>
        <v>#VALUE!</v>
      </c>
      <c r="AI41" s="277" t="e">
        <f aca="false">IF(33&gt;=$B$20,$B$19/12,($B$18-($B$18-$B$19)/$B$20*33)/12)</f>
        <v>#VALUE!</v>
      </c>
      <c r="AJ41" s="277" t="e">
        <f aca="false">IF(34&gt;=$B$20,$B$19/12,($B$18-($B$18-$B$19)/$B$20*34)/12)</f>
        <v>#VALUE!</v>
      </c>
      <c r="AK41" s="277" t="e">
        <f aca="false">IF(35&gt;=$B$20,$B$19/12,($B$18-($B$18-$B$19)/$B$20*35)/12)</f>
        <v>#VALUE!</v>
      </c>
      <c r="AL41" s="277" t="e">
        <f aca="false">IF(36&gt;=$B$20,$B$19/12,($B$18-($B$18-$B$19)/$B$20*36)/12)</f>
        <v>#VALUE!</v>
      </c>
    </row>
    <row r="42" customFormat="false" ht="15" hidden="false" customHeight="true" outlineLevel="0" collapsed="false">
      <c r="A42" s="126" t="s">
        <v>1624</v>
      </c>
      <c r="B42" s="314" t="e">
        <f aca="false">SUM(C42:AL42)</f>
        <v>#VALUE!</v>
      </c>
      <c r="C42" s="314" t="e">
        <f aca="false">C37-C41</f>
        <v>#VALUE!</v>
      </c>
      <c r="D42" s="314" t="e">
        <f aca="false">D37-D41</f>
        <v>#VALUE!</v>
      </c>
      <c r="E42" s="314" t="e">
        <f aca="false">E37-E41</f>
        <v>#VALUE!</v>
      </c>
      <c r="F42" s="314" t="e">
        <f aca="false">F37-F41</f>
        <v>#VALUE!</v>
      </c>
      <c r="G42" s="314" t="e">
        <f aca="false">G37-G41</f>
        <v>#VALUE!</v>
      </c>
      <c r="H42" s="314" t="e">
        <f aca="false">H37-H41</f>
        <v>#VALUE!</v>
      </c>
      <c r="I42" s="314" t="e">
        <f aca="false">I37-I41</f>
        <v>#VALUE!</v>
      </c>
      <c r="J42" s="314" t="e">
        <f aca="false">J37-J41</f>
        <v>#VALUE!</v>
      </c>
      <c r="K42" s="314" t="e">
        <f aca="false">K37-K41</f>
        <v>#VALUE!</v>
      </c>
      <c r="L42" s="314" t="e">
        <f aca="false">L37-L41</f>
        <v>#VALUE!</v>
      </c>
      <c r="M42" s="314" t="e">
        <f aca="false">M37-M41</f>
        <v>#VALUE!</v>
      </c>
      <c r="N42" s="314" t="e">
        <f aca="false">N37-N41</f>
        <v>#VALUE!</v>
      </c>
      <c r="O42" s="314" t="e">
        <f aca="false">O37-O41</f>
        <v>#VALUE!</v>
      </c>
      <c r="P42" s="314" t="e">
        <f aca="false">P37-P41</f>
        <v>#VALUE!</v>
      </c>
      <c r="Q42" s="314" t="e">
        <f aca="false">Q37-Q41</f>
        <v>#VALUE!</v>
      </c>
      <c r="R42" s="314" t="e">
        <f aca="false">R37-R41</f>
        <v>#VALUE!</v>
      </c>
      <c r="S42" s="314" t="e">
        <f aca="false">S37-S41</f>
        <v>#VALUE!</v>
      </c>
      <c r="T42" s="314" t="e">
        <f aca="false">T37-T41</f>
        <v>#VALUE!</v>
      </c>
      <c r="U42" s="314" t="e">
        <f aca="false">U37-U41</f>
        <v>#VALUE!</v>
      </c>
      <c r="V42" s="314" t="e">
        <f aca="false">V37-V41</f>
        <v>#VALUE!</v>
      </c>
      <c r="W42" s="314" t="e">
        <f aca="false">W37-W41</f>
        <v>#VALUE!</v>
      </c>
      <c r="X42" s="314" t="e">
        <f aca="false">X37-X41</f>
        <v>#VALUE!</v>
      </c>
      <c r="Y42" s="314" t="e">
        <f aca="false">Y37-Y41</f>
        <v>#VALUE!</v>
      </c>
      <c r="Z42" s="314" t="e">
        <f aca="false">Z37-Z41</f>
        <v>#VALUE!</v>
      </c>
      <c r="AA42" s="314" t="e">
        <f aca="false">AA37-AA41</f>
        <v>#VALUE!</v>
      </c>
      <c r="AB42" s="314" t="e">
        <f aca="false">AB37-AB41</f>
        <v>#VALUE!</v>
      </c>
      <c r="AC42" s="314" t="e">
        <f aca="false">AC37-AC41</f>
        <v>#VALUE!</v>
      </c>
      <c r="AD42" s="314" t="e">
        <f aca="false">AD37-AD41</f>
        <v>#VALUE!</v>
      </c>
      <c r="AE42" s="314" t="e">
        <f aca="false">AE37-AE41</f>
        <v>#VALUE!</v>
      </c>
      <c r="AF42" s="314" t="e">
        <f aca="false">AF37-AF41</f>
        <v>#VALUE!</v>
      </c>
      <c r="AG42" s="314" t="e">
        <f aca="false">AG37-AG41</f>
        <v>#VALUE!</v>
      </c>
      <c r="AH42" s="314" t="e">
        <f aca="false">AH37-AH41</f>
        <v>#VALUE!</v>
      </c>
      <c r="AI42" s="314" t="e">
        <f aca="false">AI37-AI41</f>
        <v>#VALUE!</v>
      </c>
      <c r="AJ42" s="314" t="e">
        <f aca="false">AJ37-AJ41</f>
        <v>#VALUE!</v>
      </c>
      <c r="AK42" s="314" t="e">
        <f aca="false">AK37-AK41</f>
        <v>#VALUE!</v>
      </c>
      <c r="AL42" s="314" t="e">
        <f aca="false">AL37-AL41</f>
        <v>#VALUE!</v>
      </c>
    </row>
    <row r="43" customFormat="false" ht="15" hidden="false" customHeight="true" outlineLevel="0" collapsed="false">
      <c r="A43" s="111" t="s">
        <v>1625</v>
      </c>
      <c r="B43" s="309" t="e">
        <f aca="false">SUM(C43:AL43)</f>
        <v>#VALUE!</v>
      </c>
      <c r="C43" s="277" t="e">
        <f aca="false">$B$21/12</f>
        <v>#VALUE!</v>
      </c>
      <c r="D43" s="277" t="e">
        <f aca="false">$B$21/12</f>
        <v>#VALUE!</v>
      </c>
      <c r="E43" s="277" t="e">
        <f aca="false">$B$21/12</f>
        <v>#VALUE!</v>
      </c>
      <c r="F43" s="277" t="e">
        <f aca="false">$B$21/12</f>
        <v>#VALUE!</v>
      </c>
      <c r="G43" s="277" t="e">
        <f aca="false">$B$21/12</f>
        <v>#VALUE!</v>
      </c>
      <c r="H43" s="277" t="e">
        <f aca="false">$B$21/12</f>
        <v>#VALUE!</v>
      </c>
      <c r="I43" s="277" t="e">
        <f aca="false">$B$21/12</f>
        <v>#VALUE!</v>
      </c>
      <c r="J43" s="277" t="e">
        <f aca="false">$B$21/12</f>
        <v>#VALUE!</v>
      </c>
      <c r="K43" s="277" t="e">
        <f aca="false">$B$21/12</f>
        <v>#VALUE!</v>
      </c>
      <c r="L43" s="277" t="e">
        <f aca="false">$B$21/12</f>
        <v>#VALUE!</v>
      </c>
      <c r="M43" s="277" t="e">
        <f aca="false">$B$21/12</f>
        <v>#VALUE!</v>
      </c>
      <c r="N43" s="277" t="e">
        <f aca="false">$B$21/12</f>
        <v>#VALUE!</v>
      </c>
      <c r="O43" s="277" t="e">
        <f aca="false">$B$21/12</f>
        <v>#VALUE!</v>
      </c>
      <c r="P43" s="277" t="e">
        <f aca="false">$B$21/12</f>
        <v>#VALUE!</v>
      </c>
      <c r="Q43" s="277" t="e">
        <f aca="false">$B$21/12</f>
        <v>#VALUE!</v>
      </c>
      <c r="R43" s="277" t="e">
        <f aca="false">$B$21/12</f>
        <v>#VALUE!</v>
      </c>
      <c r="S43" s="277" t="e">
        <f aca="false">$B$21/12</f>
        <v>#VALUE!</v>
      </c>
      <c r="T43" s="277" t="e">
        <f aca="false">$B$21/12</f>
        <v>#VALUE!</v>
      </c>
      <c r="U43" s="277" t="e">
        <f aca="false">$B$21/12</f>
        <v>#VALUE!</v>
      </c>
      <c r="V43" s="277" t="e">
        <f aca="false">$B$21/12</f>
        <v>#VALUE!</v>
      </c>
      <c r="W43" s="277" t="e">
        <f aca="false">$B$21/12</f>
        <v>#VALUE!</v>
      </c>
      <c r="X43" s="277" t="e">
        <f aca="false">$B$21/12</f>
        <v>#VALUE!</v>
      </c>
      <c r="Y43" s="277" t="e">
        <f aca="false">$B$21/12</f>
        <v>#VALUE!</v>
      </c>
      <c r="Z43" s="277" t="e">
        <f aca="false">$B$21/12</f>
        <v>#VALUE!</v>
      </c>
      <c r="AA43" s="277" t="e">
        <f aca="false">$B$21/12</f>
        <v>#VALUE!</v>
      </c>
      <c r="AB43" s="277" t="e">
        <f aca="false">$B$21/12</f>
        <v>#VALUE!</v>
      </c>
      <c r="AC43" s="277" t="e">
        <f aca="false">$B$21/12</f>
        <v>#VALUE!</v>
      </c>
      <c r="AD43" s="277" t="e">
        <f aca="false">$B$21/12</f>
        <v>#VALUE!</v>
      </c>
      <c r="AE43" s="277" t="e">
        <f aca="false">$B$21/12</f>
        <v>#VALUE!</v>
      </c>
      <c r="AF43" s="277" t="e">
        <f aca="false">$B$21/12</f>
        <v>#VALUE!</v>
      </c>
      <c r="AG43" s="277" t="e">
        <f aca="false">$B$21/12</f>
        <v>#VALUE!</v>
      </c>
      <c r="AH43" s="277" t="e">
        <f aca="false">$B$21/12</f>
        <v>#VALUE!</v>
      </c>
      <c r="AI43" s="277" t="e">
        <f aca="false">$B$21/12</f>
        <v>#VALUE!</v>
      </c>
      <c r="AJ43" s="277" t="e">
        <f aca="false">$B$21/12</f>
        <v>#VALUE!</v>
      </c>
      <c r="AK43" s="277" t="e">
        <f aca="false">$B$21/12</f>
        <v>#VALUE!</v>
      </c>
      <c r="AL43" s="277" t="e">
        <f aca="false">$B$21/12</f>
        <v>#VALUE!</v>
      </c>
    </row>
    <row r="44" customFormat="false" ht="15" hidden="false" customHeight="true" outlineLevel="0" collapsed="false">
      <c r="A44" s="126" t="s">
        <v>1626</v>
      </c>
      <c r="B44" s="309" t="e">
        <f aca="false">SUM(C44:AL44)</f>
        <v>#VALUE!</v>
      </c>
      <c r="C44" s="309" t="e">
        <f aca="false">C42-C43</f>
        <v>#VALUE!</v>
      </c>
      <c r="D44" s="309" t="e">
        <f aca="false">D42-D43</f>
        <v>#VALUE!</v>
      </c>
      <c r="E44" s="309" t="e">
        <f aca="false">E42-E43</f>
        <v>#VALUE!</v>
      </c>
      <c r="F44" s="309" t="e">
        <f aca="false">F42-F43</f>
        <v>#VALUE!</v>
      </c>
      <c r="G44" s="309" t="e">
        <f aca="false">G42-G43</f>
        <v>#VALUE!</v>
      </c>
      <c r="H44" s="309" t="e">
        <f aca="false">H42-H43</f>
        <v>#VALUE!</v>
      </c>
      <c r="I44" s="309" t="e">
        <f aca="false">I42-I43</f>
        <v>#VALUE!</v>
      </c>
      <c r="J44" s="309" t="e">
        <f aca="false">J42-J43</f>
        <v>#VALUE!</v>
      </c>
      <c r="K44" s="309" t="e">
        <f aca="false">K42-K43</f>
        <v>#VALUE!</v>
      </c>
      <c r="L44" s="309" t="e">
        <f aca="false">L42-L43</f>
        <v>#VALUE!</v>
      </c>
      <c r="M44" s="309" t="e">
        <f aca="false">M42-M43</f>
        <v>#VALUE!</v>
      </c>
      <c r="N44" s="309" t="e">
        <f aca="false">N42-N43</f>
        <v>#VALUE!</v>
      </c>
      <c r="O44" s="309" t="e">
        <f aca="false">O42-O43</f>
        <v>#VALUE!</v>
      </c>
      <c r="P44" s="309" t="e">
        <f aca="false">P42-P43</f>
        <v>#VALUE!</v>
      </c>
      <c r="Q44" s="309" t="e">
        <f aca="false">Q42-Q43</f>
        <v>#VALUE!</v>
      </c>
      <c r="R44" s="309" t="e">
        <f aca="false">R42-R43</f>
        <v>#VALUE!</v>
      </c>
      <c r="S44" s="309" t="e">
        <f aca="false">S42-S43</f>
        <v>#VALUE!</v>
      </c>
      <c r="T44" s="309" t="e">
        <f aca="false">T42-T43</f>
        <v>#VALUE!</v>
      </c>
      <c r="U44" s="309" t="e">
        <f aca="false">U42-U43</f>
        <v>#VALUE!</v>
      </c>
      <c r="V44" s="309" t="e">
        <f aca="false">V42-V43</f>
        <v>#VALUE!</v>
      </c>
      <c r="W44" s="309" t="e">
        <f aca="false">W42-W43</f>
        <v>#VALUE!</v>
      </c>
      <c r="X44" s="309" t="e">
        <f aca="false">X42-X43</f>
        <v>#VALUE!</v>
      </c>
      <c r="Y44" s="309" t="e">
        <f aca="false">Y42-Y43</f>
        <v>#VALUE!</v>
      </c>
      <c r="Z44" s="309" t="e">
        <f aca="false">Z42-Z43</f>
        <v>#VALUE!</v>
      </c>
      <c r="AA44" s="309" t="e">
        <f aca="false">AA42-AA43</f>
        <v>#VALUE!</v>
      </c>
      <c r="AB44" s="309" t="e">
        <f aca="false">AB42-AB43</f>
        <v>#VALUE!</v>
      </c>
      <c r="AC44" s="309" t="e">
        <f aca="false">AC42-AC43</f>
        <v>#VALUE!</v>
      </c>
      <c r="AD44" s="309" t="e">
        <f aca="false">AD42-AD43</f>
        <v>#VALUE!</v>
      </c>
      <c r="AE44" s="309" t="e">
        <f aca="false">AE42-AE43</f>
        <v>#VALUE!</v>
      </c>
      <c r="AF44" s="309" t="e">
        <f aca="false">AF42-AF43</f>
        <v>#VALUE!</v>
      </c>
      <c r="AG44" s="309" t="e">
        <f aca="false">AG42-AG43</f>
        <v>#VALUE!</v>
      </c>
      <c r="AH44" s="309" t="e">
        <f aca="false">AH42-AH43</f>
        <v>#VALUE!</v>
      </c>
      <c r="AI44" s="309" t="e">
        <f aca="false">AI42-AI43</f>
        <v>#VALUE!</v>
      </c>
      <c r="AJ44" s="309" t="e">
        <f aca="false">AJ42-AJ43</f>
        <v>#VALUE!</v>
      </c>
      <c r="AK44" s="309" t="e">
        <f aca="false">AK42-AK43</f>
        <v>#VALUE!</v>
      </c>
      <c r="AL44" s="309" t="e">
        <f aca="false">AL42-AL43</f>
        <v>#VALUE!</v>
      </c>
    </row>
    <row r="45" customFormat="false" ht="15" hidden="false" customHeight="true" outlineLevel="0" collapsed="false">
      <c r="A45" s="111" t="s">
        <v>1627</v>
      </c>
      <c r="C45" s="395" t="n">
        <f aca="false">IFERROR(C42/C43,0)</f>
        <v>0</v>
      </c>
      <c r="D45" s="395" t="n">
        <f aca="false">IFERROR(D42/D43,0)</f>
        <v>0</v>
      </c>
      <c r="E45" s="395" t="n">
        <f aca="false">IFERROR(E42/E43,0)</f>
        <v>0</v>
      </c>
      <c r="F45" s="395" t="n">
        <f aca="false">IFERROR(F42/F43,0)</f>
        <v>0</v>
      </c>
      <c r="G45" s="395" t="n">
        <f aca="false">IFERROR(G42/G43,0)</f>
        <v>0</v>
      </c>
      <c r="H45" s="395" t="n">
        <f aca="false">IFERROR(H42/H43,0)</f>
        <v>0</v>
      </c>
      <c r="I45" s="395" t="n">
        <f aca="false">IFERROR(I42/I43,0)</f>
        <v>0</v>
      </c>
      <c r="J45" s="395" t="n">
        <f aca="false">IFERROR(J42/J43,0)</f>
        <v>0</v>
      </c>
      <c r="K45" s="395" t="n">
        <f aca="false">IFERROR(K42/K43,0)</f>
        <v>0</v>
      </c>
      <c r="L45" s="395" t="n">
        <f aca="false">IFERROR(L42/L43,0)</f>
        <v>0</v>
      </c>
      <c r="M45" s="395" t="n">
        <f aca="false">IFERROR(M42/M43,0)</f>
        <v>0</v>
      </c>
      <c r="N45" s="395" t="n">
        <f aca="false">IFERROR(N42/N43,0)</f>
        <v>0</v>
      </c>
      <c r="O45" s="395" t="n">
        <f aca="false">IFERROR(O42/O43,0)</f>
        <v>0</v>
      </c>
      <c r="P45" s="395" t="n">
        <f aca="false">IFERROR(P42/P43,0)</f>
        <v>0</v>
      </c>
      <c r="Q45" s="395" t="n">
        <f aca="false">IFERROR(Q42/Q43,0)</f>
        <v>0</v>
      </c>
      <c r="R45" s="395" t="n">
        <f aca="false">IFERROR(R42/R43,0)</f>
        <v>0</v>
      </c>
      <c r="S45" s="395" t="n">
        <f aca="false">IFERROR(S42/S43,0)</f>
        <v>0</v>
      </c>
      <c r="T45" s="395" t="n">
        <f aca="false">IFERROR(T42/T43,0)</f>
        <v>0</v>
      </c>
      <c r="U45" s="395" t="n">
        <f aca="false">IFERROR(U42/U43,0)</f>
        <v>0</v>
      </c>
      <c r="V45" s="395" t="n">
        <f aca="false">IFERROR(V42/V43,0)</f>
        <v>0</v>
      </c>
      <c r="W45" s="395" t="n">
        <f aca="false">IFERROR(W42/W43,0)</f>
        <v>0</v>
      </c>
      <c r="X45" s="395" t="n">
        <f aca="false">IFERROR(X42/X43,0)</f>
        <v>0</v>
      </c>
      <c r="Y45" s="395" t="n">
        <f aca="false">IFERROR(Y42/Y43,0)</f>
        <v>0</v>
      </c>
      <c r="Z45" s="395" t="n">
        <f aca="false">IFERROR(Z42/Z43,0)</f>
        <v>0</v>
      </c>
      <c r="AA45" s="395" t="n">
        <f aca="false">IFERROR(AA42/AA43,0)</f>
        <v>0</v>
      </c>
      <c r="AB45" s="395" t="n">
        <f aca="false">IFERROR(AB42/AB43,0)</f>
        <v>0</v>
      </c>
      <c r="AC45" s="395" t="n">
        <f aca="false">IFERROR(AC42/AC43,0)</f>
        <v>0</v>
      </c>
      <c r="AD45" s="395" t="n">
        <f aca="false">IFERROR(AD42/AD43,0)</f>
        <v>0</v>
      </c>
      <c r="AE45" s="395" t="n">
        <f aca="false">IFERROR(AE42/AE43,0)</f>
        <v>0</v>
      </c>
      <c r="AF45" s="395" t="n">
        <f aca="false">IFERROR(AF42/AF43,0)</f>
        <v>0</v>
      </c>
      <c r="AG45" s="395" t="n">
        <f aca="false">IFERROR(AG42/AG43,0)</f>
        <v>0</v>
      </c>
      <c r="AH45" s="395" t="n">
        <f aca="false">IFERROR(AH42/AH43,0)</f>
        <v>0</v>
      </c>
      <c r="AI45" s="395" t="n">
        <f aca="false">IFERROR(AI42/AI43,0)</f>
        <v>0</v>
      </c>
      <c r="AJ45" s="395" t="n">
        <f aca="false">IFERROR(AJ42/AJ43,0)</f>
        <v>0</v>
      </c>
      <c r="AK45" s="395" t="n">
        <f aca="false">IFERROR(AK42/AK43,0)</f>
        <v>0</v>
      </c>
      <c r="AL45" s="395" t="n">
        <f aca="false">IFERROR(AL42/AL43,0)</f>
        <v>0</v>
      </c>
    </row>
    <row r="47" customFormat="false" ht="21.75" hidden="false" customHeight="true" outlineLevel="0" collapsed="false">
      <c r="A47" s="17" t="s">
        <v>1628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</row>
    <row r="49" customFormat="false" ht="15" hidden="false" customHeight="true" outlineLevel="0" collapsed="false">
      <c r="A49" s="111" t="s">
        <v>1629</v>
      </c>
      <c r="B49" s="309" t="n">
        <f aca="false">SUM(C49:AL49)</f>
        <v>0</v>
      </c>
      <c r="C49" s="120" t="n">
        <f aca="false">Capex!$D$51/12</f>
        <v>0</v>
      </c>
      <c r="D49" s="120" t="n">
        <f aca="false">Capex!$D$51/12</f>
        <v>0</v>
      </c>
      <c r="E49" s="120" t="n">
        <f aca="false">Capex!$D$51/12</f>
        <v>0</v>
      </c>
      <c r="F49" s="120" t="n">
        <f aca="false">Capex!$D$51/12</f>
        <v>0</v>
      </c>
      <c r="G49" s="120" t="n">
        <f aca="false">Capex!$D$51/12</f>
        <v>0</v>
      </c>
      <c r="H49" s="120" t="n">
        <f aca="false">Capex!$D$51/12</f>
        <v>0</v>
      </c>
      <c r="I49" s="120" t="n">
        <f aca="false">Capex!$D$51/12</f>
        <v>0</v>
      </c>
      <c r="J49" s="120" t="n">
        <f aca="false">Capex!$D$51/12</f>
        <v>0</v>
      </c>
      <c r="K49" s="120" t="n">
        <f aca="false">Capex!$D$51/12</f>
        <v>0</v>
      </c>
      <c r="L49" s="120" t="n">
        <f aca="false">Capex!$D$51/12</f>
        <v>0</v>
      </c>
      <c r="M49" s="120" t="n">
        <f aca="false">Capex!$D$51/12</f>
        <v>0</v>
      </c>
      <c r="N49" s="120" t="n">
        <f aca="false">Capex!$D$51/12</f>
        <v>0</v>
      </c>
      <c r="O49" s="277" t="n">
        <f aca="false">0</f>
        <v>0</v>
      </c>
      <c r="P49" s="277" t="n">
        <f aca="false">0</f>
        <v>0</v>
      </c>
      <c r="Q49" s="277" t="n">
        <f aca="false">0</f>
        <v>0</v>
      </c>
      <c r="R49" s="277" t="n">
        <f aca="false">0</f>
        <v>0</v>
      </c>
      <c r="S49" s="277" t="n">
        <f aca="false">0</f>
        <v>0</v>
      </c>
      <c r="T49" s="277" t="n">
        <f aca="false">0</f>
        <v>0</v>
      </c>
      <c r="U49" s="277" t="n">
        <f aca="false">0</f>
        <v>0</v>
      </c>
      <c r="V49" s="277" t="n">
        <f aca="false">0</f>
        <v>0</v>
      </c>
      <c r="W49" s="277" t="n">
        <f aca="false">0</f>
        <v>0</v>
      </c>
      <c r="X49" s="277" t="n">
        <f aca="false">0</f>
        <v>0</v>
      </c>
      <c r="Y49" s="277" t="n">
        <f aca="false">0</f>
        <v>0</v>
      </c>
      <c r="Z49" s="277" t="n">
        <f aca="false">0</f>
        <v>0</v>
      </c>
      <c r="AA49" s="277" t="n">
        <f aca="false">0</f>
        <v>0</v>
      </c>
      <c r="AB49" s="277" t="n">
        <f aca="false">0</f>
        <v>0</v>
      </c>
      <c r="AC49" s="277" t="n">
        <f aca="false">0</f>
        <v>0</v>
      </c>
      <c r="AD49" s="277" t="n">
        <f aca="false">0</f>
        <v>0</v>
      </c>
      <c r="AE49" s="277" t="n">
        <f aca="false">0</f>
        <v>0</v>
      </c>
      <c r="AF49" s="277" t="n">
        <f aca="false">0</f>
        <v>0</v>
      </c>
      <c r="AG49" s="277" t="n">
        <f aca="false">0</f>
        <v>0</v>
      </c>
      <c r="AH49" s="277" t="n">
        <f aca="false">0</f>
        <v>0</v>
      </c>
      <c r="AI49" s="277" t="n">
        <f aca="false">0</f>
        <v>0</v>
      </c>
      <c r="AJ49" s="277" t="n">
        <f aca="false">0</f>
        <v>0</v>
      </c>
      <c r="AK49" s="277" t="n">
        <f aca="false">0</f>
        <v>0</v>
      </c>
      <c r="AL49" s="277" t="n">
        <f aca="false">0</f>
        <v>0</v>
      </c>
    </row>
    <row r="50" customFormat="false" ht="15" hidden="false" customHeight="true" outlineLevel="0" collapsed="false">
      <c r="A50" s="111" t="s">
        <v>1630</v>
      </c>
      <c r="B50" s="309" t="n">
        <f aca="false">SUM(C50:AL50)</f>
        <v>0</v>
      </c>
      <c r="C50" s="277" t="n">
        <f aca="false">$B$14*$B$13</f>
        <v>0</v>
      </c>
      <c r="D50" s="277" t="n">
        <f aca="false">IF(C30&lt;77,$B$14*$B$13,0)</f>
        <v>0</v>
      </c>
      <c r="E50" s="277" t="n">
        <f aca="false">IF(D30&lt;77,$B$14*$B$13,0)</f>
        <v>0</v>
      </c>
      <c r="F50" s="277" t="n">
        <f aca="false">IF(E30&lt;77,$B$14*$B$13,0)</f>
        <v>0</v>
      </c>
      <c r="G50" s="277" t="n">
        <f aca="false">IF(F30&lt;77,$B$14*$B$13,0)</f>
        <v>0</v>
      </c>
      <c r="H50" s="277" t="n">
        <f aca="false">IF(G30&lt;77,$B$14*$B$13,0)</f>
        <v>0</v>
      </c>
      <c r="I50" s="277" t="n">
        <f aca="false">IF(H30&lt;77,$B$14*$B$13,0)</f>
        <v>0</v>
      </c>
      <c r="J50" s="277" t="n">
        <f aca="false">IF(I30&lt;77,$B$14*$B$13,0)</f>
        <v>0</v>
      </c>
      <c r="K50" s="277" t="n">
        <f aca="false">IF(J30&lt;77,$B$14*$B$13,0)</f>
        <v>0</v>
      </c>
      <c r="L50" s="277" t="n">
        <f aca="false">IF(K30&lt;77,$B$14*$B$13,0)</f>
        <v>0</v>
      </c>
      <c r="M50" s="277" t="n">
        <f aca="false">IF(L30&lt;77,$B$14*$B$13,0)</f>
        <v>0</v>
      </c>
      <c r="N50" s="277" t="n">
        <f aca="false">IF(M30&lt;77,$B$14*$B$13,0)</f>
        <v>0</v>
      </c>
      <c r="O50" s="277" t="n">
        <f aca="false">IF(N30&lt;77,$B$14*$B$13,0)</f>
        <v>0</v>
      </c>
      <c r="P50" s="277" t="n">
        <f aca="false">IF(O30&lt;77,$B$14*$B$13,0)</f>
        <v>0</v>
      </c>
      <c r="Q50" s="277" t="n">
        <f aca="false">IF(P30&lt;77,$B$14*$B$13,0)</f>
        <v>0</v>
      </c>
      <c r="R50" s="277" t="n">
        <f aca="false">IF(Q30&lt;77,$B$14*$B$13,0)</f>
        <v>0</v>
      </c>
      <c r="S50" s="277" t="n">
        <f aca="false">IF(R30&lt;77,$B$14*$B$13,0)</f>
        <v>0</v>
      </c>
      <c r="T50" s="277" t="n">
        <f aca="false">IF(S30&lt;77,$B$14*$B$13,0)</f>
        <v>0</v>
      </c>
      <c r="U50" s="277" t="n">
        <f aca="false">IF(T30&lt;77,$B$14*$B$13,0)</f>
        <v>0</v>
      </c>
      <c r="V50" s="277" t="n">
        <f aca="false">IF(U30&lt;77,$B$14*$B$13,0)</f>
        <v>0</v>
      </c>
      <c r="W50" s="277" t="n">
        <f aca="false">IF(V30&lt;77,$B$14*$B$13,0)</f>
        <v>0</v>
      </c>
      <c r="X50" s="277" t="n">
        <f aca="false">IF(W30&lt;77,$B$14*$B$13,0)</f>
        <v>0</v>
      </c>
      <c r="Y50" s="277" t="n">
        <f aca="false">IF(X30&lt;77,$B$14*$B$13,0)</f>
        <v>0</v>
      </c>
      <c r="Z50" s="277" t="n">
        <f aca="false">IF(Y30&lt;77,$B$14*$B$13,0)</f>
        <v>0</v>
      </c>
      <c r="AA50" s="277" t="n">
        <f aca="false">IF(Z30&lt;77,$B$14*$B$13,0)</f>
        <v>0</v>
      </c>
      <c r="AB50" s="277" t="n">
        <f aca="false">IF(AA30&lt;77,$B$14*$B$13,0)</f>
        <v>0</v>
      </c>
      <c r="AC50" s="277" t="n">
        <f aca="false">IF(AB30&lt;77,$B$14*$B$13,0)</f>
        <v>0</v>
      </c>
      <c r="AD50" s="277" t="n">
        <f aca="false">IF(AC30&lt;77,$B$14*$B$13,0)</f>
        <v>0</v>
      </c>
      <c r="AE50" s="277" t="n">
        <f aca="false">IF(AD30&lt;77,$B$14*$B$13,0)</f>
        <v>0</v>
      </c>
      <c r="AF50" s="277" t="n">
        <f aca="false">IF(AE30&lt;77,$B$14*$B$13,0)</f>
        <v>0</v>
      </c>
      <c r="AG50" s="277" t="n">
        <f aca="false">IF(AF30&lt;77,$B$14*$B$13,0)</f>
        <v>0</v>
      </c>
      <c r="AH50" s="277" t="n">
        <f aca="false">IF(AG30&lt;77,$B$14*$B$13,0)</f>
        <v>0</v>
      </c>
      <c r="AI50" s="277" t="n">
        <f aca="false">IF(AH30&lt;77,$B$14*$B$13,0)</f>
        <v>0</v>
      </c>
      <c r="AJ50" s="277" t="n">
        <f aca="false">IF(AI30&lt;77,$B$14*$B$13,0)</f>
        <v>0</v>
      </c>
      <c r="AK50" s="277" t="n">
        <f aca="false">IF(AJ30&lt;77,$B$14*$B$13,0)</f>
        <v>0</v>
      </c>
      <c r="AL50" s="277" t="n">
        <f aca="false">IF(AK30&lt;77,$B$14*$B$13,0)</f>
        <v>0</v>
      </c>
    </row>
    <row r="51" customFormat="false" ht="15" hidden="false" customHeight="true" outlineLevel="0" collapsed="false">
      <c r="A51" s="111" t="s">
        <v>1631</v>
      </c>
      <c r="B51" s="309" t="e">
        <f aca="false">SUM(C51:AL51)</f>
        <v>#VALUE!</v>
      </c>
      <c r="C51" s="277" t="e">
        <f aca="false">MAX(-C44,0)</f>
        <v>#VALUE!</v>
      </c>
      <c r="D51" s="277" t="e">
        <f aca="false">MAX(-D44,0)</f>
        <v>#VALUE!</v>
      </c>
      <c r="E51" s="277" t="e">
        <f aca="false">MAX(-E44,0)</f>
        <v>#VALUE!</v>
      </c>
      <c r="F51" s="277" t="e">
        <f aca="false">MAX(-F44,0)</f>
        <v>#VALUE!</v>
      </c>
      <c r="G51" s="277" t="e">
        <f aca="false">MAX(-G44,0)</f>
        <v>#VALUE!</v>
      </c>
      <c r="H51" s="277" t="e">
        <f aca="false">MAX(-H44,0)</f>
        <v>#VALUE!</v>
      </c>
      <c r="I51" s="277" t="e">
        <f aca="false">MAX(-I44,0)</f>
        <v>#VALUE!</v>
      </c>
      <c r="J51" s="277" t="e">
        <f aca="false">MAX(-J44,0)</f>
        <v>#VALUE!</v>
      </c>
      <c r="K51" s="277" t="e">
        <f aca="false">MAX(-K44,0)</f>
        <v>#VALUE!</v>
      </c>
      <c r="L51" s="277" t="e">
        <f aca="false">MAX(-L44,0)</f>
        <v>#VALUE!</v>
      </c>
      <c r="M51" s="277" t="e">
        <f aca="false">MAX(-M44,0)</f>
        <v>#VALUE!</v>
      </c>
      <c r="N51" s="277" t="e">
        <f aca="false">MAX(-N44,0)</f>
        <v>#VALUE!</v>
      </c>
      <c r="O51" s="277" t="e">
        <f aca="false">MAX(-O44,0)</f>
        <v>#VALUE!</v>
      </c>
      <c r="P51" s="277" t="e">
        <f aca="false">MAX(-P44,0)</f>
        <v>#VALUE!</v>
      </c>
      <c r="Q51" s="277" t="e">
        <f aca="false">MAX(-Q44,0)</f>
        <v>#VALUE!</v>
      </c>
      <c r="R51" s="277" t="e">
        <f aca="false">MAX(-R44,0)</f>
        <v>#VALUE!</v>
      </c>
      <c r="S51" s="277" t="e">
        <f aca="false">MAX(-S44,0)</f>
        <v>#VALUE!</v>
      </c>
      <c r="T51" s="277" t="e">
        <f aca="false">MAX(-T44,0)</f>
        <v>#VALUE!</v>
      </c>
      <c r="U51" s="277" t="e">
        <f aca="false">MAX(-U44,0)</f>
        <v>#VALUE!</v>
      </c>
      <c r="V51" s="277" t="e">
        <f aca="false">MAX(-V44,0)</f>
        <v>#VALUE!</v>
      </c>
      <c r="W51" s="277" t="e">
        <f aca="false">MAX(-W44,0)</f>
        <v>#VALUE!</v>
      </c>
      <c r="X51" s="277" t="e">
        <f aca="false">MAX(-X44,0)</f>
        <v>#VALUE!</v>
      </c>
      <c r="Y51" s="277" t="e">
        <f aca="false">MAX(-Y44,0)</f>
        <v>#VALUE!</v>
      </c>
      <c r="Z51" s="277" t="e">
        <f aca="false">MAX(-Z44,0)</f>
        <v>#VALUE!</v>
      </c>
      <c r="AA51" s="277" t="e">
        <f aca="false">MAX(-AA44,0)</f>
        <v>#VALUE!</v>
      </c>
      <c r="AB51" s="277" t="e">
        <f aca="false">MAX(-AB44,0)</f>
        <v>#VALUE!</v>
      </c>
      <c r="AC51" s="277" t="e">
        <f aca="false">MAX(-AC44,0)</f>
        <v>#VALUE!</v>
      </c>
      <c r="AD51" s="277" t="e">
        <f aca="false">MAX(-AD44,0)</f>
        <v>#VALUE!</v>
      </c>
      <c r="AE51" s="277" t="e">
        <f aca="false">MAX(-AE44,0)</f>
        <v>#VALUE!</v>
      </c>
      <c r="AF51" s="277" t="e">
        <f aca="false">MAX(-AF44,0)</f>
        <v>#VALUE!</v>
      </c>
      <c r="AG51" s="277" t="e">
        <f aca="false">MAX(-AG44,0)</f>
        <v>#VALUE!</v>
      </c>
      <c r="AH51" s="277" t="e">
        <f aca="false">MAX(-AH44,0)</f>
        <v>#VALUE!</v>
      </c>
      <c r="AI51" s="277" t="e">
        <f aca="false">MAX(-AI44,0)</f>
        <v>#VALUE!</v>
      </c>
      <c r="AJ51" s="277" t="e">
        <f aca="false">MAX(-AJ44,0)</f>
        <v>#VALUE!</v>
      </c>
      <c r="AK51" s="277" t="e">
        <f aca="false">MAX(-AK44,0)</f>
        <v>#VALUE!</v>
      </c>
      <c r="AL51" s="277" t="e">
        <f aca="false">MAX(-AL44,0)</f>
        <v>#VALUE!</v>
      </c>
    </row>
    <row r="52" customFormat="false" ht="15" hidden="false" customHeight="true" outlineLevel="0" collapsed="false">
      <c r="A52" s="126" t="s">
        <v>1632</v>
      </c>
      <c r="B52" s="314" t="e">
        <f aca="false">SUM(C52:AL52)</f>
        <v>#VALUE!</v>
      </c>
      <c r="C52" s="314" t="e">
        <f aca="false">C49+C50+C51+$B$23</f>
        <v>#VALUE!</v>
      </c>
      <c r="D52" s="314" t="e">
        <f aca="false">D49+D50+D51</f>
        <v>#VALUE!</v>
      </c>
      <c r="E52" s="314" t="e">
        <f aca="false">E49+E50+E51</f>
        <v>#VALUE!</v>
      </c>
      <c r="F52" s="314" t="e">
        <f aca="false">F49+F50+F51</f>
        <v>#VALUE!</v>
      </c>
      <c r="G52" s="314" t="e">
        <f aca="false">G49+G50+G51</f>
        <v>#VALUE!</v>
      </c>
      <c r="H52" s="314" t="e">
        <f aca="false">H49+H50+H51</f>
        <v>#VALUE!</v>
      </c>
      <c r="I52" s="314" t="e">
        <f aca="false">I49+I50+I51</f>
        <v>#VALUE!</v>
      </c>
      <c r="J52" s="314" t="e">
        <f aca="false">J49+J50+J51</f>
        <v>#VALUE!</v>
      </c>
      <c r="K52" s="314" t="e">
        <f aca="false">K49+K50+K51</f>
        <v>#VALUE!</v>
      </c>
      <c r="L52" s="314" t="e">
        <f aca="false">L49+L50+L51</f>
        <v>#VALUE!</v>
      </c>
      <c r="M52" s="314" t="e">
        <f aca="false">M49+M50+M51</f>
        <v>#VALUE!</v>
      </c>
      <c r="N52" s="314" t="e">
        <f aca="false">N49+N50+N51</f>
        <v>#VALUE!</v>
      </c>
      <c r="O52" s="314" t="e">
        <f aca="false">O49+O50+O51</f>
        <v>#VALUE!</v>
      </c>
      <c r="P52" s="314" t="e">
        <f aca="false">P49+P50+P51</f>
        <v>#VALUE!</v>
      </c>
      <c r="Q52" s="314" t="e">
        <f aca="false">Q49+Q50+Q51</f>
        <v>#VALUE!</v>
      </c>
      <c r="R52" s="314" t="e">
        <f aca="false">R49+R50+R51</f>
        <v>#VALUE!</v>
      </c>
      <c r="S52" s="314" t="e">
        <f aca="false">S49+S50+S51</f>
        <v>#VALUE!</v>
      </c>
      <c r="T52" s="314" t="e">
        <f aca="false">T49+T50+T51</f>
        <v>#VALUE!</v>
      </c>
      <c r="U52" s="314" t="e">
        <f aca="false">U49+U50+U51</f>
        <v>#VALUE!</v>
      </c>
      <c r="V52" s="314" t="e">
        <f aca="false">V49+V50+V51</f>
        <v>#VALUE!</v>
      </c>
      <c r="W52" s="314" t="e">
        <f aca="false">W49+W50+W51</f>
        <v>#VALUE!</v>
      </c>
      <c r="X52" s="314" t="e">
        <f aca="false">X49+X50+X51</f>
        <v>#VALUE!</v>
      </c>
      <c r="Y52" s="314" t="e">
        <f aca="false">Y49+Y50+Y51</f>
        <v>#VALUE!</v>
      </c>
      <c r="Z52" s="314" t="e">
        <f aca="false">Z49+Z50+Z51</f>
        <v>#VALUE!</v>
      </c>
      <c r="AA52" s="314" t="e">
        <f aca="false">AA49+AA50+AA51</f>
        <v>#VALUE!</v>
      </c>
      <c r="AB52" s="314" t="e">
        <f aca="false">AB49+AB50+AB51</f>
        <v>#VALUE!</v>
      </c>
      <c r="AC52" s="314" t="e">
        <f aca="false">AC49+AC50+AC51</f>
        <v>#VALUE!</v>
      </c>
      <c r="AD52" s="314" t="e">
        <f aca="false">AD49+AD50+AD51</f>
        <v>#VALUE!</v>
      </c>
      <c r="AE52" s="314" t="e">
        <f aca="false">AE49+AE50+AE51</f>
        <v>#VALUE!</v>
      </c>
      <c r="AF52" s="314" t="e">
        <f aca="false">AF49+AF50+AF51</f>
        <v>#VALUE!</v>
      </c>
      <c r="AG52" s="314" t="e">
        <f aca="false">AG49+AG50+AG51</f>
        <v>#VALUE!</v>
      </c>
      <c r="AH52" s="314" t="e">
        <f aca="false">AH49+AH50+AH51</f>
        <v>#VALUE!</v>
      </c>
      <c r="AI52" s="314" t="e">
        <f aca="false">AI49+AI50+AI51</f>
        <v>#VALUE!</v>
      </c>
      <c r="AJ52" s="314" t="e">
        <f aca="false">AJ49+AJ50+AJ51</f>
        <v>#VALUE!</v>
      </c>
      <c r="AK52" s="314" t="e">
        <f aca="false">AK49+AK50+AK51</f>
        <v>#VALUE!</v>
      </c>
      <c r="AL52" s="314" t="e">
        <f aca="false">AL49+AL50+AL51</f>
        <v>#VALUE!</v>
      </c>
    </row>
    <row r="53" customFormat="false" ht="15" hidden="false" customHeight="true" outlineLevel="0" collapsed="false">
      <c r="A53" s="126" t="s">
        <v>1633</v>
      </c>
      <c r="C53" s="309" t="e">
        <f aca="false">C52</f>
        <v>#VALUE!</v>
      </c>
      <c r="D53" s="309" t="e">
        <f aca="false">C53+D52</f>
        <v>#VALUE!</v>
      </c>
      <c r="E53" s="309" t="e">
        <f aca="false">D53+E52</f>
        <v>#VALUE!</v>
      </c>
      <c r="F53" s="309" t="e">
        <f aca="false">E53+F52</f>
        <v>#VALUE!</v>
      </c>
      <c r="G53" s="309" t="e">
        <f aca="false">F53+G52</f>
        <v>#VALUE!</v>
      </c>
      <c r="H53" s="309" t="e">
        <f aca="false">G53+H52</f>
        <v>#VALUE!</v>
      </c>
      <c r="I53" s="309" t="e">
        <f aca="false">H53+I52</f>
        <v>#VALUE!</v>
      </c>
      <c r="J53" s="309" t="e">
        <f aca="false">I53+J52</f>
        <v>#VALUE!</v>
      </c>
      <c r="K53" s="309" t="e">
        <f aca="false">J53+K52</f>
        <v>#VALUE!</v>
      </c>
      <c r="L53" s="309" t="e">
        <f aca="false">K53+L52</f>
        <v>#VALUE!</v>
      </c>
      <c r="M53" s="309" t="e">
        <f aca="false">L53+M52</f>
        <v>#VALUE!</v>
      </c>
      <c r="N53" s="309" t="e">
        <f aca="false">M53+N52</f>
        <v>#VALUE!</v>
      </c>
      <c r="O53" s="309" t="e">
        <f aca="false">N53+O52</f>
        <v>#VALUE!</v>
      </c>
      <c r="P53" s="309" t="e">
        <f aca="false">O53+P52</f>
        <v>#VALUE!</v>
      </c>
      <c r="Q53" s="309" t="e">
        <f aca="false">P53+Q52</f>
        <v>#VALUE!</v>
      </c>
      <c r="R53" s="309" t="e">
        <f aca="false">Q53+R52</f>
        <v>#VALUE!</v>
      </c>
      <c r="S53" s="309" t="e">
        <f aca="false">R53+S52</f>
        <v>#VALUE!</v>
      </c>
      <c r="T53" s="309" t="e">
        <f aca="false">S53+T52</f>
        <v>#VALUE!</v>
      </c>
      <c r="U53" s="309" t="e">
        <f aca="false">T53+U52</f>
        <v>#VALUE!</v>
      </c>
      <c r="V53" s="309" t="e">
        <f aca="false">U53+V52</f>
        <v>#VALUE!</v>
      </c>
      <c r="W53" s="309" t="e">
        <f aca="false">V53+W52</f>
        <v>#VALUE!</v>
      </c>
      <c r="X53" s="309" t="e">
        <f aca="false">W53+X52</f>
        <v>#VALUE!</v>
      </c>
      <c r="Y53" s="309" t="e">
        <f aca="false">X53+Y52</f>
        <v>#VALUE!</v>
      </c>
      <c r="Z53" s="309" t="e">
        <f aca="false">Y53+Z52</f>
        <v>#VALUE!</v>
      </c>
      <c r="AA53" s="309" t="e">
        <f aca="false">Z53+AA52</f>
        <v>#VALUE!</v>
      </c>
      <c r="AB53" s="309" t="e">
        <f aca="false">AA53+AB52</f>
        <v>#VALUE!</v>
      </c>
      <c r="AC53" s="309" t="e">
        <f aca="false">AB53+AC52</f>
        <v>#VALUE!</v>
      </c>
      <c r="AD53" s="309" t="e">
        <f aca="false">AC53+AD52</f>
        <v>#VALUE!</v>
      </c>
      <c r="AE53" s="309" t="e">
        <f aca="false">AD53+AE52</f>
        <v>#VALUE!</v>
      </c>
      <c r="AF53" s="309" t="e">
        <f aca="false">AE53+AF52</f>
        <v>#VALUE!</v>
      </c>
      <c r="AG53" s="309" t="e">
        <f aca="false">AF53+AG52</f>
        <v>#VALUE!</v>
      </c>
      <c r="AH53" s="309" t="e">
        <f aca="false">AG53+AH52</f>
        <v>#VALUE!</v>
      </c>
      <c r="AI53" s="309" t="e">
        <f aca="false">AH53+AI52</f>
        <v>#VALUE!</v>
      </c>
      <c r="AJ53" s="309" t="e">
        <f aca="false">AI53+AJ52</f>
        <v>#VALUE!</v>
      </c>
      <c r="AK53" s="309" t="e">
        <f aca="false">AJ53+AK52</f>
        <v>#VALUE!</v>
      </c>
      <c r="AL53" s="309" t="e">
        <f aca="false">AK53+AL52</f>
        <v>#VALUE!</v>
      </c>
    </row>
    <row r="54" customFormat="false" ht="15" hidden="false" customHeight="true" outlineLevel="0" collapsed="false">
      <c r="A54" s="111" t="s">
        <v>1634</v>
      </c>
      <c r="B54" s="309" t="e">
        <f aca="false">SUM(C54:AL54)</f>
        <v>#VALUE!</v>
      </c>
      <c r="C54" s="277" t="e">
        <f aca="false">MAX(C44,0)</f>
        <v>#VALUE!</v>
      </c>
      <c r="D54" s="277" t="e">
        <f aca="false">MAX(D44,0)</f>
        <v>#VALUE!</v>
      </c>
      <c r="E54" s="277" t="e">
        <f aca="false">MAX(E44,0)</f>
        <v>#VALUE!</v>
      </c>
      <c r="F54" s="277" t="e">
        <f aca="false">MAX(F44,0)</f>
        <v>#VALUE!</v>
      </c>
      <c r="G54" s="277" t="e">
        <f aca="false">MAX(G44,0)</f>
        <v>#VALUE!</v>
      </c>
      <c r="H54" s="277" t="e">
        <f aca="false">MAX(H44,0)</f>
        <v>#VALUE!</v>
      </c>
      <c r="I54" s="277" t="e">
        <f aca="false">MAX(I44,0)</f>
        <v>#VALUE!</v>
      </c>
      <c r="J54" s="277" t="e">
        <f aca="false">MAX(J44,0)</f>
        <v>#VALUE!</v>
      </c>
      <c r="K54" s="277" t="e">
        <f aca="false">MAX(K44,0)</f>
        <v>#VALUE!</v>
      </c>
      <c r="L54" s="277" t="e">
        <f aca="false">MAX(L44,0)</f>
        <v>#VALUE!</v>
      </c>
      <c r="M54" s="277" t="e">
        <f aca="false">MAX(M44,0)</f>
        <v>#VALUE!</v>
      </c>
      <c r="N54" s="277" t="e">
        <f aca="false">MAX(N44,0)</f>
        <v>#VALUE!</v>
      </c>
      <c r="O54" s="277" t="e">
        <f aca="false">MAX(O44,0)</f>
        <v>#VALUE!</v>
      </c>
      <c r="P54" s="277" t="e">
        <f aca="false">MAX(P44,0)</f>
        <v>#VALUE!</v>
      </c>
      <c r="Q54" s="277" t="e">
        <f aca="false">MAX(Q44,0)</f>
        <v>#VALUE!</v>
      </c>
      <c r="R54" s="277" t="e">
        <f aca="false">MAX(R44,0)</f>
        <v>#VALUE!</v>
      </c>
      <c r="S54" s="277" t="e">
        <f aca="false">MAX(S44,0)</f>
        <v>#VALUE!</v>
      </c>
      <c r="T54" s="277" t="e">
        <f aca="false">MAX(T44,0)</f>
        <v>#VALUE!</v>
      </c>
      <c r="U54" s="277" t="e">
        <f aca="false">MAX(U44,0)</f>
        <v>#VALUE!</v>
      </c>
      <c r="V54" s="277" t="e">
        <f aca="false">MAX(V44,0)</f>
        <v>#VALUE!</v>
      </c>
      <c r="W54" s="277" t="e">
        <f aca="false">MAX(W44,0)</f>
        <v>#VALUE!</v>
      </c>
      <c r="X54" s="277" t="e">
        <f aca="false">MAX(X44,0)</f>
        <v>#VALUE!</v>
      </c>
      <c r="Y54" s="277" t="e">
        <f aca="false">MAX(Y44,0)</f>
        <v>#VALUE!</v>
      </c>
      <c r="Z54" s="277" t="e">
        <f aca="false">MAX(Z44,0)</f>
        <v>#VALUE!</v>
      </c>
      <c r="AA54" s="277" t="e">
        <f aca="false">MAX(AA44,0)</f>
        <v>#VALUE!</v>
      </c>
      <c r="AB54" s="277" t="e">
        <f aca="false">MAX(AB44,0)</f>
        <v>#VALUE!</v>
      </c>
      <c r="AC54" s="277" t="e">
        <f aca="false">MAX(AC44,0)</f>
        <v>#VALUE!</v>
      </c>
      <c r="AD54" s="277" t="e">
        <f aca="false">MAX(AD44,0)</f>
        <v>#VALUE!</v>
      </c>
      <c r="AE54" s="277" t="e">
        <f aca="false">MAX(AE44,0)</f>
        <v>#VALUE!</v>
      </c>
      <c r="AF54" s="277" t="e">
        <f aca="false">MAX(AF44,0)</f>
        <v>#VALUE!</v>
      </c>
      <c r="AG54" s="277" t="e">
        <f aca="false">MAX(AG44,0)</f>
        <v>#VALUE!</v>
      </c>
      <c r="AH54" s="277" t="e">
        <f aca="false">MAX(AH44,0)</f>
        <v>#VALUE!</v>
      </c>
      <c r="AI54" s="277" t="e">
        <f aca="false">MAX(AI44,0)</f>
        <v>#VALUE!</v>
      </c>
      <c r="AJ54" s="277" t="e">
        <f aca="false">MAX(AJ44,0)</f>
        <v>#VALUE!</v>
      </c>
      <c r="AK54" s="277" t="e">
        <f aca="false">MAX(AK44,0)</f>
        <v>#VALUE!</v>
      </c>
      <c r="AL54" s="277" t="e">
        <f aca="false">MAX(AL44,0)</f>
        <v>#VALUE!</v>
      </c>
    </row>
    <row r="56" customFormat="false" ht="21.75" hidden="false" customHeight="true" outlineLevel="0" collapsed="false">
      <c r="A56" s="17" t="s">
        <v>1635</v>
      </c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</row>
    <row r="57" customFormat="false" ht="15" hidden="false" customHeight="true" outlineLevel="0" collapsed="false">
      <c r="A57" s="111" t="s">
        <v>1636</v>
      </c>
      <c r="B57" s="277" t="e">
        <f aca="false">MAX(C53:AL53)</f>
        <v>#VALUE!</v>
      </c>
      <c r="C57" s="107" t="s">
        <v>1637</v>
      </c>
      <c r="D57" s="107"/>
      <c r="E57" s="107"/>
      <c r="F57" s="107"/>
      <c r="G57" s="107"/>
      <c r="H57" s="107"/>
      <c r="I57" s="107"/>
      <c r="J57" s="107"/>
      <c r="K57" s="107"/>
      <c r="L57" s="107"/>
      <c r="M57" s="107"/>
      <c r="N57" s="107"/>
      <c r="O57" s="107"/>
      <c r="P57" s="107"/>
      <c r="Q57" s="107"/>
      <c r="R57" s="107"/>
      <c r="S57" s="107"/>
      <c r="T57" s="107"/>
      <c r="U57" s="107"/>
      <c r="V57" s="107"/>
      <c r="W57" s="107"/>
      <c r="X57" s="107"/>
      <c r="Y57" s="107"/>
      <c r="Z57" s="107"/>
      <c r="AA57" s="107"/>
      <c r="AB57" s="107"/>
      <c r="AC57" s="107"/>
      <c r="AD57" s="107"/>
      <c r="AE57" s="107"/>
      <c r="AF57" s="107"/>
      <c r="AG57" s="107"/>
      <c r="AH57" s="107"/>
      <c r="AI57" s="107"/>
      <c r="AJ57" s="107"/>
      <c r="AK57" s="107"/>
      <c r="AL57" s="107"/>
      <c r="AM57" s="107"/>
      <c r="AN57" s="107"/>
    </row>
    <row r="58" customFormat="false" ht="15" hidden="false" customHeight="true" outlineLevel="0" collapsed="false">
      <c r="A58" s="111" t="s">
        <v>1638</v>
      </c>
      <c r="B58" s="378" t="e">
        <f aca="false">MATCH(B57,C53:AL53,0)</f>
        <v>#VALUE!</v>
      </c>
      <c r="C58" s="107" t="s">
        <v>1639</v>
      </c>
      <c r="D58" s="107"/>
      <c r="E58" s="107"/>
      <c r="F58" s="107"/>
      <c r="G58" s="107"/>
      <c r="H58" s="107"/>
      <c r="I58" s="107"/>
      <c r="J58" s="107"/>
      <c r="K58" s="107"/>
      <c r="L58" s="107"/>
      <c r="M58" s="107"/>
      <c r="N58" s="107"/>
      <c r="O58" s="107"/>
      <c r="P58" s="107"/>
      <c r="Q58" s="107"/>
      <c r="R58" s="107"/>
      <c r="S58" s="107"/>
      <c r="T58" s="107"/>
      <c r="U58" s="107"/>
      <c r="V58" s="107"/>
      <c r="W58" s="107"/>
      <c r="X58" s="107"/>
      <c r="Y58" s="107"/>
      <c r="Z58" s="107"/>
      <c r="AA58" s="107"/>
      <c r="AB58" s="107"/>
      <c r="AC58" s="107"/>
      <c r="AD58" s="107"/>
      <c r="AE58" s="107"/>
      <c r="AF58" s="107"/>
      <c r="AG58" s="107"/>
      <c r="AH58" s="107"/>
      <c r="AI58" s="107"/>
      <c r="AJ58" s="107"/>
      <c r="AK58" s="107"/>
      <c r="AL58" s="107"/>
      <c r="AM58" s="107"/>
      <c r="AN58" s="107"/>
    </row>
    <row r="59" customFormat="false" ht="15" hidden="false" customHeight="true" outlineLevel="0" collapsed="false">
      <c r="A59" s="111" t="s">
        <v>1640</v>
      </c>
      <c r="B59" s="111" t="str">
        <f aca="false">IFERROR(MATCH(TRUE(),INDEX(C44:AL44&gt;0,0),0),"Not in 36 mos")</f>
        <v>Not in 36 mos</v>
      </c>
      <c r="C59" s="107" t="s">
        <v>1641</v>
      </c>
      <c r="D59" s="107"/>
      <c r="E59" s="107"/>
      <c r="F59" s="107"/>
      <c r="G59" s="107"/>
      <c r="H59" s="107"/>
      <c r="I59" s="107"/>
      <c r="J59" s="107"/>
      <c r="K59" s="107"/>
      <c r="L59" s="107"/>
      <c r="M59" s="107"/>
      <c r="N59" s="107"/>
      <c r="O59" s="107"/>
      <c r="P59" s="107"/>
      <c r="Q59" s="107"/>
      <c r="R59" s="107"/>
      <c r="S59" s="107"/>
      <c r="T59" s="107"/>
      <c r="U59" s="107"/>
      <c r="V59" s="107"/>
      <c r="W59" s="107"/>
      <c r="X59" s="107"/>
      <c r="Y59" s="107"/>
      <c r="Z59" s="107"/>
      <c r="AA59" s="107"/>
      <c r="AB59" s="107"/>
      <c r="AC59" s="107"/>
      <c r="AD59" s="107"/>
      <c r="AE59" s="107"/>
      <c r="AF59" s="107"/>
      <c r="AG59" s="107"/>
      <c r="AH59" s="107"/>
      <c r="AI59" s="107"/>
      <c r="AJ59" s="107"/>
      <c r="AK59" s="107"/>
      <c r="AL59" s="107"/>
      <c r="AM59" s="107"/>
      <c r="AN59" s="107"/>
    </row>
    <row r="60" customFormat="false" ht="15" hidden="false" customHeight="true" outlineLevel="0" collapsed="false">
      <c r="A60" s="111" t="s">
        <v>1642</v>
      </c>
      <c r="B60" s="111" t="n">
        <f aca="false">IFERROR(MATCH(TRUE(),INDEX(C29:AL29&gt;=$B$6,0),0),"Not in 36 mos")</f>
        <v>1</v>
      </c>
      <c r="C60" s="107" t="s">
        <v>1643</v>
      </c>
      <c r="D60" s="107"/>
      <c r="E60" s="107"/>
      <c r="F60" s="107"/>
      <c r="G60" s="107"/>
      <c r="H60" s="107"/>
      <c r="I60" s="107"/>
      <c r="J60" s="107"/>
      <c r="K60" s="107"/>
      <c r="L60" s="107"/>
      <c r="M60" s="107"/>
      <c r="N60" s="107"/>
      <c r="O60" s="107"/>
      <c r="P60" s="107"/>
      <c r="Q60" s="107"/>
      <c r="R60" s="107"/>
      <c r="S60" s="107"/>
      <c r="T60" s="107"/>
      <c r="U60" s="107"/>
      <c r="V60" s="107"/>
      <c r="W60" s="107"/>
      <c r="X60" s="107"/>
      <c r="Y60" s="107"/>
      <c r="Z60" s="107"/>
      <c r="AA60" s="107"/>
      <c r="AB60" s="107"/>
      <c r="AC60" s="107"/>
      <c r="AD60" s="107"/>
      <c r="AE60" s="107"/>
      <c r="AF60" s="107"/>
      <c r="AG60" s="107"/>
      <c r="AH60" s="107"/>
      <c r="AI60" s="107"/>
      <c r="AJ60" s="107"/>
      <c r="AK60" s="107"/>
      <c r="AL60" s="107"/>
      <c r="AM60" s="107"/>
      <c r="AN60" s="107"/>
    </row>
    <row r="61" customFormat="false" ht="15" hidden="false" customHeight="true" outlineLevel="0" collapsed="false">
      <c r="A61" s="111" t="s">
        <v>1644</v>
      </c>
      <c r="B61" s="277" t="n">
        <f aca="false">SUM(C50:AL50)</f>
        <v>0</v>
      </c>
      <c r="C61" s="107" t="s">
        <v>1645</v>
      </c>
      <c r="D61" s="107"/>
      <c r="E61" s="107"/>
      <c r="F61" s="107"/>
      <c r="G61" s="107"/>
      <c r="H61" s="107"/>
      <c r="I61" s="107"/>
      <c r="J61" s="107"/>
      <c r="K61" s="107"/>
      <c r="L61" s="107"/>
      <c r="M61" s="107"/>
      <c r="N61" s="107"/>
      <c r="O61" s="107"/>
      <c r="P61" s="107"/>
      <c r="Q61" s="107"/>
      <c r="R61" s="107"/>
      <c r="S61" s="107"/>
      <c r="T61" s="107"/>
      <c r="U61" s="107"/>
      <c r="V61" s="107"/>
      <c r="W61" s="107"/>
      <c r="X61" s="107"/>
      <c r="Y61" s="107"/>
      <c r="Z61" s="107"/>
      <c r="AA61" s="107"/>
      <c r="AB61" s="107"/>
      <c r="AC61" s="107"/>
      <c r="AD61" s="107"/>
      <c r="AE61" s="107"/>
      <c r="AF61" s="107"/>
      <c r="AG61" s="107"/>
      <c r="AH61" s="107"/>
      <c r="AI61" s="107"/>
      <c r="AJ61" s="107"/>
      <c r="AK61" s="107"/>
      <c r="AL61" s="107"/>
      <c r="AM61" s="107"/>
      <c r="AN61" s="107"/>
    </row>
    <row r="62" customFormat="false" ht="15" hidden="false" customHeight="true" outlineLevel="0" collapsed="false">
      <c r="A62" s="111" t="s">
        <v>1646</v>
      </c>
      <c r="B62" s="277" t="e">
        <f aca="false">SUM(C51:AL51)</f>
        <v>#VALUE!</v>
      </c>
      <c r="C62" s="107" t="s">
        <v>1647</v>
      </c>
      <c r="D62" s="107"/>
      <c r="E62" s="107"/>
      <c r="F62" s="107"/>
      <c r="G62" s="107"/>
      <c r="H62" s="107"/>
      <c r="I62" s="107"/>
      <c r="J62" s="107"/>
      <c r="K62" s="107"/>
      <c r="L62" s="107"/>
      <c r="M62" s="107"/>
      <c r="N62" s="107"/>
      <c r="O62" s="107"/>
      <c r="P62" s="107"/>
      <c r="Q62" s="107"/>
      <c r="R62" s="107"/>
      <c r="S62" s="107"/>
      <c r="T62" s="107"/>
      <c r="U62" s="107"/>
      <c r="V62" s="107"/>
      <c r="W62" s="107"/>
      <c r="X62" s="107"/>
      <c r="Y62" s="107"/>
      <c r="Z62" s="107"/>
      <c r="AA62" s="107"/>
      <c r="AB62" s="107"/>
      <c r="AC62" s="107"/>
      <c r="AD62" s="107"/>
      <c r="AE62" s="107"/>
      <c r="AF62" s="107"/>
      <c r="AG62" s="107"/>
      <c r="AH62" s="107"/>
      <c r="AI62" s="107"/>
      <c r="AJ62" s="107"/>
      <c r="AK62" s="107"/>
      <c r="AL62" s="107"/>
      <c r="AM62" s="107"/>
      <c r="AN62" s="107"/>
    </row>
    <row r="63" customFormat="false" ht="15" hidden="false" customHeight="true" outlineLevel="0" collapsed="false">
      <c r="A63" s="111" t="s">
        <v>1648</v>
      </c>
      <c r="B63" s="277" t="e">
        <f aca="false">SUM(C54:AL54)</f>
        <v>#VALUE!</v>
      </c>
      <c r="C63" s="107" t="s">
        <v>1649</v>
      </c>
      <c r="D63" s="107"/>
      <c r="E63" s="107"/>
      <c r="F63" s="107"/>
      <c r="G63" s="107"/>
      <c r="H63" s="107"/>
      <c r="I63" s="107"/>
      <c r="J63" s="107"/>
      <c r="K63" s="107"/>
      <c r="L63" s="107"/>
      <c r="M63" s="107"/>
      <c r="N63" s="107"/>
      <c r="O63" s="107"/>
      <c r="P63" s="107"/>
      <c r="Q63" s="107"/>
      <c r="R63" s="107"/>
      <c r="S63" s="107"/>
      <c r="T63" s="107"/>
      <c r="U63" s="107"/>
      <c r="V63" s="107"/>
      <c r="W63" s="107"/>
      <c r="X63" s="107"/>
      <c r="Y63" s="107"/>
      <c r="Z63" s="107"/>
      <c r="AA63" s="107"/>
      <c r="AB63" s="107"/>
      <c r="AC63" s="107"/>
      <c r="AD63" s="107"/>
      <c r="AE63" s="107"/>
      <c r="AF63" s="107"/>
      <c r="AG63" s="107"/>
      <c r="AH63" s="107"/>
      <c r="AI63" s="107"/>
      <c r="AJ63" s="107"/>
      <c r="AK63" s="107"/>
      <c r="AL63" s="107"/>
      <c r="AM63" s="107"/>
      <c r="AN63" s="107"/>
    </row>
    <row r="64" customFormat="false" ht="15" hidden="false" customHeight="true" outlineLevel="0" collapsed="false">
      <c r="A64" s="111" t="s">
        <v>1650</v>
      </c>
      <c r="B64" s="273" t="n">
        <f aca="false">AVERAGE(C29:N29)</f>
        <v>0</v>
      </c>
      <c r="C64" s="107" t="s">
        <v>1651</v>
      </c>
      <c r="D64" s="107"/>
      <c r="E64" s="107"/>
      <c r="F64" s="107"/>
      <c r="G64" s="107"/>
      <c r="H64" s="107"/>
      <c r="I64" s="107"/>
      <c r="J64" s="107"/>
      <c r="K64" s="107"/>
      <c r="L64" s="107"/>
      <c r="M64" s="107"/>
      <c r="N64" s="107"/>
      <c r="O64" s="107"/>
      <c r="P64" s="107"/>
      <c r="Q64" s="107"/>
      <c r="R64" s="107"/>
      <c r="S64" s="107"/>
      <c r="T64" s="107"/>
      <c r="U64" s="107"/>
      <c r="V64" s="107"/>
      <c r="W64" s="107"/>
      <c r="X64" s="107"/>
      <c r="Y64" s="107"/>
      <c r="Z64" s="107"/>
      <c r="AA64" s="107"/>
      <c r="AB64" s="107"/>
      <c r="AC64" s="107"/>
      <c r="AD64" s="107"/>
      <c r="AE64" s="107"/>
      <c r="AF64" s="107"/>
      <c r="AG64" s="107"/>
      <c r="AH64" s="107"/>
      <c r="AI64" s="107"/>
      <c r="AJ64" s="107"/>
      <c r="AK64" s="107"/>
      <c r="AL64" s="107"/>
      <c r="AM64" s="107"/>
      <c r="AN64" s="107"/>
    </row>
    <row r="65" customFormat="false" ht="15" hidden="false" customHeight="true" outlineLevel="0" collapsed="false">
      <c r="A65" s="111" t="s">
        <v>1652</v>
      </c>
      <c r="B65" s="273" t="n">
        <f aca="false">AVERAGE(O29:Z29)</f>
        <v>0</v>
      </c>
      <c r="C65" s="107" t="s">
        <v>1653</v>
      </c>
      <c r="D65" s="107"/>
      <c r="E65" s="107"/>
      <c r="F65" s="107"/>
      <c r="G65" s="107"/>
      <c r="H65" s="107"/>
      <c r="I65" s="107"/>
      <c r="J65" s="107"/>
      <c r="K65" s="107"/>
      <c r="L65" s="107"/>
      <c r="M65" s="107"/>
      <c r="N65" s="107"/>
      <c r="O65" s="107"/>
      <c r="P65" s="107"/>
      <c r="Q65" s="107"/>
      <c r="R65" s="107"/>
      <c r="S65" s="107"/>
      <c r="T65" s="107"/>
      <c r="U65" s="107"/>
      <c r="V65" s="107"/>
      <c r="W65" s="107"/>
      <c r="X65" s="107"/>
      <c r="Y65" s="107"/>
      <c r="Z65" s="107"/>
      <c r="AA65" s="107"/>
      <c r="AB65" s="107"/>
      <c r="AC65" s="107"/>
      <c r="AD65" s="107"/>
      <c r="AE65" s="107"/>
      <c r="AF65" s="107"/>
      <c r="AG65" s="107"/>
      <c r="AH65" s="107"/>
      <c r="AI65" s="107"/>
      <c r="AJ65" s="107"/>
      <c r="AK65" s="107"/>
      <c r="AL65" s="107"/>
      <c r="AM65" s="107"/>
      <c r="AN65" s="107"/>
    </row>
    <row r="66" customFormat="false" ht="15" hidden="false" customHeight="true" outlineLevel="0" collapsed="false">
      <c r="A66" s="111" t="s">
        <v>1654</v>
      </c>
      <c r="B66" s="273" t="n">
        <f aca="false">AVERAGE(AA29:AL29)</f>
        <v>0</v>
      </c>
      <c r="C66" s="107" t="s">
        <v>1655</v>
      </c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  <c r="X66" s="107"/>
      <c r="Y66" s="107"/>
      <c r="Z66" s="107"/>
      <c r="AA66" s="107"/>
      <c r="AB66" s="107"/>
      <c r="AC66" s="107"/>
      <c r="AD66" s="107"/>
      <c r="AE66" s="107"/>
      <c r="AF66" s="107"/>
      <c r="AG66" s="107"/>
      <c r="AH66" s="107"/>
      <c r="AI66" s="107"/>
      <c r="AJ66" s="107"/>
      <c r="AK66" s="107"/>
      <c r="AL66" s="107"/>
      <c r="AM66" s="107"/>
      <c r="AN66" s="107"/>
    </row>
    <row r="67" customFormat="false" ht="15" hidden="false" customHeight="true" outlineLevel="0" collapsed="false">
      <c r="A67" s="111" t="s">
        <v>1656</v>
      </c>
      <c r="B67" s="277" t="e">
        <f aca="false">SUM(C42:N42)</f>
        <v>#VALUE!</v>
      </c>
      <c r="C67" s="107" t="s">
        <v>1657</v>
      </c>
      <c r="D67" s="107"/>
      <c r="E67" s="107"/>
      <c r="F67" s="107"/>
      <c r="G67" s="107"/>
      <c r="H67" s="107"/>
      <c r="I67" s="107"/>
      <c r="J67" s="107"/>
      <c r="K67" s="107"/>
      <c r="L67" s="107"/>
      <c r="M67" s="107"/>
      <c r="N67" s="107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  <c r="AD67" s="107"/>
      <c r="AE67" s="107"/>
      <c r="AF67" s="107"/>
      <c r="AG67" s="107"/>
      <c r="AH67" s="107"/>
      <c r="AI67" s="107"/>
      <c r="AJ67" s="107"/>
      <c r="AK67" s="107"/>
      <c r="AL67" s="107"/>
      <c r="AM67" s="107"/>
      <c r="AN67" s="107"/>
    </row>
    <row r="68" customFormat="false" ht="15" hidden="false" customHeight="true" outlineLevel="0" collapsed="false">
      <c r="A68" s="111" t="s">
        <v>1658</v>
      </c>
      <c r="B68" s="277" t="e">
        <f aca="false">SUM(O42:Z42)</f>
        <v>#VALUE!</v>
      </c>
      <c r="C68" s="107"/>
      <c r="D68" s="107"/>
      <c r="E68" s="107"/>
      <c r="F68" s="107"/>
      <c r="G68" s="107"/>
      <c r="H68" s="107"/>
      <c r="I68" s="107"/>
      <c r="J68" s="107"/>
      <c r="K68" s="107"/>
      <c r="L68" s="107"/>
      <c r="M68" s="107"/>
      <c r="N68" s="107"/>
      <c r="O68" s="107"/>
      <c r="P68" s="107"/>
      <c r="Q68" s="107"/>
      <c r="R68" s="107"/>
      <c r="S68" s="107"/>
      <c r="T68" s="107"/>
      <c r="U68" s="107"/>
      <c r="V68" s="107"/>
      <c r="W68" s="107"/>
      <c r="X68" s="107"/>
      <c r="Y68" s="107"/>
      <c r="Z68" s="107"/>
      <c r="AA68" s="107"/>
      <c r="AB68" s="107"/>
      <c r="AC68" s="107"/>
      <c r="AD68" s="107"/>
      <c r="AE68" s="107"/>
      <c r="AF68" s="107"/>
      <c r="AG68" s="107"/>
      <c r="AH68" s="107"/>
      <c r="AI68" s="107"/>
      <c r="AJ68" s="107"/>
      <c r="AK68" s="107"/>
      <c r="AL68" s="107"/>
      <c r="AM68" s="107"/>
      <c r="AN68" s="107"/>
    </row>
    <row r="69" customFormat="false" ht="15" hidden="false" customHeight="true" outlineLevel="0" collapsed="false">
      <c r="A69" s="111" t="s">
        <v>1659</v>
      </c>
      <c r="B69" s="277" t="e">
        <f aca="false">SUM(AA42:AL42)</f>
        <v>#VALUE!</v>
      </c>
      <c r="C69" s="107"/>
      <c r="D69" s="107"/>
      <c r="E69" s="107"/>
      <c r="F69" s="107"/>
      <c r="G69" s="107"/>
      <c r="H69" s="107"/>
      <c r="I69" s="107"/>
      <c r="J69" s="107"/>
      <c r="K69" s="107"/>
      <c r="L69" s="107"/>
      <c r="M69" s="107"/>
      <c r="N69" s="107"/>
      <c r="O69" s="107"/>
      <c r="P69" s="107"/>
      <c r="Q69" s="107"/>
      <c r="R69" s="107"/>
      <c r="S69" s="107"/>
      <c r="T69" s="107"/>
      <c r="U69" s="107"/>
      <c r="V69" s="107"/>
      <c r="W69" s="107"/>
      <c r="X69" s="107"/>
      <c r="Y69" s="107"/>
      <c r="Z69" s="107"/>
      <c r="AA69" s="107"/>
      <c r="AB69" s="107"/>
      <c r="AC69" s="107"/>
      <c r="AD69" s="107"/>
      <c r="AE69" s="107"/>
      <c r="AF69" s="107"/>
      <c r="AG69" s="107"/>
      <c r="AH69" s="107"/>
      <c r="AI69" s="107"/>
      <c r="AJ69" s="107"/>
      <c r="AK69" s="107"/>
      <c r="AL69" s="107"/>
      <c r="AM69" s="107"/>
      <c r="AN69" s="107"/>
    </row>
    <row r="70" customFormat="false" ht="15" hidden="false" customHeight="true" outlineLevel="0" collapsed="false">
      <c r="A70" s="111" t="s">
        <v>1660</v>
      </c>
      <c r="B70" s="119" t="n">
        <f aca="false">IFERROR(B69/(Scenarios!F17+B61),0)</f>
        <v>0</v>
      </c>
      <c r="C70" s="107" t="s">
        <v>1661</v>
      </c>
      <c r="D70" s="107"/>
      <c r="E70" s="107"/>
      <c r="F70" s="107"/>
      <c r="G70" s="107"/>
      <c r="H70" s="107"/>
      <c r="I70" s="107"/>
      <c r="J70" s="107"/>
      <c r="K70" s="107"/>
      <c r="L70" s="107"/>
      <c r="M70" s="107"/>
      <c r="N70" s="107"/>
      <c r="O70" s="107"/>
      <c r="P70" s="107"/>
      <c r="Q70" s="107"/>
      <c r="R70" s="107"/>
      <c r="S70" s="107"/>
      <c r="T70" s="107"/>
      <c r="U70" s="107"/>
      <c r="V70" s="107"/>
      <c r="W70" s="107"/>
      <c r="X70" s="107"/>
      <c r="Y70" s="107"/>
      <c r="Z70" s="107"/>
      <c r="AA70" s="107"/>
      <c r="AB70" s="107"/>
      <c r="AC70" s="107"/>
      <c r="AD70" s="107"/>
      <c r="AE70" s="107"/>
      <c r="AF70" s="107"/>
      <c r="AG70" s="107"/>
      <c r="AH70" s="107"/>
      <c r="AI70" s="107"/>
      <c r="AJ70" s="107"/>
      <c r="AK70" s="107"/>
      <c r="AL70" s="107"/>
      <c r="AM70" s="107"/>
      <c r="AN70" s="107"/>
    </row>
  </sheetData>
  <mergeCells count="39">
    <mergeCell ref="A1:AN1"/>
    <mergeCell ref="A4:AN4"/>
    <mergeCell ref="C5:AN5"/>
    <mergeCell ref="C6:AN6"/>
    <mergeCell ref="C7:AN7"/>
    <mergeCell ref="C8:AN8"/>
    <mergeCell ref="C9:AN9"/>
    <mergeCell ref="C10:AN10"/>
    <mergeCell ref="C11:AN11"/>
    <mergeCell ref="C12:AN12"/>
    <mergeCell ref="C13:AN13"/>
    <mergeCell ref="C14:AN14"/>
    <mergeCell ref="C15:AN15"/>
    <mergeCell ref="C16:AN16"/>
    <mergeCell ref="C17:AN17"/>
    <mergeCell ref="C18:AN18"/>
    <mergeCell ref="C19:AN19"/>
    <mergeCell ref="C20:AN20"/>
    <mergeCell ref="C21:AN21"/>
    <mergeCell ref="C22:AN22"/>
    <mergeCell ref="C23:AN23"/>
    <mergeCell ref="A25:AN25"/>
    <mergeCell ref="A39:AN39"/>
    <mergeCell ref="A47:AN47"/>
    <mergeCell ref="A56:AN56"/>
    <mergeCell ref="C57:AN57"/>
    <mergeCell ref="C58:AN58"/>
    <mergeCell ref="C59:AN59"/>
    <mergeCell ref="C60:AN60"/>
    <mergeCell ref="C61:AN61"/>
    <mergeCell ref="C62:AN62"/>
    <mergeCell ref="C63:AN63"/>
    <mergeCell ref="C64:AN64"/>
    <mergeCell ref="C65:AN65"/>
    <mergeCell ref="C66:AN66"/>
    <mergeCell ref="C67:AN67"/>
    <mergeCell ref="C68:AN68"/>
    <mergeCell ref="C69:AN69"/>
    <mergeCell ref="C70:AN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8593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26"/>
    <col collapsed="false" customWidth="true" hidden="false" outlineLevel="0" max="12" min="5" style="0" width="13"/>
    <col collapsed="false" customWidth="true" hidden="false" outlineLevel="0" max="13" min="13" style="0" width="14"/>
    <col collapsed="false" customWidth="true" hidden="false" outlineLevel="0" max="14" min="14" style="0" width="24"/>
  </cols>
  <sheetData>
    <row r="1" customFormat="false" ht="24" hidden="false" customHeight="true" outlineLevel="0" collapsed="false">
      <c r="A1" s="3" t="str">
        <f aca="false">IF('Prop Info'!B4="","LOAN SUMMARY — THREE-TRANCHE DEBT STRUCTURE","LOAN SUMMARY — THREE-TRANCHE DEBT STRUCTURE"&amp;" — "&amp;'Prop Info'!B4)</f>
        <v>LOAN SUMMARY — THREE-TRANCHE DEBT STRUCTURE</v>
      </c>
      <c r="B1" s="3"/>
      <c r="C1" s="3"/>
      <c r="D1" s="3"/>
      <c r="E1" s="3"/>
      <c r="F1" s="3"/>
    </row>
    <row r="2" customFormat="false" ht="15.75" hidden="false" customHeight="true" outlineLevel="0" collapsed="false">
      <c r="A2" s="93" t="s">
        <v>1662</v>
      </c>
      <c r="B2" s="93"/>
      <c r="C2" s="93"/>
      <c r="D2" s="93"/>
      <c r="E2" s="93"/>
      <c r="F2" s="93"/>
    </row>
    <row r="3" customFormat="false" ht="30" hidden="false" customHeight="true" outlineLevel="0" collapsed="false">
      <c r="A3" s="31" t="s">
        <v>11</v>
      </c>
      <c r="B3" s="202" t="s">
        <v>1663</v>
      </c>
      <c r="C3" s="18" t="s">
        <v>43</v>
      </c>
      <c r="D3" s="508" t="s">
        <v>44</v>
      </c>
      <c r="E3" s="31" t="s">
        <v>653</v>
      </c>
    </row>
    <row r="4" customFormat="false" ht="18" hidden="false" customHeight="true" outlineLevel="0" collapsed="false">
      <c r="A4" s="4" t="s">
        <v>1664</v>
      </c>
      <c r="B4" s="160" t="str">
        <f aca="false">Scenarios!F88</f>
        <v/>
      </c>
      <c r="C4" s="160" t="str">
        <f aca="false">Scenarios!F95</f>
        <v/>
      </c>
      <c r="D4" s="160" t="str">
        <f aca="false">Scenarios!F102</f>
        <v/>
      </c>
      <c r="E4" s="290" t="e">
        <f aca="false">B4+C4+D4</f>
        <v>#VALUE!</v>
      </c>
    </row>
    <row r="5" customFormat="false" ht="18" hidden="false" customHeight="true" outlineLevel="0" collapsed="false">
      <c r="A5" s="6" t="s">
        <v>1665</v>
      </c>
      <c r="B5" s="509" t="str">
        <f aca="false">Scenarios!F90</f>
        <v/>
      </c>
      <c r="C5" s="509" t="str">
        <f aca="false">Scenarios!F97</f>
        <v/>
      </c>
      <c r="D5" s="509" t="str">
        <f aca="false">Scenarios!F104</f>
        <v/>
      </c>
      <c r="E5" s="510" t="s">
        <v>46</v>
      </c>
    </row>
    <row r="6" customFormat="false" ht="18" hidden="false" customHeight="true" outlineLevel="0" collapsed="false">
      <c r="A6" s="4" t="s">
        <v>1666</v>
      </c>
      <c r="B6" s="490" t="str">
        <f aca="false">Scenarios!F89</f>
        <v/>
      </c>
      <c r="C6" s="490" t="str">
        <f aca="false">Scenarios!F96</f>
        <v/>
      </c>
      <c r="D6" s="490" t="str">
        <f aca="false">Scenarios!F103</f>
        <v/>
      </c>
      <c r="E6" s="501" t="s">
        <v>46</v>
      </c>
    </row>
    <row r="7" customFormat="false" ht="18" hidden="false" customHeight="true" outlineLevel="0" collapsed="false">
      <c r="A7" s="6" t="s">
        <v>234</v>
      </c>
      <c r="B7" s="509" t="str">
        <f aca="false">Scenarios!F91</f>
        <v/>
      </c>
      <c r="C7" s="509" t="str">
        <f aca="false">Scenarios!F98</f>
        <v/>
      </c>
      <c r="D7" s="509" t="str">
        <f aca="false">Scenarios!F105</f>
        <v/>
      </c>
      <c r="E7" s="510" t="s">
        <v>46</v>
      </c>
    </row>
    <row r="8" customFormat="false" ht="18" hidden="false" customHeight="true" outlineLevel="0" collapsed="false">
      <c r="A8" s="4" t="s">
        <v>235</v>
      </c>
      <c r="B8" s="151" t="str">
        <f aca="false">Scenarios!F92</f>
        <v/>
      </c>
      <c r="C8" s="151" t="str">
        <f aca="false">Scenarios!F99</f>
        <v/>
      </c>
      <c r="D8" s="151" t="str">
        <f aca="false">Scenarios!F106</f>
        <v/>
      </c>
      <c r="E8" s="510" t="s">
        <v>46</v>
      </c>
    </row>
    <row r="9" customFormat="false" ht="18" hidden="false" customHeight="true" outlineLevel="0" collapsed="false">
      <c r="A9" s="6" t="s">
        <v>1667</v>
      </c>
      <c r="B9" s="511" t="n">
        <f aca="false">Scenarios!F93</f>
        <v>0.01</v>
      </c>
      <c r="C9" s="511" t="str">
        <f aca="false">Scenarios!F100</f>
        <v/>
      </c>
      <c r="D9" s="511" t="str">
        <f aca="false">Scenarios!F107</f>
        <v/>
      </c>
      <c r="E9" s="501" t="s">
        <v>46</v>
      </c>
    </row>
    <row r="10" customFormat="false" ht="18" hidden="false" customHeight="true" outlineLevel="0" collapsed="false">
      <c r="A10" s="4" t="s">
        <v>1668</v>
      </c>
      <c r="B10" s="289" t="e">
        <f aca="false">B4*B9</f>
        <v>#VALUE!</v>
      </c>
      <c r="C10" s="289" t="e">
        <f aca="false">C4*C9</f>
        <v>#VALUE!</v>
      </c>
      <c r="D10" s="289" t="e">
        <f aca="false">D4*D9</f>
        <v>#VALUE!</v>
      </c>
      <c r="E10" s="290" t="e">
        <f aca="false">B10+C10+D10</f>
        <v>#VALUE!</v>
      </c>
    </row>
    <row r="11" customFormat="false" ht="18" hidden="false" customHeight="true" outlineLevel="0" collapsed="false">
      <c r="A11" s="6" t="s">
        <v>1568</v>
      </c>
      <c r="B11" s="452" t="n">
        <f aca="false">IFERROR(IF(B4=0,0,IF(B8&gt;0,B4*B6,B12*12)),0)</f>
        <v>0</v>
      </c>
      <c r="C11" s="452" t="n">
        <f aca="false">IFERROR(IF(C4=0,0,IF(C8&gt;0,C4*C6,C12*12)),0)</f>
        <v>0</v>
      </c>
      <c r="D11" s="452" t="n">
        <f aca="false">IFERROR(IF(D4=0,0,IF(D8&gt;0,D4*D6,D12*12)),0)</f>
        <v>0</v>
      </c>
      <c r="E11" s="290" t="n">
        <f aca="false">B11+C11+D11</f>
        <v>0</v>
      </c>
    </row>
    <row r="12" customFormat="false" ht="18" hidden="false" customHeight="true" outlineLevel="0" collapsed="false">
      <c r="A12" s="4" t="s">
        <v>1669</v>
      </c>
      <c r="B12" s="289" t="n">
        <f aca="false">IFERROR(IF(B4=0,0,-PMT(B6/12,B5*12,B4)),0)</f>
        <v>0</v>
      </c>
      <c r="C12" s="289" t="n">
        <f aca="false">IFERROR(IF(C4=0,0,-PMT(C6/12,C5*12,C4)),0)</f>
        <v>0</v>
      </c>
      <c r="D12" s="289" t="n">
        <f aca="false">IFERROR(IF(D4=0,0,-PMT(D6/12,D5*12,D4)),0)</f>
        <v>0</v>
      </c>
      <c r="E12" s="290" t="n">
        <f aca="false">B12+C12+D12</f>
        <v>0</v>
      </c>
    </row>
    <row r="13" customFormat="false" ht="18" hidden="false" customHeight="true" outlineLevel="0" collapsed="false">
      <c r="A13" s="6" t="s">
        <v>1670</v>
      </c>
      <c r="B13" s="452" t="n">
        <f aca="false">IFERROR(B4*B6,0)</f>
        <v>0</v>
      </c>
      <c r="C13" s="452" t="n">
        <f aca="false">IFERROR(C4*C6,0)</f>
        <v>0</v>
      </c>
      <c r="D13" s="452" t="n">
        <f aca="false">IFERROR(D4*D6,0)</f>
        <v>0</v>
      </c>
      <c r="E13" s="290" t="n">
        <f aca="false">B13+C13+D13</f>
        <v>0</v>
      </c>
    </row>
    <row r="14" customFormat="false" ht="18" hidden="false" customHeight="true" outlineLevel="0" collapsed="false">
      <c r="A14" s="4" t="s">
        <v>1671</v>
      </c>
      <c r="B14" s="289" t="n">
        <f aca="false">IFERROR(ABS(B11)-B13,0)</f>
        <v>0</v>
      </c>
      <c r="C14" s="289" t="n">
        <f aca="false">IFERROR(ABS(C11)-C13,0)</f>
        <v>0</v>
      </c>
      <c r="D14" s="289" t="n">
        <f aca="false">IFERROR(ABS(D11)-D13,0)</f>
        <v>0</v>
      </c>
      <c r="E14" s="290" t="n">
        <f aca="false">B14+C14+D14</f>
        <v>0</v>
      </c>
    </row>
    <row r="16" customFormat="false" ht="21.75" hidden="false" customHeight="true" outlineLevel="0" collapsed="false">
      <c r="A16" s="512" t="s">
        <v>1672</v>
      </c>
      <c r="B16" s="512"/>
      <c r="C16" s="512"/>
      <c r="D16" s="512"/>
      <c r="E16" s="512"/>
      <c r="F16" s="512"/>
      <c r="G16" s="512"/>
      <c r="H16" s="512"/>
      <c r="I16" s="512"/>
      <c r="J16" s="512"/>
      <c r="K16" s="512"/>
      <c r="L16" s="512"/>
      <c r="M16" s="512"/>
      <c r="N16" s="512"/>
    </row>
    <row r="17" customFormat="false" ht="15" hidden="false" customHeight="true" outlineLevel="0" collapsed="false">
      <c r="A17" s="513" t="s">
        <v>11</v>
      </c>
      <c r="B17" s="42" t="s">
        <v>1673</v>
      </c>
      <c r="C17" s="513"/>
      <c r="D17" s="513"/>
      <c r="E17" s="513" t="s">
        <v>55</v>
      </c>
    </row>
    <row r="18" customFormat="false" ht="15" hidden="false" customHeight="true" outlineLevel="0" collapsed="false">
      <c r="A18" s="469" t="s">
        <v>1664</v>
      </c>
      <c r="B18" s="20" t="n">
        <f aca="false">IFERROR('Exit Strategy'!B10, 0)</f>
        <v>0</v>
      </c>
      <c r="C18" s="514"/>
      <c r="D18" s="514"/>
      <c r="E18" s="515" t="s">
        <v>1674</v>
      </c>
    </row>
    <row r="19" customFormat="false" ht="15" hidden="false" customHeight="true" outlineLevel="0" collapsed="false">
      <c r="A19" s="8" t="s">
        <v>1665</v>
      </c>
      <c r="B19" s="516"/>
      <c r="C19" s="439"/>
      <c r="D19" s="439"/>
      <c r="E19" s="440" t="s">
        <v>1675</v>
      </c>
    </row>
    <row r="20" customFormat="false" ht="15" hidden="false" customHeight="true" outlineLevel="0" collapsed="false">
      <c r="A20" s="469" t="s">
        <v>1666</v>
      </c>
      <c r="B20" s="517" t="n">
        <f aca="false">IFERROR('Exit Strategy'!B11, 0)</f>
        <v>0</v>
      </c>
      <c r="C20" s="514"/>
      <c r="D20" s="514"/>
      <c r="E20" s="515" t="s">
        <v>1676</v>
      </c>
    </row>
    <row r="21" customFormat="false" ht="15" hidden="false" customHeight="true" outlineLevel="0" collapsed="false">
      <c r="A21" s="8" t="s">
        <v>234</v>
      </c>
      <c r="B21" s="516" t="n">
        <v>10</v>
      </c>
      <c r="C21" s="439"/>
      <c r="D21" s="439"/>
      <c r="E21" s="440" t="s">
        <v>1677</v>
      </c>
    </row>
    <row r="22" customFormat="false" ht="15" hidden="false" customHeight="true" outlineLevel="0" collapsed="false">
      <c r="A22" s="469" t="s">
        <v>235</v>
      </c>
      <c r="B22" s="516" t="n">
        <v>0</v>
      </c>
      <c r="C22" s="514"/>
      <c r="D22" s="514"/>
      <c r="E22" s="515" t="s">
        <v>1678</v>
      </c>
    </row>
    <row r="23" customFormat="false" ht="15" hidden="false" customHeight="true" outlineLevel="0" collapsed="false">
      <c r="A23" s="8" t="s">
        <v>1568</v>
      </c>
      <c r="B23" s="452" t="n">
        <f aca="false">IFERROR(IF(B18=0,0,IF(B22&gt;0,B18*B20,B24*12)),0)</f>
        <v>0</v>
      </c>
      <c r="C23" s="439"/>
      <c r="D23" s="439"/>
      <c r="E23" s="440" t="s">
        <v>1679</v>
      </c>
    </row>
    <row r="24" customFormat="false" ht="15" hidden="false" customHeight="true" outlineLevel="0" collapsed="false">
      <c r="A24" s="469" t="s">
        <v>1669</v>
      </c>
      <c r="B24" s="289" t="n">
        <f aca="false">IFERROR(IF(B18=0,0,-PMT(B20/12,B19*12,B18)),0)</f>
        <v>0</v>
      </c>
      <c r="C24" s="514"/>
      <c r="D24" s="514"/>
      <c r="E24" s="515"/>
    </row>
    <row r="25" customFormat="false" ht="15" hidden="false" customHeight="true" outlineLevel="0" collapsed="false">
      <c r="A25" s="8" t="s">
        <v>1670</v>
      </c>
      <c r="B25" s="452" t="n">
        <f aca="false">IFERROR(B18*B20,0)</f>
        <v>0</v>
      </c>
      <c r="C25" s="439"/>
      <c r="D25" s="439"/>
      <c r="E25" s="440"/>
    </row>
    <row r="26" customFormat="false" ht="15" hidden="false" customHeight="true" outlineLevel="0" collapsed="false">
      <c r="A26" s="469" t="s">
        <v>1671</v>
      </c>
      <c r="B26" s="289" t="n">
        <f aca="false">IFERROR(MAX(B23-B25,0),0)</f>
        <v>0</v>
      </c>
      <c r="C26" s="514"/>
      <c r="D26" s="514"/>
      <c r="E26" s="515"/>
    </row>
    <row r="28" customFormat="false" ht="21.75" hidden="false" customHeight="true" outlineLevel="0" collapsed="false">
      <c r="A28" s="265" t="s">
        <v>1680</v>
      </c>
      <c r="B28" s="265"/>
      <c r="C28" s="265"/>
      <c r="D28" s="265"/>
      <c r="E28" s="265"/>
      <c r="F28" s="265"/>
      <c r="G28" s="265"/>
      <c r="H28" s="265"/>
      <c r="I28" s="265"/>
      <c r="J28" s="265"/>
      <c r="K28" s="265"/>
      <c r="L28" s="265"/>
      <c r="M28" s="265"/>
      <c r="N28" s="265"/>
      <c r="O28" s="439"/>
    </row>
    <row r="29" customFormat="false" ht="15" hidden="false" customHeight="true" outlineLevel="0" collapsed="false">
      <c r="A29" s="469" t="s">
        <v>1681</v>
      </c>
      <c r="B29" s="151" t="n">
        <f aca="false">'Exit Strategy'!B5</f>
        <v>0</v>
      </c>
      <c r="C29" s="439"/>
      <c r="D29" s="439"/>
      <c r="E29" s="439"/>
      <c r="F29" s="439"/>
      <c r="G29" s="439"/>
      <c r="H29" s="439"/>
      <c r="I29" s="439"/>
      <c r="J29" s="439"/>
      <c r="K29" s="439"/>
      <c r="L29" s="439"/>
      <c r="M29" s="439"/>
      <c r="N29" s="515" t="s">
        <v>1682</v>
      </c>
      <c r="O29" s="439"/>
    </row>
    <row r="30" customFormat="false" ht="15" hidden="false" customHeight="true" outlineLevel="0" collapsed="false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</row>
    <row r="31" customFormat="false" ht="21.75" hidden="false" customHeight="true" outlineLevel="0" collapsed="false">
      <c r="A31" s="512" t="s">
        <v>1683</v>
      </c>
      <c r="B31" s="512"/>
      <c r="C31" s="512"/>
      <c r="D31" s="512"/>
      <c r="E31" s="512"/>
      <c r="F31" s="512"/>
      <c r="G31" s="512"/>
      <c r="H31" s="512"/>
      <c r="I31" s="512"/>
      <c r="J31" s="512"/>
      <c r="K31" s="512"/>
      <c r="L31" s="512"/>
      <c r="M31" s="512"/>
      <c r="N31" s="512"/>
      <c r="O31" s="439"/>
    </row>
    <row r="32" customFormat="false" ht="19.5" hidden="false" customHeight="true" outlineLevel="0" collapsed="false">
      <c r="A32" s="513" t="s">
        <v>11</v>
      </c>
      <c r="B32" s="513" t="s">
        <v>1684</v>
      </c>
      <c r="C32" s="42" t="s">
        <v>1475</v>
      </c>
      <c r="D32" s="42" t="s">
        <v>1476</v>
      </c>
      <c r="E32" s="42" t="s">
        <v>1477</v>
      </c>
      <c r="F32" s="42" t="s">
        <v>1478</v>
      </c>
      <c r="G32" s="42" t="s">
        <v>1479</v>
      </c>
      <c r="H32" s="42" t="s">
        <v>1480</v>
      </c>
      <c r="I32" s="42" t="s">
        <v>1481</v>
      </c>
      <c r="J32" s="42" t="s">
        <v>1482</v>
      </c>
      <c r="K32" s="42" t="s">
        <v>1483</v>
      </c>
      <c r="L32" s="42" t="s">
        <v>1484</v>
      </c>
      <c r="M32" s="439"/>
      <c r="N32" s="439"/>
      <c r="O32" s="439"/>
    </row>
    <row r="33" customFormat="false" ht="15" hidden="false" customHeight="true" outlineLevel="0" collapsed="false">
      <c r="A33" s="8" t="s">
        <v>1685</v>
      </c>
      <c r="B33" s="440" t="s">
        <v>1686</v>
      </c>
      <c r="C33" s="37" t="str">
        <f aca="false">IF(1&lt;=IF(ISNUMBER($B$29),$B$29,$B$7),"Yes","No")</f>
        <v>Yes</v>
      </c>
      <c r="D33" s="37" t="str">
        <f aca="false">IF(2&lt;=IF(ISNUMBER($B$29),$B$29,$B$7),"Yes","No")</f>
        <v>Yes</v>
      </c>
      <c r="E33" s="37" t="str">
        <f aca="false">IF(3&lt;=IF(ISNUMBER($B$29),$B$29,$B$7),"Yes","No")</f>
        <v>Yes</v>
      </c>
      <c r="F33" s="37" t="str">
        <f aca="false">IF(4&lt;=IF(ISNUMBER($B$29),$B$29,$B$7),"Yes","No")</f>
        <v>Yes</v>
      </c>
      <c r="G33" s="37" t="str">
        <f aca="false">IF(5&lt;=IF(ISNUMBER($B$29),$B$29,$B$7),"Yes","No")</f>
        <v>Yes</v>
      </c>
      <c r="H33" s="37" t="str">
        <f aca="false">IF(6&lt;=IF(ISNUMBER($B$29),$B$29,$B$7),"Yes","No")</f>
        <v>Yes</v>
      </c>
      <c r="I33" s="37" t="str">
        <f aca="false">IF(7&lt;=IF(ISNUMBER($B$29),$B$29,$B$7),"Yes","No")</f>
        <v>Yes</v>
      </c>
      <c r="J33" s="37" t="str">
        <f aca="false">IF(8&lt;=IF(ISNUMBER($B$29),$B$29,$B$7),"Yes","No")</f>
        <v>Yes</v>
      </c>
      <c r="K33" s="37" t="str">
        <f aca="false">IF(9&lt;=IF(ISNUMBER($B$29),$B$29,$B$7),"Yes","No")</f>
        <v>Yes</v>
      </c>
      <c r="L33" s="37" t="str">
        <f aca="false">IF(10&lt;=IF(ISNUMBER($B$29),$B$29,$B$7),"Yes","No")</f>
        <v>Yes</v>
      </c>
      <c r="M33" s="439"/>
      <c r="N33" s="439"/>
      <c r="O33" s="439"/>
    </row>
    <row r="34" customFormat="false" ht="15" hidden="false" customHeight="true" outlineLevel="0" collapsed="false">
      <c r="A34" s="469" t="s">
        <v>1687</v>
      </c>
      <c r="B34" s="515" t="s">
        <v>1688</v>
      </c>
      <c r="C34" s="289" t="str">
        <f aca="false">IF(1=1,$B$4,INDEX($C37:$L37,1,1-1))</f>
        <v/>
      </c>
      <c r="D34" s="289" t="e">
        <f aca="false">IF(2=1,$B$4,INDEX($C37:$L37,1,2-1))</f>
        <v>#VALUE!</v>
      </c>
      <c r="E34" s="289" t="e">
        <f aca="false">IF(3=1,$B$4,INDEX($C37:$L37,1,3-1))</f>
        <v>#VALUE!</v>
      </c>
      <c r="F34" s="289" t="e">
        <f aca="false">IF(4=1,$B$4,INDEX($C37:$L37,1,4-1))</f>
        <v>#VALUE!</v>
      </c>
      <c r="G34" s="289" t="e">
        <f aca="false">IF(5=1,$B$4,INDEX($C37:$L37,1,5-1))</f>
        <v>#VALUE!</v>
      </c>
      <c r="H34" s="289" t="e">
        <f aca="false">IF(6=1,$B$4,INDEX($C37:$L37,1,6-1))</f>
        <v>#VALUE!</v>
      </c>
      <c r="I34" s="289" t="e">
        <f aca="false">IF(7=1,$B$4,INDEX($C37:$L37,1,7-1))</f>
        <v>#VALUE!</v>
      </c>
      <c r="J34" s="289" t="e">
        <f aca="false">IF(8=1,$B$4,INDEX($C37:$L37,1,8-1))</f>
        <v>#VALUE!</v>
      </c>
      <c r="K34" s="289" t="e">
        <f aca="false">IF(9=1,$B$4,INDEX($C37:$L37,1,9-1))</f>
        <v>#VALUE!</v>
      </c>
      <c r="L34" s="289" t="e">
        <f aca="false">IF(10=1,$B$4,INDEX($C37:$L37,1,10-1))</f>
        <v>#VALUE!</v>
      </c>
      <c r="M34" s="439"/>
      <c r="N34" s="439"/>
      <c r="O34" s="439"/>
    </row>
    <row r="35" customFormat="false" ht="15" hidden="false" customHeight="true" outlineLevel="0" collapsed="false">
      <c r="A35" s="8" t="s">
        <v>1689</v>
      </c>
      <c r="B35" s="440" t="s">
        <v>1690</v>
      </c>
      <c r="C35" s="452" t="e">
        <f aca="false">IF(C33="No",0,IF(1*12&lt;=$B$8,C34*$B$6,IFERROR(-CUMIPMT($B$6/12,$B$5*12,$B$4,(1-$B$8/12-1)*12+1,(1-$B$8/12)*12,0),C34*$B$6)))</f>
        <v>#VALUE!</v>
      </c>
      <c r="D35" s="452" t="e">
        <f aca="false">IF(D33="No",0,IF(2*12&lt;=$B$8,D34*$B$6,IFERROR(-CUMIPMT($B$6/12,$B$5*12,$B$4,(2-$B$8/12-1)*12+1,(2-$B$8/12)*12,0),D34*$B$6)))</f>
        <v>#VALUE!</v>
      </c>
      <c r="E35" s="452" t="e">
        <f aca="false">IF(E33="No",0,IF(3*12&lt;=$B$8,E34*$B$6,IFERROR(-CUMIPMT($B$6/12,$B$5*12,$B$4,(3-$B$8/12-1)*12+1,(3-$B$8/12)*12,0),E34*$B$6)))</f>
        <v>#VALUE!</v>
      </c>
      <c r="F35" s="452" t="e">
        <f aca="false">IF(F33="No",0,IF(4*12&lt;=$B$8,F34*$B$6,IFERROR(-CUMIPMT($B$6/12,$B$5*12,$B$4,(4-$B$8/12-1)*12+1,(4-$B$8/12)*12,0),F34*$B$6)))</f>
        <v>#VALUE!</v>
      </c>
      <c r="G35" s="452" t="e">
        <f aca="false">IF(G33="No",0,IF(5*12&lt;=$B$8,G34*$B$6,IFERROR(-CUMIPMT($B$6/12,$B$5*12,$B$4,(5-$B$8/12-1)*12+1,(5-$B$8/12)*12,0),G34*$B$6)))</f>
        <v>#VALUE!</v>
      </c>
      <c r="H35" s="452" t="e">
        <f aca="false">IF(H33="No",0,IF(6*12&lt;=$B$8,H34*$B$6,IFERROR(-CUMIPMT($B$6/12,$B$5*12,$B$4,(6-$B$8/12-1)*12+1,(6-$B$8/12)*12,0),H34*$B$6)))</f>
        <v>#VALUE!</v>
      </c>
      <c r="I35" s="452" t="e">
        <f aca="false">IF(I33="No",0,IF(7*12&lt;=$B$8,I34*$B$6,IFERROR(-CUMIPMT($B$6/12,$B$5*12,$B$4,(7-$B$8/12-1)*12+1,(7-$B$8/12)*12,0),I34*$B$6)))</f>
        <v>#VALUE!</v>
      </c>
      <c r="J35" s="452" t="e">
        <f aca="false">IF(J33="No",0,IF(8*12&lt;=$B$8,J34*$B$6,IFERROR(-CUMIPMT($B$6/12,$B$5*12,$B$4,(8-$B$8/12-1)*12+1,(8-$B$8/12)*12,0),J34*$B$6)))</f>
        <v>#VALUE!</v>
      </c>
      <c r="K35" s="452" t="e">
        <f aca="false">IF(K33="No",0,IF(9*12&lt;=$B$8,K34*$B$6,IFERROR(-CUMIPMT($B$6/12,$B$5*12,$B$4,(9-$B$8/12-1)*12+1,(9-$B$8/12)*12,0),K34*$B$6)))</f>
        <v>#VALUE!</v>
      </c>
      <c r="L35" s="452" t="e">
        <f aca="false">IF(L33="No",0,IF(10*12&lt;=$B$8,L34*$B$6,IFERROR(-CUMIPMT($B$6/12,$B$5*12,$B$4,(10-$B$8/12-1)*12+1,(10-$B$8/12)*12,0),L34*$B$6)))</f>
        <v>#VALUE!</v>
      </c>
      <c r="M35" s="439"/>
      <c r="N35" s="439"/>
      <c r="O35" s="439"/>
    </row>
    <row r="36" customFormat="false" ht="15" hidden="false" customHeight="true" outlineLevel="0" collapsed="false">
      <c r="A36" s="469" t="s">
        <v>1691</v>
      </c>
      <c r="B36" s="515" t="s">
        <v>1692</v>
      </c>
      <c r="C36" s="289" t="n">
        <f aca="false">IF(C33="No",0,IF(1*12&lt;=$B$8,0,IFERROR(-CUMPRINC($B$6/12,$B$5*12,$B$4,(1-$B$8/12-1)*12+1,(1-$B$8/12)*12,0),0)))</f>
        <v>0</v>
      </c>
      <c r="D36" s="289" t="n">
        <f aca="false">IF(D33="No",0,IF(2*12&lt;=$B$8,0,IFERROR(-CUMPRINC($B$6/12,$B$5*12,$B$4,(2-$B$8/12-1)*12+1,(2-$B$8/12)*12,0),0)))</f>
        <v>0</v>
      </c>
      <c r="E36" s="289" t="n">
        <f aca="false">IF(E33="No",0,IF(3*12&lt;=$B$8,0,IFERROR(-CUMPRINC($B$6/12,$B$5*12,$B$4,(3-$B$8/12-1)*12+1,(3-$B$8/12)*12,0),0)))</f>
        <v>0</v>
      </c>
      <c r="F36" s="289" t="n">
        <f aca="false">IF(F33="No",0,IF(4*12&lt;=$B$8,0,IFERROR(-CUMPRINC($B$6/12,$B$5*12,$B$4,(4-$B$8/12-1)*12+1,(4-$B$8/12)*12,0),0)))</f>
        <v>0</v>
      </c>
      <c r="G36" s="289" t="n">
        <f aca="false">IF(G33="No",0,IF(5*12&lt;=$B$8,0,IFERROR(-CUMPRINC($B$6/12,$B$5*12,$B$4,(5-$B$8/12-1)*12+1,(5-$B$8/12)*12,0),0)))</f>
        <v>0</v>
      </c>
      <c r="H36" s="289" t="n">
        <f aca="false">IF(H33="No",0,IF(6*12&lt;=$B$8,0,IFERROR(-CUMPRINC($B$6/12,$B$5*12,$B$4,(6-$B$8/12-1)*12+1,(6-$B$8/12)*12,0),0)))</f>
        <v>0</v>
      </c>
      <c r="I36" s="289" t="n">
        <f aca="false">IF(I33="No",0,IF(7*12&lt;=$B$8,0,IFERROR(-CUMPRINC($B$6/12,$B$5*12,$B$4,(7-$B$8/12-1)*12+1,(7-$B$8/12)*12,0),0)))</f>
        <v>0</v>
      </c>
      <c r="J36" s="289" t="n">
        <f aca="false">IF(J33="No",0,IF(8*12&lt;=$B$8,0,IFERROR(-CUMPRINC($B$6/12,$B$5*12,$B$4,(8-$B$8/12-1)*12+1,(8-$B$8/12)*12,0),0)))</f>
        <v>0</v>
      </c>
      <c r="K36" s="289" t="n">
        <f aca="false">IF(K33="No",0,IF(9*12&lt;=$B$8,0,IFERROR(-CUMPRINC($B$6/12,$B$5*12,$B$4,(9-$B$8/12-1)*12+1,(9-$B$8/12)*12,0),0)))</f>
        <v>0</v>
      </c>
      <c r="L36" s="289" t="n">
        <f aca="false">IF(L33="No",0,IF(10*12&lt;=$B$8,0,IFERROR(-CUMPRINC($B$6/12,$B$5*12,$B$4,(10-$B$8/12-1)*12+1,(10-$B$8/12)*12,0),0)))</f>
        <v>0</v>
      </c>
      <c r="M36" s="439"/>
      <c r="N36" s="439"/>
      <c r="O36" s="439"/>
    </row>
    <row r="37" customFormat="false" ht="15" hidden="false" customHeight="true" outlineLevel="0" collapsed="false">
      <c r="A37" s="8" t="s">
        <v>1693</v>
      </c>
      <c r="B37" s="440" t="s">
        <v>1694</v>
      </c>
      <c r="C37" s="452" t="e">
        <f aca="false">IF(C33="No",0,C34-C36)</f>
        <v>#VALUE!</v>
      </c>
      <c r="D37" s="452" t="e">
        <f aca="false">IF(D33="No",0,D34-D36)</f>
        <v>#VALUE!</v>
      </c>
      <c r="E37" s="452" t="e">
        <f aca="false">IF(E33="No",0,E34-E36)</f>
        <v>#VALUE!</v>
      </c>
      <c r="F37" s="452" t="e">
        <f aca="false">IF(F33="No",0,F34-F36)</f>
        <v>#VALUE!</v>
      </c>
      <c r="G37" s="452" t="e">
        <f aca="false">IF(G33="No",0,G34-G36)</f>
        <v>#VALUE!</v>
      </c>
      <c r="H37" s="452" t="e">
        <f aca="false">IF(H33="No",0,H34-H36)</f>
        <v>#VALUE!</v>
      </c>
      <c r="I37" s="452" t="e">
        <f aca="false">IF(I33="No",0,I34-I36)</f>
        <v>#VALUE!</v>
      </c>
      <c r="J37" s="452" t="e">
        <f aca="false">IF(J33="No",0,J34-J36)</f>
        <v>#VALUE!</v>
      </c>
      <c r="K37" s="452" t="e">
        <f aca="false">IF(K33="No",0,K34-K36)</f>
        <v>#VALUE!</v>
      </c>
      <c r="L37" s="452" t="e">
        <f aca="false">IF(L33="No",0,L34-L36)</f>
        <v>#VALUE!</v>
      </c>
      <c r="M37" s="439"/>
      <c r="N37" s="439"/>
      <c r="O37" s="439"/>
    </row>
    <row r="38" customFormat="false" ht="15" hidden="false" customHeight="true" outlineLevel="0" collapsed="false">
      <c r="A38" s="470" t="s">
        <v>1695</v>
      </c>
      <c r="B38" s="518" t="s">
        <v>1696</v>
      </c>
      <c r="C38" s="519" t="e">
        <f aca="false">C35+C36</f>
        <v>#VALUE!</v>
      </c>
      <c r="D38" s="519" t="e">
        <f aca="false">D35+D36</f>
        <v>#VALUE!</v>
      </c>
      <c r="E38" s="519" t="e">
        <f aca="false">E35+E36</f>
        <v>#VALUE!</v>
      </c>
      <c r="F38" s="519" t="e">
        <f aca="false">F35+F36</f>
        <v>#VALUE!</v>
      </c>
      <c r="G38" s="519" t="e">
        <f aca="false">G35+G36</f>
        <v>#VALUE!</v>
      </c>
      <c r="H38" s="519" t="e">
        <f aca="false">H35+H36</f>
        <v>#VALUE!</v>
      </c>
      <c r="I38" s="519" t="e">
        <f aca="false">I35+I36</f>
        <v>#VALUE!</v>
      </c>
      <c r="J38" s="519" t="e">
        <f aca="false">J35+J36</f>
        <v>#VALUE!</v>
      </c>
      <c r="K38" s="519" t="e">
        <f aca="false">K35+K36</f>
        <v>#VALUE!</v>
      </c>
      <c r="L38" s="519" t="e">
        <f aca="false">L35+L36</f>
        <v>#VALUE!</v>
      </c>
      <c r="M38" s="439"/>
      <c r="N38" s="439"/>
      <c r="O38" s="439"/>
    </row>
    <row r="39" customFormat="false" ht="15" hidden="false" customHeight="true" outlineLevel="0" collapsed="false">
      <c r="A39" s="439"/>
      <c r="B39" s="439"/>
      <c r="C39" s="439"/>
      <c r="D39" s="439"/>
      <c r="E39" s="439"/>
      <c r="F39" s="439"/>
      <c r="G39" s="439"/>
      <c r="H39" s="439"/>
      <c r="I39" s="439"/>
      <c r="J39" s="439"/>
      <c r="K39" s="439"/>
      <c r="L39" s="439"/>
      <c r="M39" s="439"/>
      <c r="N39" s="439"/>
      <c r="O39" s="439"/>
    </row>
    <row r="40" customFormat="false" ht="21.75" hidden="false" customHeight="true" outlineLevel="0" collapsed="false">
      <c r="A40" s="520" t="s">
        <v>1697</v>
      </c>
      <c r="B40" s="520"/>
      <c r="C40" s="520"/>
      <c r="D40" s="520"/>
      <c r="E40" s="520"/>
      <c r="F40" s="520"/>
      <c r="G40" s="520"/>
      <c r="H40" s="520"/>
      <c r="I40" s="520"/>
      <c r="J40" s="520"/>
      <c r="K40" s="520"/>
      <c r="L40" s="520"/>
      <c r="M40" s="520"/>
      <c r="N40" s="520"/>
      <c r="O40" s="439"/>
    </row>
    <row r="41" customFormat="false" ht="19.5" hidden="false" customHeight="true" outlineLevel="0" collapsed="false">
      <c r="A41" s="513" t="s">
        <v>11</v>
      </c>
      <c r="B41" s="513" t="s">
        <v>1684</v>
      </c>
      <c r="C41" s="42" t="s">
        <v>1475</v>
      </c>
      <c r="D41" s="42" t="s">
        <v>1476</v>
      </c>
      <c r="E41" s="42" t="s">
        <v>1477</v>
      </c>
      <c r="F41" s="42" t="s">
        <v>1478</v>
      </c>
      <c r="G41" s="42" t="s">
        <v>1479</v>
      </c>
      <c r="H41" s="42" t="s">
        <v>1480</v>
      </c>
      <c r="I41" s="42" t="s">
        <v>1481</v>
      </c>
      <c r="J41" s="42" t="s">
        <v>1482</v>
      </c>
      <c r="K41" s="42" t="s">
        <v>1483</v>
      </c>
      <c r="L41" s="42" t="s">
        <v>1484</v>
      </c>
      <c r="M41" s="439"/>
      <c r="N41" s="439"/>
      <c r="O41" s="439"/>
    </row>
    <row r="42" customFormat="false" ht="15" hidden="false" customHeight="true" outlineLevel="0" collapsed="false">
      <c r="A42" s="469" t="s">
        <v>1685</v>
      </c>
      <c r="B42" s="515"/>
      <c r="C42" s="36" t="str">
        <f aca="false">IF($C$4=0,"No",IF(1&lt;=IF(ISNUMBER($B$29),$B$29,$C$7),"Yes","No"))</f>
        <v>Yes</v>
      </c>
      <c r="D42" s="36" t="str">
        <f aca="false">IF($C$4=0,"No",IF(2&lt;=IF(ISNUMBER($B$29),$B$29,$C$7),"Yes","No"))</f>
        <v>Yes</v>
      </c>
      <c r="E42" s="36" t="str">
        <f aca="false">IF($C$4=0,"No",IF(3&lt;=IF(ISNUMBER($B$29),$B$29,$C$7),"Yes","No"))</f>
        <v>Yes</v>
      </c>
      <c r="F42" s="36" t="str">
        <f aca="false">IF($C$4=0,"No",IF(4&lt;=IF(ISNUMBER($B$29),$B$29,$C$7),"Yes","No"))</f>
        <v>Yes</v>
      </c>
      <c r="G42" s="36" t="str">
        <f aca="false">IF($C$4=0,"No",IF(5&lt;=IF(ISNUMBER($B$29),$B$29,$C$7),"Yes","No"))</f>
        <v>Yes</v>
      </c>
      <c r="H42" s="36" t="str">
        <f aca="false">IF($C$4=0,"No",IF(6&lt;=IF(ISNUMBER($B$29),$B$29,$C$7),"Yes","No"))</f>
        <v>Yes</v>
      </c>
      <c r="I42" s="36" t="str">
        <f aca="false">IF($C$4=0,"No",IF(7&lt;=IF(ISNUMBER($B$29),$B$29,$C$7),"Yes","No"))</f>
        <v>Yes</v>
      </c>
      <c r="J42" s="36" t="str">
        <f aca="false">IF($C$4=0,"No",IF(8&lt;=IF(ISNUMBER($B$29),$B$29,$C$7),"Yes","No"))</f>
        <v>Yes</v>
      </c>
      <c r="K42" s="36" t="str">
        <f aca="false">IF($C$4=0,"No",IF(9&lt;=IF(ISNUMBER($B$29),$B$29,$C$7),"Yes","No"))</f>
        <v>Yes</v>
      </c>
      <c r="L42" s="36" t="str">
        <f aca="false">IF($C$4=0,"No",IF(10&lt;=IF(ISNUMBER($B$29),$B$29,$C$7),"Yes","No"))</f>
        <v>Yes</v>
      </c>
      <c r="M42" s="439"/>
      <c r="N42" s="439"/>
      <c r="O42" s="439"/>
    </row>
    <row r="43" customFormat="false" ht="15" hidden="false" customHeight="true" outlineLevel="0" collapsed="false">
      <c r="A43" s="8" t="s">
        <v>1687</v>
      </c>
      <c r="B43" s="440"/>
      <c r="C43" s="452" t="str">
        <f aca="false">IF(C42="No",0,IF(1=1,$C$4,C46))</f>
        <v/>
      </c>
      <c r="D43" s="452" t="e">
        <f aca="false">IF(D42="No",0,C46)</f>
        <v>#VALUE!</v>
      </c>
      <c r="E43" s="452" t="e">
        <f aca="false">IF(E42="No",0,D46)</f>
        <v>#VALUE!</v>
      </c>
      <c r="F43" s="452" t="e">
        <f aca="false">IF(F42="No",0,E46)</f>
        <v>#VALUE!</v>
      </c>
      <c r="G43" s="452" t="e">
        <f aca="false">IF(G42="No",0,F46)</f>
        <v>#VALUE!</v>
      </c>
      <c r="H43" s="452" t="e">
        <f aca="false">IF(H42="No",0,G46)</f>
        <v>#VALUE!</v>
      </c>
      <c r="I43" s="452" t="e">
        <f aca="false">IF(I42="No",0,H46)</f>
        <v>#VALUE!</v>
      </c>
      <c r="J43" s="452" t="e">
        <f aca="false">IF(J42="No",0,I46)</f>
        <v>#VALUE!</v>
      </c>
      <c r="K43" s="452" t="e">
        <f aca="false">IF(K42="No",0,J46)</f>
        <v>#VALUE!</v>
      </c>
      <c r="L43" s="452" t="e">
        <f aca="false">IF(L42="No",0,K46)</f>
        <v>#VALUE!</v>
      </c>
      <c r="M43" s="439"/>
      <c r="N43" s="439"/>
      <c r="O43" s="439"/>
    </row>
    <row r="44" customFormat="false" ht="15" hidden="false" customHeight="true" outlineLevel="0" collapsed="false">
      <c r="A44" s="469" t="s">
        <v>1689</v>
      </c>
      <c r="B44" s="515"/>
      <c r="C44" s="289" t="e">
        <f aca="false">IF(C42="No",0,IF(1*12&lt;=$C$8,C43*$C$6,IFERROR(-CUMIPMT($C$6/12,$C$5*12,$C$4,(1-$C$8/12-1)*12+1,(1-$C$8/12)*12,0),C43*$C$6)))</f>
        <v>#VALUE!</v>
      </c>
      <c r="D44" s="289" t="e">
        <f aca="false">IF(D42="No",0,IF(2*12&lt;=$C$8,D43*$C$6,IFERROR(-CUMIPMT($C$6/12,$C$5*12,$C$4,(2-$C$8/12-1)*12+1,(2-$C$8/12)*12,0),D43*$C$6)))</f>
        <v>#VALUE!</v>
      </c>
      <c r="E44" s="289" t="e">
        <f aca="false">IF(E42="No",0,IF(3*12&lt;=$C$8,E43*$C$6,IFERROR(-CUMIPMT($C$6/12,$C$5*12,$C$4,(3-$C$8/12-1)*12+1,(3-$C$8/12)*12,0),E43*$C$6)))</f>
        <v>#VALUE!</v>
      </c>
      <c r="F44" s="289" t="e">
        <f aca="false">IF(F42="No",0,IF(4*12&lt;=$C$8,F43*$C$6,IFERROR(-CUMIPMT($C$6/12,$C$5*12,$C$4,(4-$C$8/12-1)*12+1,(4-$C$8/12)*12,0),F43*$C$6)))</f>
        <v>#VALUE!</v>
      </c>
      <c r="G44" s="289" t="e">
        <f aca="false">IF(G42="No",0,IF(5*12&lt;=$C$8,G43*$C$6,IFERROR(-CUMIPMT($C$6/12,$C$5*12,$C$4,(5-$C$8/12-1)*12+1,(5-$C$8/12)*12,0),G43*$C$6)))</f>
        <v>#VALUE!</v>
      </c>
      <c r="H44" s="289" t="e">
        <f aca="false">IF(H42="No",0,IF(6*12&lt;=$C$8,H43*$C$6,IFERROR(-CUMIPMT($C$6/12,$C$5*12,$C$4,(6-$C$8/12-1)*12+1,(6-$C$8/12)*12,0),H43*$C$6)))</f>
        <v>#VALUE!</v>
      </c>
      <c r="I44" s="289" t="e">
        <f aca="false">IF(I42="No",0,IF(7*12&lt;=$C$8,I43*$C$6,IFERROR(-CUMIPMT($C$6/12,$C$5*12,$C$4,(7-$C$8/12-1)*12+1,(7-$C$8/12)*12,0),I43*$C$6)))</f>
        <v>#VALUE!</v>
      </c>
      <c r="J44" s="289" t="e">
        <f aca="false">IF(J42="No",0,IF(8*12&lt;=$C$8,J43*$C$6,IFERROR(-CUMIPMT($C$6/12,$C$5*12,$C$4,(8-$C$8/12-1)*12+1,(8-$C$8/12)*12,0),J43*$C$6)))</f>
        <v>#VALUE!</v>
      </c>
      <c r="K44" s="289" t="e">
        <f aca="false">IF(K42="No",0,IF(9*12&lt;=$C$8,K43*$C$6,IFERROR(-CUMIPMT($C$6/12,$C$5*12,$C$4,(9-$C$8/12-1)*12+1,(9-$C$8/12)*12,0),K43*$C$6)))</f>
        <v>#VALUE!</v>
      </c>
      <c r="L44" s="289" t="e">
        <f aca="false">IF(L42="No",0,IF(10*12&lt;=$C$8,L43*$C$6,IFERROR(-CUMIPMT($C$6/12,$C$5*12,$C$4,(10-$C$8/12-1)*12+1,(10-$C$8/12)*12,0),L43*$C$6)))</f>
        <v>#VALUE!</v>
      </c>
      <c r="M44" s="439"/>
      <c r="N44" s="439"/>
      <c r="O44" s="439"/>
    </row>
    <row r="45" customFormat="false" ht="15" hidden="false" customHeight="true" outlineLevel="0" collapsed="false">
      <c r="A45" s="8" t="s">
        <v>1691</v>
      </c>
      <c r="B45" s="440"/>
      <c r="C45" s="452" t="n">
        <f aca="false">IF(C42="No",0,IF(1*12&lt;=$C$8,0,IFERROR(-CUMPRINC($C$6/12,$C$5*12,$C$4,(1-$C$8/12-1)*12+1,(1-$C$8/12)*12,0),0)))</f>
        <v>0</v>
      </c>
      <c r="D45" s="452" t="n">
        <f aca="false">IF(D42="No",0,IF(2*12&lt;=$C$8,0,IFERROR(-CUMPRINC($C$6/12,$C$5*12,$C$4,(2-$C$8/12-1)*12+1,(2-$C$8/12)*12,0),0)))</f>
        <v>0</v>
      </c>
      <c r="E45" s="452" t="n">
        <f aca="false">IF(E42="No",0,IF(3*12&lt;=$C$8,0,IFERROR(-CUMPRINC($C$6/12,$C$5*12,$C$4,(3-$C$8/12-1)*12+1,(3-$C$8/12)*12,0),0)))</f>
        <v>0</v>
      </c>
      <c r="F45" s="452" t="n">
        <f aca="false">IF(F42="No",0,IF(4*12&lt;=$C$8,0,IFERROR(-CUMPRINC($C$6/12,$C$5*12,$C$4,(4-$C$8/12-1)*12+1,(4-$C$8/12)*12,0),0)))</f>
        <v>0</v>
      </c>
      <c r="G45" s="452" t="n">
        <f aca="false">IF(G42="No",0,IF(5*12&lt;=$C$8,0,IFERROR(-CUMPRINC($C$6/12,$C$5*12,$C$4,(5-$C$8/12-1)*12+1,(5-$C$8/12)*12,0),0)))</f>
        <v>0</v>
      </c>
      <c r="H45" s="452" t="n">
        <f aca="false">IF(H42="No",0,IF(6*12&lt;=$C$8,0,IFERROR(-CUMPRINC($C$6/12,$C$5*12,$C$4,(6-$C$8/12-1)*12+1,(6-$C$8/12)*12,0),0)))</f>
        <v>0</v>
      </c>
      <c r="I45" s="452" t="n">
        <f aca="false">IF(I42="No",0,IF(7*12&lt;=$C$8,0,IFERROR(-CUMPRINC($C$6/12,$C$5*12,$C$4,(7-$C$8/12-1)*12+1,(7-$C$8/12)*12,0),0)))</f>
        <v>0</v>
      </c>
      <c r="J45" s="452" t="n">
        <f aca="false">IF(J42="No",0,IF(8*12&lt;=$C$8,0,IFERROR(-CUMPRINC($C$6/12,$C$5*12,$C$4,(8-$C$8/12-1)*12+1,(8-$C$8/12)*12,0),0)))</f>
        <v>0</v>
      </c>
      <c r="K45" s="452" t="n">
        <f aca="false">IF(K42="No",0,IF(9*12&lt;=$C$8,0,IFERROR(-CUMPRINC($C$6/12,$C$5*12,$C$4,(9-$C$8/12-1)*12+1,(9-$C$8/12)*12,0),0)))</f>
        <v>0</v>
      </c>
      <c r="L45" s="452" t="n">
        <f aca="false">IF(L42="No",0,IF(10*12&lt;=$C$8,0,IFERROR(-CUMPRINC($C$6/12,$C$5*12,$C$4,(10-$C$8/12-1)*12+1,(10-$C$8/12)*12,0),0)))</f>
        <v>0</v>
      </c>
      <c r="M45" s="439"/>
      <c r="N45" s="439"/>
      <c r="O45" s="439"/>
    </row>
    <row r="46" customFormat="false" ht="15" hidden="false" customHeight="true" outlineLevel="0" collapsed="false">
      <c r="A46" s="469" t="s">
        <v>1693</v>
      </c>
      <c r="B46" s="515"/>
      <c r="C46" s="289" t="e">
        <f aca="false">IF(C42="No",0,C43-C45)</f>
        <v>#VALUE!</v>
      </c>
      <c r="D46" s="289" t="e">
        <f aca="false">IF(D42="No",0,D43-D45)</f>
        <v>#VALUE!</v>
      </c>
      <c r="E46" s="289" t="e">
        <f aca="false">IF(E42="No",0,E43-E45)</f>
        <v>#VALUE!</v>
      </c>
      <c r="F46" s="289" t="e">
        <f aca="false">IF(F42="No",0,F43-F45)</f>
        <v>#VALUE!</v>
      </c>
      <c r="G46" s="289" t="e">
        <f aca="false">IF(G42="No",0,G43-G45)</f>
        <v>#VALUE!</v>
      </c>
      <c r="H46" s="289" t="e">
        <f aca="false">IF(H42="No",0,H43-H45)</f>
        <v>#VALUE!</v>
      </c>
      <c r="I46" s="289" t="e">
        <f aca="false">IF(I42="No",0,I43-I45)</f>
        <v>#VALUE!</v>
      </c>
      <c r="J46" s="289" t="e">
        <f aca="false">IF(J42="No",0,J43-J45)</f>
        <v>#VALUE!</v>
      </c>
      <c r="K46" s="289" t="e">
        <f aca="false">IF(K42="No",0,K43-K45)</f>
        <v>#VALUE!</v>
      </c>
      <c r="L46" s="289" t="e">
        <f aca="false">IF(L42="No",0,L43-L45)</f>
        <v>#VALUE!</v>
      </c>
      <c r="M46" s="439"/>
      <c r="N46" s="439"/>
      <c r="O46" s="439"/>
    </row>
    <row r="47" customFormat="false" ht="15" hidden="false" customHeight="true" outlineLevel="0" collapsed="false">
      <c r="A47" s="470" t="s">
        <v>1695</v>
      </c>
      <c r="B47" s="518"/>
      <c r="C47" s="290" t="e">
        <f aca="false">C44+C45</f>
        <v>#VALUE!</v>
      </c>
      <c r="D47" s="290" t="e">
        <f aca="false">D44+D45</f>
        <v>#VALUE!</v>
      </c>
      <c r="E47" s="290" t="e">
        <f aca="false">E44+E45</f>
        <v>#VALUE!</v>
      </c>
      <c r="F47" s="290" t="e">
        <f aca="false">F44+F45</f>
        <v>#VALUE!</v>
      </c>
      <c r="G47" s="290" t="e">
        <f aca="false">G44+G45</f>
        <v>#VALUE!</v>
      </c>
      <c r="H47" s="290" t="e">
        <f aca="false">H44+H45</f>
        <v>#VALUE!</v>
      </c>
      <c r="I47" s="290" t="e">
        <f aca="false">I44+I45</f>
        <v>#VALUE!</v>
      </c>
      <c r="J47" s="290" t="e">
        <f aca="false">J44+J45</f>
        <v>#VALUE!</v>
      </c>
      <c r="K47" s="290" t="e">
        <f aca="false">K44+K45</f>
        <v>#VALUE!</v>
      </c>
      <c r="L47" s="290" t="e">
        <f aca="false">L44+L45</f>
        <v>#VALUE!</v>
      </c>
      <c r="M47" s="439"/>
      <c r="N47" s="439"/>
      <c r="O47" s="439"/>
    </row>
    <row r="48" customFormat="false" ht="15" hidden="false" customHeight="true" outlineLevel="0" collapsed="false">
      <c r="A48" s="439"/>
      <c r="B48" s="439"/>
      <c r="C48" s="439"/>
      <c r="D48" s="439"/>
      <c r="E48" s="439"/>
      <c r="F48" s="439"/>
      <c r="G48" s="439"/>
      <c r="H48" s="439"/>
      <c r="I48" s="439"/>
      <c r="J48" s="439"/>
      <c r="K48" s="439"/>
      <c r="L48" s="439"/>
      <c r="M48" s="439"/>
      <c r="N48" s="439"/>
      <c r="O48" s="439"/>
    </row>
    <row r="49" customFormat="false" ht="21.75" hidden="false" customHeight="true" outlineLevel="0" collapsed="false">
      <c r="A49" s="521" t="s">
        <v>1698</v>
      </c>
      <c r="B49" s="521"/>
      <c r="C49" s="521"/>
      <c r="D49" s="521"/>
      <c r="E49" s="521"/>
      <c r="F49" s="521"/>
      <c r="G49" s="521"/>
      <c r="H49" s="521"/>
      <c r="I49" s="521"/>
      <c r="J49" s="521"/>
      <c r="K49" s="521"/>
      <c r="L49" s="521"/>
      <c r="M49" s="521"/>
      <c r="N49" s="521"/>
      <c r="O49" s="439"/>
    </row>
    <row r="50" customFormat="false" ht="19.5" hidden="false" customHeight="true" outlineLevel="0" collapsed="false">
      <c r="A50" s="513" t="s">
        <v>11</v>
      </c>
      <c r="B50" s="513" t="s">
        <v>1684</v>
      </c>
      <c r="C50" s="42" t="s">
        <v>1475</v>
      </c>
      <c r="D50" s="42" t="s">
        <v>1476</v>
      </c>
      <c r="E50" s="42" t="s">
        <v>1477</v>
      </c>
      <c r="F50" s="42" t="s">
        <v>1478</v>
      </c>
      <c r="G50" s="42" t="s">
        <v>1479</v>
      </c>
      <c r="H50" s="42" t="s">
        <v>1480</v>
      </c>
      <c r="I50" s="42" t="s">
        <v>1481</v>
      </c>
      <c r="J50" s="42" t="s">
        <v>1482</v>
      </c>
      <c r="K50" s="42" t="s">
        <v>1483</v>
      </c>
      <c r="L50" s="42" t="s">
        <v>1484</v>
      </c>
      <c r="M50" s="439"/>
      <c r="N50" s="439"/>
      <c r="O50" s="439"/>
    </row>
    <row r="51" customFormat="false" ht="15" hidden="false" customHeight="true" outlineLevel="0" collapsed="false">
      <c r="A51" s="8" t="s">
        <v>1685</v>
      </c>
      <c r="B51" s="440"/>
      <c r="C51" s="37" t="str">
        <f aca="false">IF($D$4=0,"No",IF(1&lt;=IF(ISNUMBER($B$29),$B$29,$D$7),"Yes","No"))</f>
        <v>Yes</v>
      </c>
      <c r="D51" s="37" t="str">
        <f aca="false">IF($D$4=0,"No",IF(2&lt;=IF(ISNUMBER($B$29),$B$29,$D$7),"Yes","No"))</f>
        <v>Yes</v>
      </c>
      <c r="E51" s="37" t="str">
        <f aca="false">IF($D$4=0,"No",IF(3&lt;=IF(ISNUMBER($B$29),$B$29,$D$7),"Yes","No"))</f>
        <v>Yes</v>
      </c>
      <c r="F51" s="37" t="str">
        <f aca="false">IF($D$4=0,"No",IF(4&lt;=IF(ISNUMBER($B$29),$B$29,$D$7),"Yes","No"))</f>
        <v>Yes</v>
      </c>
      <c r="G51" s="37" t="str">
        <f aca="false">IF($D$4=0,"No",IF(5&lt;=IF(ISNUMBER($B$29),$B$29,$D$7),"Yes","No"))</f>
        <v>Yes</v>
      </c>
      <c r="H51" s="37" t="str">
        <f aca="false">IF($D$4=0,"No",IF(6&lt;=IF(ISNUMBER($B$29),$B$29,$D$7),"Yes","No"))</f>
        <v>Yes</v>
      </c>
      <c r="I51" s="37" t="str">
        <f aca="false">IF($D$4=0,"No",IF(7&lt;=IF(ISNUMBER($B$29),$B$29,$D$7),"Yes","No"))</f>
        <v>Yes</v>
      </c>
      <c r="J51" s="37" t="str">
        <f aca="false">IF($D$4=0,"No",IF(8&lt;=IF(ISNUMBER($B$29),$B$29,$D$7),"Yes","No"))</f>
        <v>Yes</v>
      </c>
      <c r="K51" s="37" t="str">
        <f aca="false">IF($D$4=0,"No",IF(9&lt;=IF(ISNUMBER($B$29),$B$29,$D$7),"Yes","No"))</f>
        <v>Yes</v>
      </c>
      <c r="L51" s="37" t="str">
        <f aca="false">IF($D$4=0,"No",IF(10&lt;=IF(ISNUMBER($B$29),$B$29,$D$7),"Yes","No"))</f>
        <v>Yes</v>
      </c>
      <c r="M51" s="439"/>
      <c r="N51" s="439"/>
      <c r="O51" s="439"/>
    </row>
    <row r="52" customFormat="false" ht="15" hidden="false" customHeight="true" outlineLevel="0" collapsed="false">
      <c r="A52" s="469" t="s">
        <v>1687</v>
      </c>
      <c r="B52" s="515"/>
      <c r="C52" s="289" t="str">
        <f aca="false">IF(C51="No",0,IF(1=1,$D$4,B55))</f>
        <v/>
      </c>
      <c r="D52" s="289" t="e">
        <f aca="false">IF(D51="No",0,IF(2=1,$D$4,C55))</f>
        <v>#VALUE!</v>
      </c>
      <c r="E52" s="289" t="e">
        <f aca="false">IF(E51="No",0,IF(3=1,$D$4,D55))</f>
        <v>#VALUE!</v>
      </c>
      <c r="F52" s="289" t="e">
        <f aca="false">IF(F51="No",0,IF(4=1,$D$4,E55))</f>
        <v>#VALUE!</v>
      </c>
      <c r="G52" s="289" t="e">
        <f aca="false">IF(G51="No",0,IF(5=1,$D$4,F55))</f>
        <v>#VALUE!</v>
      </c>
      <c r="H52" s="289" t="e">
        <f aca="false">IF(H51="No",0,IF(6=1,$D$4,G55))</f>
        <v>#VALUE!</v>
      </c>
      <c r="I52" s="289" t="e">
        <f aca="false">IF(I51="No",0,IF(7=1,$D$4,H55))</f>
        <v>#VALUE!</v>
      </c>
      <c r="J52" s="289" t="e">
        <f aca="false">IF(J51="No",0,IF(8=1,$D$4,I55))</f>
        <v>#VALUE!</v>
      </c>
      <c r="K52" s="289" t="e">
        <f aca="false">IF(K51="No",0,IF(9=1,$D$4,J55))</f>
        <v>#VALUE!</v>
      </c>
      <c r="L52" s="289" t="e">
        <f aca="false">IF(L51="No",0,IF(10=1,$D$4,K55))</f>
        <v>#VALUE!</v>
      </c>
      <c r="M52" s="439"/>
      <c r="N52" s="439"/>
      <c r="O52" s="439"/>
    </row>
    <row r="53" customFormat="false" ht="15" hidden="false" customHeight="true" outlineLevel="0" collapsed="false">
      <c r="A53" s="8" t="s">
        <v>1689</v>
      </c>
      <c r="B53" s="440"/>
      <c r="C53" s="452" t="e">
        <f aca="false">IF(C51="No",0,IF(1*12&lt;=$D$8,C52*$D$6,IFERROR(-CUMIPMT($D$6/12,$D$5*12,$D$4,(1-$D$8/12-1)*12+1,(1-$D$8/12)*12,0),C52*$D$6)))</f>
        <v>#VALUE!</v>
      </c>
      <c r="D53" s="452" t="e">
        <f aca="false">IF(D51="No",0,IF(2*12&lt;=$D$8,D52*$D$6,IFERROR(-CUMIPMT($D$6/12,$D$5*12,$D$4,(2-$D$8/12-1)*12+1,(2-$D$8/12)*12,0),D52*$D$6)))</f>
        <v>#VALUE!</v>
      </c>
      <c r="E53" s="452" t="e">
        <f aca="false">IF(E51="No",0,IF(3*12&lt;=$D$8,E52*$D$6,IFERROR(-CUMIPMT($D$6/12,$D$5*12,$D$4,(3-$D$8/12-1)*12+1,(3-$D$8/12)*12,0),E52*$D$6)))</f>
        <v>#VALUE!</v>
      </c>
      <c r="F53" s="452" t="e">
        <f aca="false">IF(F51="No",0,IF(4*12&lt;=$D$8,F52*$D$6,IFERROR(-CUMIPMT($D$6/12,$D$5*12,$D$4,(4-$D$8/12-1)*12+1,(4-$D$8/12)*12,0),F52*$D$6)))</f>
        <v>#VALUE!</v>
      </c>
      <c r="G53" s="452" t="e">
        <f aca="false">IF(G51="No",0,IF(5*12&lt;=$D$8,G52*$D$6,IFERROR(-CUMIPMT($D$6/12,$D$5*12,$D$4,(5-$D$8/12-1)*12+1,(5-$D$8/12)*12,0),G52*$D$6)))</f>
        <v>#VALUE!</v>
      </c>
      <c r="H53" s="452" t="e">
        <f aca="false">IF(H51="No",0,IF(6*12&lt;=$D$8,H52*$D$6,IFERROR(-CUMIPMT($D$6/12,$D$5*12,$D$4,(6-$D$8/12-1)*12+1,(6-$D$8/12)*12,0),H52*$D$6)))</f>
        <v>#VALUE!</v>
      </c>
      <c r="I53" s="452" t="e">
        <f aca="false">IF(I51="No",0,IF(7*12&lt;=$D$8,I52*$D$6,IFERROR(-CUMIPMT($D$6/12,$D$5*12,$D$4,(7-$D$8/12-1)*12+1,(7-$D$8/12)*12,0),I52*$D$6)))</f>
        <v>#VALUE!</v>
      </c>
      <c r="J53" s="452" t="e">
        <f aca="false">IF(J51="No",0,IF(8*12&lt;=$D$8,J52*$D$6,IFERROR(-CUMIPMT($D$6/12,$D$5*12,$D$4,(8-$D$8/12-1)*12+1,(8-$D$8/12)*12,0),J52*$D$6)))</f>
        <v>#VALUE!</v>
      </c>
      <c r="K53" s="452" t="e">
        <f aca="false">IF(K51="No",0,IF(9*12&lt;=$D$8,K52*$D$6,IFERROR(-CUMIPMT($D$6/12,$D$5*12,$D$4,(9-$D$8/12-1)*12+1,(9-$D$8/12)*12,0),K52*$D$6)))</f>
        <v>#VALUE!</v>
      </c>
      <c r="L53" s="452" t="e">
        <f aca="false">IF(L51="No",0,IF(10*12&lt;=$D$8,L52*$D$6,IFERROR(-CUMIPMT($D$6/12,$D$5*12,$D$4,(10-$D$8/12-1)*12+1,(10-$D$8/12)*12,0),L52*$D$6)))</f>
        <v>#VALUE!</v>
      </c>
      <c r="M53" s="439"/>
      <c r="N53" s="439"/>
      <c r="O53" s="439"/>
    </row>
    <row r="54" customFormat="false" ht="15" hidden="false" customHeight="true" outlineLevel="0" collapsed="false">
      <c r="A54" s="469" t="s">
        <v>1691</v>
      </c>
      <c r="B54" s="515"/>
      <c r="C54" s="289" t="n">
        <f aca="false">IF(C51="No",0,IF(1*12&lt;=$D$8,0,IFERROR(-CUMPRINC($D$6/12,$D$5*12,$D$4,(1-$D$8/12-1)*12+1,(1-$D$8/12)*12,0),0)))</f>
        <v>0</v>
      </c>
      <c r="D54" s="289" t="n">
        <f aca="false">IF(D51="No",0,IF(2*12&lt;=$D$8,0,IFERROR(-CUMPRINC($D$6/12,$D$5*12,$D$4,(2-$D$8/12-1)*12+1,(2-$D$8/12)*12,0),0)))</f>
        <v>0</v>
      </c>
      <c r="E54" s="289" t="n">
        <f aca="false">IF(E51="No",0,IF(3*12&lt;=$D$8,0,IFERROR(-CUMPRINC($D$6/12,$D$5*12,$D$4,(3-$D$8/12-1)*12+1,(3-$D$8/12)*12,0),0)))</f>
        <v>0</v>
      </c>
      <c r="F54" s="289" t="n">
        <f aca="false">IF(F51="No",0,IF(4*12&lt;=$D$8,0,IFERROR(-CUMPRINC($D$6/12,$D$5*12,$D$4,(4-$D$8/12-1)*12+1,(4-$D$8/12)*12,0),0)))</f>
        <v>0</v>
      </c>
      <c r="G54" s="289" t="n">
        <f aca="false">IF(G51="No",0,IF(5*12&lt;=$D$8,0,IFERROR(-CUMPRINC($D$6/12,$D$5*12,$D$4,(5-$D$8/12-1)*12+1,(5-$D$8/12)*12,0),0)))</f>
        <v>0</v>
      </c>
      <c r="H54" s="289" t="n">
        <f aca="false">IF(H51="No",0,IF(6*12&lt;=$D$8,0,IFERROR(-CUMPRINC($D$6/12,$D$5*12,$D$4,(6-$D$8/12-1)*12+1,(6-$D$8/12)*12,0),0)))</f>
        <v>0</v>
      </c>
      <c r="I54" s="289" t="n">
        <f aca="false">IF(I51="No",0,IF(7*12&lt;=$D$8,0,IFERROR(-CUMPRINC($D$6/12,$D$5*12,$D$4,(7-$D$8/12-1)*12+1,(7-$D$8/12)*12,0),0)))</f>
        <v>0</v>
      </c>
      <c r="J54" s="289" t="n">
        <f aca="false">IF(J51="No",0,IF(8*12&lt;=$D$8,0,IFERROR(-CUMPRINC($D$6/12,$D$5*12,$D$4,(8-$D$8/12-1)*12+1,(8-$D$8/12)*12,0),0)))</f>
        <v>0</v>
      </c>
      <c r="K54" s="289" t="n">
        <f aca="false">IF(K51="No",0,IF(9*12&lt;=$D$8,0,IFERROR(-CUMPRINC($D$6/12,$D$5*12,$D$4,(9-$D$8/12-1)*12+1,(9-$D$8/12)*12,0),0)))</f>
        <v>0</v>
      </c>
      <c r="L54" s="289" t="n">
        <f aca="false">IF(L51="No",0,IF(10*12&lt;=$D$8,0,IFERROR(-CUMPRINC($D$6/12,$D$5*12,$D$4,(10-$D$8/12-1)*12+1,(10-$D$8/12)*12,0),0)))</f>
        <v>0</v>
      </c>
      <c r="M54" s="439"/>
      <c r="N54" s="439"/>
      <c r="O54" s="439"/>
    </row>
    <row r="55" customFormat="false" ht="15" hidden="false" customHeight="true" outlineLevel="0" collapsed="false">
      <c r="A55" s="8" t="s">
        <v>1693</v>
      </c>
      <c r="B55" s="440"/>
      <c r="C55" s="452" t="e">
        <f aca="false">IF(C51="No",0,C52-C54)</f>
        <v>#VALUE!</v>
      </c>
      <c r="D55" s="452" t="e">
        <f aca="false">IF(D51="No",0,D52-D54)</f>
        <v>#VALUE!</v>
      </c>
      <c r="E55" s="452" t="e">
        <f aca="false">IF(E51="No",0,E52-E54)</f>
        <v>#VALUE!</v>
      </c>
      <c r="F55" s="452" t="e">
        <f aca="false">IF(F51="No",0,F52-F54)</f>
        <v>#VALUE!</v>
      </c>
      <c r="G55" s="452" t="e">
        <f aca="false">IF(G51="No",0,G52-G54)</f>
        <v>#VALUE!</v>
      </c>
      <c r="H55" s="452" t="e">
        <f aca="false">IF(H51="No",0,H52-H54)</f>
        <v>#VALUE!</v>
      </c>
      <c r="I55" s="452" t="e">
        <f aca="false">IF(I51="No",0,I52-I54)</f>
        <v>#VALUE!</v>
      </c>
      <c r="J55" s="452" t="e">
        <f aca="false">IF(J51="No",0,J52-J54)</f>
        <v>#VALUE!</v>
      </c>
      <c r="K55" s="452" t="e">
        <f aca="false">IF(K51="No",0,K52-K54)</f>
        <v>#VALUE!</v>
      </c>
      <c r="L55" s="452" t="e">
        <f aca="false">IF(L51="No",0,L52-L54)</f>
        <v>#VALUE!</v>
      </c>
      <c r="M55" s="439"/>
      <c r="N55" s="439"/>
      <c r="O55" s="439"/>
    </row>
    <row r="56" customFormat="false" ht="15" hidden="false" customHeight="true" outlineLevel="0" collapsed="false">
      <c r="A56" s="470" t="s">
        <v>1699</v>
      </c>
      <c r="B56" s="518"/>
      <c r="C56" s="290" t="e">
        <f aca="false">C53+C54</f>
        <v>#VALUE!</v>
      </c>
      <c r="D56" s="290" t="e">
        <f aca="false">D53+D54</f>
        <v>#VALUE!</v>
      </c>
      <c r="E56" s="290" t="e">
        <f aca="false">E53+E54</f>
        <v>#VALUE!</v>
      </c>
      <c r="F56" s="290" t="e">
        <f aca="false">F53+F54</f>
        <v>#VALUE!</v>
      </c>
      <c r="G56" s="290" t="e">
        <f aca="false">G53+G54</f>
        <v>#VALUE!</v>
      </c>
      <c r="H56" s="290" t="e">
        <f aca="false">H53+H54</f>
        <v>#VALUE!</v>
      </c>
      <c r="I56" s="290" t="e">
        <f aca="false">I53+I54</f>
        <v>#VALUE!</v>
      </c>
      <c r="J56" s="290" t="e">
        <f aca="false">J53+J54</f>
        <v>#VALUE!</v>
      </c>
      <c r="K56" s="290" t="e">
        <f aca="false">K53+K54</f>
        <v>#VALUE!</v>
      </c>
      <c r="L56" s="290" t="e">
        <f aca="false">L53+L54</f>
        <v>#VALUE!</v>
      </c>
      <c r="M56" s="439"/>
      <c r="N56" s="439"/>
      <c r="O56" s="439"/>
    </row>
    <row r="57" customFormat="false" ht="15" hidden="false" customHeight="true" outlineLevel="0" collapsed="false">
      <c r="A57" s="439"/>
      <c r="B57" s="439"/>
      <c r="C57" s="439"/>
      <c r="D57" s="439"/>
      <c r="E57" s="439"/>
      <c r="F57" s="439"/>
      <c r="G57" s="439"/>
      <c r="H57" s="439"/>
      <c r="I57" s="439"/>
      <c r="J57" s="439"/>
      <c r="K57" s="439"/>
      <c r="L57" s="439"/>
      <c r="M57" s="439"/>
      <c r="N57" s="439"/>
      <c r="O57" s="439"/>
    </row>
    <row r="58" customFormat="false" ht="21.75" hidden="false" customHeight="true" outlineLevel="0" collapsed="false">
      <c r="A58" s="512" t="s">
        <v>1700</v>
      </c>
      <c r="B58" s="512"/>
      <c r="C58" s="512"/>
      <c r="D58" s="512"/>
      <c r="E58" s="512"/>
      <c r="F58" s="512"/>
      <c r="G58" s="512"/>
      <c r="H58" s="512"/>
      <c r="I58" s="512"/>
      <c r="J58" s="512"/>
      <c r="K58" s="512"/>
      <c r="L58" s="512"/>
      <c r="M58" s="512"/>
      <c r="N58" s="512"/>
      <c r="O58" s="439"/>
    </row>
    <row r="59" customFormat="false" ht="19.5" hidden="false" customHeight="true" outlineLevel="0" collapsed="false">
      <c r="A59" s="513" t="s">
        <v>11</v>
      </c>
      <c r="B59" s="513" t="s">
        <v>1684</v>
      </c>
      <c r="C59" s="42" t="s">
        <v>1475</v>
      </c>
      <c r="D59" s="42" t="s">
        <v>1476</v>
      </c>
      <c r="E59" s="42" t="s">
        <v>1477</v>
      </c>
      <c r="F59" s="42" t="s">
        <v>1478</v>
      </c>
      <c r="G59" s="42" t="s">
        <v>1479</v>
      </c>
      <c r="H59" s="42" t="s">
        <v>1480</v>
      </c>
      <c r="I59" s="42" t="s">
        <v>1481</v>
      </c>
      <c r="J59" s="42" t="s">
        <v>1482</v>
      </c>
      <c r="K59" s="42" t="s">
        <v>1483</v>
      </c>
      <c r="L59" s="42" t="s">
        <v>1484</v>
      </c>
      <c r="M59" s="439"/>
      <c r="N59" s="439"/>
      <c r="O59" s="439"/>
    </row>
    <row r="60" customFormat="false" ht="15" hidden="false" customHeight="true" outlineLevel="0" collapsed="false">
      <c r="A60" s="469" t="s">
        <v>1685</v>
      </c>
      <c r="B60" s="515" t="s">
        <v>1701</v>
      </c>
      <c r="C60" s="36" t="str">
        <f aca="false">IF(OR($B$18=0,NOT(ISNUMBER($B$29))),"No",IF(1&gt;$B$29,"Yes","No"))</f>
        <v>No</v>
      </c>
      <c r="D60" s="36" t="str">
        <f aca="false">IF(OR($B$18=0,NOT(ISNUMBER($B$29))),"No",IF(2&gt;$B$29,"Yes","No"))</f>
        <v>No</v>
      </c>
      <c r="E60" s="36" t="str">
        <f aca="false">IF(OR($B$18=0,NOT(ISNUMBER($B$29))),"No",IF(3&gt;$B$29,"Yes","No"))</f>
        <v>No</v>
      </c>
      <c r="F60" s="36" t="str">
        <f aca="false">IF(OR($B$18=0,NOT(ISNUMBER($B$29))),"No",IF(4&gt;$B$29,"Yes","No"))</f>
        <v>No</v>
      </c>
      <c r="G60" s="36" t="str">
        <f aca="false">IF(OR($B$18=0,NOT(ISNUMBER($B$29))),"No",IF(5&gt;$B$29,"Yes","No"))</f>
        <v>No</v>
      </c>
      <c r="H60" s="36" t="str">
        <f aca="false">IF(OR($B$18=0,NOT(ISNUMBER($B$29))),"No",IF(6&gt;$B$29,"Yes","No"))</f>
        <v>No</v>
      </c>
      <c r="I60" s="36" t="str">
        <f aca="false">IF(OR($B$18=0,NOT(ISNUMBER($B$29))),"No",IF(7&gt;$B$29,"Yes","No"))</f>
        <v>No</v>
      </c>
      <c r="J60" s="36" t="str">
        <f aca="false">IF(OR($B$18=0,NOT(ISNUMBER($B$29))),"No",IF(8&gt;$B$29,"Yes","No"))</f>
        <v>No</v>
      </c>
      <c r="K60" s="36" t="str">
        <f aca="false">IF(OR($B$18=0,NOT(ISNUMBER($B$29))),"No",IF(9&gt;$B$29,"Yes","No"))</f>
        <v>No</v>
      </c>
      <c r="L60" s="36" t="str">
        <f aca="false">IF(OR($B$18=0,NOT(ISNUMBER($B$29))),"No",IF(10&gt;$B$29,"Yes","No"))</f>
        <v>No</v>
      </c>
      <c r="M60" s="439"/>
      <c r="N60" s="439"/>
      <c r="O60" s="439"/>
    </row>
    <row r="61" customFormat="false" ht="15" hidden="false" customHeight="true" outlineLevel="0" collapsed="false">
      <c r="A61" s="8" t="s">
        <v>1687</v>
      </c>
      <c r="B61" s="440" t="s">
        <v>1702</v>
      </c>
      <c r="C61" s="452" t="n">
        <f aca="false">IF(C60="No",0,IF(1=$B$29+1,$B$18,B64))</f>
        <v>0</v>
      </c>
      <c r="D61" s="452" t="n">
        <f aca="false">IF(D60="No",0,IF(2=$B$29+1,$B$18,C64))</f>
        <v>0</v>
      </c>
      <c r="E61" s="452" t="n">
        <f aca="false">IF(E60="No",0,IF(3=$B$29+1,$B$18,D64))</f>
        <v>0</v>
      </c>
      <c r="F61" s="452" t="n">
        <f aca="false">IF(F60="No",0,IF(4=$B$29+1,$B$18,E64))</f>
        <v>0</v>
      </c>
      <c r="G61" s="452" t="n">
        <f aca="false">IF(G60="No",0,IF(5=$B$29+1,$B$18,F64))</f>
        <v>0</v>
      </c>
      <c r="H61" s="452" t="n">
        <f aca="false">IF(H60="No",0,IF(6=$B$29+1,$B$18,G64))</f>
        <v>0</v>
      </c>
      <c r="I61" s="452" t="n">
        <f aca="false">IF(I60="No",0,IF(7=$B$29+1,$B$18,H64))</f>
        <v>0</v>
      </c>
      <c r="J61" s="452" t="n">
        <f aca="false">IF(J60="No",0,IF(8=$B$29+1,$B$18,I64))</f>
        <v>0</v>
      </c>
      <c r="K61" s="452" t="n">
        <f aca="false">IF(K60="No",0,IF(9=$B$29+1,$B$18,J64))</f>
        <v>0</v>
      </c>
      <c r="L61" s="452" t="n">
        <f aca="false">IF(L60="No",0,IF(10=$B$29+1,$B$18,K64))</f>
        <v>0</v>
      </c>
      <c r="M61" s="439"/>
      <c r="N61" s="439"/>
      <c r="O61" s="439"/>
    </row>
    <row r="62" customFormat="false" ht="15" hidden="false" customHeight="true" outlineLevel="0" collapsed="false">
      <c r="A62" s="469" t="s">
        <v>1689</v>
      </c>
      <c r="B62" s="515" t="s">
        <v>1703</v>
      </c>
      <c r="C62" s="289" t="n">
        <f aca="false">IF(C60="No",0,IF((1-$B$29)*12&lt;=$B$22,C61*$B$20,IFERROR(-CUMIPMT($B$20/12,$B$19*12,$B$18,(1-$B$29-$B$22/12-1)*12+1,(1-$B$29-$B$22/12)*12,0),C61*$B$20)))</f>
        <v>0</v>
      </c>
      <c r="D62" s="289" t="n">
        <f aca="false">IF(D60="No",0,IF((2-$B$29)*12&lt;=$B$22,D61*$B$20,IFERROR(-CUMIPMT($B$20/12,$B$19*12,$B$18,(2-$B$29-$B$22/12-1)*12+1,(2-$B$29-$B$22/12)*12,0),D61*$B$20)))</f>
        <v>0</v>
      </c>
      <c r="E62" s="289" t="n">
        <f aca="false">IF(E60="No",0,IF((3-$B$29)*12&lt;=$B$22,E61*$B$20,IFERROR(-CUMIPMT($B$20/12,$B$19*12,$B$18,(3-$B$29-$B$22/12-1)*12+1,(3-$B$29-$B$22/12)*12,0),E61*$B$20)))</f>
        <v>0</v>
      </c>
      <c r="F62" s="289" t="n">
        <f aca="false">IF(F60="No",0,IF((4-$B$29)*12&lt;=$B$22,F61*$B$20,IFERROR(-CUMIPMT($B$20/12,$B$19*12,$B$18,(4-$B$29-$B$22/12-1)*12+1,(4-$B$29-$B$22/12)*12,0),F61*$B$20)))</f>
        <v>0</v>
      </c>
      <c r="G62" s="289" t="n">
        <f aca="false">IF(G60="No",0,IF((5-$B$29)*12&lt;=$B$22,G61*$B$20,IFERROR(-CUMIPMT($B$20/12,$B$19*12,$B$18,(5-$B$29-$B$22/12-1)*12+1,(5-$B$29-$B$22/12)*12,0),G61*$B$20)))</f>
        <v>0</v>
      </c>
      <c r="H62" s="289" t="n">
        <f aca="false">IF(H60="No",0,IF((6-$B$29)*12&lt;=$B$22,H61*$B$20,IFERROR(-CUMIPMT($B$20/12,$B$19*12,$B$18,(6-$B$29-$B$22/12-1)*12+1,(6-$B$29-$B$22/12)*12,0),H61*$B$20)))</f>
        <v>0</v>
      </c>
      <c r="I62" s="289" t="n">
        <f aca="false">IF(I60="No",0,IF((7-$B$29)*12&lt;=$B$22,I61*$B$20,IFERROR(-CUMIPMT($B$20/12,$B$19*12,$B$18,(7-$B$29-$B$22/12-1)*12+1,(7-$B$29-$B$22/12)*12,0),I61*$B$20)))</f>
        <v>0</v>
      </c>
      <c r="J62" s="289" t="n">
        <f aca="false">IF(J60="No",0,IF((8-$B$29)*12&lt;=$B$22,J61*$B$20,IFERROR(-CUMIPMT($B$20/12,$B$19*12,$B$18,(8-$B$29-$B$22/12-1)*12+1,(8-$B$29-$B$22/12)*12,0),J61*$B$20)))</f>
        <v>0</v>
      </c>
      <c r="K62" s="289" t="n">
        <f aca="false">IF(K60="No",0,IF((9-$B$29)*12&lt;=$B$22,K61*$B$20,IFERROR(-CUMIPMT($B$20/12,$B$19*12,$B$18,(9-$B$29-$B$22/12-1)*12+1,(9-$B$29-$B$22/12)*12,0),K61*$B$20)))</f>
        <v>0</v>
      </c>
      <c r="L62" s="289" t="n">
        <f aca="false">IF(L60="No",0,IF((10-$B$29)*12&lt;=$B$22,L61*$B$20,IFERROR(-CUMIPMT($B$20/12,$B$19*12,$B$18,(10-$B$29-$B$22/12-1)*12+1,(10-$B$29-$B$22/12)*12,0),L61*$B$20)))</f>
        <v>0</v>
      </c>
      <c r="M62" s="439"/>
      <c r="N62" s="439"/>
      <c r="O62" s="439"/>
    </row>
    <row r="63" customFormat="false" ht="15" hidden="false" customHeight="true" outlineLevel="0" collapsed="false">
      <c r="A63" s="8" t="s">
        <v>1691</v>
      </c>
      <c r="B63" s="440" t="s">
        <v>1692</v>
      </c>
      <c r="C63" s="452" t="n">
        <f aca="false">IF(C60="No",0,IF((1-$B$29)*12&lt;=$B$22,0,IFERROR(-CUMPRINC($B$20/12,$B$19*12,$B$18,(1-$B$29-$B$22/12-1)*12+1,(1-$B$29-$B$22/12)*12,0),0)))</f>
        <v>0</v>
      </c>
      <c r="D63" s="452" t="n">
        <f aca="false">IF(D60="No",0,IF((2-$B$29)*12&lt;=$B$22,0,IFERROR(-CUMPRINC($B$20/12,$B$19*12,$B$18,(2-$B$29-$B$22/12-1)*12+1,(2-$B$29-$B$22/12)*12,0),0)))</f>
        <v>0</v>
      </c>
      <c r="E63" s="452" t="n">
        <f aca="false">IF(E60="No",0,IF((3-$B$29)*12&lt;=$B$22,0,IFERROR(-CUMPRINC($B$20/12,$B$19*12,$B$18,(3-$B$29-$B$22/12-1)*12+1,(3-$B$29-$B$22/12)*12,0),0)))</f>
        <v>0</v>
      </c>
      <c r="F63" s="452" t="n">
        <f aca="false">IF(F60="No",0,IF((4-$B$29)*12&lt;=$B$22,0,IFERROR(-CUMPRINC($B$20/12,$B$19*12,$B$18,(4-$B$29-$B$22/12-1)*12+1,(4-$B$29-$B$22/12)*12,0),0)))</f>
        <v>0</v>
      </c>
      <c r="G63" s="452" t="n">
        <f aca="false">IF(G60="No",0,IF((5-$B$29)*12&lt;=$B$22,0,IFERROR(-CUMPRINC($B$20/12,$B$19*12,$B$18,(5-$B$29-$B$22/12-1)*12+1,(5-$B$29-$B$22/12)*12,0),0)))</f>
        <v>0</v>
      </c>
      <c r="H63" s="452" t="n">
        <f aca="false">IF(H60="No",0,IF((6-$B$29)*12&lt;=$B$22,0,IFERROR(-CUMPRINC($B$20/12,$B$19*12,$B$18,(6-$B$29-$B$22/12-1)*12+1,(6-$B$29-$B$22/12)*12,0),0)))</f>
        <v>0</v>
      </c>
      <c r="I63" s="452" t="n">
        <f aca="false">IF(I60="No",0,IF((7-$B$29)*12&lt;=$B$22,0,IFERROR(-CUMPRINC($B$20/12,$B$19*12,$B$18,(7-$B$29-$B$22/12-1)*12+1,(7-$B$29-$B$22/12)*12,0),0)))</f>
        <v>0</v>
      </c>
      <c r="J63" s="452" t="n">
        <f aca="false">IF(J60="No",0,IF((8-$B$29)*12&lt;=$B$22,0,IFERROR(-CUMPRINC($B$20/12,$B$19*12,$B$18,(8-$B$29-$B$22/12-1)*12+1,(8-$B$29-$B$22/12)*12,0),0)))</f>
        <v>0</v>
      </c>
      <c r="K63" s="452" t="n">
        <f aca="false">IF(K60="No",0,IF((9-$B$29)*12&lt;=$B$22,0,IFERROR(-CUMPRINC($B$20/12,$B$19*12,$B$18,(9-$B$29-$B$22/12-1)*12+1,(9-$B$29-$B$22/12)*12,0),0)))</f>
        <v>0</v>
      </c>
      <c r="L63" s="452" t="n">
        <f aca="false">IF(L60="No",0,IF((10-$B$29)*12&lt;=$B$22,0,IFERROR(-CUMPRINC($B$20/12,$B$19*12,$B$18,(10-$B$29-$B$22/12-1)*12+1,(10-$B$29-$B$22/12)*12,0),0)))</f>
        <v>0</v>
      </c>
      <c r="M63" s="439"/>
      <c r="N63" s="439"/>
      <c r="O63" s="439"/>
    </row>
    <row r="64" customFormat="false" ht="15" hidden="false" customHeight="true" outlineLevel="0" collapsed="false">
      <c r="A64" s="469" t="s">
        <v>1693</v>
      </c>
      <c r="B64" s="515" t="s">
        <v>1694</v>
      </c>
      <c r="C64" s="289" t="n">
        <f aca="false">IF(C60="No",0,C61-C63)</f>
        <v>0</v>
      </c>
      <c r="D64" s="289" t="n">
        <f aca="false">IF(D60="No",0,D61-D63)</f>
        <v>0</v>
      </c>
      <c r="E64" s="289" t="n">
        <f aca="false">IF(E60="No",0,E61-E63)</f>
        <v>0</v>
      </c>
      <c r="F64" s="289" t="n">
        <f aca="false">IF(F60="No",0,F61-F63)</f>
        <v>0</v>
      </c>
      <c r="G64" s="289" t="n">
        <f aca="false">IF(G60="No",0,G61-G63)</f>
        <v>0</v>
      </c>
      <c r="H64" s="289" t="n">
        <f aca="false">IF(H60="No",0,H61-H63)</f>
        <v>0</v>
      </c>
      <c r="I64" s="289" t="n">
        <f aca="false">IF(I60="No",0,I61-I63)</f>
        <v>0</v>
      </c>
      <c r="J64" s="289" t="n">
        <f aca="false">IF(J60="No",0,J61-J63)</f>
        <v>0</v>
      </c>
      <c r="K64" s="289" t="n">
        <f aca="false">IF(K60="No",0,K61-K63)</f>
        <v>0</v>
      </c>
      <c r="L64" s="289" t="n">
        <f aca="false">IF(L60="No",0,L61-L63)</f>
        <v>0</v>
      </c>
      <c r="M64" s="439"/>
      <c r="N64" s="439"/>
      <c r="O64" s="439"/>
    </row>
    <row r="65" customFormat="false" ht="15" hidden="false" customHeight="true" outlineLevel="0" collapsed="false">
      <c r="A65" s="470" t="s">
        <v>1704</v>
      </c>
      <c r="B65" s="518" t="s">
        <v>1705</v>
      </c>
      <c r="C65" s="290" t="n">
        <f aca="false">C62+C63</f>
        <v>0</v>
      </c>
      <c r="D65" s="290" t="n">
        <f aca="false">D62+D63</f>
        <v>0</v>
      </c>
      <c r="E65" s="290" t="n">
        <f aca="false">E62+E63</f>
        <v>0</v>
      </c>
      <c r="F65" s="290" t="n">
        <f aca="false">F62+F63</f>
        <v>0</v>
      </c>
      <c r="G65" s="290" t="n">
        <f aca="false">G62+G63</f>
        <v>0</v>
      </c>
      <c r="H65" s="290" t="n">
        <f aca="false">H62+H63</f>
        <v>0</v>
      </c>
      <c r="I65" s="290" t="n">
        <f aca="false">I62+I63</f>
        <v>0</v>
      </c>
      <c r="J65" s="290" t="n">
        <f aca="false">J62+J63</f>
        <v>0</v>
      </c>
      <c r="K65" s="290" t="n">
        <f aca="false">K62+K63</f>
        <v>0</v>
      </c>
      <c r="L65" s="290" t="n">
        <f aca="false">L62+L63</f>
        <v>0</v>
      </c>
      <c r="M65" s="439"/>
      <c r="N65" s="439"/>
      <c r="O65" s="439"/>
    </row>
    <row r="66" customFormat="false" ht="15" hidden="false" customHeight="true" outlineLevel="0" collapsed="false">
      <c r="A66" s="439"/>
      <c r="B66" s="439"/>
      <c r="C66" s="439"/>
      <c r="D66" s="439"/>
      <c r="E66" s="439"/>
      <c r="F66" s="439"/>
      <c r="G66" s="439"/>
      <c r="H66" s="439"/>
      <c r="I66" s="439"/>
      <c r="J66" s="439"/>
      <c r="K66" s="439"/>
      <c r="L66" s="439"/>
      <c r="M66" s="439"/>
      <c r="N66" s="439"/>
      <c r="O66" s="439"/>
    </row>
    <row r="67" customFormat="false" ht="21.75" hidden="false" customHeight="true" outlineLevel="0" collapsed="false">
      <c r="A67" s="522" t="s">
        <v>1706</v>
      </c>
      <c r="B67" s="522"/>
      <c r="C67" s="522"/>
      <c r="D67" s="522"/>
      <c r="E67" s="522"/>
      <c r="F67" s="522"/>
      <c r="G67" s="522"/>
      <c r="H67" s="522"/>
      <c r="I67" s="522"/>
      <c r="J67" s="522"/>
      <c r="K67" s="522"/>
      <c r="L67" s="522"/>
      <c r="M67" s="522"/>
      <c r="N67" s="522"/>
      <c r="O67" s="439"/>
    </row>
    <row r="68" customFormat="false" ht="19.5" hidden="false" customHeight="true" outlineLevel="0" collapsed="false">
      <c r="A68" s="513" t="s">
        <v>11</v>
      </c>
      <c r="B68" s="513" t="s">
        <v>1684</v>
      </c>
      <c r="C68" s="42" t="s">
        <v>1475</v>
      </c>
      <c r="D68" s="42" t="s">
        <v>1476</v>
      </c>
      <c r="E68" s="42" t="s">
        <v>1477</v>
      </c>
      <c r="F68" s="42" t="s">
        <v>1478</v>
      </c>
      <c r="G68" s="42" t="s">
        <v>1479</v>
      </c>
      <c r="H68" s="42" t="s">
        <v>1480</v>
      </c>
      <c r="I68" s="42" t="s">
        <v>1481</v>
      </c>
      <c r="J68" s="42" t="s">
        <v>1482</v>
      </c>
      <c r="K68" s="42" t="s">
        <v>1483</v>
      </c>
      <c r="L68" s="42" t="s">
        <v>1484</v>
      </c>
      <c r="M68" s="439"/>
      <c r="N68" s="439"/>
      <c r="O68" s="439"/>
    </row>
    <row r="69" customFormat="false" ht="15" hidden="false" customHeight="true" outlineLevel="0" collapsed="false">
      <c r="A69" s="470" t="s">
        <v>1707</v>
      </c>
      <c r="B69" s="518" t="s">
        <v>1708</v>
      </c>
      <c r="C69" s="519" t="e">
        <f aca="false">C35+C44+C62</f>
        <v>#VALUE!</v>
      </c>
      <c r="D69" s="519" t="e">
        <f aca="false">D35+D44+D62</f>
        <v>#VALUE!</v>
      </c>
      <c r="E69" s="519" t="e">
        <f aca="false">E35+E44+E62</f>
        <v>#VALUE!</v>
      </c>
      <c r="F69" s="519" t="e">
        <f aca="false">F35+F44+F62</f>
        <v>#VALUE!</v>
      </c>
      <c r="G69" s="519" t="e">
        <f aca="false">G35+G44+G62</f>
        <v>#VALUE!</v>
      </c>
      <c r="H69" s="519" t="e">
        <f aca="false">H35+H44+H62</f>
        <v>#VALUE!</v>
      </c>
      <c r="I69" s="519" t="e">
        <f aca="false">I35+I44+I62</f>
        <v>#VALUE!</v>
      </c>
      <c r="J69" s="519" t="e">
        <f aca="false">J35+J44+J62</f>
        <v>#VALUE!</v>
      </c>
      <c r="K69" s="519" t="e">
        <f aca="false">K35+K44+K62</f>
        <v>#VALUE!</v>
      </c>
      <c r="L69" s="519" t="e">
        <f aca="false">L35+L44+L62</f>
        <v>#VALUE!</v>
      </c>
      <c r="M69" s="439"/>
      <c r="N69" s="439"/>
      <c r="O69" s="439"/>
    </row>
    <row r="70" customFormat="false" ht="15" hidden="false" customHeight="true" outlineLevel="0" collapsed="false">
      <c r="A70" s="470" t="s">
        <v>1709</v>
      </c>
      <c r="B70" s="518" t="s">
        <v>1710</v>
      </c>
      <c r="C70" s="519" t="n">
        <f aca="false">C36+C45+C63</f>
        <v>0</v>
      </c>
      <c r="D70" s="519" t="n">
        <f aca="false">D36+D45+D63</f>
        <v>0</v>
      </c>
      <c r="E70" s="519" t="n">
        <f aca="false">E36+E45+E63</f>
        <v>0</v>
      </c>
      <c r="F70" s="519" t="n">
        <f aca="false">F36+F45+F63</f>
        <v>0</v>
      </c>
      <c r="G70" s="519" t="n">
        <f aca="false">G36+G45+G63</f>
        <v>0</v>
      </c>
      <c r="H70" s="519" t="n">
        <f aca="false">H36+H45+H63</f>
        <v>0</v>
      </c>
      <c r="I70" s="519" t="n">
        <f aca="false">I36+I45+I63</f>
        <v>0</v>
      </c>
      <c r="J70" s="519" t="n">
        <f aca="false">J36+J45+J63</f>
        <v>0</v>
      </c>
      <c r="K70" s="519" t="n">
        <f aca="false">K36+K45+K63</f>
        <v>0</v>
      </c>
      <c r="L70" s="519" t="n">
        <f aca="false">L36+L45+L63</f>
        <v>0</v>
      </c>
      <c r="M70" s="439"/>
      <c r="N70" s="439"/>
      <c r="O70" s="439"/>
    </row>
    <row r="71" customFormat="false" ht="15" hidden="false" customHeight="true" outlineLevel="0" collapsed="false">
      <c r="A71" s="470" t="s">
        <v>1711</v>
      </c>
      <c r="B71" s="518" t="s">
        <v>1712</v>
      </c>
      <c r="C71" s="519" t="e">
        <f aca="false">C56</f>
        <v>#VALUE!</v>
      </c>
      <c r="D71" s="519" t="e">
        <f aca="false">D56</f>
        <v>#VALUE!</v>
      </c>
      <c r="E71" s="519" t="e">
        <f aca="false">E56</f>
        <v>#VALUE!</v>
      </c>
      <c r="F71" s="519" t="e">
        <f aca="false">F56</f>
        <v>#VALUE!</v>
      </c>
      <c r="G71" s="519" t="e">
        <f aca="false">G56</f>
        <v>#VALUE!</v>
      </c>
      <c r="H71" s="519" t="e">
        <f aca="false">H56</f>
        <v>#VALUE!</v>
      </c>
      <c r="I71" s="519" t="e">
        <f aca="false">I56</f>
        <v>#VALUE!</v>
      </c>
      <c r="J71" s="519" t="e">
        <f aca="false">J56</f>
        <v>#VALUE!</v>
      </c>
      <c r="K71" s="519" t="e">
        <f aca="false">K56</f>
        <v>#VALUE!</v>
      </c>
      <c r="L71" s="519" t="e">
        <f aca="false">L56</f>
        <v>#VALUE!</v>
      </c>
      <c r="M71" s="439"/>
      <c r="N71" s="439"/>
      <c r="O71" s="439"/>
    </row>
    <row r="72" customFormat="false" ht="15" hidden="false" customHeight="true" outlineLevel="0" collapsed="false">
      <c r="A72" s="523" t="s">
        <v>773</v>
      </c>
      <c r="B72" s="524" t="s">
        <v>1713</v>
      </c>
      <c r="C72" s="467" t="e">
        <f aca="false">C69+C70+C71</f>
        <v>#VALUE!</v>
      </c>
      <c r="D72" s="467" t="e">
        <f aca="false">D69+D70+D71</f>
        <v>#VALUE!</v>
      </c>
      <c r="E72" s="467" t="e">
        <f aca="false">E69+E70+E71</f>
        <v>#VALUE!</v>
      </c>
      <c r="F72" s="467" t="e">
        <f aca="false">F69+F70+F71</f>
        <v>#VALUE!</v>
      </c>
      <c r="G72" s="467" t="e">
        <f aca="false">G69+G70+G71</f>
        <v>#VALUE!</v>
      </c>
      <c r="H72" s="467" t="e">
        <f aca="false">H69+H70+H71</f>
        <v>#VALUE!</v>
      </c>
      <c r="I72" s="467" t="e">
        <f aca="false">I69+I70+I71</f>
        <v>#VALUE!</v>
      </c>
      <c r="J72" s="467" t="e">
        <f aca="false">J69+J70+J71</f>
        <v>#VALUE!</v>
      </c>
      <c r="K72" s="467" t="e">
        <f aca="false">K69+K70+K71</f>
        <v>#VALUE!</v>
      </c>
      <c r="L72" s="467" t="e">
        <f aca="false">L69+L70+L71</f>
        <v>#VALUE!</v>
      </c>
      <c r="M72" s="439"/>
      <c r="N72" s="439"/>
      <c r="O72" s="439"/>
    </row>
    <row r="73" customFormat="false" ht="15" hidden="false" customHeight="true" outlineLevel="0" collapsed="false">
      <c r="A73" s="439"/>
      <c r="B73" s="439"/>
      <c r="C73" s="439"/>
      <c r="D73" s="439"/>
      <c r="E73" s="439"/>
      <c r="F73" s="439"/>
      <c r="G73" s="439"/>
      <c r="H73" s="439"/>
      <c r="I73" s="439"/>
      <c r="J73" s="439"/>
      <c r="K73" s="439"/>
      <c r="L73" s="439"/>
      <c r="M73" s="439"/>
      <c r="N73" s="439"/>
      <c r="O73" s="439"/>
    </row>
    <row r="74" customFormat="false" ht="15" hidden="false" customHeight="true" outlineLevel="0" collapsed="false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</row>
    <row r="75" customFormat="false" ht="15" hidden="false" customHeight="true" outlineLevel="0" collapsed="false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</row>
    <row r="76" customFormat="false" ht="15" hidden="false" customHeight="true" outlineLevel="0" collapsed="false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</row>
    <row r="77" customFormat="false" ht="15" hidden="false" customHeight="true" outlineLevel="0" collapsed="false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</row>
    <row r="78" customFormat="false" ht="15" hidden="false" customHeight="true" outlineLevel="0" collapsed="false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</row>
    <row r="79" customFormat="false" ht="15" hidden="false" customHeight="true" outlineLevel="0" collapsed="false">
      <c r="A79" s="439"/>
      <c r="B79" s="439"/>
      <c r="C79" s="439"/>
      <c r="D79" s="439"/>
      <c r="E79" s="439"/>
      <c r="F79" s="439"/>
      <c r="G79" s="439"/>
      <c r="H79" s="439"/>
      <c r="I79" s="439"/>
      <c r="J79" s="439"/>
      <c r="K79" s="439"/>
      <c r="L79" s="439"/>
      <c r="M79" s="439"/>
      <c r="N79" s="439"/>
      <c r="O79" s="439"/>
    </row>
  </sheetData>
  <mergeCells count="9">
    <mergeCell ref="A1:F1"/>
    <mergeCell ref="A2:F2"/>
    <mergeCell ref="A16:N16"/>
    <mergeCell ref="A28:N28"/>
    <mergeCell ref="A31:N31"/>
    <mergeCell ref="A40:N40"/>
    <mergeCell ref="A49:N49"/>
    <mergeCell ref="A58:N58"/>
    <mergeCell ref="A67:N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S10" activeCellId="0" sqref="S10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0.14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1" min="10" style="0" width="13"/>
    <col collapsed="false" customWidth="true" hidden="false" outlineLevel="0" max="13" min="12" style="0" width="11"/>
    <col collapsed="false" customWidth="true" hidden="false" outlineLevel="0" max="14" min="14" style="0" width="13"/>
    <col collapsed="false" customWidth="true" hidden="false" outlineLevel="0" max="15" min="15" style="0" width="26"/>
    <col collapsed="false" customWidth="true" hidden="false" outlineLevel="0" max="16" min="16" style="0" width="2.42"/>
    <col collapsed="false" customWidth="true" hidden="false" outlineLevel="0" max="17" min="17" style="0" width="11"/>
    <col collapsed="false" customWidth="true" hidden="false" outlineLevel="0" max="18" min="18" style="0" width="24"/>
    <col collapsed="false" customWidth="true" hidden="false" outlineLevel="0" max="19" min="19" style="0" width="10"/>
    <col collapsed="false" customWidth="true" hidden="false" outlineLevel="0" max="20" min="20" style="0" width="9"/>
    <col collapsed="false" customWidth="true" hidden="false" outlineLevel="0" max="21" min="21" style="0" width="11"/>
    <col collapsed="false" customWidth="true" hidden="false" outlineLevel="0" max="22" min="22" style="0" width="15"/>
    <col collapsed="false" customWidth="true" hidden="false" outlineLevel="0" max="23" min="23" style="0" width="9"/>
    <col collapsed="false" customWidth="true" hidden="false" outlineLevel="0" max="26" min="24" style="0" width="13"/>
    <col collapsed="false" customWidth="true" hidden="false" outlineLevel="0" max="27" min="27" style="0" width="11"/>
    <col collapsed="false" customWidth="true" hidden="false" outlineLevel="0" max="28" min="28" style="0" width="9"/>
    <col collapsed="false" customWidth="true" hidden="false" outlineLevel="0" max="29" min="29" style="0" width="14"/>
    <col collapsed="false" customWidth="true" hidden="false" outlineLevel="0" max="30" min="30" style="0" width="28"/>
    <col collapsed="false" customWidth="true" hidden="false" outlineLevel="0" max="31" min="31" style="0" width="2.42"/>
    <col collapsed="false" customWidth="true" hidden="false" outlineLevel="0" max="32" min="32" style="0" width="26"/>
    <col collapsed="false" customWidth="true" hidden="false" outlineLevel="0" max="37" min="33" style="0" width="15"/>
  </cols>
  <sheetData>
    <row r="1" customFormat="false" ht="19.5" hidden="false" customHeight="true" outlineLevel="0" collapsed="false">
      <c r="A1" s="525" t="str">
        <f aca="false">IF('Prop Info'!B4="","  RENTAL COMPS  —  MARKET STUDY &amp; TARGET RENT ANALYSIS","  RENTAL COMPS  —  MARKET STUDY &amp; TARGET RENT ANALYSIS"&amp;" — "&amp;'Prop Info'!B4)</f>
        <v>  RENTAL COMPS  —  MARKET STUDY &amp; TARGET RENT ANALYSIS</v>
      </c>
      <c r="B1" s="525"/>
      <c r="C1" s="525"/>
      <c r="D1" s="525"/>
      <c r="E1" s="525"/>
      <c r="F1" s="525"/>
      <c r="G1" s="525"/>
      <c r="H1" s="525"/>
      <c r="I1" s="525"/>
      <c r="J1" s="525"/>
      <c r="K1" s="525"/>
      <c r="L1" s="525"/>
      <c r="M1" s="525"/>
      <c r="N1" s="525"/>
      <c r="O1" s="525"/>
      <c r="Q1" s="525" t="s">
        <v>1714</v>
      </c>
      <c r="R1" s="525"/>
      <c r="S1" s="525"/>
      <c r="T1" s="525"/>
      <c r="U1" s="525"/>
      <c r="V1" s="525"/>
      <c r="W1" s="525"/>
      <c r="X1" s="525"/>
      <c r="Y1" s="525"/>
      <c r="Z1" s="525"/>
      <c r="AA1" s="525"/>
      <c r="AB1" s="525"/>
      <c r="AC1" s="525"/>
      <c r="AD1" s="525"/>
      <c r="AF1" s="525" t="s">
        <v>1715</v>
      </c>
      <c r="AG1" s="525"/>
      <c r="AH1" s="525"/>
      <c r="AI1" s="525"/>
      <c r="AJ1" s="525"/>
      <c r="AK1" s="525"/>
    </row>
    <row r="2" customFormat="false" ht="27.75" hidden="false" customHeight="true" outlineLevel="0" collapsed="false">
      <c r="A2" s="526" t="s">
        <v>1716</v>
      </c>
      <c r="B2" s="526"/>
      <c r="C2" s="526"/>
      <c r="D2" s="526"/>
      <c r="E2" s="526"/>
      <c r="F2" s="526"/>
      <c r="G2" s="526"/>
      <c r="H2" s="526"/>
      <c r="I2" s="526"/>
      <c r="J2" s="526"/>
      <c r="K2" s="526"/>
      <c r="L2" s="526"/>
      <c r="M2" s="526"/>
      <c r="N2" s="526"/>
      <c r="O2" s="526"/>
      <c r="Q2" s="526" t="s">
        <v>1717</v>
      </c>
      <c r="R2" s="526"/>
      <c r="S2" s="526"/>
      <c r="T2" s="526"/>
      <c r="U2" s="526"/>
      <c r="V2" s="526"/>
      <c r="W2" s="526"/>
      <c r="X2" s="526"/>
      <c r="Y2" s="526"/>
      <c r="Z2" s="526"/>
      <c r="AA2" s="526"/>
      <c r="AB2" s="526"/>
      <c r="AC2" s="526"/>
      <c r="AD2" s="526"/>
      <c r="AF2" s="526" t="s">
        <v>1718</v>
      </c>
      <c r="AG2" s="526"/>
      <c r="AH2" s="526"/>
      <c r="AI2" s="526"/>
      <c r="AJ2" s="526"/>
      <c r="AK2" s="526"/>
    </row>
    <row r="4" customFormat="false" ht="15" hidden="false" customHeight="true" outlineLevel="0" collapsed="false">
      <c r="A4" s="527" t="s">
        <v>1719</v>
      </c>
      <c r="B4" s="527"/>
      <c r="C4" s="527"/>
      <c r="D4" s="527"/>
      <c r="E4" s="527"/>
      <c r="F4" s="527"/>
      <c r="G4" s="527"/>
      <c r="H4" s="527"/>
      <c r="I4" s="527"/>
      <c r="J4" s="527"/>
      <c r="K4" s="527"/>
      <c r="L4" s="527"/>
      <c r="M4" s="527"/>
      <c r="N4" s="527"/>
      <c r="O4" s="527"/>
      <c r="Q4" s="528" t="s">
        <v>1720</v>
      </c>
      <c r="R4" s="528"/>
      <c r="S4" s="528"/>
      <c r="T4" s="528"/>
      <c r="U4" s="528"/>
      <c r="V4" s="528"/>
      <c r="W4" s="528"/>
      <c r="X4" s="528"/>
      <c r="Y4" s="528"/>
      <c r="Z4" s="528"/>
      <c r="AA4" s="528"/>
      <c r="AB4" s="528"/>
      <c r="AC4" s="528"/>
      <c r="AD4" s="528"/>
      <c r="AF4" s="528" t="s">
        <v>1721</v>
      </c>
      <c r="AG4" s="528"/>
      <c r="AH4" s="528"/>
      <c r="AI4" s="528"/>
      <c r="AJ4" s="528"/>
      <c r="AK4" s="528"/>
    </row>
    <row r="5" customFormat="false" ht="25.5" hidden="false" customHeight="true" outlineLevel="0" collapsed="false">
      <c r="A5" s="403" t="s">
        <v>1722</v>
      </c>
      <c r="B5" s="403"/>
      <c r="C5" s="403"/>
      <c r="D5" s="403"/>
      <c r="E5" s="403" t="s">
        <v>1723</v>
      </c>
      <c r="F5" s="403"/>
      <c r="G5" s="403"/>
      <c r="H5" s="403"/>
      <c r="I5" s="403" t="s">
        <v>1724</v>
      </c>
      <c r="J5" s="403"/>
      <c r="K5" s="403"/>
      <c r="L5" s="403"/>
      <c r="M5" s="403"/>
      <c r="N5" s="403"/>
      <c r="O5" s="403"/>
      <c r="Q5" s="529" t="s">
        <v>1725</v>
      </c>
      <c r="R5" s="529"/>
      <c r="S5" s="529"/>
      <c r="T5" s="529"/>
      <c r="U5" s="529"/>
      <c r="V5" s="529"/>
      <c r="W5" s="529" t="s">
        <v>1726</v>
      </c>
      <c r="X5" s="529"/>
      <c r="Y5" s="529"/>
      <c r="Z5" s="529"/>
      <c r="AA5" s="529"/>
      <c r="AB5" s="529"/>
      <c r="AC5" s="529" t="s">
        <v>1727</v>
      </c>
      <c r="AD5" s="529"/>
      <c r="AF5" s="530" t="s">
        <v>547</v>
      </c>
      <c r="AG5" s="531" t="str">
        <f aca="false">IF(R8="","Comp 1",R8)</f>
        <v>Comp 1</v>
      </c>
      <c r="AH5" s="531" t="str">
        <f aca="false">IF(R9="","Comp 2",R9)</f>
        <v>Comp 2</v>
      </c>
      <c r="AI5" s="531" t="str">
        <f aca="false">IF(R10="","Comp 3",R10)</f>
        <v>Comp 3</v>
      </c>
      <c r="AJ5" s="531" t="str">
        <f aca="false">IF(R11="","Comp 4",R11)</f>
        <v>Comp 4</v>
      </c>
      <c r="AK5" s="531" t="str">
        <f aca="false">IF(R12="","Comp 5",R12)</f>
        <v>Comp 5</v>
      </c>
    </row>
    <row r="6" customFormat="false" ht="24" hidden="false" customHeight="true" outlineLevel="0" collapsed="false">
      <c r="A6" s="406" t="s">
        <v>1227</v>
      </c>
      <c r="B6" s="406" t="s">
        <v>1336</v>
      </c>
      <c r="C6" s="406" t="s">
        <v>369</v>
      </c>
      <c r="D6" s="406" t="s">
        <v>1728</v>
      </c>
      <c r="E6" s="406" t="s">
        <v>1729</v>
      </c>
      <c r="F6" s="406" t="s">
        <v>1730</v>
      </c>
      <c r="G6" s="406" t="s">
        <v>1731</v>
      </c>
      <c r="H6" s="406" t="s">
        <v>1732</v>
      </c>
      <c r="I6" s="406" t="s">
        <v>1733</v>
      </c>
      <c r="J6" s="406" t="s">
        <v>1734</v>
      </c>
      <c r="K6" s="406" t="s">
        <v>1735</v>
      </c>
      <c r="L6" s="406" t="s">
        <v>1736</v>
      </c>
      <c r="M6" s="406" t="s">
        <v>1737</v>
      </c>
      <c r="N6" s="406" t="s">
        <v>1738</v>
      </c>
      <c r="O6" s="406" t="s">
        <v>1739</v>
      </c>
      <c r="Q6" s="406" t="s">
        <v>1740</v>
      </c>
      <c r="R6" s="406" t="s">
        <v>1741</v>
      </c>
      <c r="S6" s="406" t="s">
        <v>1742</v>
      </c>
      <c r="T6" s="406" t="s">
        <v>1743</v>
      </c>
      <c r="U6" s="406" t="s">
        <v>1744</v>
      </c>
      <c r="V6" s="406" t="s">
        <v>1227</v>
      </c>
      <c r="W6" s="406" t="s">
        <v>1336</v>
      </c>
      <c r="X6" s="406" t="s">
        <v>1745</v>
      </c>
      <c r="Y6" s="406" t="s">
        <v>360</v>
      </c>
      <c r="Z6" s="406" t="s">
        <v>1746</v>
      </c>
      <c r="AA6" s="406" t="s">
        <v>1747</v>
      </c>
      <c r="AB6" s="406" t="s">
        <v>1748</v>
      </c>
      <c r="AC6" s="406" t="s">
        <v>1749</v>
      </c>
      <c r="AD6" s="406" t="s">
        <v>1750</v>
      </c>
      <c r="AF6" s="532" t="s">
        <v>1751</v>
      </c>
      <c r="AG6" s="533"/>
      <c r="AH6" s="533"/>
      <c r="AI6" s="533"/>
      <c r="AJ6" s="533"/>
      <c r="AK6" s="533"/>
    </row>
    <row r="7" customFormat="false" ht="15" hidden="false" customHeight="true" outlineLevel="0" collapsed="false">
      <c r="A7" s="534"/>
      <c r="B7" s="535" t="n">
        <f aca="false">IFERROR(AVERAGEIF('Rent Roll Analysis'!$C$273:$C$1772,$A7,'Rent Roll Analysis'!$D$273:$D$1772),0)</f>
        <v>0</v>
      </c>
      <c r="C7" s="535" t="n">
        <f aca="false">COUNTIF('Rent Roll Analysis'!$C$273:$C$1772,$A7)</f>
        <v>0</v>
      </c>
      <c r="D7" s="394" t="n">
        <f aca="false">IFERROR(C7/$C$17,0)</f>
        <v>0</v>
      </c>
      <c r="E7" s="536" t="n">
        <f aca="false">IFERROR(AVERAGEIFS('Rent Roll Analysis'!$N$273:$N$1772,'Rent Roll Analysis'!$C$273:$C$1772,$A7,'Rent Roll Analysis'!$E$273:$E$1772,"Occupied*"),0)</f>
        <v>0</v>
      </c>
      <c r="F7" s="536" t="n">
        <f aca="false">IFERROR(AVERAGEIFS('Rent Roll Analysis'!$L$273:$L$1772,'Rent Roll Analysis'!$C$273:$C$1772,$A7,'Rent Roll Analysis'!$L$273:$L$1772,"&gt;0"),0)</f>
        <v>0</v>
      </c>
      <c r="G7" s="410" t="n">
        <f aca="false">E7*C7</f>
        <v>0</v>
      </c>
      <c r="H7" s="411" t="n">
        <f aca="false">IFERROR(E7/B7,0)</f>
        <v>0</v>
      </c>
      <c r="I7" s="411" t="n">
        <f aca="false">IFERROR(AVERAGEIFS($AA$8:$AA$22,$V$8:$V$22,LEFT($A7,1)&amp;"*"),0)</f>
        <v>0</v>
      </c>
      <c r="J7" s="410" t="n">
        <f aca="false">IFERROR(I7*B7,0)</f>
        <v>0</v>
      </c>
      <c r="K7" s="537" t="n">
        <f aca="false">IF(J7&gt;0,J7,0)</f>
        <v>0</v>
      </c>
      <c r="L7" s="538" t="str">
        <f aca="false">IF(K7=0,"",IFERROR(K7/E7-1,""))</f>
        <v/>
      </c>
      <c r="M7" s="410" t="str">
        <f aca="false">IF(K7=0,"",IFERROR(K7-E7,""))</f>
        <v/>
      </c>
      <c r="N7" s="410" t="n">
        <f aca="false">K7*C7</f>
        <v>0</v>
      </c>
      <c r="O7" s="539"/>
      <c r="Q7" s="540" t="s">
        <v>1752</v>
      </c>
      <c r="R7" s="541" t="n">
        <f aca="false">'Prop Info'!B4</f>
        <v>0</v>
      </c>
      <c r="S7" s="542" t="n">
        <f aca="false">'Prop Info'!B13</f>
        <v>0</v>
      </c>
      <c r="T7" s="543" t="n">
        <f aca="false">'Prop Info'!B9</f>
        <v>0</v>
      </c>
      <c r="U7" s="543" t="n">
        <f aca="false">'Prop Info'!B6</f>
        <v>0</v>
      </c>
      <c r="V7" s="540" t="s">
        <v>359</v>
      </c>
      <c r="W7" s="543" t="n">
        <f aca="false">IFERROR('Prop Info'!B11/'Prop Info'!B6,0)</f>
        <v>0</v>
      </c>
      <c r="X7" s="544" t="n">
        <f aca="false">IFERROR(AVERAGEIF('Rent Roll Analysis'!$L$273:$L$1772,"&gt;0"),0)</f>
        <v>0</v>
      </c>
      <c r="Y7" s="545" t="n">
        <v>0</v>
      </c>
      <c r="Z7" s="546" t="n">
        <f aca="false">IFERROR(X7*(1-Y7/52)+N(AC7),X7)</f>
        <v>0</v>
      </c>
      <c r="AA7" s="547" t="n">
        <f aca="false">IFERROR(Z7/W7,0)</f>
        <v>0</v>
      </c>
      <c r="AB7" s="548" t="n">
        <f aca="false">IFERROR(COUNTIF('Rent Roll Analysis'!$E$273:$E$1772,"Occupied*")/'Prop Info'!$B$6,0)</f>
        <v>0</v>
      </c>
      <c r="AC7" s="540"/>
      <c r="AD7" s="549" t="s">
        <v>1753</v>
      </c>
      <c r="AF7" s="550" t="s">
        <v>1754</v>
      </c>
      <c r="AG7" s="533"/>
      <c r="AH7" s="533"/>
      <c r="AI7" s="533"/>
      <c r="AJ7" s="533"/>
      <c r="AK7" s="533"/>
    </row>
    <row r="8" customFormat="false" ht="15" hidden="false" customHeight="true" outlineLevel="0" collapsed="false">
      <c r="A8" s="534"/>
      <c r="B8" s="551" t="n">
        <f aca="false">IFERROR(AVERAGEIF('Rent Roll Analysis'!$C$273:$C$1772,$A8,'Rent Roll Analysis'!$D$273:$D$1772),0)</f>
        <v>0</v>
      </c>
      <c r="C8" s="551" t="n">
        <f aca="false">COUNTIF('Rent Roll Analysis'!$C$273:$C$1772,$A8)</f>
        <v>0</v>
      </c>
      <c r="D8" s="417" t="n">
        <f aca="false">IFERROR(C8/$C$17,0)</f>
        <v>0</v>
      </c>
      <c r="E8" s="552" t="n">
        <f aca="false">IFERROR(AVERAGEIFS('Rent Roll Analysis'!$N$273:$N$1772,'Rent Roll Analysis'!$C$273:$C$1772,$A8,'Rent Roll Analysis'!$E$273:$E$1772,"Occupied*"),0)</f>
        <v>0</v>
      </c>
      <c r="F8" s="552" t="n">
        <f aca="false">IFERROR(AVERAGEIFS('Rent Roll Analysis'!$L$273:$L$1772,'Rent Roll Analysis'!$C$273:$C$1772,$A8,'Rent Roll Analysis'!$L$273:$L$1772,"&gt;0"),0)</f>
        <v>0</v>
      </c>
      <c r="G8" s="418" t="n">
        <f aca="false">E8*C8</f>
        <v>0</v>
      </c>
      <c r="H8" s="419" t="n">
        <f aca="false">IFERROR(E8/B8,0)</f>
        <v>0</v>
      </c>
      <c r="I8" s="419" t="n">
        <f aca="false">IFERROR(AVERAGEIFS($AA$8:$AA$22,$V$8:$V$22,LEFT($A8,1)&amp;"*"),0)</f>
        <v>0</v>
      </c>
      <c r="J8" s="418" t="n">
        <f aca="false">IFERROR(I8*B8,0)</f>
        <v>0</v>
      </c>
      <c r="K8" s="537" t="n">
        <f aca="false">IF(J8&gt;0,J8,0)</f>
        <v>0</v>
      </c>
      <c r="L8" s="553" t="str">
        <f aca="false">IF(K8=0,"",IFERROR(K8/E8-1,""))</f>
        <v/>
      </c>
      <c r="M8" s="418" t="str">
        <f aca="false">IF(K8=0,"",IFERROR(K8-E8,""))</f>
        <v/>
      </c>
      <c r="N8" s="418" t="n">
        <f aca="false">K8*C8</f>
        <v>0</v>
      </c>
      <c r="O8" s="539"/>
      <c r="Q8" s="554"/>
      <c r="R8" s="539"/>
      <c r="S8" s="533"/>
      <c r="T8" s="555"/>
      <c r="U8" s="555"/>
      <c r="V8" s="539"/>
      <c r="W8" s="555"/>
      <c r="X8" s="556"/>
      <c r="Y8" s="554" t="n">
        <v>0</v>
      </c>
      <c r="Z8" s="418" t="n">
        <f aca="false">IFERROR(X8*(1-Y8/52)+N(AC8),X8)</f>
        <v>0</v>
      </c>
      <c r="AA8" s="419" t="n">
        <f aca="false">IFERROR(Z8/W8,0)</f>
        <v>0</v>
      </c>
      <c r="AB8" s="557"/>
      <c r="AC8" s="556"/>
      <c r="AD8" s="539"/>
      <c r="AF8" s="532" t="s">
        <v>1755</v>
      </c>
      <c r="AG8" s="533"/>
      <c r="AH8" s="533"/>
      <c r="AI8" s="533"/>
      <c r="AJ8" s="533"/>
      <c r="AK8" s="533"/>
    </row>
    <row r="9" customFormat="false" ht="15" hidden="false" customHeight="true" outlineLevel="0" collapsed="false">
      <c r="A9" s="534"/>
      <c r="B9" s="535" t="n">
        <f aca="false">IFERROR(AVERAGEIF('Rent Roll Analysis'!$C$273:$C$1772,$A9,'Rent Roll Analysis'!$D$273:$D$1772),0)</f>
        <v>0</v>
      </c>
      <c r="C9" s="535" t="n">
        <f aca="false">COUNTIF('Rent Roll Analysis'!$C$273:$C$1772,$A9)</f>
        <v>0</v>
      </c>
      <c r="D9" s="394" t="n">
        <f aca="false">IFERROR(C9/$C$17,0)</f>
        <v>0</v>
      </c>
      <c r="E9" s="536" t="n">
        <f aca="false">IFERROR(AVERAGEIFS('Rent Roll Analysis'!$N$273:$N$1772,'Rent Roll Analysis'!$C$273:$C$1772,$A9,'Rent Roll Analysis'!$E$273:$E$1772,"Occupied*"),0)</f>
        <v>0</v>
      </c>
      <c r="F9" s="536" t="n">
        <f aca="false">IFERROR(AVERAGEIFS('Rent Roll Analysis'!$L$273:$L$1772,'Rent Roll Analysis'!$C$273:$C$1772,$A9,'Rent Roll Analysis'!$L$273:$L$1772,"&gt;0"),0)</f>
        <v>0</v>
      </c>
      <c r="G9" s="410" t="n">
        <f aca="false">E9*C9</f>
        <v>0</v>
      </c>
      <c r="H9" s="411" t="n">
        <f aca="false">IFERROR(E9/B9,0)</f>
        <v>0</v>
      </c>
      <c r="I9" s="411" t="n">
        <f aca="false">IFERROR(AVERAGEIFS($AA$8:$AA$22,$V$8:$V$22,LEFT($A9,1)&amp;"*"),0)</f>
        <v>0</v>
      </c>
      <c r="J9" s="410" t="n">
        <f aca="false">IFERROR(I9*B9,0)</f>
        <v>0</v>
      </c>
      <c r="K9" s="537" t="n">
        <f aca="false">IF(J9&gt;0,J9,0)</f>
        <v>0</v>
      </c>
      <c r="L9" s="538" t="str">
        <f aca="false">IF(K9=0,"",IFERROR(K9/E9-1,""))</f>
        <v/>
      </c>
      <c r="M9" s="410" t="str">
        <f aca="false">IF(K9=0,"",IFERROR(K9-E9,""))</f>
        <v/>
      </c>
      <c r="N9" s="410" t="n">
        <f aca="false">K9*C9</f>
        <v>0</v>
      </c>
      <c r="O9" s="539"/>
      <c r="Q9" s="554"/>
      <c r="R9" s="539"/>
      <c r="S9" s="533"/>
      <c r="T9" s="555"/>
      <c r="U9" s="555"/>
      <c r="V9" s="539"/>
      <c r="W9" s="555"/>
      <c r="X9" s="556"/>
      <c r="Y9" s="554" t="n">
        <v>0</v>
      </c>
      <c r="Z9" s="410" t="n">
        <f aca="false">IFERROR(X9*(1-Y9/52)+N(AC9),X9)</f>
        <v>0</v>
      </c>
      <c r="AA9" s="411" t="n">
        <f aca="false">IFERROR(Z9/W9,0)</f>
        <v>0</v>
      </c>
      <c r="AB9" s="557"/>
      <c r="AC9" s="556"/>
      <c r="AD9" s="539"/>
      <c r="AF9" s="550" t="s">
        <v>1756</v>
      </c>
      <c r="AG9" s="533"/>
      <c r="AH9" s="533"/>
      <c r="AI9" s="533"/>
      <c r="AJ9" s="533"/>
      <c r="AK9" s="533"/>
    </row>
    <row r="10" customFormat="false" ht="15" hidden="false" customHeight="true" outlineLevel="0" collapsed="false">
      <c r="A10" s="534"/>
      <c r="B10" s="551" t="n">
        <f aca="false">IFERROR(AVERAGEIF('Rent Roll Analysis'!$C$273:$C$1772,$A10,'Rent Roll Analysis'!$D$273:$D$1772),0)</f>
        <v>0</v>
      </c>
      <c r="C10" s="551" t="n">
        <f aca="false">COUNTIF('Rent Roll Analysis'!$C$273:$C$1772,$A10)</f>
        <v>0</v>
      </c>
      <c r="D10" s="417" t="n">
        <f aca="false">IFERROR(C10/$C$17,0)</f>
        <v>0</v>
      </c>
      <c r="E10" s="552" t="n">
        <f aca="false">IFERROR(AVERAGEIFS('Rent Roll Analysis'!$N$273:$N$1772,'Rent Roll Analysis'!$C$273:$C$1772,$A10,'Rent Roll Analysis'!$E$273:$E$1772,"Occupied*"),0)</f>
        <v>0</v>
      </c>
      <c r="F10" s="552" t="n">
        <f aca="false">IFERROR(AVERAGEIFS('Rent Roll Analysis'!$L$273:$L$1772,'Rent Roll Analysis'!$C$273:$C$1772,$A10,'Rent Roll Analysis'!$L$273:$L$1772,"&gt;0"),0)</f>
        <v>0</v>
      </c>
      <c r="G10" s="418" t="n">
        <f aca="false">E10*C10</f>
        <v>0</v>
      </c>
      <c r="H10" s="419" t="n">
        <f aca="false">IFERROR(E10/B10,0)</f>
        <v>0</v>
      </c>
      <c r="I10" s="419" t="n">
        <f aca="false">IFERROR(AVERAGEIFS($AA$8:$AA$22,$V$8:$V$22,LEFT($A10,1)&amp;"*"),0)</f>
        <v>0</v>
      </c>
      <c r="J10" s="418" t="n">
        <f aca="false">IFERROR(I10*B10,0)</f>
        <v>0</v>
      </c>
      <c r="K10" s="537" t="n">
        <f aca="false">IF(J10&gt;0,J10,0)</f>
        <v>0</v>
      </c>
      <c r="L10" s="553" t="str">
        <f aca="false">IF(K10=0,"",IFERROR(K10/E10-1,""))</f>
        <v/>
      </c>
      <c r="M10" s="418" t="str">
        <f aca="false">IF(K10=0,"",IFERROR(K10-E10,""))</f>
        <v/>
      </c>
      <c r="N10" s="418" t="n">
        <f aca="false">K10*C10</f>
        <v>0</v>
      </c>
      <c r="O10" s="539"/>
      <c r="Q10" s="554"/>
      <c r="R10" s="539"/>
      <c r="S10" s="533"/>
      <c r="T10" s="555"/>
      <c r="U10" s="555"/>
      <c r="V10" s="539"/>
      <c r="W10" s="555"/>
      <c r="X10" s="556"/>
      <c r="Y10" s="554" t="n">
        <v>0</v>
      </c>
      <c r="Z10" s="418" t="n">
        <f aca="false">IFERROR(X10*(1-Y10/52)+N(AC10),X10)</f>
        <v>0</v>
      </c>
      <c r="AA10" s="419" t="n">
        <f aca="false">IFERROR(Z10/W10,0)</f>
        <v>0</v>
      </c>
      <c r="AB10" s="557"/>
      <c r="AC10" s="556"/>
      <c r="AD10" s="539"/>
      <c r="AF10" s="532" t="s">
        <v>1757</v>
      </c>
      <c r="AG10" s="533"/>
      <c r="AH10" s="533"/>
      <c r="AI10" s="533"/>
      <c r="AJ10" s="533"/>
      <c r="AK10" s="533"/>
    </row>
    <row r="11" customFormat="false" ht="15" hidden="false" customHeight="true" outlineLevel="0" collapsed="false">
      <c r="A11" s="534"/>
      <c r="B11" s="535" t="n">
        <f aca="false">IFERROR(AVERAGEIF('Rent Roll Analysis'!$C$273:$C$1772,$A11,'Rent Roll Analysis'!$D$273:$D$1772),0)</f>
        <v>0</v>
      </c>
      <c r="C11" s="535" t="n">
        <f aca="false">COUNTIF('Rent Roll Analysis'!$C$273:$C$1772,$A11)</f>
        <v>0</v>
      </c>
      <c r="D11" s="394" t="n">
        <f aca="false">IFERROR(C11/$C$17,0)</f>
        <v>0</v>
      </c>
      <c r="E11" s="536" t="n">
        <f aca="false">IFERROR(AVERAGEIFS('Rent Roll Analysis'!$N$273:$N$1772,'Rent Roll Analysis'!$C$273:$C$1772,$A11,'Rent Roll Analysis'!$E$273:$E$1772,"Occupied*"),0)</f>
        <v>0</v>
      </c>
      <c r="F11" s="536" t="n">
        <f aca="false">IFERROR(AVERAGEIFS('Rent Roll Analysis'!$L$273:$L$1772,'Rent Roll Analysis'!$C$273:$C$1772,$A11,'Rent Roll Analysis'!$L$273:$L$1772,"&gt;0"),0)</f>
        <v>0</v>
      </c>
      <c r="G11" s="410" t="n">
        <f aca="false">E11*C11</f>
        <v>0</v>
      </c>
      <c r="H11" s="411" t="n">
        <f aca="false">IFERROR(E11/B11,0)</f>
        <v>0</v>
      </c>
      <c r="I11" s="411" t="n">
        <f aca="false">IFERROR(AVERAGEIFS($AA$8:$AA$22,$V$8:$V$22,LEFT($A11,1)&amp;"*"),0)</f>
        <v>0</v>
      </c>
      <c r="J11" s="410" t="n">
        <f aca="false">IFERROR(I11*B11,0)</f>
        <v>0</v>
      </c>
      <c r="K11" s="537" t="n">
        <f aca="false">IF(J11&gt;0,J11,0)</f>
        <v>0</v>
      </c>
      <c r="L11" s="538" t="str">
        <f aca="false">IF(K11=0,"",IFERROR(K11/E11-1,""))</f>
        <v/>
      </c>
      <c r="M11" s="410" t="str">
        <f aca="false">IF(K11=0,"",IFERROR(K11-E11,""))</f>
        <v/>
      </c>
      <c r="N11" s="410" t="n">
        <f aca="false">K11*C11</f>
        <v>0</v>
      </c>
      <c r="O11" s="539"/>
      <c r="Q11" s="554"/>
      <c r="R11" s="539"/>
      <c r="S11" s="533"/>
      <c r="T11" s="555"/>
      <c r="U11" s="555"/>
      <c r="V11" s="539"/>
      <c r="W11" s="555"/>
      <c r="X11" s="556"/>
      <c r="Y11" s="554" t="n">
        <v>0</v>
      </c>
      <c r="Z11" s="410" t="n">
        <f aca="false">IFERROR(X11*(1-Y11/52)+N(AC11),X11)</f>
        <v>0</v>
      </c>
      <c r="AA11" s="411" t="n">
        <f aca="false">IFERROR(Z11/W11,0)</f>
        <v>0</v>
      </c>
      <c r="AB11" s="557"/>
      <c r="AC11" s="556"/>
      <c r="AD11" s="539"/>
      <c r="AF11" s="550" t="s">
        <v>1758</v>
      </c>
      <c r="AG11" s="533"/>
      <c r="AH11" s="533"/>
      <c r="AI11" s="533"/>
      <c r="AJ11" s="533"/>
      <c r="AK11" s="533"/>
    </row>
    <row r="12" customFormat="false" ht="15" hidden="false" customHeight="true" outlineLevel="0" collapsed="false">
      <c r="A12" s="534"/>
      <c r="B12" s="551" t="n">
        <f aca="false">IFERROR(AVERAGEIF('Rent Roll Analysis'!$C$273:$C$1772,$A12,'Rent Roll Analysis'!$D$273:$D$1772),0)</f>
        <v>0</v>
      </c>
      <c r="C12" s="551" t="n">
        <f aca="false">COUNTIF('Rent Roll Analysis'!$C$273:$C$1772,$A12)</f>
        <v>0</v>
      </c>
      <c r="D12" s="417" t="n">
        <f aca="false">IFERROR(C12/$C$17,0)</f>
        <v>0</v>
      </c>
      <c r="E12" s="552" t="n">
        <f aca="false">IFERROR(AVERAGEIFS('Rent Roll Analysis'!$N$273:$N$1772,'Rent Roll Analysis'!$C$273:$C$1772,$A12,'Rent Roll Analysis'!$E$273:$E$1772,"Occupied*"),0)</f>
        <v>0</v>
      </c>
      <c r="F12" s="552" t="n">
        <f aca="false">IFERROR(AVERAGEIFS('Rent Roll Analysis'!$L$273:$L$1772,'Rent Roll Analysis'!$C$273:$C$1772,$A12,'Rent Roll Analysis'!$L$273:$L$1772,"&gt;0"),0)</f>
        <v>0</v>
      </c>
      <c r="G12" s="418" t="n">
        <f aca="false">E12*C12</f>
        <v>0</v>
      </c>
      <c r="H12" s="419" t="n">
        <f aca="false">IFERROR(E12/B12,0)</f>
        <v>0</v>
      </c>
      <c r="I12" s="419" t="n">
        <f aca="false">IFERROR(AVERAGEIFS($AA$8:$AA$22,$V$8:$V$22,LEFT($A12,1)&amp;"*"),0)</f>
        <v>0</v>
      </c>
      <c r="J12" s="418" t="n">
        <f aca="false">IFERROR(I12*B12,0)</f>
        <v>0</v>
      </c>
      <c r="K12" s="537" t="n">
        <f aca="false">IF(J12&gt;0,J12,0)</f>
        <v>0</v>
      </c>
      <c r="L12" s="553" t="str">
        <f aca="false">IF(K12=0,"",IFERROR(K12/E12-1,""))</f>
        <v/>
      </c>
      <c r="M12" s="418" t="str">
        <f aca="false">IF(K12=0,"",IFERROR(K12-E12,""))</f>
        <v/>
      </c>
      <c r="N12" s="418" t="n">
        <f aca="false">K12*C12</f>
        <v>0</v>
      </c>
      <c r="O12" s="539"/>
      <c r="Q12" s="554"/>
      <c r="R12" s="539"/>
      <c r="S12" s="533"/>
      <c r="T12" s="555"/>
      <c r="U12" s="555"/>
      <c r="V12" s="539"/>
      <c r="W12" s="555"/>
      <c r="X12" s="556"/>
      <c r="Y12" s="554" t="n">
        <v>0</v>
      </c>
      <c r="Z12" s="418" t="n">
        <f aca="false">IFERROR(X12*(1-Y12/52)+N(AC12),X12)</f>
        <v>0</v>
      </c>
      <c r="AA12" s="419" t="n">
        <f aca="false">IFERROR(Z12/W12,0)</f>
        <v>0</v>
      </c>
      <c r="AB12" s="557"/>
      <c r="AC12" s="556"/>
      <c r="AD12" s="539"/>
      <c r="AF12" s="532" t="s">
        <v>1759</v>
      </c>
      <c r="AG12" s="533"/>
      <c r="AH12" s="533"/>
      <c r="AI12" s="533"/>
      <c r="AJ12" s="533"/>
      <c r="AK12" s="533"/>
    </row>
    <row r="13" customFormat="false" ht="15" hidden="false" customHeight="true" outlineLevel="0" collapsed="false">
      <c r="A13" s="534"/>
      <c r="B13" s="535" t="n">
        <f aca="false">IFERROR(AVERAGEIF('Rent Roll Analysis'!$C$273:$C$1772,$A13,'Rent Roll Analysis'!$D$273:$D$1772),0)</f>
        <v>0</v>
      </c>
      <c r="C13" s="535" t="n">
        <f aca="false">COUNTIF('Rent Roll Analysis'!$C$273:$C$1772,$A13)</f>
        <v>0</v>
      </c>
      <c r="D13" s="394" t="n">
        <f aca="false">IFERROR(C13/$C$17,0)</f>
        <v>0</v>
      </c>
      <c r="E13" s="536" t="n">
        <f aca="false">IFERROR(AVERAGEIFS('Rent Roll Analysis'!$N$273:$N$1772,'Rent Roll Analysis'!$C$273:$C$1772,$A13,'Rent Roll Analysis'!$E$273:$E$1772,"Occupied*"),0)</f>
        <v>0</v>
      </c>
      <c r="F13" s="536" t="n">
        <f aca="false">IFERROR(AVERAGEIFS('Rent Roll Analysis'!$L$273:$L$1772,'Rent Roll Analysis'!$C$273:$C$1772,$A13,'Rent Roll Analysis'!$L$273:$L$1772,"&gt;0"),0)</f>
        <v>0</v>
      </c>
      <c r="G13" s="410" t="n">
        <f aca="false">E13*C13</f>
        <v>0</v>
      </c>
      <c r="H13" s="411" t="n">
        <f aca="false">IFERROR(E13/B13,0)</f>
        <v>0</v>
      </c>
      <c r="I13" s="411" t="n">
        <f aca="false">IFERROR(AVERAGEIFS($AA$8:$AA$22,$V$8:$V$22,LEFT($A13,1)&amp;"*"),0)</f>
        <v>0</v>
      </c>
      <c r="J13" s="410" t="n">
        <f aca="false">IFERROR(I13*B13,0)</f>
        <v>0</v>
      </c>
      <c r="K13" s="537" t="n">
        <f aca="false">IF(J13&gt;0,J13,0)</f>
        <v>0</v>
      </c>
      <c r="L13" s="538" t="str">
        <f aca="false">IF(K13=0,"",IFERROR(K13/E13-1,""))</f>
        <v/>
      </c>
      <c r="M13" s="410" t="str">
        <f aca="false">IF(K13=0,"",IFERROR(K13-E13,""))</f>
        <v/>
      </c>
      <c r="N13" s="410" t="n">
        <f aca="false">K13*C13</f>
        <v>0</v>
      </c>
      <c r="O13" s="539"/>
      <c r="Q13" s="554"/>
      <c r="R13" s="539"/>
      <c r="S13" s="533"/>
      <c r="T13" s="555"/>
      <c r="U13" s="555"/>
      <c r="V13" s="539"/>
      <c r="W13" s="555"/>
      <c r="X13" s="556"/>
      <c r="Y13" s="554" t="n">
        <v>0</v>
      </c>
      <c r="Z13" s="410" t="n">
        <f aca="false">IFERROR(X13*(1-Y13/52)+N(AC13),X13)</f>
        <v>0</v>
      </c>
      <c r="AA13" s="411" t="n">
        <f aca="false">IFERROR(Z13/W13,0)</f>
        <v>0</v>
      </c>
      <c r="AB13" s="557"/>
      <c r="AC13" s="556"/>
      <c r="AD13" s="539"/>
      <c r="AF13" s="550" t="s">
        <v>1760</v>
      </c>
      <c r="AG13" s="533"/>
      <c r="AH13" s="533"/>
      <c r="AI13" s="533"/>
      <c r="AJ13" s="533"/>
      <c r="AK13" s="533"/>
    </row>
    <row r="14" customFormat="false" ht="15" hidden="false" customHeight="true" outlineLevel="0" collapsed="false">
      <c r="A14" s="534"/>
      <c r="B14" s="551" t="n">
        <f aca="false">IFERROR(AVERAGEIF('Rent Roll Analysis'!$C$273:$C$1772,$A14,'Rent Roll Analysis'!$D$273:$D$1772),0)</f>
        <v>0</v>
      </c>
      <c r="C14" s="551" t="n">
        <f aca="false">COUNTIF('Rent Roll Analysis'!$C$273:$C$1772,$A14)</f>
        <v>0</v>
      </c>
      <c r="D14" s="417" t="n">
        <f aca="false">IFERROR(C14/$C$17,0)</f>
        <v>0</v>
      </c>
      <c r="E14" s="552" t="n">
        <f aca="false">IFERROR(AVERAGEIFS('Rent Roll Analysis'!$N$273:$N$1772,'Rent Roll Analysis'!$C$273:$C$1772,$A14,'Rent Roll Analysis'!$E$273:$E$1772,"Occupied*"),0)</f>
        <v>0</v>
      </c>
      <c r="F14" s="552" t="n">
        <f aca="false">IFERROR(AVERAGEIFS('Rent Roll Analysis'!$L$273:$L$1772,'Rent Roll Analysis'!$C$273:$C$1772,$A14,'Rent Roll Analysis'!$L$273:$L$1772,"&gt;0"),0)</f>
        <v>0</v>
      </c>
      <c r="G14" s="418" t="n">
        <f aca="false">E14*C14</f>
        <v>0</v>
      </c>
      <c r="H14" s="419" t="n">
        <f aca="false">IFERROR(E14/B14,0)</f>
        <v>0</v>
      </c>
      <c r="I14" s="419" t="n">
        <f aca="false">IFERROR(AVERAGEIFS($AA$8:$AA$22,$V$8:$V$22,LEFT($A14,1)&amp;"*"),0)</f>
        <v>0</v>
      </c>
      <c r="J14" s="418" t="n">
        <f aca="false">IFERROR(I14*B14,0)</f>
        <v>0</v>
      </c>
      <c r="K14" s="537" t="n">
        <f aca="false">IF(J14&gt;0,J14,0)</f>
        <v>0</v>
      </c>
      <c r="L14" s="553" t="str">
        <f aca="false">IF(K14=0,"",IFERROR(K14/E14-1,""))</f>
        <v/>
      </c>
      <c r="M14" s="418" t="str">
        <f aca="false">IF(K14=0,"",IFERROR(K14-E14,""))</f>
        <v/>
      </c>
      <c r="N14" s="418" t="n">
        <f aca="false">K14*C14</f>
        <v>0</v>
      </c>
      <c r="O14" s="539"/>
      <c r="Q14" s="554"/>
      <c r="R14" s="539"/>
      <c r="S14" s="533"/>
      <c r="T14" s="555"/>
      <c r="U14" s="555"/>
      <c r="V14" s="539"/>
      <c r="W14" s="555"/>
      <c r="X14" s="556"/>
      <c r="Y14" s="554" t="n">
        <v>0</v>
      </c>
      <c r="Z14" s="418" t="n">
        <f aca="false">IFERROR(X14*(1-Y14/52)+N(AC14),X14)</f>
        <v>0</v>
      </c>
      <c r="AA14" s="419" t="n">
        <f aca="false">IFERROR(Z14/W14,0)</f>
        <v>0</v>
      </c>
      <c r="AB14" s="557"/>
      <c r="AC14" s="556"/>
      <c r="AD14" s="539"/>
      <c r="AF14" s="532" t="s">
        <v>1761</v>
      </c>
      <c r="AG14" s="533"/>
      <c r="AH14" s="533"/>
      <c r="AI14" s="533"/>
      <c r="AJ14" s="533"/>
      <c r="AK14" s="533"/>
    </row>
    <row r="15" customFormat="false" ht="15" hidden="false" customHeight="true" outlineLevel="0" collapsed="false">
      <c r="A15" s="534"/>
      <c r="B15" s="535" t="n">
        <f aca="false">IFERROR(AVERAGEIF('Rent Roll Analysis'!$C$273:$C$1772,$A15,'Rent Roll Analysis'!$D$273:$D$1772),0)</f>
        <v>0</v>
      </c>
      <c r="C15" s="535" t="n">
        <f aca="false">COUNTIF('Rent Roll Analysis'!$C$273:$C$1772,$A15)</f>
        <v>0</v>
      </c>
      <c r="D15" s="394" t="n">
        <f aca="false">IFERROR(C15/$C$17,0)</f>
        <v>0</v>
      </c>
      <c r="E15" s="536" t="n">
        <f aca="false">IFERROR(AVERAGEIFS('Rent Roll Analysis'!$N$273:$N$1772,'Rent Roll Analysis'!$C$273:$C$1772,$A15,'Rent Roll Analysis'!$E$273:$E$1772,"Occupied*"),0)</f>
        <v>0</v>
      </c>
      <c r="F15" s="536" t="n">
        <f aca="false">IFERROR(AVERAGEIFS('Rent Roll Analysis'!$L$273:$L$1772,'Rent Roll Analysis'!$C$273:$C$1772,$A15,'Rent Roll Analysis'!$L$273:$L$1772,"&gt;0"),0)</f>
        <v>0</v>
      </c>
      <c r="G15" s="410" t="n">
        <f aca="false">E15*C15</f>
        <v>0</v>
      </c>
      <c r="H15" s="411" t="n">
        <f aca="false">IFERROR(E15/B15,0)</f>
        <v>0</v>
      </c>
      <c r="I15" s="411" t="n">
        <f aca="false">IFERROR(AVERAGEIFS($AA$8:$AA$22,$V$8:$V$22,LEFT($A15,1)&amp;"*"),0)</f>
        <v>0</v>
      </c>
      <c r="J15" s="410" t="n">
        <f aca="false">IFERROR(I15*B15,0)</f>
        <v>0</v>
      </c>
      <c r="K15" s="537" t="n">
        <f aca="false">IF(J15&gt;0,J15,0)</f>
        <v>0</v>
      </c>
      <c r="L15" s="538" t="str">
        <f aca="false">IF(K15=0,"",IFERROR(K15/E15-1,""))</f>
        <v/>
      </c>
      <c r="M15" s="410" t="str">
        <f aca="false">IF(K15=0,"",IFERROR(K15-E15,""))</f>
        <v/>
      </c>
      <c r="N15" s="410" t="n">
        <f aca="false">K15*C15</f>
        <v>0</v>
      </c>
      <c r="O15" s="539"/>
      <c r="Q15" s="554"/>
      <c r="R15" s="539"/>
      <c r="S15" s="533"/>
      <c r="T15" s="555"/>
      <c r="U15" s="555"/>
      <c r="V15" s="539"/>
      <c r="W15" s="555"/>
      <c r="X15" s="556"/>
      <c r="Y15" s="554" t="n">
        <v>0</v>
      </c>
      <c r="Z15" s="410" t="n">
        <f aca="false">IFERROR(X15*(1-Y15/52)+N(AC15),X15)</f>
        <v>0</v>
      </c>
      <c r="AA15" s="411" t="n">
        <f aca="false">IFERROR(Z15/W15,0)</f>
        <v>0</v>
      </c>
      <c r="AB15" s="557"/>
      <c r="AC15" s="556"/>
      <c r="AD15" s="539"/>
      <c r="AF15" s="550" t="s">
        <v>1762</v>
      </c>
      <c r="AG15" s="533"/>
      <c r="AH15" s="533"/>
      <c r="AI15" s="533"/>
      <c r="AJ15" s="533"/>
      <c r="AK15" s="533"/>
    </row>
    <row r="16" customFormat="false" ht="15" hidden="false" customHeight="true" outlineLevel="0" collapsed="false">
      <c r="A16" s="534"/>
      <c r="B16" s="551" t="n">
        <f aca="false">IFERROR(AVERAGEIF('Rent Roll Analysis'!$C$273:$C$1772,$A16,'Rent Roll Analysis'!$D$273:$D$1772),0)</f>
        <v>0</v>
      </c>
      <c r="C16" s="551" t="n">
        <f aca="false">COUNTIF('Rent Roll Analysis'!$C$273:$C$1772,$A16)</f>
        <v>0</v>
      </c>
      <c r="D16" s="417" t="n">
        <f aca="false">IFERROR(C16/$C$17,0)</f>
        <v>0</v>
      </c>
      <c r="E16" s="552" t="n">
        <f aca="false">IFERROR(AVERAGEIFS('Rent Roll Analysis'!$N$273:$N$1772,'Rent Roll Analysis'!$C$273:$C$1772,$A16,'Rent Roll Analysis'!$E$273:$E$1772,"Occupied*"),0)</f>
        <v>0</v>
      </c>
      <c r="F16" s="552" t="n">
        <f aca="false">IFERROR(AVERAGEIFS('Rent Roll Analysis'!$L$273:$L$1772,'Rent Roll Analysis'!$C$273:$C$1772,$A16,'Rent Roll Analysis'!$L$273:$L$1772,"&gt;0"),0)</f>
        <v>0</v>
      </c>
      <c r="G16" s="418" t="n">
        <f aca="false">E16*C16</f>
        <v>0</v>
      </c>
      <c r="H16" s="419" t="n">
        <f aca="false">IFERROR(E16/B16,0)</f>
        <v>0</v>
      </c>
      <c r="I16" s="419" t="n">
        <f aca="false">IFERROR(AVERAGEIFS($AA$8:$AA$22,$V$8:$V$22,LEFT($A16,1)&amp;"*"),0)</f>
        <v>0</v>
      </c>
      <c r="J16" s="418" t="n">
        <f aca="false">IFERROR(I16*B16,0)</f>
        <v>0</v>
      </c>
      <c r="K16" s="537" t="n">
        <f aca="false">IF(J16&gt;0,J16,0)</f>
        <v>0</v>
      </c>
      <c r="L16" s="553" t="str">
        <f aca="false">IF(K16=0,"",IFERROR(K16/E16-1,""))</f>
        <v/>
      </c>
      <c r="M16" s="418" t="str">
        <f aca="false">IF(K16=0,"",IFERROR(K16-E16,""))</f>
        <v/>
      </c>
      <c r="N16" s="418" t="n">
        <f aca="false">K16*C16</f>
        <v>0</v>
      </c>
      <c r="O16" s="539"/>
      <c r="Q16" s="554"/>
      <c r="R16" s="539"/>
      <c r="S16" s="533"/>
      <c r="T16" s="555"/>
      <c r="U16" s="555"/>
      <c r="V16" s="539"/>
      <c r="W16" s="555"/>
      <c r="X16" s="556"/>
      <c r="Y16" s="554"/>
      <c r="Z16" s="418" t="n">
        <f aca="false">IFERROR(X16*(1-Y16/52)+N(AC16),X16)</f>
        <v>0</v>
      </c>
      <c r="AA16" s="419" t="n">
        <f aca="false">IFERROR(Z16/W16,0)</f>
        <v>0</v>
      </c>
      <c r="AB16" s="557"/>
      <c r="AC16" s="556"/>
      <c r="AD16" s="539"/>
      <c r="AF16" s="532" t="s">
        <v>1763</v>
      </c>
      <c r="AG16" s="533"/>
      <c r="AH16" s="533"/>
      <c r="AI16" s="533"/>
      <c r="AJ16" s="533"/>
      <c r="AK16" s="533"/>
    </row>
    <row r="17" customFormat="false" ht="15" hidden="false" customHeight="true" outlineLevel="0" collapsed="false">
      <c r="A17" s="558" t="s">
        <v>1764</v>
      </c>
      <c r="B17" s="559" t="n">
        <f aca="false">IFERROR(SUMPRODUCT(B7:B16,C7:C16)/C17,0)</f>
        <v>0</v>
      </c>
      <c r="C17" s="559" t="n">
        <f aca="false">SUM(C7:C16)</f>
        <v>0</v>
      </c>
      <c r="D17" s="560" t="n">
        <f aca="false">IFERROR(C17/C17,0)</f>
        <v>0</v>
      </c>
      <c r="E17" s="561" t="n">
        <f aca="false">IFERROR(SUMPRODUCT(E7:E16,C7:C16)/C17,0)</f>
        <v>0</v>
      </c>
      <c r="F17" s="561" t="n">
        <f aca="false">IFERROR(SUMPRODUCT(F7:F16,C7:C16)/C17,0)</f>
        <v>0</v>
      </c>
      <c r="G17" s="561" t="n">
        <f aca="false">SUM(G7:G16)</f>
        <v>0</v>
      </c>
      <c r="H17" s="562" t="n">
        <f aca="false">IFERROR(E17/B17,0)</f>
        <v>0</v>
      </c>
      <c r="I17" s="562" t="n">
        <f aca="false">IFERROR(SUMPRODUCT(I7:I16,C7:C16)/C17,0)</f>
        <v>0</v>
      </c>
      <c r="J17" s="561" t="n">
        <f aca="false">IFERROR(SUMPRODUCT(J7:J16,C7:C16)/C17,0)</f>
        <v>0</v>
      </c>
      <c r="K17" s="561" t="n">
        <f aca="false">IFERROR(SUMPRODUCT(K7:K16,C7:C16)/C17,0)</f>
        <v>0</v>
      </c>
      <c r="L17" s="563"/>
      <c r="M17" s="563"/>
      <c r="N17" s="561" t="n">
        <f aca="false">SUM(N7:N16)</f>
        <v>0</v>
      </c>
      <c r="O17" s="563"/>
      <c r="Q17" s="554"/>
      <c r="R17" s="539"/>
      <c r="S17" s="533"/>
      <c r="T17" s="555"/>
      <c r="U17" s="555"/>
      <c r="V17" s="539"/>
      <c r="W17" s="555"/>
      <c r="X17" s="556"/>
      <c r="Y17" s="554"/>
      <c r="Z17" s="410" t="n">
        <f aca="false">IFERROR(X17*(1-Y17/52)+N(AC17),X17)</f>
        <v>0</v>
      </c>
      <c r="AA17" s="411" t="n">
        <f aca="false">IFERROR(Z17/W17,0)</f>
        <v>0</v>
      </c>
      <c r="AB17" s="557"/>
      <c r="AC17" s="556"/>
      <c r="AD17" s="539"/>
      <c r="AF17" s="550" t="s">
        <v>1765</v>
      </c>
      <c r="AG17" s="533"/>
      <c r="AH17" s="533"/>
      <c r="AI17" s="533"/>
      <c r="AJ17" s="533"/>
      <c r="AK17" s="533"/>
    </row>
    <row r="18" customFormat="false" ht="15" hidden="false" customHeight="true" outlineLevel="0" collapsed="false">
      <c r="Q18" s="554"/>
      <c r="R18" s="539"/>
      <c r="S18" s="533"/>
      <c r="T18" s="555"/>
      <c r="U18" s="555"/>
      <c r="V18" s="539"/>
      <c r="W18" s="555"/>
      <c r="X18" s="556"/>
      <c r="Y18" s="554"/>
      <c r="Z18" s="418" t="n">
        <f aca="false">IFERROR(X18*(1-Y18/52)+N(AC18),X18)</f>
        <v>0</v>
      </c>
      <c r="AA18" s="419" t="n">
        <f aca="false">IFERROR(Z18/W18,0)</f>
        <v>0</v>
      </c>
      <c r="AB18" s="557"/>
      <c r="AC18" s="556"/>
      <c r="AD18" s="539"/>
      <c r="AF18" s="532" t="s">
        <v>1766</v>
      </c>
      <c r="AG18" s="533"/>
      <c r="AH18" s="533"/>
      <c r="AI18" s="533"/>
      <c r="AJ18" s="533"/>
      <c r="AK18" s="533"/>
    </row>
    <row r="19" customFormat="false" ht="15" hidden="false" customHeight="true" outlineLevel="0" collapsed="false">
      <c r="A19" s="528" t="s">
        <v>1767</v>
      </c>
      <c r="B19" s="528"/>
      <c r="C19" s="528"/>
      <c r="D19" s="528"/>
      <c r="E19" s="528"/>
      <c r="F19" s="528"/>
      <c r="G19" s="528"/>
      <c r="H19" s="528"/>
      <c r="I19" s="528"/>
      <c r="J19" s="528"/>
      <c r="K19" s="528"/>
      <c r="L19" s="528"/>
      <c r="M19" s="528"/>
      <c r="N19" s="528"/>
      <c r="O19" s="528"/>
      <c r="Q19" s="554"/>
      <c r="R19" s="539"/>
      <c r="S19" s="533"/>
      <c r="T19" s="555"/>
      <c r="U19" s="555"/>
      <c r="V19" s="539"/>
      <c r="W19" s="555"/>
      <c r="X19" s="556"/>
      <c r="Y19" s="554"/>
      <c r="Z19" s="410" t="n">
        <f aca="false">IFERROR(X19*(1-Y19/52)+N(AC19),X19)</f>
        <v>0</v>
      </c>
      <c r="AA19" s="411" t="n">
        <f aca="false">IFERROR(Z19/W19,0)</f>
        <v>0</v>
      </c>
      <c r="AB19" s="557"/>
      <c r="AC19" s="556"/>
      <c r="AD19" s="539"/>
      <c r="AF19" s="550" t="s">
        <v>1768</v>
      </c>
      <c r="AG19" s="533"/>
      <c r="AH19" s="533"/>
      <c r="AI19" s="533"/>
      <c r="AJ19" s="533"/>
      <c r="AK19" s="533"/>
    </row>
    <row r="20" customFormat="false" ht="15" hidden="false" customHeight="true" outlineLevel="0" collapsed="false">
      <c r="A20" s="428" t="s">
        <v>1769</v>
      </c>
      <c r="B20" s="428"/>
      <c r="C20" s="428"/>
      <c r="D20" s="428"/>
      <c r="E20" s="428"/>
      <c r="F20" s="428"/>
      <c r="G20" s="428"/>
      <c r="H20" s="428"/>
      <c r="I20" s="428"/>
      <c r="J20" s="428"/>
      <c r="K20" s="428"/>
      <c r="L20" s="428"/>
      <c r="M20" s="428"/>
      <c r="N20" s="428"/>
      <c r="O20" s="428"/>
      <c r="Q20" s="554"/>
      <c r="R20" s="539"/>
      <c r="S20" s="533"/>
      <c r="T20" s="555"/>
      <c r="U20" s="555"/>
      <c r="V20" s="539"/>
      <c r="W20" s="555"/>
      <c r="X20" s="556"/>
      <c r="Y20" s="554"/>
      <c r="Z20" s="418" t="n">
        <f aca="false">IFERROR(X20*(1-Y20/52)+N(AC20),X20)</f>
        <v>0</v>
      </c>
      <c r="AA20" s="419" t="n">
        <f aca="false">IFERROR(Z20/W20,0)</f>
        <v>0</v>
      </c>
      <c r="AB20" s="557"/>
      <c r="AC20" s="556"/>
      <c r="AD20" s="539"/>
      <c r="AF20" s="532" t="s">
        <v>1770</v>
      </c>
      <c r="AG20" s="533"/>
      <c r="AH20" s="533"/>
      <c r="AI20" s="533"/>
      <c r="AJ20" s="533"/>
      <c r="AK20" s="533"/>
    </row>
    <row r="21" customFormat="false" ht="15.75" hidden="false" customHeight="true" outlineLevel="0" collapsed="false">
      <c r="A21" s="534"/>
      <c r="B21" s="564"/>
      <c r="C21" s="564"/>
      <c r="D21" s="394" t="n">
        <f aca="false">IFERROR(C21/$C$28,0)</f>
        <v>0</v>
      </c>
      <c r="E21" s="565" t="s">
        <v>1771</v>
      </c>
      <c r="F21" s="565" t="s">
        <v>1771</v>
      </c>
      <c r="G21" s="565" t="s">
        <v>1771</v>
      </c>
      <c r="H21" s="565" t="s">
        <v>1771</v>
      </c>
      <c r="I21" s="411" t="n">
        <f aca="false">IFERROR(AVERAGEIFS($AA$8:$AA$22,$V$8:$V$22,LEFT($A21,1)&amp;"*"),0)</f>
        <v>0</v>
      </c>
      <c r="J21" s="410" t="n">
        <f aca="false">IFERROR(I21*B21,0)</f>
        <v>0</v>
      </c>
      <c r="K21" s="537" t="n">
        <f aca="false">IF(J21&gt;0,J21,0)</f>
        <v>0</v>
      </c>
      <c r="L21" s="565" t="s">
        <v>1771</v>
      </c>
      <c r="M21" s="565" t="s">
        <v>1771</v>
      </c>
      <c r="N21" s="410" t="n">
        <f aca="false">K21*C21</f>
        <v>0</v>
      </c>
      <c r="O21" s="539"/>
      <c r="Q21" s="554"/>
      <c r="R21" s="539"/>
      <c r="S21" s="533"/>
      <c r="T21" s="555"/>
      <c r="U21" s="555"/>
      <c r="V21" s="539"/>
      <c r="W21" s="555"/>
      <c r="X21" s="556"/>
      <c r="Y21" s="554"/>
      <c r="Z21" s="410" t="n">
        <f aca="false">IFERROR(X21*(1-Y21/52)+N(AC21),X21)</f>
        <v>0</v>
      </c>
      <c r="AA21" s="411" t="n">
        <f aca="false">IFERROR(Z21/W21,0)</f>
        <v>0</v>
      </c>
      <c r="AB21" s="557"/>
      <c r="AC21" s="556"/>
      <c r="AD21" s="539"/>
      <c r="AF21" s="422" t="s">
        <v>1772</v>
      </c>
      <c r="AG21" s="423" t="n">
        <f aca="false">COUNTIF(AG6:AG20,"✓")</f>
        <v>0</v>
      </c>
      <c r="AH21" s="423" t="n">
        <f aca="false">COUNTIF(AH6:AH20,"✓")</f>
        <v>0</v>
      </c>
      <c r="AI21" s="423" t="n">
        <f aca="false">COUNTIF(AI6:AI20,"✓")</f>
        <v>0</v>
      </c>
      <c r="AJ21" s="423" t="n">
        <f aca="false">COUNTIF(AJ6:AJ20,"✓")</f>
        <v>0</v>
      </c>
      <c r="AK21" s="423" t="n">
        <f aca="false">COUNTIF(AK6:AK20,"✓")</f>
        <v>0</v>
      </c>
    </row>
    <row r="22" customFormat="false" ht="15" hidden="false" customHeight="true" outlineLevel="0" collapsed="false">
      <c r="A22" s="534"/>
      <c r="B22" s="564"/>
      <c r="C22" s="564"/>
      <c r="D22" s="417" t="n">
        <f aca="false">IFERROR(C22/$C$28,0)</f>
        <v>0</v>
      </c>
      <c r="E22" s="566" t="s">
        <v>1771</v>
      </c>
      <c r="F22" s="566" t="s">
        <v>1771</v>
      </c>
      <c r="G22" s="566" t="s">
        <v>1771</v>
      </c>
      <c r="H22" s="566" t="s">
        <v>1771</v>
      </c>
      <c r="I22" s="419" t="n">
        <f aca="false">IFERROR(AVERAGEIFS($AA$8:$AA$22,$V$8:$V$22,LEFT($A22,1)&amp;"*"),0)</f>
        <v>0</v>
      </c>
      <c r="J22" s="418" t="n">
        <f aca="false">IFERROR(I22*B22,0)</f>
        <v>0</v>
      </c>
      <c r="K22" s="537" t="n">
        <f aca="false">IF(J22&gt;0,J22,0)</f>
        <v>0</v>
      </c>
      <c r="L22" s="566" t="s">
        <v>1771</v>
      </c>
      <c r="M22" s="566" t="s">
        <v>1771</v>
      </c>
      <c r="N22" s="418" t="n">
        <f aca="false">K22*C22</f>
        <v>0</v>
      </c>
      <c r="O22" s="539"/>
      <c r="Q22" s="554"/>
      <c r="R22" s="539"/>
      <c r="S22" s="533"/>
      <c r="T22" s="555"/>
      <c r="U22" s="555"/>
      <c r="V22" s="539"/>
      <c r="W22" s="555"/>
      <c r="X22" s="556"/>
      <c r="Y22" s="554"/>
      <c r="Z22" s="418" t="n">
        <f aca="false">IFERROR(X22*(1-Y22/52)+N(AC22),X22)</f>
        <v>0</v>
      </c>
      <c r="AA22" s="419" t="n">
        <f aca="false">IFERROR(Z22/W22,0)</f>
        <v>0</v>
      </c>
      <c r="AB22" s="557"/>
      <c r="AC22" s="556"/>
      <c r="AD22" s="539"/>
    </row>
    <row r="23" customFormat="false" ht="15.75" hidden="false" customHeight="true" outlineLevel="0" collapsed="false">
      <c r="A23" s="534"/>
      <c r="B23" s="564"/>
      <c r="C23" s="564"/>
      <c r="D23" s="394" t="n">
        <f aca="false">IFERROR(C23/$C$28,0)</f>
        <v>0</v>
      </c>
      <c r="E23" s="565" t="s">
        <v>1771</v>
      </c>
      <c r="F23" s="565" t="s">
        <v>1771</v>
      </c>
      <c r="G23" s="565" t="s">
        <v>1771</v>
      </c>
      <c r="H23" s="565" t="s">
        <v>1771</v>
      </c>
      <c r="I23" s="411" t="n">
        <f aca="false">IFERROR(AVERAGEIFS($AA$8:$AA$22,$V$8:$V$22,LEFT($A23,1)&amp;"*"),0)</f>
        <v>0</v>
      </c>
      <c r="J23" s="410" t="n">
        <f aca="false">IFERROR(I23*B23,0)</f>
        <v>0</v>
      </c>
      <c r="K23" s="537" t="n">
        <f aca="false">IF(J23&gt;0,J23,0)</f>
        <v>0</v>
      </c>
      <c r="L23" s="565" t="s">
        <v>1771</v>
      </c>
      <c r="M23" s="565" t="s">
        <v>1771</v>
      </c>
      <c r="N23" s="410" t="n">
        <f aca="false">K23*C23</f>
        <v>0</v>
      </c>
      <c r="O23" s="539"/>
      <c r="Q23" s="422" t="s">
        <v>1773</v>
      </c>
      <c r="R23" s="421"/>
      <c r="S23" s="421"/>
      <c r="T23" s="424" t="n">
        <f aca="false">IFERROR(AVERAGEIF(T8:T22,"&gt;0"),0)</f>
        <v>0</v>
      </c>
      <c r="U23" s="424" t="n">
        <f aca="false">IFERROR(AVERAGEIF(U8:U22,"&gt;0"),0)</f>
        <v>0</v>
      </c>
      <c r="V23" s="421"/>
      <c r="W23" s="424" t="n">
        <f aca="false">IFERROR(AVERAGEIF(W8:W22,"&gt;0"),0)</f>
        <v>0</v>
      </c>
      <c r="X23" s="426" t="n">
        <f aca="false">IFERROR(AVERAGEIF(X8:X22,"&gt;0"),0)</f>
        <v>0</v>
      </c>
      <c r="Y23" s="567" t="n">
        <f aca="false">IFERROR(AVERAGEIF(Y8:Y22,"&gt;0"),0)</f>
        <v>0</v>
      </c>
      <c r="Z23" s="426" t="n">
        <f aca="false">IFERROR(AVERAGEIF(Z8:Z22,"&gt;0"),0)</f>
        <v>0</v>
      </c>
      <c r="AA23" s="427" t="n">
        <f aca="false">IFERROR(AVERAGEIF(AA8:AA22,"&gt;0"),0)</f>
        <v>0</v>
      </c>
      <c r="AB23" s="568" t="n">
        <f aca="false">IFERROR(AVERAGEIF(AB8:AB22,"&gt;0"),0)</f>
        <v>0</v>
      </c>
      <c r="AC23" s="421"/>
      <c r="AD23" s="421"/>
      <c r="AF23" s="528" t="s">
        <v>1774</v>
      </c>
      <c r="AG23" s="528"/>
      <c r="AH23" s="528"/>
      <c r="AI23" s="528"/>
      <c r="AJ23" s="528"/>
      <c r="AK23" s="528"/>
    </row>
    <row r="24" customFormat="false" ht="25.5" hidden="false" customHeight="true" outlineLevel="0" collapsed="false">
      <c r="A24" s="534"/>
      <c r="B24" s="564"/>
      <c r="C24" s="564"/>
      <c r="D24" s="417" t="n">
        <f aca="false">IFERROR(C24/$C$28,0)</f>
        <v>0</v>
      </c>
      <c r="E24" s="566" t="s">
        <v>1771</v>
      </c>
      <c r="F24" s="566" t="s">
        <v>1771</v>
      </c>
      <c r="G24" s="566" t="s">
        <v>1771</v>
      </c>
      <c r="H24" s="566" t="s">
        <v>1771</v>
      </c>
      <c r="I24" s="419" t="n">
        <f aca="false">IFERROR(AVERAGEIFS($AA$8:$AA$22,$V$8:$V$22,LEFT($A24,1)&amp;"*"),0)</f>
        <v>0</v>
      </c>
      <c r="J24" s="418" t="n">
        <f aca="false">IFERROR(I24*B24,0)</f>
        <v>0</v>
      </c>
      <c r="K24" s="537" t="n">
        <f aca="false">IF(J24&gt;0,J24,0)</f>
        <v>0</v>
      </c>
      <c r="L24" s="566" t="s">
        <v>1771</v>
      </c>
      <c r="M24" s="566" t="s">
        <v>1771</v>
      </c>
      <c r="N24" s="418" t="n">
        <f aca="false">K24*C24</f>
        <v>0</v>
      </c>
      <c r="O24" s="539"/>
      <c r="Q24" s="558" t="s">
        <v>1775</v>
      </c>
      <c r="R24" s="563"/>
      <c r="S24" s="563"/>
      <c r="T24" s="563"/>
      <c r="U24" s="563"/>
      <c r="V24" s="563"/>
      <c r="W24" s="569" t="n">
        <f aca="false">IFERROR(W7-W23,0)</f>
        <v>0</v>
      </c>
      <c r="X24" s="561" t="n">
        <f aca="false">IFERROR(X7-X23,0)</f>
        <v>0</v>
      </c>
      <c r="Y24" s="563"/>
      <c r="Z24" s="561" t="n">
        <f aca="false">IFERROR(Z7-Z23,0)</f>
        <v>0</v>
      </c>
      <c r="AA24" s="562" t="n">
        <f aca="false">IFERROR(AA7-AA23,0)</f>
        <v>0</v>
      </c>
      <c r="AB24" s="563"/>
      <c r="AC24" s="563"/>
      <c r="AD24" s="563"/>
      <c r="AF24" s="530" t="s">
        <v>547</v>
      </c>
      <c r="AG24" s="531" t="str">
        <f aca="false">IF(R8="","Comp 1",R8)</f>
        <v>Comp 1</v>
      </c>
      <c r="AH24" s="531" t="str">
        <f aca="false">IF(R9="","Comp 2",R9)</f>
        <v>Comp 2</v>
      </c>
      <c r="AI24" s="531" t="str">
        <f aca="false">IF(R10="","Comp 3",R10)</f>
        <v>Comp 3</v>
      </c>
      <c r="AJ24" s="531" t="str">
        <f aca="false">IF(R11="","Comp 4",R11)</f>
        <v>Comp 4</v>
      </c>
      <c r="AK24" s="531" t="str">
        <f aca="false">IF(R12="","Comp 5",R12)</f>
        <v>Comp 5</v>
      </c>
    </row>
    <row r="25" customFormat="false" ht="15" hidden="false" customHeight="true" outlineLevel="0" collapsed="false">
      <c r="A25" s="534"/>
      <c r="B25" s="564"/>
      <c r="C25" s="564"/>
      <c r="D25" s="394" t="n">
        <f aca="false">IFERROR(C25/$C$28,0)</f>
        <v>0</v>
      </c>
      <c r="E25" s="565" t="s">
        <v>1771</v>
      </c>
      <c r="F25" s="565" t="s">
        <v>1771</v>
      </c>
      <c r="G25" s="565" t="s">
        <v>1771</v>
      </c>
      <c r="H25" s="565" t="s">
        <v>1771</v>
      </c>
      <c r="I25" s="411" t="n">
        <f aca="false">IFERROR(AVERAGEIFS($AA$8:$AA$22,$V$8:$V$22,LEFT($A25,1)&amp;"*"),0)</f>
        <v>0</v>
      </c>
      <c r="J25" s="410" t="n">
        <f aca="false">IFERROR(I25*B25,0)</f>
        <v>0</v>
      </c>
      <c r="K25" s="537" t="n">
        <f aca="false">IF(J25&gt;0,J25,0)</f>
        <v>0</v>
      </c>
      <c r="L25" s="565" t="s">
        <v>1771</v>
      </c>
      <c r="M25" s="565" t="s">
        <v>1771</v>
      </c>
      <c r="N25" s="410" t="n">
        <f aca="false">K25*C25</f>
        <v>0</v>
      </c>
      <c r="O25" s="539"/>
      <c r="AF25" s="550" t="s">
        <v>1776</v>
      </c>
      <c r="AG25" s="556"/>
      <c r="AH25" s="556"/>
      <c r="AI25" s="556"/>
      <c r="AJ25" s="556"/>
      <c r="AK25" s="556"/>
    </row>
    <row r="26" customFormat="false" ht="15" hidden="false" customHeight="true" outlineLevel="0" collapsed="false">
      <c r="A26" s="534"/>
      <c r="B26" s="564"/>
      <c r="C26" s="564"/>
      <c r="D26" s="417" t="n">
        <f aca="false">IFERROR(C26/$C$28,0)</f>
        <v>0</v>
      </c>
      <c r="E26" s="566" t="s">
        <v>1771</v>
      </c>
      <c r="F26" s="566" t="s">
        <v>1771</v>
      </c>
      <c r="G26" s="566" t="s">
        <v>1771</v>
      </c>
      <c r="H26" s="566" t="s">
        <v>1771</v>
      </c>
      <c r="I26" s="419" t="n">
        <f aca="false">IFERROR(AVERAGEIFS($AA$8:$AA$22,$V$8:$V$22,LEFT($A26,1)&amp;"*"),0)</f>
        <v>0</v>
      </c>
      <c r="J26" s="418" t="n">
        <f aca="false">IFERROR(I26*B26,0)</f>
        <v>0</v>
      </c>
      <c r="K26" s="537" t="n">
        <f aca="false">IF(J26&gt;0,J26,0)</f>
        <v>0</v>
      </c>
      <c r="L26" s="566" t="s">
        <v>1771</v>
      </c>
      <c r="M26" s="566" t="s">
        <v>1771</v>
      </c>
      <c r="N26" s="418" t="n">
        <f aca="false">K26*C26</f>
        <v>0</v>
      </c>
      <c r="O26" s="539"/>
      <c r="Q26" s="428" t="s">
        <v>1777</v>
      </c>
      <c r="R26" s="428"/>
      <c r="S26" s="428"/>
      <c r="T26" s="428"/>
      <c r="U26" s="428"/>
      <c r="V26" s="428"/>
      <c r="W26" s="428"/>
      <c r="X26" s="428"/>
      <c r="Y26" s="428"/>
      <c r="Z26" s="428"/>
      <c r="AA26" s="428"/>
      <c r="AB26" s="428"/>
      <c r="AC26" s="428"/>
      <c r="AD26" s="428"/>
      <c r="AF26" s="532" t="s">
        <v>314</v>
      </c>
      <c r="AG26" s="556"/>
      <c r="AH26" s="556"/>
      <c r="AI26" s="556"/>
      <c r="AJ26" s="556"/>
      <c r="AK26" s="556"/>
    </row>
    <row r="27" customFormat="false" ht="15" hidden="false" customHeight="true" outlineLevel="0" collapsed="false">
      <c r="A27" s="558" t="s">
        <v>1778</v>
      </c>
      <c r="B27" s="559" t="n">
        <f aca="false">IFERROR(SUMPRODUCT(B21:B26,C21:C26)/C27,0)</f>
        <v>0</v>
      </c>
      <c r="C27" s="559" t="n">
        <f aca="false">SUM(C21:C26)</f>
        <v>0</v>
      </c>
      <c r="D27" s="560" t="n">
        <f aca="false">IFERROR(C27/C28,0)</f>
        <v>0</v>
      </c>
      <c r="E27" s="570" t="s">
        <v>1771</v>
      </c>
      <c r="F27" s="570" t="s">
        <v>1771</v>
      </c>
      <c r="G27" s="570" t="s">
        <v>1771</v>
      </c>
      <c r="H27" s="570" t="s">
        <v>1771</v>
      </c>
      <c r="I27" s="562" t="n">
        <f aca="false">IFERROR(SUMPRODUCT(I21:I26,C21:C26)/C27,0)</f>
        <v>0</v>
      </c>
      <c r="J27" s="561" t="n">
        <f aca="false">IFERROR(SUMPRODUCT(J21:J26,C21:C26)/C27,0)</f>
        <v>0</v>
      </c>
      <c r="K27" s="561" t="n">
        <f aca="false">IFERROR(SUMPRODUCT(K21:K26,C21:C26)/C27,0)</f>
        <v>0</v>
      </c>
      <c r="L27" s="563"/>
      <c r="M27" s="563"/>
      <c r="N27" s="561" t="n">
        <f aca="false">SUM(N21:N26)</f>
        <v>0</v>
      </c>
      <c r="O27" s="563"/>
      <c r="AF27" s="550" t="s">
        <v>1779</v>
      </c>
      <c r="AG27" s="556"/>
      <c r="AH27" s="556"/>
      <c r="AI27" s="556"/>
      <c r="AJ27" s="556"/>
      <c r="AK27" s="556"/>
    </row>
    <row r="28" customFormat="false" ht="15" hidden="false" customHeight="true" outlineLevel="0" collapsed="false">
      <c r="A28" s="422" t="s">
        <v>1780</v>
      </c>
      <c r="B28" s="423" t="n">
        <f aca="false">IFERROR((SUMPRODUCT(B7:B16,C7:C16)+SUMPRODUCT(B21:B26,C21:C26))/C28,0)</f>
        <v>0</v>
      </c>
      <c r="C28" s="423" t="n">
        <f aca="false">C17+C27</f>
        <v>0</v>
      </c>
      <c r="D28" s="425" t="n">
        <f aca="false">IFERROR(C28/C28,0)</f>
        <v>0</v>
      </c>
      <c r="E28" s="426" t="n">
        <f aca="false">IFERROR(SUMPRODUCT(E7:E16,C7:C16)/C17,0)</f>
        <v>0</v>
      </c>
      <c r="F28" s="426" t="n">
        <f aca="false">IFERROR(SUMPRODUCT(F7:F16,C7:C16)/C17,0)</f>
        <v>0</v>
      </c>
      <c r="G28" s="426" t="n">
        <f aca="false">G17</f>
        <v>0</v>
      </c>
      <c r="H28" s="427" t="n">
        <f aca="false">IFERROR(E17/B17,0)</f>
        <v>0</v>
      </c>
      <c r="I28" s="427" t="n">
        <f aca="false">IFERROR((SUMPRODUCT(I7:I16,C7:C16)+SUMPRODUCT(I21:I26,C21:C26))/C28,0)</f>
        <v>0</v>
      </c>
      <c r="J28" s="426" t="n">
        <f aca="false">IFERROR((SUMPRODUCT(J7:J16,C7:C16)+SUMPRODUCT(J21:J26,C21:C26))/C28,0)</f>
        <v>0</v>
      </c>
      <c r="K28" s="426" t="n">
        <f aca="false">IFERROR((SUMPRODUCT(K7:K16,C7:C16)+SUMPRODUCT(K21:K26,C21:C26))/C28,0)</f>
        <v>0</v>
      </c>
      <c r="L28" s="421"/>
      <c r="M28" s="421"/>
      <c r="N28" s="426" t="n">
        <f aca="false">N17+N27</f>
        <v>0</v>
      </c>
      <c r="O28" s="421"/>
      <c r="AF28" s="532" t="s">
        <v>333</v>
      </c>
      <c r="AG28" s="556"/>
      <c r="AH28" s="556"/>
      <c r="AI28" s="556"/>
      <c r="AJ28" s="556"/>
      <c r="AK28" s="556"/>
    </row>
    <row r="29" customFormat="false" ht="15" hidden="false" customHeight="true" outlineLevel="0" collapsed="false">
      <c r="AF29" s="550" t="s">
        <v>1781</v>
      </c>
      <c r="AG29" s="556"/>
      <c r="AH29" s="556"/>
      <c r="AI29" s="556"/>
      <c r="AJ29" s="556"/>
      <c r="AK29" s="556"/>
    </row>
    <row r="30" customFormat="false" ht="15" hidden="false" customHeight="true" outlineLevel="0" collapsed="false">
      <c r="A30" s="571" t="s">
        <v>1782</v>
      </c>
      <c r="B30" s="571"/>
      <c r="C30" s="571"/>
      <c r="D30" s="571"/>
      <c r="E30" s="571"/>
      <c r="F30" s="571"/>
      <c r="G30" s="571"/>
      <c r="H30" s="571"/>
      <c r="I30" s="571"/>
      <c r="J30" s="571"/>
      <c r="K30" s="571"/>
      <c r="L30" s="571"/>
      <c r="M30" s="571"/>
      <c r="N30" s="571"/>
      <c r="O30" s="571"/>
      <c r="AF30" s="532" t="s">
        <v>1783</v>
      </c>
      <c r="AG30" s="556"/>
      <c r="AH30" s="556"/>
      <c r="AI30" s="556"/>
      <c r="AJ30" s="556"/>
      <c r="AK30" s="556"/>
    </row>
    <row r="31" customFormat="false" ht="15" hidden="false" customHeight="true" outlineLevel="0" collapsed="false">
      <c r="A31" s="572" t="s">
        <v>11</v>
      </c>
      <c r="B31" s="572"/>
      <c r="C31" s="573" t="s">
        <v>1317</v>
      </c>
      <c r="D31" s="574" t="s">
        <v>1318</v>
      </c>
      <c r="E31" s="574"/>
      <c r="F31" s="573" t="s">
        <v>1784</v>
      </c>
      <c r="G31" s="572" t="s">
        <v>55</v>
      </c>
      <c r="H31" s="572"/>
      <c r="I31" s="572"/>
      <c r="J31" s="572"/>
      <c r="K31" s="572"/>
      <c r="L31" s="572"/>
      <c r="M31" s="572"/>
      <c r="N31" s="572"/>
      <c r="O31" s="572"/>
      <c r="AF31" s="550" t="s">
        <v>1785</v>
      </c>
      <c r="AG31" s="556"/>
      <c r="AH31" s="556"/>
      <c r="AI31" s="556"/>
      <c r="AJ31" s="556"/>
      <c r="AK31" s="556"/>
    </row>
    <row r="32" customFormat="false" ht="15" hidden="false" customHeight="true" outlineLevel="0" collapsed="false">
      <c r="A32" s="575" t="s">
        <v>1786</v>
      </c>
      <c r="B32" s="575"/>
      <c r="C32" s="418" t="n">
        <f aca="false">G28</f>
        <v>0</v>
      </c>
      <c r="D32" s="576" t="n">
        <f aca="false">C32*12</f>
        <v>0</v>
      </c>
      <c r="E32" s="576"/>
      <c r="F32" s="418" t="n">
        <f aca="false">IFERROR(C32/C28,0)</f>
        <v>0</v>
      </c>
      <c r="G32" s="577" t="s">
        <v>1787</v>
      </c>
      <c r="H32" s="577"/>
      <c r="I32" s="577"/>
      <c r="J32" s="577"/>
      <c r="K32" s="577"/>
      <c r="L32" s="577"/>
      <c r="M32" s="577"/>
      <c r="N32" s="577"/>
      <c r="O32" s="577"/>
      <c r="AF32" s="532" t="s">
        <v>1788</v>
      </c>
      <c r="AG32" s="556"/>
      <c r="AH32" s="556"/>
      <c r="AI32" s="556"/>
      <c r="AJ32" s="556"/>
      <c r="AK32" s="556"/>
    </row>
    <row r="33" customFormat="false" ht="15" hidden="false" customHeight="true" outlineLevel="0" collapsed="false">
      <c r="A33" s="578" t="s">
        <v>1789</v>
      </c>
      <c r="B33" s="578"/>
      <c r="C33" s="410" t="n">
        <f aca="false">SUMPRODUCT(F7:F16,C7:C16)</f>
        <v>0</v>
      </c>
      <c r="D33" s="579" t="n">
        <f aca="false">C33*12</f>
        <v>0</v>
      </c>
      <c r="E33" s="579"/>
      <c r="F33" s="410" t="n">
        <f aca="false">IFERROR(C33/C28,0)</f>
        <v>0</v>
      </c>
      <c r="G33" s="580" t="s">
        <v>1790</v>
      </c>
      <c r="H33" s="580"/>
      <c r="I33" s="580"/>
      <c r="J33" s="580"/>
      <c r="K33" s="580"/>
      <c r="L33" s="580"/>
      <c r="M33" s="580"/>
      <c r="N33" s="580"/>
      <c r="O33" s="580"/>
      <c r="AF33" s="550" t="s">
        <v>1791</v>
      </c>
      <c r="AG33" s="556"/>
      <c r="AH33" s="556"/>
      <c r="AI33" s="556"/>
      <c r="AJ33" s="556"/>
      <c r="AK33" s="556"/>
    </row>
    <row r="34" customFormat="false" ht="15" hidden="false" customHeight="true" outlineLevel="0" collapsed="false">
      <c r="A34" s="581" t="s">
        <v>1792</v>
      </c>
      <c r="B34" s="581"/>
      <c r="C34" s="582" t="n">
        <f aca="false">N28</f>
        <v>0</v>
      </c>
      <c r="D34" s="583" t="n">
        <f aca="false">C34*12</f>
        <v>0</v>
      </c>
      <c r="E34" s="583"/>
      <c r="F34" s="584" t="n">
        <f aca="false">IFERROR(C34/C28,0)</f>
        <v>0</v>
      </c>
      <c r="G34" s="585" t="s">
        <v>1793</v>
      </c>
      <c r="H34" s="585"/>
      <c r="I34" s="585"/>
      <c r="J34" s="585"/>
      <c r="K34" s="585"/>
      <c r="L34" s="585"/>
      <c r="M34" s="585"/>
      <c r="N34" s="585"/>
      <c r="O34" s="585"/>
      <c r="AF34" s="532" t="s">
        <v>1794</v>
      </c>
      <c r="AG34" s="556"/>
      <c r="AH34" s="556"/>
      <c r="AI34" s="556"/>
      <c r="AJ34" s="556"/>
      <c r="AK34" s="556"/>
    </row>
    <row r="35" customFormat="false" ht="15" hidden="false" customHeight="true" outlineLevel="0" collapsed="false">
      <c r="A35" s="578" t="s">
        <v>1795</v>
      </c>
      <c r="B35" s="578"/>
      <c r="C35" s="410" t="n">
        <f aca="false">C34-C32</f>
        <v>0</v>
      </c>
      <c r="D35" s="579" t="n">
        <f aca="false">C35*12</f>
        <v>0</v>
      </c>
      <c r="E35" s="579"/>
      <c r="F35" s="410" t="n">
        <f aca="false">IFERROR(C35/C28,0)</f>
        <v>0</v>
      </c>
      <c r="G35" s="580" t="s">
        <v>1796</v>
      </c>
      <c r="H35" s="580"/>
      <c r="I35" s="580"/>
      <c r="J35" s="580"/>
      <c r="K35" s="580"/>
      <c r="L35" s="580"/>
      <c r="M35" s="580"/>
      <c r="N35" s="580"/>
      <c r="O35" s="580"/>
    </row>
    <row r="36" customFormat="false" ht="15" hidden="false" customHeight="true" outlineLevel="0" collapsed="false">
      <c r="A36" s="575" t="s">
        <v>1797</v>
      </c>
      <c r="B36" s="575"/>
      <c r="C36" s="553" t="n">
        <f aca="false">IFERROR(C35/C32,0)</f>
        <v>0</v>
      </c>
      <c r="D36" s="586"/>
      <c r="E36" s="586"/>
      <c r="F36" s="587"/>
      <c r="G36" s="577" t="s">
        <v>1798</v>
      </c>
      <c r="H36" s="577"/>
      <c r="I36" s="577"/>
      <c r="J36" s="577"/>
      <c r="K36" s="577"/>
      <c r="L36" s="577"/>
      <c r="M36" s="577"/>
      <c r="N36" s="577"/>
      <c r="O36" s="577"/>
      <c r="AF36" s="528" t="s">
        <v>1799</v>
      </c>
      <c r="AG36" s="528"/>
      <c r="AH36" s="528"/>
      <c r="AI36" s="528"/>
      <c r="AJ36" s="528"/>
      <c r="AK36" s="528"/>
    </row>
    <row r="37" customFormat="false" ht="25.5" hidden="false" customHeight="true" outlineLevel="0" collapsed="false">
      <c r="A37" s="578" t="s">
        <v>1800</v>
      </c>
      <c r="B37" s="578"/>
      <c r="C37" s="410" t="n">
        <f aca="false">C34-C33</f>
        <v>0</v>
      </c>
      <c r="D37" s="579" t="n">
        <f aca="false">C37*12</f>
        <v>0</v>
      </c>
      <c r="E37" s="579"/>
      <c r="F37" s="410" t="n">
        <f aca="false">IFERROR(C37/C28,0)</f>
        <v>0</v>
      </c>
      <c r="G37" s="580" t="s">
        <v>1801</v>
      </c>
      <c r="H37" s="580"/>
      <c r="I37" s="580"/>
      <c r="J37" s="580"/>
      <c r="K37" s="580"/>
      <c r="L37" s="580"/>
      <c r="M37" s="580"/>
      <c r="N37" s="580"/>
      <c r="O37" s="580"/>
      <c r="AF37" s="530" t="s">
        <v>547</v>
      </c>
      <c r="AG37" s="531" t="str">
        <f aca="false">IF(R8="","Comp 1",R8)</f>
        <v>Comp 1</v>
      </c>
      <c r="AH37" s="531" t="str">
        <f aca="false">IF(R9="","Comp 2",R9)</f>
        <v>Comp 2</v>
      </c>
      <c r="AI37" s="531" t="str">
        <f aca="false">IF(R10="","Comp 3",R10)</f>
        <v>Comp 3</v>
      </c>
      <c r="AJ37" s="531" t="str">
        <f aca="false">IF(R11="","Comp 4",R11)</f>
        <v>Comp 4</v>
      </c>
      <c r="AK37" s="531" t="str">
        <f aca="false">IF(R12="","Comp 5",R12)</f>
        <v>Comp 5</v>
      </c>
    </row>
    <row r="38" customFormat="false" ht="15" hidden="false" customHeight="true" outlineLevel="0" collapsed="false">
      <c r="AF38" s="539" t="s">
        <v>1802</v>
      </c>
      <c r="AG38" s="533"/>
      <c r="AH38" s="533"/>
      <c r="AI38" s="533"/>
      <c r="AJ38" s="533"/>
      <c r="AK38" s="533"/>
    </row>
    <row r="39" customFormat="false" ht="15" hidden="false" customHeight="true" outlineLevel="0" collapsed="false">
      <c r="AF39" s="539" t="s">
        <v>1803</v>
      </c>
      <c r="AG39" s="533"/>
      <c r="AH39" s="533"/>
      <c r="AI39" s="533"/>
      <c r="AJ39" s="533"/>
      <c r="AK39" s="533"/>
    </row>
    <row r="40" customFormat="false" ht="15" hidden="false" customHeight="true" outlineLevel="0" collapsed="false">
      <c r="A40" s="527" t="s">
        <v>1804</v>
      </c>
      <c r="B40" s="527"/>
      <c r="C40" s="527"/>
      <c r="D40" s="527"/>
      <c r="E40" s="527"/>
      <c r="F40" s="527"/>
      <c r="G40" s="527"/>
      <c r="H40" s="527"/>
      <c r="I40" s="527"/>
      <c r="J40" s="527"/>
      <c r="K40" s="527"/>
      <c r="AF40" s="539" t="s">
        <v>1805</v>
      </c>
      <c r="AG40" s="533"/>
      <c r="AH40" s="533"/>
      <c r="AI40" s="533"/>
      <c r="AJ40" s="533"/>
      <c r="AK40" s="533"/>
    </row>
    <row r="41" customFormat="false" ht="15" hidden="false" customHeight="true" outlineLevel="0" collapsed="false">
      <c r="A41" s="403" t="s">
        <v>1806</v>
      </c>
      <c r="B41" s="403"/>
      <c r="C41" s="403"/>
      <c r="D41" s="403"/>
      <c r="E41" s="403"/>
      <c r="F41" s="403" t="s">
        <v>1807</v>
      </c>
      <c r="G41" s="403"/>
      <c r="H41" s="403"/>
      <c r="I41" s="403" t="s">
        <v>1808</v>
      </c>
      <c r="J41" s="403"/>
      <c r="K41" s="403"/>
      <c r="AF41" s="539" t="s">
        <v>1809</v>
      </c>
      <c r="AG41" s="533"/>
      <c r="AH41" s="533"/>
      <c r="AI41" s="533"/>
      <c r="AJ41" s="533"/>
      <c r="AK41" s="533"/>
    </row>
    <row r="42" customFormat="false" ht="15" hidden="false" customHeight="true" outlineLevel="0" collapsed="false">
      <c r="A42" s="588" t="s">
        <v>1227</v>
      </c>
      <c r="B42" s="588" t="s">
        <v>369</v>
      </c>
      <c r="C42" s="588" t="s">
        <v>1336</v>
      </c>
      <c r="D42" s="588" t="s">
        <v>1810</v>
      </c>
      <c r="E42" s="588" t="s">
        <v>1811</v>
      </c>
      <c r="F42" s="588" t="s">
        <v>1812</v>
      </c>
      <c r="G42" s="588" t="s">
        <v>1813</v>
      </c>
      <c r="H42" s="588" t="s">
        <v>1814</v>
      </c>
      <c r="I42" s="588" t="s">
        <v>1812</v>
      </c>
      <c r="J42" s="588" t="s">
        <v>1813</v>
      </c>
      <c r="K42" s="588" t="s">
        <v>1814</v>
      </c>
      <c r="AF42" s="539" t="s">
        <v>1815</v>
      </c>
      <c r="AG42" s="533"/>
      <c r="AH42" s="533"/>
      <c r="AI42" s="533"/>
      <c r="AJ42" s="533"/>
      <c r="AK42" s="533"/>
    </row>
    <row r="43" customFormat="false" ht="15" hidden="false" customHeight="true" outlineLevel="0" collapsed="false">
      <c r="A43" s="589" t="str">
        <f aca="false">IF($A$7="","",$A$7)</f>
        <v/>
      </c>
      <c r="B43" s="535" t="str">
        <f aca="false">IF($A43="","",COUNTIF('Rent Roll Analysis'!$C$273:$C$1772,$A43))</f>
        <v/>
      </c>
      <c r="C43" s="535" t="str">
        <f aca="false">IF($A43="","",IFERROR(AVERAGEIF('Rent Roll Analysis'!$C$273:$C$1772,$A43,'Rent Roll Analysis'!$D$273:$D$1772),0))</f>
        <v/>
      </c>
      <c r="D43" s="535" t="str">
        <f aca="false" t="array" ref="D43:D43">IF($A43="","",IFERROR(MIN(IF(('Rent Roll Analysis'!$C$273:$C$1772=$A43)*('Rent Roll Analysis'!$D$273:$D$1772&gt;0),'Rent Roll Analysis'!$D$273:$D$1772)),0))</f>
        <v/>
      </c>
      <c r="E43" s="535" t="str">
        <f aca="false" t="array" ref="E43:E43">IF($A43="","",IFERROR(MAX(IF('Rent Roll Analysis'!$C$273:$C$1772=$A43,'Rent Roll Analysis'!$D$273:$D$1772)),0))</f>
        <v/>
      </c>
      <c r="F43" s="536" t="str">
        <f aca="false">IF($A43="","",IFERROR(AVERAGEIFS('Rent Roll Analysis'!$N$273:$N$1772,'Rent Roll Analysis'!$C$273:$C$1772,$A43,'Rent Roll Analysis'!$E$273:$E$1772,"Occupied*"),0))</f>
        <v/>
      </c>
      <c r="G43" s="536" t="str">
        <f aca="false" t="array" ref="G43:G43">IF($A43="","",IFERROR(MIN(IF(('Rent Roll Analysis'!$C$273:$C$1772=$A43)*(LEFT('Rent Roll Analysis'!$E$273:$E$1772,8)="Occupied")*('Rent Roll Analysis'!$N$273:$N$1772&gt;0),'Rent Roll Analysis'!$N$273:$N$1772)),0))</f>
        <v/>
      </c>
      <c r="H43" s="536" t="str">
        <f aca="false" t="array" ref="H43:H43">IF($A43="","",IFERROR(MAX(IF(('Rent Roll Analysis'!$C$273:$C$1772=$A43)*(LEFT('Rent Roll Analysis'!$E$273:$E$1772,8)="Occupied"),'Rent Roll Analysis'!$N$273:$N$1772)),0))</f>
        <v/>
      </c>
      <c r="I43" s="536" t="str">
        <f aca="false">IF($A43="","",IFERROR(AVERAGEIFS('Rent Roll Analysis'!$L$273:$L$1772,'Rent Roll Analysis'!$C$273:$C$1772,$A43,'Rent Roll Analysis'!$L$273:$L$1772,"&gt;0"),0))</f>
        <v/>
      </c>
      <c r="J43" s="536" t="str">
        <f aca="false" t="array" ref="J43:J43">IF($A43="","",IFERROR(MIN(IF(('Rent Roll Analysis'!$C$273:$C$1772=$A43)*('Rent Roll Analysis'!$L$273:$L$1772&gt;0),'Rent Roll Analysis'!$L$273:$L$1772)),0))</f>
        <v/>
      </c>
      <c r="K43" s="536" t="str">
        <f aca="false" t="array" ref="K43:K43">IF($A43="","",IFERROR(MAX(IF('Rent Roll Analysis'!$C$273:$C$1772=$A43,'Rent Roll Analysis'!$L$273:$L$1772)),0))</f>
        <v/>
      </c>
      <c r="AF43" s="539" t="s">
        <v>1816</v>
      </c>
      <c r="AG43" s="533"/>
      <c r="AH43" s="533"/>
      <c r="AI43" s="533"/>
      <c r="AJ43" s="533"/>
      <c r="AK43" s="533"/>
    </row>
    <row r="44" customFormat="false" ht="15" hidden="false" customHeight="true" outlineLevel="0" collapsed="false">
      <c r="A44" s="590" t="str">
        <f aca="false">IF($A$8="","",$A$8)</f>
        <v/>
      </c>
      <c r="B44" s="551" t="str">
        <f aca="false">IF($A44="","",COUNTIF('Rent Roll Analysis'!$C$273:$C$1772,$A44))</f>
        <v/>
      </c>
      <c r="C44" s="551" t="str">
        <f aca="false">IF($A44="","",IFERROR(AVERAGEIF('Rent Roll Analysis'!$C$273:$C$1772,$A44,'Rent Roll Analysis'!$D$273:$D$1772),0))</f>
        <v/>
      </c>
      <c r="D44" s="551" t="str">
        <f aca="false" t="array" ref="D44:D44">IF($A44="","",IFERROR(MIN(IF(('Rent Roll Analysis'!$C$273:$C$1772=$A44)*('Rent Roll Analysis'!$D$273:$D$1772&gt;0),'Rent Roll Analysis'!$D$273:$D$1772)),0))</f>
        <v/>
      </c>
      <c r="E44" s="551" t="str">
        <f aca="false" t="array" ref="E44:E44">IF($A44="","",IFERROR(MAX(IF('Rent Roll Analysis'!$C$273:$C$1772=$A44,'Rent Roll Analysis'!$D$273:$D$1772)),0))</f>
        <v/>
      </c>
      <c r="F44" s="552" t="str">
        <f aca="false">IF($A44="","",IFERROR(AVERAGEIFS('Rent Roll Analysis'!$N$273:$N$1772,'Rent Roll Analysis'!$C$273:$C$1772,$A44,'Rent Roll Analysis'!$E$273:$E$1772,"Occupied*"),0))</f>
        <v/>
      </c>
      <c r="G44" s="552" t="str">
        <f aca="false" t="array" ref="G44:G44">IF($A44="","",IFERROR(MIN(IF(('Rent Roll Analysis'!$C$273:$C$1772=$A44)*(LEFT('Rent Roll Analysis'!$E$273:$E$1772,8)="Occupied")*('Rent Roll Analysis'!$N$273:$N$1772&gt;0),'Rent Roll Analysis'!$N$273:$N$1772)),0))</f>
        <v/>
      </c>
      <c r="H44" s="552" t="str">
        <f aca="false" t="array" ref="H44:H44">IF($A44="","",IFERROR(MAX(IF(('Rent Roll Analysis'!$C$273:$C$1772=$A44)*(LEFT('Rent Roll Analysis'!$E$273:$E$1772,8)="Occupied"),'Rent Roll Analysis'!$N$273:$N$1772)),0))</f>
        <v/>
      </c>
      <c r="I44" s="552" t="str">
        <f aca="false">IF($A44="","",IFERROR(AVERAGEIFS('Rent Roll Analysis'!$L$273:$L$1772,'Rent Roll Analysis'!$C$273:$C$1772,$A44,'Rent Roll Analysis'!$L$273:$L$1772,"&gt;0"),0))</f>
        <v/>
      </c>
      <c r="J44" s="552" t="str">
        <f aca="false" t="array" ref="J44:J44">IF($A44="","",IFERROR(MIN(IF(('Rent Roll Analysis'!$C$273:$C$1772=$A44)*('Rent Roll Analysis'!$L$273:$L$1772&gt;0),'Rent Roll Analysis'!$L$273:$L$1772)),0))</f>
        <v/>
      </c>
      <c r="K44" s="552" t="str">
        <f aca="false" t="array" ref="K44:K44">IF($A44="","",IFERROR(MAX(IF('Rent Roll Analysis'!$C$273:$C$1772=$A44,'Rent Roll Analysis'!$L$273:$L$1772)),0))</f>
        <v/>
      </c>
      <c r="AF44" s="539" t="s">
        <v>1817</v>
      </c>
      <c r="AG44" s="533"/>
      <c r="AH44" s="533"/>
      <c r="AI44" s="533"/>
      <c r="AJ44" s="533"/>
      <c r="AK44" s="533"/>
    </row>
    <row r="45" customFormat="false" ht="15" hidden="false" customHeight="true" outlineLevel="0" collapsed="false">
      <c r="A45" s="589" t="str">
        <f aca="false">IF($A$9="","",$A$9)</f>
        <v/>
      </c>
      <c r="B45" s="535" t="str">
        <f aca="false">IF($A45="","",COUNTIF('Rent Roll Analysis'!$C$273:$C$1772,$A45))</f>
        <v/>
      </c>
      <c r="C45" s="535" t="str">
        <f aca="false">IF($A45="","",IFERROR(AVERAGEIF('Rent Roll Analysis'!$C$273:$C$1772,$A45,'Rent Roll Analysis'!$D$273:$D$1772),0))</f>
        <v/>
      </c>
      <c r="D45" s="535" t="str">
        <f aca="false" t="array" ref="D45:D45">IF($A45="","",IFERROR(MIN(IF(('Rent Roll Analysis'!$C$273:$C$1772=$A45)*('Rent Roll Analysis'!$D$273:$D$1772&gt;0),'Rent Roll Analysis'!$D$273:$D$1772)),0))</f>
        <v/>
      </c>
      <c r="E45" s="535" t="str">
        <f aca="false" t="array" ref="E45:E45">IF($A45="","",IFERROR(MAX(IF('Rent Roll Analysis'!$C$273:$C$1772=$A45,'Rent Roll Analysis'!$D$273:$D$1772)),0))</f>
        <v/>
      </c>
      <c r="F45" s="536" t="str">
        <f aca="false">IF($A45="","",IFERROR(AVERAGEIFS('Rent Roll Analysis'!$N$273:$N$1772,'Rent Roll Analysis'!$C$273:$C$1772,$A45,'Rent Roll Analysis'!$E$273:$E$1772,"Occupied*"),0))</f>
        <v/>
      </c>
      <c r="G45" s="536" t="str">
        <f aca="false" t="array" ref="G45:G45">IF($A45="","",IFERROR(MIN(IF(('Rent Roll Analysis'!$C$273:$C$1772=$A45)*(LEFT('Rent Roll Analysis'!$E$273:$E$1772,8)="Occupied")*('Rent Roll Analysis'!$N$273:$N$1772&gt;0),'Rent Roll Analysis'!$N$273:$N$1772)),0))</f>
        <v/>
      </c>
      <c r="H45" s="536" t="str">
        <f aca="false" t="array" ref="H45:H45">IF($A45="","",IFERROR(MAX(IF(('Rent Roll Analysis'!$C$273:$C$1772=$A45)*(LEFT('Rent Roll Analysis'!$E$273:$E$1772,8)="Occupied"),'Rent Roll Analysis'!$N$273:$N$1772)),0))</f>
        <v/>
      </c>
      <c r="I45" s="536" t="str">
        <f aca="false">IF($A45="","",IFERROR(AVERAGEIFS('Rent Roll Analysis'!$L$273:$L$1772,'Rent Roll Analysis'!$C$273:$C$1772,$A45,'Rent Roll Analysis'!$L$273:$L$1772,"&gt;0"),0))</f>
        <v/>
      </c>
      <c r="J45" s="536" t="str">
        <f aca="false" t="array" ref="J45:J45">IF($A45="","",IFERROR(MIN(IF(('Rent Roll Analysis'!$C$273:$C$1772=$A45)*('Rent Roll Analysis'!$L$273:$L$1772&gt;0),'Rent Roll Analysis'!$L$273:$L$1772)),0))</f>
        <v/>
      </c>
      <c r="K45" s="536" t="str">
        <f aca="false" t="array" ref="K45:K45">IF($A45="","",IFERROR(MAX(IF('Rent Roll Analysis'!$C$273:$C$1772=$A45,'Rent Roll Analysis'!$L$273:$L$1772)),0))</f>
        <v/>
      </c>
      <c r="AF45" s="539" t="s">
        <v>1818</v>
      </c>
      <c r="AG45" s="533"/>
      <c r="AH45" s="533"/>
      <c r="AI45" s="533"/>
      <c r="AJ45" s="533"/>
      <c r="AK45" s="533"/>
    </row>
    <row r="46" customFormat="false" ht="15" hidden="false" customHeight="true" outlineLevel="0" collapsed="false">
      <c r="A46" s="590" t="str">
        <f aca="false">IF($A$10="","",$A$10)</f>
        <v/>
      </c>
      <c r="B46" s="551" t="str">
        <f aca="false">IF($A46="","",COUNTIF('Rent Roll Analysis'!$C$273:$C$1772,$A46))</f>
        <v/>
      </c>
      <c r="C46" s="551" t="str">
        <f aca="false">IF($A46="","",IFERROR(AVERAGEIF('Rent Roll Analysis'!$C$273:$C$1772,$A46,'Rent Roll Analysis'!$D$273:$D$1772),0))</f>
        <v/>
      </c>
      <c r="D46" s="551" t="str">
        <f aca="false" t="array" ref="D46:D46">IF($A46="","",IFERROR(MIN(IF(('Rent Roll Analysis'!$C$273:$C$1772=$A46)*('Rent Roll Analysis'!$D$273:$D$1772&gt;0),'Rent Roll Analysis'!$D$273:$D$1772)),0))</f>
        <v/>
      </c>
      <c r="E46" s="551" t="str">
        <f aca="false" t="array" ref="E46:E46">IF($A46="","",IFERROR(MAX(IF('Rent Roll Analysis'!$C$273:$C$1772=$A46,'Rent Roll Analysis'!$D$273:$D$1772)),0))</f>
        <v/>
      </c>
      <c r="F46" s="552" t="str">
        <f aca="false">IF($A46="","",IFERROR(AVERAGEIFS('Rent Roll Analysis'!$N$273:$N$1772,'Rent Roll Analysis'!$C$273:$C$1772,$A46,'Rent Roll Analysis'!$E$273:$E$1772,"Occupied*"),0))</f>
        <v/>
      </c>
      <c r="G46" s="552" t="str">
        <f aca="false" t="array" ref="G46:G46">IF($A46="","",IFERROR(MIN(IF(('Rent Roll Analysis'!$C$273:$C$1772=$A46)*(LEFT('Rent Roll Analysis'!$E$273:$E$1772,8)="Occupied")*('Rent Roll Analysis'!$N$273:$N$1772&gt;0),'Rent Roll Analysis'!$N$273:$N$1772)),0))</f>
        <v/>
      </c>
      <c r="H46" s="552" t="str">
        <f aca="false" t="array" ref="H46:H46">IF($A46="","",IFERROR(MAX(IF(('Rent Roll Analysis'!$C$273:$C$1772=$A46)*(LEFT('Rent Roll Analysis'!$E$273:$E$1772,8)="Occupied"),'Rent Roll Analysis'!$N$273:$N$1772)),0))</f>
        <v/>
      </c>
      <c r="I46" s="552" t="str">
        <f aca="false">IF($A46="","",IFERROR(AVERAGEIFS('Rent Roll Analysis'!$L$273:$L$1772,'Rent Roll Analysis'!$C$273:$C$1772,$A46,'Rent Roll Analysis'!$L$273:$L$1772,"&gt;0"),0))</f>
        <v/>
      </c>
      <c r="J46" s="552" t="str">
        <f aca="false" t="array" ref="J46:J46">IF($A46="","",IFERROR(MIN(IF(('Rent Roll Analysis'!$C$273:$C$1772=$A46)*('Rent Roll Analysis'!$L$273:$L$1772&gt;0),'Rent Roll Analysis'!$L$273:$L$1772)),0))</f>
        <v/>
      </c>
      <c r="K46" s="552" t="str">
        <f aca="false" t="array" ref="K46:K46">IF($A46="","",IFERROR(MAX(IF('Rent Roll Analysis'!$C$273:$C$1772=$A46,'Rent Roll Analysis'!$L$273:$L$1772)),0))</f>
        <v/>
      </c>
      <c r="AF46" s="539" t="s">
        <v>1819</v>
      </c>
      <c r="AG46" s="533"/>
      <c r="AH46" s="533"/>
      <c r="AI46" s="533"/>
      <c r="AJ46" s="533"/>
      <c r="AK46" s="533"/>
    </row>
    <row r="47" customFormat="false" ht="15" hidden="false" customHeight="true" outlineLevel="0" collapsed="false">
      <c r="A47" s="589" t="str">
        <f aca="false">IF($A$11="","",$A$11)</f>
        <v/>
      </c>
      <c r="B47" s="535" t="str">
        <f aca="false">IF($A47="","",COUNTIF('Rent Roll Analysis'!$C$273:$C$1772,$A47))</f>
        <v/>
      </c>
      <c r="C47" s="535" t="str">
        <f aca="false">IF($A47="","",IFERROR(AVERAGEIF('Rent Roll Analysis'!$C$273:$C$1772,$A47,'Rent Roll Analysis'!$D$273:$D$1772),0))</f>
        <v/>
      </c>
      <c r="D47" s="535" t="str">
        <f aca="false" t="array" ref="D47:D47">IF($A47="","",IFERROR(MIN(IF(('Rent Roll Analysis'!$C$273:$C$1772=$A47)*('Rent Roll Analysis'!$D$273:$D$1772&gt;0),'Rent Roll Analysis'!$D$273:$D$1772)),0))</f>
        <v/>
      </c>
      <c r="E47" s="535" t="str">
        <f aca="false" t="array" ref="E47:E47">IF($A47="","",IFERROR(MAX(IF('Rent Roll Analysis'!$C$273:$C$1772=$A47,'Rent Roll Analysis'!$D$273:$D$1772)),0))</f>
        <v/>
      </c>
      <c r="F47" s="536" t="str">
        <f aca="false">IF($A47="","",IFERROR(AVERAGEIFS('Rent Roll Analysis'!$N$273:$N$1772,'Rent Roll Analysis'!$C$273:$C$1772,$A47,'Rent Roll Analysis'!$E$273:$E$1772,"Occupied*"),0))</f>
        <v/>
      </c>
      <c r="G47" s="536" t="str">
        <f aca="false" t="array" ref="G47:G47">IF($A47="","",IFERROR(MIN(IF(('Rent Roll Analysis'!$C$273:$C$1772=$A47)*(LEFT('Rent Roll Analysis'!$E$273:$E$1772,8)="Occupied")*('Rent Roll Analysis'!$N$273:$N$1772&gt;0),'Rent Roll Analysis'!$N$273:$N$1772)),0))</f>
        <v/>
      </c>
      <c r="H47" s="536" t="str">
        <f aca="false" t="array" ref="H47:H47">IF($A47="","",IFERROR(MAX(IF(('Rent Roll Analysis'!$C$273:$C$1772=$A47)*(LEFT('Rent Roll Analysis'!$E$273:$E$1772,8)="Occupied"),'Rent Roll Analysis'!$N$273:$N$1772)),0))</f>
        <v/>
      </c>
      <c r="I47" s="536" t="str">
        <f aca="false">IF($A47="","",IFERROR(AVERAGEIFS('Rent Roll Analysis'!$L$273:$L$1772,'Rent Roll Analysis'!$C$273:$C$1772,$A47,'Rent Roll Analysis'!$L$273:$L$1772,"&gt;0"),0))</f>
        <v/>
      </c>
      <c r="J47" s="536" t="str">
        <f aca="false" t="array" ref="J47:J47">IF($A47="","",IFERROR(MIN(IF(('Rent Roll Analysis'!$C$273:$C$1772=$A47)*('Rent Roll Analysis'!$L$273:$L$1772&gt;0),'Rent Roll Analysis'!$L$273:$L$1772)),0))</f>
        <v/>
      </c>
      <c r="K47" s="536" t="str">
        <f aca="false" t="array" ref="K47:K47">IF($A47="","",IFERROR(MAX(IF('Rent Roll Analysis'!$C$273:$C$1772=$A47,'Rent Roll Analysis'!$L$273:$L$1772)),0))</f>
        <v/>
      </c>
      <c r="AF47" s="539" t="s">
        <v>1820</v>
      </c>
      <c r="AG47" s="533"/>
      <c r="AH47" s="533"/>
      <c r="AI47" s="533"/>
      <c r="AJ47" s="533"/>
      <c r="AK47" s="533"/>
    </row>
    <row r="48" customFormat="false" ht="15" hidden="false" customHeight="true" outlineLevel="0" collapsed="false">
      <c r="A48" s="590" t="str">
        <f aca="false">IF($A$12="","",$A$12)</f>
        <v/>
      </c>
      <c r="B48" s="551" t="str">
        <f aca="false">IF($A48="","",COUNTIF('Rent Roll Analysis'!$C$273:$C$1772,$A48))</f>
        <v/>
      </c>
      <c r="C48" s="551" t="str">
        <f aca="false">IF($A48="","",IFERROR(AVERAGEIF('Rent Roll Analysis'!$C$273:$C$1772,$A48,'Rent Roll Analysis'!$D$273:$D$1772),0))</f>
        <v/>
      </c>
      <c r="D48" s="551" t="str">
        <f aca="false" t="array" ref="D48:D48">IF($A48="","",IFERROR(MIN(IF(('Rent Roll Analysis'!$C$273:$C$1772=$A48)*('Rent Roll Analysis'!$D$273:$D$1772&gt;0),'Rent Roll Analysis'!$D$273:$D$1772)),0))</f>
        <v/>
      </c>
      <c r="E48" s="551" t="str">
        <f aca="false" t="array" ref="E48:E48">IF($A48="","",IFERROR(MAX(IF('Rent Roll Analysis'!$C$273:$C$1772=$A48,'Rent Roll Analysis'!$D$273:$D$1772)),0))</f>
        <v/>
      </c>
      <c r="F48" s="552" t="str">
        <f aca="false">IF($A48="","",IFERROR(AVERAGEIFS('Rent Roll Analysis'!$N$273:$N$1772,'Rent Roll Analysis'!$C$273:$C$1772,$A48,'Rent Roll Analysis'!$E$273:$E$1772,"Occupied*"),0))</f>
        <v/>
      </c>
      <c r="G48" s="552" t="str">
        <f aca="false" t="array" ref="G48:G48">IF($A48="","",IFERROR(MIN(IF(('Rent Roll Analysis'!$C$273:$C$1772=$A48)*(LEFT('Rent Roll Analysis'!$E$273:$E$1772,8)="Occupied")*('Rent Roll Analysis'!$N$273:$N$1772&gt;0),'Rent Roll Analysis'!$N$273:$N$1772)),0))</f>
        <v/>
      </c>
      <c r="H48" s="552" t="str">
        <f aca="false" t="array" ref="H48:H48">IF($A48="","",IFERROR(MAX(IF(('Rent Roll Analysis'!$C$273:$C$1772=$A48)*(LEFT('Rent Roll Analysis'!$E$273:$E$1772,8)="Occupied"),'Rent Roll Analysis'!$N$273:$N$1772)),0))</f>
        <v/>
      </c>
      <c r="I48" s="552" t="str">
        <f aca="false">IF($A48="","",IFERROR(AVERAGEIFS('Rent Roll Analysis'!$L$273:$L$1772,'Rent Roll Analysis'!$C$273:$C$1772,$A48,'Rent Roll Analysis'!$L$273:$L$1772,"&gt;0"),0))</f>
        <v/>
      </c>
      <c r="J48" s="552" t="str">
        <f aca="false" t="array" ref="J48:J48">IF($A48="","",IFERROR(MIN(IF(('Rent Roll Analysis'!$C$273:$C$1772=$A48)*('Rent Roll Analysis'!$L$273:$L$1772&gt;0),'Rent Roll Analysis'!$L$273:$L$1772)),0))</f>
        <v/>
      </c>
      <c r="K48" s="552" t="str">
        <f aca="false" t="array" ref="K48:K48">IF($A48="","",IFERROR(MAX(IF('Rent Roll Analysis'!$C$273:$C$1772=$A48,'Rent Roll Analysis'!$L$273:$L$1772)),0))</f>
        <v/>
      </c>
    </row>
    <row r="49" customFormat="false" ht="15" hidden="false" customHeight="true" outlineLevel="0" collapsed="false">
      <c r="A49" s="589" t="str">
        <f aca="false">IF($A$13="","",$A$13)</f>
        <v/>
      </c>
      <c r="B49" s="535" t="str">
        <f aca="false">IF($A49="","",COUNTIF('Rent Roll Analysis'!$C$273:$C$1772,$A49))</f>
        <v/>
      </c>
      <c r="C49" s="535" t="str">
        <f aca="false">IF($A49="","",IFERROR(AVERAGEIF('Rent Roll Analysis'!$C$273:$C$1772,$A49,'Rent Roll Analysis'!$D$273:$D$1772),0))</f>
        <v/>
      </c>
      <c r="D49" s="535" t="str">
        <f aca="false" t="array" ref="D49:D49">IF($A49="","",IFERROR(MIN(IF(('Rent Roll Analysis'!$C$273:$C$1772=$A49)*('Rent Roll Analysis'!$D$273:$D$1772&gt;0),'Rent Roll Analysis'!$D$273:$D$1772)),0))</f>
        <v/>
      </c>
      <c r="E49" s="535" t="str">
        <f aca="false" t="array" ref="E49:E49">IF($A49="","",IFERROR(MAX(IF('Rent Roll Analysis'!$C$273:$C$1772=$A49,'Rent Roll Analysis'!$D$273:$D$1772)),0))</f>
        <v/>
      </c>
      <c r="F49" s="536" t="str">
        <f aca="false">IF($A49="","",IFERROR(AVERAGEIFS('Rent Roll Analysis'!$N$273:$N$1772,'Rent Roll Analysis'!$C$273:$C$1772,$A49,'Rent Roll Analysis'!$E$273:$E$1772,"Occupied*"),0))</f>
        <v/>
      </c>
      <c r="G49" s="536" t="str">
        <f aca="false" t="array" ref="G49:G49">IF($A49="","",IFERROR(MIN(IF(('Rent Roll Analysis'!$C$273:$C$1772=$A49)*(LEFT('Rent Roll Analysis'!$E$273:$E$1772,8)="Occupied")*('Rent Roll Analysis'!$N$273:$N$1772&gt;0),'Rent Roll Analysis'!$N$273:$N$1772)),0))</f>
        <v/>
      </c>
      <c r="H49" s="536" t="str">
        <f aca="false" t="array" ref="H49:H49">IF($A49="","",IFERROR(MAX(IF(('Rent Roll Analysis'!$C$273:$C$1772=$A49)*(LEFT('Rent Roll Analysis'!$E$273:$E$1772,8)="Occupied"),'Rent Roll Analysis'!$N$273:$N$1772)),0))</f>
        <v/>
      </c>
      <c r="I49" s="536" t="str">
        <f aca="false">IF($A49="","",IFERROR(AVERAGEIFS('Rent Roll Analysis'!$L$273:$L$1772,'Rent Roll Analysis'!$C$273:$C$1772,$A49,'Rent Roll Analysis'!$L$273:$L$1772,"&gt;0"),0))</f>
        <v/>
      </c>
      <c r="J49" s="536" t="str">
        <f aca="false" t="array" ref="J49:J49">IF($A49="","",IFERROR(MIN(IF(('Rent Roll Analysis'!$C$273:$C$1772=$A49)*('Rent Roll Analysis'!$L$273:$L$1772&gt;0),'Rent Roll Analysis'!$L$273:$L$1772)),0))</f>
        <v/>
      </c>
      <c r="K49" s="536" t="str">
        <f aca="false" t="array" ref="K49:K49">IF($A49="","",IFERROR(MAX(IF('Rent Roll Analysis'!$C$273:$C$1772=$A49,'Rent Roll Analysis'!$L$273:$L$1772)),0))</f>
        <v/>
      </c>
    </row>
    <row r="50" customFormat="false" ht="15" hidden="false" customHeight="true" outlineLevel="0" collapsed="false">
      <c r="A50" s="590" t="str">
        <f aca="false">IF($A$14="","",$A$14)</f>
        <v/>
      </c>
      <c r="B50" s="551" t="str">
        <f aca="false">IF($A50="","",COUNTIF('Rent Roll Analysis'!$C$273:$C$1772,$A50))</f>
        <v/>
      </c>
      <c r="C50" s="551" t="str">
        <f aca="false">IF($A50="","",IFERROR(AVERAGEIF('Rent Roll Analysis'!$C$273:$C$1772,$A50,'Rent Roll Analysis'!$D$273:$D$1772),0))</f>
        <v/>
      </c>
      <c r="D50" s="551" t="str">
        <f aca="false" t="array" ref="D50:D50">IF($A50="","",IFERROR(MIN(IF(('Rent Roll Analysis'!$C$273:$C$1772=$A50)*('Rent Roll Analysis'!$D$273:$D$1772&gt;0),'Rent Roll Analysis'!$D$273:$D$1772)),0))</f>
        <v/>
      </c>
      <c r="E50" s="551" t="str">
        <f aca="false" t="array" ref="E50:E50">IF($A50="","",IFERROR(MAX(IF('Rent Roll Analysis'!$C$273:$C$1772=$A50,'Rent Roll Analysis'!$D$273:$D$1772)),0))</f>
        <v/>
      </c>
      <c r="F50" s="552" t="str">
        <f aca="false">IF($A50="","",IFERROR(AVERAGEIFS('Rent Roll Analysis'!$N$273:$N$1772,'Rent Roll Analysis'!$C$273:$C$1772,$A50,'Rent Roll Analysis'!$E$273:$E$1772,"Occupied*"),0))</f>
        <v/>
      </c>
      <c r="G50" s="552" t="str">
        <f aca="false" t="array" ref="G50:G50">IF($A50="","",IFERROR(MIN(IF(('Rent Roll Analysis'!$C$273:$C$1772=$A50)*(LEFT('Rent Roll Analysis'!$E$273:$E$1772,8)="Occupied")*('Rent Roll Analysis'!$N$273:$N$1772&gt;0),'Rent Roll Analysis'!$N$273:$N$1772)),0))</f>
        <v/>
      </c>
      <c r="H50" s="552" t="str">
        <f aca="false" t="array" ref="H50:H50">IF($A50="","",IFERROR(MAX(IF(('Rent Roll Analysis'!$C$273:$C$1772=$A50)*(LEFT('Rent Roll Analysis'!$E$273:$E$1772,8)="Occupied"),'Rent Roll Analysis'!$N$273:$N$1772)),0))</f>
        <v/>
      </c>
      <c r="I50" s="552" t="str">
        <f aca="false">IF($A50="","",IFERROR(AVERAGEIFS('Rent Roll Analysis'!$L$273:$L$1772,'Rent Roll Analysis'!$C$273:$C$1772,$A50,'Rent Roll Analysis'!$L$273:$L$1772,"&gt;0"),0))</f>
        <v/>
      </c>
      <c r="J50" s="552" t="str">
        <f aca="false" t="array" ref="J50:J50">IF($A50="","",IFERROR(MIN(IF(('Rent Roll Analysis'!$C$273:$C$1772=$A50)*('Rent Roll Analysis'!$L$273:$L$1772&gt;0),'Rent Roll Analysis'!$L$273:$L$1772)),0))</f>
        <v/>
      </c>
      <c r="K50" s="552" t="str">
        <f aca="false" t="array" ref="K50:K50">IF($A50="","",IFERROR(MAX(IF('Rent Roll Analysis'!$C$273:$C$1772=$A50,'Rent Roll Analysis'!$L$273:$L$1772)),0))</f>
        <v/>
      </c>
    </row>
    <row r="51" customFormat="false" ht="15" hidden="false" customHeight="true" outlineLevel="0" collapsed="false">
      <c r="A51" s="589" t="str">
        <f aca="false">IF($A$15="","",$A$15)</f>
        <v/>
      </c>
      <c r="B51" s="535" t="str">
        <f aca="false">IF($A51="","",COUNTIF('Rent Roll Analysis'!$C$273:$C$1772,$A51))</f>
        <v/>
      </c>
      <c r="C51" s="535" t="str">
        <f aca="false">IF($A51="","",IFERROR(AVERAGEIF('Rent Roll Analysis'!$C$273:$C$1772,$A51,'Rent Roll Analysis'!$D$273:$D$1772),0))</f>
        <v/>
      </c>
      <c r="D51" s="535" t="str">
        <f aca="false" t="array" ref="D51:D51">IF($A51="","",IFERROR(MIN(IF(('Rent Roll Analysis'!$C$273:$C$1772=$A51)*('Rent Roll Analysis'!$D$273:$D$1772&gt;0),'Rent Roll Analysis'!$D$273:$D$1772)),0))</f>
        <v/>
      </c>
      <c r="E51" s="535" t="str">
        <f aca="false" t="array" ref="E51:E51">IF($A51="","",IFERROR(MAX(IF('Rent Roll Analysis'!$C$273:$C$1772=$A51,'Rent Roll Analysis'!$D$273:$D$1772)),0))</f>
        <v/>
      </c>
      <c r="F51" s="536" t="str">
        <f aca="false">IF($A51="","",IFERROR(AVERAGEIFS('Rent Roll Analysis'!$N$273:$N$1772,'Rent Roll Analysis'!$C$273:$C$1772,$A51,'Rent Roll Analysis'!$E$273:$E$1772,"Occupied*"),0))</f>
        <v/>
      </c>
      <c r="G51" s="536" t="str">
        <f aca="false" t="array" ref="G51:G51">IF($A51="","",IFERROR(MIN(IF(('Rent Roll Analysis'!$C$273:$C$1772=$A51)*(LEFT('Rent Roll Analysis'!$E$273:$E$1772,8)="Occupied")*('Rent Roll Analysis'!$N$273:$N$1772&gt;0),'Rent Roll Analysis'!$N$273:$N$1772)),0))</f>
        <v/>
      </c>
      <c r="H51" s="536" t="str">
        <f aca="false" t="array" ref="H51:H51">IF($A51="","",IFERROR(MAX(IF(('Rent Roll Analysis'!$C$273:$C$1772=$A51)*(LEFT('Rent Roll Analysis'!$E$273:$E$1772,8)="Occupied"),'Rent Roll Analysis'!$N$273:$N$1772)),0))</f>
        <v/>
      </c>
      <c r="I51" s="536" t="str">
        <f aca="false">IF($A51="","",IFERROR(AVERAGEIFS('Rent Roll Analysis'!$L$273:$L$1772,'Rent Roll Analysis'!$C$273:$C$1772,$A51,'Rent Roll Analysis'!$L$273:$L$1772,"&gt;0"),0))</f>
        <v/>
      </c>
      <c r="J51" s="536" t="str">
        <f aca="false" t="array" ref="J51:J51">IF($A51="","",IFERROR(MIN(IF(('Rent Roll Analysis'!$C$273:$C$1772=$A51)*('Rent Roll Analysis'!$L$273:$L$1772&gt;0),'Rent Roll Analysis'!$L$273:$L$1772)),0))</f>
        <v/>
      </c>
      <c r="K51" s="536" t="str">
        <f aca="false" t="array" ref="K51:K51">IF($A51="","",IFERROR(MAX(IF('Rent Roll Analysis'!$C$273:$C$1772=$A51,'Rent Roll Analysis'!$L$273:$L$1772)),0))</f>
        <v/>
      </c>
    </row>
    <row r="52" customFormat="false" ht="15" hidden="false" customHeight="true" outlineLevel="0" collapsed="false">
      <c r="A52" s="590" t="str">
        <f aca="false">IF($A$16="","",$A$16)</f>
        <v/>
      </c>
      <c r="B52" s="551" t="str">
        <f aca="false">IF($A52="","",COUNTIF('Rent Roll Analysis'!$C$273:$C$1772,$A52))</f>
        <v/>
      </c>
      <c r="C52" s="551" t="str">
        <f aca="false">IF($A52="","",IFERROR(AVERAGEIF('Rent Roll Analysis'!$C$273:$C$1772,$A52,'Rent Roll Analysis'!$D$273:$D$1772),0))</f>
        <v/>
      </c>
      <c r="D52" s="551" t="str">
        <f aca="false" t="array" ref="D52:D52">IF($A52="","",IFERROR(MIN(IF(('Rent Roll Analysis'!$C$273:$C$1772=$A52)*('Rent Roll Analysis'!$D$273:$D$1772&gt;0),'Rent Roll Analysis'!$D$273:$D$1772)),0))</f>
        <v/>
      </c>
      <c r="E52" s="551" t="str">
        <f aca="false" t="array" ref="E52:E52">IF($A52="","",IFERROR(MAX(IF('Rent Roll Analysis'!$C$273:$C$1772=$A52,'Rent Roll Analysis'!$D$273:$D$1772)),0))</f>
        <v/>
      </c>
      <c r="F52" s="552" t="str">
        <f aca="false">IF($A52="","",IFERROR(AVERAGEIFS('Rent Roll Analysis'!$N$273:$N$1772,'Rent Roll Analysis'!$C$273:$C$1772,$A52,'Rent Roll Analysis'!$E$273:$E$1772,"Occupied*"),0))</f>
        <v/>
      </c>
      <c r="G52" s="552" t="str">
        <f aca="false" t="array" ref="G52:G52">IF($A52="","",IFERROR(MIN(IF(('Rent Roll Analysis'!$C$273:$C$1772=$A52)*(LEFT('Rent Roll Analysis'!$E$273:$E$1772,8)="Occupied")*('Rent Roll Analysis'!$N$273:$N$1772&gt;0),'Rent Roll Analysis'!$N$273:$N$1772)),0))</f>
        <v/>
      </c>
      <c r="H52" s="552" t="str">
        <f aca="false" t="array" ref="H52:H52">IF($A52="","",IFERROR(MAX(IF(('Rent Roll Analysis'!$C$273:$C$1772=$A52)*(LEFT('Rent Roll Analysis'!$E$273:$E$1772,8)="Occupied"),'Rent Roll Analysis'!$N$273:$N$1772)),0))</f>
        <v/>
      </c>
      <c r="I52" s="552" t="str">
        <f aca="false">IF($A52="","",IFERROR(AVERAGEIFS('Rent Roll Analysis'!$L$273:$L$1772,'Rent Roll Analysis'!$C$273:$C$1772,$A52,'Rent Roll Analysis'!$L$273:$L$1772,"&gt;0"),0))</f>
        <v/>
      </c>
      <c r="J52" s="552" t="str">
        <f aca="false" t="array" ref="J52:J52">IF($A52="","",IFERROR(MIN(IF(('Rent Roll Analysis'!$C$273:$C$1772=$A52)*('Rent Roll Analysis'!$L$273:$L$1772&gt;0),'Rent Roll Analysis'!$L$273:$L$1772)),0))</f>
        <v/>
      </c>
      <c r="K52" s="552" t="str">
        <f aca="false" t="array" ref="K52:K52">IF($A52="","",IFERROR(MAX(IF('Rent Roll Analysis'!$C$273:$C$1772=$A52,'Rent Roll Analysis'!$L$273:$L$1772)),0))</f>
        <v/>
      </c>
    </row>
    <row r="53" customFormat="false" ht="15.75" hidden="false" customHeight="true" outlineLevel="0" collapsed="false">
      <c r="A53" s="422" t="s">
        <v>361</v>
      </c>
      <c r="B53" s="423" t="n">
        <f aca="false">SUM(B43:B52)</f>
        <v>0</v>
      </c>
      <c r="C53" s="423" t="n">
        <f aca="false">IFERROR(SUMPRODUCT(C43:C52,B43:B52)/B53,0)</f>
        <v>0</v>
      </c>
      <c r="D53" s="591" t="n">
        <f aca="false" t="array" ref="D53:D53">IFERROR(MIN(IF(D43:D52&gt;0,D43:D52)),0)</f>
        <v>0</v>
      </c>
      <c r="E53" s="423" t="n">
        <f aca="false">MAX(E43:E52)</f>
        <v>0</v>
      </c>
      <c r="F53" s="426" t="n">
        <f aca="false">IFERROR(SUMPRODUCT(F43:F52,B43:B52)/B53,0)</f>
        <v>0</v>
      </c>
      <c r="G53" s="592" t="n">
        <f aca="false" t="array" ref="G53:G53">IFERROR(MIN(IF(G43:G52&gt;0,G43:G52)),0)</f>
        <v>0</v>
      </c>
      <c r="H53" s="426" t="n">
        <f aca="false">MAX(H43:H52)</f>
        <v>0</v>
      </c>
      <c r="I53" s="426" t="n">
        <f aca="false">IFERROR(SUMPRODUCT(I43:I52,B43:B52)/B53,0)</f>
        <v>0</v>
      </c>
      <c r="J53" s="592" t="n">
        <f aca="false" t="array" ref="J53:J53">IFERROR(MIN(IF(J43:J52&gt;0,J43:J52)),0)</f>
        <v>0</v>
      </c>
      <c r="K53" s="426" t="n">
        <f aca="false">MAX(K43:K52)</f>
        <v>0</v>
      </c>
    </row>
  </sheetData>
  <mergeCells count="46">
    <mergeCell ref="A1:O1"/>
    <mergeCell ref="Q1:AD1"/>
    <mergeCell ref="AF1:AK1"/>
    <mergeCell ref="A2:O2"/>
    <mergeCell ref="Q2:AD2"/>
    <mergeCell ref="AF2:AK2"/>
    <mergeCell ref="A4:O4"/>
    <mergeCell ref="Q4:AD4"/>
    <mergeCell ref="AF4:AK4"/>
    <mergeCell ref="A5:D5"/>
    <mergeCell ref="E5:H5"/>
    <mergeCell ref="I5:O5"/>
    <mergeCell ref="Q5:V5"/>
    <mergeCell ref="W5:AB5"/>
    <mergeCell ref="AC5:AD5"/>
    <mergeCell ref="A19:O19"/>
    <mergeCell ref="A20:O20"/>
    <mergeCell ref="AF23:AK23"/>
    <mergeCell ref="Q26:AD26"/>
    <mergeCell ref="A30:O30"/>
    <mergeCell ref="A31:B31"/>
    <mergeCell ref="D31:E31"/>
    <mergeCell ref="G31:O31"/>
    <mergeCell ref="A32:B32"/>
    <mergeCell ref="D32:E32"/>
    <mergeCell ref="G32:O32"/>
    <mergeCell ref="A33:B33"/>
    <mergeCell ref="D33:E33"/>
    <mergeCell ref="G33:O33"/>
    <mergeCell ref="A34:B34"/>
    <mergeCell ref="D34:E34"/>
    <mergeCell ref="G34:O34"/>
    <mergeCell ref="A35:B35"/>
    <mergeCell ref="D35:E35"/>
    <mergeCell ref="G35:O35"/>
    <mergeCell ref="A36:B36"/>
    <mergeCell ref="D36:E36"/>
    <mergeCell ref="G36:O36"/>
    <mergeCell ref="AF36:AK36"/>
    <mergeCell ref="A37:B37"/>
    <mergeCell ref="D37:E37"/>
    <mergeCell ref="G37:O37"/>
    <mergeCell ref="A40:K40"/>
    <mergeCell ref="A41:E41"/>
    <mergeCell ref="F41:H41"/>
    <mergeCell ref="I41:K41"/>
  </mergeCells>
  <dataValidations count="1">
    <dataValidation allowBlank="true" errorStyle="stop" operator="between" showDropDown="false" showErrorMessage="false" showInputMessage="false" sqref="AG6:AK20 AG38:AK47" type="list">
      <formula1>"✓,"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3" activeCellId="0" sqref="G23"/>
    </sheetView>
  </sheetViews>
  <sheetFormatPr defaultColWidth="8.8593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7" min="3" style="0" width="14"/>
  </cols>
  <sheetData>
    <row r="1" customFormat="false" ht="24" hidden="false" customHeight="true" outlineLevel="0" collapsed="false">
      <c r="A1" s="3" t="str">
        <f aca="false">IF('Prop Info'!B4="","CAPITAL EXPENDITURE BUDGET — DETAILED BREAKDOWN","CAPITAL EXPENDITURE BUDGET — DETAILED BREAKDOWN"&amp;" — "&amp;'Prop Info'!B4)</f>
        <v>CAPITAL EXPENDITURE BUDGET — DETAILED BREAKDOWN</v>
      </c>
      <c r="B1" s="3"/>
      <c r="C1" s="3"/>
      <c r="D1" s="3"/>
      <c r="E1" s="3"/>
      <c r="F1" s="3"/>
      <c r="G1" s="3"/>
    </row>
    <row r="2" customFormat="false" ht="15.75" hidden="false" customHeight="true" outlineLevel="0" collapsed="false">
      <c r="A2" s="93" t="s">
        <v>1821</v>
      </c>
      <c r="B2" s="93"/>
      <c r="C2" s="93"/>
      <c r="D2" s="93"/>
      <c r="E2" s="93"/>
      <c r="F2" s="93"/>
      <c r="G2" s="93"/>
    </row>
    <row r="3" customFormat="false" ht="30" hidden="false" customHeight="true" outlineLevel="0" collapsed="false">
      <c r="A3" s="31" t="s">
        <v>547</v>
      </c>
      <c r="B3" s="31" t="s">
        <v>1822</v>
      </c>
      <c r="C3" s="31" t="s">
        <v>1823</v>
      </c>
      <c r="D3" s="31" t="s">
        <v>1824</v>
      </c>
      <c r="E3" s="31" t="s">
        <v>1825</v>
      </c>
      <c r="F3" s="31" t="s">
        <v>1826</v>
      </c>
      <c r="G3" s="31" t="s">
        <v>55</v>
      </c>
    </row>
    <row r="4" customFormat="false" ht="19.5" hidden="false" customHeight="true" outlineLevel="0" collapsed="false">
      <c r="A4" s="94" t="s">
        <v>1827</v>
      </c>
      <c r="B4" s="94"/>
      <c r="C4" s="94"/>
      <c r="D4" s="94"/>
      <c r="E4" s="94"/>
      <c r="F4" s="94"/>
      <c r="G4" s="94"/>
    </row>
    <row r="5" customFormat="false" ht="18" hidden="false" customHeight="true" outlineLevel="0" collapsed="false">
      <c r="A5" s="297" t="s">
        <v>1828</v>
      </c>
      <c r="B5" s="593"/>
      <c r="C5" s="299"/>
      <c r="D5" s="289" t="n">
        <f aca="false">B5*C5</f>
        <v>0</v>
      </c>
      <c r="E5" s="594"/>
      <c r="F5" s="594"/>
    </row>
    <row r="6" customFormat="false" ht="18" hidden="false" customHeight="true" outlineLevel="0" collapsed="false">
      <c r="A6" s="293" t="s">
        <v>1829</v>
      </c>
      <c r="B6" s="595"/>
      <c r="C6" s="296"/>
      <c r="D6" s="452" t="n">
        <f aca="false">B6*C6</f>
        <v>0</v>
      </c>
      <c r="E6" s="596"/>
      <c r="F6" s="596"/>
    </row>
    <row r="7" customFormat="false" ht="18" hidden="false" customHeight="true" outlineLevel="0" collapsed="false">
      <c r="A7" s="297" t="s">
        <v>1830</v>
      </c>
      <c r="B7" s="593"/>
      <c r="C7" s="299"/>
      <c r="D7" s="289" t="n">
        <f aca="false">B7*C7</f>
        <v>0</v>
      </c>
      <c r="E7" s="594"/>
      <c r="F7" s="594"/>
    </row>
    <row r="8" customFormat="false" ht="18" hidden="false" customHeight="true" outlineLevel="0" collapsed="false">
      <c r="A8" s="293" t="s">
        <v>1831</v>
      </c>
      <c r="B8" s="595"/>
      <c r="C8" s="296"/>
      <c r="D8" s="452" t="n">
        <f aca="false">B8*C8</f>
        <v>0</v>
      </c>
      <c r="E8" s="596"/>
      <c r="F8" s="596"/>
    </row>
    <row r="9" customFormat="false" ht="18" hidden="false" customHeight="true" outlineLevel="0" collapsed="false">
      <c r="A9" s="297" t="s">
        <v>1832</v>
      </c>
      <c r="B9" s="593"/>
      <c r="C9" s="299"/>
      <c r="D9" s="289" t="n">
        <f aca="false">B9*C9</f>
        <v>0</v>
      </c>
      <c r="E9" s="594"/>
      <c r="F9" s="594"/>
    </row>
    <row r="10" customFormat="false" ht="18" hidden="false" customHeight="true" outlineLevel="0" collapsed="false">
      <c r="A10" s="293" t="s">
        <v>1833</v>
      </c>
      <c r="B10" s="595"/>
      <c r="C10" s="296"/>
      <c r="D10" s="452" t="n">
        <f aca="false">B10*C10</f>
        <v>0</v>
      </c>
      <c r="E10" s="596"/>
      <c r="F10" s="596"/>
    </row>
    <row r="11" customFormat="false" ht="18" hidden="false" customHeight="true" outlineLevel="0" collapsed="false">
      <c r="A11" s="597" t="s">
        <v>1834</v>
      </c>
      <c r="D11" s="519" t="n">
        <f aca="false">SUM(D5:D10)</f>
        <v>0</v>
      </c>
    </row>
    <row r="13" customFormat="false" ht="19.5" hidden="false" customHeight="true" outlineLevel="0" collapsed="false">
      <c r="A13" s="94" t="s">
        <v>1835</v>
      </c>
      <c r="B13" s="94"/>
      <c r="C13" s="94"/>
      <c r="D13" s="94"/>
      <c r="E13" s="94"/>
      <c r="F13" s="94"/>
      <c r="G13" s="94"/>
    </row>
    <row r="14" customFormat="false" ht="18" hidden="false" customHeight="true" outlineLevel="0" collapsed="false">
      <c r="A14" s="297" t="s">
        <v>1836</v>
      </c>
      <c r="B14" s="593"/>
      <c r="C14" s="299"/>
      <c r="D14" s="289" t="n">
        <f aca="false">B14*C14</f>
        <v>0</v>
      </c>
      <c r="E14" s="594"/>
      <c r="F14" s="594"/>
    </row>
    <row r="15" customFormat="false" ht="18" hidden="false" customHeight="true" outlineLevel="0" collapsed="false">
      <c r="A15" s="293" t="s">
        <v>1837</v>
      </c>
      <c r="B15" s="595"/>
      <c r="C15" s="296"/>
      <c r="D15" s="452" t="n">
        <f aca="false">B15*C15</f>
        <v>0</v>
      </c>
      <c r="E15" s="596"/>
      <c r="F15" s="596"/>
    </row>
    <row r="16" customFormat="false" ht="18" hidden="false" customHeight="true" outlineLevel="0" collapsed="false">
      <c r="A16" s="297" t="s">
        <v>1838</v>
      </c>
      <c r="B16" s="593"/>
      <c r="C16" s="299"/>
      <c r="D16" s="289" t="n">
        <f aca="false">B16*C16</f>
        <v>0</v>
      </c>
      <c r="E16" s="594"/>
      <c r="F16" s="594"/>
    </row>
    <row r="17" customFormat="false" ht="18" hidden="false" customHeight="true" outlineLevel="0" collapsed="false">
      <c r="A17" s="293" t="s">
        <v>1839</v>
      </c>
      <c r="B17" s="595"/>
      <c r="C17" s="296"/>
      <c r="D17" s="452" t="n">
        <f aca="false">B17*C17</f>
        <v>0</v>
      </c>
      <c r="E17" s="596"/>
      <c r="F17" s="596"/>
    </row>
    <row r="18" customFormat="false" ht="18" hidden="false" customHeight="true" outlineLevel="0" collapsed="false">
      <c r="A18" s="297" t="s">
        <v>1840</v>
      </c>
      <c r="B18" s="593"/>
      <c r="C18" s="299"/>
      <c r="D18" s="289" t="n">
        <f aca="false">B18*C18</f>
        <v>0</v>
      </c>
      <c r="E18" s="594"/>
      <c r="F18" s="594"/>
    </row>
    <row r="19" customFormat="false" ht="18" hidden="false" customHeight="true" outlineLevel="0" collapsed="false">
      <c r="A19" s="293" t="s">
        <v>1841</v>
      </c>
      <c r="B19" s="595"/>
      <c r="C19" s="296"/>
      <c r="D19" s="452" t="n">
        <f aca="false">B19*C19</f>
        <v>0</v>
      </c>
      <c r="E19" s="596"/>
      <c r="F19" s="596"/>
    </row>
    <row r="20" customFormat="false" ht="18" hidden="false" customHeight="true" outlineLevel="0" collapsed="false">
      <c r="A20" s="597" t="s">
        <v>1842</v>
      </c>
      <c r="D20" s="519" t="n">
        <f aca="false">SUM(D14:D19)</f>
        <v>0</v>
      </c>
    </row>
    <row r="22" customFormat="false" ht="19.5" hidden="false" customHeight="true" outlineLevel="0" collapsed="false">
      <c r="A22" s="94" t="s">
        <v>1843</v>
      </c>
      <c r="B22" s="94"/>
      <c r="C22" s="94"/>
      <c r="D22" s="94"/>
      <c r="E22" s="94"/>
      <c r="F22" s="94"/>
      <c r="G22" s="94"/>
    </row>
    <row r="23" customFormat="false" ht="18" hidden="false" customHeight="true" outlineLevel="0" collapsed="false">
      <c r="A23" s="297" t="s">
        <v>1844</v>
      </c>
      <c r="B23" s="593"/>
      <c r="C23" s="299"/>
      <c r="D23" s="289" t="n">
        <f aca="false">B23*C23</f>
        <v>0</v>
      </c>
      <c r="E23" s="594"/>
      <c r="F23" s="594"/>
    </row>
    <row r="24" customFormat="false" ht="18" hidden="false" customHeight="true" outlineLevel="0" collapsed="false">
      <c r="A24" s="293" t="s">
        <v>1845</v>
      </c>
      <c r="B24" s="595"/>
      <c r="C24" s="296"/>
      <c r="D24" s="452" t="n">
        <f aca="false">B24*C24</f>
        <v>0</v>
      </c>
      <c r="E24" s="596"/>
      <c r="F24" s="596"/>
    </row>
    <row r="25" customFormat="false" ht="18" hidden="false" customHeight="true" outlineLevel="0" collapsed="false">
      <c r="A25" s="297" t="s">
        <v>1846</v>
      </c>
      <c r="B25" s="593"/>
      <c r="C25" s="299"/>
      <c r="D25" s="289" t="n">
        <f aca="false">B25*C25</f>
        <v>0</v>
      </c>
      <c r="E25" s="594"/>
      <c r="F25" s="594"/>
    </row>
    <row r="26" customFormat="false" ht="18" hidden="false" customHeight="true" outlineLevel="0" collapsed="false">
      <c r="A26" s="293" t="s">
        <v>1847</v>
      </c>
      <c r="B26" s="595"/>
      <c r="C26" s="296"/>
      <c r="D26" s="452" t="n">
        <f aca="false">B26*C26</f>
        <v>0</v>
      </c>
      <c r="E26" s="596"/>
      <c r="F26" s="596"/>
    </row>
    <row r="27" customFormat="false" ht="18" hidden="false" customHeight="true" outlineLevel="0" collapsed="false">
      <c r="A27" s="297" t="s">
        <v>1848</v>
      </c>
      <c r="B27" s="593"/>
      <c r="C27" s="299"/>
      <c r="D27" s="289" t="n">
        <f aca="false">B27*C27</f>
        <v>0</v>
      </c>
      <c r="E27" s="594"/>
      <c r="F27" s="594"/>
    </row>
    <row r="28" customFormat="false" ht="18" hidden="false" customHeight="true" outlineLevel="0" collapsed="false">
      <c r="A28" s="293" t="s">
        <v>1849</v>
      </c>
      <c r="B28" s="595"/>
      <c r="C28" s="296"/>
      <c r="D28" s="452" t="n">
        <f aca="false">B28*C28</f>
        <v>0</v>
      </c>
      <c r="E28" s="596"/>
      <c r="F28" s="596"/>
    </row>
    <row r="29" customFormat="false" ht="18" hidden="false" customHeight="true" outlineLevel="0" collapsed="false">
      <c r="A29" s="597" t="s">
        <v>1850</v>
      </c>
      <c r="D29" s="519" t="n">
        <f aca="false">SUM(D23:D28)</f>
        <v>0</v>
      </c>
    </row>
    <row r="31" customFormat="false" ht="19.5" hidden="false" customHeight="true" outlineLevel="0" collapsed="false">
      <c r="A31" s="94" t="s">
        <v>1851</v>
      </c>
      <c r="B31" s="94"/>
      <c r="C31" s="94"/>
      <c r="D31" s="94"/>
      <c r="E31" s="94"/>
      <c r="F31" s="94"/>
      <c r="G31" s="94"/>
    </row>
    <row r="32" customFormat="false" ht="18" hidden="false" customHeight="true" outlineLevel="0" collapsed="false">
      <c r="A32" s="297" t="s">
        <v>1852</v>
      </c>
      <c r="B32" s="593"/>
      <c r="C32" s="299"/>
      <c r="D32" s="289" t="n">
        <f aca="false">B32*C32</f>
        <v>0</v>
      </c>
      <c r="E32" s="594"/>
      <c r="F32" s="594"/>
    </row>
    <row r="33" customFormat="false" ht="18" hidden="false" customHeight="true" outlineLevel="0" collapsed="false">
      <c r="A33" s="293" t="s">
        <v>1853</v>
      </c>
      <c r="B33" s="595"/>
      <c r="C33" s="296"/>
      <c r="D33" s="452" t="n">
        <f aca="false">B33*C33</f>
        <v>0</v>
      </c>
      <c r="E33" s="596"/>
      <c r="F33" s="596"/>
    </row>
    <row r="34" customFormat="false" ht="18" hidden="false" customHeight="true" outlineLevel="0" collapsed="false">
      <c r="A34" s="297" t="s">
        <v>1854</v>
      </c>
      <c r="B34" s="593"/>
      <c r="C34" s="299"/>
      <c r="D34" s="289" t="n">
        <f aca="false">B34*C34</f>
        <v>0</v>
      </c>
      <c r="E34" s="594"/>
      <c r="F34" s="594"/>
    </row>
    <row r="35" customFormat="false" ht="18" hidden="false" customHeight="true" outlineLevel="0" collapsed="false">
      <c r="A35" s="293" t="s">
        <v>1855</v>
      </c>
      <c r="B35" s="595"/>
      <c r="C35" s="296"/>
      <c r="D35" s="452" t="n">
        <f aca="false">B35*C35</f>
        <v>0</v>
      </c>
      <c r="E35" s="596"/>
      <c r="F35" s="596"/>
    </row>
    <row r="36" customFormat="false" ht="18" hidden="false" customHeight="true" outlineLevel="0" collapsed="false">
      <c r="A36" s="297" t="s">
        <v>1856</v>
      </c>
      <c r="B36" s="593"/>
      <c r="C36" s="299"/>
      <c r="D36" s="289" t="n">
        <f aca="false">B36*C36</f>
        <v>0</v>
      </c>
      <c r="E36" s="594"/>
      <c r="F36" s="594"/>
    </row>
    <row r="37" customFormat="false" ht="18" hidden="false" customHeight="true" outlineLevel="0" collapsed="false">
      <c r="A37" s="293" t="s">
        <v>1857</v>
      </c>
      <c r="B37" s="595"/>
      <c r="C37" s="296"/>
      <c r="D37" s="452" t="n">
        <f aca="false">B37*C37</f>
        <v>0</v>
      </c>
      <c r="E37" s="596"/>
      <c r="F37" s="596"/>
    </row>
    <row r="38" customFormat="false" ht="18" hidden="false" customHeight="true" outlineLevel="0" collapsed="false">
      <c r="A38" s="597" t="s">
        <v>1858</v>
      </c>
      <c r="D38" s="519" t="n">
        <f aca="false">SUM(D32:D37)</f>
        <v>0</v>
      </c>
    </row>
    <row r="40" customFormat="false" ht="19.5" hidden="false" customHeight="true" outlineLevel="0" collapsed="false">
      <c r="A40" s="94" t="s">
        <v>1859</v>
      </c>
      <c r="B40" s="94"/>
      <c r="C40" s="94"/>
      <c r="D40" s="94"/>
      <c r="E40" s="94"/>
      <c r="F40" s="94"/>
      <c r="G40" s="94"/>
    </row>
    <row r="41" customFormat="false" ht="18" hidden="false" customHeight="true" outlineLevel="0" collapsed="false">
      <c r="A41" s="297" t="s">
        <v>1860</v>
      </c>
      <c r="B41" s="593"/>
      <c r="C41" s="299"/>
      <c r="D41" s="289" t="n">
        <f aca="false">B41*C41</f>
        <v>0</v>
      </c>
      <c r="E41" s="594"/>
      <c r="F41" s="594"/>
    </row>
    <row r="42" customFormat="false" ht="18" hidden="false" customHeight="true" outlineLevel="0" collapsed="false">
      <c r="A42" s="293" t="s">
        <v>1861</v>
      </c>
      <c r="B42" s="595"/>
      <c r="C42" s="296"/>
      <c r="D42" s="452" t="n">
        <f aca="false">B42*C42</f>
        <v>0</v>
      </c>
      <c r="E42" s="596"/>
      <c r="F42" s="596"/>
    </row>
    <row r="43" customFormat="false" ht="18" hidden="false" customHeight="true" outlineLevel="0" collapsed="false">
      <c r="A43" s="297" t="s">
        <v>1862</v>
      </c>
      <c r="B43" s="593"/>
      <c r="C43" s="299"/>
      <c r="D43" s="289" t="n">
        <f aca="false">B43*C43</f>
        <v>0</v>
      </c>
      <c r="E43" s="594"/>
      <c r="F43" s="594"/>
    </row>
    <row r="44" customFormat="false" ht="18" hidden="false" customHeight="true" outlineLevel="0" collapsed="false">
      <c r="A44" s="293" t="s">
        <v>1863</v>
      </c>
      <c r="B44" s="595"/>
      <c r="C44" s="296"/>
      <c r="D44" s="452" t="n">
        <f aca="false">B44*C44</f>
        <v>0</v>
      </c>
      <c r="E44" s="596"/>
      <c r="F44" s="596"/>
    </row>
    <row r="45" customFormat="false" ht="18" hidden="false" customHeight="true" outlineLevel="0" collapsed="false">
      <c r="A45" s="597" t="s">
        <v>1864</v>
      </c>
      <c r="D45" s="519" t="n">
        <f aca="false">SUM(D41:D44)</f>
        <v>0</v>
      </c>
    </row>
    <row r="47" customFormat="false" ht="19.5" hidden="false" customHeight="true" outlineLevel="0" collapsed="false">
      <c r="A47" s="94" t="s">
        <v>1865</v>
      </c>
      <c r="B47" s="94"/>
      <c r="C47" s="94"/>
      <c r="D47" s="94"/>
      <c r="E47" s="94"/>
      <c r="F47" s="94"/>
      <c r="G47" s="94"/>
    </row>
    <row r="48" customFormat="false" ht="18" hidden="false" customHeight="true" outlineLevel="0" collapsed="false">
      <c r="A48" s="297" t="s">
        <v>1866</v>
      </c>
      <c r="B48" s="593"/>
      <c r="D48" s="289" t="n">
        <f aca="false">(D11+D20+D29+D38+D45)*0.1</f>
        <v>0</v>
      </c>
      <c r="E48" s="594"/>
      <c r="F48" s="594"/>
    </row>
    <row r="49" customFormat="false" ht="18" hidden="false" customHeight="true" outlineLevel="0" collapsed="false">
      <c r="A49" s="597" t="s">
        <v>1867</v>
      </c>
      <c r="D49" s="519" t="n">
        <f aca="false">SUM(D48)</f>
        <v>0</v>
      </c>
    </row>
    <row r="51" customFormat="false" ht="18" hidden="false" customHeight="true" outlineLevel="0" collapsed="false">
      <c r="A51" s="38" t="s">
        <v>1868</v>
      </c>
      <c r="D51" s="308" t="n">
        <f aca="false">SUM(D11,D20,D29,D38,D45,D49)</f>
        <v>0</v>
      </c>
    </row>
    <row r="52" customFormat="false" ht="18" hidden="false" customHeight="true" outlineLevel="0" collapsed="false">
      <c r="A52" s="598" t="s">
        <v>1869</v>
      </c>
      <c r="D52" s="188" t="n">
        <f aca="false">SUMIF(E4:E50,"VA",D4:D50)</f>
        <v>0</v>
      </c>
    </row>
    <row r="53" customFormat="false" ht="18" hidden="false" customHeight="true" outlineLevel="0" collapsed="false">
      <c r="A53" s="4" t="s">
        <v>1870</v>
      </c>
      <c r="D53" s="289" t="n">
        <f aca="false">SUMIF(E4:E50,"M",D4:D50)</f>
        <v>0</v>
      </c>
    </row>
    <row r="56" customFormat="false" ht="21.75" hidden="false" customHeight="true" outlineLevel="0" collapsed="false">
      <c r="A56" s="17" t="s">
        <v>1871</v>
      </c>
      <c r="B56" s="17"/>
      <c r="C56" s="17"/>
      <c r="D56" s="17"/>
      <c r="E56" s="17"/>
      <c r="F56" s="17"/>
      <c r="G56" s="17"/>
    </row>
    <row r="57" customFormat="false" ht="15" hidden="false" customHeight="true" outlineLevel="0" collapsed="false">
      <c r="A57" s="113" t="s">
        <v>1872</v>
      </c>
    </row>
    <row r="59" customFormat="false" ht="23.25" hidden="false" customHeight="true" outlineLevel="0" collapsed="false">
      <c r="A59" s="109" t="s">
        <v>1873</v>
      </c>
      <c r="B59" s="109" t="s">
        <v>369</v>
      </c>
      <c r="C59" s="109" t="s">
        <v>1874</v>
      </c>
      <c r="D59" s="109" t="s">
        <v>1875</v>
      </c>
      <c r="E59" s="127" t="s">
        <v>1876</v>
      </c>
      <c r="F59" s="109" t="s">
        <v>1877</v>
      </c>
      <c r="G59" s="109" t="s">
        <v>55</v>
      </c>
    </row>
    <row r="60" customFormat="false" ht="15" hidden="false" customHeight="true" outlineLevel="0" collapsed="false">
      <c r="A60" s="111" t="s">
        <v>257</v>
      </c>
      <c r="B60" s="505"/>
      <c r="C60" s="327" t="n">
        <v>1500</v>
      </c>
      <c r="D60" s="277" t="n">
        <f aca="false">B60*C60</f>
        <v>0</v>
      </c>
      <c r="E60" s="505" t="n">
        <v>7</v>
      </c>
      <c r="F60" s="113" t="s">
        <v>1878</v>
      </c>
      <c r="G60" s="113" t="s">
        <v>1879</v>
      </c>
    </row>
    <row r="61" customFormat="false" ht="15" hidden="false" customHeight="true" outlineLevel="0" collapsed="false">
      <c r="A61" s="111" t="s">
        <v>258</v>
      </c>
      <c r="B61" s="505"/>
      <c r="C61" s="327" t="n">
        <v>3500</v>
      </c>
      <c r="D61" s="277" t="n">
        <f aca="false">B61*C61</f>
        <v>0</v>
      </c>
      <c r="E61" s="505" t="n">
        <v>14</v>
      </c>
      <c r="F61" s="113" t="s">
        <v>1880</v>
      </c>
      <c r="G61" s="113" t="s">
        <v>1881</v>
      </c>
    </row>
    <row r="62" customFormat="false" ht="15" hidden="false" customHeight="true" outlineLevel="0" collapsed="false">
      <c r="A62" s="111" t="s">
        <v>259</v>
      </c>
      <c r="B62" s="505"/>
      <c r="C62" s="327" t="n">
        <v>7000</v>
      </c>
      <c r="D62" s="277" t="n">
        <f aca="false">B62*C62</f>
        <v>0</v>
      </c>
      <c r="E62" s="505" t="n">
        <v>30</v>
      </c>
      <c r="F62" s="113" t="s">
        <v>1882</v>
      </c>
      <c r="G62" s="113" t="s">
        <v>1883</v>
      </c>
    </row>
    <row r="63" customFormat="false" ht="15" hidden="false" customHeight="true" outlineLevel="0" collapsed="false">
      <c r="A63" s="111" t="s">
        <v>260</v>
      </c>
      <c r="B63" s="505"/>
      <c r="C63" s="327" t="n">
        <v>15000</v>
      </c>
      <c r="D63" s="277" t="n">
        <f aca="false">B63*C63</f>
        <v>0</v>
      </c>
      <c r="E63" s="505" t="n">
        <v>60</v>
      </c>
      <c r="F63" s="113" t="s">
        <v>1884</v>
      </c>
      <c r="G63" s="113" t="s">
        <v>1885</v>
      </c>
    </row>
    <row r="64" customFormat="false" ht="15" hidden="false" customHeight="true" outlineLevel="0" collapsed="false">
      <c r="A64" s="111" t="s">
        <v>261</v>
      </c>
      <c r="B64" s="505"/>
      <c r="C64" s="327" t="n">
        <v>35000</v>
      </c>
      <c r="D64" s="277" t="n">
        <f aca="false">B64*C64</f>
        <v>0</v>
      </c>
      <c r="E64" s="505" t="n">
        <v>120</v>
      </c>
      <c r="F64" s="113" t="s">
        <v>1886</v>
      </c>
      <c r="G64" s="113" t="s">
        <v>1887</v>
      </c>
    </row>
    <row r="65" customFormat="false" ht="15" hidden="false" customHeight="true" outlineLevel="0" collapsed="false">
      <c r="A65" s="313" t="s">
        <v>5</v>
      </c>
      <c r="B65" s="383" t="n">
        <f aca="false">SUM(B60:B64)</f>
        <v>0</v>
      </c>
      <c r="C65" s="313" t="s">
        <v>1888</v>
      </c>
      <c r="D65" s="314" t="n">
        <f aca="false">IFERROR(SUM(D60:D64)/B65,0)</f>
        <v>0</v>
      </c>
    </row>
    <row r="66" customFormat="false" ht="15" hidden="false" customHeight="true" outlineLevel="0" collapsed="false">
      <c r="A66" s="126" t="s">
        <v>262</v>
      </c>
      <c r="B66" s="124"/>
      <c r="C66" s="599" t="n">
        <v>0.1</v>
      </c>
      <c r="D66" s="309" t="n">
        <f aca="false">SUM(D60:D64)*C66</f>
        <v>0</v>
      </c>
    </row>
    <row r="67" customFormat="false" ht="15" hidden="false" customHeight="true" outlineLevel="0" collapsed="false">
      <c r="A67" s="126" t="s">
        <v>1889</v>
      </c>
      <c r="D67" s="309" t="n">
        <f aca="false">SUM(D60:D64)+D66</f>
        <v>0</v>
      </c>
    </row>
    <row r="69" customFormat="false" ht="15" hidden="false" customHeight="true" outlineLevel="0" collapsed="false">
      <c r="A69" s="111" t="s">
        <v>263</v>
      </c>
      <c r="B69" s="505" t="n">
        <v>8</v>
      </c>
      <c r="C69" s="111" t="s">
        <v>1890</v>
      </c>
      <c r="D69" s="600" t="n">
        <f aca="false">IFERROR(B65/B69,0)</f>
        <v>0</v>
      </c>
      <c r="E69" s="111" t="s">
        <v>1891</v>
      </c>
      <c r="F69" s="120" t="str">
        <f aca="false">Scenarios!F39</f>
        <v/>
      </c>
      <c r="G69" s="111" t="s">
        <v>1892</v>
      </c>
    </row>
    <row r="70" customFormat="false" ht="15" hidden="false" customHeight="true" outlineLevel="0" collapsed="false">
      <c r="A70" s="126" t="s">
        <v>1893</v>
      </c>
      <c r="D70" s="309" t="e">
        <f aca="false">B60*E60/30*F69+B61*E61/30*F69+B62*E62/30*F69+B63*E63/30*F69+B64*E64/30*F69</f>
        <v>#VALUE!</v>
      </c>
    </row>
    <row r="72" customFormat="false" ht="15" hidden="false" customHeight="true" outlineLevel="0" collapsed="false">
      <c r="A72" s="123" t="s">
        <v>1894</v>
      </c>
      <c r="D72" s="601" t="e">
        <f aca="false">D51+D67+D70</f>
        <v>#VALUE!</v>
      </c>
      <c r="F72" s="107" t="s">
        <v>1895</v>
      </c>
      <c r="G72" s="107"/>
    </row>
  </sheetData>
  <mergeCells count="10">
    <mergeCell ref="A1:G1"/>
    <mergeCell ref="A2:G2"/>
    <mergeCell ref="A4:G4"/>
    <mergeCell ref="A13:G13"/>
    <mergeCell ref="A22:G22"/>
    <mergeCell ref="A31:G31"/>
    <mergeCell ref="A40:G40"/>
    <mergeCell ref="A47:G47"/>
    <mergeCell ref="A56:G56"/>
    <mergeCell ref="F72:G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F25" activeCellId="0" sqref="F25"/>
    </sheetView>
  </sheetViews>
  <sheetFormatPr defaultColWidth="8.859375" defaultRowHeight="15" customHeight="false" zeroHeight="false" outlineLevelRow="0" outlineLevelCol="0"/>
  <cols>
    <col collapsed="false" customWidth="true" hidden="false" outlineLevel="0" max="1" min="1" style="0" width="92.42"/>
    <col collapsed="false" customWidth="true" hidden="false" outlineLevel="0" max="2" min="2" style="0" width="7.42"/>
    <col collapsed="false" customWidth="true" hidden="false" outlineLevel="0" max="3" min="3" style="0" width="36.15"/>
    <col collapsed="false" customWidth="true" hidden="false" outlineLevel="0" max="4" min="4" style="0" width="14"/>
    <col collapsed="false" customWidth="true" hidden="false" outlineLevel="0" max="5" min="5" style="0" width="16.29"/>
    <col collapsed="false" customWidth="true" hidden="false" outlineLevel="0" max="6" min="6" style="0" width="14.29"/>
    <col collapsed="false" customWidth="true" hidden="false" outlineLevel="0" max="7" min="7" style="0" width="7.29"/>
    <col collapsed="false" customWidth="true" hidden="false" outlineLevel="0" max="8" min="8" style="0" width="48.14"/>
    <col collapsed="false" customWidth="true" hidden="false" outlineLevel="0" max="10" min="9" style="0" width="1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0"/>
    <col collapsed="false" customWidth="true" hidden="false" outlineLevel="0" max="15" min="15" style="0" width="18"/>
  </cols>
  <sheetData>
    <row r="1" customFormat="false" ht="24" hidden="false" customHeight="true" outlineLevel="0" collapsed="false">
      <c r="A1" s="602" t="str">
        <f aca="false">IF('Prop Info'!B4="","STAFFING MODEL — ANNUAL SALARY / FTE TABLE → P&amp;L","STAFFING MODEL — ANNUAL SALARY / FTE TABLE → P&amp;L"&amp;" — "&amp;'Prop Info'!B4)</f>
        <v>STAFFING MODEL — ANNUAL SALARY / FTE TABLE → P&amp;L</v>
      </c>
      <c r="B1" s="331" t="str">
        <f aca="false">HYPERLINK("#Inputs!A1","← Inputs")</f>
        <v>← Inputs</v>
      </c>
      <c r="C1" s="603"/>
      <c r="D1" s="603"/>
      <c r="E1" s="603"/>
      <c r="F1" s="603"/>
      <c r="G1" s="603"/>
      <c r="H1" s="603"/>
      <c r="I1" s="603"/>
      <c r="J1" s="603"/>
      <c r="K1" s="603"/>
      <c r="L1" s="603"/>
      <c r="M1" s="603"/>
      <c r="N1" s="603"/>
      <c r="O1" s="603"/>
      <c r="P1" s="603"/>
    </row>
    <row r="2" customFormat="false" ht="15.75" hidden="false" customHeight="true" outlineLevel="0" collapsed="false">
      <c r="A2" s="268" t="s">
        <v>1896</v>
      </c>
      <c r="B2" s="603"/>
      <c r="C2" s="603"/>
      <c r="D2" s="603"/>
      <c r="E2" s="603"/>
      <c r="F2" s="603"/>
      <c r="G2" s="603"/>
      <c r="H2" s="603"/>
      <c r="I2" s="603"/>
      <c r="J2" s="603"/>
      <c r="K2" s="603"/>
      <c r="L2" s="603"/>
      <c r="M2" s="603"/>
      <c r="N2" s="603"/>
      <c r="O2" s="603"/>
      <c r="P2" s="603"/>
    </row>
    <row r="3" customFormat="false" ht="15" hidden="false" customHeight="true" outlineLevel="0" collapsed="false">
      <c r="A3" s="603"/>
      <c r="B3" s="603"/>
      <c r="C3" s="603"/>
      <c r="D3" s="603"/>
      <c r="E3" s="603"/>
      <c r="F3" s="603"/>
      <c r="G3" s="603"/>
      <c r="H3" s="603"/>
      <c r="I3" s="603"/>
      <c r="J3" s="603"/>
      <c r="K3" s="603"/>
      <c r="L3" s="603"/>
      <c r="M3" s="603"/>
      <c r="N3" s="603"/>
      <c r="O3" s="603"/>
      <c r="P3" s="603"/>
    </row>
    <row r="4" customFormat="false" ht="24" hidden="false" customHeight="true" outlineLevel="0" collapsed="false">
      <c r="A4" s="604" t="s">
        <v>1897</v>
      </c>
      <c r="B4" s="603"/>
      <c r="C4" s="603"/>
      <c r="D4" s="603"/>
      <c r="E4" s="603"/>
      <c r="F4" s="603"/>
      <c r="G4" s="603"/>
      <c r="H4" s="603"/>
      <c r="I4" s="603"/>
      <c r="J4" s="603"/>
      <c r="K4" s="603"/>
      <c r="L4" s="603"/>
      <c r="M4" s="603"/>
      <c r="N4" s="603"/>
      <c r="O4" s="603"/>
      <c r="P4" s="603"/>
    </row>
    <row r="5" customFormat="false" ht="18" hidden="false" customHeight="true" outlineLevel="0" collapsed="false">
      <c r="A5" s="604" t="s">
        <v>547</v>
      </c>
      <c r="B5" s="605" t="s">
        <v>12</v>
      </c>
      <c r="C5" s="606" t="s">
        <v>55</v>
      </c>
      <c r="D5" s="603"/>
      <c r="E5" s="603"/>
      <c r="F5" s="603"/>
      <c r="G5" s="603"/>
      <c r="H5" s="603"/>
      <c r="I5" s="603"/>
      <c r="J5" s="603"/>
      <c r="K5" s="603"/>
      <c r="L5" s="603"/>
      <c r="M5" s="603"/>
      <c r="N5" s="603"/>
      <c r="O5" s="603"/>
      <c r="P5" s="603"/>
    </row>
    <row r="6" customFormat="false" ht="18" hidden="false" customHeight="true" outlineLevel="0" collapsed="false">
      <c r="A6" s="603" t="s">
        <v>1898</v>
      </c>
      <c r="B6" s="607" t="n">
        <f aca="false">'Prop Info'!$B$6</f>
        <v>0</v>
      </c>
      <c r="C6" s="608" t="s">
        <v>1899</v>
      </c>
      <c r="D6" s="603"/>
      <c r="E6" s="603"/>
      <c r="F6" s="603"/>
      <c r="G6" s="603"/>
      <c r="H6" s="603"/>
      <c r="I6" s="603"/>
      <c r="J6" s="603"/>
      <c r="K6" s="603"/>
      <c r="L6" s="603"/>
      <c r="M6" s="603"/>
      <c r="N6" s="603"/>
      <c r="O6" s="603"/>
      <c r="P6" s="603"/>
    </row>
    <row r="7" customFormat="false" ht="18" hidden="false" customHeight="true" outlineLevel="0" collapsed="false">
      <c r="A7" s="603" t="s">
        <v>1900</v>
      </c>
      <c r="B7" s="609" t="str">
        <f aca="false">Scenarios!F41</f>
        <v/>
      </c>
      <c r="C7" s="608" t="s">
        <v>1901</v>
      </c>
      <c r="D7" s="603"/>
      <c r="E7" s="603"/>
      <c r="F7" s="603"/>
      <c r="G7" s="603"/>
      <c r="H7" s="603"/>
      <c r="I7" s="603"/>
      <c r="J7" s="603"/>
      <c r="K7" s="603"/>
      <c r="L7" s="603"/>
      <c r="M7" s="603"/>
      <c r="N7" s="603"/>
      <c r="O7" s="603"/>
      <c r="P7" s="603"/>
    </row>
    <row r="8" customFormat="false" ht="18" hidden="false" customHeight="true" outlineLevel="0" collapsed="false">
      <c r="A8" s="603" t="s">
        <v>990</v>
      </c>
      <c r="B8" s="12" t="n">
        <f aca="false">IFERROR(ROUND(B6*(1-B7),0),0)</f>
        <v>0</v>
      </c>
      <c r="C8" s="608" t="s">
        <v>1902</v>
      </c>
      <c r="D8" s="603"/>
      <c r="E8" s="603"/>
      <c r="F8" s="603"/>
      <c r="G8" s="603"/>
      <c r="H8" s="603"/>
      <c r="I8" s="603"/>
      <c r="J8" s="603"/>
      <c r="K8" s="603"/>
      <c r="L8" s="603"/>
      <c r="M8" s="603"/>
      <c r="N8" s="603"/>
      <c r="O8" s="603"/>
      <c r="P8" s="603"/>
    </row>
    <row r="9" customFormat="false" ht="18" hidden="false" customHeight="true" outlineLevel="0" collapsed="false">
      <c r="A9" s="603" t="s">
        <v>267</v>
      </c>
      <c r="B9" s="610" t="n">
        <v>0.22</v>
      </c>
      <c r="C9" s="608" t="s">
        <v>1903</v>
      </c>
      <c r="D9" s="603"/>
      <c r="E9" s="603"/>
      <c r="F9" s="603"/>
      <c r="G9" s="603"/>
      <c r="H9" s="603"/>
      <c r="I9" s="603"/>
      <c r="J9" s="603"/>
      <c r="K9" s="603"/>
      <c r="L9" s="603"/>
      <c r="M9" s="603"/>
      <c r="N9" s="603"/>
      <c r="O9" s="603"/>
      <c r="P9" s="603"/>
    </row>
    <row r="10" customFormat="false" ht="18" hidden="false" customHeight="true" outlineLevel="0" collapsed="false">
      <c r="A10" s="603" t="s">
        <v>268</v>
      </c>
      <c r="B10" s="611" t="n">
        <v>0.06</v>
      </c>
      <c r="C10" s="608" t="s">
        <v>1904</v>
      </c>
      <c r="D10" s="603"/>
      <c r="E10" s="603"/>
      <c r="F10" s="603"/>
      <c r="G10" s="603"/>
      <c r="H10" s="603"/>
      <c r="I10" s="603"/>
      <c r="J10" s="603"/>
      <c r="K10" s="603"/>
      <c r="L10" s="603"/>
      <c r="M10" s="603"/>
      <c r="N10" s="603"/>
      <c r="O10" s="603"/>
      <c r="P10" s="603"/>
    </row>
    <row r="11" customFormat="false" ht="19.5" hidden="false" customHeight="true" outlineLevel="0" collapsed="false">
      <c r="A11" s="603"/>
      <c r="B11" s="603"/>
      <c r="C11" s="603"/>
      <c r="D11" s="603"/>
      <c r="E11" s="603"/>
      <c r="F11" s="603"/>
      <c r="G11" s="603"/>
      <c r="H11" s="603"/>
      <c r="I11" s="603"/>
      <c r="J11" s="603"/>
      <c r="K11" s="603"/>
      <c r="L11" s="603"/>
      <c r="M11" s="603"/>
      <c r="N11" s="603"/>
      <c r="O11" s="603"/>
      <c r="P11" s="603"/>
    </row>
    <row r="12" customFormat="false" ht="18" hidden="false" customHeight="true" outlineLevel="0" collapsed="false">
      <c r="A12" s="604" t="s">
        <v>1905</v>
      </c>
      <c r="B12" s="603"/>
      <c r="C12" s="612"/>
      <c r="D12" s="603"/>
      <c r="E12" s="603"/>
      <c r="F12" s="603"/>
      <c r="G12" s="603"/>
      <c r="H12" s="603"/>
      <c r="I12" s="603"/>
      <c r="J12" s="603"/>
      <c r="K12" s="603"/>
      <c r="L12" s="603"/>
      <c r="M12" s="603"/>
      <c r="N12" s="603"/>
      <c r="O12" s="603"/>
      <c r="P12" s="603"/>
    </row>
    <row r="13" customFormat="false" ht="18" hidden="false" customHeight="true" outlineLevel="0" collapsed="false">
      <c r="A13" s="613" t="s">
        <v>1906</v>
      </c>
      <c r="B13" s="613" t="s">
        <v>1907</v>
      </c>
      <c r="C13" s="614" t="s">
        <v>1908</v>
      </c>
      <c r="D13" s="615" t="s">
        <v>1909</v>
      </c>
      <c r="E13" s="615" t="s">
        <v>1910</v>
      </c>
      <c r="F13" s="615" t="s">
        <v>1911</v>
      </c>
      <c r="G13" s="615" t="s">
        <v>623</v>
      </c>
      <c r="H13" s="613" t="s">
        <v>55</v>
      </c>
      <c r="I13" s="603"/>
      <c r="J13" s="603"/>
      <c r="K13" s="603"/>
      <c r="L13" s="603"/>
      <c r="M13" s="603"/>
      <c r="N13" s="603"/>
      <c r="O13" s="603"/>
      <c r="P13" s="603"/>
    </row>
    <row r="14" customFormat="false" ht="18" hidden="false" customHeight="true" outlineLevel="0" collapsed="false">
      <c r="A14" s="603" t="s">
        <v>1912</v>
      </c>
      <c r="B14" s="603" t="s">
        <v>272</v>
      </c>
      <c r="C14" s="616" t="n">
        <f aca="false">1</f>
        <v>1</v>
      </c>
      <c r="D14" s="617"/>
      <c r="E14" s="618" t="n">
        <f aca="false">IFERROR(C14*D14*$B$9,0)</f>
        <v>0</v>
      </c>
      <c r="F14" s="618" t="n">
        <f aca="false">IFERROR(C14*D14*(1+$B$9+$B$10),0)</f>
        <v>0</v>
      </c>
      <c r="G14" s="618" t="n">
        <f aca="false">IFERROR(F14/B6,0)</f>
        <v>0</v>
      </c>
      <c r="H14" s="268" t="s">
        <v>1913</v>
      </c>
      <c r="I14" s="603"/>
      <c r="J14" s="603"/>
      <c r="K14" s="603"/>
      <c r="L14" s="603"/>
      <c r="M14" s="603"/>
      <c r="N14" s="603"/>
      <c r="O14" s="603"/>
      <c r="P14" s="603"/>
    </row>
    <row r="15" customFormat="false" ht="18" hidden="false" customHeight="true" outlineLevel="0" collapsed="false">
      <c r="A15" s="603" t="s">
        <v>1914</v>
      </c>
      <c r="B15" s="603" t="s">
        <v>272</v>
      </c>
      <c r="C15" s="616" t="n">
        <f aca="false">1</f>
        <v>1</v>
      </c>
      <c r="D15" s="617"/>
      <c r="E15" s="618" t="n">
        <f aca="false">IFERROR(C15*D15*$B$9,0)</f>
        <v>0</v>
      </c>
      <c r="F15" s="618" t="n">
        <f aca="false">IFERROR(C15*D15*(1+$B$9+$B$10),0)</f>
        <v>0</v>
      </c>
      <c r="G15" s="618" t="n">
        <f aca="false">IFERROR(F15/B6,0)</f>
        <v>0</v>
      </c>
      <c r="H15" s="268" t="s">
        <v>1915</v>
      </c>
      <c r="I15" s="603"/>
      <c r="J15" s="603"/>
      <c r="K15" s="603"/>
      <c r="L15" s="603"/>
      <c r="M15" s="603"/>
      <c r="N15" s="603"/>
      <c r="O15" s="603"/>
      <c r="P15" s="603"/>
    </row>
    <row r="16" customFormat="false" ht="18" hidden="false" customHeight="true" outlineLevel="0" collapsed="false">
      <c r="A16" s="603" t="s">
        <v>1916</v>
      </c>
      <c r="B16" s="603" t="s">
        <v>269</v>
      </c>
      <c r="C16" s="619" t="n">
        <v>1</v>
      </c>
      <c r="D16" s="617"/>
      <c r="E16" s="618" t="n">
        <f aca="false">IFERROR(C16*D16*$B$9,0)</f>
        <v>0</v>
      </c>
      <c r="F16" s="618" t="n">
        <f aca="false">IFERROR(C16*D16*(1+$B$9+$B$10),0)</f>
        <v>0</v>
      </c>
      <c r="G16" s="618" t="n">
        <f aca="false">IFERROR(F16/B6,0)</f>
        <v>0</v>
      </c>
      <c r="H16" s="268" t="s">
        <v>1913</v>
      </c>
      <c r="I16" s="603"/>
      <c r="J16" s="603"/>
      <c r="K16" s="603"/>
      <c r="L16" s="603"/>
      <c r="M16" s="603"/>
      <c r="N16" s="603"/>
      <c r="O16" s="603"/>
      <c r="P16" s="603"/>
    </row>
    <row r="17" customFormat="false" ht="15" hidden="false" customHeight="true" outlineLevel="0" collapsed="false">
      <c r="A17" s="603" t="s">
        <v>1917</v>
      </c>
      <c r="B17" s="603" t="s">
        <v>269</v>
      </c>
      <c r="C17" s="619" t="n">
        <v>1</v>
      </c>
      <c r="D17" s="617"/>
      <c r="E17" s="618" t="n">
        <f aca="false">IFERROR(C17*D17*$B$9,0)</f>
        <v>0</v>
      </c>
      <c r="F17" s="618" t="n">
        <f aca="false">IFERROR(C17*D17*(1+$B$9+$B$10),0)</f>
        <v>0</v>
      </c>
      <c r="G17" s="618" t="n">
        <f aca="false">IFERROR(F17/B6,0)</f>
        <v>0</v>
      </c>
      <c r="H17" s="268" t="s">
        <v>1918</v>
      </c>
      <c r="I17" s="603"/>
      <c r="J17" s="603"/>
      <c r="K17" s="603"/>
      <c r="L17" s="603"/>
      <c r="M17" s="603"/>
      <c r="N17" s="603"/>
      <c r="O17" s="603"/>
      <c r="P17" s="603"/>
    </row>
    <row r="18" customFormat="false" ht="19.5" hidden="false" customHeight="true" outlineLevel="0" collapsed="false">
      <c r="A18" s="603" t="s">
        <v>1919</v>
      </c>
      <c r="B18" s="603" t="s">
        <v>270</v>
      </c>
      <c r="C18" s="616" t="n">
        <f aca="false">1</f>
        <v>1</v>
      </c>
      <c r="D18" s="617"/>
      <c r="E18" s="618" t="n">
        <f aca="false">IFERROR(C18*D18*$B$9,0)</f>
        <v>0</v>
      </c>
      <c r="F18" s="618" t="n">
        <f aca="false">IFERROR(C18*D18*(1+$B$9+$B$10),0)</f>
        <v>0</v>
      </c>
      <c r="G18" s="618" t="n">
        <f aca="false">IFERROR(F18/B6,0)</f>
        <v>0</v>
      </c>
      <c r="H18" s="268" t="s">
        <v>1913</v>
      </c>
      <c r="I18" s="603"/>
      <c r="J18" s="603"/>
      <c r="K18" s="603"/>
      <c r="L18" s="603"/>
      <c r="M18" s="603"/>
      <c r="N18" s="603"/>
      <c r="O18" s="603"/>
      <c r="P18" s="603"/>
    </row>
    <row r="19" customFormat="false" ht="15.75" hidden="false" customHeight="true" outlineLevel="0" collapsed="false">
      <c r="A19" s="603" t="s">
        <v>1920</v>
      </c>
      <c r="B19" s="603" t="s">
        <v>270</v>
      </c>
      <c r="C19" s="619" t="n">
        <v>1</v>
      </c>
      <c r="D19" s="617"/>
      <c r="E19" s="618" t="n">
        <f aca="false">IFERROR(C19*D19*$B$9,0)</f>
        <v>0</v>
      </c>
      <c r="F19" s="618" t="n">
        <f aca="false">IFERROR(C19*D19*(1+$B$9+$B$10),0)</f>
        <v>0</v>
      </c>
      <c r="G19" s="618" t="n">
        <f aca="false">IFERROR(F19/B6,0)</f>
        <v>0</v>
      </c>
      <c r="H19" s="268" t="s">
        <v>1921</v>
      </c>
      <c r="I19" s="603"/>
      <c r="J19" s="603"/>
      <c r="K19" s="603"/>
      <c r="L19" s="603"/>
      <c r="M19" s="603"/>
      <c r="N19" s="603"/>
      <c r="O19" s="603"/>
      <c r="P19" s="603"/>
    </row>
    <row r="20" customFormat="false" ht="18" hidden="false" customHeight="true" outlineLevel="0" collapsed="false">
      <c r="A20" s="603" t="s">
        <v>1922</v>
      </c>
      <c r="B20" s="603" t="s">
        <v>270</v>
      </c>
      <c r="C20" s="616" t="n">
        <f aca="false">IF(B6&gt;=100,1,0)</f>
        <v>0</v>
      </c>
      <c r="D20" s="617"/>
      <c r="E20" s="618" t="n">
        <f aca="false">IFERROR(C20*D20*$B$9,0)</f>
        <v>0</v>
      </c>
      <c r="F20" s="618" t="n">
        <f aca="false">IFERROR(C20*D20*(1+$B$9+$B$10),0)</f>
        <v>0</v>
      </c>
      <c r="G20" s="618" t="n">
        <f aca="false">IFERROR(F20/B6,0)</f>
        <v>0</v>
      </c>
      <c r="H20" s="268" t="s">
        <v>1923</v>
      </c>
      <c r="I20" s="603"/>
      <c r="J20" s="603"/>
      <c r="K20" s="603"/>
      <c r="L20" s="603"/>
      <c r="M20" s="603"/>
      <c r="N20" s="603"/>
      <c r="O20" s="603"/>
      <c r="P20" s="603"/>
    </row>
    <row r="21" customFormat="false" ht="18" hidden="false" customHeight="true" outlineLevel="0" collapsed="false">
      <c r="A21" s="603" t="s">
        <v>1924</v>
      </c>
      <c r="B21" s="603" t="s">
        <v>271</v>
      </c>
      <c r="C21" s="616" t="n">
        <f aca="false">IF(B6&gt;=100,1,0)</f>
        <v>0</v>
      </c>
      <c r="D21" s="617" t="n">
        <v>0</v>
      </c>
      <c r="E21" s="618" t="n">
        <f aca="false">IFERROR(C21*D21*$B$9,0)</f>
        <v>0</v>
      </c>
      <c r="F21" s="618" t="n">
        <f aca="false">IFERROR(C21*D21*(1+$B$9+$B$10),0)</f>
        <v>0</v>
      </c>
      <c r="G21" s="618" t="n">
        <f aca="false">IFERROR(F21/B6,0)</f>
        <v>0</v>
      </c>
      <c r="H21" s="268" t="s">
        <v>1925</v>
      </c>
      <c r="I21" s="603"/>
      <c r="J21" s="603"/>
      <c r="K21" s="603"/>
      <c r="L21" s="603"/>
      <c r="M21" s="603"/>
      <c r="N21" s="603"/>
      <c r="O21" s="603"/>
      <c r="P21" s="603"/>
    </row>
    <row r="22" customFormat="false" ht="18" hidden="false" customHeight="true" outlineLevel="0" collapsed="false">
      <c r="A22" s="603" t="s">
        <v>1926</v>
      </c>
      <c r="B22" s="603" t="s">
        <v>272</v>
      </c>
      <c r="C22" s="616" t="n">
        <f aca="false">0</f>
        <v>0</v>
      </c>
      <c r="D22" s="617" t="n">
        <v>0</v>
      </c>
      <c r="E22" s="618" t="n">
        <f aca="false">IFERROR(C22*D22*$B$9,0)</f>
        <v>0</v>
      </c>
      <c r="F22" s="618" t="n">
        <f aca="false">IFERROR(C22*D22*(1+$B$9+$B$10),0)</f>
        <v>0</v>
      </c>
      <c r="G22" s="618" t="n">
        <f aca="false">IFERROR(F22/B6,0)</f>
        <v>0</v>
      </c>
      <c r="H22" s="268" t="s">
        <v>1927</v>
      </c>
      <c r="I22" s="603"/>
      <c r="J22" s="603"/>
      <c r="K22" s="603"/>
      <c r="L22" s="603"/>
      <c r="M22" s="603"/>
      <c r="N22" s="603"/>
      <c r="O22" s="603"/>
      <c r="P22" s="603"/>
    </row>
    <row r="23" customFormat="false" ht="18" hidden="false" customHeight="true" outlineLevel="0" collapsed="false">
      <c r="A23" s="603" t="s">
        <v>1928</v>
      </c>
      <c r="B23" s="603" t="s">
        <v>272</v>
      </c>
      <c r="C23" s="616" t="n">
        <f aca="false">IF(B6&gt;=150,1,0)</f>
        <v>0</v>
      </c>
      <c r="D23" s="617" t="n">
        <v>0</v>
      </c>
      <c r="E23" s="618" t="n">
        <f aca="false">IFERROR(C23*D23*$B$9,0)</f>
        <v>0</v>
      </c>
      <c r="F23" s="618" t="n">
        <f aca="false">IFERROR(C23*D23*(1+$B$9+$B$10),0)</f>
        <v>0</v>
      </c>
      <c r="G23" s="618" t="n">
        <f aca="false">IFERROR(F23/B6,0)</f>
        <v>0</v>
      </c>
      <c r="H23" s="268" t="s">
        <v>1929</v>
      </c>
      <c r="I23" s="603"/>
      <c r="J23" s="603"/>
      <c r="K23" s="603"/>
      <c r="L23" s="603"/>
      <c r="M23" s="603"/>
      <c r="N23" s="603"/>
      <c r="O23" s="603"/>
      <c r="P23" s="603"/>
    </row>
    <row r="24" customFormat="false" ht="18" hidden="false" customHeight="true" outlineLevel="0" collapsed="false">
      <c r="A24" s="603"/>
      <c r="B24" s="603"/>
      <c r="C24" s="608"/>
      <c r="D24" s="603"/>
      <c r="E24" s="603"/>
      <c r="F24" s="603"/>
      <c r="G24" s="603"/>
      <c r="H24" s="603"/>
      <c r="I24" s="603"/>
      <c r="J24" s="603"/>
      <c r="K24" s="603"/>
      <c r="L24" s="603"/>
      <c r="M24" s="603"/>
      <c r="N24" s="603"/>
      <c r="O24" s="603"/>
      <c r="P24" s="603"/>
    </row>
    <row r="25" customFormat="false" ht="18" hidden="false" customHeight="true" outlineLevel="0" collapsed="false">
      <c r="A25" s="620" t="s">
        <v>1930</v>
      </c>
      <c r="B25" s="603"/>
      <c r="C25" s="608"/>
      <c r="D25" s="603"/>
      <c r="E25" s="603"/>
      <c r="F25" s="621" t="n">
        <f aca="false">IF(SUM(F14:F23)=0,'T-12 Analysis'!B14,SUM(F14:F23))</f>
        <v>0</v>
      </c>
      <c r="G25" s="621" t="n">
        <f aca="false">IFERROR(F25/B6,0)</f>
        <v>0</v>
      </c>
      <c r="H25" s="603"/>
      <c r="I25" s="603"/>
      <c r="J25" s="603"/>
      <c r="K25" s="603"/>
      <c r="L25" s="603"/>
      <c r="M25" s="603"/>
      <c r="N25" s="603"/>
      <c r="O25" s="603"/>
      <c r="P25" s="603"/>
    </row>
    <row r="26" customFormat="false" ht="15" hidden="false" customHeight="true" outlineLevel="0" collapsed="false">
      <c r="A26" s="622" t="s">
        <v>1931</v>
      </c>
      <c r="B26" s="603"/>
      <c r="C26" s="603"/>
      <c r="D26" s="603"/>
      <c r="E26" s="603"/>
      <c r="F26" s="623" t="n">
        <f aca="false">IFERROR(F25/Scenarios!F50,0)</f>
        <v>0</v>
      </c>
      <c r="G26" s="603"/>
      <c r="H26" s="603"/>
      <c r="I26" s="603"/>
      <c r="J26" s="603"/>
      <c r="K26" s="603"/>
      <c r="L26" s="603"/>
      <c r="M26" s="603"/>
      <c r="N26" s="603"/>
      <c r="O26" s="603"/>
      <c r="P26" s="603"/>
    </row>
    <row r="27" customFormat="false" ht="24" hidden="false" customHeight="true" outlineLevel="0" collapsed="false">
      <c r="A27" s="603"/>
      <c r="B27" s="603"/>
      <c r="C27" s="603"/>
      <c r="D27" s="603"/>
      <c r="E27" s="603"/>
      <c r="F27" s="603"/>
      <c r="G27" s="603"/>
      <c r="H27" s="603"/>
      <c r="I27" s="603"/>
      <c r="J27" s="603"/>
      <c r="K27" s="603"/>
      <c r="L27" s="603"/>
      <c r="M27" s="603"/>
      <c r="N27" s="603"/>
      <c r="O27" s="603"/>
      <c r="P27" s="603"/>
    </row>
    <row r="28" customFormat="false" ht="27.75" hidden="false" customHeight="true" outlineLevel="0" collapsed="false">
      <c r="A28" s="603"/>
      <c r="B28" s="603"/>
      <c r="C28" s="603"/>
      <c r="D28" s="603"/>
      <c r="E28" s="603"/>
      <c r="F28" s="603"/>
      <c r="G28" s="603"/>
      <c r="H28" s="603"/>
      <c r="I28" s="603"/>
      <c r="J28" s="603"/>
      <c r="K28" s="603"/>
      <c r="L28" s="603"/>
      <c r="M28" s="603"/>
      <c r="N28" s="603"/>
      <c r="O28" s="603"/>
      <c r="P28" s="603"/>
    </row>
    <row r="29" customFormat="false" ht="27.75" hidden="false" customHeight="true" outlineLevel="0" collapsed="false">
      <c r="A29" s="603"/>
      <c r="B29" s="603"/>
      <c r="C29" s="603"/>
      <c r="D29" s="603"/>
      <c r="E29" s="603"/>
      <c r="F29" s="603"/>
      <c r="G29" s="603"/>
      <c r="H29" s="603"/>
      <c r="I29" s="603"/>
      <c r="J29" s="603"/>
      <c r="K29" s="603"/>
      <c r="L29" s="603"/>
      <c r="M29" s="603"/>
      <c r="N29" s="603"/>
      <c r="O29" s="603"/>
      <c r="P29" s="603"/>
    </row>
    <row r="30" customFormat="false" ht="19.5" hidden="false" customHeight="true" outlineLevel="0" collapsed="false">
      <c r="A30" s="603"/>
      <c r="B30" s="603"/>
      <c r="C30" s="603"/>
      <c r="D30" s="603"/>
      <c r="E30" s="603"/>
      <c r="F30" s="603"/>
      <c r="G30" s="603"/>
      <c r="H30" s="603"/>
      <c r="I30" s="603"/>
      <c r="J30" s="603"/>
      <c r="K30" s="603"/>
      <c r="L30" s="603"/>
      <c r="M30" s="603"/>
      <c r="N30" s="603"/>
      <c r="O30" s="603"/>
      <c r="P30" s="603"/>
    </row>
    <row r="31" customFormat="false" ht="18" hidden="false" customHeight="true" outlineLevel="0" collapsed="false">
      <c r="A31" s="603"/>
      <c r="B31" s="603"/>
      <c r="C31" s="608"/>
      <c r="D31" s="608"/>
      <c r="E31" s="608"/>
      <c r="F31" s="608"/>
      <c r="G31" s="608"/>
      <c r="H31" s="608"/>
      <c r="I31" s="608"/>
      <c r="J31" s="624"/>
      <c r="K31" s="625"/>
      <c r="L31" s="625"/>
      <c r="M31" s="626"/>
      <c r="N31" s="612"/>
      <c r="O31" s="603"/>
      <c r="P31" s="603"/>
    </row>
    <row r="32" customFormat="false" ht="18" hidden="false" customHeight="true" outlineLevel="0" collapsed="false">
      <c r="A32" s="603"/>
      <c r="B32" s="603"/>
      <c r="C32" s="608"/>
      <c r="D32" s="608"/>
      <c r="E32" s="608"/>
      <c r="F32" s="608"/>
      <c r="G32" s="608"/>
      <c r="H32" s="608"/>
      <c r="I32" s="608"/>
      <c r="J32" s="624"/>
      <c r="K32" s="625"/>
      <c r="L32" s="625"/>
      <c r="M32" s="626"/>
      <c r="N32" s="612"/>
      <c r="O32" s="603"/>
      <c r="P32" s="603"/>
    </row>
    <row r="33" customFormat="false" ht="18" hidden="false" customHeight="true" outlineLevel="0" collapsed="false">
      <c r="A33" s="603"/>
      <c r="B33" s="603"/>
      <c r="C33" s="608"/>
      <c r="D33" s="608"/>
      <c r="E33" s="608"/>
      <c r="F33" s="608"/>
      <c r="G33" s="608"/>
      <c r="H33" s="608"/>
      <c r="I33" s="608"/>
      <c r="J33" s="624"/>
      <c r="K33" s="625"/>
      <c r="L33" s="625"/>
      <c r="M33" s="626"/>
      <c r="N33" s="612"/>
      <c r="O33" s="603"/>
      <c r="P33" s="603"/>
    </row>
    <row r="34" customFormat="false" ht="18" hidden="false" customHeight="true" outlineLevel="0" collapsed="false">
      <c r="A34" s="603"/>
      <c r="B34" s="603"/>
      <c r="C34" s="608"/>
      <c r="D34" s="608"/>
      <c r="E34" s="608"/>
      <c r="F34" s="608"/>
      <c r="G34" s="608"/>
      <c r="H34" s="608"/>
      <c r="I34" s="608"/>
      <c r="J34" s="624"/>
      <c r="K34" s="625"/>
      <c r="L34" s="625"/>
      <c r="M34" s="626"/>
      <c r="N34" s="612"/>
      <c r="O34" s="603"/>
      <c r="P34" s="603"/>
    </row>
    <row r="35" customFormat="false" ht="18" hidden="false" customHeight="true" outlineLevel="0" collapsed="false">
      <c r="A35" s="603"/>
      <c r="B35" s="603"/>
      <c r="C35" s="608"/>
      <c r="D35" s="608"/>
      <c r="E35" s="608"/>
      <c r="F35" s="608"/>
      <c r="G35" s="608"/>
      <c r="H35" s="608"/>
      <c r="I35" s="608"/>
      <c r="J35" s="624"/>
      <c r="K35" s="625"/>
      <c r="L35" s="625"/>
      <c r="M35" s="626"/>
      <c r="N35" s="612"/>
      <c r="O35" s="603"/>
      <c r="P35" s="603"/>
    </row>
    <row r="36" customFormat="false" ht="18" hidden="false" customHeight="true" outlineLevel="0" collapsed="false">
      <c r="A36" s="603"/>
      <c r="B36" s="603"/>
      <c r="C36" s="608"/>
      <c r="D36" s="608"/>
      <c r="E36" s="608"/>
      <c r="F36" s="608"/>
      <c r="G36" s="608"/>
      <c r="H36" s="608"/>
      <c r="I36" s="608"/>
      <c r="J36" s="624"/>
      <c r="K36" s="625"/>
      <c r="L36" s="625"/>
      <c r="M36" s="626"/>
      <c r="N36" s="612"/>
      <c r="O36" s="603"/>
      <c r="P36" s="603"/>
    </row>
    <row r="37" customFormat="false" ht="18" hidden="false" customHeight="true" outlineLevel="0" collapsed="false">
      <c r="A37" s="603"/>
      <c r="B37" s="603"/>
      <c r="C37" s="608"/>
      <c r="D37" s="608"/>
      <c r="E37" s="608"/>
      <c r="F37" s="608"/>
      <c r="G37" s="608"/>
      <c r="H37" s="608"/>
      <c r="I37" s="608"/>
      <c r="J37" s="624"/>
      <c r="K37" s="625"/>
      <c r="L37" s="625"/>
      <c r="M37" s="626"/>
      <c r="N37" s="612"/>
      <c r="O37" s="603"/>
      <c r="P37" s="603"/>
    </row>
    <row r="38" customFormat="false" ht="18" hidden="false" customHeight="true" outlineLevel="0" collapsed="false">
      <c r="A38" s="603"/>
      <c r="B38" s="603"/>
      <c r="C38" s="608"/>
      <c r="D38" s="608"/>
      <c r="E38" s="608"/>
      <c r="F38" s="608"/>
      <c r="G38" s="608"/>
      <c r="H38" s="608"/>
      <c r="I38" s="608"/>
      <c r="J38" s="624"/>
      <c r="K38" s="625"/>
      <c r="L38" s="625"/>
      <c r="M38" s="626"/>
      <c r="N38" s="612"/>
      <c r="O38" s="603"/>
      <c r="P38" s="603"/>
    </row>
    <row r="39" customFormat="false" ht="18" hidden="false" customHeight="true" outlineLevel="0" collapsed="false">
      <c r="A39" s="603"/>
      <c r="B39" s="603"/>
      <c r="C39" s="608"/>
      <c r="D39" s="608"/>
      <c r="E39" s="608"/>
      <c r="F39" s="608"/>
      <c r="G39" s="608"/>
      <c r="H39" s="608"/>
      <c r="I39" s="608"/>
      <c r="J39" s="624"/>
      <c r="K39" s="625"/>
      <c r="L39" s="625"/>
      <c r="M39" s="626"/>
      <c r="N39" s="612"/>
      <c r="O39" s="603"/>
      <c r="P39" s="603"/>
    </row>
    <row r="40" customFormat="false" ht="18" hidden="false" customHeight="true" outlineLevel="0" collapsed="false">
      <c r="A40" s="603"/>
      <c r="B40" s="603"/>
      <c r="C40" s="608"/>
      <c r="D40" s="608"/>
      <c r="E40" s="608"/>
      <c r="F40" s="608"/>
      <c r="G40" s="608"/>
      <c r="H40" s="608"/>
      <c r="I40" s="608"/>
      <c r="J40" s="624"/>
      <c r="K40" s="603"/>
      <c r="L40" s="603"/>
      <c r="M40" s="626"/>
      <c r="N40" s="603"/>
      <c r="O40" s="603"/>
      <c r="P40" s="603"/>
    </row>
    <row r="41" customFormat="false" ht="15" hidden="false" customHeight="true" outlineLevel="0" collapsed="false">
      <c r="A41" s="603"/>
      <c r="B41" s="603"/>
      <c r="C41" s="603"/>
      <c r="D41" s="603"/>
      <c r="E41" s="603"/>
      <c r="F41" s="603"/>
      <c r="G41" s="603"/>
      <c r="H41" s="603"/>
      <c r="I41" s="603"/>
      <c r="J41" s="603"/>
      <c r="K41" s="603"/>
      <c r="L41" s="603"/>
      <c r="M41" s="603"/>
      <c r="N41" s="603"/>
      <c r="O41" s="603"/>
      <c r="P41" s="603"/>
    </row>
    <row r="42" customFormat="false" ht="19.5" hidden="false" customHeight="true" outlineLevel="0" collapsed="false">
      <c r="A42" s="603"/>
      <c r="B42" s="603"/>
      <c r="C42" s="603"/>
      <c r="D42" s="603"/>
      <c r="E42" s="603"/>
      <c r="F42" s="603"/>
      <c r="G42" s="603"/>
      <c r="H42" s="603"/>
      <c r="I42" s="603"/>
      <c r="J42" s="603"/>
      <c r="K42" s="603"/>
      <c r="L42" s="603"/>
      <c r="M42" s="603"/>
      <c r="N42" s="603"/>
      <c r="O42" s="603"/>
      <c r="P42" s="603"/>
    </row>
    <row r="43" customFormat="false" ht="18" hidden="false" customHeight="true" outlineLevel="0" collapsed="false">
      <c r="A43" s="603"/>
      <c r="B43" s="603"/>
      <c r="C43" s="608"/>
      <c r="D43" s="608"/>
      <c r="E43" s="608"/>
      <c r="F43" s="608"/>
      <c r="G43" s="608"/>
      <c r="H43" s="608"/>
      <c r="I43" s="608"/>
      <c r="J43" s="624"/>
      <c r="K43" s="625"/>
      <c r="L43" s="625"/>
      <c r="M43" s="626"/>
      <c r="N43" s="612"/>
      <c r="O43" s="603"/>
      <c r="P43" s="603"/>
    </row>
    <row r="44" customFormat="false" ht="18" hidden="false" customHeight="true" outlineLevel="0" collapsed="false">
      <c r="A44" s="603"/>
      <c r="B44" s="603"/>
      <c r="C44" s="608"/>
      <c r="D44" s="608"/>
      <c r="E44" s="608"/>
      <c r="F44" s="608"/>
      <c r="G44" s="608"/>
      <c r="H44" s="608"/>
      <c r="I44" s="608"/>
      <c r="J44" s="624"/>
      <c r="K44" s="625"/>
      <c r="L44" s="625"/>
      <c r="M44" s="626"/>
      <c r="N44" s="612"/>
      <c r="O44" s="603"/>
      <c r="P44" s="603"/>
    </row>
    <row r="45" customFormat="false" ht="18" hidden="false" customHeight="true" outlineLevel="0" collapsed="false">
      <c r="A45" s="603"/>
      <c r="B45" s="603"/>
      <c r="C45" s="608"/>
      <c r="D45" s="608"/>
      <c r="E45" s="608"/>
      <c r="F45" s="608"/>
      <c r="G45" s="608"/>
      <c r="H45" s="608"/>
      <c r="I45" s="608"/>
      <c r="J45" s="624"/>
      <c r="K45" s="625"/>
      <c r="L45" s="625"/>
      <c r="M45" s="626"/>
      <c r="N45" s="612"/>
      <c r="O45" s="603"/>
      <c r="P45" s="603"/>
    </row>
    <row r="46" customFormat="false" ht="18" hidden="false" customHeight="true" outlineLevel="0" collapsed="false">
      <c r="A46" s="603"/>
      <c r="B46" s="603"/>
      <c r="C46" s="608"/>
      <c r="D46" s="608"/>
      <c r="E46" s="608"/>
      <c r="F46" s="608"/>
      <c r="G46" s="608"/>
      <c r="H46" s="608"/>
      <c r="I46" s="608"/>
      <c r="J46" s="624"/>
      <c r="K46" s="625"/>
      <c r="L46" s="625"/>
      <c r="M46" s="626"/>
      <c r="N46" s="612"/>
      <c r="O46" s="603"/>
      <c r="P46" s="603"/>
    </row>
    <row r="47" customFormat="false" ht="18" hidden="false" customHeight="true" outlineLevel="0" collapsed="false">
      <c r="A47" s="603"/>
      <c r="B47" s="603"/>
      <c r="C47" s="608"/>
      <c r="D47" s="608"/>
      <c r="E47" s="608"/>
      <c r="F47" s="608"/>
      <c r="G47" s="608"/>
      <c r="H47" s="608"/>
      <c r="I47" s="608"/>
      <c r="J47" s="624"/>
      <c r="K47" s="603"/>
      <c r="L47" s="603"/>
      <c r="M47" s="626"/>
      <c r="N47" s="603"/>
      <c r="O47" s="603"/>
      <c r="P47" s="603"/>
    </row>
    <row r="48" customFormat="false" ht="15" hidden="false" customHeight="true" outlineLevel="0" collapsed="false">
      <c r="A48" s="603"/>
      <c r="B48" s="603"/>
      <c r="C48" s="603"/>
      <c r="D48" s="603"/>
      <c r="E48" s="603"/>
      <c r="F48" s="603"/>
      <c r="G48" s="603"/>
      <c r="H48" s="603"/>
      <c r="I48" s="603"/>
      <c r="J48" s="603"/>
      <c r="K48" s="603"/>
      <c r="L48" s="603"/>
      <c r="M48" s="603"/>
      <c r="N48" s="603"/>
      <c r="O48" s="603"/>
      <c r="P48" s="603"/>
    </row>
    <row r="49" customFormat="false" ht="19.5" hidden="false" customHeight="true" outlineLevel="0" collapsed="false">
      <c r="A49" s="603"/>
      <c r="B49" s="603"/>
      <c r="C49" s="603"/>
      <c r="D49" s="603"/>
      <c r="E49" s="603"/>
      <c r="F49" s="603"/>
      <c r="G49" s="603"/>
      <c r="H49" s="603"/>
      <c r="I49" s="603"/>
      <c r="J49" s="603"/>
      <c r="K49" s="603"/>
      <c r="L49" s="603"/>
      <c r="M49" s="603"/>
      <c r="N49" s="603"/>
      <c r="O49" s="603"/>
      <c r="P49" s="603"/>
    </row>
    <row r="50" customFormat="false" ht="18" hidden="false" customHeight="true" outlineLevel="0" collapsed="false">
      <c r="A50" s="603"/>
      <c r="B50" s="603"/>
      <c r="C50" s="608"/>
      <c r="D50" s="608"/>
      <c r="E50" s="608"/>
      <c r="F50" s="608"/>
      <c r="G50" s="608"/>
      <c r="H50" s="608"/>
      <c r="I50" s="608"/>
      <c r="J50" s="624"/>
      <c r="K50" s="625"/>
      <c r="L50" s="625"/>
      <c r="M50" s="626"/>
      <c r="N50" s="612"/>
      <c r="O50" s="603"/>
      <c r="P50" s="603"/>
    </row>
    <row r="51" customFormat="false" ht="18" hidden="false" customHeight="true" outlineLevel="0" collapsed="false">
      <c r="A51" s="603"/>
      <c r="B51" s="603"/>
      <c r="C51" s="608"/>
      <c r="D51" s="608"/>
      <c r="E51" s="608"/>
      <c r="F51" s="608"/>
      <c r="G51" s="608"/>
      <c r="H51" s="608"/>
      <c r="I51" s="608"/>
      <c r="J51" s="624"/>
      <c r="K51" s="625"/>
      <c r="L51" s="625"/>
      <c r="M51" s="626"/>
      <c r="N51" s="612"/>
      <c r="O51" s="603"/>
      <c r="P51" s="603"/>
    </row>
    <row r="52" customFormat="false" ht="18" hidden="false" customHeight="true" outlineLevel="0" collapsed="false">
      <c r="A52" s="603"/>
      <c r="B52" s="603"/>
      <c r="C52" s="608"/>
      <c r="D52" s="608"/>
      <c r="E52" s="608"/>
      <c r="F52" s="608"/>
      <c r="G52" s="608"/>
      <c r="H52" s="608"/>
      <c r="I52" s="608"/>
      <c r="J52" s="624"/>
      <c r="K52" s="625"/>
      <c r="L52" s="625"/>
      <c r="M52" s="626"/>
      <c r="N52" s="612"/>
      <c r="O52" s="603"/>
      <c r="P52" s="603"/>
    </row>
    <row r="53" customFormat="false" ht="18" hidden="false" customHeight="true" outlineLevel="0" collapsed="false">
      <c r="A53" s="603"/>
      <c r="B53" s="603"/>
      <c r="C53" s="608"/>
      <c r="D53" s="608"/>
      <c r="E53" s="608"/>
      <c r="F53" s="608"/>
      <c r="G53" s="608"/>
      <c r="H53" s="608"/>
      <c r="I53" s="608"/>
      <c r="J53" s="624"/>
      <c r="K53" s="603"/>
      <c r="L53" s="603"/>
      <c r="M53" s="626"/>
      <c r="N53" s="603"/>
      <c r="O53" s="603"/>
      <c r="P53" s="603"/>
    </row>
    <row r="54" customFormat="false" ht="15" hidden="false" customHeight="true" outlineLevel="0" collapsed="false">
      <c r="A54" s="603"/>
      <c r="B54" s="603"/>
      <c r="C54" s="603"/>
      <c r="D54" s="603"/>
      <c r="E54" s="603"/>
      <c r="F54" s="603"/>
      <c r="G54" s="603"/>
      <c r="H54" s="603"/>
      <c r="I54" s="603"/>
      <c r="J54" s="603"/>
      <c r="K54" s="603"/>
      <c r="L54" s="603"/>
      <c r="M54" s="603"/>
      <c r="N54" s="603"/>
      <c r="O54" s="603"/>
      <c r="P54" s="603"/>
    </row>
    <row r="55" customFormat="false" ht="19.5" hidden="false" customHeight="true" outlineLevel="0" collapsed="false">
      <c r="A55" s="603"/>
      <c r="B55" s="603"/>
      <c r="C55" s="603"/>
      <c r="D55" s="603"/>
      <c r="E55" s="603"/>
      <c r="F55" s="603"/>
      <c r="G55" s="603"/>
      <c r="H55" s="603"/>
      <c r="I55" s="603"/>
      <c r="J55" s="603"/>
      <c r="K55" s="603"/>
      <c r="L55" s="603"/>
      <c r="M55" s="603"/>
      <c r="N55" s="603"/>
      <c r="O55" s="603"/>
      <c r="P55" s="603"/>
    </row>
    <row r="56" customFormat="false" ht="18" hidden="false" customHeight="true" outlineLevel="0" collapsed="false">
      <c r="A56" s="603"/>
      <c r="B56" s="603"/>
      <c r="C56" s="608"/>
      <c r="D56" s="608"/>
      <c r="E56" s="608"/>
      <c r="F56" s="608"/>
      <c r="G56" s="608"/>
      <c r="H56" s="608"/>
      <c r="I56" s="608"/>
      <c r="J56" s="624"/>
      <c r="K56" s="625"/>
      <c r="L56" s="625"/>
      <c r="M56" s="626"/>
      <c r="N56" s="612"/>
      <c r="O56" s="603"/>
      <c r="P56" s="603"/>
    </row>
    <row r="57" customFormat="false" ht="18" hidden="false" customHeight="true" outlineLevel="0" collapsed="false">
      <c r="A57" s="603"/>
      <c r="B57" s="603"/>
      <c r="C57" s="608"/>
      <c r="D57" s="608"/>
      <c r="E57" s="608"/>
      <c r="F57" s="608"/>
      <c r="G57" s="608"/>
      <c r="H57" s="608"/>
      <c r="I57" s="608"/>
      <c r="J57" s="624"/>
      <c r="K57" s="625"/>
      <c r="L57" s="625"/>
      <c r="M57" s="626"/>
      <c r="N57" s="612"/>
      <c r="O57" s="603"/>
      <c r="P57" s="603"/>
    </row>
    <row r="58" customFormat="false" ht="18" hidden="false" customHeight="true" outlineLevel="0" collapsed="false">
      <c r="A58" s="603"/>
      <c r="B58" s="603"/>
      <c r="C58" s="608"/>
      <c r="D58" s="608"/>
      <c r="E58" s="608"/>
      <c r="F58" s="608"/>
      <c r="G58" s="608"/>
      <c r="H58" s="608"/>
      <c r="I58" s="608"/>
      <c r="J58" s="624"/>
      <c r="K58" s="625"/>
      <c r="L58" s="625"/>
      <c r="M58" s="626"/>
      <c r="N58" s="612"/>
      <c r="O58" s="603"/>
      <c r="P58" s="603"/>
    </row>
    <row r="59" customFormat="false" ht="18" hidden="false" customHeight="true" outlineLevel="0" collapsed="false">
      <c r="A59" s="603"/>
      <c r="B59" s="603"/>
      <c r="C59" s="608"/>
      <c r="D59" s="608"/>
      <c r="E59" s="608"/>
      <c r="F59" s="608"/>
      <c r="G59" s="608"/>
      <c r="H59" s="608"/>
      <c r="I59" s="608"/>
      <c r="J59" s="624"/>
      <c r="K59" s="625"/>
      <c r="L59" s="625"/>
      <c r="M59" s="626"/>
      <c r="N59" s="612"/>
      <c r="O59" s="603"/>
      <c r="P59" s="603"/>
    </row>
    <row r="60" customFormat="false" ht="18" hidden="false" customHeight="true" outlineLevel="0" collapsed="false">
      <c r="A60" s="603"/>
      <c r="B60" s="603"/>
      <c r="C60" s="608"/>
      <c r="D60" s="608"/>
      <c r="E60" s="608"/>
      <c r="F60" s="608"/>
      <c r="G60" s="608"/>
      <c r="H60" s="608"/>
      <c r="I60" s="608"/>
      <c r="J60" s="624"/>
      <c r="K60" s="625"/>
      <c r="L60" s="625"/>
      <c r="M60" s="626"/>
      <c r="N60" s="612"/>
      <c r="O60" s="603"/>
      <c r="P60" s="603"/>
    </row>
    <row r="61" customFormat="false" ht="18" hidden="false" customHeight="true" outlineLevel="0" collapsed="false">
      <c r="A61" s="603"/>
      <c r="B61" s="603"/>
      <c r="C61" s="608"/>
      <c r="D61" s="608"/>
      <c r="E61" s="608"/>
      <c r="F61" s="608"/>
      <c r="G61" s="608"/>
      <c r="H61" s="608"/>
      <c r="I61" s="608"/>
      <c r="J61" s="624"/>
      <c r="K61" s="625"/>
      <c r="L61" s="625"/>
      <c r="M61" s="626"/>
      <c r="N61" s="612"/>
      <c r="O61" s="603"/>
      <c r="P61" s="603"/>
    </row>
    <row r="62" customFormat="false" ht="18" hidden="false" customHeight="true" outlineLevel="0" collapsed="false">
      <c r="A62" s="603"/>
      <c r="B62" s="603"/>
      <c r="C62" s="608"/>
      <c r="D62" s="608"/>
      <c r="E62" s="608"/>
      <c r="F62" s="608"/>
      <c r="G62" s="608"/>
      <c r="H62" s="608"/>
      <c r="I62" s="608"/>
      <c r="J62" s="624"/>
      <c r="K62" s="625"/>
      <c r="L62" s="625"/>
      <c r="M62" s="626"/>
      <c r="N62" s="612"/>
      <c r="O62" s="603"/>
      <c r="P62" s="603"/>
    </row>
    <row r="63" customFormat="false" ht="18" hidden="false" customHeight="true" outlineLevel="0" collapsed="false">
      <c r="A63" s="603"/>
      <c r="B63" s="603"/>
      <c r="C63" s="608"/>
      <c r="D63" s="608"/>
      <c r="E63" s="608"/>
      <c r="F63" s="608"/>
      <c r="G63" s="608"/>
      <c r="H63" s="608"/>
      <c r="I63" s="608"/>
      <c r="J63" s="624"/>
      <c r="K63" s="625"/>
      <c r="L63" s="625"/>
      <c r="M63" s="626"/>
      <c r="N63" s="612"/>
      <c r="O63" s="603"/>
      <c r="P63" s="603"/>
    </row>
    <row r="64" customFormat="false" ht="18" hidden="false" customHeight="true" outlineLevel="0" collapsed="false">
      <c r="A64" s="603"/>
      <c r="B64" s="603"/>
      <c r="C64" s="608"/>
      <c r="D64" s="608"/>
      <c r="E64" s="608"/>
      <c r="F64" s="608"/>
      <c r="G64" s="608"/>
      <c r="H64" s="608"/>
      <c r="I64" s="608"/>
      <c r="J64" s="624"/>
      <c r="K64" s="625"/>
      <c r="L64" s="625"/>
      <c r="M64" s="626"/>
      <c r="N64" s="612"/>
      <c r="O64" s="603"/>
      <c r="P64" s="603"/>
    </row>
    <row r="65" customFormat="false" ht="18" hidden="false" customHeight="true" outlineLevel="0" collapsed="false">
      <c r="A65" s="603"/>
      <c r="B65" s="603"/>
      <c r="C65" s="608"/>
      <c r="D65" s="608"/>
      <c r="E65" s="608"/>
      <c r="F65" s="608"/>
      <c r="G65" s="608"/>
      <c r="H65" s="608"/>
      <c r="I65" s="608"/>
      <c r="J65" s="624"/>
      <c r="K65" s="603"/>
      <c r="L65" s="603"/>
      <c r="M65" s="626"/>
      <c r="N65" s="603"/>
      <c r="O65" s="603"/>
      <c r="P65" s="603"/>
    </row>
    <row r="66" customFormat="false" ht="15" hidden="false" customHeight="true" outlineLevel="0" collapsed="false">
      <c r="A66" s="603"/>
      <c r="B66" s="603"/>
      <c r="C66" s="603"/>
      <c r="D66" s="603"/>
      <c r="E66" s="603"/>
      <c r="F66" s="603"/>
      <c r="G66" s="603"/>
      <c r="H66" s="603"/>
      <c r="I66" s="603"/>
      <c r="J66" s="603"/>
      <c r="K66" s="603"/>
      <c r="L66" s="603"/>
      <c r="M66" s="603"/>
      <c r="N66" s="603"/>
      <c r="O66" s="603"/>
      <c r="P66" s="603"/>
    </row>
    <row r="67" customFormat="false" ht="21.75" hidden="false" customHeight="true" outlineLevel="0" collapsed="false">
      <c r="A67" s="603"/>
      <c r="B67" s="603"/>
      <c r="C67" s="608"/>
      <c r="D67" s="608"/>
      <c r="E67" s="608"/>
      <c r="F67" s="608"/>
      <c r="G67" s="608"/>
      <c r="H67" s="608"/>
      <c r="I67" s="608"/>
      <c r="J67" s="624"/>
      <c r="K67" s="603"/>
      <c r="L67" s="603"/>
      <c r="M67" s="626"/>
      <c r="N67" s="603"/>
      <c r="O67" s="627"/>
      <c r="P67" s="603"/>
    </row>
    <row r="68" customFormat="false" ht="15" hidden="false" customHeight="true" outlineLevel="0" collapsed="false">
      <c r="A68" s="603"/>
      <c r="B68" s="603"/>
      <c r="C68" s="603"/>
      <c r="D68" s="603"/>
      <c r="E68" s="603"/>
      <c r="F68" s="603"/>
      <c r="G68" s="603"/>
      <c r="H68" s="603"/>
      <c r="I68" s="603"/>
      <c r="J68" s="603"/>
      <c r="K68" s="603"/>
      <c r="L68" s="603"/>
      <c r="M68" s="603"/>
      <c r="N68" s="603"/>
      <c r="O68" s="603"/>
      <c r="P68" s="603"/>
    </row>
    <row r="69" customFormat="false" ht="24" hidden="false" customHeight="true" outlineLevel="0" collapsed="false">
      <c r="A69" s="603"/>
      <c r="B69" s="603"/>
      <c r="C69" s="603"/>
      <c r="D69" s="603"/>
      <c r="E69" s="603"/>
      <c r="F69" s="603"/>
      <c r="G69" s="603"/>
      <c r="H69" s="603"/>
      <c r="I69" s="603"/>
      <c r="J69" s="603"/>
      <c r="K69" s="603"/>
      <c r="L69" s="603"/>
      <c r="M69" s="603"/>
      <c r="N69" s="603"/>
      <c r="O69" s="603"/>
      <c r="P69" s="603"/>
    </row>
    <row r="70" customFormat="false" ht="15.75" hidden="false" customHeight="true" outlineLevel="0" collapsed="false">
      <c r="A70" s="603"/>
      <c r="B70" s="603"/>
      <c r="C70" s="603"/>
      <c r="D70" s="603"/>
      <c r="E70" s="603"/>
      <c r="F70" s="603"/>
      <c r="G70" s="603"/>
      <c r="H70" s="603"/>
      <c r="I70" s="603"/>
      <c r="J70" s="603"/>
      <c r="K70" s="603"/>
      <c r="L70" s="603"/>
      <c r="M70" s="603"/>
      <c r="N70" s="603"/>
      <c r="O70" s="603"/>
      <c r="P70" s="603"/>
    </row>
    <row r="71" customFormat="false" ht="27.75" hidden="false" customHeight="true" outlineLevel="0" collapsed="false">
      <c r="A71" s="603"/>
      <c r="B71" s="603"/>
      <c r="C71" s="603"/>
      <c r="D71" s="603"/>
      <c r="E71" s="603"/>
      <c r="F71" s="603"/>
      <c r="G71" s="603"/>
      <c r="H71" s="603"/>
      <c r="I71" s="603"/>
      <c r="J71" s="603"/>
      <c r="K71" s="603"/>
      <c r="L71" s="603"/>
      <c r="M71" s="603"/>
      <c r="N71" s="603"/>
      <c r="O71" s="603"/>
      <c r="P71" s="603"/>
    </row>
    <row r="72" customFormat="false" ht="18" hidden="false" customHeight="true" outlineLevel="0" collapsed="false">
      <c r="A72" s="603"/>
      <c r="B72" s="608"/>
      <c r="C72" s="608"/>
      <c r="D72" s="624"/>
      <c r="E72" s="608"/>
      <c r="F72" s="624"/>
      <c r="G72" s="624"/>
      <c r="H72" s="624"/>
      <c r="I72" s="603"/>
      <c r="J72" s="624"/>
      <c r="K72" s="624"/>
      <c r="L72" s="603"/>
      <c r="M72" s="603"/>
      <c r="N72" s="603"/>
      <c r="O72" s="603"/>
      <c r="P72" s="603"/>
    </row>
    <row r="73" customFormat="false" ht="18" hidden="false" customHeight="true" outlineLevel="0" collapsed="false">
      <c r="A73" s="603"/>
      <c r="B73" s="608"/>
      <c r="C73" s="608"/>
      <c r="D73" s="624"/>
      <c r="E73" s="608"/>
      <c r="F73" s="624"/>
      <c r="G73" s="624"/>
      <c r="H73" s="624"/>
      <c r="I73" s="603"/>
      <c r="J73" s="624"/>
      <c r="K73" s="624"/>
      <c r="L73" s="603"/>
      <c r="M73" s="603"/>
      <c r="N73" s="603"/>
      <c r="O73" s="603"/>
      <c r="P73" s="603"/>
    </row>
    <row r="74" customFormat="false" ht="18" hidden="false" customHeight="true" outlineLevel="0" collapsed="false">
      <c r="A74" s="603"/>
      <c r="B74" s="608"/>
      <c r="C74" s="608"/>
      <c r="D74" s="624"/>
      <c r="E74" s="608"/>
      <c r="F74" s="624"/>
      <c r="G74" s="624"/>
      <c r="H74" s="624"/>
      <c r="I74" s="603"/>
      <c r="J74" s="624"/>
      <c r="K74" s="624"/>
      <c r="L74" s="603"/>
      <c r="M74" s="603"/>
      <c r="N74" s="603"/>
      <c r="O74" s="603"/>
      <c r="P74" s="603"/>
    </row>
    <row r="75" customFormat="false" ht="18" hidden="false" customHeight="true" outlineLevel="0" collapsed="false">
      <c r="A75" s="603"/>
      <c r="B75" s="608"/>
      <c r="C75" s="608"/>
      <c r="D75" s="624"/>
      <c r="E75" s="608"/>
      <c r="F75" s="624"/>
      <c r="G75" s="624"/>
      <c r="H75" s="624"/>
      <c r="I75" s="603"/>
      <c r="J75" s="624"/>
      <c r="K75" s="624"/>
      <c r="L75" s="603"/>
      <c r="M75" s="603"/>
      <c r="N75" s="603"/>
      <c r="O75" s="603"/>
      <c r="P75" s="603"/>
    </row>
    <row r="76" customFormat="false" ht="18" hidden="false" customHeight="true" outlineLevel="0" collapsed="false">
      <c r="A76" s="603"/>
      <c r="B76" s="608"/>
      <c r="C76" s="608"/>
      <c r="D76" s="624"/>
      <c r="E76" s="608"/>
      <c r="F76" s="624"/>
      <c r="G76" s="624"/>
      <c r="H76" s="624"/>
      <c r="I76" s="603"/>
      <c r="J76" s="624"/>
      <c r="K76" s="624"/>
      <c r="L76" s="603"/>
      <c r="M76" s="603"/>
      <c r="N76" s="603"/>
      <c r="O76" s="603"/>
      <c r="P76" s="603"/>
    </row>
    <row r="77" customFormat="false" ht="18" hidden="false" customHeight="true" outlineLevel="0" collapsed="false">
      <c r="A77" s="603"/>
      <c r="B77" s="608"/>
      <c r="C77" s="608"/>
      <c r="D77" s="624"/>
      <c r="E77" s="608"/>
      <c r="F77" s="624"/>
      <c r="G77" s="624"/>
      <c r="H77" s="624"/>
      <c r="I77" s="603"/>
      <c r="J77" s="624"/>
      <c r="K77" s="624"/>
      <c r="L77" s="603"/>
      <c r="M77" s="603"/>
      <c r="N77" s="603"/>
      <c r="O77" s="603"/>
      <c r="P77" s="603"/>
    </row>
    <row r="78" customFormat="false" ht="15" hidden="false" customHeight="true" outlineLevel="0" collapsed="false">
      <c r="A78" s="603"/>
      <c r="B78" s="603"/>
      <c r="C78" s="603"/>
      <c r="D78" s="603"/>
      <c r="E78" s="603"/>
      <c r="F78" s="603"/>
      <c r="G78" s="603"/>
      <c r="H78" s="603"/>
      <c r="I78" s="603"/>
      <c r="J78" s="603"/>
      <c r="K78" s="603"/>
      <c r="L78" s="603"/>
      <c r="M78" s="603"/>
      <c r="N78" s="603"/>
      <c r="O78" s="603"/>
      <c r="P78" s="603"/>
    </row>
    <row r="79" customFormat="false" ht="24" hidden="false" customHeight="true" outlineLevel="0" collapsed="false">
      <c r="A79" s="603"/>
      <c r="B79" s="603"/>
      <c r="C79" s="603"/>
      <c r="D79" s="603"/>
      <c r="E79" s="603"/>
      <c r="F79" s="603"/>
      <c r="G79" s="603"/>
      <c r="H79" s="603"/>
      <c r="I79" s="603"/>
      <c r="J79" s="603"/>
      <c r="K79" s="603"/>
      <c r="L79" s="603"/>
      <c r="M79" s="603"/>
      <c r="N79" s="603"/>
      <c r="O79" s="603"/>
      <c r="P79" s="603"/>
    </row>
    <row r="80" customFormat="false" ht="15.75" hidden="false" customHeight="true" outlineLevel="0" collapsed="false">
      <c r="A80" s="603"/>
      <c r="B80" s="603"/>
      <c r="C80" s="603"/>
      <c r="D80" s="603"/>
      <c r="E80" s="603"/>
      <c r="F80" s="603"/>
      <c r="G80" s="603"/>
      <c r="H80" s="603"/>
      <c r="I80" s="603"/>
      <c r="J80" s="603"/>
      <c r="K80" s="603"/>
      <c r="L80" s="603"/>
      <c r="M80" s="603"/>
      <c r="N80" s="603"/>
      <c r="O80" s="603"/>
      <c r="P80" s="603"/>
    </row>
    <row r="81" customFormat="false" ht="24" hidden="false" customHeight="true" outlineLevel="0" collapsed="false">
      <c r="A81" s="603"/>
      <c r="B81" s="603"/>
      <c r="C81" s="603"/>
      <c r="D81" s="603"/>
      <c r="E81" s="603"/>
      <c r="F81" s="603"/>
      <c r="G81" s="603"/>
      <c r="H81" s="603"/>
      <c r="I81" s="603"/>
      <c r="J81" s="603"/>
      <c r="K81" s="603"/>
      <c r="L81" s="603"/>
      <c r="M81" s="603"/>
      <c r="N81" s="603"/>
      <c r="O81" s="603"/>
      <c r="P81" s="603"/>
    </row>
    <row r="82" customFormat="false" ht="18" hidden="false" customHeight="true" outlineLevel="0" collapsed="false">
      <c r="A82" s="603"/>
      <c r="B82" s="624"/>
      <c r="C82" s="624"/>
      <c r="D82" s="624"/>
      <c r="E82" s="603"/>
      <c r="F82" s="624"/>
      <c r="G82" s="603"/>
      <c r="H82" s="603"/>
      <c r="I82" s="603"/>
      <c r="J82" s="603"/>
      <c r="K82" s="603"/>
      <c r="L82" s="603"/>
      <c r="M82" s="603"/>
      <c r="N82" s="603"/>
      <c r="O82" s="603"/>
      <c r="P82" s="603"/>
    </row>
    <row r="83" customFormat="false" ht="18" hidden="false" customHeight="true" outlineLevel="0" collapsed="false">
      <c r="A83" s="603"/>
      <c r="B83" s="624"/>
      <c r="C83" s="624"/>
      <c r="D83" s="624"/>
      <c r="E83" s="603"/>
      <c r="F83" s="624"/>
      <c r="G83" s="603"/>
      <c r="H83" s="603"/>
      <c r="I83" s="603"/>
      <c r="J83" s="603"/>
      <c r="K83" s="603"/>
      <c r="L83" s="603"/>
      <c r="M83" s="603"/>
      <c r="N83" s="603"/>
      <c r="O83" s="603"/>
      <c r="P83" s="603"/>
    </row>
    <row r="84" customFormat="false" ht="18" hidden="false" customHeight="true" outlineLevel="0" collapsed="false">
      <c r="A84" s="603"/>
      <c r="B84" s="624"/>
      <c r="C84" s="624"/>
      <c r="D84" s="624"/>
      <c r="E84" s="603"/>
      <c r="F84" s="624"/>
      <c r="G84" s="603"/>
      <c r="H84" s="603"/>
      <c r="I84" s="603"/>
      <c r="J84" s="603"/>
      <c r="K84" s="603"/>
      <c r="L84" s="603"/>
      <c r="M84" s="603"/>
      <c r="N84" s="603"/>
      <c r="O84" s="603"/>
      <c r="P84" s="603"/>
    </row>
    <row r="85" customFormat="false" ht="18" hidden="false" customHeight="true" outlineLevel="0" collapsed="false">
      <c r="A85" s="603"/>
      <c r="B85" s="625"/>
      <c r="C85" s="625"/>
      <c r="D85" s="625"/>
      <c r="E85" s="603"/>
      <c r="F85" s="625"/>
      <c r="G85" s="603"/>
      <c r="H85" s="603"/>
      <c r="I85" s="603"/>
      <c r="J85" s="603"/>
      <c r="K85" s="603"/>
      <c r="L85" s="603"/>
      <c r="M85" s="603"/>
      <c r="N85" s="603"/>
      <c r="O85" s="603"/>
      <c r="P85" s="603"/>
    </row>
    <row r="86" customFormat="false" ht="15" hidden="false" customHeight="true" outlineLevel="0" collapsed="false">
      <c r="A86" s="603"/>
      <c r="B86" s="603"/>
      <c r="C86" s="603"/>
      <c r="D86" s="603"/>
      <c r="E86" s="603"/>
      <c r="F86" s="603"/>
      <c r="G86" s="603"/>
      <c r="H86" s="603"/>
      <c r="I86" s="603"/>
      <c r="J86" s="603"/>
      <c r="K86" s="603"/>
      <c r="L86" s="603"/>
      <c r="M86" s="603"/>
      <c r="N86" s="603"/>
      <c r="O86" s="603"/>
      <c r="P86" s="603"/>
    </row>
    <row r="87" customFormat="false" ht="24" hidden="false" customHeight="true" outlineLevel="0" collapsed="false">
      <c r="A87" s="603"/>
      <c r="B87" s="603"/>
      <c r="C87" s="603"/>
      <c r="D87" s="603"/>
      <c r="E87" s="603"/>
      <c r="F87" s="603"/>
      <c r="G87" s="603"/>
      <c r="H87" s="603"/>
      <c r="I87" s="603"/>
      <c r="J87" s="603"/>
      <c r="K87" s="603"/>
      <c r="L87" s="603"/>
      <c r="M87" s="603"/>
      <c r="N87" s="603"/>
      <c r="O87" s="603"/>
      <c r="P87" s="603"/>
    </row>
    <row r="88" customFormat="false" ht="15.75" hidden="false" customHeight="true" outlineLevel="0" collapsed="false">
      <c r="A88" s="603"/>
      <c r="B88" s="603"/>
      <c r="C88" s="603"/>
      <c r="D88" s="603"/>
      <c r="E88" s="603"/>
      <c r="F88" s="603"/>
      <c r="G88" s="603"/>
      <c r="H88" s="603"/>
      <c r="I88" s="603"/>
      <c r="J88" s="603"/>
      <c r="K88" s="603"/>
      <c r="L88" s="603"/>
      <c r="M88" s="603"/>
      <c r="N88" s="603"/>
      <c r="O88" s="603"/>
      <c r="P88" s="603"/>
    </row>
    <row r="89" customFormat="false" ht="18" hidden="false" customHeight="true" outlineLevel="0" collapsed="false">
      <c r="A89" s="603"/>
      <c r="B89" s="603"/>
      <c r="C89" s="626"/>
      <c r="D89" s="603"/>
      <c r="E89" s="603"/>
      <c r="F89" s="603"/>
      <c r="G89" s="603"/>
      <c r="H89" s="603"/>
      <c r="I89" s="603"/>
      <c r="J89" s="603"/>
      <c r="K89" s="603"/>
      <c r="L89" s="603"/>
      <c r="M89" s="603"/>
      <c r="N89" s="603"/>
      <c r="O89" s="603"/>
      <c r="P89" s="603"/>
    </row>
    <row r="90" customFormat="false" ht="18" hidden="false" customHeight="true" outlineLevel="0" collapsed="false">
      <c r="A90" s="603"/>
      <c r="B90" s="603"/>
      <c r="C90" s="624"/>
      <c r="D90" s="603"/>
      <c r="E90" s="603"/>
      <c r="F90" s="603"/>
      <c r="G90" s="603"/>
      <c r="H90" s="603"/>
      <c r="I90" s="603"/>
      <c r="J90" s="603"/>
      <c r="K90" s="603"/>
      <c r="L90" s="603"/>
      <c r="M90" s="603"/>
      <c r="N90" s="603"/>
      <c r="O90" s="603"/>
      <c r="P90" s="603"/>
    </row>
    <row r="91" customFormat="false" ht="18" hidden="false" customHeight="true" outlineLevel="0" collapsed="false">
      <c r="A91" s="603"/>
      <c r="B91" s="603"/>
      <c r="C91" s="626"/>
      <c r="D91" s="603"/>
      <c r="E91" s="603"/>
      <c r="F91" s="603"/>
      <c r="G91" s="603"/>
      <c r="H91" s="603"/>
      <c r="I91" s="603"/>
      <c r="J91" s="603"/>
      <c r="K91" s="603"/>
      <c r="L91" s="603"/>
      <c r="M91" s="603"/>
      <c r="N91" s="603"/>
      <c r="O91" s="603"/>
      <c r="P91" s="603"/>
    </row>
    <row r="92" customFormat="false" ht="15" hidden="false" customHeight="true" outlineLevel="0" collapsed="false">
      <c r="A92" s="603"/>
      <c r="B92" s="603"/>
      <c r="C92" s="603"/>
      <c r="D92" s="603"/>
      <c r="E92" s="603"/>
      <c r="F92" s="603"/>
      <c r="G92" s="603"/>
      <c r="H92" s="603"/>
      <c r="I92" s="603"/>
      <c r="J92" s="603"/>
      <c r="K92" s="603"/>
      <c r="L92" s="603"/>
      <c r="M92" s="603"/>
      <c r="N92" s="603"/>
      <c r="O92" s="603"/>
      <c r="P92" s="603"/>
    </row>
    <row r="93" customFormat="false" ht="21.75" hidden="false" customHeight="true" outlineLevel="0" collapsed="false">
      <c r="A93" s="603"/>
      <c r="B93" s="603"/>
      <c r="C93" s="603"/>
      <c r="D93" s="603"/>
      <c r="E93" s="603"/>
      <c r="F93" s="603"/>
      <c r="G93" s="603"/>
      <c r="H93" s="603"/>
      <c r="I93" s="603"/>
      <c r="J93" s="603"/>
      <c r="K93" s="603"/>
      <c r="L93" s="603"/>
      <c r="M93" s="603"/>
      <c r="N93" s="603"/>
      <c r="O93" s="603"/>
      <c r="P93" s="603"/>
    </row>
    <row r="94" customFormat="false" ht="15.75" hidden="false" customHeight="true" outlineLevel="0" collapsed="false">
      <c r="A94" s="603"/>
      <c r="B94" s="603"/>
      <c r="C94" s="603"/>
      <c r="D94" s="603"/>
      <c r="E94" s="603"/>
      <c r="F94" s="603"/>
      <c r="G94" s="603"/>
      <c r="H94" s="603"/>
      <c r="I94" s="603"/>
      <c r="J94" s="603"/>
      <c r="K94" s="603"/>
      <c r="L94" s="603"/>
      <c r="M94" s="603"/>
      <c r="N94" s="603"/>
      <c r="O94" s="603"/>
      <c r="P94" s="603"/>
    </row>
    <row r="95" customFormat="false" ht="15" hidden="false" customHeight="true" outlineLevel="0" collapsed="false">
      <c r="A95" s="603"/>
      <c r="B95" s="603"/>
      <c r="C95" s="603"/>
      <c r="D95" s="603"/>
      <c r="E95" s="603"/>
      <c r="F95" s="603"/>
      <c r="G95" s="603"/>
      <c r="H95" s="603"/>
      <c r="I95" s="603"/>
      <c r="J95" s="603"/>
      <c r="K95" s="603"/>
      <c r="L95" s="603"/>
      <c r="M95" s="603"/>
      <c r="N95" s="603"/>
      <c r="O95" s="603"/>
      <c r="P95" s="603"/>
    </row>
    <row r="96" customFormat="false" ht="18" hidden="false" customHeight="true" outlineLevel="0" collapsed="false">
      <c r="A96" s="603"/>
      <c r="B96" s="603"/>
      <c r="C96" s="603"/>
      <c r="D96" s="603"/>
      <c r="E96" s="603"/>
      <c r="F96" s="603"/>
      <c r="G96" s="603"/>
      <c r="H96" s="603"/>
      <c r="I96" s="603"/>
      <c r="J96" s="603"/>
      <c r="K96" s="603"/>
      <c r="L96" s="603"/>
      <c r="M96" s="603"/>
      <c r="N96" s="603"/>
      <c r="O96" s="603"/>
      <c r="P96" s="603"/>
    </row>
    <row r="97" customFormat="false" ht="15.75" hidden="false" customHeight="true" outlineLevel="0" collapsed="false">
      <c r="A97" s="603"/>
      <c r="B97" s="603"/>
      <c r="C97" s="603"/>
      <c r="D97" s="603"/>
      <c r="E97" s="603"/>
      <c r="F97" s="603"/>
      <c r="G97" s="603"/>
      <c r="H97" s="603"/>
      <c r="I97" s="603"/>
      <c r="J97" s="603"/>
      <c r="K97" s="603"/>
      <c r="L97" s="603"/>
      <c r="M97" s="603"/>
      <c r="N97" s="603"/>
      <c r="O97" s="603"/>
      <c r="P97" s="603"/>
    </row>
    <row r="98" customFormat="false" ht="18" hidden="false" customHeight="true" outlineLevel="0" collapsed="false">
      <c r="A98" s="603"/>
      <c r="B98" s="608"/>
      <c r="C98" s="603"/>
      <c r="D98" s="603"/>
      <c r="E98" s="603"/>
      <c r="F98" s="603"/>
      <c r="G98" s="603"/>
      <c r="H98" s="603"/>
      <c r="I98" s="603"/>
      <c r="J98" s="603"/>
      <c r="K98" s="603"/>
      <c r="L98" s="603"/>
      <c r="M98" s="603"/>
      <c r="N98" s="603"/>
      <c r="O98" s="603"/>
      <c r="P98" s="603"/>
    </row>
    <row r="99" customFormat="false" ht="18" hidden="false" customHeight="true" outlineLevel="0" collapsed="false">
      <c r="A99" s="603"/>
      <c r="B99" s="608"/>
      <c r="C99" s="603"/>
      <c r="D99" s="603"/>
      <c r="E99" s="603"/>
      <c r="F99" s="603"/>
      <c r="G99" s="603"/>
      <c r="H99" s="603"/>
      <c r="I99" s="603"/>
      <c r="J99" s="603"/>
      <c r="K99" s="603"/>
      <c r="L99" s="603"/>
      <c r="M99" s="603"/>
      <c r="N99" s="603"/>
      <c r="O99" s="603"/>
      <c r="P99" s="603"/>
    </row>
    <row r="100" customFormat="false" ht="15" hidden="false" customHeight="true" outlineLevel="0" collapsed="false">
      <c r="A100" s="603"/>
      <c r="B100" s="603"/>
      <c r="C100" s="603"/>
      <c r="D100" s="603"/>
      <c r="E100" s="603"/>
      <c r="F100" s="603"/>
      <c r="G100" s="603"/>
      <c r="H100" s="603"/>
      <c r="I100" s="603"/>
      <c r="J100" s="603"/>
      <c r="K100" s="603"/>
      <c r="L100" s="603"/>
      <c r="M100" s="603"/>
      <c r="N100" s="603"/>
      <c r="O100" s="603"/>
      <c r="P100" s="603"/>
    </row>
    <row r="101" customFormat="false" ht="18" hidden="false" customHeight="true" outlineLevel="0" collapsed="false">
      <c r="A101" s="603"/>
      <c r="B101" s="603"/>
      <c r="C101" s="603"/>
      <c r="D101" s="603"/>
      <c r="E101" s="603"/>
      <c r="F101" s="603"/>
      <c r="G101" s="603"/>
      <c r="H101" s="603"/>
      <c r="I101" s="603"/>
      <c r="J101" s="603"/>
      <c r="K101" s="603"/>
      <c r="L101" s="603"/>
      <c r="M101" s="603"/>
      <c r="N101" s="603"/>
      <c r="O101" s="603"/>
      <c r="P101" s="603"/>
    </row>
    <row r="102" customFormat="false" ht="15.75" hidden="false" customHeight="true" outlineLevel="0" collapsed="false">
      <c r="A102" s="603"/>
      <c r="B102" s="603"/>
      <c r="C102" s="603"/>
      <c r="D102" s="603"/>
      <c r="E102" s="603"/>
      <c r="F102" s="603"/>
      <c r="G102" s="603"/>
      <c r="H102" s="603"/>
      <c r="I102" s="603"/>
      <c r="J102" s="603"/>
      <c r="K102" s="603"/>
      <c r="L102" s="603"/>
      <c r="M102" s="603"/>
      <c r="N102" s="603"/>
      <c r="O102" s="603"/>
      <c r="P102" s="603"/>
    </row>
    <row r="103" customFormat="false" ht="15.75" hidden="false" customHeight="true" outlineLevel="0" collapsed="false">
      <c r="A103" s="603"/>
      <c r="B103" s="603"/>
      <c r="C103" s="603"/>
      <c r="D103" s="603"/>
      <c r="E103" s="603"/>
      <c r="F103" s="603"/>
      <c r="G103" s="603"/>
      <c r="H103" s="603"/>
      <c r="I103" s="603"/>
      <c r="J103" s="603"/>
      <c r="K103" s="603"/>
      <c r="L103" s="603"/>
      <c r="M103" s="603"/>
      <c r="N103" s="603"/>
      <c r="O103" s="603"/>
      <c r="P103" s="603"/>
    </row>
    <row r="104" customFormat="false" ht="18" hidden="false" customHeight="true" outlineLevel="0" collapsed="false">
      <c r="A104" s="603"/>
      <c r="B104" s="626"/>
      <c r="C104" s="625"/>
      <c r="D104" s="625"/>
      <c r="E104" s="625"/>
      <c r="F104" s="603"/>
      <c r="G104" s="603"/>
      <c r="H104" s="603"/>
      <c r="I104" s="603"/>
      <c r="J104" s="603"/>
      <c r="K104" s="603"/>
      <c r="L104" s="603"/>
      <c r="M104" s="603"/>
      <c r="N104" s="603"/>
      <c r="O104" s="603"/>
      <c r="P104" s="603"/>
    </row>
    <row r="105" customFormat="false" ht="18" hidden="false" customHeight="true" outlineLevel="0" collapsed="false">
      <c r="A105" s="603"/>
      <c r="B105" s="626"/>
      <c r="C105" s="625"/>
      <c r="D105" s="625"/>
      <c r="E105" s="625"/>
      <c r="F105" s="603"/>
      <c r="G105" s="603"/>
      <c r="H105" s="603"/>
      <c r="I105" s="603"/>
      <c r="J105" s="603"/>
      <c r="K105" s="603"/>
      <c r="L105" s="603"/>
      <c r="M105" s="603"/>
      <c r="N105" s="603"/>
      <c r="O105" s="603"/>
      <c r="P105" s="603"/>
    </row>
    <row r="106" customFormat="false" ht="18" hidden="false" customHeight="true" outlineLevel="0" collapsed="false">
      <c r="A106" s="603"/>
      <c r="B106" s="626"/>
      <c r="C106" s="625"/>
      <c r="D106" s="625"/>
      <c r="E106" s="625"/>
      <c r="F106" s="603"/>
      <c r="G106" s="603"/>
      <c r="H106" s="603"/>
      <c r="I106" s="603"/>
      <c r="J106" s="603"/>
      <c r="K106" s="603"/>
      <c r="L106" s="603"/>
      <c r="M106" s="603"/>
      <c r="N106" s="603"/>
      <c r="O106" s="603"/>
      <c r="P106" s="603"/>
    </row>
    <row r="107" customFormat="false" ht="18" hidden="false" customHeight="true" outlineLevel="0" collapsed="false">
      <c r="A107" s="603"/>
      <c r="B107" s="626"/>
      <c r="C107" s="625"/>
      <c r="D107" s="625"/>
      <c r="E107" s="625"/>
      <c r="F107" s="603"/>
      <c r="G107" s="603"/>
      <c r="H107" s="603"/>
      <c r="I107" s="603"/>
      <c r="J107" s="603"/>
      <c r="K107" s="603"/>
      <c r="L107" s="603"/>
      <c r="M107" s="603"/>
      <c r="N107" s="603"/>
      <c r="O107" s="603"/>
      <c r="P107" s="603"/>
    </row>
    <row r="108" customFormat="false" ht="18" hidden="false" customHeight="true" outlineLevel="0" collapsed="false">
      <c r="A108" s="603"/>
      <c r="B108" s="626"/>
      <c r="C108" s="625"/>
      <c r="D108" s="625"/>
      <c r="E108" s="625"/>
      <c r="F108" s="603"/>
      <c r="G108" s="603"/>
      <c r="H108" s="603"/>
      <c r="I108" s="603"/>
      <c r="J108" s="603"/>
      <c r="K108" s="603"/>
      <c r="L108" s="603"/>
      <c r="M108" s="603"/>
      <c r="N108" s="603"/>
      <c r="O108" s="603"/>
      <c r="P108" s="603"/>
    </row>
    <row r="109" customFormat="false" ht="15" hidden="false" customHeight="true" outlineLevel="0" collapsed="false">
      <c r="A109" s="603"/>
      <c r="B109" s="603"/>
      <c r="C109" s="603"/>
      <c r="D109" s="603"/>
      <c r="E109" s="603"/>
      <c r="F109" s="603"/>
      <c r="G109" s="603"/>
      <c r="H109" s="603"/>
      <c r="I109" s="603"/>
      <c r="J109" s="603"/>
      <c r="K109" s="603"/>
      <c r="L109" s="603"/>
      <c r="M109" s="603"/>
      <c r="N109" s="603"/>
      <c r="O109" s="603"/>
      <c r="P109" s="603"/>
    </row>
    <row r="110" customFormat="false" ht="18" hidden="false" customHeight="true" outlineLevel="0" collapsed="false">
      <c r="A110" s="603"/>
      <c r="B110" s="603"/>
      <c r="C110" s="603"/>
      <c r="D110" s="603"/>
      <c r="E110" s="603"/>
      <c r="F110" s="603"/>
      <c r="G110" s="603"/>
      <c r="H110" s="603"/>
      <c r="I110" s="603"/>
      <c r="J110" s="603"/>
      <c r="K110" s="603"/>
      <c r="L110" s="603"/>
      <c r="M110" s="603"/>
      <c r="N110" s="603"/>
      <c r="O110" s="603"/>
      <c r="P110" s="603"/>
    </row>
    <row r="111" customFormat="false" ht="15.75" hidden="false" customHeight="true" outlineLevel="0" collapsed="false">
      <c r="A111" s="603"/>
      <c r="B111" s="603"/>
      <c r="C111" s="603"/>
      <c r="D111" s="603"/>
      <c r="E111" s="603"/>
      <c r="F111" s="603"/>
      <c r="G111" s="603"/>
      <c r="H111" s="603"/>
      <c r="I111" s="603"/>
      <c r="J111" s="603"/>
      <c r="K111" s="603"/>
      <c r="L111" s="603"/>
      <c r="M111" s="603"/>
      <c r="N111" s="603"/>
      <c r="O111" s="603"/>
      <c r="P111" s="603"/>
    </row>
    <row r="112" customFormat="false" ht="15.75" hidden="false" customHeight="true" outlineLevel="0" collapsed="false">
      <c r="A112" s="603"/>
      <c r="B112" s="603"/>
      <c r="C112" s="603"/>
      <c r="D112" s="603"/>
      <c r="E112" s="603"/>
      <c r="F112" s="603"/>
      <c r="G112" s="603"/>
      <c r="H112" s="603"/>
      <c r="I112" s="603"/>
      <c r="J112" s="603"/>
      <c r="K112" s="603"/>
      <c r="L112" s="603"/>
      <c r="M112" s="603"/>
      <c r="N112" s="603"/>
      <c r="O112" s="603"/>
      <c r="P112" s="603"/>
    </row>
    <row r="113" customFormat="false" ht="18" hidden="false" customHeight="true" outlineLevel="0" collapsed="false">
      <c r="A113" s="603"/>
      <c r="B113" s="626"/>
      <c r="C113" s="603"/>
      <c r="D113" s="603"/>
      <c r="E113" s="603"/>
      <c r="F113" s="603"/>
      <c r="G113" s="603"/>
      <c r="H113" s="603"/>
      <c r="I113" s="603"/>
      <c r="J113" s="603"/>
      <c r="K113" s="603"/>
      <c r="L113" s="603"/>
      <c r="M113" s="603"/>
      <c r="N113" s="603"/>
      <c r="O113" s="603"/>
      <c r="P113" s="603"/>
    </row>
    <row r="114" customFormat="false" ht="18" hidden="false" customHeight="true" outlineLevel="0" collapsed="false">
      <c r="A114" s="603"/>
      <c r="B114" s="625"/>
      <c r="C114" s="625"/>
      <c r="D114" s="625"/>
      <c r="E114" s="603"/>
      <c r="F114" s="603"/>
      <c r="G114" s="603"/>
      <c r="H114" s="603"/>
      <c r="I114" s="603"/>
      <c r="J114" s="603"/>
      <c r="K114" s="603"/>
      <c r="L114" s="603"/>
      <c r="M114" s="603"/>
      <c r="N114" s="603"/>
      <c r="O114" s="603"/>
      <c r="P114" s="603"/>
    </row>
    <row r="115" customFormat="false" ht="18" hidden="false" customHeight="true" outlineLevel="0" collapsed="false">
      <c r="A115" s="603"/>
      <c r="B115" s="612"/>
      <c r="C115" s="612"/>
      <c r="D115" s="612"/>
      <c r="E115" s="603"/>
      <c r="F115" s="603"/>
      <c r="G115" s="603"/>
      <c r="H115" s="603"/>
      <c r="I115" s="603"/>
      <c r="J115" s="603"/>
      <c r="K115" s="603"/>
      <c r="L115" s="603"/>
      <c r="M115" s="603"/>
      <c r="N115" s="603"/>
      <c r="O115" s="603"/>
      <c r="P115" s="603"/>
    </row>
    <row r="116" customFormat="false" ht="15" hidden="false" customHeight="true" outlineLevel="0" collapsed="false">
      <c r="A116" s="603"/>
      <c r="B116" s="603"/>
      <c r="C116" s="603"/>
      <c r="D116" s="603"/>
      <c r="E116" s="603"/>
      <c r="F116" s="603"/>
      <c r="G116" s="603"/>
      <c r="H116" s="603"/>
      <c r="I116" s="603"/>
      <c r="J116" s="603"/>
      <c r="K116" s="603"/>
      <c r="L116" s="603"/>
      <c r="M116" s="603"/>
      <c r="N116" s="603"/>
      <c r="O116" s="603"/>
      <c r="P116" s="603"/>
    </row>
    <row r="117" customFormat="false" ht="18" hidden="false" customHeight="true" outlineLevel="0" collapsed="false">
      <c r="A117" s="603"/>
      <c r="B117" s="603"/>
      <c r="C117" s="603"/>
      <c r="D117" s="603"/>
      <c r="E117" s="603"/>
      <c r="F117" s="603"/>
      <c r="G117" s="603"/>
      <c r="H117" s="603"/>
      <c r="I117" s="603"/>
      <c r="J117" s="603"/>
      <c r="K117" s="603"/>
      <c r="L117" s="603"/>
      <c r="M117" s="603"/>
      <c r="N117" s="603"/>
      <c r="O117" s="603"/>
      <c r="P117" s="603"/>
    </row>
    <row r="118" customFormat="false" ht="15.75" hidden="false" customHeight="true" outlineLevel="0" collapsed="false">
      <c r="A118" s="603"/>
      <c r="B118" s="603"/>
      <c r="C118" s="603"/>
      <c r="D118" s="603"/>
      <c r="E118" s="603"/>
      <c r="F118" s="603"/>
      <c r="G118" s="603"/>
      <c r="H118" s="603"/>
      <c r="I118" s="603"/>
      <c r="J118" s="603"/>
      <c r="K118" s="603"/>
      <c r="L118" s="603"/>
      <c r="M118" s="603"/>
      <c r="N118" s="603"/>
      <c r="O118" s="603"/>
      <c r="P118" s="603"/>
    </row>
    <row r="119" customFormat="false" ht="18" hidden="false" customHeight="true" outlineLevel="0" collapsed="false">
      <c r="A119" s="603"/>
      <c r="B119" s="626"/>
      <c r="C119" s="625"/>
      <c r="D119" s="625"/>
      <c r="E119" s="625"/>
      <c r="F119" s="603"/>
      <c r="G119" s="603"/>
      <c r="H119" s="603"/>
      <c r="I119" s="603"/>
      <c r="J119" s="603"/>
      <c r="K119" s="603"/>
      <c r="L119" s="603"/>
      <c r="M119" s="603"/>
      <c r="N119" s="603"/>
      <c r="O119" s="603"/>
      <c r="P119" s="603"/>
    </row>
    <row r="120" customFormat="false" ht="18" hidden="false" customHeight="true" outlineLevel="0" collapsed="false">
      <c r="A120" s="603"/>
      <c r="B120" s="626"/>
      <c r="C120" s="625"/>
      <c r="D120" s="625"/>
      <c r="E120" s="625"/>
      <c r="F120" s="603"/>
      <c r="G120" s="603"/>
      <c r="H120" s="603"/>
      <c r="I120" s="603"/>
      <c r="J120" s="603"/>
      <c r="K120" s="603"/>
      <c r="L120" s="603"/>
      <c r="M120" s="603"/>
      <c r="N120" s="603"/>
      <c r="O120" s="603"/>
      <c r="P120" s="603"/>
    </row>
    <row r="121" customFormat="false" ht="18" hidden="false" customHeight="true" outlineLevel="0" collapsed="false">
      <c r="A121" s="603"/>
      <c r="B121" s="626"/>
      <c r="C121" s="625"/>
      <c r="D121" s="625"/>
      <c r="E121" s="625"/>
      <c r="F121" s="603"/>
      <c r="G121" s="603"/>
      <c r="H121" s="603"/>
      <c r="I121" s="603"/>
      <c r="J121" s="603"/>
      <c r="K121" s="603"/>
      <c r="L121" s="603"/>
      <c r="M121" s="603"/>
      <c r="N121" s="603"/>
      <c r="O121" s="603"/>
      <c r="P121" s="603"/>
    </row>
    <row r="122" customFormat="false" ht="18" hidden="false" customHeight="true" outlineLevel="0" collapsed="false">
      <c r="A122" s="603"/>
      <c r="B122" s="626"/>
      <c r="C122" s="612"/>
      <c r="D122" s="612"/>
      <c r="E122" s="612"/>
      <c r="F122" s="603"/>
      <c r="G122" s="603"/>
      <c r="H122" s="603"/>
      <c r="I122" s="603"/>
      <c r="J122" s="603"/>
      <c r="K122" s="603"/>
      <c r="L122" s="603"/>
      <c r="M122" s="603"/>
      <c r="N122" s="603"/>
      <c r="O122" s="603"/>
      <c r="P122" s="603"/>
    </row>
    <row r="123" customFormat="false" ht="15" hidden="false" customHeight="true" outlineLevel="0" collapsed="false">
      <c r="A123" s="603"/>
      <c r="B123" s="603"/>
      <c r="C123" s="603"/>
      <c r="D123" s="603"/>
      <c r="E123" s="603"/>
      <c r="F123" s="603"/>
      <c r="G123" s="603"/>
      <c r="H123" s="603"/>
      <c r="I123" s="603"/>
      <c r="J123" s="603"/>
      <c r="K123" s="603"/>
      <c r="L123" s="603"/>
      <c r="M123" s="603"/>
      <c r="N123" s="603"/>
      <c r="O123" s="603"/>
      <c r="P123" s="603"/>
    </row>
    <row r="124" customFormat="false" ht="18" hidden="false" customHeight="true" outlineLevel="0" collapsed="false">
      <c r="A124" s="603"/>
      <c r="B124" s="603"/>
      <c r="C124" s="603"/>
      <c r="D124" s="603"/>
      <c r="E124" s="603"/>
      <c r="F124" s="603"/>
      <c r="G124" s="603"/>
      <c r="H124" s="603"/>
      <c r="I124" s="603"/>
      <c r="J124" s="603"/>
      <c r="K124" s="603"/>
      <c r="L124" s="603"/>
      <c r="M124" s="603"/>
      <c r="N124" s="603"/>
      <c r="O124" s="603"/>
      <c r="P124" s="603"/>
    </row>
    <row r="125" customFormat="false" ht="15.75" hidden="false" customHeight="true" outlineLevel="0" collapsed="false">
      <c r="A125" s="603"/>
      <c r="B125" s="603"/>
      <c r="C125" s="603"/>
      <c r="D125" s="603"/>
      <c r="E125" s="603"/>
      <c r="F125" s="603"/>
      <c r="G125" s="603"/>
      <c r="H125" s="603"/>
      <c r="I125" s="603"/>
      <c r="J125" s="603"/>
      <c r="K125" s="603"/>
      <c r="L125" s="603"/>
      <c r="M125" s="603"/>
      <c r="N125" s="603"/>
      <c r="O125" s="603"/>
      <c r="P125" s="603"/>
    </row>
    <row r="126" customFormat="false" ht="15.75" hidden="false" customHeight="true" outlineLevel="0" collapsed="false">
      <c r="A126" s="603"/>
      <c r="B126" s="603"/>
      <c r="C126" s="603"/>
      <c r="D126" s="603"/>
      <c r="E126" s="603"/>
      <c r="F126" s="603"/>
      <c r="G126" s="603"/>
      <c r="H126" s="603"/>
      <c r="I126" s="603"/>
      <c r="J126" s="603"/>
      <c r="K126" s="603"/>
      <c r="L126" s="603"/>
      <c r="M126" s="603"/>
      <c r="N126" s="603"/>
      <c r="O126" s="603"/>
      <c r="P126" s="603"/>
    </row>
    <row r="127" customFormat="false" ht="18" hidden="false" customHeight="true" outlineLevel="0" collapsed="false">
      <c r="A127" s="603"/>
      <c r="B127" s="628"/>
      <c r="C127" s="603"/>
      <c r="D127" s="603"/>
      <c r="E127" s="603"/>
      <c r="F127" s="603"/>
      <c r="G127" s="603"/>
      <c r="H127" s="603"/>
      <c r="I127" s="603"/>
      <c r="J127" s="603"/>
      <c r="K127" s="603"/>
      <c r="L127" s="603"/>
      <c r="M127" s="603"/>
      <c r="N127" s="603"/>
      <c r="O127" s="603"/>
      <c r="P127" s="603"/>
    </row>
    <row r="128" customFormat="false" ht="18" hidden="false" customHeight="true" outlineLevel="0" collapsed="false">
      <c r="A128" s="603"/>
      <c r="B128" s="625"/>
      <c r="C128" s="603"/>
      <c r="D128" s="603"/>
      <c r="E128" s="603"/>
      <c r="F128" s="603"/>
      <c r="G128" s="603"/>
      <c r="H128" s="603"/>
      <c r="I128" s="603"/>
      <c r="J128" s="603"/>
      <c r="K128" s="603"/>
      <c r="L128" s="603"/>
      <c r="M128" s="603"/>
      <c r="N128" s="603"/>
      <c r="O128" s="603"/>
      <c r="P128" s="603"/>
    </row>
    <row r="129" customFormat="false" ht="18" hidden="false" customHeight="true" outlineLevel="0" collapsed="false">
      <c r="A129" s="603"/>
      <c r="B129" s="625"/>
      <c r="C129" s="603"/>
      <c r="D129" s="603"/>
      <c r="E129" s="603"/>
      <c r="F129" s="603"/>
      <c r="G129" s="603"/>
      <c r="H129" s="603"/>
      <c r="I129" s="603"/>
      <c r="J129" s="603"/>
      <c r="K129" s="603"/>
      <c r="L129" s="603"/>
      <c r="M129" s="603"/>
      <c r="N129" s="603"/>
      <c r="O129" s="603"/>
      <c r="P129" s="603"/>
    </row>
    <row r="130" customFormat="false" ht="18" hidden="false" customHeight="true" outlineLevel="0" collapsed="false">
      <c r="A130" s="603"/>
      <c r="B130" s="612"/>
      <c r="C130" s="603"/>
      <c r="D130" s="603"/>
      <c r="E130" s="603"/>
      <c r="F130" s="603"/>
      <c r="G130" s="603"/>
      <c r="H130" s="603"/>
      <c r="I130" s="603"/>
      <c r="J130" s="603"/>
      <c r="K130" s="603"/>
      <c r="L130" s="603"/>
      <c r="M130" s="603"/>
      <c r="N130" s="603"/>
      <c r="O130" s="603"/>
      <c r="P130" s="603"/>
    </row>
    <row r="131" customFormat="false" ht="18" hidden="false" customHeight="true" outlineLevel="0" collapsed="false">
      <c r="A131" s="603"/>
      <c r="B131" s="612"/>
      <c r="C131" s="603"/>
      <c r="D131" s="603"/>
      <c r="E131" s="603"/>
      <c r="F131" s="603"/>
      <c r="G131" s="603"/>
      <c r="H131" s="603"/>
      <c r="I131" s="603"/>
      <c r="J131" s="603"/>
      <c r="K131" s="603"/>
      <c r="L131" s="603"/>
      <c r="M131" s="603"/>
      <c r="N131" s="603"/>
      <c r="O131" s="603"/>
      <c r="P131" s="60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B38" activeCellId="0" sqref="B38"/>
    </sheetView>
  </sheetViews>
  <sheetFormatPr defaultColWidth="8.859375" defaultRowHeight="15" customHeight="false" zeroHeight="false" outlineLevelRow="0" outlineLevelCol="0"/>
  <cols>
    <col collapsed="false" customWidth="true" hidden="false" outlineLevel="0" max="1" min="1" style="0" width="36.71"/>
    <col collapsed="false" customWidth="true" hidden="false" outlineLevel="0" max="11" min="2" style="0" width="15"/>
    <col collapsed="false" customWidth="true" hidden="false" outlineLevel="0" max="13" min="12" style="0" width="16"/>
  </cols>
  <sheetData>
    <row r="1" customFormat="false" ht="24" hidden="false" customHeight="true" outlineLevel="0" collapsed="false">
      <c r="A1" s="3" t="str">
        <f aca="false">IF('Prop Info'!B4="","WATERFALL &amp; RETURNS — DYNAMIC DISTRIBUTION MODEL","WATERFALL &amp; RETURNS — DYNAMIC DISTRIBUTION MODEL"&amp;" — "&amp;'Prop Info'!B4)</f>
        <v>WATERFALL &amp; RETURNS — DYNAMIC DISTRIBUTION MODEL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15.75" hidden="false" customHeight="true" outlineLevel="0" collapsed="false">
      <c r="A2" s="93" t="s">
        <v>1932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</row>
    <row r="4" customFormat="false" ht="24" hidden="false" customHeight="true" outlineLevel="0" collapsed="false">
      <c r="A4" s="17" t="s">
        <v>1933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</row>
    <row r="5" customFormat="false" ht="15.75" hidden="false" customHeight="true" outlineLevel="0" collapsed="false">
      <c r="A5" s="297" t="s">
        <v>1934</v>
      </c>
      <c r="B5" s="32" t="str">
        <f aca="false">Scenarios!F82</f>
        <v/>
      </c>
      <c r="C5" s="93" t="s">
        <v>1935</v>
      </c>
      <c r="D5" s="93"/>
      <c r="E5" s="93"/>
      <c r="F5" s="93"/>
      <c r="G5" s="93"/>
      <c r="H5" s="93"/>
      <c r="I5" s="93"/>
      <c r="J5" s="93"/>
      <c r="K5" s="93"/>
      <c r="L5" s="93"/>
      <c r="M5" s="93"/>
    </row>
    <row r="6" customFormat="false" ht="15.75" hidden="false" customHeight="true" outlineLevel="0" collapsed="false">
      <c r="A6" s="293" t="s">
        <v>28</v>
      </c>
      <c r="B6" s="29" t="str">
        <f aca="false">Scenarios!F83</f>
        <v/>
      </c>
      <c r="C6" s="629" t="s">
        <v>1936</v>
      </c>
      <c r="D6" s="629"/>
      <c r="E6" s="629"/>
      <c r="F6" s="629"/>
      <c r="G6" s="629"/>
      <c r="H6" s="629"/>
      <c r="I6" s="629"/>
      <c r="J6" s="629"/>
      <c r="K6" s="629"/>
      <c r="L6" s="629"/>
      <c r="M6" s="629"/>
    </row>
    <row r="7" customFormat="false" ht="15.75" hidden="false" customHeight="true" outlineLevel="0" collapsed="false">
      <c r="A7" s="297" t="s">
        <v>245</v>
      </c>
      <c r="B7" s="630" t="str">
        <f aca="false">'Exit Strategy'!E10</f>
        <v>Sales Cost</v>
      </c>
      <c r="C7" s="93" t="s">
        <v>1937</v>
      </c>
      <c r="D7" s="93"/>
      <c r="E7" s="93"/>
      <c r="F7" s="93"/>
      <c r="G7" s="93"/>
      <c r="H7" s="93"/>
      <c r="I7" s="93"/>
      <c r="J7" s="93"/>
      <c r="K7" s="93"/>
      <c r="L7" s="93"/>
      <c r="M7" s="93"/>
    </row>
    <row r="8" customFormat="false" ht="15.75" hidden="false" customHeight="true" outlineLevel="0" collapsed="false">
      <c r="A8" s="293" t="s">
        <v>45</v>
      </c>
      <c r="B8" s="22" t="str">
        <f aca="false">Scenarios!F32</f>
        <v/>
      </c>
      <c r="C8" s="629" t="s">
        <v>1938</v>
      </c>
      <c r="D8" s="629"/>
      <c r="E8" s="629"/>
      <c r="F8" s="629"/>
      <c r="G8" s="629"/>
      <c r="H8" s="629"/>
      <c r="I8" s="629"/>
      <c r="J8" s="629"/>
      <c r="K8" s="629"/>
      <c r="L8" s="629"/>
      <c r="M8" s="629"/>
    </row>
    <row r="9" customFormat="false" ht="15.75" hidden="false" customHeight="true" outlineLevel="0" collapsed="false">
      <c r="A9" s="297" t="s">
        <v>47</v>
      </c>
      <c r="B9" s="20" t="str">
        <f aca="false">Scenarios!F33</f>
        <v/>
      </c>
      <c r="C9" s="93" t="s">
        <v>1939</v>
      </c>
      <c r="D9" s="93"/>
      <c r="E9" s="93"/>
      <c r="F9" s="93"/>
      <c r="G9" s="93"/>
      <c r="H9" s="93"/>
      <c r="I9" s="93"/>
      <c r="J9" s="93"/>
      <c r="K9" s="93"/>
      <c r="L9" s="93"/>
      <c r="M9" s="93"/>
    </row>
    <row r="10" customFormat="false" ht="15.75" hidden="false" customHeight="true" outlineLevel="0" collapsed="false">
      <c r="A10" s="293" t="s">
        <v>48</v>
      </c>
      <c r="B10" s="22" t="str">
        <f aca="false">Scenarios!F34</f>
        <v/>
      </c>
      <c r="C10" s="629" t="s">
        <v>1940</v>
      </c>
      <c r="D10" s="629"/>
      <c r="E10" s="629"/>
      <c r="F10" s="629"/>
      <c r="G10" s="629"/>
      <c r="H10" s="629"/>
      <c r="I10" s="629"/>
      <c r="J10" s="629"/>
      <c r="K10" s="629"/>
      <c r="L10" s="629"/>
      <c r="M10" s="629"/>
    </row>
    <row r="11" customFormat="false" ht="15.75" hidden="false" customHeight="true" outlineLevel="0" collapsed="false">
      <c r="A11" s="297" t="s">
        <v>105</v>
      </c>
      <c r="B11" s="27" t="str">
        <f aca="false">Scenarios!F35</f>
        <v/>
      </c>
      <c r="C11" s="93" t="s">
        <v>1941</v>
      </c>
      <c r="D11" s="93"/>
      <c r="E11" s="93"/>
      <c r="F11" s="93"/>
      <c r="G11" s="93"/>
      <c r="H11" s="93"/>
      <c r="I11" s="93"/>
      <c r="J11" s="93"/>
      <c r="K11" s="93"/>
      <c r="L11" s="93"/>
      <c r="M11" s="93"/>
    </row>
    <row r="12" customFormat="false" ht="15.75" hidden="false" customHeight="true" outlineLevel="0" collapsed="false">
      <c r="A12" s="293" t="s">
        <v>671</v>
      </c>
      <c r="B12" s="27" t="str">
        <f aca="false">Scenarios!F36</f>
        <v/>
      </c>
      <c r="C12" s="629" t="s">
        <v>1942</v>
      </c>
      <c r="D12" s="629"/>
      <c r="E12" s="629"/>
      <c r="F12" s="629"/>
      <c r="G12" s="629"/>
      <c r="H12" s="629"/>
      <c r="I12" s="629"/>
      <c r="J12" s="629"/>
      <c r="K12" s="629"/>
      <c r="L12" s="629"/>
      <c r="M12" s="629"/>
    </row>
    <row r="13" customFormat="false" ht="15.75" hidden="false" customHeight="true" outlineLevel="0" collapsed="false">
      <c r="A13" s="297" t="s">
        <v>1943</v>
      </c>
      <c r="B13" s="630"/>
      <c r="C13" s="93" t="s">
        <v>1944</v>
      </c>
      <c r="D13" s="93"/>
      <c r="E13" s="93"/>
      <c r="F13" s="93"/>
      <c r="G13" s="93"/>
      <c r="H13" s="93"/>
      <c r="I13" s="93"/>
      <c r="J13" s="93"/>
      <c r="K13" s="93"/>
      <c r="L13" s="93"/>
      <c r="M13" s="93"/>
    </row>
    <row r="14" customFormat="false" ht="15.75" hidden="false" customHeight="true" outlineLevel="0" collapsed="false">
      <c r="A14" s="293" t="s">
        <v>1945</v>
      </c>
      <c r="B14" s="631" t="str">
        <f aca="false">IF(Scenarios!F34&gt;0,"YES","NO")</f>
        <v>YES</v>
      </c>
      <c r="C14" s="629" t="s">
        <v>1946</v>
      </c>
      <c r="D14" s="629"/>
      <c r="E14" s="629"/>
      <c r="F14" s="629"/>
      <c r="G14" s="629"/>
      <c r="H14" s="629"/>
      <c r="I14" s="629"/>
      <c r="J14" s="629"/>
      <c r="K14" s="629"/>
      <c r="L14" s="629"/>
      <c r="M14" s="629"/>
    </row>
    <row r="15" customFormat="false" ht="15.75" hidden="false" customHeight="true" outlineLevel="0" collapsed="false">
      <c r="A15" s="297" t="s">
        <v>1947</v>
      </c>
      <c r="B15" s="27" t="n">
        <f aca="false">Scenarios!F29</f>
        <v>0.7</v>
      </c>
      <c r="C15" s="93" t="s">
        <v>1948</v>
      </c>
      <c r="D15" s="93"/>
      <c r="E15" s="93"/>
      <c r="F15" s="93"/>
      <c r="G15" s="93"/>
      <c r="H15" s="93"/>
      <c r="I15" s="93"/>
      <c r="J15" s="93"/>
      <c r="K15" s="93"/>
      <c r="L15" s="93"/>
      <c r="M15" s="93"/>
    </row>
    <row r="16" customFormat="false" ht="15.75" hidden="false" customHeight="true" outlineLevel="0" collapsed="false">
      <c r="A16" s="293" t="s">
        <v>1949</v>
      </c>
      <c r="B16" s="459" t="n">
        <f aca="false">1-B15</f>
        <v>0.3</v>
      </c>
      <c r="C16" s="629" t="s">
        <v>1950</v>
      </c>
      <c r="D16" s="629"/>
      <c r="E16" s="629"/>
      <c r="F16" s="629"/>
      <c r="G16" s="629"/>
      <c r="H16" s="629"/>
      <c r="I16" s="629"/>
      <c r="J16" s="629"/>
      <c r="K16" s="629"/>
      <c r="L16" s="629"/>
      <c r="M16" s="629"/>
    </row>
    <row r="17" customFormat="false" ht="15.75" hidden="false" customHeight="true" outlineLevel="0" collapsed="false">
      <c r="A17" s="297" t="s">
        <v>1951</v>
      </c>
      <c r="B17" s="630"/>
      <c r="C17" s="93" t="s">
        <v>1952</v>
      </c>
      <c r="D17" s="93"/>
      <c r="E17" s="93"/>
      <c r="F17" s="93"/>
      <c r="G17" s="93"/>
      <c r="H17" s="93"/>
      <c r="I17" s="93"/>
      <c r="J17" s="93"/>
      <c r="K17" s="93"/>
      <c r="L17" s="93"/>
      <c r="M17" s="93"/>
    </row>
    <row r="18" customFormat="false" ht="15.75" hidden="false" customHeight="true" outlineLevel="0" collapsed="false">
      <c r="A18" s="293" t="s">
        <v>1953</v>
      </c>
      <c r="B18" s="632" t="n">
        <f aca="false">B15</f>
        <v>0.7</v>
      </c>
      <c r="C18" s="629" t="s">
        <v>1954</v>
      </c>
      <c r="D18" s="629"/>
      <c r="E18" s="629"/>
      <c r="F18" s="629"/>
      <c r="G18" s="629"/>
      <c r="H18" s="629"/>
      <c r="I18" s="629"/>
      <c r="J18" s="629"/>
      <c r="K18" s="629"/>
      <c r="L18" s="629"/>
      <c r="M18" s="629"/>
    </row>
    <row r="19" customFormat="false" ht="15.75" hidden="false" customHeight="true" outlineLevel="0" collapsed="false">
      <c r="A19" s="297" t="s">
        <v>1955</v>
      </c>
      <c r="B19" s="442" t="n">
        <f aca="false">1-B18</f>
        <v>0.3</v>
      </c>
      <c r="C19" s="93" t="s">
        <v>1956</v>
      </c>
      <c r="D19" s="93"/>
      <c r="E19" s="93"/>
      <c r="F19" s="93"/>
      <c r="G19" s="93"/>
      <c r="H19" s="93"/>
      <c r="I19" s="93"/>
      <c r="J19" s="93"/>
      <c r="K19" s="93"/>
      <c r="L19" s="93"/>
      <c r="M19" s="93"/>
    </row>
    <row r="20" customFormat="false" ht="15.75" hidden="false" customHeight="true" outlineLevel="0" collapsed="false">
      <c r="A20" s="293" t="s">
        <v>1957</v>
      </c>
      <c r="B20" s="632"/>
      <c r="C20" s="629" t="s">
        <v>1958</v>
      </c>
      <c r="D20" s="629"/>
      <c r="E20" s="629"/>
      <c r="F20" s="629"/>
      <c r="G20" s="629"/>
      <c r="H20" s="629"/>
      <c r="I20" s="629"/>
      <c r="J20" s="629"/>
      <c r="K20" s="629"/>
      <c r="L20" s="629"/>
      <c r="M20" s="629"/>
    </row>
    <row r="21" customFormat="false" ht="15.75" hidden="false" customHeight="true" outlineLevel="0" collapsed="false">
      <c r="A21" s="297" t="s">
        <v>1959</v>
      </c>
      <c r="B21" s="630" t="n">
        <f aca="false">B18</f>
        <v>0.7</v>
      </c>
      <c r="C21" s="93" t="s">
        <v>1960</v>
      </c>
      <c r="D21" s="93"/>
      <c r="E21" s="93"/>
      <c r="F21" s="93"/>
      <c r="G21" s="93"/>
      <c r="H21" s="93"/>
      <c r="I21" s="93"/>
      <c r="J21" s="93"/>
      <c r="K21" s="93"/>
      <c r="L21" s="93"/>
      <c r="M21" s="93"/>
    </row>
    <row r="22" customFormat="false" ht="15.75" hidden="false" customHeight="true" outlineLevel="0" collapsed="false">
      <c r="A22" s="293" t="s">
        <v>1961</v>
      </c>
      <c r="B22" s="459" t="n">
        <f aca="false">1-B21</f>
        <v>0.3</v>
      </c>
      <c r="C22" s="629" t="s">
        <v>1962</v>
      </c>
      <c r="D22" s="629"/>
      <c r="E22" s="629"/>
      <c r="F22" s="629"/>
      <c r="G22" s="629"/>
      <c r="H22" s="629"/>
      <c r="I22" s="629"/>
      <c r="J22" s="629"/>
      <c r="K22" s="629"/>
      <c r="L22" s="629"/>
      <c r="M22" s="629"/>
    </row>
    <row r="23" customFormat="false" ht="18" hidden="false" customHeight="true" outlineLevel="0" collapsed="false">
      <c r="A23" s="633" t="s">
        <v>1963</v>
      </c>
      <c r="B23" s="634" t="s">
        <v>1964</v>
      </c>
      <c r="C23" s="635" t="s">
        <v>1965</v>
      </c>
    </row>
    <row r="24" customFormat="false" ht="24" hidden="false" customHeight="true" outlineLevel="0" collapsed="false">
      <c r="A24" s="3" t="s">
        <v>1966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customFormat="false" ht="30" hidden="false" customHeight="true" outlineLevel="0" collapsed="false">
      <c r="A25" s="31" t="s">
        <v>618</v>
      </c>
      <c r="B25" s="31" t="s">
        <v>1475</v>
      </c>
      <c r="C25" s="31" t="s">
        <v>1476</v>
      </c>
      <c r="D25" s="31" t="s">
        <v>1477</v>
      </c>
      <c r="E25" s="31" t="s">
        <v>1478</v>
      </c>
      <c r="F25" s="31" t="s">
        <v>1479</v>
      </c>
      <c r="G25" s="31" t="s">
        <v>1480</v>
      </c>
      <c r="H25" s="31" t="s">
        <v>1481</v>
      </c>
      <c r="I25" s="31" t="s">
        <v>1482</v>
      </c>
      <c r="J25" s="31" t="s">
        <v>1483</v>
      </c>
      <c r="K25" s="31" t="s">
        <v>1484</v>
      </c>
      <c r="L25" s="18" t="s">
        <v>1967</v>
      </c>
      <c r="M25" s="31" t="s">
        <v>1968</v>
      </c>
    </row>
    <row r="26" customFormat="false" ht="18" hidden="false" customHeight="true" outlineLevel="0" collapsed="false">
      <c r="A26" s="4" t="s">
        <v>1969</v>
      </c>
      <c r="B26" s="20" t="n">
        <f aca="false">IF(1&gt;$B$5,0,'P&amp;L'!D40)</f>
        <v>0</v>
      </c>
      <c r="C26" s="20" t="n">
        <f aca="false">IF(2&gt;$B$5,0,'P&amp;L'!E40)</f>
        <v>0</v>
      </c>
      <c r="D26" s="20" t="n">
        <f aca="false">IF(3&gt;$B$5,0,'P&amp;L'!F40)</f>
        <v>0</v>
      </c>
      <c r="E26" s="20" t="n">
        <f aca="false">IF(4&gt;$B$5,0,'P&amp;L'!G40)</f>
        <v>0</v>
      </c>
      <c r="F26" s="20" t="n">
        <f aca="false">IF(5&gt;$B$5,0,'P&amp;L'!H40)</f>
        <v>0</v>
      </c>
      <c r="G26" s="20" t="n">
        <f aca="false">IF(6&gt;$B$5,0,'P&amp;L'!I40)</f>
        <v>0</v>
      </c>
      <c r="H26" s="20" t="n">
        <f aca="false">IF(7&gt;$B$5,0,'P&amp;L'!J40)</f>
        <v>0</v>
      </c>
      <c r="I26" s="20" t="n">
        <f aca="false">IF(8&gt;$B$5,0,'P&amp;L'!K40)</f>
        <v>0</v>
      </c>
      <c r="J26" s="20" t="n">
        <f aca="false">IF(9&gt;$B$5,0,'P&amp;L'!L40)</f>
        <v>0</v>
      </c>
      <c r="K26" s="20" t="n">
        <f aca="false">IF(10&gt;$B$5,0,'P&amp;L'!M40)</f>
        <v>0</v>
      </c>
      <c r="M26" s="289" t="n">
        <f aca="false">SUM(B26:K26)</f>
        <v>0</v>
      </c>
    </row>
    <row r="27" customFormat="false" ht="18" hidden="false" customHeight="true" outlineLevel="0" collapsed="false">
      <c r="A27" s="4" t="s">
        <v>1970</v>
      </c>
      <c r="B27" s="20" t="e">
        <f aca="false">IF(1&gt;$B$5,0,-Scenarios!F115)</f>
        <v>#VALUE!</v>
      </c>
      <c r="C27" s="20" t="e">
        <f aca="false">IF(2&gt;$B$5,0,-Scenarios!F115)</f>
        <v>#VALUE!</v>
      </c>
      <c r="D27" s="20" t="e">
        <f aca="false">IF(3&gt;$B$5,0,-Scenarios!F115)</f>
        <v>#VALUE!</v>
      </c>
      <c r="E27" s="20" t="e">
        <f aca="false">IF(4&gt;$B$5,0,-Scenarios!F115)</f>
        <v>#VALUE!</v>
      </c>
      <c r="F27" s="20" t="e">
        <f aca="false">IF(5&gt;$B$5,0,-Scenarios!F115)</f>
        <v>#VALUE!</v>
      </c>
      <c r="G27" s="20" t="e">
        <f aca="false">IF(6&gt;$B$5,0,-Scenarios!F115)</f>
        <v>#VALUE!</v>
      </c>
      <c r="H27" s="20" t="e">
        <f aca="false">IF(7&gt;$B$5,0,-Scenarios!F115)</f>
        <v>#VALUE!</v>
      </c>
      <c r="I27" s="20" t="e">
        <f aca="false">IF(8&gt;$B$5,0,-Scenarios!F115)</f>
        <v>#VALUE!</v>
      </c>
      <c r="J27" s="20" t="e">
        <f aca="false">IF(9&gt;$B$5,0,-Scenarios!F115)</f>
        <v>#VALUE!</v>
      </c>
      <c r="K27" s="20" t="e">
        <f aca="false">IF(10&gt;$B$5,0,-Scenarios!F115)</f>
        <v>#VALUE!</v>
      </c>
      <c r="M27" s="289" t="e">
        <f aca="false">SUM(B27:K27)</f>
        <v>#VALUE!</v>
      </c>
    </row>
    <row r="28" customFormat="false" ht="18" hidden="false" customHeight="true" outlineLevel="0" collapsed="false">
      <c r="A28" s="292" t="s">
        <v>1971</v>
      </c>
      <c r="B28" s="169" t="n">
        <f aca="false">IF(1&gt;$B$5,0,IFERROR(B26+B27+IF($B$23="Waterfall",IF(ISNUMBER('Exit Strategy'!$B$5),IF(1='Exit Strategy'!$B$5,'Exit Strategy'!$B$18,0),0),0)+IF(Scenarios!$C$159=1,IF(Scenarios!$C$161="Distribution",IF(Scenarios!$C$160&gt;0,Scenarios!$C$160,MAX(Scenarios!$F$13-'P&amp;L'!P49,0)),0),0),0))</f>
        <v>0</v>
      </c>
      <c r="C28" s="169" t="n">
        <f aca="false">IF(2&gt;$B$5,0,IFERROR(C26+C27+IF($B$23="Waterfall",IF(ISNUMBER('Exit Strategy'!$B$5),IF(2='Exit Strategy'!$B$5,'Exit Strategy'!$B$18,0),0),0)+IF(Scenarios!$C$159=2,IF(Scenarios!$C$161="Distribution",IF(Scenarios!$C$160&gt;0,Scenarios!$C$160,MAX(Scenarios!$F$13-'P&amp;L'!P49,0)),0),0),0))</f>
        <v>0</v>
      </c>
      <c r="D28" s="169" t="n">
        <f aca="false">IF(3&gt;$B$5,0,IFERROR(D26+D27+IF($B$23="Waterfall",IF(ISNUMBER('Exit Strategy'!$B$5),IF(3='Exit Strategy'!$B$5,'Exit Strategy'!$B$18,0),0),0)+IF(Scenarios!$C$159=3,IF(Scenarios!$C$161="Distribution",IF(Scenarios!$C$160&gt;0,Scenarios!$C$160,MAX(Scenarios!$F$13-'P&amp;L'!P49,0)),0),0),0))</f>
        <v>0</v>
      </c>
      <c r="E28" s="169" t="n">
        <f aca="false">IF(4&gt;$B$5,0,IFERROR(E26+E27+IF($B$23="Waterfall",IF(ISNUMBER('Exit Strategy'!$B$5),IF(4='Exit Strategy'!$B$5,'Exit Strategy'!$B$18,0),0),0)+IF(Scenarios!$C$159=4,IF(Scenarios!$C$161="Distribution",IF(Scenarios!$C$160&gt;0,Scenarios!$C$160,MAX(Scenarios!$F$13-'P&amp;L'!P49,0)),0),0),0))</f>
        <v>0</v>
      </c>
      <c r="F28" s="169" t="n">
        <f aca="false">IF(5&gt;$B$5,0,IFERROR(F26+F27+IF($B$23="Waterfall",IF(ISNUMBER('Exit Strategy'!$B$5),IF(5='Exit Strategy'!$B$5,'Exit Strategy'!$B$18,0),0),0)+IF(Scenarios!$C$159=5,IF(Scenarios!$C$161="Distribution",IF(Scenarios!$C$160&gt;0,Scenarios!$C$160,MAX(Scenarios!$F$13-'P&amp;L'!P49,0)),0),0),0))</f>
        <v>0</v>
      </c>
      <c r="G28" s="169" t="n">
        <f aca="false">IF(6&gt;$B$5,0,IFERROR(G26+G27+IF($B$23="Waterfall",IF(ISNUMBER('Exit Strategy'!$B$5),IF(6='Exit Strategy'!$B$5,'Exit Strategy'!$B$18,0),0),0)+IF(Scenarios!$C$159=6,IF(Scenarios!$C$161="Distribution",IF(Scenarios!$C$160&gt;0,Scenarios!$C$160,MAX(Scenarios!$F$13-'P&amp;L'!P49,0)),0),0),0))</f>
        <v>0</v>
      </c>
      <c r="H28" s="169" t="n">
        <f aca="false">IF(7&gt;$B$5,0,IFERROR(H26+H27+IF($B$23="Waterfall",IF(ISNUMBER('Exit Strategy'!$B$5),IF(7='Exit Strategy'!$B$5,'Exit Strategy'!$B$18,0),0),0)+IF(Scenarios!$C$159=7,IF(Scenarios!$C$161="Distribution",IF(Scenarios!$C$160&gt;0,Scenarios!$C$160,MAX(Scenarios!$F$13-'P&amp;L'!P49,0)),0),0),0))</f>
        <v>0</v>
      </c>
      <c r="I28" s="169" t="n">
        <f aca="false">IF(8&gt;$B$5,0,IFERROR(I26+I27+IF($B$23="Waterfall",IF(ISNUMBER('Exit Strategy'!$B$5),IF(8='Exit Strategy'!$B$5,'Exit Strategy'!$B$18,0),0),0)+IF(Scenarios!$C$159=8,IF(Scenarios!$C$161="Distribution",IF(Scenarios!$C$160&gt;0,Scenarios!$C$160,MAX(Scenarios!$F$13-'P&amp;L'!P49,0)),0),0),0))</f>
        <v>0</v>
      </c>
      <c r="J28" s="169" t="n">
        <f aca="false">IF(9&gt;$B$5,0,IFERROR(J26+J27+IF($B$23="Waterfall",IF(ISNUMBER('Exit Strategy'!$B$5),IF(9='Exit Strategy'!$B$5,'Exit Strategy'!$B$18,0),0),0)+IF(Scenarios!$C$159=9,IF(Scenarios!$C$161="Distribution",IF(Scenarios!$C$160&gt;0,Scenarios!$C$160,MAX(Scenarios!$F$13-'P&amp;L'!P49,0)),0),0),0))</f>
        <v>0</v>
      </c>
      <c r="K28" s="169" t="n">
        <f aca="false">IF(10&gt;$B$5,0,IFERROR(K26+K27+IF($B$23="Waterfall",IF(ISNUMBER('Exit Strategy'!$B$5),IF(10='Exit Strategy'!$B$5,'Exit Strategy'!$B$18,0),0),0)+IF(Scenarios!$C$159=10,IF(Scenarios!$C$161="Distribution",IF(Scenarios!$C$160&gt;0,Scenarios!$C$160,MAX(Scenarios!$F$13-'P&amp;L'!P49,0)),0),0),0))</f>
        <v>0</v>
      </c>
      <c r="M28" s="170" t="n">
        <f aca="false">SUM(B28:K28)</f>
        <v>0</v>
      </c>
    </row>
    <row r="30" customFormat="false" ht="24" hidden="false" customHeight="true" outlineLevel="0" collapsed="false">
      <c r="A30" s="17" t="s">
        <v>1972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</row>
    <row r="31" customFormat="false" ht="18" hidden="false" customHeight="true" outlineLevel="0" collapsed="false">
      <c r="A31" s="398" t="s">
        <v>69</v>
      </c>
      <c r="B31" s="20" t="n">
        <f aca="false">IFERROR(INDEX('P&amp;L'!D40:M46,1,B5),0)</f>
        <v>0</v>
      </c>
    </row>
    <row r="32" customFormat="false" ht="18" hidden="false" customHeight="true" outlineLevel="0" collapsed="false">
      <c r="A32" s="398" t="s">
        <v>1973</v>
      </c>
      <c r="B32" s="289" t="n">
        <f aca="false">IFERROR(B31/B6,0)</f>
        <v>0</v>
      </c>
    </row>
    <row r="33" customFormat="false" ht="18" hidden="false" customHeight="true" outlineLevel="0" collapsed="false">
      <c r="A33" s="398" t="s">
        <v>1974</v>
      </c>
      <c r="B33" s="20" t="n">
        <f aca="false">IFERROR(-B32*(B7+'Exit Strategy'!$E$19),0)</f>
        <v>0</v>
      </c>
    </row>
    <row r="34" customFormat="false" ht="18" hidden="false" customHeight="true" outlineLevel="0" collapsed="false">
      <c r="A34" s="398" t="s">
        <v>72</v>
      </c>
      <c r="B34" s="20" t="e">
        <f aca="false">-Scenarios!F116</f>
        <v>#VALUE!</v>
      </c>
    </row>
    <row r="35" customFormat="false" ht="18" hidden="false" customHeight="true" outlineLevel="0" collapsed="false">
      <c r="A35" s="292" t="s">
        <v>1975</v>
      </c>
      <c r="B35" s="170" t="e">
        <f aca="false">B32+B33+B34</f>
        <v>#VALUE!</v>
      </c>
    </row>
    <row r="37" customFormat="false" ht="24" hidden="false" customHeight="true" outlineLevel="0" collapsed="false">
      <c r="A37" s="3" t="s">
        <v>1976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customFormat="false" ht="30" hidden="false" customHeight="true" outlineLevel="0" collapsed="false">
      <c r="A38" s="31" t="s">
        <v>1977</v>
      </c>
      <c r="B38" s="31" t="s">
        <v>1475</v>
      </c>
      <c r="C38" s="31" t="s">
        <v>1476</v>
      </c>
      <c r="D38" s="31" t="s">
        <v>1477</v>
      </c>
      <c r="E38" s="31" t="s">
        <v>1478</v>
      </c>
      <c r="F38" s="31" t="s">
        <v>1479</v>
      </c>
      <c r="G38" s="31" t="s">
        <v>1480</v>
      </c>
      <c r="H38" s="31" t="s">
        <v>1481</v>
      </c>
      <c r="I38" s="31" t="s">
        <v>1482</v>
      </c>
      <c r="J38" s="31" t="s">
        <v>1483</v>
      </c>
      <c r="K38" s="31" t="s">
        <v>1484</v>
      </c>
      <c r="L38" s="18" t="s">
        <v>1978</v>
      </c>
      <c r="M38" s="31" t="s">
        <v>1968</v>
      </c>
    </row>
    <row r="39" customFormat="false" ht="18" hidden="false" customHeight="true" outlineLevel="0" collapsed="false">
      <c r="A39" s="4" t="s">
        <v>1508</v>
      </c>
      <c r="B39" s="289" t="e">
        <f aca="false">IF(1&gt;$B$5,0,B9*B11)</f>
        <v>#VALUE!</v>
      </c>
      <c r="C39" s="289" t="e">
        <f aca="false">IF(2&gt;$B$5,0,B9*B11)</f>
        <v>#VALUE!</v>
      </c>
      <c r="D39" s="289" t="e">
        <f aca="false">IF(3&gt;$B$5,0,B9*B11)</f>
        <v>#VALUE!</v>
      </c>
      <c r="E39" s="289" t="e">
        <f aca="false">IF(4&gt;$B$5,0,B9*B11)</f>
        <v>#VALUE!</v>
      </c>
      <c r="F39" s="289" t="e">
        <f aca="false">IF(5&gt;$B$5,0,B9*B11)</f>
        <v>#VALUE!</v>
      </c>
      <c r="G39" s="289" t="e">
        <f aca="false">IF(6&gt;$B$5,0,B9*B11)</f>
        <v>#VALUE!</v>
      </c>
      <c r="H39" s="289" t="e">
        <f aca="false">IF(7&gt;$B$5,0,B9*B11)</f>
        <v>#VALUE!</v>
      </c>
      <c r="I39" s="289" t="e">
        <f aca="false">IF(8&gt;$B$5,0,B9*B11)</f>
        <v>#VALUE!</v>
      </c>
      <c r="J39" s="289" t="e">
        <f aca="false">IF(9&gt;$B$5,0,B9*B11)</f>
        <v>#VALUE!</v>
      </c>
      <c r="K39" s="289" t="e">
        <f aca="false">IF(10&gt;$B$5,0,B9*B11)</f>
        <v>#VALUE!</v>
      </c>
      <c r="L39" s="303"/>
      <c r="M39" s="289" t="e">
        <f aca="false">SUM(B39:K39)</f>
        <v>#VALUE!</v>
      </c>
    </row>
    <row r="40" customFormat="false" ht="18" hidden="false" customHeight="true" outlineLevel="0" collapsed="false">
      <c r="A40" s="636" t="s">
        <v>1979</v>
      </c>
      <c r="B40" s="290" t="e">
        <f aca="false">MIN(B28,B39)</f>
        <v>#VALUE!</v>
      </c>
      <c r="C40" s="290" t="e">
        <f aca="false">MIN(C28,C39)</f>
        <v>#VALUE!</v>
      </c>
      <c r="D40" s="290" t="e">
        <f aca="false">MIN(D28,D39)</f>
        <v>#VALUE!</v>
      </c>
      <c r="E40" s="290" t="e">
        <f aca="false">MIN(E28,E39)</f>
        <v>#VALUE!</v>
      </c>
      <c r="F40" s="290" t="e">
        <f aca="false">MIN(F28,F39)</f>
        <v>#VALUE!</v>
      </c>
      <c r="G40" s="290" t="e">
        <f aca="false">MIN(G28,G39)</f>
        <v>#VALUE!</v>
      </c>
      <c r="H40" s="290" t="e">
        <f aca="false">MIN(H28,H39)</f>
        <v>#VALUE!</v>
      </c>
      <c r="I40" s="290" t="e">
        <f aca="false">MIN(I28,I39)</f>
        <v>#VALUE!</v>
      </c>
      <c r="J40" s="290" t="e">
        <f aca="false">MIN(J28,J39)</f>
        <v>#VALUE!</v>
      </c>
      <c r="K40" s="290" t="e">
        <f aca="false">MIN(K28,K39)</f>
        <v>#VALUE!</v>
      </c>
      <c r="L40" s="637"/>
      <c r="M40" s="290" t="e">
        <f aca="false">SUM(B40:K40)</f>
        <v>#VALUE!</v>
      </c>
    </row>
    <row r="41" customFormat="false" ht="18" hidden="false" customHeight="true" outlineLevel="0" collapsed="false">
      <c r="A41" s="4" t="s">
        <v>1980</v>
      </c>
      <c r="B41" s="289" t="e">
        <f aca="false">IF(1&gt;$B$5,0,IF(B14="YES",B10*B12,0))</f>
        <v>#VALUE!</v>
      </c>
      <c r="C41" s="289" t="e">
        <f aca="false">IF(2&gt;$B$5,0,IF(B14="YES",B10*B12,0))</f>
        <v>#VALUE!</v>
      </c>
      <c r="D41" s="289" t="e">
        <f aca="false">IF(3&gt;$B$5,0,IF(B14="YES",B10*B12,0))</f>
        <v>#VALUE!</v>
      </c>
      <c r="E41" s="289" t="e">
        <f aca="false">IF(4&gt;$B$5,0,IF(B14="YES",B10*B12,0))</f>
        <v>#VALUE!</v>
      </c>
      <c r="F41" s="289" t="e">
        <f aca="false">IF(5&gt;$B$5,0,IF(B14="YES",B10*B12,0))</f>
        <v>#VALUE!</v>
      </c>
      <c r="G41" s="289" t="e">
        <f aca="false">IF(6&gt;$B$5,0,IF(B14="YES",B10*B12,0))</f>
        <v>#VALUE!</v>
      </c>
      <c r="H41" s="289" t="e">
        <f aca="false">IF(7&gt;$B$5,0,IF(B14="YES",B10*B12,0))</f>
        <v>#VALUE!</v>
      </c>
      <c r="I41" s="289" t="e">
        <f aca="false">IF(8&gt;$B$5,0,IF(B14="YES",B10*B12,0))</f>
        <v>#VALUE!</v>
      </c>
      <c r="J41" s="289" t="e">
        <f aca="false">IF(9&gt;$B$5,0,IF(B14="YES",B10*B12,0))</f>
        <v>#VALUE!</v>
      </c>
      <c r="K41" s="289" t="e">
        <f aca="false">IF(10&gt;$B$5,0,IF(B14="YES",B10*B12,0))</f>
        <v>#VALUE!</v>
      </c>
      <c r="L41" s="303"/>
      <c r="M41" s="289" t="e">
        <f aca="false">SUM(B41:K41)</f>
        <v>#VALUE!</v>
      </c>
    </row>
    <row r="42" customFormat="false" ht="18" hidden="false" customHeight="true" outlineLevel="0" collapsed="false">
      <c r="A42" s="636" t="s">
        <v>1981</v>
      </c>
      <c r="B42" s="290" t="e">
        <f aca="false">IF(B14="YES",MIN(MAX(B28-B40,0),B41),0)</f>
        <v>#VALUE!</v>
      </c>
      <c r="C42" s="290" t="e">
        <f aca="false">IF(B14="YES",MIN(MAX(C28-C40,0),C41),0)</f>
        <v>#VALUE!</v>
      </c>
      <c r="D42" s="290" t="e">
        <f aca="false">IF(B14="YES",MIN(MAX(D28-D40,0),D41),0)</f>
        <v>#VALUE!</v>
      </c>
      <c r="E42" s="290" t="e">
        <f aca="false">IF(B14="YES",MIN(MAX(E28-E40,0),E41),0)</f>
        <v>#VALUE!</v>
      </c>
      <c r="F42" s="290" t="e">
        <f aca="false">IF(B14="YES",MIN(MAX(F28-F40,0),F41),0)</f>
        <v>#VALUE!</v>
      </c>
      <c r="G42" s="290" t="e">
        <f aca="false">IF(B14="YES",MIN(MAX(G28-G40,0),G41),0)</f>
        <v>#VALUE!</v>
      </c>
      <c r="H42" s="290" t="e">
        <f aca="false">IF(B14="YES",MIN(MAX(H28-H40,0),H41),0)</f>
        <v>#VALUE!</v>
      </c>
      <c r="I42" s="290" t="e">
        <f aca="false">IF(B14="YES",MIN(MAX(I28-I40,0),I41),0)</f>
        <v>#VALUE!</v>
      </c>
      <c r="J42" s="290" t="e">
        <f aca="false">IF(B14="YES",MIN(MAX(J28-J40,0),J41),0)</f>
        <v>#VALUE!</v>
      </c>
      <c r="K42" s="290" t="e">
        <f aca="false">IF(B14="YES",MIN(MAX(K28-K40,0),K41),0)</f>
        <v>#VALUE!</v>
      </c>
      <c r="L42" s="637"/>
      <c r="M42" s="290" t="e">
        <f aca="false">SUM(B42:K42)</f>
        <v>#VALUE!</v>
      </c>
    </row>
    <row r="43" customFormat="false" ht="18" hidden="false" customHeight="true" outlineLevel="0" collapsed="false">
      <c r="A43" s="292" t="s">
        <v>1982</v>
      </c>
      <c r="B43" s="170" t="e">
        <f aca="false">MAX(B28-B40-B42,0)</f>
        <v>#VALUE!</v>
      </c>
      <c r="C43" s="170" t="e">
        <f aca="false">MAX(C28-C40-C42,0)</f>
        <v>#VALUE!</v>
      </c>
      <c r="D43" s="170" t="e">
        <f aca="false">MAX(D28-D40-D42,0)</f>
        <v>#VALUE!</v>
      </c>
      <c r="E43" s="170" t="e">
        <f aca="false">MAX(E28-E40-E42,0)</f>
        <v>#VALUE!</v>
      </c>
      <c r="F43" s="170" t="e">
        <f aca="false">MAX(F28-F40-F42,0)</f>
        <v>#VALUE!</v>
      </c>
      <c r="G43" s="170" t="e">
        <f aca="false">MAX(G28-G40-G42,0)</f>
        <v>#VALUE!</v>
      </c>
      <c r="H43" s="170" t="e">
        <f aca="false">MAX(H28-H40-H42,0)</f>
        <v>#VALUE!</v>
      </c>
      <c r="I43" s="170" t="e">
        <f aca="false">MAX(I28-I40-I42,0)</f>
        <v>#VALUE!</v>
      </c>
      <c r="J43" s="170" t="e">
        <f aca="false">MAX(J28-J40-J42,0)</f>
        <v>#VALUE!</v>
      </c>
      <c r="K43" s="170" t="e">
        <f aca="false">MAX(K28-K40-K42,0)</f>
        <v>#VALUE!</v>
      </c>
      <c r="L43" s="170" t="e">
        <f aca="false">MAX(B35,0)</f>
        <v>#VALUE!</v>
      </c>
      <c r="M43" s="170" t="e">
        <f aca="false">SUM(B43:L43)</f>
        <v>#VALUE!</v>
      </c>
    </row>
    <row r="45" customFormat="false" ht="18" hidden="false" customHeight="true" outlineLevel="0" collapsed="false">
      <c r="A45" s="4" t="s">
        <v>1983</v>
      </c>
      <c r="B45" s="289" t="e">
        <f aca="false">B43*B15</f>
        <v>#VALUE!</v>
      </c>
      <c r="C45" s="289" t="e">
        <f aca="false">C43*B15</f>
        <v>#VALUE!</v>
      </c>
      <c r="D45" s="289" t="e">
        <f aca="false">D43*B15</f>
        <v>#VALUE!</v>
      </c>
      <c r="E45" s="289" t="e">
        <f aca="false">E43*B15</f>
        <v>#VALUE!</v>
      </c>
      <c r="F45" s="289" t="e">
        <f aca="false">F43*B15</f>
        <v>#VALUE!</v>
      </c>
      <c r="G45" s="289" t="e">
        <f aca="false">G43*B15</f>
        <v>#VALUE!</v>
      </c>
      <c r="H45" s="289" t="e">
        <f aca="false">H43*B15</f>
        <v>#VALUE!</v>
      </c>
      <c r="I45" s="289" t="e">
        <f aca="false">I43*B15</f>
        <v>#VALUE!</v>
      </c>
      <c r="J45" s="289" t="e">
        <f aca="false">J43*B15</f>
        <v>#VALUE!</v>
      </c>
      <c r="K45" s="289" t="e">
        <f aca="false">K43*B15</f>
        <v>#VALUE!</v>
      </c>
      <c r="L45" s="289" t="e">
        <f aca="false">L43*B15</f>
        <v>#VALUE!</v>
      </c>
      <c r="M45" s="289" t="e">
        <f aca="false">SUM(B45:L45)</f>
        <v>#VALUE!</v>
      </c>
    </row>
    <row r="46" customFormat="false" ht="18" hidden="false" customHeight="true" outlineLevel="0" collapsed="false">
      <c r="A46" s="4" t="s">
        <v>1984</v>
      </c>
      <c r="B46" s="289" t="e">
        <f aca="false">B43*(1-B15)</f>
        <v>#VALUE!</v>
      </c>
      <c r="C46" s="289" t="e">
        <f aca="false">C43*(1-B15)</f>
        <v>#VALUE!</v>
      </c>
      <c r="D46" s="289" t="e">
        <f aca="false">D43*(1-B15)</f>
        <v>#VALUE!</v>
      </c>
      <c r="E46" s="289" t="e">
        <f aca="false">E43*(1-B15)</f>
        <v>#VALUE!</v>
      </c>
      <c r="F46" s="289" t="e">
        <f aca="false">F43*(1-B15)</f>
        <v>#VALUE!</v>
      </c>
      <c r="G46" s="289" t="e">
        <f aca="false">G43*(1-B15)</f>
        <v>#VALUE!</v>
      </c>
      <c r="H46" s="289" t="e">
        <f aca="false">H43*(1-B15)</f>
        <v>#VALUE!</v>
      </c>
      <c r="I46" s="289" t="e">
        <f aca="false">I43*(1-B15)</f>
        <v>#VALUE!</v>
      </c>
      <c r="J46" s="289" t="e">
        <f aca="false">J43*(1-B15)</f>
        <v>#VALUE!</v>
      </c>
      <c r="K46" s="289" t="e">
        <f aca="false">K43*(1-B15)</f>
        <v>#VALUE!</v>
      </c>
      <c r="L46" s="289" t="e">
        <f aca="false">L43*(1-B15)</f>
        <v>#VALUE!</v>
      </c>
      <c r="M46" s="289" t="e">
        <f aca="false">SUM(B46:L46)</f>
        <v>#VALUE!</v>
      </c>
    </row>
    <row r="48" customFormat="false" ht="18" hidden="false" customHeight="true" outlineLevel="0" collapsed="false">
      <c r="A48" s="636" t="s">
        <v>1985</v>
      </c>
      <c r="B48" s="22" t="n">
        <f aca="false">IFERROR(IF(Scenarios!$C$159=1,IF(Scenarios!$C$161="Return of Capital",IF(Scenarios!$C$160&gt;0,Scenarios!$C$160,MAX(Scenarios!$F$13-'P&amp;L'!P49,0)),0),0)*$B$9/($B$8+$B$9+$B$10),0)</f>
        <v>0</v>
      </c>
      <c r="C48" s="22" t="n">
        <f aca="false">IFERROR(IF(Scenarios!$C$159=2,IF(Scenarios!$C$161="Return of Capital",IF(Scenarios!$C$160&gt;0,Scenarios!$C$160,MAX(Scenarios!$F$13-'P&amp;L'!P49,0)),0),0)*$B$9/($B$8+$B$9+$B$10),0)</f>
        <v>0</v>
      </c>
      <c r="D48" s="22" t="n">
        <f aca="false">IFERROR(IF(Scenarios!$C$159=3,IF(Scenarios!$C$161="Return of Capital",IF(Scenarios!$C$160&gt;0,Scenarios!$C$160,MAX(Scenarios!$F$13-'P&amp;L'!P49,0)),0),0)*$B$9/($B$8+$B$9+$B$10),0)</f>
        <v>0</v>
      </c>
      <c r="E48" s="22" t="n">
        <f aca="false">IFERROR(IF(Scenarios!$C$159=4,IF(Scenarios!$C$161="Return of Capital",IF(Scenarios!$C$160&gt;0,Scenarios!$C$160,MAX(Scenarios!$F$13-'P&amp;L'!P49,0)),0),0)*$B$9/($B$8+$B$9+$B$10),0)</f>
        <v>0</v>
      </c>
      <c r="F48" s="22" t="n">
        <f aca="false">IFERROR(IF(Scenarios!$C$159=5,IF(Scenarios!$C$161="Return of Capital",IF(Scenarios!$C$160&gt;0,Scenarios!$C$160,MAX(Scenarios!$F$13-'P&amp;L'!P49,0)),0),0)*$B$9/($B$8+$B$9+$B$10),0)</f>
        <v>0</v>
      </c>
      <c r="G48" s="22" t="n">
        <f aca="false">IFERROR(IF(Scenarios!$C$159=6,IF(Scenarios!$C$161="Return of Capital",IF(Scenarios!$C$160&gt;0,Scenarios!$C$160,MAX(Scenarios!$F$13-'P&amp;L'!P49,0)),0),0)*$B$9/($B$8+$B$9+$B$10),0)</f>
        <v>0</v>
      </c>
      <c r="H48" s="22" t="n">
        <f aca="false">IFERROR(IF(Scenarios!$C$159=7,IF(Scenarios!$C$161="Return of Capital",IF(Scenarios!$C$160&gt;0,Scenarios!$C$160,MAX(Scenarios!$F$13-'P&amp;L'!P49,0)),0),0)*$B$9/($B$8+$B$9+$B$10),0)</f>
        <v>0</v>
      </c>
      <c r="I48" s="22" t="n">
        <f aca="false">IFERROR(IF(Scenarios!$C$159=8,IF(Scenarios!$C$161="Return of Capital",IF(Scenarios!$C$160&gt;0,Scenarios!$C$160,MAX(Scenarios!$F$13-'P&amp;L'!P49,0)),0),0)*$B$9/($B$8+$B$9+$B$10),0)</f>
        <v>0</v>
      </c>
      <c r="J48" s="22" t="n">
        <f aca="false">IFERROR(IF(Scenarios!$C$159=9,IF(Scenarios!$C$161="Return of Capital",IF(Scenarios!$C$160&gt;0,Scenarios!$C$160,MAX(Scenarios!$F$13-'P&amp;L'!P49,0)),0),0)*$B$9/($B$8+$B$9+$B$10),0)</f>
        <v>0</v>
      </c>
      <c r="K48" s="22" t="n">
        <f aca="false">IFERROR(IF(Scenarios!$C$159=10,IF(Scenarios!$C$161="Return of Capital",IF(Scenarios!$C$160&gt;0,Scenarios!$C$160,MAX(Scenarios!$F$13-'P&amp;L'!P49,0)),0),0)*$B$9/($B$8+$B$9+$B$10),0)</f>
        <v>0</v>
      </c>
      <c r="L48" s="290" t="e">
        <f aca="false">MIN(B9,L43)</f>
        <v>#VALUE!</v>
      </c>
      <c r="M48" s="290" t="n">
        <f aca="false">SUM(B48:K48)</f>
        <v>0</v>
      </c>
    </row>
    <row r="49" customFormat="false" ht="18" hidden="false" customHeight="true" outlineLevel="0" collapsed="false">
      <c r="A49" s="636" t="s">
        <v>1986</v>
      </c>
      <c r="B49" s="22" t="n">
        <f aca="false">IFERROR(IF(Scenarios!$C$159=1,IF(Scenarios!$C$161="Return of Capital",IF(Scenarios!$C$160&gt;0,Scenarios!$C$160,MAX(Scenarios!$F$13-'P&amp;L'!P49,0)),0),0)*$B$10/($B$8+$B$9+$B$10),0)</f>
        <v>0</v>
      </c>
      <c r="C49" s="22" t="n">
        <f aca="false">IFERROR(IF(Scenarios!$C$159=2,IF(Scenarios!$C$161="Return of Capital",IF(Scenarios!$C$160&gt;0,Scenarios!$C$160,MAX(Scenarios!$F$13-'P&amp;L'!P49,0)),0),0)*$B$10/($B$8+$B$9+$B$10),0)</f>
        <v>0</v>
      </c>
      <c r="D49" s="22" t="n">
        <f aca="false">IFERROR(IF(Scenarios!$C$159=3,IF(Scenarios!$C$161="Return of Capital",IF(Scenarios!$C$160&gt;0,Scenarios!$C$160,MAX(Scenarios!$F$13-'P&amp;L'!P49,0)),0),0)*$B$10/($B$8+$B$9+$B$10),0)</f>
        <v>0</v>
      </c>
      <c r="E49" s="22" t="n">
        <f aca="false">IFERROR(IF(Scenarios!$C$159=4,IF(Scenarios!$C$161="Return of Capital",IF(Scenarios!$C$160&gt;0,Scenarios!$C$160,MAX(Scenarios!$F$13-'P&amp;L'!P49,0)),0),0)*$B$10/($B$8+$B$9+$B$10),0)</f>
        <v>0</v>
      </c>
      <c r="F49" s="22" t="n">
        <f aca="false">IFERROR(IF(Scenarios!$C$159=5,IF(Scenarios!$C$161="Return of Capital",IF(Scenarios!$C$160&gt;0,Scenarios!$C$160,MAX(Scenarios!$F$13-'P&amp;L'!P49,0)),0),0)*$B$10/($B$8+$B$9+$B$10),0)</f>
        <v>0</v>
      </c>
      <c r="G49" s="22" t="n">
        <f aca="false">IFERROR(IF(Scenarios!$C$159=6,IF(Scenarios!$C$161="Return of Capital",IF(Scenarios!$C$160&gt;0,Scenarios!$C$160,MAX(Scenarios!$F$13-'P&amp;L'!P49,0)),0),0)*$B$10/($B$8+$B$9+$B$10),0)</f>
        <v>0</v>
      </c>
      <c r="H49" s="22" t="n">
        <f aca="false">IFERROR(IF(Scenarios!$C$159=7,IF(Scenarios!$C$161="Return of Capital",IF(Scenarios!$C$160&gt;0,Scenarios!$C$160,MAX(Scenarios!$F$13-'P&amp;L'!P49,0)),0),0)*$B$10/($B$8+$B$9+$B$10),0)</f>
        <v>0</v>
      </c>
      <c r="I49" s="22" t="n">
        <f aca="false">IFERROR(IF(Scenarios!$C$159=8,IF(Scenarios!$C$161="Return of Capital",IF(Scenarios!$C$160&gt;0,Scenarios!$C$160,MAX(Scenarios!$F$13-'P&amp;L'!P49,0)),0),0)*$B$10/($B$8+$B$9+$B$10),0)</f>
        <v>0</v>
      </c>
      <c r="J49" s="22" t="n">
        <f aca="false">IFERROR(IF(Scenarios!$C$159=9,IF(Scenarios!$C$161="Return of Capital",IF(Scenarios!$C$160&gt;0,Scenarios!$C$160,MAX(Scenarios!$F$13-'P&amp;L'!P49,0)),0),0)*$B$10/($B$8+$B$9+$B$10),0)</f>
        <v>0</v>
      </c>
      <c r="K49" s="22" t="n">
        <f aca="false">IFERROR(IF(Scenarios!$C$159=10,IF(Scenarios!$C$161="Return of Capital",IF(Scenarios!$C$160&gt;0,Scenarios!$C$160,MAX(Scenarios!$F$13-'P&amp;L'!P49,0)),0),0)*$B$10/($B$8+$B$9+$B$10),0)</f>
        <v>0</v>
      </c>
      <c r="L49" s="290" t="e">
        <f aca="false">IF(B14="YES",MIN(B10,MAX(L43-L48,0)),0)</f>
        <v>#VALUE!</v>
      </c>
      <c r="M49" s="290" t="n">
        <f aca="false">SUM(B49:K49)</f>
        <v>0</v>
      </c>
    </row>
    <row r="50" customFormat="false" ht="18" hidden="false" customHeight="true" outlineLevel="0" collapsed="false">
      <c r="A50" s="636" t="s">
        <v>1987</v>
      </c>
      <c r="B50" s="22" t="n">
        <f aca="false">IFERROR(IF(Scenarios!$C$159=1,IF(Scenarios!$C$161="Return of Capital",IF(Scenarios!$C$160&gt;0,Scenarios!$C$160,MAX(Scenarios!$F$13-'P&amp;L'!P49,0)),0),0)*$B$8/($B$8+$B$9+$B$10),0)</f>
        <v>0</v>
      </c>
      <c r="C50" s="22" t="n">
        <f aca="false">IFERROR(IF(Scenarios!$C$159=2,IF(Scenarios!$C$161="Return of Capital",IF(Scenarios!$C$160&gt;0,Scenarios!$C$160,MAX(Scenarios!$F$13-'P&amp;L'!P49,0)),0),0)*$B$8/($B$8+$B$9+$B$10),0)</f>
        <v>0</v>
      </c>
      <c r="D50" s="22" t="n">
        <f aca="false">IFERROR(IF(Scenarios!$C$159=3,IF(Scenarios!$C$161="Return of Capital",IF(Scenarios!$C$160&gt;0,Scenarios!$C$160,MAX(Scenarios!$F$13-'P&amp;L'!P49,0)),0),0)*$B$8/($B$8+$B$9+$B$10),0)</f>
        <v>0</v>
      </c>
      <c r="E50" s="22" t="n">
        <f aca="false">IFERROR(IF(Scenarios!$C$159=4,IF(Scenarios!$C$161="Return of Capital",IF(Scenarios!$C$160&gt;0,Scenarios!$C$160,MAX(Scenarios!$F$13-'P&amp;L'!P49,0)),0),0)*$B$8/($B$8+$B$9+$B$10),0)</f>
        <v>0</v>
      </c>
      <c r="F50" s="22" t="n">
        <f aca="false">IFERROR(IF(Scenarios!$C$159=5,IF(Scenarios!$C$161="Return of Capital",IF(Scenarios!$C$160&gt;0,Scenarios!$C$160,MAX(Scenarios!$F$13-'P&amp;L'!P49,0)),0),0)*$B$8/($B$8+$B$9+$B$10),0)</f>
        <v>0</v>
      </c>
      <c r="G50" s="22" t="n">
        <f aca="false">IFERROR(IF(Scenarios!$C$159=6,IF(Scenarios!$C$161="Return of Capital",IF(Scenarios!$C$160&gt;0,Scenarios!$C$160,MAX(Scenarios!$F$13-'P&amp;L'!P49,0)),0),0)*$B$8/($B$8+$B$9+$B$10),0)</f>
        <v>0</v>
      </c>
      <c r="H50" s="22" t="n">
        <f aca="false">IFERROR(IF(Scenarios!$C$159=7,IF(Scenarios!$C$161="Return of Capital",IF(Scenarios!$C$160&gt;0,Scenarios!$C$160,MAX(Scenarios!$F$13-'P&amp;L'!P49,0)),0),0)*$B$8/($B$8+$B$9+$B$10),0)</f>
        <v>0</v>
      </c>
      <c r="I50" s="22" t="n">
        <f aca="false">IFERROR(IF(Scenarios!$C$159=8,IF(Scenarios!$C$161="Return of Capital",IF(Scenarios!$C$160&gt;0,Scenarios!$C$160,MAX(Scenarios!$F$13-'P&amp;L'!P49,0)),0),0)*$B$8/($B$8+$B$9+$B$10),0)</f>
        <v>0</v>
      </c>
      <c r="J50" s="22" t="n">
        <f aca="false">IFERROR(IF(Scenarios!$C$159=9,IF(Scenarios!$C$161="Return of Capital",IF(Scenarios!$C$160&gt;0,Scenarios!$C$160,MAX(Scenarios!$F$13-'P&amp;L'!P49,0)),0),0)*$B$8/($B$8+$B$9+$B$10),0)</f>
        <v>0</v>
      </c>
      <c r="K50" s="22" t="n">
        <f aca="false">IFERROR(IF(Scenarios!$C$159=10,IF(Scenarios!$C$161="Return of Capital",IF(Scenarios!$C$160&gt;0,Scenarios!$C$160,MAX(Scenarios!$F$13-'P&amp;L'!P49,0)),0),0)*$B$8/($B$8+$B$9+$B$10),0)</f>
        <v>0</v>
      </c>
      <c r="L50" s="290" t="e">
        <f aca="false">MIN(B8,MAX(L43-L48-L49,0))</f>
        <v>#VALUE!</v>
      </c>
      <c r="M50" s="290" t="n">
        <f aca="false">SUM(B50:K50)</f>
        <v>0</v>
      </c>
    </row>
    <row r="52" customFormat="false" ht="18" hidden="false" customHeight="true" outlineLevel="0" collapsed="false">
      <c r="A52" s="241" t="s">
        <v>1988</v>
      </c>
      <c r="B52" s="638" t="e">
        <f aca="false">B40+B45+B48</f>
        <v>#VALUE!</v>
      </c>
      <c r="C52" s="638" t="e">
        <f aca="false">C40+C45+C48</f>
        <v>#VALUE!</v>
      </c>
      <c r="D52" s="638" t="e">
        <f aca="false">D40+D45+D48</f>
        <v>#VALUE!</v>
      </c>
      <c r="E52" s="638" t="e">
        <f aca="false">E40+E45+E48</f>
        <v>#VALUE!</v>
      </c>
      <c r="F52" s="638" t="e">
        <f aca="false">F40+F45+F48</f>
        <v>#VALUE!</v>
      </c>
      <c r="G52" s="638" t="e">
        <f aca="false">G40+G45+G48</f>
        <v>#VALUE!</v>
      </c>
      <c r="H52" s="638" t="e">
        <f aca="false">H40+H45+H48</f>
        <v>#VALUE!</v>
      </c>
      <c r="I52" s="638" t="e">
        <f aca="false">I40+I45+I48</f>
        <v>#VALUE!</v>
      </c>
      <c r="J52" s="638" t="e">
        <f aca="false">J40+J45+J48</f>
        <v>#VALUE!</v>
      </c>
      <c r="K52" s="638" t="e">
        <f aca="false">K40+K45+K48</f>
        <v>#VALUE!</v>
      </c>
      <c r="L52" s="638" t="e">
        <f aca="false">L40+L45+L48</f>
        <v>#VALUE!</v>
      </c>
      <c r="M52" s="638" t="e">
        <f aca="false">SUM(B52:L52)</f>
        <v>#VALUE!</v>
      </c>
    </row>
    <row r="53" customFormat="false" ht="18" hidden="false" customHeight="true" outlineLevel="0" collapsed="false">
      <c r="A53" s="639" t="s">
        <v>1989</v>
      </c>
      <c r="B53" s="640" t="e">
        <f aca="false">B42+B45*0+B49</f>
        <v>#VALUE!</v>
      </c>
      <c r="C53" s="640" t="e">
        <f aca="false">C42+C45*0+C49</f>
        <v>#VALUE!</v>
      </c>
      <c r="D53" s="640" t="e">
        <f aca="false">D42+D45*0+D49</f>
        <v>#VALUE!</v>
      </c>
      <c r="E53" s="640" t="e">
        <f aca="false">E42+E45*0+E49</f>
        <v>#VALUE!</v>
      </c>
      <c r="F53" s="640" t="e">
        <f aca="false">F42+F45*0+F49</f>
        <v>#VALUE!</v>
      </c>
      <c r="G53" s="640" t="e">
        <f aca="false">G42+G45*0+G49</f>
        <v>#VALUE!</v>
      </c>
      <c r="H53" s="640" t="e">
        <f aca="false">H42+H45*0+H49</f>
        <v>#VALUE!</v>
      </c>
      <c r="I53" s="640" t="e">
        <f aca="false">I42+I45*0+I49</f>
        <v>#VALUE!</v>
      </c>
      <c r="J53" s="640" t="e">
        <f aca="false">J42+J45*0+J49</f>
        <v>#VALUE!</v>
      </c>
      <c r="K53" s="640" t="e">
        <f aca="false">K42+K45*0+K49</f>
        <v>#VALUE!</v>
      </c>
      <c r="L53" s="640" t="e">
        <f aca="false">L42+L49</f>
        <v>#VALUE!</v>
      </c>
      <c r="M53" s="640" t="e">
        <f aca="false">SUM(B53:L53)</f>
        <v>#VALUE!</v>
      </c>
    </row>
    <row r="54" customFormat="false" ht="18" hidden="false" customHeight="true" outlineLevel="0" collapsed="false">
      <c r="A54" s="243" t="s">
        <v>1990</v>
      </c>
      <c r="B54" s="467" t="e">
        <f aca="false">B52+B53</f>
        <v>#VALUE!</v>
      </c>
      <c r="C54" s="467" t="e">
        <f aca="false">C52+C53</f>
        <v>#VALUE!</v>
      </c>
      <c r="D54" s="467" t="e">
        <f aca="false">D52+D53</f>
        <v>#VALUE!</v>
      </c>
      <c r="E54" s="467" t="e">
        <f aca="false">E52+E53</f>
        <v>#VALUE!</v>
      </c>
      <c r="F54" s="467" t="e">
        <f aca="false">F52+F53</f>
        <v>#VALUE!</v>
      </c>
      <c r="G54" s="467" t="e">
        <f aca="false">G52+G53</f>
        <v>#VALUE!</v>
      </c>
      <c r="H54" s="467" t="e">
        <f aca="false">H52+H53</f>
        <v>#VALUE!</v>
      </c>
      <c r="I54" s="467" t="e">
        <f aca="false">I52+I53</f>
        <v>#VALUE!</v>
      </c>
      <c r="J54" s="467" t="e">
        <f aca="false">J52+J53</f>
        <v>#VALUE!</v>
      </c>
      <c r="K54" s="467" t="e">
        <f aca="false">K52+K53</f>
        <v>#VALUE!</v>
      </c>
      <c r="L54" s="467" t="e">
        <f aca="false">L52+L53</f>
        <v>#VALUE!</v>
      </c>
      <c r="M54" s="467" t="e">
        <f aca="false">SUM(B54:L54)</f>
        <v>#VALUE!</v>
      </c>
    </row>
    <row r="55" customFormat="false" ht="18" hidden="false" customHeight="true" outlineLevel="0" collapsed="false">
      <c r="A55" s="38" t="s">
        <v>1991</v>
      </c>
      <c r="B55" s="308" t="e">
        <f aca="false">B46+B50</f>
        <v>#VALUE!</v>
      </c>
      <c r="C55" s="308" t="e">
        <f aca="false">C46+C50</f>
        <v>#VALUE!</v>
      </c>
      <c r="D55" s="308" t="e">
        <f aca="false">D46+D50</f>
        <v>#VALUE!</v>
      </c>
      <c r="E55" s="308" t="e">
        <f aca="false">E46+E50</f>
        <v>#VALUE!</v>
      </c>
      <c r="F55" s="308" t="e">
        <f aca="false">F46+F50</f>
        <v>#VALUE!</v>
      </c>
      <c r="G55" s="308" t="e">
        <f aca="false">G46+G50</f>
        <v>#VALUE!</v>
      </c>
      <c r="H55" s="308" t="e">
        <f aca="false">H46+H50</f>
        <v>#VALUE!</v>
      </c>
      <c r="I55" s="308" t="e">
        <f aca="false">I46+I50</f>
        <v>#VALUE!</v>
      </c>
      <c r="J55" s="308" t="e">
        <f aca="false">J46+J50</f>
        <v>#VALUE!</v>
      </c>
      <c r="K55" s="308" t="e">
        <f aca="false">K46+K50</f>
        <v>#VALUE!</v>
      </c>
      <c r="L55" s="308" t="e">
        <f aca="false">L46+L50</f>
        <v>#VALUE!</v>
      </c>
      <c r="M55" s="308" t="e">
        <f aca="false">SUM(B55:L55)</f>
        <v>#VALUE!</v>
      </c>
    </row>
    <row r="57" customFormat="false" ht="24" hidden="false" customHeight="true" outlineLevel="0" collapsed="false">
      <c r="A57" s="3" t="s">
        <v>50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customFormat="false" ht="30" hidden="false" customHeight="true" outlineLevel="0" collapsed="false">
      <c r="A58" s="31" t="s">
        <v>11</v>
      </c>
      <c r="B58" s="18" t="s">
        <v>51</v>
      </c>
      <c r="C58" s="508" t="s">
        <v>52</v>
      </c>
      <c r="D58" s="137" t="s">
        <v>1992</v>
      </c>
      <c r="E58" s="31" t="s">
        <v>54</v>
      </c>
      <c r="F58" s="641" t="s">
        <v>55</v>
      </c>
      <c r="G58" s="641"/>
      <c r="H58" s="641"/>
      <c r="I58" s="641"/>
      <c r="J58" s="641"/>
      <c r="K58" s="641"/>
      <c r="L58" s="641"/>
    </row>
    <row r="59" customFormat="false" ht="18" hidden="false" customHeight="true" outlineLevel="0" collapsed="false">
      <c r="A59" s="4" t="s">
        <v>246</v>
      </c>
      <c r="B59" s="642" t="e">
        <f aca="false">-B9</f>
        <v>#VALUE!</v>
      </c>
      <c r="C59" s="642" t="e">
        <f aca="false">IF(1&gt;$B$5,0,B52+IF(1=$B$5,L52,0))</f>
        <v>#VALUE!</v>
      </c>
      <c r="D59" s="642" t="e">
        <f aca="false">IF(2&gt;$B$5,0,C52+IF(2=$B$5,L52,0))</f>
        <v>#VALUE!</v>
      </c>
      <c r="E59" s="642" t="e">
        <f aca="false">IF(3&gt;$B$5,0,D52+IF(3=$B$5,L52,0))</f>
        <v>#VALUE!</v>
      </c>
      <c r="F59" s="642" t="e">
        <f aca="false">IF(4&gt;$B$5,0,E52+IF(4=$B$5,L52,0))</f>
        <v>#VALUE!</v>
      </c>
      <c r="G59" s="642" t="e">
        <f aca="false">IF(5&gt;$B$5,0,F52+IF(5=$B$5,L52,0))</f>
        <v>#VALUE!</v>
      </c>
      <c r="H59" s="642" t="e">
        <f aca="false">IF(6&gt;$B$5,0,G52+IF(6=$B$5,L52,0))</f>
        <v>#VALUE!</v>
      </c>
      <c r="I59" s="642" t="e">
        <f aca="false">IF(7&gt;$B$5,0,H52+IF(7=$B$5,L52,0))</f>
        <v>#VALUE!</v>
      </c>
      <c r="J59" s="642" t="e">
        <f aca="false">IF(8&gt;$B$5,0,I52+IF(8=$B$5,L52,0))</f>
        <v>#VALUE!</v>
      </c>
      <c r="K59" s="642" t="e">
        <f aca="false">IF(9&gt;$B$5,0,J52+IF(9=$B$5,L52,0))</f>
        <v>#VALUE!</v>
      </c>
      <c r="L59" s="642" t="e">
        <f aca="false">IF(10&gt;$B$5,0,K52+IF(10=$B$5,L52,0))</f>
        <v>#VALUE!</v>
      </c>
      <c r="M59" s="643" t="n">
        <v>0</v>
      </c>
    </row>
    <row r="60" customFormat="false" ht="18" hidden="false" customHeight="true" outlineLevel="0" collapsed="false">
      <c r="A60" s="4" t="s">
        <v>247</v>
      </c>
      <c r="B60" s="642" t="e">
        <f aca="false">-B10</f>
        <v>#VALUE!</v>
      </c>
      <c r="C60" s="642" t="e">
        <f aca="false">IF(1&gt;$B$5,0,B53+IF(1=$B$5,L53,0))</f>
        <v>#VALUE!</v>
      </c>
      <c r="D60" s="642" t="e">
        <f aca="false">IF(2&gt;$B$5,0,C53+IF(2=$B$5,L53,0))</f>
        <v>#VALUE!</v>
      </c>
      <c r="E60" s="642" t="e">
        <f aca="false">IF(3&gt;$B$5,0,D53+IF(3=$B$5,L53,0))</f>
        <v>#VALUE!</v>
      </c>
      <c r="F60" s="642" t="e">
        <f aca="false">IF(4&gt;$B$5,0,E53+IF(4=$B$5,L53,0))</f>
        <v>#VALUE!</v>
      </c>
      <c r="G60" s="642" t="e">
        <f aca="false">IF(5&gt;$B$5,0,F53+IF(5=$B$5,L53,0))</f>
        <v>#VALUE!</v>
      </c>
      <c r="H60" s="642" t="e">
        <f aca="false">IF(6&gt;$B$5,0,G53+IF(6=$B$5,L53,0))</f>
        <v>#VALUE!</v>
      </c>
      <c r="I60" s="642" t="e">
        <f aca="false">IF(7&gt;$B$5,0,H53+IF(7=$B$5,L53,0))</f>
        <v>#VALUE!</v>
      </c>
      <c r="J60" s="642" t="e">
        <f aca="false">IF(8&gt;$B$5,0,I53+IF(8=$B$5,L53,0))</f>
        <v>#VALUE!</v>
      </c>
      <c r="K60" s="642" t="e">
        <f aca="false">IF(9&gt;$B$5,0,J53+IF(9=$B$5,L53,0))</f>
        <v>#VALUE!</v>
      </c>
      <c r="L60" s="642" t="e">
        <f aca="false">IF(10&gt;$B$5,0,K53+IF(10=$B$5,L53,0))</f>
        <v>#VALUE!</v>
      </c>
      <c r="M60" s="643" t="n">
        <v>0</v>
      </c>
    </row>
    <row r="61" customFormat="false" ht="18" hidden="false" customHeight="true" outlineLevel="0" collapsed="false">
      <c r="A61" s="4" t="s">
        <v>248</v>
      </c>
      <c r="B61" s="642" t="e">
        <f aca="false">-B8</f>
        <v>#VALUE!</v>
      </c>
      <c r="C61" s="642" t="e">
        <f aca="false">IF(1&gt;$B$5,0,B55+IF(1=$B$5,L55,0))</f>
        <v>#VALUE!</v>
      </c>
      <c r="D61" s="642" t="e">
        <f aca="false">IF(2&gt;$B$5,0,C55+IF(2=$B$5,L55,0))</f>
        <v>#VALUE!</v>
      </c>
      <c r="E61" s="642" t="e">
        <f aca="false">IF(3&gt;$B$5,0,D55+IF(3=$B$5,L55,0))</f>
        <v>#VALUE!</v>
      </c>
      <c r="F61" s="642" t="e">
        <f aca="false">IF(4&gt;$B$5,0,E55+IF(4=$B$5,L55,0))</f>
        <v>#VALUE!</v>
      </c>
      <c r="G61" s="642" t="e">
        <f aca="false">IF(5&gt;$B$5,0,F55+IF(5=$B$5,L55,0))</f>
        <v>#VALUE!</v>
      </c>
      <c r="H61" s="642" t="e">
        <f aca="false">IF(6&gt;$B$5,0,G55+IF(6=$B$5,L55,0))</f>
        <v>#VALUE!</v>
      </c>
      <c r="I61" s="642" t="e">
        <f aca="false">IF(7&gt;$B$5,0,H55+IF(7=$B$5,L55,0))</f>
        <v>#VALUE!</v>
      </c>
      <c r="J61" s="642" t="e">
        <f aca="false">IF(8&gt;$B$5,0,I55+IF(8=$B$5,L55,0))</f>
        <v>#VALUE!</v>
      </c>
      <c r="K61" s="642" t="e">
        <f aca="false">IF(9&gt;$B$5,0,J55+IF(9=$B$5,L55,0))</f>
        <v>#VALUE!</v>
      </c>
      <c r="L61" s="642" t="e">
        <f aca="false">IF(10&gt;$B$5,0,K55+IF(10=$B$5,L55,0))</f>
        <v>#VALUE!</v>
      </c>
      <c r="M61" s="643" t="n">
        <v>0</v>
      </c>
    </row>
    <row r="62" customFormat="false" ht="18" hidden="false" customHeight="true" outlineLevel="0" collapsed="false">
      <c r="A62" s="4" t="s">
        <v>56</v>
      </c>
      <c r="B62" s="289" t="str">
        <f aca="false">B9</f>
        <v/>
      </c>
      <c r="C62" s="289" t="str">
        <f aca="false">B10</f>
        <v/>
      </c>
      <c r="D62" s="289" t="e">
        <f aca="false">B9+B10</f>
        <v>#VALUE!</v>
      </c>
      <c r="E62" s="289" t="str">
        <f aca="false">B8</f>
        <v/>
      </c>
    </row>
    <row r="63" customFormat="false" ht="18" hidden="false" customHeight="true" outlineLevel="0" collapsed="false">
      <c r="A63" s="6" t="s">
        <v>58</v>
      </c>
      <c r="B63" s="452" t="e">
        <f aca="false">M52</f>
        <v>#VALUE!</v>
      </c>
      <c r="C63" s="452" t="e">
        <f aca="false">M53</f>
        <v>#VALUE!</v>
      </c>
      <c r="D63" s="452" t="e">
        <f aca="false">M54</f>
        <v>#VALUE!</v>
      </c>
      <c r="E63" s="452" t="e">
        <f aca="false">M55</f>
        <v>#VALUE!</v>
      </c>
    </row>
    <row r="64" customFormat="false" ht="18" hidden="false" customHeight="true" outlineLevel="0" collapsed="false">
      <c r="A64" s="4" t="s">
        <v>61</v>
      </c>
      <c r="B64" s="644" t="n">
        <f aca="false">IFERROR(B63/B62,0)</f>
        <v>0</v>
      </c>
      <c r="C64" s="644" t="n">
        <f aca="false">IFERROR(C63/C62,0)</f>
        <v>0</v>
      </c>
      <c r="D64" s="644" t="n">
        <f aca="false">IFERROR(D63/D62,0)</f>
        <v>0</v>
      </c>
      <c r="E64" s="644" t="n">
        <f aca="false">IFERROR(E63/E62,0)</f>
        <v>0</v>
      </c>
    </row>
    <row r="65" customFormat="false" ht="18" hidden="false" customHeight="true" outlineLevel="0" collapsed="false">
      <c r="A65" s="6" t="s">
        <v>60</v>
      </c>
      <c r="B65" s="452" t="e">
        <f aca="false">B63-B62</f>
        <v>#VALUE!</v>
      </c>
      <c r="C65" s="452" t="e">
        <f aca="false">C63-C62</f>
        <v>#VALUE!</v>
      </c>
      <c r="D65" s="452" t="e">
        <f aca="false">D63-D62</f>
        <v>#VALUE!</v>
      </c>
      <c r="E65" s="452" t="e">
        <f aca="false">E63-E62</f>
        <v>#VALUE!</v>
      </c>
    </row>
    <row r="66" customFormat="false" ht="18" hidden="false" customHeight="true" outlineLevel="0" collapsed="false">
      <c r="A66" s="4" t="s">
        <v>63</v>
      </c>
      <c r="B66" s="645" t="n">
        <f aca="false">IFERROR(IRR(B59:M59),0)</f>
        <v>0</v>
      </c>
      <c r="C66" s="645" t="n">
        <f aca="false">IFERROR(IRR(B60:M60),0)</f>
        <v>0</v>
      </c>
      <c r="D66" s="645" t="n">
        <f aca="false">IFERROR(IF(B10=0,B66,IRR(B67:M67)),0)</f>
        <v>0</v>
      </c>
      <c r="E66" s="645" t="n">
        <f aca="false">IFERROR(IRR(B61:M61),0)</f>
        <v>0</v>
      </c>
    </row>
    <row r="67" customFormat="false" ht="15.75" hidden="false" customHeight="true" outlineLevel="0" collapsed="false">
      <c r="A67" s="268" t="s">
        <v>249</v>
      </c>
      <c r="B67" s="646" t="e">
        <f aca="false">-(B9+B10)</f>
        <v>#VALUE!</v>
      </c>
      <c r="C67" s="646" t="e">
        <f aca="false">IF(1&gt;$B$5,0,B52+B53+IF(1=$B$5,L52+L53,0))</f>
        <v>#VALUE!</v>
      </c>
      <c r="D67" s="646" t="e">
        <f aca="false">IF(2&gt;$B$5,0,C52+C53+IF(2=$B$5,L52+L53,0))</f>
        <v>#VALUE!</v>
      </c>
      <c r="E67" s="646" t="e">
        <f aca="false">IF(3&gt;$B$5,0,D52+D53+IF(3=$B$5,L52+L53,0))</f>
        <v>#VALUE!</v>
      </c>
      <c r="F67" s="646" t="e">
        <f aca="false">IF(4&gt;$B$5,0,E52+E53+IF(4=$B$5,L52+L53,0))</f>
        <v>#VALUE!</v>
      </c>
      <c r="G67" s="646" t="e">
        <f aca="false">IF(5&gt;$B$5,0,F52+F53+IF(5=$B$5,L52+L53,0))</f>
        <v>#VALUE!</v>
      </c>
      <c r="H67" s="646" t="e">
        <f aca="false">IF(6&gt;$B$5,0,G52+G53+IF(6=$B$5,L52+L53,0))</f>
        <v>#VALUE!</v>
      </c>
      <c r="I67" s="646" t="e">
        <f aca="false">IF(7&gt;$B$5,0,H52+H53+IF(7=$B$5,L52+L53,0))</f>
        <v>#VALUE!</v>
      </c>
      <c r="J67" s="646" t="e">
        <f aca="false">IF(8&gt;$B$5,0,I52+I53+IF(8=$B$5,L52+L53,0))</f>
        <v>#VALUE!</v>
      </c>
      <c r="K67" s="646" t="e">
        <f aca="false">IF(9&gt;$B$5,0,J52+J53+IF(9=$B$5,L52+L53,0))</f>
        <v>#VALUE!</v>
      </c>
      <c r="L67" s="646" t="e">
        <f aca="false">IF(10&gt;$B$5,0,K52+K53+IF(10=$B$5,L52+L53,0))</f>
        <v>#VALUE!</v>
      </c>
      <c r="M67" s="643" t="n">
        <v>0</v>
      </c>
    </row>
    <row r="70" customFormat="false" ht="21.75" hidden="false" customHeight="true" outlineLevel="0" collapsed="false">
      <c r="A70" s="3" t="s">
        <v>1993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</row>
    <row r="71" customFormat="false" ht="15.75" hidden="false" customHeight="true" outlineLevel="0" collapsed="false">
      <c r="A71" s="109" t="s">
        <v>1994</v>
      </c>
      <c r="B71" s="42" t="s">
        <v>1995</v>
      </c>
      <c r="C71" s="42" t="s">
        <v>1996</v>
      </c>
      <c r="D71" s="42" t="s">
        <v>1997</v>
      </c>
      <c r="E71" s="42" t="s">
        <v>1998</v>
      </c>
      <c r="F71" s="42" t="s">
        <v>1999</v>
      </c>
      <c r="G71" s="42" t="s">
        <v>2000</v>
      </c>
      <c r="H71" s="42" t="s">
        <v>2001</v>
      </c>
      <c r="I71" s="42" t="s">
        <v>2002</v>
      </c>
      <c r="J71" s="42" t="s">
        <v>2003</v>
      </c>
      <c r="K71" s="42" t="s">
        <v>2004</v>
      </c>
      <c r="L71" s="42" t="s">
        <v>2005</v>
      </c>
      <c r="M71" s="42" t="s">
        <v>2006</v>
      </c>
    </row>
    <row r="72" customFormat="false" ht="18" hidden="false" customHeight="true" outlineLevel="0" collapsed="false">
      <c r="A72" s="597" t="s">
        <v>2007</v>
      </c>
      <c r="B72" s="519" t="str">
        <f aca="false">B9</f>
        <v/>
      </c>
      <c r="C72" s="28" t="e">
        <f aca="false">IF(1&gt;$B$5,0,MAX(B72-IF($B$23="Return of Capital",IF(ISNUMBER('Exit Strategy'!$B$5),IF(1='Exit Strategy'!$B$5,'Exit Strategy'!$B$18*IFERROR($B$9/($B$9+$B$10),1),0),0),0),0))</f>
        <v>#VALUE!</v>
      </c>
      <c r="D72" s="28" t="e">
        <f aca="false">IF(2&gt;$B$5,0,MAX(C72-IF($B$23="Return of Capital",IF(ISNUMBER('Exit Strategy'!$B$5),IF(2='Exit Strategy'!$B$5,'Exit Strategy'!$B$18*IFERROR($B$9/($B$9+$B$10),1),0),0),0),0))</f>
        <v>#VALUE!</v>
      </c>
      <c r="E72" s="28" t="e">
        <f aca="false">IF(3&gt;$B$5,0,MAX(D72-IF($B$23="Return of Capital",IF(ISNUMBER('Exit Strategy'!$B$5),IF(3='Exit Strategy'!$B$5,'Exit Strategy'!$B$18*IFERROR($B$9/($B$9+$B$10),1),0),0),0),0))</f>
        <v>#VALUE!</v>
      </c>
      <c r="F72" s="28" t="e">
        <f aca="false">IF(4&gt;$B$5,0,MAX(E72-IF($B$23="Return of Capital",IF(ISNUMBER('Exit Strategy'!$B$5),IF(4='Exit Strategy'!$B$5,'Exit Strategy'!$B$18*IFERROR($B$9/($B$9+$B$10),1),0),0),0),0))</f>
        <v>#VALUE!</v>
      </c>
      <c r="G72" s="28" t="e">
        <f aca="false">IF(5&gt;$B$5,0,MAX(F72-IF($B$23="Return of Capital",IF(ISNUMBER('Exit Strategy'!$B$5),IF(5='Exit Strategy'!$B$5,'Exit Strategy'!$B$18*IFERROR($B$9/($B$9+$B$10),1),0),0),0),0))</f>
        <v>#VALUE!</v>
      </c>
      <c r="H72" s="28" t="e">
        <f aca="false">IF(6&gt;$B$5,0,MAX(G72-IF($B$23="Return of Capital",IF(ISNUMBER('Exit Strategy'!$B$5),IF(6='Exit Strategy'!$B$5,'Exit Strategy'!$B$18*IFERROR($B$9/($B$9+$B$10),1),0),0),0),0))</f>
        <v>#VALUE!</v>
      </c>
      <c r="I72" s="28" t="e">
        <f aca="false">IF(7&gt;$B$5,0,MAX(H72-IF($B$23="Return of Capital",IF(ISNUMBER('Exit Strategy'!$B$5),IF(7='Exit Strategy'!$B$5,'Exit Strategy'!$B$18*IFERROR($B$9/($B$9+$B$10),1),0),0),0),0))</f>
        <v>#VALUE!</v>
      </c>
      <c r="J72" s="28" t="e">
        <f aca="false">IF(8&gt;$B$5,0,MAX(I72-IF($B$23="Return of Capital",IF(ISNUMBER('Exit Strategy'!$B$5),IF(8='Exit Strategy'!$B$5,'Exit Strategy'!$B$18*IFERROR($B$9/($B$9+$B$10),1),0),0),0),0))</f>
        <v>#VALUE!</v>
      </c>
      <c r="K72" s="28" t="e">
        <f aca="false">IF(9&gt;$B$5,0,MAX(J72-IF($B$23="Return of Capital",IF(ISNUMBER('Exit Strategy'!$B$5),IF(9='Exit Strategy'!$B$5,'Exit Strategy'!$B$18*IFERROR($B$9/($B$9+$B$10),1),0),0),0),0))</f>
        <v>#VALUE!</v>
      </c>
      <c r="L72" s="28" t="e">
        <f aca="false">IF(10&gt;$B$5,0,MAX(K72-IF($B$23="Return of Capital",IF(ISNUMBER('Exit Strategy'!$B$5),IF(10='Exit Strategy'!$B$5,'Exit Strategy'!$B$18*IFERROR($B$9/($B$9+$B$10),1),0),0),0),0))</f>
        <v>#VALUE!</v>
      </c>
      <c r="N72" s="519" t="e">
        <f aca="false">MAX(K72-L48,0)</f>
        <v>#VALUE!</v>
      </c>
    </row>
    <row r="73" customFormat="false" ht="18" hidden="false" customHeight="true" outlineLevel="0" collapsed="false">
      <c r="A73" s="647" t="s">
        <v>2008</v>
      </c>
      <c r="B73" s="648" t="s">
        <v>46</v>
      </c>
      <c r="C73" s="20" t="n">
        <f aca="false">IF($B$23="Return of Capital",IF(ISNUMBER('Exit Strategy'!$B$5),IF(1='Exit Strategy'!$B$5,'Exit Strategy'!$B$18*IFERROR($B$9/($B$9+$B$10),1),0),0),0)</f>
        <v>0</v>
      </c>
      <c r="D73" s="20" t="n">
        <f aca="false">IF($B$23="Return of Capital",IF(ISNUMBER('Exit Strategy'!$B$5),IF(2='Exit Strategy'!$B$5,'Exit Strategy'!$B$18*IFERROR($B$9/($B$9+$B$10),1),0),0),0)</f>
        <v>0</v>
      </c>
      <c r="E73" s="20" t="n">
        <f aca="false">IF($B$23="Return of Capital",IF(ISNUMBER('Exit Strategy'!$B$5),IF(3='Exit Strategy'!$B$5,'Exit Strategy'!$B$18*IFERROR($B$9/($B$9+$B$10),1),0),0),0)</f>
        <v>0</v>
      </c>
      <c r="F73" s="20" t="n">
        <f aca="false">IF($B$23="Return of Capital",IF(ISNUMBER('Exit Strategy'!$B$5),IF(4='Exit Strategy'!$B$5,'Exit Strategy'!$B$18*IFERROR($B$9/($B$9+$B$10),1),0),0),0)</f>
        <v>0</v>
      </c>
      <c r="G73" s="20" t="n">
        <f aca="false">IF($B$23="Return of Capital",IF(ISNUMBER('Exit Strategy'!$B$5),IF(5='Exit Strategy'!$B$5,'Exit Strategy'!$B$18*IFERROR($B$9/($B$9+$B$10),1),0),0),0)</f>
        <v>0</v>
      </c>
      <c r="H73" s="20" t="n">
        <f aca="false">IF($B$23="Return of Capital",IF(ISNUMBER('Exit Strategy'!$B$5),IF(6='Exit Strategy'!$B$5,'Exit Strategy'!$B$18*IFERROR($B$9/($B$9+$B$10),1),0),0),0)</f>
        <v>0</v>
      </c>
      <c r="I73" s="20" t="n">
        <f aca="false">IF($B$23="Return of Capital",IF(ISNUMBER('Exit Strategy'!$B$5),IF(7='Exit Strategy'!$B$5,'Exit Strategy'!$B$18*IFERROR($B$9/($B$9+$B$10),1),0),0),0)</f>
        <v>0</v>
      </c>
      <c r="J73" s="20" t="n">
        <f aca="false">IF($B$23="Return of Capital",IF(ISNUMBER('Exit Strategy'!$B$5),IF(8='Exit Strategy'!$B$5,'Exit Strategy'!$B$18*IFERROR($B$9/($B$9+$B$10),1),0),0),0)</f>
        <v>0</v>
      </c>
      <c r="K73" s="20" t="n">
        <f aca="false">IF($B$23="Return of Capital",IF(ISNUMBER('Exit Strategy'!$B$5),IF(9='Exit Strategy'!$B$5,'Exit Strategy'!$B$18*IFERROR($B$9/($B$9+$B$10),1),0),0),0)</f>
        <v>0</v>
      </c>
      <c r="L73" s="20" t="n">
        <f aca="false">IF($B$23="Return of Capital",IF(ISNUMBER('Exit Strategy'!$B$5),IF(10='Exit Strategy'!$B$5,'Exit Strategy'!$B$18*IFERROR($B$9/($B$9+$B$10),1),0),0),0)</f>
        <v>0</v>
      </c>
      <c r="N73" s="289" t="e">
        <f aca="false">L48</f>
        <v>#VALUE!</v>
      </c>
    </row>
    <row r="74" customFormat="false" ht="18" hidden="false" customHeight="true" outlineLevel="0" collapsed="false">
      <c r="A74" s="649" t="s">
        <v>2009</v>
      </c>
      <c r="B74" s="188" t="str">
        <f aca="false">B72</f>
        <v/>
      </c>
      <c r="C74" s="188" t="e">
        <f aca="false">C72</f>
        <v>#VALUE!</v>
      </c>
      <c r="D74" s="188" t="e">
        <f aca="false">D72</f>
        <v>#VALUE!</v>
      </c>
      <c r="E74" s="188" t="e">
        <f aca="false">E72</f>
        <v>#VALUE!</v>
      </c>
      <c r="F74" s="188" t="e">
        <f aca="false">F72</f>
        <v>#VALUE!</v>
      </c>
      <c r="G74" s="188" t="e">
        <f aca="false">G72</f>
        <v>#VALUE!</v>
      </c>
      <c r="H74" s="188" t="e">
        <f aca="false">H72</f>
        <v>#VALUE!</v>
      </c>
      <c r="I74" s="188" t="e">
        <f aca="false">I72</f>
        <v>#VALUE!</v>
      </c>
      <c r="J74" s="188" t="e">
        <f aca="false">J72</f>
        <v>#VALUE!</v>
      </c>
      <c r="K74" s="188" t="e">
        <f aca="false">K72</f>
        <v>#VALUE!</v>
      </c>
      <c r="L74" s="188" t="e">
        <f aca="false">L72</f>
        <v>#VALUE!</v>
      </c>
      <c r="M74" s="188" t="n">
        <f aca="false">M72</f>
        <v>0</v>
      </c>
    </row>
    <row r="76" customFormat="false" ht="18" hidden="false" customHeight="true" outlineLevel="0" collapsed="false">
      <c r="A76" s="597" t="s">
        <v>2010</v>
      </c>
      <c r="B76" s="519" t="e">
        <f aca="false">B9+B10</f>
        <v>#VALUE!</v>
      </c>
      <c r="C76" s="28" t="e">
        <f aca="false">IF(1&gt;$B$5,0,MAX(B76-IF($B$23="Return of Capital",IF(ISNUMBER('Exit Strategy'!$B$5),IF(1='Exit Strategy'!$B$5,'Exit Strategy'!$B$18,0),0),0),0))</f>
        <v>#VALUE!</v>
      </c>
      <c r="D76" s="28" t="e">
        <f aca="false">IF(2&gt;$B$5,0,MAX(C76-IF($B$23="Return of Capital",IF(ISNUMBER('Exit Strategy'!$B$5),IF(2='Exit Strategy'!$B$5,'Exit Strategy'!$B$18,0),0),0),0))</f>
        <v>#VALUE!</v>
      </c>
      <c r="E76" s="28" t="e">
        <f aca="false">IF(3&gt;$B$5,0,MAX(D76-IF($B$23="Return of Capital",IF(ISNUMBER('Exit Strategy'!$B$5),IF(3='Exit Strategy'!$B$5,'Exit Strategy'!$B$18,0),0),0),0))</f>
        <v>#VALUE!</v>
      </c>
      <c r="F76" s="28" t="e">
        <f aca="false">IF(4&gt;$B$5,0,MAX(E76-IF($B$23="Return of Capital",IF(ISNUMBER('Exit Strategy'!$B$5),IF(4='Exit Strategy'!$B$5,'Exit Strategy'!$B$18,0),0),0),0))</f>
        <v>#VALUE!</v>
      </c>
      <c r="G76" s="28" t="e">
        <f aca="false">IF(5&gt;$B$5,0,MAX(F76-IF($B$23="Return of Capital",IF(ISNUMBER('Exit Strategy'!$B$5),IF(5='Exit Strategy'!$B$5,'Exit Strategy'!$B$18,0),0),0),0))</f>
        <v>#VALUE!</v>
      </c>
      <c r="H76" s="28" t="e">
        <f aca="false">IF(6&gt;$B$5,0,MAX(G76-IF($B$23="Return of Capital",IF(ISNUMBER('Exit Strategy'!$B$5),IF(6='Exit Strategy'!$B$5,'Exit Strategy'!$B$18,0),0),0),0))</f>
        <v>#VALUE!</v>
      </c>
      <c r="I76" s="28" t="e">
        <f aca="false">IF(7&gt;$B$5,0,MAX(H76-IF($B$23="Return of Capital",IF(ISNUMBER('Exit Strategy'!$B$5),IF(7='Exit Strategy'!$B$5,'Exit Strategy'!$B$18,0),0),0),0))</f>
        <v>#VALUE!</v>
      </c>
      <c r="J76" s="28" t="e">
        <f aca="false">IF(8&gt;$B$5,0,MAX(I76-IF($B$23="Return of Capital",IF(ISNUMBER('Exit Strategy'!$B$5),IF(8='Exit Strategy'!$B$5,'Exit Strategy'!$B$18,0),0),0),0))</f>
        <v>#VALUE!</v>
      </c>
      <c r="K76" s="28" t="e">
        <f aca="false">IF(9&gt;$B$5,0,MAX(J76-IF($B$23="Return of Capital",IF(ISNUMBER('Exit Strategy'!$B$5),IF(9='Exit Strategy'!$B$5,'Exit Strategy'!$B$18,0),0),0),0))</f>
        <v>#VALUE!</v>
      </c>
      <c r="L76" s="28" t="e">
        <f aca="false">IF(10&gt;$B$5,0,MAX(K76-IF($B$23="Return of Capital",IF(ISNUMBER('Exit Strategy'!$B$5),IF(10='Exit Strategy'!$B$5,'Exit Strategy'!$B$18,0),0),0),0))</f>
        <v>#VALUE!</v>
      </c>
      <c r="N76" s="519" t="e">
        <f aca="false">MAX(K76-L48-L49,0)</f>
        <v>#VALUE!</v>
      </c>
    </row>
    <row r="77" customFormat="false" ht="18" hidden="false" customHeight="true" outlineLevel="0" collapsed="false">
      <c r="A77" s="647" t="s">
        <v>2011</v>
      </c>
      <c r="B77" s="648" t="s">
        <v>46</v>
      </c>
      <c r="C77" s="20" t="n">
        <f aca="false">IF($B$23="Return of Capital",IF(ISNUMBER('Exit Strategy'!$B$5),IF(1='Exit Strategy'!$B$5,'Exit Strategy'!$B$18,0),0),0)</f>
        <v>0</v>
      </c>
      <c r="D77" s="20" t="n">
        <f aca="false">IF($B$23="Return of Capital",IF(ISNUMBER('Exit Strategy'!$B$5),IF(2='Exit Strategy'!$B$5,'Exit Strategy'!$B$18,0),0),0)</f>
        <v>0</v>
      </c>
      <c r="E77" s="20" t="n">
        <f aca="false">IF($B$23="Return of Capital",IF(ISNUMBER('Exit Strategy'!$B$5),IF(3='Exit Strategy'!$B$5,'Exit Strategy'!$B$18,0),0),0)</f>
        <v>0</v>
      </c>
      <c r="F77" s="20" t="n">
        <f aca="false">IF($B$23="Return of Capital",IF(ISNUMBER('Exit Strategy'!$B$5),IF(4='Exit Strategy'!$B$5,'Exit Strategy'!$B$18,0),0),0)</f>
        <v>0</v>
      </c>
      <c r="G77" s="20" t="n">
        <f aca="false">IF($B$23="Return of Capital",IF(ISNUMBER('Exit Strategy'!$B$5),IF(5='Exit Strategy'!$B$5,'Exit Strategy'!$B$18,0),0),0)</f>
        <v>0</v>
      </c>
      <c r="H77" s="20" t="n">
        <f aca="false">IF($B$23="Return of Capital",IF(ISNUMBER('Exit Strategy'!$B$5),IF(6='Exit Strategy'!$B$5,'Exit Strategy'!$B$18,0),0),0)</f>
        <v>0</v>
      </c>
      <c r="I77" s="20" t="n">
        <f aca="false">IF($B$23="Return of Capital",IF(ISNUMBER('Exit Strategy'!$B$5),IF(7='Exit Strategy'!$B$5,'Exit Strategy'!$B$18,0),0),0)</f>
        <v>0</v>
      </c>
      <c r="J77" s="20" t="n">
        <f aca="false">IF($B$23="Return of Capital",IF(ISNUMBER('Exit Strategy'!$B$5),IF(8='Exit Strategy'!$B$5,'Exit Strategy'!$B$18,0),0),0)</f>
        <v>0</v>
      </c>
      <c r="K77" s="20" t="n">
        <f aca="false">IF($B$23="Return of Capital",IF(ISNUMBER('Exit Strategy'!$B$5),IF(9='Exit Strategy'!$B$5,'Exit Strategy'!$B$18,0),0),0)</f>
        <v>0</v>
      </c>
      <c r="L77" s="20" t="n">
        <f aca="false">IF($B$23="Return of Capital",IF(ISNUMBER('Exit Strategy'!$B$5),IF(10='Exit Strategy'!$B$5,'Exit Strategy'!$B$18,0),0),0)</f>
        <v>0</v>
      </c>
      <c r="N77" s="289" t="e">
        <f aca="false">L48+L49</f>
        <v>#VALUE!</v>
      </c>
    </row>
    <row r="78" customFormat="false" ht="18" hidden="false" customHeight="true" outlineLevel="0" collapsed="false">
      <c r="A78" s="649" t="s">
        <v>2012</v>
      </c>
      <c r="B78" s="188" t="e">
        <f aca="false">B76</f>
        <v>#VALUE!</v>
      </c>
      <c r="C78" s="188" t="e">
        <f aca="false">C76</f>
        <v>#VALUE!</v>
      </c>
      <c r="D78" s="188" t="e">
        <f aca="false">D76</f>
        <v>#VALUE!</v>
      </c>
      <c r="E78" s="188" t="e">
        <f aca="false">E76</f>
        <v>#VALUE!</v>
      </c>
      <c r="F78" s="188" t="e">
        <f aca="false">F76</f>
        <v>#VALUE!</v>
      </c>
      <c r="G78" s="188" t="e">
        <f aca="false">G76</f>
        <v>#VALUE!</v>
      </c>
      <c r="H78" s="188" t="e">
        <f aca="false">H76</f>
        <v>#VALUE!</v>
      </c>
      <c r="I78" s="188" t="e">
        <f aca="false">I76</f>
        <v>#VALUE!</v>
      </c>
      <c r="J78" s="188" t="e">
        <f aca="false">J76</f>
        <v>#VALUE!</v>
      </c>
      <c r="K78" s="188" t="e">
        <f aca="false">K76</f>
        <v>#VALUE!</v>
      </c>
      <c r="L78" s="188" t="e">
        <f aca="false">L76</f>
        <v>#VALUE!</v>
      </c>
      <c r="M78" s="188" t="n">
        <f aca="false">M76</f>
        <v>0</v>
      </c>
    </row>
    <row r="80" customFormat="false" ht="27.75" hidden="false" customHeight="true" outlineLevel="0" collapsed="false">
      <c r="A80" s="93" t="s">
        <v>2013</v>
      </c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3"/>
      <c r="N80" s="93"/>
    </row>
    <row r="82" customFormat="false" ht="21.75" hidden="false" customHeight="true" outlineLevel="0" collapsed="false">
      <c r="A82" s="650" t="s">
        <v>2014</v>
      </c>
      <c r="B82" s="650"/>
      <c r="C82" s="650"/>
      <c r="D82" s="650"/>
      <c r="E82" s="650"/>
      <c r="F82" s="650"/>
      <c r="G82" s="650"/>
      <c r="H82" s="650"/>
      <c r="I82" s="650"/>
      <c r="J82" s="650"/>
      <c r="K82" s="650"/>
      <c r="L82" s="650"/>
      <c r="M82" s="650"/>
    </row>
    <row r="83" customFormat="false" ht="15.75" hidden="false" customHeight="true" outlineLevel="0" collapsed="false">
      <c r="A83" s="43" t="s">
        <v>2015</v>
      </c>
      <c r="B83" s="42" t="s">
        <v>1996</v>
      </c>
      <c r="C83" s="42" t="s">
        <v>1997</v>
      </c>
      <c r="D83" s="42" t="s">
        <v>1998</v>
      </c>
      <c r="E83" s="42" t="s">
        <v>1999</v>
      </c>
      <c r="F83" s="42" t="s">
        <v>2000</v>
      </c>
      <c r="G83" s="42" t="s">
        <v>2001</v>
      </c>
      <c r="H83" s="42" t="s">
        <v>2002</v>
      </c>
      <c r="I83" s="42" t="s">
        <v>2003</v>
      </c>
      <c r="J83" s="42" t="s">
        <v>2004</v>
      </c>
      <c r="K83" s="42" t="s">
        <v>2005</v>
      </c>
      <c r="L83" s="42" t="s">
        <v>2006</v>
      </c>
      <c r="M83" s="42" t="s">
        <v>2016</v>
      </c>
    </row>
    <row r="84" customFormat="false" ht="18" hidden="false" customHeight="true" outlineLevel="0" collapsed="false">
      <c r="A84" s="651" t="s">
        <v>250</v>
      </c>
      <c r="B84" s="652" t="str">
        <f aca="false">Scenarios!F16</f>
        <v/>
      </c>
      <c r="C84" s="653" t="n">
        <v>0</v>
      </c>
      <c r="D84" s="653" t="n">
        <v>0</v>
      </c>
      <c r="E84" s="653" t="n">
        <v>0</v>
      </c>
      <c r="F84" s="653" t="n">
        <v>0</v>
      </c>
      <c r="G84" s="653" t="n">
        <v>0</v>
      </c>
      <c r="H84" s="653" t="n">
        <v>0</v>
      </c>
      <c r="I84" s="653" t="n">
        <v>0</v>
      </c>
      <c r="J84" s="653" t="n">
        <v>0</v>
      </c>
      <c r="K84" s="653" t="n">
        <v>0</v>
      </c>
      <c r="L84" s="653" t="n">
        <v>0</v>
      </c>
      <c r="M84" s="654" t="str">
        <f aca="false">Scenarios!F16</f>
        <v/>
      </c>
    </row>
    <row r="85" customFormat="false" ht="18" hidden="false" customHeight="true" outlineLevel="0" collapsed="false">
      <c r="A85" s="651" t="s">
        <v>251</v>
      </c>
      <c r="B85" s="652" t="n">
        <f aca="false">IF(1&gt;$B$5,0,IFERROR('P&amp;L'!D53,0))</f>
        <v>0</v>
      </c>
      <c r="C85" s="652" t="n">
        <f aca="false">IF(2&gt;$B$5,0,IFERROR('P&amp;L'!E53,0))</f>
        <v>0</v>
      </c>
      <c r="D85" s="652" t="n">
        <f aca="false">IF(3&gt;$B$5,0,IFERROR('P&amp;L'!F53,0))</f>
        <v>0</v>
      </c>
      <c r="E85" s="652" t="n">
        <f aca="false">IF(4&gt;$B$5,0,IFERROR('P&amp;L'!G53,0))</f>
        <v>0</v>
      </c>
      <c r="F85" s="652" t="n">
        <f aca="false">IF(5&gt;$B$5,0,IFERROR('P&amp;L'!H53,0))</f>
        <v>0</v>
      </c>
      <c r="G85" s="652" t="n">
        <f aca="false">IF(6&gt;$B$5,0,IFERROR('P&amp;L'!I53,0))</f>
        <v>0</v>
      </c>
      <c r="H85" s="652" t="n">
        <f aca="false">IF(7&gt;$B$5,0,IFERROR('P&amp;L'!J53,0))</f>
        <v>0</v>
      </c>
      <c r="I85" s="652" t="n">
        <f aca="false">IF(8&gt;$B$5,0,IFERROR('P&amp;L'!K53,0))</f>
        <v>0</v>
      </c>
      <c r="J85" s="652" t="n">
        <f aca="false">IF(9&gt;$B$5,0,IFERROR('P&amp;L'!L53,0))</f>
        <v>0</v>
      </c>
      <c r="K85" s="652" t="n">
        <f aca="false">IF(10&gt;$B$5,0,IFERROR('P&amp;L'!M53,0))</f>
        <v>0</v>
      </c>
      <c r="L85" s="653" t="n">
        <v>0</v>
      </c>
      <c r="M85" s="655" t="n">
        <f aca="false">SUM(B85:L85)</f>
        <v>0</v>
      </c>
    </row>
    <row r="86" customFormat="false" ht="18" hidden="false" customHeight="true" outlineLevel="0" collapsed="false">
      <c r="A86" s="651" t="s">
        <v>2017</v>
      </c>
      <c r="B86" s="656" t="e">
        <f aca="false">B46</f>
        <v>#VALUE!</v>
      </c>
      <c r="C86" s="656" t="e">
        <f aca="false">C46</f>
        <v>#VALUE!</v>
      </c>
      <c r="D86" s="656" t="e">
        <f aca="false">D46</f>
        <v>#VALUE!</v>
      </c>
      <c r="E86" s="656" t="e">
        <f aca="false">E46</f>
        <v>#VALUE!</v>
      </c>
      <c r="F86" s="656" t="e">
        <f aca="false">F46</f>
        <v>#VALUE!</v>
      </c>
      <c r="G86" s="656" t="e">
        <f aca="false">G46</f>
        <v>#VALUE!</v>
      </c>
      <c r="H86" s="656" t="e">
        <f aca="false">H46</f>
        <v>#VALUE!</v>
      </c>
      <c r="I86" s="656" t="e">
        <f aca="false">I46</f>
        <v>#VALUE!</v>
      </c>
      <c r="J86" s="656" t="e">
        <f aca="false">J46</f>
        <v>#VALUE!</v>
      </c>
      <c r="K86" s="656" t="e">
        <f aca="false">K46</f>
        <v>#VALUE!</v>
      </c>
      <c r="L86" s="656" t="e">
        <f aca="false">L46</f>
        <v>#VALUE!</v>
      </c>
      <c r="M86" s="655" t="e">
        <f aca="false">SUM(B86:L86)</f>
        <v>#VALUE!</v>
      </c>
    </row>
    <row r="87" customFormat="false" ht="18" hidden="false" customHeight="true" outlineLevel="0" collapsed="false">
      <c r="A87" s="651" t="s">
        <v>252</v>
      </c>
      <c r="B87" s="653" t="n">
        <v>0</v>
      </c>
      <c r="C87" s="653" t="n">
        <v>0</v>
      </c>
      <c r="D87" s="653" t="n">
        <v>0</v>
      </c>
      <c r="E87" s="653" t="n">
        <v>0</v>
      </c>
      <c r="F87" s="653" t="n">
        <v>0</v>
      </c>
      <c r="G87" s="653" t="n">
        <v>0</v>
      </c>
      <c r="H87" s="653" t="n">
        <v>0</v>
      </c>
      <c r="I87" s="653" t="n">
        <v>0</v>
      </c>
      <c r="J87" s="653" t="n">
        <v>0</v>
      </c>
      <c r="K87" s="653" t="n">
        <v>0</v>
      </c>
      <c r="L87" s="652" t="str">
        <f aca="false">'Exit Strategy'!E20</f>
        <v>Net Proceeds/Profit Paid to Manager</v>
      </c>
      <c r="M87" s="654" t="str">
        <f aca="false">'Exit Strategy'!E20</f>
        <v>Net Proceeds/Profit Paid to Manager</v>
      </c>
    </row>
    <row r="88" customFormat="false" ht="18" hidden="false" customHeight="true" outlineLevel="0" collapsed="false">
      <c r="A88" s="651" t="s">
        <v>253</v>
      </c>
      <c r="B88" s="653" t="n">
        <v>0</v>
      </c>
      <c r="C88" s="653" t="n">
        <v>0</v>
      </c>
      <c r="D88" s="653" t="n">
        <v>0</v>
      </c>
      <c r="E88" s="653" t="n">
        <v>0</v>
      </c>
      <c r="F88" s="653" t="n">
        <v>0</v>
      </c>
      <c r="G88" s="653" t="n">
        <v>0</v>
      </c>
      <c r="H88" s="653" t="n">
        <v>0</v>
      </c>
      <c r="I88" s="653" t="n">
        <v>0</v>
      </c>
      <c r="J88" s="653" t="n">
        <v>0</v>
      </c>
      <c r="K88" s="653" t="n">
        <v>0</v>
      </c>
      <c r="L88" s="656" t="e">
        <f aca="false">L50</f>
        <v>#VALUE!</v>
      </c>
      <c r="M88" s="655" t="e">
        <f aca="false">L50</f>
        <v>#VALUE!</v>
      </c>
    </row>
    <row r="89" customFormat="false" ht="18" hidden="false" customHeight="true" outlineLevel="0" collapsed="false">
      <c r="A89" s="657" t="s">
        <v>2018</v>
      </c>
      <c r="B89" s="658" t="e">
        <f aca="false">B84+B85+B86+B87+B88</f>
        <v>#VALUE!</v>
      </c>
      <c r="C89" s="658" t="e">
        <f aca="false">C84+C85+C86+C87+C88</f>
        <v>#VALUE!</v>
      </c>
      <c r="D89" s="658" t="e">
        <f aca="false">D84+D85+D86+D87+D88</f>
        <v>#VALUE!</v>
      </c>
      <c r="E89" s="658" t="e">
        <f aca="false">E84+E85+E86+E87+E88</f>
        <v>#VALUE!</v>
      </c>
      <c r="F89" s="658" t="e">
        <f aca="false">F84+F85+F86+F87+F88</f>
        <v>#VALUE!</v>
      </c>
      <c r="G89" s="658" t="e">
        <f aca="false">G84+G85+G86+G87+G88</f>
        <v>#VALUE!</v>
      </c>
      <c r="H89" s="658" t="e">
        <f aca="false">H84+H85+H86+H87+H88</f>
        <v>#VALUE!</v>
      </c>
      <c r="I89" s="658" t="e">
        <f aca="false">I84+I85+I86+I87+I88</f>
        <v>#VALUE!</v>
      </c>
      <c r="J89" s="658" t="e">
        <f aca="false">J84+J85+J86+J87+J88</f>
        <v>#VALUE!</v>
      </c>
      <c r="K89" s="658" t="e">
        <f aca="false">K84+K85+K86+K87+K88</f>
        <v>#VALUE!</v>
      </c>
      <c r="L89" s="658" t="e">
        <f aca="false">L84+L85+L86+L87+L88</f>
        <v>#VALUE!</v>
      </c>
      <c r="M89" s="658" t="e">
        <f aca="false">M84+M85+M86+M87+M88</f>
        <v>#VALUE!</v>
      </c>
    </row>
    <row r="91" customFormat="false" ht="21.75" hidden="false" customHeight="true" outlineLevel="0" collapsed="false">
      <c r="A91" s="659" t="s">
        <v>2019</v>
      </c>
      <c r="B91" s="659"/>
      <c r="C91" s="659"/>
      <c r="D91" s="659"/>
      <c r="E91" s="659"/>
      <c r="M91" s="162"/>
    </row>
    <row r="92" customFormat="false" ht="15.75" hidden="false" customHeight="true" outlineLevel="0" collapsed="false">
      <c r="A92" s="43" t="s">
        <v>1084</v>
      </c>
      <c r="B92" s="42" t="s">
        <v>1968</v>
      </c>
      <c r="C92" s="42" t="s">
        <v>2020</v>
      </c>
      <c r="D92" s="42" t="s">
        <v>55</v>
      </c>
    </row>
    <row r="93" customFormat="false" ht="18" hidden="false" customHeight="true" outlineLevel="0" collapsed="false">
      <c r="A93" s="651" t="s">
        <v>2021</v>
      </c>
      <c r="B93" s="656" t="e">
        <f aca="false">M84+M85+M87</f>
        <v>#VALUE!</v>
      </c>
      <c r="C93" s="660" t="n">
        <f aca="false">IFERROR(B93/M89,0)</f>
        <v>0</v>
      </c>
      <c r="D93" s="661" t="s">
        <v>2022</v>
      </c>
    </row>
    <row r="94" customFormat="false" ht="18" hidden="false" customHeight="true" outlineLevel="0" collapsed="false">
      <c r="A94" s="651" t="s">
        <v>2023</v>
      </c>
      <c r="B94" s="656" t="e">
        <f aca="false">M86</f>
        <v>#VALUE!</v>
      </c>
      <c r="C94" s="660" t="n">
        <f aca="false">IFERROR(B94/M89,0)</f>
        <v>0</v>
      </c>
      <c r="D94" s="661" t="s">
        <v>2024</v>
      </c>
    </row>
    <row r="95" customFormat="false" ht="18" hidden="false" customHeight="true" outlineLevel="0" collapsed="false">
      <c r="A95" s="651" t="s">
        <v>2025</v>
      </c>
      <c r="B95" s="656" t="e">
        <f aca="false">M88</f>
        <v>#VALUE!</v>
      </c>
      <c r="C95" s="660" t="n">
        <f aca="false">IFERROR(B95/M89,0)</f>
        <v>0</v>
      </c>
      <c r="D95" s="661" t="s">
        <v>2026</v>
      </c>
    </row>
    <row r="96" customFormat="false" ht="18" hidden="false" customHeight="true" outlineLevel="0" collapsed="false">
      <c r="A96" s="657" t="s">
        <v>1096</v>
      </c>
      <c r="B96" s="658" t="e">
        <f aca="false">M89</f>
        <v>#VALUE!</v>
      </c>
      <c r="C96" s="662" t="s">
        <v>2027</v>
      </c>
      <c r="D96" s="657" t="s">
        <v>2028</v>
      </c>
    </row>
    <row r="98" customFormat="false" ht="15.75" hidden="false" customHeight="true" outlineLevel="0" collapsed="false">
      <c r="A98" s="93" t="s">
        <v>2029</v>
      </c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</row>
  </sheetData>
  <mergeCells count="31">
    <mergeCell ref="A1:M1"/>
    <mergeCell ref="A2:M2"/>
    <mergeCell ref="A4:M4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C14:M14"/>
    <mergeCell ref="C15:M15"/>
    <mergeCell ref="C16:M16"/>
    <mergeCell ref="C17:M17"/>
    <mergeCell ref="C18:M18"/>
    <mergeCell ref="C19:M19"/>
    <mergeCell ref="C20:M20"/>
    <mergeCell ref="C21:M21"/>
    <mergeCell ref="C22:M22"/>
    <mergeCell ref="A24:M24"/>
    <mergeCell ref="A30:M30"/>
    <mergeCell ref="A37:M37"/>
    <mergeCell ref="A57:M57"/>
    <mergeCell ref="F58:L58"/>
    <mergeCell ref="A70:N70"/>
    <mergeCell ref="A80:N80"/>
    <mergeCell ref="A82:M82"/>
    <mergeCell ref="A91:E91"/>
    <mergeCell ref="A98:M9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B23" activeCellId="0" sqref="B23"/>
    </sheetView>
  </sheetViews>
  <sheetFormatPr defaultColWidth="8.859375" defaultRowHeight="15" customHeight="false" zeroHeight="false" outlineLevelRow="0" outlineLevelCol="3"/>
  <cols>
    <col collapsed="false" customWidth="true" hidden="false" outlineLevel="3" max="1" min="1" style="0" width="42"/>
    <col collapsed="false" customWidth="true" hidden="false" outlineLevel="0" max="2" min="2" style="0" width="13.42"/>
    <col collapsed="false" customWidth="true" hidden="false" outlineLevel="0" max="3" min="3" style="0" width="22.86"/>
    <col collapsed="false" customWidth="true" hidden="false" outlineLevel="0" max="4" min="4" style="0" width="8.15"/>
    <col collapsed="false" customWidth="true" hidden="false" outlineLevel="0" max="5" min="5" style="0" width="42"/>
    <col collapsed="false" customWidth="true" hidden="false" outlineLevel="0" max="6" min="6" style="0" width="13.42"/>
    <col collapsed="false" customWidth="true" hidden="false" outlineLevel="0" max="7" min="7" style="0" width="22.86"/>
  </cols>
  <sheetData>
    <row r="1" customFormat="false" ht="27.75" hidden="false" customHeight="true" outlineLevel="0" collapsed="false">
      <c r="A1" s="663" t="str">
        <f aca="false">IF('Prop Info'!B4="","EXIT STRATEGY — REFINANCE &amp; SALE ANALYSIS","EXIT STRATEGY — REFINANCE &amp; SALE ANALYSIS"&amp;" — "&amp;'Prop Info'!B4)</f>
        <v>EXIT STRATEGY — REFINANCE &amp; SALE ANALYSIS</v>
      </c>
      <c r="B1" s="663"/>
      <c r="C1" s="663"/>
      <c r="D1" s="305"/>
      <c r="E1" s="664"/>
      <c r="F1" s="664"/>
      <c r="G1" s="664"/>
      <c r="H1" s="305"/>
    </row>
    <row r="2" customFormat="false" ht="6" hidden="false" customHeight="true" outlineLevel="0" collapsed="false">
      <c r="D2" s="305"/>
      <c r="H2" s="305"/>
    </row>
    <row r="3" customFormat="false" ht="6" hidden="false" customHeight="true" outlineLevel="0" collapsed="false">
      <c r="D3" s="305"/>
      <c r="H3" s="305"/>
    </row>
    <row r="4" customFormat="false" ht="19.5" hidden="false" customHeight="true" outlineLevel="0" collapsed="false">
      <c r="A4" s="665" t="str">
        <f aca="false">IF(ISNUMBER(C5),"Refi - Year "&amp;C5,"Refinance (set Refi Year below)")</f>
        <v>Refi - Year 3</v>
      </c>
      <c r="B4" s="666"/>
      <c r="C4" s="666"/>
      <c r="D4" s="305"/>
      <c r="E4" s="667" t="str">
        <f aca="false">IF(ISNUMBER(Scenarios!F82),"Sale - Year "&amp;Scenarios!F82,"Sale (set Exit Year in Scenarios)")</f>
        <v>Sale (set Exit Year in Scenarios)</v>
      </c>
      <c r="F4" s="668"/>
      <c r="G4" s="668"/>
      <c r="H4" s="305"/>
    </row>
    <row r="5" customFormat="false" ht="15.75" hidden="false" customHeight="true" outlineLevel="0" collapsed="false">
      <c r="A5" s="669" t="s">
        <v>276</v>
      </c>
      <c r="B5" s="670"/>
      <c r="C5" s="671" t="n">
        <v>3</v>
      </c>
      <c r="D5" s="305"/>
      <c r="E5" s="672" t="s">
        <v>2030</v>
      </c>
      <c r="F5" s="673"/>
      <c r="G5" s="674" t="n">
        <f aca="false" t="array" ref="G5:G5">IFERROR(INDEX('P&amp;L'!D40:M40,1,Scenarios!F82),0)</f>
        <v>0</v>
      </c>
      <c r="H5" s="305"/>
    </row>
    <row r="6" customFormat="false" ht="15.75" hidden="false" customHeight="true" outlineLevel="0" collapsed="false">
      <c r="A6" s="675" t="s">
        <v>2030</v>
      </c>
      <c r="B6" s="676"/>
      <c r="C6" s="677" t="n">
        <f aca="false" t="array" ref="C6:C6">IFERROR(IF(ISNUMBER(C5),INDEX('P&amp;L'!D40:M40,1,C5),0),0)</f>
        <v>0</v>
      </c>
      <c r="D6" s="305"/>
      <c r="E6" s="678" t="s">
        <v>2031</v>
      </c>
      <c r="F6" s="679"/>
      <c r="G6" s="680" t="str">
        <f aca="false">Waterfall!B6</f>
        <v/>
      </c>
      <c r="H6" s="305"/>
    </row>
    <row r="7" customFormat="false" ht="15.75" hidden="false" customHeight="true" outlineLevel="0" collapsed="false">
      <c r="A7" s="675" t="s">
        <v>2032</v>
      </c>
      <c r="B7" s="676"/>
      <c r="C7" s="681" t="n">
        <v>0.06</v>
      </c>
      <c r="D7" s="305"/>
      <c r="E7" s="682" t="s">
        <v>2033</v>
      </c>
      <c r="F7" s="676"/>
      <c r="G7" s="683" t="n">
        <v>0</v>
      </c>
      <c r="H7" s="305"/>
    </row>
    <row r="8" customFormat="false" ht="15.75" hidden="false" customHeight="true" outlineLevel="0" collapsed="false">
      <c r="A8" s="675" t="s">
        <v>2034</v>
      </c>
      <c r="B8" s="676"/>
      <c r="C8" s="684" t="n">
        <f aca="false">IFERROR(C6/C7,0)</f>
        <v>0</v>
      </c>
      <c r="D8" s="305"/>
      <c r="E8" s="685" t="s">
        <v>2035</v>
      </c>
      <c r="F8" s="686"/>
      <c r="G8" s="687" t="n">
        <v>0</v>
      </c>
      <c r="H8" s="305"/>
    </row>
    <row r="9" customFormat="false" ht="15.75" hidden="false" customHeight="true" outlineLevel="0" collapsed="false">
      <c r="A9" s="675" t="s">
        <v>2036</v>
      </c>
      <c r="B9" s="676"/>
      <c r="C9" s="681" t="n">
        <v>0.75</v>
      </c>
      <c r="D9" s="305"/>
      <c r="E9" s="688" t="s">
        <v>2037</v>
      </c>
      <c r="F9" s="689"/>
      <c r="G9" s="690" t="n">
        <f aca="false">IFERROR(G5/G6,0)</f>
        <v>0</v>
      </c>
      <c r="H9" s="305"/>
    </row>
    <row r="10" customFormat="false" ht="15.75" hidden="false" customHeight="true" outlineLevel="0" collapsed="false">
      <c r="A10" s="675" t="s">
        <v>1666</v>
      </c>
      <c r="B10" s="676"/>
      <c r="C10" s="681" t="n">
        <v>0.07</v>
      </c>
      <c r="D10" s="305"/>
      <c r="E10" s="691" t="s">
        <v>2038</v>
      </c>
      <c r="F10" s="692" t="n">
        <v>0.03</v>
      </c>
      <c r="G10" s="693" t="n">
        <f aca="false">-G9*F10</f>
        <v>-0</v>
      </c>
      <c r="H10" s="305"/>
    </row>
    <row r="11" customFormat="false" ht="15.75" hidden="false" customHeight="true" outlineLevel="0" collapsed="false">
      <c r="A11" s="675" t="s">
        <v>2039</v>
      </c>
      <c r="B11" s="676"/>
      <c r="C11" s="694" t="n">
        <v>30</v>
      </c>
      <c r="D11" s="305"/>
      <c r="E11" s="685" t="s">
        <v>2040</v>
      </c>
      <c r="F11" s="686"/>
      <c r="G11" s="695" t="n">
        <f aca="false">-IFERROR(IF(ISNUMBER(C5),C12-CUMPRINC(C10/12,C11*12,C12,1,MAX((Scenarios!F82-C5)*12,1),0),Scenarios!F116),0)</f>
        <v>-0</v>
      </c>
      <c r="H11" s="305"/>
    </row>
    <row r="12" customFormat="false" ht="15.75" hidden="false" customHeight="true" outlineLevel="0" collapsed="false">
      <c r="A12" s="696" t="s">
        <v>2041</v>
      </c>
      <c r="B12" s="697"/>
      <c r="C12" s="698" t="n">
        <f aca="false">IFERROR(C8*C9,0)</f>
        <v>0</v>
      </c>
      <c r="D12" s="305"/>
      <c r="E12" s="699" t="s">
        <v>2042</v>
      </c>
      <c r="F12" s="700"/>
      <c r="G12" s="701" t="n">
        <f aca="false">G9+G10+G11+G7+G8</f>
        <v>0</v>
      </c>
      <c r="H12" s="305"/>
    </row>
    <row r="13" customFormat="false" ht="15.75" hidden="false" customHeight="true" outlineLevel="0" collapsed="false">
      <c r="A13" s="675" t="s">
        <v>2043</v>
      </c>
      <c r="B13" s="681" t="n">
        <v>0.02</v>
      </c>
      <c r="C13" s="677" t="n">
        <f aca="false">-C12*B13</f>
        <v>-0</v>
      </c>
      <c r="D13" s="305"/>
      <c r="E13" s="691" t="s">
        <v>2044</v>
      </c>
      <c r="F13" s="702"/>
      <c r="G13" s="693" t="e">
        <f aca="false">Scenarios!F33+Scenarios!F34</f>
        <v>#VALUE!</v>
      </c>
      <c r="H13" s="305"/>
    </row>
    <row r="14" customFormat="false" ht="15.75" hidden="false" customHeight="true" outlineLevel="0" collapsed="false">
      <c r="A14" s="675" t="s">
        <v>2045</v>
      </c>
      <c r="B14" s="676"/>
      <c r="C14" s="683" t="n">
        <v>0</v>
      </c>
      <c r="D14" s="305"/>
      <c r="E14" s="685" t="s">
        <v>2046</v>
      </c>
      <c r="F14" s="686"/>
      <c r="G14" s="695" t="n">
        <f aca="false">IFERROR(MAX((Waterfall!M39+Waterfall!M41)-0,0),0)</f>
        <v>0</v>
      </c>
      <c r="H14" s="305"/>
    </row>
    <row r="15" customFormat="false" ht="15.75" hidden="false" customHeight="true" outlineLevel="0" collapsed="false">
      <c r="A15" s="703" t="s">
        <v>2047</v>
      </c>
      <c r="B15" s="686"/>
      <c r="C15" s="695" t="n">
        <f aca="false">IFERROR(-(IF(ISNUMBER(C5),Scenarios!F88-CUMPRINC(Scenarios!F89/12,Scenarios!F90*12,Scenarios!F88,1,C5*12,0)+IF(Scenarios!F95=0,0,Scenarios!F95-CUMPRINC(Scenarios!F96/12,Scenarios!F97*12,Scenarios!F95,1,C5*12,0))+IF(Scenarios!F102=0,0,Scenarios!F102-CUMPRINC(Scenarios!F103/12,Scenarios!F104*12,Scenarios!F102,1,C5*12,0)),0)),0)</f>
        <v>0</v>
      </c>
      <c r="D15" s="305"/>
      <c r="E15" s="688" t="s">
        <v>2048</v>
      </c>
      <c r="F15" s="689"/>
      <c r="G15" s="690" t="e">
        <f aca="false">G12-G13-G14</f>
        <v>#VALUE!</v>
      </c>
      <c r="H15" s="305"/>
    </row>
    <row r="16" customFormat="false" ht="15.75" hidden="false" customHeight="true" outlineLevel="0" collapsed="false">
      <c r="A16" s="704" t="s">
        <v>2049</v>
      </c>
      <c r="B16" s="705"/>
      <c r="C16" s="706" t="n">
        <f aca="false">IFERROR(C12+C13+C14+C15,0)</f>
        <v>0</v>
      </c>
      <c r="D16" s="305"/>
      <c r="E16" s="707" t="s">
        <v>2050</v>
      </c>
      <c r="F16" s="702"/>
      <c r="G16" s="708" t="n">
        <f aca="false">IFERROR((Scenarios!F88+Scenarios!F95+Scenarios!F102)+G11,0)</f>
        <v>0</v>
      </c>
      <c r="H16" s="305"/>
    </row>
    <row r="17" customFormat="false" ht="15.75" hidden="false" customHeight="true" outlineLevel="0" collapsed="false">
      <c r="A17" s="709" t="s">
        <v>2044</v>
      </c>
      <c r="B17" s="702"/>
      <c r="C17" s="693" t="n">
        <f aca="false">IFERROR(MIN(C16,Scenarios!$F$33+Scenarios!$F$34),0)</f>
        <v>0</v>
      </c>
      <c r="D17" s="305"/>
      <c r="E17" s="710" t="s">
        <v>2051</v>
      </c>
      <c r="F17" s="676"/>
      <c r="G17" s="711" t="e">
        <f aca="false">G15-G16</f>
        <v>#VALUE!</v>
      </c>
      <c r="H17" s="305"/>
    </row>
    <row r="18" customFormat="false" ht="15.75" hidden="false" customHeight="true" outlineLevel="0" collapsed="false">
      <c r="A18" s="696" t="s">
        <v>2052</v>
      </c>
      <c r="B18" s="696"/>
      <c r="C18" s="712" t="n">
        <f aca="false">IFERROR(MAX(Scenarios!$F$33+Scenarios!$F$34-C17,0),0)</f>
        <v>0</v>
      </c>
      <c r="D18" s="305"/>
      <c r="E18" s="682" t="s">
        <v>2053</v>
      </c>
      <c r="F18" s="681" t="n">
        <v>0.01</v>
      </c>
      <c r="G18" s="677" t="n">
        <f aca="false">G9*F18</f>
        <v>0</v>
      </c>
      <c r="H18" s="305"/>
    </row>
    <row r="19" customFormat="false" ht="15.75" hidden="false" customHeight="true" outlineLevel="0" collapsed="false">
      <c r="A19" s="703" t="s">
        <v>2054</v>
      </c>
      <c r="B19" s="703"/>
      <c r="C19" s="713" t="n">
        <f aca="false">IFERROR(C17/(Scenarios!$F$33+Scenarios!$F$34),0)</f>
        <v>0</v>
      </c>
      <c r="D19" s="305"/>
      <c r="E19" s="682" t="s">
        <v>2055</v>
      </c>
      <c r="F19" s="714" t="e">
        <f aca="false">1-Scenarios!F36</f>
        <v>#VALUE!</v>
      </c>
      <c r="G19" s="677" t="e">
        <f aca="false">(G15-G18)*(1-Scenarios!F36)</f>
        <v>#VALUE!</v>
      </c>
      <c r="H19" s="305"/>
    </row>
    <row r="20" customFormat="false" ht="15.75" hidden="false" customHeight="true" outlineLevel="0" collapsed="false">
      <c r="A20" s="715" t="s">
        <v>2056</v>
      </c>
      <c r="B20" s="716"/>
      <c r="C20" s="717" t="n">
        <f aca="false">IFERROR(C16-C17,0)</f>
        <v>0</v>
      </c>
      <c r="D20" s="305"/>
      <c r="E20" s="685" t="s">
        <v>2057</v>
      </c>
      <c r="F20" s="713" t="str">
        <f aca="false">Scenarios!F36</f>
        <v/>
      </c>
      <c r="G20" s="695" t="e">
        <f aca="false">(G15-G18)*Scenarios!F36</f>
        <v>#VALUE!</v>
      </c>
      <c r="H20" s="305"/>
    </row>
    <row r="21" customFormat="false" ht="19.5" hidden="false" customHeight="true" outlineLevel="0" collapsed="false">
      <c r="A21" s="718" t="s">
        <v>2050</v>
      </c>
      <c r="B21" s="702"/>
      <c r="C21" s="708" t="n">
        <f aca="false">IFERROR((Scenarios!F88+Scenarios!F95+Scenarios!F102)+C15,0)</f>
        <v>0</v>
      </c>
      <c r="D21" s="305"/>
      <c r="E21" s="719" t="s">
        <v>2058</v>
      </c>
      <c r="F21" s="719"/>
      <c r="G21" s="720" t="e">
        <f aca="false">G13+G19</f>
        <v>#VALUE!</v>
      </c>
      <c r="H21" s="305"/>
    </row>
    <row r="22" customFormat="false" ht="15.75" hidden="false" customHeight="true" outlineLevel="0" collapsed="false">
      <c r="A22" s="721" t="s">
        <v>2051</v>
      </c>
      <c r="B22" s="676"/>
      <c r="C22" s="711" t="n">
        <f aca="false">IFERROR(MAX(C20-C21,0),0)</f>
        <v>0</v>
      </c>
      <c r="D22" s="305"/>
      <c r="H22" s="305"/>
    </row>
    <row r="23" customFormat="false" ht="21.75" hidden="false" customHeight="true" outlineLevel="0" collapsed="false">
      <c r="A23" s="675" t="s">
        <v>2053</v>
      </c>
      <c r="B23" s="681" t="n">
        <v>0.01</v>
      </c>
      <c r="C23" s="677" t="n">
        <f aca="false">C8*B23</f>
        <v>0</v>
      </c>
      <c r="D23" s="305"/>
      <c r="E23" s="722" t="s">
        <v>2059</v>
      </c>
      <c r="F23" s="722"/>
      <c r="G23" s="722"/>
      <c r="H23" s="305"/>
    </row>
    <row r="24" customFormat="false" ht="15.75" hidden="false" customHeight="true" outlineLevel="0" collapsed="false">
      <c r="A24" s="675" t="s">
        <v>2055</v>
      </c>
      <c r="B24" s="714" t="e">
        <f aca="false">1-Scenarios!F36</f>
        <v>#VALUE!</v>
      </c>
      <c r="C24" s="677" t="e">
        <f aca="false">(C20-C23)*(1-Scenarios!F36)</f>
        <v>#VALUE!</v>
      </c>
      <c r="D24" s="305"/>
      <c r="E24" s="723" t="s">
        <v>2060</v>
      </c>
      <c r="G24" s="724" t="e">
        <f aca="false">G19</f>
        <v>#VALUE!</v>
      </c>
      <c r="H24" s="305"/>
    </row>
    <row r="25" customFormat="false" ht="15.75" hidden="false" customHeight="true" outlineLevel="0" collapsed="false">
      <c r="A25" s="703" t="s">
        <v>2057</v>
      </c>
      <c r="B25" s="713" t="str">
        <f aca="false">Scenarios!F36</f>
        <v/>
      </c>
      <c r="C25" s="695" t="e">
        <f aca="false">(C20-C23)*Scenarios!F36</f>
        <v>#VALUE!</v>
      </c>
      <c r="D25" s="305"/>
      <c r="E25" s="688" t="s">
        <v>2061</v>
      </c>
      <c r="F25" s="725"/>
      <c r="G25" s="690" t="e">
        <f aca="false">G21</f>
        <v>#VALUE!</v>
      </c>
      <c r="H25" s="305"/>
    </row>
    <row r="26" customFormat="false" ht="15.75" hidden="false" customHeight="true" outlineLevel="0" collapsed="false">
      <c r="A26" s="726" t="s">
        <v>2062</v>
      </c>
      <c r="B26" s="726"/>
      <c r="C26" s="727" t="e">
        <f aca="false">C17+C24</f>
        <v>#VALUE!</v>
      </c>
      <c r="D26" s="305"/>
      <c r="E26" s="691" t="s">
        <v>2063</v>
      </c>
      <c r="F26" s="691"/>
      <c r="G26" s="728" t="n">
        <f aca="false">'XIRR Analysis'!$H$54</f>
        <v>0</v>
      </c>
      <c r="H26" s="305"/>
    </row>
    <row r="27" customFormat="false" ht="15.75" hidden="false" customHeight="true" outlineLevel="0" collapsed="false">
      <c r="A27" s="729" t="s">
        <v>2064</v>
      </c>
      <c r="B27" s="730"/>
      <c r="C27" s="731" t="n">
        <f aca="false">IFERROR(MAX(Scenarios!$F$33+Scenarios!$F$34-C26,0),0)</f>
        <v>0</v>
      </c>
      <c r="D27" s="305"/>
      <c r="E27" s="732" t="s">
        <v>2065</v>
      </c>
      <c r="F27" s="732"/>
      <c r="G27" s="733" t="n">
        <f aca="false">'LP Return Illustration'!B30</f>
        <v>0</v>
      </c>
      <c r="H27" s="305"/>
    </row>
    <row r="28" customFormat="false" ht="15.75" hidden="false" customHeight="true" outlineLevel="0" collapsed="false">
      <c r="A28" s="734" t="s">
        <v>2066</v>
      </c>
      <c r="B28" s="735"/>
      <c r="C28" s="736" t="n">
        <v>12</v>
      </c>
      <c r="D28" s="305"/>
      <c r="H28" s="305"/>
    </row>
    <row r="29" customFormat="false" ht="15" hidden="false" customHeight="true" outlineLevel="0" collapsed="false">
      <c r="D29" s="305"/>
      <c r="H29" s="305"/>
    </row>
    <row r="30" customFormat="false" ht="15" hidden="false" customHeight="true" outlineLevel="0" collapsed="false">
      <c r="D30" s="305"/>
      <c r="H30" s="305"/>
    </row>
    <row r="31" customFormat="false" ht="15.75" hidden="false" customHeight="true" outlineLevel="0" collapsed="false">
      <c r="D31" s="305"/>
      <c r="H31" s="305"/>
    </row>
    <row r="32" customFormat="false" ht="15.75" hidden="false" customHeight="true" outlineLevel="0" collapsed="false">
      <c r="A32" s="737" t="s">
        <v>2067</v>
      </c>
      <c r="B32" s="738"/>
      <c r="C32" s="738"/>
      <c r="D32" s="739"/>
      <c r="E32" s="738"/>
      <c r="F32" s="738"/>
      <c r="G32" s="738"/>
      <c r="H32" s="305"/>
    </row>
    <row r="33" customFormat="false" ht="15" hidden="false" customHeight="true" outlineLevel="0" collapsed="false">
      <c r="A33" s="113" t="s">
        <v>2068</v>
      </c>
      <c r="B33" s="113"/>
      <c r="C33" s="113"/>
      <c r="D33" s="149"/>
      <c r="E33" s="113"/>
      <c r="F33" s="113"/>
      <c r="G33" s="113"/>
      <c r="H33" s="305"/>
    </row>
    <row r="34" customFormat="false" ht="15.75" hidden="false" customHeight="true" outlineLevel="0" collapsed="false">
      <c r="D34" s="305"/>
      <c r="F34" s="740" t="s">
        <v>41</v>
      </c>
      <c r="H34" s="305"/>
    </row>
    <row r="35" customFormat="false" ht="42" hidden="false" customHeight="true" outlineLevel="0" collapsed="false">
      <c r="A35" s="741" t="s">
        <v>2069</v>
      </c>
      <c r="B35" s="742" t="s">
        <v>2070</v>
      </c>
      <c r="C35" s="743" t="s">
        <v>2071</v>
      </c>
      <c r="D35" s="744" t="s">
        <v>2072</v>
      </c>
      <c r="E35" s="745" t="s">
        <v>2073</v>
      </c>
      <c r="F35" s="742" t="s">
        <v>2074</v>
      </c>
      <c r="G35" s="743" t="s">
        <v>55</v>
      </c>
      <c r="H35" s="746" t="s">
        <v>2075</v>
      </c>
    </row>
    <row r="36" customFormat="false" ht="15" hidden="false" customHeight="true" outlineLevel="0" collapsed="false">
      <c r="A36" s="747" t="s">
        <v>283</v>
      </c>
      <c r="B36" s="748" t="n">
        <v>0.075</v>
      </c>
      <c r="C36" s="749" t="n">
        <v>1.3</v>
      </c>
      <c r="D36" s="750" t="n">
        <v>0.8</v>
      </c>
      <c r="E36" s="751" t="n">
        <v>0.06</v>
      </c>
      <c r="F36" s="752" t="str">
        <f aca="false" t="array" ref="F36:F36">IFERROR("Y"&amp;MATCH(TRUE(),IF(ISNUMBER('P&amp;L'!C40:L40),IF('P&amp;L'!C40:L40&gt;0,IF(E36&gt;0,'P&amp;L'!C40:L40/(-PMT(E36/12,H36*12,-('P&amp;L'!C40:L40/B36))*12)&gt;=C36,FALSE()),FALSE()),FALSE()),0),"⚠ not in 10y")</f>
        <v>⚠ not in 10y</v>
      </c>
      <c r="G36" s="753" t="s">
        <v>2076</v>
      </c>
      <c r="H36" s="754" t="n">
        <v>30</v>
      </c>
    </row>
    <row r="37" customFormat="false" ht="15" hidden="false" customHeight="true" outlineLevel="0" collapsed="false">
      <c r="A37" s="755" t="s">
        <v>284</v>
      </c>
      <c r="B37" s="756" t="n">
        <v>0.075</v>
      </c>
      <c r="C37" s="757" t="n">
        <v>1.3</v>
      </c>
      <c r="D37" s="750" t="n">
        <v>0.8</v>
      </c>
      <c r="E37" s="758" t="n">
        <v>0.06</v>
      </c>
      <c r="F37" s="759" t="str">
        <f aca="false" t="array" ref="F37:F37">IFERROR("Y"&amp;MATCH(TRUE(),IF(ISNUMBER('P&amp;L'!C40:L40),IF('P&amp;L'!C40:L40&gt;0,IF(E37&gt;0,'P&amp;L'!C40:L40/(-PMT(E37/12,H37*12,-('P&amp;L'!C40:L40/B37))*12)&gt;=C37,FALSE()),FALSE()),FALSE()),0),"⚠ not in 10y")</f>
        <v>⚠ not in 10y</v>
      </c>
      <c r="G37" s="760" t="s">
        <v>2077</v>
      </c>
      <c r="H37" s="754" t="n">
        <v>30</v>
      </c>
    </row>
    <row r="38" customFormat="false" ht="15" hidden="false" customHeight="true" outlineLevel="0" collapsed="false">
      <c r="A38" s="747" t="s">
        <v>285</v>
      </c>
      <c r="B38" s="748" t="n">
        <v>0.08</v>
      </c>
      <c r="C38" s="749" t="n">
        <v>1.25</v>
      </c>
      <c r="D38" s="750" t="n">
        <v>0.75</v>
      </c>
      <c r="E38" s="751" t="n">
        <v>0.058</v>
      </c>
      <c r="F38" s="752" t="str">
        <f aca="false" t="array" ref="F38:F38">IFERROR("Y"&amp;MATCH(TRUE(),IF(ISNUMBER('P&amp;L'!C40:L40),IF('P&amp;L'!C40:L40&gt;0,IF(E38&gt;0,'P&amp;L'!C40:L40/(-PMT(E38/12,H38*12,-('P&amp;L'!C40:L40/B38))*12)&gt;=C38,FALSE()),FALSE()),FALSE()),0),"⚠ not in 10y")</f>
        <v>⚠ not in 10y</v>
      </c>
      <c r="G38" s="753" t="s">
        <v>2078</v>
      </c>
      <c r="H38" s="754" t="n">
        <v>30</v>
      </c>
    </row>
    <row r="39" customFormat="false" ht="15" hidden="false" customHeight="true" outlineLevel="0" collapsed="false">
      <c r="A39" s="755" t="s">
        <v>286</v>
      </c>
      <c r="B39" s="756" t="n">
        <v>0.08</v>
      </c>
      <c r="C39" s="757" t="n">
        <v>1.25</v>
      </c>
      <c r="D39" s="750" t="n">
        <v>0.75</v>
      </c>
      <c r="E39" s="758" t="n">
        <v>0.058</v>
      </c>
      <c r="F39" s="759" t="str">
        <f aca="false" t="array" ref="F39:F39">IFERROR("Y"&amp;MATCH(TRUE(),IF(ISNUMBER('P&amp;L'!C40:L40),IF('P&amp;L'!C40:L40&gt;0,IF(E39&gt;0,'P&amp;L'!C40:L40/(-PMT(E39/12,H39*12,-('P&amp;L'!C40:L40/B39))*12)&gt;=C39,FALSE()),FALSE()),FALSE()),0),"⚠ not in 10y")</f>
        <v>⚠ not in 10y</v>
      </c>
      <c r="G39" s="760" t="s">
        <v>2078</v>
      </c>
      <c r="H39" s="754" t="n">
        <v>30</v>
      </c>
    </row>
    <row r="40" customFormat="false" ht="15" hidden="false" customHeight="true" outlineLevel="0" collapsed="false">
      <c r="A40" s="747" t="s">
        <v>287</v>
      </c>
      <c r="B40" s="748" t="n">
        <v>0.085</v>
      </c>
      <c r="C40" s="749" t="n">
        <v>1.3</v>
      </c>
      <c r="D40" s="750" t="n">
        <v>0.65</v>
      </c>
      <c r="E40" s="751" t="n">
        <v>0.055</v>
      </c>
      <c r="F40" s="752" t="str">
        <f aca="false" t="array" ref="F40:F40">IFERROR("Y"&amp;MATCH(TRUE(),IF(ISNUMBER('P&amp;L'!C40:L40),IF('P&amp;L'!C40:L40&gt;0,IF(E40&gt;0,'P&amp;L'!C40:L40/(-PMT(E40/12,H40*12,-('P&amp;L'!C40:L40/B40))*12)&gt;=C40,FALSE()),FALSE()),FALSE()),0),"⚠ not in 10y")</f>
        <v>⚠ not in 10y</v>
      </c>
      <c r="G40" s="753" t="s">
        <v>2079</v>
      </c>
      <c r="H40" s="754" t="n">
        <v>25</v>
      </c>
    </row>
    <row r="41" customFormat="false" ht="15" hidden="false" customHeight="true" outlineLevel="0" collapsed="false">
      <c r="A41" s="755" t="s">
        <v>288</v>
      </c>
      <c r="B41" s="756" t="n">
        <v>0.09</v>
      </c>
      <c r="C41" s="757" t="n">
        <v>1.25</v>
      </c>
      <c r="D41" s="750" t="n">
        <v>0.75</v>
      </c>
      <c r="E41" s="758" t="n">
        <v>0.065</v>
      </c>
      <c r="F41" s="759" t="str">
        <f aca="false" t="array" ref="F41:F41">IFERROR("Y"&amp;MATCH(TRUE(),IF(ISNUMBER('P&amp;L'!C40:L40),IF('P&amp;L'!C40:L40&gt;0,IF(E41&gt;0,'P&amp;L'!C40:L40/(-PMT(E41/12,H41*12,-('P&amp;L'!C40:L40/B41))*12)&gt;=C41,FALSE()),FALSE()),FALSE()),0),"⚠ not in 10y")</f>
        <v>⚠ not in 10y</v>
      </c>
      <c r="G41" s="760" t="s">
        <v>2080</v>
      </c>
      <c r="H41" s="754" t="n">
        <v>30</v>
      </c>
    </row>
    <row r="42" customFormat="false" ht="15.75" hidden="false" customHeight="true" outlineLevel="0" collapsed="false">
      <c r="A42" s="761" t="s">
        <v>289</v>
      </c>
      <c r="B42" s="762" t="n">
        <v>0.07</v>
      </c>
      <c r="C42" s="763" t="n">
        <v>1.1</v>
      </c>
      <c r="D42" s="750" t="n">
        <v>0.75</v>
      </c>
      <c r="E42" s="764" t="n">
        <v>0.08</v>
      </c>
      <c r="F42" s="765" t="str">
        <f aca="false" t="array" ref="F42:F42">IFERROR("Y"&amp;MATCH(TRUE(),IF(ISNUMBER('P&amp;L'!C40:L40),IF('P&amp;L'!C40:L40&gt;0,IF(E42&gt;0,'P&amp;L'!C40:L40/(-PMT(E42/12,H42*12,-('P&amp;L'!C40:L40/B42))*12)&gt;=C42,FALSE()),FALSE()),FALSE()),0),"⚠ not in 10y")</f>
        <v>⚠ not in 10y</v>
      </c>
      <c r="G42" s="766" t="s">
        <v>2081</v>
      </c>
      <c r="H42" s="754" t="n">
        <v>25</v>
      </c>
    </row>
    <row r="43" customFormat="false" ht="15" hidden="false" customHeight="true" outlineLevel="0" collapsed="false">
      <c r="D43" s="305"/>
      <c r="H43" s="305"/>
    </row>
    <row r="44" customFormat="false" ht="15.75" hidden="false" customHeight="true" outlineLevel="0" collapsed="false">
      <c r="D44" s="305"/>
      <c r="H44" s="305"/>
    </row>
    <row r="45" customFormat="false" ht="15" hidden="false" customHeight="true" outlineLevel="0" collapsed="false">
      <c r="A45" s="726" t="str">
        <f aca="false">"Implied Refi Proceeds — Y"&amp;IF(ISNUMBER(C5),C5,3)&amp;" NOI"</f>
        <v>Implied Refi Proceeds — Y3 NOI</v>
      </c>
      <c r="B45" s="767"/>
      <c r="C45" s="767"/>
      <c r="D45" s="768"/>
      <c r="E45" s="767"/>
      <c r="F45" s="769"/>
      <c r="H45" s="305"/>
    </row>
    <row r="46" customFormat="false" ht="21.75" hidden="false" customHeight="true" outlineLevel="0" collapsed="false">
      <c r="A46" s="675" t="s">
        <v>2082</v>
      </c>
      <c r="B46" s="770" t="n">
        <f aca="false" t="array" ref="B46:B46">IFERROR(INDEX('P&amp;L'!C40:L40,1,IF(ISNUMBER(C5),C5,3))/0.08,0)</f>
        <v>0</v>
      </c>
      <c r="C46" s="682" t="s">
        <v>2083</v>
      </c>
      <c r="D46" s="771" t="n">
        <f aca="false" t="array" ref="D46:D46">IFERROR(INDEX('P&amp;L'!C40:L40,1,IF(ISNUMBER(C5),C5,3))/0.09,0)</f>
        <v>0</v>
      </c>
      <c r="E46" s="682" t="s">
        <v>2084</v>
      </c>
      <c r="F46" s="772" t="n">
        <f aca="false" t="array" ref="F46:F46">IFERROR(INDEX('P&amp;L'!C40:L40,1,IF(ISNUMBER(C5),C5,3))/0.1,0)</f>
        <v>0</v>
      </c>
      <c r="H46" s="305"/>
    </row>
    <row r="47" customFormat="false" ht="15" hidden="false" customHeight="true" outlineLevel="0" collapsed="false">
      <c r="A47" s="703" t="str">
        <f aca="false">"Less: Bridge Payoff (Y"&amp;IF(ISNUMBER(C5),C5,3)&amp;")"</f>
        <v>Less: Bridge Payoff (Y3)</v>
      </c>
      <c r="B47" s="773" t="n">
        <f aca="false">-C15</f>
        <v>-0</v>
      </c>
      <c r="C47" s="686"/>
      <c r="D47" s="774" t="n">
        <f aca="false">-C15</f>
        <v>-0</v>
      </c>
      <c r="E47" s="686"/>
      <c r="F47" s="775" t="n">
        <f aca="false">-C15</f>
        <v>-0</v>
      </c>
      <c r="H47" s="305"/>
    </row>
    <row r="48" customFormat="false" ht="15.75" hidden="false" customHeight="true" outlineLevel="0" collapsed="false">
      <c r="A48" s="776" t="s">
        <v>2085</v>
      </c>
      <c r="B48" s="777" t="n">
        <f aca="false">IFERROR(B46-B47,0)</f>
        <v>0</v>
      </c>
      <c r="C48" s="778"/>
      <c r="D48" s="779" t="n">
        <f aca="false">IFERROR(D46-D47,0)</f>
        <v>0</v>
      </c>
      <c r="E48" s="778"/>
      <c r="F48" s="780" t="n">
        <f aca="false">IFERROR(F46-F47,0)</f>
        <v>0</v>
      </c>
      <c r="H48" s="305"/>
    </row>
    <row r="49" customFormat="false" ht="30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</sheetData>
  <mergeCells count="8">
    <mergeCell ref="A1:C1"/>
    <mergeCell ref="A18:B18"/>
    <mergeCell ref="A19:B19"/>
    <mergeCell ref="E21:F21"/>
    <mergeCell ref="E23:G23"/>
    <mergeCell ref="A26:B26"/>
    <mergeCell ref="E26:F26"/>
    <mergeCell ref="E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8593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3"/>
    <col collapsed="false" customWidth="true" hidden="false" outlineLevel="0" max="9" min="9" style="0" width="22"/>
    <col collapsed="false" customWidth="true" hidden="true" outlineLevel="0" max="11" min="11" style="0" width="13"/>
  </cols>
  <sheetData>
    <row r="1" customFormat="false" ht="16.5" hidden="false" customHeight="true" outlineLevel="0" collapsed="false">
      <c r="A1" s="781" t="str">
        <f aca="false">IF('Prop Info'!B4="","XIRR ANALYSIS — QUARTERLY DISTRIBUTION SCHEDULE","XIRR ANALYSIS — QUARTERLY DISTRIBUTION SCHEDULE"&amp;" — "&amp;'Prop Info'!B4)</f>
        <v>XIRR ANALYSIS — QUARTERLY DISTRIBUTION SCHEDULE</v>
      </c>
    </row>
    <row r="3" customFormat="false" ht="15" hidden="false" customHeight="true" outlineLevel="0" collapsed="false">
      <c r="A3" s="782" t="s">
        <v>2086</v>
      </c>
    </row>
    <row r="4" customFormat="false" ht="15" hidden="false" customHeight="true" outlineLevel="0" collapsed="false">
      <c r="A4" s="0" t="s">
        <v>2087</v>
      </c>
      <c r="B4" s="783" t="n">
        <v>46171</v>
      </c>
      <c r="C4" s="784" t="s">
        <v>2088</v>
      </c>
      <c r="F4" s="0" t="s">
        <v>2089</v>
      </c>
      <c r="G4" s="328" t="str">
        <f aca="false">'LP Return Illustration'!$B$6</f>
        <v>Class A</v>
      </c>
      <c r="H4" s="784" t="s">
        <v>2090</v>
      </c>
    </row>
    <row r="5" customFormat="false" ht="15" hidden="false" customHeight="true" outlineLevel="0" collapsed="false">
      <c r="A5" s="0" t="s">
        <v>365</v>
      </c>
      <c r="B5" s="785" t="n">
        <f aca="false">'LP Return Illustration'!$B$5</f>
        <v>100000</v>
      </c>
      <c r="C5" s="784" t="s">
        <v>2090</v>
      </c>
      <c r="F5" s="0" t="s">
        <v>2091</v>
      </c>
      <c r="G5" s="786" t="str">
        <f aca="false">Waterfall!$B$5</f>
        <v/>
      </c>
      <c r="H5" s="0" t="s">
        <v>2092</v>
      </c>
      <c r="I5" s="787" t="str">
        <f aca="false">'LP Return Illustration'!$D$7</f>
        <v/>
      </c>
    </row>
    <row r="7" customFormat="false" ht="15" hidden="false" customHeight="true" outlineLevel="0" collapsed="false">
      <c r="A7" s="782" t="s">
        <v>2093</v>
      </c>
      <c r="B7" s="788" t="s">
        <v>2094</v>
      </c>
      <c r="C7" s="328" t="s">
        <v>2095</v>
      </c>
      <c r="F7" s="784" t="s">
        <v>2096</v>
      </c>
    </row>
    <row r="8" customFormat="false" ht="30" hidden="false" customHeight="true" outlineLevel="0" collapsed="false">
      <c r="A8" s="789" t="s">
        <v>2097</v>
      </c>
      <c r="B8" s="789" t="s">
        <v>2098</v>
      </c>
      <c r="C8" s="789" t="s">
        <v>2099</v>
      </c>
      <c r="D8" s="789" t="s">
        <v>2100</v>
      </c>
      <c r="E8" s="789" t="s">
        <v>2101</v>
      </c>
      <c r="F8" s="789" t="s">
        <v>2102</v>
      </c>
      <c r="G8" s="789" t="s">
        <v>2103</v>
      </c>
      <c r="H8" s="789" t="s">
        <v>2104</v>
      </c>
      <c r="I8" s="789" t="s">
        <v>55</v>
      </c>
      <c r="K8" s="784" t="s">
        <v>2105</v>
      </c>
    </row>
    <row r="9" customFormat="false" ht="15" hidden="false" customHeight="true" outlineLevel="0" collapsed="false">
      <c r="A9" s="790" t="s">
        <v>2106</v>
      </c>
      <c r="B9" s="790" t="s">
        <v>2107</v>
      </c>
      <c r="C9" s="791" t="n">
        <f aca="false">$B$4</f>
        <v>46171</v>
      </c>
      <c r="G9" s="792" t="n">
        <f aca="false">-'LP Return Illustration'!$B$5</f>
        <v>-100000</v>
      </c>
      <c r="H9" s="792" t="n">
        <f aca="false">G9</f>
        <v>-100000</v>
      </c>
      <c r="I9" s="790" t="s">
        <v>2108</v>
      </c>
      <c r="K9" s="793" t="n">
        <f aca="false">-'LP Return Illustration'!$B$5</f>
        <v>-100000</v>
      </c>
    </row>
    <row r="10" customFormat="false" ht="15" hidden="false" customHeight="true" outlineLevel="0" collapsed="false">
      <c r="A10" s="790" t="n">
        <v>1</v>
      </c>
      <c r="B10" s="790" t="s">
        <v>2109</v>
      </c>
      <c r="C10" s="791" t="n">
        <f aca="false">EDATE($B$4,3)</f>
        <v>46263</v>
      </c>
      <c r="D10" s="792" t="e">
        <f aca="false">'LP Return Illustration'!B15</f>
        <v>#VALUE!</v>
      </c>
      <c r="E10" s="792" t="n">
        <f aca="false">IFERROR($D$10/4,0)</f>
        <v>0</v>
      </c>
      <c r="F10" s="792" t="n">
        <v>0</v>
      </c>
      <c r="G10" s="792" t="n">
        <f aca="false">E10+F10</f>
        <v>0</v>
      </c>
      <c r="H10" s="792" t="n">
        <f aca="false">H9+G10</f>
        <v>-100000</v>
      </c>
      <c r="I10" s="790" t="s">
        <v>2110</v>
      </c>
      <c r="K10" s="793" t="n">
        <f aca="false">IFERROR(IF(1&gt;$G$5,0,'LP Return Illustration'!B15+'LP Return Illustration'!B17+IF(1=$G$5,'LP Return Illustration'!$L$24+'LP Return Illustration'!$L$25,0)),0)</f>
        <v>0</v>
      </c>
    </row>
    <row r="11" customFormat="false" ht="15" hidden="false" customHeight="true" outlineLevel="0" collapsed="false">
      <c r="A11" s="790"/>
      <c r="B11" s="790" t="s">
        <v>2111</v>
      </c>
      <c r="C11" s="791" t="n">
        <f aca="false">EDATE($B$4,6)</f>
        <v>46355</v>
      </c>
      <c r="D11" s="790"/>
      <c r="E11" s="792" t="n">
        <f aca="false">IFERROR($D$10/4,0)</f>
        <v>0</v>
      </c>
      <c r="F11" s="792" t="n">
        <v>0</v>
      </c>
      <c r="G11" s="792" t="n">
        <f aca="false">E11+F11</f>
        <v>0</v>
      </c>
      <c r="H11" s="792" t="n">
        <f aca="false">H10+G11</f>
        <v>-100000</v>
      </c>
      <c r="K11" s="793" t="n">
        <f aca="false">IFERROR(IF(2&gt;$G$5,0,'LP Return Illustration'!C15+'LP Return Illustration'!C17+IF(2=$G$5,'LP Return Illustration'!$L$24+'LP Return Illustration'!$L$25,0)),0)</f>
        <v>0</v>
      </c>
    </row>
    <row r="12" customFormat="false" ht="15" hidden="false" customHeight="true" outlineLevel="0" collapsed="false">
      <c r="A12" s="790"/>
      <c r="B12" s="790" t="s">
        <v>2112</v>
      </c>
      <c r="C12" s="791" t="n">
        <f aca="false">EDATE($B$4,9)</f>
        <v>46446</v>
      </c>
      <c r="D12" s="790"/>
      <c r="E12" s="792" t="n">
        <f aca="false">IFERROR($D$10/4,0)</f>
        <v>0</v>
      </c>
      <c r="F12" s="792" t="n">
        <v>0</v>
      </c>
      <c r="G12" s="792" t="n">
        <f aca="false">E12+F12</f>
        <v>0</v>
      </c>
      <c r="H12" s="792" t="n">
        <f aca="false">H11+G12</f>
        <v>-100000</v>
      </c>
      <c r="K12" s="793" t="n">
        <f aca="false">IFERROR(IF(3&gt;$G$5,0,'LP Return Illustration'!D15+'LP Return Illustration'!D17+IF(3=$G$5,'LP Return Illustration'!$L$24+'LP Return Illustration'!$L$25,0)),0)</f>
        <v>0</v>
      </c>
    </row>
    <row r="13" customFormat="false" ht="15" hidden="false" customHeight="true" outlineLevel="0" collapsed="false">
      <c r="A13" s="790"/>
      <c r="B13" s="790" t="s">
        <v>2113</v>
      </c>
      <c r="C13" s="791" t="n">
        <f aca="false">EDATE($B$4,12)</f>
        <v>46536</v>
      </c>
      <c r="D13" s="790"/>
      <c r="E13" s="792" t="n">
        <f aca="false">IFERROR($D$10/4,0)</f>
        <v>0</v>
      </c>
      <c r="F13" s="792" t="n">
        <f aca="false">IFERROR('LP Return Illustration'!B17+IF($A$10=$G$5,'LP Return Illustration'!$L$24+'LP Return Illustration'!$L$25,0),0)</f>
        <v>0</v>
      </c>
      <c r="G13" s="792" t="n">
        <f aca="false">E13+F13</f>
        <v>0</v>
      </c>
      <c r="H13" s="792" t="n">
        <f aca="false">H12+G13</f>
        <v>-100000</v>
      </c>
      <c r="K13" s="793" t="n">
        <f aca="false">IFERROR(IF(4&gt;$G$5,0,'LP Return Illustration'!E15+'LP Return Illustration'!E17+IF(4=$G$5,'LP Return Illustration'!$L$24+'LP Return Illustration'!$L$25,0)),0)</f>
        <v>0</v>
      </c>
    </row>
    <row r="14" customFormat="false" ht="15" hidden="false" customHeight="true" outlineLevel="0" collapsed="false">
      <c r="A14" s="790" t="n">
        <v>2</v>
      </c>
      <c r="B14" s="790" t="s">
        <v>2109</v>
      </c>
      <c r="C14" s="791" t="n">
        <f aca="false">EDATE($B$4,15)</f>
        <v>46628</v>
      </c>
      <c r="D14" s="792" t="e">
        <f aca="false">'LP Return Illustration'!C15</f>
        <v>#VALUE!</v>
      </c>
      <c r="E14" s="792" t="n">
        <f aca="false">IFERROR($D$14/4,0)</f>
        <v>0</v>
      </c>
      <c r="F14" s="792" t="n">
        <v>0</v>
      </c>
      <c r="G14" s="792" t="n">
        <f aca="false">E14+F14</f>
        <v>0</v>
      </c>
      <c r="H14" s="792" t="n">
        <f aca="false">H13+G14</f>
        <v>-100000</v>
      </c>
      <c r="K14" s="793" t="n">
        <f aca="false">IFERROR(IF(5&gt;$G$5,0,'LP Return Illustration'!F15+'LP Return Illustration'!F17+IF(5=$G$5,'LP Return Illustration'!$L$24+'LP Return Illustration'!$L$25,0)),0)</f>
        <v>0</v>
      </c>
    </row>
    <row r="15" customFormat="false" ht="15" hidden="false" customHeight="true" outlineLevel="0" collapsed="false">
      <c r="A15" s="790"/>
      <c r="B15" s="790" t="s">
        <v>2111</v>
      </c>
      <c r="C15" s="791" t="n">
        <f aca="false">EDATE($B$4,18)</f>
        <v>46720</v>
      </c>
      <c r="D15" s="790"/>
      <c r="E15" s="792" t="n">
        <f aca="false">IFERROR($D$14/4,0)</f>
        <v>0</v>
      </c>
      <c r="F15" s="792" t="n">
        <v>0</v>
      </c>
      <c r="G15" s="792" t="n">
        <f aca="false">E15+F15</f>
        <v>0</v>
      </c>
      <c r="H15" s="792" t="n">
        <f aca="false">H14+G15</f>
        <v>-100000</v>
      </c>
      <c r="K15" s="793" t="n">
        <f aca="false">IFERROR(IF(6&gt;$G$5,0,'LP Return Illustration'!G15+'LP Return Illustration'!G17+IF(6=$G$5,'LP Return Illustration'!$L$24+'LP Return Illustration'!$L$25,0)),0)</f>
        <v>0</v>
      </c>
    </row>
    <row r="16" customFormat="false" ht="15" hidden="false" customHeight="true" outlineLevel="0" collapsed="false">
      <c r="A16" s="790"/>
      <c r="B16" s="790" t="s">
        <v>2112</v>
      </c>
      <c r="C16" s="791" t="n">
        <f aca="false">EDATE($B$4,21)</f>
        <v>46812</v>
      </c>
      <c r="D16" s="790"/>
      <c r="E16" s="792" t="n">
        <f aca="false">IFERROR($D$14/4,0)</f>
        <v>0</v>
      </c>
      <c r="F16" s="792" t="n">
        <v>0</v>
      </c>
      <c r="G16" s="792" t="n">
        <f aca="false">E16+F16</f>
        <v>0</v>
      </c>
      <c r="H16" s="792" t="n">
        <f aca="false">H15+G16</f>
        <v>-100000</v>
      </c>
      <c r="K16" s="793" t="n">
        <f aca="false">IFERROR(IF(7&gt;$G$5,0,'LP Return Illustration'!H15+'LP Return Illustration'!H17+IF(7=$G$5,'LP Return Illustration'!$L$24+'LP Return Illustration'!$L$25,0)),0)</f>
        <v>0</v>
      </c>
    </row>
    <row r="17" customFormat="false" ht="15" hidden="false" customHeight="true" outlineLevel="0" collapsed="false">
      <c r="A17" s="790"/>
      <c r="B17" s="790" t="s">
        <v>2113</v>
      </c>
      <c r="C17" s="791" t="n">
        <f aca="false">EDATE($B$4,24)</f>
        <v>46902</v>
      </c>
      <c r="D17" s="790"/>
      <c r="E17" s="792" t="n">
        <f aca="false">IFERROR($D$14/4,0)</f>
        <v>0</v>
      </c>
      <c r="F17" s="792" t="n">
        <f aca="false">IFERROR('LP Return Illustration'!C17+IF($A$14=$G$5,'LP Return Illustration'!$L$24+'LP Return Illustration'!$L$25,0),0)</f>
        <v>0</v>
      </c>
      <c r="G17" s="792" t="n">
        <f aca="false">E17+F17</f>
        <v>0</v>
      </c>
      <c r="H17" s="792" t="n">
        <f aca="false">H16+G17</f>
        <v>-100000</v>
      </c>
      <c r="K17" s="793" t="n">
        <f aca="false">IFERROR(IF(8&gt;$G$5,0,'LP Return Illustration'!I15+'LP Return Illustration'!I17+IF(8=$G$5,'LP Return Illustration'!$L$24+'LP Return Illustration'!$L$25,0)),0)</f>
        <v>0</v>
      </c>
    </row>
    <row r="18" customFormat="false" ht="15" hidden="false" customHeight="true" outlineLevel="0" collapsed="false">
      <c r="A18" s="790" t="n">
        <v>3</v>
      </c>
      <c r="B18" s="790" t="s">
        <v>2109</v>
      </c>
      <c r="C18" s="791" t="n">
        <f aca="false">EDATE($B$4,27)</f>
        <v>46994</v>
      </c>
      <c r="D18" s="792" t="e">
        <f aca="false">'LP Return Illustration'!D15</f>
        <v>#VALUE!</v>
      </c>
      <c r="E18" s="792" t="n">
        <f aca="false">IFERROR($D$18/4,0)</f>
        <v>0</v>
      </c>
      <c r="F18" s="792" t="n">
        <v>0</v>
      </c>
      <c r="G18" s="792" t="n">
        <f aca="false">E18+F18</f>
        <v>0</v>
      </c>
      <c r="H18" s="792" t="n">
        <f aca="false">H17+G18</f>
        <v>-100000</v>
      </c>
      <c r="K18" s="793" t="n">
        <f aca="false">IFERROR(IF(9&gt;$G$5,0,'LP Return Illustration'!J15+'LP Return Illustration'!J17+IF(9=$G$5,'LP Return Illustration'!$L$24+'LP Return Illustration'!$L$25,0)),0)</f>
        <v>0</v>
      </c>
    </row>
    <row r="19" customFormat="false" ht="15" hidden="false" customHeight="true" outlineLevel="0" collapsed="false">
      <c r="A19" s="790"/>
      <c r="B19" s="790" t="s">
        <v>2111</v>
      </c>
      <c r="C19" s="791" t="n">
        <f aca="false">EDATE($B$4,30)</f>
        <v>47086</v>
      </c>
      <c r="D19" s="790"/>
      <c r="E19" s="792" t="n">
        <f aca="false">IFERROR($D$18/4,0)</f>
        <v>0</v>
      </c>
      <c r="F19" s="792" t="n">
        <v>0</v>
      </c>
      <c r="G19" s="792" t="n">
        <f aca="false">E19+F19</f>
        <v>0</v>
      </c>
      <c r="H19" s="792" t="n">
        <f aca="false">H18+G19</f>
        <v>-100000</v>
      </c>
      <c r="K19" s="793" t="n">
        <f aca="false">IFERROR(IF(10&gt;$G$5,0,'LP Return Illustration'!K15+'LP Return Illustration'!K17+IF(10=$G$5,'LP Return Illustration'!$L$24+'LP Return Illustration'!$L$25,0)),0)</f>
        <v>0</v>
      </c>
    </row>
    <row r="20" customFormat="false" ht="15" hidden="false" customHeight="true" outlineLevel="0" collapsed="false">
      <c r="A20" s="790"/>
      <c r="B20" s="790" t="s">
        <v>2112</v>
      </c>
      <c r="C20" s="791" t="n">
        <f aca="false">EDATE($B$4,33)</f>
        <v>47177</v>
      </c>
      <c r="D20" s="790"/>
      <c r="E20" s="792" t="n">
        <f aca="false">IFERROR($D$18/4,0)</f>
        <v>0</v>
      </c>
      <c r="F20" s="792" t="n">
        <v>0</v>
      </c>
      <c r="G20" s="792" t="n">
        <f aca="false">E20+F20</f>
        <v>0</v>
      </c>
      <c r="H20" s="792" t="n">
        <f aca="false">H19+G20</f>
        <v>-100000</v>
      </c>
    </row>
    <row r="21" customFormat="false" ht="15" hidden="false" customHeight="true" outlineLevel="0" collapsed="false">
      <c r="A21" s="790"/>
      <c r="B21" s="790" t="s">
        <v>2113</v>
      </c>
      <c r="C21" s="791" t="n">
        <f aca="false">EDATE($B$4,36)</f>
        <v>47267</v>
      </c>
      <c r="D21" s="790"/>
      <c r="E21" s="792" t="n">
        <f aca="false">IFERROR($D$18/4,0)</f>
        <v>0</v>
      </c>
      <c r="F21" s="792" t="n">
        <f aca="false">IFERROR('LP Return Illustration'!D17+IF($A$18=$G$5,'LP Return Illustration'!$L$24+'LP Return Illustration'!$L$25,0),0)</f>
        <v>0</v>
      </c>
      <c r="G21" s="792" t="n">
        <f aca="false">E21+F21</f>
        <v>0</v>
      </c>
      <c r="H21" s="792" t="n">
        <f aca="false">H20+G21</f>
        <v>-100000</v>
      </c>
    </row>
    <row r="22" customFormat="false" ht="15" hidden="false" customHeight="true" outlineLevel="0" collapsed="false">
      <c r="A22" s="790" t="n">
        <v>4</v>
      </c>
      <c r="B22" s="790" t="s">
        <v>2109</v>
      </c>
      <c r="C22" s="791" t="n">
        <f aca="false">EDATE($B$4,39)</f>
        <v>47359</v>
      </c>
      <c r="D22" s="792" t="e">
        <f aca="false">'LP Return Illustration'!E15</f>
        <v>#VALUE!</v>
      </c>
      <c r="E22" s="792" t="n">
        <f aca="false">IFERROR($D$22/4,0)</f>
        <v>0</v>
      </c>
      <c r="F22" s="792" t="n">
        <v>0</v>
      </c>
      <c r="G22" s="792" t="n">
        <f aca="false">E22+F22</f>
        <v>0</v>
      </c>
      <c r="H22" s="792" t="n">
        <f aca="false">H21+G22</f>
        <v>-100000</v>
      </c>
    </row>
    <row r="23" customFormat="false" ht="15" hidden="false" customHeight="true" outlineLevel="0" collapsed="false">
      <c r="A23" s="790"/>
      <c r="B23" s="790" t="s">
        <v>2111</v>
      </c>
      <c r="C23" s="791" t="n">
        <f aca="false">EDATE($B$4,42)</f>
        <v>47451</v>
      </c>
      <c r="D23" s="790"/>
      <c r="E23" s="792" t="n">
        <f aca="false">IFERROR($D$22/4,0)</f>
        <v>0</v>
      </c>
      <c r="F23" s="792" t="n">
        <v>0</v>
      </c>
      <c r="G23" s="792" t="n">
        <f aca="false">E23+F23</f>
        <v>0</v>
      </c>
      <c r="H23" s="792" t="n">
        <f aca="false">H22+G23</f>
        <v>-100000</v>
      </c>
    </row>
    <row r="24" customFormat="false" ht="15" hidden="false" customHeight="true" outlineLevel="0" collapsed="false">
      <c r="A24" s="790"/>
      <c r="B24" s="790" t="s">
        <v>2112</v>
      </c>
      <c r="C24" s="791" t="n">
        <f aca="false">EDATE($B$4,45)</f>
        <v>47542</v>
      </c>
      <c r="D24" s="790"/>
      <c r="E24" s="792" t="n">
        <f aca="false">IFERROR($D$22/4,0)</f>
        <v>0</v>
      </c>
      <c r="F24" s="792" t="n">
        <v>0</v>
      </c>
      <c r="G24" s="792" t="n">
        <f aca="false">E24+F24</f>
        <v>0</v>
      </c>
      <c r="H24" s="792" t="n">
        <f aca="false">H23+G24</f>
        <v>-100000</v>
      </c>
    </row>
    <row r="25" customFormat="false" ht="15" hidden="false" customHeight="true" outlineLevel="0" collapsed="false">
      <c r="A25" s="790"/>
      <c r="B25" s="790" t="s">
        <v>2113</v>
      </c>
      <c r="C25" s="791" t="n">
        <f aca="false">EDATE($B$4,48)</f>
        <v>47632</v>
      </c>
      <c r="D25" s="790"/>
      <c r="E25" s="792" t="n">
        <f aca="false">IFERROR($D$22/4,0)</f>
        <v>0</v>
      </c>
      <c r="F25" s="792" t="n">
        <f aca="false">IFERROR('LP Return Illustration'!E17+IF($A$22=$G$5,'LP Return Illustration'!$L$24+'LP Return Illustration'!$L$25,0),0)</f>
        <v>0</v>
      </c>
      <c r="G25" s="792" t="n">
        <f aca="false">E25+F25</f>
        <v>0</v>
      </c>
      <c r="H25" s="792" t="n">
        <f aca="false">H24+G25</f>
        <v>-100000</v>
      </c>
    </row>
    <row r="26" customFormat="false" ht="15" hidden="false" customHeight="true" outlineLevel="0" collapsed="false">
      <c r="A26" s="790" t="n">
        <v>5</v>
      </c>
      <c r="B26" s="790" t="s">
        <v>2109</v>
      </c>
      <c r="C26" s="791" t="n">
        <f aca="false">EDATE($B$4,51)</f>
        <v>47724</v>
      </c>
      <c r="D26" s="792" t="e">
        <f aca="false">'LP Return Illustration'!F15</f>
        <v>#VALUE!</v>
      </c>
      <c r="E26" s="792" t="n">
        <f aca="false">IFERROR($D$26/4,0)</f>
        <v>0</v>
      </c>
      <c r="F26" s="792" t="n">
        <v>0</v>
      </c>
      <c r="G26" s="792" t="n">
        <f aca="false">E26+F26</f>
        <v>0</v>
      </c>
      <c r="H26" s="792" t="n">
        <f aca="false">H25+G26</f>
        <v>-100000</v>
      </c>
    </row>
    <row r="27" customFormat="false" ht="15" hidden="false" customHeight="true" outlineLevel="0" collapsed="false">
      <c r="A27" s="790"/>
      <c r="B27" s="790" t="s">
        <v>2111</v>
      </c>
      <c r="C27" s="791" t="n">
        <f aca="false">EDATE($B$4,54)</f>
        <v>47816</v>
      </c>
      <c r="D27" s="790"/>
      <c r="E27" s="792" t="n">
        <f aca="false">IFERROR($D$26/4,0)</f>
        <v>0</v>
      </c>
      <c r="F27" s="792" t="n">
        <v>0</v>
      </c>
      <c r="G27" s="792" t="n">
        <f aca="false">E27+F27</f>
        <v>0</v>
      </c>
      <c r="H27" s="792" t="n">
        <f aca="false">H26+G27</f>
        <v>-100000</v>
      </c>
    </row>
    <row r="28" customFormat="false" ht="15" hidden="false" customHeight="true" outlineLevel="0" collapsed="false">
      <c r="A28" s="790"/>
      <c r="B28" s="790" t="s">
        <v>2112</v>
      </c>
      <c r="C28" s="791" t="n">
        <f aca="false">EDATE($B$4,57)</f>
        <v>47907</v>
      </c>
      <c r="D28" s="790"/>
      <c r="E28" s="792" t="n">
        <f aca="false">IFERROR($D$26/4,0)</f>
        <v>0</v>
      </c>
      <c r="F28" s="792" t="n">
        <v>0</v>
      </c>
      <c r="G28" s="792" t="n">
        <f aca="false">E28+F28</f>
        <v>0</v>
      </c>
      <c r="H28" s="792" t="n">
        <f aca="false">H27+G28</f>
        <v>-100000</v>
      </c>
    </row>
    <row r="29" customFormat="false" ht="15" hidden="false" customHeight="true" outlineLevel="0" collapsed="false">
      <c r="A29" s="790"/>
      <c r="B29" s="790" t="s">
        <v>2113</v>
      </c>
      <c r="C29" s="791" t="n">
        <f aca="false">EDATE($B$4,60)</f>
        <v>47997</v>
      </c>
      <c r="D29" s="790"/>
      <c r="E29" s="792" t="n">
        <f aca="false">IFERROR($D$26/4,0)</f>
        <v>0</v>
      </c>
      <c r="F29" s="792" t="n">
        <f aca="false">IFERROR('LP Return Illustration'!F17+IF($A$26=$G$5,'LP Return Illustration'!$L$24+'LP Return Illustration'!$L$25,0),0)</f>
        <v>0</v>
      </c>
      <c r="G29" s="792" t="n">
        <f aca="false">E29+F29</f>
        <v>0</v>
      </c>
      <c r="H29" s="792" t="n">
        <f aca="false">H28+G29</f>
        <v>-100000</v>
      </c>
    </row>
    <row r="30" customFormat="false" ht="15" hidden="false" customHeight="true" outlineLevel="0" collapsed="false">
      <c r="A30" s="790" t="n">
        <v>6</v>
      </c>
      <c r="B30" s="790" t="s">
        <v>2109</v>
      </c>
      <c r="C30" s="791" t="n">
        <f aca="false">EDATE($B$4,63)</f>
        <v>48089</v>
      </c>
      <c r="D30" s="792" t="e">
        <f aca="false">'LP Return Illustration'!G15</f>
        <v>#VALUE!</v>
      </c>
      <c r="E30" s="792" t="n">
        <f aca="false">IFERROR($D$30/4,0)</f>
        <v>0</v>
      </c>
      <c r="F30" s="792" t="n">
        <v>0</v>
      </c>
      <c r="G30" s="792" t="n">
        <f aca="false">E30+F30</f>
        <v>0</v>
      </c>
      <c r="H30" s="792" t="n">
        <f aca="false">H29+G30</f>
        <v>-100000</v>
      </c>
    </row>
    <row r="31" customFormat="false" ht="15" hidden="false" customHeight="true" outlineLevel="0" collapsed="false">
      <c r="A31" s="790"/>
      <c r="B31" s="790" t="s">
        <v>2111</v>
      </c>
      <c r="C31" s="791" t="n">
        <f aca="false">EDATE($B$4,66)</f>
        <v>48181</v>
      </c>
      <c r="D31" s="790"/>
      <c r="E31" s="792" t="n">
        <f aca="false">IFERROR($D$30/4,0)</f>
        <v>0</v>
      </c>
      <c r="F31" s="792" t="n">
        <v>0</v>
      </c>
      <c r="G31" s="792" t="n">
        <f aca="false">E31+F31</f>
        <v>0</v>
      </c>
      <c r="H31" s="792" t="n">
        <f aca="false">H30+G31</f>
        <v>-100000</v>
      </c>
    </row>
    <row r="32" customFormat="false" ht="15" hidden="false" customHeight="true" outlineLevel="0" collapsed="false">
      <c r="A32" s="790"/>
      <c r="B32" s="790" t="s">
        <v>2112</v>
      </c>
      <c r="C32" s="791" t="n">
        <f aca="false">EDATE($B$4,69)</f>
        <v>48273</v>
      </c>
      <c r="D32" s="790"/>
      <c r="E32" s="792" t="n">
        <f aca="false">IFERROR($D$30/4,0)</f>
        <v>0</v>
      </c>
      <c r="F32" s="792" t="n">
        <v>0</v>
      </c>
      <c r="G32" s="792" t="n">
        <f aca="false">E32+F32</f>
        <v>0</v>
      </c>
      <c r="H32" s="792" t="n">
        <f aca="false">H31+G32</f>
        <v>-100000</v>
      </c>
    </row>
    <row r="33" customFormat="false" ht="15" hidden="false" customHeight="true" outlineLevel="0" collapsed="false">
      <c r="A33" s="790"/>
      <c r="B33" s="790" t="s">
        <v>2113</v>
      </c>
      <c r="C33" s="791" t="n">
        <f aca="false">EDATE($B$4,72)</f>
        <v>48363</v>
      </c>
      <c r="D33" s="790"/>
      <c r="E33" s="792" t="n">
        <f aca="false">IFERROR($D$30/4,0)</f>
        <v>0</v>
      </c>
      <c r="F33" s="792" t="n">
        <f aca="false">IFERROR('LP Return Illustration'!G17+IF($A$30=$G$5,'LP Return Illustration'!$L$24+'LP Return Illustration'!$L$25,0),0)</f>
        <v>0</v>
      </c>
      <c r="G33" s="792" t="n">
        <f aca="false">E33+F33</f>
        <v>0</v>
      </c>
      <c r="H33" s="792" t="n">
        <f aca="false">H32+G33</f>
        <v>-100000</v>
      </c>
    </row>
    <row r="34" customFormat="false" ht="15" hidden="false" customHeight="true" outlineLevel="0" collapsed="false">
      <c r="A34" s="790" t="n">
        <v>7</v>
      </c>
      <c r="B34" s="790" t="s">
        <v>2109</v>
      </c>
      <c r="C34" s="791" t="n">
        <f aca="false">EDATE($B$4,75)</f>
        <v>48455</v>
      </c>
      <c r="D34" s="792" t="e">
        <f aca="false">'LP Return Illustration'!H15</f>
        <v>#VALUE!</v>
      </c>
      <c r="E34" s="792" t="n">
        <f aca="false">IFERROR($D$34/4,0)</f>
        <v>0</v>
      </c>
      <c r="F34" s="792" t="n">
        <v>0</v>
      </c>
      <c r="G34" s="792" t="n">
        <f aca="false">E34+F34</f>
        <v>0</v>
      </c>
      <c r="H34" s="792" t="n">
        <f aca="false">H33+G34</f>
        <v>-100000</v>
      </c>
    </row>
    <row r="35" customFormat="false" ht="15" hidden="false" customHeight="true" outlineLevel="0" collapsed="false">
      <c r="A35" s="790"/>
      <c r="B35" s="790" t="s">
        <v>2111</v>
      </c>
      <c r="C35" s="791" t="n">
        <f aca="false">EDATE($B$4,78)</f>
        <v>48547</v>
      </c>
      <c r="D35" s="790"/>
      <c r="E35" s="792" t="n">
        <f aca="false">IFERROR($D$34/4,0)</f>
        <v>0</v>
      </c>
      <c r="F35" s="792" t="n">
        <v>0</v>
      </c>
      <c r="G35" s="792" t="n">
        <f aca="false">E35+F35</f>
        <v>0</v>
      </c>
      <c r="H35" s="792" t="n">
        <f aca="false">H34+G35</f>
        <v>-100000</v>
      </c>
    </row>
    <row r="36" customFormat="false" ht="15" hidden="false" customHeight="true" outlineLevel="0" collapsed="false">
      <c r="A36" s="790"/>
      <c r="B36" s="790" t="s">
        <v>2112</v>
      </c>
      <c r="C36" s="791" t="n">
        <f aca="false">EDATE($B$4,81)</f>
        <v>48638</v>
      </c>
      <c r="D36" s="790"/>
      <c r="E36" s="792" t="n">
        <f aca="false">IFERROR($D$34/4,0)</f>
        <v>0</v>
      </c>
      <c r="F36" s="792" t="n">
        <v>0</v>
      </c>
      <c r="G36" s="792" t="n">
        <f aca="false">E36+F36</f>
        <v>0</v>
      </c>
      <c r="H36" s="792" t="n">
        <f aca="false">H35+G36</f>
        <v>-100000</v>
      </c>
    </row>
    <row r="37" customFormat="false" ht="15" hidden="false" customHeight="true" outlineLevel="0" collapsed="false">
      <c r="A37" s="790"/>
      <c r="B37" s="790" t="s">
        <v>2113</v>
      </c>
      <c r="C37" s="791" t="n">
        <f aca="false">EDATE($B$4,84)</f>
        <v>48728</v>
      </c>
      <c r="D37" s="790"/>
      <c r="E37" s="792" t="n">
        <f aca="false">IFERROR($D$34/4,0)</f>
        <v>0</v>
      </c>
      <c r="F37" s="792" t="n">
        <f aca="false">IFERROR('LP Return Illustration'!H17+IF($A$34=$G$5,'LP Return Illustration'!$L$24+'LP Return Illustration'!$L$25,0),0)</f>
        <v>0</v>
      </c>
      <c r="G37" s="792" t="n">
        <f aca="false">E37+F37</f>
        <v>0</v>
      </c>
      <c r="H37" s="792" t="n">
        <f aca="false">H36+G37</f>
        <v>-100000</v>
      </c>
    </row>
    <row r="38" customFormat="false" ht="15" hidden="false" customHeight="true" outlineLevel="0" collapsed="false">
      <c r="A38" s="790" t="n">
        <v>8</v>
      </c>
      <c r="B38" s="790" t="s">
        <v>2109</v>
      </c>
      <c r="C38" s="791" t="n">
        <f aca="false">EDATE($B$4,87)</f>
        <v>48820</v>
      </c>
      <c r="D38" s="792" t="e">
        <f aca="false">'LP Return Illustration'!I15</f>
        <v>#VALUE!</v>
      </c>
      <c r="E38" s="792" t="n">
        <f aca="false">IFERROR($D$38/4,0)</f>
        <v>0</v>
      </c>
      <c r="F38" s="792" t="n">
        <v>0</v>
      </c>
      <c r="G38" s="792" t="n">
        <f aca="false">E38+F38</f>
        <v>0</v>
      </c>
      <c r="H38" s="792" t="n">
        <f aca="false">H37+G38</f>
        <v>-100000</v>
      </c>
    </row>
    <row r="39" customFormat="false" ht="15" hidden="false" customHeight="true" outlineLevel="0" collapsed="false">
      <c r="A39" s="790"/>
      <c r="B39" s="790" t="s">
        <v>2111</v>
      </c>
      <c r="C39" s="791" t="n">
        <f aca="false">EDATE($B$4,90)</f>
        <v>48912</v>
      </c>
      <c r="D39" s="790"/>
      <c r="E39" s="792" t="n">
        <f aca="false">IFERROR($D$38/4,0)</f>
        <v>0</v>
      </c>
      <c r="F39" s="792" t="n">
        <v>0</v>
      </c>
      <c r="G39" s="792" t="n">
        <f aca="false">E39+F39</f>
        <v>0</v>
      </c>
      <c r="H39" s="792" t="n">
        <f aca="false">H38+G39</f>
        <v>-100000</v>
      </c>
    </row>
    <row r="40" customFormat="false" ht="15" hidden="false" customHeight="true" outlineLevel="0" collapsed="false">
      <c r="A40" s="790"/>
      <c r="B40" s="790" t="s">
        <v>2112</v>
      </c>
      <c r="C40" s="791" t="n">
        <f aca="false">EDATE($B$4,93)</f>
        <v>49003</v>
      </c>
      <c r="D40" s="790"/>
      <c r="E40" s="792" t="n">
        <f aca="false">IFERROR($D$38/4,0)</f>
        <v>0</v>
      </c>
      <c r="F40" s="792" t="n">
        <v>0</v>
      </c>
      <c r="G40" s="792" t="n">
        <f aca="false">E40+F40</f>
        <v>0</v>
      </c>
      <c r="H40" s="792" t="n">
        <f aca="false">H39+G40</f>
        <v>-100000</v>
      </c>
    </row>
    <row r="41" customFormat="false" ht="15" hidden="false" customHeight="true" outlineLevel="0" collapsed="false">
      <c r="A41" s="790"/>
      <c r="B41" s="790" t="s">
        <v>2113</v>
      </c>
      <c r="C41" s="791" t="n">
        <f aca="false">EDATE($B$4,96)</f>
        <v>49093</v>
      </c>
      <c r="D41" s="790"/>
      <c r="E41" s="792" t="n">
        <f aca="false">IFERROR($D$38/4,0)</f>
        <v>0</v>
      </c>
      <c r="F41" s="792" t="n">
        <f aca="false">IFERROR('LP Return Illustration'!I17+IF($A$38=$G$5,'LP Return Illustration'!$L$24+'LP Return Illustration'!$L$25,0),0)</f>
        <v>0</v>
      </c>
      <c r="G41" s="792" t="n">
        <f aca="false">E41+F41</f>
        <v>0</v>
      </c>
      <c r="H41" s="792" t="n">
        <f aca="false">H40+G41</f>
        <v>-100000</v>
      </c>
    </row>
    <row r="42" customFormat="false" ht="15" hidden="false" customHeight="true" outlineLevel="0" collapsed="false">
      <c r="A42" s="790" t="n">
        <v>9</v>
      </c>
      <c r="B42" s="790" t="s">
        <v>2109</v>
      </c>
      <c r="C42" s="791" t="n">
        <f aca="false">EDATE($B$4,99)</f>
        <v>49185</v>
      </c>
      <c r="D42" s="792" t="e">
        <f aca="false">'LP Return Illustration'!J15</f>
        <v>#VALUE!</v>
      </c>
      <c r="E42" s="792" t="n">
        <f aca="false">IFERROR($D$42/4,0)</f>
        <v>0</v>
      </c>
      <c r="F42" s="792" t="n">
        <v>0</v>
      </c>
      <c r="G42" s="792" t="n">
        <f aca="false">E42+F42</f>
        <v>0</v>
      </c>
      <c r="H42" s="792" t="n">
        <f aca="false">H41+G42</f>
        <v>-100000</v>
      </c>
    </row>
    <row r="43" customFormat="false" ht="15" hidden="false" customHeight="true" outlineLevel="0" collapsed="false">
      <c r="A43" s="790"/>
      <c r="B43" s="790" t="s">
        <v>2111</v>
      </c>
      <c r="C43" s="791" t="n">
        <f aca="false">EDATE($B$4,102)</f>
        <v>49277</v>
      </c>
      <c r="D43" s="790"/>
      <c r="E43" s="792" t="n">
        <f aca="false">IFERROR($D$42/4,0)</f>
        <v>0</v>
      </c>
      <c r="F43" s="792" t="n">
        <v>0</v>
      </c>
      <c r="G43" s="792" t="n">
        <f aca="false">E43+F43</f>
        <v>0</v>
      </c>
      <c r="H43" s="792" t="n">
        <f aca="false">H42+G43</f>
        <v>-100000</v>
      </c>
    </row>
    <row r="44" customFormat="false" ht="15" hidden="false" customHeight="true" outlineLevel="0" collapsed="false">
      <c r="A44" s="790"/>
      <c r="B44" s="790" t="s">
        <v>2112</v>
      </c>
      <c r="C44" s="791" t="n">
        <f aca="false">EDATE($B$4,105)</f>
        <v>49368</v>
      </c>
      <c r="D44" s="790"/>
      <c r="E44" s="792" t="n">
        <f aca="false">IFERROR($D$42/4,0)</f>
        <v>0</v>
      </c>
      <c r="F44" s="792" t="n">
        <v>0</v>
      </c>
      <c r="G44" s="792" t="n">
        <f aca="false">E44+F44</f>
        <v>0</v>
      </c>
      <c r="H44" s="792" t="n">
        <f aca="false">H43+G44</f>
        <v>-100000</v>
      </c>
    </row>
    <row r="45" customFormat="false" ht="15" hidden="false" customHeight="true" outlineLevel="0" collapsed="false">
      <c r="A45" s="790"/>
      <c r="B45" s="790" t="s">
        <v>2113</v>
      </c>
      <c r="C45" s="791" t="n">
        <f aca="false">EDATE($B$4,108)</f>
        <v>49458</v>
      </c>
      <c r="D45" s="790"/>
      <c r="E45" s="792" t="n">
        <f aca="false">IFERROR($D$42/4,0)</f>
        <v>0</v>
      </c>
      <c r="F45" s="792" t="n">
        <f aca="false">IFERROR('LP Return Illustration'!J17+IF($A$42=$G$5,'LP Return Illustration'!$L$24+'LP Return Illustration'!$L$25,0),0)</f>
        <v>0</v>
      </c>
      <c r="G45" s="792" t="n">
        <f aca="false">E45+F45</f>
        <v>0</v>
      </c>
      <c r="H45" s="792" t="n">
        <f aca="false">H44+G45</f>
        <v>-100000</v>
      </c>
    </row>
    <row r="46" customFormat="false" ht="15" hidden="false" customHeight="true" outlineLevel="0" collapsed="false">
      <c r="A46" s="790" t="n">
        <v>10</v>
      </c>
      <c r="B46" s="790" t="s">
        <v>2109</v>
      </c>
      <c r="C46" s="791" t="n">
        <f aca="false">EDATE($B$4,111)</f>
        <v>49550</v>
      </c>
      <c r="D46" s="792" t="e">
        <f aca="false">'LP Return Illustration'!K15</f>
        <v>#VALUE!</v>
      </c>
      <c r="E46" s="792" t="n">
        <f aca="false">IFERROR($D$46/4,0)</f>
        <v>0</v>
      </c>
      <c r="F46" s="792" t="n">
        <v>0</v>
      </c>
      <c r="G46" s="792" t="n">
        <f aca="false">E46+F46</f>
        <v>0</v>
      </c>
      <c r="H46" s="792" t="n">
        <f aca="false">H45+G46</f>
        <v>-100000</v>
      </c>
    </row>
    <row r="47" customFormat="false" ht="15" hidden="false" customHeight="true" outlineLevel="0" collapsed="false">
      <c r="A47" s="790"/>
      <c r="B47" s="790" t="s">
        <v>2111</v>
      </c>
      <c r="C47" s="791" t="n">
        <f aca="false">EDATE($B$4,114)</f>
        <v>49642</v>
      </c>
      <c r="D47" s="790"/>
      <c r="E47" s="792" t="n">
        <f aca="false">IFERROR($D$46/4,0)</f>
        <v>0</v>
      </c>
      <c r="F47" s="792" t="n">
        <v>0</v>
      </c>
      <c r="G47" s="792" t="n">
        <f aca="false">E47+F47</f>
        <v>0</v>
      </c>
      <c r="H47" s="792" t="n">
        <f aca="false">H46+G47</f>
        <v>-100000</v>
      </c>
    </row>
    <row r="48" customFormat="false" ht="15" hidden="false" customHeight="true" outlineLevel="0" collapsed="false">
      <c r="A48" s="790"/>
      <c r="B48" s="790" t="s">
        <v>2112</v>
      </c>
      <c r="C48" s="791" t="n">
        <f aca="false">EDATE($B$4,117)</f>
        <v>49734</v>
      </c>
      <c r="D48" s="790"/>
      <c r="E48" s="792" t="n">
        <f aca="false">IFERROR($D$46/4,0)</f>
        <v>0</v>
      </c>
      <c r="F48" s="792" t="n">
        <v>0</v>
      </c>
      <c r="G48" s="792" t="n">
        <f aca="false">E48+F48</f>
        <v>0</v>
      </c>
      <c r="H48" s="792" t="n">
        <f aca="false">H47+G48</f>
        <v>-100000</v>
      </c>
    </row>
    <row r="49" customFormat="false" ht="15" hidden="false" customHeight="true" outlineLevel="0" collapsed="false">
      <c r="A49" s="790"/>
      <c r="B49" s="790" t="s">
        <v>2113</v>
      </c>
      <c r="C49" s="791" t="n">
        <f aca="false">EDATE($B$4,120)</f>
        <v>49824</v>
      </c>
      <c r="D49" s="790"/>
      <c r="E49" s="792" t="n">
        <f aca="false">IFERROR($D$46/4,0)</f>
        <v>0</v>
      </c>
      <c r="F49" s="792" t="n">
        <f aca="false">IFERROR('LP Return Illustration'!K17+IF($A$46=$G$5,'LP Return Illustration'!$L$24+'LP Return Illustration'!$L$25,0),0)</f>
        <v>0</v>
      </c>
      <c r="G49" s="792" t="n">
        <f aca="false">E49+F49</f>
        <v>0</v>
      </c>
      <c r="H49" s="792" t="n">
        <f aca="false">H48+G49</f>
        <v>-100000</v>
      </c>
    </row>
    <row r="51" customFormat="false" ht="15" hidden="false" customHeight="true" outlineLevel="0" collapsed="false">
      <c r="A51" s="782" t="s">
        <v>2114</v>
      </c>
      <c r="E51" s="794" t="n">
        <f aca="false">SUM(E10:E49)</f>
        <v>0</v>
      </c>
      <c r="F51" s="794" t="n">
        <f aca="false">SUM(F10:F49)</f>
        <v>0</v>
      </c>
      <c r="G51" s="794" t="n">
        <f aca="false">SUM(G9:G49)</f>
        <v>-100000</v>
      </c>
      <c r="H51" s="794" t="n">
        <f aca="false">H49</f>
        <v>-100000</v>
      </c>
    </row>
    <row r="53" customFormat="false" ht="15" hidden="false" customHeight="true" outlineLevel="0" collapsed="false">
      <c r="A53" s="782" t="s">
        <v>2115</v>
      </c>
    </row>
    <row r="54" customFormat="false" ht="15" hidden="false" customHeight="true" outlineLevel="0" collapsed="false">
      <c r="A54" s="795" t="s">
        <v>2116</v>
      </c>
      <c r="H54" s="796" t="n">
        <f aca="false">IFERROR(XIRR(G9:G49,C9:C49,0.1),0)</f>
        <v>0</v>
      </c>
    </row>
    <row r="55" customFormat="false" ht="15" hidden="false" customHeight="true" outlineLevel="0" collapsed="false">
      <c r="A55" s="795" t="s">
        <v>2117</v>
      </c>
      <c r="H55" s="797" t="n">
        <f aca="false">IFERROR(IRR(K9:K19,0.1),0)</f>
        <v>0</v>
      </c>
    </row>
    <row r="56" customFormat="false" ht="15" hidden="false" customHeight="true" outlineLevel="0" collapsed="false">
      <c r="A56" s="795" t="s">
        <v>2118</v>
      </c>
      <c r="H56" s="797" t="n">
        <f aca="false">IFERROR(H54-H55,0)</f>
        <v>0</v>
      </c>
    </row>
    <row r="57" customFormat="false" ht="15" hidden="false" customHeight="true" outlineLevel="0" collapsed="false">
      <c r="A57" s="795" t="s">
        <v>2119</v>
      </c>
      <c r="H57" s="798" t="n">
        <f aca="false">IFERROR((H49+'LP Return Illustration'!$B$5)/'LP Return Illustration'!$B$5,0)</f>
        <v>0</v>
      </c>
    </row>
    <row r="58" customFormat="false" ht="15" hidden="false" customHeight="true" outlineLevel="0" collapsed="false">
      <c r="A58" s="795" t="s">
        <v>2120</v>
      </c>
      <c r="H58" s="793" t="n">
        <f aca="false">H49+ABS(G9)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4"/>
  <sheetViews>
    <sheetView showFormulas="false" showGridLines="true" showRowColHeaders="true" showZeros="true" rightToLeft="false" tabSelected="false" showOutlineSymbols="true" defaultGridColor="true" view="normal" topLeftCell="A1" colorId="64" zoomScale="113" zoomScaleNormal="113" zoomScalePageLayoutView="100" workbookViewId="0">
      <selection pane="topLeft" activeCell="F10" activeCellId="0" sqref="F10"/>
    </sheetView>
  </sheetViews>
  <sheetFormatPr defaultColWidth="8.8593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4"/>
  </cols>
  <sheetData>
    <row r="1" customFormat="false" ht="24" hidden="false" customHeight="true" outlineLevel="0" collapsed="false">
      <c r="A1" s="3" t="str">
        <f aca="false">IF('Prop Info'!B4="","SENSITIVITY ANALYSIS — THREE KEY TRADE-OFF TABLES","SENSITIVITY ANALYSIS — THREE KEY TRADE-OFF TABLES"&amp;" — "&amp;'Prop Info'!B4)</f>
        <v>SENSITIVITY ANALYSIS — THREE KEY TRADE-OFF TABLES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.75" hidden="false" customHeight="true" outlineLevel="0" collapsed="false">
      <c r="A2" s="93" t="s">
        <v>2121</v>
      </c>
      <c r="B2" s="93"/>
      <c r="C2" s="93"/>
      <c r="D2" s="93"/>
      <c r="E2" s="93"/>
      <c r="F2" s="93"/>
      <c r="G2" s="93"/>
      <c r="H2" s="93"/>
      <c r="I2" s="93"/>
      <c r="J2" s="93"/>
    </row>
    <row r="4" customFormat="false" ht="24" hidden="false" customHeight="true" outlineLevel="0" collapsed="false">
      <c r="A4" s="3" t="s">
        <v>2122</v>
      </c>
      <c r="B4" s="3"/>
      <c r="C4" s="3"/>
      <c r="D4" s="3"/>
      <c r="E4" s="3"/>
      <c r="F4" s="3"/>
      <c r="G4" s="3"/>
      <c r="H4" s="3"/>
      <c r="I4" s="3"/>
      <c r="J4" s="3"/>
    </row>
    <row r="5" customFormat="false" ht="15" hidden="false" customHeight="true" outlineLevel="0" collapsed="false">
      <c r="A5" s="799" t="s">
        <v>2123</v>
      </c>
      <c r="B5" s="800" t="n">
        <f aca="false">$K$5+0*$M$5</f>
        <v>0.075</v>
      </c>
      <c r="C5" s="800" t="n">
        <f aca="false">$K$5+1*$M$5</f>
        <v>0.08</v>
      </c>
      <c r="D5" s="800" t="n">
        <f aca="false">$K$5+2*$M$5</f>
        <v>0.085</v>
      </c>
      <c r="E5" s="800" t="n">
        <f aca="false">$K$5+3*$M$5</f>
        <v>0.09</v>
      </c>
      <c r="F5" s="800" t="n">
        <f aca="false">$K$5+4*$M$5</f>
        <v>0.095</v>
      </c>
      <c r="G5" s="800" t="n">
        <f aca="false">$K$5+5*$M$5</f>
        <v>0.1</v>
      </c>
      <c r="H5" s="800" t="n">
        <f aca="false">$K$5+6*$M$5</f>
        <v>0.105</v>
      </c>
      <c r="J5" s="801" t="s">
        <v>292</v>
      </c>
      <c r="K5" s="802" t="n">
        <v>0.075</v>
      </c>
      <c r="L5" s="801" t="s">
        <v>293</v>
      </c>
      <c r="M5" s="802" t="n">
        <v>0.005</v>
      </c>
      <c r="N5" s="801" t="s">
        <v>294</v>
      </c>
      <c r="O5" s="803" t="n">
        <v>0.7</v>
      </c>
      <c r="P5" s="801" t="s">
        <v>295</v>
      </c>
      <c r="Q5" s="803" t="n">
        <v>0.025</v>
      </c>
    </row>
    <row r="6" customFormat="false" ht="15" hidden="false" customHeight="true" outlineLevel="0" collapsed="false">
      <c r="A6" s="804" t="n">
        <f aca="false">$O$5+0*$Q$5</f>
        <v>0.7</v>
      </c>
      <c r="B6" s="805" t="str">
        <f aca="false">IFERROR(((('P&amp;L'!H40*(A6/(1-Scenarios!F41)))/B5*(1-0.025)-Scenarios!F117)/Scenarios!F31)^(1/5)-1,"")</f>
        <v/>
      </c>
      <c r="C6" s="805" t="str">
        <f aca="false">IFERROR(((('P&amp;L'!H40*(A6/(1-Scenarios!F41)))/C5*(1-0.025)-Scenarios!F117)/Scenarios!F31)^(1/5)-1,"")</f>
        <v/>
      </c>
      <c r="D6" s="805" t="str">
        <f aca="false">IFERROR(((('P&amp;L'!H40*(A6/(1-Scenarios!F41)))/D5*(1-0.025)-Scenarios!F117)/Scenarios!F31)^(1/5)-1,"")</f>
        <v/>
      </c>
      <c r="E6" s="805" t="str">
        <f aca="false">IFERROR(((('P&amp;L'!H40*(A6/(1-Scenarios!F41)))/E5*(1-0.025)-Scenarios!F117)/Scenarios!F31)^(1/5)-1,"")</f>
        <v/>
      </c>
      <c r="F6" s="805" t="str">
        <f aca="false">IFERROR(((('P&amp;L'!H40*(A6/(1-Scenarios!F41)))/F5*(1-0.025)-Scenarios!F117)/Scenarios!F31)^(1/5)-1,"")</f>
        <v/>
      </c>
      <c r="G6" s="805" t="str">
        <f aca="false">IFERROR(((('P&amp;L'!H40*(A6/(1-Scenarios!F41)))/G5*(1-0.025)-Scenarios!F117)/Scenarios!F31)^(1/5)-1,"")</f>
        <v/>
      </c>
      <c r="H6" s="805" t="str">
        <f aca="false">IFERROR(((('P&amp;L'!H40*(A6/(1-Scenarios!F41)))/H5*(1-0.025)-Scenarios!F117)/Scenarios!F31)^(1/5)-1,"")</f>
        <v/>
      </c>
    </row>
    <row r="7" customFormat="false" ht="15" hidden="false" customHeight="true" outlineLevel="0" collapsed="false">
      <c r="A7" s="804" t="n">
        <f aca="false">$O$5+1*$Q$5</f>
        <v>0.725</v>
      </c>
      <c r="B7" s="805" t="str">
        <f aca="false">IFERROR(((('P&amp;L'!H40*(A7/(1-Scenarios!F41)))/B5*(1-0.025)-Scenarios!F117)/Scenarios!F31)^(1/5)-1,"")</f>
        <v/>
      </c>
      <c r="C7" s="805" t="str">
        <f aca="false">IFERROR(((('P&amp;L'!H40*(A7/(1-Scenarios!F41)))/C5*(1-0.025)-Scenarios!F117)/Scenarios!F31)^(1/5)-1,"")</f>
        <v/>
      </c>
      <c r="D7" s="805" t="str">
        <f aca="false">IFERROR(((('P&amp;L'!H40*(A7/(1-Scenarios!F41)))/D5*(1-0.025)-Scenarios!F117)/Scenarios!F31)^(1/5)-1,"")</f>
        <v/>
      </c>
      <c r="E7" s="805" t="str">
        <f aca="false">IFERROR(((('P&amp;L'!H40*(A7/(1-Scenarios!F41)))/E5*(1-0.025)-Scenarios!F117)/Scenarios!F31)^(1/5)-1,"")</f>
        <v/>
      </c>
      <c r="F7" s="805" t="str">
        <f aca="false">IFERROR(((('P&amp;L'!H40*(A7/(1-Scenarios!F41)))/F5*(1-0.025)-Scenarios!F117)/Scenarios!F31)^(1/5)-1,"")</f>
        <v/>
      </c>
      <c r="G7" s="805" t="str">
        <f aca="false">IFERROR(((('P&amp;L'!H40*(A7/(1-Scenarios!F41)))/G5*(1-0.025)-Scenarios!F117)/Scenarios!F31)^(1/5)-1,"")</f>
        <v/>
      </c>
      <c r="H7" s="805" t="str">
        <f aca="false">IFERROR(((('P&amp;L'!H40*(A7/(1-Scenarios!F41)))/H5*(1-0.025)-Scenarios!F117)/Scenarios!F31)^(1/5)-1,"")</f>
        <v/>
      </c>
    </row>
    <row r="8" customFormat="false" ht="15" hidden="false" customHeight="true" outlineLevel="0" collapsed="false">
      <c r="A8" s="804" t="n">
        <f aca="false">$O$5+2*$Q$5</f>
        <v>0.75</v>
      </c>
      <c r="B8" s="806" t="str">
        <f aca="false">IFERROR(((('P&amp;L'!H40*(A8/(1-Scenarios!F41)))/B5*(1-0.025)-Scenarios!F117)/Scenarios!F31)^(1/5)-1,"")</f>
        <v/>
      </c>
      <c r="C8" s="806" t="str">
        <f aca="false">IFERROR(((('P&amp;L'!H40*(A8/(1-Scenarios!F41)))/C5*(1-0.025)-Scenarios!F117)/Scenarios!F31)^(1/5)-1,"")</f>
        <v/>
      </c>
      <c r="D8" s="806" t="str">
        <f aca="false">IFERROR(((('P&amp;L'!H40*(A8/(1-Scenarios!F41)))/D5*(1-0.025)-Scenarios!F117)/Scenarios!F31)^(1/5)-1,"")</f>
        <v/>
      </c>
      <c r="E8" s="806" t="str">
        <f aca="false">IFERROR(((('P&amp;L'!H40*(A8/(1-Scenarios!F41)))/E5*(1-0.025)-Scenarios!F117)/Scenarios!F31)^(1/5)-1,"")</f>
        <v/>
      </c>
      <c r="F8" s="806" t="str">
        <f aca="false">IFERROR(((('P&amp;L'!H40*(A8/(1-Scenarios!F41)))/F5*(1-0.025)-Scenarios!F117)/Scenarios!F31)^(1/5)-1,"")</f>
        <v/>
      </c>
      <c r="G8" s="806" t="str">
        <f aca="false">IFERROR(((('P&amp;L'!H40*(A8/(1-Scenarios!F41)))/G5*(1-0.025)-Scenarios!F117)/Scenarios!F31)^(1/5)-1,"")</f>
        <v/>
      </c>
      <c r="H8" s="805" t="str">
        <f aca="false">IFERROR(((('P&amp;L'!H40*(A8/(1-Scenarios!F41)))/H5*(1-0.025)-Scenarios!F117)/Scenarios!F31)^(1/5)-1,"")</f>
        <v/>
      </c>
    </row>
    <row r="9" customFormat="false" ht="15" hidden="false" customHeight="true" outlineLevel="0" collapsed="false">
      <c r="A9" s="804" t="n">
        <f aca="false">$O$5+3*$Q$5</f>
        <v>0.775</v>
      </c>
      <c r="B9" s="806" t="str">
        <f aca="false">IFERROR(((('P&amp;L'!H40*(A9/(1-Scenarios!F41)))/B5*(1-0.025)-Scenarios!F117)/Scenarios!F31)^(1/5)-1,"")</f>
        <v/>
      </c>
      <c r="C9" s="806" t="str">
        <f aca="false">IFERROR(((('P&amp;L'!H40*(A9/(1-Scenarios!F41)))/C5*(1-0.025)-Scenarios!F117)/Scenarios!F31)^(1/5)-1,"")</f>
        <v/>
      </c>
      <c r="D9" s="806" t="str">
        <f aca="false">IFERROR(((('P&amp;L'!H40*(A9/(1-Scenarios!F41)))/D5*(1-0.025)-Scenarios!F117)/Scenarios!F31)^(1/5)-1,"")</f>
        <v/>
      </c>
      <c r="E9" s="806" t="str">
        <f aca="false">IFERROR(((('P&amp;L'!H40*(A9/(1-Scenarios!F41)))/E5*(1-0.025)-Scenarios!F117)/Scenarios!F31)^(1/5)-1,"")</f>
        <v/>
      </c>
      <c r="F9" s="806" t="str">
        <f aca="false">IFERROR(((('P&amp;L'!H40*(A9/(1-Scenarios!F41)))/F5*(1-0.025)-Scenarios!F117)/Scenarios!F31)^(1/5)-1,"")</f>
        <v/>
      </c>
      <c r="G9" s="806" t="str">
        <f aca="false">IFERROR(((('P&amp;L'!H40*(A9/(1-Scenarios!F41)))/G5*(1-0.025)-Scenarios!F117)/Scenarios!F31)^(1/5)-1,"")</f>
        <v/>
      </c>
      <c r="H9" s="805" t="str">
        <f aca="false">IFERROR(((('P&amp;L'!H40*(A9/(1-Scenarios!F41)))/H5*(1-0.025)-Scenarios!F117)/Scenarios!F31)^(1/5)-1,"")</f>
        <v/>
      </c>
    </row>
    <row r="10" customFormat="false" ht="15" hidden="false" customHeight="true" outlineLevel="0" collapsed="false">
      <c r="A10" s="804" t="n">
        <f aca="false">$O$5+4*$Q$5</f>
        <v>0.8</v>
      </c>
      <c r="B10" s="807" t="str">
        <f aca="false">IFERROR(((('P&amp;L'!H40*(A10/(1-Scenarios!F41)))/B5*(1-0.025)-Scenarios!F117)/Scenarios!F31)^(1/5)-1,"")</f>
        <v/>
      </c>
      <c r="C10" s="807" t="str">
        <f aca="false">IFERROR(((('P&amp;L'!H40*(A10/(1-Scenarios!F41)))/C5*(1-0.025)-Scenarios!F117)/Scenarios!F31)^(1/5)-1,"")</f>
        <v/>
      </c>
      <c r="D10" s="807" t="str">
        <f aca="false">IFERROR(((('P&amp;L'!H40*(A10/(1-Scenarios!F41)))/D5*(1-0.025)-Scenarios!F117)/Scenarios!F31)^(1/5)-1,"")</f>
        <v/>
      </c>
      <c r="E10" s="807" t="str">
        <f aca="false">IFERROR(((('P&amp;L'!H40*(A10/(1-Scenarios!F41)))/E5*(1-0.025)-Scenarios!F117)/Scenarios!F31)^(1/5)-1,"")</f>
        <v/>
      </c>
      <c r="F10" s="806" t="str">
        <f aca="false">IFERROR(((('P&amp;L'!H40*(A10/(1-Scenarios!F41)))/F5*(1-0.025)-Scenarios!F117)/Scenarios!F31)^(1/5)-1,"")</f>
        <v/>
      </c>
      <c r="G10" s="806" t="str">
        <f aca="false">IFERROR(((('P&amp;L'!H40*(A10/(1-Scenarios!F41)))/G5*(1-0.025)-Scenarios!F117)/Scenarios!F31)^(1/5)-1,"")</f>
        <v/>
      </c>
      <c r="H10" s="805" t="str">
        <f aca="false">IFERROR(((('P&amp;L'!H40*(A10/(1-Scenarios!F41)))/H5*(1-0.025)-Scenarios!F117)/Scenarios!F31)^(1/5)-1,"")</f>
        <v/>
      </c>
    </row>
    <row r="11" customFormat="false" ht="15" hidden="false" customHeight="true" outlineLevel="0" collapsed="false">
      <c r="A11" s="804" t="n">
        <f aca="false">$O$5+5*$Q$5</f>
        <v>0.825</v>
      </c>
      <c r="B11" s="807" t="str">
        <f aca="false">IFERROR(((('P&amp;L'!H40*(A11/(1-Scenarios!F41)))/B5*(1-0.025)-Scenarios!F117)/Scenarios!F31)^(1/5)-1,"")</f>
        <v/>
      </c>
      <c r="C11" s="807" t="str">
        <f aca="false">IFERROR(((('P&amp;L'!H40*(A11/(1-Scenarios!F41)))/C5*(1-0.025)-Scenarios!F117)/Scenarios!F31)^(1/5)-1,"")</f>
        <v/>
      </c>
      <c r="D11" s="807" t="str">
        <f aca="false">IFERROR(((('P&amp;L'!H40*(A11/(1-Scenarios!F41)))/D5*(1-0.025)-Scenarios!F117)/Scenarios!F31)^(1/5)-1,"")</f>
        <v/>
      </c>
      <c r="E11" s="807" t="str">
        <f aca="false">IFERROR(((('P&amp;L'!H40*(A11/(1-Scenarios!F41)))/E5*(1-0.025)-Scenarios!F117)/Scenarios!F31)^(1/5)-1,"")</f>
        <v/>
      </c>
      <c r="F11" s="806" t="str">
        <f aca="false">IFERROR(((('P&amp;L'!H40*(A11/(1-Scenarios!F41)))/F5*(1-0.025)-Scenarios!F117)/Scenarios!F31)^(1/5)-1,"")</f>
        <v/>
      </c>
      <c r="G11" s="806" t="str">
        <f aca="false">IFERROR(((('P&amp;L'!H40*(A11/(1-Scenarios!F41)))/G5*(1-0.025)-Scenarios!F117)/Scenarios!F31)^(1/5)-1,"")</f>
        <v/>
      </c>
      <c r="H11" s="805" t="str">
        <f aca="false">IFERROR(((('P&amp;L'!H40*(A11/(1-Scenarios!F41)))/H5*(1-0.025)-Scenarios!F117)/Scenarios!F31)^(1/5)-1,"")</f>
        <v/>
      </c>
    </row>
    <row r="12" customFormat="false" ht="15" hidden="false" customHeight="true" outlineLevel="0" collapsed="false">
      <c r="A12" s="804" t="n">
        <f aca="false">$O$5+6*$Q$5</f>
        <v>0.85</v>
      </c>
      <c r="B12" s="807" t="str">
        <f aca="false">IFERROR(((('P&amp;L'!H40*(A12/(1-Scenarios!F41)))/B5*(1-0.025)-Scenarios!F117)/Scenarios!F31)^(1/5)-1,"")</f>
        <v/>
      </c>
      <c r="C12" s="807" t="str">
        <f aca="false">IFERROR(((('P&amp;L'!H40*(A12/(1-Scenarios!F41)))/C5*(1-0.025)-Scenarios!F117)/Scenarios!F31)^(1/5)-1,"")</f>
        <v/>
      </c>
      <c r="D12" s="807" t="str">
        <f aca="false">IFERROR(((('P&amp;L'!H40*(A12/(1-Scenarios!F41)))/D5*(1-0.025)-Scenarios!F117)/Scenarios!F31)^(1/5)-1,"")</f>
        <v/>
      </c>
      <c r="E12" s="807" t="str">
        <f aca="false">IFERROR(((('P&amp;L'!H40*(A12/(1-Scenarios!F41)))/E5*(1-0.025)-Scenarios!F117)/Scenarios!F31)^(1/5)-1,"")</f>
        <v/>
      </c>
      <c r="F12" s="806" t="str">
        <f aca="false">IFERROR(((('P&amp;L'!H40*(A12/(1-Scenarios!F41)))/F5*(1-0.025)-Scenarios!F117)/Scenarios!F31)^(1/5)-1,"")</f>
        <v/>
      </c>
      <c r="G12" s="806" t="str">
        <f aca="false">IFERROR(((('P&amp;L'!H40*(A12/(1-Scenarios!F41)))/G5*(1-0.025)-Scenarios!F117)/Scenarios!F31)^(1/5)-1,"")</f>
        <v/>
      </c>
      <c r="H12" s="805" t="str">
        <f aca="false">IFERROR(((('P&amp;L'!H40*(A12/(1-Scenarios!F41)))/H5*(1-0.025)-Scenarios!F117)/Scenarios!F31)^(1/5)-1,"")</f>
        <v/>
      </c>
    </row>
    <row r="13" customFormat="false" ht="15" hidden="false" customHeight="true" outlineLevel="0" collapsed="false">
      <c r="A13" s="804" t="n">
        <f aca="false">$O$5+7*$Q$5</f>
        <v>0.875</v>
      </c>
      <c r="B13" s="807" t="str">
        <f aca="false">IFERROR(((('P&amp;L'!H40*(A13/(1-Scenarios!F41)))/B5*(1-0.025)-Scenarios!F117)/Scenarios!F31)^(1/5)-1,"")</f>
        <v/>
      </c>
      <c r="C13" s="807" t="str">
        <f aca="false">IFERROR(((('P&amp;L'!H40*(A13/(1-Scenarios!F41)))/C5*(1-0.025)-Scenarios!F117)/Scenarios!F31)^(1/5)-1,"")</f>
        <v/>
      </c>
      <c r="D13" s="807" t="str">
        <f aca="false">IFERROR(((('P&amp;L'!H40*(A13/(1-Scenarios!F41)))/D5*(1-0.025)-Scenarios!F117)/Scenarios!F31)^(1/5)-1,"")</f>
        <v/>
      </c>
      <c r="E13" s="807" t="str">
        <f aca="false">IFERROR(((('P&amp;L'!H40*(A13/(1-Scenarios!F41)))/E5*(1-0.025)-Scenarios!F117)/Scenarios!F31)^(1/5)-1,"")</f>
        <v/>
      </c>
      <c r="F13" s="806" t="str">
        <f aca="false">IFERROR(((('P&amp;L'!H40*(A13/(1-Scenarios!F41)))/F5*(1-0.025)-Scenarios!F117)/Scenarios!F31)^(1/5)-1,"")</f>
        <v/>
      </c>
      <c r="G13" s="806" t="str">
        <f aca="false">IFERROR(((('P&amp;L'!H40*(A13/(1-Scenarios!F41)))/G5*(1-0.025)-Scenarios!F117)/Scenarios!F31)^(1/5)-1,"")</f>
        <v/>
      </c>
      <c r="H13" s="805" t="str">
        <f aca="false">IFERROR(((('P&amp;L'!H40*(A13/(1-Scenarios!F41)))/H5*(1-0.025)-Scenarios!F117)/Scenarios!F31)^(1/5)-1,"")</f>
        <v/>
      </c>
    </row>
    <row r="15" customFormat="false" ht="24" hidden="false" customHeight="true" outlineLevel="0" collapsed="false">
      <c r="A15" s="17" t="s">
        <v>2124</v>
      </c>
      <c r="B15" s="17"/>
      <c r="C15" s="17"/>
      <c r="D15" s="17"/>
      <c r="E15" s="17"/>
      <c r="F15" s="17"/>
      <c r="G15" s="17"/>
      <c r="H15" s="17"/>
      <c r="I15" s="17"/>
      <c r="J15" s="17"/>
    </row>
    <row r="16" customFormat="false" ht="15" hidden="false" customHeight="true" outlineLevel="0" collapsed="false">
      <c r="A16" s="808" t="s">
        <v>2125</v>
      </c>
      <c r="B16" s="804" t="n">
        <f aca="false">$K$16+0*$M$16</f>
        <v>0.03</v>
      </c>
      <c r="C16" s="804" t="n">
        <f aca="false">$K$16+1*$M$16</f>
        <v>0.035</v>
      </c>
      <c r="D16" s="804" t="n">
        <f aca="false">$K$16+2*$M$16</f>
        <v>0.04</v>
      </c>
      <c r="E16" s="804" t="n">
        <f aca="false">$K$16+3*$M$16</f>
        <v>0.045</v>
      </c>
      <c r="F16" s="804" t="n">
        <f aca="false">$K$16+4*$M$16</f>
        <v>0.05</v>
      </c>
      <c r="G16" s="804" t="n">
        <f aca="false">$K$16+5*$M$16</f>
        <v>0.055</v>
      </c>
      <c r="H16" s="804" t="n">
        <f aca="false">$K$16+6*$M$16</f>
        <v>0.06</v>
      </c>
      <c r="J16" s="801" t="s">
        <v>296</v>
      </c>
      <c r="K16" s="803" t="n">
        <v>0.03</v>
      </c>
      <c r="L16" s="801" t="s">
        <v>293</v>
      </c>
      <c r="M16" s="803" t="n">
        <v>0.005</v>
      </c>
      <c r="N16" s="801" t="s">
        <v>297</v>
      </c>
      <c r="O16" s="803" t="n">
        <v>0.02</v>
      </c>
      <c r="P16" s="801" t="s">
        <v>293</v>
      </c>
      <c r="Q16" s="803" t="n">
        <v>0.005</v>
      </c>
    </row>
    <row r="17" customFormat="false" ht="15" hidden="false" customHeight="true" outlineLevel="0" collapsed="false">
      <c r="A17" s="804" t="n">
        <f aca="false">$O$16+0*$Q$16</f>
        <v>0.02</v>
      </c>
      <c r="B17" s="806" t="str">
        <f aca="false">IFERROR(('P&amp;L'!H19*(1+$A17)^5-'P&amp;L'!H38*(1+B16)^5)/('P&amp;L'!H19*(1+$A17)^5),"")</f>
        <v/>
      </c>
      <c r="C17" s="806" t="str">
        <f aca="false">IFERROR(('P&amp;L'!H19*(1+$A17)^5-'P&amp;L'!H38*(1+C16)^5)/('P&amp;L'!H19*(1+$A17)^5),"")</f>
        <v/>
      </c>
      <c r="D17" s="806" t="str">
        <f aca="false">IFERROR(('P&amp;L'!H19*(1+$A17)^5-'P&amp;L'!H38*(1+D16)^5)/('P&amp;L'!H19*(1+$A17)^5),"")</f>
        <v/>
      </c>
      <c r="E17" s="806" t="str">
        <f aca="false">IFERROR(('P&amp;L'!H19*(1+$A17)^5-'P&amp;L'!H38*(1+E16)^5)/('P&amp;L'!H19*(1+$A17)^5),"")</f>
        <v/>
      </c>
      <c r="F17" s="806" t="str">
        <f aca="false">IFERROR(('P&amp;L'!H19*(1+$A17)^5-'P&amp;L'!H38*(1+F16)^5)/('P&amp;L'!H19*(1+$A17)^5),"")</f>
        <v/>
      </c>
      <c r="G17" s="805" t="str">
        <f aca="false">IFERROR(('P&amp;L'!H19*(1+$A17)^5-'P&amp;L'!H38*(1+G16)^5)/('P&amp;L'!H19*(1+$A17)^5),"")</f>
        <v/>
      </c>
      <c r="H17" s="805" t="str">
        <f aca="false">IFERROR(('P&amp;L'!H19*(1+$A17)^5-'P&amp;L'!H38*(1+H16)^5)/('P&amp;L'!H19*(1+$A17)^5),"")</f>
        <v/>
      </c>
    </row>
    <row r="18" customFormat="false" ht="15" hidden="false" customHeight="true" outlineLevel="0" collapsed="false">
      <c r="A18" s="804" t="n">
        <f aca="false">$O$16+1*$Q$16</f>
        <v>0.025</v>
      </c>
      <c r="B18" s="806" t="str">
        <f aca="false">IFERROR(('P&amp;L'!H19*(1+$A18)^5-'P&amp;L'!H38*(1+B16)^5)/('P&amp;L'!H19*(1+$A18)^5),"")</f>
        <v/>
      </c>
      <c r="C18" s="806" t="str">
        <f aca="false">IFERROR(('P&amp;L'!H19*(1+$A18)^5-'P&amp;L'!H38*(1+C16)^5)/('P&amp;L'!H19*(1+$A18)^5),"")</f>
        <v/>
      </c>
      <c r="D18" s="806" t="str">
        <f aca="false">IFERROR(('P&amp;L'!H19*(1+$A18)^5-'P&amp;L'!H38*(1+D16)^5)/('P&amp;L'!H19*(1+$A18)^5),"")</f>
        <v/>
      </c>
      <c r="E18" s="806" t="str">
        <f aca="false">IFERROR(('P&amp;L'!H19*(1+$A18)^5-'P&amp;L'!H38*(1+E16)^5)/('P&amp;L'!H19*(1+$A18)^5),"")</f>
        <v/>
      </c>
      <c r="F18" s="806" t="str">
        <f aca="false">IFERROR(('P&amp;L'!H19*(1+$A18)^5-'P&amp;L'!H38*(1+F16)^5)/('P&amp;L'!H19*(1+$A18)^5),"")</f>
        <v/>
      </c>
      <c r="G18" s="806" t="str">
        <f aca="false">IFERROR(('P&amp;L'!H19*(1+$A18)^5-'P&amp;L'!H38*(1+G16)^5)/('P&amp;L'!H19*(1+$A18)^5),"")</f>
        <v/>
      </c>
      <c r="H18" s="806" t="str">
        <f aca="false">IFERROR(('P&amp;L'!H19*(1+$A18)^5-'P&amp;L'!H38*(1+H16)^5)/('P&amp;L'!H19*(1+$A18)^5),"")</f>
        <v/>
      </c>
    </row>
    <row r="19" customFormat="false" ht="15" hidden="false" customHeight="true" outlineLevel="0" collapsed="false">
      <c r="A19" s="804" t="n">
        <f aca="false">$O$16+2*$Q$16</f>
        <v>0.03</v>
      </c>
      <c r="B19" s="807" t="str">
        <f aca="false">IFERROR(('P&amp;L'!H19*(1+$A19)^5-'P&amp;L'!H38*(1+B16)^5)/('P&amp;L'!H19*(1+$A19)^5),"")</f>
        <v/>
      </c>
      <c r="C19" s="807" t="str">
        <f aca="false">IFERROR(('P&amp;L'!H19*(1+$A19)^5-'P&amp;L'!H38*(1+C16)^5)/('P&amp;L'!H19*(1+$A19)^5),"")</f>
        <v/>
      </c>
      <c r="D19" s="807" t="str">
        <f aca="false">IFERROR(('P&amp;L'!H19*(1+$A19)^5-'P&amp;L'!H38*(1+D16)^5)/('P&amp;L'!H19*(1+$A19)^5),"")</f>
        <v/>
      </c>
      <c r="E19" s="806" t="str">
        <f aca="false">IFERROR(('P&amp;L'!H19*(1+$A19)^5-'P&amp;L'!H38*(1+E16)^5)/('P&amp;L'!H19*(1+$A19)^5),"")</f>
        <v/>
      </c>
      <c r="F19" s="806" t="str">
        <f aca="false">IFERROR(('P&amp;L'!H19*(1+$A19)^5-'P&amp;L'!H38*(1+F16)^5)/('P&amp;L'!H19*(1+$A19)^5),"")</f>
        <v/>
      </c>
      <c r="G19" s="806" t="str">
        <f aca="false">IFERROR(('P&amp;L'!H19*(1+$A19)^5-'P&amp;L'!H38*(1+G16)^5)/('P&amp;L'!H19*(1+$A19)^5),"")</f>
        <v/>
      </c>
      <c r="H19" s="806" t="str">
        <f aca="false">IFERROR(('P&amp;L'!H19*(1+$A19)^5-'P&amp;L'!H38*(1+H16)^5)/('P&amp;L'!H19*(1+$A19)^5),"")</f>
        <v/>
      </c>
    </row>
    <row r="20" customFormat="false" ht="15" hidden="false" customHeight="true" outlineLevel="0" collapsed="false">
      <c r="A20" s="804" t="n">
        <f aca="false">$O$16+3*$Q$16</f>
        <v>0.035</v>
      </c>
      <c r="B20" s="807" t="str">
        <f aca="false">IFERROR(('P&amp;L'!H19*(1+$A20)^5-'P&amp;L'!H38*(1+B16)^5)/('P&amp;L'!H19*(1+$A20)^5),"")</f>
        <v/>
      </c>
      <c r="C20" s="807" t="str">
        <f aca="false">IFERROR(('P&amp;L'!H19*(1+$A20)^5-'P&amp;L'!H38*(1+C16)^5)/('P&amp;L'!H19*(1+$A20)^5),"")</f>
        <v/>
      </c>
      <c r="D20" s="807" t="str">
        <f aca="false">IFERROR(('P&amp;L'!H19*(1+$A20)^5-'P&amp;L'!H38*(1+D16)^5)/('P&amp;L'!H19*(1+$A20)^5),"")</f>
        <v/>
      </c>
      <c r="E20" s="806" t="str">
        <f aca="false">IFERROR(('P&amp;L'!H19*(1+$A20)^5-'P&amp;L'!H38*(1+E16)^5)/('P&amp;L'!H19*(1+$A20)^5),"")</f>
        <v/>
      </c>
      <c r="F20" s="806" t="str">
        <f aca="false">IFERROR(('P&amp;L'!H19*(1+$A20)^5-'P&amp;L'!H38*(1+F16)^5)/('P&amp;L'!H19*(1+$A20)^5),"")</f>
        <v/>
      </c>
      <c r="G20" s="806" t="str">
        <f aca="false">IFERROR(('P&amp;L'!H19*(1+$A20)^5-'P&amp;L'!H38*(1+G16)^5)/('P&amp;L'!H19*(1+$A20)^5),"")</f>
        <v/>
      </c>
      <c r="H20" s="806" t="str">
        <f aca="false">IFERROR(('P&amp;L'!H19*(1+$A20)^5-'P&amp;L'!H38*(1+H16)^5)/('P&amp;L'!H19*(1+$A20)^5),"")</f>
        <v/>
      </c>
    </row>
    <row r="21" customFormat="false" ht="15" hidden="false" customHeight="true" outlineLevel="0" collapsed="false">
      <c r="A21" s="804" t="n">
        <f aca="false">$O$16+4*$Q$16</f>
        <v>0.04</v>
      </c>
      <c r="B21" s="807" t="str">
        <f aca="false">IFERROR(('P&amp;L'!H19*(1+$A21)^5-'P&amp;L'!H38*(1+B16)^5)/('P&amp;L'!H19*(1+$A21)^5),"")</f>
        <v/>
      </c>
      <c r="C21" s="807" t="str">
        <f aca="false">IFERROR(('P&amp;L'!H19*(1+$A21)^5-'P&amp;L'!H38*(1+C16)^5)/('P&amp;L'!H19*(1+$A21)^5),"")</f>
        <v/>
      </c>
      <c r="D21" s="807" t="str">
        <f aca="false">IFERROR(('P&amp;L'!H19*(1+$A21)^5-'P&amp;L'!H38*(1+D16)^5)/('P&amp;L'!H19*(1+$A21)^5),"")</f>
        <v/>
      </c>
      <c r="E21" s="806" t="str">
        <f aca="false">IFERROR(('P&amp;L'!H19*(1+$A21)^5-'P&amp;L'!H38*(1+E16)^5)/('P&amp;L'!H19*(1+$A21)^5),"")</f>
        <v/>
      </c>
      <c r="F21" s="806" t="str">
        <f aca="false">IFERROR(('P&amp;L'!H19*(1+$A21)^5-'P&amp;L'!H38*(1+F16)^5)/('P&amp;L'!H19*(1+$A21)^5),"")</f>
        <v/>
      </c>
      <c r="G21" s="806" t="str">
        <f aca="false">IFERROR(('P&amp;L'!H19*(1+$A21)^5-'P&amp;L'!H38*(1+G16)^5)/('P&amp;L'!H19*(1+$A21)^5),"")</f>
        <v/>
      </c>
      <c r="H21" s="806" t="str">
        <f aca="false">IFERROR(('P&amp;L'!H19*(1+$A21)^5-'P&amp;L'!H38*(1+H16)^5)/('P&amp;L'!H19*(1+$A21)^5),"")</f>
        <v/>
      </c>
    </row>
    <row r="22" customFormat="false" ht="15" hidden="false" customHeight="true" outlineLevel="0" collapsed="false">
      <c r="A22" s="804" t="n">
        <f aca="false">$O$16+5*$Q$16</f>
        <v>0.045</v>
      </c>
      <c r="B22" s="807" t="str">
        <f aca="false">IFERROR(('P&amp;L'!H19*(1+$A22)^5-'P&amp;L'!H38*(1+B16)^5)/('P&amp;L'!H19*(1+$A22)^5),"")</f>
        <v/>
      </c>
      <c r="C22" s="807" t="str">
        <f aca="false">IFERROR(('P&amp;L'!H19*(1+$A22)^5-'P&amp;L'!H38*(1+C16)^5)/('P&amp;L'!H19*(1+$A22)^5),"")</f>
        <v/>
      </c>
      <c r="D22" s="807" t="str">
        <f aca="false">IFERROR(('P&amp;L'!H19*(1+$A22)^5-'P&amp;L'!H38*(1+D16)^5)/('P&amp;L'!H19*(1+$A22)^5),"")</f>
        <v/>
      </c>
      <c r="E22" s="806" t="str">
        <f aca="false">IFERROR(('P&amp;L'!H19*(1+$A22)^5-'P&amp;L'!H38*(1+E16)^5)/('P&amp;L'!H19*(1+$A22)^5),"")</f>
        <v/>
      </c>
      <c r="F22" s="806" t="str">
        <f aca="false">IFERROR(('P&amp;L'!H19*(1+$A22)^5-'P&amp;L'!H38*(1+F16)^5)/('P&amp;L'!H19*(1+$A22)^5),"")</f>
        <v/>
      </c>
      <c r="G22" s="806" t="str">
        <f aca="false">IFERROR(('P&amp;L'!H19*(1+$A22)^5-'P&amp;L'!H38*(1+G16)^5)/('P&amp;L'!H19*(1+$A22)^5),"")</f>
        <v/>
      </c>
      <c r="H22" s="806" t="str">
        <f aca="false">IFERROR(('P&amp;L'!H19*(1+$A22)^5-'P&amp;L'!H38*(1+H16)^5)/('P&amp;L'!H19*(1+$A22)^5),"")</f>
        <v/>
      </c>
    </row>
    <row r="23" customFormat="false" ht="15" hidden="false" customHeight="true" outlineLevel="0" collapsed="false">
      <c r="A23" s="804" t="n">
        <f aca="false">$O$16+6*$Q$16</f>
        <v>0.05</v>
      </c>
      <c r="B23" s="807" t="str">
        <f aca="false">IFERROR(('P&amp;L'!H19*(1+$A23)^5-'P&amp;L'!H38*(1+B16)^5)/('P&amp;L'!H19*(1+$A23)^5),"")</f>
        <v/>
      </c>
      <c r="C23" s="807" t="str">
        <f aca="false">IFERROR(('P&amp;L'!H19*(1+$A23)^5-'P&amp;L'!H38*(1+C16)^5)/('P&amp;L'!H19*(1+$A23)^5),"")</f>
        <v/>
      </c>
      <c r="D23" s="807" t="str">
        <f aca="false">IFERROR(('P&amp;L'!H19*(1+$A23)^5-'P&amp;L'!H38*(1+D16)^5)/('P&amp;L'!H19*(1+$A23)^5),"")</f>
        <v/>
      </c>
      <c r="E23" s="806" t="str">
        <f aca="false">IFERROR(('P&amp;L'!H19*(1+$A23)^5-'P&amp;L'!H38*(1+E16)^5)/('P&amp;L'!H19*(1+$A23)^5),"")</f>
        <v/>
      </c>
      <c r="F23" s="806" t="str">
        <f aca="false">IFERROR(('P&amp;L'!H19*(1+$A23)^5-'P&amp;L'!H38*(1+F16)^5)/('P&amp;L'!H19*(1+$A23)^5),"")</f>
        <v/>
      </c>
      <c r="G23" s="806" t="str">
        <f aca="false">IFERROR(('P&amp;L'!H19*(1+$A23)^5-'P&amp;L'!H38*(1+G16)^5)/('P&amp;L'!H19*(1+$A23)^5),"")</f>
        <v/>
      </c>
      <c r="H23" s="806" t="str">
        <f aca="false">IFERROR(('P&amp;L'!H19*(1+$A23)^5-'P&amp;L'!H38*(1+H16)^5)/('P&amp;L'!H19*(1+$A23)^5),"")</f>
        <v/>
      </c>
    </row>
    <row r="25" customFormat="false" ht="24" hidden="false" customHeight="true" outlineLevel="0" collapsed="false">
      <c r="A25" s="201" t="s">
        <v>2126</v>
      </c>
      <c r="B25" s="201"/>
      <c r="C25" s="201"/>
      <c r="D25" s="201"/>
      <c r="E25" s="201"/>
      <c r="F25" s="201"/>
      <c r="G25" s="201"/>
      <c r="H25" s="201"/>
      <c r="I25" s="201"/>
      <c r="J25" s="201"/>
    </row>
    <row r="26" customFormat="false" ht="15" hidden="false" customHeight="true" outlineLevel="0" collapsed="false">
      <c r="A26" s="799" t="s">
        <v>2127</v>
      </c>
      <c r="B26" s="809" t="n">
        <f aca="false">$K$26+0*$M$26</f>
        <v>0.8</v>
      </c>
      <c r="C26" s="809" t="n">
        <f aca="false">$K$26+1*$M$26</f>
        <v>0.85</v>
      </c>
      <c r="D26" s="809" t="n">
        <f aca="false">$K$26+2*$M$26</f>
        <v>0.9</v>
      </c>
      <c r="E26" s="809" t="n">
        <f aca="false">$K$26+3*$M$26</f>
        <v>0.95</v>
      </c>
      <c r="F26" s="809" t="n">
        <f aca="false">$K$26+4*$M$26</f>
        <v>1</v>
      </c>
      <c r="G26" s="809" t="n">
        <f aca="false">$K$26+5*$M$26</f>
        <v>1.05</v>
      </c>
      <c r="H26" s="809" t="n">
        <f aca="false">$K$26+6*$M$26</f>
        <v>1.1</v>
      </c>
      <c r="I26" s="809" t="n">
        <f aca="false">$K$26+7*$M$26</f>
        <v>1.15</v>
      </c>
      <c r="J26" s="801" t="s">
        <v>298</v>
      </c>
      <c r="K26" s="810" t="n">
        <v>0.8</v>
      </c>
      <c r="L26" s="801" t="s">
        <v>293</v>
      </c>
      <c r="M26" s="810" t="n">
        <v>0.05</v>
      </c>
      <c r="N26" s="801" t="s">
        <v>299</v>
      </c>
      <c r="O26" s="810" t="n">
        <v>0.75</v>
      </c>
      <c r="P26" s="801" t="s">
        <v>293</v>
      </c>
      <c r="Q26" s="810" t="n">
        <v>0.05</v>
      </c>
    </row>
    <row r="27" customFormat="false" ht="15" hidden="false" customHeight="true" outlineLevel="0" collapsed="false">
      <c r="A27" s="809" t="n">
        <f aca="false">$O$26+0*$Q$26</f>
        <v>0.75</v>
      </c>
      <c r="B27" s="805" t="str">
        <f aca="false">IFERROR('P&amp;L'!D40*B26/(Scenarios!F7*$A27),"")</f>
        <v/>
      </c>
      <c r="C27" s="805" t="str">
        <f aca="false">IFERROR('P&amp;L'!D40*C26/(Scenarios!F7*$A27),"")</f>
        <v/>
      </c>
      <c r="D27" s="805" t="str">
        <f aca="false">IFERROR('P&amp;L'!D40*D26/(Scenarios!F7*$A27),"")</f>
        <v/>
      </c>
      <c r="E27" s="805" t="str">
        <f aca="false">IFERROR('P&amp;L'!D40*E26/(Scenarios!F7*$A27),"")</f>
        <v/>
      </c>
      <c r="F27" s="805" t="str">
        <f aca="false">IFERROR('P&amp;L'!D40*F26/(Scenarios!F7*$A27),"")</f>
        <v/>
      </c>
      <c r="G27" s="805" t="str">
        <f aca="false">IFERROR('P&amp;L'!D40*G26/(Scenarios!F7*$A27),"")</f>
        <v/>
      </c>
      <c r="H27" s="805" t="str">
        <f aca="false">IFERROR('P&amp;L'!D40*H26/(Scenarios!F7*$A27),"")</f>
        <v/>
      </c>
      <c r="I27" s="805" t="str">
        <f aca="false">IFERROR('P&amp;L'!D40*I26/(Scenarios!F7*$A27),"")</f>
        <v/>
      </c>
    </row>
    <row r="28" customFormat="false" ht="15" hidden="false" customHeight="true" outlineLevel="0" collapsed="false">
      <c r="A28" s="809" t="n">
        <f aca="false">$O$26+1*$Q$26</f>
        <v>0.8</v>
      </c>
      <c r="B28" s="805" t="str">
        <f aca="false">IFERROR('P&amp;L'!D40*B26/(Scenarios!F7*$A28),"")</f>
        <v/>
      </c>
      <c r="C28" s="805" t="str">
        <f aca="false">IFERROR('P&amp;L'!D40*C26/(Scenarios!F7*$A28),"")</f>
        <v/>
      </c>
      <c r="D28" s="805" t="str">
        <f aca="false">IFERROR('P&amp;L'!D40*D26/(Scenarios!F7*$A28),"")</f>
        <v/>
      </c>
      <c r="E28" s="805" t="str">
        <f aca="false">IFERROR('P&amp;L'!D40*E26/(Scenarios!F7*$A28),"")</f>
        <v/>
      </c>
      <c r="F28" s="805" t="str">
        <f aca="false">IFERROR('P&amp;L'!D40*F26/(Scenarios!F7*$A28),"")</f>
        <v/>
      </c>
      <c r="G28" s="805" t="str">
        <f aca="false">IFERROR('P&amp;L'!D40*G26/(Scenarios!F7*$A28),"")</f>
        <v/>
      </c>
      <c r="H28" s="805" t="str">
        <f aca="false">IFERROR('P&amp;L'!D40*H26/(Scenarios!F7*$A28),"")</f>
        <v/>
      </c>
      <c r="I28" s="805" t="str">
        <f aca="false">IFERROR('P&amp;L'!D40*I26/(Scenarios!F7*$A28),"")</f>
        <v/>
      </c>
    </row>
    <row r="29" customFormat="false" ht="15" hidden="false" customHeight="true" outlineLevel="0" collapsed="false">
      <c r="A29" s="809" t="n">
        <f aca="false">$O$26+2*$Q$26</f>
        <v>0.85</v>
      </c>
      <c r="B29" s="805" t="str">
        <f aca="false">IFERROR('P&amp;L'!D40*B26/(Scenarios!F7*$A29),"")</f>
        <v/>
      </c>
      <c r="C29" s="806" t="str">
        <f aca="false">IFERROR('P&amp;L'!D40*C26/(Scenarios!F7*$A29),"")</f>
        <v/>
      </c>
      <c r="D29" s="806" t="str">
        <f aca="false">IFERROR('P&amp;L'!D40*D26/(Scenarios!F7*$A29),"")</f>
        <v/>
      </c>
      <c r="E29" s="806" t="str">
        <f aca="false">IFERROR('P&amp;L'!D40*E26/(Scenarios!F7*$A29),"")</f>
        <v/>
      </c>
      <c r="F29" s="806" t="str">
        <f aca="false">IFERROR('P&amp;L'!D40*F26/(Scenarios!F7*$A29),"")</f>
        <v/>
      </c>
      <c r="G29" s="806" t="str">
        <f aca="false">IFERROR('P&amp;L'!D40*G26/(Scenarios!F7*$A29),"")</f>
        <v/>
      </c>
      <c r="H29" s="806" t="str">
        <f aca="false">IFERROR('P&amp;L'!D40*H26/(Scenarios!F7*$A29),"")</f>
        <v/>
      </c>
      <c r="I29" s="806" t="str">
        <f aca="false">IFERROR('P&amp;L'!D40*I26/(Scenarios!F7*$A29),"")</f>
        <v/>
      </c>
    </row>
    <row r="30" customFormat="false" ht="15" hidden="false" customHeight="true" outlineLevel="0" collapsed="false">
      <c r="A30" s="809" t="n">
        <f aca="false">$O$26+3*$Q$26</f>
        <v>0.9</v>
      </c>
      <c r="B30" s="805" t="str">
        <f aca="false">IFERROR('P&amp;L'!D40*B26/(Scenarios!F7*$A30),"")</f>
        <v/>
      </c>
      <c r="C30" s="806" t="str">
        <f aca="false">IFERROR('P&amp;L'!D40*C26/(Scenarios!F7*$A30),"")</f>
        <v/>
      </c>
      <c r="D30" s="806" t="str">
        <f aca="false">IFERROR('P&amp;L'!D40*D26/(Scenarios!F7*$A30),"")</f>
        <v/>
      </c>
      <c r="E30" s="806" t="str">
        <f aca="false">IFERROR('P&amp;L'!D40*E26/(Scenarios!F7*$A30),"")</f>
        <v/>
      </c>
      <c r="F30" s="806" t="str">
        <f aca="false">IFERROR('P&amp;L'!D40*F26/(Scenarios!F7*$A30),"")</f>
        <v/>
      </c>
      <c r="G30" s="806" t="str">
        <f aca="false">IFERROR('P&amp;L'!D40*G26/(Scenarios!F7*$A30),"")</f>
        <v/>
      </c>
      <c r="H30" s="806" t="str">
        <f aca="false">IFERROR('P&amp;L'!D40*H26/(Scenarios!F7*$A30),"")</f>
        <v/>
      </c>
      <c r="I30" s="806" t="str">
        <f aca="false">IFERROR('P&amp;L'!D40*I26/(Scenarios!F7*$A30),"")</f>
        <v/>
      </c>
    </row>
    <row r="31" customFormat="false" ht="15" hidden="false" customHeight="true" outlineLevel="0" collapsed="false">
      <c r="A31" s="809" t="n">
        <f aca="false">$O$26+4*$Q$26</f>
        <v>0.95</v>
      </c>
      <c r="B31" s="805" t="str">
        <f aca="false">IFERROR('P&amp;L'!D40*B26/(Scenarios!F7*$A31),"")</f>
        <v/>
      </c>
      <c r="C31" s="806" t="str">
        <f aca="false">IFERROR('P&amp;L'!D40*C26/(Scenarios!F7*$A31),"")</f>
        <v/>
      </c>
      <c r="D31" s="806" t="str">
        <f aca="false">IFERROR('P&amp;L'!D40*D26/(Scenarios!F7*$A31),"")</f>
        <v/>
      </c>
      <c r="E31" s="806" t="str">
        <f aca="false">IFERROR('P&amp;L'!D40*E26/(Scenarios!F7*$A31),"")</f>
        <v/>
      </c>
      <c r="F31" s="807" t="str">
        <f aca="false">IFERROR('P&amp;L'!D40*F26/(Scenarios!F7*$A31),"")</f>
        <v/>
      </c>
      <c r="G31" s="807" t="str">
        <f aca="false">IFERROR('P&amp;L'!D40*G26/(Scenarios!F7*$A31),"")</f>
        <v/>
      </c>
      <c r="H31" s="807" t="str">
        <f aca="false">IFERROR('P&amp;L'!D40*H26/(Scenarios!F7*$A31),"")</f>
        <v/>
      </c>
      <c r="I31" s="807" t="str">
        <f aca="false">IFERROR('P&amp;L'!D40*I26/(Scenarios!F7*$A31),"")</f>
        <v/>
      </c>
    </row>
    <row r="32" customFormat="false" ht="15" hidden="false" customHeight="true" outlineLevel="0" collapsed="false">
      <c r="A32" s="809" t="n">
        <f aca="false">$O$26+5*$Q$26</f>
        <v>1</v>
      </c>
      <c r="B32" s="805" t="str">
        <f aca="false">IFERROR('P&amp;L'!D40*B26/(Scenarios!F7*$A32),"")</f>
        <v/>
      </c>
      <c r="C32" s="806" t="str">
        <f aca="false">IFERROR('P&amp;L'!D40*C26/(Scenarios!F7*$A32),"")</f>
        <v/>
      </c>
      <c r="D32" s="806" t="str">
        <f aca="false">IFERROR('P&amp;L'!D40*D26/(Scenarios!F7*$A32),"")</f>
        <v/>
      </c>
      <c r="E32" s="806" t="str">
        <f aca="false">IFERROR('P&amp;L'!D40*E26/(Scenarios!F7*$A32),"")</f>
        <v/>
      </c>
      <c r="F32" s="807" t="str">
        <f aca="false">IFERROR('P&amp;L'!D40*F26/(Scenarios!F7*$A32),"")</f>
        <v/>
      </c>
      <c r="G32" s="807" t="str">
        <f aca="false">IFERROR('P&amp;L'!D40*G26/(Scenarios!F7*$A32),"")</f>
        <v/>
      </c>
      <c r="H32" s="807" t="str">
        <f aca="false">IFERROR('P&amp;L'!D40*H26/(Scenarios!F7*$A32),"")</f>
        <v/>
      </c>
      <c r="I32" s="807" t="str">
        <f aca="false">IFERROR('P&amp;L'!D40*I26/(Scenarios!F7*$A32),"")</f>
        <v/>
      </c>
    </row>
    <row r="33" customFormat="false" ht="15" hidden="false" customHeight="true" outlineLevel="0" collapsed="false">
      <c r="A33" s="809" t="n">
        <f aca="false">$O$26+6*$Q$26</f>
        <v>1.05</v>
      </c>
      <c r="B33" s="805" t="str">
        <f aca="false">IFERROR('P&amp;L'!D40*B26/(Scenarios!F7*$A33),"")</f>
        <v/>
      </c>
      <c r="C33" s="806" t="str">
        <f aca="false">IFERROR('P&amp;L'!D40*C26/(Scenarios!F7*$A33),"")</f>
        <v/>
      </c>
      <c r="D33" s="806" t="str">
        <f aca="false">IFERROR('P&amp;L'!D40*D26/(Scenarios!F7*$A33),"")</f>
        <v/>
      </c>
      <c r="E33" s="806" t="str">
        <f aca="false">IFERROR('P&amp;L'!D40*E26/(Scenarios!F7*$A33),"")</f>
        <v/>
      </c>
      <c r="F33" s="807" t="str">
        <f aca="false">IFERROR('P&amp;L'!D40*F26/(Scenarios!F7*$A33),"")</f>
        <v/>
      </c>
      <c r="G33" s="807" t="str">
        <f aca="false">IFERROR('P&amp;L'!D40*G26/(Scenarios!F7*$A33),"")</f>
        <v/>
      </c>
      <c r="H33" s="807" t="str">
        <f aca="false">IFERROR('P&amp;L'!D40*H26/(Scenarios!F7*$A33),"")</f>
        <v/>
      </c>
      <c r="I33" s="807" t="str">
        <f aca="false">IFERROR('P&amp;L'!D40*I26/(Scenarios!F7*$A33),"")</f>
        <v/>
      </c>
    </row>
    <row r="34" customFormat="false" ht="15" hidden="false" customHeight="true" outlineLevel="0" collapsed="false">
      <c r="A34" s="809" t="n">
        <f aca="false">$O$26+7*$Q$26</f>
        <v>1.1</v>
      </c>
      <c r="B34" s="805" t="str">
        <f aca="false">IFERROR('P&amp;L'!D40*B26/(Scenarios!F7*$A34),"")</f>
        <v/>
      </c>
      <c r="C34" s="806" t="str">
        <f aca="false">IFERROR('P&amp;L'!D40*C26/(Scenarios!F7*$A34),"")</f>
        <v/>
      </c>
      <c r="D34" s="806" t="str">
        <f aca="false">IFERROR('P&amp;L'!D40*D26/(Scenarios!F7*$A34),"")</f>
        <v/>
      </c>
      <c r="E34" s="806" t="str">
        <f aca="false">IFERROR('P&amp;L'!D40*E26/(Scenarios!F7*$A34),"")</f>
        <v/>
      </c>
      <c r="F34" s="807" t="str">
        <f aca="false">IFERROR('P&amp;L'!D40*F26/(Scenarios!F7*$A34),"")</f>
        <v/>
      </c>
      <c r="G34" s="807" t="str">
        <f aca="false">IFERROR('P&amp;L'!D40*G26/(Scenarios!F7*$A34),"")</f>
        <v/>
      </c>
      <c r="H34" s="807" t="str">
        <f aca="false">IFERROR('P&amp;L'!D40*H26/(Scenarios!F7*$A34),"")</f>
        <v/>
      </c>
      <c r="I34" s="807" t="str">
        <f aca="false">IFERROR('P&amp;L'!D40*I26/(Scenarios!F7*$A34),"")</f>
        <v/>
      </c>
    </row>
  </sheetData>
  <mergeCells count="5">
    <mergeCell ref="A1:J1"/>
    <mergeCell ref="A2:J2"/>
    <mergeCell ref="A4:J4"/>
    <mergeCell ref="A15:J15"/>
    <mergeCell ref="A25:J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1" activeCellId="0" sqref="A51"/>
    </sheetView>
  </sheetViews>
  <sheetFormatPr defaultColWidth="8.859375" defaultRowHeight="15" customHeight="false" zeroHeight="false" outlineLevelRow="0" outlineLevelCol="0"/>
  <cols>
    <col collapsed="false" customWidth="true" hidden="false" outlineLevel="0" max="1" min="1" style="0" width="56.42"/>
    <col collapsed="false" customWidth="true" hidden="false" outlineLevel="0" max="13" min="2" style="0" width="16.71"/>
  </cols>
  <sheetData>
    <row r="1" customFormat="false" ht="24" hidden="false" customHeight="true" outlineLevel="0" collapsed="false">
      <c r="A1" s="106" t="str">
        <f aca="false">IF('Prop Info'!B4="","LP RETURN ILLUSTRATION","LP RETURN ILLUSTRATION"&amp;" — "&amp;'Prop Info'!B4)</f>
        <v>LP RETURN ILLUSTRATION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</row>
    <row r="2" customFormat="false" ht="13.5" hidden="false" customHeight="true" outlineLevel="0" collapsed="false">
      <c r="A2" s="811" t="s">
        <v>2128</v>
      </c>
      <c r="B2" s="811"/>
      <c r="C2" s="811"/>
      <c r="D2" s="811"/>
      <c r="E2" s="811"/>
      <c r="F2" s="811"/>
      <c r="G2" s="811"/>
      <c r="H2" s="811"/>
      <c r="I2" s="811"/>
      <c r="J2" s="811"/>
      <c r="K2" s="811"/>
      <c r="L2" s="811"/>
      <c r="M2" s="811"/>
    </row>
    <row r="3" customFormat="false" ht="6" hidden="false" customHeight="true" outlineLevel="0" collapsed="false"/>
    <row r="4" customFormat="false" ht="19.5" hidden="false" customHeight="true" outlineLevel="0" collapsed="false">
      <c r="A4" s="812" t="s">
        <v>2086</v>
      </c>
      <c r="B4" s="812"/>
      <c r="C4" s="812"/>
      <c r="D4" s="812"/>
      <c r="E4" s="812"/>
      <c r="F4" s="812"/>
      <c r="G4" s="812"/>
      <c r="H4" s="812"/>
      <c r="I4" s="812"/>
      <c r="J4" s="812"/>
      <c r="K4" s="812"/>
      <c r="L4" s="812"/>
      <c r="M4" s="812"/>
      <c r="N4" s="812"/>
    </row>
    <row r="5" customFormat="false" ht="24" hidden="false" customHeight="true" outlineLevel="0" collapsed="false">
      <c r="A5" s="813" t="s">
        <v>365</v>
      </c>
      <c r="B5" s="814" t="n">
        <v>100000</v>
      </c>
      <c r="C5" s="815" t="s">
        <v>2129</v>
      </c>
    </row>
    <row r="6" customFormat="false" ht="21.75" hidden="false" customHeight="true" outlineLevel="0" collapsed="false">
      <c r="A6" s="813" t="s">
        <v>2089</v>
      </c>
      <c r="B6" s="816" t="s">
        <v>2130</v>
      </c>
      <c r="C6" s="815" t="s">
        <v>2131</v>
      </c>
    </row>
    <row r="7" customFormat="false" ht="18" hidden="false" customHeight="true" outlineLevel="0" collapsed="false">
      <c r="A7" s="647" t="s">
        <v>2132</v>
      </c>
      <c r="B7" s="26" t="n">
        <f aca="false">IFERROR($B$5/IF($B$6="Class A",Waterfall!$B$9,Waterfall!$B$10),0)</f>
        <v>0</v>
      </c>
      <c r="C7" s="189" t="s">
        <v>2133</v>
      </c>
      <c r="D7" s="27" t="str">
        <f aca="false">IF($B$6="Class A",Waterfall!$B$11,Waterfall!$B$12)</f>
        <v/>
      </c>
    </row>
    <row r="8" customFormat="false" ht="6" hidden="false" customHeight="true" outlineLevel="0" collapsed="false"/>
    <row r="9" customFormat="false" ht="24" hidden="false" customHeight="true" outlineLevel="0" collapsed="false">
      <c r="A9" s="817"/>
      <c r="B9" s="818" t="str">
        <f aca="false">IFERROR(IF(1&lt;=Waterfall!$B$5,"Year 1",""),"")</f>
        <v>Year 1</v>
      </c>
      <c r="C9" s="818" t="str">
        <f aca="false">IFERROR(IF(2&lt;=Waterfall!$B$5,"Year 2",""),"")</f>
        <v>Year 2</v>
      </c>
      <c r="D9" s="818" t="str">
        <f aca="false">IFERROR(IF(3&lt;=Waterfall!$B$5,"Year 3",""),"")</f>
        <v>Year 3</v>
      </c>
      <c r="E9" s="818" t="str">
        <f aca="false">IFERROR(IF(4&lt;=Waterfall!$B$5,"Year 4",""),"")</f>
        <v>Year 4</v>
      </c>
      <c r="F9" s="818" t="str">
        <f aca="false">IFERROR(IF(5&lt;=Waterfall!$B$5,"Year 5",""),"")</f>
        <v>Year 5</v>
      </c>
      <c r="G9" s="818" t="str">
        <f aca="false">IFERROR(IF(6&lt;=Waterfall!$B$5,"Year 6",""),"")</f>
        <v>Year 6</v>
      </c>
      <c r="H9" s="818" t="str">
        <f aca="false">IFERROR(IF(7&lt;=Waterfall!$B$5,"Year 7",""),"")</f>
        <v>Year 7</v>
      </c>
      <c r="I9" s="818" t="str">
        <f aca="false">IFERROR(IF(8&lt;=Waterfall!$B$5,"Year 8",""),"")</f>
        <v>Year 8</v>
      </c>
      <c r="J9" s="818" t="str">
        <f aca="false">IFERROR(IF(9&lt;=Waterfall!$B$5,"Year 9",""),"")</f>
        <v>Year 9</v>
      </c>
      <c r="K9" s="818" t="str">
        <f aca="false">IFERROR(IF(10&lt;=Waterfall!$B$5,"Year 10",""),"")</f>
        <v>Year 10</v>
      </c>
      <c r="L9" s="819" t="s">
        <v>2134</v>
      </c>
      <c r="M9" s="820" t="s">
        <v>49</v>
      </c>
    </row>
    <row r="10" customFormat="false" ht="19.5" hidden="false" customHeight="true" outlineLevel="0" collapsed="false">
      <c r="A10" s="307" t="s">
        <v>2135</v>
      </c>
      <c r="B10" s="307"/>
      <c r="C10" s="307"/>
      <c r="D10" s="307"/>
      <c r="E10" s="307"/>
      <c r="F10" s="307"/>
      <c r="G10" s="307"/>
      <c r="H10" s="307"/>
      <c r="I10" s="307"/>
      <c r="J10" s="307"/>
      <c r="K10" s="307"/>
      <c r="L10" s="307"/>
      <c r="M10" s="307"/>
      <c r="N10" s="307"/>
    </row>
    <row r="11" customFormat="false" ht="21.75" hidden="false" customHeight="true" outlineLevel="0" collapsed="false">
      <c r="A11" s="813" t="s">
        <v>2136</v>
      </c>
      <c r="B11" s="821" t="n">
        <f aca="false">$B$5</f>
        <v>100000</v>
      </c>
      <c r="C11" s="822" t="s">
        <v>46</v>
      </c>
      <c r="D11" s="822" t="s">
        <v>46</v>
      </c>
      <c r="E11" s="822" t="s">
        <v>46</v>
      </c>
      <c r="F11" s="822" t="s">
        <v>46</v>
      </c>
      <c r="G11" s="822" t="s">
        <v>46</v>
      </c>
      <c r="H11" s="822" t="s">
        <v>46</v>
      </c>
      <c r="I11" s="822" t="s">
        <v>46</v>
      </c>
      <c r="J11" s="822" t="s">
        <v>46</v>
      </c>
      <c r="K11" s="822" t="s">
        <v>46</v>
      </c>
      <c r="L11" s="822" t="s">
        <v>46</v>
      </c>
      <c r="M11" s="655" t="n">
        <f aca="false">$B$5</f>
        <v>100000</v>
      </c>
    </row>
    <row r="12" customFormat="false" ht="19.5" hidden="false" customHeight="true" outlineLevel="0" collapsed="false">
      <c r="A12" s="94" t="s">
        <v>2137</v>
      </c>
      <c r="B12" s="94"/>
      <c r="C12" s="94"/>
      <c r="D12" s="94"/>
      <c r="E12" s="94"/>
      <c r="F12" s="94"/>
      <c r="G12" s="94"/>
      <c r="H12" s="94"/>
      <c r="I12" s="94"/>
      <c r="J12" s="94"/>
      <c r="K12" s="94"/>
      <c r="L12" s="94"/>
      <c r="M12" s="94"/>
      <c r="N12" s="94"/>
    </row>
    <row r="13" customFormat="false" ht="19.5" hidden="false" customHeight="true" outlineLevel="0" collapsed="false">
      <c r="A13" s="823" t="s">
        <v>2138</v>
      </c>
      <c r="B13" s="28" t="e">
        <f aca="false">IF(1&gt;Waterfall!$B$5,0,IFERROR($B$5/IF($B$6="Class A",Waterfall!$B$9,Waterfall!$B$10),0)*IF($B$6="Class A",Waterfall!B40,Waterfall!B42))</f>
        <v>#VALUE!</v>
      </c>
      <c r="C13" s="28" t="e">
        <f aca="false">IF(2&gt;Waterfall!$B$5,0,IFERROR($B$5/IF($B$6="Class A",Waterfall!$B$9,Waterfall!$B$10),0)*IF($B$6="Class A",Waterfall!C40,Waterfall!C42))</f>
        <v>#VALUE!</v>
      </c>
      <c r="D13" s="28" t="e">
        <f aca="false">IF(3&gt;Waterfall!$B$5,0,IFERROR($B$5/IF($B$6="Class A",Waterfall!$B$9,Waterfall!$B$10),0)*IF($B$6="Class A",Waterfall!D40,Waterfall!D42))</f>
        <v>#VALUE!</v>
      </c>
      <c r="E13" s="28" t="e">
        <f aca="false">IF(4&gt;Waterfall!$B$5,0,IFERROR($B$5/IF($B$6="Class A",Waterfall!$B$9,Waterfall!$B$10),0)*IF($B$6="Class A",Waterfall!E40,Waterfall!E42))</f>
        <v>#VALUE!</v>
      </c>
      <c r="F13" s="28" t="e">
        <f aca="false">IF(5&gt;Waterfall!$B$5,0,IFERROR($B$5/IF($B$6="Class A",Waterfall!$B$9,Waterfall!$B$10),0)*IF($B$6="Class A",Waterfall!F40,Waterfall!F42))</f>
        <v>#VALUE!</v>
      </c>
      <c r="G13" s="28" t="e">
        <f aca="false">IF(6&gt;Waterfall!$B$5,0,IFERROR($B$5/IF($B$6="Class A",Waterfall!$B$9,Waterfall!$B$10),0)*IF($B$6="Class A",Waterfall!G40,Waterfall!G42))</f>
        <v>#VALUE!</v>
      </c>
      <c r="H13" s="28" t="e">
        <f aca="false">IF(7&gt;Waterfall!$B$5,0,IFERROR($B$5/IF($B$6="Class A",Waterfall!$B$9,Waterfall!$B$10),0)*IF($B$6="Class A",Waterfall!H40,Waterfall!H42))</f>
        <v>#VALUE!</v>
      </c>
      <c r="I13" s="28" t="e">
        <f aca="false">IF(8&gt;Waterfall!$B$5,0,IFERROR($B$5/IF($B$6="Class A",Waterfall!$B$9,Waterfall!$B$10),0)*IF($B$6="Class A",Waterfall!I40,Waterfall!I42))</f>
        <v>#VALUE!</v>
      </c>
      <c r="J13" s="28" t="e">
        <f aca="false">IF(9&gt;Waterfall!$B$5,0,IFERROR($B$5/IF($B$6="Class A",Waterfall!$B$9,Waterfall!$B$10),0)*IF($B$6="Class A",Waterfall!J40,Waterfall!J42))</f>
        <v>#VALUE!</v>
      </c>
      <c r="K13" s="28" t="e">
        <f aca="false">IF(10&gt;Waterfall!$B$5,0,IFERROR($B$5/IF($B$6="Class A",Waterfall!$B$9,Waterfall!$B$10),0)*IF($B$6="Class A",Waterfall!K40,Waterfall!K42))</f>
        <v>#VALUE!</v>
      </c>
      <c r="L13" s="824" t="s">
        <v>46</v>
      </c>
      <c r="M13" s="519" t="e">
        <f aca="false">SUM(B13:K13)</f>
        <v>#VALUE!</v>
      </c>
    </row>
    <row r="14" customFormat="false" ht="19.5" hidden="false" customHeight="true" outlineLevel="0" collapsed="false">
      <c r="A14" s="825" t="s">
        <v>2139</v>
      </c>
      <c r="B14" s="169" t="e">
        <f aca="false">IF(1&gt;Waterfall!$B$5,0,IFERROR($B$5/IF($B$6="Class A",Waterfall!$B$9,Waterfall!$B$10),0)*IF($B$6="Class A",Waterfall!B45,0))</f>
        <v>#VALUE!</v>
      </c>
      <c r="C14" s="169" t="e">
        <f aca="false">IF(2&gt;Waterfall!$B$5,0,IFERROR($B$5/IF($B$6="Class A",Waterfall!$B$9,Waterfall!$B$10),0)*IF($B$6="Class A",Waterfall!C45,0))</f>
        <v>#VALUE!</v>
      </c>
      <c r="D14" s="169" t="e">
        <f aca="false">IF(3&gt;Waterfall!$B$5,0,IFERROR($B$5/IF($B$6="Class A",Waterfall!$B$9,Waterfall!$B$10),0)*IF($B$6="Class A",Waterfall!D45,0))</f>
        <v>#VALUE!</v>
      </c>
      <c r="E14" s="169" t="e">
        <f aca="false">IF(4&gt;Waterfall!$B$5,0,IFERROR($B$5/IF($B$6="Class A",Waterfall!$B$9,Waterfall!$B$10),0)*IF($B$6="Class A",Waterfall!E45,0))</f>
        <v>#VALUE!</v>
      </c>
      <c r="F14" s="169" t="e">
        <f aca="false">IF(5&gt;Waterfall!$B$5,0,IFERROR($B$5/IF($B$6="Class A",Waterfall!$B$9,Waterfall!$B$10),0)*IF($B$6="Class A",Waterfall!F45,0))</f>
        <v>#VALUE!</v>
      </c>
      <c r="G14" s="169" t="e">
        <f aca="false">IF(6&gt;Waterfall!$B$5,0,IFERROR($B$5/IF($B$6="Class A",Waterfall!$B$9,Waterfall!$B$10),0)*IF($B$6="Class A",Waterfall!G45,0))</f>
        <v>#VALUE!</v>
      </c>
      <c r="H14" s="169" t="e">
        <f aca="false">IF(7&gt;Waterfall!$B$5,0,IFERROR($B$5/IF($B$6="Class A",Waterfall!$B$9,Waterfall!$B$10),0)*IF($B$6="Class A",Waterfall!H45,0))</f>
        <v>#VALUE!</v>
      </c>
      <c r="I14" s="169" t="e">
        <f aca="false">IF(8&gt;Waterfall!$B$5,0,IFERROR($B$5/IF($B$6="Class A",Waterfall!$B$9,Waterfall!$B$10),0)*IF($B$6="Class A",Waterfall!I45,0))</f>
        <v>#VALUE!</v>
      </c>
      <c r="J14" s="169" t="e">
        <f aca="false">IF(9&gt;Waterfall!$B$5,0,IFERROR($B$5/IF($B$6="Class A",Waterfall!$B$9,Waterfall!$B$10),0)*IF($B$6="Class A",Waterfall!J45,0))</f>
        <v>#VALUE!</v>
      </c>
      <c r="K14" s="169" t="e">
        <f aca="false">IF(10&gt;Waterfall!$B$5,0,IFERROR($B$5/IF($B$6="Class A",Waterfall!$B$9,Waterfall!$B$10),0)*IF($B$6="Class A",Waterfall!K45,0))</f>
        <v>#VALUE!</v>
      </c>
      <c r="L14" s="826" t="s">
        <v>46</v>
      </c>
      <c r="M14" s="170" t="e">
        <f aca="false">SUM(B14:K14)</f>
        <v>#VALUE!</v>
      </c>
    </row>
    <row r="15" customFormat="false" ht="21.75" hidden="false" customHeight="true" outlineLevel="0" collapsed="false">
      <c r="A15" s="827" t="s">
        <v>2140</v>
      </c>
      <c r="B15" s="828" t="e">
        <f aca="false">IF(1&gt;Waterfall!$B$5,0,B13+B14)</f>
        <v>#VALUE!</v>
      </c>
      <c r="C15" s="828" t="e">
        <f aca="false">IF(2&gt;Waterfall!$B$5,0,C13+C14)</f>
        <v>#VALUE!</v>
      </c>
      <c r="D15" s="828" t="e">
        <f aca="false">IF(3&gt;Waterfall!$B$5,0,D13+D14)</f>
        <v>#VALUE!</v>
      </c>
      <c r="E15" s="828" t="e">
        <f aca="false">IF(4&gt;Waterfall!$B$5,0,E13+E14)</f>
        <v>#VALUE!</v>
      </c>
      <c r="F15" s="828" t="e">
        <f aca="false">IF(5&gt;Waterfall!$B$5,0,F13+F14)</f>
        <v>#VALUE!</v>
      </c>
      <c r="G15" s="828" t="e">
        <f aca="false">IF(6&gt;Waterfall!$B$5,0,G13+G14)</f>
        <v>#VALUE!</v>
      </c>
      <c r="H15" s="828" t="e">
        <f aca="false">IF(7&gt;Waterfall!$B$5,0,H13+H14)</f>
        <v>#VALUE!</v>
      </c>
      <c r="I15" s="828" t="e">
        <f aca="false">IF(8&gt;Waterfall!$B$5,0,I13+I14)</f>
        <v>#VALUE!</v>
      </c>
      <c r="J15" s="828" t="e">
        <f aca="false">IF(9&gt;Waterfall!$B$5,0,J13+J14)</f>
        <v>#VALUE!</v>
      </c>
      <c r="K15" s="828" t="e">
        <f aca="false">IF(10&gt;Waterfall!$B$5,0,K13+K14)</f>
        <v>#VALUE!</v>
      </c>
      <c r="L15" s="829" t="s">
        <v>46</v>
      </c>
      <c r="M15" s="830" t="e">
        <f aca="false">M13+M14</f>
        <v>#VALUE!</v>
      </c>
    </row>
    <row r="16" customFormat="false" ht="19.5" hidden="false" customHeight="true" outlineLevel="0" collapsed="false">
      <c r="A16" s="812" t="s">
        <v>2141</v>
      </c>
      <c r="B16" s="812"/>
      <c r="C16" s="812"/>
      <c r="D16" s="812"/>
      <c r="E16" s="812"/>
      <c r="F16" s="812"/>
      <c r="G16" s="812"/>
      <c r="H16" s="812"/>
      <c r="I16" s="812"/>
      <c r="J16" s="812"/>
      <c r="K16" s="812"/>
      <c r="L16" s="812"/>
      <c r="M16" s="812"/>
      <c r="N16" s="812"/>
    </row>
    <row r="17" customFormat="false" ht="19.5" hidden="false" customHeight="true" outlineLevel="0" collapsed="false">
      <c r="A17" s="831" t="s">
        <v>2142</v>
      </c>
      <c r="B17" s="832" t="n">
        <f aca="false">IFERROR(IF(Waterfall!$B$23="Return of Capital",IF(1='Exit Strategy'!$B$5,IFERROR($B$5/IF($B$6="Class A",Waterfall!$B$9,Waterfall!$B$10),0)*'Exit Strategy'!$B$18,0),0),0)</f>
        <v>0</v>
      </c>
      <c r="C17" s="832" t="n">
        <f aca="false">IFERROR(IF(Waterfall!$B$23="Return of Capital",IF(2='Exit Strategy'!$B$5,IFERROR($B$5/IF($B$6="Class A",Waterfall!$B$9,Waterfall!$B$10),0)*'Exit Strategy'!$B$18,0),0),0)</f>
        <v>0</v>
      </c>
      <c r="D17" s="832" t="n">
        <f aca="false">IFERROR(IF(Waterfall!$B$23="Return of Capital",IF(3='Exit Strategy'!$B$5,IFERROR($B$5/IF($B$6="Class A",Waterfall!$B$9,Waterfall!$B$10),0)*'Exit Strategy'!$B$18,0),0),0)</f>
        <v>0</v>
      </c>
      <c r="E17" s="832" t="n">
        <f aca="false">IFERROR(IF(Waterfall!$B$23="Return of Capital",IF(4='Exit Strategy'!$B$5,IFERROR($B$5/IF($B$6="Class A",Waterfall!$B$9,Waterfall!$B$10),0)*'Exit Strategy'!$B$18,0),0),0)</f>
        <v>0</v>
      </c>
      <c r="F17" s="832" t="n">
        <f aca="false">IFERROR(IF(Waterfall!$B$23="Return of Capital",IF(5='Exit Strategy'!$B$5,IFERROR($B$5/IF($B$6="Class A",Waterfall!$B$9,Waterfall!$B$10),0)*'Exit Strategy'!$B$18,0),0),0)</f>
        <v>0</v>
      </c>
      <c r="G17" s="832" t="n">
        <f aca="false">IFERROR(IF(Waterfall!$B$23="Return of Capital",IF(6='Exit Strategy'!$B$5,IFERROR($B$5/IF($B$6="Class A",Waterfall!$B$9,Waterfall!$B$10),0)*'Exit Strategy'!$B$18,0),0),0)</f>
        <v>0</v>
      </c>
      <c r="H17" s="832" t="n">
        <f aca="false">IFERROR(IF(Waterfall!$B$23="Return of Capital",IF(7='Exit Strategy'!$B$5,IFERROR($B$5/IF($B$6="Class A",Waterfall!$B$9,Waterfall!$B$10),0)*'Exit Strategy'!$B$18,0),0),0)</f>
        <v>0</v>
      </c>
      <c r="I17" s="832" t="n">
        <f aca="false">IFERROR(IF(Waterfall!$B$23="Return of Capital",IF(8='Exit Strategy'!$B$5,IFERROR($B$5/IF($B$6="Class A",Waterfall!$B$9,Waterfall!$B$10),0)*'Exit Strategy'!$B$18,0),0),0)</f>
        <v>0</v>
      </c>
      <c r="J17" s="832" t="n">
        <f aca="false">IFERROR(IF(Waterfall!$B$23="Return of Capital",IF(9='Exit Strategy'!$B$5,IFERROR($B$5/IF($B$6="Class A",Waterfall!$B$9,Waterfall!$B$10),0)*'Exit Strategy'!$B$18,0),0),0)</f>
        <v>0</v>
      </c>
      <c r="K17" s="832" t="n">
        <f aca="false">IFERROR(IF(Waterfall!$B$23="Return of Capital",IF(10='Exit Strategy'!$B$5,IFERROR($B$5/IF($B$6="Class A",Waterfall!$B$9,Waterfall!$B$10),0)*'Exit Strategy'!$B$18,0),0),0)</f>
        <v>0</v>
      </c>
      <c r="L17" s="833" t="s">
        <v>46</v>
      </c>
      <c r="M17" s="834" t="n">
        <f aca="false">SUM(B17:K17)</f>
        <v>0</v>
      </c>
    </row>
    <row r="18" customFormat="false" ht="13.5" hidden="false" customHeight="true" outlineLevel="0" collapsed="false">
      <c r="A18" s="835" t="s">
        <v>2143</v>
      </c>
      <c r="B18" s="835"/>
      <c r="C18" s="835"/>
      <c r="D18" s="835"/>
      <c r="E18" s="835"/>
      <c r="F18" s="835"/>
      <c r="G18" s="835"/>
      <c r="H18" s="835"/>
      <c r="I18" s="835"/>
      <c r="J18" s="835"/>
      <c r="K18" s="835"/>
      <c r="L18" s="835"/>
      <c r="M18" s="835"/>
    </row>
    <row r="19" customFormat="false" ht="19.5" hidden="false" customHeight="true" outlineLevel="0" collapsed="false">
      <c r="A19" s="128" t="s">
        <v>2144</v>
      </c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</row>
    <row r="20" customFormat="false" ht="18" hidden="false" customHeight="true" outlineLevel="0" collapsed="false">
      <c r="A20" s="647" t="s">
        <v>2145</v>
      </c>
      <c r="B20" s="836" t="n">
        <f aca="false">IF(1&gt;Waterfall!$B$5,0,$B$5)</f>
        <v>100000</v>
      </c>
      <c r="C20" s="836" t="n">
        <f aca="false">IF(2&gt;Waterfall!$B$5,0,B22)</f>
        <v>100000</v>
      </c>
      <c r="D20" s="836" t="n">
        <f aca="false">IF(3&gt;Waterfall!$B$5,0,C22)</f>
        <v>100000</v>
      </c>
      <c r="E20" s="836" t="n">
        <f aca="false">IF(4&gt;Waterfall!$B$5,0,D22)</f>
        <v>100000</v>
      </c>
      <c r="F20" s="836" t="n">
        <f aca="false">IF(5&gt;Waterfall!$B$5,0,E22)</f>
        <v>100000</v>
      </c>
      <c r="G20" s="836" t="n">
        <f aca="false">IF(6&gt;Waterfall!$B$5,0,F22)</f>
        <v>100000</v>
      </c>
      <c r="H20" s="836" t="n">
        <f aca="false">IF(7&gt;Waterfall!$B$5,0,G22)</f>
        <v>100000</v>
      </c>
      <c r="I20" s="836" t="n">
        <f aca="false">IF(8&gt;Waterfall!$B$5,0,H22)</f>
        <v>100000</v>
      </c>
      <c r="J20" s="836" t="n">
        <f aca="false">IF(9&gt;Waterfall!$B$5,0,I22)</f>
        <v>100000</v>
      </c>
      <c r="K20" s="836" t="n">
        <f aca="false">IF(10&gt;Waterfall!$B$5,0,J22)</f>
        <v>100000</v>
      </c>
      <c r="L20" s="837" t="n">
        <f aca="false">K22</f>
        <v>100000</v>
      </c>
      <c r="M20" s="822" t="s">
        <v>46</v>
      </c>
    </row>
    <row r="21" customFormat="false" ht="18" hidden="false" customHeight="true" outlineLevel="0" collapsed="false">
      <c r="A21" s="838" t="s">
        <v>2146</v>
      </c>
      <c r="B21" s="837" t="n">
        <f aca="false">-B17</f>
        <v>-0</v>
      </c>
      <c r="C21" s="837" t="n">
        <f aca="false">-C17</f>
        <v>-0</v>
      </c>
      <c r="D21" s="837" t="n">
        <f aca="false">-D17</f>
        <v>-0</v>
      </c>
      <c r="E21" s="837" t="n">
        <f aca="false">-E17</f>
        <v>-0</v>
      </c>
      <c r="F21" s="837" t="n">
        <f aca="false">-F17</f>
        <v>-0</v>
      </c>
      <c r="G21" s="837" t="n">
        <f aca="false">-G17</f>
        <v>-0</v>
      </c>
      <c r="H21" s="837" t="n">
        <f aca="false">-H17</f>
        <v>-0</v>
      </c>
      <c r="I21" s="837" t="n">
        <f aca="false">-I17</f>
        <v>-0</v>
      </c>
      <c r="J21" s="837" t="n">
        <f aca="false">-J17</f>
        <v>-0</v>
      </c>
      <c r="K21" s="837" t="n">
        <f aca="false">-K17</f>
        <v>-0</v>
      </c>
      <c r="L21" s="836" t="e">
        <f aca="false">-IFERROR($B$5/IF($B$6="Class A",Waterfall!$B$9,Waterfall!$B$10),0)*IF($B$6="Class A",Waterfall!L48,Waterfall!L49)</f>
        <v>#VALUE!</v>
      </c>
      <c r="M21" s="822" t="s">
        <v>46</v>
      </c>
    </row>
    <row r="22" customFormat="false" ht="19.5" hidden="false" customHeight="true" outlineLevel="0" collapsed="false">
      <c r="A22" s="839" t="s">
        <v>2147</v>
      </c>
      <c r="B22" s="840" t="n">
        <f aca="false">IF(1&gt;Waterfall!$B$5,0,B20+B21)</f>
        <v>100000</v>
      </c>
      <c r="C22" s="840" t="n">
        <f aca="false">IF(2&gt;Waterfall!$B$5,0,C20+C21)</f>
        <v>100000</v>
      </c>
      <c r="D22" s="840" t="n">
        <f aca="false">IF(3&gt;Waterfall!$B$5,0,D20+D21)</f>
        <v>100000</v>
      </c>
      <c r="E22" s="840" t="n">
        <f aca="false">IF(4&gt;Waterfall!$B$5,0,E20+E21)</f>
        <v>100000</v>
      </c>
      <c r="F22" s="840" t="n">
        <f aca="false">IF(5&gt;Waterfall!$B$5,0,F20+F21)</f>
        <v>100000</v>
      </c>
      <c r="G22" s="840" t="n">
        <f aca="false">IF(6&gt;Waterfall!$B$5,0,G20+G21)</f>
        <v>100000</v>
      </c>
      <c r="H22" s="840" t="n">
        <f aca="false">IF(7&gt;Waterfall!$B$5,0,H20+H21)</f>
        <v>100000</v>
      </c>
      <c r="I22" s="840" t="n">
        <f aca="false">IF(8&gt;Waterfall!$B$5,0,I20+I21)</f>
        <v>100000</v>
      </c>
      <c r="J22" s="840" t="n">
        <f aca="false">IF(9&gt;Waterfall!$B$5,0,J20+J21)</f>
        <v>100000</v>
      </c>
      <c r="K22" s="840" t="n">
        <f aca="false">IF(10&gt;Waterfall!$B$5,0,K20+K21)</f>
        <v>100000</v>
      </c>
      <c r="L22" s="638" t="e">
        <f aca="false">L20+L21</f>
        <v>#VALUE!</v>
      </c>
      <c r="M22" s="841" t="s">
        <v>46</v>
      </c>
    </row>
    <row r="23" customFormat="false" ht="19.5" hidden="false" customHeight="true" outlineLevel="0" collapsed="false">
      <c r="A23" s="842" t="str">
        <f aca="false">IFERROR("  E.  EXIT  —  Year "&amp;Waterfall!$B$5&amp;" Sale","  E.  EXIT")</f>
        <v>  E.  EXIT  —  Year  Sale</v>
      </c>
      <c r="B23" s="842"/>
      <c r="C23" s="842"/>
      <c r="D23" s="842"/>
      <c r="E23" s="842"/>
      <c r="F23" s="842"/>
      <c r="G23" s="842"/>
      <c r="H23" s="842"/>
      <c r="I23" s="842"/>
      <c r="J23" s="842"/>
      <c r="K23" s="842"/>
      <c r="L23" s="842"/>
      <c r="M23" s="842"/>
      <c r="N23" s="842"/>
    </row>
    <row r="24" customFormat="false" ht="19.5" hidden="false" customHeight="true" outlineLevel="0" collapsed="false">
      <c r="A24" s="647" t="s">
        <v>2148</v>
      </c>
      <c r="B24" s="822" t="s">
        <v>46</v>
      </c>
      <c r="C24" s="822" t="s">
        <v>46</v>
      </c>
      <c r="D24" s="822" t="s">
        <v>46</v>
      </c>
      <c r="E24" s="822" t="s">
        <v>46</v>
      </c>
      <c r="F24" s="822" t="s">
        <v>46</v>
      </c>
      <c r="G24" s="822" t="s">
        <v>46</v>
      </c>
      <c r="H24" s="822" t="s">
        <v>46</v>
      </c>
      <c r="I24" s="822" t="s">
        <v>46</v>
      </c>
      <c r="J24" s="822" t="s">
        <v>46</v>
      </c>
      <c r="K24" s="822" t="s">
        <v>46</v>
      </c>
      <c r="L24" s="836" t="e">
        <f aca="false">IFERROR($B$5/IF($B$6="Class A",Waterfall!$B$9,Waterfall!$B$10),0)*IF($B$6="Class A",Waterfall!L48,Waterfall!L49)</f>
        <v>#VALUE!</v>
      </c>
      <c r="M24" s="836" t="e">
        <f aca="false">IFERROR($B$5/IF($B$6="Class A",Waterfall!$B$9,Waterfall!$B$10),0)*IF($B$6="Class A",Waterfall!L48,Waterfall!L49)</f>
        <v>#VALUE!</v>
      </c>
    </row>
    <row r="25" customFormat="false" ht="21.75" hidden="false" customHeight="true" outlineLevel="0" collapsed="false">
      <c r="A25" s="843" t="s">
        <v>2149</v>
      </c>
      <c r="B25" s="844" t="s">
        <v>46</v>
      </c>
      <c r="C25" s="844" t="s">
        <v>46</v>
      </c>
      <c r="D25" s="844" t="s">
        <v>46</v>
      </c>
      <c r="E25" s="844" t="s">
        <v>46</v>
      </c>
      <c r="F25" s="844" t="s">
        <v>46</v>
      </c>
      <c r="G25" s="844" t="s">
        <v>46</v>
      </c>
      <c r="H25" s="844" t="s">
        <v>46</v>
      </c>
      <c r="I25" s="844" t="s">
        <v>46</v>
      </c>
      <c r="J25" s="844" t="s">
        <v>46</v>
      </c>
      <c r="K25" s="844" t="s">
        <v>46</v>
      </c>
      <c r="L25" s="845" t="e">
        <f aca="false">IFERROR($B$5/IF($B$6="Class A",Waterfall!$B$9,Waterfall!$B$10),0)*IF($B$6="Class A",Waterfall!L45,0)</f>
        <v>#VALUE!</v>
      </c>
      <c r="M25" s="845" t="e">
        <f aca="false">IFERROR($B$5/IF($B$6="Class A",Waterfall!$B$9,Waterfall!$B$10),0)*IF($B$6="Class A",Waterfall!L45,0)</f>
        <v>#VALUE!</v>
      </c>
    </row>
    <row r="26" customFormat="false" ht="19.5" hidden="false" customHeight="true" outlineLevel="0" collapsed="false">
      <c r="A26" s="846" t="s">
        <v>2150</v>
      </c>
      <c r="B26" s="846"/>
      <c r="C26" s="846"/>
      <c r="D26" s="846"/>
      <c r="E26" s="846"/>
      <c r="F26" s="846"/>
      <c r="G26" s="846"/>
      <c r="H26" s="846"/>
      <c r="I26" s="846"/>
      <c r="J26" s="846"/>
      <c r="K26" s="846"/>
      <c r="L26" s="846"/>
      <c r="M26" s="846"/>
      <c r="N26" s="846"/>
    </row>
    <row r="27" customFormat="false" ht="25.5" hidden="false" customHeight="true" outlineLevel="0" collapsed="false">
      <c r="A27" s="847" t="s">
        <v>2151</v>
      </c>
      <c r="B27" s="848" t="e">
        <f aca="false">IF(1&gt;Waterfall!$B$5,0,B15+B17)</f>
        <v>#VALUE!</v>
      </c>
      <c r="C27" s="848" t="e">
        <f aca="false">IF(2&gt;Waterfall!$B$5,0,C15+C17)</f>
        <v>#VALUE!</v>
      </c>
      <c r="D27" s="848" t="e">
        <f aca="false">IF(3&gt;Waterfall!$B$5,0,D15+D17)</f>
        <v>#VALUE!</v>
      </c>
      <c r="E27" s="848" t="e">
        <f aca="false">IF(4&gt;Waterfall!$B$5,0,E15+E17)</f>
        <v>#VALUE!</v>
      </c>
      <c r="F27" s="848" t="e">
        <f aca="false">IF(5&gt;Waterfall!$B$5,0,F15+F17)</f>
        <v>#VALUE!</v>
      </c>
      <c r="G27" s="848" t="e">
        <f aca="false">IF(6&gt;Waterfall!$B$5,0,G15+G17)</f>
        <v>#VALUE!</v>
      </c>
      <c r="H27" s="848" t="e">
        <f aca="false">IF(7&gt;Waterfall!$B$5,0,H15+H17)</f>
        <v>#VALUE!</v>
      </c>
      <c r="I27" s="848" t="e">
        <f aca="false">IF(8&gt;Waterfall!$B$5,0,I15+I17)</f>
        <v>#VALUE!</v>
      </c>
      <c r="J27" s="848" t="e">
        <f aca="false">IF(9&gt;Waterfall!$B$5,0,J15+J17)</f>
        <v>#VALUE!</v>
      </c>
      <c r="K27" s="848" t="e">
        <f aca="false">IF(10&gt;Waterfall!$B$5,0,K15+K17)</f>
        <v>#VALUE!</v>
      </c>
      <c r="L27" s="849" t="e">
        <f aca="false">L24+L25</f>
        <v>#VALUE!</v>
      </c>
      <c r="M27" s="850" t="e">
        <f aca="false">M15+M17+M24+M25</f>
        <v>#VALUE!</v>
      </c>
    </row>
    <row r="28" customFormat="false" ht="19.5" hidden="false" customHeight="true" outlineLevel="0" collapsed="false">
      <c r="A28" s="647" t="s">
        <v>2152</v>
      </c>
      <c r="B28" s="836" t="e">
        <f aca="false">IF(1&gt;Waterfall!$B$5,0,B27)</f>
        <v>#VALUE!</v>
      </c>
      <c r="C28" s="836" t="e">
        <f aca="false">IF(2&gt;Waterfall!$B$5,0,B28+C27)</f>
        <v>#VALUE!</v>
      </c>
      <c r="D28" s="836" t="e">
        <f aca="false">IF(3&gt;Waterfall!$B$5,0,C28+D27)</f>
        <v>#VALUE!</v>
      </c>
      <c r="E28" s="836" t="e">
        <f aca="false">IF(4&gt;Waterfall!$B$5,0,D28+E27)</f>
        <v>#VALUE!</v>
      </c>
      <c r="F28" s="836" t="e">
        <f aca="false">IF(5&gt;Waterfall!$B$5,0,E28+F27)</f>
        <v>#VALUE!</v>
      </c>
      <c r="G28" s="836" t="e">
        <f aca="false">IF(6&gt;Waterfall!$B$5,0,F28+G27)</f>
        <v>#VALUE!</v>
      </c>
      <c r="H28" s="836" t="e">
        <f aca="false">IF(7&gt;Waterfall!$B$5,0,G28+H27)</f>
        <v>#VALUE!</v>
      </c>
      <c r="I28" s="836" t="e">
        <f aca="false">IF(8&gt;Waterfall!$B$5,0,H28+I27)</f>
        <v>#VALUE!</v>
      </c>
      <c r="J28" s="836" t="e">
        <f aca="false">IF(9&gt;Waterfall!$B$5,0,I28+J27)</f>
        <v>#VALUE!</v>
      </c>
      <c r="K28" s="836" t="e">
        <f aca="false">IF(10&gt;Waterfall!$B$5,0,J28+K27)</f>
        <v>#VALUE!</v>
      </c>
      <c r="L28" s="837" t="e">
        <f aca="false">K28+L27</f>
        <v>#VALUE!</v>
      </c>
      <c r="M28" s="822" t="s">
        <v>46</v>
      </c>
    </row>
    <row r="29" customFormat="false" ht="6" hidden="false" customHeight="true" outlineLevel="0" collapsed="false"/>
    <row r="30" customFormat="false" ht="19.5" hidden="false" customHeight="true" outlineLevel="0" collapsed="false">
      <c r="A30" s="307" t="s">
        <v>2153</v>
      </c>
      <c r="B30" s="307"/>
      <c r="C30" s="307"/>
      <c r="D30" s="307"/>
      <c r="E30" s="307"/>
      <c r="F30" s="307"/>
      <c r="G30" s="307"/>
      <c r="H30" s="307"/>
      <c r="I30" s="307"/>
      <c r="J30" s="307"/>
      <c r="K30" s="307"/>
      <c r="L30" s="307"/>
      <c r="M30" s="307"/>
      <c r="N30" s="307"/>
    </row>
    <row r="31" customFormat="false" ht="19.5" hidden="false" customHeight="true" outlineLevel="0" collapsed="false">
      <c r="A31" s="297" t="s">
        <v>2154</v>
      </c>
      <c r="B31" s="289" t="n">
        <f aca="false">$B$5</f>
        <v>100000</v>
      </c>
    </row>
    <row r="32" customFormat="false" ht="19.5" hidden="false" customHeight="true" outlineLevel="0" collapsed="false">
      <c r="A32" s="851" t="s">
        <v>2120</v>
      </c>
      <c r="B32" s="170" t="e">
        <f aca="false">M27</f>
        <v>#VALUE!</v>
      </c>
    </row>
    <row r="33" customFormat="false" ht="19.5" hidden="false" customHeight="true" outlineLevel="0" collapsed="false">
      <c r="A33" s="851" t="s">
        <v>60</v>
      </c>
      <c r="B33" s="170" t="e">
        <f aca="false">M27-$B$5</f>
        <v>#VALUE!</v>
      </c>
    </row>
    <row r="34" customFormat="false" ht="19.5" hidden="false" customHeight="true" outlineLevel="0" collapsed="false">
      <c r="A34" s="50" t="s">
        <v>2155</v>
      </c>
      <c r="B34" s="852" t="n">
        <f aca="false">IFERROR(M27/$B$5,0)</f>
        <v>0</v>
      </c>
    </row>
    <row r="35" customFormat="false" ht="19.5" hidden="false" customHeight="true" outlineLevel="0" collapsed="false">
      <c r="A35" s="50" t="s">
        <v>2156</v>
      </c>
      <c r="B35" s="49" t="n">
        <f aca="false">IFERROR((M27-$B$5)/$B$5/Waterfall!$B$5,0)</f>
        <v>0</v>
      </c>
    </row>
    <row r="36" customFormat="false" ht="19.5" hidden="false" customHeight="true" outlineLevel="0" collapsed="false">
      <c r="A36" s="50" t="s">
        <v>63</v>
      </c>
      <c r="B36" s="49" t="n">
        <f aca="false">IFERROR(IF($B$6="Class A",Waterfall!B66,Waterfall!C66),0)</f>
        <v>0</v>
      </c>
    </row>
    <row r="37" customFormat="false" ht="30" hidden="false" customHeight="true" outlineLevel="0" collapsed="false">
      <c r="A37" s="811" t="s">
        <v>2157</v>
      </c>
      <c r="B37" s="811"/>
      <c r="C37" s="811"/>
      <c r="D37" s="811"/>
      <c r="E37" s="811"/>
      <c r="F37" s="811"/>
      <c r="G37" s="811"/>
      <c r="H37" s="811"/>
      <c r="I37" s="811"/>
      <c r="J37" s="811"/>
      <c r="K37" s="811"/>
      <c r="L37" s="811"/>
      <c r="M37" s="811"/>
    </row>
    <row r="38" customFormat="false" ht="9.75" hidden="false" customHeight="true" outlineLevel="0" collapsed="false"/>
    <row r="39" customFormat="false" ht="21.75" hidden="false" customHeight="true" outlineLevel="0" collapsed="false">
      <c r="A39" s="172" t="s">
        <v>2158</v>
      </c>
      <c r="B39" s="172"/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</row>
    <row r="40" customFormat="false" ht="24" hidden="false" customHeight="true" outlineLevel="0" collapsed="false">
      <c r="A40" s="835" t="s">
        <v>2159</v>
      </c>
      <c r="B40" s="835"/>
      <c r="C40" s="835"/>
      <c r="D40" s="835"/>
      <c r="E40" s="835"/>
      <c r="F40" s="835"/>
      <c r="G40" s="835"/>
      <c r="H40" s="835"/>
      <c r="I40" s="835"/>
      <c r="J40" s="835"/>
      <c r="K40" s="835"/>
      <c r="L40" s="835"/>
      <c r="M40" s="835"/>
    </row>
    <row r="41" customFormat="false" ht="18" hidden="false" customHeight="true" outlineLevel="0" collapsed="false">
      <c r="A41" s="43" t="s">
        <v>2160</v>
      </c>
      <c r="B41" s="42" t="s">
        <v>2161</v>
      </c>
      <c r="C41" s="42" t="s">
        <v>2162</v>
      </c>
      <c r="D41" s="42" t="s">
        <v>2163</v>
      </c>
      <c r="E41" s="42" t="s">
        <v>2164</v>
      </c>
    </row>
    <row r="42" customFormat="false" ht="19.5" hidden="false" customHeight="true" outlineLevel="0" collapsed="false">
      <c r="A42" s="853" t="s">
        <v>2165</v>
      </c>
      <c r="B42" s="854"/>
      <c r="C42" s="855" t="n">
        <f aca="false">IFERROR(B42/IF($B$6="Class A",Waterfall!$B$11,Waterfall!$B$12),0)</f>
        <v>0</v>
      </c>
      <c r="D42" s="856" t="e">
        <f aca="false">$B$5*IF($B$6="Class A",Waterfall!$B$11,Waterfall!$B$12)</f>
        <v>#VALUE!</v>
      </c>
      <c r="E42" s="857" t="n">
        <f aca="false">IFERROR(IF(D42&gt;=B42,"✓ Meets target","Need "&amp;TEXT(C42-$B$5,"$#,##0")&amp;" more"),(B42))</f>
        <v>0</v>
      </c>
    </row>
    <row r="43" customFormat="false" ht="19.5" hidden="false" customHeight="true" outlineLevel="0" collapsed="false">
      <c r="A43" s="297" t="s">
        <v>2166</v>
      </c>
      <c r="B43" s="858"/>
      <c r="C43" s="859" t="s">
        <v>2167</v>
      </c>
      <c r="D43" s="859"/>
      <c r="E43" s="860" t="str">
        <f aca="false">IFERROR(IF(B34&gt;=B43,"✓ Deal hits target","Deal at "&amp;TEXT(B34,"0.00x")&amp;" vs "&amp;TEXT(B43,"0.00x")&amp;" target"),"")</f>
        <v>✓ Deal hits target</v>
      </c>
    </row>
    <row r="44" customFormat="false" ht="19.5" hidden="false" customHeight="true" outlineLevel="0" collapsed="false">
      <c r="A44" s="297" t="s">
        <v>2168</v>
      </c>
      <c r="B44" s="861"/>
      <c r="C44" s="107" t="s">
        <v>2169</v>
      </c>
      <c r="D44" s="107"/>
      <c r="E44" s="860" t="str">
        <f aca="false">IFERROR(IF(B36&gt;=B44,"✓ Deal hits target","Deal at "&amp;TEXT(B36,"0.0%")&amp;" vs "&amp;TEXT(B44,"0.0%")&amp;" target"),"")</f>
        <v>✓ Deal hits target</v>
      </c>
    </row>
    <row r="45" customFormat="false" ht="19.5" hidden="false" customHeight="true" outlineLevel="0" collapsed="false">
      <c r="A45" s="853" t="s">
        <v>2170</v>
      </c>
      <c r="B45" s="854"/>
      <c r="C45" s="655" t="n">
        <f aca="false">IFERROR(B45/(M27/$B$5),0)</f>
        <v>0</v>
      </c>
      <c r="D45" s="821" t="e">
        <f aca="false">M27</f>
        <v>#VALUE!</v>
      </c>
      <c r="E45" s="862" t="str">
        <f aca="false">IFERROR(IF(M27&gt;=$B$5*B45/$B$5,"✓ Meets target","Need "&amp;TEXT(C45-$B$5,"$#,##0")&amp;" more"),"")</f>
        <v/>
      </c>
    </row>
    <row r="46" customFormat="false" ht="15.75" hidden="false" customHeight="true" outlineLevel="0" collapsed="false">
      <c r="A46" s="811" t="s">
        <v>2171</v>
      </c>
      <c r="B46" s="811"/>
      <c r="C46" s="811"/>
      <c r="D46" s="811"/>
      <c r="E46" s="811"/>
      <c r="F46" s="811"/>
      <c r="G46" s="811"/>
      <c r="H46" s="811"/>
      <c r="I46" s="811"/>
      <c r="J46" s="811"/>
      <c r="K46" s="811"/>
      <c r="L46" s="811"/>
      <c r="M46" s="811"/>
    </row>
    <row r="47" customFormat="false" ht="9.75" hidden="false" customHeight="true" outlineLevel="0" collapsed="false"/>
    <row r="48" customFormat="false" ht="21.75" hidden="false" customHeight="true" outlineLevel="0" collapsed="false">
      <c r="A48" s="3" t="s">
        <v>2172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customFormat="false" ht="19.5" hidden="false" customHeight="true" outlineLevel="0" collapsed="false">
      <c r="A49" s="811" t="s">
        <v>2173</v>
      </c>
      <c r="B49" s="811"/>
      <c r="C49" s="811"/>
      <c r="D49" s="811"/>
      <c r="E49" s="811"/>
      <c r="F49" s="811"/>
      <c r="G49" s="811"/>
      <c r="H49" s="811"/>
      <c r="I49" s="811"/>
      <c r="J49" s="811"/>
      <c r="K49" s="811"/>
      <c r="L49" s="811"/>
      <c r="M49" s="811"/>
    </row>
    <row r="50" customFormat="false" ht="27.75" hidden="false" customHeight="true" outlineLevel="0" collapsed="false">
      <c r="A50" s="863" t="s">
        <v>28</v>
      </c>
      <c r="B50" s="31" t="s">
        <v>30</v>
      </c>
      <c r="C50" s="31" t="s">
        <v>2174</v>
      </c>
      <c r="D50" s="31" t="s">
        <v>2175</v>
      </c>
      <c r="E50" s="31" t="s">
        <v>2176</v>
      </c>
      <c r="F50" s="31" t="s">
        <v>60</v>
      </c>
      <c r="G50" s="31" t="s">
        <v>2155</v>
      </c>
      <c r="H50" s="31" t="s">
        <v>2177</v>
      </c>
    </row>
    <row r="51" customFormat="false" ht="19.5" hidden="false" customHeight="true" outlineLevel="0" collapsed="false">
      <c r="A51" s="864" t="n">
        <v>0.06</v>
      </c>
      <c r="B51" s="169" t="n">
        <f aca="false">IFERROR((IFERROR(INDEX('P&amp;L'!D40:M46,1,Waterfall!$B$5),0))/0.06,0)</f>
        <v>0</v>
      </c>
      <c r="C51" s="169" t="n">
        <f aca="false">IFERROR((MAX(IFERROR(IFERROR((IFERROR(INDEX('P&amp;L'!D40:M46,1,Waterfall!$B$5),0))/0.06,0)*(1-Waterfall!$B$7-'Exit Strategy'!$E$19)-Scenarios!$F$115,0),0)*Waterfall!$B$15+MIN(IF($B$6="Class A",Waterfall!$B$9,Waterfall!$B$10),MAX(IFERROR(IFERROR((IFERROR(INDEX('P&amp;L'!D40:M46,1,Waterfall!$B$5),0))/0.06,0)*(1-Waterfall!$B$7-'Exit Strategy'!$E$19)-Scenarios!$F$115,0),0))),0)</f>
        <v>0</v>
      </c>
      <c r="D51" s="55" t="n">
        <f aca="false">IFERROR($B$5/IF($B$6="Class A",Waterfall!$B$9,Waterfall!$B$10),0)*IFERROR((MAX(IFERROR(IFERROR((IFERROR(INDEX('P&amp;L'!D40:M46,1,Waterfall!$B$5),0))/0.06,0)*(1-Waterfall!$B$7-'Exit Strategy'!$E$19)-Scenarios!$F$115,0),0)*Waterfall!$B$15+MIN(IF($B$6="Class A",Waterfall!$B$9,Waterfall!$B$10),MAX(IFERROR(IFERROR((IFERROR(INDEX('P&amp;L'!D40:M46,1,Waterfall!$B$5),0))/0.06,0)*(1-Waterfall!$B$7-'Exit Strategy'!$E$19)-Scenarios!$F$115,0),0))),0)</f>
        <v>0</v>
      </c>
      <c r="E51" s="55" t="n">
        <f aca="false">IFERROR(M15+M17+IFERROR($B$5/IF($B$6="Class A",Waterfall!$B$9,Waterfall!$B$10),0)*IFERROR((MAX(IFERROR(IFERROR((IFERROR(INDEX('P&amp;L'!D40:M46,1,Waterfall!$B$5),0))/0.06,0)*(1-Waterfall!$B$7-'Exit Strategy'!$E$19)-Scenarios!$F$115,0),0)*Waterfall!$B$15+MIN(IF($B$6="Class A",Waterfall!$B$9,Waterfall!$B$10),MAX(IFERROR(IFERROR((IFERROR(INDEX('P&amp;L'!D40:M46,1,Waterfall!$B$5),0))/0.06,0)*(1-Waterfall!$B$7-'Exit Strategy'!$E$19)-Scenarios!$F$115,0),0))),0),0)</f>
        <v>0</v>
      </c>
      <c r="F51" s="169" t="n">
        <f aca="false">IFERROR(IFERROR(M15+M17+IFERROR($B$5/IF($B$6="Class A",Waterfall!$B$9,Waterfall!$B$10),0)*IFERROR((MAX(IFERROR(IFERROR((IFERROR(INDEX('P&amp;L'!D40:M46,1,Waterfall!$B$5),0))/0.06,0)*(1-Waterfall!$B$7-'Exit Strategy'!$E$19)-Scenarios!$F$115,0),0)*Waterfall!$B$15+MIN(IF($B$6="Class A",Waterfall!$B$9,Waterfall!$B$10),MAX(IFERROR(IFERROR((IFERROR(INDEX('P&amp;L'!D40:M46,1,Waterfall!$B$5),0))/0.06,0)*(1-Waterfall!$B$7-'Exit Strategy'!$E$19)-Scenarios!$F$115,0),0))),0),0)-$B$5,0)</f>
        <v>-100000</v>
      </c>
      <c r="G51" s="865" t="n">
        <f aca="false">IFERROR((IFERROR(M15+M17+IFERROR($B$5/IF($B$6="Class A",Waterfall!$B$9,Waterfall!$B$10),0)*IFERROR((MAX(IFERROR(IFERROR((IFERROR(INDEX('P&amp;L'!D40:M46,1,Waterfall!$B$5),0))/0.06,0)*(1-Waterfall!$B$7-'Exit Strategy'!$E$19)-Scenarios!$F$115,0),0)*Waterfall!$B$15+MIN(IF($B$6="Class A",Waterfall!$B$9,Waterfall!$B$10),MAX(IFERROR(IFERROR((IFERROR(INDEX('P&amp;L'!D40:M46,1,Waterfall!$B$5),0))/0.06,0)*(1-Waterfall!$B$7-'Exit Strategy'!$E$19)-Scenarios!$F$115,0),0))),0),0))/$B$5,0)</f>
        <v>0</v>
      </c>
      <c r="H51" s="866" t="n">
        <f aca="false">IFERROR(IFERROR((IFERROR(M15+M17+IFERROR($B$5/IF($B$6="Class A",Waterfall!$B$9,Waterfall!$B$10),0)*IFERROR((MAX(IFERROR(IFERROR((IFERROR(INDEX('P&amp;L'!D40:M46,1,Waterfall!$B$5),0))/0.06,0)*(1-Waterfall!$B$7-'Exit Strategy'!$E$19)-Scenarios!$F$115,0),0)*Waterfall!$B$15+MIN(IF($B$6="Class A",Waterfall!$B$9,Waterfall!$B$10),MAX(IFERROR(IFERROR((IFERROR(INDEX('P&amp;L'!D40:M46,1,Waterfall!$B$5),0))/0.06,0)*(1-Waterfall!$B$7-'Exit Strategy'!$E$19)-Scenarios!$F$115,0),0))),0),0))/$B$5,0)-B34,0)</f>
        <v>0</v>
      </c>
    </row>
    <row r="52" customFormat="false" ht="19.5" hidden="false" customHeight="true" outlineLevel="0" collapsed="false">
      <c r="A52" s="864" t="n">
        <v>0.065</v>
      </c>
      <c r="B52" s="169" t="n">
        <f aca="false">IFERROR((IFERROR(INDEX('P&amp;L'!D40:M46,1,Waterfall!$B$5),0))/0.065,0)</f>
        <v>0</v>
      </c>
      <c r="C52" s="169" t="n">
        <f aca="false">IFERROR((MAX(IFERROR(IFERROR((IFERROR(INDEX('P&amp;L'!D40:M46,1,Waterfall!$B$5),0))/0.065,0)*(1-Waterfall!$B$7-'Exit Strategy'!$E$19)-Scenarios!$F$115,0),0)*Waterfall!$B$15+MIN(IF($B$6="Class A",Waterfall!$B$9,Waterfall!$B$10),MAX(IFERROR(IFERROR((IFERROR(INDEX('P&amp;L'!D40:M46,1,Waterfall!$B$5),0))/0.065,0)*(1-Waterfall!$B$7-'Exit Strategy'!$E$19)-Scenarios!$F$115,0),0))),0)</f>
        <v>0</v>
      </c>
      <c r="D52" s="55" t="n">
        <f aca="false">IFERROR($B$5/IF($B$6="Class A",Waterfall!$B$9,Waterfall!$B$10),0)*IFERROR((MAX(IFERROR(IFERROR((IFERROR(INDEX('P&amp;L'!D40:M46,1,Waterfall!$B$5),0))/0.065,0)*(1-Waterfall!$B$7-'Exit Strategy'!$E$19)-Scenarios!$F$115,0),0)*Waterfall!$B$15+MIN(IF($B$6="Class A",Waterfall!$B$9,Waterfall!$B$10),MAX(IFERROR(IFERROR((IFERROR(INDEX('P&amp;L'!D40:M46,1,Waterfall!$B$5),0))/0.065,0)*(1-Waterfall!$B$7-'Exit Strategy'!$E$19)-Scenarios!$F$115,0),0))),0)</f>
        <v>0</v>
      </c>
      <c r="E52" s="55" t="n">
        <f aca="false">IFERROR(M15+M17+IFERROR($B$5/IF($B$6="Class A",Waterfall!$B$9,Waterfall!$B$10),0)*IFERROR((MAX(IFERROR(IFERROR((IFERROR(INDEX('P&amp;L'!D40:M46,1,Waterfall!$B$5),0))/0.065,0)*(1-Waterfall!$B$7-'Exit Strategy'!$E$19)-Scenarios!$F$115,0),0)*Waterfall!$B$15+MIN(IF($B$6="Class A",Waterfall!$B$9,Waterfall!$B$10),MAX(IFERROR(IFERROR((IFERROR(INDEX('P&amp;L'!D40:M46,1,Waterfall!$B$5),0))/0.065,0)*(1-Waterfall!$B$7-'Exit Strategy'!$E$19)-Scenarios!$F$115,0),0))),0),0)</f>
        <v>0</v>
      </c>
      <c r="F52" s="169" t="n">
        <f aca="false">IFERROR(IFERROR(M15+M17+IFERROR($B$5/IF($B$6="Class A",Waterfall!$B$9,Waterfall!$B$10),0)*IFERROR((MAX(IFERROR(IFERROR((IFERROR(INDEX('P&amp;L'!D40:M46,1,Waterfall!$B$5),0))/0.065,0)*(1-Waterfall!$B$7-'Exit Strategy'!$E$19)-Scenarios!$F$115,0),0)*Waterfall!$B$15+MIN(IF($B$6="Class A",Waterfall!$B$9,Waterfall!$B$10),MAX(IFERROR(IFERROR((IFERROR(INDEX('P&amp;L'!D40:M46,1,Waterfall!$B$5),0))/0.065,0)*(1-Waterfall!$B$7-'Exit Strategy'!$E$19)-Scenarios!$F$115,0),0))),0),0)-$B$5,0)</f>
        <v>-100000</v>
      </c>
      <c r="G52" s="865" t="n">
        <f aca="false">IFERROR((IFERROR(M15+M17+IFERROR($B$5/IF($B$6="Class A",Waterfall!$B$9,Waterfall!$B$10),0)*IFERROR((MAX(IFERROR(IFERROR((IFERROR(INDEX('P&amp;L'!D40:M46,1,Waterfall!$B$5),0))/0.065,0)*(1-Waterfall!$B$7-'Exit Strategy'!$E$19)-Scenarios!$F$115,0),0)*Waterfall!$B$15+MIN(IF($B$6="Class A",Waterfall!$B$9,Waterfall!$B$10),MAX(IFERROR(IFERROR((IFERROR(INDEX('P&amp;L'!D40:M46,1,Waterfall!$B$5),0))/0.065,0)*(1-Waterfall!$B$7-'Exit Strategy'!$E$19)-Scenarios!$F$115,0),0))),0),0))/$B$5,0)</f>
        <v>0</v>
      </c>
      <c r="H52" s="866" t="n">
        <f aca="false">IFERROR(IFERROR((IFERROR(M15+M17+IFERROR($B$5/IF($B$6="Class A",Waterfall!$B$9,Waterfall!$B$10),0)*IFERROR((MAX(IFERROR(IFERROR((IFERROR(INDEX('P&amp;L'!D40:M46,1,Waterfall!$B$5),0))/0.065,0)*(1-Waterfall!$B$7-'Exit Strategy'!$E$19)-Scenarios!$F$115,0),0)*Waterfall!$B$15+MIN(IF($B$6="Class A",Waterfall!$B$9,Waterfall!$B$10),MAX(IFERROR(IFERROR((IFERROR(INDEX('P&amp;L'!D40:M46,1,Waterfall!$B$5),0))/0.065,0)*(1-Waterfall!$B$7-'Exit Strategy'!$E$19)-Scenarios!$F$115,0),0))),0),0))/$B$5,0)-B34,0)</f>
        <v>0</v>
      </c>
    </row>
    <row r="53" customFormat="false" ht="19.5" hidden="false" customHeight="true" outlineLevel="0" collapsed="false">
      <c r="A53" s="864" t="n">
        <v>0.07</v>
      </c>
      <c r="B53" s="169" t="n">
        <f aca="false">IFERROR((IFERROR(INDEX('P&amp;L'!D40:M46,1,Waterfall!$B$5),0))/0.07,0)</f>
        <v>0</v>
      </c>
      <c r="C53" s="169" t="n">
        <f aca="false">IFERROR((MAX(IFERROR(IFERROR((IFERROR(INDEX('P&amp;L'!D40:M46,1,Waterfall!$B$5),0))/0.07,0)*(1-Waterfall!$B$7-'Exit Strategy'!$E$19)-Scenarios!$F$115,0),0)*Waterfall!$B$15+MIN(IF($B$6="Class A",Waterfall!$B$9,Waterfall!$B$10),MAX(IFERROR(IFERROR((IFERROR(INDEX('P&amp;L'!D40:M46,1,Waterfall!$B$5),0))/0.07,0)*(1-Waterfall!$B$7-'Exit Strategy'!$E$19)-Scenarios!$F$115,0),0))),0)</f>
        <v>0</v>
      </c>
      <c r="D53" s="55" t="n">
        <f aca="false">IFERROR($B$5/IF($B$6="Class A",Waterfall!$B$9,Waterfall!$B$10),0)*IFERROR((MAX(IFERROR(IFERROR((IFERROR(INDEX('P&amp;L'!D40:M46,1,Waterfall!$B$5),0))/0.07,0)*(1-Waterfall!$B$7-'Exit Strategy'!$E$19)-Scenarios!$F$115,0),0)*Waterfall!$B$15+MIN(IF($B$6="Class A",Waterfall!$B$9,Waterfall!$B$10),MAX(IFERROR(IFERROR((IFERROR(INDEX('P&amp;L'!D40:M46,1,Waterfall!$B$5),0))/0.07,0)*(1-Waterfall!$B$7-'Exit Strategy'!$E$19)-Scenarios!$F$115,0),0))),0)</f>
        <v>0</v>
      </c>
      <c r="E53" s="55" t="n">
        <f aca="false">IFERROR(M15+M17+IFERROR($B$5/IF($B$6="Class A",Waterfall!$B$9,Waterfall!$B$10),0)*IFERROR((MAX(IFERROR(IFERROR((IFERROR(INDEX('P&amp;L'!D40:M46,1,Waterfall!$B$5),0))/0.07,0)*(1-Waterfall!$B$7-'Exit Strategy'!$E$19)-Scenarios!$F$115,0),0)*Waterfall!$B$15+MIN(IF($B$6="Class A",Waterfall!$B$9,Waterfall!$B$10),MAX(IFERROR(IFERROR((IFERROR(INDEX('P&amp;L'!D40:M46,1,Waterfall!$B$5),0))/0.07,0)*(1-Waterfall!$B$7-'Exit Strategy'!$E$19)-Scenarios!$F$115,0),0))),0),0)</f>
        <v>0</v>
      </c>
      <c r="F53" s="169" t="n">
        <f aca="false">IFERROR(IFERROR(M15+M17+IFERROR($B$5/IF($B$6="Class A",Waterfall!$B$9,Waterfall!$B$10),0)*IFERROR((MAX(IFERROR(IFERROR((IFERROR(INDEX('P&amp;L'!D40:M46,1,Waterfall!$B$5),0))/0.07,0)*(1-Waterfall!$B$7-'Exit Strategy'!$E$19)-Scenarios!$F$115,0),0)*Waterfall!$B$15+MIN(IF($B$6="Class A",Waterfall!$B$9,Waterfall!$B$10),MAX(IFERROR(IFERROR((IFERROR(INDEX('P&amp;L'!D40:M46,1,Waterfall!$B$5),0))/0.07,0)*(1-Waterfall!$B$7-'Exit Strategy'!$E$19)-Scenarios!$F$115,0),0))),0),0)-$B$5,0)</f>
        <v>-100000</v>
      </c>
      <c r="G53" s="865" t="n">
        <f aca="false">IFERROR((IFERROR(M15+M17+IFERROR($B$5/IF($B$6="Class A",Waterfall!$B$9,Waterfall!$B$10),0)*IFERROR((MAX(IFERROR(IFERROR((IFERROR(INDEX('P&amp;L'!D40:M46,1,Waterfall!$B$5),0))/0.07,0)*(1-Waterfall!$B$7-'Exit Strategy'!$E$19)-Scenarios!$F$115,0),0)*Waterfall!$B$15+MIN(IF($B$6="Class A",Waterfall!$B$9,Waterfall!$B$10),MAX(IFERROR(IFERROR((IFERROR(INDEX('P&amp;L'!D40:M46,1,Waterfall!$B$5),0))/0.07,0)*(1-Waterfall!$B$7-'Exit Strategy'!$E$19)-Scenarios!$F$115,0),0))),0),0))/$B$5,0)</f>
        <v>0</v>
      </c>
      <c r="H53" s="866" t="n">
        <f aca="false">IFERROR(IFERROR((IFERROR(M15+M17+IFERROR($B$5/IF($B$6="Class A",Waterfall!$B$9,Waterfall!$B$10),0)*IFERROR((MAX(IFERROR(IFERROR((IFERROR(INDEX('P&amp;L'!D40:M46,1,Waterfall!$B$5),0))/0.07,0)*(1-Waterfall!$B$7-'Exit Strategy'!$E$19)-Scenarios!$F$115,0),0)*Waterfall!$B$15+MIN(IF($B$6="Class A",Waterfall!$B$9,Waterfall!$B$10),MAX(IFERROR(IFERROR((IFERROR(INDEX('P&amp;L'!D40:M46,1,Waterfall!$B$5),0))/0.07,0)*(1-Waterfall!$B$7-'Exit Strategy'!$E$19)-Scenarios!$F$115,0),0))),0),0))/$B$5,0)-B34,0)</f>
        <v>0</v>
      </c>
    </row>
    <row r="54" customFormat="false" ht="19.5" hidden="false" customHeight="true" outlineLevel="0" collapsed="false">
      <c r="A54" s="864" t="n">
        <v>0.075</v>
      </c>
      <c r="B54" s="169" t="n">
        <f aca="false">IFERROR((IFERROR(INDEX('P&amp;L'!D40:M46,1,Waterfall!$B$5),0))/0.075,0)</f>
        <v>0</v>
      </c>
      <c r="C54" s="169" t="n">
        <f aca="false">IFERROR((MAX(IFERROR(IFERROR((IFERROR(INDEX('P&amp;L'!D40:M46,1,Waterfall!$B$5),0))/0.075,0)*(1-Waterfall!$B$7-'Exit Strategy'!$E$19)-Scenarios!$F$115,0),0)*Waterfall!$B$15+MIN(IF($B$6="Class A",Waterfall!$B$9,Waterfall!$B$10),MAX(IFERROR(IFERROR((IFERROR(INDEX('P&amp;L'!D40:M46,1,Waterfall!$B$5),0))/0.075,0)*(1-Waterfall!$B$7-'Exit Strategy'!$E$19)-Scenarios!$F$115,0),0))),0)</f>
        <v>0</v>
      </c>
      <c r="D54" s="55" t="n">
        <f aca="false">IFERROR($B$5/IF($B$6="Class A",Waterfall!$B$9,Waterfall!$B$10),0)*IFERROR((MAX(IFERROR(IFERROR((IFERROR(INDEX('P&amp;L'!D40:M46,1,Waterfall!$B$5),0))/0.075,0)*(1-Waterfall!$B$7-'Exit Strategy'!$E$19)-Scenarios!$F$115,0),0)*Waterfall!$B$15+MIN(IF($B$6="Class A",Waterfall!$B$9,Waterfall!$B$10),MAX(IFERROR(IFERROR((IFERROR(INDEX('P&amp;L'!D40:M46,1,Waterfall!$B$5),0))/0.075,0)*(1-Waterfall!$B$7-'Exit Strategy'!$E$19)-Scenarios!$F$115,0),0))),0)</f>
        <v>0</v>
      </c>
      <c r="E54" s="55" t="n">
        <f aca="false">IFERROR(M15+M17+IFERROR($B$5/IF($B$6="Class A",Waterfall!$B$9,Waterfall!$B$10),0)*IFERROR((MAX(IFERROR(IFERROR((IFERROR(INDEX('P&amp;L'!D40:M46,1,Waterfall!$B$5),0))/0.075,0)*(1-Waterfall!$B$7-'Exit Strategy'!$E$19)-Scenarios!$F$115,0),0)*Waterfall!$B$15+MIN(IF($B$6="Class A",Waterfall!$B$9,Waterfall!$B$10),MAX(IFERROR(IFERROR((IFERROR(INDEX('P&amp;L'!D40:M46,1,Waterfall!$B$5),0))/0.075,0)*(1-Waterfall!$B$7-'Exit Strategy'!$E$19)-Scenarios!$F$115,0),0))),0),0)</f>
        <v>0</v>
      </c>
      <c r="F54" s="169" t="n">
        <f aca="false">IFERROR(IFERROR(M15+M17+IFERROR($B$5/IF($B$6="Class A",Waterfall!$B$9,Waterfall!$B$10),0)*IFERROR((MAX(IFERROR(IFERROR((IFERROR(INDEX('P&amp;L'!D40:M46,1,Waterfall!$B$5),0))/0.075,0)*(1-Waterfall!$B$7-'Exit Strategy'!$E$19)-Scenarios!$F$115,0),0)*Waterfall!$B$15+MIN(IF($B$6="Class A",Waterfall!$B$9,Waterfall!$B$10),MAX(IFERROR(IFERROR((IFERROR(INDEX('P&amp;L'!D40:M46,1,Waterfall!$B$5),0))/0.075,0)*(1-Waterfall!$B$7-'Exit Strategy'!$E$19)-Scenarios!$F$115,0),0))),0),0)-$B$5,0)</f>
        <v>-100000</v>
      </c>
      <c r="G54" s="865" t="n">
        <f aca="false">IFERROR((IFERROR(M15+M17+IFERROR($B$5/IF($B$6="Class A",Waterfall!$B$9,Waterfall!$B$10),0)*IFERROR((MAX(IFERROR(IFERROR((IFERROR(INDEX('P&amp;L'!D40:M46,1,Waterfall!$B$5),0))/0.075,0)*(1-Waterfall!$B$7-'Exit Strategy'!$E$19)-Scenarios!$F$115,0),0)*Waterfall!$B$15+MIN(IF($B$6="Class A",Waterfall!$B$9,Waterfall!$B$10),MAX(IFERROR(IFERROR((IFERROR(INDEX('P&amp;L'!D40:M46,1,Waterfall!$B$5),0))/0.075,0)*(1-Waterfall!$B$7-'Exit Strategy'!$E$19)-Scenarios!$F$115,0),0))),0),0))/$B$5,0)</f>
        <v>0</v>
      </c>
      <c r="H54" s="866" t="n">
        <f aca="false">IFERROR(IFERROR((IFERROR(M15+M17+IFERROR($B$5/IF($B$6="Class A",Waterfall!$B$9,Waterfall!$B$10),0)*IFERROR((MAX(IFERROR(IFERROR((IFERROR(INDEX('P&amp;L'!D40:M46,1,Waterfall!$B$5),0))/0.075,0)*(1-Waterfall!$B$7-'Exit Strategy'!$E$19)-Scenarios!$F$115,0),0)*Waterfall!$B$15+MIN(IF($B$6="Class A",Waterfall!$B$9,Waterfall!$B$10),MAX(IFERROR(IFERROR((IFERROR(INDEX('P&amp;L'!D40:M46,1,Waterfall!$B$5),0))/0.075,0)*(1-Waterfall!$B$7-'Exit Strategy'!$E$19)-Scenarios!$F$115,0),0))),0),0))/$B$5,0)-B34,0)</f>
        <v>0</v>
      </c>
    </row>
    <row r="55" customFormat="false" ht="19.5" hidden="false" customHeight="true" outlineLevel="0" collapsed="false">
      <c r="A55" s="867" t="n">
        <v>0.08</v>
      </c>
      <c r="B55" s="39" t="n">
        <f aca="false">IFERROR((IFERROR(INDEX('P&amp;L'!D40:M46,1,Waterfall!$B$5),0))/0.08,0)</f>
        <v>0</v>
      </c>
      <c r="C55" s="39" t="n">
        <f aca="false">IFERROR((MAX(IFERROR(IFERROR((IFERROR(INDEX('P&amp;L'!D40:M46,1,Waterfall!$B$5),0))/0.08,0)*(1-Waterfall!$B$7-'Exit Strategy'!$E$19)-Scenarios!$F$115,0),0)*Waterfall!$B$15+MIN(IF($B$6="Class A",Waterfall!$B$9,Waterfall!$B$10),MAX(IFERROR(IFERROR((IFERROR(INDEX('P&amp;L'!D40:M46,1,Waterfall!$B$5),0))/0.08,0)*(1-Waterfall!$B$7-'Exit Strategy'!$E$19)-Scenarios!$F$115,0),0))),0)</f>
        <v>0</v>
      </c>
      <c r="D55" s="39" t="n">
        <f aca="false">IFERROR($B$5/IF($B$6="Class A",Waterfall!$B$9,Waterfall!$B$10),0)*IFERROR((MAX(IFERROR(IFERROR((IFERROR(INDEX('P&amp;L'!D40:M46,1,Waterfall!$B$5),0))/0.08,0)*(1-Waterfall!$B$7-'Exit Strategy'!$E$19)-Scenarios!$F$115,0),0)*Waterfall!$B$15+MIN(IF($B$6="Class A",Waterfall!$B$9,Waterfall!$B$10),MAX(IFERROR(IFERROR((IFERROR(INDEX('P&amp;L'!D40:M46,1,Waterfall!$B$5),0))/0.08,0)*(1-Waterfall!$B$7-'Exit Strategy'!$E$19)-Scenarios!$F$115,0),0))),0)</f>
        <v>0</v>
      </c>
      <c r="E55" s="39" t="n">
        <f aca="false">IFERROR(M15+M17+IFERROR($B$5/IF($B$6="Class A",Waterfall!$B$9,Waterfall!$B$10),0)*IFERROR((MAX(IFERROR(IFERROR((IFERROR(INDEX('P&amp;L'!D40:M46,1,Waterfall!$B$5),0))/0.08,0)*(1-Waterfall!$B$7-'Exit Strategy'!$E$19)-Scenarios!$F$115,0),0)*Waterfall!$B$15+MIN(IF($B$6="Class A",Waterfall!$B$9,Waterfall!$B$10),MAX(IFERROR(IFERROR((IFERROR(INDEX('P&amp;L'!D40:M46,1,Waterfall!$B$5),0))/0.08,0)*(1-Waterfall!$B$7-'Exit Strategy'!$E$19)-Scenarios!$F$115,0),0))),0),0)</f>
        <v>0</v>
      </c>
      <c r="F55" s="39" t="n">
        <f aca="false">IFERROR(IFERROR(M15+M17+IFERROR($B$5/IF($B$6="Class A",Waterfall!$B$9,Waterfall!$B$10),0)*IFERROR((MAX(IFERROR(IFERROR((IFERROR(INDEX('P&amp;L'!D40:M46,1,Waterfall!$B$5),0))/0.08,0)*(1-Waterfall!$B$7-'Exit Strategy'!$E$19)-Scenarios!$F$115,0),0)*Waterfall!$B$15+MIN(IF($B$6="Class A",Waterfall!$B$9,Waterfall!$B$10),MAX(IFERROR(IFERROR((IFERROR(INDEX('P&amp;L'!D40:M46,1,Waterfall!$B$5),0))/0.08,0)*(1-Waterfall!$B$7-'Exit Strategy'!$E$19)-Scenarios!$F$115,0),0))),0),0)-$B$5,0)</f>
        <v>-100000</v>
      </c>
      <c r="G55" s="868" t="n">
        <f aca="false">IFERROR((IFERROR(M15+M17+IFERROR($B$5/IF($B$6="Class A",Waterfall!$B$9,Waterfall!$B$10),0)*IFERROR((MAX(IFERROR(IFERROR((IFERROR(INDEX('P&amp;L'!D40:M46,1,Waterfall!$B$5),0))/0.08,0)*(1-Waterfall!$B$7-'Exit Strategy'!$E$19)-Scenarios!$F$115,0),0)*Waterfall!$B$15+MIN(IF($B$6="Class A",Waterfall!$B$9,Waterfall!$B$10),MAX(IFERROR(IFERROR((IFERROR(INDEX('P&amp;L'!D40:M46,1,Waterfall!$B$5),0))/0.08,0)*(1-Waterfall!$B$7-'Exit Strategy'!$E$19)-Scenarios!$F$115,0),0))),0),0))/$B$5,0)</f>
        <v>0</v>
      </c>
      <c r="H55" s="869" t="n">
        <f aca="false">IFERROR(IFERROR((IFERROR(M15+M17+IFERROR($B$5/IF($B$6="Class A",Waterfall!$B$9,Waterfall!$B$10),0)*IFERROR((MAX(IFERROR(IFERROR((IFERROR(INDEX('P&amp;L'!D40:M46,1,Waterfall!$B$5),0))/0.08,0)*(1-Waterfall!$B$7-'Exit Strategy'!$E$19)-Scenarios!$F$115,0),0)*Waterfall!$B$15+MIN(IF($B$6="Class A",Waterfall!$B$9,Waterfall!$B$10),MAX(IFERROR(IFERROR((IFERROR(INDEX('P&amp;L'!D40:M46,1,Waterfall!$B$5),0))/0.08,0)*(1-Waterfall!$B$7-'Exit Strategy'!$E$19)-Scenarios!$F$115,0),0))),0),0))/$B$5,0)-B34,0)</f>
        <v>0</v>
      </c>
    </row>
    <row r="56" customFormat="false" ht="19.5" hidden="false" customHeight="true" outlineLevel="0" collapsed="false">
      <c r="A56" s="870" t="n">
        <v>0.085</v>
      </c>
      <c r="B56" s="871" t="n">
        <f aca="false">IFERROR((IFERROR(INDEX('P&amp;L'!D40:M46,1,Waterfall!$B$5),0))/0.085,0)</f>
        <v>0</v>
      </c>
      <c r="C56" s="871" t="n">
        <f aca="false">IFERROR((MAX(IFERROR(IFERROR((IFERROR(INDEX('P&amp;L'!D40:M46,1,Waterfall!$B$5),0))/0.085,0)*(1-Waterfall!$B$7-'Exit Strategy'!$E$19)-Scenarios!$F$115,0),0)*Waterfall!$B$15+MIN(IF($B$6="Class A",Waterfall!$B$9,Waterfall!$B$10),MAX(IFERROR(IFERROR((IFERROR(INDEX('P&amp;L'!D40:M46,1,Waterfall!$B$5),0))/0.085,0)*(1-Waterfall!$B$7-'Exit Strategy'!$E$19)-Scenarios!$F$115,0),0))),0)</f>
        <v>0</v>
      </c>
      <c r="D56" s="462" t="n">
        <f aca="false">IFERROR($B$5/IF($B$6="Class A",Waterfall!$B$9,Waterfall!$B$10),0)*IFERROR((MAX(IFERROR(IFERROR((IFERROR(INDEX('P&amp;L'!D40:M46,1,Waterfall!$B$5),0))/0.085,0)*(1-Waterfall!$B$7-'Exit Strategy'!$E$19)-Scenarios!$F$115,0),0)*Waterfall!$B$15+MIN(IF($B$6="Class A",Waterfall!$B$9,Waterfall!$B$10),MAX(IFERROR(IFERROR((IFERROR(INDEX('P&amp;L'!D40:M46,1,Waterfall!$B$5),0))/0.085,0)*(1-Waterfall!$B$7-'Exit Strategy'!$E$19)-Scenarios!$F$115,0),0))),0)</f>
        <v>0</v>
      </c>
      <c r="E56" s="462" t="n">
        <f aca="false">IFERROR(M15+M17+IFERROR($B$5/IF($B$6="Class A",Waterfall!$B$9,Waterfall!$B$10),0)*IFERROR((MAX(IFERROR(IFERROR((IFERROR(INDEX('P&amp;L'!D40:M46,1,Waterfall!$B$5),0))/0.085,0)*(1-Waterfall!$B$7-'Exit Strategy'!$E$19)-Scenarios!$F$115,0),0)*Waterfall!$B$15+MIN(IF($B$6="Class A",Waterfall!$B$9,Waterfall!$B$10),MAX(IFERROR(IFERROR((IFERROR(INDEX('P&amp;L'!D40:M46,1,Waterfall!$B$5),0))/0.085,0)*(1-Waterfall!$B$7-'Exit Strategy'!$E$19)-Scenarios!$F$115,0),0))),0),0)</f>
        <v>0</v>
      </c>
      <c r="F56" s="871" t="n">
        <f aca="false">IFERROR(IFERROR(M15+M17+IFERROR($B$5/IF($B$6="Class A",Waterfall!$B$9,Waterfall!$B$10),0)*IFERROR((MAX(IFERROR(IFERROR((IFERROR(INDEX('P&amp;L'!D40:M46,1,Waterfall!$B$5),0))/0.085,0)*(1-Waterfall!$B$7-'Exit Strategy'!$E$19)-Scenarios!$F$115,0),0)*Waterfall!$B$15+MIN(IF($B$6="Class A",Waterfall!$B$9,Waterfall!$B$10),MAX(IFERROR(IFERROR((IFERROR(INDEX('P&amp;L'!D40:M46,1,Waterfall!$B$5),0))/0.085,0)*(1-Waterfall!$B$7-'Exit Strategy'!$E$19)-Scenarios!$F$115,0),0))),0),0)-$B$5,0)</f>
        <v>-100000</v>
      </c>
      <c r="G56" s="872" t="n">
        <f aca="false">IFERROR((IFERROR(M15+M17+IFERROR($B$5/IF($B$6="Class A",Waterfall!$B$9,Waterfall!$B$10),0)*IFERROR((MAX(IFERROR(IFERROR((IFERROR(INDEX('P&amp;L'!D40:M46,1,Waterfall!$B$5),0))/0.085,0)*(1-Waterfall!$B$7-'Exit Strategy'!$E$19)-Scenarios!$F$115,0),0)*Waterfall!$B$15+MIN(IF($B$6="Class A",Waterfall!$B$9,Waterfall!$B$10),MAX(IFERROR(IFERROR((IFERROR(INDEX('P&amp;L'!D40:M46,1,Waterfall!$B$5),0))/0.085,0)*(1-Waterfall!$B$7-'Exit Strategy'!$E$19)-Scenarios!$F$115,0),0))),0),0))/$B$5,0)</f>
        <v>0</v>
      </c>
      <c r="H56" s="873" t="n">
        <f aca="false">IFERROR(IFERROR((IFERROR(M15+M17+IFERROR($B$5/IF($B$6="Class A",Waterfall!$B$9,Waterfall!$B$10),0)*IFERROR((MAX(IFERROR(IFERROR((IFERROR(INDEX('P&amp;L'!D40:M46,1,Waterfall!$B$5),0))/0.085,0)*(1-Waterfall!$B$7-'Exit Strategy'!$E$19)-Scenarios!$F$115,0),0)*Waterfall!$B$15+MIN(IF($B$6="Class A",Waterfall!$B$9,Waterfall!$B$10),MAX(IFERROR(IFERROR((IFERROR(INDEX('P&amp;L'!D40:M46,1,Waterfall!$B$5),0))/0.085,0)*(1-Waterfall!$B$7-'Exit Strategy'!$E$19)-Scenarios!$F$115,0),0))),0),0))/$B$5,0)-B34,0)</f>
        <v>0</v>
      </c>
    </row>
    <row r="57" customFormat="false" ht="19.5" hidden="false" customHeight="true" outlineLevel="0" collapsed="false">
      <c r="A57" s="870" t="n">
        <v>0.09</v>
      </c>
      <c r="B57" s="871" t="n">
        <f aca="false">IFERROR((IFERROR(INDEX('P&amp;L'!D40:M46,1,Waterfall!$B$5),0))/0.09,0)</f>
        <v>0</v>
      </c>
      <c r="C57" s="871" t="n">
        <f aca="false">IFERROR((MAX(IFERROR(IFERROR((IFERROR(INDEX('P&amp;L'!D40:M46,1,Waterfall!$B$5),0))/0.09,0)*(1-Waterfall!$B$7-'Exit Strategy'!$E$19)-Scenarios!$F$115,0),0)*Waterfall!$B$15+MIN(IF($B$6="Class A",Waterfall!$B$9,Waterfall!$B$10),MAX(IFERROR(IFERROR((IFERROR(INDEX('P&amp;L'!D40:M46,1,Waterfall!$B$5),0))/0.09,0)*(1-Waterfall!$B$7-'Exit Strategy'!$E$19)-Scenarios!$F$115,0),0))),0)</f>
        <v>0</v>
      </c>
      <c r="D57" s="462" t="n">
        <f aca="false">IFERROR($B$5/IF($B$6="Class A",Waterfall!$B$9,Waterfall!$B$10),0)*IFERROR((MAX(IFERROR(IFERROR((IFERROR(INDEX('P&amp;L'!D40:M46,1,Waterfall!$B$5),0))/0.09,0)*(1-Waterfall!$B$7-'Exit Strategy'!$E$19)-Scenarios!$F$115,0),0)*Waterfall!$B$15+MIN(IF($B$6="Class A",Waterfall!$B$9,Waterfall!$B$10),MAX(IFERROR(IFERROR((IFERROR(INDEX('P&amp;L'!D40:M46,1,Waterfall!$B$5),0))/0.09,0)*(1-Waterfall!$B$7-'Exit Strategy'!$E$19)-Scenarios!$F$115,0),0))),0)</f>
        <v>0</v>
      </c>
      <c r="E57" s="462" t="n">
        <f aca="false">IFERROR(M15+M17+IFERROR($B$5/IF($B$6="Class A",Waterfall!$B$9,Waterfall!$B$10),0)*IFERROR((MAX(IFERROR(IFERROR((IFERROR(INDEX('P&amp;L'!D40:M46,1,Waterfall!$B$5),0))/0.09,0)*(1-Waterfall!$B$7-'Exit Strategy'!$E$19)-Scenarios!$F$115,0),0)*Waterfall!$B$15+MIN(IF($B$6="Class A",Waterfall!$B$9,Waterfall!$B$10),MAX(IFERROR(IFERROR((IFERROR(INDEX('P&amp;L'!D40:M46,1,Waterfall!$B$5),0))/0.09,0)*(1-Waterfall!$B$7-'Exit Strategy'!$E$19)-Scenarios!$F$115,0),0))),0),0)</f>
        <v>0</v>
      </c>
      <c r="F57" s="871" t="n">
        <f aca="false">IFERROR(IFERROR(M15+M17+IFERROR($B$5/IF($B$6="Class A",Waterfall!$B$9,Waterfall!$B$10),0)*IFERROR((MAX(IFERROR(IFERROR((IFERROR(INDEX('P&amp;L'!D40:M46,1,Waterfall!$B$5),0))/0.09,0)*(1-Waterfall!$B$7-'Exit Strategy'!$E$19)-Scenarios!$F$115,0),0)*Waterfall!$B$15+MIN(IF($B$6="Class A",Waterfall!$B$9,Waterfall!$B$10),MAX(IFERROR(IFERROR((IFERROR(INDEX('P&amp;L'!D40:M46,1,Waterfall!$B$5),0))/0.09,0)*(1-Waterfall!$B$7-'Exit Strategy'!$E$19)-Scenarios!$F$115,0),0))),0),0)-$B$5,0)</f>
        <v>-100000</v>
      </c>
      <c r="G57" s="872" t="n">
        <f aca="false">IFERROR((IFERROR(M15+M17+IFERROR($B$5/IF($B$6="Class A",Waterfall!$B$9,Waterfall!$B$10),0)*IFERROR((MAX(IFERROR(IFERROR((IFERROR(INDEX('P&amp;L'!D40:M46,1,Waterfall!$B$5),0))/0.09,0)*(1-Waterfall!$B$7-'Exit Strategy'!$E$19)-Scenarios!$F$115,0),0)*Waterfall!$B$15+MIN(IF($B$6="Class A",Waterfall!$B$9,Waterfall!$B$10),MAX(IFERROR(IFERROR((IFERROR(INDEX('P&amp;L'!D40:M46,1,Waterfall!$B$5),0))/0.09,0)*(1-Waterfall!$B$7-'Exit Strategy'!$E$19)-Scenarios!$F$115,0),0))),0),0))/$B$5,0)</f>
        <v>0</v>
      </c>
      <c r="H57" s="873" t="n">
        <f aca="false">IFERROR(IFERROR((IFERROR(M15+M17+IFERROR($B$5/IF($B$6="Class A",Waterfall!$B$9,Waterfall!$B$10),0)*IFERROR((MAX(IFERROR(IFERROR((IFERROR(INDEX('P&amp;L'!D40:M46,1,Waterfall!$B$5),0))/0.09,0)*(1-Waterfall!$B$7-'Exit Strategy'!$E$19)-Scenarios!$F$115,0),0)*Waterfall!$B$15+MIN(IF($B$6="Class A",Waterfall!$B$9,Waterfall!$B$10),MAX(IFERROR(IFERROR((IFERROR(INDEX('P&amp;L'!D40:M46,1,Waterfall!$B$5),0))/0.09,0)*(1-Waterfall!$B$7-'Exit Strategy'!$E$19)-Scenarios!$F$115,0),0))),0),0))/$B$5,0)-B34,0)</f>
        <v>0</v>
      </c>
    </row>
    <row r="58" customFormat="false" ht="19.5" hidden="false" customHeight="true" outlineLevel="0" collapsed="false">
      <c r="A58" s="870" t="n">
        <v>0.095</v>
      </c>
      <c r="B58" s="871" t="n">
        <f aca="false">IFERROR((IFERROR(INDEX('P&amp;L'!D40:M46,1,Waterfall!$B$5),0))/0.095,0)</f>
        <v>0</v>
      </c>
      <c r="C58" s="871" t="n">
        <f aca="false">IFERROR((MAX(IFERROR(IFERROR((IFERROR(INDEX('P&amp;L'!D40:M46,1,Waterfall!$B$5),0))/0.095,0)*(1-Waterfall!$B$7-'Exit Strategy'!$E$19)-Scenarios!$F$115,0),0)*Waterfall!$B$15+MIN(IF($B$6="Class A",Waterfall!$B$9,Waterfall!$B$10),MAX(IFERROR(IFERROR((IFERROR(INDEX('P&amp;L'!D40:M46,1,Waterfall!$B$5),0))/0.095,0)*(1-Waterfall!$B$7-'Exit Strategy'!$E$19)-Scenarios!$F$115,0),0))),0)</f>
        <v>0</v>
      </c>
      <c r="D58" s="462" t="n">
        <f aca="false">IFERROR($B$5/IF($B$6="Class A",Waterfall!$B$9,Waterfall!$B$10),0)*IFERROR((MAX(IFERROR(IFERROR((IFERROR(INDEX('P&amp;L'!D40:M46,1,Waterfall!$B$5),0))/0.095,0)*(1-Waterfall!$B$7-'Exit Strategy'!$E$19)-Scenarios!$F$115,0),0)*Waterfall!$B$15+MIN(IF($B$6="Class A",Waterfall!$B$9,Waterfall!$B$10),MAX(IFERROR(IFERROR((IFERROR(INDEX('P&amp;L'!D40:M46,1,Waterfall!$B$5),0))/0.095,0)*(1-Waterfall!$B$7-'Exit Strategy'!$E$19)-Scenarios!$F$115,0),0))),0)</f>
        <v>0</v>
      </c>
      <c r="E58" s="462" t="n">
        <f aca="false">IFERROR(M15+M17+IFERROR($B$5/IF($B$6="Class A",Waterfall!$B$9,Waterfall!$B$10),0)*IFERROR((MAX(IFERROR(IFERROR((IFERROR(INDEX('P&amp;L'!D40:M46,1,Waterfall!$B$5),0))/0.095,0)*(1-Waterfall!$B$7-'Exit Strategy'!$E$19)-Scenarios!$F$115,0),0)*Waterfall!$B$15+MIN(IF($B$6="Class A",Waterfall!$B$9,Waterfall!$B$10),MAX(IFERROR(IFERROR((IFERROR(INDEX('P&amp;L'!D40:M46,1,Waterfall!$B$5),0))/0.095,0)*(1-Waterfall!$B$7-'Exit Strategy'!$E$19)-Scenarios!$F$115,0),0))),0),0)</f>
        <v>0</v>
      </c>
      <c r="F58" s="871" t="n">
        <f aca="false">IFERROR(IFERROR(M15+M17+IFERROR($B$5/IF($B$6="Class A",Waterfall!$B$9,Waterfall!$B$10),0)*IFERROR((MAX(IFERROR(IFERROR((IFERROR(INDEX('P&amp;L'!D40:M46,1,Waterfall!$B$5),0))/0.095,0)*(1-Waterfall!$B$7-'Exit Strategy'!$E$19)-Scenarios!$F$115,0),0)*Waterfall!$B$15+MIN(IF($B$6="Class A",Waterfall!$B$9,Waterfall!$B$10),MAX(IFERROR(IFERROR((IFERROR(INDEX('P&amp;L'!D40:M46,1,Waterfall!$B$5),0))/0.095,0)*(1-Waterfall!$B$7-'Exit Strategy'!$E$19)-Scenarios!$F$115,0),0))),0),0)-$B$5,0)</f>
        <v>-100000</v>
      </c>
      <c r="G58" s="872" t="n">
        <f aca="false">IFERROR((IFERROR(M15+M17+IFERROR($B$5/IF($B$6="Class A",Waterfall!$B$9,Waterfall!$B$10),0)*IFERROR((MAX(IFERROR(IFERROR((IFERROR(INDEX('P&amp;L'!D40:M46,1,Waterfall!$B$5),0))/0.095,0)*(1-Waterfall!$B$7-'Exit Strategy'!$E$19)-Scenarios!$F$115,0),0)*Waterfall!$B$15+MIN(IF($B$6="Class A",Waterfall!$B$9,Waterfall!$B$10),MAX(IFERROR(IFERROR((IFERROR(INDEX('P&amp;L'!D40:M46,1,Waterfall!$B$5),0))/0.095,0)*(1-Waterfall!$B$7-'Exit Strategy'!$E$19)-Scenarios!$F$115,0),0))),0),0))/$B$5,0)</f>
        <v>0</v>
      </c>
      <c r="H58" s="873" t="n">
        <f aca="false">IFERROR(IFERROR((IFERROR(M15+M17+IFERROR($B$5/IF($B$6="Class A",Waterfall!$B$9,Waterfall!$B$10),0)*IFERROR((MAX(IFERROR(IFERROR((IFERROR(INDEX('P&amp;L'!D40:M46,1,Waterfall!$B$5),0))/0.095,0)*(1-Waterfall!$B$7-'Exit Strategy'!$E$19)-Scenarios!$F$115,0),0)*Waterfall!$B$15+MIN(IF($B$6="Class A",Waterfall!$B$9,Waterfall!$B$10),MAX(IFERROR(IFERROR((IFERROR(INDEX('P&amp;L'!D40:M46,1,Waterfall!$B$5),0))/0.095,0)*(1-Waterfall!$B$7-'Exit Strategy'!$E$19)-Scenarios!$F$115,0),0))),0),0))/$B$5,0)-B34,0)</f>
        <v>0</v>
      </c>
    </row>
    <row r="59" customFormat="false" ht="15.75" hidden="false" customHeight="true" outlineLevel="0" collapsed="false">
      <c r="A59" s="811" t="s">
        <v>2178</v>
      </c>
      <c r="B59" s="811"/>
      <c r="C59" s="811"/>
      <c r="D59" s="811"/>
      <c r="E59" s="811"/>
      <c r="F59" s="811"/>
      <c r="G59" s="811"/>
      <c r="H59" s="811"/>
      <c r="I59" s="811"/>
      <c r="J59" s="811"/>
      <c r="K59" s="811"/>
      <c r="L59" s="811"/>
      <c r="M59" s="811"/>
    </row>
  </sheetData>
  <mergeCells count="20">
    <mergeCell ref="A1:M1"/>
    <mergeCell ref="A2:M2"/>
    <mergeCell ref="A4:N4"/>
    <mergeCell ref="A10:N10"/>
    <mergeCell ref="A12:N12"/>
    <mergeCell ref="A16:N16"/>
    <mergeCell ref="A18:M18"/>
    <mergeCell ref="A19:N19"/>
    <mergeCell ref="A23:N23"/>
    <mergeCell ref="A26:N26"/>
    <mergeCell ref="A30:N30"/>
    <mergeCell ref="A37:M37"/>
    <mergeCell ref="A39:M39"/>
    <mergeCell ref="A40:M40"/>
    <mergeCell ref="C43:D43"/>
    <mergeCell ref="C44:D44"/>
    <mergeCell ref="A46:M46"/>
    <mergeCell ref="A48:M48"/>
    <mergeCell ref="A49:M49"/>
    <mergeCell ref="A59:M59"/>
  </mergeCells>
  <dataValidations count="1">
    <dataValidation allowBlank="false" errorStyle="stop" operator="between" showDropDown="false" showErrorMessage="false" showInputMessage="false" sqref="B6" type="list">
      <formula1>"Class A,Class 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25" activeCellId="0" sqref="B25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6" min="2" style="0" width="17"/>
    <col collapsed="false" customWidth="true" hidden="false" outlineLevel="0" max="7" min="7" style="0" width="19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21.75" hidden="false" customHeight="true" outlineLevel="0" collapsed="false">
      <c r="A1" s="106" t="str">
        <f aca="false">IF('Prop Info'!B4="","PORTFOLIO ROLLUP  —  Multi-Property Aggregation","PORTFOLIO ROLLUP  —  Multi-Property Aggregation"&amp;" — "&amp;'Prop Info'!B4)</f>
        <v>PORTFOLIO ROLLUP  —  Multi-Property Aggregation</v>
      </c>
      <c r="B1" s="106"/>
      <c r="C1" s="106"/>
      <c r="D1" s="106"/>
      <c r="E1" s="106"/>
      <c r="F1" s="106"/>
      <c r="G1" s="106"/>
      <c r="H1" s="106"/>
      <c r="I1" s="106"/>
    </row>
    <row r="2" customFormat="false" ht="31.5" hidden="false" customHeight="true" outlineLevel="0" collapsed="false">
      <c r="A2" s="113" t="s">
        <v>2179</v>
      </c>
    </row>
    <row r="4" customFormat="false" ht="21.75" hidden="false" customHeight="true" outlineLevel="0" collapsed="false">
      <c r="A4" s="17" t="s">
        <v>2180</v>
      </c>
      <c r="B4" s="17"/>
      <c r="C4" s="17"/>
      <c r="D4" s="17"/>
      <c r="E4" s="17"/>
      <c r="F4" s="17"/>
      <c r="G4" s="17"/>
      <c r="H4" s="17"/>
      <c r="I4" s="17"/>
    </row>
    <row r="5" customFormat="false" ht="27.75" hidden="false" customHeight="true" outlineLevel="0" collapsed="false">
      <c r="A5" s="109" t="s">
        <v>11</v>
      </c>
      <c r="B5" s="109" t="s">
        <v>2181</v>
      </c>
      <c r="C5" s="109" t="s">
        <v>2182</v>
      </c>
      <c r="D5" s="109" t="s">
        <v>2183</v>
      </c>
      <c r="E5" s="109" t="s">
        <v>2184</v>
      </c>
      <c r="F5" s="109" t="s">
        <v>2185</v>
      </c>
      <c r="G5" s="127" t="s">
        <v>2186</v>
      </c>
      <c r="H5" s="109" t="s">
        <v>55</v>
      </c>
    </row>
    <row r="6" customFormat="false" ht="15" hidden="false" customHeight="true" outlineLevel="0" collapsed="false">
      <c r="A6" s="111" t="s">
        <v>2</v>
      </c>
      <c r="B6" s="377" t="n">
        <f aca="false">'Prop Info'!B4</f>
        <v>0</v>
      </c>
      <c r="C6" s="431"/>
      <c r="D6" s="431"/>
      <c r="E6" s="431"/>
      <c r="F6" s="431"/>
    </row>
    <row r="7" customFormat="false" ht="15" hidden="false" customHeight="true" outlineLevel="0" collapsed="false">
      <c r="A7" s="111" t="s">
        <v>3</v>
      </c>
      <c r="B7" s="377" t="n">
        <f aca="false">'Prop Info'!B5</f>
        <v>0</v>
      </c>
      <c r="C7" s="431"/>
      <c r="D7" s="431"/>
      <c r="E7" s="431"/>
      <c r="F7" s="431"/>
    </row>
    <row r="8" customFormat="false" ht="15" hidden="false" customHeight="true" outlineLevel="0" collapsed="false">
      <c r="A8" s="111" t="s">
        <v>2187</v>
      </c>
      <c r="B8" s="377" t="n">
        <f aca="false">'Prop Info'!B21</f>
        <v>0</v>
      </c>
      <c r="C8" s="431"/>
      <c r="D8" s="431"/>
      <c r="E8" s="431"/>
      <c r="F8" s="431"/>
    </row>
    <row r="9" customFormat="false" ht="15" hidden="false" customHeight="true" outlineLevel="0" collapsed="false">
      <c r="A9" s="111" t="s">
        <v>4</v>
      </c>
      <c r="B9" s="377" t="n">
        <f aca="false">'Prop Info'!B9</f>
        <v>0</v>
      </c>
      <c r="C9" s="431"/>
      <c r="D9" s="431"/>
      <c r="E9" s="431"/>
      <c r="F9" s="431"/>
    </row>
    <row r="10" customFormat="false" ht="15" hidden="false" customHeight="true" outlineLevel="0" collapsed="false">
      <c r="A10" s="111" t="s">
        <v>2188</v>
      </c>
      <c r="B10" s="377" t="n">
        <f aca="false">'Prop Info'!B13</f>
        <v>0</v>
      </c>
      <c r="C10" s="431"/>
      <c r="D10" s="431"/>
      <c r="E10" s="431"/>
      <c r="F10" s="431"/>
    </row>
    <row r="11" customFormat="false" ht="15" hidden="false" customHeight="true" outlineLevel="0" collapsed="false">
      <c r="A11" s="111" t="s">
        <v>369</v>
      </c>
      <c r="B11" s="118" t="n">
        <f aca="false">'Prop Info'!B6</f>
        <v>0</v>
      </c>
      <c r="C11" s="430"/>
      <c r="D11" s="430"/>
      <c r="E11" s="430"/>
      <c r="F11" s="430"/>
      <c r="G11" s="124" t="n">
        <f aca="false">SUM(B11:F11)</f>
        <v>0</v>
      </c>
      <c r="H11" s="107" t="s">
        <v>2189</v>
      </c>
      <c r="I11" s="107"/>
    </row>
    <row r="12" customFormat="false" ht="15" hidden="false" customHeight="true" outlineLevel="0" collapsed="false">
      <c r="A12" s="111" t="s">
        <v>6</v>
      </c>
      <c r="B12" s="118" t="n">
        <f aca="false">'Prop Info'!B11</f>
        <v>0</v>
      </c>
      <c r="C12" s="430"/>
      <c r="D12" s="430"/>
      <c r="E12" s="430"/>
      <c r="F12" s="430"/>
      <c r="G12" s="124" t="n">
        <f aca="false">SUM(B12:F12)</f>
        <v>0</v>
      </c>
      <c r="H12" s="107" t="s">
        <v>1337</v>
      </c>
      <c r="I12" s="107"/>
    </row>
    <row r="13" customFormat="false" ht="15" hidden="false" customHeight="true" outlineLevel="0" collapsed="false">
      <c r="A13" s="111" t="s">
        <v>394</v>
      </c>
      <c r="B13" s="118" t="e">
        <f aca="false">'Prop Info'!B11/'Prop Info'!B6</f>
        <v>#DIV/0!</v>
      </c>
      <c r="C13" s="430"/>
      <c r="D13" s="430"/>
      <c r="E13" s="430"/>
      <c r="F13" s="430"/>
      <c r="G13" s="124" t="n">
        <f aca="false">IFERROR(SUMPRODUCT(B13:F13,B11:F11)/SUM(B11:F11),0)</f>
        <v>0</v>
      </c>
      <c r="H13" s="107" t="s">
        <v>2190</v>
      </c>
      <c r="I13" s="107"/>
    </row>
    <row r="14" customFormat="false" ht="15" hidden="false" customHeight="true" outlineLevel="0" collapsed="false">
      <c r="A14" s="111" t="s">
        <v>15</v>
      </c>
      <c r="B14" s="120" t="str">
        <f aca="false">Scenarios!F7</f>
        <v/>
      </c>
      <c r="C14" s="396"/>
      <c r="D14" s="396"/>
      <c r="E14" s="396"/>
      <c r="F14" s="396"/>
      <c r="G14" s="309" t="n">
        <f aca="false">SUM(B14:F14)</f>
        <v>0</v>
      </c>
    </row>
    <row r="15" customFormat="false" ht="15" hidden="false" customHeight="true" outlineLevel="0" collapsed="false">
      <c r="A15" s="111" t="s">
        <v>19</v>
      </c>
      <c r="B15" s="120" t="str">
        <f aca="false">Scenarios!F17</f>
        <v/>
      </c>
      <c r="C15" s="396"/>
      <c r="D15" s="396"/>
      <c r="E15" s="396"/>
      <c r="F15" s="396"/>
      <c r="G15" s="309" t="n">
        <f aca="false">SUM(B15:F15)</f>
        <v>0</v>
      </c>
      <c r="H15" s="107" t="s">
        <v>2191</v>
      </c>
      <c r="I15" s="107"/>
    </row>
    <row r="16" customFormat="false" ht="15" hidden="false" customHeight="true" outlineLevel="0" collapsed="false">
      <c r="A16" s="111" t="s">
        <v>2192</v>
      </c>
      <c r="B16" s="120" t="str">
        <f aca="false">Scenarios!F9</f>
        <v/>
      </c>
      <c r="C16" s="396"/>
      <c r="D16" s="396"/>
      <c r="E16" s="396"/>
      <c r="F16" s="396"/>
      <c r="G16" s="309" t="n">
        <f aca="false">IFERROR(SUMPRODUCT(B16:F16,B11:F11)/SUM(B11:F11),0)</f>
        <v>0</v>
      </c>
      <c r="H16" s="107" t="s">
        <v>2190</v>
      </c>
      <c r="I16" s="107"/>
    </row>
    <row r="17" customFormat="false" ht="15" hidden="false" customHeight="true" outlineLevel="0" collapsed="false">
      <c r="A17" s="111" t="s">
        <v>2193</v>
      </c>
      <c r="B17" s="312" t="n">
        <f aca="false">IFERROR(Scenarios!F7/'Prop Info'!B11,0)</f>
        <v>0</v>
      </c>
      <c r="C17" s="874"/>
      <c r="D17" s="874"/>
      <c r="E17" s="874"/>
      <c r="F17" s="874"/>
      <c r="G17" s="875" t="n">
        <f aca="false">IFERROR(SUMPRODUCT(B17:F17,B11:F11)/SUM(B11:F11),0)</f>
        <v>0</v>
      </c>
      <c r="H17" s="107" t="s">
        <v>2194</v>
      </c>
      <c r="I17" s="107"/>
    </row>
    <row r="18" customFormat="false" ht="15" hidden="false" customHeight="true" outlineLevel="0" collapsed="false">
      <c r="A18" s="111" t="s">
        <v>2195</v>
      </c>
      <c r="B18" s="119" t="n">
        <f aca="false">IFERROR('P&amp;L'!C40/Scenarios!F7,0)</f>
        <v>0</v>
      </c>
      <c r="C18" s="876"/>
      <c r="D18" s="876"/>
      <c r="E18" s="876"/>
      <c r="F18" s="876"/>
      <c r="G18" s="125" t="n">
        <f aca="false">IFERROR(SUMPRODUCT(B18:F18,B11:F11)/SUM(B11:F11),0)</f>
        <v>0</v>
      </c>
      <c r="H18" s="107" t="s">
        <v>2196</v>
      </c>
      <c r="I18" s="107"/>
    </row>
    <row r="21" customFormat="false" ht="21.75" hidden="false" customHeight="true" outlineLevel="0" collapsed="false">
      <c r="A21" s="17" t="s">
        <v>2197</v>
      </c>
      <c r="B21" s="17"/>
      <c r="C21" s="17"/>
      <c r="D21" s="17"/>
      <c r="E21" s="17"/>
      <c r="F21" s="17"/>
      <c r="G21" s="17"/>
      <c r="H21" s="17"/>
      <c r="I21" s="17"/>
    </row>
    <row r="22" customFormat="false" ht="24" hidden="false" customHeight="true" outlineLevel="0" collapsed="false">
      <c r="A22" s="109" t="s">
        <v>11</v>
      </c>
      <c r="B22" s="109" t="s">
        <v>2198</v>
      </c>
      <c r="C22" s="109" t="s">
        <v>2182</v>
      </c>
      <c r="D22" s="109" t="s">
        <v>2183</v>
      </c>
      <c r="E22" s="109" t="s">
        <v>2184</v>
      </c>
      <c r="F22" s="109" t="s">
        <v>2185</v>
      </c>
      <c r="G22" s="109" t="s">
        <v>2199</v>
      </c>
      <c r="H22" s="109" t="s">
        <v>55</v>
      </c>
    </row>
    <row r="23" customFormat="false" ht="15" hidden="false" customHeight="true" outlineLevel="0" collapsed="false">
      <c r="A23" s="111" t="s">
        <v>2200</v>
      </c>
      <c r="B23" s="120" t="str">
        <f aca="false">Scenarios!F40</f>
        <v/>
      </c>
      <c r="C23" s="396"/>
      <c r="D23" s="396"/>
      <c r="E23" s="396"/>
      <c r="F23" s="396"/>
      <c r="G23" s="309" t="n">
        <f aca="false">SUM(B23:F23)</f>
        <v>0</v>
      </c>
    </row>
    <row r="24" customFormat="false" ht="15" hidden="false" customHeight="true" outlineLevel="0" collapsed="false">
      <c r="A24" s="111" t="s">
        <v>2201</v>
      </c>
      <c r="B24" s="120" t="n">
        <f aca="false">'P&amp;L'!D19</f>
        <v>0</v>
      </c>
      <c r="C24" s="396"/>
      <c r="D24" s="396"/>
      <c r="E24" s="396"/>
      <c r="F24" s="396"/>
      <c r="G24" s="309" t="n">
        <f aca="false">SUM(B24:F24)</f>
        <v>0</v>
      </c>
    </row>
    <row r="25" customFormat="false" ht="15" hidden="false" customHeight="true" outlineLevel="0" collapsed="false">
      <c r="A25" s="111" t="s">
        <v>2202</v>
      </c>
      <c r="B25" s="120" t="n">
        <f aca="false">'P&amp;L'!C40</f>
        <v>0</v>
      </c>
      <c r="C25" s="396"/>
      <c r="D25" s="396"/>
      <c r="E25" s="396"/>
      <c r="F25" s="396"/>
      <c r="G25" s="309" t="n">
        <f aca="false">SUM(B25:F25)</f>
        <v>0</v>
      </c>
      <c r="H25" s="107" t="s">
        <v>2203</v>
      </c>
      <c r="I25" s="107"/>
    </row>
    <row r="26" customFormat="false" ht="15" hidden="false" customHeight="true" outlineLevel="0" collapsed="false">
      <c r="A26" s="111" t="s">
        <v>2204</v>
      </c>
      <c r="B26" s="120" t="n">
        <f aca="false">'P&amp;L'!D40</f>
        <v>0</v>
      </c>
      <c r="C26" s="396"/>
      <c r="D26" s="396"/>
      <c r="E26" s="396"/>
      <c r="F26" s="396"/>
      <c r="G26" s="309" t="n">
        <f aca="false">SUM(B26:F26)</f>
        <v>0</v>
      </c>
    </row>
    <row r="27" customFormat="false" ht="15" hidden="false" customHeight="true" outlineLevel="0" collapsed="false">
      <c r="A27" s="111" t="s">
        <v>2205</v>
      </c>
      <c r="B27" s="120" t="n">
        <f aca="false">'P&amp;L'!F40</f>
        <v>0</v>
      </c>
      <c r="C27" s="396"/>
      <c r="D27" s="396"/>
      <c r="E27" s="396"/>
      <c r="F27" s="396"/>
      <c r="G27" s="309" t="n">
        <f aca="false">SUM(B27:F27)</f>
        <v>0</v>
      </c>
    </row>
    <row r="28" customFormat="false" ht="15" hidden="false" customHeight="true" outlineLevel="0" collapsed="false">
      <c r="A28" s="111" t="s">
        <v>70</v>
      </c>
      <c r="B28" s="120" t="n">
        <f aca="false">'P&amp;L'!H40</f>
        <v>0</v>
      </c>
      <c r="C28" s="396"/>
      <c r="D28" s="396"/>
      <c r="E28" s="396"/>
      <c r="F28" s="396"/>
      <c r="G28" s="309" t="n">
        <f aca="false">SUM(B28:F28)</f>
        <v>0</v>
      </c>
    </row>
    <row r="29" customFormat="false" ht="15" hidden="false" customHeight="true" outlineLevel="0" collapsed="false">
      <c r="A29" s="111" t="s">
        <v>9</v>
      </c>
      <c r="B29" s="120" t="str">
        <f aca="false">Scenarios!F39</f>
        <v/>
      </c>
      <c r="C29" s="396"/>
      <c r="D29" s="396"/>
      <c r="E29" s="396"/>
      <c r="F29" s="396"/>
      <c r="G29" s="309" t="n">
        <f aca="false">IFERROR(SUMPRODUCT(B29:F29,B11:F11)/SUM(B11:F11),0)</f>
        <v>0</v>
      </c>
      <c r="H29" s="107" t="s">
        <v>2190</v>
      </c>
      <c r="I29" s="107"/>
    </row>
    <row r="30" customFormat="false" ht="15" hidden="false" customHeight="true" outlineLevel="0" collapsed="false">
      <c r="A30" s="111" t="s">
        <v>2206</v>
      </c>
      <c r="B30" s="119" t="str">
        <f aca="false">Scenarios!F41</f>
        <v/>
      </c>
      <c r="C30" s="876"/>
      <c r="D30" s="876"/>
      <c r="E30" s="876"/>
      <c r="F30" s="876"/>
      <c r="G30" s="125" t="n">
        <f aca="false">IFERROR(SUMPRODUCT(B30:F30,B11:F11)/SUM(B11:F11),0)</f>
        <v>0</v>
      </c>
      <c r="H30" s="107" t="s">
        <v>2207</v>
      </c>
      <c r="I30" s="107"/>
    </row>
    <row r="31" customFormat="false" ht="15" hidden="false" customHeight="true" outlineLevel="0" collapsed="false">
      <c r="A31" s="111" t="s">
        <v>2208</v>
      </c>
      <c r="B31" s="119" t="n">
        <f aca="false">IFERROR('P&amp;L'!C40/Scenarios!F7,0)</f>
        <v>0</v>
      </c>
      <c r="C31" s="876"/>
      <c r="D31" s="876"/>
      <c r="E31" s="876"/>
      <c r="F31" s="876"/>
      <c r="G31" s="125" t="n">
        <f aca="false">IFERROR(SUMPRODUCT(B31:F31,B11:F11)/SUM(B11:F11),0)</f>
        <v>0</v>
      </c>
      <c r="H31" s="107" t="s">
        <v>2196</v>
      </c>
      <c r="I31" s="107"/>
    </row>
    <row r="32" customFormat="false" ht="15" hidden="false" customHeight="true" outlineLevel="0" collapsed="false">
      <c r="A32" s="111" t="s">
        <v>2209</v>
      </c>
      <c r="B32" s="119" t="n">
        <f aca="false">IFERROR('P&amp;L'!F40/Scenarios!F7,0)</f>
        <v>0</v>
      </c>
      <c r="C32" s="876"/>
      <c r="D32" s="876"/>
      <c r="E32" s="876"/>
      <c r="F32" s="876"/>
      <c r="G32" s="125" t="n">
        <f aca="false">IFERROR(SUMPRODUCT(B32:F32,B11:F11)/SUM(B11:F11),0)</f>
        <v>0</v>
      </c>
      <c r="H32" s="107" t="s">
        <v>2196</v>
      </c>
      <c r="I32" s="107"/>
    </row>
    <row r="33" customFormat="false" ht="15" hidden="false" customHeight="true" outlineLevel="0" collapsed="false">
      <c r="A33" s="111" t="s">
        <v>2210</v>
      </c>
      <c r="B33" s="119" t="n">
        <f aca="false">IFERROR('P&amp;L'!C40/(Scenarios!F17+Capex!$D$51),0)</f>
        <v>0</v>
      </c>
      <c r="C33" s="876"/>
      <c r="D33" s="876"/>
      <c r="E33" s="876"/>
      <c r="F33" s="876"/>
      <c r="G33" s="125" t="n">
        <f aca="false">IFERROR(SUMPRODUCT(B33:F33,B11:F11)/SUM(B11:F11),0)</f>
        <v>0</v>
      </c>
      <c r="H33" s="107" t="s">
        <v>2211</v>
      </c>
      <c r="I33" s="107"/>
    </row>
    <row r="34" customFormat="false" ht="15" hidden="false" customHeight="true" outlineLevel="0" collapsed="false">
      <c r="A34" s="111" t="s">
        <v>2212</v>
      </c>
      <c r="B34" s="119" t="n">
        <f aca="false">IFERROR('P&amp;L'!F40/(Scenarios!F17+Capex!$D$51),0)</f>
        <v>0</v>
      </c>
      <c r="C34" s="876"/>
      <c r="D34" s="876"/>
      <c r="E34" s="876"/>
      <c r="F34" s="876"/>
      <c r="G34" s="125" t="n">
        <f aca="false">IFERROR(SUMPRODUCT(B34:F34,B11:F11)/SUM(B11:F11),0)</f>
        <v>0</v>
      </c>
      <c r="H34" s="107" t="s">
        <v>2213</v>
      </c>
      <c r="I34" s="107"/>
    </row>
    <row r="37" customFormat="false" ht="21.75" hidden="false" customHeight="true" outlineLevel="0" collapsed="false">
      <c r="A37" s="17" t="s">
        <v>2214</v>
      </c>
      <c r="B37" s="17"/>
      <c r="C37" s="17"/>
      <c r="D37" s="17"/>
      <c r="E37" s="17"/>
      <c r="F37" s="17"/>
      <c r="G37" s="17"/>
      <c r="H37" s="17"/>
      <c r="I37" s="17"/>
    </row>
    <row r="38" customFormat="false" ht="24" hidden="false" customHeight="true" outlineLevel="0" collapsed="false">
      <c r="A38" s="109" t="s">
        <v>2215</v>
      </c>
      <c r="B38" s="109" t="s">
        <v>2198</v>
      </c>
      <c r="C38" s="109" t="s">
        <v>2182</v>
      </c>
      <c r="D38" s="109" t="s">
        <v>2183</v>
      </c>
      <c r="E38" s="109" t="s">
        <v>2184</v>
      </c>
      <c r="F38" s="109" t="s">
        <v>2185</v>
      </c>
      <c r="G38" s="109" t="s">
        <v>2199</v>
      </c>
      <c r="H38" s="127" t="s">
        <v>2216</v>
      </c>
    </row>
    <row r="39" customFormat="false" ht="15" hidden="false" customHeight="true" outlineLevel="0" collapsed="false">
      <c r="A39" s="111" t="s">
        <v>2217</v>
      </c>
      <c r="B39" s="120" t="str">
        <f aca="false">Scenarios!F88</f>
        <v/>
      </c>
      <c r="C39" s="396"/>
      <c r="D39" s="396"/>
      <c r="E39" s="396"/>
      <c r="F39" s="396"/>
      <c r="G39" s="309" t="n">
        <f aca="false">SUM(B39:F39)</f>
        <v>0</v>
      </c>
    </row>
    <row r="40" customFormat="false" ht="15" hidden="false" customHeight="true" outlineLevel="0" collapsed="false">
      <c r="A40" s="111" t="s">
        <v>2218</v>
      </c>
      <c r="B40" s="119" t="str">
        <f aca="false">Scenarios!F89</f>
        <v/>
      </c>
      <c r="C40" s="876"/>
      <c r="D40" s="876"/>
      <c r="E40" s="876"/>
      <c r="F40" s="876"/>
      <c r="G40" s="125" t="n">
        <f aca="false">IFERROR(SUMPRODUCT(B40:F40,B39:F39)/SUM(B39:F39),0)</f>
        <v>0</v>
      </c>
    </row>
    <row r="41" customFormat="false" ht="15" hidden="false" customHeight="true" outlineLevel="0" collapsed="false">
      <c r="A41" s="111" t="s">
        <v>2219</v>
      </c>
      <c r="B41" s="120" t="str">
        <f aca="false">Scenarios!F95</f>
        <v/>
      </c>
      <c r="C41" s="396"/>
      <c r="D41" s="396"/>
      <c r="E41" s="396"/>
      <c r="F41" s="396"/>
      <c r="G41" s="309" t="n">
        <f aca="false">SUM(B41:F41)</f>
        <v>0</v>
      </c>
    </row>
    <row r="42" customFormat="false" ht="15" hidden="false" customHeight="true" outlineLevel="0" collapsed="false">
      <c r="A42" s="111" t="s">
        <v>2220</v>
      </c>
      <c r="B42" s="119" t="str">
        <f aca="false">Scenarios!F96</f>
        <v/>
      </c>
      <c r="C42" s="876"/>
      <c r="D42" s="876"/>
      <c r="E42" s="876"/>
      <c r="F42" s="876"/>
      <c r="G42" s="125" t="n">
        <f aca="false">IFERROR(SUMPRODUCT(B42:F42,B41:F41)/SUM(B41:F41),0)</f>
        <v>0</v>
      </c>
    </row>
    <row r="43" customFormat="false" ht="15" hidden="false" customHeight="true" outlineLevel="0" collapsed="false">
      <c r="A43" s="111" t="s">
        <v>2221</v>
      </c>
      <c r="B43" s="120" t="str">
        <f aca="false">Scenarios!F102</f>
        <v/>
      </c>
      <c r="C43" s="396"/>
      <c r="D43" s="396"/>
      <c r="E43" s="396"/>
      <c r="F43" s="396"/>
      <c r="G43" s="309" t="n">
        <f aca="false">SUM(B43:F43)</f>
        <v>0</v>
      </c>
    </row>
    <row r="44" customFormat="false" ht="15" hidden="false" customHeight="true" outlineLevel="0" collapsed="false">
      <c r="A44" s="111" t="s">
        <v>2222</v>
      </c>
      <c r="B44" s="119" t="str">
        <f aca="false">Scenarios!F103</f>
        <v/>
      </c>
      <c r="C44" s="876"/>
      <c r="D44" s="876"/>
      <c r="E44" s="876"/>
      <c r="F44" s="876"/>
      <c r="G44" s="125" t="n">
        <f aca="false">IFERROR(SUMPRODUCT(B44:F44,B43:F43)/SUM(B43:F43),0)</f>
        <v>0</v>
      </c>
    </row>
    <row r="45" customFormat="false" ht="15" hidden="false" customHeight="true" outlineLevel="0" collapsed="false">
      <c r="A45" s="111" t="s">
        <v>653</v>
      </c>
      <c r="B45" s="120" t="str">
        <f aca="false">Scenarios!F117</f>
        <v/>
      </c>
      <c r="C45" s="396"/>
      <c r="D45" s="396"/>
      <c r="E45" s="396"/>
      <c r="F45" s="396"/>
      <c r="G45" s="309" t="n">
        <f aca="false">SUM(B45:F45)</f>
        <v>0</v>
      </c>
    </row>
    <row r="46" customFormat="false" ht="15" hidden="false" customHeight="true" outlineLevel="0" collapsed="false">
      <c r="A46" s="111" t="s">
        <v>2042</v>
      </c>
      <c r="B46" s="120" t="str">
        <f aca="false">Scenarios!F31</f>
        <v/>
      </c>
      <c r="C46" s="396"/>
      <c r="D46" s="396"/>
      <c r="E46" s="396"/>
      <c r="F46" s="396"/>
      <c r="G46" s="309" t="n">
        <f aca="false">SUM(B46:F46)</f>
        <v>0</v>
      </c>
    </row>
    <row r="47" customFormat="false" ht="15" hidden="false" customHeight="true" outlineLevel="0" collapsed="false">
      <c r="A47" s="111" t="s">
        <v>25</v>
      </c>
      <c r="B47" s="119" t="n">
        <f aca="false">IFERROR(Scenarios!F117/Scenarios!F17,0)</f>
        <v>0</v>
      </c>
      <c r="C47" s="876"/>
      <c r="D47" s="876"/>
      <c r="E47" s="876"/>
      <c r="F47" s="876"/>
      <c r="G47" s="125" t="n">
        <f aca="false">IFERROR(G45/G15,0)</f>
        <v>0</v>
      </c>
    </row>
    <row r="48" customFormat="false" ht="15" hidden="false" customHeight="true" outlineLevel="0" collapsed="false">
      <c r="A48" s="111" t="s">
        <v>23</v>
      </c>
      <c r="B48" s="119" t="n">
        <f aca="false">IFERROR(Scenarios!F117/Scenarios!F7,0)</f>
        <v>0</v>
      </c>
      <c r="C48" s="876"/>
      <c r="D48" s="876"/>
      <c r="E48" s="876"/>
      <c r="F48" s="876"/>
      <c r="G48" s="125" t="n">
        <f aca="false">IFERROR(G45/G14,0)</f>
        <v>0</v>
      </c>
    </row>
    <row r="51" customFormat="false" ht="21.75" hidden="false" customHeight="true" outlineLevel="0" collapsed="false">
      <c r="A51" s="17" t="s">
        <v>2223</v>
      </c>
      <c r="B51" s="17"/>
      <c r="C51" s="17"/>
      <c r="D51" s="17"/>
      <c r="E51" s="17"/>
      <c r="F51" s="17"/>
      <c r="G51" s="17"/>
      <c r="H51" s="17"/>
      <c r="I51" s="17"/>
    </row>
    <row r="52" customFormat="false" ht="24" hidden="false" customHeight="true" outlineLevel="0" collapsed="false">
      <c r="A52" s="109" t="s">
        <v>11</v>
      </c>
      <c r="B52" s="109" t="s">
        <v>2198</v>
      </c>
      <c r="C52" s="109" t="s">
        <v>2182</v>
      </c>
      <c r="D52" s="109" t="s">
        <v>2183</v>
      </c>
      <c r="E52" s="109" t="s">
        <v>2184</v>
      </c>
      <c r="F52" s="109" t="s">
        <v>2185</v>
      </c>
      <c r="G52" s="109" t="s">
        <v>2199</v>
      </c>
      <c r="H52" s="109" t="s">
        <v>55</v>
      </c>
    </row>
    <row r="53" customFormat="false" ht="15" hidden="false" customHeight="true" outlineLevel="0" collapsed="false">
      <c r="A53" s="111" t="s">
        <v>2224</v>
      </c>
      <c r="B53" s="119" t="n">
        <f aca="false">Waterfall!D66</f>
        <v>0</v>
      </c>
      <c r="C53" s="876"/>
      <c r="D53" s="876"/>
      <c r="E53" s="876"/>
      <c r="F53" s="876"/>
      <c r="G53" s="125" t="n">
        <f aca="false">IFERROR(SUMPRODUCT(B53:F53,B46:F46)/SUM(B46:F46),0)</f>
        <v>0</v>
      </c>
      <c r="H53" s="107" t="s">
        <v>2225</v>
      </c>
      <c r="I53" s="107"/>
    </row>
    <row r="54" customFormat="false" ht="15" hidden="false" customHeight="true" outlineLevel="0" collapsed="false">
      <c r="A54" s="111" t="s">
        <v>16</v>
      </c>
      <c r="B54" s="119" t="n">
        <f aca="false">Waterfall!B66</f>
        <v>0</v>
      </c>
      <c r="C54" s="876"/>
      <c r="D54" s="876"/>
      <c r="E54" s="876"/>
      <c r="F54" s="876"/>
      <c r="G54" s="125" t="n">
        <f aca="false">IFERROR(SUMPRODUCT(B54:F54,B46:F46)/SUM(B46:F46),0)</f>
        <v>0</v>
      </c>
      <c r="H54" s="107" t="s">
        <v>2226</v>
      </c>
      <c r="I54" s="107"/>
    </row>
    <row r="55" customFormat="false" ht="15" hidden="false" customHeight="true" outlineLevel="0" collapsed="false">
      <c r="A55" s="111" t="s">
        <v>18</v>
      </c>
      <c r="B55" s="119" t="n">
        <f aca="false">Waterfall!E66</f>
        <v>0</v>
      </c>
      <c r="C55" s="876"/>
      <c r="D55" s="876"/>
      <c r="E55" s="876"/>
      <c r="F55" s="876"/>
      <c r="G55" s="125" t="n">
        <f aca="false">IFERROR(SUMPRODUCT(B55:F55,B46:F46)/SUM(B46:F46),0)</f>
        <v>0</v>
      </c>
      <c r="H55" s="107" t="s">
        <v>2227</v>
      </c>
      <c r="I55" s="107"/>
    </row>
    <row r="56" customFormat="false" ht="15" hidden="false" customHeight="true" outlineLevel="0" collapsed="false">
      <c r="A56" s="111" t="s">
        <v>2228</v>
      </c>
      <c r="B56" s="504" t="n">
        <f aca="false">Waterfall!D64</f>
        <v>0</v>
      </c>
      <c r="C56" s="877"/>
      <c r="D56" s="877"/>
      <c r="E56" s="877"/>
      <c r="F56" s="877"/>
      <c r="G56" s="878" t="n">
        <f aca="false">IFERROR(SUMPRODUCT(B56:F56,B46:F46)/SUM(B46:F46),0)</f>
        <v>0</v>
      </c>
    </row>
    <row r="57" customFormat="false" ht="15" hidden="false" customHeight="true" outlineLevel="0" collapsed="false">
      <c r="A57" s="111" t="s">
        <v>20</v>
      </c>
      <c r="B57" s="504" t="n">
        <f aca="false">Waterfall!B64</f>
        <v>0</v>
      </c>
      <c r="C57" s="877"/>
      <c r="D57" s="877"/>
      <c r="E57" s="877"/>
      <c r="F57" s="877"/>
      <c r="G57" s="878" t="n">
        <f aca="false">IFERROR(SUMPRODUCT(B57:F57,B46:F46)/SUM(B46:F46),0)</f>
        <v>0</v>
      </c>
    </row>
    <row r="58" customFormat="false" ht="15" hidden="false" customHeight="true" outlineLevel="0" collapsed="false">
      <c r="A58" s="111" t="s">
        <v>22</v>
      </c>
      <c r="B58" s="119" t="n">
        <f aca="false">'P&amp;L'!D60</f>
        <v>0</v>
      </c>
      <c r="C58" s="876"/>
      <c r="D58" s="876"/>
      <c r="E58" s="876"/>
      <c r="F58" s="876"/>
      <c r="G58" s="125" t="n">
        <f aca="false">IFERROR(SUMPRODUCT(B58:F58,B46:F46)/SUM(B46:F46),0)</f>
        <v>0</v>
      </c>
    </row>
    <row r="59" customFormat="false" ht="15" hidden="false" customHeight="true" outlineLevel="0" collapsed="false">
      <c r="A59" s="111" t="s">
        <v>2229</v>
      </c>
      <c r="B59" s="504" t="n">
        <f aca="false">AVERAGE('P&amp;L'!D62:M62)</f>
        <v>0</v>
      </c>
      <c r="C59" s="877"/>
      <c r="D59" s="877"/>
      <c r="E59" s="877"/>
      <c r="F59" s="877"/>
      <c r="G59" s="878" t="n">
        <f aca="false">IFERROR(SUMPRODUCT(B59:F59,B45:F45)/SUM(B45:F45),0)</f>
        <v>0</v>
      </c>
      <c r="H59" s="107" t="s">
        <v>2230</v>
      </c>
      <c r="I59" s="107"/>
    </row>
    <row r="60" customFormat="false" ht="15" hidden="false" customHeight="true" outlineLevel="0" collapsed="false">
      <c r="A60" s="111" t="s">
        <v>2231</v>
      </c>
      <c r="B60" s="119" t="n">
        <f aca="false">IFERROR('P&amp;L'!C40/Scenarios!F117,0)</f>
        <v>0</v>
      </c>
      <c r="C60" s="876"/>
      <c r="D60" s="876"/>
      <c r="E60" s="876"/>
      <c r="F60" s="876"/>
      <c r="G60" s="125" t="n">
        <f aca="false">IFERROR(SUMPRODUCT(B60:F60,B45:F45)/SUM(B45:F45),0)</f>
        <v>0</v>
      </c>
    </row>
    <row r="61" customFormat="false" ht="15" hidden="false" customHeight="true" outlineLevel="0" collapsed="false">
      <c r="A61" s="111" t="s">
        <v>2232</v>
      </c>
      <c r="B61" s="119" t="n">
        <f aca="false">IFERROR('P&amp;L'!F40/Scenarios!F117,0)</f>
        <v>0</v>
      </c>
      <c r="C61" s="876"/>
      <c r="D61" s="876"/>
      <c r="E61" s="876"/>
      <c r="F61" s="876"/>
      <c r="G61" s="125" t="n">
        <f aca="false">IFERROR(SUMPRODUCT(B61:F61,B45:F45)/SUM(B45:F45),0)</f>
        <v>0</v>
      </c>
    </row>
    <row r="64" customFormat="false" ht="21.75" hidden="false" customHeight="true" outlineLevel="0" collapsed="false">
      <c r="A64" s="17" t="s">
        <v>2233</v>
      </c>
      <c r="B64" s="17"/>
      <c r="C64" s="17"/>
      <c r="D64" s="17"/>
      <c r="E64" s="17"/>
      <c r="F64" s="17"/>
      <c r="G64" s="17"/>
      <c r="H64" s="17"/>
      <c r="I64" s="17"/>
    </row>
    <row r="65" customFormat="false" ht="15" hidden="false" customHeight="true" outlineLevel="0" collapsed="false">
      <c r="A65" s="109" t="s">
        <v>2234</v>
      </c>
      <c r="B65" s="109" t="s">
        <v>12</v>
      </c>
      <c r="C65" s="109" t="s">
        <v>2235</v>
      </c>
      <c r="D65" s="109" t="s">
        <v>2236</v>
      </c>
      <c r="E65" s="116" t="s">
        <v>55</v>
      </c>
      <c r="F65" s="116"/>
      <c r="G65" s="116"/>
      <c r="H65" s="116"/>
      <c r="I65" s="116"/>
    </row>
    <row r="66" customFormat="false" ht="15" hidden="false" customHeight="true" outlineLevel="0" collapsed="false">
      <c r="A66" s="111" t="s">
        <v>2237</v>
      </c>
      <c r="B66" s="273" t="n">
        <f aca="false">IFERROR(MAX(B26:F26)/G26,0)</f>
        <v>0</v>
      </c>
      <c r="C66" s="97" t="s">
        <v>2238</v>
      </c>
      <c r="D66" s="311" t="str">
        <f aca="false">IF(B66&gt;0.5,"🔴 high",IF(B66&gt;0.4,"⚠ caution","ok"))</f>
        <v>ok</v>
      </c>
      <c r="E66" s="107" t="s">
        <v>2239</v>
      </c>
      <c r="F66" s="107"/>
      <c r="G66" s="107"/>
      <c r="H66" s="107"/>
      <c r="I66" s="107"/>
    </row>
    <row r="67" customFormat="false" ht="15" hidden="false" customHeight="true" outlineLevel="0" collapsed="false">
      <c r="A67" s="111" t="s">
        <v>2240</v>
      </c>
      <c r="B67" s="273" t="n">
        <f aca="false">IFERROR(MAX(B11:F11)/G11,0)</f>
        <v>0</v>
      </c>
      <c r="C67" s="97" t="s">
        <v>2241</v>
      </c>
      <c r="D67" s="311" t="str">
        <f aca="false">IF(B67&gt;0.6,"🔴 concentrated",IF(B67&gt;0.5,"⚠ caution","ok"))</f>
        <v>ok</v>
      </c>
      <c r="E67" s="107" t="s">
        <v>2242</v>
      </c>
      <c r="F67" s="107"/>
      <c r="G67" s="107"/>
      <c r="H67" s="107"/>
      <c r="I67" s="107"/>
    </row>
    <row r="68" customFormat="false" ht="15" hidden="false" customHeight="true" outlineLevel="0" collapsed="false">
      <c r="A68" s="111" t="s">
        <v>2243</v>
      </c>
      <c r="B68" s="378" t="n">
        <f aca="false">SUMPRODUCT((B8:F8&lt;&gt;"")*(1/COUNTIF(B8:F8,B8:F8&amp;"")))</f>
        <v>0</v>
      </c>
      <c r="C68" s="97" t="s">
        <v>2244</v>
      </c>
      <c r="D68" s="311" t="str">
        <f aca="false">IF(B68&lt;2,"⚠ single market",IF(B68&gt;=3,"diversified","ok"))</f>
        <v>⚠ single market</v>
      </c>
      <c r="E68" s="107" t="s">
        <v>2245</v>
      </c>
      <c r="F68" s="107"/>
      <c r="G68" s="107"/>
      <c r="H68" s="107"/>
      <c r="I68" s="107"/>
    </row>
    <row r="69" customFormat="false" ht="15" hidden="false" customHeight="true" outlineLevel="0" collapsed="false">
      <c r="A69" s="111" t="s">
        <v>2246</v>
      </c>
      <c r="B69" s="273" t="n">
        <f aca="false">IFERROR(G26/G15,0)</f>
        <v>0</v>
      </c>
      <c r="C69" s="97" t="s">
        <v>2247</v>
      </c>
      <c r="E69" s="107" t="s">
        <v>2248</v>
      </c>
      <c r="F69" s="107"/>
      <c r="G69" s="107"/>
      <c r="H69" s="107"/>
      <c r="I69" s="107"/>
    </row>
    <row r="70" customFormat="false" ht="15" hidden="false" customHeight="true" outlineLevel="0" collapsed="false">
      <c r="A70" s="111" t="s">
        <v>2249</v>
      </c>
      <c r="B70" s="395" t="s">
        <v>2250</v>
      </c>
      <c r="C70" s="97" t="s">
        <v>2251</v>
      </c>
      <c r="D70" s="311" t="str">
        <f aca="false">IF(B70&lt;1.1,"🔴 covenant risk",IF(B70&lt;1.2,"⚠ thin","ok"))</f>
        <v>ok</v>
      </c>
      <c r="E70" s="107" t="s">
        <v>2252</v>
      </c>
      <c r="F70" s="107"/>
      <c r="G70" s="107"/>
      <c r="H70" s="107"/>
      <c r="I70" s="107"/>
    </row>
    <row r="71" customFormat="false" ht="15" hidden="false" customHeight="true" outlineLevel="0" collapsed="false">
      <c r="A71" s="111" t="s">
        <v>2253</v>
      </c>
      <c r="B71" s="326"/>
      <c r="C71" s="97" t="s">
        <v>2254</v>
      </c>
      <c r="E71" s="107" t="s">
        <v>2255</v>
      </c>
      <c r="F71" s="107"/>
      <c r="G71" s="107"/>
      <c r="H71" s="107"/>
      <c r="I71" s="107"/>
    </row>
    <row r="74" customFormat="false" ht="21.75" hidden="false" customHeight="true" outlineLevel="0" collapsed="false">
      <c r="A74" s="17" t="s">
        <v>2256</v>
      </c>
      <c r="B74" s="17"/>
      <c r="C74" s="17"/>
      <c r="D74" s="17"/>
      <c r="E74" s="17"/>
      <c r="F74" s="17"/>
      <c r="G74" s="17"/>
      <c r="H74" s="17"/>
      <c r="I74" s="17"/>
    </row>
    <row r="75" customFormat="false" ht="15" hidden="false" customHeight="true" outlineLevel="0" collapsed="false">
      <c r="A75" s="107" t="s">
        <v>2257</v>
      </c>
      <c r="B75" s="107"/>
      <c r="C75" s="107"/>
      <c r="D75" s="107"/>
      <c r="E75" s="107"/>
      <c r="F75" s="107"/>
      <c r="G75" s="107"/>
      <c r="H75" s="107"/>
      <c r="I75" s="107"/>
    </row>
    <row r="76" customFormat="false" ht="27.75" hidden="false" customHeight="true" outlineLevel="0" collapsed="false">
      <c r="A76" s="109" t="s">
        <v>2258</v>
      </c>
      <c r="B76" s="109" t="s">
        <v>2259</v>
      </c>
      <c r="C76" s="109" t="s">
        <v>2260</v>
      </c>
      <c r="D76" s="109" t="s">
        <v>2261</v>
      </c>
      <c r="E76" s="109" t="s">
        <v>2262</v>
      </c>
      <c r="F76" s="109" t="s">
        <v>2263</v>
      </c>
      <c r="G76" s="109" t="s">
        <v>2264</v>
      </c>
      <c r="H76" s="127" t="s">
        <v>2265</v>
      </c>
      <c r="I76" s="109" t="s">
        <v>2236</v>
      </c>
    </row>
    <row r="77" customFormat="false" ht="15" hidden="false" customHeight="true" outlineLevel="0" collapsed="false">
      <c r="A77" s="111" t="s">
        <v>701</v>
      </c>
      <c r="B77" s="312" t="n">
        <f aca="false">'T-12 Analysis'!P89</f>
        <v>0</v>
      </c>
      <c r="C77" s="874"/>
      <c r="D77" s="874"/>
      <c r="E77" s="874"/>
      <c r="F77" s="874"/>
      <c r="G77" s="875" t="n">
        <f aca="false">IFERROR(AVERAGEIF(B77:F77,"&gt;0"),0)</f>
        <v>0</v>
      </c>
      <c r="H77" s="273" t="n">
        <f aca="false">IFERROR(MAX(B77:F77)/G77-1,0)</f>
        <v>0</v>
      </c>
      <c r="I77" s="311" t="str">
        <f aca="false">IF(H77&gt;0.5,"🔴 outlier",IF(H77&gt;0.25,"⚠ check","ok"))</f>
        <v>ok</v>
      </c>
    </row>
    <row r="78" customFormat="false" ht="15" hidden="false" customHeight="true" outlineLevel="0" collapsed="false">
      <c r="A78" s="111" t="s">
        <v>703</v>
      </c>
      <c r="B78" s="312" t="n">
        <f aca="false">'T-12 Analysis'!P84</f>
        <v>0</v>
      </c>
      <c r="C78" s="874"/>
      <c r="D78" s="874"/>
      <c r="E78" s="874"/>
      <c r="F78" s="874"/>
      <c r="G78" s="875" t="n">
        <f aca="false">IFERROR(AVERAGEIF(B78:F78,"&gt;0"),0)</f>
        <v>0</v>
      </c>
      <c r="H78" s="273" t="n">
        <f aca="false">IFERROR(MAX(B78:F78)/G78-1,0)</f>
        <v>0</v>
      </c>
      <c r="I78" s="311" t="str">
        <f aca="false">IF(H78&gt;0.5,"🔴 outlier",IF(H78&gt;0.25,"⚠ check","ok"))</f>
        <v>ok</v>
      </c>
    </row>
    <row r="79" customFormat="false" ht="15" hidden="false" customHeight="true" outlineLevel="0" collapsed="false">
      <c r="A79" s="111" t="s">
        <v>1495</v>
      </c>
      <c r="B79" s="312" t="n">
        <f aca="false">'T-12 Analysis'!P94</f>
        <v>0</v>
      </c>
      <c r="C79" s="874"/>
      <c r="D79" s="874"/>
      <c r="E79" s="874"/>
      <c r="F79" s="874"/>
      <c r="G79" s="875" t="n">
        <f aca="false">IFERROR(AVERAGEIF(B79:F79,"&gt;0"),0)</f>
        <v>0</v>
      </c>
      <c r="H79" s="273" t="n">
        <f aca="false">IFERROR(MAX(B79:F79)/G79-1,0)</f>
        <v>0</v>
      </c>
      <c r="I79" s="311" t="str">
        <f aca="false">IF(H79&gt;0.5,"🔴 outlier",IF(H79&gt;0.25,"⚠ check","ok"))</f>
        <v>ok</v>
      </c>
    </row>
    <row r="80" customFormat="false" ht="15" hidden="false" customHeight="true" outlineLevel="0" collapsed="false">
      <c r="A80" s="111" t="s">
        <v>2266</v>
      </c>
      <c r="B80" s="312" t="n">
        <f aca="false">'T-12 Analysis'!P90</f>
        <v>0</v>
      </c>
      <c r="C80" s="874"/>
      <c r="D80" s="874"/>
      <c r="E80" s="874"/>
      <c r="F80" s="874"/>
      <c r="G80" s="875" t="n">
        <f aca="false">IFERROR(AVERAGEIF(B80:F80,"&gt;0"),0)</f>
        <v>0</v>
      </c>
      <c r="H80" s="273" t="n">
        <f aca="false">IFERROR(MAX(B80:F80)/G80-1,0)</f>
        <v>0</v>
      </c>
      <c r="I80" s="311" t="str">
        <f aca="false">IF(H80&gt;0.5,"🔴 outlier",IF(H80&gt;0.25,"⚠ check","ok"))</f>
        <v>ok</v>
      </c>
    </row>
    <row r="81" customFormat="false" ht="15" hidden="false" customHeight="true" outlineLevel="0" collapsed="false">
      <c r="A81" s="111" t="s">
        <v>710</v>
      </c>
      <c r="B81" s="312" t="n">
        <f aca="false">'T-12 Analysis'!P92</f>
        <v>0</v>
      </c>
      <c r="C81" s="874"/>
      <c r="D81" s="874"/>
      <c r="E81" s="874"/>
      <c r="F81" s="874"/>
      <c r="G81" s="875" t="n">
        <f aca="false">IFERROR(AVERAGEIF(B81:F81,"&gt;0"),0)</f>
        <v>0</v>
      </c>
      <c r="H81" s="273" t="n">
        <f aca="false">IFERROR(MAX(B81:F81)/G81-1,0)</f>
        <v>0</v>
      </c>
      <c r="I81" s="311" t="str">
        <f aca="false">IF(H81&gt;0.5,"🔴 outlier",IF(H81&gt;0.25,"⚠ check","ok"))</f>
        <v>ok</v>
      </c>
    </row>
    <row r="82" customFormat="false" ht="15" hidden="false" customHeight="true" outlineLevel="0" collapsed="false">
      <c r="A82" s="111" t="s">
        <v>712</v>
      </c>
      <c r="B82" s="312" t="n">
        <f aca="false">'T-12 Analysis'!P91</f>
        <v>0</v>
      </c>
      <c r="C82" s="874"/>
      <c r="D82" s="874"/>
      <c r="E82" s="874"/>
      <c r="F82" s="874"/>
      <c r="G82" s="875" t="n">
        <f aca="false">IFERROR(AVERAGEIF(B82:F82,"&gt;0"),0)</f>
        <v>0</v>
      </c>
      <c r="H82" s="273" t="n">
        <f aca="false">IFERROR(MAX(B82:F82)/G82-1,0)</f>
        <v>0</v>
      </c>
      <c r="I82" s="311" t="str">
        <f aca="false">IF(H82&gt;0.5,"🔴 outlier",IF(H82&gt;0.25,"⚠ check","ok"))</f>
        <v>ok</v>
      </c>
    </row>
    <row r="83" customFormat="false" ht="15" hidden="false" customHeight="true" outlineLevel="0" collapsed="false">
      <c r="A83" s="111" t="s">
        <v>714</v>
      </c>
      <c r="B83" s="312" t="n">
        <f aca="false">'T-12 Analysis'!P93</f>
        <v>0</v>
      </c>
      <c r="C83" s="874"/>
      <c r="D83" s="874"/>
      <c r="E83" s="874"/>
      <c r="F83" s="874"/>
      <c r="G83" s="875" t="n">
        <f aca="false">IFERROR(AVERAGEIF(B83:F83,"&gt;0"),0)</f>
        <v>0</v>
      </c>
      <c r="H83" s="273" t="n">
        <f aca="false">IFERROR(MAX(B83:F83)/G83-1,0)</f>
        <v>0</v>
      </c>
      <c r="I83" s="311" t="str">
        <f aca="false">IF(H83&gt;0.5,"🔴 outlier",IF(H83&gt;0.25,"⚠ check","ok"))</f>
        <v>ok</v>
      </c>
    </row>
    <row r="84" customFormat="false" ht="15" hidden="false" customHeight="true" outlineLevel="0" collapsed="false">
      <c r="A84" s="111" t="s">
        <v>306</v>
      </c>
      <c r="B84" s="312" t="n">
        <f aca="false">'T-12 Analysis'!P97</f>
        <v>0</v>
      </c>
      <c r="C84" s="874"/>
      <c r="D84" s="874"/>
      <c r="E84" s="874"/>
      <c r="F84" s="874"/>
      <c r="G84" s="875" t="n">
        <f aca="false">IFERROR(AVERAGEIF(B84:F84,"&gt;0"),0)</f>
        <v>0</v>
      </c>
      <c r="H84" s="273" t="n">
        <f aca="false">IFERROR(MAX(B84:F84)/G84-1,0)</f>
        <v>0</v>
      </c>
      <c r="I84" s="311" t="str">
        <f aca="false">IF(H84&gt;0.5,"🔴 outlier",IF(H84&gt;0.25,"⚠ check","ok"))</f>
        <v>ok</v>
      </c>
    </row>
    <row r="85" customFormat="false" ht="15" hidden="false" customHeight="true" outlineLevel="0" collapsed="false">
      <c r="A85" s="111" t="s">
        <v>966</v>
      </c>
      <c r="B85" s="312" t="n">
        <f aca="false">'T-12 Analysis'!P99</f>
        <v>0</v>
      </c>
      <c r="C85" s="874"/>
      <c r="D85" s="874"/>
      <c r="E85" s="874"/>
      <c r="F85" s="874"/>
      <c r="G85" s="875" t="n">
        <f aca="false">IFERROR(AVERAGEIF(B85:F85,"&gt;0"),0)</f>
        <v>0</v>
      </c>
      <c r="H85" s="273" t="n">
        <f aca="false">IFERROR(MAX(B85:F85)/G85-1,0)</f>
        <v>0</v>
      </c>
      <c r="I85" s="311" t="str">
        <f aca="false">IF(H85&gt;0.5,"🔴 outlier",IF(H85&gt;0.25,"⚠ check","ok"))</f>
        <v>ok</v>
      </c>
    </row>
    <row r="86" customFormat="false" ht="15" hidden="false" customHeight="true" outlineLevel="0" collapsed="false">
      <c r="A86" s="111" t="s">
        <v>885</v>
      </c>
      <c r="B86" s="312" t="n">
        <f aca="false">'T-12 Analysis'!P88</f>
        <v>0</v>
      </c>
      <c r="C86" s="874"/>
      <c r="D86" s="874"/>
      <c r="E86" s="874"/>
      <c r="F86" s="874"/>
      <c r="G86" s="875" t="n">
        <f aca="false">IFERROR(AVERAGEIF(B86:F86,"&gt;0"),0)</f>
        <v>0</v>
      </c>
      <c r="H86" s="273" t="n">
        <f aca="false">IFERROR(MAX(B86:F86)/G86-1,0)</f>
        <v>0</v>
      </c>
      <c r="I86" s="311" t="str">
        <f aca="false">IF(H86&gt;0.5,"🔴 outlier",IF(H86&gt;0.25,"⚠ check","ok"))</f>
        <v>ok</v>
      </c>
    </row>
    <row r="87" customFormat="false" ht="15" hidden="false" customHeight="true" outlineLevel="0" collapsed="false">
      <c r="A87" s="111" t="s">
        <v>2267</v>
      </c>
      <c r="B87" s="312" t="n">
        <f aca="false">'T-12 Analysis'!P82</f>
        <v>0</v>
      </c>
      <c r="C87" s="874"/>
      <c r="D87" s="874"/>
      <c r="E87" s="874"/>
      <c r="F87" s="874"/>
      <c r="G87" s="875" t="n">
        <f aca="false">IFERROR(AVERAGEIF(B87:F87,"&gt;0"),0)</f>
        <v>0</v>
      </c>
      <c r="H87" s="273" t="n">
        <f aca="false">IFERROR(MAX(B87:F87)/G87-1,0)</f>
        <v>0</v>
      </c>
      <c r="I87" s="311" t="str">
        <f aca="false">IF(H87&gt;0.5,"🔴 outlier",IF(H87&gt;0.25,"⚠ check","ok"))</f>
        <v>ok</v>
      </c>
    </row>
    <row r="88" customFormat="false" ht="15" hidden="false" customHeight="true" outlineLevel="0" collapsed="false">
      <c r="A88" s="111" t="s">
        <v>886</v>
      </c>
      <c r="B88" s="312" t="n">
        <f aca="false">'T-12 Analysis'!P87</f>
        <v>0</v>
      </c>
      <c r="C88" s="874"/>
      <c r="D88" s="874"/>
      <c r="E88" s="874"/>
      <c r="F88" s="874"/>
      <c r="G88" s="875" t="n">
        <f aca="false">IFERROR(AVERAGEIF(B88:F88,"&gt;0"),0)</f>
        <v>0</v>
      </c>
      <c r="H88" s="273" t="n">
        <f aca="false">IFERROR(MAX(B88:F88)/G88-1,0)</f>
        <v>0</v>
      </c>
      <c r="I88" s="311" t="str">
        <f aca="false">IF(H88&gt;0.5,"🔴 outlier",IF(H88&gt;0.25,"⚠ check","ok"))</f>
        <v>ok</v>
      </c>
    </row>
    <row r="89" customFormat="false" ht="15" hidden="false" customHeight="true" outlineLevel="0" collapsed="false">
      <c r="A89" s="111" t="s">
        <v>727</v>
      </c>
      <c r="B89" s="312" t="n">
        <f aca="false">'T-12 Analysis'!P96</f>
        <v>0</v>
      </c>
      <c r="C89" s="874"/>
      <c r="D89" s="874"/>
      <c r="E89" s="874"/>
      <c r="F89" s="874"/>
      <c r="G89" s="875" t="n">
        <f aca="false">IFERROR(AVERAGEIF(B89:F89,"&gt;0"),0)</f>
        <v>0</v>
      </c>
      <c r="H89" s="273" t="n">
        <f aca="false">IFERROR(MAX(B89:F89)/G89-1,0)</f>
        <v>0</v>
      </c>
      <c r="I89" s="311" t="str">
        <f aca="false">IF(H89&gt;0.5,"🔴 outlier",IF(H89&gt;0.25,"⚠ check","ok"))</f>
        <v>ok</v>
      </c>
    </row>
    <row r="90" customFormat="false" ht="15" hidden="false" customHeight="true" outlineLevel="0" collapsed="false">
      <c r="A90" s="111" t="s">
        <v>2268</v>
      </c>
      <c r="B90" s="312" t="n">
        <f aca="false">'T-12 Analysis'!P86</f>
        <v>0</v>
      </c>
      <c r="C90" s="874"/>
      <c r="D90" s="874"/>
      <c r="E90" s="874"/>
      <c r="F90" s="874"/>
      <c r="G90" s="875" t="n">
        <f aca="false">IFERROR(AVERAGEIF(B90:F90,"&gt;0"),0)</f>
        <v>0</v>
      </c>
      <c r="H90" s="273" t="n">
        <f aca="false">IFERROR(MAX(B90:F90)/G90-1,0)</f>
        <v>0</v>
      </c>
      <c r="I90" s="311" t="str">
        <f aca="false">IF(H90&gt;0.5,"🔴 outlier",IF(H90&gt;0.25,"⚠ check","ok"))</f>
        <v>ok</v>
      </c>
    </row>
    <row r="93" customFormat="false" ht="21.75" hidden="false" customHeight="true" outlineLevel="0" collapsed="false">
      <c r="A93" s="17" t="s">
        <v>2269</v>
      </c>
      <c r="B93" s="17"/>
      <c r="C93" s="17"/>
      <c r="D93" s="17"/>
      <c r="E93" s="17"/>
      <c r="F93" s="17"/>
      <c r="G93" s="17"/>
      <c r="H93" s="17"/>
      <c r="I93" s="17"/>
    </row>
    <row r="94" customFormat="false" ht="15" hidden="false" customHeight="true" outlineLevel="0" collapsed="false">
      <c r="A94" s="107" t="s">
        <v>2270</v>
      </c>
      <c r="B94" s="107"/>
      <c r="C94" s="107"/>
      <c r="D94" s="107"/>
      <c r="E94" s="107"/>
      <c r="F94" s="107"/>
      <c r="G94" s="107"/>
      <c r="H94" s="107"/>
      <c r="I94" s="107"/>
    </row>
    <row r="96" customFormat="false" ht="31.5" hidden="false" customHeight="true" outlineLevel="0" collapsed="false">
      <c r="A96" s="127" t="s">
        <v>2</v>
      </c>
      <c r="B96" s="127" t="s">
        <v>3</v>
      </c>
      <c r="C96" s="127" t="s">
        <v>369</v>
      </c>
      <c r="D96" s="127" t="s">
        <v>4</v>
      </c>
      <c r="E96" s="127" t="s">
        <v>2188</v>
      </c>
      <c r="F96" s="127" t="s">
        <v>15</v>
      </c>
      <c r="G96" s="127" t="s">
        <v>2271</v>
      </c>
      <c r="H96" s="127" t="s">
        <v>653</v>
      </c>
      <c r="I96" s="127" t="s">
        <v>2042</v>
      </c>
      <c r="J96" s="127" t="s">
        <v>2272</v>
      </c>
      <c r="K96" s="127" t="s">
        <v>2204</v>
      </c>
      <c r="L96" s="127" t="s">
        <v>2273</v>
      </c>
      <c r="M96" s="127" t="s">
        <v>2208</v>
      </c>
      <c r="N96" s="127" t="s">
        <v>16</v>
      </c>
      <c r="O96" s="127" t="s">
        <v>2274</v>
      </c>
      <c r="P96" s="127" t="s">
        <v>68</v>
      </c>
    </row>
    <row r="97" customFormat="false" ht="15" hidden="false" customHeight="true" outlineLevel="0" collapsed="false">
      <c r="A97" s="377" t="n">
        <f aca="false">'Prop Info'!B4</f>
        <v>0</v>
      </c>
      <c r="B97" s="377" t="n">
        <f aca="false">'Prop Info'!B5</f>
        <v>0</v>
      </c>
      <c r="C97" s="118" t="n">
        <f aca="false">'Prop Info'!B6</f>
        <v>0</v>
      </c>
      <c r="D97" s="118" t="n">
        <f aca="false">'Prop Info'!B9</f>
        <v>0</v>
      </c>
      <c r="E97" s="377" t="n">
        <f aca="false">'Prop Info'!B13</f>
        <v>0</v>
      </c>
      <c r="F97" s="120" t="str">
        <f aca="false">Scenarios!F7</f>
        <v/>
      </c>
      <c r="G97" s="120" t="str">
        <f aca="false">Scenarios!F17</f>
        <v/>
      </c>
      <c r="H97" s="120" t="str">
        <f aca="false">Scenarios!F117</f>
        <v/>
      </c>
      <c r="I97" s="120" t="str">
        <f aca="false">Scenarios!F31</f>
        <v/>
      </c>
      <c r="J97" s="120" t="n">
        <f aca="false">'P&amp;L'!C40</f>
        <v>0</v>
      </c>
      <c r="K97" s="120" t="n">
        <f aca="false">'P&amp;L'!D40</f>
        <v>0</v>
      </c>
      <c r="L97" s="120" t="n">
        <f aca="false">'P&amp;L'!F40</f>
        <v>0</v>
      </c>
      <c r="M97" s="119" t="n">
        <f aca="false">IFERROR('P&amp;L'!C40/Scenarios!F7,0)</f>
        <v>0</v>
      </c>
      <c r="N97" s="119" t="n">
        <f aca="false">Waterfall!B66</f>
        <v>0</v>
      </c>
      <c r="O97" s="504" t="n">
        <f aca="false">Waterfall!B64</f>
        <v>0</v>
      </c>
      <c r="P97" s="118" t="str">
        <f aca="false">Scenarios!F82</f>
        <v/>
      </c>
    </row>
  </sheetData>
  <mergeCells count="35">
    <mergeCell ref="A1:I1"/>
    <mergeCell ref="A4:I4"/>
    <mergeCell ref="H11:I11"/>
    <mergeCell ref="H12:I12"/>
    <mergeCell ref="H13:I13"/>
    <mergeCell ref="H15:I15"/>
    <mergeCell ref="H16:I16"/>
    <mergeCell ref="H17:I17"/>
    <mergeCell ref="H18:I18"/>
    <mergeCell ref="A21:I21"/>
    <mergeCell ref="H25:I25"/>
    <mergeCell ref="H29:I29"/>
    <mergeCell ref="H30:I30"/>
    <mergeCell ref="H31:I31"/>
    <mergeCell ref="H32:I32"/>
    <mergeCell ref="H33:I33"/>
    <mergeCell ref="H34:I34"/>
    <mergeCell ref="A37:I37"/>
    <mergeCell ref="A51:I51"/>
    <mergeCell ref="H53:I53"/>
    <mergeCell ref="H54:I54"/>
    <mergeCell ref="H55:I55"/>
    <mergeCell ref="H59:I59"/>
    <mergeCell ref="A64:I64"/>
    <mergeCell ref="E65:I65"/>
    <mergeCell ref="E66:I66"/>
    <mergeCell ref="E67:I67"/>
    <mergeCell ref="E68:I68"/>
    <mergeCell ref="E69:I69"/>
    <mergeCell ref="E70:I70"/>
    <mergeCell ref="E71:I71"/>
    <mergeCell ref="A74:I74"/>
    <mergeCell ref="A75:I75"/>
    <mergeCell ref="A93:I93"/>
    <mergeCell ref="A94:I9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5" min="4" style="0" width="12"/>
    <col collapsed="false" customWidth="true" hidden="false" outlineLevel="0" max="6" min="6" style="0" width="50"/>
  </cols>
  <sheetData>
    <row r="1" customFormat="false" ht="21.75" hidden="false" customHeight="true" outlineLevel="0" collapsed="false">
      <c r="A1" s="879" t="s">
        <v>2275</v>
      </c>
      <c r="B1" s="879"/>
      <c r="C1" s="879"/>
      <c r="D1" s="879"/>
      <c r="E1" s="879"/>
      <c r="F1" s="879"/>
    </row>
    <row r="3" customFormat="false" ht="27.75" hidden="false" customHeight="true" outlineLevel="0" collapsed="false">
      <c r="A3" s="109" t="s">
        <v>921</v>
      </c>
      <c r="B3" s="109" t="s">
        <v>1084</v>
      </c>
      <c r="C3" s="109" t="s">
        <v>2276</v>
      </c>
      <c r="D3" s="127" t="s">
        <v>2277</v>
      </c>
      <c r="E3" s="127" t="s">
        <v>2278</v>
      </c>
      <c r="F3" s="127" t="s">
        <v>2279</v>
      </c>
    </row>
    <row r="4" customFormat="false" ht="15" hidden="false" customHeight="true" outlineLevel="0" collapsed="false">
      <c r="A4" s="111" t="s">
        <v>938</v>
      </c>
      <c r="B4" s="311" t="s">
        <v>2280</v>
      </c>
      <c r="C4" s="111" t="s">
        <v>2281</v>
      </c>
      <c r="F4" s="268" t="s">
        <v>2282</v>
      </c>
    </row>
    <row r="5" customFormat="false" ht="15" hidden="false" customHeight="true" outlineLevel="0" collapsed="false">
      <c r="A5" s="111" t="s">
        <v>939</v>
      </c>
      <c r="B5" s="311" t="s">
        <v>2280</v>
      </c>
      <c r="C5" s="111" t="s">
        <v>2283</v>
      </c>
      <c r="F5" s="268" t="s">
        <v>2284</v>
      </c>
    </row>
    <row r="6" customFormat="false" ht="15" hidden="false" customHeight="true" outlineLevel="0" collapsed="false">
      <c r="A6" s="111" t="s">
        <v>900</v>
      </c>
      <c r="B6" s="311" t="s">
        <v>2280</v>
      </c>
      <c r="C6" s="111" t="s">
        <v>2285</v>
      </c>
      <c r="F6" s="268" t="s">
        <v>2286</v>
      </c>
    </row>
    <row r="7" customFormat="false" ht="15" hidden="false" customHeight="true" outlineLevel="0" collapsed="false">
      <c r="A7" s="111" t="s">
        <v>908</v>
      </c>
      <c r="B7" s="311" t="s">
        <v>2280</v>
      </c>
      <c r="C7" s="111" t="s">
        <v>2285</v>
      </c>
      <c r="F7" s="268" t="s">
        <v>2287</v>
      </c>
    </row>
    <row r="8" customFormat="false" ht="15" hidden="false" customHeight="true" outlineLevel="0" collapsed="false">
      <c r="A8" s="111" t="s">
        <v>910</v>
      </c>
      <c r="B8" s="311" t="s">
        <v>2280</v>
      </c>
      <c r="C8" s="111" t="s">
        <v>2285</v>
      </c>
      <c r="F8" s="268" t="s">
        <v>2288</v>
      </c>
    </row>
    <row r="9" customFormat="false" ht="15" hidden="false" customHeight="true" outlineLevel="0" collapsed="false">
      <c r="A9" s="111" t="s">
        <v>904</v>
      </c>
      <c r="B9" s="311" t="s">
        <v>2280</v>
      </c>
      <c r="C9" s="111" t="s">
        <v>2285</v>
      </c>
      <c r="F9" s="268" t="s">
        <v>2289</v>
      </c>
    </row>
    <row r="10" customFormat="false" ht="15" hidden="false" customHeight="true" outlineLevel="0" collapsed="false">
      <c r="A10" s="111" t="s">
        <v>906</v>
      </c>
      <c r="B10" s="311" t="s">
        <v>2280</v>
      </c>
      <c r="C10" s="111" t="s">
        <v>2285</v>
      </c>
      <c r="F10" s="268" t="s">
        <v>2290</v>
      </c>
    </row>
    <row r="11" customFormat="false" ht="15" hidden="false" customHeight="true" outlineLevel="0" collapsed="false">
      <c r="A11" s="111" t="s">
        <v>940</v>
      </c>
      <c r="B11" s="311" t="s">
        <v>2280</v>
      </c>
      <c r="C11" s="111" t="s">
        <v>2285</v>
      </c>
      <c r="F11" s="268" t="s">
        <v>2291</v>
      </c>
    </row>
    <row r="12" customFormat="false" ht="15" hidden="false" customHeight="true" outlineLevel="0" collapsed="false">
      <c r="A12" s="111" t="s">
        <v>941</v>
      </c>
      <c r="B12" s="311" t="s">
        <v>2280</v>
      </c>
      <c r="C12" s="111" t="s">
        <v>2283</v>
      </c>
      <c r="F12" s="268" t="s">
        <v>2292</v>
      </c>
    </row>
    <row r="13" customFormat="false" ht="15" hidden="false" customHeight="true" outlineLevel="0" collapsed="false">
      <c r="A13" s="111" t="s">
        <v>943</v>
      </c>
      <c r="B13" s="311" t="s">
        <v>2280</v>
      </c>
      <c r="C13" s="111" t="s">
        <v>2293</v>
      </c>
      <c r="F13" s="268" t="s">
        <v>2294</v>
      </c>
    </row>
    <row r="14" customFormat="false" ht="15" hidden="false" customHeight="true" outlineLevel="0" collapsed="false">
      <c r="A14" s="111" t="s">
        <v>944</v>
      </c>
      <c r="B14" s="311" t="s">
        <v>2280</v>
      </c>
      <c r="C14" s="111" t="s">
        <v>2293</v>
      </c>
      <c r="F14" s="268" t="s">
        <v>2295</v>
      </c>
    </row>
    <row r="15" customFormat="false" ht="15" hidden="false" customHeight="true" outlineLevel="0" collapsed="false">
      <c r="A15" s="111" t="s">
        <v>945</v>
      </c>
      <c r="B15" s="311" t="s">
        <v>2280</v>
      </c>
      <c r="C15" s="111" t="s">
        <v>2293</v>
      </c>
      <c r="F15" s="268" t="s">
        <v>2296</v>
      </c>
    </row>
    <row r="16" customFormat="false" ht="15" hidden="false" customHeight="true" outlineLevel="0" collapsed="false">
      <c r="A16" s="111" t="s">
        <v>946</v>
      </c>
      <c r="B16" s="311" t="s">
        <v>2280</v>
      </c>
      <c r="C16" s="111" t="s">
        <v>2293</v>
      </c>
      <c r="F16" s="268" t="s">
        <v>2297</v>
      </c>
    </row>
    <row r="17" customFormat="false" ht="15" hidden="false" customHeight="true" outlineLevel="0" collapsed="false">
      <c r="A17" s="111" t="s">
        <v>947</v>
      </c>
      <c r="B17" s="311" t="s">
        <v>2280</v>
      </c>
      <c r="C17" s="111" t="s">
        <v>2293</v>
      </c>
      <c r="F17" s="268" t="s">
        <v>2298</v>
      </c>
    </row>
    <row r="18" customFormat="false" ht="15" hidden="false" customHeight="true" outlineLevel="0" collapsed="false">
      <c r="A18" s="111" t="s">
        <v>948</v>
      </c>
      <c r="B18" s="311" t="s">
        <v>2280</v>
      </c>
      <c r="C18" s="111" t="s">
        <v>2293</v>
      </c>
      <c r="F18" s="268" t="s">
        <v>2299</v>
      </c>
    </row>
    <row r="19" customFormat="false" ht="15" hidden="false" customHeight="true" outlineLevel="0" collapsed="false">
      <c r="A19" s="111" t="s">
        <v>949</v>
      </c>
      <c r="B19" s="311" t="s">
        <v>2280</v>
      </c>
      <c r="C19" s="111" t="s">
        <v>2293</v>
      </c>
      <c r="F19" s="268" t="s">
        <v>2300</v>
      </c>
    </row>
    <row r="20" customFormat="false" ht="15" hidden="false" customHeight="true" outlineLevel="0" collapsed="false">
      <c r="A20" s="111" t="s">
        <v>950</v>
      </c>
      <c r="B20" s="311" t="s">
        <v>2280</v>
      </c>
      <c r="C20" s="111" t="s">
        <v>2293</v>
      </c>
      <c r="F20" s="268" t="s">
        <v>2301</v>
      </c>
    </row>
    <row r="21" customFormat="false" ht="15" hidden="false" customHeight="true" outlineLevel="0" collapsed="false">
      <c r="A21" s="111" t="s">
        <v>951</v>
      </c>
      <c r="B21" s="311" t="s">
        <v>2280</v>
      </c>
      <c r="C21" s="111" t="s">
        <v>2293</v>
      </c>
      <c r="F21" s="268" t="s">
        <v>2302</v>
      </c>
    </row>
    <row r="22" customFormat="false" ht="15" hidden="false" customHeight="true" outlineLevel="0" collapsed="false">
      <c r="A22" s="111" t="s">
        <v>952</v>
      </c>
      <c r="B22" s="311" t="s">
        <v>2280</v>
      </c>
      <c r="C22" s="111" t="s">
        <v>2293</v>
      </c>
      <c r="F22" s="268" t="s">
        <v>2303</v>
      </c>
    </row>
    <row r="23" customFormat="false" ht="15" hidden="false" customHeight="true" outlineLevel="0" collapsed="false">
      <c r="A23" s="111" t="s">
        <v>722</v>
      </c>
      <c r="B23" s="311" t="s">
        <v>2304</v>
      </c>
      <c r="C23" s="111" t="s">
        <v>2305</v>
      </c>
      <c r="D23" s="880" t="n">
        <v>40</v>
      </c>
      <c r="E23" s="880" t="n">
        <v>75</v>
      </c>
      <c r="F23" s="268" t="s">
        <v>2306</v>
      </c>
    </row>
    <row r="24" customFormat="false" ht="15" hidden="false" customHeight="true" outlineLevel="0" collapsed="false">
      <c r="A24" s="111" t="s">
        <v>956</v>
      </c>
      <c r="B24" s="311" t="s">
        <v>2304</v>
      </c>
      <c r="C24" s="111" t="s">
        <v>2305</v>
      </c>
      <c r="D24" s="880" t="n">
        <v>20</v>
      </c>
      <c r="E24" s="880" t="n">
        <v>45</v>
      </c>
      <c r="F24" s="268" t="s">
        <v>2307</v>
      </c>
    </row>
    <row r="25" customFormat="false" ht="15" hidden="false" customHeight="true" outlineLevel="0" collapsed="false">
      <c r="A25" s="111" t="s">
        <v>308</v>
      </c>
      <c r="B25" s="311" t="s">
        <v>2304</v>
      </c>
      <c r="C25" s="111" t="s">
        <v>2305</v>
      </c>
      <c r="D25" s="880" t="n">
        <v>3</v>
      </c>
      <c r="E25" s="880" t="n">
        <v>8</v>
      </c>
      <c r="F25" s="268" t="s">
        <v>2308</v>
      </c>
    </row>
    <row r="26" customFormat="false" ht="15" hidden="false" customHeight="true" outlineLevel="0" collapsed="false">
      <c r="A26" s="111" t="s">
        <v>957</v>
      </c>
      <c r="B26" s="311" t="s">
        <v>2304</v>
      </c>
      <c r="C26" s="111" t="s">
        <v>2305</v>
      </c>
      <c r="D26" s="880" t="n">
        <v>3</v>
      </c>
      <c r="E26" s="880" t="n">
        <v>10</v>
      </c>
      <c r="F26" s="268" t="s">
        <v>2309</v>
      </c>
    </row>
    <row r="27" customFormat="false" ht="15" hidden="false" customHeight="true" outlineLevel="0" collapsed="false">
      <c r="A27" s="111" t="s">
        <v>725</v>
      </c>
      <c r="B27" s="311" t="s">
        <v>2304</v>
      </c>
      <c r="C27" s="111" t="s">
        <v>2310</v>
      </c>
      <c r="D27" s="880" t="n">
        <v>15</v>
      </c>
      <c r="E27" s="880" t="n">
        <v>35</v>
      </c>
      <c r="F27" s="268" t="s">
        <v>2311</v>
      </c>
    </row>
    <row r="28" customFormat="false" ht="15" hidden="false" customHeight="true" outlineLevel="0" collapsed="false">
      <c r="A28" s="111" t="s">
        <v>958</v>
      </c>
      <c r="B28" s="311" t="s">
        <v>2304</v>
      </c>
      <c r="C28" s="111" t="s">
        <v>2312</v>
      </c>
      <c r="D28" s="880" t="n">
        <v>90</v>
      </c>
      <c r="E28" s="880" t="n">
        <v>140</v>
      </c>
      <c r="F28" s="268" t="s">
        <v>2313</v>
      </c>
    </row>
    <row r="29" customFormat="false" ht="15" hidden="false" customHeight="true" outlineLevel="0" collapsed="false">
      <c r="A29" s="111" t="s">
        <v>701</v>
      </c>
      <c r="B29" s="311" t="s">
        <v>2304</v>
      </c>
      <c r="C29" s="111" t="s">
        <v>2314</v>
      </c>
      <c r="D29" s="880" t="n">
        <v>60</v>
      </c>
      <c r="E29" s="880" t="n">
        <v>85</v>
      </c>
      <c r="F29" s="268" t="s">
        <v>2315</v>
      </c>
    </row>
    <row r="30" customFormat="false" ht="15" hidden="false" customHeight="true" outlineLevel="0" collapsed="false">
      <c r="A30" s="111" t="s">
        <v>959</v>
      </c>
      <c r="B30" s="311" t="s">
        <v>2304</v>
      </c>
      <c r="C30" s="111" t="s">
        <v>2314</v>
      </c>
      <c r="D30" s="880" t="n">
        <v>40</v>
      </c>
      <c r="E30" s="880" t="n">
        <v>60</v>
      </c>
      <c r="F30" s="268" t="s">
        <v>2316</v>
      </c>
    </row>
    <row r="31" customFormat="false" ht="15" hidden="false" customHeight="true" outlineLevel="0" collapsed="false">
      <c r="A31" s="111" t="s">
        <v>960</v>
      </c>
      <c r="B31" s="311" t="s">
        <v>2304</v>
      </c>
      <c r="C31" s="111" t="s">
        <v>2314</v>
      </c>
      <c r="D31" s="880" t="n">
        <v>5</v>
      </c>
      <c r="E31" s="880" t="n">
        <v>15</v>
      </c>
      <c r="F31" s="268" t="s">
        <v>2317</v>
      </c>
    </row>
    <row r="32" customFormat="false" ht="15" hidden="false" customHeight="true" outlineLevel="0" collapsed="false">
      <c r="A32" s="111" t="s">
        <v>710</v>
      </c>
      <c r="B32" s="311" t="s">
        <v>2304</v>
      </c>
      <c r="C32" s="111" t="s">
        <v>2318</v>
      </c>
      <c r="D32" s="880" t="n">
        <v>50</v>
      </c>
      <c r="E32" s="880" t="n">
        <v>80</v>
      </c>
      <c r="F32" s="268" t="s">
        <v>2319</v>
      </c>
    </row>
    <row r="33" customFormat="false" ht="15" hidden="false" customHeight="true" outlineLevel="0" collapsed="false">
      <c r="A33" s="111" t="s">
        <v>714</v>
      </c>
      <c r="B33" s="311" t="s">
        <v>2304</v>
      </c>
      <c r="C33" s="111" t="s">
        <v>2318</v>
      </c>
      <c r="D33" s="880" t="n">
        <v>50</v>
      </c>
      <c r="E33" s="880" t="n">
        <v>90</v>
      </c>
      <c r="F33" s="268" t="s">
        <v>2320</v>
      </c>
    </row>
    <row r="34" customFormat="false" ht="15" hidden="false" customHeight="true" outlineLevel="0" collapsed="false">
      <c r="A34" s="111" t="s">
        <v>961</v>
      </c>
      <c r="B34" s="311" t="s">
        <v>2304</v>
      </c>
      <c r="C34" s="111" t="s">
        <v>2321</v>
      </c>
      <c r="D34" s="880" t="n">
        <v>8</v>
      </c>
      <c r="E34" s="880" t="n">
        <v>18</v>
      </c>
      <c r="F34" s="268" t="s">
        <v>2322</v>
      </c>
    </row>
    <row r="35" customFormat="false" ht="15" hidden="false" customHeight="true" outlineLevel="0" collapsed="false">
      <c r="A35" s="111" t="s">
        <v>962</v>
      </c>
      <c r="B35" s="311" t="s">
        <v>2304</v>
      </c>
      <c r="C35" s="111" t="s">
        <v>2321</v>
      </c>
      <c r="D35" s="880" t="n">
        <v>0</v>
      </c>
      <c r="E35" s="880" t="n">
        <v>15</v>
      </c>
      <c r="F35" s="268" t="s">
        <v>2323</v>
      </c>
    </row>
    <row r="36" customFormat="false" ht="15" hidden="false" customHeight="true" outlineLevel="0" collapsed="false">
      <c r="A36" s="111" t="s">
        <v>963</v>
      </c>
      <c r="B36" s="311" t="s">
        <v>2304</v>
      </c>
      <c r="C36" s="111" t="s">
        <v>2321</v>
      </c>
      <c r="D36" s="880" t="n">
        <v>35</v>
      </c>
      <c r="E36" s="880" t="n">
        <v>70</v>
      </c>
      <c r="F36" s="268" t="s">
        <v>2324</v>
      </c>
    </row>
    <row r="37" customFormat="false" ht="15" hidden="false" customHeight="true" outlineLevel="0" collapsed="false">
      <c r="A37" s="111" t="s">
        <v>964</v>
      </c>
      <c r="B37" s="311" t="s">
        <v>2304</v>
      </c>
      <c r="C37" s="111" t="s">
        <v>2321</v>
      </c>
      <c r="D37" s="880" t="n">
        <v>8</v>
      </c>
      <c r="E37" s="880" t="n">
        <v>16</v>
      </c>
      <c r="F37" s="268" t="s">
        <v>2325</v>
      </c>
    </row>
    <row r="38" customFormat="false" ht="15" hidden="false" customHeight="true" outlineLevel="0" collapsed="false">
      <c r="A38" s="111" t="s">
        <v>965</v>
      </c>
      <c r="B38" s="311" t="s">
        <v>2304</v>
      </c>
      <c r="C38" s="111" t="s">
        <v>2321</v>
      </c>
      <c r="D38" s="880" t="n">
        <v>2</v>
      </c>
      <c r="E38" s="880" t="n">
        <v>8</v>
      </c>
      <c r="F38" s="268" t="s">
        <v>2326</v>
      </c>
    </row>
    <row r="39" customFormat="false" ht="15" hidden="false" customHeight="true" outlineLevel="0" collapsed="false">
      <c r="A39" s="111" t="s">
        <v>966</v>
      </c>
      <c r="B39" s="311" t="s">
        <v>2304</v>
      </c>
      <c r="C39" s="111" t="s">
        <v>2327</v>
      </c>
      <c r="D39" s="880" t="n">
        <v>25</v>
      </c>
      <c r="E39" s="880" t="n">
        <v>50</v>
      </c>
      <c r="F39" s="268" t="s">
        <v>2328</v>
      </c>
    </row>
    <row r="40" customFormat="false" ht="15" hidden="false" customHeight="true" outlineLevel="0" collapsed="false">
      <c r="A40" s="111" t="s">
        <v>724</v>
      </c>
      <c r="B40" s="311" t="s">
        <v>2304</v>
      </c>
      <c r="C40" s="111" t="s">
        <v>2329</v>
      </c>
      <c r="F40" s="268"/>
    </row>
    <row r="41" customFormat="false" ht="15" hidden="false" customHeight="true" outlineLevel="0" collapsed="false">
      <c r="A41" s="111" t="s">
        <v>953</v>
      </c>
      <c r="B41" s="311" t="s">
        <v>2280</v>
      </c>
      <c r="C41" s="111" t="s">
        <v>2293</v>
      </c>
      <c r="F41" s="268"/>
    </row>
    <row r="42" customFormat="false" ht="15" hidden="false" customHeight="true" outlineLevel="0" collapsed="false">
      <c r="A42" s="111" t="s">
        <v>2330</v>
      </c>
      <c r="B42" s="311" t="s">
        <v>2280</v>
      </c>
      <c r="C42" s="111" t="s">
        <v>2293</v>
      </c>
      <c r="F42" s="268"/>
    </row>
    <row r="43" customFormat="false" ht="15" hidden="false" customHeight="true" outlineLevel="0" collapsed="false">
      <c r="A43" s="111" t="s">
        <v>2331</v>
      </c>
      <c r="B43" s="311" t="s">
        <v>2280</v>
      </c>
      <c r="C43" s="111" t="s">
        <v>2293</v>
      </c>
      <c r="F43" s="268"/>
    </row>
    <row r="44" customFormat="false" ht="15" hidden="false" customHeight="true" outlineLevel="0" collapsed="false">
      <c r="A44" s="111" t="s">
        <v>2332</v>
      </c>
      <c r="B44" s="311" t="s">
        <v>2280</v>
      </c>
      <c r="C44" s="111" t="s">
        <v>2293</v>
      </c>
      <c r="F44" s="268"/>
    </row>
    <row r="45" customFormat="false" ht="15" hidden="false" customHeight="true" outlineLevel="0" collapsed="false">
      <c r="A45" s="111" t="s">
        <v>2333</v>
      </c>
      <c r="B45" s="311" t="s">
        <v>2280</v>
      </c>
      <c r="C45" s="111" t="s">
        <v>2293</v>
      </c>
      <c r="F45" s="268"/>
    </row>
    <row r="46" customFormat="false" ht="15" hidden="false" customHeight="true" outlineLevel="0" collapsed="false">
      <c r="A46" s="111" t="s">
        <v>2334</v>
      </c>
      <c r="B46" s="311" t="s">
        <v>2280</v>
      </c>
      <c r="C46" s="111" t="s">
        <v>2293</v>
      </c>
      <c r="F46" s="268"/>
    </row>
    <row r="47" customFormat="false" ht="15" hidden="false" customHeight="true" outlineLevel="0" collapsed="false">
      <c r="A47" s="111" t="s">
        <v>2335</v>
      </c>
      <c r="B47" s="311" t="s">
        <v>2280</v>
      </c>
      <c r="C47" s="111" t="s">
        <v>2293</v>
      </c>
      <c r="F47" s="268"/>
    </row>
    <row r="48" customFormat="false" ht="15" hidden="false" customHeight="true" outlineLevel="0" collapsed="false">
      <c r="A48" s="111" t="s">
        <v>2336</v>
      </c>
      <c r="B48" s="311" t="s">
        <v>2280</v>
      </c>
      <c r="C48" s="111" t="s">
        <v>2293</v>
      </c>
      <c r="F48" s="268"/>
    </row>
    <row r="49" customFormat="false" ht="15" hidden="false" customHeight="true" outlineLevel="0" collapsed="false">
      <c r="A49" s="111" t="s">
        <v>324</v>
      </c>
      <c r="B49" s="311" t="s">
        <v>2280</v>
      </c>
      <c r="C49" s="111" t="s">
        <v>2293</v>
      </c>
      <c r="F49" s="268"/>
    </row>
    <row r="50" customFormat="false" ht="15" hidden="false" customHeight="true" outlineLevel="0" collapsed="false">
      <c r="A50" s="111" t="s">
        <v>323</v>
      </c>
      <c r="B50" s="311" t="s">
        <v>2280</v>
      </c>
      <c r="C50" s="111" t="s">
        <v>2293</v>
      </c>
      <c r="F50" s="268"/>
    </row>
    <row r="51" customFormat="false" ht="15" hidden="false" customHeight="true" outlineLevel="0" collapsed="false">
      <c r="A51" s="111" t="s">
        <v>325</v>
      </c>
      <c r="B51" s="311" t="s">
        <v>2280</v>
      </c>
      <c r="C51" s="111" t="s">
        <v>2293</v>
      </c>
      <c r="F51" s="268"/>
    </row>
    <row r="52" customFormat="false" ht="15" hidden="false" customHeight="true" outlineLevel="0" collapsed="false">
      <c r="A52" s="111" t="s">
        <v>1434</v>
      </c>
      <c r="B52" s="311" t="s">
        <v>2280</v>
      </c>
      <c r="C52" s="111" t="s">
        <v>2293</v>
      </c>
      <c r="F52" s="268"/>
    </row>
    <row r="53" customFormat="false" ht="15" hidden="false" customHeight="true" outlineLevel="0" collapsed="false">
      <c r="A53" s="111" t="s">
        <v>336</v>
      </c>
      <c r="B53" s="311" t="s">
        <v>2280</v>
      </c>
      <c r="C53" s="111" t="s">
        <v>2293</v>
      </c>
      <c r="F53" s="268"/>
    </row>
    <row r="54" customFormat="false" ht="15" hidden="false" customHeight="true" outlineLevel="0" collapsed="false">
      <c r="A54" s="111" t="s">
        <v>2337</v>
      </c>
      <c r="B54" s="311"/>
      <c r="C54" s="111"/>
      <c r="F54" s="268"/>
    </row>
    <row r="55" customFormat="false" ht="15" hidden="false" customHeight="true" outlineLevel="0" collapsed="false">
      <c r="A55" s="111" t="s">
        <v>2338</v>
      </c>
      <c r="B55" s="311"/>
      <c r="C55" s="111" t="s">
        <v>2339</v>
      </c>
      <c r="F55" s="268" t="s">
        <v>2340</v>
      </c>
    </row>
    <row r="56" customFormat="false" ht="15" hidden="false" customHeight="true" outlineLevel="0" collapsed="false">
      <c r="A56" s="111" t="s">
        <v>2341</v>
      </c>
      <c r="B56" s="311"/>
      <c r="C56" s="111" t="s">
        <v>2342</v>
      </c>
      <c r="F56" s="268" t="s">
        <v>2343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2026-03-25T21:57:35Z</dcterms:created>
  <dc:creator>MF Model Build</dc:creator>
  <dc:description>v2026.05.13_1919 — Fixed HL Scenarios C38 (was =B38) and C40 (was hardcoded 0.15). Both now match SW and TP: C38=smart-source, C40=physical vacancy from RR.</dc:description>
  <cp:keywords>v2026.05.07_1521 multifamily underwriting Hidden Lakes rent roll v3</cp:keywords>
  <dc:language>en-US</dc:language>
  <cp:lastModifiedBy>Erik J</cp:lastModifiedBy>
  <dcterms:modified xsi:type="dcterms:W3CDTF">2026-06-02T18:25:47Z</dcterms:modified>
  <cp:revision>3</cp:revision>
  <dc:subject>Acquisition Underwriting</dc:subject>
  <dc:title>Hidden Lakes Multifamily UW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